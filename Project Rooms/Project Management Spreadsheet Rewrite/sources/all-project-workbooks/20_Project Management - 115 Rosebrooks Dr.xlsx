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ctrlProps/ctrlProp1.xml" ContentType="application/vnd.ms-excel.controlproperties+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queryTables/queryTable4.xml" ContentType="application/vnd.openxmlformats-officedocument.spreadsheetml.queryTable+xml"/>
  <Override PartName="/xl/drawings/drawing3.xml" ContentType="application/vnd.openxmlformats-officedocument.drawing+xml"/>
  <Override PartName="/xl/ink/ink12.xml" ContentType="application/inkml+xml"/>
  <Override PartName="/xl/drawings/drawing4.xml" ContentType="application/vnd.openxmlformats-officedocument.drawing+xml"/>
  <Override PartName="/xl/ink/ink13.xml" ContentType="application/inkml+xml"/>
  <Override PartName="/xl/drawings/drawing5.xml" ContentType="application/vnd.openxmlformats-officedocument.drawing+xml"/>
  <Override PartName="/xl/ink/ink14.xml" ContentType="application/inkml+xml"/>
  <Override PartName="/xl/drawings/drawing6.xml" ContentType="application/vnd.openxmlformats-officedocument.drawing+xml"/>
  <Override PartName="/xl/ink/ink15.xml" ContentType="application/inkml+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lifeisanadventure.sharepoint.com/sites/SellYourHome/Shared Documents/Property/"/>
    </mc:Choice>
  </mc:AlternateContent>
  <xr:revisionPtr revIDLastSave="2125" documentId="8_{F573DC6B-7237-40FF-BE3E-C1390B8650AD}" xr6:coauthVersionLast="47" xr6:coauthVersionMax="47" xr10:uidLastSave="{DBE14510-745B-4824-BA5C-547EBAE97790}"/>
  <bookViews>
    <workbookView xWindow="-120" yWindow="-120" windowWidth="38640" windowHeight="15720" tabRatio="889" activeTab="3" xr2:uid="{00000000-000D-0000-FFFF-FFFF00000000}"/>
  </bookViews>
  <sheets>
    <sheet name="Profit" sheetId="1" r:id="rId1"/>
    <sheet name="MOG" sheetId="33" r:id="rId2"/>
    <sheet name="Todo" sheetId="19" r:id="rId3"/>
    <sheet name="Contact" sheetId="10" r:id="rId4"/>
    <sheet name="Carrying" sheetId="53" r:id="rId5"/>
    <sheet name="Contract" sheetId="36" r:id="rId6"/>
    <sheet name="UpdateContract" sheetId="47" r:id="rId7"/>
    <sheet name="Gnatt Chart" sheetId="37" r:id="rId8"/>
    <sheet name="Recap" sheetId="52" r:id="rId9"/>
    <sheet name="Taxes" sheetId="48" r:id="rId10"/>
    <sheet name="Seller Advance" sheetId="9" r:id="rId11"/>
    <sheet name="MISC" sheetId="50" r:id="rId12"/>
    <sheet name="Demo &amp; Trash Haul" sheetId="21" r:id="rId13"/>
    <sheet name="Appliances" sheetId="15" r:id="rId14"/>
    <sheet name="Plumbing Fixtures" sheetId="22" r:id="rId15"/>
    <sheet name="Windows &amp; Doors" sheetId="20" r:id="rId16"/>
    <sheet name="Cabinets" sheetId="6" r:id="rId17"/>
    <sheet name="Paint" sheetId="4" r:id="rId18"/>
    <sheet name="Flooring" sheetId="3" r:id="rId19"/>
    <sheet name="HVAC" sheetId="18" r:id="rId20"/>
    <sheet name="Electrical Fixtures" sheetId="35" r:id="rId21"/>
    <sheet name="Landscape" sheetId="13" r:id="rId22"/>
    <sheet name="Exterior" sheetId="16" r:id="rId23"/>
    <sheet name="2023" sheetId="54" r:id="rId24"/>
    <sheet name="2022" sheetId="55" r:id="rId25"/>
    <sheet name="2021" sheetId="56" r:id="rId26"/>
    <sheet name="2020" sheetId="57" r:id="rId27"/>
  </sheets>
  <externalReferences>
    <externalReference r:id="rId28"/>
    <externalReference r:id="rId29"/>
    <externalReference r:id="rId30"/>
    <externalReference r:id="rId31"/>
    <externalReference r:id="rId32"/>
  </externalReferences>
  <definedNames>
    <definedName name="_xlnm._FilterDatabase" localSheetId="7" hidden="1">'Gnatt Chart'!$A$1:$DU$28</definedName>
    <definedName name="ExternalData_2" localSheetId="8" hidden="1">'Recap'!$N$4:$S$25</definedName>
    <definedName name="ExternalData_3" localSheetId="6" hidden="1">UpdateContract!$B$4:$H$64</definedName>
    <definedName name="ExternalData_4" localSheetId="7" hidden="1">'Gnatt Chart'!$A$29:$O$89</definedName>
    <definedName name="Milestone_Marker">'Gnatt Chart'!$G$4</definedName>
    <definedName name="Project_Start">'Gnatt Chart'!$F$2</definedName>
    <definedName name="ProposalToGnatt__2" localSheetId="8" hidden="1">'Recap'!$A$4:$G$47</definedName>
    <definedName name="Scrolling_Increment">'Gnatt Chart'!$AB$26</definedName>
    <definedName name="Today" localSheetId="7">TODAY()</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cap_93f76440-af07-4f37-8bb6-5797315de35b" name="Recap" connection="Query - Recap"/>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0" i="1" l="1"/>
  <c r="E15" i="1"/>
  <c r="J52" i="19"/>
  <c r="I52" i="19"/>
  <c r="H52" i="19"/>
  <c r="G52" i="19"/>
  <c r="F52" i="19"/>
  <c r="J51" i="19"/>
  <c r="I51" i="19"/>
  <c r="H51" i="19"/>
  <c r="G51" i="19"/>
  <c r="F51" i="19"/>
  <c r="J50" i="19"/>
  <c r="I50" i="19"/>
  <c r="H50" i="19"/>
  <c r="G50" i="19"/>
  <c r="F50" i="19"/>
  <c r="I49" i="19"/>
  <c r="G49" i="19"/>
  <c r="F49" i="19"/>
  <c r="J48" i="19"/>
  <c r="I48" i="19"/>
  <c r="H48" i="19"/>
  <c r="G48" i="19"/>
  <c r="F48" i="19"/>
  <c r="E47" i="19"/>
  <c r="C51" i="19"/>
  <c r="H56" i="1"/>
  <c r="D13" i="1"/>
  <c r="J47" i="19"/>
  <c r="I47" i="19"/>
  <c r="H47" i="19"/>
  <c r="G47" i="19"/>
  <c r="F47" i="19"/>
  <c r="J46" i="19"/>
  <c r="J45" i="19"/>
  <c r="J44" i="19"/>
  <c r="I46" i="19"/>
  <c r="I45" i="19"/>
  <c r="I44" i="19"/>
  <c r="I41" i="19"/>
  <c r="I40" i="19"/>
  <c r="I39" i="19"/>
  <c r="I38" i="19"/>
  <c r="I37" i="19"/>
  <c r="I36" i="19"/>
  <c r="I35" i="19"/>
  <c r="I34" i="19"/>
  <c r="I33" i="19"/>
  <c r="I32" i="19"/>
  <c r="I31" i="19"/>
  <c r="I30" i="19"/>
  <c r="I29" i="19"/>
  <c r="I28" i="19"/>
  <c r="I27" i="19"/>
  <c r="I26" i="19"/>
  <c r="I25" i="19"/>
  <c r="I24" i="19"/>
  <c r="I23" i="19"/>
  <c r="I22" i="19"/>
  <c r="I21" i="19"/>
  <c r="I20" i="19"/>
  <c r="I19" i="19"/>
  <c r="I18" i="19"/>
  <c r="I17" i="19"/>
  <c r="I16" i="19"/>
  <c r="I15" i="19"/>
  <c r="I14" i="19"/>
  <c r="I13" i="19"/>
  <c r="I12" i="19"/>
  <c r="I11" i="19"/>
  <c r="I10" i="19"/>
  <c r="I9" i="19"/>
  <c r="I8" i="19"/>
  <c r="I7" i="19"/>
  <c r="I6" i="19"/>
  <c r="I5" i="19"/>
  <c r="I4" i="19"/>
  <c r="I3" i="19"/>
  <c r="G46" i="19"/>
  <c r="G45" i="19"/>
  <c r="G44" i="19"/>
  <c r="G41" i="19"/>
  <c r="G40" i="19"/>
  <c r="G39" i="19"/>
  <c r="G38" i="19"/>
  <c r="G37" i="19"/>
  <c r="G36" i="19"/>
  <c r="G35" i="19"/>
  <c r="G34" i="19"/>
  <c r="G33" i="19"/>
  <c r="G32" i="19"/>
  <c r="G31" i="19"/>
  <c r="G30" i="19"/>
  <c r="G29" i="19"/>
  <c r="G28" i="19"/>
  <c r="G27" i="19"/>
  <c r="G26" i="19"/>
  <c r="G25" i="19"/>
  <c r="G24" i="19"/>
  <c r="G23" i="19"/>
  <c r="G22" i="19"/>
  <c r="G21" i="19"/>
  <c r="G20" i="19"/>
  <c r="G19" i="19"/>
  <c r="G18" i="19"/>
  <c r="G17" i="19"/>
  <c r="G16" i="19"/>
  <c r="G15" i="19"/>
  <c r="G14" i="19"/>
  <c r="G13" i="19"/>
  <c r="G12" i="19"/>
  <c r="G11" i="19"/>
  <c r="G10" i="19"/>
  <c r="G9" i="19"/>
  <c r="G8" i="19"/>
  <c r="G7" i="19"/>
  <c r="G6" i="19"/>
  <c r="G5" i="19"/>
  <c r="G4" i="19"/>
  <c r="G3" i="19"/>
  <c r="H46" i="19"/>
  <c r="H45" i="19"/>
  <c r="H44" i="19"/>
  <c r="H41" i="19"/>
  <c r="H40" i="19"/>
  <c r="H39" i="19"/>
  <c r="H38" i="19"/>
  <c r="H37" i="19"/>
  <c r="H36" i="19"/>
  <c r="H35" i="19"/>
  <c r="H34" i="19"/>
  <c r="H33" i="19"/>
  <c r="H32" i="19"/>
  <c r="H31" i="19"/>
  <c r="H30" i="19"/>
  <c r="H29" i="19"/>
  <c r="H28" i="19"/>
  <c r="H27" i="19"/>
  <c r="H26" i="19"/>
  <c r="H25" i="19"/>
  <c r="H24" i="19"/>
  <c r="H23" i="19"/>
  <c r="H22" i="19"/>
  <c r="H21" i="19"/>
  <c r="H20" i="19"/>
  <c r="H19" i="19"/>
  <c r="H18" i="19"/>
  <c r="H17" i="19"/>
  <c r="H16" i="19"/>
  <c r="H15" i="19"/>
  <c r="H14" i="19"/>
  <c r="H13" i="19"/>
  <c r="H12" i="19"/>
  <c r="H11" i="19"/>
  <c r="H10" i="19"/>
  <c r="H9" i="19"/>
  <c r="H8" i="19"/>
  <c r="H7" i="19"/>
  <c r="H6" i="19"/>
  <c r="H5" i="19"/>
  <c r="H4" i="19"/>
  <c r="H3" i="19"/>
  <c r="F46" i="19"/>
  <c r="F45" i="19"/>
  <c r="F44" i="19"/>
  <c r="F41" i="19"/>
  <c r="F40" i="19"/>
  <c r="F39" i="19"/>
  <c r="F38" i="19"/>
  <c r="F37" i="19"/>
  <c r="F36" i="19"/>
  <c r="F35" i="19"/>
  <c r="F34" i="19"/>
  <c r="F33" i="19"/>
  <c r="F32" i="19"/>
  <c r="F31" i="19"/>
  <c r="F30" i="19"/>
  <c r="F29" i="19"/>
  <c r="F28" i="19"/>
  <c r="F27" i="19"/>
  <c r="F26" i="19"/>
  <c r="F25" i="19"/>
  <c r="F24" i="19"/>
  <c r="F23" i="19"/>
  <c r="F22" i="19"/>
  <c r="F21" i="19"/>
  <c r="F20" i="19"/>
  <c r="F19" i="19"/>
  <c r="F18" i="19"/>
  <c r="F17" i="19"/>
  <c r="F16" i="19"/>
  <c r="F15" i="19"/>
  <c r="F14" i="19"/>
  <c r="F13" i="19"/>
  <c r="F12" i="19"/>
  <c r="F11" i="19"/>
  <c r="F10" i="19"/>
  <c r="F9" i="19"/>
  <c r="F8" i="19"/>
  <c r="F7" i="19"/>
  <c r="F6" i="19"/>
  <c r="F5" i="19"/>
  <c r="F4" i="19"/>
  <c r="F3" i="19"/>
  <c r="F43" i="19"/>
  <c r="J43" i="19"/>
  <c r="C11" i="57"/>
  <c r="C10" i="57"/>
  <c r="C9" i="57"/>
  <c r="C8" i="57"/>
  <c r="C7" i="57"/>
  <c r="C6" i="57"/>
  <c r="C5" i="57"/>
  <c r="C4" i="57"/>
  <c r="C3" i="57"/>
  <c r="C11" i="56"/>
  <c r="C10" i="56"/>
  <c r="C9" i="56"/>
  <c r="C8" i="56"/>
  <c r="C7" i="56"/>
  <c r="C6" i="56"/>
  <c r="C5" i="56"/>
  <c r="C4" i="56"/>
  <c r="C3" i="56"/>
  <c r="C11" i="55"/>
  <c r="C10" i="55"/>
  <c r="C9" i="55"/>
  <c r="C8" i="55"/>
  <c r="C7" i="55"/>
  <c r="C6" i="55"/>
  <c r="C5" i="55"/>
  <c r="C4" i="55"/>
  <c r="C3" i="55"/>
  <c r="C11" i="54"/>
  <c r="C10" i="54"/>
  <c r="C9" i="54"/>
  <c r="C8" i="54"/>
  <c r="C7" i="54"/>
  <c r="C6" i="54"/>
  <c r="F5" i="54"/>
  <c r="C5" i="54" s="1"/>
  <c r="C4" i="54"/>
  <c r="C3" i="54"/>
  <c r="D47" i="19" l="1"/>
  <c r="J58" i="1"/>
  <c r="E32" i="53"/>
  <c r="E33" i="53" s="1"/>
  <c r="E34" i="53" s="1"/>
  <c r="E35" i="53" s="1"/>
  <c r="E36" i="53" s="1"/>
  <c r="E37" i="53" s="1"/>
  <c r="E38" i="53" s="1"/>
  <c r="E39" i="53" s="1"/>
  <c r="E40" i="53" s="1"/>
  <c r="E41" i="53" s="1"/>
  <c r="E42" i="53" s="1"/>
  <c r="E43" i="53" s="1"/>
  <c r="E44" i="53" s="1"/>
  <c r="E45" i="53" s="1"/>
  <c r="E46" i="53" s="1"/>
  <c r="E47" i="53" s="1"/>
  <c r="T32" i="53"/>
  <c r="T33" i="53" s="1"/>
  <c r="T34" i="53" s="1"/>
  <c r="T35" i="53" s="1"/>
  <c r="T36" i="53" s="1"/>
  <c r="T37" i="53" s="1"/>
  <c r="T38" i="53" s="1"/>
  <c r="T39" i="53" s="1"/>
  <c r="T40" i="53" s="1"/>
  <c r="T41" i="53" s="1"/>
  <c r="T42" i="53" s="1"/>
  <c r="T43" i="53" s="1"/>
  <c r="T44" i="53" s="1"/>
  <c r="T45" i="53" s="1"/>
  <c r="T46" i="53" s="1"/>
  <c r="T47" i="53" s="1"/>
  <c r="H31" i="53"/>
  <c r="H32" i="53" s="1"/>
  <c r="H33" i="53" s="1"/>
  <c r="H34" i="53" s="1"/>
  <c r="H35" i="53" s="1"/>
  <c r="H36" i="53" s="1"/>
  <c r="H37" i="53" s="1"/>
  <c r="H38" i="53" s="1"/>
  <c r="H39" i="53" s="1"/>
  <c r="H40" i="53" s="1"/>
  <c r="H41" i="53" s="1"/>
  <c r="H42" i="53" s="1"/>
  <c r="H43" i="53" s="1"/>
  <c r="H44" i="53" s="1"/>
  <c r="H45" i="53" s="1"/>
  <c r="H46" i="53" s="1"/>
  <c r="H47" i="53" s="1"/>
  <c r="E31" i="53"/>
  <c r="T17" i="53"/>
  <c r="T18" i="53" s="1"/>
  <c r="T19" i="53" s="1"/>
  <c r="H16" i="53"/>
  <c r="H17" i="53" s="1"/>
  <c r="H18" i="53" s="1"/>
  <c r="H19" i="53" s="1"/>
  <c r="H20" i="53" s="1"/>
  <c r="H21" i="53" s="1"/>
  <c r="H22" i="53" s="1"/>
  <c r="H23" i="53" s="1"/>
  <c r="H24" i="53" s="1"/>
  <c r="H25" i="53" s="1"/>
  <c r="H26" i="53" s="1"/>
  <c r="H27" i="53" s="1"/>
  <c r="H28" i="53" s="1"/>
  <c r="H29" i="53" s="1"/>
  <c r="H30" i="53" s="1"/>
  <c r="W5" i="53"/>
  <c r="E5" i="53"/>
  <c r="E6" i="53" s="1"/>
  <c r="T5" i="53"/>
  <c r="T6" i="53" s="1"/>
  <c r="K5" i="53"/>
  <c r="K6" i="53" s="1"/>
  <c r="F58" i="1" l="1"/>
  <c r="F36" i="53"/>
  <c r="I39" i="53"/>
  <c r="F40" i="53"/>
  <c r="I43" i="53"/>
  <c r="F44" i="53"/>
  <c r="I47" i="53"/>
  <c r="F37" i="53"/>
  <c r="I40" i="53"/>
  <c r="F41" i="53"/>
  <c r="I44" i="53"/>
  <c r="F45" i="53"/>
  <c r="F38" i="53"/>
  <c r="I41" i="53"/>
  <c r="F42" i="53"/>
  <c r="I45" i="53"/>
  <c r="F46" i="53"/>
  <c r="U47" i="53"/>
  <c r="F35" i="53"/>
  <c r="F39" i="53"/>
  <c r="I42" i="53"/>
  <c r="F43" i="53"/>
  <c r="I46" i="53"/>
  <c r="F47" i="53"/>
  <c r="T20" i="53"/>
  <c r="T21" i="53" s="1"/>
  <c r="X5" i="53"/>
  <c r="U5" i="53"/>
  <c r="U6" i="53" s="1"/>
  <c r="U7" i="53" s="1"/>
  <c r="U8" i="53" s="1"/>
  <c r="U9" i="53" s="1"/>
  <c r="U10" i="53" s="1"/>
  <c r="U11" i="53" s="1"/>
  <c r="U12" i="53" s="1"/>
  <c r="U13" i="53" s="1"/>
  <c r="U14" i="53" s="1"/>
  <c r="U15" i="53" s="1"/>
  <c r="U16" i="53" s="1"/>
  <c r="U17" i="53" s="1"/>
  <c r="U18" i="53" s="1"/>
  <c r="U19" i="53" s="1"/>
  <c r="U20" i="53" s="1"/>
  <c r="I7" i="53"/>
  <c r="I8" i="53" s="1"/>
  <c r="I9" i="53" s="1"/>
  <c r="W6" i="53"/>
  <c r="E7" i="53"/>
  <c r="T7" i="53"/>
  <c r="K7" i="53"/>
  <c r="L5" i="53"/>
  <c r="L6" i="53" s="1"/>
  <c r="I15" i="53" l="1"/>
  <c r="I16" i="53" s="1"/>
  <c r="I17" i="53" s="1"/>
  <c r="I18" i="53" s="1"/>
  <c r="I19" i="53" s="1"/>
  <c r="I20" i="53" s="1"/>
  <c r="I21" i="53" s="1"/>
  <c r="I22" i="53" s="1"/>
  <c r="I23" i="53" s="1"/>
  <c r="I24" i="53" s="1"/>
  <c r="I25" i="53" s="1"/>
  <c r="I26" i="53" s="1"/>
  <c r="I27" i="53" s="1"/>
  <c r="I28" i="53" s="1"/>
  <c r="I29" i="53" s="1"/>
  <c r="I30" i="53" s="1"/>
  <c r="I31" i="53" s="1"/>
  <c r="I32" i="53" s="1"/>
  <c r="I33" i="53" s="1"/>
  <c r="I34" i="53" s="1"/>
  <c r="I35" i="53" s="1"/>
  <c r="I36" i="53" s="1"/>
  <c r="I37" i="53" s="1"/>
  <c r="I38" i="53" s="1"/>
  <c r="I10" i="53"/>
  <c r="I11" i="53" s="1"/>
  <c r="I12" i="53" s="1"/>
  <c r="I13" i="53" s="1"/>
  <c r="J56" i="1"/>
  <c r="T22" i="53"/>
  <c r="U21" i="53"/>
  <c r="W7" i="53"/>
  <c r="E8" i="53"/>
  <c r="T8" i="53"/>
  <c r="L7" i="53"/>
  <c r="K8" i="53"/>
  <c r="R49" i="53"/>
  <c r="O49" i="53"/>
  <c r="C49" i="53"/>
  <c r="I5" i="53"/>
  <c r="I6" i="53" s="1"/>
  <c r="H5" i="53"/>
  <c r="H6" i="53" s="1"/>
  <c r="H7" i="53" s="1"/>
  <c r="H8" i="53" s="1"/>
  <c r="H9" i="53" s="1"/>
  <c r="H43" i="1" l="1"/>
  <c r="B27" i="1" s="1"/>
  <c r="H27" i="1" s="1"/>
  <c r="B20" i="1"/>
  <c r="X7" i="53"/>
  <c r="T23" i="53"/>
  <c r="U22" i="53"/>
  <c r="H10" i="53"/>
  <c r="W8" i="53"/>
  <c r="X8" i="53" s="1"/>
  <c r="E9" i="53"/>
  <c r="T9" i="53"/>
  <c r="L8" i="53"/>
  <c r="K9" i="53"/>
  <c r="B26" i="1" l="1"/>
  <c r="H26" i="1" s="1"/>
  <c r="T24" i="53"/>
  <c r="U23" i="53"/>
  <c r="H11" i="53"/>
  <c r="W9" i="53"/>
  <c r="X9" i="53" s="1"/>
  <c r="E10" i="53"/>
  <c r="F10" i="53" s="1"/>
  <c r="T10" i="53"/>
  <c r="K10" i="53"/>
  <c r="L9" i="53"/>
  <c r="T25" i="53" l="1"/>
  <c r="U24" i="53"/>
  <c r="H12" i="53"/>
  <c r="W10" i="53"/>
  <c r="X10" i="53" s="1"/>
  <c r="E11" i="53"/>
  <c r="F11" i="53" s="1"/>
  <c r="T11" i="53"/>
  <c r="L10" i="53"/>
  <c r="T26" i="53" l="1"/>
  <c r="U25" i="53"/>
  <c r="W11" i="53"/>
  <c r="X11" i="53" s="1"/>
  <c r="H13" i="53"/>
  <c r="E12" i="53"/>
  <c r="T12" i="53"/>
  <c r="T27" i="53" l="1"/>
  <c r="U26" i="53"/>
  <c r="H14" i="53"/>
  <c r="H15" i="53" s="1"/>
  <c r="W12" i="53"/>
  <c r="X12" i="53" s="1"/>
  <c r="E13" i="53"/>
  <c r="F13" i="53" s="1"/>
  <c r="T13" i="53"/>
  <c r="L13" i="53"/>
  <c r="C36" i="1"/>
  <c r="O4" i="37"/>
  <c r="A5" i="47"/>
  <c r="A6" i="47"/>
  <c r="A7" i="47"/>
  <c r="A8" i="47"/>
  <c r="A9" i="47"/>
  <c r="A10" i="47"/>
  <c r="A11" i="47"/>
  <c r="A12" i="47"/>
  <c r="A13" i="47"/>
  <c r="A14" i="47"/>
  <c r="A15" i="47"/>
  <c r="A16" i="47"/>
  <c r="A17" i="47"/>
  <c r="A18" i="47"/>
  <c r="A19" i="47"/>
  <c r="A20" i="47"/>
  <c r="A21" i="47"/>
  <c r="A22" i="47"/>
  <c r="A23" i="47"/>
  <c r="A24" i="47"/>
  <c r="A25" i="47"/>
  <c r="A26" i="47"/>
  <c r="A27" i="47"/>
  <c r="A28" i="47"/>
  <c r="A29" i="47"/>
  <c r="A30" i="47"/>
  <c r="A31" i="47"/>
  <c r="A32" i="47"/>
  <c r="A33" i="47"/>
  <c r="A34" i="47"/>
  <c r="A35" i="47"/>
  <c r="A36" i="47"/>
  <c r="A37" i="47"/>
  <c r="A38" i="47"/>
  <c r="A39" i="47"/>
  <c r="A40" i="47"/>
  <c r="A41" i="47"/>
  <c r="A42" i="47"/>
  <c r="A43" i="47"/>
  <c r="A44" i="47"/>
  <c r="A45" i="47"/>
  <c r="A46" i="47"/>
  <c r="A47" i="47"/>
  <c r="A48" i="47"/>
  <c r="A49" i="47"/>
  <c r="A50" i="47"/>
  <c r="A51" i="47"/>
  <c r="A52" i="47"/>
  <c r="A53" i="47"/>
  <c r="A54" i="47"/>
  <c r="A55" i="47"/>
  <c r="A56" i="47"/>
  <c r="A57" i="47"/>
  <c r="A58" i="47"/>
  <c r="A59" i="47"/>
  <c r="A60" i="47"/>
  <c r="A61" i="47"/>
  <c r="A62" i="47"/>
  <c r="A63" i="47"/>
  <c r="A64" i="47"/>
  <c r="M4" i="37" a="1"/>
  <c r="M4" i="37" s="1"/>
  <c r="E26" i="35"/>
  <c r="E25" i="35"/>
  <c r="E23" i="35"/>
  <c r="E22" i="35"/>
  <c r="E34" i="20"/>
  <c r="E33" i="20"/>
  <c r="E32" i="20"/>
  <c r="E31" i="20"/>
  <c r="D18" i="16"/>
  <c r="E30" i="20"/>
  <c r="D17" i="16"/>
  <c r="D16" i="16"/>
  <c r="H19" i="16" s="1"/>
  <c r="E29" i="20"/>
  <c r="E28" i="20"/>
  <c r="E27" i="20"/>
  <c r="E26" i="20"/>
  <c r="E20" i="22"/>
  <c r="E19" i="22"/>
  <c r="E18" i="22"/>
  <c r="E17" i="22"/>
  <c r="F17" i="22" s="1"/>
  <c r="E16" i="22"/>
  <c r="F16" i="22" s="1"/>
  <c r="E15" i="22"/>
  <c r="F15" i="22" s="1"/>
  <c r="E14" i="22"/>
  <c r="F14" i="22" s="1"/>
  <c r="E13" i="22"/>
  <c r="F13" i="22" s="1"/>
  <c r="E12" i="22"/>
  <c r="F12" i="22" s="1"/>
  <c r="E11" i="22"/>
  <c r="E10" i="22"/>
  <c r="F10" i="22" s="1"/>
  <c r="E9" i="22"/>
  <c r="G7" i="4"/>
  <c r="H7" i="4" s="1"/>
  <c r="G6" i="4"/>
  <c r="H6" i="4" s="1"/>
  <c r="A4" i="37"/>
  <c r="N2" i="52"/>
  <c r="D15" i="16"/>
  <c r="D14" i="16"/>
  <c r="D13" i="16"/>
  <c r="D12" i="16"/>
  <c r="D11" i="16"/>
  <c r="D10" i="16"/>
  <c r="D9" i="16"/>
  <c r="D8" i="16"/>
  <c r="D7" i="16"/>
  <c r="D6" i="16"/>
  <c r="D5" i="16"/>
  <c r="D4" i="16"/>
  <c r="G17" i="13"/>
  <c r="G18" i="37" s="1"/>
  <c r="H18" i="37" s="1"/>
  <c r="C17" i="13"/>
  <c r="F15" i="13"/>
  <c r="F14" i="13"/>
  <c r="F13" i="13"/>
  <c r="F12" i="13"/>
  <c r="F11" i="13"/>
  <c r="F10" i="13"/>
  <c r="F9" i="13"/>
  <c r="F8" i="13"/>
  <c r="F7" i="13"/>
  <c r="F6" i="13"/>
  <c r="F5" i="13"/>
  <c r="C5" i="13"/>
  <c r="F4" i="13"/>
  <c r="E24" i="35"/>
  <c r="E21" i="35"/>
  <c r="E20" i="35"/>
  <c r="E19" i="35"/>
  <c r="E18" i="35"/>
  <c r="E17" i="35"/>
  <c r="E16" i="35"/>
  <c r="E15" i="35"/>
  <c r="E14" i="35"/>
  <c r="E13" i="35"/>
  <c r="E12" i="35"/>
  <c r="E11" i="35"/>
  <c r="E10" i="35"/>
  <c r="E9" i="35"/>
  <c r="E8" i="35"/>
  <c r="E7" i="35"/>
  <c r="E6" i="35"/>
  <c r="E5" i="35"/>
  <c r="E4" i="35"/>
  <c r="F13" i="18"/>
  <c r="E12" i="18"/>
  <c r="E11" i="18"/>
  <c r="E10" i="18"/>
  <c r="E9" i="18"/>
  <c r="E8" i="18"/>
  <c r="E7" i="18"/>
  <c r="E6" i="18"/>
  <c r="E5" i="18"/>
  <c r="E4" i="18"/>
  <c r="J10" i="3"/>
  <c r="F6" i="3"/>
  <c r="F5" i="3"/>
  <c r="F4" i="3"/>
  <c r="E4" i="3"/>
  <c r="B3" i="3"/>
  <c r="B4" i="3" s="1"/>
  <c r="G30" i="4"/>
  <c r="G29" i="4"/>
  <c r="G28" i="4"/>
  <c r="G23" i="4"/>
  <c r="H23" i="4" s="1"/>
  <c r="G22" i="4"/>
  <c r="H22" i="4" s="1"/>
  <c r="G21" i="4"/>
  <c r="H21" i="4" s="1"/>
  <c r="G20" i="4"/>
  <c r="H20" i="4" s="1"/>
  <c r="G19" i="4"/>
  <c r="H19" i="4" s="1"/>
  <c r="G14" i="4"/>
  <c r="H14" i="4" s="1"/>
  <c r="G13" i="4"/>
  <c r="H13" i="4" s="1"/>
  <c r="F12" i="4"/>
  <c r="G12" i="4" s="1"/>
  <c r="H12" i="4" s="1"/>
  <c r="D12" i="4"/>
  <c r="G11" i="4"/>
  <c r="H11" i="4" s="1"/>
  <c r="D11" i="4"/>
  <c r="G10" i="4"/>
  <c r="H10" i="4" s="1"/>
  <c r="G9" i="4"/>
  <c r="H9" i="4" s="1"/>
  <c r="F8" i="4"/>
  <c r="G8" i="4" s="1"/>
  <c r="H8" i="4" s="1"/>
  <c r="D8" i="4"/>
  <c r="G5" i="4"/>
  <c r="G4" i="4"/>
  <c r="H4" i="4" s="1"/>
  <c r="D4" i="4"/>
  <c r="H3" i="4"/>
  <c r="B3" i="4"/>
  <c r="B30" i="4" s="1"/>
  <c r="G42" i="6"/>
  <c r="F41" i="6"/>
  <c r="E41" i="6"/>
  <c r="F40" i="6"/>
  <c r="E40" i="6"/>
  <c r="F39" i="6"/>
  <c r="E39" i="6"/>
  <c r="F38" i="6"/>
  <c r="E38" i="6"/>
  <c r="F37" i="6"/>
  <c r="E37" i="6"/>
  <c r="F36" i="6"/>
  <c r="E36" i="6"/>
  <c r="F30" i="6"/>
  <c r="E30" i="6"/>
  <c r="E29" i="6"/>
  <c r="F28" i="6"/>
  <c r="E28" i="6"/>
  <c r="F27" i="6"/>
  <c r="E27" i="6"/>
  <c r="F26" i="6"/>
  <c r="E26" i="6"/>
  <c r="G23" i="6"/>
  <c r="F22" i="6"/>
  <c r="E22" i="6"/>
  <c r="F21" i="6"/>
  <c r="E21" i="6"/>
  <c r="F20" i="6"/>
  <c r="E20" i="6"/>
  <c r="F19" i="6"/>
  <c r="E19" i="6"/>
  <c r="F18" i="6"/>
  <c r="E18" i="6"/>
  <c r="F17" i="6"/>
  <c r="E17" i="6"/>
  <c r="F16" i="6"/>
  <c r="E16" i="6"/>
  <c r="F15" i="6"/>
  <c r="E15" i="6"/>
  <c r="F14" i="6"/>
  <c r="E14" i="6"/>
  <c r="F13" i="6"/>
  <c r="E13" i="6"/>
  <c r="F12" i="6"/>
  <c r="E12" i="6"/>
  <c r="F11" i="6"/>
  <c r="E11" i="6"/>
  <c r="F10" i="6"/>
  <c r="E10" i="6"/>
  <c r="F9" i="6"/>
  <c r="E9" i="6"/>
  <c r="F8" i="6"/>
  <c r="E8" i="6"/>
  <c r="F7" i="6"/>
  <c r="E7" i="6"/>
  <c r="F6" i="6"/>
  <c r="E6" i="6"/>
  <c r="F5" i="6"/>
  <c r="E5" i="6"/>
  <c r="F4" i="6"/>
  <c r="E4" i="6"/>
  <c r="F48" i="20"/>
  <c r="E25" i="20"/>
  <c r="E24" i="20"/>
  <c r="E23" i="20"/>
  <c r="E22" i="20"/>
  <c r="E21" i="20"/>
  <c r="E20" i="20"/>
  <c r="E19" i="20"/>
  <c r="E18" i="20"/>
  <c r="E17" i="20"/>
  <c r="E16" i="20"/>
  <c r="E15" i="20"/>
  <c r="E14" i="20"/>
  <c r="E13" i="20"/>
  <c r="E12" i="20"/>
  <c r="E11" i="20"/>
  <c r="E10" i="20"/>
  <c r="E9" i="20"/>
  <c r="E8" i="20"/>
  <c r="E7" i="20"/>
  <c r="E6" i="20"/>
  <c r="E5" i="20"/>
  <c r="E4" i="20"/>
  <c r="F21" i="22"/>
  <c r="E21" i="22"/>
  <c r="F20" i="22"/>
  <c r="F19" i="22"/>
  <c r="F18" i="22"/>
  <c r="F11" i="22"/>
  <c r="F8" i="22"/>
  <c r="F7" i="22"/>
  <c r="E7" i="22"/>
  <c r="F6" i="22"/>
  <c r="E6" i="22"/>
  <c r="F5" i="22"/>
  <c r="E5" i="22"/>
  <c r="F4" i="22"/>
  <c r="E4" i="22"/>
  <c r="F19" i="15"/>
  <c r="E19" i="15"/>
  <c r="F18" i="15"/>
  <c r="E18" i="15"/>
  <c r="E17" i="15"/>
  <c r="F17" i="15" s="1"/>
  <c r="E15" i="15"/>
  <c r="F15" i="15" s="1"/>
  <c r="E14" i="15"/>
  <c r="F14" i="15" s="1"/>
  <c r="E13" i="15"/>
  <c r="F13" i="15" s="1"/>
  <c r="F12" i="15"/>
  <c r="E12" i="15"/>
  <c r="E11" i="15"/>
  <c r="F11" i="15" s="1"/>
  <c r="F9" i="15"/>
  <c r="G8" i="15"/>
  <c r="F6" i="15"/>
  <c r="E6" i="15"/>
  <c r="F5" i="15"/>
  <c r="E5" i="15"/>
  <c r="F4" i="15"/>
  <c r="E4" i="15"/>
  <c r="F14" i="21"/>
  <c r="F13" i="21"/>
  <c r="F12" i="21"/>
  <c r="F11" i="21"/>
  <c r="F10" i="21"/>
  <c r="F9" i="21"/>
  <c r="E9" i="21"/>
  <c r="F8" i="21"/>
  <c r="F7" i="21"/>
  <c r="F6" i="21"/>
  <c r="E6" i="21"/>
  <c r="F5" i="21"/>
  <c r="F4" i="21"/>
  <c r="F3" i="21"/>
  <c r="E61" i="50"/>
  <c r="F60" i="50"/>
  <c r="E60" i="50"/>
  <c r="F59" i="50"/>
  <c r="E59" i="50"/>
  <c r="F58" i="50"/>
  <c r="E58" i="50"/>
  <c r="F57" i="50"/>
  <c r="E57" i="50"/>
  <c r="F56" i="50"/>
  <c r="E56" i="50"/>
  <c r="F55" i="50"/>
  <c r="E55" i="50"/>
  <c r="F54" i="50"/>
  <c r="E54" i="50"/>
  <c r="F53" i="50"/>
  <c r="E53" i="50"/>
  <c r="F52" i="50"/>
  <c r="E52" i="50"/>
  <c r="F51" i="50"/>
  <c r="E51" i="50"/>
  <c r="F50" i="50"/>
  <c r="E50" i="50"/>
  <c r="F49" i="50"/>
  <c r="E49" i="50"/>
  <c r="F48" i="50"/>
  <c r="E48" i="50"/>
  <c r="F47" i="50"/>
  <c r="E47" i="50"/>
  <c r="E46" i="50"/>
  <c r="F46" i="50" s="1"/>
  <c r="E45" i="50"/>
  <c r="F45" i="50" s="1"/>
  <c r="E44" i="50"/>
  <c r="F44" i="50" s="1"/>
  <c r="E43" i="50"/>
  <c r="F43" i="50" s="1"/>
  <c r="F42" i="50"/>
  <c r="E42" i="50"/>
  <c r="F41" i="50"/>
  <c r="E41" i="50"/>
  <c r="F40" i="50"/>
  <c r="E40" i="50"/>
  <c r="F39" i="50"/>
  <c r="E39" i="50"/>
  <c r="F38" i="50"/>
  <c r="E38" i="50"/>
  <c r="F37" i="50"/>
  <c r="E37" i="50"/>
  <c r="F36" i="50"/>
  <c r="E36" i="50"/>
  <c r="F35" i="50"/>
  <c r="E35" i="50"/>
  <c r="F34" i="50"/>
  <c r="E34" i="50"/>
  <c r="F33" i="50"/>
  <c r="E33" i="50"/>
  <c r="F32" i="50"/>
  <c r="E32" i="50"/>
  <c r="F31" i="50"/>
  <c r="E31" i="50"/>
  <c r="F30" i="50"/>
  <c r="E30" i="50"/>
  <c r="F29" i="50"/>
  <c r="E29" i="50"/>
  <c r="F28" i="50"/>
  <c r="E28" i="50"/>
  <c r="F27" i="50"/>
  <c r="E27" i="50"/>
  <c r="F26" i="50"/>
  <c r="E26" i="50"/>
  <c r="F25" i="50"/>
  <c r="E25" i="50"/>
  <c r="F24" i="50"/>
  <c r="E24" i="50"/>
  <c r="F23" i="50"/>
  <c r="E23" i="50"/>
  <c r="F22" i="50"/>
  <c r="E22" i="50"/>
  <c r="F21" i="50"/>
  <c r="E21" i="50"/>
  <c r="F20" i="50"/>
  <c r="E20" i="50"/>
  <c r="F19" i="50"/>
  <c r="E19" i="50"/>
  <c r="F18" i="50"/>
  <c r="E18" i="50"/>
  <c r="F17" i="50"/>
  <c r="E17" i="50"/>
  <c r="F16" i="50"/>
  <c r="E16" i="50"/>
  <c r="F15" i="50"/>
  <c r="E15" i="50"/>
  <c r="F14" i="50"/>
  <c r="E14" i="50"/>
  <c r="F13" i="50"/>
  <c r="E13" i="50"/>
  <c r="F12" i="50"/>
  <c r="E12" i="50"/>
  <c r="F11" i="50"/>
  <c r="E11" i="50"/>
  <c r="F10" i="50"/>
  <c r="E10" i="50"/>
  <c r="F9" i="50"/>
  <c r="E9" i="50"/>
  <c r="F8" i="50"/>
  <c r="E8" i="50"/>
  <c r="F7" i="50"/>
  <c r="E7" i="50"/>
  <c r="F6" i="50"/>
  <c r="E6" i="50"/>
  <c r="F5" i="50"/>
  <c r="E5" i="50"/>
  <c r="F4" i="50"/>
  <c r="E4" i="50"/>
  <c r="F3" i="50"/>
  <c r="E3" i="50"/>
  <c r="E11" i="9"/>
  <c r="D7" i="9"/>
  <c r="C6" i="9"/>
  <c r="E19" i="48"/>
  <c r="G9" i="37" s="1"/>
  <c r="H9" i="37" s="1"/>
  <c r="E28" i="37"/>
  <c r="N27" i="37"/>
  <c r="H27" i="37"/>
  <c r="B27" i="37"/>
  <c r="N26" i="37"/>
  <c r="H26" i="37"/>
  <c r="G26" i="37"/>
  <c r="B26" i="37"/>
  <c r="DU25" i="37"/>
  <c r="DT25" i="37"/>
  <c r="DS25" i="37"/>
  <c r="DR25" i="37"/>
  <c r="DQ25" i="37"/>
  <c r="DP25" i="37"/>
  <c r="DO25" i="37"/>
  <c r="DN25" i="37"/>
  <c r="DM25" i="37"/>
  <c r="DL25" i="37"/>
  <c r="DK25" i="37"/>
  <c r="DJ25" i="37"/>
  <c r="DI25" i="37"/>
  <c r="DH25" i="37"/>
  <c r="DG25" i="37"/>
  <c r="DF25" i="37"/>
  <c r="DE25" i="37"/>
  <c r="DD25" i="37"/>
  <c r="DC25" i="37"/>
  <c r="DB25" i="37"/>
  <c r="DA25" i="37"/>
  <c r="CZ25" i="37"/>
  <c r="CY25" i="37"/>
  <c r="CX25" i="37"/>
  <c r="CW25" i="37"/>
  <c r="CV25" i="37"/>
  <c r="CU25" i="37"/>
  <c r="CT25" i="37"/>
  <c r="CS25" i="37"/>
  <c r="CR25" i="37"/>
  <c r="CQ25" i="37"/>
  <c r="CP25" i="37"/>
  <c r="CO25" i="37"/>
  <c r="CN25" i="37"/>
  <c r="CM25" i="37"/>
  <c r="CL25" i="37"/>
  <c r="CK25" i="37"/>
  <c r="CJ25" i="37"/>
  <c r="CI25" i="37"/>
  <c r="CH25" i="37"/>
  <c r="CG25" i="37"/>
  <c r="CF25" i="37"/>
  <c r="CE25" i="37"/>
  <c r="CD25" i="37"/>
  <c r="CC25" i="37"/>
  <c r="CB25" i="37"/>
  <c r="CA25" i="37"/>
  <c r="BZ25" i="37"/>
  <c r="BY25" i="37"/>
  <c r="BX25" i="37"/>
  <c r="BW25" i="37"/>
  <c r="BV25" i="37"/>
  <c r="BU25" i="37"/>
  <c r="BT25" i="37"/>
  <c r="BS25" i="37"/>
  <c r="BR25" i="37"/>
  <c r="BQ25" i="37"/>
  <c r="BP25" i="37"/>
  <c r="BO25" i="37"/>
  <c r="BN25" i="37"/>
  <c r="BM25" i="37"/>
  <c r="BL25" i="37"/>
  <c r="BK25" i="37"/>
  <c r="BJ25" i="37"/>
  <c r="BI25" i="37"/>
  <c r="BH25" i="37"/>
  <c r="BG25" i="37"/>
  <c r="BF25" i="37"/>
  <c r="BE25" i="37"/>
  <c r="BD25" i="37"/>
  <c r="BC25" i="37"/>
  <c r="BB25" i="37"/>
  <c r="BA25" i="37"/>
  <c r="AZ25" i="37"/>
  <c r="AY25" i="37"/>
  <c r="AX25" i="37"/>
  <c r="AW25" i="37"/>
  <c r="AV25" i="37"/>
  <c r="AU25" i="37"/>
  <c r="AT25" i="37"/>
  <c r="AS25" i="37"/>
  <c r="AR25" i="37"/>
  <c r="AQ25" i="37"/>
  <c r="AP25" i="37"/>
  <c r="N25" i="37"/>
  <c r="H25" i="37"/>
  <c r="B25" i="37"/>
  <c r="DU24" i="37"/>
  <c r="DT24" i="37"/>
  <c r="DS24" i="37"/>
  <c r="DR24" i="37"/>
  <c r="DQ24" i="37"/>
  <c r="DP24" i="37"/>
  <c r="DO24" i="37"/>
  <c r="DN24" i="37"/>
  <c r="DM24" i="37"/>
  <c r="DL24" i="37"/>
  <c r="DK24" i="37"/>
  <c r="DJ24" i="37"/>
  <c r="DI24" i="37"/>
  <c r="DH24" i="37"/>
  <c r="DG24" i="37"/>
  <c r="DF24" i="37"/>
  <c r="DE24" i="37"/>
  <c r="DD24" i="37"/>
  <c r="DC24" i="37"/>
  <c r="DB24" i="37"/>
  <c r="DA24" i="37"/>
  <c r="CZ24" i="37"/>
  <c r="CY24" i="37"/>
  <c r="CX24" i="37"/>
  <c r="CW24" i="37"/>
  <c r="CV24" i="37"/>
  <c r="CU24" i="37"/>
  <c r="CT24" i="37"/>
  <c r="CS24" i="37"/>
  <c r="CR24" i="37"/>
  <c r="CQ24" i="37"/>
  <c r="CP24" i="37"/>
  <c r="CO24" i="37"/>
  <c r="CN24" i="37"/>
  <c r="CM24" i="37"/>
  <c r="CL24" i="37"/>
  <c r="CK24" i="37"/>
  <c r="CJ24" i="37"/>
  <c r="CI24" i="37"/>
  <c r="CH24" i="37"/>
  <c r="CG24" i="37"/>
  <c r="CF24" i="37"/>
  <c r="CE24" i="37"/>
  <c r="CD24" i="37"/>
  <c r="CC24" i="37"/>
  <c r="CB24" i="37"/>
  <c r="CA24" i="37"/>
  <c r="BZ24" i="37"/>
  <c r="BY24" i="37"/>
  <c r="BX24" i="37"/>
  <c r="BW24" i="37"/>
  <c r="BV24" i="37"/>
  <c r="BU24" i="37"/>
  <c r="BT24" i="37"/>
  <c r="BS24" i="37"/>
  <c r="BR24" i="37"/>
  <c r="BQ24" i="37"/>
  <c r="BP24" i="37"/>
  <c r="BO24" i="37"/>
  <c r="BN24" i="37"/>
  <c r="BM24" i="37"/>
  <c r="BL24" i="37"/>
  <c r="BK24" i="37"/>
  <c r="BJ24" i="37"/>
  <c r="BI24" i="37"/>
  <c r="BH24" i="37"/>
  <c r="BG24" i="37"/>
  <c r="BF24" i="37"/>
  <c r="BE24" i="37"/>
  <c r="BD24" i="37"/>
  <c r="BC24" i="37"/>
  <c r="BB24" i="37"/>
  <c r="BA24" i="37"/>
  <c r="AZ24" i="37"/>
  <c r="AY24" i="37"/>
  <c r="AX24" i="37"/>
  <c r="AW24" i="37"/>
  <c r="AV24" i="37"/>
  <c r="AU24" i="37"/>
  <c r="AT24" i="37"/>
  <c r="AS24" i="37"/>
  <c r="AR24" i="37"/>
  <c r="AQ24" i="37"/>
  <c r="AP24" i="37"/>
  <c r="N24" i="37"/>
  <c r="H24" i="37"/>
  <c r="B24" i="37"/>
  <c r="DU23" i="37"/>
  <c r="DT23" i="37"/>
  <c r="DS23" i="37"/>
  <c r="DR23" i="37"/>
  <c r="DQ23" i="37"/>
  <c r="DP23" i="37"/>
  <c r="DO23" i="37"/>
  <c r="DN23" i="37"/>
  <c r="DM23" i="37"/>
  <c r="DL23" i="37"/>
  <c r="DK23" i="37"/>
  <c r="DJ23" i="37"/>
  <c r="DI23" i="37"/>
  <c r="DH23" i="37"/>
  <c r="DG23" i="37"/>
  <c r="DF23" i="37"/>
  <c r="DE23" i="37"/>
  <c r="DD23" i="37"/>
  <c r="DC23" i="37"/>
  <c r="DB23" i="37"/>
  <c r="DA23" i="37"/>
  <c r="CZ23" i="37"/>
  <c r="CY23" i="37"/>
  <c r="CX23" i="37"/>
  <c r="CW23" i="37"/>
  <c r="CV23" i="37"/>
  <c r="CU23" i="37"/>
  <c r="CT23" i="37"/>
  <c r="CS23" i="37"/>
  <c r="CR23" i="37"/>
  <c r="CQ23" i="37"/>
  <c r="CP23" i="37"/>
  <c r="CO23" i="37"/>
  <c r="CN23" i="37"/>
  <c r="CM23" i="37"/>
  <c r="CL23" i="37"/>
  <c r="CK23" i="37"/>
  <c r="CJ23" i="37"/>
  <c r="CI23" i="37"/>
  <c r="CH23" i="37"/>
  <c r="CG23" i="37"/>
  <c r="CF23" i="37"/>
  <c r="CE23" i="37"/>
  <c r="CD23" i="37"/>
  <c r="CC23" i="37"/>
  <c r="CB23" i="37"/>
  <c r="CA23" i="37"/>
  <c r="BZ23" i="37"/>
  <c r="BY23" i="37"/>
  <c r="BX23" i="37"/>
  <c r="BW23" i="37"/>
  <c r="BV23" i="37"/>
  <c r="BU23" i="37"/>
  <c r="BT23" i="37"/>
  <c r="BS23" i="37"/>
  <c r="BR23" i="37"/>
  <c r="BQ23" i="37"/>
  <c r="BP23" i="37"/>
  <c r="BO23" i="37"/>
  <c r="BN23" i="37"/>
  <c r="BM23" i="37"/>
  <c r="BL23" i="37"/>
  <c r="BK23" i="37"/>
  <c r="BJ23" i="37"/>
  <c r="BI23" i="37"/>
  <c r="BH23" i="37"/>
  <c r="BG23" i="37"/>
  <c r="BF23" i="37"/>
  <c r="BE23" i="37"/>
  <c r="BD23" i="37"/>
  <c r="BC23" i="37"/>
  <c r="BB23" i="37"/>
  <c r="BA23" i="37"/>
  <c r="AZ23" i="37"/>
  <c r="AY23" i="37"/>
  <c r="AX23" i="37"/>
  <c r="AW23" i="37"/>
  <c r="AV23" i="37"/>
  <c r="AU23" i="37"/>
  <c r="AT23" i="37"/>
  <c r="AS23" i="37"/>
  <c r="AR23" i="37"/>
  <c r="AQ23" i="37"/>
  <c r="AP23" i="37"/>
  <c r="E23" i="37"/>
  <c r="DU22" i="37"/>
  <c r="DT22" i="37"/>
  <c r="DS22" i="37"/>
  <c r="DR22" i="37"/>
  <c r="DQ22" i="37"/>
  <c r="DP22" i="37"/>
  <c r="DO22" i="37"/>
  <c r="DN22" i="37"/>
  <c r="DM22" i="37"/>
  <c r="DL22" i="37"/>
  <c r="DK22" i="37"/>
  <c r="DJ22" i="37"/>
  <c r="DI22" i="37"/>
  <c r="DH22" i="37"/>
  <c r="DG22" i="37"/>
  <c r="DF22" i="37"/>
  <c r="DE22" i="37"/>
  <c r="DD22" i="37"/>
  <c r="DC22" i="37"/>
  <c r="DB22" i="37"/>
  <c r="DA22" i="37"/>
  <c r="CZ22" i="37"/>
  <c r="CY22" i="37"/>
  <c r="CX22" i="37"/>
  <c r="CW22" i="37"/>
  <c r="CV22" i="37"/>
  <c r="CU22" i="37"/>
  <c r="CT22" i="37"/>
  <c r="CS22" i="37"/>
  <c r="CR22" i="37"/>
  <c r="CQ22" i="37"/>
  <c r="CP22" i="37"/>
  <c r="CO22" i="37"/>
  <c r="CN22" i="37"/>
  <c r="CM22" i="37"/>
  <c r="CL22" i="37"/>
  <c r="CK22" i="37"/>
  <c r="CJ22" i="37"/>
  <c r="CI22" i="37"/>
  <c r="CH22" i="37"/>
  <c r="CG22" i="37"/>
  <c r="CF22" i="37"/>
  <c r="CE22" i="37"/>
  <c r="CD22" i="37"/>
  <c r="CC22" i="37"/>
  <c r="CB22" i="37"/>
  <c r="CA22" i="37"/>
  <c r="BZ22" i="37"/>
  <c r="BY22" i="37"/>
  <c r="BX22" i="37"/>
  <c r="BW22" i="37"/>
  <c r="BV22" i="37"/>
  <c r="BU22" i="37"/>
  <c r="BT22" i="37"/>
  <c r="BS22" i="37"/>
  <c r="BR22" i="37"/>
  <c r="BQ22" i="37"/>
  <c r="BP22" i="37"/>
  <c r="BO22" i="37"/>
  <c r="BN22" i="37"/>
  <c r="BM22" i="37"/>
  <c r="BL22" i="37"/>
  <c r="BK22" i="37"/>
  <c r="BJ22" i="37"/>
  <c r="BI22" i="37"/>
  <c r="BH22" i="37"/>
  <c r="BG22" i="37"/>
  <c r="BF22" i="37"/>
  <c r="BE22" i="37"/>
  <c r="BD22" i="37"/>
  <c r="BC22" i="37"/>
  <c r="BB22" i="37"/>
  <c r="BA22" i="37"/>
  <c r="AZ22" i="37"/>
  <c r="AY22" i="37"/>
  <c r="AX22" i="37"/>
  <c r="AW22" i="37"/>
  <c r="AV22" i="37"/>
  <c r="AU22" i="37"/>
  <c r="AT22" i="37"/>
  <c r="AS22" i="37"/>
  <c r="AR22" i="37"/>
  <c r="AQ22" i="37"/>
  <c r="AP22" i="37"/>
  <c r="N22" i="37"/>
  <c r="H22" i="37"/>
  <c r="G22" i="37"/>
  <c r="B22" i="37"/>
  <c r="A22" i="37"/>
  <c r="DU21" i="37"/>
  <c r="DT21" i="37"/>
  <c r="DS21" i="37"/>
  <c r="DR21" i="37"/>
  <c r="DQ21" i="37"/>
  <c r="DP21" i="37"/>
  <c r="DO21" i="37"/>
  <c r="DN21" i="37"/>
  <c r="DM21" i="37"/>
  <c r="DL21" i="37"/>
  <c r="DK21" i="37"/>
  <c r="DJ21" i="37"/>
  <c r="DI21" i="37"/>
  <c r="DH21" i="37"/>
  <c r="DG21" i="37"/>
  <c r="DF21" i="37"/>
  <c r="DE21" i="37"/>
  <c r="DD21" i="37"/>
  <c r="DC21" i="37"/>
  <c r="DB21" i="37"/>
  <c r="DA21" i="37"/>
  <c r="CZ21" i="37"/>
  <c r="CY21" i="37"/>
  <c r="CX21" i="37"/>
  <c r="CW21" i="37"/>
  <c r="CV21" i="37"/>
  <c r="CU21" i="37"/>
  <c r="CT21" i="37"/>
  <c r="CS21" i="37"/>
  <c r="CR21" i="37"/>
  <c r="CQ21" i="37"/>
  <c r="CP21" i="37"/>
  <c r="CO21" i="37"/>
  <c r="CN21" i="37"/>
  <c r="CM21" i="37"/>
  <c r="CL21" i="37"/>
  <c r="CK21" i="37"/>
  <c r="CJ21" i="37"/>
  <c r="CI21" i="37"/>
  <c r="CH21" i="37"/>
  <c r="CG21" i="37"/>
  <c r="CF21" i="37"/>
  <c r="CE21" i="37"/>
  <c r="CD21" i="37"/>
  <c r="CC21" i="37"/>
  <c r="CB21" i="37"/>
  <c r="CA21" i="37"/>
  <c r="BZ21" i="37"/>
  <c r="BY21" i="37"/>
  <c r="BX21" i="37"/>
  <c r="BW21" i="37"/>
  <c r="BV21" i="37"/>
  <c r="BU21" i="37"/>
  <c r="BT21" i="37"/>
  <c r="BS21" i="37"/>
  <c r="BR21" i="37"/>
  <c r="BQ21" i="37"/>
  <c r="BP21" i="37"/>
  <c r="BO21" i="37"/>
  <c r="BN21" i="37"/>
  <c r="BM21" i="37"/>
  <c r="BL21" i="37"/>
  <c r="BK21" i="37"/>
  <c r="BJ21" i="37"/>
  <c r="BI21" i="37"/>
  <c r="BH21" i="37"/>
  <c r="BG21" i="37"/>
  <c r="BF21" i="37"/>
  <c r="BE21" i="37"/>
  <c r="BD21" i="37"/>
  <c r="BC21" i="37"/>
  <c r="BB21" i="37"/>
  <c r="BA21" i="37"/>
  <c r="AZ21" i="37"/>
  <c r="AY21" i="37"/>
  <c r="AX21" i="37"/>
  <c r="AW21" i="37"/>
  <c r="AV21" i="37"/>
  <c r="AU21" i="37"/>
  <c r="AT21" i="37"/>
  <c r="AS21" i="37"/>
  <c r="AR21" i="37"/>
  <c r="AQ21" i="37"/>
  <c r="AP21" i="37"/>
  <c r="N21" i="37"/>
  <c r="H21" i="37"/>
  <c r="B21" i="37"/>
  <c r="A21" i="37"/>
  <c r="DU20" i="37"/>
  <c r="DT20" i="37"/>
  <c r="DS20" i="37"/>
  <c r="DR20" i="37"/>
  <c r="DQ20" i="37"/>
  <c r="DP20" i="37"/>
  <c r="DO20" i="37"/>
  <c r="DN20" i="37"/>
  <c r="DM20" i="37"/>
  <c r="DL20" i="37"/>
  <c r="DK20" i="37"/>
  <c r="DJ20" i="37"/>
  <c r="DI20" i="37"/>
  <c r="DH20" i="37"/>
  <c r="DG20" i="37"/>
  <c r="DF20" i="37"/>
  <c r="DE20" i="37"/>
  <c r="DD20" i="37"/>
  <c r="DC20" i="37"/>
  <c r="DB20" i="37"/>
  <c r="DA20" i="37"/>
  <c r="CZ20" i="37"/>
  <c r="CY20" i="37"/>
  <c r="CX20" i="37"/>
  <c r="CW20" i="37"/>
  <c r="CV20" i="37"/>
  <c r="CU20" i="37"/>
  <c r="CT20" i="37"/>
  <c r="CS20" i="37"/>
  <c r="CR20" i="37"/>
  <c r="CQ20" i="37"/>
  <c r="CP20" i="37"/>
  <c r="CO20" i="37"/>
  <c r="CN20" i="37"/>
  <c r="CM20" i="37"/>
  <c r="CL20" i="37"/>
  <c r="CK20" i="37"/>
  <c r="CJ20" i="37"/>
  <c r="CI20" i="37"/>
  <c r="CH20" i="37"/>
  <c r="CG20" i="37"/>
  <c r="CF20" i="37"/>
  <c r="CE20" i="37"/>
  <c r="CD20" i="37"/>
  <c r="CC20" i="37"/>
  <c r="CB20" i="37"/>
  <c r="CA20" i="37"/>
  <c r="BZ20" i="37"/>
  <c r="BY20" i="37"/>
  <c r="BX20" i="37"/>
  <c r="BW20" i="37"/>
  <c r="BV20" i="37"/>
  <c r="BU20" i="37"/>
  <c r="BT20" i="37"/>
  <c r="BS20" i="37"/>
  <c r="BR20" i="37"/>
  <c r="BQ20" i="37"/>
  <c r="BP20" i="37"/>
  <c r="BO20" i="37"/>
  <c r="BN20" i="37"/>
  <c r="BM20" i="37"/>
  <c r="BL20" i="37"/>
  <c r="BK20" i="37"/>
  <c r="BJ20" i="37"/>
  <c r="BI20" i="37"/>
  <c r="BH20" i="37"/>
  <c r="BG20" i="37"/>
  <c r="BF20" i="37"/>
  <c r="BE20" i="37"/>
  <c r="BD20" i="37"/>
  <c r="BC20" i="37"/>
  <c r="BB20" i="37"/>
  <c r="BA20" i="37"/>
  <c r="AZ20" i="37"/>
  <c r="AY20" i="37"/>
  <c r="AX20" i="37"/>
  <c r="AW20" i="37"/>
  <c r="AV20" i="37"/>
  <c r="AU20" i="37"/>
  <c r="AT20" i="37"/>
  <c r="AS20" i="37"/>
  <c r="AR20" i="37"/>
  <c r="AQ20" i="37"/>
  <c r="AP20" i="37"/>
  <c r="N20" i="37"/>
  <c r="H20" i="37"/>
  <c r="G20" i="37"/>
  <c r="B20" i="37"/>
  <c r="A20" i="37"/>
  <c r="DU19" i="37"/>
  <c r="DT19" i="37"/>
  <c r="DS19" i="37"/>
  <c r="DR19" i="37"/>
  <c r="DQ19" i="37"/>
  <c r="DP19" i="37"/>
  <c r="DO19" i="37"/>
  <c r="DN19" i="37"/>
  <c r="DM19" i="37"/>
  <c r="DL19" i="37"/>
  <c r="DK19" i="37"/>
  <c r="DJ19" i="37"/>
  <c r="DI19" i="37"/>
  <c r="DH19" i="37"/>
  <c r="DG19" i="37"/>
  <c r="DF19" i="37"/>
  <c r="DE19" i="37"/>
  <c r="DD19" i="37"/>
  <c r="DC19" i="37"/>
  <c r="DB19" i="37"/>
  <c r="DA19" i="37"/>
  <c r="CZ19" i="37"/>
  <c r="CY19" i="37"/>
  <c r="CX19" i="37"/>
  <c r="CW19" i="37"/>
  <c r="CV19" i="37"/>
  <c r="CU19" i="37"/>
  <c r="CT19" i="37"/>
  <c r="CS19" i="37"/>
  <c r="CR19" i="37"/>
  <c r="CQ19" i="37"/>
  <c r="CP19" i="37"/>
  <c r="CO19" i="37"/>
  <c r="CN19" i="37"/>
  <c r="CM19" i="37"/>
  <c r="CL19" i="37"/>
  <c r="CK19" i="37"/>
  <c r="CJ19" i="37"/>
  <c r="CI19" i="37"/>
  <c r="CH19" i="37"/>
  <c r="CG19" i="37"/>
  <c r="CF19" i="37"/>
  <c r="CE19" i="37"/>
  <c r="CD19" i="37"/>
  <c r="CC19" i="37"/>
  <c r="CB19" i="37"/>
  <c r="CA19" i="37"/>
  <c r="BZ19" i="37"/>
  <c r="BY19" i="37"/>
  <c r="BX19" i="37"/>
  <c r="BW19" i="37"/>
  <c r="BV19" i="37"/>
  <c r="BU19" i="37"/>
  <c r="BT19" i="37"/>
  <c r="BS19" i="37"/>
  <c r="BR19" i="37"/>
  <c r="BQ19" i="37"/>
  <c r="BP19" i="37"/>
  <c r="BO19" i="37"/>
  <c r="BN19" i="37"/>
  <c r="BM19" i="37"/>
  <c r="BL19" i="37"/>
  <c r="BK19" i="37"/>
  <c r="BJ19" i="37"/>
  <c r="BI19" i="37"/>
  <c r="BH19" i="37"/>
  <c r="BG19" i="37"/>
  <c r="BF19" i="37"/>
  <c r="BE19" i="37"/>
  <c r="BD19" i="37"/>
  <c r="BC19" i="37"/>
  <c r="BB19" i="37"/>
  <c r="BA19" i="37"/>
  <c r="AZ19" i="37"/>
  <c r="AY19" i="37"/>
  <c r="AX19" i="37"/>
  <c r="AW19" i="37"/>
  <c r="AV19" i="37"/>
  <c r="AU19" i="37"/>
  <c r="AT19" i="37"/>
  <c r="AS19" i="37"/>
  <c r="AR19" i="37"/>
  <c r="AQ19" i="37"/>
  <c r="AP19" i="37"/>
  <c r="N19" i="37"/>
  <c r="H19" i="37"/>
  <c r="G19" i="37"/>
  <c r="B19" i="37"/>
  <c r="A19" i="37"/>
  <c r="N18" i="37"/>
  <c r="B18" i="37"/>
  <c r="A18" i="37"/>
  <c r="B17" i="37"/>
  <c r="A17" i="37"/>
  <c r="DU16" i="37"/>
  <c r="DT16" i="37"/>
  <c r="DS16" i="37"/>
  <c r="DR16" i="37"/>
  <c r="DQ16" i="37"/>
  <c r="DP16" i="37"/>
  <c r="DO16" i="37"/>
  <c r="DN16" i="37"/>
  <c r="DM16" i="37"/>
  <c r="DL16" i="37"/>
  <c r="DK16" i="37"/>
  <c r="DJ16" i="37"/>
  <c r="DI16" i="37"/>
  <c r="DH16" i="37"/>
  <c r="DG16" i="37"/>
  <c r="DF16" i="37"/>
  <c r="DE16" i="37"/>
  <c r="DD16" i="37"/>
  <c r="DC16" i="37"/>
  <c r="DB16" i="37"/>
  <c r="DA16" i="37"/>
  <c r="CZ16" i="37"/>
  <c r="CY16" i="37"/>
  <c r="CX16" i="37"/>
  <c r="CW16" i="37"/>
  <c r="CV16" i="37"/>
  <c r="CU16" i="37"/>
  <c r="CT16" i="37"/>
  <c r="CS16" i="37"/>
  <c r="CR16" i="37"/>
  <c r="CQ16" i="37"/>
  <c r="CP16" i="37"/>
  <c r="CO16" i="37"/>
  <c r="CN16" i="37"/>
  <c r="CM16" i="37"/>
  <c r="CL16" i="37"/>
  <c r="CK16" i="37"/>
  <c r="CJ16" i="37"/>
  <c r="CI16" i="37"/>
  <c r="CH16" i="37"/>
  <c r="CG16" i="37"/>
  <c r="CF16" i="37"/>
  <c r="CE16" i="37"/>
  <c r="CD16" i="37"/>
  <c r="CC16" i="37"/>
  <c r="CB16" i="37"/>
  <c r="CA16" i="37"/>
  <c r="BZ16" i="37"/>
  <c r="BY16" i="37"/>
  <c r="BX16" i="37"/>
  <c r="BW16" i="37"/>
  <c r="BV16" i="37"/>
  <c r="BU16" i="37"/>
  <c r="BT16" i="37"/>
  <c r="BS16" i="37"/>
  <c r="BR16" i="37"/>
  <c r="BQ16" i="37"/>
  <c r="BP16" i="37"/>
  <c r="BO16" i="37"/>
  <c r="BN16" i="37"/>
  <c r="BM16" i="37"/>
  <c r="BL16" i="37"/>
  <c r="BK16" i="37"/>
  <c r="BJ16" i="37"/>
  <c r="BI16" i="37"/>
  <c r="BH16" i="37"/>
  <c r="BG16" i="37"/>
  <c r="BF16" i="37"/>
  <c r="BE16" i="37"/>
  <c r="BD16" i="37"/>
  <c r="BC16" i="37"/>
  <c r="BB16" i="37"/>
  <c r="BA16" i="37"/>
  <c r="AZ16" i="37"/>
  <c r="AY16" i="37"/>
  <c r="AX16" i="37"/>
  <c r="AW16" i="37"/>
  <c r="AV16" i="37"/>
  <c r="AU16" i="37"/>
  <c r="AT16" i="37"/>
  <c r="AS16" i="37"/>
  <c r="AR16" i="37"/>
  <c r="AQ16" i="37"/>
  <c r="AP16" i="37"/>
  <c r="B16" i="37"/>
  <c r="A16" i="37"/>
  <c r="DU15" i="37"/>
  <c r="DT15" i="37"/>
  <c r="DS15" i="37"/>
  <c r="DR15" i="37"/>
  <c r="DQ15" i="37"/>
  <c r="DP15" i="37"/>
  <c r="DO15" i="37"/>
  <c r="DN15" i="37"/>
  <c r="DM15" i="37"/>
  <c r="DL15" i="37"/>
  <c r="DK15" i="37"/>
  <c r="DJ15" i="37"/>
  <c r="DI15" i="37"/>
  <c r="DH15" i="37"/>
  <c r="DG15" i="37"/>
  <c r="DF15" i="37"/>
  <c r="DE15" i="37"/>
  <c r="DD15" i="37"/>
  <c r="DC15" i="37"/>
  <c r="DB15" i="37"/>
  <c r="DA15" i="37"/>
  <c r="CZ15" i="37"/>
  <c r="CY15" i="37"/>
  <c r="CX15" i="37"/>
  <c r="CW15" i="37"/>
  <c r="CV15" i="37"/>
  <c r="CU15" i="37"/>
  <c r="CT15" i="37"/>
  <c r="CS15" i="37"/>
  <c r="CR15" i="37"/>
  <c r="CQ15" i="37"/>
  <c r="CP15" i="37"/>
  <c r="CO15" i="37"/>
  <c r="CN15" i="37"/>
  <c r="CM15" i="37"/>
  <c r="CL15" i="37"/>
  <c r="CK15" i="37"/>
  <c r="CJ15" i="37"/>
  <c r="CI15" i="37"/>
  <c r="CH15" i="37"/>
  <c r="CG15" i="37"/>
  <c r="CF15" i="37"/>
  <c r="CE15" i="37"/>
  <c r="CD15" i="37"/>
  <c r="CC15" i="37"/>
  <c r="CB15" i="37"/>
  <c r="CA15" i="37"/>
  <c r="BZ15" i="37"/>
  <c r="BY15" i="37"/>
  <c r="BX15" i="37"/>
  <c r="BW15" i="37"/>
  <c r="BV15" i="37"/>
  <c r="BU15" i="37"/>
  <c r="BT15" i="37"/>
  <c r="BS15" i="37"/>
  <c r="BR15" i="37"/>
  <c r="BQ15" i="37"/>
  <c r="BP15" i="37"/>
  <c r="BO15" i="37"/>
  <c r="BN15" i="37"/>
  <c r="BM15" i="37"/>
  <c r="BL15" i="37"/>
  <c r="BK15" i="37"/>
  <c r="BJ15" i="37"/>
  <c r="BI15" i="37"/>
  <c r="BH15" i="37"/>
  <c r="BG15" i="37"/>
  <c r="BF15" i="37"/>
  <c r="BE15" i="37"/>
  <c r="BD15" i="37"/>
  <c r="BC15" i="37"/>
  <c r="BB15" i="37"/>
  <c r="BA15" i="37"/>
  <c r="AZ15" i="37"/>
  <c r="AY15" i="37"/>
  <c r="AX15" i="37"/>
  <c r="AW15" i="37"/>
  <c r="AV15" i="37"/>
  <c r="AU15" i="37"/>
  <c r="AT15" i="37"/>
  <c r="AS15" i="37"/>
  <c r="AR15" i="37"/>
  <c r="AQ15" i="37"/>
  <c r="AP15" i="37"/>
  <c r="N15" i="37"/>
  <c r="B15" i="37"/>
  <c r="A15" i="37"/>
  <c r="B14" i="37"/>
  <c r="A14" i="37"/>
  <c r="N13" i="37"/>
  <c r="B13" i="37"/>
  <c r="A13" i="37"/>
  <c r="N12" i="37"/>
  <c r="B12" i="37"/>
  <c r="A12" i="37"/>
  <c r="B11" i="37"/>
  <c r="A11" i="37"/>
  <c r="N10" i="37"/>
  <c r="B10" i="37"/>
  <c r="A10" i="37"/>
  <c r="N9" i="37"/>
  <c r="B9" i="37"/>
  <c r="A9" i="37"/>
  <c r="A8" i="37"/>
  <c r="AO7" i="37"/>
  <c r="E6" i="37"/>
  <c r="J4" i="37"/>
  <c r="H4" i="37"/>
  <c r="B4" i="37"/>
  <c r="O3" i="37"/>
  <c r="M3" i="37"/>
  <c r="J3" i="37"/>
  <c r="F2" i="37"/>
  <c r="P29" i="37" s="1"/>
  <c r="P39" i="37" s="1"/>
  <c r="C2" i="37"/>
  <c r="B2" i="36"/>
  <c r="E44" i="19"/>
  <c r="I54" i="19" s="1"/>
  <c r="I43" i="19"/>
  <c r="H43" i="19"/>
  <c r="G43" i="19"/>
  <c r="B1" i="19"/>
  <c r="E43" i="19" s="1"/>
  <c r="I74" i="33"/>
  <c r="A57" i="33"/>
  <c r="I61" i="33" s="1"/>
  <c r="I52" i="33"/>
  <c r="H41" i="33"/>
  <c r="C38" i="33"/>
  <c r="B37" i="33"/>
  <c r="H32" i="33"/>
  <c r="I31" i="33"/>
  <c r="H25" i="33"/>
  <c r="B24" i="33"/>
  <c r="F14" i="33" s="1"/>
  <c r="H19" i="33"/>
  <c r="I16" i="33"/>
  <c r="C14" i="33"/>
  <c r="I1" i="33"/>
  <c r="D83" i="1"/>
  <c r="D72" i="1"/>
  <c r="B38" i="1" s="1"/>
  <c r="D38" i="1" s="1"/>
  <c r="B39" i="1"/>
  <c r="F39" i="1" s="1"/>
  <c r="F37" i="1"/>
  <c r="F33" i="1"/>
  <c r="D32" i="1"/>
  <c r="K28" i="1"/>
  <c r="E45" i="19" s="1"/>
  <c r="I55" i="19" s="1"/>
  <c r="D19" i="1"/>
  <c r="D18" i="1"/>
  <c r="D16" i="1"/>
  <c r="F15" i="1"/>
  <c r="H14" i="1"/>
  <c r="F14" i="1"/>
  <c r="G12" i="1"/>
  <c r="D12" i="1"/>
  <c r="E9" i="1"/>
  <c r="I8" i="1"/>
  <c r="H7" i="1"/>
  <c r="F7" i="1"/>
  <c r="D7" i="1"/>
  <c r="B6" i="1"/>
  <c r="E30" i="1" s="1"/>
  <c r="G20" i="15" l="1"/>
  <c r="G10" i="37" s="1"/>
  <c r="H10" i="37" s="1"/>
  <c r="F28" i="35"/>
  <c r="G16" i="37" s="1"/>
  <c r="H16" i="37" s="1"/>
  <c r="N16" i="37" s="1"/>
  <c r="F34" i="20"/>
  <c r="G17" i="21"/>
  <c r="G8" i="37" s="1"/>
  <c r="H8" i="37" s="1"/>
  <c r="N8" i="37" s="1"/>
  <c r="F54" i="19"/>
  <c r="F55" i="19"/>
  <c r="C55" i="19"/>
  <c r="C54" i="19"/>
  <c r="H9" i="1"/>
  <c r="E49" i="19" s="1"/>
  <c r="G7" i="1"/>
  <c r="B5" i="3"/>
  <c r="G10" i="3"/>
  <c r="G15" i="37" s="1"/>
  <c r="H15" i="37" s="1"/>
  <c r="B6" i="3"/>
  <c r="T28" i="53"/>
  <c r="U27" i="53"/>
  <c r="I49" i="53"/>
  <c r="W13" i="53"/>
  <c r="X13" i="53" s="1"/>
  <c r="C37" i="33"/>
  <c r="D37" i="33" s="1"/>
  <c r="F24" i="33"/>
  <c r="I26" i="33" s="1"/>
  <c r="E14" i="53"/>
  <c r="F14" i="53" s="1"/>
  <c r="T14" i="53"/>
  <c r="K14" i="53"/>
  <c r="L14" i="53" s="1"/>
  <c r="N30" i="1"/>
  <c r="G6" i="1"/>
  <c r="D14" i="33"/>
  <c r="B14" i="33" s="1"/>
  <c r="I20" i="33" s="1"/>
  <c r="G17" i="37"/>
  <c r="H17" i="37" s="1"/>
  <c r="N17" i="37" s="1"/>
  <c r="F29" i="6"/>
  <c r="G32" i="6" s="1"/>
  <c r="H44" i="6" s="1"/>
  <c r="G13" i="37" s="1"/>
  <c r="H13" i="37" s="1"/>
  <c r="G53" i="20"/>
  <c r="F9" i="22"/>
  <c r="G22" i="22" s="1"/>
  <c r="G11" i="37" s="1"/>
  <c r="H11" i="37" s="1"/>
  <c r="N11" i="37" s="1"/>
  <c r="G62" i="50"/>
  <c r="B28" i="4"/>
  <c r="G16" i="4"/>
  <c r="H16" i="4" s="1"/>
  <c r="B29" i="4"/>
  <c r="B17" i="4"/>
  <c r="G24" i="4"/>
  <c r="H24" i="4" s="1"/>
  <c r="H5" i="4"/>
  <c r="C45" i="19"/>
  <c r="C44" i="19"/>
  <c r="P28" i="37"/>
  <c r="P58" i="37"/>
  <c r="P43" i="37"/>
  <c r="P45" i="37"/>
  <c r="P49" i="37"/>
  <c r="P51" i="37"/>
  <c r="P47" i="37"/>
  <c r="P52" i="37"/>
  <c r="P33" i="37"/>
  <c r="P54" i="37"/>
  <c r="P35" i="37"/>
  <c r="P57" i="37"/>
  <c r="Q29" i="37"/>
  <c r="P31" i="37"/>
  <c r="P84" i="37"/>
  <c r="P76" i="37"/>
  <c r="P74" i="37"/>
  <c r="P72" i="37"/>
  <c r="P77" i="37"/>
  <c r="P75" i="37"/>
  <c r="P71" i="37"/>
  <c r="P69" i="37"/>
  <c r="P67" i="37"/>
  <c r="P65" i="37"/>
  <c r="P63" i="37"/>
  <c r="P83" i="37"/>
  <c r="P73" i="37"/>
  <c r="P68" i="37"/>
  <c r="P81" i="37"/>
  <c r="P64" i="37"/>
  <c r="P82" i="37"/>
  <c r="P80" i="37"/>
  <c r="P70" i="37"/>
  <c r="P55" i="37"/>
  <c r="P53" i="37"/>
  <c r="P79" i="37"/>
  <c r="P50" i="37"/>
  <c r="P48" i="37"/>
  <c r="P46" i="37"/>
  <c r="P44" i="37"/>
  <c r="P42" i="37"/>
  <c r="P40" i="37"/>
  <c r="P38" i="37"/>
  <c r="P36" i="37"/>
  <c r="P34" i="37"/>
  <c r="P32" i="37"/>
  <c r="P30" i="37"/>
  <c r="P78" i="37"/>
  <c r="P61" i="37"/>
  <c r="P62" i="37"/>
  <c r="P66" i="37"/>
  <c r="P60" i="37"/>
  <c r="P59" i="37"/>
  <c r="P56" i="37"/>
  <c r="P37" i="37"/>
  <c r="P41" i="37"/>
  <c r="F53" i="19" l="1"/>
  <c r="C49" i="19"/>
  <c r="F9" i="1"/>
  <c r="F35" i="1" s="1"/>
  <c r="B22" i="1"/>
  <c r="H22" i="1" s="1"/>
  <c r="F37" i="33"/>
  <c r="I33" i="33" s="1"/>
  <c r="T29" i="53"/>
  <c r="U28" i="53"/>
  <c r="W14" i="53"/>
  <c r="X14" i="53" s="1"/>
  <c r="E15" i="53"/>
  <c r="E16" i="53" s="1"/>
  <c r="E17" i="53" s="1"/>
  <c r="E18" i="53" s="1"/>
  <c r="E19" i="53" s="1"/>
  <c r="E20" i="53" s="1"/>
  <c r="E21" i="53" s="1"/>
  <c r="E22" i="53" s="1"/>
  <c r="E23" i="53" s="1"/>
  <c r="E24" i="53" s="1"/>
  <c r="E25" i="53" s="1"/>
  <c r="E26" i="53" s="1"/>
  <c r="E27" i="53" s="1"/>
  <c r="E28" i="53" s="1"/>
  <c r="E29" i="53" s="1"/>
  <c r="E30" i="53" s="1"/>
  <c r="T15" i="53"/>
  <c r="K15" i="53"/>
  <c r="L15" i="53" s="1"/>
  <c r="G12" i="37"/>
  <c r="H12" i="37" s="1"/>
  <c r="I26" i="4"/>
  <c r="I31" i="4" s="1"/>
  <c r="G14" i="37" s="1"/>
  <c r="H14" i="37" s="1"/>
  <c r="N14" i="37" s="1"/>
  <c r="M2" i="37" s="1"/>
  <c r="M5" i="37" s="1"/>
  <c r="P91" i="37"/>
  <c r="P96" i="37"/>
  <c r="P93" i="37"/>
  <c r="P88" i="37"/>
  <c r="Q84" i="37"/>
  <c r="Q80" i="37"/>
  <c r="Q78" i="37"/>
  <c r="P89" i="37"/>
  <c r="P95" i="37"/>
  <c r="P94" i="37"/>
  <c r="P90" i="37"/>
  <c r="P85" i="37"/>
  <c r="Q82" i="37"/>
  <c r="Q81" i="37"/>
  <c r="Q79" i="37"/>
  <c r="Q70" i="37"/>
  <c r="Q68" i="37"/>
  <c r="Q66" i="37"/>
  <c r="P92" i="37"/>
  <c r="P86" i="37"/>
  <c r="Q76" i="37"/>
  <c r="Q69" i="37"/>
  <c r="Q77" i="37"/>
  <c r="Q71" i="37"/>
  <c r="Q64" i="37"/>
  <c r="Q73" i="37"/>
  <c r="Q72" i="37"/>
  <c r="Q60" i="37"/>
  <c r="Q58" i="37"/>
  <c r="Q62" i="37"/>
  <c r="Q55" i="37"/>
  <c r="P87" i="37"/>
  <c r="Q75" i="37"/>
  <c r="Q63" i="37"/>
  <c r="Q67" i="37"/>
  <c r="Q61" i="37"/>
  <c r="Q65" i="37"/>
  <c r="Q59" i="37"/>
  <c r="Q56" i="37"/>
  <c r="Q57" i="37"/>
  <c r="Q51" i="37"/>
  <c r="Q50" i="37"/>
  <c r="Q39" i="37"/>
  <c r="Q31" i="37"/>
  <c r="R29" i="37"/>
  <c r="R28" i="37" s="1"/>
  <c r="Q46" i="37"/>
  <c r="Q30" i="37"/>
  <c r="Q74" i="37"/>
  <c r="Q53" i="37"/>
  <c r="Q48" i="37"/>
  <c r="Q83" i="37"/>
  <c r="Q42" i="37"/>
  <c r="Q37" i="37"/>
  <c r="Q36" i="37"/>
  <c r="Q28" i="37"/>
  <c r="Q54" i="37"/>
  <c r="Q52" i="37"/>
  <c r="Q44" i="37"/>
  <c r="Q35" i="37"/>
  <c r="Q49" i="37"/>
  <c r="Q41" i="37"/>
  <c r="Q40" i="37"/>
  <c r="Q38" i="37"/>
  <c r="Q45" i="37"/>
  <c r="Q32" i="37"/>
  <c r="Q33" i="37"/>
  <c r="Q43" i="37"/>
  <c r="Q47" i="37"/>
  <c r="Q34" i="37"/>
  <c r="F34" i="1" l="1"/>
  <c r="F40" i="1" s="1"/>
  <c r="T30" i="53"/>
  <c r="U29" i="53"/>
  <c r="W15" i="53"/>
  <c r="X15" i="53" s="1"/>
  <c r="F15" i="53"/>
  <c r="F17" i="53" s="1"/>
  <c r="F18" i="53" s="1"/>
  <c r="F19" i="53" s="1"/>
  <c r="F20" i="53" s="1"/>
  <c r="F21" i="53" s="1"/>
  <c r="F22" i="53" s="1"/>
  <c r="F23" i="53" s="1"/>
  <c r="F24" i="53" s="1"/>
  <c r="F25" i="53" s="1"/>
  <c r="F26" i="53" s="1"/>
  <c r="F27" i="53" s="1"/>
  <c r="F28" i="53" s="1"/>
  <c r="F29" i="53" s="1"/>
  <c r="F30" i="53" s="1"/>
  <c r="F31" i="53" s="1"/>
  <c r="F32" i="53" s="1"/>
  <c r="F33" i="53" s="1"/>
  <c r="F34" i="53" s="1"/>
  <c r="F49" i="53" s="1"/>
  <c r="T16" i="53"/>
  <c r="K16" i="53"/>
  <c r="K17" i="53" s="1"/>
  <c r="K18" i="53" s="1"/>
  <c r="K19" i="53" s="1"/>
  <c r="K20" i="53" s="1"/>
  <c r="K21" i="53" s="1"/>
  <c r="K22" i="53" s="1"/>
  <c r="K23" i="53" s="1"/>
  <c r="K24" i="53" s="1"/>
  <c r="K25" i="53" s="1"/>
  <c r="K26" i="53" s="1"/>
  <c r="K27" i="53" s="1"/>
  <c r="K28" i="53" s="1"/>
  <c r="K29" i="53" s="1"/>
  <c r="K30" i="53" s="1"/>
  <c r="K31" i="53" s="1"/>
  <c r="K32" i="53" s="1"/>
  <c r="K33" i="53" s="1"/>
  <c r="K34" i="53" s="1"/>
  <c r="K35" i="53" s="1"/>
  <c r="K36" i="53" s="1"/>
  <c r="K37" i="53" s="1"/>
  <c r="K38" i="53" s="1"/>
  <c r="K39" i="53" s="1"/>
  <c r="K40" i="53" s="1"/>
  <c r="K41" i="53" s="1"/>
  <c r="K42" i="53" s="1"/>
  <c r="J2" i="37"/>
  <c r="J5" i="37" s="1"/>
  <c r="B49" i="1" s="1"/>
  <c r="D49" i="1" s="1"/>
  <c r="O2" i="37"/>
  <c r="O5" i="37" s="1"/>
  <c r="Q96" i="37"/>
  <c r="Q93" i="37"/>
  <c r="Q95" i="37"/>
  <c r="Q90" i="37"/>
  <c r="Q92" i="37"/>
  <c r="Q86" i="37"/>
  <c r="R81" i="37"/>
  <c r="Q87" i="37"/>
  <c r="R80" i="37"/>
  <c r="R74" i="37"/>
  <c r="Q94" i="37"/>
  <c r="Q85" i="37"/>
  <c r="R72" i="37"/>
  <c r="Q89" i="37"/>
  <c r="R69" i="37"/>
  <c r="R70" i="37"/>
  <c r="Q91" i="37"/>
  <c r="R77" i="37"/>
  <c r="R73" i="37"/>
  <c r="R60" i="37"/>
  <c r="R63" i="37"/>
  <c r="Q88" i="37"/>
  <c r="R75" i="37"/>
  <c r="R67" i="37"/>
  <c r="R61" i="37"/>
  <c r="R71" i="37"/>
  <c r="R59" i="37"/>
  <c r="R78" i="37"/>
  <c r="R76" i="37"/>
  <c r="R65" i="37"/>
  <c r="R55" i="37"/>
  <c r="R62" i="37"/>
  <c r="R56" i="37"/>
  <c r="R68" i="37"/>
  <c r="R66" i="37"/>
  <c r="R57" i="37"/>
  <c r="R51" i="37"/>
  <c r="R49" i="37"/>
  <c r="R47" i="37"/>
  <c r="R45" i="37"/>
  <c r="R43" i="37"/>
  <c r="R41" i="37"/>
  <c r="R39" i="37"/>
  <c r="R37" i="37"/>
  <c r="R35" i="37"/>
  <c r="R54" i="37"/>
  <c r="R52" i="37"/>
  <c r="R53" i="37"/>
  <c r="R48" i="37"/>
  <c r="R44" i="37"/>
  <c r="R83" i="37"/>
  <c r="R46" i="37"/>
  <c r="R30" i="37"/>
  <c r="R64" i="37"/>
  <c r="R32" i="37"/>
  <c r="R84" i="37"/>
  <c r="R42" i="37"/>
  <c r="R82" i="37"/>
  <c r="R79" i="37"/>
  <c r="R40" i="37"/>
  <c r="S29" i="37"/>
  <c r="S28" i="37" s="1"/>
  <c r="R50" i="37"/>
  <c r="R31" i="37"/>
  <c r="R34" i="37"/>
  <c r="R33" i="37"/>
  <c r="R36" i="37"/>
  <c r="R58" i="37"/>
  <c r="R38" i="37"/>
  <c r="K43" i="53" l="1"/>
  <c r="L42" i="53"/>
  <c r="L16" i="53"/>
  <c r="L17" i="53" s="1"/>
  <c r="U30" i="53"/>
  <c r="B21" i="1"/>
  <c r="W16" i="53"/>
  <c r="B51" i="1"/>
  <c r="D51" i="1" s="1"/>
  <c r="D52" i="1" s="1"/>
  <c r="B31" i="1" s="1"/>
  <c r="M34" i="1" s="1"/>
  <c r="R93" i="37"/>
  <c r="R90" i="37"/>
  <c r="R95" i="37"/>
  <c r="R94" i="37"/>
  <c r="R91" i="37"/>
  <c r="R88" i="37"/>
  <c r="R87" i="37"/>
  <c r="S81" i="37"/>
  <c r="R96" i="37"/>
  <c r="R89" i="37"/>
  <c r="R85" i="37"/>
  <c r="S84" i="37"/>
  <c r="S80" i="37"/>
  <c r="S83" i="37"/>
  <c r="S73" i="37"/>
  <c r="R92" i="37"/>
  <c r="R86" i="37"/>
  <c r="S70" i="37"/>
  <c r="S77" i="37"/>
  <c r="S71" i="37"/>
  <c r="S72" i="37"/>
  <c r="S63" i="37"/>
  <c r="S82" i="37"/>
  <c r="S76" i="37"/>
  <c r="S62" i="37"/>
  <c r="S79" i="37"/>
  <c r="S78" i="37"/>
  <c r="S75" i="37"/>
  <c r="S65" i="37"/>
  <c r="S61" i="37"/>
  <c r="S59" i="37"/>
  <c r="S57" i="37"/>
  <c r="S67" i="37"/>
  <c r="S68" i="37"/>
  <c r="S66" i="37"/>
  <c r="S64" i="37"/>
  <c r="S54" i="37"/>
  <c r="S52" i="37"/>
  <c r="S69" i="37"/>
  <c r="S56" i="37"/>
  <c r="S51" i="37"/>
  <c r="S49" i="37"/>
  <c r="S47" i="37"/>
  <c r="S45" i="37"/>
  <c r="S43" i="37"/>
  <c r="S41" i="37"/>
  <c r="S39" i="37"/>
  <c r="S60" i="37"/>
  <c r="S53" i="37"/>
  <c r="S74" i="37"/>
  <c r="S46" i="37"/>
  <c r="S30" i="37"/>
  <c r="S42" i="37"/>
  <c r="S44" i="37"/>
  <c r="S40" i="37"/>
  <c r="T29" i="37"/>
  <c r="S33" i="37"/>
  <c r="S37" i="37"/>
  <c r="S50" i="37"/>
  <c r="S31" i="37"/>
  <c r="S58" i="37"/>
  <c r="S38" i="37"/>
  <c r="S35" i="37"/>
  <c r="S36" i="37"/>
  <c r="S48" i="37"/>
  <c r="S32" i="37"/>
  <c r="S34" i="37"/>
  <c r="S55" i="37"/>
  <c r="K44" i="53" l="1"/>
  <c r="L43" i="53"/>
  <c r="H21" i="1"/>
  <c r="W17" i="53"/>
  <c r="X16" i="53"/>
  <c r="U31" i="53"/>
  <c r="U32" i="53" s="1"/>
  <c r="U33" i="53" s="1"/>
  <c r="U34" i="53" s="1"/>
  <c r="U35" i="53" s="1"/>
  <c r="U36" i="53" s="1"/>
  <c r="U37" i="53" s="1"/>
  <c r="U38" i="53" s="1"/>
  <c r="U39" i="53" s="1"/>
  <c r="U40" i="53" s="1"/>
  <c r="U41" i="53" s="1"/>
  <c r="U42" i="53" s="1"/>
  <c r="U43" i="53" s="1"/>
  <c r="U44" i="53" s="1"/>
  <c r="U45" i="53" s="1"/>
  <c r="U46" i="53" s="1"/>
  <c r="E46" i="19"/>
  <c r="I56" i="19" s="1"/>
  <c r="D31" i="1"/>
  <c r="K30" i="1"/>
  <c r="S90" i="37"/>
  <c r="S95" i="37"/>
  <c r="S92" i="37"/>
  <c r="S87" i="37"/>
  <c r="S96" i="37"/>
  <c r="S94" i="37"/>
  <c r="S89" i="37"/>
  <c r="S86" i="37"/>
  <c r="S85" i="37"/>
  <c r="S91" i="37"/>
  <c r="T83" i="37"/>
  <c r="T82" i="37"/>
  <c r="T79" i="37"/>
  <c r="T75" i="37"/>
  <c r="T73" i="37"/>
  <c r="T70" i="37"/>
  <c r="T68" i="37"/>
  <c r="T66" i="37"/>
  <c r="T64" i="37"/>
  <c r="T62" i="37"/>
  <c r="T76" i="37"/>
  <c r="T84" i="37"/>
  <c r="T78" i="37"/>
  <c r="T81" i="37"/>
  <c r="T77" i="37"/>
  <c r="T71" i="37"/>
  <c r="S93" i="37"/>
  <c r="S88" i="37"/>
  <c r="T63" i="37"/>
  <c r="T61" i="37"/>
  <c r="T59" i="37"/>
  <c r="T54" i="37"/>
  <c r="T58" i="37"/>
  <c r="T57" i="37"/>
  <c r="T72" i="37"/>
  <c r="T51" i="37"/>
  <c r="T49" i="37"/>
  <c r="T47" i="37"/>
  <c r="T45" i="37"/>
  <c r="T43" i="37"/>
  <c r="T41" i="37"/>
  <c r="T39" i="37"/>
  <c r="T37" i="37"/>
  <c r="T35" i="37"/>
  <c r="T33" i="37"/>
  <c r="T31" i="37"/>
  <c r="T60" i="37"/>
  <c r="T53" i="37"/>
  <c r="T52" i="37"/>
  <c r="T74" i="37"/>
  <c r="T44" i="37"/>
  <c r="T55" i="37"/>
  <c r="T42" i="37"/>
  <c r="T40" i="37"/>
  <c r="T34" i="37"/>
  <c r="T80" i="37"/>
  <c r="T50" i="37"/>
  <c r="T36" i="37"/>
  <c r="T38" i="37"/>
  <c r="T67" i="37"/>
  <c r="T48" i="37"/>
  <c r="T32" i="37"/>
  <c r="T69" i="37"/>
  <c r="T56" i="37"/>
  <c r="U29" i="37"/>
  <c r="U28" i="37" s="1"/>
  <c r="T46" i="37"/>
  <c r="T65" i="37"/>
  <c r="T30" i="37"/>
  <c r="T28" i="37"/>
  <c r="K45" i="53" l="1"/>
  <c r="L44" i="53"/>
  <c r="W18" i="53"/>
  <c r="X17" i="53"/>
  <c r="U49" i="53"/>
  <c r="E25" i="33"/>
  <c r="E15" i="33"/>
  <c r="E39" i="33"/>
  <c r="E52" i="33"/>
  <c r="T95" i="37"/>
  <c r="T92" i="37"/>
  <c r="T96" i="37"/>
  <c r="T94" i="37"/>
  <c r="U82" i="37"/>
  <c r="U79" i="37"/>
  <c r="U77" i="37"/>
  <c r="T91" i="37"/>
  <c r="T93" i="37"/>
  <c r="T87" i="37"/>
  <c r="U84" i="37"/>
  <c r="T88" i="37"/>
  <c r="U72" i="37"/>
  <c r="T89" i="37"/>
  <c r="U78" i="37"/>
  <c r="U71" i="37"/>
  <c r="U69" i="37"/>
  <c r="U67" i="37"/>
  <c r="U65" i="37"/>
  <c r="T90" i="37"/>
  <c r="U83" i="37"/>
  <c r="U80" i="37"/>
  <c r="U81" i="37"/>
  <c r="U76" i="37"/>
  <c r="U62" i="37"/>
  <c r="U61" i="37"/>
  <c r="U59" i="37"/>
  <c r="T86" i="37"/>
  <c r="T85" i="37"/>
  <c r="U66" i="37"/>
  <c r="U54" i="37"/>
  <c r="U68" i="37"/>
  <c r="U64" i="37"/>
  <c r="U58" i="37"/>
  <c r="U57" i="37"/>
  <c r="U56" i="37"/>
  <c r="U73" i="37"/>
  <c r="U60" i="37"/>
  <c r="U53" i="37"/>
  <c r="U52" i="37"/>
  <c r="U74" i="37"/>
  <c r="U42" i="37"/>
  <c r="U38" i="37"/>
  <c r="U33" i="37"/>
  <c r="U55" i="37"/>
  <c r="U40" i="37"/>
  <c r="U34" i="37"/>
  <c r="U75" i="37"/>
  <c r="U70" i="37"/>
  <c r="U49" i="37"/>
  <c r="U41" i="37"/>
  <c r="U31" i="37"/>
  <c r="U51" i="37"/>
  <c r="U44" i="37"/>
  <c r="U63" i="37"/>
  <c r="U48" i="37"/>
  <c r="U32" i="37"/>
  <c r="U47" i="37"/>
  <c r="U39" i="37"/>
  <c r="U35" i="37"/>
  <c r="U43" i="37"/>
  <c r="U37" i="37"/>
  <c r="U30" i="37"/>
  <c r="V29" i="37"/>
  <c r="V28" i="37" s="1"/>
  <c r="U46" i="37"/>
  <c r="U45" i="37"/>
  <c r="U36" i="37"/>
  <c r="U50" i="37"/>
  <c r="K46" i="53" l="1"/>
  <c r="L45" i="53"/>
  <c r="B25" i="1"/>
  <c r="H25" i="1" s="1"/>
  <c r="X18" i="53"/>
  <c r="W19" i="53"/>
  <c r="U92" i="37"/>
  <c r="U89" i="37"/>
  <c r="U94" i="37"/>
  <c r="U93" i="37"/>
  <c r="U90" i="37"/>
  <c r="U86" i="37"/>
  <c r="V84" i="37"/>
  <c r="U88" i="37"/>
  <c r="V83" i="37"/>
  <c r="U85" i="37"/>
  <c r="V80" i="37"/>
  <c r="U91" i="37"/>
  <c r="V78" i="37"/>
  <c r="U95" i="37"/>
  <c r="V77" i="37"/>
  <c r="V75" i="37"/>
  <c r="U96" i="37"/>
  <c r="V72" i="37"/>
  <c r="V74" i="37"/>
  <c r="V73" i="37"/>
  <c r="V82" i="37"/>
  <c r="V61" i="37"/>
  <c r="V59" i="37"/>
  <c r="V65" i="37"/>
  <c r="V68" i="37"/>
  <c r="V67" i="37"/>
  <c r="U87" i="37"/>
  <c r="V64" i="37"/>
  <c r="V58" i="37"/>
  <c r="V57" i="37"/>
  <c r="V71" i="37"/>
  <c r="V66" i="37"/>
  <c r="V56" i="37"/>
  <c r="V81" i="37"/>
  <c r="V76" i="37"/>
  <c r="V62" i="37"/>
  <c r="V53" i="37"/>
  <c r="V52" i="37"/>
  <c r="V54" i="37"/>
  <c r="V50" i="37"/>
  <c r="V48" i="37"/>
  <c r="V46" i="37"/>
  <c r="V44" i="37"/>
  <c r="V42" i="37"/>
  <c r="V40" i="37"/>
  <c r="V38" i="37"/>
  <c r="V36" i="37"/>
  <c r="V34" i="37"/>
  <c r="V63" i="37"/>
  <c r="V55" i="37"/>
  <c r="V79" i="37"/>
  <c r="V51" i="37"/>
  <c r="V70" i="37"/>
  <c r="V49" i="37"/>
  <c r="V33" i="37"/>
  <c r="V69" i="37"/>
  <c r="V47" i="37"/>
  <c r="V35" i="37"/>
  <c r="V32" i="37"/>
  <c r="V39" i="37"/>
  <c r="V60" i="37"/>
  <c r="V41" i="37"/>
  <c r="V31" i="37"/>
  <c r="V45" i="37"/>
  <c r="V43" i="37"/>
  <c r="V37" i="37"/>
  <c r="V30" i="37"/>
  <c r="W29" i="37"/>
  <c r="W28" i="37" s="1"/>
  <c r="K47" i="53" l="1"/>
  <c r="L47" i="53" s="1"/>
  <c r="L46" i="53"/>
  <c r="W20" i="53"/>
  <c r="X19" i="53"/>
  <c r="V94" i="37"/>
  <c r="V86" i="37"/>
  <c r="V90" i="37"/>
  <c r="W83" i="37"/>
  <c r="V95" i="37"/>
  <c r="V93" i="37"/>
  <c r="V96" i="37"/>
  <c r="V88" i="37"/>
  <c r="W76" i="37"/>
  <c r="W84" i="37"/>
  <c r="W74" i="37"/>
  <c r="W82" i="37"/>
  <c r="W81" i="37"/>
  <c r="W79" i="37"/>
  <c r="V89" i="37"/>
  <c r="W72" i="37"/>
  <c r="W65" i="37"/>
  <c r="V91" i="37"/>
  <c r="W80" i="37"/>
  <c r="W73" i="37"/>
  <c r="V92" i="37"/>
  <c r="W75" i="37"/>
  <c r="W66" i="37"/>
  <c r="W69" i="37"/>
  <c r="W64" i="37"/>
  <c r="W60" i="37"/>
  <c r="W58" i="37"/>
  <c r="W56" i="37"/>
  <c r="W71" i="37"/>
  <c r="W68" i="37"/>
  <c r="W59" i="37"/>
  <c r="V85" i="37"/>
  <c r="W55" i="37"/>
  <c r="W53" i="37"/>
  <c r="W61" i="37"/>
  <c r="W57" i="37"/>
  <c r="W54" i="37"/>
  <c r="W50" i="37"/>
  <c r="W48" i="37"/>
  <c r="W46" i="37"/>
  <c r="W44" i="37"/>
  <c r="W42" i="37"/>
  <c r="W40" i="37"/>
  <c r="W38" i="37"/>
  <c r="W63" i="37"/>
  <c r="W70" i="37"/>
  <c r="W49" i="37"/>
  <c r="W34" i="37"/>
  <c r="W33" i="37"/>
  <c r="W51" i="37"/>
  <c r="W47" i="37"/>
  <c r="W35" i="37"/>
  <c r="W32" i="37"/>
  <c r="W45" i="37"/>
  <c r="W36" i="37"/>
  <c r="X29" i="37"/>
  <c r="W62" i="37"/>
  <c r="W39" i="37"/>
  <c r="W37" i="37"/>
  <c r="W77" i="37"/>
  <c r="W67" i="37"/>
  <c r="W52" i="37"/>
  <c r="W43" i="37"/>
  <c r="W78" i="37"/>
  <c r="W30" i="37"/>
  <c r="W41" i="37"/>
  <c r="W31" i="37"/>
  <c r="V87" i="37"/>
  <c r="L49" i="53" l="1"/>
  <c r="B23" i="1" s="1"/>
  <c r="H23" i="1" s="1"/>
  <c r="X20" i="53"/>
  <c r="W21" i="53"/>
  <c r="W94" i="37"/>
  <c r="W91" i="37"/>
  <c r="W96" i="37"/>
  <c r="W95" i="37"/>
  <c r="W93" i="37"/>
  <c r="W92" i="37"/>
  <c r="W88" i="37"/>
  <c r="W87" i="37"/>
  <c r="X82" i="37"/>
  <c r="X79" i="37"/>
  <c r="W89" i="37"/>
  <c r="W86" i="37"/>
  <c r="X81" i="37"/>
  <c r="X77" i="37"/>
  <c r="X76" i="37"/>
  <c r="X74" i="37"/>
  <c r="X72" i="37"/>
  <c r="W90" i="37"/>
  <c r="W85" i="37"/>
  <c r="X71" i="37"/>
  <c r="X69" i="37"/>
  <c r="X67" i="37"/>
  <c r="X65" i="37"/>
  <c r="X63" i="37"/>
  <c r="X80" i="37"/>
  <c r="X73" i="37"/>
  <c r="X66" i="37"/>
  <c r="X83" i="37"/>
  <c r="X78" i="37"/>
  <c r="X75" i="37"/>
  <c r="X68" i="37"/>
  <c r="X84" i="37"/>
  <c r="X70" i="37"/>
  <c r="X56" i="37"/>
  <c r="X55" i="37"/>
  <c r="X53" i="37"/>
  <c r="X60" i="37"/>
  <c r="X57" i="37"/>
  <c r="X54" i="37"/>
  <c r="X50" i="37"/>
  <c r="X48" i="37"/>
  <c r="X46" i="37"/>
  <c r="X44" i="37"/>
  <c r="X42" i="37"/>
  <c r="X40" i="37"/>
  <c r="X38" i="37"/>
  <c r="X36" i="37"/>
  <c r="X34" i="37"/>
  <c r="X32" i="37"/>
  <c r="X30" i="37"/>
  <c r="X59" i="37"/>
  <c r="X51" i="37"/>
  <c r="X47" i="37"/>
  <c r="X35" i="37"/>
  <c r="X31" i="37"/>
  <c r="X45" i="37"/>
  <c r="Y29" i="37"/>
  <c r="Y28" i="37" s="1"/>
  <c r="X62" i="37"/>
  <c r="X52" i="37"/>
  <c r="X43" i="37"/>
  <c r="X37" i="37"/>
  <c r="X49" i="37"/>
  <c r="X39" i="37"/>
  <c r="X58" i="37"/>
  <c r="X61" i="37"/>
  <c r="X64" i="37"/>
  <c r="X33" i="37"/>
  <c r="X41" i="37"/>
  <c r="X28" i="37"/>
  <c r="AA9" i="53" l="1"/>
  <c r="W22" i="53"/>
  <c r="X21" i="53"/>
  <c r="X91" i="37"/>
  <c r="X96" i="37"/>
  <c r="X93" i="37"/>
  <c r="X89" i="37"/>
  <c r="X88" i="37"/>
  <c r="Y84" i="37"/>
  <c r="Y80" i="37"/>
  <c r="Y78" i="37"/>
  <c r="X87" i="37"/>
  <c r="X85" i="37"/>
  <c r="X90" i="37"/>
  <c r="Y83" i="37"/>
  <c r="X92" i="37"/>
  <c r="Y75" i="37"/>
  <c r="Y82" i="37"/>
  <c r="Y81" i="37"/>
  <c r="Y79" i="37"/>
  <c r="Y73" i="37"/>
  <c r="Y70" i="37"/>
  <c r="Y68" i="37"/>
  <c r="Y66" i="37"/>
  <c r="Y74" i="37"/>
  <c r="Y65" i="37"/>
  <c r="Y67" i="37"/>
  <c r="Y64" i="37"/>
  <c r="Y60" i="37"/>
  <c r="Y58" i="37"/>
  <c r="Y63" i="37"/>
  <c r="X94" i="37"/>
  <c r="Y55" i="37"/>
  <c r="Y76" i="37"/>
  <c r="Y69" i="37"/>
  <c r="Y62" i="37"/>
  <c r="Y59" i="37"/>
  <c r="X95" i="37"/>
  <c r="X86" i="37"/>
  <c r="Y71" i="37"/>
  <c r="Y77" i="37"/>
  <c r="Y51" i="37"/>
  <c r="Y45" i="37"/>
  <c r="Y40" i="37"/>
  <c r="Y32" i="37"/>
  <c r="Z29" i="37"/>
  <c r="Z28" i="37" s="1"/>
  <c r="Y56" i="37"/>
  <c r="Y52" i="37"/>
  <c r="Y43" i="37"/>
  <c r="Y38" i="37"/>
  <c r="Y37" i="37"/>
  <c r="Y36" i="37"/>
  <c r="Y31" i="37"/>
  <c r="Y61" i="37"/>
  <c r="Y41" i="37"/>
  <c r="Y48" i="37"/>
  <c r="Y72" i="37"/>
  <c r="Y42" i="37"/>
  <c r="Y39" i="37"/>
  <c r="Y53" i="37"/>
  <c r="Y49" i="37"/>
  <c r="Y47" i="37"/>
  <c r="Y46" i="37"/>
  <c r="Y33" i="37"/>
  <c r="Y54" i="37"/>
  <c r="Y35" i="37"/>
  <c r="Y34" i="37"/>
  <c r="Y30" i="37"/>
  <c r="Y44" i="37"/>
  <c r="Y50" i="37"/>
  <c r="Y57" i="37"/>
  <c r="W23" i="53" l="1"/>
  <c r="X22" i="53"/>
  <c r="Y96" i="37"/>
  <c r="Y93" i="37"/>
  <c r="Y90" i="37"/>
  <c r="Y91" i="37"/>
  <c r="Y95" i="37"/>
  <c r="Y94" i="37"/>
  <c r="Y87" i="37"/>
  <c r="Y86" i="37"/>
  <c r="Z78" i="37"/>
  <c r="Z77" i="37"/>
  <c r="Z80" i="37"/>
  <c r="Z83" i="37"/>
  <c r="Z74" i="37"/>
  <c r="Z67" i="37"/>
  <c r="Z75" i="37"/>
  <c r="Z68" i="37"/>
  <c r="Y92" i="37"/>
  <c r="Y88" i="37"/>
  <c r="Z82" i="37"/>
  <c r="Z76" i="37"/>
  <c r="Z66" i="37"/>
  <c r="Z64" i="37"/>
  <c r="Z60" i="37"/>
  <c r="Y85" i="37"/>
  <c r="Z79" i="37"/>
  <c r="Z69" i="37"/>
  <c r="Z71" i="37"/>
  <c r="Z62" i="37"/>
  <c r="Y89" i="37"/>
  <c r="Z81" i="37"/>
  <c r="Z73" i="37"/>
  <c r="Z72" i="37"/>
  <c r="Z63" i="37"/>
  <c r="Z51" i="37"/>
  <c r="Z49" i="37"/>
  <c r="Z47" i="37"/>
  <c r="Z45" i="37"/>
  <c r="Z43" i="37"/>
  <c r="Z41" i="37"/>
  <c r="Z39" i="37"/>
  <c r="Z37" i="37"/>
  <c r="Z35" i="37"/>
  <c r="Z70" i="37"/>
  <c r="Z58" i="37"/>
  <c r="Z55" i="37"/>
  <c r="Z52" i="37"/>
  <c r="Z38" i="37"/>
  <c r="Z36" i="37"/>
  <c r="Z31" i="37"/>
  <c r="Z57" i="37"/>
  <c r="Z50" i="37"/>
  <c r="Z61" i="37"/>
  <c r="Z56" i="37"/>
  <c r="Z65" i="37"/>
  <c r="Z54" i="37"/>
  <c r="Z30" i="37"/>
  <c r="Z32" i="37"/>
  <c r="AA29" i="37"/>
  <c r="AA28" i="37" s="1"/>
  <c r="Z59" i="37"/>
  <c r="Z53" i="37"/>
  <c r="Z46" i="37"/>
  <c r="Z33" i="37"/>
  <c r="Z34" i="37"/>
  <c r="Z42" i="37"/>
  <c r="Z48" i="37"/>
  <c r="Z44" i="37"/>
  <c r="Z84" i="37"/>
  <c r="Z40" i="37"/>
  <c r="W24" i="53" l="1"/>
  <c r="X23" i="53"/>
  <c r="Z93" i="37"/>
  <c r="Z90" i="37"/>
  <c r="Z95" i="37"/>
  <c r="Z94" i="37"/>
  <c r="Z92" i="37"/>
  <c r="AA81" i="37"/>
  <c r="Z89" i="37"/>
  <c r="Z88" i="37"/>
  <c r="Z86" i="37"/>
  <c r="Z91" i="37"/>
  <c r="AA84" i="37"/>
  <c r="AA74" i="37"/>
  <c r="Z96" i="37"/>
  <c r="AA72" i="37"/>
  <c r="AA83" i="37"/>
  <c r="AA80" i="37"/>
  <c r="AA75" i="37"/>
  <c r="AA68" i="37"/>
  <c r="AA82" i="37"/>
  <c r="AA78" i="37"/>
  <c r="AA76" i="37"/>
  <c r="AA69" i="37"/>
  <c r="Z85" i="37"/>
  <c r="AA79" i="37"/>
  <c r="AA67" i="37"/>
  <c r="AA70" i="37"/>
  <c r="AA63" i="37"/>
  <c r="AA61" i="37"/>
  <c r="AA59" i="37"/>
  <c r="AA57" i="37"/>
  <c r="AA55" i="37"/>
  <c r="AA66" i="37"/>
  <c r="AA73" i="37"/>
  <c r="AA62" i="37"/>
  <c r="AA60" i="37"/>
  <c r="AA65" i="37"/>
  <c r="AA54" i="37"/>
  <c r="AA52" i="37"/>
  <c r="AA71" i="37"/>
  <c r="AA51" i="37"/>
  <c r="AA49" i="37"/>
  <c r="AA47" i="37"/>
  <c r="AA45" i="37"/>
  <c r="AA43" i="37"/>
  <c r="AA41" i="37"/>
  <c r="AA39" i="37"/>
  <c r="AA77" i="37"/>
  <c r="AA58" i="37"/>
  <c r="AA56" i="37"/>
  <c r="AA37" i="37"/>
  <c r="AA48" i="37"/>
  <c r="AA50" i="37"/>
  <c r="AA30" i="37"/>
  <c r="AA46" i="37"/>
  <c r="AA38" i="37"/>
  <c r="AA33" i="37"/>
  <c r="AA64" i="37"/>
  <c r="AA34" i="37"/>
  <c r="AA44" i="37"/>
  <c r="AA35" i="37"/>
  <c r="AA53" i="37"/>
  <c r="Z87" i="37"/>
  <c r="AA32" i="37"/>
  <c r="AA36" i="37"/>
  <c r="AB29" i="37"/>
  <c r="AB28" i="37" s="1"/>
  <c r="AA42" i="37"/>
  <c r="AA31" i="37"/>
  <c r="AA40" i="37"/>
  <c r="X24" i="53" l="1"/>
  <c r="W25" i="53"/>
  <c r="AA90" i="37"/>
  <c r="AA95" i="37"/>
  <c r="AA87" i="37"/>
  <c r="AA88" i="37"/>
  <c r="AA85" i="37"/>
  <c r="AA94" i="37"/>
  <c r="AA92" i="37"/>
  <c r="AA89" i="37"/>
  <c r="AA86" i="37"/>
  <c r="AB84" i="37"/>
  <c r="AA91" i="37"/>
  <c r="AB81" i="37"/>
  <c r="AB80" i="37"/>
  <c r="AB75" i="37"/>
  <c r="AB73" i="37"/>
  <c r="AB82" i="37"/>
  <c r="AB79" i="37"/>
  <c r="AB70" i="37"/>
  <c r="AB68" i="37"/>
  <c r="AB66" i="37"/>
  <c r="AB64" i="37"/>
  <c r="AB62" i="37"/>
  <c r="AB83" i="37"/>
  <c r="AA93" i="37"/>
  <c r="AB78" i="37"/>
  <c r="AB76" i="37"/>
  <c r="AB69" i="37"/>
  <c r="AB63" i="37"/>
  <c r="AA96" i="37"/>
  <c r="AB71" i="37"/>
  <c r="AB74" i="37"/>
  <c r="AB60" i="37"/>
  <c r="AB72" i="37"/>
  <c r="AB65" i="37"/>
  <c r="AB54" i="37"/>
  <c r="AB51" i="37"/>
  <c r="AB49" i="37"/>
  <c r="AB47" i="37"/>
  <c r="AB45" i="37"/>
  <c r="AB43" i="37"/>
  <c r="AB41" i="37"/>
  <c r="AB39" i="37"/>
  <c r="AB37" i="37"/>
  <c r="AB35" i="37"/>
  <c r="AB33" i="37"/>
  <c r="AB31" i="37"/>
  <c r="AB77" i="37"/>
  <c r="AB58" i="37"/>
  <c r="AB55" i="37"/>
  <c r="AB67" i="37"/>
  <c r="AB56" i="37"/>
  <c r="AB52" i="37"/>
  <c r="AB61" i="37"/>
  <c r="AB50" i="37"/>
  <c r="AB30" i="37"/>
  <c r="AB59" i="37"/>
  <c r="AB57" i="37"/>
  <c r="AB48" i="37"/>
  <c r="AB46" i="37"/>
  <c r="AB34" i="37"/>
  <c r="AB32" i="37"/>
  <c r="AB44" i="37"/>
  <c r="AB36" i="37"/>
  <c r="AC29" i="37"/>
  <c r="AC28" i="37" s="1"/>
  <c r="AB53" i="37"/>
  <c r="AB42" i="37"/>
  <c r="AB40" i="37"/>
  <c r="AB38" i="37"/>
  <c r="W26" i="53" l="1"/>
  <c r="X25" i="53"/>
  <c r="AB95" i="37"/>
  <c r="AB92" i="37"/>
  <c r="AB96" i="37"/>
  <c r="AB91" i="37"/>
  <c r="AB87" i="37"/>
  <c r="AB86" i="37"/>
  <c r="AC82" i="37"/>
  <c r="AC79" i="37"/>
  <c r="AC77" i="37"/>
  <c r="AB85" i="37"/>
  <c r="AC84" i="37"/>
  <c r="AB93" i="37"/>
  <c r="AB89" i="37"/>
  <c r="AC73" i="37"/>
  <c r="AC76" i="37"/>
  <c r="AC71" i="37"/>
  <c r="AC69" i="37"/>
  <c r="AC67" i="37"/>
  <c r="AC65" i="37"/>
  <c r="AB88" i="37"/>
  <c r="AC70" i="37"/>
  <c r="AC75" i="37"/>
  <c r="AC68" i="37"/>
  <c r="AC78" i="37"/>
  <c r="AC62" i="37"/>
  <c r="AC61" i="37"/>
  <c r="AC59" i="37"/>
  <c r="AC83" i="37"/>
  <c r="AC72" i="37"/>
  <c r="AC81" i="37"/>
  <c r="AC54" i="37"/>
  <c r="AB90" i="37"/>
  <c r="AC57" i="37"/>
  <c r="AC63" i="37"/>
  <c r="AC58" i="37"/>
  <c r="AC74" i="37"/>
  <c r="AC66" i="37"/>
  <c r="AC55" i="37"/>
  <c r="AC56" i="37"/>
  <c r="AC52" i="37"/>
  <c r="AC53" i="37"/>
  <c r="AC50" i="37"/>
  <c r="AB94" i="37"/>
  <c r="AC48" i="37"/>
  <c r="AC43" i="37"/>
  <c r="AC44" i="37"/>
  <c r="AC46" i="37"/>
  <c r="AC41" i="37"/>
  <c r="AC60" i="37"/>
  <c r="AC39" i="37"/>
  <c r="AC47" i="37"/>
  <c r="AC36" i="37"/>
  <c r="AC35" i="37"/>
  <c r="AD29" i="37"/>
  <c r="AC45" i="37"/>
  <c r="AC42" i="37"/>
  <c r="AC30" i="37"/>
  <c r="AC51" i="37"/>
  <c r="AC64" i="37"/>
  <c r="AC38" i="37"/>
  <c r="AC80" i="37"/>
  <c r="AC34" i="37"/>
  <c r="AC37" i="37"/>
  <c r="AC40" i="37"/>
  <c r="AC31" i="37"/>
  <c r="AC32" i="37"/>
  <c r="AC49" i="37"/>
  <c r="AC33" i="37"/>
  <c r="W27" i="53" l="1"/>
  <c r="X26" i="53"/>
  <c r="AC92" i="37"/>
  <c r="AC89" i="37"/>
  <c r="AC94" i="37"/>
  <c r="AC93" i="37"/>
  <c r="AC95" i="37"/>
  <c r="AC96" i="37"/>
  <c r="AC91" i="37"/>
  <c r="AC88" i="37"/>
  <c r="AC85" i="37"/>
  <c r="AD83" i="37"/>
  <c r="AD82" i="37"/>
  <c r="AD79" i="37"/>
  <c r="AD81" i="37"/>
  <c r="AD80" i="37"/>
  <c r="AD72" i="37"/>
  <c r="AC87" i="37"/>
  <c r="AD78" i="37"/>
  <c r="AD70" i="37"/>
  <c r="AD71" i="37"/>
  <c r="AC86" i="37"/>
  <c r="AD69" i="37"/>
  <c r="AD62" i="37"/>
  <c r="AD61" i="37"/>
  <c r="AD59" i="37"/>
  <c r="AD84" i="37"/>
  <c r="AD74" i="37"/>
  <c r="AC90" i="37"/>
  <c r="AD77" i="37"/>
  <c r="AD76" i="37"/>
  <c r="AD73" i="37"/>
  <c r="AD65" i="37"/>
  <c r="AD57" i="37"/>
  <c r="AD63" i="37"/>
  <c r="AD58" i="37"/>
  <c r="AD56" i="37"/>
  <c r="AD66" i="37"/>
  <c r="AD55" i="37"/>
  <c r="AD68" i="37"/>
  <c r="AD52" i="37"/>
  <c r="AD67" i="37"/>
  <c r="AD53" i="37"/>
  <c r="AD50" i="37"/>
  <c r="AD48" i="37"/>
  <c r="AD46" i="37"/>
  <c r="AD44" i="37"/>
  <c r="AD42" i="37"/>
  <c r="AD40" i="37"/>
  <c r="AD38" i="37"/>
  <c r="AD36" i="37"/>
  <c r="AD34" i="37"/>
  <c r="AD64" i="37"/>
  <c r="AD41" i="37"/>
  <c r="AD75" i="37"/>
  <c r="AD60" i="37"/>
  <c r="AD54" i="37"/>
  <c r="AD39" i="37"/>
  <c r="AD33" i="37"/>
  <c r="AD35" i="37"/>
  <c r="AE29" i="37"/>
  <c r="AE28" i="37" s="1"/>
  <c r="AD49" i="37"/>
  <c r="AD45" i="37"/>
  <c r="AD30" i="37"/>
  <c r="AD37" i="37"/>
  <c r="AD51" i="37"/>
  <c r="AD43" i="37"/>
  <c r="AD31" i="37"/>
  <c r="AD32" i="37"/>
  <c r="AD47" i="37"/>
  <c r="AD28" i="37"/>
  <c r="W28" i="53" l="1"/>
  <c r="X27" i="53"/>
  <c r="AD94" i="37"/>
  <c r="AD96" i="37"/>
  <c r="AD86" i="37"/>
  <c r="AD93" i="37"/>
  <c r="AD89" i="37"/>
  <c r="AE83" i="37"/>
  <c r="AD90" i="37"/>
  <c r="AE84" i="37"/>
  <c r="AD87" i="37"/>
  <c r="AE80" i="37"/>
  <c r="AD95" i="37"/>
  <c r="AE78" i="37"/>
  <c r="AD92" i="37"/>
  <c r="AE75" i="37"/>
  <c r="AD91" i="37"/>
  <c r="AD88" i="37"/>
  <c r="AE82" i="37"/>
  <c r="AE71" i="37"/>
  <c r="AD85" i="37"/>
  <c r="AE79" i="37"/>
  <c r="AE77" i="37"/>
  <c r="AE74" i="37"/>
  <c r="AE70" i="37"/>
  <c r="AE73" i="37"/>
  <c r="AE65" i="37"/>
  <c r="AE60" i="37"/>
  <c r="AE58" i="37"/>
  <c r="AE56" i="37"/>
  <c r="AE72" i="37"/>
  <c r="AE62" i="37"/>
  <c r="AE57" i="37"/>
  <c r="AE69" i="37"/>
  <c r="AE63" i="37"/>
  <c r="AE61" i="37"/>
  <c r="AE53" i="37"/>
  <c r="AE68" i="37"/>
  <c r="AE52" i="37"/>
  <c r="AE67" i="37"/>
  <c r="AE50" i="37"/>
  <c r="AE48" i="37"/>
  <c r="AE46" i="37"/>
  <c r="AE44" i="37"/>
  <c r="AE42" i="37"/>
  <c r="AE40" i="37"/>
  <c r="AE38" i="37"/>
  <c r="AE64" i="37"/>
  <c r="AE54" i="37"/>
  <c r="AE39" i="37"/>
  <c r="AE34" i="37"/>
  <c r="AE32" i="37"/>
  <c r="AF29" i="37"/>
  <c r="AE81" i="37"/>
  <c r="AE59" i="37"/>
  <c r="AE33" i="37"/>
  <c r="AE45" i="37"/>
  <c r="AE36" i="37"/>
  <c r="AE30" i="37"/>
  <c r="AE66" i="37"/>
  <c r="AE37" i="37"/>
  <c r="AE51" i="37"/>
  <c r="AE43" i="37"/>
  <c r="AE31" i="37"/>
  <c r="AE55" i="37"/>
  <c r="AE49" i="37"/>
  <c r="AE47" i="37"/>
  <c r="AE76" i="37"/>
  <c r="AE41" i="37"/>
  <c r="AE35" i="37"/>
  <c r="W29" i="53" l="1"/>
  <c r="X28" i="53"/>
  <c r="AE94" i="37"/>
  <c r="AE91" i="37"/>
  <c r="AE96" i="37"/>
  <c r="AE95" i="37"/>
  <c r="AE92" i="37"/>
  <c r="AE90" i="37"/>
  <c r="AE87" i="37"/>
  <c r="AF83" i="37"/>
  <c r="AE89" i="37"/>
  <c r="AE93" i="37"/>
  <c r="AF76" i="37"/>
  <c r="AF74" i="37"/>
  <c r="AF72" i="37"/>
  <c r="AF71" i="37"/>
  <c r="AF69" i="37"/>
  <c r="AF67" i="37"/>
  <c r="AF65" i="37"/>
  <c r="AF63" i="37"/>
  <c r="AF78" i="37"/>
  <c r="AF77" i="37"/>
  <c r="AE88" i="37"/>
  <c r="AE85" i="37"/>
  <c r="AF79" i="37"/>
  <c r="AE86" i="37"/>
  <c r="AF81" i="37"/>
  <c r="AF84" i="37"/>
  <c r="AF80" i="37"/>
  <c r="AF66" i="37"/>
  <c r="AF64" i="37"/>
  <c r="AF61" i="37"/>
  <c r="AF58" i="37"/>
  <c r="AF56" i="37"/>
  <c r="AF53" i="37"/>
  <c r="AF59" i="37"/>
  <c r="AF55" i="37"/>
  <c r="AF50" i="37"/>
  <c r="AF48" i="37"/>
  <c r="AF46" i="37"/>
  <c r="AF44" i="37"/>
  <c r="AF42" i="37"/>
  <c r="AF40" i="37"/>
  <c r="AF38" i="37"/>
  <c r="AF36" i="37"/>
  <c r="AF34" i="37"/>
  <c r="AF32" i="37"/>
  <c r="AF30" i="37"/>
  <c r="AF70" i="37"/>
  <c r="AF54" i="37"/>
  <c r="AF75" i="37"/>
  <c r="AF60" i="37"/>
  <c r="AF57" i="37"/>
  <c r="AF33" i="37"/>
  <c r="AF49" i="37"/>
  <c r="AF35" i="37"/>
  <c r="AF62" i="37"/>
  <c r="AG29" i="37"/>
  <c r="AF82" i="37"/>
  <c r="AF37" i="37"/>
  <c r="AF47" i="37"/>
  <c r="AF45" i="37"/>
  <c r="AF73" i="37"/>
  <c r="AF51" i="37"/>
  <c r="AF43" i="37"/>
  <c r="AF31" i="37"/>
  <c r="AF39" i="37"/>
  <c r="AF68" i="37"/>
  <c r="AF52" i="37"/>
  <c r="AF41" i="37"/>
  <c r="AF28" i="37"/>
  <c r="W30" i="53" l="1"/>
  <c r="X29" i="53"/>
  <c r="AF91" i="37"/>
  <c r="AF96" i="37"/>
  <c r="AF93" i="37"/>
  <c r="AF88" i="37"/>
  <c r="AG84" i="37"/>
  <c r="AG80" i="37"/>
  <c r="AG78" i="37"/>
  <c r="AF94" i="37"/>
  <c r="AF89" i="37"/>
  <c r="AF86" i="37"/>
  <c r="AF92" i="37"/>
  <c r="AF85" i="37"/>
  <c r="AG82" i="37"/>
  <c r="AG79" i="37"/>
  <c r="AG81" i="37"/>
  <c r="AG77" i="37"/>
  <c r="AG76" i="37"/>
  <c r="AF87" i="37"/>
  <c r="AG74" i="37"/>
  <c r="AG70" i="37"/>
  <c r="AG68" i="37"/>
  <c r="AG66" i="37"/>
  <c r="AG73" i="37"/>
  <c r="AG71" i="37"/>
  <c r="AG72" i="37"/>
  <c r="AG60" i="37"/>
  <c r="AG58" i="37"/>
  <c r="AG69" i="37"/>
  <c r="AG63" i="37"/>
  <c r="AG61" i="37"/>
  <c r="AG56" i="37"/>
  <c r="AF90" i="37"/>
  <c r="AG59" i="37"/>
  <c r="AG55" i="37"/>
  <c r="AG67" i="37"/>
  <c r="AG64" i="37"/>
  <c r="AF95" i="37"/>
  <c r="AG53" i="37"/>
  <c r="AG54" i="37"/>
  <c r="AG75" i="37"/>
  <c r="AG57" i="37"/>
  <c r="AG51" i="37"/>
  <c r="AG83" i="37"/>
  <c r="AG62" i="37"/>
  <c r="AG46" i="37"/>
  <c r="AH29" i="37"/>
  <c r="AH28" i="37" s="1"/>
  <c r="AG47" i="37"/>
  <c r="AG42" i="37"/>
  <c r="AG65" i="37"/>
  <c r="AG49" i="37"/>
  <c r="AG44" i="37"/>
  <c r="AG35" i="37"/>
  <c r="AG34" i="37"/>
  <c r="AG32" i="37"/>
  <c r="AG31" i="37"/>
  <c r="AG43" i="37"/>
  <c r="AG50" i="37"/>
  <c r="AG38" i="37"/>
  <c r="AG45" i="37"/>
  <c r="AG33" i="37"/>
  <c r="AG36" i="37"/>
  <c r="AG30" i="37"/>
  <c r="AG52" i="37"/>
  <c r="AG41" i="37"/>
  <c r="AG37" i="37"/>
  <c r="AG40" i="37"/>
  <c r="AG39" i="37"/>
  <c r="AG48" i="37"/>
  <c r="AG28" i="37"/>
  <c r="X30" i="53" l="1"/>
  <c r="W31" i="53"/>
  <c r="AG96" i="37"/>
  <c r="AG93" i="37"/>
  <c r="AG95" i="37"/>
  <c r="AG89" i="37"/>
  <c r="AG90" i="37"/>
  <c r="AG91" i="37"/>
  <c r="AG88" i="37"/>
  <c r="AG87" i="37"/>
  <c r="AG92" i="37"/>
  <c r="AG85" i="37"/>
  <c r="AH84" i="37"/>
  <c r="AG94" i="37"/>
  <c r="AH83" i="37"/>
  <c r="AH75" i="37"/>
  <c r="AH73" i="37"/>
  <c r="AG86" i="37"/>
  <c r="AH65" i="37"/>
  <c r="AH64" i="37"/>
  <c r="AH81" i="37"/>
  <c r="AH77" i="37"/>
  <c r="AH72" i="37"/>
  <c r="AH79" i="37"/>
  <c r="AH78" i="37"/>
  <c r="AH60" i="37"/>
  <c r="AH76" i="37"/>
  <c r="AH67" i="37"/>
  <c r="AH63" i="37"/>
  <c r="AH59" i="37"/>
  <c r="AH58" i="37"/>
  <c r="AH55" i="37"/>
  <c r="AH82" i="37"/>
  <c r="AH74" i="37"/>
  <c r="AH70" i="37"/>
  <c r="AH71" i="37"/>
  <c r="AH53" i="37"/>
  <c r="AH56" i="37"/>
  <c r="AH54" i="37"/>
  <c r="AH57" i="37"/>
  <c r="AH51" i="37"/>
  <c r="AH49" i="37"/>
  <c r="AH47" i="37"/>
  <c r="AH45" i="37"/>
  <c r="AH43" i="37"/>
  <c r="AH41" i="37"/>
  <c r="AH39" i="37"/>
  <c r="AH37" i="37"/>
  <c r="AH35" i="37"/>
  <c r="AH33" i="37"/>
  <c r="AH62" i="37"/>
  <c r="AH61" i="37"/>
  <c r="AH44" i="37"/>
  <c r="AH34" i="37"/>
  <c r="AH32" i="37"/>
  <c r="AH40" i="37"/>
  <c r="AH36" i="37"/>
  <c r="AH69" i="37"/>
  <c r="AH42" i="37"/>
  <c r="AH31" i="37"/>
  <c r="AH68" i="37"/>
  <c r="AH66" i="37"/>
  <c r="AH30" i="37"/>
  <c r="AH52" i="37"/>
  <c r="AH50" i="37"/>
  <c r="AH80" i="37"/>
  <c r="AH46" i="37"/>
  <c r="AH38" i="37"/>
  <c r="AH48" i="37"/>
  <c r="AI29" i="37"/>
  <c r="AI28" i="37" s="1"/>
  <c r="W32" i="53" l="1"/>
  <c r="X31" i="53"/>
  <c r="AH93" i="37"/>
  <c r="AH90" i="37"/>
  <c r="AH95" i="37"/>
  <c r="AH94" i="37"/>
  <c r="AI81" i="37"/>
  <c r="AH92" i="37"/>
  <c r="AH96" i="37"/>
  <c r="AH88" i="37"/>
  <c r="AI83" i="37"/>
  <c r="AH85" i="37"/>
  <c r="AH86" i="37"/>
  <c r="AI82" i="37"/>
  <c r="AI79" i="37"/>
  <c r="AI77" i="37"/>
  <c r="AI72" i="37"/>
  <c r="AI66" i="37"/>
  <c r="AI73" i="37"/>
  <c r="AI67" i="37"/>
  <c r="AI84" i="37"/>
  <c r="AI74" i="37"/>
  <c r="AI80" i="37"/>
  <c r="AI65" i="37"/>
  <c r="AI64" i="37"/>
  <c r="AH87" i="37"/>
  <c r="AI68" i="37"/>
  <c r="AI62" i="37"/>
  <c r="AI61" i="37"/>
  <c r="AI59" i="37"/>
  <c r="AI57" i="37"/>
  <c r="AI55" i="37"/>
  <c r="AH89" i="37"/>
  <c r="AI70" i="37"/>
  <c r="AI78" i="37"/>
  <c r="AI54" i="37"/>
  <c r="AI52" i="37"/>
  <c r="AI56" i="37"/>
  <c r="AI51" i="37"/>
  <c r="AI49" i="37"/>
  <c r="AI47" i="37"/>
  <c r="AI45" i="37"/>
  <c r="AI43" i="37"/>
  <c r="AI41" i="37"/>
  <c r="AI39" i="37"/>
  <c r="AI75" i="37"/>
  <c r="AH91" i="37"/>
  <c r="AI60" i="37"/>
  <c r="AI69" i="37"/>
  <c r="AI42" i="37"/>
  <c r="AI35" i="37"/>
  <c r="AI31" i="37"/>
  <c r="AI37" i="37"/>
  <c r="AI30" i="37"/>
  <c r="AI40" i="37"/>
  <c r="AI36" i="37"/>
  <c r="AI76" i="37"/>
  <c r="AI38" i="37"/>
  <c r="AI58" i="37"/>
  <c r="AI44" i="37"/>
  <c r="AI48" i="37"/>
  <c r="AJ29" i="37"/>
  <c r="AJ28" i="37" s="1"/>
  <c r="AI63" i="37"/>
  <c r="AI34" i="37"/>
  <c r="AI71" i="37"/>
  <c r="AI53" i="37"/>
  <c r="AI50" i="37"/>
  <c r="AI32" i="37"/>
  <c r="AI33" i="37"/>
  <c r="AI46" i="37"/>
  <c r="W33" i="53" l="1"/>
  <c r="X32" i="53"/>
  <c r="AI90" i="37"/>
  <c r="AI95" i="37"/>
  <c r="AI87" i="37"/>
  <c r="AI85" i="37"/>
  <c r="AI94" i="37"/>
  <c r="AI91" i="37"/>
  <c r="AI86" i="37"/>
  <c r="AJ75" i="37"/>
  <c r="AJ73" i="37"/>
  <c r="AJ78" i="37"/>
  <c r="AJ77" i="37"/>
  <c r="AJ74" i="37"/>
  <c r="AJ70" i="37"/>
  <c r="AJ68" i="37"/>
  <c r="AJ66" i="37"/>
  <c r="AJ64" i="37"/>
  <c r="AJ62" i="37"/>
  <c r="AI96" i="37"/>
  <c r="AI88" i="37"/>
  <c r="AJ82" i="37"/>
  <c r="AJ79" i="37"/>
  <c r="AJ72" i="37"/>
  <c r="AJ84" i="37"/>
  <c r="AJ81" i="37"/>
  <c r="AJ80" i="37"/>
  <c r="AJ67" i="37"/>
  <c r="AI92" i="37"/>
  <c r="AJ65" i="37"/>
  <c r="AJ83" i="37"/>
  <c r="AJ76" i="37"/>
  <c r="AJ63" i="37"/>
  <c r="AI93" i="37"/>
  <c r="AJ69" i="37"/>
  <c r="AJ54" i="37"/>
  <c r="AJ51" i="37"/>
  <c r="AJ49" i="37"/>
  <c r="AJ47" i="37"/>
  <c r="AJ45" i="37"/>
  <c r="AJ43" i="37"/>
  <c r="AJ41" i="37"/>
  <c r="AJ39" i="37"/>
  <c r="AJ37" i="37"/>
  <c r="AJ35" i="37"/>
  <c r="AJ33" i="37"/>
  <c r="AJ31" i="37"/>
  <c r="AJ57" i="37"/>
  <c r="AJ61" i="37"/>
  <c r="AJ60" i="37"/>
  <c r="AI89" i="37"/>
  <c r="AJ59" i="37"/>
  <c r="AJ40" i="37"/>
  <c r="AJ36" i="37"/>
  <c r="AJ58" i="37"/>
  <c r="AJ38" i="37"/>
  <c r="AJ30" i="37"/>
  <c r="AJ53" i="37"/>
  <c r="AJ52" i="37"/>
  <c r="AJ56" i="37"/>
  <c r="AJ34" i="37"/>
  <c r="AK29" i="37"/>
  <c r="AK28" i="37" s="1"/>
  <c r="AJ44" i="37"/>
  <c r="AJ42" i="37"/>
  <c r="AJ71" i="37"/>
  <c r="AJ50" i="37"/>
  <c r="AJ32" i="37"/>
  <c r="AJ46" i="37"/>
  <c r="AJ55" i="37"/>
  <c r="AJ48" i="37"/>
  <c r="W34" i="53" l="1"/>
  <c r="X33" i="53"/>
  <c r="AJ95" i="37"/>
  <c r="AJ92" i="37"/>
  <c r="AJ96" i="37"/>
  <c r="AJ94" i="37"/>
  <c r="AJ91" i="37"/>
  <c r="AJ88" i="37"/>
  <c r="AK82" i="37"/>
  <c r="AK79" i="37"/>
  <c r="AK77" i="37"/>
  <c r="AJ89" i="37"/>
  <c r="AJ87" i="37"/>
  <c r="AJ93" i="37"/>
  <c r="AK84" i="37"/>
  <c r="AK81" i="37"/>
  <c r="AK80" i="37"/>
  <c r="AJ86" i="37"/>
  <c r="AK71" i="37"/>
  <c r="AK69" i="37"/>
  <c r="AK67" i="37"/>
  <c r="AK65" i="37"/>
  <c r="AJ90" i="37"/>
  <c r="AJ85" i="37"/>
  <c r="AK73" i="37"/>
  <c r="AK74" i="37"/>
  <c r="AK68" i="37"/>
  <c r="AK76" i="37"/>
  <c r="AK75" i="37"/>
  <c r="AK83" i="37"/>
  <c r="AK72" i="37"/>
  <c r="AK64" i="37"/>
  <c r="AK63" i="37"/>
  <c r="AK66" i="37"/>
  <c r="AK61" i="37"/>
  <c r="AK59" i="37"/>
  <c r="AK70" i="37"/>
  <c r="AK54" i="37"/>
  <c r="AK78" i="37"/>
  <c r="AK60" i="37"/>
  <c r="AK57" i="37"/>
  <c r="AK62" i="37"/>
  <c r="AK52" i="37"/>
  <c r="AK50" i="37"/>
  <c r="AK49" i="37"/>
  <c r="AK38" i="37"/>
  <c r="AK30" i="37"/>
  <c r="AK45" i="37"/>
  <c r="AK58" i="37"/>
  <c r="AK53" i="37"/>
  <c r="AK47" i="37"/>
  <c r="AK37" i="37"/>
  <c r="AK51" i="37"/>
  <c r="AK42" i="37"/>
  <c r="AK31" i="37"/>
  <c r="AK34" i="37"/>
  <c r="AK36" i="37"/>
  <c r="AK41" i="37"/>
  <c r="AK32" i="37"/>
  <c r="AK55" i="37"/>
  <c r="AK48" i="37"/>
  <c r="AK40" i="37"/>
  <c r="AK56" i="37"/>
  <c r="AK33" i="37"/>
  <c r="AL29" i="37"/>
  <c r="AL28" i="37" s="1"/>
  <c r="AK39" i="37"/>
  <c r="AK46" i="37"/>
  <c r="AK44" i="37"/>
  <c r="AK35" i="37"/>
  <c r="AK43" i="37"/>
  <c r="W35" i="53" l="1"/>
  <c r="X34" i="53"/>
  <c r="AK92" i="37"/>
  <c r="AK89" i="37"/>
  <c r="AK94" i="37"/>
  <c r="AK93" i="37"/>
  <c r="AK90" i="37"/>
  <c r="AK96" i="37"/>
  <c r="AK87" i="37"/>
  <c r="AK86" i="37"/>
  <c r="AK85" i="37"/>
  <c r="AK95" i="37"/>
  <c r="AL73" i="37"/>
  <c r="AL84" i="37"/>
  <c r="AL81" i="37"/>
  <c r="AL80" i="37"/>
  <c r="AL76" i="37"/>
  <c r="AL74" i="37"/>
  <c r="AL68" i="37"/>
  <c r="AL75" i="37"/>
  <c r="AL69" i="37"/>
  <c r="AK88" i="37"/>
  <c r="AL66" i="37"/>
  <c r="AL61" i="37"/>
  <c r="AL59" i="37"/>
  <c r="AK91" i="37"/>
  <c r="AL62" i="37"/>
  <c r="AL70" i="37"/>
  <c r="AL78" i="37"/>
  <c r="AL82" i="37"/>
  <c r="AL67" i="37"/>
  <c r="AL64" i="37"/>
  <c r="AL60" i="37"/>
  <c r="AL77" i="37"/>
  <c r="AL71" i="37"/>
  <c r="AL57" i="37"/>
  <c r="AL54" i="37"/>
  <c r="AL52" i="37"/>
  <c r="AL50" i="37"/>
  <c r="AL48" i="37"/>
  <c r="AL46" i="37"/>
  <c r="AL44" i="37"/>
  <c r="AL42" i="37"/>
  <c r="AL40" i="37"/>
  <c r="AL38" i="37"/>
  <c r="AL36" i="37"/>
  <c r="AL34" i="37"/>
  <c r="AL83" i="37"/>
  <c r="AL65" i="37"/>
  <c r="AL58" i="37"/>
  <c r="AL53" i="37"/>
  <c r="AL47" i="37"/>
  <c r="AL37" i="37"/>
  <c r="AL63" i="37"/>
  <c r="AL51" i="37"/>
  <c r="AL43" i="37"/>
  <c r="AL79" i="37"/>
  <c r="AL45" i="37"/>
  <c r="AL41" i="37"/>
  <c r="AL32" i="37"/>
  <c r="AL72" i="37"/>
  <c r="AL35" i="37"/>
  <c r="AL55" i="37"/>
  <c r="AL39" i="37"/>
  <c r="AL30" i="37"/>
  <c r="AL31" i="37"/>
  <c r="AL56" i="37"/>
  <c r="AL49" i="37"/>
  <c r="AL33" i="37"/>
  <c r="AM29" i="37"/>
  <c r="W36" i="53" l="1"/>
  <c r="X35" i="53"/>
  <c r="AL94" i="37"/>
  <c r="AL91" i="37"/>
  <c r="AL86" i="37"/>
  <c r="AM83" i="37"/>
  <c r="AL90" i="37"/>
  <c r="AL88" i="37"/>
  <c r="AL95" i="37"/>
  <c r="AM82" i="37"/>
  <c r="AM79" i="37"/>
  <c r="AL96" i="37"/>
  <c r="AM72" i="37"/>
  <c r="AL92" i="37"/>
  <c r="AM81" i="37"/>
  <c r="AM75" i="37"/>
  <c r="AM69" i="37"/>
  <c r="AM84" i="37"/>
  <c r="AM76" i="37"/>
  <c r="AM70" i="37"/>
  <c r="AL87" i="37"/>
  <c r="AM78" i="37"/>
  <c r="AL85" i="37"/>
  <c r="AM80" i="37"/>
  <c r="AM62" i="37"/>
  <c r="AM77" i="37"/>
  <c r="AM73" i="37"/>
  <c r="AM67" i="37"/>
  <c r="AL89" i="37"/>
  <c r="AM71" i="37"/>
  <c r="AM60" i="37"/>
  <c r="AM58" i="37"/>
  <c r="AM56" i="37"/>
  <c r="AM64" i="37"/>
  <c r="AM74" i="37"/>
  <c r="AM57" i="37"/>
  <c r="AL93" i="37"/>
  <c r="AM53" i="37"/>
  <c r="AM61" i="37"/>
  <c r="AM52" i="37"/>
  <c r="AM50" i="37"/>
  <c r="AM48" i="37"/>
  <c r="AM46" i="37"/>
  <c r="AM44" i="37"/>
  <c r="AM42" i="37"/>
  <c r="AM40" i="37"/>
  <c r="AM38" i="37"/>
  <c r="AM65" i="37"/>
  <c r="AM59" i="37"/>
  <c r="AM55" i="37"/>
  <c r="AM45" i="37"/>
  <c r="AM41" i="37"/>
  <c r="AM68" i="37"/>
  <c r="AM63" i="37"/>
  <c r="AM51" i="37"/>
  <c r="AM43" i="37"/>
  <c r="AN29" i="37"/>
  <c r="AM30" i="37"/>
  <c r="AM31" i="37"/>
  <c r="AM66" i="37"/>
  <c r="AM39" i="37"/>
  <c r="AM49" i="37"/>
  <c r="AM33" i="37"/>
  <c r="AM47" i="37"/>
  <c r="AM36" i="37"/>
  <c r="AM54" i="37"/>
  <c r="AM34" i="37"/>
  <c r="AM35" i="37"/>
  <c r="AM37" i="37"/>
  <c r="AM32" i="37"/>
  <c r="AM28" i="37"/>
  <c r="W37" i="53" l="1"/>
  <c r="X36" i="53"/>
  <c r="AM94" i="37"/>
  <c r="AM91" i="37"/>
  <c r="AM96" i="37"/>
  <c r="AM95" i="37"/>
  <c r="AM93" i="37"/>
  <c r="AM92" i="37"/>
  <c r="AN84" i="37"/>
  <c r="AM86" i="37"/>
  <c r="AN80" i="37"/>
  <c r="AM90" i="37"/>
  <c r="AM88" i="37"/>
  <c r="AN78" i="37"/>
  <c r="AN76" i="37"/>
  <c r="AN74" i="37"/>
  <c r="AN72" i="37"/>
  <c r="AM87" i="37"/>
  <c r="AM85" i="37"/>
  <c r="AN71" i="37"/>
  <c r="AN69" i="37"/>
  <c r="AN67" i="37"/>
  <c r="AN65" i="37"/>
  <c r="AN63" i="37"/>
  <c r="AN75" i="37"/>
  <c r="AM89" i="37"/>
  <c r="AN83" i="37"/>
  <c r="AN70" i="37"/>
  <c r="AN77" i="37"/>
  <c r="AN73" i="37"/>
  <c r="AN68" i="37"/>
  <c r="AN81" i="37"/>
  <c r="AN82" i="37"/>
  <c r="AN60" i="37"/>
  <c r="AN57" i="37"/>
  <c r="AN53" i="37"/>
  <c r="AN79" i="37"/>
  <c r="AN66" i="37"/>
  <c r="AN56" i="37"/>
  <c r="AN61" i="37"/>
  <c r="AN52" i="37"/>
  <c r="AN50" i="37"/>
  <c r="AN48" i="37"/>
  <c r="AN46" i="37"/>
  <c r="AN44" i="37"/>
  <c r="AN42" i="37"/>
  <c r="AN40" i="37"/>
  <c r="AN38" i="37"/>
  <c r="AN36" i="37"/>
  <c r="AN34" i="37"/>
  <c r="AN32" i="37"/>
  <c r="AN30" i="37"/>
  <c r="AN64" i="37"/>
  <c r="AN62" i="37"/>
  <c r="AN59" i="37"/>
  <c r="AN55" i="37"/>
  <c r="AN58" i="37"/>
  <c r="AN51" i="37"/>
  <c r="AN43" i="37"/>
  <c r="AN39" i="37"/>
  <c r="AN41" i="37"/>
  <c r="AO29" i="37"/>
  <c r="AO28" i="37" s="1"/>
  <c r="AN33" i="37"/>
  <c r="AN31" i="37"/>
  <c r="AN49" i="37"/>
  <c r="AN54" i="37"/>
  <c r="AN37" i="37"/>
  <c r="AN47" i="37"/>
  <c r="AN35" i="37"/>
  <c r="AN45" i="37"/>
  <c r="AN28" i="37"/>
  <c r="W38" i="53" l="1"/>
  <c r="X37" i="53"/>
  <c r="AN91" i="37"/>
  <c r="AN96" i="37"/>
  <c r="AN93" i="37"/>
  <c r="AN92" i="37"/>
  <c r="AN88" i="37"/>
  <c r="AN94" i="37"/>
  <c r="AN89" i="37"/>
  <c r="AO84" i="37"/>
  <c r="AO80" i="37"/>
  <c r="AO78" i="37"/>
  <c r="AN95" i="37"/>
  <c r="AO83" i="37"/>
  <c r="AN87" i="37"/>
  <c r="AN85" i="37"/>
  <c r="AO82" i="37"/>
  <c r="AO81" i="37"/>
  <c r="AO79" i="37"/>
  <c r="AN90" i="37"/>
  <c r="AO70" i="37"/>
  <c r="AO68" i="37"/>
  <c r="AO66" i="37"/>
  <c r="AO76" i="37"/>
  <c r="AO71" i="37"/>
  <c r="AO67" i="37"/>
  <c r="AN86" i="37"/>
  <c r="AO60" i="37"/>
  <c r="AO58" i="37"/>
  <c r="AO75" i="37"/>
  <c r="AO74" i="37"/>
  <c r="AO77" i="37"/>
  <c r="AO56" i="37"/>
  <c r="AO62" i="37"/>
  <c r="AO55" i="37"/>
  <c r="AO64" i="37"/>
  <c r="AO59" i="37"/>
  <c r="AO65" i="37"/>
  <c r="AO69" i="37"/>
  <c r="AO53" i="37"/>
  <c r="AO51" i="37"/>
  <c r="AO63" i="37"/>
  <c r="AO41" i="37"/>
  <c r="AP29" i="37"/>
  <c r="AP28" i="37" s="1"/>
  <c r="AO39" i="37"/>
  <c r="AO33" i="37"/>
  <c r="AO48" i="37"/>
  <c r="AO32" i="37"/>
  <c r="AO73" i="37"/>
  <c r="AO49" i="37"/>
  <c r="AO31" i="37"/>
  <c r="AO43" i="37"/>
  <c r="AO52" i="37"/>
  <c r="AO61" i="37"/>
  <c r="AO54" i="37"/>
  <c r="AO50" i="37"/>
  <c r="AO40" i="37"/>
  <c r="AO47" i="37"/>
  <c r="AO35" i="37"/>
  <c r="AO34" i="37"/>
  <c r="AO72" i="37"/>
  <c r="AO37" i="37"/>
  <c r="AO36" i="37"/>
  <c r="AO44" i="37"/>
  <c r="AO57" i="37"/>
  <c r="AO42" i="37"/>
  <c r="AO46" i="37"/>
  <c r="AO38" i="37"/>
  <c r="AO30" i="37"/>
  <c r="AO45" i="37"/>
  <c r="W39" i="53" l="1"/>
  <c r="X38" i="53"/>
  <c r="AO96" i="37"/>
  <c r="AO93" i="37"/>
  <c r="AO90" i="37"/>
  <c r="AO95" i="37"/>
  <c r="AO89" i="37"/>
  <c r="AO86" i="37"/>
  <c r="AP82" i="37"/>
  <c r="AP79" i="37"/>
  <c r="AP84" i="37"/>
  <c r="AP83" i="37"/>
  <c r="AP81" i="37"/>
  <c r="AP77" i="37"/>
  <c r="AP76" i="37"/>
  <c r="AP74" i="37"/>
  <c r="AO91" i="37"/>
  <c r="AP78" i="37"/>
  <c r="AP71" i="37"/>
  <c r="AO87" i="37"/>
  <c r="AP80" i="37"/>
  <c r="AO92" i="37"/>
  <c r="AP68" i="37"/>
  <c r="AP60" i="37"/>
  <c r="AP69" i="37"/>
  <c r="AP64" i="37"/>
  <c r="AO85" i="37"/>
  <c r="AP67" i="37"/>
  <c r="AP56" i="37"/>
  <c r="AP66" i="37"/>
  <c r="AP62" i="37"/>
  <c r="AP55" i="37"/>
  <c r="AP75" i="37"/>
  <c r="AP61" i="37"/>
  <c r="AP58" i="37"/>
  <c r="AO88" i="37"/>
  <c r="AP59" i="37"/>
  <c r="AP70" i="37"/>
  <c r="AP65" i="37"/>
  <c r="AP53" i="37"/>
  <c r="AP51" i="37"/>
  <c r="AP49" i="37"/>
  <c r="AP47" i="37"/>
  <c r="AP45" i="37"/>
  <c r="AP43" i="37"/>
  <c r="AP41" i="37"/>
  <c r="AP39" i="37"/>
  <c r="AP37" i="37"/>
  <c r="AP35" i="37"/>
  <c r="AP33" i="37"/>
  <c r="AO94" i="37"/>
  <c r="AP63" i="37"/>
  <c r="AP52" i="37"/>
  <c r="AP46" i="37"/>
  <c r="AP31" i="37"/>
  <c r="AP48" i="37"/>
  <c r="AP32" i="37"/>
  <c r="AP50" i="37"/>
  <c r="AP34" i="37"/>
  <c r="AP54" i="37"/>
  <c r="AP40" i="37"/>
  <c r="AP73" i="37"/>
  <c r="AP38" i="37"/>
  <c r="AP30" i="37"/>
  <c r="AQ29" i="37"/>
  <c r="AP57" i="37"/>
  <c r="AP72" i="37"/>
  <c r="AP36" i="37"/>
  <c r="AP44" i="37"/>
  <c r="AP42" i="37"/>
  <c r="W40" i="53" l="1"/>
  <c r="X39" i="53"/>
  <c r="AP93" i="37"/>
  <c r="AP90" i="37"/>
  <c r="AP95" i="37"/>
  <c r="AP94" i="37"/>
  <c r="AP92" i="37"/>
  <c r="AP89" i="37"/>
  <c r="AQ81" i="37"/>
  <c r="AP88" i="37"/>
  <c r="AP87" i="37"/>
  <c r="AP96" i="37"/>
  <c r="AP86" i="37"/>
  <c r="AP85" i="37"/>
  <c r="AP91" i="37"/>
  <c r="AQ80" i="37"/>
  <c r="AQ75" i="37"/>
  <c r="AQ83" i="37"/>
  <c r="AQ78" i="37"/>
  <c r="AQ77" i="37"/>
  <c r="AQ73" i="37"/>
  <c r="AQ84" i="37"/>
  <c r="AQ64" i="37"/>
  <c r="AQ76" i="37"/>
  <c r="AQ69" i="37"/>
  <c r="AQ70" i="37"/>
  <c r="AQ82" i="37"/>
  <c r="AQ65" i="37"/>
  <c r="AQ63" i="37"/>
  <c r="AQ61" i="37"/>
  <c r="AQ59" i="37"/>
  <c r="AQ57" i="37"/>
  <c r="AQ55" i="37"/>
  <c r="AQ66" i="37"/>
  <c r="AQ62" i="37"/>
  <c r="AQ79" i="37"/>
  <c r="AQ71" i="37"/>
  <c r="AQ58" i="37"/>
  <c r="AQ68" i="37"/>
  <c r="AQ54" i="37"/>
  <c r="AQ52" i="37"/>
  <c r="AQ74" i="37"/>
  <c r="AQ67" i="37"/>
  <c r="AQ60" i="37"/>
  <c r="AQ53" i="37"/>
  <c r="AQ51" i="37"/>
  <c r="AQ49" i="37"/>
  <c r="AQ47" i="37"/>
  <c r="AQ45" i="37"/>
  <c r="AQ43" i="37"/>
  <c r="AQ41" i="37"/>
  <c r="AQ39" i="37"/>
  <c r="AQ72" i="37"/>
  <c r="AQ48" i="37"/>
  <c r="AQ33" i="37"/>
  <c r="AQ32" i="37"/>
  <c r="AQ50" i="37"/>
  <c r="AQ46" i="37"/>
  <c r="AQ34" i="37"/>
  <c r="AQ31" i="37"/>
  <c r="AQ44" i="37"/>
  <c r="AQ35" i="37"/>
  <c r="AQ36" i="37"/>
  <c r="AQ42" i="37"/>
  <c r="AQ38" i="37"/>
  <c r="AQ30" i="37"/>
  <c r="AR29" i="37"/>
  <c r="AR28" i="37" s="1"/>
  <c r="AQ56" i="37"/>
  <c r="AQ40" i="37"/>
  <c r="AQ37" i="37"/>
  <c r="AQ28" i="37"/>
  <c r="W41" i="53" l="1"/>
  <c r="X40" i="53"/>
  <c r="AQ90" i="37"/>
  <c r="AQ95" i="37"/>
  <c r="AQ92" i="37"/>
  <c r="AQ87" i="37"/>
  <c r="AQ85" i="37"/>
  <c r="AQ93" i="37"/>
  <c r="AR83" i="37"/>
  <c r="AQ96" i="37"/>
  <c r="AQ89" i="37"/>
  <c r="AR75" i="37"/>
  <c r="AR73" i="37"/>
  <c r="AQ88" i="37"/>
  <c r="AR84" i="37"/>
  <c r="AR70" i="37"/>
  <c r="AR68" i="37"/>
  <c r="AR66" i="37"/>
  <c r="AR64" i="37"/>
  <c r="AR62" i="37"/>
  <c r="AQ91" i="37"/>
  <c r="AR65" i="37"/>
  <c r="AR80" i="37"/>
  <c r="AR78" i="37"/>
  <c r="AR82" i="37"/>
  <c r="AQ86" i="37"/>
  <c r="AR71" i="37"/>
  <c r="AQ94" i="37"/>
  <c r="AR74" i="37"/>
  <c r="AR72" i="37"/>
  <c r="AR79" i="37"/>
  <c r="AR77" i="37"/>
  <c r="AR58" i="37"/>
  <c r="AR55" i="37"/>
  <c r="AR61" i="37"/>
  <c r="AR54" i="37"/>
  <c r="AR63" i="37"/>
  <c r="AR59" i="37"/>
  <c r="AR60" i="37"/>
  <c r="AR53" i="37"/>
  <c r="AR51" i="37"/>
  <c r="AR49" i="37"/>
  <c r="AR47" i="37"/>
  <c r="AR45" i="37"/>
  <c r="AR43" i="37"/>
  <c r="AR41" i="37"/>
  <c r="AR39" i="37"/>
  <c r="AR37" i="37"/>
  <c r="AR35" i="37"/>
  <c r="AR33" i="37"/>
  <c r="AR31" i="37"/>
  <c r="AR69" i="37"/>
  <c r="AR56" i="37"/>
  <c r="AR81" i="37"/>
  <c r="AR50" i="37"/>
  <c r="AR46" i="37"/>
  <c r="AR34" i="37"/>
  <c r="AR76" i="37"/>
  <c r="AR52" i="37"/>
  <c r="AR44" i="37"/>
  <c r="AR42" i="37"/>
  <c r="AR36" i="37"/>
  <c r="AR30" i="37"/>
  <c r="AR67" i="37"/>
  <c r="AR38" i="37"/>
  <c r="AS29" i="37"/>
  <c r="AS28" i="37" s="1"/>
  <c r="AR48" i="37"/>
  <c r="AR57" i="37"/>
  <c r="AR40" i="37"/>
  <c r="AR32" i="37"/>
  <c r="W42" i="53" l="1"/>
  <c r="X41" i="53"/>
  <c r="AR95" i="37"/>
  <c r="AR92" i="37"/>
  <c r="AR96" i="37"/>
  <c r="AS82" i="37"/>
  <c r="AS79" i="37"/>
  <c r="AS77" i="37"/>
  <c r="AR91" i="37"/>
  <c r="AR87" i="37"/>
  <c r="AR93" i="37"/>
  <c r="AR88" i="37"/>
  <c r="AS84" i="37"/>
  <c r="AR94" i="37"/>
  <c r="AR86" i="37"/>
  <c r="AS74" i="37"/>
  <c r="AR89" i="37"/>
  <c r="AS72" i="37"/>
  <c r="AS71" i="37"/>
  <c r="AS69" i="37"/>
  <c r="AS67" i="37"/>
  <c r="AS65" i="37"/>
  <c r="AS80" i="37"/>
  <c r="AS78" i="37"/>
  <c r="AS83" i="37"/>
  <c r="AS70" i="37"/>
  <c r="AR90" i="37"/>
  <c r="AS81" i="37"/>
  <c r="AS75" i="37"/>
  <c r="AS63" i="37"/>
  <c r="AS61" i="37"/>
  <c r="AS59" i="37"/>
  <c r="AS66" i="37"/>
  <c r="AS62" i="37"/>
  <c r="AS54" i="37"/>
  <c r="AS68" i="37"/>
  <c r="AS55" i="37"/>
  <c r="AS58" i="37"/>
  <c r="AS56" i="37"/>
  <c r="AS50" i="37"/>
  <c r="AS76" i="37"/>
  <c r="AS52" i="37"/>
  <c r="AS44" i="37"/>
  <c r="AS39" i="37"/>
  <c r="AS31" i="37"/>
  <c r="AS42" i="37"/>
  <c r="AS36" i="37"/>
  <c r="AS35" i="37"/>
  <c r="AS30" i="37"/>
  <c r="AS40" i="37"/>
  <c r="AS48" i="37"/>
  <c r="AS32" i="37"/>
  <c r="AS41" i="37"/>
  <c r="AS38" i="37"/>
  <c r="AT29" i="37"/>
  <c r="AS47" i="37"/>
  <c r="AS34" i="37"/>
  <c r="AS33" i="37"/>
  <c r="AR85" i="37"/>
  <c r="AS53" i="37"/>
  <c r="AS46" i="37"/>
  <c r="AS37" i="37"/>
  <c r="AS64" i="37"/>
  <c r="AS43" i="37"/>
  <c r="AS60" i="37"/>
  <c r="AS57" i="37"/>
  <c r="AS45" i="37"/>
  <c r="AS73" i="37"/>
  <c r="AS51" i="37"/>
  <c r="AS49" i="37"/>
  <c r="W43" i="53" l="1"/>
  <c r="X42" i="53"/>
  <c r="AS92" i="37"/>
  <c r="AS89" i="37"/>
  <c r="AS94" i="37"/>
  <c r="AS93" i="37"/>
  <c r="AS88" i="37"/>
  <c r="AS91" i="37"/>
  <c r="AT84" i="37"/>
  <c r="AS90" i="37"/>
  <c r="AS85" i="37"/>
  <c r="AT83" i="37"/>
  <c r="AT81" i="37"/>
  <c r="AT80" i="37"/>
  <c r="AT78" i="37"/>
  <c r="AS87" i="37"/>
  <c r="AT66" i="37"/>
  <c r="AT82" i="37"/>
  <c r="AT72" i="37"/>
  <c r="AT67" i="37"/>
  <c r="AT79" i="37"/>
  <c r="AT77" i="37"/>
  <c r="AT73" i="37"/>
  <c r="AS96" i="37"/>
  <c r="AT75" i="37"/>
  <c r="AT71" i="37"/>
  <c r="AT63" i="37"/>
  <c r="AT61" i="37"/>
  <c r="AT59" i="37"/>
  <c r="AT64" i="37"/>
  <c r="AT68" i="37"/>
  <c r="AS95" i="37"/>
  <c r="AT65" i="37"/>
  <c r="AT70" i="37"/>
  <c r="AT62" i="37"/>
  <c r="AT55" i="37"/>
  <c r="AS86" i="37"/>
  <c r="AT69" i="37"/>
  <c r="AT58" i="37"/>
  <c r="AT56" i="37"/>
  <c r="AT50" i="37"/>
  <c r="AT48" i="37"/>
  <c r="AT46" i="37"/>
  <c r="AT44" i="37"/>
  <c r="AT42" i="37"/>
  <c r="AT40" i="37"/>
  <c r="AT38" i="37"/>
  <c r="AT36" i="37"/>
  <c r="AT34" i="37"/>
  <c r="AT76" i="37"/>
  <c r="AT57" i="37"/>
  <c r="AT54" i="37"/>
  <c r="AT52" i="37"/>
  <c r="AT35" i="37"/>
  <c r="AT30" i="37"/>
  <c r="AT49" i="37"/>
  <c r="AT37" i="37"/>
  <c r="AT47" i="37"/>
  <c r="AT39" i="37"/>
  <c r="AT33" i="37"/>
  <c r="AT51" i="37"/>
  <c r="AT53" i="37"/>
  <c r="AT60" i="37"/>
  <c r="AT45" i="37"/>
  <c r="AT32" i="37"/>
  <c r="AT41" i="37"/>
  <c r="AT31" i="37"/>
  <c r="AT74" i="37"/>
  <c r="AT43" i="37"/>
  <c r="AU29" i="37"/>
  <c r="AT28" i="37"/>
  <c r="W44" i="53" l="1"/>
  <c r="X43" i="53"/>
  <c r="AT94" i="37"/>
  <c r="AT96" i="37"/>
  <c r="AT86" i="37"/>
  <c r="AT95" i="37"/>
  <c r="AT90" i="37"/>
  <c r="AT87" i="37"/>
  <c r="AU83" i="37"/>
  <c r="AT93" i="37"/>
  <c r="AT89" i="37"/>
  <c r="AT85" i="37"/>
  <c r="AT88" i="37"/>
  <c r="AU77" i="37"/>
  <c r="AU73" i="37"/>
  <c r="AU76" i="37"/>
  <c r="AT92" i="37"/>
  <c r="AU82" i="37"/>
  <c r="AU79" i="37"/>
  <c r="AU72" i="37"/>
  <c r="AU67" i="37"/>
  <c r="AU68" i="37"/>
  <c r="AU74" i="37"/>
  <c r="AT91" i="37"/>
  <c r="AU81" i="37"/>
  <c r="AU64" i="37"/>
  <c r="AU65" i="37"/>
  <c r="AU62" i="37"/>
  <c r="AU60" i="37"/>
  <c r="AU58" i="37"/>
  <c r="AU56" i="37"/>
  <c r="AU71" i="37"/>
  <c r="AU61" i="37"/>
  <c r="AU75" i="37"/>
  <c r="AU63" i="37"/>
  <c r="AU59" i="37"/>
  <c r="AU84" i="37"/>
  <c r="AU69" i="37"/>
  <c r="AU57" i="37"/>
  <c r="AU53" i="37"/>
  <c r="AU50" i="37"/>
  <c r="AU48" i="37"/>
  <c r="AU46" i="37"/>
  <c r="AU44" i="37"/>
  <c r="AU42" i="37"/>
  <c r="AU40" i="37"/>
  <c r="AU38" i="37"/>
  <c r="AU54" i="37"/>
  <c r="AU52" i="37"/>
  <c r="AU36" i="37"/>
  <c r="AV29" i="37"/>
  <c r="AV28" i="37" s="1"/>
  <c r="AU49" i="37"/>
  <c r="AU37" i="37"/>
  <c r="AU47" i="37"/>
  <c r="AU70" i="37"/>
  <c r="AU55" i="37"/>
  <c r="AU34" i="37"/>
  <c r="AU30" i="37"/>
  <c r="AU45" i="37"/>
  <c r="AU35" i="37"/>
  <c r="AU31" i="37"/>
  <c r="AU51" i="37"/>
  <c r="AU41" i="37"/>
  <c r="AU66" i="37"/>
  <c r="AU33" i="37"/>
  <c r="AU43" i="37"/>
  <c r="AU32" i="37"/>
  <c r="AU78" i="37"/>
  <c r="AU80" i="37"/>
  <c r="AU39" i="37"/>
  <c r="AU28" i="37"/>
  <c r="W45" i="53" l="1"/>
  <c r="X44" i="53"/>
  <c r="AU94" i="37"/>
  <c r="AU91" i="37"/>
  <c r="AU96" i="37"/>
  <c r="AU95" i="37"/>
  <c r="AU90" i="37"/>
  <c r="AU93" i="37"/>
  <c r="AU86" i="37"/>
  <c r="AU89" i="37"/>
  <c r="AU92" i="37"/>
  <c r="AU87" i="37"/>
  <c r="AV82" i="37"/>
  <c r="AV79" i="37"/>
  <c r="AV76" i="37"/>
  <c r="AV74" i="37"/>
  <c r="AV72" i="37"/>
  <c r="AV71" i="37"/>
  <c r="AV69" i="37"/>
  <c r="AV67" i="37"/>
  <c r="AV65" i="37"/>
  <c r="AV63" i="37"/>
  <c r="AV81" i="37"/>
  <c r="AV80" i="37"/>
  <c r="AV68" i="37"/>
  <c r="AV83" i="37"/>
  <c r="AV77" i="37"/>
  <c r="AV73" i="37"/>
  <c r="AV75" i="37"/>
  <c r="AV62" i="37"/>
  <c r="AV66" i="37"/>
  <c r="AV78" i="37"/>
  <c r="AV59" i="37"/>
  <c r="AV84" i="37"/>
  <c r="AV57" i="37"/>
  <c r="AV53" i="37"/>
  <c r="AV58" i="37"/>
  <c r="AV56" i="37"/>
  <c r="AV50" i="37"/>
  <c r="AV48" i="37"/>
  <c r="AV46" i="37"/>
  <c r="AV44" i="37"/>
  <c r="AV42" i="37"/>
  <c r="AV40" i="37"/>
  <c r="AV38" i="37"/>
  <c r="AV36" i="37"/>
  <c r="AV34" i="37"/>
  <c r="AV32" i="37"/>
  <c r="AV30" i="37"/>
  <c r="AV54" i="37"/>
  <c r="AV52" i="37"/>
  <c r="AV49" i="37"/>
  <c r="AV37" i="37"/>
  <c r="AV64" i="37"/>
  <c r="AV55" i="37"/>
  <c r="AV47" i="37"/>
  <c r="AW29" i="37"/>
  <c r="AU85" i="37"/>
  <c r="AV45" i="37"/>
  <c r="AV61" i="37"/>
  <c r="AV35" i="37"/>
  <c r="AV41" i="37"/>
  <c r="AV70" i="37"/>
  <c r="AV60" i="37"/>
  <c r="AV31" i="37"/>
  <c r="AV43" i="37"/>
  <c r="AV51" i="37"/>
  <c r="AU88" i="37"/>
  <c r="AV39" i="37"/>
  <c r="AV33" i="37"/>
  <c r="W46" i="53" l="1"/>
  <c r="X45" i="53"/>
  <c r="AV91" i="37"/>
  <c r="AV96" i="37"/>
  <c r="AV93" i="37"/>
  <c r="AV92" i="37"/>
  <c r="AV88" i="37"/>
  <c r="AW84" i="37"/>
  <c r="AW80" i="37"/>
  <c r="AW78" i="37"/>
  <c r="AV87" i="37"/>
  <c r="AV90" i="37"/>
  <c r="AW83" i="37"/>
  <c r="AW72" i="37"/>
  <c r="AW82" i="37"/>
  <c r="AW81" i="37"/>
  <c r="AW79" i="37"/>
  <c r="AW75" i="37"/>
  <c r="AW70" i="37"/>
  <c r="AW68" i="37"/>
  <c r="AW66" i="37"/>
  <c r="AW64" i="37"/>
  <c r="AV85" i="37"/>
  <c r="AW77" i="37"/>
  <c r="AW73" i="37"/>
  <c r="AW74" i="37"/>
  <c r="AW69" i="37"/>
  <c r="AV95" i="37"/>
  <c r="AW65" i="37"/>
  <c r="AW60" i="37"/>
  <c r="AW58" i="37"/>
  <c r="AW63" i="37"/>
  <c r="AW57" i="37"/>
  <c r="AW53" i="37"/>
  <c r="AW76" i="37"/>
  <c r="AW56" i="37"/>
  <c r="AV86" i="37"/>
  <c r="AW54" i="37"/>
  <c r="AW52" i="37"/>
  <c r="AV94" i="37"/>
  <c r="AV89" i="37"/>
  <c r="AW51" i="37"/>
  <c r="AW47" i="37"/>
  <c r="AW42" i="37"/>
  <c r="AX29" i="37"/>
  <c r="AX28" i="37" s="1"/>
  <c r="AW67" i="37"/>
  <c r="AW38" i="37"/>
  <c r="AW55" i="37"/>
  <c r="AW45" i="37"/>
  <c r="AW40" i="37"/>
  <c r="AW43" i="37"/>
  <c r="AW50" i="37"/>
  <c r="AW31" i="37"/>
  <c r="AW61" i="37"/>
  <c r="AW48" i="37"/>
  <c r="AW71" i="37"/>
  <c r="AW46" i="37"/>
  <c r="AW37" i="37"/>
  <c r="AW36" i="37"/>
  <c r="AW32" i="37"/>
  <c r="AW59" i="37"/>
  <c r="AW33" i="37"/>
  <c r="AW49" i="37"/>
  <c r="AW35" i="37"/>
  <c r="AW30" i="37"/>
  <c r="AW44" i="37"/>
  <c r="AW41" i="37"/>
  <c r="AW39" i="37"/>
  <c r="AW62" i="37"/>
  <c r="AW34" i="37"/>
  <c r="AW28" i="37"/>
  <c r="W47" i="53" l="1"/>
  <c r="X47" i="53" s="1"/>
  <c r="X46" i="53"/>
  <c r="AW96" i="37"/>
  <c r="AW93" i="37"/>
  <c r="AW95" i="37"/>
  <c r="AW91" i="37"/>
  <c r="AW94" i="37"/>
  <c r="AX84" i="37"/>
  <c r="AW86" i="37"/>
  <c r="AX83" i="37"/>
  <c r="AW89" i="37"/>
  <c r="AX80" i="37"/>
  <c r="AW92" i="37"/>
  <c r="AX78" i="37"/>
  <c r="AW85" i="37"/>
  <c r="AX82" i="37"/>
  <c r="AX74" i="37"/>
  <c r="AX69" i="37"/>
  <c r="AX79" i="37"/>
  <c r="AX75" i="37"/>
  <c r="AX70" i="37"/>
  <c r="AX76" i="37"/>
  <c r="AW90" i="37"/>
  <c r="AX66" i="37"/>
  <c r="AX60" i="37"/>
  <c r="AX67" i="37"/>
  <c r="AX65" i="37"/>
  <c r="AX56" i="37"/>
  <c r="AX55" i="37"/>
  <c r="AX77" i="37"/>
  <c r="AX72" i="37"/>
  <c r="AX63" i="37"/>
  <c r="AX57" i="37"/>
  <c r="AX51" i="37"/>
  <c r="AX49" i="37"/>
  <c r="AX47" i="37"/>
  <c r="AX45" i="37"/>
  <c r="AX43" i="37"/>
  <c r="AX41" i="37"/>
  <c r="AX39" i="37"/>
  <c r="AX37" i="37"/>
  <c r="AX35" i="37"/>
  <c r="AX33" i="37"/>
  <c r="AW87" i="37"/>
  <c r="AX81" i="37"/>
  <c r="AX73" i="37"/>
  <c r="AX68" i="37"/>
  <c r="AX40" i="37"/>
  <c r="AX32" i="37"/>
  <c r="AX64" i="37"/>
  <c r="AX38" i="37"/>
  <c r="AW88" i="37"/>
  <c r="AX71" i="37"/>
  <c r="AX53" i="37"/>
  <c r="AX46" i="37"/>
  <c r="AX36" i="37"/>
  <c r="AX52" i="37"/>
  <c r="AX34" i="37"/>
  <c r="AX54" i="37"/>
  <c r="AX44" i="37"/>
  <c r="AX42" i="37"/>
  <c r="AY29" i="37"/>
  <c r="AX62" i="37"/>
  <c r="AX48" i="37"/>
  <c r="AX30" i="37"/>
  <c r="AX58" i="37"/>
  <c r="AX50" i="37"/>
  <c r="AX59" i="37"/>
  <c r="AX61" i="37"/>
  <c r="AX31" i="37"/>
  <c r="X49" i="53" l="1"/>
  <c r="B24" i="1" s="1"/>
  <c r="B28" i="1" s="1"/>
  <c r="AX93" i="37"/>
  <c r="AX90" i="37"/>
  <c r="AX95" i="37"/>
  <c r="AX94" i="37"/>
  <c r="AX91" i="37"/>
  <c r="AX89" i="37"/>
  <c r="AY81" i="37"/>
  <c r="AX96" i="37"/>
  <c r="AX92" i="37"/>
  <c r="AX88" i="37"/>
  <c r="AY82" i="37"/>
  <c r="AY79" i="37"/>
  <c r="AX86" i="37"/>
  <c r="AY77" i="37"/>
  <c r="AY76" i="37"/>
  <c r="AY80" i="37"/>
  <c r="AY74" i="37"/>
  <c r="AX87" i="37"/>
  <c r="AY83" i="37"/>
  <c r="AY75" i="37"/>
  <c r="AY70" i="37"/>
  <c r="AY71" i="37"/>
  <c r="AY72" i="37"/>
  <c r="AY73" i="37"/>
  <c r="AY68" i="37"/>
  <c r="AY61" i="37"/>
  <c r="AY59" i="37"/>
  <c r="AY57" i="37"/>
  <c r="AY55" i="37"/>
  <c r="AY84" i="37"/>
  <c r="AY65" i="37"/>
  <c r="AY56" i="37"/>
  <c r="AY69" i="37"/>
  <c r="AY64" i="37"/>
  <c r="AY60" i="37"/>
  <c r="AY54" i="37"/>
  <c r="AY52" i="37"/>
  <c r="AY63" i="37"/>
  <c r="AY51" i="37"/>
  <c r="AY49" i="37"/>
  <c r="AY47" i="37"/>
  <c r="AY45" i="37"/>
  <c r="AY43" i="37"/>
  <c r="AY41" i="37"/>
  <c r="AY39" i="37"/>
  <c r="AY66" i="37"/>
  <c r="AY38" i="37"/>
  <c r="AY33" i="37"/>
  <c r="AX85" i="37"/>
  <c r="AY67" i="37"/>
  <c r="AY32" i="37"/>
  <c r="AY31" i="37"/>
  <c r="AY37" i="37"/>
  <c r="AY48" i="37"/>
  <c r="AY40" i="37"/>
  <c r="AY30" i="37"/>
  <c r="AY44" i="37"/>
  <c r="AY62" i="37"/>
  <c r="AY58" i="37"/>
  <c r="AY50" i="37"/>
  <c r="AY35" i="37"/>
  <c r="AY53" i="37"/>
  <c r="AY78" i="37"/>
  <c r="AY42" i="37"/>
  <c r="AZ29" i="37"/>
  <c r="AZ28" i="37" s="1"/>
  <c r="AY34" i="37"/>
  <c r="AY46" i="37"/>
  <c r="AY36" i="37"/>
  <c r="AY28" i="37"/>
  <c r="F41" i="1" l="1"/>
  <c r="H24" i="1"/>
  <c r="AY90" i="37"/>
  <c r="AY95" i="37"/>
  <c r="AY92" i="37"/>
  <c r="AY89" i="37"/>
  <c r="AY87" i="37"/>
  <c r="AY85" i="37"/>
  <c r="AY88" i="37"/>
  <c r="AY94" i="37"/>
  <c r="AY91" i="37"/>
  <c r="AZ81" i="37"/>
  <c r="AZ75" i="37"/>
  <c r="AZ73" i="37"/>
  <c r="AZ70" i="37"/>
  <c r="AZ68" i="37"/>
  <c r="AZ66" i="37"/>
  <c r="AZ64" i="37"/>
  <c r="AZ62" i="37"/>
  <c r="AZ84" i="37"/>
  <c r="AZ78" i="37"/>
  <c r="AZ79" i="37"/>
  <c r="AZ71" i="37"/>
  <c r="AZ76" i="37"/>
  <c r="AY96" i="37"/>
  <c r="AZ72" i="37"/>
  <c r="AY93" i="37"/>
  <c r="AZ74" i="37"/>
  <c r="AZ67" i="37"/>
  <c r="AZ69" i="37"/>
  <c r="AZ63" i="37"/>
  <c r="AZ60" i="37"/>
  <c r="AZ55" i="37"/>
  <c r="AZ54" i="37"/>
  <c r="AZ58" i="37"/>
  <c r="AZ65" i="37"/>
  <c r="AZ51" i="37"/>
  <c r="AZ49" i="37"/>
  <c r="AZ47" i="37"/>
  <c r="AZ45" i="37"/>
  <c r="AZ43" i="37"/>
  <c r="AZ41" i="37"/>
  <c r="AZ39" i="37"/>
  <c r="AZ37" i="37"/>
  <c r="AZ35" i="37"/>
  <c r="AZ33" i="37"/>
  <c r="AZ31" i="37"/>
  <c r="AZ57" i="37"/>
  <c r="AZ83" i="37"/>
  <c r="AZ82" i="37"/>
  <c r="AZ80" i="37"/>
  <c r="AZ61" i="37"/>
  <c r="AZ53" i="37"/>
  <c r="AZ32" i="37"/>
  <c r="AZ48" i="37"/>
  <c r="AZ34" i="37"/>
  <c r="AZ44" i="37"/>
  <c r="AZ77" i="37"/>
  <c r="AZ46" i="37"/>
  <c r="AZ38" i="37"/>
  <c r="AY86" i="37"/>
  <c r="AZ56" i="37"/>
  <c r="AZ42" i="37"/>
  <c r="AZ40" i="37"/>
  <c r="AZ30" i="37"/>
  <c r="AZ52" i="37"/>
  <c r="AZ50" i="37"/>
  <c r="AZ36" i="37"/>
  <c r="AZ59" i="37"/>
  <c r="BA29" i="37"/>
  <c r="BA28" i="37" s="1"/>
  <c r="H40" i="1" l="1"/>
  <c r="I43" i="1" s="1"/>
  <c r="E40" i="1"/>
  <c r="E41" i="1" s="1"/>
  <c r="G42" i="1" s="1"/>
  <c r="E48" i="19"/>
  <c r="AZ95" i="37"/>
  <c r="AZ92" i="37"/>
  <c r="AZ96" i="37"/>
  <c r="AZ94" i="37"/>
  <c r="BA82" i="37"/>
  <c r="BA79" i="37"/>
  <c r="BA77" i="37"/>
  <c r="AZ87" i="37"/>
  <c r="AZ91" i="37"/>
  <c r="AZ86" i="37"/>
  <c r="BA83" i="37"/>
  <c r="AZ85" i="37"/>
  <c r="BA84" i="37"/>
  <c r="AZ90" i="37"/>
  <c r="BA75" i="37"/>
  <c r="BA78" i="37"/>
  <c r="BA73" i="37"/>
  <c r="BA71" i="37"/>
  <c r="BA69" i="37"/>
  <c r="BA67" i="37"/>
  <c r="BA65" i="37"/>
  <c r="AZ93" i="37"/>
  <c r="BA76" i="37"/>
  <c r="AZ89" i="37"/>
  <c r="BA81" i="37"/>
  <c r="BA74" i="37"/>
  <c r="BA61" i="37"/>
  <c r="BA59" i="37"/>
  <c r="BA60" i="37"/>
  <c r="BA55" i="37"/>
  <c r="BA54" i="37"/>
  <c r="BA64" i="37"/>
  <c r="BA58" i="37"/>
  <c r="BA80" i="37"/>
  <c r="BA72" i="37"/>
  <c r="BA63" i="37"/>
  <c r="BA57" i="37"/>
  <c r="BA66" i="37"/>
  <c r="BA53" i="37"/>
  <c r="BA68" i="37"/>
  <c r="BA50" i="37"/>
  <c r="BA45" i="37"/>
  <c r="BA56" i="37"/>
  <c r="BA46" i="37"/>
  <c r="BA30" i="37"/>
  <c r="AZ88" i="37"/>
  <c r="BA48" i="37"/>
  <c r="BA43" i="37"/>
  <c r="BA34" i="37"/>
  <c r="BA33" i="37"/>
  <c r="BA31" i="37"/>
  <c r="BA41" i="37"/>
  <c r="BB29" i="37"/>
  <c r="BA39" i="37"/>
  <c r="BA47" i="37"/>
  <c r="BA42" i="37"/>
  <c r="BA32" i="37"/>
  <c r="BA62" i="37"/>
  <c r="BA52" i="37"/>
  <c r="BA49" i="37"/>
  <c r="BA38" i="37"/>
  <c r="BA70" i="37"/>
  <c r="BA44" i="37"/>
  <c r="BA51" i="37"/>
  <c r="BA40" i="37"/>
  <c r="BA36" i="37"/>
  <c r="BA35" i="37"/>
  <c r="BA37" i="37"/>
  <c r="G14" i="33" l="1"/>
  <c r="E16" i="33" s="1"/>
  <c r="I44" i="1"/>
  <c r="J44" i="1" s="1"/>
  <c r="K44" i="1" s="1"/>
  <c r="K45" i="1" s="1"/>
  <c r="K46" i="1" s="1"/>
  <c r="BA92" i="37"/>
  <c r="BA89" i="37"/>
  <c r="BA94" i="37"/>
  <c r="BA93" i="37"/>
  <c r="BA95" i="37"/>
  <c r="BA90" i="37"/>
  <c r="BA96" i="37"/>
  <c r="BA85" i="37"/>
  <c r="BB83" i="37"/>
  <c r="BB82" i="37"/>
  <c r="BB81" i="37"/>
  <c r="BB80" i="37"/>
  <c r="BB79" i="37"/>
  <c r="BB74" i="37"/>
  <c r="BA87" i="37"/>
  <c r="BB84" i="37"/>
  <c r="BB77" i="37"/>
  <c r="BB72" i="37"/>
  <c r="BA88" i="37"/>
  <c r="BA86" i="37"/>
  <c r="BB64" i="37"/>
  <c r="BB67" i="37"/>
  <c r="BB61" i="37"/>
  <c r="BB59" i="37"/>
  <c r="BB78" i="37"/>
  <c r="BB68" i="37"/>
  <c r="BB63" i="37"/>
  <c r="BB76" i="37"/>
  <c r="BB70" i="37"/>
  <c r="BB62" i="37"/>
  <c r="BB75" i="37"/>
  <c r="BB69" i="37"/>
  <c r="BB58" i="37"/>
  <c r="BB73" i="37"/>
  <c r="BB66" i="37"/>
  <c r="BB53" i="37"/>
  <c r="BA91" i="37"/>
  <c r="BB50" i="37"/>
  <c r="BB48" i="37"/>
  <c r="BB46" i="37"/>
  <c r="BB44" i="37"/>
  <c r="BB42" i="37"/>
  <c r="BB40" i="37"/>
  <c r="BB38" i="37"/>
  <c r="BB36" i="37"/>
  <c r="BB34" i="37"/>
  <c r="BB71" i="37"/>
  <c r="BB55" i="37"/>
  <c r="BB43" i="37"/>
  <c r="BB33" i="37"/>
  <c r="BB31" i="37"/>
  <c r="BB54" i="37"/>
  <c r="BB35" i="37"/>
  <c r="BB56" i="37"/>
  <c r="BB41" i="37"/>
  <c r="BB30" i="37"/>
  <c r="BB51" i="37"/>
  <c r="BB39" i="37"/>
  <c r="BB60" i="37"/>
  <c r="BB45" i="37"/>
  <c r="BB32" i="37"/>
  <c r="BB37" i="37"/>
  <c r="BC29" i="37"/>
  <c r="BC28" i="37" s="1"/>
  <c r="BB57" i="37"/>
  <c r="BB49" i="37"/>
  <c r="BB65" i="37"/>
  <c r="BB52" i="37"/>
  <c r="BB47" i="37"/>
  <c r="BB28" i="37"/>
  <c r="J45" i="1" l="1"/>
  <c r="J46" i="1" s="1"/>
  <c r="E17" i="33"/>
  <c r="E50" i="19"/>
  <c r="G37" i="33"/>
  <c r="C50" i="33"/>
  <c r="D46" i="1"/>
  <c r="G24" i="33"/>
  <c r="BB94" i="37"/>
  <c r="BB86" i="37"/>
  <c r="BB96" i="37"/>
  <c r="BB88" i="37"/>
  <c r="BC83" i="37"/>
  <c r="BB90" i="37"/>
  <c r="BC84" i="37"/>
  <c r="BC81" i="37"/>
  <c r="BC80" i="37"/>
  <c r="BB91" i="37"/>
  <c r="BB89" i="37"/>
  <c r="BB93" i="37"/>
  <c r="BB92" i="37"/>
  <c r="BC65" i="37"/>
  <c r="BB95" i="37"/>
  <c r="BB85" i="37"/>
  <c r="BC78" i="37"/>
  <c r="BC68" i="37"/>
  <c r="BC63" i="37"/>
  <c r="BB87" i="37"/>
  <c r="BC82" i="37"/>
  <c r="BC73" i="37"/>
  <c r="BC69" i="37"/>
  <c r="BC79" i="37"/>
  <c r="BC77" i="37"/>
  <c r="BC71" i="37"/>
  <c r="BC64" i="37"/>
  <c r="BC60" i="37"/>
  <c r="BC58" i="37"/>
  <c r="BC56" i="37"/>
  <c r="BC76" i="37"/>
  <c r="BC72" i="37"/>
  <c r="BC70" i="37"/>
  <c r="BC62" i="37"/>
  <c r="BC53" i="37"/>
  <c r="BC66" i="37"/>
  <c r="BC75" i="37"/>
  <c r="BC50" i="37"/>
  <c r="BC48" i="37"/>
  <c r="BC46" i="37"/>
  <c r="BC44" i="37"/>
  <c r="BC42" i="37"/>
  <c r="BC40" i="37"/>
  <c r="BC38" i="37"/>
  <c r="BC61" i="37"/>
  <c r="BC55" i="37"/>
  <c r="BC52" i="37"/>
  <c r="BC67" i="37"/>
  <c r="BC41" i="37"/>
  <c r="BC34" i="37"/>
  <c r="BC30" i="37"/>
  <c r="BC57" i="37"/>
  <c r="BC36" i="37"/>
  <c r="BC54" i="37"/>
  <c r="BC51" i="37"/>
  <c r="BC39" i="37"/>
  <c r="BC35" i="37"/>
  <c r="BD29" i="37"/>
  <c r="BD28" i="37" s="1"/>
  <c r="BC37" i="37"/>
  <c r="BC43" i="37"/>
  <c r="BC59" i="37"/>
  <c r="BC31" i="37"/>
  <c r="BC45" i="37"/>
  <c r="BC32" i="37"/>
  <c r="BC74" i="37"/>
  <c r="BC49" i="37"/>
  <c r="BC33" i="37"/>
  <c r="BC47" i="37"/>
  <c r="C50" i="19" l="1"/>
  <c r="I57" i="19"/>
  <c r="E26" i="33"/>
  <c r="E27" i="33"/>
  <c r="E50" i="33"/>
  <c r="F50" i="33" s="1"/>
  <c r="I42" i="33" s="1"/>
  <c r="K1" i="33" s="1"/>
  <c r="G50" i="33"/>
  <c r="E41" i="33"/>
  <c r="E40" i="33"/>
  <c r="E52" i="19"/>
  <c r="C52" i="19" s="1"/>
  <c r="BC94" i="37"/>
  <c r="BC91" i="37"/>
  <c r="BC96" i="37"/>
  <c r="BC95" i="37"/>
  <c r="BC93" i="37"/>
  <c r="BC87" i="37"/>
  <c r="BC92" i="37"/>
  <c r="BC85" i="37"/>
  <c r="BC89" i="37"/>
  <c r="BC86" i="37"/>
  <c r="BC88" i="37"/>
  <c r="BD76" i="37"/>
  <c r="BD74" i="37"/>
  <c r="BD72" i="37"/>
  <c r="BD78" i="37"/>
  <c r="BD73" i="37"/>
  <c r="BD71" i="37"/>
  <c r="BD69" i="37"/>
  <c r="BD67" i="37"/>
  <c r="BD65" i="37"/>
  <c r="BD63" i="37"/>
  <c r="BD66" i="37"/>
  <c r="BD81" i="37"/>
  <c r="BC90" i="37"/>
  <c r="BD82" i="37"/>
  <c r="BD70" i="37"/>
  <c r="BD62" i="37"/>
  <c r="BD64" i="37"/>
  <c r="BD80" i="37"/>
  <c r="BD53" i="37"/>
  <c r="BD83" i="37"/>
  <c r="BD61" i="37"/>
  <c r="BD57" i="37"/>
  <c r="BD75" i="37"/>
  <c r="BD50" i="37"/>
  <c r="BD48" i="37"/>
  <c r="BD46" i="37"/>
  <c r="BD44" i="37"/>
  <c r="BD42" i="37"/>
  <c r="BD40" i="37"/>
  <c r="BD38" i="37"/>
  <c r="BD36" i="37"/>
  <c r="BD34" i="37"/>
  <c r="BD32" i="37"/>
  <c r="BD30" i="37"/>
  <c r="BD68" i="37"/>
  <c r="BD55" i="37"/>
  <c r="BD52" i="37"/>
  <c r="BD60" i="37"/>
  <c r="BD59" i="37"/>
  <c r="BD79" i="37"/>
  <c r="BD56" i="37"/>
  <c r="BD54" i="37"/>
  <c r="BD51" i="37"/>
  <c r="BD39" i="37"/>
  <c r="BD35" i="37"/>
  <c r="BD37" i="37"/>
  <c r="BE29" i="37"/>
  <c r="BE28" i="37" s="1"/>
  <c r="BD77" i="37"/>
  <c r="BD43" i="37"/>
  <c r="BD49" i="37"/>
  <c r="BD41" i="37"/>
  <c r="BD47" i="37"/>
  <c r="BD31" i="37"/>
  <c r="BD45" i="37"/>
  <c r="BD84" i="37"/>
  <c r="BD33" i="37"/>
  <c r="BD58" i="37"/>
  <c r="E53" i="33" l="1"/>
  <c r="E54" i="33"/>
  <c r="BD91" i="37"/>
  <c r="BD96" i="37"/>
  <c r="BD93" i="37"/>
  <c r="BD92" i="37"/>
  <c r="BD88" i="37"/>
  <c r="BD86" i="37"/>
  <c r="BE84" i="37"/>
  <c r="BE80" i="37"/>
  <c r="BE78" i="37"/>
  <c r="BD87" i="37"/>
  <c r="BE82" i="37"/>
  <c r="BE79" i="37"/>
  <c r="BD85" i="37"/>
  <c r="BE77" i="37"/>
  <c r="BE76" i="37"/>
  <c r="BE70" i="37"/>
  <c r="BE68" i="37"/>
  <c r="BE66" i="37"/>
  <c r="BE64" i="37"/>
  <c r="BD95" i="37"/>
  <c r="BD94" i="37"/>
  <c r="BE83" i="37"/>
  <c r="BE81" i="37"/>
  <c r="BD90" i="37"/>
  <c r="BD89" i="37"/>
  <c r="BE67" i="37"/>
  <c r="BE73" i="37"/>
  <c r="BE69" i="37"/>
  <c r="BE62" i="37"/>
  <c r="BE60" i="37"/>
  <c r="BE58" i="37"/>
  <c r="BE75" i="37"/>
  <c r="BE65" i="37"/>
  <c r="BE72" i="37"/>
  <c r="BE53" i="37"/>
  <c r="BE61" i="37"/>
  <c r="BE57" i="37"/>
  <c r="BE59" i="37"/>
  <c r="BE55" i="37"/>
  <c r="BE52" i="37"/>
  <c r="BE71" i="37"/>
  <c r="BE56" i="37"/>
  <c r="BE54" i="37"/>
  <c r="BE51" i="37"/>
  <c r="BE48" i="37"/>
  <c r="BF29" i="37"/>
  <c r="BF28" i="37" s="1"/>
  <c r="BE44" i="37"/>
  <c r="BE46" i="37"/>
  <c r="BE37" i="37"/>
  <c r="BE36" i="37"/>
  <c r="BE49" i="37"/>
  <c r="BE42" i="37"/>
  <c r="BE38" i="37"/>
  <c r="BE35" i="37"/>
  <c r="BE31" i="37"/>
  <c r="BE63" i="37"/>
  <c r="BE32" i="37"/>
  <c r="BE43" i="37"/>
  <c r="BE41" i="37"/>
  <c r="BE74" i="37"/>
  <c r="BE40" i="37"/>
  <c r="BE33" i="37"/>
  <c r="BE50" i="37"/>
  <c r="BE34" i="37"/>
  <c r="BE45" i="37"/>
  <c r="BE47" i="37"/>
  <c r="BE39" i="37"/>
  <c r="BE30" i="37"/>
  <c r="BE96" i="37" l="1"/>
  <c r="BE93" i="37"/>
  <c r="BE90" i="37"/>
  <c r="BE94" i="37"/>
  <c r="BE92" i="37"/>
  <c r="BE95" i="37"/>
  <c r="BE91" i="37"/>
  <c r="BE89" i="37"/>
  <c r="BE85" i="37"/>
  <c r="BF84" i="37"/>
  <c r="BF83" i="37"/>
  <c r="BE87" i="37"/>
  <c r="BF72" i="37"/>
  <c r="BE88" i="37"/>
  <c r="BE86" i="37"/>
  <c r="BF75" i="37"/>
  <c r="BF67" i="37"/>
  <c r="BF68" i="37"/>
  <c r="BF78" i="37"/>
  <c r="BF73" i="37"/>
  <c r="BF70" i="37"/>
  <c r="BF60" i="37"/>
  <c r="BF58" i="37"/>
  <c r="BF79" i="37"/>
  <c r="BF77" i="37"/>
  <c r="BF76" i="37"/>
  <c r="BF71" i="37"/>
  <c r="BF64" i="37"/>
  <c r="BF80" i="37"/>
  <c r="BF66" i="37"/>
  <c r="BF61" i="37"/>
  <c r="BF57" i="37"/>
  <c r="BF62" i="37"/>
  <c r="BF59" i="37"/>
  <c r="BF56" i="37"/>
  <c r="BF69" i="37"/>
  <c r="BF55" i="37"/>
  <c r="BF53" i="37"/>
  <c r="BF52" i="37"/>
  <c r="BF82" i="37"/>
  <c r="BF81" i="37"/>
  <c r="BF54" i="37"/>
  <c r="BF51" i="37"/>
  <c r="BF49" i="37"/>
  <c r="BF47" i="37"/>
  <c r="BF45" i="37"/>
  <c r="BF43" i="37"/>
  <c r="BF41" i="37"/>
  <c r="BF39" i="37"/>
  <c r="BF37" i="37"/>
  <c r="BF35" i="37"/>
  <c r="BF33" i="37"/>
  <c r="BF46" i="37"/>
  <c r="BF36" i="37"/>
  <c r="BF50" i="37"/>
  <c r="BF42" i="37"/>
  <c r="BF44" i="37"/>
  <c r="BG29" i="37"/>
  <c r="BG28" i="37" s="1"/>
  <c r="BF65" i="37"/>
  <c r="BF74" i="37"/>
  <c r="BF40" i="37"/>
  <c r="BF30" i="37"/>
  <c r="BF48" i="37"/>
  <c r="BF32" i="37"/>
  <c r="BF38" i="37"/>
  <c r="BF34" i="37"/>
  <c r="BF31" i="37"/>
  <c r="BF63" i="37"/>
  <c r="BF93" i="37" l="1"/>
  <c r="BF90" i="37"/>
  <c r="BF95" i="37"/>
  <c r="BF94" i="37"/>
  <c r="BF92" i="37"/>
  <c r="BG81" i="37"/>
  <c r="BG84" i="37"/>
  <c r="BF96" i="37"/>
  <c r="BF88" i="37"/>
  <c r="BG83" i="37"/>
  <c r="BG80" i="37"/>
  <c r="BG78" i="37"/>
  <c r="BG82" i="37"/>
  <c r="BG79" i="37"/>
  <c r="BF89" i="37"/>
  <c r="BG68" i="37"/>
  <c r="BF85" i="37"/>
  <c r="BG73" i="37"/>
  <c r="BG72" i="37"/>
  <c r="BG69" i="37"/>
  <c r="BF86" i="37"/>
  <c r="BG77" i="37"/>
  <c r="BG74" i="37"/>
  <c r="BF87" i="37"/>
  <c r="BG76" i="37"/>
  <c r="BG71" i="37"/>
  <c r="BG64" i="37"/>
  <c r="BG65" i="37"/>
  <c r="BG61" i="37"/>
  <c r="BG59" i="37"/>
  <c r="BG57" i="37"/>
  <c r="BG55" i="37"/>
  <c r="BG62" i="37"/>
  <c r="BG70" i="37"/>
  <c r="BG56" i="37"/>
  <c r="BF91" i="37"/>
  <c r="BG67" i="37"/>
  <c r="BG66" i="37"/>
  <c r="BG63" i="37"/>
  <c r="BG54" i="37"/>
  <c r="BG52" i="37"/>
  <c r="BG51" i="37"/>
  <c r="BG49" i="37"/>
  <c r="BG47" i="37"/>
  <c r="BG45" i="37"/>
  <c r="BG43" i="37"/>
  <c r="BG41" i="37"/>
  <c r="BG39" i="37"/>
  <c r="BG60" i="37"/>
  <c r="BG44" i="37"/>
  <c r="BG37" i="37"/>
  <c r="BG40" i="37"/>
  <c r="BG50" i="37"/>
  <c r="BG42" i="37"/>
  <c r="BG32" i="37"/>
  <c r="BG36" i="37"/>
  <c r="BG46" i="37"/>
  <c r="BG33" i="37"/>
  <c r="BG30" i="37"/>
  <c r="BG38" i="37"/>
  <c r="BG34" i="37"/>
  <c r="BG31" i="37"/>
  <c r="BG58" i="37"/>
  <c r="BG53" i="37"/>
  <c r="BG75" i="37"/>
  <c r="BH29" i="37"/>
  <c r="BH28" i="37" s="1"/>
  <c r="BG48" i="37"/>
  <c r="BG35" i="37"/>
  <c r="BG90" i="37" l="1"/>
  <c r="BG95" i="37"/>
  <c r="BG92" i="37"/>
  <c r="BG87" i="37"/>
  <c r="BG85" i="37"/>
  <c r="BG89" i="37"/>
  <c r="BG86" i="37"/>
  <c r="BG94" i="37"/>
  <c r="BH82" i="37"/>
  <c r="BH79" i="37"/>
  <c r="BH77" i="37"/>
  <c r="BH75" i="37"/>
  <c r="BH73" i="37"/>
  <c r="BH76" i="37"/>
  <c r="BH70" i="37"/>
  <c r="BH68" i="37"/>
  <c r="BH66" i="37"/>
  <c r="BH64" i="37"/>
  <c r="BH62" i="37"/>
  <c r="BH83" i="37"/>
  <c r="BH74" i="37"/>
  <c r="BH81" i="37"/>
  <c r="BH72" i="37"/>
  <c r="BH69" i="37"/>
  <c r="BG96" i="37"/>
  <c r="BH78" i="37"/>
  <c r="BG91" i="37"/>
  <c r="BG88" i="37"/>
  <c r="BH80" i="37"/>
  <c r="BG93" i="37"/>
  <c r="BH65" i="37"/>
  <c r="BH84" i="37"/>
  <c r="BH59" i="37"/>
  <c r="BH56" i="37"/>
  <c r="BH67" i="37"/>
  <c r="BH63" i="37"/>
  <c r="BH54" i="37"/>
  <c r="BH55" i="37"/>
  <c r="BH51" i="37"/>
  <c r="BH49" i="37"/>
  <c r="BH47" i="37"/>
  <c r="BH45" i="37"/>
  <c r="BH43" i="37"/>
  <c r="BH41" i="37"/>
  <c r="BH39" i="37"/>
  <c r="BH37" i="37"/>
  <c r="BH35" i="37"/>
  <c r="BH33" i="37"/>
  <c r="BH31" i="37"/>
  <c r="BH71" i="37"/>
  <c r="BH61" i="37"/>
  <c r="BH60" i="37"/>
  <c r="BH58" i="37"/>
  <c r="BH50" i="37"/>
  <c r="BH42" i="37"/>
  <c r="BH53" i="37"/>
  <c r="BH57" i="37"/>
  <c r="BH40" i="37"/>
  <c r="BH32" i="37"/>
  <c r="BH38" i="37"/>
  <c r="BH30" i="37"/>
  <c r="BH44" i="37"/>
  <c r="BH34" i="37"/>
  <c r="BH52" i="37"/>
  <c r="BH48" i="37"/>
  <c r="BI29" i="37"/>
  <c r="BI28" i="37" s="1"/>
  <c r="BH36" i="37"/>
  <c r="BH46" i="37"/>
  <c r="BH95" i="37" l="1"/>
  <c r="BH92" i="37"/>
  <c r="BH96" i="37"/>
  <c r="BH91" i="37"/>
  <c r="BH89" i="37"/>
  <c r="BH90" i="37"/>
  <c r="BI82" i="37"/>
  <c r="BI79" i="37"/>
  <c r="BI77" i="37"/>
  <c r="BH93" i="37"/>
  <c r="BH88" i="37"/>
  <c r="BH94" i="37"/>
  <c r="BH87" i="37"/>
  <c r="BI81" i="37"/>
  <c r="BI84" i="37"/>
  <c r="BI71" i="37"/>
  <c r="BI69" i="37"/>
  <c r="BI67" i="37"/>
  <c r="BI65" i="37"/>
  <c r="BI80" i="37"/>
  <c r="BH85" i="37"/>
  <c r="BI78" i="37"/>
  <c r="BI73" i="37"/>
  <c r="BH86" i="37"/>
  <c r="BI74" i="37"/>
  <c r="BI70" i="37"/>
  <c r="BI75" i="37"/>
  <c r="BI66" i="37"/>
  <c r="BI61" i="37"/>
  <c r="BI59" i="37"/>
  <c r="BI63" i="37"/>
  <c r="BI76" i="37"/>
  <c r="BI54" i="37"/>
  <c r="BI83" i="37"/>
  <c r="BI55" i="37"/>
  <c r="BI60" i="37"/>
  <c r="BI72" i="37"/>
  <c r="BI68" i="37"/>
  <c r="BI58" i="37"/>
  <c r="BI56" i="37"/>
  <c r="BI62" i="37"/>
  <c r="BI50" i="37"/>
  <c r="BI64" i="37"/>
  <c r="BI57" i="37"/>
  <c r="BI40" i="37"/>
  <c r="BI32" i="37"/>
  <c r="BI47" i="37"/>
  <c r="BI31" i="37"/>
  <c r="BI53" i="37"/>
  <c r="BI49" i="37"/>
  <c r="BI38" i="37"/>
  <c r="BI52" i="37"/>
  <c r="BI41" i="37"/>
  <c r="BI34" i="37"/>
  <c r="BI33" i="37"/>
  <c r="BI48" i="37"/>
  <c r="BI51" i="37"/>
  <c r="BI39" i="37"/>
  <c r="BI36" i="37"/>
  <c r="BI35" i="37"/>
  <c r="BI45" i="37"/>
  <c r="BI46" i="37"/>
  <c r="BI37" i="37"/>
  <c r="BI44" i="37"/>
  <c r="BJ29" i="37"/>
  <c r="BJ28" i="37" s="1"/>
  <c r="BI43" i="37"/>
  <c r="BI42" i="37"/>
  <c r="BI30" i="37"/>
  <c r="BI92" i="37" l="1"/>
  <c r="BI89" i="37"/>
  <c r="BI94" i="37"/>
  <c r="BI93" i="37"/>
  <c r="BI91" i="37"/>
  <c r="BI87" i="37"/>
  <c r="BJ83" i="37"/>
  <c r="BI85" i="37"/>
  <c r="BI88" i="37"/>
  <c r="BI95" i="37"/>
  <c r="BI90" i="37"/>
  <c r="BI86" i="37"/>
  <c r="BJ75" i="37"/>
  <c r="BJ82" i="37"/>
  <c r="BJ81" i="37"/>
  <c r="BJ80" i="37"/>
  <c r="BJ79" i="37"/>
  <c r="BJ73" i="37"/>
  <c r="BI96" i="37"/>
  <c r="BJ78" i="37"/>
  <c r="BJ74" i="37"/>
  <c r="BJ70" i="37"/>
  <c r="BJ77" i="37"/>
  <c r="BJ71" i="37"/>
  <c r="BJ84" i="37"/>
  <c r="BJ76" i="37"/>
  <c r="BJ66" i="37"/>
  <c r="BJ61" i="37"/>
  <c r="BJ59" i="37"/>
  <c r="BJ72" i="37"/>
  <c r="BJ67" i="37"/>
  <c r="BJ63" i="37"/>
  <c r="BJ55" i="37"/>
  <c r="BJ60" i="37"/>
  <c r="BJ68" i="37"/>
  <c r="BJ58" i="37"/>
  <c r="BJ56" i="37"/>
  <c r="BJ54" i="37"/>
  <c r="BJ62" i="37"/>
  <c r="BJ50" i="37"/>
  <c r="BJ48" i="37"/>
  <c r="BJ46" i="37"/>
  <c r="BJ44" i="37"/>
  <c r="BJ42" i="37"/>
  <c r="BJ40" i="37"/>
  <c r="BJ38" i="37"/>
  <c r="BJ36" i="37"/>
  <c r="BJ34" i="37"/>
  <c r="BJ64" i="37"/>
  <c r="BJ57" i="37"/>
  <c r="BJ53" i="37"/>
  <c r="BJ49" i="37"/>
  <c r="BJ45" i="37"/>
  <c r="BJ52" i="37"/>
  <c r="BJ47" i="37"/>
  <c r="BJ31" i="37"/>
  <c r="BJ33" i="37"/>
  <c r="BJ30" i="37"/>
  <c r="BJ32" i="37"/>
  <c r="BK29" i="37"/>
  <c r="BK28" i="37" s="1"/>
  <c r="BJ69" i="37"/>
  <c r="BJ43" i="37"/>
  <c r="BJ51" i="37"/>
  <c r="BJ39" i="37"/>
  <c r="BJ35" i="37"/>
  <c r="BJ37" i="37"/>
  <c r="BJ65" i="37"/>
  <c r="BJ41" i="37"/>
  <c r="BJ94" i="37" l="1"/>
  <c r="BJ96" i="37"/>
  <c r="BJ86" i="37"/>
  <c r="BJ89" i="37"/>
  <c r="BK83" i="37"/>
  <c r="BJ88" i="37"/>
  <c r="BJ93" i="37"/>
  <c r="BJ91" i="37"/>
  <c r="BJ87" i="37"/>
  <c r="BK74" i="37"/>
  <c r="BJ95" i="37"/>
  <c r="BK78" i="37"/>
  <c r="BK72" i="37"/>
  <c r="BJ90" i="37"/>
  <c r="BK77" i="37"/>
  <c r="BK71" i="37"/>
  <c r="BK84" i="37"/>
  <c r="BK80" i="37"/>
  <c r="BK76" i="37"/>
  <c r="BK75" i="37"/>
  <c r="BK79" i="37"/>
  <c r="BK63" i="37"/>
  <c r="BJ85" i="37"/>
  <c r="BK67" i="37"/>
  <c r="BK62" i="37"/>
  <c r="BK60" i="37"/>
  <c r="BK58" i="37"/>
  <c r="BK56" i="37"/>
  <c r="BK70" i="37"/>
  <c r="BK73" i="37"/>
  <c r="BK66" i="37"/>
  <c r="BK68" i="37"/>
  <c r="BK53" i="37"/>
  <c r="BK51" i="37"/>
  <c r="BJ92" i="37"/>
  <c r="BK61" i="37"/>
  <c r="BK54" i="37"/>
  <c r="BK82" i="37"/>
  <c r="BK81" i="37"/>
  <c r="BK50" i="37"/>
  <c r="BK48" i="37"/>
  <c r="BK46" i="37"/>
  <c r="BK44" i="37"/>
  <c r="BK42" i="37"/>
  <c r="BK40" i="37"/>
  <c r="BK38" i="37"/>
  <c r="BK64" i="37"/>
  <c r="BK59" i="37"/>
  <c r="BK57" i="37"/>
  <c r="BK52" i="37"/>
  <c r="BK47" i="37"/>
  <c r="BK31" i="37"/>
  <c r="BK43" i="37"/>
  <c r="BL29" i="37"/>
  <c r="BL28" i="37" s="1"/>
  <c r="BK45" i="37"/>
  <c r="BK33" i="37"/>
  <c r="BK30" i="37"/>
  <c r="BK34" i="37"/>
  <c r="BK39" i="37"/>
  <c r="BK35" i="37"/>
  <c r="BK41" i="37"/>
  <c r="BK49" i="37"/>
  <c r="BK36" i="37"/>
  <c r="BK37" i="37"/>
  <c r="BK69" i="37"/>
  <c r="BK65" i="37"/>
  <c r="BK32" i="37"/>
  <c r="BK55" i="37"/>
  <c r="BK94" i="37" l="1"/>
  <c r="BK91" i="37"/>
  <c r="BK96" i="37"/>
  <c r="BK95" i="37"/>
  <c r="BK88" i="37"/>
  <c r="BK86" i="37"/>
  <c r="BK90" i="37"/>
  <c r="BL84" i="37"/>
  <c r="BK92" i="37"/>
  <c r="BK87" i="37"/>
  <c r="BL81" i="37"/>
  <c r="BK93" i="37"/>
  <c r="BK89" i="37"/>
  <c r="BL80" i="37"/>
  <c r="BL76" i="37"/>
  <c r="BL74" i="37"/>
  <c r="BL72" i="37"/>
  <c r="BL71" i="37"/>
  <c r="BL69" i="37"/>
  <c r="BL67" i="37"/>
  <c r="BL65" i="37"/>
  <c r="BL63" i="37"/>
  <c r="BL77" i="37"/>
  <c r="BK85" i="37"/>
  <c r="BL75" i="37"/>
  <c r="BL64" i="37"/>
  <c r="BL82" i="37"/>
  <c r="BL83" i="37"/>
  <c r="BL68" i="37"/>
  <c r="BL73" i="37"/>
  <c r="BL66" i="37"/>
  <c r="BL60" i="37"/>
  <c r="BL53" i="37"/>
  <c r="BL58" i="37"/>
  <c r="BL56" i="37"/>
  <c r="BL50" i="37"/>
  <c r="BL48" i="37"/>
  <c r="BL46" i="37"/>
  <c r="BL44" i="37"/>
  <c r="BL42" i="37"/>
  <c r="BL40" i="37"/>
  <c r="BL38" i="37"/>
  <c r="BL36" i="37"/>
  <c r="BL34" i="37"/>
  <c r="BL32" i="37"/>
  <c r="BL30" i="37"/>
  <c r="BL62" i="37"/>
  <c r="BL59" i="37"/>
  <c r="BL57" i="37"/>
  <c r="BL79" i="37"/>
  <c r="BL52" i="37"/>
  <c r="BL45" i="37"/>
  <c r="BL33" i="37"/>
  <c r="BL41" i="37"/>
  <c r="BL43" i="37"/>
  <c r="BM29" i="37"/>
  <c r="BM28" i="37" s="1"/>
  <c r="BL35" i="37"/>
  <c r="BL51" i="37"/>
  <c r="BL49" i="37"/>
  <c r="BL37" i="37"/>
  <c r="BL31" i="37"/>
  <c r="BL78" i="37"/>
  <c r="BL47" i="37"/>
  <c r="BL70" i="37"/>
  <c r="BL54" i="37"/>
  <c r="BL39" i="37"/>
  <c r="BL61" i="37"/>
  <c r="BL55" i="37"/>
  <c r="BL91" i="37" l="1"/>
  <c r="BL96" i="37"/>
  <c r="BL93" i="37"/>
  <c r="BL92" i="37"/>
  <c r="BL88" i="37"/>
  <c r="BL95" i="37"/>
  <c r="BL87" i="37"/>
  <c r="BM84" i="37"/>
  <c r="BM80" i="37"/>
  <c r="BM78" i="37"/>
  <c r="BL85" i="37"/>
  <c r="BL86" i="37"/>
  <c r="BM83" i="37"/>
  <c r="BM82" i="37"/>
  <c r="BM79" i="37"/>
  <c r="BM73" i="37"/>
  <c r="BL94" i="37"/>
  <c r="BM70" i="37"/>
  <c r="BM68" i="37"/>
  <c r="BM66" i="37"/>
  <c r="BM64" i="37"/>
  <c r="BL90" i="37"/>
  <c r="BM76" i="37"/>
  <c r="BM77" i="37"/>
  <c r="BM63" i="37"/>
  <c r="BL89" i="37"/>
  <c r="BM75" i="37"/>
  <c r="BM62" i="37"/>
  <c r="BM60" i="37"/>
  <c r="BM58" i="37"/>
  <c r="BM53" i="37"/>
  <c r="BM81" i="37"/>
  <c r="BM74" i="37"/>
  <c r="BM71" i="37"/>
  <c r="BM65" i="37"/>
  <c r="BM57" i="37"/>
  <c r="BM72" i="37"/>
  <c r="BM59" i="37"/>
  <c r="BM52" i="37"/>
  <c r="BM67" i="37"/>
  <c r="BM43" i="37"/>
  <c r="BM38" i="37"/>
  <c r="BM30" i="37"/>
  <c r="BN29" i="37"/>
  <c r="BN28" i="37" s="1"/>
  <c r="BM61" i="37"/>
  <c r="BM39" i="37"/>
  <c r="BM41" i="37"/>
  <c r="BM35" i="37"/>
  <c r="BM34" i="37"/>
  <c r="BM56" i="37"/>
  <c r="BM48" i="37"/>
  <c r="BM40" i="37"/>
  <c r="BM37" i="37"/>
  <c r="BM36" i="37"/>
  <c r="BM31" i="37"/>
  <c r="BM42" i="37"/>
  <c r="BM51" i="37"/>
  <c r="BM47" i="37"/>
  <c r="BM46" i="37"/>
  <c r="BM32" i="37"/>
  <c r="BM44" i="37"/>
  <c r="BM55" i="37"/>
  <c r="BM54" i="37"/>
  <c r="BM49" i="37"/>
  <c r="BM69" i="37"/>
  <c r="BM50" i="37"/>
  <c r="BM45" i="37"/>
  <c r="BM33" i="37"/>
  <c r="BM96" i="37" l="1"/>
  <c r="BM93" i="37"/>
  <c r="BM95" i="37"/>
  <c r="BM86" i="37"/>
  <c r="BM90" i="37"/>
  <c r="BM91" i="37"/>
  <c r="BM85" i="37"/>
  <c r="BN84" i="37"/>
  <c r="BN83" i="37"/>
  <c r="BN82" i="37"/>
  <c r="BN79" i="37"/>
  <c r="BN81" i="37"/>
  <c r="BN76" i="37"/>
  <c r="BM89" i="37"/>
  <c r="BN80" i="37"/>
  <c r="BN65" i="37"/>
  <c r="BM88" i="37"/>
  <c r="BM94" i="37"/>
  <c r="BN75" i="37"/>
  <c r="BN62" i="37"/>
  <c r="BN60" i="37"/>
  <c r="BN58" i="37"/>
  <c r="BN72" i="37"/>
  <c r="BN67" i="37"/>
  <c r="BN74" i="37"/>
  <c r="BN69" i="37"/>
  <c r="BN71" i="37"/>
  <c r="BN68" i="37"/>
  <c r="BN57" i="37"/>
  <c r="BN64" i="37"/>
  <c r="BN52" i="37"/>
  <c r="BM87" i="37"/>
  <c r="BN73" i="37"/>
  <c r="BN49" i="37"/>
  <c r="BN47" i="37"/>
  <c r="BN45" i="37"/>
  <c r="BN43" i="37"/>
  <c r="BN41" i="37"/>
  <c r="BN39" i="37"/>
  <c r="BN37" i="37"/>
  <c r="BN35" i="37"/>
  <c r="BN33" i="37"/>
  <c r="BN78" i="37"/>
  <c r="BN70" i="37"/>
  <c r="BN53" i="37"/>
  <c r="BN51" i="37"/>
  <c r="BN34" i="37"/>
  <c r="BN77" i="37"/>
  <c r="BN61" i="37"/>
  <c r="BN48" i="37"/>
  <c r="BN36" i="37"/>
  <c r="BM92" i="37"/>
  <c r="BN40" i="37"/>
  <c r="BN31" i="37"/>
  <c r="BN59" i="37"/>
  <c r="BN46" i="37"/>
  <c r="BN38" i="37"/>
  <c r="BN32" i="37"/>
  <c r="BN50" i="37"/>
  <c r="BN55" i="37"/>
  <c r="BN54" i="37"/>
  <c r="BN42" i="37"/>
  <c r="BN56" i="37"/>
  <c r="BN63" i="37"/>
  <c r="BN44" i="37"/>
  <c r="BO29" i="37"/>
  <c r="BO28" i="37" s="1"/>
  <c r="BN66" i="37"/>
  <c r="BN30" i="37"/>
  <c r="BN93" i="37" l="1"/>
  <c r="BN90" i="37"/>
  <c r="BN95" i="37"/>
  <c r="BN94" i="37"/>
  <c r="BO81" i="37"/>
  <c r="BN96" i="37"/>
  <c r="BN89" i="37"/>
  <c r="BN92" i="37"/>
  <c r="BN88" i="37"/>
  <c r="BO80" i="37"/>
  <c r="BO78" i="37"/>
  <c r="BO77" i="37"/>
  <c r="BO72" i="37"/>
  <c r="BN85" i="37"/>
  <c r="BO75" i="37"/>
  <c r="BN86" i="37"/>
  <c r="BO84" i="37"/>
  <c r="BO66" i="37"/>
  <c r="BN91" i="37"/>
  <c r="BO82" i="37"/>
  <c r="BO67" i="37"/>
  <c r="BO79" i="37"/>
  <c r="BO68" i="37"/>
  <c r="BO70" i="37"/>
  <c r="BO64" i="37"/>
  <c r="BO61" i="37"/>
  <c r="BO59" i="37"/>
  <c r="BO57" i="37"/>
  <c r="BO55" i="37"/>
  <c r="BO83" i="37"/>
  <c r="BO71" i="37"/>
  <c r="BO60" i="37"/>
  <c r="BO74" i="37"/>
  <c r="BO65" i="37"/>
  <c r="BO58" i="37"/>
  <c r="BO56" i="37"/>
  <c r="BO54" i="37"/>
  <c r="BO52" i="37"/>
  <c r="BO62" i="37"/>
  <c r="BP29" i="37"/>
  <c r="BN87" i="37"/>
  <c r="BO73" i="37"/>
  <c r="BO49" i="37"/>
  <c r="BO47" i="37"/>
  <c r="BO45" i="37"/>
  <c r="BO43" i="37"/>
  <c r="BO41" i="37"/>
  <c r="BO39" i="37"/>
  <c r="BO37" i="37"/>
  <c r="BO76" i="37"/>
  <c r="BO53" i="37"/>
  <c r="BO51" i="37"/>
  <c r="BO35" i="37"/>
  <c r="BO48" i="37"/>
  <c r="BO36" i="37"/>
  <c r="BO46" i="37"/>
  <c r="BO38" i="37"/>
  <c r="BO32" i="37"/>
  <c r="BO42" i="37"/>
  <c r="BO31" i="37"/>
  <c r="BO50" i="37"/>
  <c r="BO69" i="37"/>
  <c r="BO63" i="37"/>
  <c r="BO44" i="37"/>
  <c r="BO33" i="37"/>
  <c r="BO30" i="37"/>
  <c r="BO40" i="37"/>
  <c r="BO34" i="37"/>
  <c r="BO90" i="37" l="1"/>
  <c r="BO95" i="37"/>
  <c r="BO92" i="37"/>
  <c r="BO87" i="37"/>
  <c r="BO93" i="37"/>
  <c r="BO85" i="37"/>
  <c r="BO96" i="37"/>
  <c r="BO94" i="37"/>
  <c r="BO89" i="37"/>
  <c r="BO91" i="37"/>
  <c r="BP84" i="37"/>
  <c r="BP83" i="37"/>
  <c r="BP80" i="37"/>
  <c r="BP78" i="37"/>
  <c r="BP75" i="37"/>
  <c r="BP73" i="37"/>
  <c r="BP70" i="37"/>
  <c r="BP68" i="37"/>
  <c r="BP66" i="37"/>
  <c r="BP64" i="37"/>
  <c r="BP62" i="37"/>
  <c r="BO88" i="37"/>
  <c r="BP82" i="37"/>
  <c r="BP67" i="37"/>
  <c r="BP79" i="37"/>
  <c r="BP72" i="37"/>
  <c r="BP74" i="37"/>
  <c r="BP69" i="37"/>
  <c r="BP81" i="37"/>
  <c r="BP71" i="37"/>
  <c r="BP65" i="37"/>
  <c r="BP58" i="37"/>
  <c r="BP57" i="37"/>
  <c r="BP56" i="37"/>
  <c r="BP54" i="37"/>
  <c r="BP61" i="37"/>
  <c r="BP52" i="37"/>
  <c r="BP49" i="37"/>
  <c r="BP47" i="37"/>
  <c r="BP45" i="37"/>
  <c r="BP43" i="37"/>
  <c r="BP41" i="37"/>
  <c r="BP39" i="37"/>
  <c r="BP37" i="37"/>
  <c r="BP35" i="37"/>
  <c r="BP33" i="37"/>
  <c r="BP31" i="37"/>
  <c r="BP76" i="37"/>
  <c r="BP53" i="37"/>
  <c r="BP51" i="37"/>
  <c r="BP63" i="37"/>
  <c r="BP55" i="37"/>
  <c r="BP77" i="37"/>
  <c r="BP48" i="37"/>
  <c r="BP36" i="37"/>
  <c r="BP32" i="37"/>
  <c r="BP46" i="37"/>
  <c r="BP59" i="37"/>
  <c r="BP44" i="37"/>
  <c r="BO86" i="37"/>
  <c r="BP50" i="37"/>
  <c r="BQ29" i="37"/>
  <c r="BQ28" i="37" s="1"/>
  <c r="BP40" i="37"/>
  <c r="BP60" i="37"/>
  <c r="BP42" i="37"/>
  <c r="BP30" i="37"/>
  <c r="BP34" i="37"/>
  <c r="BP38" i="37"/>
  <c r="BP28" i="37"/>
  <c r="BP95" i="37" l="1"/>
  <c r="BP92" i="37"/>
  <c r="BP96" i="37"/>
  <c r="BP94" i="37"/>
  <c r="BQ82" i="37"/>
  <c r="BQ79" i="37"/>
  <c r="BQ77" i="37"/>
  <c r="BP91" i="37"/>
  <c r="BP89" i="37"/>
  <c r="BP87" i="37"/>
  <c r="BP90" i="37"/>
  <c r="BP86" i="37"/>
  <c r="BQ76" i="37"/>
  <c r="BQ74" i="37"/>
  <c r="BQ71" i="37"/>
  <c r="BQ69" i="37"/>
  <c r="BQ67" i="37"/>
  <c r="BQ65" i="37"/>
  <c r="BQ84" i="37"/>
  <c r="BQ68" i="37"/>
  <c r="BQ83" i="37"/>
  <c r="BQ61" i="37"/>
  <c r="BQ59" i="37"/>
  <c r="BP88" i="37"/>
  <c r="BQ73" i="37"/>
  <c r="BQ80" i="37"/>
  <c r="BQ56" i="37"/>
  <c r="BQ54" i="37"/>
  <c r="BP93" i="37"/>
  <c r="BQ81" i="37"/>
  <c r="BQ55" i="37"/>
  <c r="BQ64" i="37"/>
  <c r="BQ58" i="37"/>
  <c r="BQ57" i="37"/>
  <c r="BQ53" i="37"/>
  <c r="BQ51" i="37"/>
  <c r="BQ78" i="37"/>
  <c r="BQ70" i="37"/>
  <c r="BQ63" i="37"/>
  <c r="BQ50" i="37"/>
  <c r="BP85" i="37"/>
  <c r="BQ46" i="37"/>
  <c r="BQ41" i="37"/>
  <c r="BQ60" i="37"/>
  <c r="BQ44" i="37"/>
  <c r="BQ39" i="37"/>
  <c r="BQ32" i="37"/>
  <c r="BQ66" i="37"/>
  <c r="BQ42" i="37"/>
  <c r="BQ37" i="37"/>
  <c r="BQ47" i="37"/>
  <c r="BQ43" i="37"/>
  <c r="BQ40" i="37"/>
  <c r="BQ33" i="37"/>
  <c r="BQ35" i="37"/>
  <c r="BQ52" i="37"/>
  <c r="BR29" i="37"/>
  <c r="BR28" i="37" s="1"/>
  <c r="BQ72" i="37"/>
  <c r="BQ45" i="37"/>
  <c r="BQ34" i="37"/>
  <c r="BQ75" i="37"/>
  <c r="BQ62" i="37"/>
  <c r="BQ30" i="37"/>
  <c r="BQ31" i="37"/>
  <c r="BQ49" i="37"/>
  <c r="BQ38" i="37"/>
  <c r="BQ48" i="37"/>
  <c r="BQ36" i="37"/>
  <c r="BQ92" i="37" l="1"/>
  <c r="BQ89" i="37"/>
  <c r="BQ94" i="37"/>
  <c r="BQ93" i="37"/>
  <c r="BQ90" i="37"/>
  <c r="BQ88" i="37"/>
  <c r="BQ95" i="37"/>
  <c r="BQ86" i="37"/>
  <c r="BQ85" i="37"/>
  <c r="BR84" i="37"/>
  <c r="BR83" i="37"/>
  <c r="BR82" i="37"/>
  <c r="BR79" i="37"/>
  <c r="BR81" i="37"/>
  <c r="BR77" i="37"/>
  <c r="BQ96" i="37"/>
  <c r="BQ91" i="37"/>
  <c r="BR68" i="37"/>
  <c r="BR72" i="37"/>
  <c r="BR69" i="37"/>
  <c r="BQ87" i="37"/>
  <c r="BR73" i="37"/>
  <c r="BR74" i="37"/>
  <c r="BR67" i="37"/>
  <c r="BR61" i="37"/>
  <c r="BR59" i="37"/>
  <c r="BR80" i="37"/>
  <c r="BR70" i="37"/>
  <c r="BR64" i="37"/>
  <c r="BR66" i="37"/>
  <c r="BR63" i="37"/>
  <c r="BR65" i="37"/>
  <c r="BR55" i="37"/>
  <c r="BR78" i="37"/>
  <c r="BR62" i="37"/>
  <c r="BR76" i="37"/>
  <c r="BR71" i="37"/>
  <c r="BR50" i="37"/>
  <c r="BR48" i="37"/>
  <c r="BR46" i="37"/>
  <c r="BR44" i="37"/>
  <c r="BR42" i="37"/>
  <c r="BR40" i="37"/>
  <c r="BR38" i="37"/>
  <c r="BR36" i="37"/>
  <c r="BR34" i="37"/>
  <c r="BR39" i="37"/>
  <c r="BR32" i="37"/>
  <c r="BR60" i="37"/>
  <c r="BR37" i="37"/>
  <c r="BR31" i="37"/>
  <c r="BR52" i="37"/>
  <c r="BS29" i="37"/>
  <c r="BS28" i="37" s="1"/>
  <c r="BR30" i="37"/>
  <c r="BR33" i="37"/>
  <c r="BR75" i="37"/>
  <c r="BR49" i="37"/>
  <c r="BR41" i="37"/>
  <c r="BR56" i="37"/>
  <c r="BR35" i="37"/>
  <c r="BR57" i="37"/>
  <c r="BR45" i="37"/>
  <c r="BR47" i="37"/>
  <c r="BR51" i="37"/>
  <c r="BR58" i="37"/>
  <c r="BR54" i="37"/>
  <c r="BR43" i="37"/>
  <c r="BR53" i="37"/>
  <c r="BR94" i="37" l="1"/>
  <c r="BR91" i="37"/>
  <c r="BR89" i="37"/>
  <c r="BR86" i="37"/>
  <c r="BS83" i="37"/>
  <c r="BR92" i="37"/>
  <c r="BR87" i="37"/>
  <c r="BR93" i="37"/>
  <c r="BR90" i="37"/>
  <c r="BR88" i="37"/>
  <c r="BR85" i="37"/>
  <c r="BS75" i="37"/>
  <c r="BS84" i="37"/>
  <c r="BS73" i="37"/>
  <c r="BR96" i="37"/>
  <c r="BR95" i="37"/>
  <c r="BS79" i="37"/>
  <c r="BS72" i="37"/>
  <c r="BS69" i="37"/>
  <c r="BS70" i="37"/>
  <c r="BS81" i="37"/>
  <c r="BS74" i="37"/>
  <c r="BS80" i="37"/>
  <c r="BS68" i="37"/>
  <c r="BS64" i="37"/>
  <c r="BS71" i="37"/>
  <c r="BS65" i="37"/>
  <c r="BS78" i="37"/>
  <c r="BS76" i="37"/>
  <c r="BS60" i="37"/>
  <c r="BS58" i="37"/>
  <c r="BS56" i="37"/>
  <c r="BS55" i="37"/>
  <c r="BS62" i="37"/>
  <c r="BS61" i="37"/>
  <c r="BS77" i="37"/>
  <c r="BS59" i="37"/>
  <c r="BS53" i="37"/>
  <c r="BS51" i="37"/>
  <c r="BS82" i="37"/>
  <c r="BS63" i="37"/>
  <c r="BS50" i="37"/>
  <c r="BS48" i="37"/>
  <c r="BS46" i="37"/>
  <c r="BS44" i="37"/>
  <c r="BS42" i="37"/>
  <c r="BS40" i="37"/>
  <c r="BS38" i="37"/>
  <c r="BS67" i="37"/>
  <c r="BS54" i="37"/>
  <c r="BS37" i="37"/>
  <c r="BS49" i="37"/>
  <c r="BS30" i="37"/>
  <c r="BS66" i="37"/>
  <c r="BS31" i="37"/>
  <c r="BS57" i="37"/>
  <c r="BS45" i="37"/>
  <c r="BS43" i="37"/>
  <c r="BS41" i="37"/>
  <c r="BS35" i="37"/>
  <c r="BS47" i="37"/>
  <c r="BS39" i="37"/>
  <c r="BS33" i="37"/>
  <c r="BS34" i="37"/>
  <c r="BS36" i="37"/>
  <c r="BS52" i="37"/>
  <c r="BS32" i="37"/>
  <c r="BT29" i="37"/>
  <c r="BS94" i="37" l="1"/>
  <c r="BS91" i="37"/>
  <c r="BS96" i="37"/>
  <c r="BS95" i="37"/>
  <c r="BS93" i="37"/>
  <c r="BS90" i="37"/>
  <c r="BT83" i="37"/>
  <c r="BS92" i="37"/>
  <c r="BS88" i="37"/>
  <c r="BT76" i="37"/>
  <c r="BT74" i="37"/>
  <c r="BT72" i="37"/>
  <c r="BT71" i="37"/>
  <c r="BT69" i="37"/>
  <c r="BT67" i="37"/>
  <c r="BT65" i="37"/>
  <c r="BT63" i="37"/>
  <c r="BS89" i="37"/>
  <c r="BS87" i="37"/>
  <c r="BT82" i="37"/>
  <c r="BT81" i="37"/>
  <c r="BT80" i="37"/>
  <c r="BT79" i="37"/>
  <c r="BT78" i="37"/>
  <c r="BT70" i="37"/>
  <c r="BT73" i="37"/>
  <c r="BS85" i="37"/>
  <c r="BT66" i="37"/>
  <c r="BS86" i="37"/>
  <c r="BT62" i="37"/>
  <c r="BT68" i="37"/>
  <c r="BT61" i="37"/>
  <c r="BT77" i="37"/>
  <c r="BT59" i="37"/>
  <c r="BT53" i="37"/>
  <c r="BT75" i="37"/>
  <c r="BT64" i="37"/>
  <c r="BT50" i="37"/>
  <c r="BT48" i="37"/>
  <c r="BT46" i="37"/>
  <c r="BT44" i="37"/>
  <c r="BT42" i="37"/>
  <c r="BT40" i="37"/>
  <c r="BT38" i="37"/>
  <c r="BT36" i="37"/>
  <c r="BT34" i="37"/>
  <c r="BT32" i="37"/>
  <c r="BT30" i="37"/>
  <c r="BT55" i="37"/>
  <c r="BT54" i="37"/>
  <c r="BT84" i="37"/>
  <c r="BT60" i="37"/>
  <c r="BT31" i="37"/>
  <c r="BT51" i="37"/>
  <c r="BT47" i="37"/>
  <c r="BT33" i="37"/>
  <c r="BT49" i="37"/>
  <c r="BT58" i="37"/>
  <c r="BU29" i="37"/>
  <c r="BT39" i="37"/>
  <c r="BT57" i="37"/>
  <c r="BT37" i="37"/>
  <c r="BT43" i="37"/>
  <c r="BT35" i="37"/>
  <c r="BT52" i="37"/>
  <c r="BT41" i="37"/>
  <c r="BT56" i="37"/>
  <c r="BT45" i="37"/>
  <c r="BT28" i="37"/>
  <c r="BT91" i="37" l="1"/>
  <c r="BT96" i="37"/>
  <c r="BT93" i="37"/>
  <c r="BT92" i="37"/>
  <c r="BT88" i="37"/>
  <c r="BT89" i="37"/>
  <c r="BU84" i="37"/>
  <c r="BU80" i="37"/>
  <c r="BU78" i="37"/>
  <c r="BT87" i="37"/>
  <c r="BT95" i="37"/>
  <c r="BU81" i="37"/>
  <c r="BT85" i="37"/>
  <c r="BU74" i="37"/>
  <c r="BT90" i="37"/>
  <c r="BU82" i="37"/>
  <c r="BU79" i="37"/>
  <c r="BU72" i="37"/>
  <c r="BU70" i="37"/>
  <c r="BU68" i="37"/>
  <c r="BU66" i="37"/>
  <c r="BU64" i="37"/>
  <c r="BT86" i="37"/>
  <c r="BU77" i="37"/>
  <c r="BU73" i="37"/>
  <c r="BT94" i="37"/>
  <c r="BU83" i="37"/>
  <c r="BU71" i="37"/>
  <c r="BU75" i="37"/>
  <c r="BU69" i="37"/>
  <c r="BU65" i="37"/>
  <c r="BU63" i="37"/>
  <c r="BU60" i="37"/>
  <c r="BU58" i="37"/>
  <c r="BU62" i="37"/>
  <c r="BU59" i="37"/>
  <c r="BU53" i="37"/>
  <c r="BU67" i="37"/>
  <c r="BU55" i="37"/>
  <c r="BU54" i="37"/>
  <c r="BU56" i="37"/>
  <c r="BU52" i="37"/>
  <c r="BU61" i="37"/>
  <c r="BU49" i="37"/>
  <c r="BU44" i="37"/>
  <c r="BU51" i="37"/>
  <c r="BU47" i="37"/>
  <c r="BU42" i="37"/>
  <c r="BU33" i="37"/>
  <c r="BU30" i="37"/>
  <c r="BV29" i="37"/>
  <c r="BU45" i="37"/>
  <c r="BU40" i="37"/>
  <c r="BU46" i="37"/>
  <c r="BU43" i="37"/>
  <c r="BU50" i="37"/>
  <c r="BU76" i="37"/>
  <c r="BU41" i="37"/>
  <c r="BU39" i="37"/>
  <c r="BU36" i="37"/>
  <c r="BU37" i="37"/>
  <c r="BU32" i="37"/>
  <c r="BU35" i="37"/>
  <c r="BU34" i="37"/>
  <c r="BU31" i="37"/>
  <c r="BU38" i="37"/>
  <c r="BU57" i="37"/>
  <c r="BU48" i="37"/>
  <c r="BU28" i="37"/>
  <c r="BU96" i="37" l="1"/>
  <c r="BU93" i="37"/>
  <c r="BU88" i="37"/>
  <c r="BU87" i="37"/>
  <c r="BU95" i="37"/>
  <c r="BU86" i="37"/>
  <c r="BU85" i="37"/>
  <c r="BV84" i="37"/>
  <c r="BU91" i="37"/>
  <c r="BV80" i="37"/>
  <c r="BU94" i="37"/>
  <c r="BV73" i="37"/>
  <c r="BV81" i="37"/>
  <c r="BV78" i="37"/>
  <c r="BV77" i="37"/>
  <c r="BV83" i="37"/>
  <c r="BV71" i="37"/>
  <c r="BV75" i="37"/>
  <c r="BV74" i="37"/>
  <c r="BV76" i="37"/>
  <c r="BU89" i="37"/>
  <c r="BV70" i="37"/>
  <c r="BV66" i="37"/>
  <c r="BV63" i="37"/>
  <c r="BV60" i="37"/>
  <c r="BV58" i="37"/>
  <c r="BV62" i="37"/>
  <c r="BU90" i="37"/>
  <c r="BV64" i="37"/>
  <c r="BV69" i="37"/>
  <c r="BV57" i="37"/>
  <c r="BV67" i="37"/>
  <c r="BV55" i="37"/>
  <c r="BV54" i="37"/>
  <c r="BV79" i="37"/>
  <c r="BV56" i="37"/>
  <c r="BV52" i="37"/>
  <c r="BV49" i="37"/>
  <c r="BV47" i="37"/>
  <c r="BV45" i="37"/>
  <c r="BV43" i="37"/>
  <c r="BV41" i="37"/>
  <c r="BV39" i="37"/>
  <c r="BV37" i="37"/>
  <c r="BV35" i="37"/>
  <c r="BV33" i="37"/>
  <c r="BV65" i="37"/>
  <c r="BV61" i="37"/>
  <c r="BV51" i="37"/>
  <c r="BV42" i="37"/>
  <c r="BV30" i="37"/>
  <c r="BW29" i="37"/>
  <c r="BW28" i="37" s="1"/>
  <c r="BV50" i="37"/>
  <c r="BV38" i="37"/>
  <c r="BV34" i="37"/>
  <c r="BV59" i="37"/>
  <c r="BV40" i="37"/>
  <c r="BU92" i="37"/>
  <c r="BV72" i="37"/>
  <c r="BV82" i="37"/>
  <c r="BV46" i="37"/>
  <c r="BV44" i="37"/>
  <c r="BV68" i="37"/>
  <c r="BV53" i="37"/>
  <c r="BV36" i="37"/>
  <c r="BV48" i="37"/>
  <c r="BV31" i="37"/>
  <c r="BV32" i="37"/>
  <c r="BV28" i="37"/>
  <c r="BV93" i="37" l="1"/>
  <c r="BV90" i="37"/>
  <c r="BV95" i="37"/>
  <c r="BV94" i="37"/>
  <c r="BV92" i="37"/>
  <c r="BV96" i="37"/>
  <c r="BV91" i="37"/>
  <c r="BV86" i="37"/>
  <c r="BW81" i="37"/>
  <c r="BV89" i="37"/>
  <c r="BV87" i="37"/>
  <c r="BW82" i="37"/>
  <c r="BW79" i="37"/>
  <c r="BW83" i="37"/>
  <c r="BW80" i="37"/>
  <c r="BW76" i="37"/>
  <c r="BW75" i="37"/>
  <c r="BW74" i="37"/>
  <c r="BW64" i="37"/>
  <c r="BW78" i="37"/>
  <c r="BW77" i="37"/>
  <c r="BV85" i="37"/>
  <c r="BW71" i="37"/>
  <c r="BW62" i="37"/>
  <c r="BW84" i="37"/>
  <c r="BW61" i="37"/>
  <c r="BW59" i="37"/>
  <c r="BW57" i="37"/>
  <c r="BW55" i="37"/>
  <c r="BW69" i="37"/>
  <c r="BW63" i="37"/>
  <c r="BW54" i="37"/>
  <c r="BW52" i="37"/>
  <c r="BW73" i="37"/>
  <c r="BX29" i="37"/>
  <c r="BX28" i="37" s="1"/>
  <c r="BW70" i="37"/>
  <c r="BW56" i="37"/>
  <c r="BW49" i="37"/>
  <c r="BW47" i="37"/>
  <c r="BW45" i="37"/>
  <c r="BW43" i="37"/>
  <c r="BW41" i="37"/>
  <c r="BW39" i="37"/>
  <c r="BW37" i="37"/>
  <c r="BW65" i="37"/>
  <c r="BW60" i="37"/>
  <c r="BW51" i="37"/>
  <c r="BV88" i="37"/>
  <c r="BW66" i="37"/>
  <c r="BW40" i="37"/>
  <c r="BW33" i="37"/>
  <c r="BW35" i="37"/>
  <c r="BW72" i="37"/>
  <c r="BW58" i="37"/>
  <c r="BW50" i="37"/>
  <c r="BW38" i="37"/>
  <c r="BW34" i="37"/>
  <c r="BW44" i="37"/>
  <c r="BW68" i="37"/>
  <c r="BW30" i="37"/>
  <c r="BW42" i="37"/>
  <c r="BW31" i="37"/>
  <c r="BW48" i="37"/>
  <c r="BW46" i="37"/>
  <c r="BW67" i="37"/>
  <c r="BW53" i="37"/>
  <c r="BW36" i="37"/>
  <c r="BW32" i="37"/>
  <c r="BW90" i="37" l="1"/>
  <c r="BW95" i="37"/>
  <c r="BW92" i="37"/>
  <c r="BW87" i="37"/>
  <c r="BW94" i="37"/>
  <c r="BW85" i="37"/>
  <c r="BW88" i="37"/>
  <c r="BW96" i="37"/>
  <c r="BX75" i="37"/>
  <c r="BX73" i="37"/>
  <c r="BW93" i="37"/>
  <c r="BX84" i="37"/>
  <c r="BX72" i="37"/>
  <c r="BX70" i="37"/>
  <c r="BX68" i="37"/>
  <c r="BX66" i="37"/>
  <c r="BX64" i="37"/>
  <c r="BX62" i="37"/>
  <c r="BW91" i="37"/>
  <c r="BW86" i="37"/>
  <c r="BX83" i="37"/>
  <c r="BX65" i="37"/>
  <c r="BX81" i="37"/>
  <c r="BX78" i="37"/>
  <c r="BX77" i="37"/>
  <c r="BX76" i="37"/>
  <c r="BX82" i="37"/>
  <c r="BX67" i="37"/>
  <c r="BX74" i="37"/>
  <c r="BX69" i="37"/>
  <c r="BX63" i="37"/>
  <c r="BX57" i="37"/>
  <c r="BX54" i="37"/>
  <c r="BX60" i="37"/>
  <c r="BX56" i="37"/>
  <c r="BX49" i="37"/>
  <c r="BX47" i="37"/>
  <c r="BX45" i="37"/>
  <c r="BX43" i="37"/>
  <c r="BX41" i="37"/>
  <c r="BX39" i="37"/>
  <c r="BX37" i="37"/>
  <c r="BX35" i="37"/>
  <c r="BX33" i="37"/>
  <c r="BX31" i="37"/>
  <c r="BW89" i="37"/>
  <c r="BX79" i="37"/>
  <c r="BX52" i="37"/>
  <c r="BX80" i="37"/>
  <c r="BX61" i="37"/>
  <c r="BX51" i="37"/>
  <c r="BX59" i="37"/>
  <c r="BX58" i="37"/>
  <c r="BX50" i="37"/>
  <c r="BX38" i="37"/>
  <c r="BX34" i="37"/>
  <c r="BX36" i="37"/>
  <c r="BX30" i="37"/>
  <c r="BY29" i="37"/>
  <c r="BX42" i="37"/>
  <c r="BX53" i="37"/>
  <c r="BX71" i="37"/>
  <c r="BX55" i="37"/>
  <c r="BX48" i="37"/>
  <c r="BX40" i="37"/>
  <c r="BX32" i="37"/>
  <c r="BX46" i="37"/>
  <c r="BX44" i="37"/>
  <c r="BX95" i="37" l="1"/>
  <c r="BX92" i="37"/>
  <c r="BX96" i="37"/>
  <c r="BY82" i="37"/>
  <c r="BY79" i="37"/>
  <c r="BY77" i="37"/>
  <c r="BY84" i="37"/>
  <c r="BX94" i="37"/>
  <c r="BY83" i="37"/>
  <c r="BX93" i="37"/>
  <c r="BY80" i="37"/>
  <c r="BY78" i="37"/>
  <c r="BX89" i="37"/>
  <c r="BX87" i="37"/>
  <c r="BY75" i="37"/>
  <c r="BY71" i="37"/>
  <c r="BY69" i="37"/>
  <c r="BY67" i="37"/>
  <c r="BY65" i="37"/>
  <c r="BX88" i="37"/>
  <c r="BX91" i="37"/>
  <c r="BY81" i="37"/>
  <c r="BY76" i="37"/>
  <c r="BY73" i="37"/>
  <c r="BY61" i="37"/>
  <c r="BY59" i="37"/>
  <c r="BY64" i="37"/>
  <c r="BY63" i="37"/>
  <c r="BY57" i="37"/>
  <c r="BY54" i="37"/>
  <c r="BY60" i="37"/>
  <c r="BY56" i="37"/>
  <c r="BX86" i="37"/>
  <c r="BY72" i="37"/>
  <c r="BY58" i="37"/>
  <c r="BY70" i="37"/>
  <c r="BY52" i="37"/>
  <c r="BY51" i="37"/>
  <c r="BX85" i="37"/>
  <c r="BY74" i="37"/>
  <c r="BY66" i="37"/>
  <c r="BY53" i="37"/>
  <c r="BY50" i="37"/>
  <c r="BY47" i="37"/>
  <c r="BY48" i="37"/>
  <c r="BY43" i="37"/>
  <c r="BY45" i="37"/>
  <c r="BY36" i="37"/>
  <c r="BY35" i="37"/>
  <c r="BY62" i="37"/>
  <c r="BY55" i="37"/>
  <c r="BY32" i="37"/>
  <c r="BY68" i="37"/>
  <c r="BY42" i="37"/>
  <c r="BY38" i="37"/>
  <c r="BZ29" i="37"/>
  <c r="BZ28" i="37" s="1"/>
  <c r="BY44" i="37"/>
  <c r="BY41" i="37"/>
  <c r="BY31" i="37"/>
  <c r="BY40" i="37"/>
  <c r="BY34" i="37"/>
  <c r="BY33" i="37"/>
  <c r="BY49" i="37"/>
  <c r="BY30" i="37"/>
  <c r="BX90" i="37"/>
  <c r="BY39" i="37"/>
  <c r="BY46" i="37"/>
  <c r="BY37" i="37"/>
  <c r="BY28" i="37"/>
  <c r="BY92" i="37" l="1"/>
  <c r="BY89" i="37"/>
  <c r="BY94" i="37"/>
  <c r="BY93" i="37"/>
  <c r="BY95" i="37"/>
  <c r="BY91" i="37"/>
  <c r="BY88" i="37"/>
  <c r="BY86" i="37"/>
  <c r="BY85" i="37"/>
  <c r="BZ84" i="37"/>
  <c r="BZ83" i="37"/>
  <c r="BY90" i="37"/>
  <c r="BZ82" i="37"/>
  <c r="BZ81" i="37"/>
  <c r="BZ79" i="37"/>
  <c r="BZ78" i="37"/>
  <c r="BZ77" i="37"/>
  <c r="BZ76" i="37"/>
  <c r="BY96" i="37"/>
  <c r="BZ74" i="37"/>
  <c r="BZ66" i="37"/>
  <c r="BY87" i="37"/>
  <c r="BZ67" i="37"/>
  <c r="BZ73" i="37"/>
  <c r="BZ61" i="37"/>
  <c r="BZ59" i="37"/>
  <c r="BZ72" i="37"/>
  <c r="BZ68" i="37"/>
  <c r="BZ60" i="37"/>
  <c r="BZ56" i="37"/>
  <c r="BZ75" i="37"/>
  <c r="BZ58" i="37"/>
  <c r="BZ70" i="37"/>
  <c r="BZ55" i="37"/>
  <c r="BZ63" i="37"/>
  <c r="BZ51" i="37"/>
  <c r="BZ80" i="37"/>
  <c r="BZ65" i="37"/>
  <c r="BZ53" i="37"/>
  <c r="BZ50" i="37"/>
  <c r="BZ48" i="37"/>
  <c r="BZ46" i="37"/>
  <c r="BZ44" i="37"/>
  <c r="BZ42" i="37"/>
  <c r="BZ40" i="37"/>
  <c r="BZ38" i="37"/>
  <c r="BZ36" i="37"/>
  <c r="BZ34" i="37"/>
  <c r="BZ69" i="37"/>
  <c r="BZ57" i="37"/>
  <c r="BZ45" i="37"/>
  <c r="BZ35" i="37"/>
  <c r="BZ41" i="37"/>
  <c r="BZ62" i="37"/>
  <c r="BZ43" i="37"/>
  <c r="BZ32" i="37"/>
  <c r="BZ71" i="37"/>
  <c r="BZ31" i="37"/>
  <c r="BZ37" i="37"/>
  <c r="BZ30" i="37"/>
  <c r="BZ33" i="37"/>
  <c r="BZ54" i="37"/>
  <c r="BZ39" i="37"/>
  <c r="CA29" i="37"/>
  <c r="CA28" i="37" s="1"/>
  <c r="BZ47" i="37"/>
  <c r="BZ64" i="37"/>
  <c r="BZ49" i="37"/>
  <c r="BZ52" i="37"/>
  <c r="BZ94" i="37" l="1"/>
  <c r="BZ96" i="37"/>
  <c r="BZ86" i="37"/>
  <c r="BZ92" i="37"/>
  <c r="CA83" i="37"/>
  <c r="BZ93" i="37"/>
  <c r="BZ90" i="37"/>
  <c r="BZ89" i="37"/>
  <c r="BZ88" i="37"/>
  <c r="BZ87" i="37"/>
  <c r="CA82" i="37"/>
  <c r="CA79" i="37"/>
  <c r="CA81" i="37"/>
  <c r="CA77" i="37"/>
  <c r="CA80" i="37"/>
  <c r="BZ95" i="37"/>
  <c r="CA78" i="37"/>
  <c r="CA67" i="37"/>
  <c r="CA68" i="37"/>
  <c r="BZ85" i="37"/>
  <c r="CA84" i="37"/>
  <c r="CA76" i="37"/>
  <c r="CA75" i="37"/>
  <c r="CA69" i="37"/>
  <c r="CA64" i="37"/>
  <c r="CA63" i="37"/>
  <c r="CA60" i="37"/>
  <c r="CA58" i="37"/>
  <c r="CA56" i="37"/>
  <c r="BZ91" i="37"/>
  <c r="CA72" i="37"/>
  <c r="CA70" i="37"/>
  <c r="CA55" i="37"/>
  <c r="CA66" i="37"/>
  <c r="CA53" i="37"/>
  <c r="CA51" i="37"/>
  <c r="CA65" i="37"/>
  <c r="CA61" i="37"/>
  <c r="CA50" i="37"/>
  <c r="CA48" i="37"/>
  <c r="CA46" i="37"/>
  <c r="CA44" i="37"/>
  <c r="CA42" i="37"/>
  <c r="CA40" i="37"/>
  <c r="CA38" i="37"/>
  <c r="CA74" i="37"/>
  <c r="CA57" i="37"/>
  <c r="CA59" i="37"/>
  <c r="CA62" i="37"/>
  <c r="CA43" i="37"/>
  <c r="CA36" i="37"/>
  <c r="CA32" i="37"/>
  <c r="CA52" i="37"/>
  <c r="CA31" i="37"/>
  <c r="CA71" i="37"/>
  <c r="CA41" i="37"/>
  <c r="CA54" i="37"/>
  <c r="CA39" i="37"/>
  <c r="CA33" i="37"/>
  <c r="CA45" i="37"/>
  <c r="CA34" i="37"/>
  <c r="CA49" i="37"/>
  <c r="CA35" i="37"/>
  <c r="CA47" i="37"/>
  <c r="CA73" i="37"/>
  <c r="CA30" i="37"/>
  <c r="CA37" i="37"/>
  <c r="CB29" i="37"/>
  <c r="CB28" i="37" s="1"/>
  <c r="CA94" i="37" l="1"/>
  <c r="CA91" i="37"/>
  <c r="CA96" i="37"/>
  <c r="CA95" i="37"/>
  <c r="CA90" i="37"/>
  <c r="CA89" i="37"/>
  <c r="CA87" i="37"/>
  <c r="CA85" i="37"/>
  <c r="CB76" i="37"/>
  <c r="CB74" i="37"/>
  <c r="CB72" i="37"/>
  <c r="CB75" i="37"/>
  <c r="CB71" i="37"/>
  <c r="CB69" i="37"/>
  <c r="CB67" i="37"/>
  <c r="CB65" i="37"/>
  <c r="CB63" i="37"/>
  <c r="CA88" i="37"/>
  <c r="CB73" i="37"/>
  <c r="CB77" i="37"/>
  <c r="CB68" i="37"/>
  <c r="CA93" i="37"/>
  <c r="CB80" i="37"/>
  <c r="CA86" i="37"/>
  <c r="CB83" i="37"/>
  <c r="CB81" i="37"/>
  <c r="CB70" i="37"/>
  <c r="CB58" i="37"/>
  <c r="CB55" i="37"/>
  <c r="CB78" i="37"/>
  <c r="CB66" i="37"/>
  <c r="CB53" i="37"/>
  <c r="CB82" i="37"/>
  <c r="CB79" i="37"/>
  <c r="CB61" i="37"/>
  <c r="CB56" i="37"/>
  <c r="CB50" i="37"/>
  <c r="CB48" i="37"/>
  <c r="CB46" i="37"/>
  <c r="CB44" i="37"/>
  <c r="CB42" i="37"/>
  <c r="CB40" i="37"/>
  <c r="CB38" i="37"/>
  <c r="CB36" i="37"/>
  <c r="CB34" i="37"/>
  <c r="CB32" i="37"/>
  <c r="CB30" i="37"/>
  <c r="CB57" i="37"/>
  <c r="CB84" i="37"/>
  <c r="CB60" i="37"/>
  <c r="CB59" i="37"/>
  <c r="CB62" i="37"/>
  <c r="CB41" i="37"/>
  <c r="CB37" i="37"/>
  <c r="CA92" i="37"/>
  <c r="CB54" i="37"/>
  <c r="CB52" i="37"/>
  <c r="CB39" i="37"/>
  <c r="CB31" i="37"/>
  <c r="CB45" i="37"/>
  <c r="CB49" i="37"/>
  <c r="CB35" i="37"/>
  <c r="CB64" i="37"/>
  <c r="CC29" i="37"/>
  <c r="CC28" i="37" s="1"/>
  <c r="CB43" i="37"/>
  <c r="CB33" i="37"/>
  <c r="CB47" i="37"/>
  <c r="CB51" i="37"/>
  <c r="CB91" i="37" l="1"/>
  <c r="CB96" i="37"/>
  <c r="CB93" i="37"/>
  <c r="CB92" i="37"/>
  <c r="CB88" i="37"/>
  <c r="CC84" i="37"/>
  <c r="CC80" i="37"/>
  <c r="CC78" i="37"/>
  <c r="CC76" i="37"/>
  <c r="CC83" i="37"/>
  <c r="CB90" i="37"/>
  <c r="CB87" i="37"/>
  <c r="CB86" i="37"/>
  <c r="CC82" i="37"/>
  <c r="CB94" i="37"/>
  <c r="CB89" i="37"/>
  <c r="CB95" i="37"/>
  <c r="CC70" i="37"/>
  <c r="CC68" i="37"/>
  <c r="CC66" i="37"/>
  <c r="CC64" i="37"/>
  <c r="CB85" i="37"/>
  <c r="CC69" i="37"/>
  <c r="CC81" i="37"/>
  <c r="CC72" i="37"/>
  <c r="CC60" i="37"/>
  <c r="CC58" i="37"/>
  <c r="CC79" i="37"/>
  <c r="CC77" i="37"/>
  <c r="CC65" i="37"/>
  <c r="CC62" i="37"/>
  <c r="CC75" i="37"/>
  <c r="CC53" i="37"/>
  <c r="CC67" i="37"/>
  <c r="CC61" i="37"/>
  <c r="CC57" i="37"/>
  <c r="CC74" i="37"/>
  <c r="CC59" i="37"/>
  <c r="CC71" i="37"/>
  <c r="CC54" i="37"/>
  <c r="CC52" i="37"/>
  <c r="CC39" i="37"/>
  <c r="CC31" i="37"/>
  <c r="CC46" i="37"/>
  <c r="CD29" i="37"/>
  <c r="CC55" i="37"/>
  <c r="CC48" i="37"/>
  <c r="CC37" i="37"/>
  <c r="CC73" i="37"/>
  <c r="CC30" i="37"/>
  <c r="CC49" i="37"/>
  <c r="CC41" i="37"/>
  <c r="CC35" i="37"/>
  <c r="CC34" i="37"/>
  <c r="CC44" i="37"/>
  <c r="CC43" i="37"/>
  <c r="CC33" i="37"/>
  <c r="CC42" i="37"/>
  <c r="CC63" i="37"/>
  <c r="CC40" i="37"/>
  <c r="CC47" i="37"/>
  <c r="CC36" i="37"/>
  <c r="CC32" i="37"/>
  <c r="CC56" i="37"/>
  <c r="CC51" i="37"/>
  <c r="CC38" i="37"/>
  <c r="CC45" i="37"/>
  <c r="CC50" i="37"/>
  <c r="CC96" i="37" l="1"/>
  <c r="CC93" i="37"/>
  <c r="CC95" i="37"/>
  <c r="CC85" i="37"/>
  <c r="CC91" i="37"/>
  <c r="CC92" i="37"/>
  <c r="CD84" i="37"/>
  <c r="CD81" i="37"/>
  <c r="CC90" i="37"/>
  <c r="CC86" i="37"/>
  <c r="CD83" i="37"/>
  <c r="CD74" i="37"/>
  <c r="CD72" i="37"/>
  <c r="CC94" i="37"/>
  <c r="CC87" i="37"/>
  <c r="CD69" i="37"/>
  <c r="CD80" i="37"/>
  <c r="CD70" i="37"/>
  <c r="CD73" i="37"/>
  <c r="CD76" i="37"/>
  <c r="CD60" i="37"/>
  <c r="CD58" i="37"/>
  <c r="CC88" i="37"/>
  <c r="CD82" i="37"/>
  <c r="CD78" i="37"/>
  <c r="CD75" i="37"/>
  <c r="CD67" i="37"/>
  <c r="CD64" i="37"/>
  <c r="CD63" i="37"/>
  <c r="CD71" i="37"/>
  <c r="CD66" i="37"/>
  <c r="CD77" i="37"/>
  <c r="CD61" i="37"/>
  <c r="CD79" i="37"/>
  <c r="CD59" i="37"/>
  <c r="CC89" i="37"/>
  <c r="CD53" i="37"/>
  <c r="CD62" i="37"/>
  <c r="CD49" i="37"/>
  <c r="CD47" i="37"/>
  <c r="CD45" i="37"/>
  <c r="CD43" i="37"/>
  <c r="CD41" i="37"/>
  <c r="CD39" i="37"/>
  <c r="CD37" i="37"/>
  <c r="CD35" i="37"/>
  <c r="CD33" i="37"/>
  <c r="CD54" i="37"/>
  <c r="CD52" i="37"/>
  <c r="CD55" i="37"/>
  <c r="CD48" i="37"/>
  <c r="CD44" i="37"/>
  <c r="CD46" i="37"/>
  <c r="CD30" i="37"/>
  <c r="CE29" i="37"/>
  <c r="CD56" i="37"/>
  <c r="CD40" i="37"/>
  <c r="CD57" i="37"/>
  <c r="CD36" i="37"/>
  <c r="CD32" i="37"/>
  <c r="CD65" i="37"/>
  <c r="CD38" i="37"/>
  <c r="CD34" i="37"/>
  <c r="CD31" i="37"/>
  <c r="CD51" i="37"/>
  <c r="CD50" i="37"/>
  <c r="CD42" i="37"/>
  <c r="CD68" i="37"/>
  <c r="CD28" i="37"/>
  <c r="CD93" i="37" l="1"/>
  <c r="CD90" i="37"/>
  <c r="CD95" i="37"/>
  <c r="CD94" i="37"/>
  <c r="CD91" i="37"/>
  <c r="CD89" i="37"/>
  <c r="CD88" i="37"/>
  <c r="CD87" i="37"/>
  <c r="CE81" i="37"/>
  <c r="CD96" i="37"/>
  <c r="CE84" i="37"/>
  <c r="CD86" i="37"/>
  <c r="CD85" i="37"/>
  <c r="CE83" i="37"/>
  <c r="CD92" i="37"/>
  <c r="CE80" i="37"/>
  <c r="CE73" i="37"/>
  <c r="CE79" i="37"/>
  <c r="CE78" i="37"/>
  <c r="CE77" i="37"/>
  <c r="CE70" i="37"/>
  <c r="CE72" i="37"/>
  <c r="CE71" i="37"/>
  <c r="CE82" i="37"/>
  <c r="CE75" i="37"/>
  <c r="CE67" i="37"/>
  <c r="CE64" i="37"/>
  <c r="CE63" i="37"/>
  <c r="CE68" i="37"/>
  <c r="CE65" i="37"/>
  <c r="CE62" i="37"/>
  <c r="CE74" i="37"/>
  <c r="CE61" i="37"/>
  <c r="CE59" i="37"/>
  <c r="CE57" i="37"/>
  <c r="CE55" i="37"/>
  <c r="CE66" i="37"/>
  <c r="CE54" i="37"/>
  <c r="CE52" i="37"/>
  <c r="CE53" i="37"/>
  <c r="CF29" i="37"/>
  <c r="CF28" i="37" s="1"/>
  <c r="CE60" i="37"/>
  <c r="CE49" i="37"/>
  <c r="CE47" i="37"/>
  <c r="CE45" i="37"/>
  <c r="CE43" i="37"/>
  <c r="CE41" i="37"/>
  <c r="CE39" i="37"/>
  <c r="CE37" i="37"/>
  <c r="CE69" i="37"/>
  <c r="CE58" i="37"/>
  <c r="CE46" i="37"/>
  <c r="CE30" i="37"/>
  <c r="CE42" i="37"/>
  <c r="CE56" i="37"/>
  <c r="CE44" i="37"/>
  <c r="CE33" i="37"/>
  <c r="CE36" i="37"/>
  <c r="CE32" i="37"/>
  <c r="CE76" i="37"/>
  <c r="CE38" i="37"/>
  <c r="CE51" i="37"/>
  <c r="CE48" i="37"/>
  <c r="CE50" i="37"/>
  <c r="CE34" i="37"/>
  <c r="CE31" i="37"/>
  <c r="CE40" i="37"/>
  <c r="CE35" i="37"/>
  <c r="CE28" i="37"/>
  <c r="CE90" i="37" l="1"/>
  <c r="CE95" i="37"/>
  <c r="CE92" i="37"/>
  <c r="CE87" i="37"/>
  <c r="CE86" i="37"/>
  <c r="CE94" i="37"/>
  <c r="CE85" i="37"/>
  <c r="CE89" i="37"/>
  <c r="CE88" i="37"/>
  <c r="CF79" i="37"/>
  <c r="CF75" i="37"/>
  <c r="CF73" i="37"/>
  <c r="CE96" i="37"/>
  <c r="CE91" i="37"/>
  <c r="CF70" i="37"/>
  <c r="CF68" i="37"/>
  <c r="CF66" i="37"/>
  <c r="CF64" i="37"/>
  <c r="CF62" i="37"/>
  <c r="CF78" i="37"/>
  <c r="CF77" i="37"/>
  <c r="CF82" i="37"/>
  <c r="CF80" i="37"/>
  <c r="CF72" i="37"/>
  <c r="CF71" i="37"/>
  <c r="CE93" i="37"/>
  <c r="CF74" i="37"/>
  <c r="CF83" i="37"/>
  <c r="CF65" i="37"/>
  <c r="CF69" i="37"/>
  <c r="CF81" i="37"/>
  <c r="CF61" i="37"/>
  <c r="CF67" i="37"/>
  <c r="CF59" i="37"/>
  <c r="CF54" i="37"/>
  <c r="CF76" i="37"/>
  <c r="CF57" i="37"/>
  <c r="CF60" i="37"/>
  <c r="CF49" i="37"/>
  <c r="CF47" i="37"/>
  <c r="CF45" i="37"/>
  <c r="CF43" i="37"/>
  <c r="CF41" i="37"/>
  <c r="CF39" i="37"/>
  <c r="CF37" i="37"/>
  <c r="CF35" i="37"/>
  <c r="CF33" i="37"/>
  <c r="CF31" i="37"/>
  <c r="CF84" i="37"/>
  <c r="CF58" i="37"/>
  <c r="CF52" i="37"/>
  <c r="CF55" i="37"/>
  <c r="CF51" i="37"/>
  <c r="CF56" i="37"/>
  <c r="CF44" i="37"/>
  <c r="CG29" i="37"/>
  <c r="CF40" i="37"/>
  <c r="CF42" i="37"/>
  <c r="CF63" i="37"/>
  <c r="CF34" i="37"/>
  <c r="CF38" i="37"/>
  <c r="CF30" i="37"/>
  <c r="CF53" i="37"/>
  <c r="CF48" i="37"/>
  <c r="CF36" i="37"/>
  <c r="CF32" i="37"/>
  <c r="CF50" i="37"/>
  <c r="CF46" i="37"/>
  <c r="CF95" i="37" l="1"/>
  <c r="CF92" i="37"/>
  <c r="CF96" i="37"/>
  <c r="CF94" i="37"/>
  <c r="CF93" i="37"/>
  <c r="CF90" i="37"/>
  <c r="CF85" i="37"/>
  <c r="CG82" i="37"/>
  <c r="CG79" i="37"/>
  <c r="CG77" i="37"/>
  <c r="CF91" i="37"/>
  <c r="CF86" i="37"/>
  <c r="CF87" i="37"/>
  <c r="CG72" i="37"/>
  <c r="CG76" i="37"/>
  <c r="CG71" i="37"/>
  <c r="CG69" i="37"/>
  <c r="CG67" i="37"/>
  <c r="CG65" i="37"/>
  <c r="CG84" i="37"/>
  <c r="CG81" i="37"/>
  <c r="CG80" i="37"/>
  <c r="CG74" i="37"/>
  <c r="CG73" i="37"/>
  <c r="CG75" i="37"/>
  <c r="CF88" i="37"/>
  <c r="CG78" i="37"/>
  <c r="CG68" i="37"/>
  <c r="CG62" i="37"/>
  <c r="CG66" i="37"/>
  <c r="CG61" i="37"/>
  <c r="CG59" i="37"/>
  <c r="CG70" i="37"/>
  <c r="CG54" i="37"/>
  <c r="CG57" i="37"/>
  <c r="CG56" i="37"/>
  <c r="CG83" i="37"/>
  <c r="CG58" i="37"/>
  <c r="CG52" i="37"/>
  <c r="CG55" i="37"/>
  <c r="CG51" i="37"/>
  <c r="CG50" i="37"/>
  <c r="CG42" i="37"/>
  <c r="CG37" i="37"/>
  <c r="CG53" i="37"/>
  <c r="CG63" i="37"/>
  <c r="CG40" i="37"/>
  <c r="CG34" i="37"/>
  <c r="CG33" i="37"/>
  <c r="CG49" i="37"/>
  <c r="CG38" i="37"/>
  <c r="CG48" i="37"/>
  <c r="CG44" i="37"/>
  <c r="CG31" i="37"/>
  <c r="CG60" i="37"/>
  <c r="CG36" i="37"/>
  <c r="CG64" i="37"/>
  <c r="CG47" i="37"/>
  <c r="CG39" i="37"/>
  <c r="CH29" i="37"/>
  <c r="CG46" i="37"/>
  <c r="CF89" i="37"/>
  <c r="CG41" i="37"/>
  <c r="CG45" i="37"/>
  <c r="CG30" i="37"/>
  <c r="CG43" i="37"/>
  <c r="CG35" i="37"/>
  <c r="CG32" i="37"/>
  <c r="CG28" i="37"/>
  <c r="CG92" i="37" l="1"/>
  <c r="CG89" i="37"/>
  <c r="CG94" i="37"/>
  <c r="CG93" i="37"/>
  <c r="CG95" i="37"/>
  <c r="CG91" i="37"/>
  <c r="CG96" i="37"/>
  <c r="CG87" i="37"/>
  <c r="CH84" i="37"/>
  <c r="CH83" i="37"/>
  <c r="CH80" i="37"/>
  <c r="CH82" i="37"/>
  <c r="CH78" i="37"/>
  <c r="CG88" i="37"/>
  <c r="CG85" i="37"/>
  <c r="CH81" i="37"/>
  <c r="CH79" i="37"/>
  <c r="CH75" i="37"/>
  <c r="CH74" i="37"/>
  <c r="CH73" i="37"/>
  <c r="CH64" i="37"/>
  <c r="CG86" i="37"/>
  <c r="CH72" i="37"/>
  <c r="CH69" i="37"/>
  <c r="CH66" i="37"/>
  <c r="CH61" i="37"/>
  <c r="CH59" i="37"/>
  <c r="CH77" i="37"/>
  <c r="CH70" i="37"/>
  <c r="CH67" i="37"/>
  <c r="CH57" i="37"/>
  <c r="CH76" i="37"/>
  <c r="CH56" i="37"/>
  <c r="CH71" i="37"/>
  <c r="CH65" i="37"/>
  <c r="CH62" i="37"/>
  <c r="CH58" i="37"/>
  <c r="CH52" i="37"/>
  <c r="CH55" i="37"/>
  <c r="CH51" i="37"/>
  <c r="CH54" i="37"/>
  <c r="CH50" i="37"/>
  <c r="CH48" i="37"/>
  <c r="CH46" i="37"/>
  <c r="CH44" i="37"/>
  <c r="CH42" i="37"/>
  <c r="CH40" i="37"/>
  <c r="CH38" i="37"/>
  <c r="CH36" i="37"/>
  <c r="CH34" i="37"/>
  <c r="CH68" i="37"/>
  <c r="CH63" i="37"/>
  <c r="CH33" i="37"/>
  <c r="CH32" i="37"/>
  <c r="CH53" i="37"/>
  <c r="CH49" i="37"/>
  <c r="CH47" i="37"/>
  <c r="CH35" i="37"/>
  <c r="CH39" i="37"/>
  <c r="CI29" i="37"/>
  <c r="CI28" i="37" s="1"/>
  <c r="CG90" i="37"/>
  <c r="CH45" i="37"/>
  <c r="CH37" i="37"/>
  <c r="CH30" i="37"/>
  <c r="CH43" i="37"/>
  <c r="CH31" i="37"/>
  <c r="CH60" i="37"/>
  <c r="CH41" i="37"/>
  <c r="CH28" i="37"/>
  <c r="CH94" i="37" l="1"/>
  <c r="CH86" i="37"/>
  <c r="CI83" i="37"/>
  <c r="CH90" i="37"/>
  <c r="CH88" i="37"/>
  <c r="CH93" i="37"/>
  <c r="CH96" i="37"/>
  <c r="CH89" i="37"/>
  <c r="CH91" i="37"/>
  <c r="CI84" i="37"/>
  <c r="CI82" i="37"/>
  <c r="CI80" i="37"/>
  <c r="CI74" i="37"/>
  <c r="CI65" i="37"/>
  <c r="CH85" i="37"/>
  <c r="CI75" i="37"/>
  <c r="CH92" i="37"/>
  <c r="CI79" i="37"/>
  <c r="CI76" i="37"/>
  <c r="CI77" i="37"/>
  <c r="CI70" i="37"/>
  <c r="CI71" i="37"/>
  <c r="CI60" i="37"/>
  <c r="CI58" i="37"/>
  <c r="CI56" i="37"/>
  <c r="CI78" i="37"/>
  <c r="CI72" i="37"/>
  <c r="CI59" i="37"/>
  <c r="CH95" i="37"/>
  <c r="CI62" i="37"/>
  <c r="CH87" i="37"/>
  <c r="CI73" i="37"/>
  <c r="CI68" i="37"/>
  <c r="CI63" i="37"/>
  <c r="CI55" i="37"/>
  <c r="CI53" i="37"/>
  <c r="CI51" i="37"/>
  <c r="CI81" i="37"/>
  <c r="CI69" i="37"/>
  <c r="CI54" i="37"/>
  <c r="CI50" i="37"/>
  <c r="CI48" i="37"/>
  <c r="CI46" i="37"/>
  <c r="CI44" i="37"/>
  <c r="CI42" i="37"/>
  <c r="CI40" i="37"/>
  <c r="CI38" i="37"/>
  <c r="CI66" i="37"/>
  <c r="CI49" i="37"/>
  <c r="CI34" i="37"/>
  <c r="CI45" i="37"/>
  <c r="CI47" i="37"/>
  <c r="CI35" i="37"/>
  <c r="CI32" i="37"/>
  <c r="CI57" i="37"/>
  <c r="CI36" i="37"/>
  <c r="CI64" i="37"/>
  <c r="CI67" i="37"/>
  <c r="CI39" i="37"/>
  <c r="CI37" i="37"/>
  <c r="CI30" i="37"/>
  <c r="CI52" i="37"/>
  <c r="CJ29" i="37"/>
  <c r="CJ28" i="37" s="1"/>
  <c r="CI43" i="37"/>
  <c r="CI31" i="37"/>
  <c r="CI61" i="37"/>
  <c r="CI41" i="37"/>
  <c r="CI33" i="37"/>
  <c r="CI94" i="37" l="1"/>
  <c r="CI91" i="37"/>
  <c r="CI96" i="37"/>
  <c r="CI95" i="37"/>
  <c r="CI93" i="37"/>
  <c r="CI92" i="37"/>
  <c r="CI88" i="37"/>
  <c r="CI89" i="37"/>
  <c r="CJ79" i="37"/>
  <c r="CJ81" i="37"/>
  <c r="CJ77" i="37"/>
  <c r="CJ74" i="37"/>
  <c r="CJ72" i="37"/>
  <c r="CJ78" i="37"/>
  <c r="CJ76" i="37"/>
  <c r="CJ71" i="37"/>
  <c r="CJ69" i="37"/>
  <c r="CJ67" i="37"/>
  <c r="CJ65" i="37"/>
  <c r="CJ63" i="37"/>
  <c r="CJ61" i="37"/>
  <c r="CI85" i="37"/>
  <c r="CJ75" i="37"/>
  <c r="CJ66" i="37"/>
  <c r="CJ82" i="37"/>
  <c r="CI86" i="37"/>
  <c r="CJ84" i="37"/>
  <c r="CJ62" i="37"/>
  <c r="CJ56" i="37"/>
  <c r="CI87" i="37"/>
  <c r="CJ73" i="37"/>
  <c r="CJ68" i="37"/>
  <c r="CJ55" i="37"/>
  <c r="CJ53" i="37"/>
  <c r="CJ60" i="37"/>
  <c r="CJ83" i="37"/>
  <c r="CJ80" i="37"/>
  <c r="CJ59" i="37"/>
  <c r="CJ54" i="37"/>
  <c r="CJ51" i="37"/>
  <c r="CJ50" i="37"/>
  <c r="CJ48" i="37"/>
  <c r="CJ46" i="37"/>
  <c r="CJ44" i="37"/>
  <c r="CJ42" i="37"/>
  <c r="CJ40" i="37"/>
  <c r="CJ38" i="37"/>
  <c r="CJ36" i="37"/>
  <c r="CJ34" i="37"/>
  <c r="CJ32" i="37"/>
  <c r="CJ30" i="37"/>
  <c r="CJ64" i="37"/>
  <c r="CJ47" i="37"/>
  <c r="CJ35" i="37"/>
  <c r="CJ57" i="37"/>
  <c r="CJ45" i="37"/>
  <c r="CJ43" i="37"/>
  <c r="CJ31" i="37"/>
  <c r="CJ37" i="37"/>
  <c r="CJ41" i="37"/>
  <c r="CJ39" i="37"/>
  <c r="CJ49" i="37"/>
  <c r="CI90" i="37"/>
  <c r="CJ58" i="37"/>
  <c r="CJ33" i="37"/>
  <c r="CJ52" i="37"/>
  <c r="CJ70" i="37"/>
  <c r="CK29" i="37"/>
  <c r="CK28" i="37" s="1"/>
  <c r="CJ91" i="37" l="1"/>
  <c r="CJ96" i="37"/>
  <c r="CJ88" i="37"/>
  <c r="CJ93" i="37"/>
  <c r="CJ92" i="37"/>
  <c r="CJ89" i="37"/>
  <c r="CK84" i="37"/>
  <c r="CK80" i="37"/>
  <c r="CK78" i="37"/>
  <c r="CK76" i="37"/>
  <c r="CJ94" i="37"/>
  <c r="CJ87" i="37"/>
  <c r="CJ90" i="37"/>
  <c r="CK82" i="37"/>
  <c r="CJ85" i="37"/>
  <c r="CK77" i="37"/>
  <c r="CK75" i="37"/>
  <c r="CK73" i="37"/>
  <c r="CK70" i="37"/>
  <c r="CK68" i="37"/>
  <c r="CK66" i="37"/>
  <c r="CK64" i="37"/>
  <c r="CK83" i="37"/>
  <c r="CJ86" i="37"/>
  <c r="CK79" i="37"/>
  <c r="CK67" i="37"/>
  <c r="CK71" i="37"/>
  <c r="CK60" i="37"/>
  <c r="CK58" i="37"/>
  <c r="CJ95" i="37"/>
  <c r="CK63" i="37"/>
  <c r="CK55" i="37"/>
  <c r="CK53" i="37"/>
  <c r="CK65" i="37"/>
  <c r="CK74" i="37"/>
  <c r="CK69" i="37"/>
  <c r="CK62" i="37"/>
  <c r="CK56" i="37"/>
  <c r="CK72" i="37"/>
  <c r="CK57" i="37"/>
  <c r="CK45" i="37"/>
  <c r="CK40" i="37"/>
  <c r="CK32" i="37"/>
  <c r="CK43" i="37"/>
  <c r="CK38" i="37"/>
  <c r="CK36" i="37"/>
  <c r="CK31" i="37"/>
  <c r="CK41" i="37"/>
  <c r="CK59" i="37"/>
  <c r="CK47" i="37"/>
  <c r="CK30" i="37"/>
  <c r="CK42" i="37"/>
  <c r="CK34" i="37"/>
  <c r="CK54" i="37"/>
  <c r="CK51" i="37"/>
  <c r="CK46" i="37"/>
  <c r="CK52" i="37"/>
  <c r="CK50" i="37"/>
  <c r="CK39" i="37"/>
  <c r="CL29" i="37"/>
  <c r="CK49" i="37"/>
  <c r="CK48" i="37"/>
  <c r="CK37" i="37"/>
  <c r="CK81" i="37"/>
  <c r="CK61" i="37"/>
  <c r="CK44" i="37"/>
  <c r="CK33" i="37"/>
  <c r="CK35" i="37"/>
  <c r="CK96" i="37" l="1"/>
  <c r="CK93" i="37"/>
  <c r="CK90" i="37"/>
  <c r="CK88" i="37"/>
  <c r="CK85" i="37"/>
  <c r="CK89" i="37"/>
  <c r="CL83" i="37"/>
  <c r="CK95" i="37"/>
  <c r="CL82" i="37"/>
  <c r="CL78" i="37"/>
  <c r="CK87" i="37"/>
  <c r="CL84" i="37"/>
  <c r="CL76" i="37"/>
  <c r="CL81" i="37"/>
  <c r="CL79" i="37"/>
  <c r="CK92" i="37"/>
  <c r="CK86" i="37"/>
  <c r="CL67" i="37"/>
  <c r="CL68" i="37"/>
  <c r="CL60" i="37"/>
  <c r="CL58" i="37"/>
  <c r="CK94" i="37"/>
  <c r="CL74" i="37"/>
  <c r="CL73" i="37"/>
  <c r="CL62" i="37"/>
  <c r="CK91" i="37"/>
  <c r="CL65" i="37"/>
  <c r="CL71" i="37"/>
  <c r="CL63" i="37"/>
  <c r="CL64" i="37"/>
  <c r="CL55" i="37"/>
  <c r="CL66" i="37"/>
  <c r="CL56" i="37"/>
  <c r="CL49" i="37"/>
  <c r="CL47" i="37"/>
  <c r="CL45" i="37"/>
  <c r="CL43" i="37"/>
  <c r="CL41" i="37"/>
  <c r="CL39" i="37"/>
  <c r="CL37" i="37"/>
  <c r="CL35" i="37"/>
  <c r="CL33" i="37"/>
  <c r="CL77" i="37"/>
  <c r="CL72" i="37"/>
  <c r="CL57" i="37"/>
  <c r="CL53" i="37"/>
  <c r="CL38" i="37"/>
  <c r="CL36" i="37"/>
  <c r="CL31" i="37"/>
  <c r="CL70" i="37"/>
  <c r="CL51" i="37"/>
  <c r="CL30" i="37"/>
  <c r="CL50" i="37"/>
  <c r="CM29" i="37"/>
  <c r="CL54" i="37"/>
  <c r="CL46" i="37"/>
  <c r="CL34" i="37"/>
  <c r="CL32" i="37"/>
  <c r="CL40" i="37"/>
  <c r="CL69" i="37"/>
  <c r="CL52" i="37"/>
  <c r="CL61" i="37"/>
  <c r="CL44" i="37"/>
  <c r="CL80" i="37"/>
  <c r="CL75" i="37"/>
  <c r="CL48" i="37"/>
  <c r="CL42" i="37"/>
  <c r="CL59" i="37"/>
  <c r="CL28" i="37"/>
  <c r="CL93" i="37" l="1"/>
  <c r="CL90" i="37"/>
  <c r="CL95" i="37"/>
  <c r="CL94" i="37"/>
  <c r="CL92" i="37"/>
  <c r="CM81" i="37"/>
  <c r="CL96" i="37"/>
  <c r="CL86" i="37"/>
  <c r="CL85" i="37"/>
  <c r="CL88" i="37"/>
  <c r="CM83" i="37"/>
  <c r="CM80" i="37"/>
  <c r="CM74" i="37"/>
  <c r="CM72" i="37"/>
  <c r="CM82" i="37"/>
  <c r="CM79" i="37"/>
  <c r="CM68" i="37"/>
  <c r="CM84" i="37"/>
  <c r="CM76" i="37"/>
  <c r="CM69" i="37"/>
  <c r="CL89" i="37"/>
  <c r="CM77" i="37"/>
  <c r="CM63" i="37"/>
  <c r="CL91" i="37"/>
  <c r="CL87" i="37"/>
  <c r="CM64" i="37"/>
  <c r="CM59" i="37"/>
  <c r="CM57" i="37"/>
  <c r="CM55" i="37"/>
  <c r="CM73" i="37"/>
  <c r="CM71" i="37"/>
  <c r="CM60" i="37"/>
  <c r="CM58" i="37"/>
  <c r="CM54" i="37"/>
  <c r="CM52" i="37"/>
  <c r="CM66" i="37"/>
  <c r="CM62" i="37"/>
  <c r="CN29" i="37"/>
  <c r="CN28" i="37" s="1"/>
  <c r="CM78" i="37"/>
  <c r="CM56" i="37"/>
  <c r="CM49" i="37"/>
  <c r="CM47" i="37"/>
  <c r="CM45" i="37"/>
  <c r="CM43" i="37"/>
  <c r="CM41" i="37"/>
  <c r="CM39" i="37"/>
  <c r="CM37" i="37"/>
  <c r="CM75" i="37"/>
  <c r="CM53" i="37"/>
  <c r="CM65" i="37"/>
  <c r="CM48" i="37"/>
  <c r="CM70" i="37"/>
  <c r="CM51" i="37"/>
  <c r="CM50" i="37"/>
  <c r="CM30" i="37"/>
  <c r="CM35" i="37"/>
  <c r="CM40" i="37"/>
  <c r="CM36" i="37"/>
  <c r="CM61" i="37"/>
  <c r="CM44" i="37"/>
  <c r="CM33" i="37"/>
  <c r="CM31" i="37"/>
  <c r="CM32" i="37"/>
  <c r="CM67" i="37"/>
  <c r="CM46" i="37"/>
  <c r="CM38" i="37"/>
  <c r="CM42" i="37"/>
  <c r="CM34" i="37"/>
  <c r="CM28" i="37"/>
  <c r="CM90" i="37" l="1"/>
  <c r="CM95" i="37"/>
  <c r="CM92" i="37"/>
  <c r="CM87" i="37"/>
  <c r="CM96" i="37"/>
  <c r="CN84" i="37"/>
  <c r="CM94" i="37"/>
  <c r="CM91" i="37"/>
  <c r="CN81" i="37"/>
  <c r="CM86" i="37"/>
  <c r="CM85" i="37"/>
  <c r="CN80" i="37"/>
  <c r="CN75" i="37"/>
  <c r="CN73" i="37"/>
  <c r="CN82" i="37"/>
  <c r="CN70" i="37"/>
  <c r="CN68" i="37"/>
  <c r="CN66" i="37"/>
  <c r="CN64" i="37"/>
  <c r="CN62" i="37"/>
  <c r="CN83" i="37"/>
  <c r="CM89" i="37"/>
  <c r="CM93" i="37"/>
  <c r="CN76" i="37"/>
  <c r="CN69" i="37"/>
  <c r="CN77" i="37"/>
  <c r="CN78" i="37"/>
  <c r="CN74" i="37"/>
  <c r="CN63" i="37"/>
  <c r="CN79" i="37"/>
  <c r="CN67" i="37"/>
  <c r="CN65" i="37"/>
  <c r="CN61" i="37"/>
  <c r="CN60" i="37"/>
  <c r="CN58" i="37"/>
  <c r="CN54" i="37"/>
  <c r="CN52" i="37"/>
  <c r="CM88" i="37"/>
  <c r="CN56" i="37"/>
  <c r="CN49" i="37"/>
  <c r="CN47" i="37"/>
  <c r="CN45" i="37"/>
  <c r="CN43" i="37"/>
  <c r="CN41" i="37"/>
  <c r="CN39" i="37"/>
  <c r="CN37" i="37"/>
  <c r="CN35" i="37"/>
  <c r="CN33" i="37"/>
  <c r="CN31" i="37"/>
  <c r="CN72" i="37"/>
  <c r="CN57" i="37"/>
  <c r="CN53" i="37"/>
  <c r="CN71" i="37"/>
  <c r="CN51" i="37"/>
  <c r="CN50" i="37"/>
  <c r="CN30" i="37"/>
  <c r="CN46" i="37"/>
  <c r="CN48" i="37"/>
  <c r="CO29" i="37"/>
  <c r="CO28" i="37" s="1"/>
  <c r="CN44" i="37"/>
  <c r="CN55" i="37"/>
  <c r="CN42" i="37"/>
  <c r="CN34" i="37"/>
  <c r="CN40" i="37"/>
  <c r="CN59" i="37"/>
  <c r="CN38" i="37"/>
  <c r="CN32" i="37"/>
  <c r="CN36" i="37"/>
  <c r="CN95" i="37" l="1"/>
  <c r="CN92" i="37"/>
  <c r="CN96" i="37"/>
  <c r="CN91" i="37"/>
  <c r="CN94" i="37"/>
  <c r="CN89" i="37"/>
  <c r="CN88" i="37"/>
  <c r="CN87" i="37"/>
  <c r="CN86" i="37"/>
  <c r="CO82" i="37"/>
  <c r="CO79" i="37"/>
  <c r="CO77" i="37"/>
  <c r="CN90" i="37"/>
  <c r="CO84" i="37"/>
  <c r="CO73" i="37"/>
  <c r="CO71" i="37"/>
  <c r="CO69" i="37"/>
  <c r="CO67" i="37"/>
  <c r="CO65" i="37"/>
  <c r="CN93" i="37"/>
  <c r="CO78" i="37"/>
  <c r="CO70" i="37"/>
  <c r="CO81" i="37"/>
  <c r="CO72" i="37"/>
  <c r="CO62" i="37"/>
  <c r="CO59" i="37"/>
  <c r="CO57" i="37"/>
  <c r="CO80" i="37"/>
  <c r="CO76" i="37"/>
  <c r="CO68" i="37"/>
  <c r="CO63" i="37"/>
  <c r="CO58" i="37"/>
  <c r="CO54" i="37"/>
  <c r="CO64" i="37"/>
  <c r="CN85" i="37"/>
  <c r="CO53" i="37"/>
  <c r="CO75" i="37"/>
  <c r="CO61" i="37"/>
  <c r="CO52" i="37"/>
  <c r="CO51" i="37"/>
  <c r="CO50" i="37"/>
  <c r="CO48" i="37"/>
  <c r="CO43" i="37"/>
  <c r="CP29" i="37"/>
  <c r="CP28" i="37" s="1"/>
  <c r="CO44" i="37"/>
  <c r="CO39" i="37"/>
  <c r="CO46" i="37"/>
  <c r="CO41" i="37"/>
  <c r="CO74" i="37"/>
  <c r="CO38" i="37"/>
  <c r="CO83" i="37"/>
  <c r="CO55" i="37"/>
  <c r="CO45" i="37"/>
  <c r="CO42" i="37"/>
  <c r="CO34" i="37"/>
  <c r="CO33" i="37"/>
  <c r="CO31" i="37"/>
  <c r="CO32" i="37"/>
  <c r="CO66" i="37"/>
  <c r="CO60" i="37"/>
  <c r="CO56" i="37"/>
  <c r="CO40" i="37"/>
  <c r="CO36" i="37"/>
  <c r="CO35" i="37"/>
  <c r="CO49" i="37"/>
  <c r="CO37" i="37"/>
  <c r="CO47" i="37"/>
  <c r="CO30" i="37"/>
  <c r="CO92" i="37" l="1"/>
  <c r="CO89" i="37"/>
  <c r="CO94" i="37"/>
  <c r="CO93" i="37"/>
  <c r="CO96" i="37"/>
  <c r="CO85" i="37"/>
  <c r="CO91" i="37"/>
  <c r="CO87" i="37"/>
  <c r="CP84" i="37"/>
  <c r="CP83" i="37"/>
  <c r="CO95" i="37"/>
  <c r="CP79" i="37"/>
  <c r="CP72" i="37"/>
  <c r="CO86" i="37"/>
  <c r="CP78" i="37"/>
  <c r="CP77" i="37"/>
  <c r="CP70" i="37"/>
  <c r="CP81" i="37"/>
  <c r="CP71" i="37"/>
  <c r="CO88" i="37"/>
  <c r="CP82" i="37"/>
  <c r="CP62" i="37"/>
  <c r="CP59" i="37"/>
  <c r="CP73" i="37"/>
  <c r="CP64" i="37"/>
  <c r="CP61" i="37"/>
  <c r="CO90" i="37"/>
  <c r="CP76" i="37"/>
  <c r="CP68" i="37"/>
  <c r="CP66" i="37"/>
  <c r="CP74" i="37"/>
  <c r="CP69" i="37"/>
  <c r="CP57" i="37"/>
  <c r="CP56" i="37"/>
  <c r="CP53" i="37"/>
  <c r="CP75" i="37"/>
  <c r="CP52" i="37"/>
  <c r="CP51" i="37"/>
  <c r="CP50" i="37"/>
  <c r="CP48" i="37"/>
  <c r="CP46" i="37"/>
  <c r="CP44" i="37"/>
  <c r="CP42" i="37"/>
  <c r="CP40" i="37"/>
  <c r="CP38" i="37"/>
  <c r="CP36" i="37"/>
  <c r="CP34" i="37"/>
  <c r="CP63" i="37"/>
  <c r="CP41" i="37"/>
  <c r="CP33" i="37"/>
  <c r="CP65" i="37"/>
  <c r="CP39" i="37"/>
  <c r="CP80" i="37"/>
  <c r="CP37" i="37"/>
  <c r="CP55" i="37"/>
  <c r="CP45" i="37"/>
  <c r="CP31" i="37"/>
  <c r="CQ29" i="37"/>
  <c r="CQ28" i="37" s="1"/>
  <c r="CP47" i="37"/>
  <c r="CP58" i="37"/>
  <c r="CP32" i="37"/>
  <c r="CP43" i="37"/>
  <c r="CP35" i="37"/>
  <c r="CP49" i="37"/>
  <c r="CP30" i="37"/>
  <c r="CP54" i="37"/>
  <c r="CP60" i="37"/>
  <c r="CP67" i="37"/>
  <c r="CP89" i="37" l="1"/>
  <c r="CP94" i="37"/>
  <c r="CP96" i="37"/>
  <c r="CP86" i="37"/>
  <c r="CQ83" i="37"/>
  <c r="CP95" i="37"/>
  <c r="CP93" i="37"/>
  <c r="CP85" i="37"/>
  <c r="CQ84" i="37"/>
  <c r="CP91" i="37"/>
  <c r="CP92" i="37"/>
  <c r="CP88" i="37"/>
  <c r="CQ80" i="37"/>
  <c r="CQ78" i="37"/>
  <c r="CQ77" i="37"/>
  <c r="CQ76" i="37"/>
  <c r="CQ75" i="37"/>
  <c r="CP90" i="37"/>
  <c r="CP87" i="37"/>
  <c r="CQ81" i="37"/>
  <c r="CQ71" i="37"/>
  <c r="CQ72" i="37"/>
  <c r="CQ74" i="37"/>
  <c r="CQ73" i="37"/>
  <c r="CQ79" i="37"/>
  <c r="CQ64" i="37"/>
  <c r="CQ61" i="37"/>
  <c r="CQ67" i="37"/>
  <c r="CQ65" i="37"/>
  <c r="CQ69" i="37"/>
  <c r="CQ60" i="37"/>
  <c r="CQ58" i="37"/>
  <c r="CQ56" i="37"/>
  <c r="CQ82" i="37"/>
  <c r="CQ57" i="37"/>
  <c r="CQ53" i="37"/>
  <c r="CQ51" i="37"/>
  <c r="CQ52" i="37"/>
  <c r="CQ50" i="37"/>
  <c r="CQ48" i="37"/>
  <c r="CQ46" i="37"/>
  <c r="CQ44" i="37"/>
  <c r="CQ42" i="37"/>
  <c r="CQ40" i="37"/>
  <c r="CQ38" i="37"/>
  <c r="CQ68" i="37"/>
  <c r="CQ63" i="37"/>
  <c r="CQ70" i="37"/>
  <c r="CQ39" i="37"/>
  <c r="CQ34" i="37"/>
  <c r="CQ37" i="37"/>
  <c r="CQ33" i="37"/>
  <c r="CQ32" i="37"/>
  <c r="CQ59" i="37"/>
  <c r="CQ47" i="37"/>
  <c r="CQ30" i="37"/>
  <c r="CQ54" i="37"/>
  <c r="CQ55" i="37"/>
  <c r="CQ45" i="37"/>
  <c r="CQ43" i="37"/>
  <c r="CQ35" i="37"/>
  <c r="CQ62" i="37"/>
  <c r="CQ36" i="37"/>
  <c r="CQ66" i="37"/>
  <c r="CQ49" i="37"/>
  <c r="CQ41" i="37"/>
  <c r="CR29" i="37"/>
  <c r="CR28" i="37" s="1"/>
  <c r="CQ31" i="37"/>
  <c r="CQ94" i="37" l="1"/>
  <c r="CQ91" i="37"/>
  <c r="CQ96" i="37"/>
  <c r="CQ95" i="37"/>
  <c r="CQ92" i="37"/>
  <c r="CQ90" i="37"/>
  <c r="CQ93" i="37"/>
  <c r="CQ86" i="37"/>
  <c r="CQ88" i="37"/>
  <c r="CR83" i="37"/>
  <c r="CQ87" i="37"/>
  <c r="CR82" i="37"/>
  <c r="CR74" i="37"/>
  <c r="CR72" i="37"/>
  <c r="CR71" i="37"/>
  <c r="CR69" i="37"/>
  <c r="CR67" i="37"/>
  <c r="CR65" i="37"/>
  <c r="CR63" i="37"/>
  <c r="CR61" i="37"/>
  <c r="CQ89" i="37"/>
  <c r="CR78" i="37"/>
  <c r="CR81" i="37"/>
  <c r="CR79" i="37"/>
  <c r="CR84" i="37"/>
  <c r="CR77" i="37"/>
  <c r="CR64" i="37"/>
  <c r="CR73" i="37"/>
  <c r="CR80" i="37"/>
  <c r="CR68" i="37"/>
  <c r="CR66" i="37"/>
  <c r="CR75" i="37"/>
  <c r="CR70" i="37"/>
  <c r="CR57" i="37"/>
  <c r="CQ85" i="37"/>
  <c r="CR56" i="37"/>
  <c r="CR53" i="37"/>
  <c r="CR59" i="37"/>
  <c r="CR55" i="37"/>
  <c r="CR52" i="37"/>
  <c r="CR50" i="37"/>
  <c r="CR48" i="37"/>
  <c r="CR46" i="37"/>
  <c r="CR44" i="37"/>
  <c r="CR42" i="37"/>
  <c r="CR40" i="37"/>
  <c r="CR38" i="37"/>
  <c r="CR36" i="37"/>
  <c r="CR34" i="37"/>
  <c r="CR32" i="37"/>
  <c r="CR30" i="37"/>
  <c r="CR51" i="37"/>
  <c r="CR60" i="37"/>
  <c r="CR54" i="37"/>
  <c r="CR37" i="37"/>
  <c r="CR33" i="37"/>
  <c r="CR49" i="37"/>
  <c r="CR35" i="37"/>
  <c r="CR76" i="37"/>
  <c r="CR58" i="37"/>
  <c r="CR43" i="37"/>
  <c r="CR39" i="37"/>
  <c r="CR62" i="37"/>
  <c r="CR41" i="37"/>
  <c r="CS29" i="37"/>
  <c r="CS28" i="37" s="1"/>
  <c r="CR47" i="37"/>
  <c r="CR45" i="37"/>
  <c r="CR31" i="37"/>
  <c r="CR91" i="37" l="1"/>
  <c r="CR96" i="37"/>
  <c r="CR88" i="37"/>
  <c r="CR93" i="37"/>
  <c r="CR92" i="37"/>
  <c r="CS84" i="37"/>
  <c r="CS80" i="37"/>
  <c r="CS78" i="37"/>
  <c r="CS76" i="37"/>
  <c r="CR87" i="37"/>
  <c r="CR90" i="37"/>
  <c r="CR85" i="37"/>
  <c r="CS79" i="37"/>
  <c r="CS81" i="37"/>
  <c r="CS77" i="37"/>
  <c r="CS74" i="37"/>
  <c r="CS70" i="37"/>
  <c r="CS68" i="37"/>
  <c r="CS66" i="37"/>
  <c r="CS64" i="37"/>
  <c r="CR86" i="37"/>
  <c r="CS73" i="37"/>
  <c r="CS72" i="37"/>
  <c r="CR89" i="37"/>
  <c r="CS83" i="37"/>
  <c r="CS75" i="37"/>
  <c r="CR94" i="37"/>
  <c r="CS67" i="37"/>
  <c r="CS65" i="37"/>
  <c r="CS60" i="37"/>
  <c r="CS58" i="37"/>
  <c r="CR95" i="37"/>
  <c r="CS82" i="37"/>
  <c r="CS56" i="37"/>
  <c r="CS53" i="37"/>
  <c r="CS69" i="37"/>
  <c r="CS59" i="37"/>
  <c r="CS55" i="37"/>
  <c r="CS61" i="37"/>
  <c r="CS51" i="37"/>
  <c r="CS63" i="37"/>
  <c r="CS57" i="37"/>
  <c r="CS71" i="37"/>
  <c r="CS54" i="37"/>
  <c r="CS46" i="37"/>
  <c r="CS47" i="37"/>
  <c r="CS42" i="37"/>
  <c r="CS31" i="37"/>
  <c r="CS49" i="37"/>
  <c r="CS44" i="37"/>
  <c r="CS35" i="37"/>
  <c r="CS34" i="37"/>
  <c r="CS32" i="37"/>
  <c r="CS62" i="37"/>
  <c r="CS52" i="37"/>
  <c r="CS33" i="37"/>
  <c r="CS50" i="37"/>
  <c r="CS41" i="37"/>
  <c r="CS36" i="37"/>
  <c r="CT29" i="37"/>
  <c r="CT28" i="37" s="1"/>
  <c r="CS40" i="37"/>
  <c r="CS38" i="37"/>
  <c r="CS30" i="37"/>
  <c r="CS37" i="37"/>
  <c r="CS39" i="37"/>
  <c r="CS48" i="37"/>
  <c r="CS45" i="37"/>
  <c r="CS43" i="37"/>
  <c r="CS96" i="37" l="1"/>
  <c r="CS93" i="37"/>
  <c r="CS95" i="37"/>
  <c r="CS85" i="37"/>
  <c r="CS87" i="37"/>
  <c r="CS92" i="37"/>
  <c r="CS89" i="37"/>
  <c r="CS86" i="37"/>
  <c r="CV82" i="37"/>
  <c r="CT83" i="37"/>
  <c r="CT75" i="37"/>
  <c r="CS90" i="37"/>
  <c r="CT81" i="37"/>
  <c r="CT79" i="37"/>
  <c r="CT73" i="37"/>
  <c r="CS94" i="37"/>
  <c r="CV84" i="37"/>
  <c r="CT82" i="37"/>
  <c r="CT80" i="37"/>
  <c r="CT78" i="37"/>
  <c r="CT65" i="37"/>
  <c r="CS88" i="37"/>
  <c r="CV83" i="37"/>
  <c r="CT74" i="37"/>
  <c r="CV80" i="37"/>
  <c r="CT68" i="37"/>
  <c r="CT66" i="37"/>
  <c r="CT60" i="37"/>
  <c r="CT58" i="37"/>
  <c r="CT76" i="37"/>
  <c r="CT69" i="37"/>
  <c r="CT72" i="37"/>
  <c r="CT71" i="37"/>
  <c r="CT63" i="37"/>
  <c r="CT64" i="37"/>
  <c r="CT59" i="37"/>
  <c r="CT55" i="37"/>
  <c r="CT61" i="37"/>
  <c r="CT62" i="37"/>
  <c r="CT84" i="37"/>
  <c r="CT57" i="37"/>
  <c r="CS91" i="37"/>
  <c r="CT54" i="37"/>
  <c r="CT77" i="37"/>
  <c r="CT49" i="37"/>
  <c r="CT47" i="37"/>
  <c r="CT45" i="37"/>
  <c r="CT43" i="37"/>
  <c r="CT41" i="37"/>
  <c r="CT39" i="37"/>
  <c r="CT37" i="37"/>
  <c r="CT35" i="37"/>
  <c r="CT33" i="37"/>
  <c r="CT70" i="37"/>
  <c r="CT67" i="37"/>
  <c r="CT44" i="37"/>
  <c r="CT34" i="37"/>
  <c r="CT32" i="37"/>
  <c r="CT52" i="37"/>
  <c r="CT40" i="37"/>
  <c r="CT36" i="37"/>
  <c r="CT42" i="37"/>
  <c r="CT31" i="37"/>
  <c r="CT53" i="37"/>
  <c r="CT51" i="37"/>
  <c r="CT50" i="37"/>
  <c r="CU29" i="37"/>
  <c r="CU28" i="37" s="1"/>
  <c r="CV81" i="37"/>
  <c r="CT56" i="37"/>
  <c r="CT38" i="37"/>
  <c r="CT30" i="37"/>
  <c r="CT48" i="37"/>
  <c r="CT46" i="37"/>
  <c r="CT93" i="37" l="1"/>
  <c r="CT90" i="37"/>
  <c r="CT95" i="37"/>
  <c r="CT94" i="37"/>
  <c r="CT89" i="37"/>
  <c r="CT88" i="37"/>
  <c r="CT91" i="37"/>
  <c r="CW82" i="37"/>
  <c r="CU81" i="37"/>
  <c r="CT86" i="37"/>
  <c r="CU83" i="37"/>
  <c r="CW84" i="37"/>
  <c r="CU82" i="37"/>
  <c r="CW81" i="37"/>
  <c r="CU78" i="37"/>
  <c r="CW80" i="37"/>
  <c r="CU76" i="37"/>
  <c r="CU77" i="37"/>
  <c r="CT92" i="37"/>
  <c r="CT87" i="37"/>
  <c r="CU80" i="37"/>
  <c r="CW83" i="37"/>
  <c r="CU74" i="37"/>
  <c r="CU66" i="37"/>
  <c r="CU75" i="37"/>
  <c r="CU67" i="37"/>
  <c r="CU73" i="37"/>
  <c r="CU69" i="37"/>
  <c r="CU70" i="37"/>
  <c r="CU62" i="37"/>
  <c r="CU59" i="37"/>
  <c r="CU57" i="37"/>
  <c r="CU55" i="37"/>
  <c r="CT85" i="37"/>
  <c r="CU61" i="37"/>
  <c r="CU79" i="37"/>
  <c r="CU84" i="37"/>
  <c r="CU54" i="37"/>
  <c r="CU52" i="37"/>
  <c r="CU63" i="37"/>
  <c r="CU72" i="37"/>
  <c r="CU71" i="37"/>
  <c r="CU68" i="37"/>
  <c r="CU49" i="37"/>
  <c r="CU47" i="37"/>
  <c r="CU45" i="37"/>
  <c r="CU43" i="37"/>
  <c r="CU41" i="37"/>
  <c r="CU39" i="37"/>
  <c r="CU37" i="37"/>
  <c r="CU64" i="37"/>
  <c r="CU60" i="37"/>
  <c r="CU65" i="37"/>
  <c r="CU42" i="37"/>
  <c r="CU35" i="37"/>
  <c r="CU31" i="37"/>
  <c r="CU38" i="37"/>
  <c r="CU40" i="37"/>
  <c r="CU36" i="37"/>
  <c r="CU30" i="37"/>
  <c r="CU34" i="37"/>
  <c r="CU32" i="37"/>
  <c r="CU58" i="37"/>
  <c r="CU56" i="37"/>
  <c r="CU46" i="37"/>
  <c r="CT96" i="37"/>
  <c r="CU51" i="37"/>
  <c r="CU50" i="37"/>
  <c r="CU48" i="37"/>
  <c r="CU53" i="37"/>
  <c r="CU44" i="37"/>
  <c r="CU33" i="37"/>
  <c r="C48" i="19" l="1"/>
  <c r="C59" i="19" s="1"/>
  <c r="F56" i="19" l="1"/>
  <c r="C46" i="19"/>
  <c r="C56" i="19"/>
  <c r="F57" i="19" l="1"/>
  <c r="C57" i="1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0A0654-634D-4496-8C8E-E3ADA2F5A820}" keepAlive="1" name="ModelConnection_ProposalToGnatt  2" description="Data Model" type="5" refreshedVersion="8" minRefreshableVersion="5" saveData="1">
    <dbPr connection="Data Model Connection" command="Recap" commandType="3"/>
    <extLst>
      <ext xmlns:x15="http://schemas.microsoft.com/office/spreadsheetml/2010/11/main" uri="{DE250136-89BD-433C-8126-D09CA5730AF9}">
        <x15:connection id="" model="1"/>
      </ext>
    </extLst>
  </connection>
  <connection id="2" xr16:uid="{9CE3BD07-4204-4A89-B980-781728C03F60}" keepAlive="1" name="Query - AddRecapItems" description="Connection to the 'AddRecapItems' query in the workbook." type="5" refreshedVersion="8" saveData="1">
    <dbPr connection="Provider=Microsoft.Mashup.OleDb.1;Data Source=$Workbook$;Location=AddRecapItems;Extended Properties=&quot;&quot;" command="SELECT * FROM [AddRecapItems]"/>
  </connection>
  <connection id="3" xr16:uid="{16F7B74B-0DBB-4BF1-A7DE-5698B13845F2}" keepAlive="1" name="Query - FromProposal" description="Connection to the 'FromProposal' query in the workbook." type="5" refreshedVersion="8" saveData="1">
    <dbPr connection="Provider=Microsoft.Mashup.OleDb.1;Data Source=$Workbook$;Location=FromProposal;Extended Properties=&quot;&quot;" command="SELECT * FROM [FromProposal]"/>
  </connection>
  <connection id="4" xr16:uid="{8DE257EE-DAEB-4596-BC1E-28526168BD2E}" keepAlive="1" name="Query - Proposal" description="Connection to the 'Proposal' query in the workbook." type="5" refreshedVersion="7" saveData="1">
    <dbPr connection="Provider=Microsoft.Mashup.OleDb.1;Data Source=$Workbook$;Location=Proposal;Extended Properties=&quot;&quot;" command="SELECT * FROM [Proposal]"/>
  </connection>
  <connection id="5" xr16:uid="{99B8A5AE-B634-4F62-9A3D-26C4E9127160}" keepAlive="1" name="Query - ProposalToGnatt" description="Connection to the 'ProposalToGnatt' query in the workbook." type="5" refreshedVersion="8" saveData="1">
    <dbPr connection="Provider=Microsoft.Mashup.OleDb.1;Data Source=$Workbook$;Location=ProposalToGnatt;Extended Properties=&quot;&quot;" command="SELECT * FROM [ProposalToGnatt]"/>
  </connection>
  <connection id="6" xr16:uid="{FC3CC159-A41D-4D47-845A-02051125B9BD}" name="Query - Recap" description="Connection to the 'Recap' query in the workbook." type="100" refreshedVersion="8" minRefreshableVersion="5" saveData="1">
    <extLst>
      <ext xmlns:x15="http://schemas.microsoft.com/office/spreadsheetml/2010/11/main" uri="{DE250136-89BD-433C-8126-D09CA5730AF9}">
        <x15:connection id="8f48fbee-059d-4cfe-afbc-2c3538e6ad8c"/>
      </ext>
    </extLst>
  </connection>
  <connection id="7" xr16:uid="{EBD6D1CA-4DB2-439C-B567-C7BEB25F0F4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<sst xmlns="http://schemas.openxmlformats.org/spreadsheetml/2006/main" count="1801" uniqueCount="818">
  <si>
    <t>Flip, Hold or Wholetale:</t>
  </si>
  <si>
    <t>hold</t>
  </si>
  <si>
    <t>Buy</t>
  </si>
  <si>
    <t>Your Home LLC</t>
  </si>
  <si>
    <t>115 Rosebrooks Dr, Cary, NC 27513</t>
  </si>
  <si>
    <t>Monthly Cash Flow</t>
  </si>
  <si>
    <t>Hearing Date:</t>
  </si>
  <si>
    <t>Use Template Estimate</t>
  </si>
  <si>
    <t>Yes</t>
  </si>
  <si>
    <t>Income</t>
  </si>
  <si>
    <t>Immediate</t>
  </si>
  <si>
    <t>Upon Sale</t>
  </si>
  <si>
    <t>CMA:</t>
  </si>
  <si>
    <t>Finalized:</t>
  </si>
  <si>
    <t>No</t>
  </si>
  <si>
    <t>% Above/Below Market Sale:</t>
  </si>
  <si>
    <t>Zillow:</t>
  </si>
  <si>
    <t>Sale Price:</t>
  </si>
  <si>
    <t>Anuual Growth:</t>
  </si>
  <si>
    <t>NonRefundable Deposit:</t>
  </si>
  <si>
    <t>Rent:</t>
  </si>
  <si>
    <t>Sq Footage</t>
  </si>
  <si>
    <t>Net Income:</t>
  </si>
  <si>
    <t>Expenses</t>
  </si>
  <si>
    <t>Reinstatment Cost 1st:</t>
  </si>
  <si>
    <t>&lt;-- Approx Pay-Down</t>
  </si>
  <si>
    <t>If the Subject To Value is finalized, zero-out the Pay-Down savings</t>
  </si>
  <si>
    <t>Subject To 1st:Truist</t>
  </si>
  <si>
    <t>Reinstatment Cost 2st:</t>
  </si>
  <si>
    <t>Liens - IRS &amp; HOA</t>
  </si>
  <si>
    <t>Partners Share %</t>
  </si>
  <si>
    <t>or Seller Payout:</t>
  </si>
  <si>
    <t>Yellow cells can be edited</t>
  </si>
  <si>
    <t>HOA Fees(Catch Up)</t>
  </si>
  <si>
    <t>Months Carried</t>
  </si>
  <si>
    <t>Do not edit Green cells. They are highlighted only to show profit</t>
  </si>
  <si>
    <t>Mortgage Payment:</t>
  </si>
  <si>
    <t>Property Insurance</t>
  </si>
  <si>
    <t>Property Tax:</t>
  </si>
  <si>
    <t>HOA Fees (monthly)</t>
  </si>
  <si>
    <t>Electric</t>
  </si>
  <si>
    <t>water</t>
  </si>
  <si>
    <t>Carrying Cost</t>
  </si>
  <si>
    <t>Purchase  Cost</t>
  </si>
  <si>
    <t>Private Lender  Rate:</t>
  </si>
  <si>
    <t>yes</t>
  </si>
  <si>
    <t>75%ARV-Debt:</t>
  </si>
  <si>
    <t>Out of Pocket</t>
  </si>
  <si>
    <t>Rehab:</t>
  </si>
  <si>
    <t>Marketing:</t>
  </si>
  <si>
    <t>PL Balance +Interest</t>
  </si>
  <si>
    <t xml:space="preserve">Seller Realtor's Flat Fee </t>
  </si>
  <si>
    <t>Seller Realtor's Fee Percent:</t>
  </si>
  <si>
    <t>Buyers Realtors Fee Percent:</t>
  </si>
  <si>
    <t>Number of Rent Payments :</t>
  </si>
  <si>
    <t>Buyer  Assistance</t>
  </si>
  <si>
    <t>Buying Closing Cost:</t>
  </si>
  <si>
    <t>Selling Closing Cost:</t>
  </si>
  <si>
    <t>Net Expenses:</t>
  </si>
  <si>
    <t>Immediate Profit:</t>
  </si>
  <si>
    <t>Long Term Profit:</t>
  </si>
  <si>
    <t>Partners Profit Share</t>
  </si>
  <si>
    <t>Our Profit Share</t>
  </si>
  <si>
    <t>Cash Flow Profit for Months:</t>
  </si>
  <si>
    <t>Gross Profit:</t>
  </si>
  <si>
    <t>Capital Gains Tax</t>
  </si>
  <si>
    <t>Capital Gains</t>
  </si>
  <si>
    <t>Chartiable Contribution:</t>
  </si>
  <si>
    <t>Rehab Cost Detail</t>
  </si>
  <si>
    <t>Gnatt Chart</t>
  </si>
  <si>
    <t>Murphy %:</t>
  </si>
  <si>
    <t>Murphy will be Zeroed-Out whe project is finalized</t>
  </si>
  <si>
    <t>Murphy's Cut:</t>
  </si>
  <si>
    <t>Rehab Summary:</t>
  </si>
  <si>
    <t>This value is carried up to cell C29,                         Labeled Rehab</t>
  </si>
  <si>
    <t>Buying Closing Cost</t>
  </si>
  <si>
    <t>Settlement  Fee to Attorney:</t>
  </si>
  <si>
    <t>Probate  Attorney</t>
  </si>
  <si>
    <t>Projected End Date</t>
  </si>
  <si>
    <t>Months</t>
  </si>
  <si>
    <t>Seller Doc Prep</t>
  </si>
  <si>
    <t>Days Invested</t>
  </si>
  <si>
    <t>Start Date</t>
  </si>
  <si>
    <t>End Date</t>
  </si>
  <si>
    <t>Wire Fee</t>
  </si>
  <si>
    <t>Deed Package:</t>
  </si>
  <si>
    <t>Indemnety:</t>
  </si>
  <si>
    <t>Ttitle Search:</t>
  </si>
  <si>
    <t>Cancelation Fee:</t>
  </si>
  <si>
    <t>Overnight Express Fees:</t>
  </si>
  <si>
    <t>Title Insurance:</t>
  </si>
  <si>
    <t>Affadavits:</t>
  </si>
  <si>
    <t>Notice to Creditors Ad</t>
  </si>
  <si>
    <t>Recording Fee Deed:</t>
  </si>
  <si>
    <t>Erecording Fee</t>
  </si>
  <si>
    <t>Excise Tax</t>
  </si>
  <si>
    <t xml:space="preserve">LLC Manager Fee </t>
  </si>
  <si>
    <t>This value is carried up to cell C36,                        Labeled Buying Closing Cost</t>
  </si>
  <si>
    <t>Selling Closing Cost</t>
  </si>
  <si>
    <t>Seller concesson:</t>
  </si>
  <si>
    <t>Home Warrenty:</t>
  </si>
  <si>
    <t>Transfer Taxes - Wake County</t>
  </si>
  <si>
    <t>Revenue Stamps</t>
  </si>
  <si>
    <t>This value is carried up to cell C37,                        Labeled Selling Closing Cost</t>
  </si>
  <si>
    <t>Multiple Offer Generator</t>
  </si>
  <si>
    <t>Buyers Copy</t>
  </si>
  <si>
    <t>Seller 1:</t>
  </si>
  <si>
    <t>Nikki</t>
  </si>
  <si>
    <t>Kulas</t>
  </si>
  <si>
    <t>no</t>
  </si>
  <si>
    <t>Seller 2:</t>
  </si>
  <si>
    <t>email:</t>
  </si>
  <si>
    <t>Phone #:</t>
  </si>
  <si>
    <t>Offer 1</t>
  </si>
  <si>
    <t xml:space="preserve">Traditional, All Cash </t>
  </si>
  <si>
    <t>This is an all cash payment, at closing with no other allowances considered. Seller pays all Mortgages, liens, HOA expenses out of closings proceedings.</t>
  </si>
  <si>
    <t>Seller's Equity</t>
  </si>
  <si>
    <t>Sales Price</t>
  </si>
  <si>
    <t>ARV</t>
  </si>
  <si>
    <t>Debt</t>
  </si>
  <si>
    <t>BYH's Profit</t>
  </si>
  <si>
    <t>BYH Out of Pocket:</t>
  </si>
  <si>
    <t>BYH Profit/Out of Pocket:</t>
  </si>
  <si>
    <t>X</t>
  </si>
  <si>
    <t>Buy Your Home's % of Profit:</t>
  </si>
  <si>
    <t>less than Opt 2</t>
  </si>
  <si>
    <t>Offer 2</t>
  </si>
  <si>
    <t>Cash plus Assumption of Mortgage</t>
  </si>
  <si>
    <t>*This is the default values from the Profit Sheet.</t>
  </si>
  <si>
    <t>Cash payment in conjunction with taking the existing mortgage subject to:</t>
  </si>
  <si>
    <t>After reinstating existing loans and HOA fees</t>
  </si>
  <si>
    <t>Seller's Total Value</t>
  </si>
  <si>
    <t>Cash</t>
  </si>
  <si>
    <t>&lt;- The default value form profit sheet</t>
  </si>
  <si>
    <t>x</t>
  </si>
  <si>
    <t>Offer 3</t>
  </si>
  <si>
    <t>Cash plus Promissory Note</t>
  </si>
  <si>
    <t xml:space="preserve"> - this is the one to stear seller to:</t>
  </si>
  <si>
    <t>Note is a simple interest note for:</t>
  </si>
  <si>
    <t>(Based on Current Valuation)</t>
  </si>
  <si>
    <t>Value added to Note:</t>
  </si>
  <si>
    <t xml:space="preserve">Cash </t>
  </si>
  <si>
    <t>Note</t>
  </si>
  <si>
    <t>Interest Earned</t>
  </si>
  <si>
    <t>Interest Rate</t>
  </si>
  <si>
    <t>Offer 4</t>
  </si>
  <si>
    <t>Cash plus Beneficial Interest in Trust</t>
  </si>
  <si>
    <t>Profit split is a split of the profits upon the eventual sale of the pproperty.</t>
  </si>
  <si>
    <t>Profits will be calculated after deducting all expenses incurred from the sales price</t>
  </si>
  <si>
    <t>(Based on Future Valuation)</t>
  </si>
  <si>
    <t>Trust Future Profit</t>
  </si>
  <si>
    <t>Seller's Profit Sharing Percent</t>
  </si>
  <si>
    <t>Seller's Profit Share</t>
  </si>
  <si>
    <t>Sellers Share Profit</t>
  </si>
  <si>
    <t>*This precentage is not set in Profit sheet. It is for proposal only.</t>
  </si>
  <si>
    <t>Personalize Note</t>
  </si>
  <si>
    <t>{alt}{enter] = carrage return</t>
  </si>
  <si>
    <t>Foreclosure Leads</t>
  </si>
  <si>
    <t>(919) 899-4954</t>
  </si>
  <si>
    <t>Liberty Leads</t>
  </si>
  <si>
    <t>(919) 899-2104</t>
  </si>
  <si>
    <t>Notes</t>
  </si>
  <si>
    <t>1426 Pleasant Garden</t>
  </si>
  <si>
    <t>3413 Pinetree Ln</t>
  </si>
  <si>
    <t>3021 Pearces Rd</t>
  </si>
  <si>
    <t>6004  Sandy Run</t>
  </si>
  <si>
    <t>Larchmont</t>
  </si>
  <si>
    <t>2023</t>
  </si>
  <si>
    <t>2022</t>
  </si>
  <si>
    <t>2021</t>
  </si>
  <si>
    <t>2020</t>
  </si>
  <si>
    <t>New Seller</t>
  </si>
  <si>
    <t>Purchase &amp; Sale Agreement</t>
  </si>
  <si>
    <t xml:space="preserve"> </t>
  </si>
  <si>
    <t>Letter of Authorization</t>
  </si>
  <si>
    <t>Reinstatement Quote</t>
  </si>
  <si>
    <t>Bank Acknowledgement</t>
  </si>
  <si>
    <t>On-Line Bank Access</t>
  </si>
  <si>
    <t>In progress</t>
  </si>
  <si>
    <t>Change Mail</t>
  </si>
  <si>
    <t>Bank Attorney letter of dismisal</t>
  </si>
  <si>
    <t>Get (orignal) Property Authorization(delete)</t>
  </si>
  <si>
    <t>After Purchase</t>
  </si>
  <si>
    <t>Insurance Claim for Roof</t>
  </si>
  <si>
    <t>Locks Changed</t>
  </si>
  <si>
    <t>Gas Service</t>
  </si>
  <si>
    <t>n/a</t>
  </si>
  <si>
    <t>Electrical &amp; Water Service</t>
  </si>
  <si>
    <t xml:space="preserve"> n/a</t>
  </si>
  <si>
    <t>Rehab bids</t>
  </si>
  <si>
    <t>Order Dumpster</t>
  </si>
  <si>
    <t>A/C service</t>
  </si>
  <si>
    <t>Establish Mortgage payment</t>
  </si>
  <si>
    <t>Remove PMI</t>
  </si>
  <si>
    <t>Claim Property on Zillow</t>
  </si>
  <si>
    <t>Add property to Our Website</t>
  </si>
  <si>
    <t>Make sure deed and agreement are done</t>
  </si>
  <si>
    <t>Change Insurance</t>
  </si>
  <si>
    <t>Get Insurance payments installed</t>
  </si>
  <si>
    <t>Add Private Lender to Insurance</t>
  </si>
  <si>
    <t>Establish Estate</t>
  </si>
  <si>
    <t>na</t>
  </si>
  <si>
    <t>Upon Sales Contract</t>
  </si>
  <si>
    <t>Get property on MLS</t>
  </si>
  <si>
    <t>Get Payoff Letter from Mortgage</t>
  </si>
  <si>
    <t>Respond to Closing Attorney</t>
  </si>
  <si>
    <t>Turn off utilities</t>
  </si>
  <si>
    <t>Alert Private Lenders</t>
  </si>
  <si>
    <t>Upon Closing</t>
  </si>
  <si>
    <t>Documents to send to list realtor</t>
  </si>
  <si>
    <t>Send list realtor CD/Alta signed by all</t>
  </si>
  <si>
    <t>Drop Insurance</t>
  </si>
  <si>
    <t>Totals Across Projects</t>
  </si>
  <si>
    <t>Total CMA:</t>
  </si>
  <si>
    <t>Total Purchase Cost:</t>
  </si>
  <si>
    <t>Total Rehab Expense:</t>
  </si>
  <si>
    <t>Monthly Carring Cost:</t>
  </si>
  <si>
    <t>Monthly Income:</t>
  </si>
  <si>
    <t>Total Expected Profit:</t>
  </si>
  <si>
    <t>Total Chartable Contribution:</t>
  </si>
  <si>
    <t>Averages for Current Year</t>
  </si>
  <si>
    <t>Averages for all Years</t>
  </si>
  <si>
    <t>Average CMA:</t>
  </si>
  <si>
    <t>Average Purchase Cost:</t>
  </si>
  <si>
    <t>Sell Your Home</t>
  </si>
  <si>
    <t>Average Rehab Expense:</t>
  </si>
  <si>
    <t>Buy Your Home</t>
  </si>
  <si>
    <t>Average Profit:</t>
  </si>
  <si>
    <t>Completed Previous Years</t>
  </si>
  <si>
    <t>Cash Flow:</t>
  </si>
  <si>
    <t>Vendor</t>
  </si>
  <si>
    <t>Phone Number</t>
  </si>
  <si>
    <t>Contact</t>
  </si>
  <si>
    <t>Acct/Policy</t>
  </si>
  <si>
    <t>Email</t>
  </si>
  <si>
    <t>Purpose</t>
  </si>
  <si>
    <t>Sellers</t>
  </si>
  <si>
    <t>Brenda Griffith</t>
  </si>
  <si>
    <t>910 808 9147</t>
  </si>
  <si>
    <t>SS#:244 66 8962</t>
  </si>
  <si>
    <t>Birth: 11/16/1940</t>
  </si>
  <si>
    <t>Cheryl D Powell</t>
  </si>
  <si>
    <t>SS#: 246 84 4592</t>
  </si>
  <si>
    <t>936 52 3090</t>
  </si>
  <si>
    <t>Mortgage</t>
  </si>
  <si>
    <t>800 274 7025</t>
  </si>
  <si>
    <t>Bank of America</t>
  </si>
  <si>
    <t>800 669 0102</t>
  </si>
  <si>
    <t>800 669 6607</t>
  </si>
  <si>
    <t>0401704000</t>
  </si>
  <si>
    <t>sent on 09/27/2023</t>
  </si>
  <si>
    <t>Hutchens La w Firm: Liza Norris</t>
  </si>
  <si>
    <t>910 864 3068</t>
  </si>
  <si>
    <t>Liza.Norris@HutchensLawfirm.com</t>
  </si>
  <si>
    <t>emailed on 11/1/23</t>
  </si>
  <si>
    <t>Brock &amp; Scott</t>
  </si>
  <si>
    <t>910 392 4988</t>
  </si>
  <si>
    <t>emaild on 6/17/24</t>
  </si>
  <si>
    <t>Taylors Pond HOA</t>
  </si>
  <si>
    <t>919 362 1460</t>
  </si>
  <si>
    <t>Tammy Finance</t>
  </si>
  <si>
    <t>NREIG</t>
  </si>
  <si>
    <t>770 734 1523</t>
  </si>
  <si>
    <t>To</t>
  </si>
  <si>
    <t>Subject</t>
  </si>
  <si>
    <t>Sent</t>
  </si>
  <si>
    <t>Size</t>
  </si>
  <si>
    <t>Categories</t>
  </si>
  <si>
    <t>DefaultCFC@Truist.com</t>
  </si>
  <si>
    <t>5008 Larchmont Dr - Loan 9015 2144 11-5998</t>
  </si>
  <si>
    <t>478 KB</t>
  </si>
  <si>
    <t>Insurance National Real Estate Insurance Group LLC</t>
  </si>
  <si>
    <t xml:space="preserve">Rani Walker </t>
  </si>
  <si>
    <t>678  329 0123</t>
  </si>
  <si>
    <t>RWalker@insurancehub.com</t>
  </si>
  <si>
    <t>Customer Care Specialist</t>
  </si>
  <si>
    <t xml:space="preserve">InsuranceHub Leavitt Agency   </t>
  </si>
  <si>
    <t>Phone/SMS/Fax: 678.329.0123 |  insurancehub.com</t>
  </si>
  <si>
    <r>
      <t>Becki Miron</t>
    </r>
    <r>
      <rPr>
        <b/>
        <sz val="9"/>
        <color rgb="FFEA6E0D"/>
        <rFont val="Arial"/>
        <family val="2"/>
      </rPr>
      <t xml:space="preserve"> </t>
    </r>
  </si>
  <si>
    <t>678.685.3277</t>
  </si>
  <si>
    <t>BMiron@insurancehub.com</t>
  </si>
  <si>
    <t>Account Manager</t>
  </si>
  <si>
    <t>Phone/SMS/Fax: 678.685.3277 | insurancehub.com</t>
  </si>
  <si>
    <t>Duke Electric</t>
  </si>
  <si>
    <t>Mortgage Payments</t>
  </si>
  <si>
    <t>Neal Issac</t>
  </si>
  <si>
    <t>Insurance Payments</t>
  </si>
  <si>
    <t>City of Raleigh(Water)</t>
  </si>
  <si>
    <t>Dominion Energy (gas)</t>
  </si>
  <si>
    <t>HOA</t>
  </si>
  <si>
    <t>Taxes</t>
  </si>
  <si>
    <t>Date</t>
  </si>
  <si>
    <t>payment</t>
  </si>
  <si>
    <t>Preassigned Rows Cordination of Glasgow with Contrtactors</t>
  </si>
  <si>
    <t>Pasted rows from Builder's Trend Proposal</t>
  </si>
  <si>
    <t>Notes: Only add rows to the bottom of the table</t>
  </si>
  <si>
    <r>
      <rPr>
        <sz val="12"/>
        <rFont val="Arial"/>
        <family val="2"/>
      </rPr>
      <t>Cost Code</t>
    </r>
  </si>
  <si>
    <r>
      <rPr>
        <sz val="12"/>
        <rFont val="Arial"/>
        <family val="2"/>
      </rPr>
      <t>Title</t>
    </r>
  </si>
  <si>
    <r>
      <rPr>
        <sz val="12"/>
        <rFont val="Arial"/>
        <family val="2"/>
      </rPr>
      <t>Description</t>
    </r>
  </si>
  <si>
    <t>Qty</t>
  </si>
  <si>
    <t>Unit Price</t>
  </si>
  <si>
    <t>Deposit</t>
  </si>
  <si>
    <t>Initial Deposit to Start Job</t>
  </si>
  <si>
    <t>Draw</t>
  </si>
  <si>
    <t xml:space="preserve">Draw 1 </t>
  </si>
  <si>
    <t>Draw 1</t>
  </si>
  <si>
    <t>Draw 2</t>
  </si>
  <si>
    <t>Sell</t>
  </si>
  <si>
    <t>List with MLS</t>
  </si>
  <si>
    <t>HVAC</t>
  </si>
  <si>
    <t>Cordinate Sub</t>
  </si>
  <si>
    <t>Floor Coverings</t>
  </si>
  <si>
    <t>Flooring Contractor</t>
  </si>
  <si>
    <t>Supervision</t>
  </si>
  <si>
    <t>Termite Treatment</t>
  </si>
  <si>
    <t>Cabinets &amp; Vanities</t>
  </si>
  <si>
    <t>Cabinet Delivery</t>
  </si>
  <si>
    <t>Countertops</t>
  </si>
  <si>
    <t>Manage installion of granite countertops by others in kitchen</t>
  </si>
  <si>
    <t>Demo</t>
  </si>
  <si>
    <t>r</t>
  </si>
  <si>
    <t xml:space="preserve">Kitchen countertops </t>
  </si>
  <si>
    <t xml:space="preserve">Rug </t>
  </si>
  <si>
    <t>Vinyl flooring</t>
  </si>
  <si>
    <t>Paint</t>
  </si>
  <si>
    <t>Paint Interior of houseCeiling, walls, doors, trim. Exterior2 Doors, 4 Shutters</t>
  </si>
  <si>
    <t>Power Wash</t>
  </si>
  <si>
    <t>Power wash exterior, House only</t>
  </si>
  <si>
    <t>LVP</t>
  </si>
  <si>
    <t>Install LVP</t>
  </si>
  <si>
    <t xml:space="preserve">All of first floor including baths and laundry room in 2nd floor. Labor and shoe mold included. </t>
  </si>
  <si>
    <t>Note- Client will purchase flooring materials. Estimated- 850 sqft, Please include 10% for waste</t>
  </si>
  <si>
    <t>Carpet</t>
  </si>
  <si>
    <t xml:space="preserve">Install Carpet Estimated-884 sqft General Use Carpet and padding Labor </t>
  </si>
  <si>
    <t>Quartz</t>
  </si>
  <si>
    <t xml:space="preserve">Level 1 Quartz $3,190 </t>
  </si>
  <si>
    <t xml:space="preserve">Level 2 Quartz $3,850 </t>
  </si>
  <si>
    <t>change order #9</t>
  </si>
  <si>
    <t>Level 3 Granet $4,620</t>
  </si>
  <si>
    <t>Installations</t>
  </si>
  <si>
    <t>Labor and supplies</t>
  </si>
  <si>
    <t xml:space="preserve">3-Toilets </t>
  </si>
  <si>
    <t xml:space="preserve">1-Kitchen Sink </t>
  </si>
  <si>
    <t xml:space="preserve">1-Shower doors </t>
  </si>
  <si>
    <t xml:space="preserve">2- Mirrors </t>
  </si>
  <si>
    <t xml:space="preserve">1- Stove, </t>
  </si>
  <si>
    <t xml:space="preserve">DW, </t>
  </si>
  <si>
    <t xml:space="preserve">Microwave </t>
  </si>
  <si>
    <t xml:space="preserve">2- TP Holders </t>
  </si>
  <si>
    <t xml:space="preserve">2- Ceiling Fans </t>
  </si>
  <si>
    <t xml:space="preserve">2- Kitchen light fixtures </t>
  </si>
  <si>
    <t xml:space="preserve">1- Pantry Light </t>
  </si>
  <si>
    <t xml:space="preserve">2- Shower heads </t>
  </si>
  <si>
    <t>Drywall Repair in garage Labor and supplies included</t>
  </si>
  <si>
    <t>change order #1</t>
  </si>
  <si>
    <t>Fix Screens</t>
  </si>
  <si>
    <t>change order #2</t>
  </si>
  <si>
    <t>Carpet Purchase</t>
  </si>
  <si>
    <t>change order #3</t>
  </si>
  <si>
    <t>program remote for LR fan</t>
  </si>
  <si>
    <t>change order #4</t>
  </si>
  <si>
    <t>replace half bath mirror</t>
  </si>
  <si>
    <t>change order #5</t>
  </si>
  <si>
    <t>repair vinyl corner piece on back of house</t>
  </si>
  <si>
    <t>change order #6</t>
  </si>
  <si>
    <t>Purchase LVP</t>
  </si>
  <si>
    <t>change order #7</t>
  </si>
  <si>
    <t>2 gal primer, 10 ceiling Paint</t>
  </si>
  <si>
    <t>change order #8</t>
  </si>
  <si>
    <t>credit cost for pantry light installation</t>
  </si>
  <si>
    <t>credit Level 1 Quartz $3,190</t>
  </si>
  <si>
    <t>change order #10</t>
  </si>
  <si>
    <t>credit one ceiling fan installation</t>
  </si>
  <si>
    <t>change order #11</t>
  </si>
  <si>
    <t>credit one kitchen light fixture installation</t>
  </si>
  <si>
    <t>change order #12</t>
  </si>
  <si>
    <t>credit 2 TP holders installation</t>
  </si>
  <si>
    <t>change order #13</t>
  </si>
  <si>
    <t>Install hall bath accessories</t>
  </si>
  <si>
    <t>change order #14</t>
  </si>
  <si>
    <t>Install doorbell</t>
  </si>
  <si>
    <t>change order #15</t>
  </si>
  <si>
    <t>Install mailbox</t>
  </si>
  <si>
    <t>change order #16</t>
  </si>
  <si>
    <t>Install can light front porch</t>
  </si>
  <si>
    <t>change order #17</t>
  </si>
  <si>
    <t>Install outlet cover front porch</t>
  </si>
  <si>
    <t>change order #18</t>
  </si>
  <si>
    <t>Hall bath vanity hinge and hardware</t>
  </si>
  <si>
    <t>change order #19</t>
  </si>
  <si>
    <t xml:space="preserve"> Replace one fence board</t>
  </si>
  <si>
    <t>Exterior</t>
  </si>
  <si>
    <t>change order #20</t>
  </si>
  <si>
    <t>Power wash exterior patio, front walk, driveway</t>
  </si>
  <si>
    <t>change order #21</t>
  </si>
  <si>
    <t>Install 3 door stops</t>
  </si>
  <si>
    <t>change order #22</t>
  </si>
  <si>
    <t>Repair door rot front and back</t>
  </si>
  <si>
    <t>Painting</t>
  </si>
  <si>
    <t>change order #23</t>
  </si>
  <si>
    <t>Paint mailbox post white</t>
  </si>
  <si>
    <t>change order #24</t>
  </si>
  <si>
    <t>Replace mailbox</t>
  </si>
  <si>
    <t>change order #25</t>
  </si>
  <si>
    <t xml:space="preserve">Final cleaning </t>
  </si>
  <si>
    <t>These Cells are updated from the Proposal tab and are protected here.</t>
  </si>
  <si>
    <t>These cells are updated here and carried over to the Gnatt Chart</t>
  </si>
  <si>
    <t>Contracted Task</t>
  </si>
  <si>
    <t>Payment</t>
  </si>
  <si>
    <t>Change Order</t>
  </si>
  <si>
    <t>Not Used</t>
  </si>
  <si>
    <t>Manage Vendor</t>
  </si>
  <si>
    <t>Post Contract</t>
  </si>
  <si>
    <t>Party</t>
  </si>
  <si>
    <t>Item</t>
  </si>
  <si>
    <t>Cost Code</t>
  </si>
  <si>
    <t>Title</t>
  </si>
  <si>
    <t>Description</t>
  </si>
  <si>
    <t>Price</t>
  </si>
  <si>
    <t>Done</t>
  </si>
  <si>
    <t>Group Order</t>
  </si>
  <si>
    <t>Days</t>
  </si>
  <si>
    <t>Paid</t>
  </si>
  <si>
    <t>10/13</t>
  </si>
  <si>
    <t>credit via CO#9</t>
  </si>
  <si>
    <t>Expense</t>
  </si>
  <si>
    <t>Due</t>
  </si>
  <si>
    <t>ToDo</t>
  </si>
  <si>
    <t xml:space="preserve">AvilaCRI </t>
  </si>
  <si>
    <t>Project Start Date:</t>
  </si>
  <si>
    <t>Company  Paid  Materials Total:</t>
  </si>
  <si>
    <t>Contractors Total:</t>
  </si>
  <si>
    <t>Milestone Marker:</t>
  </si>
  <si>
    <t>Cells H5 through BK5 contain the day number of the month for the Month represented in the cell block above each date cell and are auto calculated.
Do not modify these cells.
Dates leading up to Today are shaded.</t>
  </si>
  <si>
    <t>Milestone Marker 2:</t>
  </si>
  <si>
    <t>Grand Total</t>
  </si>
  <si>
    <t>Assigned</t>
  </si>
  <si>
    <t>Item #</t>
  </si>
  <si>
    <t>Cleanup (from Demo &amp; Trash Haul Tab)</t>
  </si>
  <si>
    <t>Taxes - outside of closing (from Taxes tab)</t>
  </si>
  <si>
    <t>Appliances (from Appliances Tab)</t>
  </si>
  <si>
    <t>Plubing Fixtures</t>
  </si>
  <si>
    <t>Windows &amp; Doors</t>
  </si>
  <si>
    <t>Cabinets  (from Cabinets Tab)</t>
  </si>
  <si>
    <t>Paint  (from Paint Tab)</t>
  </si>
  <si>
    <t>Flooring</t>
  </si>
  <si>
    <t>Electrical fixtures  (from Misc Tab)</t>
  </si>
  <si>
    <t>Exterior Tab</t>
  </si>
  <si>
    <t>Landscaping Tab</t>
  </si>
  <si>
    <t>HVAC Contractor</t>
  </si>
  <si>
    <t>Landscape</t>
  </si>
  <si>
    <t>Exterior- Termite</t>
  </si>
  <si>
    <t>Drainage</t>
  </si>
  <si>
    <t>Mabrey Roofing</t>
  </si>
  <si>
    <t>Roof Contractor</t>
  </si>
  <si>
    <t>Scrolling Increment:</t>
  </si>
  <si>
    <t>Love Services</t>
  </si>
  <si>
    <t>HVAC Contractor - Package Heat Pump</t>
  </si>
  <si>
    <t>HVAC Contractor - Duct Work</t>
  </si>
  <si>
    <t/>
  </si>
  <si>
    <t>Only undone Gnatt Chart Items are in this list</t>
  </si>
  <si>
    <t xml:space="preserve">Edit these Entries. Must manually add a matching Item # </t>
  </si>
  <si>
    <t>Do not edit contents here - Edit in Orange, Recap Table</t>
  </si>
  <si>
    <t>Do not edit contents here - Edit on Proposal Update Tab</t>
  </si>
  <si>
    <t>Recap Table - Add Recap Items here</t>
  </si>
  <si>
    <t>Order</t>
  </si>
  <si>
    <t>Comment</t>
  </si>
  <si>
    <t>Pick floor sample</t>
  </si>
  <si>
    <t>CO #8 needed, credit pantry light</t>
  </si>
  <si>
    <t>Left Remote for LR fan</t>
  </si>
  <si>
    <t>CO #10 needed, credit one ceiling fan install</t>
  </si>
  <si>
    <t>We will get toilets by 10/25</t>
  </si>
  <si>
    <t>CO #11 needed, credit one kitchen light fixture install</t>
  </si>
  <si>
    <t>Approve 4,345 countertop price</t>
  </si>
  <si>
    <t>CO #12 needed, credit 2 TP Holders</t>
  </si>
  <si>
    <t>Pick carpet sample</t>
  </si>
  <si>
    <t>Purchase appliances</t>
  </si>
  <si>
    <t>All of first floor including baths and laundry room in 2nd floor. Labor and shoe mold included.</t>
  </si>
  <si>
    <t>CO needed for Screens</t>
  </si>
  <si>
    <t>Purchase half bath mirror</t>
  </si>
  <si>
    <t>CO needed for Carpet Upgrade</t>
  </si>
  <si>
    <t>CO #13 needed, install bath accessories hall bath</t>
  </si>
  <si>
    <t>Level 2 Quartz $3,850</t>
  </si>
  <si>
    <t>CO needed install mirror half bath</t>
  </si>
  <si>
    <t>Purchase hall bath vanity hinges and hardware: sample</t>
  </si>
  <si>
    <t>CO needed for exterior vinyl repair</t>
  </si>
  <si>
    <t>Price CO test</t>
  </si>
  <si>
    <t>3-Toilets</t>
  </si>
  <si>
    <t>HO Buys fan LR</t>
  </si>
  <si>
    <t>Price CO</t>
  </si>
  <si>
    <t>1-Kitchen Sink</t>
  </si>
  <si>
    <t>Measure can light front porch</t>
  </si>
  <si>
    <t>1-Shower doors</t>
  </si>
  <si>
    <t>2- Mirrors</t>
  </si>
  <si>
    <t>1- Stove,</t>
  </si>
  <si>
    <t>DW,</t>
  </si>
  <si>
    <t>Microwave</t>
  </si>
  <si>
    <t>2- TP Holders</t>
  </si>
  <si>
    <t>2- Ceiling Fans</t>
  </si>
  <si>
    <t>2- Kitchen light fixtures</t>
  </si>
  <si>
    <t>1- Pantry Light</t>
  </si>
  <si>
    <t>2- Shower heads</t>
  </si>
  <si>
    <t>Final cleaning</t>
  </si>
  <si>
    <t>This is for taxes paid, outside of closing process</t>
  </si>
  <si>
    <t>Gov't Entity</t>
  </si>
  <si>
    <t>Tax Event</t>
  </si>
  <si>
    <t>Tax</t>
  </si>
  <si>
    <t>Wake County</t>
  </si>
  <si>
    <t>Property Transfer Tax</t>
  </si>
  <si>
    <t>Misc Cost</t>
  </si>
  <si>
    <t>AdvancesReduce Seller Pauout</t>
  </si>
  <si>
    <t>Sellers Payout</t>
  </si>
  <si>
    <t>Sellers Payoff</t>
  </si>
  <si>
    <t>Seller Incentive/Day:</t>
  </si>
  <si>
    <t>Seller Vacate Days Early:</t>
  </si>
  <si>
    <t>Total Cost</t>
  </si>
  <si>
    <t>Total Owed:</t>
  </si>
  <si>
    <t>Misc</t>
  </si>
  <si>
    <t>Item Name</t>
  </si>
  <si>
    <t>Quanity</t>
  </si>
  <si>
    <t>Cost/Unit</t>
  </si>
  <si>
    <t>Sub-Total</t>
  </si>
  <si>
    <t>Total</t>
  </si>
  <si>
    <t xml:space="preserve">Living Room Ceiling Fan </t>
  </si>
  <si>
    <t>Bedroom Ceiling Fan</t>
  </si>
  <si>
    <t>Ceiling Fan Pole</t>
  </si>
  <si>
    <t>Kitchen Light Fixture</t>
  </si>
  <si>
    <t>Dining Room Light Fixture</t>
  </si>
  <si>
    <t>Over Kitchen Sink Light Fixture</t>
  </si>
  <si>
    <t>Hall Light Fixture</t>
  </si>
  <si>
    <t>Hall Bath Light Fixture</t>
  </si>
  <si>
    <t>Master Bath Light Fixture</t>
  </si>
  <si>
    <t>1/2 Bath Light Fixture</t>
  </si>
  <si>
    <t>Bedroom Light Fixture</t>
  </si>
  <si>
    <t>Laundry Light Fixture</t>
  </si>
  <si>
    <t>Closet Light Fixture</t>
  </si>
  <si>
    <t>Exterior Light Fixture</t>
  </si>
  <si>
    <t>Exterior  Motion Light Fixture</t>
  </si>
  <si>
    <t>Bulbs</t>
  </si>
  <si>
    <t>Kitchen Sink Faucet</t>
  </si>
  <si>
    <t>Bathroom Sink Faucet</t>
  </si>
  <si>
    <t>Toilet</t>
  </si>
  <si>
    <t>Shower Head</t>
  </si>
  <si>
    <t>Shower Handle</t>
  </si>
  <si>
    <t>Tub Faucet</t>
  </si>
  <si>
    <t>Shower Kit</t>
  </si>
  <si>
    <t xml:space="preserve">Tub  </t>
  </si>
  <si>
    <t>Washing Machine Outlet</t>
  </si>
  <si>
    <t>Dryer Vent</t>
  </si>
  <si>
    <t>Kitchen Disposal</t>
  </si>
  <si>
    <t>Hall Bath Vanity</t>
  </si>
  <si>
    <t>1/2 Bath Vanity</t>
  </si>
  <si>
    <t>Master Bath Vanity</t>
  </si>
  <si>
    <t>Bath Sink Top</t>
  </si>
  <si>
    <t>Mirror</t>
  </si>
  <si>
    <t>Shower door</t>
  </si>
  <si>
    <t xml:space="preserve">Beveled Edge Rectangle Mirror </t>
  </si>
  <si>
    <t>Amazon Oval Bathroom Mirror</t>
  </si>
  <si>
    <t>Hall Bath Mirror</t>
  </si>
  <si>
    <t>Vender</t>
  </si>
  <si>
    <t>Per Event</t>
  </si>
  <si>
    <t>Iterations</t>
  </si>
  <si>
    <t>Charge</t>
  </si>
  <si>
    <t>Sub Total</t>
  </si>
  <si>
    <t>Meridian</t>
  </si>
  <si>
    <t>15 Yrd Delivery</t>
  </si>
  <si>
    <t>15 yard Haul swap</t>
  </si>
  <si>
    <t>C&amp;D Disp</t>
  </si>
  <si>
    <t>Fuel Surcharge</t>
  </si>
  <si>
    <t>Dest Fee</t>
  </si>
  <si>
    <t>Admin Fee</t>
  </si>
  <si>
    <t>Environmental Fee</t>
  </si>
  <si>
    <t>Inv 1</t>
  </si>
  <si>
    <t>inv 2</t>
  </si>
  <si>
    <t>Gigi'sBuld Removal</t>
  </si>
  <si>
    <t>AvilaCRI</t>
  </si>
  <si>
    <t>Appliances</t>
  </si>
  <si>
    <t>ITEM</t>
  </si>
  <si>
    <t>HD Microwave White</t>
  </si>
  <si>
    <t>FB Marketplace Ref</t>
  </si>
  <si>
    <t>HD Dishwasher</t>
  </si>
  <si>
    <t>Sub-total for Lowes</t>
  </si>
  <si>
    <t>Dishwasher Hose</t>
  </si>
  <si>
    <t>Lowes Range</t>
  </si>
  <si>
    <t>Lowes Dishwasher</t>
  </si>
  <si>
    <t>Lowes Range cord</t>
  </si>
  <si>
    <t>Kitchen Sink</t>
  </si>
  <si>
    <t>Kitchen faucet</t>
  </si>
  <si>
    <t>Lowes Microwave</t>
  </si>
  <si>
    <t>FB Ref</t>
  </si>
  <si>
    <t>Total for Appliances:</t>
  </si>
  <si>
    <t>Plumbing</t>
  </si>
  <si>
    <t>Lowes Kitchen Faucet</t>
  </si>
  <si>
    <t>Lowes Bath Accessory Kit</t>
  </si>
  <si>
    <t>Lowes Shower Head</t>
  </si>
  <si>
    <t>Lowes Bath Faucets</t>
  </si>
  <si>
    <t>Amazon TP holders</t>
  </si>
  <si>
    <t>Amazon accessory kit</t>
  </si>
  <si>
    <t>toilets</t>
  </si>
  <si>
    <t xml:space="preserve">Garbage Disposal </t>
  </si>
  <si>
    <t>Resurface tubs</t>
  </si>
  <si>
    <t>Kitchen Faucet</t>
  </si>
  <si>
    <t>Instant Savings on Toilets</t>
  </si>
  <si>
    <t>Doors &amp; Windows</t>
  </si>
  <si>
    <t>36" Exterior (R) Out Swing</t>
  </si>
  <si>
    <t>36" Exterior (L) Out Swing</t>
  </si>
  <si>
    <t>36" Exterior (L) In Swing</t>
  </si>
  <si>
    <t>32" Exterior (R) Out Swing</t>
  </si>
  <si>
    <t>32" Exterior (L)  Out Swing</t>
  </si>
  <si>
    <t>32" Exterior (L)  In Swing</t>
  </si>
  <si>
    <t>30" Interior (R)</t>
  </si>
  <si>
    <t>30" Interior (L)</t>
  </si>
  <si>
    <t>28" Interior (R)</t>
  </si>
  <si>
    <t>28" Interior (L)</t>
  </si>
  <si>
    <t>24" Interior (R)</t>
  </si>
  <si>
    <t>24" Interior (L)</t>
  </si>
  <si>
    <t>bifold closet - 60" (not prehung)</t>
  </si>
  <si>
    <t>Prehung French 60"</t>
  </si>
  <si>
    <t>Windows 32"x62" Project 640493559</t>
  </si>
  <si>
    <t xml:space="preserve">Windows 59"x4446.562" Project </t>
  </si>
  <si>
    <t>Int Dummy knobs</t>
  </si>
  <si>
    <t>HD</t>
  </si>
  <si>
    <t>L399125</t>
  </si>
  <si>
    <t>Bed/bath knob</t>
  </si>
  <si>
    <t>HD883624</t>
  </si>
  <si>
    <t>Lowes Front door kw powerbolt</t>
  </si>
  <si>
    <t>Lowes Front door kw door handle</t>
  </si>
  <si>
    <t>HD Ext Deadbolt combo</t>
  </si>
  <si>
    <t>Laundry room Fr Doors</t>
  </si>
  <si>
    <t>HD154372</t>
  </si>
  <si>
    <t>Closet door knob</t>
  </si>
  <si>
    <t>HD883767</t>
  </si>
  <si>
    <t>Accumulating tax</t>
  </si>
  <si>
    <t>Door Stop 5 pack</t>
  </si>
  <si>
    <t>Untry Door Handle</t>
  </si>
  <si>
    <t>Keypad Deadbolt</t>
  </si>
  <si>
    <t>Exterior Door Handle and lock kit</t>
  </si>
  <si>
    <t>Cabinets</t>
  </si>
  <si>
    <t>B21R</t>
  </si>
  <si>
    <t>24" Arcadia Cab Master</t>
  </si>
  <si>
    <t>SCR36</t>
  </si>
  <si>
    <t>36 sink base</t>
  </si>
  <si>
    <t>B24R</t>
  </si>
  <si>
    <t>Panel</t>
  </si>
  <si>
    <t>PePR335</t>
  </si>
  <si>
    <t>Sink Base</t>
  </si>
  <si>
    <t>SB36B</t>
  </si>
  <si>
    <t>Base Cab</t>
  </si>
  <si>
    <t>B12R</t>
  </si>
  <si>
    <t>Wall Cab</t>
  </si>
  <si>
    <t>W1230R</t>
  </si>
  <si>
    <t>W2730B</t>
  </si>
  <si>
    <t>W2430B</t>
  </si>
  <si>
    <t>Diag Corner</t>
  </si>
  <si>
    <t>DC2430R</t>
  </si>
  <si>
    <t>Lowes Vanity Master</t>
  </si>
  <si>
    <t>W2130R</t>
  </si>
  <si>
    <t>W3014B</t>
  </si>
  <si>
    <t>Toe Kicks</t>
  </si>
  <si>
    <t>Filler F331</t>
  </si>
  <si>
    <t>Installation</t>
  </si>
  <si>
    <t>Buy from Lowes</t>
  </si>
  <si>
    <t>Cabinet Tops</t>
  </si>
  <si>
    <t>surface 1</t>
  </si>
  <si>
    <t>surface 2</t>
  </si>
  <si>
    <t>surface 3</t>
  </si>
  <si>
    <t>Estimate for Avila Vendor</t>
  </si>
  <si>
    <t>Cabinet Hardware</t>
  </si>
  <si>
    <t>Vanities - Sun HS Warehouse</t>
  </si>
  <si>
    <t>Satin Nick cabinet knob</t>
  </si>
  <si>
    <t>Arched 3" Drawer pull</t>
  </si>
  <si>
    <t>Lowes 10 pk Matte Black Knob</t>
  </si>
  <si>
    <t>HD Satin Nickel Knobs</t>
  </si>
  <si>
    <t>Calc Qty</t>
  </si>
  <si>
    <t>Sq Ft</t>
  </si>
  <si>
    <t>Interior Wall Paint</t>
  </si>
  <si>
    <t>SW</t>
  </si>
  <si>
    <t>6509-48698</t>
  </si>
  <si>
    <t>6510-78628</t>
  </si>
  <si>
    <t>SW 5 gal PM 400 0 FL Extra</t>
  </si>
  <si>
    <t>6503-62817</t>
  </si>
  <si>
    <t>SW 5 gal B31W2151 Procl LTX SG Extra</t>
  </si>
  <si>
    <t>6510-16875</t>
  </si>
  <si>
    <t>5 gal Lowes Kilz</t>
  </si>
  <si>
    <t>SW 5 gal A27W5050 Promar ceiling white</t>
  </si>
  <si>
    <t>6508-68102</t>
  </si>
  <si>
    <t>HD Behr Int/ext black paint</t>
  </si>
  <si>
    <t>HD White Int/ext white paint</t>
  </si>
  <si>
    <t>HD 5 gal Wh Flat Int ceiling</t>
  </si>
  <si>
    <t>Valspar</t>
  </si>
  <si>
    <t>L1028086</t>
  </si>
  <si>
    <t>SW 5 gal D17W151 Cashmere LL Extra</t>
  </si>
  <si>
    <t>6504-06788</t>
  </si>
  <si>
    <t>Kitchen Cabinets</t>
  </si>
  <si>
    <t>SW 5galover White</t>
  </si>
  <si>
    <t>Exterior Wall Paint</t>
  </si>
  <si>
    <t>5 Gal -Valspar Signature Signature flat</t>
  </si>
  <si>
    <t>Stone Eagle HGSW1456</t>
  </si>
  <si>
    <t>Deck Stain</t>
  </si>
  <si>
    <t xml:space="preserve">L Valspar Semi trans deck stain </t>
  </si>
  <si>
    <t>Lowes 1028086</t>
  </si>
  <si>
    <t xml:space="preserve">L Valspar solid porch stain </t>
  </si>
  <si>
    <t>Lowes 1028091</t>
  </si>
  <si>
    <t>Lowes Sub Total for Paint</t>
  </si>
  <si>
    <t>Painter</t>
  </si>
  <si>
    <t>Painter is in contract</t>
  </si>
  <si>
    <t>Inside</t>
  </si>
  <si>
    <t>Front Porch</t>
  </si>
  <si>
    <t>Back Porch</t>
  </si>
  <si>
    <t>Floor</t>
  </si>
  <si>
    <t>LVP Floor Installation</t>
  </si>
  <si>
    <t>in contract</t>
  </si>
  <si>
    <t>LVP Floor Availa Vender</t>
  </si>
  <si>
    <t>LVP Floor RediCarpet #1</t>
  </si>
  <si>
    <t>LVP Floor</t>
  </si>
  <si>
    <t>carpet</t>
  </si>
  <si>
    <t xml:space="preserve">Item </t>
  </si>
  <si>
    <t>New unit</t>
  </si>
  <si>
    <t>True Service HVAC</t>
  </si>
  <si>
    <t>A/C registers</t>
  </si>
  <si>
    <t>Lowes 66848</t>
  </si>
  <si>
    <t>HD 4x10  803492136468</t>
  </si>
  <si>
    <t>A/C Return Vent</t>
  </si>
  <si>
    <t>Lowes 20x25   753897</t>
  </si>
  <si>
    <t>AC Filter</t>
  </si>
  <si>
    <t>HD 20x25 31949488390</t>
  </si>
  <si>
    <t>Lowes 20x20 259930</t>
  </si>
  <si>
    <t>Grill</t>
  </si>
  <si>
    <t>L65185</t>
  </si>
  <si>
    <t>HVAC Service</t>
  </si>
  <si>
    <t>Electrical</t>
  </si>
  <si>
    <t>Lowes Bedroom Ceiling Fans</t>
  </si>
  <si>
    <t>Lowes Liv Rm Ceiling Fan</t>
  </si>
  <si>
    <t>Lowes 4light bath vanity</t>
  </si>
  <si>
    <t>Lowes Flush Kitchen Light</t>
  </si>
  <si>
    <t>Lowes Pendant Dining Light</t>
  </si>
  <si>
    <t>Lowes Ext Motion Lights</t>
  </si>
  <si>
    <t>Lowes 2' Strip Light Mast Closet</t>
  </si>
  <si>
    <t>Floor registers</t>
  </si>
  <si>
    <t>HD1002265221</t>
  </si>
  <si>
    <t>LED Bulbs</t>
  </si>
  <si>
    <t>HD1006211602</t>
  </si>
  <si>
    <t>Outdoor flood light fixture</t>
  </si>
  <si>
    <t>HD233840</t>
  </si>
  <si>
    <t>Hall Light</t>
  </si>
  <si>
    <t>HD385544</t>
  </si>
  <si>
    <t>Flood Light Bulbs</t>
  </si>
  <si>
    <t>HD1006248217</t>
  </si>
  <si>
    <t>Wall protectors</t>
  </si>
  <si>
    <t>HD316307</t>
  </si>
  <si>
    <t>3 speed Remote ceiling fan</t>
  </si>
  <si>
    <t>L745359</t>
  </si>
  <si>
    <t>GE LED 32W 4'</t>
  </si>
  <si>
    <t>L2565452</t>
  </si>
  <si>
    <t>GE LED 17W 2'</t>
  </si>
  <si>
    <t>L2565467</t>
  </si>
  <si>
    <t>9 volt batteries for smoke detectors 6 pack</t>
  </si>
  <si>
    <t>Flush Kitchen Light</t>
  </si>
  <si>
    <t>CeilingFan</t>
  </si>
  <si>
    <t>Ceiling Fan</t>
  </si>
  <si>
    <t xml:space="preserve">Lowes Tube light bulbs (2pack) </t>
  </si>
  <si>
    <t>Tube light return refund</t>
  </si>
  <si>
    <t>Cost/sf</t>
  </si>
  <si>
    <t>Square Feet</t>
  </si>
  <si>
    <t>cost/unit</t>
  </si>
  <si>
    <t>SubTotal</t>
  </si>
  <si>
    <t>Liesure Time Zoysia-pallet</t>
  </si>
  <si>
    <t>Liesure Time Zoysia-roll</t>
  </si>
  <si>
    <t>Delivery Fee</t>
  </si>
  <si>
    <t>Fence</t>
  </si>
  <si>
    <t>organic humis</t>
  </si>
  <si>
    <t>mulch</t>
  </si>
  <si>
    <t>Mulch Labor:</t>
  </si>
  <si>
    <t>Straighten landscape stones</t>
  </si>
  <si>
    <t>lay sod</t>
  </si>
  <si>
    <t>Tree pruning</t>
  </si>
  <si>
    <t>Mow Grass</t>
  </si>
  <si>
    <t>remove debries</t>
  </si>
  <si>
    <t>Roof</t>
  </si>
  <si>
    <t>Cost/item</t>
  </si>
  <si>
    <t>Hourly Rate:</t>
  </si>
  <si>
    <t>Lowes Mailbox</t>
  </si>
  <si>
    <t>Mailbox post HD106052</t>
  </si>
  <si>
    <t>Mailbox HD 046462011291</t>
  </si>
  <si>
    <t>Crawl Plumbing</t>
  </si>
  <si>
    <t>Siding Repair</t>
  </si>
  <si>
    <t>Drainage repair</t>
  </si>
  <si>
    <t>Deck rebuild</t>
  </si>
  <si>
    <t>Masking tape</t>
  </si>
  <si>
    <t>Drop cloths</t>
  </si>
  <si>
    <t>Power wash</t>
  </si>
  <si>
    <t>Weatherproof flat cover 852944007702</t>
  </si>
  <si>
    <t>Doorbell 058219105177</t>
  </si>
  <si>
    <t>Fence Picket 090489133771</t>
  </si>
  <si>
    <t>Properties Completed in 2020</t>
  </si>
  <si>
    <t>164 Churchill Dr</t>
  </si>
  <si>
    <t>2608 Alton</t>
  </si>
  <si>
    <t>Completed for Sell Your Home</t>
  </si>
  <si>
    <t>Completed for Buy Your Home</t>
  </si>
  <si>
    <t>202 Avery</t>
  </si>
  <si>
    <t>1900 Red Quartz</t>
  </si>
  <si>
    <t>120 Keith</t>
  </si>
  <si>
    <t>3007 Eric</t>
  </si>
  <si>
    <t>2153 Haig Point</t>
  </si>
  <si>
    <t>178 Patricia</t>
  </si>
  <si>
    <t>1201 Hazelnut</t>
  </si>
  <si>
    <t>1223 Roffler</t>
  </si>
  <si>
    <t>2025 Metacomet</t>
  </si>
  <si>
    <t xml:space="preserve">5619 Marthonna </t>
  </si>
  <si>
    <t>Shellpoint</t>
  </si>
  <si>
    <t>Jenny@BuyYourHomeLLC.com</t>
  </si>
  <si>
    <t>w3638B0#</t>
  </si>
  <si>
    <t>Loan #</t>
  </si>
  <si>
    <t>https://signin.shellpointmtg.com/signin/myaccount</t>
  </si>
  <si>
    <t>Total Debt</t>
  </si>
  <si>
    <t>Refinance</t>
  </si>
  <si>
    <t>Total Realized Profit:</t>
  </si>
  <si>
    <t>Private Money Interest: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</si>
</sst>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6" formatCode="&quot;$&quot;#,##0_);[Red]\(&quot;$&quot;#,##0\)"/>
    <numFmt numFmtId="8" formatCode="&quot;$&quot;#,##0.00_);[Red]\(&quot;$&quot;#,##0.00\)"/>
    <numFmt numFmtId="43" formatCode="_(* #,##0.00_);_(* \(#,##0.00\);_(* &quot;-&quot;??_);_(@_)"/>
    <numFmt numFmtId="164" formatCode="&quot;$&quot;#,##0"/>
    <numFmt numFmtId="165" formatCode="0.0%"/>
    <numFmt numFmtId="166" formatCode="&quot;$&quot;#,##0.00"/>
    <numFmt numFmtId="167" formatCode="m/d/yy;@"/>
    <numFmt numFmtId="168" formatCode="d"/>
    <numFmt numFmtId="169" formatCode="m/d;@"/>
    <numFmt numFmtId="170" formatCode="mm/dd/yy;@"/>
    <numFmt numFmtId="171" formatCode="0.000%"/>
    <numFmt numFmtId="172" formatCode="yyyy\-mm\-dd;@"/>
  </numFmts>
  <fonts count="48"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1"/>
      <name val="Calibri"/>
      <family val="2"/>
      <scheme val="minor"/>
    </font>
    <font>
      <sz val="11"/>
      <color rgb="FF000000"/>
      <name val="Calibri"/>
      <family val="2"/>
      <scheme val="minor"/>
    </font>
    <font>
      <sz val="11"/>
      <color theme="1"/>
      <name val="Arial"/>
      <family val="2"/>
    </font>
    <font>
      <b/>
      <sz val="13"/>
      <color theme="3"/>
      <name val="Calibri"/>
      <family val="2"/>
      <scheme val="minor"/>
    </font>
    <font>
      <b/>
      <sz val="11"/>
      <color theme="3"/>
      <name val="Calibri"/>
      <family val="2"/>
      <scheme val="minor"/>
    </font>
    <font>
      <sz val="11"/>
      <color theme="0"/>
      <name val="Calibri"/>
      <family val="2"/>
      <scheme val="minor"/>
    </font>
    <font>
      <sz val="11"/>
      <color theme="8" tint="-0.499984740745262"/>
      <name val="Calibri"/>
      <family val="2"/>
      <scheme val="minor"/>
    </font>
    <font>
      <sz val="11"/>
      <color rgb="FF006100"/>
      <name val="Calibri"/>
      <family val="2"/>
      <scheme val="minor"/>
    </font>
    <font>
      <sz val="11"/>
      <color rgb="FF9C5700"/>
      <name val="Calibri"/>
      <family val="2"/>
      <scheme val="minor"/>
    </font>
    <font>
      <b/>
      <sz val="11"/>
      <name val="Calibri"/>
      <family val="2"/>
      <scheme val="minor"/>
    </font>
    <font>
      <b/>
      <sz val="11"/>
      <color rgb="FF373A3C"/>
      <name val="Open Sans"/>
      <family val="2"/>
    </font>
    <font>
      <sz val="10"/>
      <color theme="1"/>
      <name val="Calibri"/>
      <family val="2"/>
      <scheme val="minor"/>
    </font>
    <font>
      <b/>
      <sz val="10"/>
      <color theme="1"/>
      <name val="Calibri"/>
      <family val="2"/>
      <scheme val="minor"/>
    </font>
    <font>
      <sz val="11"/>
      <color rgb="FF9C0006"/>
      <name val="Calibri"/>
      <family val="2"/>
      <scheme val="minor"/>
    </font>
    <font>
      <b/>
      <sz val="11"/>
      <color theme="0"/>
      <name val="Calibri"/>
      <family val="2"/>
      <scheme val="minor"/>
    </font>
    <font>
      <b/>
      <sz val="11"/>
      <color rgb="FF00B0F0"/>
      <name val="Calibri"/>
      <family val="2"/>
      <scheme val="minor"/>
    </font>
    <font>
      <b/>
      <sz val="16"/>
      <name val="Calibri"/>
      <family val="2"/>
      <scheme val="minor"/>
    </font>
    <font>
      <sz val="10"/>
      <color theme="1"/>
      <name val="Arial"/>
      <family val="2"/>
    </font>
    <font>
      <sz val="11"/>
      <color theme="1"/>
      <name val="Times New Roman"/>
      <family val="1"/>
    </font>
    <font>
      <b/>
      <sz val="11"/>
      <color theme="1"/>
      <name val="Times New Roman"/>
      <family val="1"/>
    </font>
    <font>
      <sz val="12"/>
      <name val="Arial"/>
      <family val="2"/>
    </font>
    <font>
      <b/>
      <sz val="10"/>
      <color theme="3"/>
      <name val="Calibri"/>
      <family val="2"/>
      <scheme val="minor"/>
    </font>
    <font>
      <sz val="8"/>
      <name val="Calibri"/>
      <family val="2"/>
      <scheme val="minor"/>
    </font>
    <font>
      <sz val="16"/>
      <color theme="0"/>
      <name val="Calibri"/>
      <family val="2"/>
      <scheme val="minor"/>
    </font>
    <font>
      <b/>
      <sz val="12"/>
      <name val="Arial"/>
      <family val="2"/>
    </font>
    <font>
      <b/>
      <sz val="14"/>
      <name val="Calibri"/>
      <family val="2"/>
      <scheme val="minor"/>
    </font>
    <font>
      <b/>
      <sz val="14"/>
      <color theme="1"/>
      <name val="Calibri"/>
      <family val="2"/>
      <scheme val="minor"/>
    </font>
    <font>
      <b/>
      <sz val="16"/>
      <color theme="1"/>
      <name val="Calibri"/>
      <family val="2"/>
      <scheme val="minor"/>
    </font>
    <font>
      <b/>
      <sz val="14"/>
      <color theme="3"/>
      <name val="Calibri"/>
      <family val="2"/>
      <scheme val="minor"/>
    </font>
    <font>
      <sz val="14"/>
      <color theme="1"/>
      <name val="Calibri"/>
      <family val="2"/>
      <scheme val="minor"/>
    </font>
    <font>
      <sz val="10"/>
      <name val="Calibri"/>
      <family val="2"/>
      <scheme val="minor"/>
    </font>
    <font>
      <sz val="10"/>
      <color rgb="FF000000"/>
      <name val="Calibri"/>
      <family val="2"/>
      <scheme val="minor"/>
    </font>
    <font>
      <b/>
      <sz val="10"/>
      <color rgb="FFEA6E0D"/>
      <name val="Arial"/>
      <family val="2"/>
    </font>
    <font>
      <b/>
      <sz val="9"/>
      <color rgb="FF00457D"/>
      <name val="Arial"/>
      <family val="2"/>
    </font>
    <font>
      <sz val="9"/>
      <color rgb="FF00457D"/>
      <name val="Arial"/>
      <family val="2"/>
    </font>
    <font>
      <sz val="8"/>
      <color rgb="FF222222"/>
      <name val="Courier New"/>
      <family val="3"/>
    </font>
    <font>
      <b/>
      <sz val="10"/>
      <name val="Calibri"/>
      <family val="2"/>
      <scheme val="minor"/>
    </font>
    <font>
      <b/>
      <sz val="10"/>
      <color rgb="FF000000"/>
      <name val="Calibri"/>
      <family val="2"/>
      <scheme val="minor"/>
    </font>
    <font>
      <b/>
      <sz val="9"/>
      <color rgb="FFEA6E0D"/>
      <name val="Arial"/>
      <family val="2"/>
    </font>
    <font>
      <b/>
      <sz val="11"/>
      <color rgb="FF373A3C"/>
      <name val="Calibri"/>
      <family val="2"/>
      <scheme val="minor"/>
    </font>
    <font>
      <sz val="10"/>
      <name val="Arial"/>
      <family val="2"/>
    </font>
    <font>
      <sz val="11"/>
      <color theme="10"/>
      <name val="Calibri"/>
      <family val="2"/>
      <scheme val="minor"/>
    </font>
    <font>
      <sz val="11"/>
      <color rgb="FFFF0000"/>
      <name val="Calibri"/>
      <family val="2"/>
      <scheme val="minor"/>
    </font>
    <font>
      <b/>
      <sz val="9"/>
      <color rgb="FF333333"/>
      <name val="Segoe UI"/>
      <family val="2"/>
    </font>
  </fonts>
  <fills count="2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00"/>
        <bgColor rgb="FF000000"/>
      </patternFill>
    </fill>
    <fill>
      <patternFill patternType="solid">
        <fgColor theme="1" tint="0.34998626667073579"/>
        <bgColor indexed="64"/>
      </patternFill>
    </fill>
    <fill>
      <patternFill patternType="solid">
        <fgColor rgb="FFC6EFCE"/>
      </patternFill>
    </fill>
    <fill>
      <patternFill patternType="solid">
        <fgColor rgb="FFFFEB9C"/>
      </patternFill>
    </fill>
    <fill>
      <patternFill patternType="solid">
        <fgColor theme="4"/>
      </patternFill>
    </fill>
    <fill>
      <patternFill patternType="solid">
        <fgColor theme="0"/>
        <bgColor indexed="64"/>
      </patternFill>
    </fill>
    <fill>
      <patternFill patternType="solid">
        <fgColor rgb="FFFFC7CE"/>
      </patternFill>
    </fill>
    <fill>
      <patternFill patternType="solid">
        <fgColor rgb="FF00B0F0"/>
        <bgColor indexed="64"/>
      </patternFill>
    </fill>
    <fill>
      <patternFill patternType="solid">
        <fgColor theme="7" tint="0.39997558519241921"/>
        <bgColor indexed="64"/>
      </patternFill>
    </fill>
    <fill>
      <patternFill patternType="solid">
        <fgColor theme="7" tint="0.79998168889431442"/>
        <bgColor theme="7" tint="0.79998168889431442"/>
      </patternFill>
    </fill>
    <fill>
      <patternFill patternType="solid">
        <fgColor theme="5"/>
        <bgColor indexed="64"/>
      </patternFill>
    </fill>
    <fill>
      <patternFill patternType="solid">
        <fgColor rgb="FFFFFF00"/>
        <bgColor theme="7" tint="0.79998168889431442"/>
      </patternFill>
    </fill>
    <fill>
      <patternFill patternType="solid">
        <fgColor rgb="FFFFFFFF"/>
        <bgColor indexed="64"/>
      </patternFill>
    </fill>
    <fill>
      <patternFill patternType="solid">
        <fgColor theme="7"/>
        <bgColor indexed="64"/>
      </patternFill>
    </fill>
    <fill>
      <patternFill patternType="solid">
        <fgColor rgb="FFFFC000"/>
        <bgColor indexed="64"/>
      </patternFill>
    </fill>
    <fill>
      <patternFill patternType="solid">
        <fgColor theme="0"/>
        <bgColor rgb="FF000000"/>
      </patternFill>
    </fill>
    <fill>
      <patternFill patternType="solid">
        <fgColor theme="5" tint="0.79998168889431442"/>
        <bgColor indexed="64"/>
      </patternFill>
    </fill>
    <fill>
      <patternFill patternType="solid">
        <fgColor theme="4" tint="0.39997558519241921"/>
        <bgColor indexed="64"/>
      </patternFill>
    </fill>
    <fill>
      <patternFill patternType="solid">
        <fgColor rgb="FFFFC000"/>
        <bgColor rgb="FF000000"/>
      </patternFill>
    </fill>
    <fill>
      <patternFill patternType="solid">
        <fgColor rgb="FF00B050"/>
        <bgColor indexed="64"/>
      </patternFill>
    </fill>
    <fill>
      <patternFill patternType="solid">
        <fgColor rgb="FFFF0000"/>
        <bgColor indexed="64"/>
      </patternFill>
    </fill>
    <fill>
      <patternFill patternType="solid">
        <fgColor theme="1"/>
        <bgColor indexed="64"/>
      </patternFill>
    </fill>
    <fill>
      <patternFill patternType="solid">
        <fgColor theme="7" tint="-0.249977111117893"/>
        <bgColor indexed="64"/>
      </patternFill>
    </fill>
  </fills>
  <borders count="70">
    <border>
      <left/>
      <right/>
      <top/>
      <bottom/>
      <diagonal/>
    </border>
    <border>
      <left/>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style="dashed">
        <color auto="1"/>
      </right>
      <top/>
      <bottom style="medium">
        <color auto="1"/>
      </bottom>
      <diagonal/>
    </border>
    <border>
      <left/>
      <right style="dashed">
        <color auto="1"/>
      </right>
      <top/>
      <bottom/>
      <diagonal/>
    </border>
    <border>
      <left/>
      <right/>
      <top style="medium">
        <color auto="1"/>
      </top>
      <bottom/>
      <diagonal/>
    </border>
    <border>
      <left/>
      <right/>
      <top/>
      <bottom style="thin">
        <color auto="1"/>
      </bottom>
      <diagonal/>
    </border>
    <border>
      <left style="dashed">
        <color auto="1"/>
      </left>
      <right/>
      <top style="medium">
        <color auto="1"/>
      </top>
      <bottom/>
      <diagonal/>
    </border>
    <border>
      <left/>
      <right style="dashed">
        <color auto="1"/>
      </right>
      <top style="medium">
        <color auto="1"/>
      </top>
      <bottom/>
      <diagonal/>
    </border>
    <border>
      <left/>
      <right/>
      <top style="double">
        <color auto="1"/>
      </top>
      <bottom/>
      <diagonal/>
    </border>
    <border>
      <left/>
      <right/>
      <top style="thin">
        <color auto="1"/>
      </top>
      <bottom style="medium">
        <color auto="1"/>
      </bottom>
      <diagonal/>
    </border>
    <border>
      <left style="hair">
        <color auto="1"/>
      </left>
      <right/>
      <top/>
      <bottom/>
      <diagonal/>
    </border>
    <border>
      <left/>
      <right style="hair">
        <color auto="1"/>
      </right>
      <top/>
      <bottom/>
      <diagonal/>
    </border>
    <border>
      <left/>
      <right/>
      <top/>
      <bottom style="thick">
        <color theme="4" tint="0.499984740745262"/>
      </bottom>
      <diagonal/>
    </border>
    <border>
      <left/>
      <right/>
      <top/>
      <bottom style="medium">
        <color theme="4" tint="0.39997558519241921"/>
      </bottom>
      <diagonal/>
    </border>
    <border>
      <left/>
      <right style="thin">
        <color theme="8" tint="0.79998168889431442"/>
      </right>
      <top style="medium">
        <color theme="8"/>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bottom style="thick">
        <color indexed="55"/>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bottom/>
      <diagonal/>
    </border>
    <border>
      <left/>
      <right style="thick">
        <color auto="1"/>
      </right>
      <top/>
      <bottom/>
      <diagonal/>
    </border>
    <border>
      <left style="medium">
        <color auto="1"/>
      </left>
      <right style="medium">
        <color auto="1"/>
      </right>
      <top style="medium">
        <color auto="1"/>
      </top>
      <bottom style="medium">
        <color auto="1"/>
      </bottom>
      <diagonal/>
    </border>
    <border>
      <left/>
      <right/>
      <top style="medium">
        <color auto="1"/>
      </top>
      <bottom style="thin">
        <color indexed="64"/>
      </bottom>
      <diagonal/>
    </border>
    <border>
      <left/>
      <right style="medium">
        <color auto="1"/>
      </right>
      <top style="medium">
        <color auto="1"/>
      </top>
      <bottom style="thin">
        <color auto="1"/>
      </bottom>
      <diagonal/>
    </border>
    <border>
      <left style="medium">
        <color auto="1"/>
      </left>
      <right/>
      <top/>
      <bottom style="thick">
        <color auto="1"/>
      </bottom>
      <diagonal/>
    </border>
    <border>
      <left/>
      <right style="medium">
        <color auto="1"/>
      </right>
      <top/>
      <bottom style="thick">
        <color auto="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medium">
        <color auto="1"/>
      </top>
      <bottom style="double">
        <color auto="1"/>
      </bottom>
      <diagonal/>
    </border>
    <border>
      <left style="dashed">
        <color auto="1"/>
      </left>
      <right style="medium">
        <color auto="1"/>
      </right>
      <top style="medium">
        <color auto="1"/>
      </top>
      <bottom/>
      <diagonal/>
    </border>
    <border>
      <left style="dashed">
        <color auto="1"/>
      </left>
      <right style="medium">
        <color auto="1"/>
      </right>
      <top/>
      <bottom/>
      <diagonal/>
    </border>
    <border>
      <left style="dashed">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dashed">
        <color auto="1"/>
      </left>
      <right style="dashed">
        <color auto="1"/>
      </right>
      <top/>
      <bottom/>
      <diagonal/>
    </border>
    <border>
      <left style="thin">
        <color auto="1"/>
      </left>
      <right/>
      <top/>
      <bottom/>
      <diagonal/>
    </border>
    <border>
      <left/>
      <right style="medium">
        <color auto="1"/>
      </right>
      <top style="thin">
        <color auto="1"/>
      </top>
      <bottom style="thin">
        <color indexed="64"/>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ck">
        <color auto="1"/>
      </left>
      <right style="thick">
        <color auto="1"/>
      </right>
      <top style="thick">
        <color auto="1"/>
      </top>
      <bottom style="thick">
        <color auto="1"/>
      </bottom>
      <diagonal/>
    </border>
    <border>
      <left style="dashed">
        <color auto="1"/>
      </left>
      <right/>
      <top/>
      <bottom/>
      <diagonal/>
    </border>
    <border>
      <left style="thick">
        <color auto="1"/>
      </left>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auto="1"/>
      </left>
      <right/>
      <top/>
      <bottom style="thin">
        <color auto="1"/>
      </bottom>
      <diagonal/>
    </border>
    <border>
      <left style="thin">
        <color auto="1"/>
      </left>
      <right style="thin">
        <color auto="1"/>
      </right>
      <top/>
      <bottom style="thin">
        <color auto="1"/>
      </bottom>
      <diagonal/>
    </border>
  </borders>
  <cellStyleXfs count="15">
    <xf numFmtId="0" fontId="0" fillId="0" borderId="0"/>
    <xf numFmtId="0" fontId="2" fillId="0" borderId="0" applyNumberFormat="0" applyFill="0" applyBorder="0" applyAlignment="0" applyProtection="0"/>
    <xf numFmtId="0" fontId="7" fillId="0" borderId="18" applyNumberFormat="0" applyFill="0" applyAlignment="0" applyProtection="0"/>
    <xf numFmtId="0" fontId="8" fillId="0" borderId="19" applyNumberFormat="0" applyFill="0" applyAlignment="0" applyProtection="0"/>
    <xf numFmtId="0" fontId="8" fillId="0" borderId="0" applyNumberFormat="0" applyFill="0" applyBorder="0" applyAlignment="0" applyProtection="0"/>
    <xf numFmtId="0" fontId="9" fillId="0" borderId="0"/>
    <xf numFmtId="14" fontId="10" fillId="0" borderId="0" applyFill="0" applyBorder="0">
      <alignment horizontal="center" vertical="center"/>
    </xf>
    <xf numFmtId="0" fontId="11" fillId="6" borderId="0" applyNumberFormat="0" applyBorder="0" applyAlignment="0" applyProtection="0"/>
    <xf numFmtId="0" fontId="12" fillId="7" borderId="0" applyNumberFormat="0" applyBorder="0" applyAlignment="0" applyProtection="0"/>
    <xf numFmtId="14" fontId="11" fillId="6" borderId="0" applyBorder="0" applyAlignment="0" applyProtection="0"/>
    <xf numFmtId="0" fontId="12" fillId="7" borderId="0" applyBorder="0" applyAlignment="0" applyProtection="0"/>
    <xf numFmtId="0" fontId="9" fillId="8" borderId="0" applyBorder="0" applyAlignment="0" applyProtection="0"/>
    <xf numFmtId="0" fontId="17" fillId="10" borderId="0" applyNumberFormat="0" applyBorder="0" applyAlignment="0" applyProtection="0"/>
    <xf numFmtId="43" fontId="3" fillId="0" borderId="0" applyFont="0" applyFill="0" applyBorder="0" applyAlignment="0" applyProtection="0"/>
    <xf numFmtId="0" fontId="44" fillId="0" borderId="0"/>
  </cellStyleXfs>
  <cellXfs count="664">
    <xf numFmtId="0" fontId="0" fillId="0" borderId="0" xfId="0"/>
    <xf numFmtId="164" fontId="0" fillId="0" borderId="0" xfId="0" applyNumberFormat="1"/>
    <xf numFmtId="0" fontId="0" fillId="0" borderId="0" xfId="0" applyAlignment="1">
      <alignment horizontal="right"/>
    </xf>
    <xf numFmtId="0" fontId="1" fillId="0" borderId="0" xfId="0" applyFont="1" applyAlignment="1">
      <alignment horizontal="center"/>
    </xf>
    <xf numFmtId="164" fontId="1" fillId="0" borderId="0" xfId="0" applyNumberFormat="1" applyFont="1"/>
    <xf numFmtId="166" fontId="0" fillId="0" borderId="0" xfId="0" applyNumberFormat="1"/>
    <xf numFmtId="164" fontId="1" fillId="0" borderId="0" xfId="0" applyNumberFormat="1" applyFont="1" applyAlignment="1">
      <alignment horizontal="center"/>
    </xf>
    <xf numFmtId="164" fontId="1" fillId="0" borderId="0" xfId="0" applyNumberFormat="1" applyFont="1" applyAlignment="1">
      <alignment horizontal="center" wrapText="1"/>
    </xf>
    <xf numFmtId="166" fontId="1" fillId="0" borderId="0" xfId="0" applyNumberFormat="1" applyFont="1" applyAlignment="1">
      <alignment horizontal="center"/>
    </xf>
    <xf numFmtId="164" fontId="1" fillId="0" borderId="0" xfId="0" applyNumberFormat="1" applyFont="1" applyAlignment="1">
      <alignment horizontal="right"/>
    </xf>
    <xf numFmtId="166" fontId="1" fillId="0" borderId="0" xfId="0" applyNumberFormat="1" applyFont="1"/>
    <xf numFmtId="1" fontId="0" fillId="0" borderId="0" xfId="0" applyNumberFormat="1"/>
    <xf numFmtId="14" fontId="0" fillId="0" borderId="0" xfId="0" applyNumberFormat="1"/>
    <xf numFmtId="4" fontId="1" fillId="0" borderId="0" xfId="0" applyNumberFormat="1" applyFont="1" applyAlignment="1">
      <alignment horizontal="center"/>
    </xf>
    <xf numFmtId="4" fontId="0" fillId="0" borderId="0" xfId="0" applyNumberFormat="1"/>
    <xf numFmtId="0" fontId="1" fillId="0" borderId="0" xfId="0" applyFont="1"/>
    <xf numFmtId="2" fontId="1" fillId="0" borderId="0" xfId="0" applyNumberFormat="1" applyFont="1" applyAlignment="1">
      <alignment horizontal="center"/>
    </xf>
    <xf numFmtId="2" fontId="1" fillId="0" borderId="0" xfId="0" applyNumberFormat="1" applyFont="1" applyAlignment="1">
      <alignment horizontal="right"/>
    </xf>
    <xf numFmtId="2" fontId="0" fillId="0" borderId="0" xfId="0" applyNumberFormat="1" applyAlignment="1">
      <alignment horizontal="right"/>
    </xf>
    <xf numFmtId="0" fontId="2" fillId="0" borderId="0" xfId="1"/>
    <xf numFmtId="3" fontId="0" fillId="0" borderId="11" xfId="0" applyNumberFormat="1" applyBorder="1"/>
    <xf numFmtId="4" fontId="0" fillId="0" borderId="1" xfId="0" applyNumberFormat="1" applyBorder="1"/>
    <xf numFmtId="0" fontId="0" fillId="0" borderId="0" xfId="0" applyAlignment="1">
      <alignment horizontal="center"/>
    </xf>
    <xf numFmtId="0" fontId="0" fillId="0" borderId="1" xfId="0" applyBorder="1"/>
    <xf numFmtId="0" fontId="1" fillId="0" borderId="1" xfId="0" applyFont="1" applyBorder="1"/>
    <xf numFmtId="0" fontId="0" fillId="0" borderId="0" xfId="0" applyAlignment="1">
      <alignment horizontal="left"/>
    </xf>
    <xf numFmtId="2" fontId="0" fillId="0" borderId="0" xfId="0" applyNumberFormat="1"/>
    <xf numFmtId="2" fontId="1" fillId="0" borderId="0" xfId="0" applyNumberFormat="1" applyFont="1"/>
    <xf numFmtId="0" fontId="2" fillId="0" borderId="0" xfId="1" applyAlignment="1">
      <alignment horizontal="left"/>
    </xf>
    <xf numFmtId="0" fontId="0" fillId="2" borderId="0" xfId="0" applyFill="1" applyAlignment="1">
      <alignment horizontal="left"/>
    </xf>
    <xf numFmtId="164" fontId="0" fillId="0" borderId="1" xfId="0" applyNumberFormat="1" applyBorder="1"/>
    <xf numFmtId="0" fontId="1" fillId="0" borderId="0" xfId="0" applyFont="1" applyAlignment="1">
      <alignment horizontal="right"/>
    </xf>
    <xf numFmtId="0" fontId="1" fillId="0" borderId="1" xfId="0" applyFont="1" applyBorder="1" applyAlignment="1">
      <alignment horizontal="center"/>
    </xf>
    <xf numFmtId="0" fontId="1" fillId="0" borderId="0" xfId="0" applyFont="1" applyAlignment="1">
      <alignment horizontal="left"/>
    </xf>
    <xf numFmtId="0" fontId="6" fillId="0" borderId="0" xfId="0" applyFont="1"/>
    <xf numFmtId="0" fontId="4" fillId="0" borderId="0" xfId="0" applyFont="1" applyAlignment="1">
      <alignment horizontal="center" vertical="center"/>
    </xf>
    <xf numFmtId="0" fontId="0" fillId="0" borderId="0" xfId="0" applyAlignment="1">
      <alignment horizontal="right" vertical="center"/>
    </xf>
    <xf numFmtId="0" fontId="0" fillId="0" borderId="21" xfId="0" applyBorder="1" applyAlignment="1">
      <alignment horizontal="center" vertical="center"/>
    </xf>
    <xf numFmtId="10" fontId="1" fillId="0" borderId="0" xfId="0" applyNumberFormat="1" applyFont="1"/>
    <xf numFmtId="0" fontId="15" fillId="0" borderId="0" xfId="0" applyFont="1"/>
    <xf numFmtId="0" fontId="15" fillId="0" borderId="0" xfId="0" applyFont="1" applyAlignment="1">
      <alignment horizontal="right"/>
    </xf>
    <xf numFmtId="0" fontId="16" fillId="0" borderId="0" xfId="0" applyFont="1" applyAlignment="1">
      <alignment horizontal="right"/>
    </xf>
    <xf numFmtId="0" fontId="0" fillId="0" borderId="0" xfId="0" applyAlignment="1">
      <alignment vertical="center"/>
    </xf>
    <xf numFmtId="2" fontId="19" fillId="0" borderId="0" xfId="12" applyNumberFormat="1" applyFont="1" applyFill="1" applyAlignment="1">
      <alignment horizontal="center" vertical="center"/>
    </xf>
    <xf numFmtId="43" fontId="9" fillId="11" borderId="0" xfId="13" applyFont="1" applyFill="1" applyAlignment="1">
      <alignment horizontal="right" vertical="center"/>
    </xf>
    <xf numFmtId="0" fontId="21" fillId="0" borderId="0" xfId="0" applyFont="1" applyAlignment="1">
      <alignment horizontal="right"/>
    </xf>
    <xf numFmtId="0" fontId="22" fillId="0" borderId="0" xfId="0" applyFont="1" applyAlignment="1">
      <alignment horizontal="right"/>
    </xf>
    <xf numFmtId="0" fontId="5" fillId="0" borderId="0" xfId="0" applyFont="1" applyAlignment="1">
      <alignment horizontal="right"/>
    </xf>
    <xf numFmtId="49" fontId="23" fillId="0" borderId="0" xfId="0" applyNumberFormat="1" applyFont="1" applyAlignment="1">
      <alignment horizontal="right"/>
    </xf>
    <xf numFmtId="0" fontId="24" fillId="0" borderId="22" xfId="0" applyFont="1" applyBorder="1" applyAlignment="1">
      <alignment horizontal="center" vertical="top"/>
    </xf>
    <xf numFmtId="0" fontId="0" fillId="0" borderId="0" xfId="0" applyAlignment="1">
      <alignment horizontal="center" vertical="top"/>
    </xf>
    <xf numFmtId="9" fontId="0" fillId="0" borderId="0" xfId="0" applyNumberFormat="1" applyAlignment="1">
      <alignment horizontal="center" vertical="top"/>
    </xf>
    <xf numFmtId="49" fontId="24" fillId="3" borderId="0" xfId="0" applyNumberFormat="1" applyFont="1" applyFill="1" applyAlignment="1">
      <alignment vertical="top"/>
    </xf>
    <xf numFmtId="49" fontId="24" fillId="11" borderId="0" xfId="0" applyNumberFormat="1" applyFont="1" applyFill="1" applyAlignment="1">
      <alignment vertical="top"/>
    </xf>
    <xf numFmtId="1" fontId="24" fillId="11" borderId="0" xfId="0" applyNumberFormat="1" applyFont="1" applyFill="1" applyAlignment="1">
      <alignment vertical="top"/>
    </xf>
    <xf numFmtId="4" fontId="24" fillId="11" borderId="0" xfId="0" applyNumberFormat="1" applyFont="1" applyFill="1" applyAlignment="1">
      <alignment vertical="top"/>
    </xf>
    <xf numFmtId="0" fontId="0" fillId="0" borderId="0" xfId="0" applyAlignment="1">
      <alignment vertical="top"/>
    </xf>
    <xf numFmtId="1" fontId="0" fillId="0" borderId="0" xfId="0" applyNumberFormat="1" applyAlignment="1">
      <alignment vertical="top"/>
    </xf>
    <xf numFmtId="4" fontId="0" fillId="0" borderId="0" xfId="0" applyNumberFormat="1" applyAlignment="1">
      <alignment vertical="top"/>
    </xf>
    <xf numFmtId="0" fontId="25" fillId="0" borderId="18" xfId="2" applyFont="1"/>
    <xf numFmtId="0" fontId="1" fillId="0" borderId="0" xfId="0" applyFont="1" applyAlignment="1">
      <alignment horizontal="right" vertical="center" wrapText="1"/>
    </xf>
    <xf numFmtId="0" fontId="1" fillId="0" borderId="0" xfId="0" applyFont="1" applyAlignment="1">
      <alignment horizontal="right" wrapText="1"/>
    </xf>
    <xf numFmtId="168" fontId="8" fillId="0" borderId="20" xfId="4" applyNumberFormat="1" applyBorder="1" applyAlignment="1">
      <alignment horizontal="center" vertical="top"/>
    </xf>
    <xf numFmtId="0" fontId="1" fillId="0" borderId="0" xfId="0" applyFont="1" applyAlignment="1">
      <alignment horizontal="center" wrapText="1"/>
    </xf>
    <xf numFmtId="1" fontId="24" fillId="14" borderId="0" xfId="0" applyNumberFormat="1" applyFont="1" applyFill="1" applyAlignment="1">
      <alignment vertical="top"/>
    </xf>
    <xf numFmtId="4" fontId="24" fillId="3" borderId="0" xfId="0" applyNumberFormat="1" applyFont="1" applyFill="1" applyAlignment="1">
      <alignment vertical="top"/>
    </xf>
    <xf numFmtId="1" fontId="24" fillId="0" borderId="0" xfId="0" applyNumberFormat="1" applyFont="1" applyAlignment="1">
      <alignment horizontal="center" vertical="top"/>
    </xf>
    <xf numFmtId="4" fontId="24" fillId="0" borderId="0" xfId="0" applyNumberFormat="1" applyFont="1" applyAlignment="1">
      <alignment horizontal="center" vertical="top"/>
    </xf>
    <xf numFmtId="0" fontId="32" fillId="0" borderId="0" xfId="3" applyFont="1" applyBorder="1" applyAlignment="1">
      <alignment horizontal="right" vertical="center" indent="1"/>
    </xf>
    <xf numFmtId="1" fontId="13" fillId="3" borderId="0" xfId="0" applyNumberFormat="1" applyFont="1" applyFill="1" applyAlignment="1" applyProtection="1">
      <alignment horizontal="center" wrapText="1"/>
      <protection locked="0"/>
    </xf>
    <xf numFmtId="1" fontId="0" fillId="2" borderId="0" xfId="0" applyNumberFormat="1" applyFill="1" applyProtection="1">
      <protection locked="0"/>
    </xf>
    <xf numFmtId="0" fontId="0" fillId="2" borderId="0" xfId="0" applyFill="1" applyProtection="1">
      <protection locked="0"/>
    </xf>
    <xf numFmtId="1" fontId="0" fillId="0" borderId="0" xfId="0" applyNumberFormat="1" applyProtection="1">
      <protection locked="0"/>
    </xf>
    <xf numFmtId="169" fontId="0" fillId="0" borderId="0" xfId="0" applyNumberFormat="1" applyProtection="1">
      <protection locked="0"/>
    </xf>
    <xf numFmtId="0" fontId="0" fillId="0" borderId="0" xfId="0" applyProtection="1">
      <protection locked="0"/>
    </xf>
    <xf numFmtId="0" fontId="9" fillId="0" borderId="0" xfId="5"/>
    <xf numFmtId="1" fontId="9" fillId="0" borderId="0" xfId="5" applyNumberFormat="1"/>
    <xf numFmtId="0" fontId="18" fillId="0" borderId="0" xfId="5" applyFont="1" applyAlignment="1">
      <alignment horizontal="center"/>
    </xf>
    <xf numFmtId="0" fontId="18" fillId="0" borderId="0" xfId="3" applyFont="1" applyBorder="1" applyAlignment="1" applyProtection="1">
      <alignment horizontal="right" vertical="center" wrapText="1" indent="1"/>
    </xf>
    <xf numFmtId="0" fontId="9" fillId="5" borderId="0" xfId="0" applyFont="1" applyFill="1" applyAlignment="1">
      <alignment horizontal="center" wrapText="1"/>
    </xf>
    <xf numFmtId="1" fontId="9" fillId="5" borderId="0" xfId="0" applyNumberFormat="1" applyFont="1" applyFill="1" applyAlignment="1">
      <alignment horizontal="center" wrapText="1"/>
    </xf>
    <xf numFmtId="0" fontId="18" fillId="5" borderId="0" xfId="0" applyFont="1" applyFill="1" applyAlignment="1">
      <alignment horizontal="center" wrapText="1"/>
    </xf>
    <xf numFmtId="0" fontId="27" fillId="5" borderId="0" xfId="0" applyFont="1" applyFill="1" applyAlignment="1">
      <alignment horizontal="center" wrapText="1"/>
    </xf>
    <xf numFmtId="2" fontId="9" fillId="5" borderId="0" xfId="0" applyNumberFormat="1" applyFont="1" applyFill="1" applyAlignment="1">
      <alignment horizontal="center" wrapText="1"/>
    </xf>
    <xf numFmtId="169" fontId="9" fillId="5" borderId="0" xfId="0" applyNumberFormat="1" applyFont="1" applyFill="1" applyAlignment="1">
      <alignment horizontal="center" wrapText="1"/>
    </xf>
    <xf numFmtId="2" fontId="4" fillId="3" borderId="0" xfId="0" applyNumberFormat="1" applyFont="1" applyFill="1" applyAlignment="1">
      <alignment horizontal="left" vertical="center"/>
    </xf>
    <xf numFmtId="1" fontId="4" fillId="3" borderId="0" xfId="0" applyNumberFormat="1" applyFont="1" applyFill="1" applyAlignment="1">
      <alignment horizontal="right" vertical="center"/>
    </xf>
    <xf numFmtId="2" fontId="13" fillId="3" borderId="0" xfId="0" applyNumberFormat="1" applyFont="1" applyFill="1" applyAlignment="1">
      <alignment horizontal="center" vertical="center"/>
    </xf>
    <xf numFmtId="2" fontId="4" fillId="3" borderId="0" xfId="0" applyNumberFormat="1" applyFont="1" applyFill="1" applyAlignment="1">
      <alignment horizontal="right" vertical="center"/>
    </xf>
    <xf numFmtId="2" fontId="4" fillId="3" borderId="0" xfId="0" applyNumberFormat="1" applyFont="1" applyFill="1" applyAlignment="1">
      <alignment horizontal="center" vertical="center"/>
    </xf>
    <xf numFmtId="169" fontId="4" fillId="3" borderId="0" xfId="0" applyNumberFormat="1" applyFont="1" applyFill="1" applyAlignment="1">
      <alignment horizontal="right" vertical="center"/>
    </xf>
    <xf numFmtId="2" fontId="19" fillId="0" borderId="0" xfId="12" applyNumberFormat="1" applyFont="1" applyFill="1" applyAlignment="1" applyProtection="1">
      <alignment horizontal="left" vertical="center"/>
    </xf>
    <xf numFmtId="2" fontId="19" fillId="0" borderId="0" xfId="12" applyNumberFormat="1" applyFont="1" applyFill="1" applyAlignment="1" applyProtection="1">
      <alignment horizontal="right" vertical="center"/>
    </xf>
    <xf numFmtId="2" fontId="19" fillId="0" borderId="0" xfId="12" applyNumberFormat="1" applyFont="1" applyFill="1" applyAlignment="1" applyProtection="1">
      <alignment horizontal="center" vertical="center"/>
    </xf>
    <xf numFmtId="2" fontId="20" fillId="0" borderId="0" xfId="0" applyNumberFormat="1" applyFont="1" applyAlignment="1">
      <alignment horizontal="center" vertical="center"/>
    </xf>
    <xf numFmtId="1" fontId="19" fillId="0" borderId="0" xfId="12" applyNumberFormat="1" applyFont="1" applyFill="1" applyAlignment="1" applyProtection="1">
      <alignment horizontal="center" vertical="center"/>
    </xf>
    <xf numFmtId="169" fontId="19" fillId="0" borderId="0" xfId="12" applyNumberFormat="1" applyFont="1" applyFill="1" applyAlignment="1" applyProtection="1">
      <alignment horizontal="center" vertical="center"/>
    </xf>
    <xf numFmtId="2" fontId="9" fillId="11" borderId="0" xfId="12" applyNumberFormat="1" applyFont="1" applyFill="1" applyBorder="1" applyAlignment="1" applyProtection="1">
      <alignment horizontal="left" vertical="center"/>
    </xf>
    <xf numFmtId="1" fontId="9" fillId="11" borderId="0" xfId="12" applyNumberFormat="1" applyFont="1" applyFill="1" applyAlignment="1" applyProtection="1">
      <alignment horizontal="right" vertical="center"/>
    </xf>
    <xf numFmtId="2" fontId="18" fillId="11" borderId="0" xfId="12" applyNumberFormat="1" applyFont="1" applyFill="1" applyBorder="1" applyAlignment="1" applyProtection="1">
      <alignment horizontal="center" vertical="center"/>
    </xf>
    <xf numFmtId="2" fontId="9" fillId="11" borderId="0" xfId="12" applyNumberFormat="1" applyFont="1" applyFill="1" applyAlignment="1" applyProtection="1">
      <alignment horizontal="left" vertical="center"/>
    </xf>
    <xf numFmtId="2" fontId="18" fillId="11" borderId="0" xfId="12" applyNumberFormat="1" applyFont="1" applyFill="1" applyAlignment="1" applyProtection="1">
      <alignment horizontal="left" vertical="center"/>
    </xf>
    <xf numFmtId="1" fontId="18" fillId="11" borderId="0" xfId="12" applyNumberFormat="1" applyFont="1" applyFill="1" applyAlignment="1" applyProtection="1">
      <alignment horizontal="right" vertical="center"/>
    </xf>
    <xf numFmtId="2" fontId="9" fillId="11" borderId="0" xfId="13" applyNumberFormat="1" applyFont="1" applyFill="1" applyAlignment="1" applyProtection="1">
      <alignment horizontal="right" vertical="center"/>
    </xf>
    <xf numFmtId="43" fontId="9" fillId="11" borderId="0" xfId="13" applyFont="1" applyFill="1" applyAlignment="1" applyProtection="1">
      <alignment horizontal="right" vertical="center"/>
    </xf>
    <xf numFmtId="169" fontId="9" fillId="11" borderId="0" xfId="13" applyNumberFormat="1" applyFont="1" applyFill="1" applyAlignment="1" applyProtection="1">
      <alignment horizontal="right" vertical="center"/>
    </xf>
    <xf numFmtId="2" fontId="13" fillId="0" borderId="0" xfId="0" applyNumberFormat="1" applyFont="1" applyAlignment="1">
      <alignment horizontal="center" vertical="center"/>
    </xf>
    <xf numFmtId="1" fontId="13" fillId="0" borderId="0" xfId="0" applyNumberFormat="1" applyFont="1" applyAlignment="1">
      <alignment horizontal="center" vertical="center"/>
    </xf>
    <xf numFmtId="169" fontId="13" fillId="0" borderId="0" xfId="0" applyNumberFormat="1" applyFont="1" applyAlignment="1">
      <alignment horizontal="center" vertical="center"/>
    </xf>
    <xf numFmtId="167" fontId="0" fillId="0" borderId="0" xfId="0" applyNumberFormat="1" applyProtection="1">
      <protection locked="0"/>
    </xf>
    <xf numFmtId="0" fontId="13" fillId="0" borderId="0" xfId="0" applyFont="1" applyAlignment="1" applyProtection="1">
      <alignment horizontal="center" wrapText="1"/>
      <protection locked="0"/>
    </xf>
    <xf numFmtId="1" fontId="13" fillId="0" borderId="0" xfId="0" applyNumberFormat="1" applyFont="1" applyAlignment="1" applyProtection="1">
      <alignment horizontal="center" wrapText="1"/>
      <protection locked="0"/>
    </xf>
    <xf numFmtId="2" fontId="13" fillId="0" borderId="0" xfId="0" applyNumberFormat="1" applyFont="1" applyAlignment="1" applyProtection="1">
      <alignment horizontal="center" wrapText="1"/>
      <protection locked="0"/>
    </xf>
    <xf numFmtId="2" fontId="0" fillId="0" borderId="0" xfId="0" applyNumberFormat="1" applyProtection="1">
      <protection locked="0"/>
    </xf>
    <xf numFmtId="164" fontId="15" fillId="0" borderId="0" xfId="0" applyNumberFormat="1" applyFont="1"/>
    <xf numFmtId="164" fontId="16" fillId="0" borderId="2" xfId="0" applyNumberFormat="1" applyFont="1" applyBorder="1" applyAlignment="1">
      <alignment horizontal="left"/>
    </xf>
    <xf numFmtId="0" fontId="15" fillId="0" borderId="10" xfId="0" applyFont="1" applyBorder="1"/>
    <xf numFmtId="0" fontId="16" fillId="0" borderId="6" xfId="0" applyFont="1" applyBorder="1" applyAlignment="1">
      <alignment horizontal="center"/>
    </xf>
    <xf numFmtId="0" fontId="16" fillId="0" borderId="0" xfId="0" applyFont="1" applyAlignment="1">
      <alignment horizontal="center"/>
    </xf>
    <xf numFmtId="0" fontId="15" fillId="0" borderId="9" xfId="0" applyFont="1" applyBorder="1"/>
    <xf numFmtId="164" fontId="15" fillId="0" borderId="1" xfId="0" applyNumberFormat="1" applyFont="1" applyBorder="1"/>
    <xf numFmtId="164" fontId="15" fillId="0" borderId="8" xfId="0" applyNumberFormat="1" applyFont="1" applyBorder="1"/>
    <xf numFmtId="0" fontId="15" fillId="0" borderId="8" xfId="0" applyFont="1" applyBorder="1"/>
    <xf numFmtId="164" fontId="15" fillId="0" borderId="9" xfId="0" applyNumberFormat="1" applyFont="1" applyBorder="1"/>
    <xf numFmtId="164" fontId="16" fillId="0" borderId="0" xfId="0" applyNumberFormat="1" applyFont="1" applyAlignment="1">
      <alignment horizontal="right"/>
    </xf>
    <xf numFmtId="0" fontId="16" fillId="0" borderId="16" xfId="0" applyFont="1" applyBorder="1" applyAlignment="1">
      <alignment horizontal="right"/>
    </xf>
    <xf numFmtId="0" fontId="15" fillId="0" borderId="17" xfId="0" applyFont="1" applyBorder="1"/>
    <xf numFmtId="0" fontId="16" fillId="0" borderId="14" xfId="0" applyFont="1" applyBorder="1" applyAlignment="1">
      <alignment horizontal="center"/>
    </xf>
    <xf numFmtId="164" fontId="15" fillId="0" borderId="14" xfId="0" applyNumberFormat="1" applyFont="1" applyBorder="1"/>
    <xf numFmtId="0" fontId="15" fillId="0" borderId="2" xfId="0" applyFont="1" applyBorder="1"/>
    <xf numFmtId="3" fontId="15" fillId="0" borderId="2" xfId="0" applyNumberFormat="1" applyFont="1" applyBorder="1"/>
    <xf numFmtId="0" fontId="15" fillId="0" borderId="2" xfId="0" applyFont="1" applyBorder="1" applyAlignment="1">
      <alignment horizontal="right"/>
    </xf>
    <xf numFmtId="164" fontId="15" fillId="0" borderId="3" xfId="0" applyNumberFormat="1" applyFont="1" applyBorder="1"/>
    <xf numFmtId="164" fontId="15" fillId="0" borderId="4" xfId="0" applyNumberFormat="1" applyFont="1" applyBorder="1"/>
    <xf numFmtId="0" fontId="15" fillId="0" borderId="5" xfId="0" applyFont="1" applyBorder="1"/>
    <xf numFmtId="3" fontId="15" fillId="0" borderId="4" xfId="0" applyNumberFormat="1" applyFont="1" applyBorder="1"/>
    <xf numFmtId="0" fontId="15" fillId="0" borderId="4" xfId="0" applyFont="1" applyBorder="1" applyAlignment="1">
      <alignment horizontal="right"/>
    </xf>
    <xf numFmtId="164" fontId="15" fillId="0" borderId="5" xfId="0" applyNumberFormat="1" applyFont="1" applyBorder="1"/>
    <xf numFmtId="10" fontId="15" fillId="0" borderId="0" xfId="0" applyNumberFormat="1" applyFont="1"/>
    <xf numFmtId="164" fontId="15" fillId="0" borderId="4" xfId="0" applyNumberFormat="1" applyFont="1" applyBorder="1" applyAlignment="1">
      <alignment horizontal="right"/>
    </xf>
    <xf numFmtId="0" fontId="35" fillId="4" borderId="2" xfId="0" applyFont="1" applyFill="1" applyBorder="1" applyAlignment="1">
      <alignment horizontal="right"/>
    </xf>
    <xf numFmtId="6" fontId="35" fillId="4" borderId="10" xfId="0" applyNumberFormat="1" applyFont="1" applyFill="1" applyBorder="1"/>
    <xf numFmtId="164" fontId="15" fillId="0" borderId="6" xfId="0" applyNumberFormat="1" applyFont="1" applyBorder="1"/>
    <xf numFmtId="164" fontId="15" fillId="0" borderId="7" xfId="0" applyNumberFormat="1" applyFont="1" applyBorder="1"/>
    <xf numFmtId="3" fontId="15" fillId="0" borderId="6" xfId="0" applyNumberFormat="1" applyFont="1" applyBorder="1"/>
    <xf numFmtId="3" fontId="16" fillId="3" borderId="0" xfId="0" applyNumberFormat="1" applyFont="1" applyFill="1"/>
    <xf numFmtId="164" fontId="16" fillId="3" borderId="32" xfId="0" applyNumberFormat="1" applyFont="1" applyFill="1" applyBorder="1"/>
    <xf numFmtId="164" fontId="16" fillId="3" borderId="33" xfId="0" applyNumberFormat="1" applyFont="1" applyFill="1" applyBorder="1"/>
    <xf numFmtId="0" fontId="15" fillId="0" borderId="14" xfId="0" applyFont="1" applyBorder="1" applyAlignment="1">
      <alignment horizontal="right"/>
    </xf>
    <xf numFmtId="164" fontId="16" fillId="3" borderId="7" xfId="0" applyNumberFormat="1" applyFont="1" applyFill="1" applyBorder="1"/>
    <xf numFmtId="9" fontId="15" fillId="2" borderId="31" xfId="0" applyNumberFormat="1" applyFont="1" applyFill="1" applyBorder="1" applyAlignment="1">
      <alignment horizontal="left"/>
    </xf>
    <xf numFmtId="0" fontId="16" fillId="0" borderId="14" xfId="0" applyFont="1" applyBorder="1" applyAlignment="1">
      <alignment horizontal="center" vertical="center"/>
    </xf>
    <xf numFmtId="0" fontId="15" fillId="9" borderId="5" xfId="0" applyFont="1" applyFill="1" applyBorder="1"/>
    <xf numFmtId="164" fontId="16" fillId="3" borderId="15" xfId="0" applyNumberFormat="1" applyFont="1" applyFill="1" applyBorder="1"/>
    <xf numFmtId="1" fontId="16" fillId="3" borderId="0" xfId="0" applyNumberFormat="1" applyFont="1" applyFill="1"/>
    <xf numFmtId="0" fontId="0" fillId="2" borderId="36" xfId="0" applyFill="1" applyBorder="1"/>
    <xf numFmtId="0" fontId="0" fillId="2" borderId="37" xfId="0" applyFill="1" applyBorder="1"/>
    <xf numFmtId="0" fontId="1" fillId="2" borderId="37" xfId="0" applyFont="1" applyFill="1" applyBorder="1"/>
    <xf numFmtId="165" fontId="34" fillId="2" borderId="33" xfId="0" applyNumberFormat="1" applyFont="1" applyFill="1" applyBorder="1" applyAlignment="1">
      <alignment horizontal="center"/>
    </xf>
    <xf numFmtId="0" fontId="15" fillId="9" borderId="0" xfId="0" applyFont="1" applyFill="1" applyAlignment="1">
      <alignment horizontal="right"/>
    </xf>
    <xf numFmtId="0" fontId="15" fillId="2" borderId="42" xfId="0" applyFont="1" applyFill="1" applyBorder="1"/>
    <xf numFmtId="164" fontId="15" fillId="2" borderId="38" xfId="0" applyNumberFormat="1" applyFont="1" applyFill="1" applyBorder="1"/>
    <xf numFmtId="0" fontId="35" fillId="0" borderId="0" xfId="0" applyFont="1" applyAlignment="1">
      <alignment horizontal="right"/>
    </xf>
    <xf numFmtId="9" fontId="34" fillId="2" borderId="44" xfId="0" applyNumberFormat="1" applyFont="1" applyFill="1" applyBorder="1" applyAlignment="1">
      <alignment horizontal="center"/>
    </xf>
    <xf numFmtId="1" fontId="35" fillId="4" borderId="4" xfId="0" applyNumberFormat="1" applyFont="1" applyFill="1" applyBorder="1" applyAlignment="1">
      <alignment horizontal="right"/>
    </xf>
    <xf numFmtId="165" fontId="35" fillId="4" borderId="0" xfId="0" applyNumberFormat="1" applyFont="1" applyFill="1" applyAlignment="1">
      <alignment horizontal="right"/>
    </xf>
    <xf numFmtId="3" fontId="15" fillId="0" borderId="0" xfId="0" applyNumberFormat="1" applyFont="1"/>
    <xf numFmtId="3" fontId="15" fillId="0" borderId="9" xfId="0" applyNumberFormat="1" applyFont="1" applyBorder="1"/>
    <xf numFmtId="3" fontId="15" fillId="0" borderId="7" xfId="0" applyNumberFormat="1" applyFont="1" applyBorder="1"/>
    <xf numFmtId="164" fontId="16" fillId="3" borderId="0" xfId="0" applyNumberFormat="1" applyFont="1" applyFill="1"/>
    <xf numFmtId="0" fontId="15" fillId="3" borderId="0" xfId="0" applyFont="1" applyFill="1" applyAlignment="1">
      <alignment horizontal="right"/>
    </xf>
    <xf numFmtId="164" fontId="15" fillId="3" borderId="0" xfId="0" applyNumberFormat="1" applyFont="1" applyFill="1"/>
    <xf numFmtId="164" fontId="16" fillId="3" borderId="4" xfId="0" applyNumberFormat="1" applyFont="1" applyFill="1" applyBorder="1"/>
    <xf numFmtId="0" fontId="15" fillId="0" borderId="47" xfId="0" applyFont="1" applyBorder="1"/>
    <xf numFmtId="164" fontId="15" fillId="3" borderId="5" xfId="0" applyNumberFormat="1" applyFont="1" applyFill="1" applyBorder="1"/>
    <xf numFmtId="0" fontId="15" fillId="0" borderId="48" xfId="0" applyFont="1" applyBorder="1"/>
    <xf numFmtId="3" fontId="15" fillId="0" borderId="49" xfId="0" applyNumberFormat="1" applyFont="1" applyBorder="1"/>
    <xf numFmtId="3" fontId="15" fillId="0" borderId="50" xfId="0" applyNumberFormat="1" applyFont="1" applyBorder="1"/>
    <xf numFmtId="0" fontId="15" fillId="0" borderId="49" xfId="0" applyFont="1" applyBorder="1"/>
    <xf numFmtId="0" fontId="15" fillId="0" borderId="50" xfId="0" applyFont="1" applyBorder="1"/>
    <xf numFmtId="164" fontId="15" fillId="0" borderId="48" xfId="0" applyNumberFormat="1" applyFont="1" applyBorder="1"/>
    <xf numFmtId="164" fontId="15" fillId="0" borderId="49" xfId="0" applyNumberFormat="1" applyFont="1" applyBorder="1"/>
    <xf numFmtId="164" fontId="15" fillId="0" borderId="50" xfId="0" applyNumberFormat="1" applyFont="1" applyBorder="1"/>
    <xf numFmtId="0" fontId="30" fillId="0" borderId="0" xfId="0" applyFont="1" applyAlignment="1">
      <alignment horizontal="right"/>
    </xf>
    <xf numFmtId="0" fontId="30" fillId="0" borderId="0" xfId="0" applyFont="1"/>
    <xf numFmtId="3" fontId="15" fillId="0" borderId="4" xfId="0" applyNumberFormat="1" applyFont="1" applyBorder="1" applyAlignment="1">
      <alignment horizontal="center"/>
    </xf>
    <xf numFmtId="3" fontId="15" fillId="18" borderId="31" xfId="0" applyNumberFormat="1" applyFont="1" applyFill="1" applyBorder="1"/>
    <xf numFmtId="0" fontId="0" fillId="2" borderId="0" xfId="0" applyFill="1" applyAlignment="1">
      <alignment horizontal="right"/>
    </xf>
    <xf numFmtId="0" fontId="1" fillId="2" borderId="51" xfId="0" applyFont="1" applyFill="1" applyBorder="1" applyAlignment="1">
      <alignment horizontal="right"/>
    </xf>
    <xf numFmtId="164" fontId="1" fillId="18" borderId="1" xfId="0" applyNumberFormat="1" applyFont="1" applyFill="1" applyBorder="1"/>
    <xf numFmtId="0" fontId="15" fillId="2" borderId="42" xfId="0" applyFont="1" applyFill="1" applyBorder="1" applyAlignment="1">
      <alignment horizontal="center" vertical="center"/>
    </xf>
    <xf numFmtId="0" fontId="1" fillId="0" borderId="0" xfId="0" quotePrefix="1" applyFont="1" applyAlignment="1">
      <alignment horizontal="center" wrapText="1"/>
    </xf>
    <xf numFmtId="3" fontId="1" fillId="18" borderId="5" xfId="0" applyNumberFormat="1" applyFont="1" applyFill="1" applyBorder="1"/>
    <xf numFmtId="0" fontId="1" fillId="18" borderId="6" xfId="0" applyFont="1" applyFill="1" applyBorder="1" applyAlignment="1">
      <alignment horizontal="right"/>
    </xf>
    <xf numFmtId="49" fontId="0" fillId="0" borderId="52" xfId="0" applyNumberFormat="1" applyBorder="1"/>
    <xf numFmtId="0" fontId="0" fillId="0" borderId="52" xfId="0" applyBorder="1"/>
    <xf numFmtId="49" fontId="1" fillId="18" borderId="40" xfId="0" quotePrefix="1" applyNumberFormat="1" applyFont="1" applyFill="1" applyBorder="1" applyAlignment="1">
      <alignment horizontal="center" wrapText="1"/>
    </xf>
    <xf numFmtId="0" fontId="0" fillId="0" borderId="2" xfId="0" applyBorder="1"/>
    <xf numFmtId="0" fontId="0" fillId="0" borderId="4" xfId="0" applyBorder="1"/>
    <xf numFmtId="0" fontId="0" fillId="0" borderId="6" xfId="0" applyBorder="1"/>
    <xf numFmtId="49" fontId="0" fillId="0" borderId="48" xfId="0" applyNumberFormat="1" applyBorder="1"/>
    <xf numFmtId="0" fontId="1" fillId="0" borderId="43" xfId="0" applyFont="1" applyBorder="1" applyAlignment="1">
      <alignment horizontal="right" wrapText="1"/>
    </xf>
    <xf numFmtId="0" fontId="1" fillId="0" borderId="42" xfId="0" applyFont="1" applyBorder="1" applyAlignment="1">
      <alignment horizontal="right"/>
    </xf>
    <xf numFmtId="0" fontId="0" fillId="0" borderId="42" xfId="0" applyBorder="1" applyAlignment="1">
      <alignment horizontal="right"/>
    </xf>
    <xf numFmtId="0" fontId="0" fillId="0" borderId="42" xfId="0" applyBorder="1"/>
    <xf numFmtId="0" fontId="9" fillId="0" borderId="2" xfId="5" applyBorder="1"/>
    <xf numFmtId="1" fontId="9" fillId="0" borderId="10" xfId="5" applyNumberFormat="1" applyBorder="1"/>
    <xf numFmtId="0" fontId="18" fillId="0" borderId="10" xfId="5" applyFont="1" applyBorder="1" applyAlignment="1">
      <alignment horizontal="center"/>
    </xf>
    <xf numFmtId="0" fontId="9" fillId="0" borderId="10" xfId="5" applyBorder="1"/>
    <xf numFmtId="0" fontId="0" fillId="0" borderId="10" xfId="0" applyBorder="1" applyAlignment="1">
      <alignment horizontal="left"/>
    </xf>
    <xf numFmtId="0" fontId="0" fillId="0" borderId="10" xfId="0" applyBorder="1" applyAlignment="1">
      <alignment horizontal="right" vertical="center"/>
    </xf>
    <xf numFmtId="0" fontId="0" fillId="3" borderId="0" xfId="0" applyFill="1" applyAlignment="1">
      <alignment horizontal="right"/>
    </xf>
    <xf numFmtId="0" fontId="0" fillId="11" borderId="0" xfId="0" applyFill="1" applyAlignment="1">
      <alignment horizontal="right"/>
    </xf>
    <xf numFmtId="0" fontId="0" fillId="12" borderId="0" xfId="0" applyFill="1" applyAlignment="1">
      <alignment horizontal="right"/>
    </xf>
    <xf numFmtId="0" fontId="9" fillId="0" borderId="6" xfId="5" applyBorder="1" applyAlignment="1">
      <alignment wrapText="1"/>
    </xf>
    <xf numFmtId="1" fontId="9" fillId="0" borderId="1" xfId="5" applyNumberFormat="1" applyBorder="1" applyAlignment="1">
      <alignment wrapText="1"/>
    </xf>
    <xf numFmtId="0" fontId="18" fillId="0" borderId="1" xfId="5" applyFont="1" applyBorder="1" applyAlignment="1">
      <alignment horizontal="center" wrapText="1"/>
    </xf>
    <xf numFmtId="0" fontId="9" fillId="0" borderId="1" xfId="5" applyBorder="1" applyAlignment="1">
      <alignment wrapText="1"/>
    </xf>
    <xf numFmtId="0" fontId="18" fillId="0" borderId="1" xfId="3" applyFont="1" applyBorder="1" applyAlignment="1" applyProtection="1">
      <alignment horizontal="right" vertical="center" wrapText="1" indent="1"/>
    </xf>
    <xf numFmtId="0" fontId="1" fillId="18" borderId="39" xfId="3" applyFont="1" applyFill="1" applyBorder="1" applyAlignment="1" applyProtection="1">
      <alignment horizontal="right" vertical="center" indent="1"/>
    </xf>
    <xf numFmtId="0" fontId="0" fillId="0" borderId="0" xfId="3" applyFont="1" applyBorder="1" applyAlignment="1" applyProtection="1">
      <alignment horizontal="right" vertical="center" indent="1"/>
    </xf>
    <xf numFmtId="0" fontId="0" fillId="0" borderId="53" xfId="0" applyBorder="1"/>
    <xf numFmtId="0" fontId="0" fillId="0" borderId="9" xfId="0" applyBorder="1"/>
    <xf numFmtId="9" fontId="15" fillId="2" borderId="42" xfId="0" applyNumberFormat="1" applyFont="1" applyFill="1" applyBorder="1"/>
    <xf numFmtId="0" fontId="15" fillId="9" borderId="31" xfId="0" applyFont="1" applyFill="1" applyBorder="1"/>
    <xf numFmtId="0" fontId="0" fillId="18" borderId="42" xfId="0" applyFill="1" applyBorder="1"/>
    <xf numFmtId="49" fontId="1" fillId="18" borderId="42" xfId="0" applyNumberFormat="1" applyFont="1" applyFill="1" applyBorder="1" applyAlignment="1">
      <alignment horizontal="center" vertical="center" wrapText="1"/>
    </xf>
    <xf numFmtId="16" fontId="0" fillId="0" borderId="0" xfId="0" applyNumberFormat="1"/>
    <xf numFmtId="9" fontId="15" fillId="2" borderId="31" xfId="0" applyNumberFormat="1" applyFont="1" applyFill="1" applyBorder="1" applyAlignment="1">
      <alignment horizontal="right"/>
    </xf>
    <xf numFmtId="164" fontId="16" fillId="3" borderId="11" xfId="0" applyNumberFormat="1" applyFont="1" applyFill="1" applyBorder="1"/>
    <xf numFmtId="164" fontId="16" fillId="3" borderId="54" xfId="0" applyNumberFormat="1" applyFont="1" applyFill="1" applyBorder="1"/>
    <xf numFmtId="49" fontId="1" fillId="3" borderId="40" xfId="0" quotePrefix="1" applyNumberFormat="1" applyFont="1" applyFill="1" applyBorder="1" applyAlignment="1">
      <alignment horizontal="center" wrapText="1"/>
    </xf>
    <xf numFmtId="0" fontId="1" fillId="18" borderId="55" xfId="0" applyFont="1" applyFill="1" applyBorder="1" applyAlignment="1">
      <alignment horizontal="right"/>
    </xf>
    <xf numFmtId="164" fontId="1" fillId="18" borderId="32" xfId="0" applyNumberFormat="1" applyFont="1" applyFill="1" applyBorder="1"/>
    <xf numFmtId="0" fontId="1" fillId="18" borderId="56" xfId="0" applyFont="1" applyFill="1" applyBorder="1" applyAlignment="1">
      <alignment horizontal="right"/>
    </xf>
    <xf numFmtId="164" fontId="1" fillId="18" borderId="57" xfId="0" applyNumberFormat="1" applyFont="1" applyFill="1" applyBorder="1"/>
    <xf numFmtId="49" fontId="18" fillId="11" borderId="40" xfId="0" quotePrefix="1" applyNumberFormat="1" applyFont="1" applyFill="1" applyBorder="1" applyAlignment="1">
      <alignment horizontal="center" wrapText="1"/>
    </xf>
    <xf numFmtId="0" fontId="39" fillId="0" borderId="0" xfId="0" applyFont="1" applyAlignment="1">
      <alignment horizontal="left" vertical="center" indent="2"/>
    </xf>
    <xf numFmtId="0" fontId="4" fillId="2" borderId="58" xfId="0" applyFont="1" applyFill="1" applyBorder="1" applyAlignment="1">
      <alignment horizontal="right"/>
    </xf>
    <xf numFmtId="0" fontId="4" fillId="2" borderId="57" xfId="0" applyFont="1" applyFill="1" applyBorder="1" applyAlignment="1">
      <alignment horizontal="right"/>
    </xf>
    <xf numFmtId="0" fontId="4" fillId="2" borderId="57" xfId="0" applyFont="1" applyFill="1" applyBorder="1"/>
    <xf numFmtId="0" fontId="4" fillId="2" borderId="59" xfId="0" applyFont="1" applyFill="1" applyBorder="1"/>
    <xf numFmtId="3" fontId="15" fillId="2" borderId="4" xfId="0" applyNumberFormat="1" applyFont="1" applyFill="1" applyBorder="1"/>
    <xf numFmtId="3" fontId="15" fillId="2" borderId="5" xfId="0" applyNumberFormat="1" applyFont="1" applyFill="1" applyBorder="1"/>
    <xf numFmtId="3" fontId="1" fillId="9" borderId="51" xfId="0" applyNumberFormat="1" applyFont="1" applyFill="1" applyBorder="1" applyAlignment="1">
      <alignment horizontal="right"/>
    </xf>
    <xf numFmtId="0" fontId="40" fillId="0" borderId="0" xfId="0" applyFont="1" applyAlignment="1">
      <alignment horizontal="right"/>
    </xf>
    <xf numFmtId="1" fontId="35" fillId="19" borderId="38" xfId="0" applyNumberFormat="1" applyFont="1" applyFill="1" applyBorder="1" applyAlignment="1">
      <alignment horizontal="right"/>
    </xf>
    <xf numFmtId="1" fontId="35" fillId="4" borderId="6" xfId="0" applyNumberFormat="1" applyFont="1" applyFill="1" applyBorder="1" applyAlignment="1">
      <alignment horizontal="right"/>
    </xf>
    <xf numFmtId="165" fontId="35" fillId="4" borderId="7" xfId="0" applyNumberFormat="1" applyFont="1" applyFill="1" applyBorder="1" applyAlignment="1">
      <alignment horizontal="right"/>
    </xf>
    <xf numFmtId="0" fontId="41" fillId="0" borderId="0" xfId="0" applyFont="1" applyAlignment="1">
      <alignment horizontal="right"/>
    </xf>
    <xf numFmtId="9" fontId="1" fillId="2" borderId="62" xfId="0" applyNumberFormat="1" applyFont="1" applyFill="1" applyBorder="1"/>
    <xf numFmtId="1" fontId="1" fillId="2" borderId="62" xfId="0" applyNumberFormat="1" applyFont="1" applyFill="1" applyBorder="1"/>
    <xf numFmtId="0" fontId="0" fillId="3" borderId="0" xfId="0" applyFill="1"/>
    <xf numFmtId="166" fontId="1" fillId="3" borderId="0" xfId="0" applyNumberFormat="1" applyFont="1" applyFill="1" applyAlignment="1">
      <alignment horizontal="right"/>
    </xf>
    <xf numFmtId="3" fontId="1" fillId="3" borderId="0" xfId="0" applyNumberFormat="1" applyFont="1" applyFill="1"/>
    <xf numFmtId="0" fontId="1" fillId="3" borderId="0" xfId="0" applyFont="1" applyFill="1" applyAlignment="1">
      <alignment horizontal="right"/>
    </xf>
    <xf numFmtId="9" fontId="1" fillId="3" borderId="0" xfId="0" applyNumberFormat="1" applyFont="1" applyFill="1"/>
    <xf numFmtId="166" fontId="1" fillId="3" borderId="0" xfId="0" applyNumberFormat="1" applyFont="1" applyFill="1"/>
    <xf numFmtId="3" fontId="16" fillId="3" borderId="2" xfId="0" applyNumberFormat="1" applyFont="1" applyFill="1" applyBorder="1"/>
    <xf numFmtId="3" fontId="15" fillId="3" borderId="1" xfId="0" applyNumberFormat="1" applyFont="1" applyFill="1" applyBorder="1"/>
    <xf numFmtId="166" fontId="1" fillId="2" borderId="62" xfId="0" applyNumberFormat="1" applyFont="1" applyFill="1" applyBorder="1"/>
    <xf numFmtId="3" fontId="1" fillId="2" borderId="51" xfId="0" applyNumberFormat="1" applyFont="1" applyFill="1" applyBorder="1" applyAlignment="1">
      <alignment horizontal="right"/>
    </xf>
    <xf numFmtId="165" fontId="1" fillId="2" borderId="62" xfId="0" applyNumberFormat="1" applyFont="1" applyFill="1" applyBorder="1"/>
    <xf numFmtId="3" fontId="16" fillId="0" borderId="9" xfId="0" applyNumberFormat="1" applyFont="1" applyBorder="1"/>
    <xf numFmtId="0" fontId="0" fillId="0" borderId="0" xfId="0" applyAlignment="1">
      <alignment horizontal="left" vertical="top"/>
    </xf>
    <xf numFmtId="164" fontId="15" fillId="0" borderId="63" xfId="0" applyNumberFormat="1" applyFont="1" applyBorder="1"/>
    <xf numFmtId="166" fontId="16" fillId="9" borderId="0" xfId="0" applyNumberFormat="1" applyFont="1" applyFill="1"/>
    <xf numFmtId="9" fontId="34" fillId="2" borderId="4" xfId="0" applyNumberFormat="1" applyFont="1" applyFill="1" applyBorder="1"/>
    <xf numFmtId="164" fontId="34" fillId="2" borderId="5" xfId="0" applyNumberFormat="1" applyFont="1" applyFill="1" applyBorder="1"/>
    <xf numFmtId="18" fontId="0" fillId="0" borderId="0" xfId="0" applyNumberFormat="1"/>
    <xf numFmtId="0" fontId="36" fillId="0" borderId="0" xfId="0" applyFont="1" applyAlignment="1">
      <alignment horizontal="right" vertical="center"/>
    </xf>
    <xf numFmtId="0" fontId="38" fillId="0" borderId="0" xfId="0" applyFont="1" applyAlignment="1">
      <alignment horizontal="right" vertical="center"/>
    </xf>
    <xf numFmtId="0" fontId="37" fillId="0" borderId="0" xfId="0" applyFont="1" applyAlignment="1">
      <alignment horizontal="right" vertical="center"/>
    </xf>
    <xf numFmtId="0" fontId="2" fillId="0" borderId="0" xfId="1" applyAlignment="1">
      <alignment horizontal="right"/>
    </xf>
    <xf numFmtId="0" fontId="36" fillId="0" borderId="0" xfId="0" applyFont="1" applyAlignment="1">
      <alignment horizontal="right" vertical="center" wrapText="1"/>
    </xf>
    <xf numFmtId="0" fontId="38" fillId="0" borderId="0" xfId="0" applyFont="1" applyAlignment="1">
      <alignment horizontal="right" vertical="center" wrapText="1"/>
    </xf>
    <xf numFmtId="0" fontId="37" fillId="0" borderId="0" xfId="0" applyFont="1" applyAlignment="1">
      <alignment horizontal="right" vertical="center" wrapText="1"/>
    </xf>
    <xf numFmtId="0" fontId="2" fillId="0" borderId="0" xfId="1" applyAlignment="1">
      <alignment horizontal="right" vertical="center" wrapText="1"/>
    </xf>
    <xf numFmtId="165" fontId="1" fillId="9" borderId="0" xfId="0" applyNumberFormat="1" applyFont="1" applyFill="1"/>
    <xf numFmtId="0" fontId="0" fillId="0" borderId="0" xfId="0" applyAlignment="1">
      <alignment vertical="top" wrapText="1"/>
    </xf>
    <xf numFmtId="0" fontId="15" fillId="0" borderId="0" xfId="0" applyFont="1" applyAlignment="1">
      <alignment vertical="top" wrapText="1"/>
    </xf>
    <xf numFmtId="0" fontId="0" fillId="0" borderId="0" xfId="0" applyAlignment="1">
      <alignment horizontal="left" vertical="top" wrapText="1"/>
    </xf>
    <xf numFmtId="0" fontId="1" fillId="0" borderId="1" xfId="0" applyFont="1" applyBorder="1" applyAlignment="1">
      <alignment horizontal="center" wrapText="1"/>
    </xf>
    <xf numFmtId="49" fontId="1" fillId="2" borderId="62" xfId="0" applyNumberFormat="1" applyFont="1" applyFill="1" applyBorder="1" applyAlignment="1">
      <alignment horizontal="center"/>
    </xf>
    <xf numFmtId="0" fontId="14" fillId="2" borderId="4" xfId="0" applyFont="1" applyFill="1" applyBorder="1"/>
    <xf numFmtId="0" fontId="1" fillId="2" borderId="5" xfId="0" applyFont="1" applyFill="1" applyBorder="1" applyAlignment="1">
      <alignment horizontal="center"/>
    </xf>
    <xf numFmtId="0" fontId="0" fillId="2" borderId="6" xfId="0" applyFill="1" applyBorder="1"/>
    <xf numFmtId="0" fontId="1" fillId="2" borderId="7" xfId="0" applyFont="1" applyFill="1" applyBorder="1" applyAlignment="1">
      <alignment horizontal="center"/>
    </xf>
    <xf numFmtId="0" fontId="0" fillId="0" borderId="0" xfId="0" applyAlignment="1">
      <alignment horizontal="right" vertical="top"/>
    </xf>
    <xf numFmtId="0" fontId="0" fillId="2" borderId="0" xfId="0" applyFill="1" applyAlignment="1">
      <alignment horizontal="center"/>
    </xf>
    <xf numFmtId="166" fontId="1" fillId="18" borderId="62" xfId="0" applyNumberFormat="1" applyFont="1" applyFill="1" applyBorder="1"/>
    <xf numFmtId="9" fontId="0" fillId="2" borderId="0" xfId="0" applyNumberFormat="1" applyFill="1"/>
    <xf numFmtId="166" fontId="1" fillId="18" borderId="0" xfId="0" applyNumberFormat="1" applyFont="1" applyFill="1"/>
    <xf numFmtId="164" fontId="1" fillId="18" borderId="62" xfId="0" applyNumberFormat="1" applyFont="1" applyFill="1" applyBorder="1"/>
    <xf numFmtId="0" fontId="43" fillId="2" borderId="4" xfId="0" applyFont="1" applyFill="1" applyBorder="1"/>
    <xf numFmtId="0" fontId="1" fillId="2" borderId="3" xfId="0" applyFont="1" applyFill="1" applyBorder="1" applyAlignment="1">
      <alignment horizontal="left"/>
    </xf>
    <xf numFmtId="0" fontId="43" fillId="2" borderId="2" xfId="0" applyFont="1" applyFill="1" applyBorder="1"/>
    <xf numFmtId="0" fontId="1" fillId="2" borderId="5" xfId="0" applyFont="1" applyFill="1" applyBorder="1" applyAlignment="1">
      <alignment horizontal="left"/>
    </xf>
    <xf numFmtId="49" fontId="24" fillId="0" borderId="0" xfId="14" applyNumberFormat="1" applyFont="1" applyAlignment="1">
      <alignment vertical="top"/>
    </xf>
    <xf numFmtId="169" fontId="13" fillId="3" borderId="0" xfId="0" applyNumberFormat="1" applyFont="1" applyFill="1" applyAlignment="1" applyProtection="1">
      <alignment horizontal="center" vertical="center" wrapText="1"/>
      <protection locked="0"/>
    </xf>
    <xf numFmtId="169" fontId="0" fillId="2" borderId="0" xfId="0" applyNumberFormat="1" applyFill="1" applyAlignment="1" applyProtection="1">
      <alignment horizontal="center" vertical="center"/>
      <protection locked="0"/>
    </xf>
    <xf numFmtId="1" fontId="0" fillId="0" borderId="0" xfId="0" applyNumberFormat="1" applyAlignment="1" applyProtection="1">
      <alignment horizontal="center" vertical="center"/>
      <protection locked="0"/>
    </xf>
    <xf numFmtId="49" fontId="24" fillId="0" borderId="0" xfId="0" applyNumberFormat="1" applyFont="1" applyAlignment="1">
      <alignment vertical="top"/>
    </xf>
    <xf numFmtId="170" fontId="0" fillId="0" borderId="0" xfId="0" applyNumberFormat="1"/>
    <xf numFmtId="1" fontId="24" fillId="16" borderId="0" xfId="0" applyNumberFormat="1" applyFont="1" applyFill="1" applyAlignment="1">
      <alignment vertical="top"/>
    </xf>
    <xf numFmtId="4" fontId="24" fillId="16" borderId="0" xfId="0" applyNumberFormat="1" applyFont="1" applyFill="1" applyAlignment="1">
      <alignment vertical="top"/>
    </xf>
    <xf numFmtId="171" fontId="34" fillId="2" borderId="4" xfId="0" applyNumberFormat="1" applyFont="1" applyFill="1" applyBorder="1"/>
    <xf numFmtId="0" fontId="45" fillId="0" borderId="0" xfId="1" applyFont="1"/>
    <xf numFmtId="166" fontId="0" fillId="2" borderId="0" xfId="0" applyNumberFormat="1" applyFill="1"/>
    <xf numFmtId="49" fontId="1" fillId="18" borderId="5" xfId="0" applyNumberFormat="1" applyFont="1" applyFill="1" applyBorder="1" applyAlignment="1">
      <alignment horizontal="center" vertical="center" wrapText="1"/>
    </xf>
    <xf numFmtId="3" fontId="18" fillId="11" borderId="51" xfId="0" applyNumberFormat="1" applyFont="1" applyFill="1" applyBorder="1"/>
    <xf numFmtId="3" fontId="1" fillId="3" borderId="51" xfId="0" applyNumberFormat="1" applyFont="1" applyFill="1" applyBorder="1"/>
    <xf numFmtId="0" fontId="46" fillId="0" borderId="0" xfId="0" applyFont="1"/>
    <xf numFmtId="167" fontId="0" fillId="0" borderId="0" xfId="0" applyNumberFormat="1"/>
    <xf numFmtId="170" fontId="13" fillId="3" borderId="0" xfId="0" applyNumberFormat="1" applyFont="1" applyFill="1" applyAlignment="1" applyProtection="1">
      <alignment horizontal="center" wrapText="1"/>
      <protection locked="0"/>
    </xf>
    <xf numFmtId="170" fontId="0" fillId="0" borderId="0" xfId="0" applyNumberFormat="1" applyProtection="1">
      <protection locked="0"/>
    </xf>
    <xf numFmtId="0" fontId="0" fillId="0" borderId="0" xfId="0" applyAlignment="1">
      <alignment horizontal="center" wrapText="1"/>
    </xf>
    <xf numFmtId="4" fontId="0" fillId="2" borderId="0" xfId="0" applyNumberFormat="1" applyFill="1" applyProtection="1">
      <protection locked="0"/>
    </xf>
    <xf numFmtId="170" fontId="0" fillId="2" borderId="0" xfId="0" applyNumberFormat="1" applyFill="1" applyAlignment="1" applyProtection="1">
      <alignment horizontal="right"/>
      <protection locked="0"/>
    </xf>
    <xf numFmtId="1" fontId="24" fillId="16" borderId="0" xfId="14" applyNumberFormat="1" applyFont="1" applyFill="1" applyAlignment="1">
      <alignment vertical="top"/>
    </xf>
    <xf numFmtId="4" fontId="24" fillId="16" borderId="0" xfId="14" applyNumberFormat="1" applyFont="1" applyFill="1" applyAlignment="1">
      <alignment vertical="top"/>
    </xf>
    <xf numFmtId="16" fontId="0" fillId="0" borderId="0" xfId="0" applyNumberFormat="1" applyAlignment="1">
      <alignment horizontal="left"/>
    </xf>
    <xf numFmtId="0" fontId="0" fillId="2" borderId="0" xfId="0" applyFill="1"/>
    <xf numFmtId="166" fontId="1" fillId="2" borderId="0" xfId="0" applyNumberFormat="1" applyFont="1" applyFill="1"/>
    <xf numFmtId="0" fontId="1" fillId="2" borderId="0" xfId="0" applyFont="1" applyFill="1" applyAlignment="1">
      <alignment horizontal="right"/>
    </xf>
    <xf numFmtId="3" fontId="0" fillId="2" borderId="0" xfId="0" applyNumberFormat="1" applyFill="1"/>
    <xf numFmtId="2" fontId="0" fillId="0" borderId="1" xfId="0" applyNumberFormat="1" applyBorder="1"/>
    <xf numFmtId="0" fontId="1" fillId="2" borderId="0" xfId="0" applyFont="1" applyFill="1" applyAlignment="1">
      <alignment horizontal="center"/>
    </xf>
    <xf numFmtId="166" fontId="1" fillId="2" borderId="0" xfId="0" applyNumberFormat="1" applyFont="1" applyFill="1" applyAlignment="1">
      <alignment horizontal="center"/>
    </xf>
    <xf numFmtId="166" fontId="1" fillId="0" borderId="1" xfId="0" applyNumberFormat="1" applyFont="1" applyBorder="1" applyAlignment="1">
      <alignment horizontal="center"/>
    </xf>
    <xf numFmtId="4" fontId="1" fillId="0" borderId="1" xfId="0" applyNumberFormat="1" applyFont="1" applyBorder="1" applyAlignment="1">
      <alignment horizontal="center"/>
    </xf>
    <xf numFmtId="172" fontId="15" fillId="0" borderId="0" xfId="0" applyNumberFormat="1" applyFont="1"/>
    <xf numFmtId="0" fontId="0" fillId="9" borderId="0" xfId="0" applyFill="1" applyProtection="1">
      <protection locked="0"/>
    </xf>
    <xf numFmtId="0" fontId="31" fillId="0" borderId="0" xfId="0" applyFont="1" applyAlignment="1">
      <alignment horizontal="center" vertical="center"/>
    </xf>
    <xf numFmtId="4" fontId="0" fillId="3" borderId="5" xfId="0" applyNumberFormat="1" applyFill="1" applyBorder="1" applyAlignment="1">
      <alignment horizontal="right"/>
    </xf>
    <xf numFmtId="4" fontId="0" fillId="11" borderId="5" xfId="0" applyNumberFormat="1" applyFill="1" applyBorder="1" applyAlignment="1">
      <alignment horizontal="right"/>
    </xf>
    <xf numFmtId="4" fontId="0" fillId="12" borderId="5" xfId="0" applyNumberFormat="1" applyFill="1" applyBorder="1"/>
    <xf numFmtId="2" fontId="0" fillId="0" borderId="0" xfId="0" applyNumberFormat="1" applyAlignment="1">
      <alignment horizontal="center" wrapText="1"/>
    </xf>
    <xf numFmtId="170" fontId="0" fillId="0" borderId="0" xfId="0" applyNumberFormat="1" applyAlignment="1">
      <alignment horizontal="center" wrapText="1"/>
    </xf>
    <xf numFmtId="8" fontId="0" fillId="9" borderId="7" xfId="0" applyNumberFormat="1" applyFill="1" applyBorder="1" applyAlignment="1">
      <alignment horizontal="right"/>
    </xf>
    <xf numFmtId="2" fontId="0" fillId="0" borderId="0" xfId="0" applyNumberFormat="1" applyAlignment="1">
      <alignment vertical="center"/>
    </xf>
    <xf numFmtId="167" fontId="1" fillId="0" borderId="0" xfId="0" applyNumberFormat="1" applyFont="1" applyAlignment="1">
      <alignment horizontal="center" wrapText="1"/>
    </xf>
    <xf numFmtId="170" fontId="1" fillId="0" borderId="0" xfId="0" applyNumberFormat="1" applyFont="1" applyAlignment="1">
      <alignment horizontal="center" wrapText="1"/>
    </xf>
    <xf numFmtId="3" fontId="0" fillId="0" borderId="0" xfId="0" applyNumberFormat="1"/>
    <xf numFmtId="0" fontId="47" fillId="2" borderId="0" xfId="0" applyFont="1" applyFill="1"/>
    <xf numFmtId="0" fontId="47" fillId="0" borderId="0" xfId="0" applyFont="1"/>
    <xf numFmtId="166" fontId="0" fillId="9" borderId="0" xfId="0" applyNumberFormat="1" applyFill="1"/>
    <xf numFmtId="0" fontId="0" fillId="9" borderId="0" xfId="0" applyFill="1"/>
    <xf numFmtId="4" fontId="0" fillId="20" borderId="0" xfId="0" applyNumberFormat="1" applyFill="1" applyProtection="1">
      <protection locked="0"/>
    </xf>
    <xf numFmtId="4" fontId="0" fillId="0" borderId="0" xfId="0" applyNumberFormat="1" applyProtection="1">
      <protection locked="0"/>
    </xf>
    <xf numFmtId="4" fontId="0" fillId="9" borderId="0" xfId="0" applyNumberFormat="1" applyFill="1" applyProtection="1">
      <protection locked="0"/>
    </xf>
    <xf numFmtId="4" fontId="0" fillId="0" borderId="0" xfId="0" applyNumberFormat="1" applyAlignment="1">
      <alignment horizontal="right" vertical="center"/>
    </xf>
    <xf numFmtId="4" fontId="0" fillId="0" borderId="0" xfId="0" applyNumberFormat="1" applyAlignment="1">
      <alignment vertical="center"/>
    </xf>
    <xf numFmtId="9" fontId="15" fillId="0" borderId="0" xfId="0" applyNumberFormat="1" applyFont="1"/>
    <xf numFmtId="1" fontId="41" fillId="22" borderId="31" xfId="0" applyNumberFormat="1" applyFont="1" applyFill="1" applyBorder="1" applyAlignment="1">
      <alignment horizontal="right"/>
    </xf>
    <xf numFmtId="49" fontId="1" fillId="18" borderId="39" xfId="0" applyNumberFormat="1" applyFont="1" applyFill="1" applyBorder="1" applyAlignment="1">
      <alignment horizontal="center" wrapText="1"/>
    </xf>
    <xf numFmtId="0" fontId="16" fillId="0" borderId="3" xfId="0" applyFont="1" applyBorder="1" applyAlignment="1">
      <alignment horizontal="center"/>
    </xf>
    <xf numFmtId="14" fontId="16" fillId="0" borderId="7" xfId="0" applyNumberFormat="1" applyFont="1" applyBorder="1" applyAlignment="1">
      <alignment horizontal="center"/>
    </xf>
    <xf numFmtId="1" fontId="15" fillId="2" borderId="42" xfId="0" applyNumberFormat="1" applyFont="1" applyFill="1" applyBorder="1"/>
    <xf numFmtId="0" fontId="18" fillId="23" borderId="2" xfId="0" applyFont="1" applyFill="1" applyBorder="1" applyAlignment="1">
      <alignment horizontal="right"/>
    </xf>
    <xf numFmtId="3" fontId="1" fillId="24" borderId="51" xfId="0" applyNumberFormat="1" applyFont="1" applyFill="1" applyBorder="1"/>
    <xf numFmtId="3" fontId="18" fillId="25" borderId="51" xfId="0" applyNumberFormat="1" applyFont="1" applyFill="1" applyBorder="1"/>
    <xf numFmtId="49" fontId="18" fillId="3" borderId="40" xfId="0" quotePrefix="1" applyNumberFormat="1" applyFont="1" applyFill="1" applyBorder="1" applyAlignment="1">
      <alignment horizontal="center" wrapText="1"/>
    </xf>
    <xf numFmtId="3" fontId="18" fillId="11" borderId="65" xfId="0" applyNumberFormat="1" applyFont="1" applyFill="1" applyBorder="1"/>
    <xf numFmtId="3" fontId="18" fillId="11" borderId="66" xfId="0" applyNumberFormat="1" applyFont="1" applyFill="1" applyBorder="1"/>
    <xf numFmtId="3" fontId="18" fillId="11" borderId="7" xfId="0" applyNumberFormat="1" applyFont="1" applyFill="1" applyBorder="1"/>
    <xf numFmtId="3" fontId="1" fillId="3" borderId="67" xfId="0" applyNumberFormat="1" applyFont="1" applyFill="1" applyBorder="1"/>
    <xf numFmtId="3" fontId="1" fillId="3" borderId="15" xfId="0" applyNumberFormat="1" applyFont="1" applyFill="1" applyBorder="1"/>
    <xf numFmtId="3" fontId="18" fillId="11" borderId="67" xfId="0" applyNumberFormat="1" applyFont="1" applyFill="1" applyBorder="1"/>
    <xf numFmtId="3" fontId="1" fillId="3" borderId="68" xfId="0" applyNumberFormat="1" applyFont="1" applyFill="1" applyBorder="1"/>
    <xf numFmtId="3" fontId="1" fillId="3" borderId="58" xfId="0" applyNumberFormat="1" applyFont="1" applyFill="1" applyBorder="1"/>
    <xf numFmtId="3" fontId="18" fillId="11" borderId="46" xfId="0" applyNumberFormat="1" applyFont="1" applyFill="1" applyBorder="1"/>
    <xf numFmtId="49" fontId="18" fillId="26" borderId="40" xfId="0" quotePrefix="1" applyNumberFormat="1" applyFont="1" applyFill="1" applyBorder="1" applyAlignment="1">
      <alignment horizontal="center" wrapText="1"/>
    </xf>
    <xf numFmtId="1" fontId="18" fillId="26" borderId="40" xfId="0" quotePrefix="1" applyNumberFormat="1" applyFont="1" applyFill="1" applyBorder="1" applyAlignment="1">
      <alignment horizontal="center" wrapText="1"/>
    </xf>
    <xf numFmtId="3" fontId="18" fillId="26" borderId="51" xfId="0" applyNumberFormat="1" applyFont="1" applyFill="1" applyBorder="1"/>
    <xf numFmtId="3" fontId="18" fillId="26" borderId="36" xfId="0" applyNumberFormat="1" applyFont="1" applyFill="1" applyBorder="1"/>
    <xf numFmtId="164" fontId="1" fillId="26" borderId="39" xfId="0" applyNumberFormat="1" applyFont="1" applyFill="1" applyBorder="1" applyAlignment="1">
      <alignment horizontal="center"/>
    </xf>
    <xf numFmtId="3" fontId="1" fillId="3" borderId="69" xfId="0" applyNumberFormat="1" applyFont="1" applyFill="1" applyBorder="1"/>
    <xf numFmtId="3" fontId="18" fillId="26" borderId="69" xfId="0" applyNumberFormat="1" applyFont="1" applyFill="1" applyBorder="1"/>
    <xf numFmtId="49" fontId="1" fillId="3" borderId="40" xfId="0" applyNumberFormat="1" applyFont="1" applyFill="1" applyBorder="1" applyAlignment="1">
      <alignment horizontal="center" vertical="center" wrapText="1"/>
    </xf>
    <xf numFmtId="49" fontId="1" fillId="11" borderId="40" xfId="0" quotePrefix="1" applyNumberFormat="1" applyFont="1" applyFill="1" applyBorder="1" applyAlignment="1">
      <alignment horizontal="center" wrapText="1"/>
    </xf>
    <xf numFmtId="49" fontId="1" fillId="11" borderId="40" xfId="0" applyNumberFormat="1" applyFont="1" applyFill="1" applyBorder="1" applyAlignment="1">
      <alignment horizontal="center" vertical="center" wrapText="1"/>
    </xf>
    <xf numFmtId="3" fontId="1" fillId="11" borderId="69" xfId="0" applyNumberFormat="1" applyFont="1" applyFill="1" applyBorder="1"/>
    <xf numFmtId="3" fontId="1" fillId="11" borderId="51" xfId="0" applyNumberFormat="1" applyFont="1" applyFill="1" applyBorder="1"/>
    <xf numFmtId="1" fontId="15" fillId="0" borderId="7" xfId="0" applyNumberFormat="1" applyFont="1" applyBorder="1"/>
    <xf numFmtId="164" fontId="18" fillId="23" borderId="39" xfId="0" applyNumberFormat="1" applyFont="1" applyFill="1" applyBorder="1"/>
    <xf numFmtId="0" fontId="18" fillId="23" borderId="55" xfId="0" applyFont="1" applyFill="1" applyBorder="1" applyAlignment="1">
      <alignment horizontal="right"/>
    </xf>
    <xf numFmtId="0" fontId="18" fillId="23" borderId="56" xfId="0" applyFont="1" applyFill="1" applyBorder="1" applyAlignment="1">
      <alignment horizontal="right"/>
    </xf>
    <xf numFmtId="0" fontId="18" fillId="23" borderId="6" xfId="0" applyFont="1" applyFill="1" applyBorder="1" applyAlignment="1">
      <alignment horizontal="right"/>
    </xf>
    <xf numFmtId="3" fontId="9" fillId="23" borderId="40" xfId="0" applyNumberFormat="1" applyFont="1" applyFill="1" applyBorder="1"/>
    <xf numFmtId="3" fontId="15" fillId="18" borderId="42" xfId="0" applyNumberFormat="1" applyFont="1" applyFill="1" applyBorder="1"/>
    <xf numFmtId="3" fontId="15" fillId="3" borderId="10" xfId="0" applyNumberFormat="1" applyFont="1" applyFill="1" applyBorder="1"/>
    <xf numFmtId="164" fontId="15" fillId="2" borderId="6" xfId="0" applyNumberFormat="1" applyFont="1" applyFill="1" applyBorder="1"/>
    <xf numFmtId="0" fontId="15" fillId="2" borderId="7" xfId="0" applyFont="1" applyFill="1" applyBorder="1"/>
    <xf numFmtId="164" fontId="15" fillId="3" borderId="10" xfId="0" applyNumberFormat="1" applyFont="1" applyFill="1" applyBorder="1"/>
    <xf numFmtId="0" fontId="15" fillId="3" borderId="3" xfId="0" applyFont="1" applyFill="1" applyBorder="1"/>
    <xf numFmtId="0" fontId="16" fillId="17" borderId="2" xfId="0" applyFont="1" applyFill="1" applyBorder="1" applyAlignment="1">
      <alignment horizontal="center" vertical="center" wrapText="1"/>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16" fillId="3" borderId="2" xfId="0" applyFont="1" applyFill="1" applyBorder="1" applyAlignment="1">
      <alignment horizontal="center" vertical="center"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4" fontId="15" fillId="2" borderId="2" xfId="0" applyNumberFormat="1" applyFont="1" applyFill="1" applyBorder="1"/>
    <xf numFmtId="0" fontId="15" fillId="2" borderId="3" xfId="0" applyFont="1" applyFill="1" applyBorder="1"/>
    <xf numFmtId="164" fontId="15" fillId="9" borderId="0" xfId="0" applyNumberFormat="1" applyFont="1" applyFill="1"/>
    <xf numFmtId="0" fontId="15" fillId="9" borderId="0" xfId="0" applyFont="1" applyFill="1"/>
    <xf numFmtId="164" fontId="15" fillId="2" borderId="4" xfId="0" applyNumberFormat="1" applyFont="1" applyFill="1" applyBorder="1"/>
    <xf numFmtId="0" fontId="15" fillId="18" borderId="43" xfId="0" applyFont="1" applyFill="1" applyBorder="1" applyAlignment="1">
      <alignment horizontal="center" vertical="center" wrapText="1"/>
    </xf>
    <xf numFmtId="0" fontId="0" fillId="18" borderId="38" xfId="0" applyFill="1" applyBorder="1" applyAlignment="1">
      <alignment horizontal="center" vertical="center" wrapText="1"/>
    </xf>
    <xf numFmtId="14" fontId="15" fillId="2" borderId="43" xfId="0" applyNumberFormat="1" applyFont="1" applyFill="1" applyBorder="1" applyAlignment="1">
      <alignment horizontal="center" vertical="center"/>
    </xf>
    <xf numFmtId="0" fontId="0" fillId="0" borderId="38" xfId="0" applyBorder="1" applyAlignment="1">
      <alignment horizontal="center" vertical="center"/>
    </xf>
    <xf numFmtId="3" fontId="15" fillId="2" borderId="43" xfId="0" applyNumberFormat="1" applyFont="1" applyFill="1" applyBorder="1" applyAlignment="1">
      <alignment horizontal="center" vertical="center"/>
    </xf>
    <xf numFmtId="3" fontId="0" fillId="0" borderId="38" xfId="0" applyNumberFormat="1" applyBorder="1" applyAlignment="1">
      <alignment horizontal="center" vertical="center"/>
    </xf>
    <xf numFmtId="0" fontId="16" fillId="2" borderId="43" xfId="0" applyFont="1" applyFill="1" applyBorder="1" applyAlignment="1">
      <alignment horizontal="center" vertical="center" wrapText="1"/>
    </xf>
    <xf numFmtId="0" fontId="1" fillId="0" borderId="38" xfId="0" applyFont="1" applyBorder="1" applyAlignment="1">
      <alignment horizontal="center" vertical="center" wrapText="1"/>
    </xf>
    <xf numFmtId="164" fontId="16" fillId="0" borderId="0" xfId="0" applyNumberFormat="1" applyFont="1" applyAlignment="1">
      <alignment horizontal="right"/>
    </xf>
    <xf numFmtId="0" fontId="16" fillId="0" borderId="10" xfId="0" applyFont="1" applyBorder="1" applyAlignment="1">
      <alignment horizontal="right"/>
    </xf>
    <xf numFmtId="164" fontId="15" fillId="18" borderId="43" xfId="0" applyNumberFormat="1" applyFont="1" applyFill="1" applyBorder="1" applyAlignment="1">
      <alignment horizontal="center" vertical="center" wrapText="1"/>
    </xf>
    <xf numFmtId="164" fontId="0" fillId="18" borderId="38" xfId="0" applyNumberFormat="1" applyFill="1" applyBorder="1" applyAlignment="1">
      <alignment horizontal="center" vertical="center" wrapText="1"/>
    </xf>
    <xf numFmtId="164" fontId="15" fillId="18" borderId="2" xfId="0" applyNumberFormat="1" applyFont="1" applyFill="1" applyBorder="1"/>
    <xf numFmtId="0" fontId="15" fillId="18" borderId="3" xfId="0" applyFont="1" applyFill="1" applyBorder="1"/>
    <xf numFmtId="164" fontId="15" fillId="0" borderId="12" xfId="0" applyNumberFormat="1" applyFont="1" applyBorder="1"/>
    <xf numFmtId="0" fontId="15" fillId="0" borderId="13" xfId="0" applyFont="1" applyBorder="1"/>
    <xf numFmtId="0" fontId="15" fillId="18" borderId="39" xfId="0" applyFont="1" applyFill="1" applyBorder="1" applyAlignment="1">
      <alignment horizontal="left"/>
    </xf>
    <xf numFmtId="0" fontId="0" fillId="0" borderId="40" xfId="0" applyBorder="1" applyAlignment="1">
      <alignment horizontal="left"/>
    </xf>
    <xf numFmtId="3" fontId="15" fillId="2" borderId="4" xfId="0" applyNumberFormat="1" applyFont="1" applyFill="1" applyBorder="1"/>
    <xf numFmtId="3" fontId="15" fillId="2" borderId="5" xfId="0" applyNumberFormat="1" applyFont="1" applyFill="1" applyBorder="1"/>
    <xf numFmtId="164" fontId="16" fillId="0" borderId="10" xfId="0" applyNumberFormat="1" applyFont="1" applyBorder="1" applyAlignment="1">
      <alignment horizontal="right"/>
    </xf>
    <xf numFmtId="164" fontId="15" fillId="18" borderId="6" xfId="0" applyNumberFormat="1" applyFont="1" applyFill="1" applyBorder="1"/>
    <xf numFmtId="0" fontId="15" fillId="18" borderId="7" xfId="0" applyFont="1" applyFill="1" applyBorder="1"/>
    <xf numFmtId="164" fontId="16" fillId="3" borderId="4" xfId="0" applyNumberFormat="1" applyFont="1" applyFill="1" applyBorder="1" applyAlignment="1">
      <alignment horizontal="right"/>
    </xf>
    <xf numFmtId="0" fontId="15" fillId="3" borderId="0" xfId="0" applyFont="1" applyFill="1" applyAlignment="1">
      <alignment horizontal="right"/>
    </xf>
    <xf numFmtId="0" fontId="16" fillId="9" borderId="2" xfId="0" applyFont="1" applyFill="1" applyBorder="1" applyAlignment="1">
      <alignment horizontal="right" vertical="center" wrapText="1"/>
    </xf>
    <xf numFmtId="0" fontId="15" fillId="9" borderId="6" xfId="0" applyFont="1" applyFill="1" applyBorder="1" applyAlignment="1">
      <alignment horizontal="right" vertical="center" wrapText="1"/>
    </xf>
    <xf numFmtId="0" fontId="15" fillId="2" borderId="43" xfId="0" applyFont="1" applyFill="1" applyBorder="1" applyAlignment="1">
      <alignment horizontal="center" vertical="center"/>
    </xf>
    <xf numFmtId="0" fontId="16" fillId="0" borderId="10" xfId="0" applyFont="1" applyBorder="1" applyAlignment="1">
      <alignment horizontal="center" wrapText="1"/>
    </xf>
    <xf numFmtId="0" fontId="15" fillId="0" borderId="3" xfId="0" applyFont="1" applyBorder="1"/>
    <xf numFmtId="0" fontId="15" fillId="0" borderId="1" xfId="0" applyFont="1" applyBorder="1"/>
    <xf numFmtId="0" fontId="15" fillId="0" borderId="7" xfId="0" applyFont="1" applyBorder="1"/>
    <xf numFmtId="0" fontId="1" fillId="2" borderId="39" xfId="0" applyFont="1" applyFill="1" applyBorder="1" applyAlignment="1">
      <alignment horizontal="center"/>
    </xf>
    <xf numFmtId="0" fontId="1" fillId="2" borderId="41" xfId="0" applyFont="1" applyFill="1" applyBorder="1" applyAlignment="1">
      <alignment horizontal="center"/>
    </xf>
    <xf numFmtId="0" fontId="1" fillId="2" borderId="40" xfId="0" applyFont="1" applyFill="1" applyBorder="1" applyAlignment="1">
      <alignment horizontal="center"/>
    </xf>
    <xf numFmtId="0" fontId="16" fillId="0" borderId="1" xfId="0" applyFont="1" applyBorder="1" applyAlignment="1">
      <alignment horizontal="center"/>
    </xf>
    <xf numFmtId="9" fontId="15" fillId="2" borderId="43" xfId="0" applyNumberFormat="1" applyFont="1" applyFill="1" applyBorder="1" applyAlignment="1">
      <alignment horizontal="center"/>
    </xf>
    <xf numFmtId="9" fontId="0" fillId="0" borderId="38" xfId="0" applyNumberFormat="1" applyBorder="1" applyAlignment="1">
      <alignment horizontal="center"/>
    </xf>
    <xf numFmtId="0" fontId="16" fillId="2" borderId="2"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6" fillId="18" borderId="2" xfId="0" applyFont="1" applyFill="1" applyBorder="1" applyAlignment="1">
      <alignment horizontal="center" vertical="center" wrapText="1"/>
    </xf>
    <xf numFmtId="0" fontId="0" fillId="0" borderId="3" xfId="0"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7" xfId="0" applyBorder="1" applyAlignment="1">
      <alignment vertical="center"/>
    </xf>
    <xf numFmtId="164" fontId="15" fillId="0" borderId="39" xfId="0" applyNumberFormat="1" applyFont="1" applyBorder="1"/>
    <xf numFmtId="0" fontId="15" fillId="0" borderId="40" xfId="0" applyFont="1" applyBorder="1"/>
    <xf numFmtId="164" fontId="34" fillId="2" borderId="2" xfId="0" applyNumberFormat="1" applyFont="1" applyFill="1" applyBorder="1"/>
    <xf numFmtId="0" fontId="34" fillId="2" borderId="3" xfId="0" applyFont="1" applyFill="1" applyBorder="1"/>
    <xf numFmtId="3" fontId="15" fillId="0" borderId="0" xfId="0" applyNumberFormat="1" applyFont="1"/>
    <xf numFmtId="164" fontId="15" fillId="17" borderId="39" xfId="0" applyNumberFormat="1" applyFont="1" applyFill="1" applyBorder="1"/>
    <xf numFmtId="164" fontId="15" fillId="17" borderId="40" xfId="0" applyNumberFormat="1" applyFont="1" applyFill="1" applyBorder="1"/>
    <xf numFmtId="3" fontId="15" fillId="0" borderId="1" xfId="0" applyNumberFormat="1" applyFont="1" applyBorder="1"/>
    <xf numFmtId="3" fontId="35" fillId="4" borderId="45" xfId="0" applyNumberFormat="1" applyFont="1" applyFill="1" applyBorder="1" applyAlignment="1">
      <alignment horizontal="right"/>
    </xf>
    <xf numFmtId="3" fontId="15" fillId="0" borderId="46" xfId="0" applyNumberFormat="1" applyFont="1" applyBorder="1" applyAlignment="1">
      <alignment horizontal="right"/>
    </xf>
    <xf numFmtId="3" fontId="15" fillId="18" borderId="2" xfId="0" applyNumberFormat="1" applyFont="1" applyFill="1" applyBorder="1"/>
    <xf numFmtId="0" fontId="16" fillId="0" borderId="0" xfId="0" applyFont="1" applyAlignment="1">
      <alignment horizontal="right"/>
    </xf>
    <xf numFmtId="0" fontId="15" fillId="0" borderId="0" xfId="0" applyFont="1"/>
    <xf numFmtId="9" fontId="15" fillId="2" borderId="39" xfId="0" applyNumberFormat="1" applyFont="1" applyFill="1" applyBorder="1" applyAlignment="1">
      <alignment horizontal="right"/>
    </xf>
    <xf numFmtId="9" fontId="0" fillId="0" borderId="41" xfId="0" applyNumberFormat="1" applyBorder="1" applyAlignment="1">
      <alignment horizontal="right"/>
    </xf>
    <xf numFmtId="164" fontId="16" fillId="3" borderId="60" xfId="0" applyNumberFormat="1" applyFont="1" applyFill="1" applyBorder="1"/>
    <xf numFmtId="0" fontId="0" fillId="0" borderId="61" xfId="0" applyBorder="1"/>
    <xf numFmtId="9" fontId="0" fillId="0" borderId="40" xfId="0" applyNumberFormat="1" applyBorder="1" applyAlignment="1">
      <alignment horizontal="right"/>
    </xf>
    <xf numFmtId="164" fontId="15" fillId="0" borderId="6" xfId="0" applyNumberFormat="1" applyFont="1" applyBorder="1"/>
    <xf numFmtId="0" fontId="0" fillId="2" borderId="7" xfId="0" applyFill="1" applyBorder="1"/>
    <xf numFmtId="0" fontId="16" fillId="3" borderId="3" xfId="0" applyFont="1" applyFill="1" applyBorder="1" applyAlignment="1">
      <alignment horizontal="center" wrapText="1"/>
    </xf>
    <xf numFmtId="0" fontId="16" fillId="3" borderId="5" xfId="0" applyFont="1" applyFill="1" applyBorder="1" applyAlignment="1">
      <alignment horizontal="center" wrapText="1"/>
    </xf>
    <xf numFmtId="0" fontId="16" fillId="0" borderId="0" xfId="0" applyFont="1"/>
    <xf numFmtId="0" fontId="16" fillId="3" borderId="6" xfId="0" applyFont="1" applyFill="1" applyBorder="1" applyAlignment="1">
      <alignment horizontal="right"/>
    </xf>
    <xf numFmtId="0" fontId="15" fillId="3" borderId="1" xfId="0" applyFont="1" applyFill="1" applyBorder="1"/>
    <xf numFmtId="0" fontId="16" fillId="3" borderId="4" xfId="0" applyFont="1" applyFill="1" applyBorder="1" applyAlignment="1">
      <alignment horizontal="right"/>
    </xf>
    <xf numFmtId="0" fontId="16" fillId="3" borderId="0" xfId="0" applyFont="1" applyFill="1" applyAlignment="1">
      <alignment horizontal="right"/>
    </xf>
    <xf numFmtId="0" fontId="1" fillId="0" borderId="10" xfId="0" applyFont="1" applyBorder="1" applyAlignment="1">
      <alignment horizontal="center" vertical="center" wrapText="1"/>
    </xf>
    <xf numFmtId="0" fontId="0" fillId="0" borderId="6" xfId="0" applyBorder="1" applyAlignment="1">
      <alignment wrapText="1"/>
    </xf>
    <xf numFmtId="0" fontId="0" fillId="0" borderId="1" xfId="0" applyBorder="1" applyAlignment="1">
      <alignment wrapText="1"/>
    </xf>
    <xf numFmtId="0" fontId="0" fillId="0" borderId="7" xfId="0" applyBorder="1" applyAlignment="1">
      <alignment wrapText="1"/>
    </xf>
    <xf numFmtId="3" fontId="15" fillId="2" borderId="2" xfId="0" applyNumberFormat="1" applyFont="1" applyFill="1" applyBorder="1"/>
    <xf numFmtId="3" fontId="15" fillId="2" borderId="3" xfId="0" applyNumberFormat="1" applyFont="1" applyFill="1" applyBorder="1"/>
    <xf numFmtId="0" fontId="16" fillId="0" borderId="2" xfId="0" applyFont="1" applyBorder="1" applyAlignment="1">
      <alignment horizontal="center"/>
    </xf>
    <xf numFmtId="0" fontId="16" fillId="0" borderId="10" xfId="0" applyFont="1" applyBorder="1" applyAlignment="1">
      <alignment horizontal="center"/>
    </xf>
    <xf numFmtId="0" fontId="16" fillId="0" borderId="6" xfId="0" applyFont="1" applyBorder="1" applyAlignment="1">
      <alignment horizontal="center"/>
    </xf>
    <xf numFmtId="0" fontId="1" fillId="0" borderId="1" xfId="0" applyFont="1" applyBorder="1" applyAlignment="1">
      <alignment horizontal="center"/>
    </xf>
    <xf numFmtId="14" fontId="16" fillId="0" borderId="1" xfId="0" applyNumberFormat="1" applyFont="1" applyBorder="1" applyAlignment="1">
      <alignment horizontal="center"/>
    </xf>
    <xf numFmtId="0" fontId="0" fillId="0" borderId="1" xfId="0" applyBorder="1"/>
    <xf numFmtId="0" fontId="0" fillId="0" borderId="10" xfId="0" applyBorder="1"/>
    <xf numFmtId="14" fontId="16" fillId="0" borderId="6" xfId="0" applyNumberFormat="1" applyFont="1" applyBorder="1" applyAlignment="1">
      <alignment horizontal="center"/>
    </xf>
    <xf numFmtId="0" fontId="16" fillId="2" borderId="39" xfId="0" applyFont="1" applyFill="1" applyBorder="1" applyAlignment="1">
      <alignment horizontal="center" wrapText="1"/>
    </xf>
    <xf numFmtId="0" fontId="0" fillId="0" borderId="40" xfId="0" applyBorder="1"/>
    <xf numFmtId="3" fontId="15" fillId="2" borderId="34" xfId="0" applyNumberFormat="1" applyFont="1" applyFill="1" applyBorder="1"/>
    <xf numFmtId="3" fontId="15" fillId="2" borderId="35" xfId="0" applyNumberFormat="1" applyFont="1" applyFill="1" applyBorder="1"/>
    <xf numFmtId="164" fontId="15" fillId="0" borderId="1" xfId="0" applyNumberFormat="1" applyFont="1" applyBorder="1"/>
    <xf numFmtId="0" fontId="1" fillId="17" borderId="10" xfId="0" applyFont="1" applyFill="1" applyBorder="1" applyAlignment="1">
      <alignment horizontal="center" vertical="center" wrapText="1"/>
    </xf>
    <xf numFmtId="0" fontId="1" fillId="17" borderId="3" xfId="0" applyFont="1" applyFill="1" applyBorder="1" applyAlignment="1">
      <alignment horizontal="center" vertical="center" wrapText="1"/>
    </xf>
    <xf numFmtId="0" fontId="1" fillId="17" borderId="6" xfId="0" applyFont="1" applyFill="1" applyBorder="1" applyAlignment="1">
      <alignment horizontal="center" vertical="center" wrapText="1"/>
    </xf>
    <xf numFmtId="0" fontId="1" fillId="17" borderId="1" xfId="0" applyFont="1" applyFill="1" applyBorder="1" applyAlignment="1">
      <alignment horizontal="center" vertical="center" wrapText="1"/>
    </xf>
    <xf numFmtId="0" fontId="1" fillId="17" borderId="7" xfId="0" applyFont="1" applyFill="1" applyBorder="1" applyAlignment="1">
      <alignment horizontal="center" vertical="center" wrapText="1"/>
    </xf>
    <xf numFmtId="0" fontId="16" fillId="17" borderId="4" xfId="0" applyFont="1" applyFill="1" applyBorder="1" applyAlignment="1">
      <alignment horizontal="center" vertical="center" wrapText="1"/>
    </xf>
    <xf numFmtId="0" fontId="1" fillId="17" borderId="0" xfId="0" applyFont="1" applyFill="1" applyAlignment="1">
      <alignment horizontal="center" vertical="center" wrapText="1"/>
    </xf>
    <xf numFmtId="0" fontId="1" fillId="17" borderId="5" xfId="0" applyFont="1" applyFill="1" applyBorder="1" applyAlignment="1">
      <alignment horizontal="center" vertical="center" wrapText="1"/>
    </xf>
    <xf numFmtId="0" fontId="16" fillId="3" borderId="10" xfId="0" applyFont="1" applyFill="1" applyBorder="1" applyAlignment="1">
      <alignment horizontal="center" wrapText="1"/>
    </xf>
    <xf numFmtId="0" fontId="16" fillId="3" borderId="1" xfId="0" applyFont="1" applyFill="1" applyBorder="1" applyAlignment="1">
      <alignment horizontal="center" wrapText="1"/>
    </xf>
    <xf numFmtId="3" fontId="15" fillId="2" borderId="6" xfId="0" applyNumberFormat="1" applyFont="1" applyFill="1" applyBorder="1"/>
    <xf numFmtId="3" fontId="15" fillId="2" borderId="7" xfId="0" applyNumberFormat="1" applyFont="1" applyFill="1" applyBorder="1"/>
    <xf numFmtId="0" fontId="0" fillId="0" borderId="0" xfId="0" applyAlignment="1">
      <alignment horizontal="left" vertical="top" wrapText="1"/>
    </xf>
    <xf numFmtId="0" fontId="0" fillId="0" borderId="0" xfId="0"/>
    <xf numFmtId="0" fontId="1" fillId="0" borderId="0" xfId="0" applyFont="1" applyAlignment="1">
      <alignment horizontal="center" wrapText="1"/>
    </xf>
    <xf numFmtId="0" fontId="1" fillId="0" borderId="1" xfId="0" applyFont="1" applyBorder="1" applyAlignment="1">
      <alignment horizontal="center" wrapText="1"/>
    </xf>
    <xf numFmtId="0" fontId="1" fillId="0" borderId="1" xfId="0" applyFont="1" applyBorder="1" applyAlignment="1">
      <alignment horizontal="left" vertical="center" wrapText="1"/>
    </xf>
    <xf numFmtId="0" fontId="0" fillId="0" borderId="1" xfId="0" applyBorder="1" applyAlignment="1">
      <alignment horizontal="left" vertical="center"/>
    </xf>
    <xf numFmtId="0" fontId="1" fillId="0" borderId="64" xfId="0" applyFont="1" applyBorder="1"/>
    <xf numFmtId="0" fontId="1" fillId="0" borderId="10" xfId="0" applyFont="1" applyBorder="1"/>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vertical="center" wrapText="1"/>
    </xf>
    <xf numFmtId="0" fontId="4" fillId="0" borderId="0" xfId="0" applyFont="1" applyAlignment="1">
      <alignment horizontal="left" vertical="top" wrapText="1"/>
    </xf>
    <xf numFmtId="0" fontId="4" fillId="0" borderId="0" xfId="0" applyFont="1" applyAlignment="1">
      <alignment horizontal="left" vertical="top"/>
    </xf>
    <xf numFmtId="0" fontId="0" fillId="2" borderId="2" xfId="0" applyFill="1" applyBorder="1" applyAlignment="1">
      <alignment horizontal="left" vertical="top" wrapText="1"/>
    </xf>
    <xf numFmtId="0" fontId="0" fillId="2" borderId="10" xfId="0" applyFill="1" applyBorder="1" applyAlignment="1">
      <alignment horizontal="left" vertical="top" wrapText="1"/>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0" fillId="2" borderId="0" xfId="0" applyFill="1" applyAlignment="1">
      <alignment horizontal="left" vertical="top" wrapText="1"/>
    </xf>
    <xf numFmtId="0" fontId="0" fillId="2" borderId="5" xfId="0" applyFill="1" applyBorder="1" applyAlignment="1">
      <alignment horizontal="left" vertical="top" wrapText="1"/>
    </xf>
    <xf numFmtId="0" fontId="0" fillId="2" borderId="6" xfId="0" applyFill="1" applyBorder="1" applyAlignment="1">
      <alignment horizontal="left" vertical="top" wrapText="1"/>
    </xf>
    <xf numFmtId="0" fontId="0" fillId="2" borderId="1" xfId="0" applyFill="1" applyBorder="1" applyAlignment="1">
      <alignment horizontal="left" vertical="top" wrapText="1"/>
    </xf>
    <xf numFmtId="0" fontId="0" fillId="2" borderId="7" xfId="0" applyFill="1" applyBorder="1" applyAlignment="1">
      <alignment horizontal="left" vertical="top" wrapText="1"/>
    </xf>
    <xf numFmtId="0" fontId="0" fillId="0" borderId="0" xfId="0" applyAlignment="1">
      <alignment vertical="top" wrapText="1"/>
    </xf>
    <xf numFmtId="3" fontId="1" fillId="18" borderId="2" xfId="0" applyNumberFormat="1" applyFont="1" applyFill="1" applyBorder="1"/>
    <xf numFmtId="3" fontId="18" fillId="11" borderId="39" xfId="0" applyNumberFormat="1" applyFont="1" applyFill="1" applyBorder="1" applyAlignment="1">
      <alignment horizontal="center"/>
    </xf>
    <xf numFmtId="3" fontId="18" fillId="11" borderId="41" xfId="0" applyNumberFormat="1" applyFont="1" applyFill="1" applyBorder="1" applyAlignment="1">
      <alignment horizontal="center"/>
    </xf>
    <xf numFmtId="3" fontId="18" fillId="11" borderId="40" xfId="0" applyNumberFormat="1" applyFont="1" applyFill="1" applyBorder="1" applyAlignment="1">
      <alignment horizontal="center"/>
    </xf>
    <xf numFmtId="3" fontId="13" fillId="3" borderId="39" xfId="0" applyNumberFormat="1" applyFont="1" applyFill="1" applyBorder="1" applyAlignment="1">
      <alignment horizontal="center"/>
    </xf>
    <xf numFmtId="3" fontId="13" fillId="3" borderId="41" xfId="0" applyNumberFormat="1" applyFont="1" applyFill="1" applyBorder="1" applyAlignment="1">
      <alignment horizontal="center"/>
    </xf>
    <xf numFmtId="3" fontId="13" fillId="26" borderId="39" xfId="0" applyNumberFormat="1" applyFont="1" applyFill="1" applyBorder="1" applyAlignment="1">
      <alignment horizontal="center"/>
    </xf>
    <xf numFmtId="0" fontId="4" fillId="26" borderId="41" xfId="0" applyFont="1" applyFill="1" applyBorder="1" applyAlignment="1">
      <alignment horizontal="center"/>
    </xf>
    <xf numFmtId="164" fontId="1" fillId="18" borderId="39" xfId="0" applyNumberFormat="1" applyFont="1" applyFill="1" applyBorder="1"/>
    <xf numFmtId="0" fontId="0" fillId="0" borderId="41" xfId="0" applyBorder="1"/>
    <xf numFmtId="0" fontId="1" fillId="26" borderId="41" xfId="0" applyFont="1" applyFill="1" applyBorder="1" applyAlignment="1">
      <alignment horizontal="center"/>
    </xf>
    <xf numFmtId="0" fontId="1" fillId="26" borderId="40" xfId="0" applyFont="1" applyFill="1" applyBorder="1" applyAlignment="1">
      <alignment horizontal="center"/>
    </xf>
    <xf numFmtId="164" fontId="1" fillId="26" borderId="39" xfId="0" applyNumberFormat="1" applyFont="1" applyFill="1" applyBorder="1" applyAlignment="1">
      <alignment horizontal="center"/>
    </xf>
    <xf numFmtId="164" fontId="18" fillId="24" borderId="41" xfId="0" applyNumberFormat="1" applyFont="1" applyFill="1" applyBorder="1"/>
    <xf numFmtId="164" fontId="18" fillId="24" borderId="40" xfId="0" applyNumberFormat="1" applyFont="1" applyFill="1" applyBorder="1"/>
    <xf numFmtId="164" fontId="18" fillId="23" borderId="39" xfId="0" applyNumberFormat="1" applyFont="1" applyFill="1" applyBorder="1"/>
    <xf numFmtId="0" fontId="9" fillId="23" borderId="40" xfId="0" applyFont="1" applyFill="1" applyBorder="1"/>
    <xf numFmtId="164" fontId="1" fillId="18" borderId="41" xfId="0" applyNumberFormat="1" applyFont="1" applyFill="1" applyBorder="1"/>
    <xf numFmtId="0" fontId="0" fillId="0" borderId="53" xfId="0" applyBorder="1"/>
    <xf numFmtId="0" fontId="0" fillId="0" borderId="9" xfId="0" applyBorder="1"/>
    <xf numFmtId="49" fontId="1" fillId="3" borderId="39" xfId="0" applyNumberFormat="1" applyFont="1" applyFill="1" applyBorder="1" applyAlignment="1">
      <alignment horizontal="center" wrapText="1"/>
    </xf>
    <xf numFmtId="0" fontId="0" fillId="3" borderId="40" xfId="0" applyFill="1" applyBorder="1" applyAlignment="1">
      <alignment horizontal="center" wrapText="1"/>
    </xf>
    <xf numFmtId="0" fontId="1" fillId="18" borderId="6" xfId="0" applyFont="1" applyFill="1" applyBorder="1" applyAlignment="1">
      <alignment horizontal="center" vertical="center" wrapText="1"/>
    </xf>
    <xf numFmtId="0" fontId="0" fillId="0" borderId="7" xfId="0" applyBorder="1" applyAlignment="1">
      <alignment horizontal="center" wrapText="1"/>
    </xf>
    <xf numFmtId="0" fontId="1" fillId="0" borderId="42" xfId="0" applyFont="1" applyBorder="1" applyAlignment="1">
      <alignment horizontal="center" vertical="center" wrapText="1"/>
    </xf>
    <xf numFmtId="0" fontId="0" fillId="0" borderId="42" xfId="0" applyBorder="1" applyAlignment="1">
      <alignment horizontal="center" vertical="center" wrapText="1"/>
    </xf>
    <xf numFmtId="0" fontId="1" fillId="18" borderId="39" xfId="0" applyFont="1" applyFill="1" applyBorder="1" applyAlignment="1">
      <alignment horizontal="center" vertical="center" wrapText="1"/>
    </xf>
    <xf numFmtId="0" fontId="0" fillId="0" borderId="40" xfId="0" applyBorder="1" applyAlignment="1">
      <alignment horizontal="center" vertical="center" wrapText="1"/>
    </xf>
    <xf numFmtId="49" fontId="28" fillId="3" borderId="2" xfId="0" applyNumberFormat="1" applyFont="1" applyFill="1" applyBorder="1" applyAlignment="1">
      <alignment horizontal="center" vertical="center"/>
    </xf>
    <xf numFmtId="0" fontId="1" fillId="3" borderId="3"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49" fontId="28" fillId="12" borderId="2" xfId="0" applyNumberFormat="1" applyFont="1" applyFill="1" applyBorder="1" applyAlignment="1">
      <alignment horizontal="center" vertical="center"/>
    </xf>
    <xf numFmtId="0" fontId="1" fillId="12" borderId="3" xfId="0" applyFont="1" applyFill="1" applyBorder="1" applyAlignment="1">
      <alignment horizontal="center" vertical="center"/>
    </xf>
    <xf numFmtId="0" fontId="1" fillId="12" borderId="6" xfId="0" applyFont="1" applyFill="1" applyBorder="1" applyAlignment="1">
      <alignment vertical="center"/>
    </xf>
    <xf numFmtId="0" fontId="1" fillId="12" borderId="7" xfId="0" applyFont="1" applyFill="1" applyBorder="1" applyAlignment="1">
      <alignment vertical="center"/>
    </xf>
    <xf numFmtId="49" fontId="28" fillId="11" borderId="2" xfId="0" applyNumberFormat="1" applyFont="1" applyFill="1" applyBorder="1" applyAlignment="1">
      <alignment horizontal="center" vertical="center"/>
    </xf>
    <xf numFmtId="0" fontId="1" fillId="0" borderId="3"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49" fontId="28" fillId="2" borderId="2" xfId="0" applyNumberFormat="1" applyFont="1" applyFill="1" applyBorder="1" applyAlignment="1">
      <alignment horizontal="left"/>
    </xf>
    <xf numFmtId="0" fontId="1" fillId="2" borderId="3" xfId="0" applyFont="1" applyFill="1" applyBorder="1" applyAlignment="1">
      <alignment horizontal="left"/>
    </xf>
    <xf numFmtId="0" fontId="1" fillId="2" borderId="6" xfId="0" applyFont="1" applyFill="1" applyBorder="1" applyAlignment="1">
      <alignment horizontal="left"/>
    </xf>
    <xf numFmtId="0" fontId="1" fillId="2" borderId="7" xfId="0" applyFont="1" applyFill="1" applyBorder="1" applyAlignment="1">
      <alignment horizontal="left"/>
    </xf>
    <xf numFmtId="0" fontId="30" fillId="15" borderId="23" xfId="0" applyFont="1" applyFill="1" applyBorder="1" applyAlignment="1" applyProtection="1">
      <alignment horizontal="center" vertical="center" wrapText="1"/>
      <protection locked="0"/>
    </xf>
    <xf numFmtId="0" fontId="33" fillId="0" borderId="24" xfId="0" applyFont="1" applyBorder="1" applyAlignment="1" applyProtection="1">
      <alignment vertical="center" wrapText="1"/>
      <protection locked="0"/>
    </xf>
    <xf numFmtId="0" fontId="33" fillId="0" borderId="25" xfId="0" applyFont="1" applyBorder="1" applyAlignment="1" applyProtection="1">
      <alignment vertical="center" wrapText="1"/>
      <protection locked="0"/>
    </xf>
    <xf numFmtId="0" fontId="30" fillId="15" borderId="29" xfId="0" applyFont="1" applyFill="1" applyBorder="1" applyAlignment="1" applyProtection="1">
      <alignment horizontal="center" vertical="center" wrapText="1"/>
      <protection locked="0"/>
    </xf>
    <xf numFmtId="0" fontId="33" fillId="0" borderId="0" xfId="0" applyFont="1" applyAlignment="1" applyProtection="1">
      <alignment vertical="center" wrapText="1"/>
      <protection locked="0"/>
    </xf>
    <xf numFmtId="0" fontId="33" fillId="0" borderId="30" xfId="0" applyFont="1" applyBorder="1" applyAlignment="1" applyProtection="1">
      <alignment vertical="center" wrapText="1"/>
      <protection locked="0"/>
    </xf>
    <xf numFmtId="0" fontId="33" fillId="0" borderId="26" xfId="0" applyFont="1" applyBorder="1" applyAlignment="1" applyProtection="1">
      <alignment vertical="center" wrapText="1"/>
      <protection locked="0"/>
    </xf>
    <xf numFmtId="0" fontId="33" fillId="0" borderId="27" xfId="0" applyFont="1" applyBorder="1" applyAlignment="1" applyProtection="1">
      <alignment vertical="center" wrapText="1"/>
      <protection locked="0"/>
    </xf>
    <xf numFmtId="0" fontId="33" fillId="0" borderId="28" xfId="0" applyFont="1" applyBorder="1" applyAlignment="1" applyProtection="1">
      <alignment vertical="center" wrapText="1"/>
      <protection locked="0"/>
    </xf>
    <xf numFmtId="0" fontId="30" fillId="13" borderId="23" xfId="0" applyFont="1" applyFill="1" applyBorder="1" applyAlignment="1" applyProtection="1">
      <alignment horizontal="center" vertical="center"/>
      <protection locked="0"/>
    </xf>
    <xf numFmtId="0" fontId="0" fillId="0" borderId="24" xfId="0" applyBorder="1"/>
    <xf numFmtId="0" fontId="0" fillId="0" borderId="25" xfId="0" applyBorder="1"/>
    <xf numFmtId="0" fontId="0" fillId="0" borderId="29" xfId="0" applyBorder="1"/>
    <xf numFmtId="0" fontId="0" fillId="0" borderId="30" xfId="0" applyBorder="1"/>
    <xf numFmtId="0" fontId="0" fillId="0" borderId="26" xfId="0" applyBorder="1"/>
    <xf numFmtId="0" fontId="0" fillId="0" borderId="27" xfId="0" applyBorder="1"/>
    <xf numFmtId="0" fontId="0" fillId="0" borderId="28" xfId="0" applyBorder="1"/>
    <xf numFmtId="0" fontId="29" fillId="0" borderId="4" xfId="5" applyFont="1" applyBorder="1" applyAlignment="1">
      <alignment horizontal="center" wrapText="1"/>
    </xf>
    <xf numFmtId="0" fontId="30" fillId="0" borderId="0" xfId="0" applyFont="1" applyAlignment="1">
      <alignment horizontal="center"/>
    </xf>
    <xf numFmtId="0" fontId="1" fillId="0" borderId="1" xfId="0" applyFont="1" applyBorder="1" applyAlignment="1">
      <alignment horizontal="right" vertical="center" wrapText="1"/>
    </xf>
    <xf numFmtId="8" fontId="0" fillId="3" borderId="0" xfId="0" applyNumberFormat="1" applyFill="1" applyAlignment="1">
      <alignment horizontal="right"/>
    </xf>
    <xf numFmtId="0" fontId="0" fillId="3" borderId="0" xfId="0" applyFill="1"/>
    <xf numFmtId="0" fontId="18" fillId="0" borderId="1" xfId="3" applyFont="1" applyBorder="1" applyAlignment="1" applyProtection="1">
      <alignment horizontal="right" vertical="center" indent="1"/>
    </xf>
    <xf numFmtId="0" fontId="9" fillId="0" borderId="1" xfId="0" applyFont="1" applyBorder="1" applyAlignment="1">
      <alignment horizontal="right" vertical="center" indent="1"/>
    </xf>
    <xf numFmtId="8" fontId="0" fillId="11" borderId="0" xfId="0" applyNumberFormat="1" applyFill="1" applyAlignment="1">
      <alignment horizontal="right"/>
    </xf>
    <xf numFmtId="0" fontId="0" fillId="11" borderId="0" xfId="0" applyFill="1"/>
    <xf numFmtId="8" fontId="0" fillId="12" borderId="0" xfId="0" applyNumberFormat="1" applyFill="1" applyAlignment="1">
      <alignment horizontal="right"/>
    </xf>
    <xf numFmtId="0" fontId="0" fillId="12" borderId="0" xfId="0" applyFill="1"/>
    <xf numFmtId="8" fontId="1" fillId="9" borderId="1" xfId="0" applyNumberFormat="1" applyFont="1" applyFill="1" applyBorder="1" applyAlignment="1">
      <alignment horizontal="right"/>
    </xf>
    <xf numFmtId="0" fontId="1" fillId="0" borderId="1" xfId="0" applyFont="1" applyBorder="1"/>
    <xf numFmtId="170" fontId="0" fillId="18" borderId="41" xfId="0" applyNumberFormat="1" applyFill="1" applyBorder="1" applyAlignment="1">
      <alignment horizontal="right" vertical="center"/>
    </xf>
    <xf numFmtId="170" fontId="0" fillId="18" borderId="40" xfId="0" applyNumberFormat="1" applyFill="1" applyBorder="1" applyAlignment="1">
      <alignment horizontal="right" vertical="center"/>
    </xf>
    <xf numFmtId="0" fontId="29" fillId="0" borderId="4" xfId="5" applyFont="1" applyBorder="1" applyAlignment="1">
      <alignment horizontal="left" wrapText="1"/>
    </xf>
    <xf numFmtId="0" fontId="0" fillId="0" borderId="5" xfId="0" applyBorder="1" applyAlignment="1">
      <alignment horizontal="left"/>
    </xf>
    <xf numFmtId="0" fontId="30" fillId="0" borderId="0" xfId="0" applyFont="1" applyAlignment="1">
      <alignment horizontal="right"/>
    </xf>
    <xf numFmtId="0" fontId="0" fillId="0" borderId="5" xfId="0" applyBorder="1" applyAlignment="1">
      <alignment horizontal="right"/>
    </xf>
    <xf numFmtId="0" fontId="31" fillId="0" borderId="0" xfId="0" applyFont="1" applyAlignment="1">
      <alignment horizontal="center" vertical="center"/>
    </xf>
    <xf numFmtId="0" fontId="0" fillId="0" borderId="0" xfId="0" applyAlignment="1">
      <alignment vertical="center"/>
    </xf>
    <xf numFmtId="0" fontId="30" fillId="0" borderId="19" xfId="3" applyFont="1" applyAlignment="1">
      <alignment horizontal="left" vertical="center"/>
    </xf>
    <xf numFmtId="0" fontId="30" fillId="0" borderId="0" xfId="0" applyFont="1" applyAlignment="1">
      <alignment vertical="center"/>
    </xf>
    <xf numFmtId="0" fontId="31" fillId="0" borderId="10" xfId="0" applyFont="1" applyBorder="1" applyAlignment="1">
      <alignment horizontal="center"/>
    </xf>
    <xf numFmtId="0" fontId="18" fillId="0" borderId="0" xfId="3" applyFont="1" applyBorder="1" applyAlignment="1" applyProtection="1">
      <alignment horizontal="right" vertical="center" indent="1"/>
    </xf>
    <xf numFmtId="0" fontId="9" fillId="0" borderId="0" xfId="0" applyFont="1" applyAlignment="1">
      <alignment horizontal="right" vertical="center" indent="1"/>
    </xf>
    <xf numFmtId="0" fontId="1" fillId="3" borderId="0" xfId="0" applyFont="1" applyFill="1" applyAlignment="1">
      <alignment horizontal="center" vertical="center" wrapText="1"/>
    </xf>
    <xf numFmtId="0" fontId="0" fillId="3" borderId="0" xfId="0" applyFill="1" applyAlignment="1">
      <alignment horizontal="center" vertical="center" wrapText="1"/>
    </xf>
    <xf numFmtId="0" fontId="1" fillId="11" borderId="0" xfId="0" applyFont="1" applyFill="1" applyAlignment="1">
      <alignment horizontal="right" vertical="center" wrapText="1"/>
    </xf>
    <xf numFmtId="0" fontId="0" fillId="11" borderId="0" xfId="0" applyFill="1" applyAlignment="1">
      <alignment horizontal="right" vertical="center" wrapText="1"/>
    </xf>
    <xf numFmtId="0" fontId="1" fillId="12" borderId="0" xfId="0" applyFont="1" applyFill="1" applyAlignment="1">
      <alignment horizontal="right" vertical="center" wrapText="1"/>
    </xf>
    <xf numFmtId="0" fontId="0" fillId="12" borderId="0" xfId="0" applyFill="1" applyAlignment="1">
      <alignment horizontal="right" vertical="center" wrapText="1"/>
    </xf>
    <xf numFmtId="0" fontId="0" fillId="0" borderId="0" xfId="0" applyAlignment="1">
      <alignment horizontal="right"/>
    </xf>
    <xf numFmtId="8" fontId="0" fillId="9" borderId="1" xfId="0" applyNumberFormat="1" applyFill="1" applyBorder="1" applyAlignment="1">
      <alignment horizontal="right"/>
    </xf>
    <xf numFmtId="0" fontId="0" fillId="0" borderId="1" xfId="0" applyBorder="1" applyAlignment="1">
      <alignment horizontal="right"/>
    </xf>
    <xf numFmtId="0" fontId="1" fillId="21" borderId="2" xfId="0" applyFont="1" applyFill="1" applyBorder="1" applyAlignment="1">
      <alignment horizontal="center"/>
    </xf>
    <xf numFmtId="0" fontId="0" fillId="21" borderId="10" xfId="0" applyFill="1" applyBorder="1"/>
    <xf numFmtId="0" fontId="0" fillId="21" borderId="3" xfId="0" applyFill="1" applyBorder="1"/>
    <xf numFmtId="0" fontId="1" fillId="21" borderId="6" xfId="0" applyFont="1" applyFill="1" applyBorder="1" applyAlignment="1">
      <alignment horizontal="center"/>
    </xf>
    <xf numFmtId="0" fontId="0" fillId="21" borderId="1" xfId="0" applyFill="1" applyBorder="1" applyAlignment="1">
      <alignment horizontal="center"/>
    </xf>
    <xf numFmtId="0" fontId="0" fillId="21" borderId="7" xfId="0" applyFill="1" applyBorder="1" applyAlignment="1">
      <alignment horizontal="center"/>
    </xf>
    <xf numFmtId="0" fontId="1" fillId="18" borderId="6" xfId="0" applyFont="1" applyFill="1" applyBorder="1" applyAlignment="1">
      <alignment horizontal="center"/>
    </xf>
    <xf numFmtId="0" fontId="1" fillId="18" borderId="1" xfId="0" applyFont="1" applyFill="1" applyBorder="1" applyAlignment="1">
      <alignment horizontal="center"/>
    </xf>
    <xf numFmtId="0" fontId="0" fillId="18" borderId="1" xfId="0" applyFill="1" applyBorder="1"/>
    <xf numFmtId="0" fontId="0" fillId="18" borderId="7" xfId="0" applyFill="1" applyBorder="1"/>
    <xf numFmtId="0" fontId="1" fillId="18" borderId="2" xfId="0" applyFont="1" applyFill="1" applyBorder="1" applyAlignment="1">
      <alignment horizontal="center"/>
    </xf>
    <xf numFmtId="0" fontId="1" fillId="18" borderId="10" xfId="0" applyFont="1" applyFill="1" applyBorder="1" applyAlignment="1">
      <alignment horizontal="center"/>
    </xf>
    <xf numFmtId="0" fontId="0" fillId="18" borderId="10" xfId="0" applyFill="1" applyBorder="1"/>
    <xf numFmtId="0" fontId="0" fillId="18" borderId="3" xfId="0" applyFill="1" applyBorder="1"/>
    <xf numFmtId="0" fontId="1" fillId="3" borderId="4" xfId="0" applyFont="1" applyFill="1" applyBorder="1" applyAlignment="1">
      <alignment horizontal="center"/>
    </xf>
    <xf numFmtId="0" fontId="1" fillId="3" borderId="0" xfId="0" applyFont="1" applyFill="1" applyAlignment="1">
      <alignment horizontal="center"/>
    </xf>
    <xf numFmtId="0" fontId="1" fillId="0" borderId="0" xfId="0" applyFont="1" applyAlignment="1">
      <alignment horizontal="right"/>
    </xf>
    <xf numFmtId="166" fontId="1" fillId="0" borderId="0" xfId="0" applyNumberFormat="1" applyFont="1" applyAlignment="1">
      <alignment horizontal="right"/>
    </xf>
    <xf numFmtId="0" fontId="4" fillId="3" borderId="41" xfId="0" applyFont="1" applyFill="1" applyBorder="1" applyAlignment="1">
      <alignment horizontal="center"/>
    </xf>
    <xf numFmtId="0" fontId="4" fillId="3" borderId="40" xfId="0" applyFont="1" applyFill="1" applyBorder="1" applyAlignment="1">
      <alignment horizontal="center"/>
    </xf>
    <xf numFmtId="0" fontId="0" fillId="0" borderId="40" xfId="0" applyBorder="1" applyAlignment="1">
      <alignment horizontal="center" wrapText="1"/>
    </xf>
    <xf numFmtId="3" fontId="1" fillId="18" borderId="4" xfId="0" applyNumberFormat="1" applyFont="1" applyFill="1" applyBorder="1"/>
    <xf numFmtId="0" fontId="0" fillId="0" borderId="41" xfId="0" applyBorder="1" applyAlignment="1">
      <alignment horizontal="center"/>
    </xf>
    <xf numFmtId="0" fontId="0" fillId="0" borderId="40" xfId="0" applyBorder="1" applyAlignment="1">
      <alignment horizontal="center"/>
    </xf>
    <xf numFmtId="164" fontId="1" fillId="18" borderId="40" xfId="0" applyNumberFormat="1" applyFont="1" applyFill="1" applyBorder="1"/>
    <xf numFmtId="3" fontId="13" fillId="3" borderId="40" xfId="0" applyNumberFormat="1" applyFont="1" applyFill="1" applyBorder="1" applyAlignment="1">
      <alignment horizontal="center"/>
    </xf>
    <xf numFmtId="0" fontId="1" fillId="18" borderId="40" xfId="0" applyFont="1" applyFill="1" applyBorder="1" applyAlignment="1">
      <alignment horizontal="center" vertical="center" wrapText="1"/>
    </xf>
    <xf numFmtId="3" fontId="1" fillId="18" borderId="0" xfId="0" applyNumberFormat="1" applyFont="1" applyFill="1"/>
  </cellXfs>
  <cellStyles count="15">
    <cellStyle name="Bad" xfId="12" builtinId="27"/>
    <cellStyle name="Comma" xfId="13" builtinId="3"/>
    <cellStyle name="Completed" xfId="11" xr:uid="{89AFEC65-4662-41A0-B62C-CC4BC4ADAF5A}"/>
    <cellStyle name="Date" xfId="6" xr:uid="{403F4796-BFA2-4402-91FB-D02A1A4804AA}"/>
    <cellStyle name="Good" xfId="7" builtinId="26" hidden="1"/>
    <cellStyle name="Heading 2" xfId="2" builtinId="17"/>
    <cellStyle name="Heading 3" xfId="3" builtinId="18"/>
    <cellStyle name="Heading 4" xfId="4" builtinId="19"/>
    <cellStyle name="Hyperlink" xfId="1" builtinId="8"/>
    <cellStyle name="Neutral" xfId="8" builtinId="28" hidden="1"/>
    <cellStyle name="Normal" xfId="0" builtinId="0"/>
    <cellStyle name="Normal 2" xfId="14" xr:uid="{A11B5F34-74A2-4AB2-9906-0101C66C71F5}"/>
    <cellStyle name="Scheduled" xfId="9" xr:uid="{B85E50F2-E926-4A98-A53D-F10170DE9815}"/>
    <cellStyle name="Tenative" xfId="10" xr:uid="{4875B139-F858-4DC9-A35E-026F0C0461F0}"/>
    <cellStyle name="zHiddenText" xfId="5" xr:uid="{2FC736B1-A600-482A-A9A8-E3C76645FCAC}"/>
  </cellStyles>
  <dxfs count="66">
    <dxf>
      <fill>
        <patternFill>
          <bgColor theme="0" tint="-4.9989318521683403E-2"/>
        </patternFill>
      </fill>
      <border>
        <left/>
        <right/>
        <top/>
        <bottom/>
        <vertical/>
        <horizontal/>
      </border>
    </dxf>
    <dxf>
      <fill>
        <patternFill>
          <bgColor theme="0" tint="-4.9989318521683403E-2"/>
        </patternFill>
      </fill>
      <border>
        <left/>
        <right/>
        <top/>
        <bottom/>
        <vertical/>
        <horizontal/>
      </border>
    </dxf>
    <dxf>
      <fill>
        <patternFill>
          <bgColor theme="0" tint="-4.9989318521683403E-2"/>
        </patternFill>
      </fill>
      <border>
        <left/>
        <right/>
        <top/>
        <bottom/>
        <vertical/>
        <horizontal/>
      </border>
    </dxf>
    <dxf>
      <fill>
        <patternFill>
          <bgColor theme="0" tint="-4.9989318521683403E-2"/>
        </patternFill>
      </fill>
      <border>
        <left/>
        <right/>
        <top/>
        <bottom/>
        <vertical/>
        <horizontal/>
      </border>
    </dxf>
    <dxf>
      <font>
        <color theme="8" tint="-0.499984740745262"/>
      </font>
      <fill>
        <patternFill>
          <bgColor theme="0" tint="-4.9989318521683403E-2"/>
        </patternFill>
      </fill>
      <border>
        <right/>
      </border>
    </dxf>
    <dxf>
      <fill>
        <patternFill>
          <bgColor theme="0" tint="-4.9989318521683403E-2"/>
        </patternFill>
      </fill>
      <border>
        <left/>
        <right/>
        <top/>
        <bottom/>
        <vertical/>
        <horizontal/>
      </border>
    </dxf>
    <dxf>
      <numFmt numFmtId="0" formatCode="General"/>
    </dxf>
    <dxf>
      <numFmt numFmtId="170" formatCode="mm/dd/yy;@"/>
    </dxf>
    <dxf>
      <numFmt numFmtId="0" formatCode="General"/>
    </dxf>
    <dxf>
      <numFmt numFmtId="0" formatCode="General"/>
    </dxf>
    <dxf>
      <numFmt numFmtId="0" formatCode="General"/>
    </dxf>
    <dxf>
      <font>
        <b/>
      </font>
      <alignment horizontal="center" vertical="bottom" textRotation="0" indent="0" justifyLastLine="0" shrinkToFit="0" readingOrder="0"/>
    </dxf>
    <dxf>
      <numFmt numFmtId="170" formatCode="mm/dd/yy;@"/>
    </dxf>
    <dxf>
      <font>
        <b/>
      </font>
      <alignment horizontal="center" vertical="bottom" textRotation="0" wrapText="1" indent="0" justifyLastLine="0" shrinkToFit="0" readingOrder="0"/>
    </dxf>
    <dxf>
      <numFmt numFmtId="0" formatCode="General"/>
    </dxf>
    <dxf>
      <numFmt numFmtId="3" formatCode="#,##0"/>
    </dxf>
    <dxf>
      <numFmt numFmtId="167" formatCode="m/d/yy;@"/>
    </dxf>
    <dxf>
      <numFmt numFmtId="0" formatCode="General"/>
    </dxf>
    <dxf>
      <numFmt numFmtId="0" formatCode="General"/>
    </dxf>
    <dxf>
      <font>
        <b/>
      </font>
      <alignment horizontal="center" vertical="bottom" textRotation="0" wrapText="1" indent="0" justifyLastLine="0" shrinkToFit="0" readingOrder="0"/>
    </dxf>
    <dxf>
      <numFmt numFmtId="2" formatCode="0.00"/>
      <alignment horizontal="general" vertical="center" textRotation="0" wrapText="0" indent="0" justifyLastLine="0" shrinkToFit="0" readingOrder="0"/>
    </dxf>
    <dxf>
      <numFmt numFmtId="4" formatCode="#,##0.00"/>
      <alignment horizontal="general" vertical="center" textRotation="0" wrapText="0" indent="0" justifyLastLine="0" shrinkToFit="0" readingOrder="0"/>
    </dxf>
    <dxf>
      <numFmt numFmtId="4" formatCode="#,##0.00"/>
      <protection locked="1" hidden="0"/>
    </dxf>
    <dxf>
      <protection locked="1" hidden="0"/>
    </dxf>
    <dxf>
      <numFmt numFmtId="170" formatCode="mm/dd/yy;@"/>
      <protection locked="1" hidden="0"/>
    </dxf>
    <dxf>
      <protection locked="1" hidden="0"/>
    </dxf>
    <dxf>
      <protection locked="1" hidden="0"/>
    </dxf>
    <dxf>
      <numFmt numFmtId="4" formatCode="#,##0.00"/>
      <protection locked="1" hidden="0"/>
    </dxf>
    <dxf>
      <numFmt numFmtId="4" formatCode="#,##0.00"/>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alignment horizontal="center" vertical="bottom" textRotation="0" wrapText="1" indent="0" justifyLastLine="0" shrinkToFit="0" readingOrder="0"/>
      <protection locked="1" hidden="0"/>
    </dxf>
    <dxf>
      <fill>
        <patternFill patternType="solid">
          <fgColor indexed="64"/>
          <bgColor rgb="FFFFFF00"/>
        </patternFill>
      </fill>
      <protection locked="0" hidden="0"/>
    </dxf>
    <dxf>
      <numFmt numFmtId="4" formatCode="#,##0.00"/>
      <fill>
        <patternFill patternType="solid">
          <fgColor indexed="64"/>
          <bgColor rgb="FFFFFF00"/>
        </patternFill>
      </fill>
      <protection locked="0" hidden="0"/>
    </dxf>
    <dxf>
      <numFmt numFmtId="1" formatCode="0"/>
      <fill>
        <patternFill patternType="solid">
          <fgColor indexed="64"/>
          <bgColor rgb="FFFFFF00"/>
        </patternFill>
      </fill>
      <protection locked="0" hidden="0"/>
    </dxf>
    <dxf>
      <numFmt numFmtId="170" formatCode="mm/dd/yy;@"/>
      <fill>
        <patternFill patternType="solid">
          <fgColor indexed="64"/>
          <bgColor rgb="FFFFFF00"/>
        </patternFill>
      </fill>
      <alignment horizontal="right" vertical="bottom" textRotation="0" wrapText="0" indent="0" justifyLastLine="0" shrinkToFit="0" readingOrder="0"/>
      <protection locked="0" hidden="0"/>
    </dxf>
    <dxf>
      <numFmt numFmtId="1" formatCode="0"/>
      <fill>
        <patternFill patternType="solid">
          <fgColor indexed="64"/>
          <bgColor rgb="FFFFFF00"/>
        </patternFill>
      </fill>
      <protection locked="0" hidden="0"/>
    </dxf>
    <dxf>
      <numFmt numFmtId="169" formatCode="m/d;@"/>
      <fill>
        <patternFill patternType="solid">
          <fgColor indexed="64"/>
          <bgColor rgb="FFFFFF00"/>
        </patternFill>
      </fill>
      <alignment horizontal="center" vertical="center" textRotation="0" wrapText="0" indent="0" justifyLastLine="0" shrinkToFit="0" readingOrder="0"/>
      <protection locked="0" hidden="0"/>
    </dxf>
    <dxf>
      <numFmt numFmtId="4" formatCode="#,##0.00"/>
      <protection locked="0" hidden="0"/>
    </dxf>
    <dxf>
      <numFmt numFmtId="4" formatCode="#,##0.00"/>
      <protection locked="0" hidden="0"/>
    </dxf>
    <dxf>
      <protection locked="0" hidden="0"/>
    </dxf>
    <dxf>
      <numFmt numFmtId="0" formatCode="General"/>
      <alignment horizontal="general" vertical="bottom" textRotation="0" wrapText="0" indent="0" justifyLastLine="0" shrinkToFit="0" readingOrder="0"/>
      <protection locked="0" hidden="0"/>
    </dxf>
    <dxf>
      <numFmt numFmtId="0" formatCode="General"/>
      <protection locked="0" hidden="0"/>
    </dxf>
    <dxf>
      <numFmt numFmtId="0" formatCode="General"/>
      <protection locked="0" hidden="0"/>
    </dxf>
    <dxf>
      <numFmt numFmtId="1" formatCode="0"/>
      <protection locked="0" hidden="0"/>
    </dxf>
    <dxf>
      <numFmt numFmtId="0" formatCode="General"/>
      <protection locked="0" hidden="0"/>
    </dxf>
    <dxf>
      <protection locked="0" hidden="0"/>
    </dxf>
    <dxf>
      <font>
        <b/>
      </font>
      <alignment horizontal="center" vertical="bottom" textRotation="0" wrapText="1" indent="0" justifyLastLine="0" shrinkToFit="0" readingOrder="0"/>
      <protection locked="0" hidden="0"/>
    </dxf>
    <dxf>
      <font>
        <b val="0"/>
        <i val="0"/>
        <strike val="0"/>
        <condense val="0"/>
        <extend val="0"/>
        <outline val="0"/>
        <shadow val="0"/>
        <u val="none"/>
        <vertAlign val="baseline"/>
        <sz val="12"/>
        <color auto="1"/>
        <name val="Arial"/>
        <scheme val="none"/>
      </font>
      <numFmt numFmtId="4" formatCode="#,##0.00"/>
      <fill>
        <patternFill patternType="solid">
          <fgColor indexed="64"/>
          <bgColor rgb="FFFFFFFF"/>
        </patternFill>
      </fill>
      <alignment horizontal="general" vertical="top" textRotation="0" wrapText="0" indent="0" justifyLastLine="0" shrinkToFit="0" readingOrder="0"/>
      <border diagonalUp="0" diagonalDown="0">
        <left/>
        <right/>
        <top/>
        <bottom style="thin">
          <color auto="1"/>
        </bottom>
      </border>
    </dxf>
    <dxf>
      <font>
        <b val="0"/>
        <i val="0"/>
        <strike val="0"/>
        <condense val="0"/>
        <extend val="0"/>
        <outline val="0"/>
        <shadow val="0"/>
        <u val="none"/>
        <vertAlign val="baseline"/>
        <sz val="12"/>
        <color auto="1"/>
        <name val="Arial"/>
        <scheme val="none"/>
      </font>
      <numFmt numFmtId="1" formatCode="0"/>
      <fill>
        <patternFill patternType="solid">
          <fgColor indexed="64"/>
          <bgColor rgb="FFFFFFFF"/>
        </patternFill>
      </fill>
      <alignment horizontal="general" vertical="top" textRotation="0" wrapText="0" indent="0" justifyLastLine="0" shrinkToFit="0" readingOrder="0"/>
      <border diagonalUp="0" diagonalDown="0">
        <left/>
        <right/>
        <top/>
        <bottom style="thin">
          <color auto="1"/>
        </bottom>
      </border>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border outline="0">
        <bottom style="thick">
          <color indexed="55"/>
        </bottom>
      </border>
    </dxf>
    <dxf>
      <font>
        <b val="0"/>
        <i val="0"/>
        <strike val="0"/>
        <condense val="0"/>
        <extend val="0"/>
        <outline val="0"/>
        <shadow val="0"/>
        <u val="none"/>
        <vertAlign val="baseline"/>
        <sz val="12"/>
        <color auto="1"/>
        <name val="Arial"/>
        <scheme val="none"/>
      </font>
      <alignment horizontal="center" vertical="top" textRotation="0" wrapText="0" indent="0" justifyLastLine="0" shrinkToFit="0" readingOrder="0"/>
    </dxf>
    <dxf>
      <fill>
        <patternFill patternType="none">
          <fgColor indexed="64"/>
          <bgColor auto="1"/>
        </patternFill>
      </fill>
      <border>
        <top style="thin">
          <color theme="6" tint="0.39994506668294322"/>
        </top>
        <bottom style="thin">
          <color theme="6" tint="0.39994506668294322"/>
        </bottom>
      </border>
    </dxf>
    <dxf>
      <font>
        <color theme="0"/>
      </font>
      <fill>
        <patternFill>
          <bgColor theme="1" tint="0.34998626667073579"/>
        </patternFill>
      </fill>
      <border diagonalUp="0" diagonalDown="0">
        <left/>
        <right/>
        <top/>
        <bottom/>
        <vertical/>
        <horizontal/>
      </border>
    </dxf>
    <dxf>
      <font>
        <color theme="8" tint="-0.499984740745262"/>
      </font>
      <border diagonalUp="0" diagonalDown="0">
        <left/>
        <right style="thin">
          <color theme="6" tint="0.39994506668294322"/>
        </right>
        <top/>
        <bottom/>
        <vertical/>
        <horizontal/>
      </border>
    </dxf>
    <dxf>
      <fill>
        <patternFill patternType="none">
          <fgColor indexed="64"/>
          <bgColor auto="1"/>
        </patternFill>
      </fill>
      <border>
        <top style="thin">
          <color theme="6" tint="0.39994506668294322"/>
        </top>
        <bottom style="thin">
          <color theme="6" tint="0.39994506668294322"/>
        </bottom>
      </border>
    </dxf>
    <dxf>
      <font>
        <color theme="0"/>
      </font>
      <fill>
        <patternFill>
          <bgColor theme="1" tint="0.34998626667073579"/>
        </patternFill>
      </fill>
      <border diagonalUp="0" diagonalDown="0">
        <left/>
        <right/>
        <top/>
        <bottom/>
        <vertical/>
        <horizontal/>
      </border>
    </dxf>
    <dxf>
      <font>
        <color theme="8" tint="-0.499984740745262"/>
      </font>
      <border diagonalUp="0" diagonalDown="0">
        <left/>
        <right style="thin">
          <color theme="6" tint="0.39994506668294322"/>
        </right>
        <top/>
        <bottom/>
        <vertical/>
        <horizontal/>
      </border>
    </dxf>
  </dxfs>
  <tableStyles count="2" defaultTableStyle="TableStyleMedium2" defaultPivotStyle="PivotStyleLight16">
    <tableStyle name="Gantt Table Style" pivot="0" count="3" xr9:uid="{FAB708AF-E22D-403D-BF2C-158F5DFD67AA}">
      <tableStyleElement type="wholeTable" dxfId="65"/>
      <tableStyleElement type="headerRow" dxfId="64"/>
      <tableStyleElement type="firstRowStripe" dxfId="63"/>
    </tableStyle>
    <tableStyle name="Gantt Table Style 2" pivot="0" count="3" xr9:uid="{188EAD57-0217-4B5E-8A07-C858B28862F4}">
      <tableStyleElement type="wholeTable" dxfId="62"/>
      <tableStyleElement type="headerRow" dxfId="61"/>
      <tableStyleElement type="firstRowStripe" dxfId="6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connections" Target="connections.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sheetMetadata" Target="metadata.xml"/><Relationship Id="rId40" Type="http://schemas.openxmlformats.org/officeDocument/2006/relationships/customXml" Target="../customXml/item1.xml"/><Relationship Id="rId45" Type="http://schemas.openxmlformats.org/officeDocument/2006/relationships/customXml" Target="../customXml/item6.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styles" Target="styles.xml"/><Relationship Id="rId43" Type="http://schemas.openxmlformats.org/officeDocument/2006/relationships/customXml" Target="../customXml/item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powerPivotData" Target="model/item.data"/><Relationship Id="rId46" Type="http://schemas.openxmlformats.org/officeDocument/2006/relationships/customXml" Target="../customXml/item7.xml"/><Relationship Id="rId20" Type="http://schemas.openxmlformats.org/officeDocument/2006/relationships/worksheet" Target="worksheets/sheet20.xml"/><Relationship Id="rId41" Type="http://schemas.openxmlformats.org/officeDocument/2006/relationships/customXml" Target="../customXml/item2.xml"/></Relationships>
</file>

<file path=xl/ctrlProps/ctrlProp1.xml><?xml version="1.0" encoding="utf-8"?>
<formControlPr xmlns="http://schemas.microsoft.com/office/spreadsheetml/2009/9/main" objectType="Scroll" dx="39" fmlaLink="$AB$26" horiz="1" max="365" page="0" val="0"/>
</file>

<file path=xl/drawings/_rels/drawing1.xml.rels><?xml version="1.0" encoding="UTF-8" standalone="yes"?>
<Relationships xmlns="http://schemas.openxmlformats.org/package/2006/relationships"><Relationship Id="rId8" Type="http://schemas.openxmlformats.org/officeDocument/2006/relationships/customXml" Target="../ink/ink5.xml"/><Relationship Id="rId13" Type="http://schemas.openxmlformats.org/officeDocument/2006/relationships/image" Target="../media/image100.png"/><Relationship Id="rId3" Type="http://schemas.openxmlformats.org/officeDocument/2006/relationships/customXml" Target="../ink/ink2.xml"/><Relationship Id="rId7" Type="http://schemas.openxmlformats.org/officeDocument/2006/relationships/customXml" Target="../ink/ink4.xml"/><Relationship Id="rId12" Type="http://schemas.openxmlformats.org/officeDocument/2006/relationships/customXml" Target="../ink/ink8.xml"/><Relationship Id="rId17" Type="http://schemas.openxmlformats.org/officeDocument/2006/relationships/customXml" Target="../ink/ink11.xml"/><Relationship Id="rId2" Type="http://schemas.openxmlformats.org/officeDocument/2006/relationships/image" Target="../media/image1.png"/><Relationship Id="rId16" Type="http://schemas.openxmlformats.org/officeDocument/2006/relationships/image" Target="../media/image12.png"/><Relationship Id="rId1" Type="http://schemas.openxmlformats.org/officeDocument/2006/relationships/customXml" Target="../ink/ink1.xml"/><Relationship Id="rId6" Type="http://schemas.openxmlformats.org/officeDocument/2006/relationships/image" Target="../media/image11.png"/><Relationship Id="rId11" Type="http://schemas.openxmlformats.org/officeDocument/2006/relationships/customXml" Target="../ink/ink7.xml"/><Relationship Id="rId5" Type="http://schemas.openxmlformats.org/officeDocument/2006/relationships/customXml" Target="../ink/ink3.xml"/><Relationship Id="rId15" Type="http://schemas.openxmlformats.org/officeDocument/2006/relationships/customXml" Target="../ink/ink10.xml"/><Relationship Id="rId10" Type="http://schemas.openxmlformats.org/officeDocument/2006/relationships/image" Target="../media/image110.png"/><Relationship Id="rId4" Type="http://schemas.openxmlformats.org/officeDocument/2006/relationships/image" Target="../media/image10.png"/><Relationship Id="rId9" Type="http://schemas.openxmlformats.org/officeDocument/2006/relationships/customXml" Target="../ink/ink6.xml"/><Relationship Id="rId14" Type="http://schemas.openxmlformats.org/officeDocument/2006/relationships/customXml" Target="../ink/ink9.xml"/></Relationships>
</file>

<file path=xl/drawings/_rels/drawing3.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customXml" Target="../ink/ink12.xml"/></Relationships>
</file>

<file path=xl/drawings/_rels/drawing4.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customXml" Target="../ink/ink13.xml"/></Relationships>
</file>

<file path=xl/drawings/_rels/drawing5.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customXml" Target="../ink/ink14.xml"/></Relationships>
</file>

<file path=xl/drawings/_rels/drawing6.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customXml" Target="../ink/ink15.xml"/></Relationships>
</file>

<file path=xl/drawings/drawing1.xml><?xml version="1.0" encoding="utf-8"?>
<xdr:wsDr xmlns:xdr="http://schemas.openxmlformats.org/drawingml/2006/spreadsheetDrawing" xmlns:a="http://schemas.openxmlformats.org/drawingml/2006/main">
  <xdr:twoCellAnchor editAs="oneCell">
    <xdr:from>
      <xdr:col>3</xdr:col>
      <xdr:colOff>359571</xdr:colOff>
      <xdr:row>45</xdr:row>
      <xdr:rowOff>155606</xdr:rowOff>
    </xdr:from>
    <xdr:to>
      <xdr:col>3</xdr:col>
      <xdr:colOff>403647</xdr:colOff>
      <xdr:row>46</xdr:row>
      <xdr:rowOff>8127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7" name="Ink 6">
              <a:extLst>
                <a:ext uri="{FF2B5EF4-FFF2-40B4-BE49-F238E27FC236}">
                  <a16:creationId xmlns:a16="http://schemas.microsoft.com/office/drawing/2014/main" id="{00000000-0008-0000-0200-000007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2"/>
            <a:stretch>
              <a:fillRect/>
            </a:stretch>
          </xdr:blipFill>
          <xdr:spPr>
            <a:xfrm>
              <a:off x="4519800" y="8360237"/>
              <a:ext cx="64440" cy="60120"/>
            </a:xfrm>
            <a:prstGeom prst="rect">
              <a:avLst/>
            </a:prstGeom>
          </xdr:spPr>
        </xdr:pic>
      </mc:Fallback>
    </mc:AlternateContent>
    <xdr:clientData/>
  </xdr:twoCellAnchor>
  <xdr:oneCellAnchor>
    <xdr:from>
      <xdr:col>2</xdr:col>
      <xdr:colOff>359571</xdr:colOff>
      <xdr:row>47</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2" name="Ink 1">
              <a:extLst>
                <a:ext uri="{FF2B5EF4-FFF2-40B4-BE49-F238E27FC236}">
                  <a16:creationId xmlns:a16="http://schemas.microsoft.com/office/drawing/2014/main" id="{00000000-0008-0000-0200-000002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4"/>
            <a:stretch>
              <a:fillRect/>
            </a:stretch>
          </xdr:blipFill>
          <xdr:spPr>
            <a:xfrm>
              <a:off x="4519800" y="8360237"/>
              <a:ext cx="64440" cy="60120"/>
            </a:xfrm>
            <a:prstGeom prst="rect">
              <a:avLst/>
            </a:prstGeom>
          </xdr:spPr>
        </xdr:pic>
      </mc:Fallback>
    </mc:AlternateContent>
    <xdr:clientData/>
  </xdr:oneCellAnchor>
  <xdr:oneCellAnchor>
    <xdr:from>
      <xdr:col>2</xdr:col>
      <xdr:colOff>359571</xdr:colOff>
      <xdr:row>47</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3" name="Ink 2">
              <a:extLst>
                <a:ext uri="{FF2B5EF4-FFF2-40B4-BE49-F238E27FC236}">
                  <a16:creationId xmlns:a16="http://schemas.microsoft.com/office/drawing/2014/main" id="{00000000-0008-0000-0200-000003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6"/>
            <a:stretch>
              <a:fillRect/>
            </a:stretch>
          </xdr:blipFill>
          <xdr:spPr>
            <a:xfrm>
              <a:off x="4519800" y="8360237"/>
              <a:ext cx="64440" cy="60120"/>
            </a:xfrm>
            <a:prstGeom prst="rect">
              <a:avLst/>
            </a:prstGeom>
          </xdr:spPr>
        </xdr:pic>
      </mc:Fallback>
    </mc:AlternateContent>
    <xdr:clientData/>
  </xdr:oneCellAnchor>
  <xdr:oneCellAnchor>
    <xdr:from>
      <xdr:col>2</xdr:col>
      <xdr:colOff>359571</xdr:colOff>
      <xdr:row>47</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4" name="Ink 3">
              <a:extLst>
                <a:ext uri="{FF2B5EF4-FFF2-40B4-BE49-F238E27FC236}">
                  <a16:creationId xmlns:a16="http://schemas.microsoft.com/office/drawing/2014/main" id="{00000000-0008-0000-0200-000004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6"/>
            <a:stretch>
              <a:fillRect/>
            </a:stretch>
          </xdr:blipFill>
          <xdr:spPr>
            <a:xfrm>
              <a:off x="4519800" y="8360237"/>
              <a:ext cx="64440" cy="60120"/>
            </a:xfrm>
            <a:prstGeom prst="rect">
              <a:avLst/>
            </a:prstGeom>
          </xdr:spPr>
        </xdr:pic>
      </mc:Fallback>
    </mc:AlternateContent>
    <xdr:clientData/>
  </xdr:oneCellAnchor>
  <xdr:oneCellAnchor>
    <xdr:from>
      <xdr:col>2</xdr:col>
      <xdr:colOff>359571</xdr:colOff>
      <xdr:row>48</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5" name="Ink 4">
              <a:extLst>
                <a:ext uri="{FF2B5EF4-FFF2-40B4-BE49-F238E27FC236}">
                  <a16:creationId xmlns:a16="http://schemas.microsoft.com/office/drawing/2014/main" id="{00000000-0008-0000-0200-000005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6"/>
            <a:stretch>
              <a:fillRect/>
            </a:stretch>
          </xdr:blipFill>
          <xdr:spPr>
            <a:xfrm>
              <a:off x="4519800" y="8360237"/>
              <a:ext cx="64440" cy="60120"/>
            </a:xfrm>
            <a:prstGeom prst="rect">
              <a:avLst/>
            </a:prstGeom>
          </xdr:spPr>
        </xdr:pic>
      </mc:Fallback>
    </mc:AlternateContent>
    <xdr:clientData/>
  </xdr:oneCellAnchor>
  <xdr:oneCellAnchor>
    <xdr:from>
      <xdr:col>2</xdr:col>
      <xdr:colOff>359571</xdr:colOff>
      <xdr:row>57</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6" name="Ink 5">
              <a:extLst>
                <a:ext uri="{FF2B5EF4-FFF2-40B4-BE49-F238E27FC236}">
                  <a16:creationId xmlns:a16="http://schemas.microsoft.com/office/drawing/2014/main" id="{00000000-0008-0000-0200-000006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10"/>
            <a:stretch>
              <a:fillRect/>
            </a:stretch>
          </xdr:blipFill>
          <xdr:spPr>
            <a:xfrm>
              <a:off x="4519800" y="8360237"/>
              <a:ext cx="64440" cy="60120"/>
            </a:xfrm>
            <a:prstGeom prst="rect">
              <a:avLst/>
            </a:prstGeom>
          </xdr:spPr>
        </xdr:pic>
      </mc:Fallback>
    </mc:AlternateContent>
    <xdr:clientData/>
  </xdr:oneCellAnchor>
  <xdr:oneCellAnchor>
    <xdr:from>
      <xdr:col>2</xdr:col>
      <xdr:colOff>359571</xdr:colOff>
      <xdr:row>58</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8" name="Ink 7">
              <a:extLst>
                <a:ext uri="{FF2B5EF4-FFF2-40B4-BE49-F238E27FC236}">
                  <a16:creationId xmlns:a16="http://schemas.microsoft.com/office/drawing/2014/main" id="{00000000-0008-0000-0200-000008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10"/>
            <a:stretch>
              <a:fillRect/>
            </a:stretch>
          </xdr:blipFill>
          <xdr:spPr>
            <a:xfrm>
              <a:off x="4519800" y="8360237"/>
              <a:ext cx="64440" cy="60120"/>
            </a:xfrm>
            <a:prstGeom prst="rect">
              <a:avLst/>
            </a:prstGeom>
          </xdr:spPr>
        </xdr:pic>
      </mc:Fallback>
    </mc:AlternateContent>
    <xdr:clientData/>
  </xdr:oneCellAnchor>
  <xdr:oneCellAnchor>
    <xdr:from>
      <xdr:col>2</xdr:col>
      <xdr:colOff>359571</xdr:colOff>
      <xdr:row>58</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 name="Ink 8">
              <a:extLst>
                <a:ext uri="{FF2B5EF4-FFF2-40B4-BE49-F238E27FC236}">
                  <a16:creationId xmlns:a16="http://schemas.microsoft.com/office/drawing/2014/main" id="{00000000-0008-0000-0200-000009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13"/>
            <a:stretch>
              <a:fillRect/>
            </a:stretch>
          </xdr:blipFill>
          <xdr:spPr>
            <a:xfrm>
              <a:off x="4519800" y="8360237"/>
              <a:ext cx="64440" cy="60120"/>
            </a:xfrm>
            <a:prstGeom prst="rect">
              <a:avLst/>
            </a:prstGeom>
          </xdr:spPr>
        </xdr:pic>
      </mc:Fallback>
    </mc:AlternateContent>
    <xdr:clientData/>
  </xdr:oneCellAnchor>
  <xdr:oneCellAnchor>
    <xdr:from>
      <xdr:col>2</xdr:col>
      <xdr:colOff>359571</xdr:colOff>
      <xdr:row>58</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 name="Ink 9">
              <a:extLst>
                <a:ext uri="{FF2B5EF4-FFF2-40B4-BE49-F238E27FC236}">
                  <a16:creationId xmlns:a16="http://schemas.microsoft.com/office/drawing/2014/main" id="{00000000-0008-0000-0200-00000A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13"/>
            <a:stretch>
              <a:fillRect/>
            </a:stretch>
          </xdr:blipFill>
          <xdr:spPr>
            <a:xfrm>
              <a:off x="4519800" y="8360237"/>
              <a:ext cx="64440" cy="60120"/>
            </a:xfrm>
            <a:prstGeom prst="rect">
              <a:avLst/>
            </a:prstGeom>
          </xdr:spPr>
        </xdr:pic>
      </mc:Fallback>
    </mc:AlternateContent>
    <xdr:clientData/>
  </xdr:oneCellAnchor>
  <xdr:twoCellAnchor editAs="oneCell">
    <xdr:from>
      <xdr:col>8</xdr:col>
      <xdr:colOff>359571</xdr:colOff>
      <xdr:row>55</xdr:row>
      <xdr:rowOff>155606</xdr:rowOff>
    </xdr:from>
    <xdr:to>
      <xdr:col>8</xdr:col>
      <xdr:colOff>403647</xdr:colOff>
      <xdr:row>56</xdr:row>
      <xdr:rowOff>8127</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1" name="Ink 10">
              <a:extLst>
                <a:ext uri="{FF2B5EF4-FFF2-40B4-BE49-F238E27FC236}">
                  <a16:creationId xmlns:a16="http://schemas.microsoft.com/office/drawing/2014/main" id="{00000000-0008-0000-0200-00000B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16"/>
            <a:stretch>
              <a:fillRect/>
            </a:stretch>
          </xdr:blipFill>
          <xdr:spPr>
            <a:xfrm>
              <a:off x="4519800" y="8360237"/>
              <a:ext cx="64440" cy="60120"/>
            </a:xfrm>
            <a:prstGeom prst="rect">
              <a:avLst/>
            </a:prstGeom>
          </xdr:spPr>
        </xdr:pic>
      </mc:Fallback>
    </mc:AlternateContent>
    <xdr:clientData/>
  </xdr:twoCellAnchor>
  <xdr:oneCellAnchor>
    <xdr:from>
      <xdr:col>2</xdr:col>
      <xdr:colOff>359571</xdr:colOff>
      <xdr:row>49</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2" name="Ink 11">
              <a:extLst>
                <a:ext uri="{FF2B5EF4-FFF2-40B4-BE49-F238E27FC236}">
                  <a16:creationId xmlns:a16="http://schemas.microsoft.com/office/drawing/2014/main" id="{D96E3DDB-5DC9-4ABF-A03A-89C5AECB452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6"/>
            <a:stretch>
              <a:fillRect/>
            </a:stretch>
          </xdr:blipFill>
          <xdr:spPr>
            <a:xfrm>
              <a:off x="4519800" y="8360237"/>
              <a:ext cx="64440" cy="60120"/>
            </a:xfrm>
            <a:prstGeom prst="rect">
              <a:avLst/>
            </a:prstGeom>
          </xdr:spPr>
        </xdr:pic>
      </mc:Fallback>
    </mc:AlternateContent>
    <xdr:clientData/>
  </xdr:one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18</xdr:col>
          <xdr:colOff>38100</xdr:colOff>
          <xdr:row>23</xdr:row>
          <xdr:rowOff>142875</xdr:rowOff>
        </xdr:from>
        <xdr:to>
          <xdr:col>24</xdr:col>
          <xdr:colOff>142875</xdr:colOff>
          <xdr:row>25</xdr:row>
          <xdr:rowOff>38100</xdr:rowOff>
        </xdr:to>
        <xdr:sp macro="" textlink="">
          <xdr:nvSpPr>
            <xdr:cNvPr id="29697" name="Scroll Bar 1" descr="Scrollbar for scrolling through the Gantt Timeline." hidden="1">
              <a:extLst>
                <a:ext uri="{63B3BB69-23CF-44E3-9099-C40C66FF867C}">
                  <a14:compatExt spid="_x0000_s29697"/>
                </a:ext>
                <a:ext uri="{FF2B5EF4-FFF2-40B4-BE49-F238E27FC236}">
                  <a16:creationId xmlns:a16="http://schemas.microsoft.com/office/drawing/2014/main" id="{00000000-0008-0000-0700-000001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3</xdr:col>
      <xdr:colOff>359571</xdr:colOff>
      <xdr:row>4</xdr:row>
      <xdr:rowOff>155606</xdr:rowOff>
    </xdr:from>
    <xdr:to>
      <xdr:col>3</xdr:col>
      <xdr:colOff>403647</xdr:colOff>
      <xdr:row>5</xdr:row>
      <xdr:rowOff>17653</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1700-000002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2"/>
            <a:stretch>
              <a:fillRect/>
            </a:stretch>
          </xdr:blipFill>
          <xdr:spPr>
            <a:xfrm>
              <a:off x="4519800" y="8360237"/>
              <a:ext cx="64440" cy="60120"/>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359571</xdr:colOff>
      <xdr:row>4</xdr:row>
      <xdr:rowOff>155606</xdr:rowOff>
    </xdr:from>
    <xdr:to>
      <xdr:col>3</xdr:col>
      <xdr:colOff>403647</xdr:colOff>
      <xdr:row>5</xdr:row>
      <xdr:rowOff>17653</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1800-000002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2"/>
            <a:stretch>
              <a:fillRect/>
            </a:stretch>
          </xdr:blipFill>
          <xdr:spPr>
            <a:xfrm>
              <a:off x="4519800" y="8360237"/>
              <a:ext cx="64440" cy="60120"/>
            </a:xfrm>
            <a:prstGeom prst="rect">
              <a:avLst/>
            </a:prstGeom>
          </xdr:spPr>
        </xdr:pic>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359571</xdr:colOff>
      <xdr:row>4</xdr:row>
      <xdr:rowOff>155606</xdr:rowOff>
    </xdr:from>
    <xdr:to>
      <xdr:col>3</xdr:col>
      <xdr:colOff>403647</xdr:colOff>
      <xdr:row>5</xdr:row>
      <xdr:rowOff>17653</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1900-000002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2"/>
            <a:stretch>
              <a:fillRect/>
            </a:stretch>
          </xdr:blipFill>
          <xdr:spPr>
            <a:xfrm>
              <a:off x="4519800" y="8360237"/>
              <a:ext cx="64440" cy="60120"/>
            </a:xfrm>
            <a:prstGeom prst="rect">
              <a:avLst/>
            </a:prstGeom>
          </xdr:spPr>
        </xdr:pic>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359571</xdr:colOff>
      <xdr:row>4</xdr:row>
      <xdr:rowOff>155606</xdr:rowOff>
    </xdr:from>
    <xdr:to>
      <xdr:col>3</xdr:col>
      <xdr:colOff>403647</xdr:colOff>
      <xdr:row>5</xdr:row>
      <xdr:rowOff>17653</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1A00-000002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2"/>
            <a:stretch>
              <a:fillRect/>
            </a:stretch>
          </xdr:blipFill>
          <xdr:spPr>
            <a:xfrm>
              <a:off x="4519800" y="8360237"/>
              <a:ext cx="64440" cy="6012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lifeisanadventure.sharepoint.com/sites/SellYourHome/Shared%20Documents/Property/19_Project%20Management%20-%201426%20Pleasant%20Garden%20Ln.xlsx" TargetMode="External"/><Relationship Id="rId1" Type="http://schemas.openxmlformats.org/officeDocument/2006/relationships/externalLinkPath" Target="19_Project%20Management%20-%201426%20Pleasant%20Garden%20Ln.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lifeisanadventure.sharepoint.com/sites/SellYourHome/Shared%20Documents/Property/17_Project%20Management%20-%203413%20Pinetree%20Ln.xlsx" TargetMode="External"/><Relationship Id="rId1" Type="http://schemas.openxmlformats.org/officeDocument/2006/relationships/externalLinkPath" Target="17_Project%20Management%20-%203413%20Pinetree%20L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8_Project%20Management%20-%203021%20Pearces%20Rd.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lifeisanadventure.sharepoint.com/sites/SellYourHome/Shared%20Documents/Property/14_Project%20Management%20-%205008%20Larchmont%20Dr.xlsx" TargetMode="External"/><Relationship Id="rId1" Type="http://schemas.openxmlformats.org/officeDocument/2006/relationships/externalLinkPath" Target="14_Project%20Management%20-%205008%20Larchmont%20Dr.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6_Project%20Management%20-%206004%20Sandy%20Ru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4mDJWAoUZEiObH1uIc-tPNklzEL-JwdPrMve0F7Efu7K7Z-rHQDJTLJE2cO-WifT" itemId="01ZGFUBDKYSK4JAZNXNNHYSFLXXGA45WJR">
      <xxl21:absoluteUrl r:id="rId2"/>
    </xxl21:alternateUrls>
    <sheetNames>
      <sheetName val="Profit"/>
      <sheetName val="MOG"/>
      <sheetName val="Todo"/>
      <sheetName val="Contact"/>
      <sheetName val="Carrying"/>
      <sheetName val="Contract"/>
      <sheetName val="UpdateContract"/>
      <sheetName val="Gnatt Chart"/>
      <sheetName val="Recap"/>
      <sheetName val="Taxes"/>
      <sheetName val="Seller Advance"/>
      <sheetName val="MISC"/>
      <sheetName val="Demo &amp; Trash Haul"/>
      <sheetName val="Appliances"/>
      <sheetName val="Plumbing Fixtures"/>
      <sheetName val="Windows &amp; Doors"/>
      <sheetName val="Cabinets"/>
      <sheetName val="Paint"/>
      <sheetName val="Flooring"/>
      <sheetName val="HVAC"/>
      <sheetName val="Electrical Fixtures"/>
      <sheetName val="Landscape"/>
      <sheetName val="Exterior"/>
      <sheetName val="19_Project Management - 1426 Pl"/>
    </sheetNames>
    <sheetDataSet>
      <sheetData sheetId="0"/>
      <sheetData sheetId="1"/>
      <sheetData sheetId="2">
        <row r="3">
          <cell r="A3"/>
        </row>
        <row r="4">
          <cell r="A4"/>
        </row>
        <row r="5">
          <cell r="A5"/>
        </row>
        <row r="6">
          <cell r="A6"/>
        </row>
        <row r="7">
          <cell r="A7"/>
        </row>
        <row r="8">
          <cell r="A8"/>
        </row>
        <row r="9">
          <cell r="A9"/>
        </row>
        <row r="10">
          <cell r="A10"/>
        </row>
        <row r="11">
          <cell r="A11"/>
        </row>
        <row r="12">
          <cell r="A12" t="str">
            <v>After Purchase</v>
          </cell>
        </row>
        <row r="13">
          <cell r="A13"/>
        </row>
        <row r="14">
          <cell r="A14"/>
        </row>
        <row r="15">
          <cell r="A15"/>
        </row>
        <row r="16">
          <cell r="A16"/>
        </row>
        <row r="17">
          <cell r="A17"/>
        </row>
        <row r="18">
          <cell r="A18"/>
        </row>
        <row r="19">
          <cell r="A19"/>
        </row>
        <row r="20">
          <cell r="A20"/>
        </row>
        <row r="21">
          <cell r="A21"/>
        </row>
        <row r="22">
          <cell r="A22"/>
        </row>
        <row r="23">
          <cell r="A23"/>
        </row>
        <row r="24">
          <cell r="A24"/>
        </row>
        <row r="25">
          <cell r="A25"/>
        </row>
        <row r="26">
          <cell r="A26"/>
        </row>
        <row r="27">
          <cell r="A27"/>
        </row>
        <row r="28">
          <cell r="A28"/>
        </row>
        <row r="29">
          <cell r="A29"/>
        </row>
        <row r="30">
          <cell r="A30" t="str">
            <v>Upon Sales Contract</v>
          </cell>
        </row>
        <row r="31">
          <cell r="A31"/>
        </row>
        <row r="32">
          <cell r="A32"/>
        </row>
        <row r="33">
          <cell r="A33"/>
        </row>
        <row r="34">
          <cell r="A34"/>
        </row>
        <row r="35">
          <cell r="A35"/>
        </row>
        <row r="36">
          <cell r="A36"/>
        </row>
        <row r="37">
          <cell r="A37"/>
        </row>
        <row r="38">
          <cell r="A38" t="str">
            <v>Upon Closing</v>
          </cell>
        </row>
        <row r="39">
          <cell r="A39"/>
        </row>
        <row r="40">
          <cell r="A40"/>
        </row>
        <row r="41">
          <cell r="A41"/>
        </row>
        <row r="44">
          <cell r="E44">
            <v>341700</v>
          </cell>
        </row>
        <row r="45">
          <cell r="E45">
            <v>182784</v>
          </cell>
        </row>
        <row r="46">
          <cell r="E46">
            <v>47412.056299999997</v>
          </cell>
        </row>
        <row r="47">
          <cell r="E47">
            <v>273784</v>
          </cell>
        </row>
        <row r="48">
          <cell r="E48">
            <v>2358.6708818635602</v>
          </cell>
        </row>
        <row r="49">
          <cell r="E49">
            <v>2225</v>
          </cell>
        </row>
        <row r="50">
          <cell r="E50">
            <v>132917.8527116667</v>
          </cell>
        </row>
        <row r="51">
          <cell r="E51">
            <v>13291.785271166671</v>
          </cell>
        </row>
        <row r="52">
          <cell r="E52"/>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4mDJWAoUZEiObH1uIc-tPNklzEL-JwdPrMve0F7Efu7K7Z-rHQDJTLJE2cO-WifT" itemId="01ZGFUBDPOZ4WDEWUUXZEYUZSMQ2KG2W3J">
      <xxl21:absoluteUrl r:id="rId2"/>
    </xxl21:alternateUrls>
    <sheetNames>
      <sheetName val="Profit"/>
      <sheetName val="MOG"/>
      <sheetName val="Todo"/>
      <sheetName val="Contact"/>
      <sheetName val="Example Proposal"/>
      <sheetName val="Proposal"/>
      <sheetName val="ProposalUpdate"/>
      <sheetName val="Gnatt Chart"/>
      <sheetName val="Taxes"/>
      <sheetName val="Financing"/>
      <sheetName val="Seller Advance"/>
      <sheetName val="MISC 2"/>
      <sheetName val="Demo &amp; Trash Haul"/>
      <sheetName val="Appliances"/>
      <sheetName val="Plumbing Fixtures"/>
      <sheetName val="Sheet1"/>
      <sheetName val="Sheet2"/>
      <sheetName val="Windows &amp; Doors"/>
      <sheetName val="Cabinets"/>
      <sheetName val="Paint"/>
      <sheetName val="Flooring"/>
      <sheetName val="HVAC"/>
      <sheetName val="Electrical Fixtures"/>
      <sheetName val="Landscape"/>
      <sheetName val="Sheet5"/>
      <sheetName val="Exterior"/>
      <sheetName val="Sheet3"/>
      <sheetName val="Sheet4"/>
      <sheetName val="17_Project Management - 3413 Pi"/>
    </sheetNames>
    <sheetDataSet>
      <sheetData sheetId="0"/>
      <sheetData sheetId="1"/>
      <sheetData sheetId="2">
        <row r="3">
          <cell r="A3"/>
        </row>
        <row r="4">
          <cell r="A4"/>
        </row>
        <row r="5">
          <cell r="A5"/>
        </row>
        <row r="6">
          <cell r="A6"/>
        </row>
        <row r="7">
          <cell r="A7"/>
        </row>
        <row r="8">
          <cell r="A8"/>
        </row>
        <row r="9">
          <cell r="A9"/>
        </row>
        <row r="10">
          <cell r="A10"/>
        </row>
        <row r="11">
          <cell r="A11"/>
        </row>
        <row r="12">
          <cell r="A12" t="str">
            <v>After Purchase</v>
          </cell>
        </row>
        <row r="13">
          <cell r="A13"/>
        </row>
        <row r="14">
          <cell r="A14"/>
        </row>
        <row r="15">
          <cell r="A15"/>
        </row>
        <row r="16">
          <cell r="A16"/>
        </row>
        <row r="17">
          <cell r="A17"/>
        </row>
        <row r="18">
          <cell r="A18"/>
        </row>
        <row r="19">
          <cell r="A19"/>
        </row>
        <row r="20">
          <cell r="A20"/>
        </row>
        <row r="21">
          <cell r="A21"/>
        </row>
        <row r="22">
          <cell r="A22"/>
        </row>
        <row r="23">
          <cell r="A23"/>
        </row>
        <row r="24">
          <cell r="A24"/>
        </row>
        <row r="25">
          <cell r="A25"/>
        </row>
        <row r="26">
          <cell r="A26"/>
        </row>
        <row r="27">
          <cell r="A27"/>
        </row>
        <row r="28">
          <cell r="A28"/>
        </row>
        <row r="29">
          <cell r="A29"/>
        </row>
        <row r="30">
          <cell r="A30" t="str">
            <v>Upon Sales Contract</v>
          </cell>
        </row>
        <row r="31">
          <cell r="A31"/>
        </row>
        <row r="32">
          <cell r="A32"/>
        </row>
        <row r="33">
          <cell r="A33"/>
        </row>
        <row r="34">
          <cell r="A34"/>
        </row>
        <row r="35">
          <cell r="A35"/>
        </row>
        <row r="36">
          <cell r="A36"/>
        </row>
        <row r="37">
          <cell r="A37"/>
        </row>
        <row r="38">
          <cell r="A38" t="str">
            <v>Upon Closing</v>
          </cell>
        </row>
        <row r="39">
          <cell r="A39"/>
        </row>
        <row r="40">
          <cell r="A40"/>
        </row>
        <row r="41">
          <cell r="A41"/>
        </row>
        <row r="44">
          <cell r="E44">
            <v>287000</v>
          </cell>
        </row>
        <row r="45">
          <cell r="E45">
            <v>185424.13125000001</v>
          </cell>
        </row>
        <row r="46">
          <cell r="E46">
            <v>5676.2640000000001</v>
          </cell>
        </row>
        <row r="47">
          <cell r="E47">
            <v>142424</v>
          </cell>
        </row>
        <row r="48">
          <cell r="E48">
            <v>890.28000000000009</v>
          </cell>
        </row>
        <row r="49">
          <cell r="E49">
            <v>890.3</v>
          </cell>
        </row>
        <row r="50">
          <cell r="E50">
            <v>104394.49600000001</v>
          </cell>
        </row>
        <row r="51">
          <cell r="E51">
            <v>10439.449600000002</v>
          </cell>
        </row>
        <row r="52">
          <cell r="E52"/>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sheetName val="MOG"/>
      <sheetName val="Todo"/>
      <sheetName val="Contact"/>
      <sheetName val="Example Proposal"/>
      <sheetName val="Proposal"/>
      <sheetName val="ProposalUpdate"/>
      <sheetName val="Gnatt Chart"/>
      <sheetName val="Taxes"/>
      <sheetName val="Financing"/>
      <sheetName val="Seller Advance"/>
      <sheetName val="MISC 2"/>
      <sheetName val="Demo &amp; Trash Haul"/>
      <sheetName val="Appliances"/>
      <sheetName val="Plumbing Fixtures"/>
      <sheetName val="Windows &amp; Doors"/>
      <sheetName val="Cabinets"/>
      <sheetName val="Paint"/>
      <sheetName val="Flooring"/>
      <sheetName val="HVAC"/>
      <sheetName val="Electrical Fixtures"/>
      <sheetName val="Landscape"/>
      <sheetName val="Exterior"/>
    </sheetNames>
    <sheetDataSet>
      <sheetData sheetId="0"/>
      <sheetData sheetId="1"/>
      <sheetData sheetId="2">
        <row r="3">
          <cell r="A3"/>
        </row>
        <row r="4">
          <cell r="A4"/>
        </row>
        <row r="5">
          <cell r="A5"/>
        </row>
        <row r="6">
          <cell r="A6"/>
        </row>
        <row r="7">
          <cell r="A7"/>
        </row>
        <row r="8">
          <cell r="A8"/>
        </row>
        <row r="9">
          <cell r="A9"/>
        </row>
        <row r="10">
          <cell r="A10"/>
        </row>
        <row r="11">
          <cell r="A11"/>
        </row>
        <row r="12">
          <cell r="A12" t="str">
            <v>After Purchase</v>
          </cell>
        </row>
        <row r="13">
          <cell r="A13"/>
        </row>
        <row r="14">
          <cell r="A14"/>
        </row>
        <row r="15">
          <cell r="A15"/>
        </row>
        <row r="16">
          <cell r="A16"/>
        </row>
        <row r="17">
          <cell r="A17"/>
        </row>
        <row r="18">
          <cell r="A18"/>
        </row>
        <row r="19">
          <cell r="A19"/>
        </row>
        <row r="20">
          <cell r="A20"/>
        </row>
        <row r="21">
          <cell r="A21"/>
        </row>
        <row r="22">
          <cell r="A22"/>
        </row>
        <row r="23">
          <cell r="A23"/>
        </row>
        <row r="24">
          <cell r="A24"/>
        </row>
        <row r="25">
          <cell r="A25"/>
        </row>
        <row r="26">
          <cell r="A26"/>
        </row>
        <row r="27">
          <cell r="A27"/>
        </row>
        <row r="28">
          <cell r="A28"/>
        </row>
        <row r="29">
          <cell r="A29"/>
        </row>
        <row r="30">
          <cell r="A30" t="str">
            <v>Upon Sales Contract</v>
          </cell>
        </row>
        <row r="31">
          <cell r="A31"/>
        </row>
        <row r="32">
          <cell r="A32"/>
        </row>
        <row r="33">
          <cell r="A33"/>
        </row>
        <row r="34">
          <cell r="A34"/>
        </row>
        <row r="35">
          <cell r="A35"/>
        </row>
        <row r="36">
          <cell r="A36"/>
        </row>
        <row r="37">
          <cell r="A37"/>
        </row>
        <row r="38">
          <cell r="A38" t="str">
            <v>Upon Closing</v>
          </cell>
        </row>
        <row r="39">
          <cell r="A39"/>
        </row>
        <row r="40">
          <cell r="A40"/>
        </row>
        <row r="41">
          <cell r="A41"/>
        </row>
        <row r="44">
          <cell r="E44">
            <v>50000</v>
          </cell>
        </row>
        <row r="45">
          <cell r="E45">
            <v>10000.13875</v>
          </cell>
        </row>
        <row r="46">
          <cell r="E46">
            <v>0</v>
          </cell>
        </row>
        <row r="47">
          <cell r="E47">
            <v>0</v>
          </cell>
        </row>
        <row r="48">
          <cell r="E48"/>
        </row>
        <row r="50">
          <cell r="E50"/>
        </row>
        <row r="51">
          <cell r="E51"/>
        </row>
        <row r="52">
          <cell r="E52"/>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4mDJWAoUZEiObH1uIc-tPNklzEL-JwdPrMve0F7Efu7K7Z-rHQDJTLJE2cO-WifT" itemId="01ZGFUBDKECSHPIH3RV5BKJKOSILSF6CPJ">
      <xxl21:absoluteUrl r:id="rId2"/>
    </xxl21:alternateUrls>
    <sheetNames>
      <sheetName val="Profit"/>
      <sheetName val="MOG"/>
      <sheetName val="Todo"/>
      <sheetName val="Contact"/>
      <sheetName val="Carrying"/>
      <sheetName val="Depreciation"/>
      <sheetName val="Rent"/>
      <sheetName val="Proposal"/>
      <sheetName val="ProposalUpdate"/>
      <sheetName val="1st Glassgow contract"/>
      <sheetName val="Gnatt Chart"/>
      <sheetName val="Legal"/>
      <sheetName val="Demo &amp; Trash Haul"/>
      <sheetName val="Appliances"/>
      <sheetName val="Plumbing"/>
      <sheetName val="Win-Doors"/>
      <sheetName val="Cabinets"/>
      <sheetName val="Paint"/>
      <sheetName val="Flooring"/>
      <sheetName val="HVAC"/>
      <sheetName val="Electrical Fixtures"/>
      <sheetName val="Landscape"/>
      <sheetName val="Exterior"/>
    </sheetNames>
    <sheetDataSet>
      <sheetData sheetId="0"/>
      <sheetData sheetId="1"/>
      <sheetData sheetId="2">
        <row r="3">
          <cell r="C3" t="str">
            <v>Yes</v>
          </cell>
        </row>
        <row r="4">
          <cell r="C4" t="str">
            <v>Yes (2)</v>
          </cell>
        </row>
        <row r="5">
          <cell r="C5" t="str">
            <v>Yes (2)</v>
          </cell>
        </row>
        <row r="6">
          <cell r="C6" t="str">
            <v>yes</v>
          </cell>
        </row>
        <row r="7">
          <cell r="C7" t="str">
            <v>yes</v>
          </cell>
        </row>
        <row r="8">
          <cell r="C8" t="str">
            <v>yes</v>
          </cell>
        </row>
        <row r="9">
          <cell r="C9" t="str">
            <v>yes</v>
          </cell>
        </row>
        <row r="10">
          <cell r="C10" t="str">
            <v>yes</v>
          </cell>
        </row>
        <row r="11">
          <cell r="C11"/>
        </row>
        <row r="12">
          <cell r="C12"/>
        </row>
        <row r="13">
          <cell r="C13" t="str">
            <v>yes</v>
          </cell>
        </row>
        <row r="14">
          <cell r="C14" t="str">
            <v>yes</v>
          </cell>
        </row>
        <row r="15">
          <cell r="C15" t="str">
            <v>yes</v>
          </cell>
        </row>
        <row r="16">
          <cell r="C16" t="str">
            <v>yes</v>
          </cell>
        </row>
        <row r="17">
          <cell r="C17" t="str">
            <v>yes</v>
          </cell>
        </row>
        <row r="18">
          <cell r="C18" t="str">
            <v>n/a</v>
          </cell>
        </row>
        <row r="19">
          <cell r="C19" t="str">
            <v>yes</v>
          </cell>
        </row>
        <row r="20">
          <cell r="C20" t="str">
            <v>yes</v>
          </cell>
        </row>
        <row r="21">
          <cell r="C21" t="str">
            <v>yes</v>
          </cell>
        </row>
        <row r="22">
          <cell r="C22" t="str">
            <v xml:space="preserve">yes  </v>
          </cell>
        </row>
        <row r="23">
          <cell r="C23" t="str">
            <v>yes</v>
          </cell>
        </row>
        <row r="24">
          <cell r="C24" t="str">
            <v>yes</v>
          </cell>
        </row>
        <row r="25">
          <cell r="C25" t="str">
            <v>yes</v>
          </cell>
        </row>
        <row r="26">
          <cell r="C26" t="str">
            <v>yes</v>
          </cell>
        </row>
        <row r="27">
          <cell r="C27" t="str">
            <v>yes</v>
          </cell>
        </row>
        <row r="28">
          <cell r="C28" t="str">
            <v>yes</v>
          </cell>
        </row>
        <row r="29">
          <cell r="C29"/>
        </row>
        <row r="30">
          <cell r="C30"/>
        </row>
        <row r="31">
          <cell r="C31"/>
        </row>
        <row r="32">
          <cell r="C32"/>
        </row>
        <row r="33">
          <cell r="C33"/>
        </row>
        <row r="34">
          <cell r="C34"/>
        </row>
        <row r="35">
          <cell r="C35"/>
        </row>
        <row r="36">
          <cell r="C36"/>
        </row>
        <row r="37">
          <cell r="C37"/>
        </row>
        <row r="38">
          <cell r="C38"/>
        </row>
        <row r="39">
          <cell r="C39"/>
        </row>
        <row r="40">
          <cell r="C40"/>
        </row>
        <row r="41">
          <cell r="C41"/>
        </row>
        <row r="44">
          <cell r="E44">
            <v>630000</v>
          </cell>
        </row>
        <row r="45">
          <cell r="E45">
            <v>352162.49</v>
          </cell>
        </row>
        <row r="46">
          <cell r="E46">
            <v>159759.01010000001</v>
          </cell>
        </row>
        <row r="47">
          <cell r="E47">
            <v>0</v>
          </cell>
        </row>
        <row r="48">
          <cell r="E48">
            <v>0</v>
          </cell>
        </row>
        <row r="49">
          <cell r="E49">
            <v>0</v>
          </cell>
        </row>
        <row r="50">
          <cell r="E50">
            <v>-19345.987196774222</v>
          </cell>
        </row>
        <row r="51">
          <cell r="E51"/>
        </row>
        <row r="52">
          <cell r="E52"/>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sheetName val="MOG"/>
      <sheetName val="Todo"/>
      <sheetName val="Contact"/>
      <sheetName val="Carrying"/>
      <sheetName val="Proposal"/>
      <sheetName val="ProposalUpdate"/>
      <sheetName val="Gnatt Chart"/>
      <sheetName val="Legal"/>
      <sheetName val="Taxes"/>
      <sheetName val="Seller Advance"/>
      <sheetName val="Demo &amp; Trash Haul"/>
      <sheetName val="Appliances"/>
      <sheetName val="Plumbing Fixtures"/>
      <sheetName val="Windows &amp; Doors"/>
      <sheetName val="Cabinets"/>
      <sheetName val="Paint"/>
      <sheetName val="Flooring"/>
      <sheetName val="HVAC"/>
      <sheetName val="Electrical Fixtures"/>
      <sheetName val="Landscape"/>
      <sheetName val="Exterior"/>
    </sheetNames>
    <sheetDataSet>
      <sheetData sheetId="0"/>
      <sheetData sheetId="1"/>
      <sheetData sheetId="2">
        <row r="44">
          <cell r="E44">
            <v>285000</v>
          </cell>
        </row>
        <row r="45">
          <cell r="E45">
            <v>79099.138750000013</v>
          </cell>
        </row>
        <row r="46">
          <cell r="E46">
            <v>84974.5</v>
          </cell>
        </row>
        <row r="47">
          <cell r="E47">
            <v>0</v>
          </cell>
        </row>
        <row r="48">
          <cell r="E48">
            <v>0</v>
          </cell>
        </row>
        <row r="50">
          <cell r="E50"/>
        </row>
        <row r="51">
          <cell r="E51"/>
        </row>
        <row r="52">
          <cell r="E52"/>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2-04-24T18:21:41.326"/>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1T15:35:59.736"/>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1T16:38:41.446"/>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1T16:38:41.447"/>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1T16:38:41.448"/>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4T18:46:47.100"/>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4T18:46:47.101"/>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4T18:46:47.102"/>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4T18:46:47.103"/>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4T19:09:31.996"/>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05-23T17:58:14.495"/>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4T19:01:33.690"/>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4T19:01:55.592"/>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4T19:02:15.880"/>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4T19:02:32.868"/>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E7BA7171-083D-4CB4-8ABE-298E470EBB62}" autoFormatId="16" applyNumberFormats="0" applyBorderFormats="0" applyFontFormats="0" applyPatternFormats="0" applyAlignmentFormats="0" applyWidthHeightFormats="0">
  <queryTableRefresh nextId="21" unboundColumnsLeft="1" unboundColumnsRight="6">
    <queryTableFields count="14">
      <queryTableField id="8" dataBound="0" tableColumnId="8"/>
      <queryTableField id="15" name="Item" tableColumnId="1"/>
      <queryTableField id="2" name="Cost Code" tableColumnId="2"/>
      <queryTableField id="3" name="Title" tableColumnId="3"/>
      <queryTableField id="4" name="Description" tableColumnId="4"/>
      <queryTableField id="5" name="Qty" tableColumnId="5"/>
      <queryTableField id="6" name="Unit Price" tableColumnId="6"/>
      <queryTableField id="7" name="Price" tableColumnId="7"/>
      <queryTableField id="17" dataBound="0" tableColumnId="9"/>
      <queryTableField id="20" dataBound="0" tableColumnId="14"/>
      <queryTableField id="12" dataBound="0" tableColumnId="12"/>
      <queryTableField id="14" dataBound="0" tableColumnId="15"/>
      <queryTableField id="18" dataBound="0" tableColumnId="10"/>
      <queryTableField id="19" dataBound="0"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backgroundRefresh="0" growShrinkType="insertClear" adjustColumnWidth="0" connectionId="5" xr16:uid="{AF163B3A-4144-4DA6-B14A-D446DCD77367}" autoFormatId="16" applyNumberFormats="0" applyBorderFormats="0" applyFontFormats="0" applyPatternFormats="0" applyAlignmentFormats="0" applyWidthHeightFormats="0">
  <queryTableRefresh nextId="25">
    <queryTableFields count="15">
      <queryTableField id="1" name="Party" tableColumnId="106"/>
      <queryTableField id="2" name="Item" tableColumnId="107"/>
      <queryTableField id="3" name="Cost Code" tableColumnId="108"/>
      <queryTableField id="4" name="Title" tableColumnId="109"/>
      <queryTableField id="5" name="Description" tableColumnId="110"/>
      <queryTableField id="6" name="Qty" tableColumnId="111"/>
      <queryTableField id="7" name="Unit Price" tableColumnId="112"/>
      <queryTableField id="8" name="Price" tableColumnId="113"/>
      <queryTableField id="9" name="Done" tableColumnId="114"/>
      <queryTableField id="10" name="Group Order" tableColumnId="115"/>
      <queryTableField id="11" name="Start Date" tableColumnId="116"/>
      <queryTableField id="12" name="Days" tableColumnId="117"/>
      <queryTableField id="13" name="Paid" tableColumnId="118"/>
      <queryTableField id="23" name="Due" tableColumnId="3"/>
      <queryTableField id="24" name="Notes" tableColumnId="1"/>
    </queryTableFields>
    <queryTableDeletedFields count="3">
      <deletedField name="Notes"/>
      <deletedField name="Notes"/>
      <deletedField name="Due"/>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ProposalToGnatt  2" backgroundRefresh="0" connectionId="1" xr16:uid="{4080BA5F-CF8D-4060-BBCD-CB90CF91CE5B}" autoFormatId="16" applyNumberFormats="0" applyBorderFormats="0" applyFontFormats="0" applyPatternFormats="0" applyAlignmentFormats="0" applyWidthHeightFormats="0">
  <queryTableRefresh nextId="28">
    <queryTableFields count="7">
      <queryTableField id="2" name="Item" tableColumnId="2"/>
      <queryTableField id="26" name="Title" tableColumnId="1"/>
      <queryTableField id="16" name="Description" tableColumnId="16"/>
      <queryTableField id="24" name="Order" tableColumnId="4"/>
      <queryTableField id="11" name="Start Date" tableColumnId="11"/>
      <queryTableField id="22" name="Price" tableColumnId="3"/>
      <queryTableField id="9" name="Done" tableColumnId="9"/>
    </queryTableFields>
  </queryTableRefresh>
  <extLst>
    <ext xmlns:x15="http://schemas.microsoft.com/office/spreadsheetml/2010/11/main" uri="{883FBD77-0823-4a55-B5E3-86C4891E6966}">
      <x15:queryTable sourceDataName="Query - Recap"/>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8BEC618-3E83-49BB-89A2-43DC3CE0DBC5}" autoFormatId="16" applyNumberFormats="0" applyBorderFormats="0" applyFontFormats="0" applyPatternFormats="0" applyAlignmentFormats="0" applyWidthHeightFormats="0">
  <queryTableRefresh nextId="13">
    <queryTableFields count="6">
      <queryTableField id="1" name="Item" tableColumnId="1"/>
      <queryTableField id="11" name="Title" tableColumnId="3"/>
      <queryTableField id="6" name="Description" tableColumnId="6"/>
      <queryTableField id="2" name="Comment" tableColumnId="2"/>
      <queryTableField id="8" name="Date" tableColumnId="7"/>
      <queryTableField id="10" name="Done" tableColumnId="8"/>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A9C9B7-BAF7-4CAB-9067-DC10D354858C}" name="Proposal" displayName="Proposal" ref="A11:E71" totalsRowShown="0" headerRowDxfId="59" headerRowBorderDxfId="58">
  <autoFilter ref="A11:E71" xr:uid="{E8A9C9B7-BAF7-4CAB-9067-DC10D354858C}"/>
  <tableColumns count="5">
    <tableColumn id="1" xr3:uid="{9A4F1599-587C-4C12-AC23-D5B3879D1321}" name="Cost Code" dataDxfId="57"/>
    <tableColumn id="2" xr3:uid="{3ACCA719-70D2-4F0D-A8A3-69AE3272D3C1}" name="Title" dataDxfId="56"/>
    <tableColumn id="3" xr3:uid="{661FF8D2-2D43-4F8B-B73F-EC14A34B7050}" name="Description" dataDxfId="55"/>
    <tableColumn id="5" xr3:uid="{96319F4C-C120-4B14-BEB7-1D271C147258}" name="Qty" dataDxfId="54"/>
    <tableColumn id="6" xr3:uid="{CAFF8447-B9F2-4425-B2CD-C62CE1EB051F}" name="Unit Price" dataDxfId="53"/>
  </tableColumns>
  <tableStyleInfo name="TableStyleLight1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A34AA4E-C13A-41A2-95E8-83E7E9409806}" name="FromProposal" displayName="FromProposal" ref="A4:N64" tableType="queryTable" totalsRowShown="0" headerRowDxfId="52" dataDxfId="51">
  <autoFilter ref="A4:N64" xr:uid="{4A34AA4E-C13A-41A2-95E8-83E7E9409806}"/>
  <sortState xmlns:xlrd2="http://schemas.microsoft.com/office/spreadsheetml/2017/richdata2" ref="A5:N64">
    <sortCondition ref="B5:B14"/>
  </sortState>
  <tableColumns count="14">
    <tableColumn id="8" xr3:uid="{96E49A5C-5367-4ACB-B14D-E01CC163A0F1}" uniqueName="8" name="Party" queryTableFieldId="8" dataDxfId="50">
      <calculatedColumnFormula>+IF(FromProposal[[#This Row],[Cost Code]]&lt;&gt;0,+'Gnatt Chart'!$A$2,"")</calculatedColumnFormula>
    </tableColumn>
    <tableColumn id="1" xr3:uid="{6ADBCE42-4844-4052-8DB6-AB34AD671DD5}" uniqueName="1" name="Item" queryTableFieldId="15" dataDxfId="49"/>
    <tableColumn id="2" xr3:uid="{33F8A9BB-342C-4F7D-B125-F381BCB77C64}" uniqueName="2" name="Cost Code" queryTableFieldId="2" dataDxfId="48"/>
    <tableColumn id="3" xr3:uid="{EAE8FFCB-2C04-49B6-85CD-78C67097E902}" uniqueName="3" name="Title" queryTableFieldId="3" dataDxfId="47"/>
    <tableColumn id="4" xr3:uid="{439B82DD-03F8-428D-9245-8543A46F29DC}" uniqueName="4" name="Description" queryTableFieldId="4" dataDxfId="46"/>
    <tableColumn id="5" xr3:uid="{1E080297-D531-4180-92D4-1B19AACF49C1}" uniqueName="5" name="Qty" queryTableFieldId="5" dataDxfId="45"/>
    <tableColumn id="6" xr3:uid="{575B5FBE-3F82-40CD-8A54-810E146EF82F}" uniqueName="6" name="Unit Price" queryTableFieldId="6" dataDxfId="44"/>
    <tableColumn id="7" xr3:uid="{766B7F26-7C49-427A-A617-067C40444D87}" uniqueName="7" name="Price" queryTableFieldId="7" dataDxfId="43"/>
    <tableColumn id="9" xr3:uid="{A5701DF5-B99B-45EC-8FC5-7061E5C93440}" uniqueName="9" name="Done" queryTableFieldId="17" dataDxfId="42"/>
    <tableColumn id="14" xr3:uid="{1C4B67EF-B985-4B9A-9327-556AFBB5C4A1}" uniqueName="14" name="Group Order" queryTableFieldId="20" dataDxfId="41"/>
    <tableColumn id="12" xr3:uid="{A3E3248C-A9FB-45EA-9F9E-83897992215A}" uniqueName="12" name="Start Date" queryTableFieldId="12" dataDxfId="40"/>
    <tableColumn id="15" xr3:uid="{E31CECDC-7A24-4472-8474-4283CEDBD8FC}" uniqueName="15" name="Days" queryTableFieldId="14" dataDxfId="39"/>
    <tableColumn id="10" xr3:uid="{3EA3D46A-2606-48C3-B90D-0603A94FFB2E}" uniqueName="10" name="Paid" queryTableFieldId="18" dataDxfId="38"/>
    <tableColumn id="13" xr3:uid="{7268DDA6-B96D-499B-92E4-F124E0D116A3}" uniqueName="13" name="Notes" queryTableFieldId="19" dataDxfId="37"/>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A8D861-A5C8-42AF-A86B-34EC7AE8EE0A}" name="ProposalToGnatt" displayName="ProposalToGnatt" ref="A29:O89" tableType="queryTable" totalsRowShown="0" headerRowDxfId="36" dataDxfId="35">
  <sortState xmlns:xlrd2="http://schemas.microsoft.com/office/spreadsheetml/2017/richdata2" ref="A30:O89">
    <sortCondition ref="J30:J83"/>
    <sortCondition ref="K30:K83"/>
  </sortState>
  <tableColumns count="15">
    <tableColumn id="106" xr3:uid="{88C796C4-2105-4C93-8E7A-CCEA28B0DF71}" uniqueName="106" name="Party" queryTableFieldId="1" dataDxfId="34"/>
    <tableColumn id="107" xr3:uid="{541F33A4-C6A3-44C5-81DB-FAA61B7F72AB}" uniqueName="107" name="Item" queryTableFieldId="2" dataDxfId="33"/>
    <tableColumn id="108" xr3:uid="{3AE45ADE-D247-428D-BB07-058C3457BF76}" uniqueName="108" name="Cost Code" queryTableFieldId="3" dataDxfId="32"/>
    <tableColumn id="109" xr3:uid="{B0D5185D-6AD1-4E8D-B845-F1898A9538BA}" uniqueName="109" name="Title" queryTableFieldId="4" dataDxfId="31"/>
    <tableColumn id="110" xr3:uid="{BF5C7BBF-561F-458E-BF23-5B7C697DF8C9}" uniqueName="110" name="Description" queryTableFieldId="5" dataDxfId="30"/>
    <tableColumn id="111" xr3:uid="{F21AE756-8924-4878-8615-262AB0D00519}" uniqueName="111" name="Qty" queryTableFieldId="6" dataDxfId="29"/>
    <tableColumn id="112" xr3:uid="{0CD8A8A4-BACC-44F4-93A1-F713A821F322}" uniqueName="112" name="Unit Price" queryTableFieldId="7" dataDxfId="28"/>
    <tableColumn id="113" xr3:uid="{26C57DEB-9347-43DE-B22B-A524ED52F9F1}" uniqueName="113" name="Price" queryTableFieldId="8" dataDxfId="27"/>
    <tableColumn id="114" xr3:uid="{EBDB1F65-628C-4940-9612-1C3FD8569DC1}" uniqueName="114" name="Done" queryTableFieldId="9" dataDxfId="26"/>
    <tableColumn id="115" xr3:uid="{12EEE598-AD5C-449D-9592-F3BFFA8A06FB}" uniqueName="115" name="Group Order" queryTableFieldId="10" dataDxfId="25"/>
    <tableColumn id="116" xr3:uid="{C6321B43-2488-4F52-A140-04EF16631EAF}" uniqueName="116" name="Start Date" queryTableFieldId="11" dataDxfId="24"/>
    <tableColumn id="117" xr3:uid="{E22A3266-2A40-492B-9764-940B22EBAEF6}" uniqueName="117" name="Days" queryTableFieldId="12" dataDxfId="23"/>
    <tableColumn id="118" xr3:uid="{DA6448B5-75FA-40C7-BF8D-CB99AC089926}" uniqueName="118" name="Paid" queryTableFieldId="13" dataDxfId="22"/>
    <tableColumn id="3" xr3:uid="{0EAEDA6D-3B4A-4D63-BCE1-6489307C3CA2}" uniqueName="3" name="Due" queryTableFieldId="23" dataDxfId="21"/>
    <tableColumn id="1" xr3:uid="{67811F05-1AA8-4D00-9800-87B33F8463CE}" uniqueName="1" name="Notes" queryTableFieldId="24" dataDxfId="20"/>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9173191-CA76-4BB7-A991-FBCCC52C2E75}" name="Recap" displayName="Recap" ref="A4:G47" tableType="queryTable" totalsRowShown="0" headerRowDxfId="19">
  <autoFilter ref="A4:G47" xr:uid="{A9173191-CA76-4BB7-A991-FBCCC52C2E75}"/>
  <tableColumns count="7">
    <tableColumn id="2" xr3:uid="{5315D4CD-9089-41CE-8EE5-55BE99227BDD}" uniqueName="2" name="Item" queryTableFieldId="2"/>
    <tableColumn id="1" xr3:uid="{F94FA115-4496-4EA8-AD0C-0E7350822860}" uniqueName="1" name="Title" queryTableFieldId="26" dataDxfId="18"/>
    <tableColumn id="16" xr3:uid="{2E21600F-1D2E-4263-85CB-0D780BA42B26}" uniqueName="16" name="Description" queryTableFieldId="16" dataDxfId="17"/>
    <tableColumn id="4" xr3:uid="{089042D1-0A79-42D2-9FB4-550A2F42688C}" uniqueName="4" name="Order" queryTableFieldId="24"/>
    <tableColumn id="11" xr3:uid="{6FD6A57A-45C8-406C-9809-1268DBB2B9B0}" uniqueName="11" name="Start Date" queryTableFieldId="11" dataDxfId="16"/>
    <tableColumn id="3" xr3:uid="{5EC4595E-174D-4F70-976B-3F65280A553E}" uniqueName="3" name="Price" queryTableFieldId="22" dataDxfId="15"/>
    <tableColumn id="9" xr3:uid="{AF672E56-69B2-45E3-9B51-49B71E4850F5}" uniqueName="9" name="Done" queryTableFieldId="9" dataDxfId="1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FE18073-5D4F-460C-896E-63518DBAB661}" name="Table4" displayName="Table4" ref="I4:L36" totalsRowShown="0" headerRowDxfId="13">
  <autoFilter ref="I4:L36" xr:uid="{AFE18073-5D4F-460C-896E-63518DBAB661}"/>
  <tableColumns count="4">
    <tableColumn id="1" xr3:uid="{D2F6F89B-1339-44BD-B3B6-A0FE4A662111}" name="Item"/>
    <tableColumn id="2" xr3:uid="{6ADF6489-F006-4F7A-ADDC-AC8ADCE4324D}" name="Comment"/>
    <tableColumn id="4" xr3:uid="{B71CFF71-6B28-4E15-A04B-70E2BCF66326}" name="Date" dataDxfId="12"/>
    <tableColumn id="3" xr3:uid="{7F217056-0A60-4E0A-98C9-77B54AED492A}" name="Done"/>
  </tableColumns>
  <tableStyleInfo name="TableStyleLight1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46E1B5C-5187-4240-9021-5074DDE6412F}" name="AddRecapItems" displayName="AddRecapItems" ref="N4:S25" tableType="queryTable" totalsRowShown="0" headerRowDxfId="11">
  <autoFilter ref="N4:S25" xr:uid="{146E1B5C-5187-4240-9021-5074DDE6412F}">
    <filterColumn colId="5">
      <filters blank="1"/>
    </filterColumn>
  </autoFilter>
  <tableColumns count="6">
    <tableColumn id="1" xr3:uid="{713260E8-52E2-49AD-A7DB-30841C46A0C4}" uniqueName="1" name="Item" queryTableFieldId="1"/>
    <tableColumn id="3" xr3:uid="{B147708A-4898-4C2F-A869-57FB71143A69}" uniqueName="3" name="Title" queryTableFieldId="11" dataDxfId="10"/>
    <tableColumn id="6" xr3:uid="{370A03C6-6371-4586-89B8-B8E60670D39E}" uniqueName="6" name="Description" queryTableFieldId="6" dataDxfId="9"/>
    <tableColumn id="2" xr3:uid="{661F9F72-4AF8-4F51-BC8B-9C4CDE20BCFD}" uniqueName="2" name="Comment" queryTableFieldId="2" dataDxfId="8"/>
    <tableColumn id="7" xr3:uid="{0EEF4AC9-085C-46F3-B2F3-6205245C67C0}" uniqueName="7" name="Date" queryTableFieldId="8" dataDxfId="7"/>
    <tableColumn id="8" xr3:uid="{73C830EA-9470-4B48-8156-5EFC3F63E699}" uniqueName="8" name="Done" queryTableFieldId="10" dataDxfId="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https://insurancehub.com/" TargetMode="External"/><Relationship Id="rId7" Type="http://schemas.openxmlformats.org/officeDocument/2006/relationships/hyperlink" Target="https://signin.shellpointmtg.com/signin/myaccount" TargetMode="External"/><Relationship Id="rId2" Type="http://schemas.openxmlformats.org/officeDocument/2006/relationships/hyperlink" Target="mailto:RWalker@insurancehub.com" TargetMode="External"/><Relationship Id="rId1" Type="http://schemas.openxmlformats.org/officeDocument/2006/relationships/hyperlink" Target="https://insurancehub.com/" TargetMode="External"/><Relationship Id="rId6" Type="http://schemas.openxmlformats.org/officeDocument/2006/relationships/hyperlink" Target="mailto:Jenny@BuyYourHomeLLC.com" TargetMode="External"/><Relationship Id="rId5" Type="http://schemas.openxmlformats.org/officeDocument/2006/relationships/hyperlink" Target="mailto:Liza.Norris@HutchensLawfirm.com" TargetMode="External"/><Relationship Id="rId4" Type="http://schemas.openxmlformats.org/officeDocument/2006/relationships/hyperlink" Target="mailto:BMiron@insurancehub.com" TargetMode="Externa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7.bin"/><Relationship Id="rId5" Type="http://schemas.openxmlformats.org/officeDocument/2006/relationships/table" Target="../tables/table3.xml"/><Relationship Id="rId4" Type="http://schemas.openxmlformats.org/officeDocument/2006/relationships/ctrlProp" Target="../ctrlProps/ctrlProp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92D050"/>
  </sheetPr>
  <dimension ref="A1:P109"/>
  <sheetViews>
    <sheetView zoomScaleNormal="100" workbookViewId="0">
      <pane xSplit="1" ySplit="3" topLeftCell="B4" activePane="bottomRight" state="frozen"/>
      <selection pane="topRight" activeCell="C1" sqref="C1:E1"/>
      <selection pane="bottomLeft" activeCell="C1" sqref="C1:E1"/>
      <selection pane="bottomRight" activeCell="P8" sqref="P8"/>
    </sheetView>
  </sheetViews>
  <sheetFormatPr defaultColWidth="9.140625" defaultRowHeight="15" customHeight="1" x14ac:dyDescent="0.2"/>
  <cols>
    <col min="1" max="1" width="24.7109375" style="40" customWidth="1"/>
    <col min="2" max="2" width="6.42578125" style="40" customWidth="1"/>
    <col min="3" max="3" width="8.28515625" style="114" customWidth="1"/>
    <col min="4" max="4" width="9" style="39" customWidth="1"/>
    <col min="5" max="5" width="12.85546875" style="39" bestFit="1" customWidth="1"/>
    <col min="6" max="7" width="9.28515625" style="39" bestFit="1" customWidth="1"/>
    <col min="8" max="8" width="8.7109375" style="40" customWidth="1"/>
    <col min="9" max="9" width="8.5703125" style="114" bestFit="1" customWidth="1"/>
    <col min="10" max="10" width="11.5703125" style="39" customWidth="1"/>
    <col min="11" max="11" width="9.28515625" style="39" customWidth="1"/>
    <col min="12" max="12" width="5.28515625" style="39" customWidth="1"/>
    <col min="13" max="13" width="7.42578125" style="39" bestFit="1" customWidth="1"/>
    <col min="14" max="14" width="13.5703125" style="39" customWidth="1"/>
    <col min="15" max="15" width="10.42578125" style="39" bestFit="1" customWidth="1"/>
    <col min="16" max="16" width="7.42578125" style="39" bestFit="1" customWidth="1"/>
    <col min="17" max="17" width="13.28515625" style="39" customWidth="1"/>
    <col min="18" max="18" width="13.140625" style="39" customWidth="1"/>
    <col min="19" max="19" width="10.140625" style="39" bestFit="1" customWidth="1"/>
    <col min="20" max="20" width="12.85546875" style="39" customWidth="1"/>
    <col min="21" max="21" width="11.28515625" style="39" customWidth="1"/>
    <col min="22" max="22" width="11.140625" style="39" bestFit="1" customWidth="1"/>
    <col min="23" max="16384" width="9.140625" style="39"/>
  </cols>
  <sheetData>
    <row r="1" spans="1:16" ht="21" customHeight="1" thickBot="1" x14ac:dyDescent="0.35">
      <c r="A1" s="40" t="s">
        <v>0</v>
      </c>
      <c r="B1" s="500" t="s">
        <v>1</v>
      </c>
      <c r="C1" s="501"/>
      <c r="E1" s="183" t="s">
        <v>2</v>
      </c>
      <c r="F1" s="184" t="s">
        <v>3</v>
      </c>
    </row>
    <row r="2" spans="1:16" ht="16.5" customHeight="1" thickBot="1" x14ac:dyDescent="0.3">
      <c r="A2" s="115"/>
      <c r="B2" s="443" t="s">
        <v>4</v>
      </c>
      <c r="C2" s="444"/>
      <c r="D2" s="444"/>
      <c r="E2" s="444"/>
      <c r="F2" s="445"/>
      <c r="G2" s="116"/>
      <c r="H2" s="439" t="s">
        <v>5</v>
      </c>
      <c r="I2" s="440"/>
      <c r="J2" s="436" t="s">
        <v>6</v>
      </c>
      <c r="K2" s="413"/>
      <c r="N2" s="417" t="s">
        <v>7</v>
      </c>
      <c r="O2" s="417" t="s">
        <v>8</v>
      </c>
    </row>
    <row r="3" spans="1:16" ht="12" customHeight="1" thickBot="1" x14ac:dyDescent="0.25">
      <c r="A3" s="117" t="s">
        <v>9</v>
      </c>
      <c r="B3" s="118"/>
      <c r="D3" s="446" t="s">
        <v>10</v>
      </c>
      <c r="E3" s="446"/>
      <c r="F3" s="446" t="s">
        <v>11</v>
      </c>
      <c r="G3" s="441"/>
      <c r="H3" s="441"/>
      <c r="I3" s="442"/>
      <c r="J3" s="437"/>
      <c r="K3" s="414"/>
      <c r="N3" s="418"/>
      <c r="O3" s="418"/>
    </row>
    <row r="4" spans="1:16" ht="12" customHeight="1" thickBot="1" x14ac:dyDescent="0.25">
      <c r="A4" s="40" t="s">
        <v>12</v>
      </c>
      <c r="B4" s="406">
        <v>289000</v>
      </c>
      <c r="C4" s="407"/>
      <c r="E4" s="119"/>
      <c r="G4" s="119"/>
      <c r="I4" s="132"/>
      <c r="J4" s="436" t="s">
        <v>13</v>
      </c>
      <c r="K4" s="438" t="s">
        <v>14</v>
      </c>
    </row>
    <row r="5" spans="1:16" ht="12" customHeight="1" thickBot="1" x14ac:dyDescent="0.25">
      <c r="A5" s="40" t="s">
        <v>15</v>
      </c>
      <c r="B5" s="228">
        <v>-0.15</v>
      </c>
      <c r="C5" s="228">
        <v>0.1</v>
      </c>
      <c r="E5" s="119"/>
      <c r="G5" s="119"/>
      <c r="I5" s="137"/>
      <c r="J5" s="437"/>
      <c r="K5" s="414"/>
      <c r="N5" s="41" t="s">
        <v>16</v>
      </c>
      <c r="O5" s="331">
        <v>45194</v>
      </c>
      <c r="P5" s="166">
        <v>344600</v>
      </c>
    </row>
    <row r="6" spans="1:16" ht="12" customHeight="1" thickBot="1" x14ac:dyDescent="0.25">
      <c r="A6" s="40" t="s">
        <v>17</v>
      </c>
      <c r="B6" s="408">
        <f>+B4 + IF(B1="Hold",B4*C5,0) + IF(B1="wholetale",B4*B5,0)</f>
        <v>317900</v>
      </c>
      <c r="C6" s="409"/>
      <c r="E6" s="119"/>
      <c r="G6" s="167">
        <f>IF($B$1="hold",$B$4,$B$6)</f>
        <v>289000</v>
      </c>
      <c r="I6" s="137"/>
      <c r="J6" s="436" t="s">
        <v>18</v>
      </c>
      <c r="K6" s="447">
        <v>0.03</v>
      </c>
      <c r="N6" s="114"/>
      <c r="O6" s="331">
        <v>45217</v>
      </c>
      <c r="P6" s="166">
        <v>342200</v>
      </c>
    </row>
    <row r="7" spans="1:16" ht="12" customHeight="1" thickBot="1" x14ac:dyDescent="0.25">
      <c r="A7" s="40" t="s">
        <v>19</v>
      </c>
      <c r="B7" s="406"/>
      <c r="C7" s="407"/>
      <c r="D7" s="114">
        <f>+B7</f>
        <v>0</v>
      </c>
      <c r="E7" s="119"/>
      <c r="F7" s="114">
        <f>-B7</f>
        <v>0</v>
      </c>
      <c r="G7" s="167">
        <f ca="1">+IF($B$1="hold",$K$6,0)*$C$36/12*B4</f>
        <v>21217.416666666668</v>
      </c>
      <c r="H7" s="263" t="str">
        <f>+IF($B$1="hold","&lt;-- Apprication -----------","")</f>
        <v>&lt;-- Apprication -----------</v>
      </c>
      <c r="I7" s="137"/>
      <c r="J7" s="437"/>
      <c r="K7" s="448"/>
      <c r="O7" s="331">
        <v>45820</v>
      </c>
      <c r="P7" s="166">
        <v>279400</v>
      </c>
    </row>
    <row r="8" spans="1:16" ht="12" customHeight="1" thickBot="1" x14ac:dyDescent="0.25">
      <c r="A8" s="40" t="s">
        <v>20</v>
      </c>
      <c r="B8" s="392">
        <v>0</v>
      </c>
      <c r="C8" s="393"/>
      <c r="D8" s="120"/>
      <c r="E8" s="121"/>
      <c r="F8" s="120"/>
      <c r="G8" s="122"/>
      <c r="I8" s="168">
        <f>IF(B1="Hold",+B8,"")</f>
        <v>0</v>
      </c>
      <c r="J8" s="436" t="s">
        <v>21</v>
      </c>
      <c r="K8" s="415">
        <v>1200</v>
      </c>
      <c r="O8" s="331"/>
      <c r="P8" s="166"/>
    </row>
    <row r="9" spans="1:16" ht="12" customHeight="1" thickBot="1" x14ac:dyDescent="0.25">
      <c r="C9" s="419" t="s">
        <v>22</v>
      </c>
      <c r="D9" s="420" t="s">
        <v>22</v>
      </c>
      <c r="E9" s="123">
        <f>SUM(D4:D8)</f>
        <v>0</v>
      </c>
      <c r="F9" s="425">
        <f ca="1">+SUM(F4:G8)</f>
        <v>310217.41666666669</v>
      </c>
      <c r="G9" s="426"/>
      <c r="H9" s="425">
        <f>SUM(H4:I8)</f>
        <v>0</v>
      </c>
      <c r="I9" s="426"/>
      <c r="J9" s="437"/>
      <c r="K9" s="416"/>
      <c r="O9" s="331"/>
      <c r="P9" s="166"/>
    </row>
    <row r="10" spans="1:16" ht="12" customHeight="1" thickBot="1" x14ac:dyDescent="0.25">
      <c r="C10" s="124"/>
      <c r="D10" s="125"/>
      <c r="E10" s="123"/>
      <c r="F10" s="114"/>
      <c r="G10" s="119"/>
      <c r="H10" s="114"/>
      <c r="I10" s="126"/>
      <c r="O10" s="331"/>
      <c r="P10" s="166"/>
    </row>
    <row r="11" spans="1:16" ht="12" customHeight="1" thickTop="1" thickBot="1" x14ac:dyDescent="0.25">
      <c r="A11" s="127" t="s">
        <v>23</v>
      </c>
      <c r="B11" s="127"/>
      <c r="C11" s="128"/>
      <c r="D11" s="129"/>
      <c r="E11" s="175"/>
      <c r="F11" s="130"/>
      <c r="G11" s="175"/>
      <c r="H11" s="131"/>
      <c r="I11" s="180"/>
      <c r="O11" s="331"/>
      <c r="P11" s="166"/>
    </row>
    <row r="12" spans="1:16" ht="11.25" customHeight="1" thickBot="1" x14ac:dyDescent="0.3">
      <c r="A12" s="40" t="s">
        <v>24</v>
      </c>
      <c r="B12" s="461">
        <v>6266.78</v>
      </c>
      <c r="C12" s="462"/>
      <c r="D12" s="135">
        <f>-B12</f>
        <v>-6266.78</v>
      </c>
      <c r="E12" s="176"/>
      <c r="F12" s="185"/>
      <c r="G12" s="186" t="str">
        <f>IF(K4="Yes",0.3*B12,"")</f>
        <v/>
      </c>
      <c r="H12" s="427" t="s">
        <v>25</v>
      </c>
      <c r="I12" s="428"/>
      <c r="J12" s="453" t="s">
        <v>26</v>
      </c>
      <c r="K12" s="454"/>
      <c r="O12" s="331"/>
      <c r="P12" s="166"/>
    </row>
    <row r="13" spans="1:16" ht="12" customHeight="1" x14ac:dyDescent="0.2">
      <c r="A13" s="40" t="s">
        <v>27</v>
      </c>
      <c r="B13" s="306">
        <v>3.3750000000000002E-2</v>
      </c>
      <c r="C13" s="268">
        <v>22000</v>
      </c>
      <c r="D13" s="135">
        <f>-C13</f>
        <v>-22000</v>
      </c>
      <c r="E13" s="176"/>
      <c r="F13" s="135"/>
      <c r="G13" s="178"/>
      <c r="H13" s="135"/>
      <c r="I13" s="181"/>
      <c r="J13" s="455"/>
      <c r="K13" s="456"/>
      <c r="M13" s="138"/>
      <c r="O13" s="331"/>
      <c r="P13" s="166"/>
    </row>
    <row r="14" spans="1:16" ht="12" customHeight="1" x14ac:dyDescent="0.2">
      <c r="A14" s="40" t="s">
        <v>28</v>
      </c>
      <c r="B14" s="267"/>
      <c r="C14" s="268"/>
      <c r="D14" s="135"/>
      <c r="E14" s="176"/>
      <c r="F14" s="135">
        <f>-+(120-C35)*(C14/120)</f>
        <v>0</v>
      </c>
      <c r="G14" s="178"/>
      <c r="H14" s="135">
        <f>-(C14*B14/12)</f>
        <v>0</v>
      </c>
      <c r="I14" s="181"/>
      <c r="J14" s="455"/>
      <c r="K14" s="456"/>
      <c r="O14" s="331"/>
      <c r="P14" s="166"/>
    </row>
    <row r="15" spans="1:16" ht="12" customHeight="1" thickBot="1" x14ac:dyDescent="0.25">
      <c r="A15" s="40" t="s">
        <v>815</v>
      </c>
      <c r="B15" s="306">
        <v>7.0749999999999993E-2</v>
      </c>
      <c r="C15" s="268">
        <v>181057.16</v>
      </c>
      <c r="D15" s="133"/>
      <c r="E15" s="176">
        <f>+C15</f>
        <v>181057.16</v>
      </c>
      <c r="F15" s="135">
        <f>-C15</f>
        <v>-181057.16</v>
      </c>
      <c r="G15" s="178"/>
      <c r="H15" s="135"/>
      <c r="I15" s="181"/>
      <c r="J15" s="457"/>
      <c r="K15" s="458"/>
      <c r="O15" s="331"/>
      <c r="P15" s="166"/>
    </row>
    <row r="16" spans="1:16" ht="12" customHeight="1" thickBot="1" x14ac:dyDescent="0.25">
      <c r="A16" s="40" t="s">
        <v>29</v>
      </c>
      <c r="B16" s="242"/>
      <c r="C16" s="243"/>
      <c r="D16" s="135">
        <f>-C16</f>
        <v>0</v>
      </c>
      <c r="E16" s="176"/>
      <c r="F16" s="135"/>
      <c r="G16" s="178"/>
      <c r="H16" s="136"/>
      <c r="I16" s="181"/>
      <c r="J16" s="42"/>
      <c r="K16" s="42"/>
      <c r="O16" s="331"/>
      <c r="P16" s="166"/>
    </row>
    <row r="17" spans="1:16" ht="12" customHeight="1" thickBot="1" x14ac:dyDescent="0.25">
      <c r="A17" s="159" t="s">
        <v>30</v>
      </c>
      <c r="B17" s="223">
        <v>0</v>
      </c>
      <c r="C17" s="224"/>
      <c r="D17" s="135"/>
      <c r="E17" s="176"/>
      <c r="F17" s="135"/>
      <c r="G17" s="178"/>
      <c r="H17" s="139"/>
      <c r="I17" s="181"/>
      <c r="O17" s="331"/>
      <c r="P17" s="166"/>
    </row>
    <row r="18" spans="1:16" ht="12" customHeight="1" thickBot="1" x14ac:dyDescent="0.25">
      <c r="A18" s="159" t="s">
        <v>31</v>
      </c>
      <c r="B18" s="410">
        <v>0</v>
      </c>
      <c r="C18" s="393"/>
      <c r="D18" s="135">
        <f>-B18</f>
        <v>0</v>
      </c>
      <c r="E18" s="176"/>
      <c r="F18" s="135"/>
      <c r="G18" s="178"/>
      <c r="H18" s="136"/>
      <c r="I18" s="181"/>
      <c r="J18" s="449" t="s">
        <v>32</v>
      </c>
      <c r="K18" s="450"/>
      <c r="O18" s="331"/>
      <c r="P18" s="166"/>
    </row>
    <row r="19" spans="1:16" ht="12" customHeight="1" thickBot="1" x14ac:dyDescent="0.25">
      <c r="A19" s="159" t="s">
        <v>33</v>
      </c>
      <c r="B19" s="190"/>
      <c r="C19" s="152">
        <v>0</v>
      </c>
      <c r="D19" s="135">
        <f>-B19</f>
        <v>0</v>
      </c>
      <c r="E19" s="176"/>
      <c r="F19" s="135"/>
      <c r="G19" s="178"/>
      <c r="H19" s="136"/>
      <c r="I19" s="181"/>
      <c r="J19" s="451"/>
      <c r="K19" s="452"/>
      <c r="O19" s="331"/>
      <c r="P19" s="166"/>
    </row>
    <row r="20" spans="1:16" ht="12" customHeight="1" x14ac:dyDescent="0.2">
      <c r="A20" s="159" t="s">
        <v>34</v>
      </c>
      <c r="B20" s="390">
        <f ca="1">+J56</f>
        <v>29.366666666666667</v>
      </c>
      <c r="C20" s="134"/>
      <c r="D20" s="135"/>
      <c r="E20" s="176"/>
      <c r="F20" s="135"/>
      <c r="G20" s="178"/>
      <c r="H20" s="139"/>
      <c r="I20" s="181"/>
      <c r="J20" s="400" t="s">
        <v>35</v>
      </c>
      <c r="K20" s="401"/>
      <c r="O20" s="331"/>
      <c r="P20" s="166"/>
    </row>
    <row r="21" spans="1:16" ht="12" customHeight="1" x14ac:dyDescent="0.2">
      <c r="A21" s="159" t="s">
        <v>36</v>
      </c>
      <c r="B21" s="358">
        <f ca="1">+Carrying!F$49/$H$43</f>
        <v>887.53586833144175</v>
      </c>
      <c r="C21" s="134"/>
      <c r="D21" s="135"/>
      <c r="E21" s="176"/>
      <c r="F21" s="135"/>
      <c r="G21" s="178"/>
      <c r="H21" s="139">
        <f t="shared" ref="H21:H22" ca="1" si="0">IF($B$1="Hold",-B21,"")</f>
        <v>-887.53586833144175</v>
      </c>
      <c r="I21" s="181"/>
      <c r="J21" s="402"/>
      <c r="K21" s="403"/>
      <c r="P21" s="166"/>
    </row>
    <row r="22" spans="1:16" ht="12" customHeight="1" x14ac:dyDescent="0.2">
      <c r="A22" s="159" t="s">
        <v>817</v>
      </c>
      <c r="B22" s="358">
        <f ca="1">+Carrying!I$49/$H$43</f>
        <v>212.82633371169126</v>
      </c>
      <c r="C22" s="134"/>
      <c r="D22" s="135"/>
      <c r="E22" s="176"/>
      <c r="F22" s="135"/>
      <c r="G22" s="178"/>
      <c r="H22" s="139">
        <f t="shared" ca="1" si="0"/>
        <v>-212.82633371169126</v>
      </c>
      <c r="I22" s="181"/>
      <c r="J22" s="402"/>
      <c r="K22" s="403"/>
      <c r="P22" s="166"/>
    </row>
    <row r="23" spans="1:16" ht="12" customHeight="1" thickBot="1" x14ac:dyDescent="0.25">
      <c r="A23" s="159" t="s">
        <v>37</v>
      </c>
      <c r="B23" s="358">
        <f ca="1">+Carrying!L$49/$H$43</f>
        <v>61.693757094211136</v>
      </c>
      <c r="C23" s="134"/>
      <c r="D23" s="135"/>
      <c r="E23" s="176"/>
      <c r="F23" s="135"/>
      <c r="G23" s="178"/>
      <c r="H23" s="139">
        <f ca="1">IF($B$1="Hold",-B23,"")</f>
        <v>-61.693757094211136</v>
      </c>
      <c r="I23" s="181"/>
      <c r="J23" s="404"/>
      <c r="K23" s="405"/>
    </row>
    <row r="24" spans="1:16" ht="12" customHeight="1" x14ac:dyDescent="0.25">
      <c r="A24" s="159" t="s">
        <v>38</v>
      </c>
      <c r="B24" s="358">
        <f ca="1">+Carrying!X$49/$H$43</f>
        <v>139.3549375709421</v>
      </c>
      <c r="C24" s="134"/>
      <c r="D24" s="135"/>
      <c r="E24" s="176"/>
      <c r="F24" s="135"/>
      <c r="G24" s="178"/>
      <c r="H24" s="139">
        <f t="shared" ref="H24:H27" ca="1" si="1">IF($B$1="Hold",-B24,"")</f>
        <v>-139.3549375709421</v>
      </c>
      <c r="I24" s="181"/>
      <c r="J24"/>
      <c r="K24"/>
    </row>
    <row r="25" spans="1:16" ht="12" customHeight="1" x14ac:dyDescent="0.2">
      <c r="A25" s="159" t="s">
        <v>39</v>
      </c>
      <c r="B25" s="358">
        <f ca="1">+Carrying!U$49/$H$43</f>
        <v>175.7094211123723</v>
      </c>
      <c r="C25" s="134"/>
      <c r="D25" s="135"/>
      <c r="E25" s="176"/>
      <c r="F25" s="135"/>
      <c r="G25" s="178"/>
      <c r="H25" s="139">
        <f t="shared" ca="1" si="1"/>
        <v>-175.7094211123723</v>
      </c>
      <c r="I25" s="181"/>
    </row>
    <row r="26" spans="1:16" ht="12" customHeight="1" x14ac:dyDescent="0.2">
      <c r="A26" s="159" t="s">
        <v>40</v>
      </c>
      <c r="B26" s="160">
        <f ca="1">+Carrying!C$49/$H$43</f>
        <v>0</v>
      </c>
      <c r="C26" s="134"/>
      <c r="D26" s="135"/>
      <c r="E26" s="176"/>
      <c r="F26" s="135"/>
      <c r="G26" s="178"/>
      <c r="H26" s="139">
        <f t="shared" ca="1" si="1"/>
        <v>0</v>
      </c>
      <c r="I26" s="181"/>
    </row>
    <row r="27" spans="1:16" ht="12" customHeight="1" thickBot="1" x14ac:dyDescent="0.25">
      <c r="A27" s="159" t="s">
        <v>41</v>
      </c>
      <c r="B27" s="161">
        <f ca="1">+Carrying!O$49/$H$43</f>
        <v>0</v>
      </c>
      <c r="C27" s="143"/>
      <c r="D27" s="135"/>
      <c r="E27" s="176"/>
      <c r="F27" s="135"/>
      <c r="G27" s="178"/>
      <c r="H27" s="139">
        <f t="shared" ca="1" si="1"/>
        <v>0</v>
      </c>
      <c r="I27" s="181"/>
    </row>
    <row r="28" spans="1:16" ht="12" customHeight="1" thickBot="1" x14ac:dyDescent="0.25">
      <c r="A28" s="40" t="s">
        <v>42</v>
      </c>
      <c r="B28" s="459">
        <f ca="1">+B20*SUM(B21:B27)</f>
        <v>43378.100000000013</v>
      </c>
      <c r="C28" s="460"/>
      <c r="D28" s="135"/>
      <c r="E28" s="176"/>
      <c r="F28" s="135"/>
      <c r="G28" s="178"/>
      <c r="H28" s="139"/>
      <c r="I28" s="181"/>
      <c r="J28" s="411" t="s">
        <v>43</v>
      </c>
      <c r="K28" s="421">
        <f>+SUM(B12:C16)+B18</f>
        <v>209324.04450000002</v>
      </c>
      <c r="M28" s="39">
        <v>15</v>
      </c>
      <c r="N28" s="166">
        <v>100732.5</v>
      </c>
    </row>
    <row r="29" spans="1:16" ht="12" customHeight="1" thickBot="1" x14ac:dyDescent="0.25">
      <c r="A29" s="245" t="s">
        <v>44</v>
      </c>
      <c r="B29" s="163">
        <v>0.1</v>
      </c>
      <c r="C29" s="158" t="s">
        <v>45</v>
      </c>
      <c r="D29" s="135"/>
      <c r="E29" s="176"/>
      <c r="F29" s="135"/>
      <c r="G29" s="178"/>
      <c r="H29" s="139"/>
      <c r="I29" s="181"/>
      <c r="J29" s="412"/>
      <c r="K29" s="422"/>
      <c r="M29" s="353">
        <v>0.1</v>
      </c>
      <c r="N29" s="166">
        <v>67155</v>
      </c>
    </row>
    <row r="30" spans="1:16" ht="12" customHeight="1" thickBot="1" x14ac:dyDescent="0.25">
      <c r="A30" s="162" t="s">
        <v>46</v>
      </c>
      <c r="B30" s="467">
        <v>75000</v>
      </c>
      <c r="C30" s="468"/>
      <c r="D30" s="135">
        <f>-B30</f>
        <v>-75000</v>
      </c>
      <c r="E30" s="176">
        <f>B30</f>
        <v>75000</v>
      </c>
      <c r="F30" s="135"/>
      <c r="G30" s="178"/>
      <c r="H30" s="139"/>
      <c r="I30" s="265"/>
      <c r="J30" s="411" t="s">
        <v>47</v>
      </c>
      <c r="K30" s="421">
        <f>+B12+C14+C16+B18+B31</f>
        <v>43839.805187499995</v>
      </c>
      <c r="N30" s="166">
        <f>SUM(E30:F30)</f>
        <v>75000</v>
      </c>
    </row>
    <row r="31" spans="1:16" ht="12" customHeight="1" thickBot="1" x14ac:dyDescent="0.25">
      <c r="A31" s="40" t="s">
        <v>48</v>
      </c>
      <c r="B31" s="423">
        <f>-D52</f>
        <v>37573.025187499996</v>
      </c>
      <c r="C31" s="424"/>
      <c r="D31" s="135">
        <f>-B31</f>
        <v>-37573.025187499996</v>
      </c>
      <c r="E31" s="176"/>
      <c r="F31" s="135"/>
      <c r="G31" s="178"/>
      <c r="H31" s="136"/>
      <c r="I31" s="265"/>
      <c r="J31" s="412"/>
      <c r="K31" s="422"/>
    </row>
    <row r="32" spans="1:16" ht="12" customHeight="1" thickBot="1" x14ac:dyDescent="0.25">
      <c r="A32" s="40" t="s">
        <v>49</v>
      </c>
      <c r="B32" s="477">
        <v>600</v>
      </c>
      <c r="C32" s="442"/>
      <c r="D32" s="135">
        <f>-B32</f>
        <v>-600</v>
      </c>
      <c r="E32" s="176"/>
      <c r="F32" s="135"/>
      <c r="G32" s="178"/>
      <c r="H32" s="136"/>
      <c r="I32" s="181"/>
      <c r="J32" s="396" t="s">
        <v>50</v>
      </c>
      <c r="K32" s="397"/>
    </row>
    <row r="33" spans="1:15" ht="12" customHeight="1" thickBot="1" x14ac:dyDescent="0.25">
      <c r="A33" s="162" t="s">
        <v>51</v>
      </c>
      <c r="B33" s="140">
        <v>1</v>
      </c>
      <c r="C33" s="141">
        <v>500</v>
      </c>
      <c r="D33" s="135"/>
      <c r="E33" s="176"/>
      <c r="F33" s="135">
        <f>-C33</f>
        <v>-500</v>
      </c>
      <c r="G33" s="178"/>
      <c r="H33" s="136"/>
      <c r="I33" s="181"/>
      <c r="J33" s="398"/>
      <c r="K33" s="399"/>
    </row>
    <row r="34" spans="1:15" ht="12" customHeight="1" x14ac:dyDescent="0.2">
      <c r="A34" s="162" t="s">
        <v>52</v>
      </c>
      <c r="B34" s="164">
        <v>0</v>
      </c>
      <c r="C34" s="165">
        <v>2.5999999999999999E-2</v>
      </c>
      <c r="D34" s="135"/>
      <c r="E34" s="176"/>
      <c r="F34" s="135">
        <f ca="1">-B34*C34*$F$9</f>
        <v>0</v>
      </c>
      <c r="G34" s="178"/>
      <c r="H34" s="136"/>
      <c r="I34" s="181"/>
      <c r="M34" s="114">
        <f>+K28+B31</f>
        <v>246897.06968750001</v>
      </c>
    </row>
    <row r="35" spans="1:15" ht="12" customHeight="1" thickBot="1" x14ac:dyDescent="0.25">
      <c r="A35" s="162" t="s">
        <v>53</v>
      </c>
      <c r="B35" s="247">
        <v>1</v>
      </c>
      <c r="C35" s="248">
        <v>2.4E-2</v>
      </c>
      <c r="D35" s="135"/>
      <c r="E35" s="176"/>
      <c r="F35" s="135">
        <f ca="1">-B35*C35*$F$9</f>
        <v>-7445.2180000000008</v>
      </c>
      <c r="G35" s="178"/>
      <c r="H35" s="136"/>
      <c r="I35" s="181"/>
    </row>
    <row r="36" spans="1:15" ht="12" customHeight="1" thickBot="1" x14ac:dyDescent="0.25">
      <c r="A36" s="249" t="s">
        <v>54</v>
      </c>
      <c r="B36" s="246"/>
      <c r="C36" s="354">
        <f ca="1">+B20</f>
        <v>29.366666666666667</v>
      </c>
      <c r="D36" s="135"/>
      <c r="E36" s="176"/>
      <c r="F36" s="135"/>
      <c r="G36" s="178"/>
      <c r="H36" s="136"/>
      <c r="I36" s="181"/>
    </row>
    <row r="37" spans="1:15" ht="12" customHeight="1" thickBot="1" x14ac:dyDescent="0.3">
      <c r="A37" s="40" t="s">
        <v>55</v>
      </c>
      <c r="B37" s="392"/>
      <c r="C37" s="478"/>
      <c r="D37" s="166"/>
      <c r="E37" s="176"/>
      <c r="F37" s="135">
        <f>-C37</f>
        <v>0</v>
      </c>
      <c r="G37" s="178"/>
      <c r="H37" s="133"/>
      <c r="I37" s="181"/>
    </row>
    <row r="38" spans="1:15" ht="12" customHeight="1" x14ac:dyDescent="0.2">
      <c r="A38" s="40" t="s">
        <v>56</v>
      </c>
      <c r="B38" s="469">
        <f>+D72</f>
        <v>940</v>
      </c>
      <c r="C38" s="424"/>
      <c r="D38" s="135">
        <f>-B38</f>
        <v>-940</v>
      </c>
      <c r="E38" s="176"/>
      <c r="F38" s="135"/>
      <c r="G38" s="178"/>
      <c r="H38" s="133"/>
      <c r="I38" s="181"/>
    </row>
    <row r="39" spans="1:15" ht="12" customHeight="1" thickBot="1" x14ac:dyDescent="0.25">
      <c r="A39" s="40" t="s">
        <v>57</v>
      </c>
      <c r="B39" s="432">
        <f>+D83</f>
        <v>290</v>
      </c>
      <c r="C39" s="433"/>
      <c r="D39" s="144"/>
      <c r="E39" s="177"/>
      <c r="F39" s="144">
        <f>-B39</f>
        <v>-290</v>
      </c>
      <c r="G39" s="179"/>
      <c r="H39" s="142"/>
      <c r="I39" s="182"/>
    </row>
    <row r="40" spans="1:15" ht="12" customHeight="1" thickBot="1" x14ac:dyDescent="0.25">
      <c r="C40" s="431" t="s">
        <v>58</v>
      </c>
      <c r="D40" s="420"/>
      <c r="E40" s="258">
        <f>+SUM(D12:D39)</f>
        <v>-142379.80518749999</v>
      </c>
      <c r="F40" s="391">
        <f ca="1">+SUM(F12:F39)</f>
        <v>-189292.378</v>
      </c>
      <c r="G40" s="391"/>
      <c r="H40" s="394">
        <f ca="1">+SUM(H9:I39)</f>
        <v>-1477.1203178206588</v>
      </c>
      <c r="I40" s="395"/>
    </row>
    <row r="41" spans="1:15" ht="12" customHeight="1" thickBot="1" x14ac:dyDescent="0.25">
      <c r="A41" s="41"/>
      <c r="B41" s="470" t="s">
        <v>59</v>
      </c>
      <c r="C41" s="471"/>
      <c r="D41" s="471"/>
      <c r="E41" s="172">
        <f>+SUM(E9:E40)</f>
        <v>113677.35481250001</v>
      </c>
      <c r="F41" s="391">
        <f ca="1">+SUM(F9:G39)</f>
        <v>120925.03866666669</v>
      </c>
      <c r="G41" s="391"/>
      <c r="H41" s="170"/>
      <c r="I41" s="174"/>
      <c r="O41" s="114"/>
    </row>
    <row r="42" spans="1:15" ht="12" customHeight="1" x14ac:dyDescent="0.2">
      <c r="A42" s="41"/>
      <c r="B42" s="41"/>
      <c r="D42" s="41"/>
      <c r="E42" s="434" t="s">
        <v>60</v>
      </c>
      <c r="F42" s="435"/>
      <c r="G42" s="169">
        <f ca="1">+E41+F41</f>
        <v>234602.3934791667</v>
      </c>
      <c r="H42" s="170"/>
      <c r="I42" s="171"/>
      <c r="J42" s="513" t="s">
        <v>61</v>
      </c>
      <c r="K42" s="479" t="s">
        <v>62</v>
      </c>
      <c r="O42" s="114"/>
    </row>
    <row r="43" spans="1:15" ht="12" customHeight="1" thickBot="1" x14ac:dyDescent="0.25">
      <c r="A43" s="41"/>
      <c r="B43" s="41"/>
      <c r="E43" s="434" t="s">
        <v>63</v>
      </c>
      <c r="F43" s="435"/>
      <c r="G43" s="435"/>
      <c r="H43" s="154">
        <f ca="1">J56</f>
        <v>29.366666666666667</v>
      </c>
      <c r="I43" s="259">
        <f ca="1">+H43*H40</f>
        <v>-43378.100000000013</v>
      </c>
      <c r="J43" s="514"/>
      <c r="K43" s="480"/>
      <c r="M43" s="40"/>
      <c r="N43" s="114"/>
    </row>
    <row r="44" spans="1:15" ht="12" customHeight="1" thickBot="1" x14ac:dyDescent="0.25">
      <c r="A44" s="41"/>
      <c r="B44" s="41"/>
      <c r="E44" s="173"/>
      <c r="F44" s="482" t="s">
        <v>64</v>
      </c>
      <c r="G44" s="483"/>
      <c r="H44" s="145"/>
      <c r="I44" s="145">
        <f ca="1">+I43+G42</f>
        <v>191224.29347916669</v>
      </c>
      <c r="J44" s="146">
        <f ca="1">$B$17*$I$44</f>
        <v>0</v>
      </c>
      <c r="K44" s="147">
        <f ca="1">+$I$44-J44</f>
        <v>191224.29347916669</v>
      </c>
    </row>
    <row r="45" spans="1:15" ht="12" customHeight="1" thickTop="1" thickBot="1" x14ac:dyDescent="0.3">
      <c r="A45" s="148" t="s">
        <v>65</v>
      </c>
      <c r="B45" s="472">
        <v>0</v>
      </c>
      <c r="C45" s="476"/>
      <c r="D45" s="148"/>
      <c r="E45" s="148"/>
      <c r="H45" s="484" t="s">
        <v>66</v>
      </c>
      <c r="I45" s="485"/>
      <c r="J45" s="229">
        <f ca="1">IF(B45="",0,-$B$45*J44)</f>
        <v>0</v>
      </c>
      <c r="K45" s="230">
        <f ca="1">IF(B45="",0,-$B$45*K44)</f>
        <v>0</v>
      </c>
    </row>
    <row r="46" spans="1:15" ht="12" customHeight="1" thickTop="1" thickBot="1" x14ac:dyDescent="0.3">
      <c r="A46" s="40" t="s">
        <v>67</v>
      </c>
      <c r="B46" s="472">
        <v>0.1</v>
      </c>
      <c r="C46" s="473">
        <v>0.15</v>
      </c>
      <c r="D46" s="474">
        <f ca="1">+K46*B46</f>
        <v>19122.42934791667</v>
      </c>
      <c r="E46" s="475"/>
      <c r="G46" s="41"/>
      <c r="H46" s="482" t="s">
        <v>64</v>
      </c>
      <c r="I46" s="483"/>
      <c r="J46" s="153">
        <f ca="1">+J44+J45</f>
        <v>0</v>
      </c>
      <c r="K46" s="149">
        <f ca="1">+K44+K45</f>
        <v>191224.29347916669</v>
      </c>
    </row>
    <row r="47" spans="1:15" ht="12" customHeight="1" thickBot="1" x14ac:dyDescent="0.25">
      <c r="A47" s="118"/>
      <c r="C47" s="40"/>
      <c r="D47" s="40"/>
      <c r="E47" s="40"/>
    </row>
    <row r="48" spans="1:15" ht="12" customHeight="1" thickTop="1" x14ac:dyDescent="0.2">
      <c r="A48" s="127" t="s">
        <v>68</v>
      </c>
    </row>
    <row r="49" spans="1:10" ht="12" customHeight="1" thickBot="1" x14ac:dyDescent="0.25">
      <c r="A49" s="40" t="s">
        <v>69</v>
      </c>
      <c r="B49" s="463">
        <f>+'Gnatt Chart'!J5</f>
        <v>34157.295624999999</v>
      </c>
      <c r="C49" s="463"/>
      <c r="D49" s="463">
        <f>-B49</f>
        <v>-34157.295624999999</v>
      </c>
      <c r="E49" s="463"/>
      <c r="G49" s="481"/>
      <c r="H49" s="481"/>
      <c r="I49" s="481"/>
    </row>
    <row r="50" spans="1:10" ht="12" customHeight="1" thickBot="1" x14ac:dyDescent="0.25">
      <c r="A50" s="40" t="s">
        <v>70</v>
      </c>
      <c r="B50" s="150">
        <v>0.1</v>
      </c>
      <c r="D50" s="463"/>
      <c r="E50" s="463"/>
      <c r="G50" s="453" t="s">
        <v>71</v>
      </c>
      <c r="H50" s="486"/>
      <c r="I50" s="486"/>
      <c r="J50" s="450"/>
    </row>
    <row r="51" spans="1:10" ht="12" customHeight="1" thickBot="1" x14ac:dyDescent="0.25">
      <c r="A51" s="40" t="s">
        <v>72</v>
      </c>
      <c r="B51" s="466">
        <f>IF(K4&lt;&gt;"Yes",+B50*SUM(B49:C49),0)</f>
        <v>3415.7295625000002</v>
      </c>
      <c r="C51" s="466"/>
      <c r="D51" s="466">
        <f>-B51</f>
        <v>-3415.7295625000002</v>
      </c>
      <c r="E51" s="466"/>
      <c r="G51" s="487"/>
      <c r="H51" s="488"/>
      <c r="I51" s="488"/>
      <c r="J51" s="489"/>
    </row>
    <row r="52" spans="1:10" ht="12" customHeight="1" thickBot="1" x14ac:dyDescent="0.25">
      <c r="A52" s="40" t="s">
        <v>73</v>
      </c>
      <c r="D52" s="464">
        <f>+SUM(D49:E51)</f>
        <v>-37573.025187499996</v>
      </c>
      <c r="E52" s="465"/>
      <c r="G52" s="510" t="s">
        <v>74</v>
      </c>
      <c r="H52" s="511"/>
      <c r="I52" s="511"/>
      <c r="J52" s="512"/>
    </row>
    <row r="53" spans="1:10" ht="12" customHeight="1" thickTop="1" thickBot="1" x14ac:dyDescent="0.25">
      <c r="A53" s="151" t="s">
        <v>75</v>
      </c>
      <c r="B53" s="148"/>
      <c r="C53" s="148"/>
      <c r="D53" s="40"/>
      <c r="E53" s="40"/>
      <c r="G53" s="507"/>
      <c r="H53" s="508"/>
      <c r="I53" s="508"/>
      <c r="J53" s="509"/>
    </row>
    <row r="54" spans="1:10" ht="12" customHeight="1" thickBot="1" x14ac:dyDescent="0.25">
      <c r="A54" s="40" t="s">
        <v>76</v>
      </c>
      <c r="B54" s="490">
        <v>350</v>
      </c>
      <c r="C54" s="491"/>
      <c r="D54" s="463"/>
      <c r="E54" s="463"/>
    </row>
    <row r="55" spans="1:10" ht="12" customHeight="1" x14ac:dyDescent="0.25">
      <c r="A55" s="40" t="s">
        <v>77</v>
      </c>
      <c r="B55" s="429"/>
      <c r="C55" s="430"/>
      <c r="D55" s="463"/>
      <c r="E55" s="463"/>
      <c r="H55" s="492" t="s">
        <v>78</v>
      </c>
      <c r="I55" s="498"/>
      <c r="J55" s="356" t="s">
        <v>79</v>
      </c>
    </row>
    <row r="56" spans="1:10" ht="12" customHeight="1" thickBot="1" x14ac:dyDescent="0.3">
      <c r="A56" s="40" t="s">
        <v>80</v>
      </c>
      <c r="B56" s="429">
        <v>250</v>
      </c>
      <c r="C56" s="430"/>
      <c r="D56" s="463"/>
      <c r="E56" s="463"/>
      <c r="H56" s="499">
        <f ca="1">NOW()</f>
        <v>46112.587062152779</v>
      </c>
      <c r="I56" s="497"/>
      <c r="J56" s="384">
        <f ca="1">+F58/30</f>
        <v>29.366666666666667</v>
      </c>
    </row>
    <row r="57" spans="1:10" ht="12" customHeight="1" x14ac:dyDescent="0.2">
      <c r="A57" s="40" t="s">
        <v>80</v>
      </c>
      <c r="B57" s="429"/>
      <c r="C57" s="430"/>
      <c r="D57" s="463"/>
      <c r="E57" s="463"/>
      <c r="F57" s="492" t="s">
        <v>81</v>
      </c>
      <c r="G57" s="493"/>
      <c r="H57" s="493" t="s">
        <v>82</v>
      </c>
      <c r="I57" s="493"/>
      <c r="J57" s="356" t="s">
        <v>83</v>
      </c>
    </row>
    <row r="58" spans="1:10" ht="12" customHeight="1" thickBot="1" x14ac:dyDescent="0.3">
      <c r="A58" s="40" t="s">
        <v>84</v>
      </c>
      <c r="B58" s="429"/>
      <c r="C58" s="430"/>
      <c r="D58" s="463"/>
      <c r="E58" s="463"/>
      <c r="F58" s="494">
        <f ca="1">_xlfn.DAYS(J58,H58)</f>
        <v>881</v>
      </c>
      <c r="G58" s="495"/>
      <c r="H58" s="496">
        <v>45231</v>
      </c>
      <c r="I58" s="497"/>
      <c r="J58" s="357">
        <f ca="1">IF(H56&lt;&gt;"",IF(B1="flip",NOW(),H56),NOW())</f>
        <v>46112.587062152779</v>
      </c>
    </row>
    <row r="59" spans="1:10" ht="12" customHeight="1" x14ac:dyDescent="0.2">
      <c r="A59" s="40" t="s">
        <v>84</v>
      </c>
      <c r="B59" s="429"/>
      <c r="C59" s="430"/>
      <c r="D59" s="463"/>
      <c r="E59" s="463"/>
    </row>
    <row r="60" spans="1:10" ht="12" customHeight="1" x14ac:dyDescent="0.2">
      <c r="A60" s="40" t="s">
        <v>85</v>
      </c>
      <c r="B60" s="429"/>
      <c r="C60" s="430"/>
      <c r="D60" s="463"/>
      <c r="E60" s="463"/>
    </row>
    <row r="61" spans="1:10" ht="12" customHeight="1" x14ac:dyDescent="0.2">
      <c r="A61" s="40" t="s">
        <v>86</v>
      </c>
      <c r="B61" s="429"/>
      <c r="C61" s="430"/>
      <c r="D61" s="463"/>
      <c r="E61" s="463"/>
    </row>
    <row r="62" spans="1:10" ht="12" customHeight="1" x14ac:dyDescent="0.2">
      <c r="A62" s="40" t="s">
        <v>87</v>
      </c>
      <c r="B62" s="429"/>
      <c r="C62" s="430"/>
      <c r="D62" s="463"/>
      <c r="E62" s="463"/>
    </row>
    <row r="63" spans="1:10" ht="12" customHeight="1" x14ac:dyDescent="0.2">
      <c r="A63" s="40" t="s">
        <v>88</v>
      </c>
      <c r="B63" s="429"/>
      <c r="C63" s="430"/>
      <c r="D63" s="463"/>
      <c r="E63" s="463"/>
    </row>
    <row r="64" spans="1:10" ht="12" customHeight="1" x14ac:dyDescent="0.2">
      <c r="A64" s="40" t="s">
        <v>89</v>
      </c>
      <c r="B64" s="429"/>
      <c r="C64" s="430"/>
      <c r="D64" s="463"/>
      <c r="E64" s="463"/>
    </row>
    <row r="65" spans="1:10" ht="12" customHeight="1" x14ac:dyDescent="0.2">
      <c r="A65" s="40" t="s">
        <v>90</v>
      </c>
      <c r="B65" s="429">
        <v>200</v>
      </c>
      <c r="C65" s="430"/>
      <c r="D65" s="463"/>
      <c r="E65" s="463"/>
    </row>
    <row r="66" spans="1:10" ht="12" customHeight="1" x14ac:dyDescent="0.2">
      <c r="A66" s="40" t="s">
        <v>91</v>
      </c>
      <c r="B66" s="429"/>
      <c r="C66" s="430"/>
      <c r="D66" s="463"/>
      <c r="E66" s="463"/>
    </row>
    <row r="67" spans="1:10" ht="12" customHeight="1" x14ac:dyDescent="0.2">
      <c r="A67" s="40" t="s">
        <v>92</v>
      </c>
      <c r="B67" s="429"/>
      <c r="C67" s="430"/>
      <c r="D67" s="463"/>
      <c r="E67" s="463"/>
    </row>
    <row r="68" spans="1:10" ht="12" customHeight="1" x14ac:dyDescent="0.2">
      <c r="A68" s="40" t="s">
        <v>93</v>
      </c>
      <c r="B68" s="429">
        <v>90</v>
      </c>
      <c r="C68" s="430"/>
      <c r="D68" s="463"/>
      <c r="E68" s="463"/>
    </row>
    <row r="69" spans="1:10" ht="12" customHeight="1" x14ac:dyDescent="0.2">
      <c r="A69" s="40" t="s">
        <v>94</v>
      </c>
      <c r="B69" s="429">
        <v>20</v>
      </c>
      <c r="C69" s="430"/>
      <c r="D69" s="463"/>
      <c r="E69" s="463"/>
    </row>
    <row r="70" spans="1:10" ht="12" customHeight="1" x14ac:dyDescent="0.2">
      <c r="A70" s="40" t="s">
        <v>95</v>
      </c>
      <c r="B70" s="429">
        <v>30</v>
      </c>
      <c r="C70" s="430"/>
      <c r="D70" s="463"/>
      <c r="E70" s="463"/>
    </row>
    <row r="71" spans="1:10" ht="12" customHeight="1" thickBot="1" x14ac:dyDescent="0.25">
      <c r="A71" s="40" t="s">
        <v>96</v>
      </c>
      <c r="B71" s="515"/>
      <c r="C71" s="516"/>
      <c r="D71" s="504"/>
      <c r="E71" s="441"/>
    </row>
    <row r="72" spans="1:10" ht="12" customHeight="1" thickBot="1" x14ac:dyDescent="0.25">
      <c r="D72" s="464">
        <f>+SUM(B54:C71)</f>
        <v>940</v>
      </c>
      <c r="E72" s="465"/>
      <c r="G72" s="396" t="s">
        <v>97</v>
      </c>
      <c r="H72" s="505"/>
      <c r="I72" s="505"/>
      <c r="J72" s="506"/>
    </row>
    <row r="73" spans="1:10" ht="12" customHeight="1" thickBot="1" x14ac:dyDescent="0.25">
      <c r="G73" s="507"/>
      <c r="H73" s="508"/>
      <c r="I73" s="508"/>
      <c r="J73" s="509"/>
    </row>
    <row r="74" spans="1:10" ht="12" customHeight="1" thickTop="1" thickBot="1" x14ac:dyDescent="0.25">
      <c r="A74" s="151" t="s">
        <v>98</v>
      </c>
      <c r="B74" s="148"/>
      <c r="C74" s="148"/>
      <c r="D74" s="148"/>
      <c r="E74" s="148"/>
    </row>
    <row r="75" spans="1:10" ht="12" customHeight="1" x14ac:dyDescent="0.2">
      <c r="A75" s="40" t="s">
        <v>76</v>
      </c>
      <c r="B75" s="490"/>
      <c r="C75" s="491"/>
      <c r="D75" s="463"/>
      <c r="E75" s="463"/>
    </row>
    <row r="76" spans="1:10" ht="12" customHeight="1" x14ac:dyDescent="0.2">
      <c r="A76" s="40" t="s">
        <v>80</v>
      </c>
      <c r="B76" s="429">
        <v>250</v>
      </c>
      <c r="C76" s="430"/>
      <c r="D76" s="463"/>
      <c r="E76" s="463"/>
    </row>
    <row r="77" spans="1:10" ht="12" customHeight="1" x14ac:dyDescent="0.2">
      <c r="A77" s="40" t="s">
        <v>99</v>
      </c>
      <c r="B77" s="429">
        <v>0</v>
      </c>
      <c r="C77" s="430"/>
      <c r="D77" s="463"/>
      <c r="E77" s="463"/>
    </row>
    <row r="78" spans="1:10" ht="12" customHeight="1" x14ac:dyDescent="0.2">
      <c r="A78" s="40" t="s">
        <v>100</v>
      </c>
      <c r="B78" s="429"/>
      <c r="C78" s="430"/>
      <c r="D78" s="463"/>
      <c r="E78" s="463"/>
    </row>
    <row r="79" spans="1:10" ht="12" customHeight="1" x14ac:dyDescent="0.2">
      <c r="A79" s="40" t="s">
        <v>93</v>
      </c>
      <c r="B79" s="429"/>
      <c r="C79" s="430"/>
      <c r="D79" s="463"/>
      <c r="E79" s="463"/>
    </row>
    <row r="80" spans="1:10" ht="12" customHeight="1" x14ac:dyDescent="0.2">
      <c r="A80" s="40" t="s">
        <v>101</v>
      </c>
      <c r="B80" s="429">
        <v>40</v>
      </c>
      <c r="C80" s="430"/>
      <c r="D80" s="463"/>
      <c r="E80" s="463"/>
    </row>
    <row r="81" spans="1:10" ht="12" customHeight="1" x14ac:dyDescent="0.2">
      <c r="A81" s="40" t="s">
        <v>102</v>
      </c>
      <c r="B81" s="429"/>
      <c r="C81" s="430"/>
      <c r="D81" s="463"/>
      <c r="E81" s="463"/>
    </row>
    <row r="82" spans="1:10" ht="12" customHeight="1" thickBot="1" x14ac:dyDescent="0.25">
      <c r="A82" s="40" t="s">
        <v>96</v>
      </c>
      <c r="B82" s="502"/>
      <c r="C82" s="503"/>
      <c r="D82" s="504"/>
      <c r="E82" s="441"/>
    </row>
    <row r="83" spans="1:10" ht="12" customHeight="1" thickTop="1" thickBot="1" x14ac:dyDescent="0.25">
      <c r="D83" s="464">
        <f>+SUM(B75:C82)</f>
        <v>290</v>
      </c>
      <c r="E83" s="465"/>
      <c r="G83" s="396" t="s">
        <v>103</v>
      </c>
      <c r="H83" s="505"/>
      <c r="I83" s="505"/>
      <c r="J83" s="506"/>
    </row>
    <row r="84" spans="1:10" ht="12" customHeight="1" thickBot="1" x14ac:dyDescent="0.25">
      <c r="G84" s="507"/>
      <c r="H84" s="508"/>
      <c r="I84" s="508"/>
      <c r="J84" s="509"/>
    </row>
    <row r="85" spans="1:10" ht="12" customHeight="1" x14ac:dyDescent="0.2"/>
    <row r="86" spans="1:10" ht="12" customHeight="1" x14ac:dyDescent="0.2"/>
    <row r="87" spans="1:10" ht="12" customHeight="1" x14ac:dyDescent="0.2"/>
    <row r="88" spans="1:10" ht="12" customHeight="1" x14ac:dyDescent="0.2"/>
    <row r="89" spans="1:10" ht="12" customHeight="1" x14ac:dyDescent="0.2"/>
    <row r="90" spans="1:10" ht="12" customHeight="1" x14ac:dyDescent="0.2"/>
    <row r="91" spans="1:10" ht="12" customHeight="1" x14ac:dyDescent="0.2"/>
    <row r="92" spans="1:10" ht="12" customHeight="1" x14ac:dyDescent="0.2"/>
    <row r="93" spans="1:10" ht="12" customHeight="1" x14ac:dyDescent="0.2"/>
    <row r="94" spans="1:10" ht="12" customHeight="1" x14ac:dyDescent="0.2"/>
    <row r="95" spans="1:10" ht="12" customHeight="1" x14ac:dyDescent="0.2"/>
    <row r="96" spans="1:10" ht="12" customHeight="1" x14ac:dyDescent="0.2"/>
    <row r="97" ht="12" customHeight="1" x14ac:dyDescent="0.2"/>
    <row r="98" ht="12" customHeight="1" x14ac:dyDescent="0.2"/>
    <row r="99" ht="12" customHeight="1" x14ac:dyDescent="0.2"/>
    <row r="100" ht="12" customHeight="1" x14ac:dyDescent="0.2"/>
    <row r="101" ht="12" customHeight="1" x14ac:dyDescent="0.2"/>
    <row r="102" ht="12" customHeight="1" x14ac:dyDescent="0.2"/>
    <row r="103" ht="12" customHeight="1" x14ac:dyDescent="0.2"/>
    <row r="104" ht="12" customHeight="1" x14ac:dyDescent="0.2"/>
    <row r="105" ht="12" customHeight="1" x14ac:dyDescent="0.2"/>
    <row r="106" ht="12" customHeight="1" x14ac:dyDescent="0.2"/>
    <row r="107" ht="12" customHeight="1" x14ac:dyDescent="0.2"/>
    <row r="108" ht="12" customHeight="1" x14ac:dyDescent="0.2"/>
    <row r="109" ht="12" customHeight="1" x14ac:dyDescent="0.2"/>
  </sheetData>
  <mergeCells count="126">
    <mergeCell ref="G72:J73"/>
    <mergeCell ref="D72:E72"/>
    <mergeCell ref="D63:E63"/>
    <mergeCell ref="D65:E65"/>
    <mergeCell ref="D64:E64"/>
    <mergeCell ref="B75:C75"/>
    <mergeCell ref="D75:E75"/>
    <mergeCell ref="B76:C76"/>
    <mergeCell ref="D76:E76"/>
    <mergeCell ref="B71:C71"/>
    <mergeCell ref="D71:E71"/>
    <mergeCell ref="B67:C67"/>
    <mergeCell ref="B68:C68"/>
    <mergeCell ref="B66:C66"/>
    <mergeCell ref="B70:C70"/>
    <mergeCell ref="D70:E70"/>
    <mergeCell ref="B69:C69"/>
    <mergeCell ref="D69:E69"/>
    <mergeCell ref="D68:E68"/>
    <mergeCell ref="D66:E66"/>
    <mergeCell ref="D67:E67"/>
    <mergeCell ref="B1:C1"/>
    <mergeCell ref="D83:E83"/>
    <mergeCell ref="B77:C77"/>
    <mergeCell ref="D77:E77"/>
    <mergeCell ref="B79:C79"/>
    <mergeCell ref="D79:E79"/>
    <mergeCell ref="B80:C80"/>
    <mergeCell ref="D80:E80"/>
    <mergeCell ref="B78:C78"/>
    <mergeCell ref="D78:E78"/>
    <mergeCell ref="B81:C81"/>
    <mergeCell ref="D81:E81"/>
    <mergeCell ref="B82:C82"/>
    <mergeCell ref="D82:E82"/>
    <mergeCell ref="D59:E59"/>
    <mergeCell ref="D60:E60"/>
    <mergeCell ref="D55:E55"/>
    <mergeCell ref="B61:C61"/>
    <mergeCell ref="E43:G43"/>
    <mergeCell ref="G83:J84"/>
    <mergeCell ref="G52:J53"/>
    <mergeCell ref="J42:J43"/>
    <mergeCell ref="F44:G44"/>
    <mergeCell ref="B65:C65"/>
    <mergeCell ref="K42:K43"/>
    <mergeCell ref="B63:C63"/>
    <mergeCell ref="B64:C64"/>
    <mergeCell ref="G49:I49"/>
    <mergeCell ref="H46:I46"/>
    <mergeCell ref="H45:I45"/>
    <mergeCell ref="G50:J51"/>
    <mergeCell ref="B54:C54"/>
    <mergeCell ref="D50:E50"/>
    <mergeCell ref="D49:E49"/>
    <mergeCell ref="F57:G57"/>
    <mergeCell ref="H57:I57"/>
    <mergeCell ref="F58:G58"/>
    <mergeCell ref="H58:I58"/>
    <mergeCell ref="H55:I55"/>
    <mergeCell ref="H56:I56"/>
    <mergeCell ref="D58:E58"/>
    <mergeCell ref="B55:C55"/>
    <mergeCell ref="D56:E56"/>
    <mergeCell ref="D61:E61"/>
    <mergeCell ref="B59:C59"/>
    <mergeCell ref="D57:E57"/>
    <mergeCell ref="B56:C56"/>
    <mergeCell ref="D62:E62"/>
    <mergeCell ref="D54:E54"/>
    <mergeCell ref="D52:E52"/>
    <mergeCell ref="D51:E51"/>
    <mergeCell ref="B51:C51"/>
    <mergeCell ref="B30:C30"/>
    <mergeCell ref="B38:C38"/>
    <mergeCell ref="B41:D41"/>
    <mergeCell ref="B46:C46"/>
    <mergeCell ref="D46:E46"/>
    <mergeCell ref="B45:C45"/>
    <mergeCell ref="B32:C32"/>
    <mergeCell ref="B37:C37"/>
    <mergeCell ref="B49:C49"/>
    <mergeCell ref="B62:C62"/>
    <mergeCell ref="C40:D40"/>
    <mergeCell ref="B39:C39"/>
    <mergeCell ref="B57:C57"/>
    <mergeCell ref="B60:C60"/>
    <mergeCell ref="B58:C58"/>
    <mergeCell ref="E42:F42"/>
    <mergeCell ref="O2:O3"/>
    <mergeCell ref="J2:J3"/>
    <mergeCell ref="J4:J5"/>
    <mergeCell ref="K4:K5"/>
    <mergeCell ref="H2:I3"/>
    <mergeCell ref="B2:F2"/>
    <mergeCell ref="D3:E3"/>
    <mergeCell ref="F3:G3"/>
    <mergeCell ref="K30:K31"/>
    <mergeCell ref="K6:K7"/>
    <mergeCell ref="J18:K19"/>
    <mergeCell ref="J12:K15"/>
    <mergeCell ref="J6:J7"/>
    <mergeCell ref="J8:J9"/>
    <mergeCell ref="B28:C28"/>
    <mergeCell ref="B12:C12"/>
    <mergeCell ref="J28:J29"/>
    <mergeCell ref="K2:K3"/>
    <mergeCell ref="K8:K9"/>
    <mergeCell ref="N2:N3"/>
    <mergeCell ref="C9:D9"/>
    <mergeCell ref="K28:K29"/>
    <mergeCell ref="B31:C31"/>
    <mergeCell ref="F9:G9"/>
    <mergeCell ref="H9:I9"/>
    <mergeCell ref="H12:I12"/>
    <mergeCell ref="F41:G41"/>
    <mergeCell ref="B8:C8"/>
    <mergeCell ref="F40:G40"/>
    <mergeCell ref="H40:I40"/>
    <mergeCell ref="J32:K33"/>
    <mergeCell ref="J20:K23"/>
    <mergeCell ref="B4:C4"/>
    <mergeCell ref="B6:C6"/>
    <mergeCell ref="B7:C7"/>
    <mergeCell ref="B18:C18"/>
    <mergeCell ref="J30:J31"/>
  </mergeCells>
  <pageMargins left="0.25" right="0.25" top="0.75" bottom="0.75" header="0.3" footer="0.3"/>
  <pageSetup orientation="portrait" r:id="rId1"/>
  <rowBreaks count="1" manualBreakCount="1">
    <brk id="47"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D2ECA-2BAD-40CC-ABE6-F611B5FB8305}">
  <sheetPr codeName="Sheet2"/>
  <dimension ref="A1:M82"/>
  <sheetViews>
    <sheetView topLeftCell="A147" zoomScale="115" zoomScaleNormal="115" workbookViewId="0">
      <selection activeCell="C1" sqref="C1:E1"/>
    </sheetView>
  </sheetViews>
  <sheetFormatPr defaultRowHeight="15" x14ac:dyDescent="0.25"/>
  <cols>
    <col min="1" max="1" width="8.85546875" customWidth="1"/>
    <col min="2" max="3" width="12.7109375" customWidth="1"/>
    <col min="4" max="4" width="16.28515625" customWidth="1"/>
    <col min="5" max="6" width="12.28515625" bestFit="1" customWidth="1"/>
    <col min="7" max="7" width="12.5703125" customWidth="1"/>
    <col min="8" max="8" width="5.5703125" customWidth="1"/>
    <col min="9" max="9" width="88.28515625" customWidth="1"/>
    <col min="11" max="11" width="88" customWidth="1"/>
    <col min="15" max="15" width="56.7109375" customWidth="1"/>
  </cols>
  <sheetData>
    <row r="1" spans="1:11" x14ac:dyDescent="0.25">
      <c r="C1" s="525" t="s">
        <v>104</v>
      </c>
      <c r="D1" s="526"/>
      <c r="E1" s="518"/>
      <c r="I1" s="517" t="str">
        <f>"Hi "&amp;B3 &amp; IF(B4 ="",""," and ") &amp;B4&amp;",
Thank you for the opportunity to make an offer on your property at "&amp;Profit!B2&amp;". I have several options I would like for you to consider. I also want to give you several very good reasons for you to work with us here at Buy Your Home LLC.
"&amp;REPT(" ",6)&amp;"1. If you sell your home to us, you will incur no expense from the transaction. We will pay all:
"&amp;REPT(" ",20)&amp;"Closing Cost
"&amp;REPT(" ",20)&amp;"Attorney's Fees
"&amp;REPT(" ",20)&amp;"Realtor Commissions
"&amp;REPT(" ",6) &amp;" 2. We can close fast. It will be a matter of days, probably less than two weeks, when we can  
"&amp;REPT(" ",11) &amp;"close at our attorney's office and get you your cash.
"&amp;REPT(" ",6) &amp;"3. We cover the cost, time, and effort of paying any money due to any lender or HOA 
"&amp;REPT(" ",11) &amp;"involved."</f>
        <v>Hi Nikki,
Thank you for the opportunity to make an offer on your property at 115 Rosebrooks Dr, Cary, NC 27513. I have several options I would like for you to consider. I also want to give you several very good reasons for you to work with us here at Buy Your Home LLC.
      1. If you sell your home to us, you will incur no expense from the transaction. We will pay all:
                    Closing Cost
                    Attorney's Fees
                    Realtor Commissions
       2. We can close fast. It will be a matter of days, probably less than two weeks, when we can  
           close at our attorney's office and get you your cash.
      3. We cover the cost, time, and effort of paying any money due to any lender or HOA 
           involved.</v>
      </c>
      <c r="J1" s="527" t="s">
        <v>105</v>
      </c>
      <c r="K1" s="517" t="str">
        <f ca="1">+I1&amp;IF(N14="X",O14,"")&amp;"
"&amp; IF(H15="X",I15,"") &amp;"
"&amp; IF(H16="X",I16,"") &amp;"
"&amp; IF(H20="X",I20,"") &amp;"
"&amp; IF(H26="X",I26,"") &amp;"
"&amp; IF(H33="X",I33,"") &amp; "
"&amp; IF(H42="X",I42,"") &amp; "
"&amp; IF(H52="X",I52,"") &amp; "
"&amp; IF(H61="X",I61,"") &amp; "
"&amp; IF(H74="X",I74,"") &amp; "
"&amp; IF(H81="X",I81,"") &amp; "
"&amp; IF(H82="X",I82,"") &amp; "
"&amp; ""</f>
        <v xml:space="preserve">Hi Nikki,
Thank you for the opportunity to make an offer on your property at 115 Rosebrooks Dr, Cary, NC 27513. I have several options I would like for you to consider. I also want to give you several very good reasons for you to work with us here at Buy Your Home LLC.
      1. If you sell your home to us, you will incur no expense from the transaction. We will pay all:
                    Closing Cost
                    Attorney's Fees
                    Realtor Commissions
       2. We can close fast. It will be a matter of days, probably less than two weeks, when we can  
           close at our attorney's office and get you your cash.
      3. We cover the cost, time, and effort of paying any money due to any lender or HOA 
           involved.
Here are some purchase options for your consideration. They are presented in summary form and I am sure you will have some questions that I will be happy to take time needed to answer.  Each option below will have more value than the one above it.
Option 1: Cash plus Assumption of Mortgage
      This is a cash payment, at closing. We will take responsibility for the existing mortgage, HOA
      fees, and any liens that may be discovered until we are able to resell the property. This offer is:
                                           Cash:                      $0.00
                                Total Value:                      $0.00
Option 2: Cash plus Promissory Note
      The explanation for the cash component is the same as for option 1. However, 20.% of the
      value of the offer will be cash and 80.% will be in the form of a promissory note, complete
      with a Deed of Trust. The note will have a 24-month term that will pay simple interest at
      the rate of 4% per year.
                                           Cash:                       $0.00
                        12 Month Note:                        $20,000.00
                         Interest Earned:                         $1,600.00            $66.67 per month
                                Total Value:                    $21,600.00
Option 3: Cash plus Beneficial Interest in Trust
      The explanation for the cash component is the same as for option 2. Instead of a note as in
      Option 2, you will share in the profit earned when the property is resold. The property will 
      be placed into a trust that you will share a beneficial interest in. The advantage here is you will 
      benefit from the appreciated value of the property, over time. You will receive quarterly
      reports on the financial status of the property.
                                           Cash:                       $10,000.00
                        Interest in Trust:                                 70.%
             Expected Sellers Profit:                       $141,709.20   *    Expected 3% appreciation per year
                          Expected Value:                    $151,709.20    ** After 24 months.
Nikki, this offer is contingent upon a normal due diligence period. The values of each option are predicated on some assumptions that may need to be altered upon further discovery. The more we can learn from you, in advance, the more reliable these options may be considered. When you decide which offer you prefer, I will email you a contract along with an earnest money payment. We are ready to be of service in any way we can.
This offer is based on Zillow's Zestimate of $289,000.00. 
We will clean and prepare the property for a quick resale. There is also an assumption that the property will need no rehab. If that turns out to not be true, an allowance will need to be made. In any case, that will be decided in the due diligence period of the contract.
Sincerely,
Wes Browning
(919) 899-2104
</v>
      </c>
    </row>
    <row r="2" spans="1:11" ht="15.75" thickBot="1" x14ac:dyDescent="0.3">
      <c r="C2" s="3"/>
      <c r="D2" s="22"/>
      <c r="I2" s="518"/>
      <c r="J2" s="527"/>
      <c r="K2" s="517"/>
    </row>
    <row r="3" spans="1:11" ht="16.5" customHeight="1" x14ac:dyDescent="0.25">
      <c r="A3" t="s">
        <v>106</v>
      </c>
      <c r="B3" s="296" t="s">
        <v>107</v>
      </c>
      <c r="C3" s="295" t="s">
        <v>108</v>
      </c>
      <c r="D3" s="22"/>
      <c r="I3" s="518"/>
      <c r="J3" s="289" t="s">
        <v>109</v>
      </c>
      <c r="K3" s="517"/>
    </row>
    <row r="4" spans="1:11" x14ac:dyDescent="0.25">
      <c r="A4" t="s">
        <v>110</v>
      </c>
      <c r="B4" s="294"/>
      <c r="C4" s="297"/>
      <c r="D4" s="22"/>
      <c r="I4" s="518"/>
      <c r="K4" s="517"/>
    </row>
    <row r="5" spans="1:11" ht="16.5" x14ac:dyDescent="0.3">
      <c r="A5" t="s">
        <v>111</v>
      </c>
      <c r="B5" s="284"/>
      <c r="C5" s="285"/>
      <c r="D5" s="22"/>
      <c r="I5" s="518"/>
      <c r="K5" s="517"/>
    </row>
    <row r="6" spans="1:11" ht="15" customHeight="1" thickBot="1" x14ac:dyDescent="0.3">
      <c r="A6" t="s">
        <v>112</v>
      </c>
      <c r="B6" s="286"/>
      <c r="C6" s="287"/>
      <c r="D6" s="22"/>
      <c r="I6" s="518"/>
      <c r="K6" s="517"/>
    </row>
    <row r="7" spans="1:11" x14ac:dyDescent="0.25">
      <c r="I7" s="518"/>
      <c r="K7" s="517"/>
    </row>
    <row r="8" spans="1:11" x14ac:dyDescent="0.25">
      <c r="I8" s="518"/>
      <c r="K8" s="517"/>
    </row>
    <row r="9" spans="1:11" x14ac:dyDescent="0.25">
      <c r="A9" s="15" t="s">
        <v>113</v>
      </c>
      <c r="B9" s="15" t="s">
        <v>114</v>
      </c>
      <c r="C9" s="15"/>
      <c r="I9" s="518"/>
      <c r="K9" s="517"/>
    </row>
    <row r="10" spans="1:11" x14ac:dyDescent="0.25">
      <c r="B10" s="528" t="s">
        <v>115</v>
      </c>
      <c r="C10" s="529"/>
      <c r="D10" s="529"/>
      <c r="E10" s="529"/>
      <c r="F10" s="529"/>
      <c r="G10" s="529"/>
      <c r="I10" s="518"/>
      <c r="K10" s="517"/>
    </row>
    <row r="11" spans="1:11" x14ac:dyDescent="0.25">
      <c r="B11" s="518"/>
      <c r="C11" s="518"/>
      <c r="D11" s="518"/>
      <c r="E11" s="518"/>
      <c r="F11" s="518"/>
      <c r="G11" s="518"/>
      <c r="I11" s="518"/>
      <c r="K11" s="517"/>
    </row>
    <row r="12" spans="1:11" x14ac:dyDescent="0.25">
      <c r="F12" s="519" t="s">
        <v>116</v>
      </c>
      <c r="I12" s="518"/>
      <c r="K12" s="517"/>
    </row>
    <row r="13" spans="1:11" ht="15.75" thickBot="1" x14ac:dyDescent="0.3">
      <c r="B13" s="32" t="s">
        <v>117</v>
      </c>
      <c r="C13" s="282" t="s">
        <v>118</v>
      </c>
      <c r="D13" s="32" t="s">
        <v>119</v>
      </c>
      <c r="E13" s="32"/>
      <c r="F13" s="520"/>
      <c r="G13" s="32" t="s">
        <v>120</v>
      </c>
      <c r="I13" s="518"/>
      <c r="K13" s="517"/>
    </row>
    <row r="14" spans="1:11" ht="16.5" thickTop="1" thickBot="1" x14ac:dyDescent="0.3">
      <c r="B14" s="293">
        <f>+D14+F14</f>
        <v>209324.04450000002</v>
      </c>
      <c r="C14" s="1">
        <f>+Profit!B4</f>
        <v>289000</v>
      </c>
      <c r="D14" s="1">
        <f>+Profit!K28-Profit!B18</f>
        <v>209324.04450000002</v>
      </c>
      <c r="F14" s="292">
        <f>+B24-(B24*F16)</f>
        <v>0</v>
      </c>
      <c r="G14" s="257">
        <f>+C14-D14-F14+Profit!E40+Profit!B18</f>
        <v>-62703.849687500013</v>
      </c>
      <c r="I14" s="518"/>
      <c r="K14" s="517"/>
    </row>
    <row r="15" spans="1:11" ht="16.5" thickTop="1" thickBot="1" x14ac:dyDescent="0.3">
      <c r="C15" s="252"/>
      <c r="D15" s="253" t="s">
        <v>121</v>
      </c>
      <c r="E15" s="254">
        <f>+Profit!$K$30</f>
        <v>43839.805187499995</v>
      </c>
      <c r="H15" s="283"/>
      <c r="K15" s="517"/>
    </row>
    <row r="16" spans="1:11" ht="16.5" thickTop="1" thickBot="1" x14ac:dyDescent="0.3">
      <c r="C16" s="252"/>
      <c r="D16" s="255" t="s">
        <v>122</v>
      </c>
      <c r="E16" s="256">
        <f>+G14/E15</f>
        <v>-1.4302948979658949</v>
      </c>
      <c r="F16" s="291">
        <v>0.1</v>
      </c>
      <c r="H16" s="283" t="s">
        <v>123</v>
      </c>
      <c r="I16" s="517" t="str">
        <f>"Here are some purchase options for your consideration. They are presented in summary form and I am sure you will have some questions that I will be happy to take time needed to answer.  Each option below will have more value than the one above it."</f>
        <v>Here are some purchase options for your consideration. They are presented in summary form and I am sure you will have some questions that I will be happy to take time needed to answer.  Each option below will have more value than the one above it.</v>
      </c>
      <c r="K16" s="517"/>
    </row>
    <row r="17" spans="1:13" ht="15.75" thickTop="1" x14ac:dyDescent="0.25">
      <c r="C17" s="252"/>
      <c r="D17" s="255" t="s">
        <v>124</v>
      </c>
      <c r="E17" s="256">
        <f>+G14/(F14+G14)</f>
        <v>1</v>
      </c>
      <c r="F17" t="s">
        <v>125</v>
      </c>
      <c r="I17" s="517"/>
      <c r="K17" s="517"/>
    </row>
    <row r="18" spans="1:13" x14ac:dyDescent="0.25">
      <c r="I18" s="517"/>
      <c r="K18" s="517"/>
    </row>
    <row r="19" spans="1:13" ht="15.75" thickBot="1" x14ac:dyDescent="0.3">
      <c r="A19" s="15" t="s">
        <v>126</v>
      </c>
      <c r="B19" s="15" t="s">
        <v>127</v>
      </c>
      <c r="D19" s="15" t="s">
        <v>128</v>
      </c>
      <c r="H19">
        <f>IF(H20="X",1,0)</f>
        <v>0</v>
      </c>
      <c r="K19" s="517"/>
    </row>
    <row r="20" spans="1:13" ht="15" customHeight="1" thickTop="1" thickBot="1" x14ac:dyDescent="0.3">
      <c r="B20" t="s">
        <v>129</v>
      </c>
      <c r="H20" s="283"/>
      <c r="I20" s="517" t="str">
        <f>"Option "&amp;H19&amp;": "&amp;""&amp;B9&amp;"
"&amp;REPT(" ",6)&amp;"This is a, traditional, all cash purchase, at closing with no other allowances considered. Seller 
"&amp;REPT(" ",6)&amp;"pays all mortgages, liens, HOA expenses, etc., out of closings disbursements. This option has 
" &amp; REPT(" ",6) &amp; "the smallest value for the seller. Our cash offer is:
"&amp;REPT(" ",43) &amp;"Cash:"&amp;REPT(" ",21)&amp;+TEXT(B14,"$#,##0.00") &amp; IF(J3="yes",REPT(" ",10) &amp; "Profit = "&amp; TEXT(G14,"$#,##0.00"),"" )&amp; "
"&amp;REPT(" ",32) &amp; "Total Value:"&amp;REPT(" ",21)&amp;TEXT(F14,"$#,##0.00")</f>
        <v>Option 0: Traditional, All Cash 
      This is a, traditional, all cash purchase, at closing with no other allowances considered. Seller 
      pays all mortgages, liens, HOA expenses, etc., out of closings disbursements. This option has 
      the smallest value for the seller. Our cash offer is:
                                           Cash:                     $209,324.04
                                Total Value:                     $0.00</v>
      </c>
      <c r="K20" s="517"/>
    </row>
    <row r="21" spans="1:13" ht="15.75" thickTop="1" x14ac:dyDescent="0.25">
      <c r="B21" t="s">
        <v>130</v>
      </c>
      <c r="I21" s="517"/>
      <c r="J21" s="280"/>
      <c r="K21" s="517"/>
      <c r="L21" s="279"/>
      <c r="M21" s="279"/>
    </row>
    <row r="22" spans="1:13" ht="30" x14ac:dyDescent="0.25">
      <c r="F22" s="63" t="s">
        <v>131</v>
      </c>
      <c r="I22" s="517"/>
      <c r="J22" s="279"/>
      <c r="K22" s="517"/>
      <c r="L22" s="279"/>
      <c r="M22" s="279"/>
    </row>
    <row r="23" spans="1:13" ht="15.75" thickBot="1" x14ac:dyDescent="0.3">
      <c r="B23" s="32" t="s">
        <v>132</v>
      </c>
      <c r="C23" s="521"/>
      <c r="D23" s="522"/>
      <c r="E23" s="522"/>
      <c r="F23" s="522"/>
      <c r="G23" s="32" t="s">
        <v>120</v>
      </c>
      <c r="I23" s="539"/>
      <c r="J23" s="279"/>
      <c r="K23" s="517"/>
      <c r="L23" s="279"/>
      <c r="M23" s="279"/>
    </row>
    <row r="24" spans="1:13" ht="16.5" thickTop="1" thickBot="1" x14ac:dyDescent="0.3">
      <c r="B24" s="290">
        <f>+Profit!B18</f>
        <v>0</v>
      </c>
      <c r="C24" s="523" t="s">
        <v>133</v>
      </c>
      <c r="D24" s="524"/>
      <c r="E24" s="524"/>
      <c r="F24" s="10">
        <f>+B24</f>
        <v>0</v>
      </c>
      <c r="G24" s="257">
        <f ca="1">+Profit!K46+Profit!B18-B24</f>
        <v>191224.29347916669</v>
      </c>
      <c r="I24" s="518"/>
      <c r="K24" s="517"/>
    </row>
    <row r="25" spans="1:13" ht="15.4" customHeight="1" thickTop="1" thickBot="1" x14ac:dyDescent="0.3">
      <c r="C25" s="252"/>
      <c r="D25" s="253" t="s">
        <v>121</v>
      </c>
      <c r="E25" s="254">
        <f>+Profit!$K$30</f>
        <v>43839.805187499995</v>
      </c>
      <c r="H25">
        <f>IF(H26="X",1+H19,H19)</f>
        <v>1</v>
      </c>
      <c r="K25" s="517"/>
    </row>
    <row r="26" spans="1:13" ht="15" customHeight="1" thickTop="1" thickBot="1" x14ac:dyDescent="0.3">
      <c r="C26" s="252"/>
      <c r="D26" s="255" t="s">
        <v>122</v>
      </c>
      <c r="E26" s="256">
        <f ca="1">+G24/E25</f>
        <v>4.3618873911805229</v>
      </c>
      <c r="H26" s="283" t="s">
        <v>134</v>
      </c>
      <c r="I26" s="517" t="str">
        <f>"Option "  &amp; H25 &amp; ": "&amp;""&amp;B19&amp;"
"&amp;REPT(" ",6) &amp; "This is a cash payment, at closing. We will take responsibility for the existing mortgage, HOA
"&amp;REPT(" ",6) &amp; "fees, and any liens that may be discovered until we are able to resell the property. This offer is:
"&amp;REPT(" ",43)&amp;"Cash:"&amp;REPT(" ",22) &amp; TEXT(F24,"$#,##0.00") &amp; IF(J3="yes",REPT(" ",10) &amp; "Profit = "&amp; TEXT(G24,"$#,##0.00"),"" ) &amp; "
"&amp;REPT(" ",32)&amp;"Total Value:"&amp;REPT(" ",22) &amp; TEXT(F24,"$#,##0.00")</f>
        <v>Option 1: Cash plus Assumption of Mortgage
      This is a cash payment, at closing. We will take responsibility for the existing mortgage, HOA
      fees, and any liens that may be discovered until we are able to resell the property. This offer is:
                                           Cash:                      $0.00
                                Total Value:                      $0.00</v>
      </c>
      <c r="K26" s="517"/>
    </row>
    <row r="27" spans="1:13" ht="15" customHeight="1" thickTop="1" x14ac:dyDescent="0.25">
      <c r="C27" s="252"/>
      <c r="D27" s="255" t="s">
        <v>124</v>
      </c>
      <c r="E27" s="256">
        <f ca="1">+G24/(F24+G24)</f>
        <v>1</v>
      </c>
      <c r="I27" s="517"/>
      <c r="K27" s="517"/>
    </row>
    <row r="28" spans="1:13" ht="15" customHeight="1" x14ac:dyDescent="0.25">
      <c r="I28" s="517"/>
      <c r="K28" s="517"/>
    </row>
    <row r="29" spans="1:13" x14ac:dyDescent="0.25">
      <c r="A29" s="15"/>
      <c r="B29" s="15"/>
      <c r="I29" s="539"/>
      <c r="K29" s="517"/>
    </row>
    <row r="30" spans="1:13" x14ac:dyDescent="0.25">
      <c r="A30" s="15" t="s">
        <v>135</v>
      </c>
      <c r="B30" s="15" t="s">
        <v>136</v>
      </c>
      <c r="D30" t="s">
        <v>137</v>
      </c>
      <c r="I30" s="518"/>
      <c r="K30" s="517"/>
    </row>
    <row r="31" spans="1:13" ht="25.5" x14ac:dyDescent="0.25">
      <c r="B31" t="s">
        <v>129</v>
      </c>
      <c r="I31" s="280" t="str">
        <f>"This is a cash payment, at closing, in conjunction with reinstating the existing mortgage taking responsibility for those payments, HOA fees and other liens that may be discovered. Our cash offer is:"</f>
        <v>This is a cash payment, at closing, in conjunction with reinstating the existing mortgage taking responsibility for those payments, HOA fees and other liens that may be discovered. Our cash offer is:</v>
      </c>
      <c r="K31" s="517"/>
    </row>
    <row r="32" spans="1:13" ht="15.75" thickBot="1" x14ac:dyDescent="0.3">
      <c r="B32" t="s">
        <v>130</v>
      </c>
      <c r="H32">
        <f>IF(H33="X",H25+1,H25)</f>
        <v>2</v>
      </c>
      <c r="K32" s="517"/>
    </row>
    <row r="33" spans="1:13" ht="15" customHeight="1" thickTop="1" thickBot="1" x14ac:dyDescent="0.3">
      <c r="H33" s="283" t="s">
        <v>134</v>
      </c>
      <c r="I33" s="517" t="str">
        <f>"Option "  &amp; H32 &amp; ": " &amp;""&amp;B30&amp;"
"&amp;REPT(" ",6)&amp;"The explanation for the cash component is the same as for option "&amp; H25 &amp; ". However, "&amp;TEXT(B38,"##.#%") &amp;" of the
" &amp; REPT(" ",6) &amp; "value of the offer will be cash and "&amp; TEXT(C38,"##.#%") &amp;" will be in the form of a promissory note, complete
" &amp; REPT(" ",6) &amp; "with a Deed of Trust. The note will have a " &amp; D35 &amp; "-month term that will pay simple interest at
" &amp; REPT(" ",6) &amp; "the rate of "&amp;E37*100&amp;"% per year.
"&amp; REPT(" ",43) &amp; "Cash:" &amp; REPT(" ",23) &amp; TEXT(B37,"$#,##0.00") &amp; IF(J3="yes",REPT(" ",10) &amp; "Profit = "&amp; TEXT(G37,"$#,##0.00"),"" ) &amp;"
"&amp; REPT(" ",24) &amp; "12 Month Note:" &amp; REPT(" ",24) &amp; TEXT(C37,"$#,##0.00")&amp;"
"&amp; REPT(" ",25) &amp; "Interest Earned:" &amp; REPT(" ",25) &amp; TEXT(D37,"$#,##0.00") &amp;REPT(" ",12)&amp;+TEXT(D37/D35,"$#,##0.00") &amp; " per month" &amp; "
"&amp; REPT(" ",32) &amp; "Total Value:" &amp; REPT(" ",20) &amp; TEXT(F37,"$#,##0.00")</f>
        <v>Option 2: Cash plus Promissory Note
      The explanation for the cash component is the same as for option 1. However, 20.% of the
      value of the offer will be cash and 80.% will be in the form of a promissory note, complete
      with a Deed of Trust. The note will have a 24-month term that will pay simple interest at
      the rate of 4% per year.
                                           Cash:                       $0.00
                        12 Month Note:                        $20,000.00
                         Interest Earned:                         $1,600.00            $66.67 per month
                                Total Value:                    $21,600.00</v>
      </c>
      <c r="K33" s="517"/>
    </row>
    <row r="34" spans="1:13" ht="16.5" thickTop="1" thickBot="1" x14ac:dyDescent="0.3">
      <c r="C34" s="2" t="s">
        <v>138</v>
      </c>
      <c r="D34" s="3" t="s">
        <v>79</v>
      </c>
      <c r="F34" s="3" t="s">
        <v>139</v>
      </c>
      <c r="I34" s="517"/>
      <c r="K34" s="517"/>
    </row>
    <row r="35" spans="1:13" ht="16.5" thickTop="1" thickBot="1" x14ac:dyDescent="0.3">
      <c r="B35" s="288" t="s">
        <v>140</v>
      </c>
      <c r="C35" s="260">
        <v>20000</v>
      </c>
      <c r="D35" s="251">
        <v>24</v>
      </c>
      <c r="F35" s="519" t="s">
        <v>131</v>
      </c>
      <c r="I35" s="517"/>
      <c r="K35" s="517"/>
    </row>
    <row r="36" spans="1:13" ht="16.5" thickTop="1" thickBot="1" x14ac:dyDescent="0.3">
      <c r="B36" s="32" t="s">
        <v>141</v>
      </c>
      <c r="C36" s="32" t="s">
        <v>142</v>
      </c>
      <c r="D36" s="32" t="s">
        <v>143</v>
      </c>
      <c r="E36" s="32" t="s">
        <v>144</v>
      </c>
      <c r="F36" s="520"/>
      <c r="G36" s="32" t="s">
        <v>120</v>
      </c>
      <c r="I36" s="517"/>
      <c r="K36" s="517"/>
    </row>
    <row r="37" spans="1:13" ht="16.5" thickTop="1" thickBot="1" x14ac:dyDescent="0.3">
      <c r="B37" s="10">
        <f>+(Profit!$B$18)*B38</f>
        <v>0</v>
      </c>
      <c r="C37" s="10">
        <f>+(Profit!$B$18)-B37+C35</f>
        <v>20000</v>
      </c>
      <c r="D37" s="10">
        <f>+C37*D35/12*E37</f>
        <v>1600</v>
      </c>
      <c r="E37" s="262">
        <v>0.04</v>
      </c>
      <c r="F37" s="10">
        <f>+SUM(B37:D37)</f>
        <v>21600</v>
      </c>
      <c r="G37" s="257">
        <f ca="1">+Profit!$K$46-D37-C35</f>
        <v>169624.29347916669</v>
      </c>
      <c r="I37" s="517"/>
      <c r="K37" s="517"/>
    </row>
    <row r="38" spans="1:13" ht="16.5" thickTop="1" thickBot="1" x14ac:dyDescent="0.3">
      <c r="B38" s="262">
        <v>0.2</v>
      </c>
      <c r="C38" s="278">
        <f>1-B38</f>
        <v>0.8</v>
      </c>
      <c r="D38" s="10"/>
      <c r="E38" s="38"/>
      <c r="F38" s="10"/>
      <c r="G38" s="10"/>
      <c r="I38" s="517"/>
      <c r="K38" s="517"/>
    </row>
    <row r="39" spans="1:13" ht="15.4" customHeight="1" thickTop="1" x14ac:dyDescent="0.25">
      <c r="B39" s="10"/>
      <c r="C39" s="257"/>
      <c r="D39" s="253" t="s">
        <v>121</v>
      </c>
      <c r="E39" s="254">
        <f>+Profit!$K$30-C37+C35</f>
        <v>43839.805187499995</v>
      </c>
      <c r="F39" s="10"/>
      <c r="G39" s="10"/>
      <c r="I39" s="517"/>
      <c r="K39" s="517"/>
    </row>
    <row r="40" spans="1:13" x14ac:dyDescent="0.25">
      <c r="C40" s="252"/>
      <c r="D40" s="255" t="s">
        <v>122</v>
      </c>
      <c r="E40" s="256">
        <f ca="1">+G37/E39</f>
        <v>3.8691844718217752</v>
      </c>
      <c r="I40" s="517"/>
      <c r="K40" s="517"/>
    </row>
    <row r="41" spans="1:13" ht="15" customHeight="1" thickBot="1" x14ac:dyDescent="0.3">
      <c r="C41" s="252"/>
      <c r="D41" s="255" t="s">
        <v>124</v>
      </c>
      <c r="E41" s="256">
        <f ca="1">+G37/(F37+G37)</f>
        <v>0.88704364070586428</v>
      </c>
      <c r="H41">
        <f>IF(H42="X",H32+1,H32)</f>
        <v>3</v>
      </c>
      <c r="K41" s="517"/>
    </row>
    <row r="42" spans="1:13" ht="16.5" thickTop="1" thickBot="1" x14ac:dyDescent="0.3">
      <c r="A42" s="15" t="s">
        <v>145</v>
      </c>
      <c r="B42" s="15" t="s">
        <v>146</v>
      </c>
      <c r="H42" s="283" t="s">
        <v>134</v>
      </c>
      <c r="I42" s="517" t="str">
        <f ca="1">"Option "  &amp; H41 &amp; ": " &amp; B42&amp;"
"&amp;REPT(" ",6)&amp;"The explanation for the cash component is the same as for option "&amp; H32 &amp; ". Instead of a note as in
" &amp; REPT(" ",6) &amp; "Option "&amp; H32 &amp; ", you will share in the profit earned when the property is resold." &amp;" The property will 
" &amp; REPT(" ",6) &amp; "be placed into a trust that you will share a beneficial interest in. The advantage here is you will 
" &amp; REPT(" ",6) &amp; "benefit from the appreciated value of the property, over time." &amp;" You will receive quarterly
" &amp; REPT(" ",6) &amp; "reports on the financial status of the property.
"&amp; REPT(" ",43) &amp; "Cash:" &amp; REPT(" ",23) &amp; TEXT(B50,"$#,##0.00") &amp; IF(J3="yes",REPT(" ",10) &amp; "Profit = "&amp; TEXT(G50,"$#,##0.00"),"" ) &amp;"
"&amp; REPT(" ",24) &amp; "Interest in Trust:" &amp; REPT(" ",33) &amp; TEXT(D50,"#.#%")&amp;"
"&amp; REPT(" ",13) &amp; "Expected Sellers Profit:" &amp; REPT(" ",23) &amp; TEXT(E50,"$#,##0.00") &amp;"   *    Expected "&amp;Profit!$K$6*100&amp;"% appreciation per year" &amp; "
"&amp; REPT(" ",26) &amp; "Expected Value:" &amp; REPT(" ",20) &amp; TEXT(F50,"$#,##0.00") &amp; "    ** After " &amp; D35 &amp;" months."</f>
        <v>Option 3: Cash plus Beneficial Interest in Trust
      The explanation for the cash component is the same as for option 2. Instead of a note as in
      Option 2, you will share in the profit earned when the property is resold. The property will 
      be placed into a trust that you will share a beneficial interest in. The advantage here is you will 
      benefit from the appreciated value of the property, over time. You will receive quarterly
      reports on the financial status of the property.
                                           Cash:                       $10,000.00
                        Interest in Trust:                                 70.%
             Expected Sellers Profit:                       $141,709.20   *    Expected 3% appreciation per year
                          Expected Value:                    $151,709.20    ** After 24 months.</v>
      </c>
      <c r="K42" s="517"/>
    </row>
    <row r="43" spans="1:13" ht="15.75" thickTop="1" x14ac:dyDescent="0.25">
      <c r="B43" t="s">
        <v>129</v>
      </c>
      <c r="I43" s="517"/>
      <c r="K43" s="518"/>
      <c r="M43" s="266"/>
    </row>
    <row r="44" spans="1:13" x14ac:dyDescent="0.25">
      <c r="B44" t="s">
        <v>130</v>
      </c>
      <c r="I44" s="517"/>
      <c r="K44" s="518"/>
    </row>
    <row r="45" spans="1:13" ht="15" customHeight="1" x14ac:dyDescent="0.25">
      <c r="B45" t="s">
        <v>147</v>
      </c>
      <c r="I45" s="517"/>
      <c r="K45" s="518"/>
    </row>
    <row r="46" spans="1:13" x14ac:dyDescent="0.25">
      <c r="B46" t="s">
        <v>148</v>
      </c>
      <c r="I46" s="517"/>
      <c r="K46" s="518"/>
    </row>
    <row r="47" spans="1:13" x14ac:dyDescent="0.25">
      <c r="F47" s="3" t="s">
        <v>149</v>
      </c>
      <c r="I47" s="517"/>
      <c r="K47" s="518"/>
    </row>
    <row r="48" spans="1:13" x14ac:dyDescent="0.25">
      <c r="C48" s="519" t="s">
        <v>150</v>
      </c>
      <c r="D48" s="519" t="s">
        <v>151</v>
      </c>
      <c r="E48" s="519" t="s">
        <v>152</v>
      </c>
      <c r="F48" s="519" t="s">
        <v>131</v>
      </c>
      <c r="I48" s="517"/>
      <c r="K48" s="518"/>
    </row>
    <row r="49" spans="1:11" ht="15.75" thickBot="1" x14ac:dyDescent="0.3">
      <c r="B49" s="3" t="s">
        <v>141</v>
      </c>
      <c r="C49" s="520" t="s">
        <v>150</v>
      </c>
      <c r="D49" s="520" t="s">
        <v>151</v>
      </c>
      <c r="E49" s="520" t="s">
        <v>153</v>
      </c>
      <c r="F49" s="520"/>
      <c r="G49" s="32" t="s">
        <v>120</v>
      </c>
      <c r="I49" s="517"/>
      <c r="K49" s="518"/>
    </row>
    <row r="50" spans="1:11" ht="16.5" thickTop="1" thickBot="1" x14ac:dyDescent="0.3">
      <c r="B50" s="260">
        <v>10000</v>
      </c>
      <c r="C50" s="8">
        <f ca="1">+Profit!$K$46+Profit!B18-B50+(Profit!K6*Profit!C36/12*Profit!B4)</f>
        <v>202441.71014583335</v>
      </c>
      <c r="D50" s="250">
        <v>0.7</v>
      </c>
      <c r="E50" s="10">
        <f ca="1">+D50*C50</f>
        <v>141709.19710208333</v>
      </c>
      <c r="F50" s="10">
        <f ca="1">+B50+E50</f>
        <v>151709.19710208333</v>
      </c>
      <c r="G50" s="257">
        <f ca="1">(1-D50)*C50</f>
        <v>60732.513043750012</v>
      </c>
      <c r="I50" s="517"/>
      <c r="K50" s="518"/>
    </row>
    <row r="51" spans="1:11" ht="15.75" thickTop="1" x14ac:dyDescent="0.25">
      <c r="D51" s="15" t="s">
        <v>154</v>
      </c>
      <c r="I51" s="281"/>
      <c r="K51" s="518"/>
    </row>
    <row r="52" spans="1:11" x14ac:dyDescent="0.25">
      <c r="C52" s="252"/>
      <c r="D52" s="253" t="s">
        <v>121</v>
      </c>
      <c r="E52" s="254">
        <f>+Profit!$K$30-B24+B50</f>
        <v>53839.805187499995</v>
      </c>
      <c r="H52" t="s">
        <v>123</v>
      </c>
      <c r="I52" s="517" t="str">
        <f>B3 &amp; ", this offer is contingent upon a normal due diligence period. The values of each option are predicated on some assumptions that may need to be altered upon further discovery. " &amp; "The more we can learn from you, in advance, the more reliable these options may be considered. When you decide which offer you prefer, I will email you a contract along with an earnest money payment. We are ready to be of service in any way we can."</f>
        <v>Nikki, this offer is contingent upon a normal due diligence period. The values of each option are predicated on some assumptions that may need to be altered upon further discovery. The more we can learn from you, in advance, the more reliable these options may be considered. When you decide which offer you prefer, I will email you a contract along with an earnest money payment. We are ready to be of service in any way we can.</v>
      </c>
      <c r="K52" s="518"/>
    </row>
    <row r="53" spans="1:11" ht="15" customHeight="1" x14ac:dyDescent="0.25">
      <c r="C53" s="252"/>
      <c r="D53" s="255" t="s">
        <v>122</v>
      </c>
      <c r="E53" s="256">
        <f ca="1">+G50/E52</f>
        <v>1.1280225259405341</v>
      </c>
      <c r="I53" s="518"/>
      <c r="K53" s="518"/>
    </row>
    <row r="54" spans="1:11" x14ac:dyDescent="0.25">
      <c r="C54" s="252"/>
      <c r="D54" s="255" t="s">
        <v>124</v>
      </c>
      <c r="E54" s="256">
        <f ca="1">+G50/(F50+G50)</f>
        <v>0.28587847933468147</v>
      </c>
      <c r="I54" s="518"/>
      <c r="K54" s="518"/>
    </row>
    <row r="55" spans="1:11" ht="15" customHeight="1" x14ac:dyDescent="0.25">
      <c r="I55" s="518"/>
      <c r="K55" s="518"/>
    </row>
    <row r="56" spans="1:11" ht="15.75" thickBot="1" x14ac:dyDescent="0.3">
      <c r="B56" s="15" t="s">
        <v>155</v>
      </c>
      <c r="D56" t="s">
        <v>156</v>
      </c>
      <c r="I56" s="518"/>
      <c r="K56" s="518"/>
    </row>
    <row r="57" spans="1:11" x14ac:dyDescent="0.25">
      <c r="A57" s="530" t="str">
        <f>"This offer is based on Zillow's Zestimate of " &amp;  TEXT(Profit!B4,"$#,##0.00") &amp; ". 
" &amp; "We will clean and prepare the property for a quick resale. There is also an assumption that the property will need no rehab." &amp; " If that turns out to not be true, an allowance will need to be made. In any case, that will be decided in the due diligence period of the contract.
" &amp;
""</f>
        <v xml:space="preserve">This offer is based on Zillow's Zestimate of $289,000.00. 
We will clean and prepare the property for a quick resale. There is also an assumption that the property will need no rehab. If that turns out to not be true, an allowance will need to be made. In any case, that will be decided in the due diligence period of the contract.
</v>
      </c>
      <c r="B57" s="531"/>
      <c r="C57" s="531"/>
      <c r="D57" s="531"/>
      <c r="E57" s="531"/>
      <c r="F57" s="531"/>
      <c r="G57" s="532"/>
      <c r="I57" s="518"/>
      <c r="K57" s="518"/>
    </row>
    <row r="58" spans="1:11" x14ac:dyDescent="0.25">
      <c r="A58" s="533"/>
      <c r="B58" s="534"/>
      <c r="C58" s="534"/>
      <c r="D58" s="534"/>
      <c r="E58" s="534"/>
      <c r="F58" s="534"/>
      <c r="G58" s="535"/>
      <c r="I58" s="518"/>
      <c r="K58" s="518"/>
    </row>
    <row r="59" spans="1:11" x14ac:dyDescent="0.25">
      <c r="A59" s="533"/>
      <c r="B59" s="534"/>
      <c r="C59" s="534"/>
      <c r="D59" s="534"/>
      <c r="E59" s="534"/>
      <c r="F59" s="534"/>
      <c r="G59" s="535"/>
      <c r="K59" s="518"/>
    </row>
    <row r="60" spans="1:11" x14ac:dyDescent="0.25">
      <c r="A60" s="533"/>
      <c r="B60" s="534"/>
      <c r="C60" s="534"/>
      <c r="D60" s="534"/>
      <c r="E60" s="534"/>
      <c r="F60" s="534"/>
      <c r="G60" s="535"/>
      <c r="K60" s="518"/>
    </row>
    <row r="61" spans="1:11" x14ac:dyDescent="0.25">
      <c r="A61" s="533"/>
      <c r="B61" s="534"/>
      <c r="C61" s="534"/>
      <c r="D61" s="534"/>
      <c r="E61" s="534"/>
      <c r="F61" s="534"/>
      <c r="G61" s="535"/>
      <c r="H61" t="s">
        <v>123</v>
      </c>
      <c r="I61" s="517" t="str">
        <f>A57</f>
        <v xml:space="preserve">This offer is based on Zillow's Zestimate of $289,000.00. 
We will clean and prepare the property for a quick resale. There is also an assumption that the property will need no rehab. If that turns out to not be true, an allowance will need to be made. In any case, that will be decided in the due diligence period of the contract.
</v>
      </c>
      <c r="K61" s="518"/>
    </row>
    <row r="62" spans="1:11" x14ac:dyDescent="0.25">
      <c r="A62" s="533"/>
      <c r="B62" s="534"/>
      <c r="C62" s="534"/>
      <c r="D62" s="534"/>
      <c r="E62" s="534"/>
      <c r="F62" s="534"/>
      <c r="G62" s="535"/>
      <c r="I62" s="518"/>
      <c r="K62" s="518"/>
    </row>
    <row r="63" spans="1:11" x14ac:dyDescent="0.25">
      <c r="A63" s="533"/>
      <c r="B63" s="534"/>
      <c r="C63" s="534"/>
      <c r="D63" s="534"/>
      <c r="E63" s="534"/>
      <c r="F63" s="534"/>
      <c r="G63" s="535"/>
      <c r="I63" s="518"/>
      <c r="K63" s="518"/>
    </row>
    <row r="64" spans="1:11" x14ac:dyDescent="0.25">
      <c r="A64" s="533"/>
      <c r="B64" s="534"/>
      <c r="C64" s="534"/>
      <c r="D64" s="534"/>
      <c r="E64" s="534"/>
      <c r="F64" s="534"/>
      <c r="G64" s="535"/>
      <c r="I64" s="518"/>
      <c r="K64" s="518"/>
    </row>
    <row r="65" spans="1:11" x14ac:dyDescent="0.25">
      <c r="A65" s="533"/>
      <c r="B65" s="534"/>
      <c r="C65" s="534"/>
      <c r="D65" s="534"/>
      <c r="E65" s="534"/>
      <c r="F65" s="534"/>
      <c r="G65" s="535"/>
      <c r="I65" s="518"/>
      <c r="K65" s="518"/>
    </row>
    <row r="66" spans="1:11" x14ac:dyDescent="0.25">
      <c r="A66" s="533"/>
      <c r="B66" s="534"/>
      <c r="C66" s="534"/>
      <c r="D66" s="534"/>
      <c r="E66" s="534"/>
      <c r="F66" s="534"/>
      <c r="G66" s="535"/>
      <c r="I66" s="518"/>
      <c r="K66" s="518"/>
    </row>
    <row r="67" spans="1:11" x14ac:dyDescent="0.25">
      <c r="A67" s="533"/>
      <c r="B67" s="534"/>
      <c r="C67" s="534"/>
      <c r="D67" s="534"/>
      <c r="E67" s="534"/>
      <c r="F67" s="534"/>
      <c r="G67" s="535"/>
      <c r="I67" s="518"/>
      <c r="K67" s="518"/>
    </row>
    <row r="68" spans="1:11" x14ac:dyDescent="0.25">
      <c r="A68" s="533"/>
      <c r="B68" s="534"/>
      <c r="C68" s="534"/>
      <c r="D68" s="534"/>
      <c r="E68" s="534"/>
      <c r="F68" s="534"/>
      <c r="G68" s="535"/>
      <c r="I68" s="518"/>
    </row>
    <row r="69" spans="1:11" x14ac:dyDescent="0.25">
      <c r="A69" s="533"/>
      <c r="B69" s="534"/>
      <c r="C69" s="534"/>
      <c r="D69" s="534"/>
      <c r="E69" s="534"/>
      <c r="F69" s="534"/>
      <c r="G69" s="535"/>
      <c r="I69" s="518"/>
    </row>
    <row r="70" spans="1:11" x14ac:dyDescent="0.25">
      <c r="A70" s="533"/>
      <c r="B70" s="534"/>
      <c r="C70" s="534"/>
      <c r="D70" s="534"/>
      <c r="E70" s="534"/>
      <c r="F70" s="534"/>
      <c r="G70" s="535"/>
      <c r="I70" s="518"/>
    </row>
    <row r="71" spans="1:11" x14ac:dyDescent="0.25">
      <c r="A71" s="533"/>
      <c r="B71" s="534"/>
      <c r="C71" s="534"/>
      <c r="D71" s="534"/>
      <c r="E71" s="534"/>
      <c r="F71" s="534"/>
      <c r="G71" s="535"/>
      <c r="I71" s="518"/>
    </row>
    <row r="72" spans="1:11" x14ac:dyDescent="0.25">
      <c r="A72" s="533"/>
      <c r="B72" s="534"/>
      <c r="C72" s="534"/>
      <c r="D72" s="534"/>
      <c r="E72" s="534"/>
      <c r="F72" s="534"/>
      <c r="G72" s="535"/>
      <c r="I72" s="518"/>
    </row>
    <row r="73" spans="1:11" x14ac:dyDescent="0.25">
      <c r="A73" s="533"/>
      <c r="B73" s="534"/>
      <c r="C73" s="534"/>
      <c r="D73" s="534"/>
      <c r="E73" s="534"/>
      <c r="F73" s="534"/>
      <c r="G73" s="535"/>
    </row>
    <row r="74" spans="1:11" x14ac:dyDescent="0.25">
      <c r="A74" s="533"/>
      <c r="B74" s="534"/>
      <c r="C74" s="534"/>
      <c r="D74" s="534"/>
      <c r="E74" s="534"/>
      <c r="F74" s="534"/>
      <c r="G74" s="535"/>
      <c r="H74" t="s">
        <v>123</v>
      </c>
      <c r="I74" s="264" t="str">
        <f>"Sincerely,
Wes Browning"</f>
        <v>Sincerely,
Wes Browning</v>
      </c>
    </row>
    <row r="75" spans="1:11" ht="15" customHeight="1" x14ac:dyDescent="0.25">
      <c r="A75" s="533"/>
      <c r="B75" s="534"/>
      <c r="C75" s="534"/>
      <c r="D75" s="534"/>
      <c r="E75" s="534"/>
      <c r="F75" s="534"/>
      <c r="G75" s="535"/>
      <c r="I75" s="264"/>
    </row>
    <row r="76" spans="1:11" x14ac:dyDescent="0.25">
      <c r="A76" s="533"/>
      <c r="B76" s="534"/>
      <c r="C76" s="534"/>
      <c r="D76" s="534"/>
      <c r="E76" s="534"/>
      <c r="F76" s="534"/>
      <c r="G76" s="535"/>
      <c r="I76" s="264"/>
    </row>
    <row r="77" spans="1:11" x14ac:dyDescent="0.25">
      <c r="A77" s="533"/>
      <c r="B77" s="534"/>
      <c r="C77" s="534"/>
      <c r="D77" s="534"/>
      <c r="E77" s="534"/>
      <c r="F77" s="534"/>
      <c r="G77" s="535"/>
    </row>
    <row r="78" spans="1:11" x14ac:dyDescent="0.25">
      <c r="A78" s="533"/>
      <c r="B78" s="534"/>
      <c r="C78" s="534"/>
      <c r="D78" s="534"/>
      <c r="E78" s="534"/>
      <c r="F78" s="534"/>
      <c r="G78" s="535"/>
    </row>
    <row r="79" spans="1:11" ht="15.75" thickBot="1" x14ac:dyDescent="0.3">
      <c r="A79" s="536"/>
      <c r="B79" s="537"/>
      <c r="C79" s="537"/>
      <c r="D79" s="537"/>
      <c r="E79" s="537"/>
      <c r="F79" s="537"/>
      <c r="G79" s="538"/>
    </row>
    <row r="80" spans="1:11" x14ac:dyDescent="0.25">
      <c r="A80" s="264"/>
      <c r="B80" s="264"/>
      <c r="C80" s="264"/>
      <c r="D80" s="264"/>
      <c r="E80" s="264"/>
      <c r="F80" s="264"/>
      <c r="G80" s="264"/>
    </row>
    <row r="81" spans="1:9" x14ac:dyDescent="0.25">
      <c r="A81" s="264"/>
      <c r="B81" s="264"/>
      <c r="C81" s="264"/>
      <c r="D81" s="264"/>
      <c r="E81" s="264"/>
      <c r="F81" s="264"/>
      <c r="G81" s="2" t="s">
        <v>157</v>
      </c>
      <c r="I81" s="264" t="s">
        <v>158</v>
      </c>
    </row>
    <row r="82" spans="1:9" x14ac:dyDescent="0.25">
      <c r="G82" s="2" t="s">
        <v>159</v>
      </c>
      <c r="H82" t="s">
        <v>123</v>
      </c>
      <c r="I82" s="264" t="s">
        <v>160</v>
      </c>
    </row>
  </sheetData>
  <mergeCells count="21">
    <mergeCell ref="A57:G79"/>
    <mergeCell ref="D48:D49"/>
    <mergeCell ref="C48:C49"/>
    <mergeCell ref="I26:I30"/>
    <mergeCell ref="I20:I24"/>
    <mergeCell ref="K1:K67"/>
    <mergeCell ref="I1:I14"/>
    <mergeCell ref="E48:E49"/>
    <mergeCell ref="F35:F36"/>
    <mergeCell ref="F48:F49"/>
    <mergeCell ref="I42:I50"/>
    <mergeCell ref="I52:I58"/>
    <mergeCell ref="I61:I72"/>
    <mergeCell ref="I16:I18"/>
    <mergeCell ref="I33:I40"/>
    <mergeCell ref="C23:F23"/>
    <mergeCell ref="C24:E24"/>
    <mergeCell ref="C1:E1"/>
    <mergeCell ref="F12:F13"/>
    <mergeCell ref="J1:J2"/>
    <mergeCell ref="B10:G1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131FC-90AC-443C-A73E-F7CE9DF8AC63}">
  <sheetPr codeName="Sheet3"/>
  <dimension ref="A1:P59"/>
  <sheetViews>
    <sheetView zoomScaleNormal="100" workbookViewId="0">
      <pane xSplit="5" ySplit="1" topLeftCell="F33" activePane="bottomRight" state="frozen"/>
      <selection pane="topRight" activeCell="C1" sqref="C1:E1"/>
      <selection pane="bottomLeft" activeCell="C1" sqref="C1:E1"/>
      <selection pane="bottomRight" activeCell="E50" sqref="E50"/>
    </sheetView>
  </sheetViews>
  <sheetFormatPr defaultRowHeight="15" x14ac:dyDescent="0.25"/>
  <cols>
    <col min="1" max="1" width="11" customWidth="1"/>
    <col min="2" max="2" width="38.140625" bestFit="1" customWidth="1"/>
    <col min="3" max="3" width="10.5703125" customWidth="1"/>
    <col min="4" max="4" width="9.28515625" customWidth="1"/>
    <col min="5" max="5" width="25.5703125" style="25" customWidth="1"/>
    <col min="6" max="7" width="10" customWidth="1"/>
    <col min="8" max="8" width="8.140625" customWidth="1"/>
    <col min="9" max="9" width="10" customWidth="1"/>
    <col min="10" max="10" width="9" customWidth="1"/>
    <col min="11" max="11" width="7.7109375" customWidth="1"/>
    <col min="12" max="12" width="8.85546875" customWidth="1"/>
    <col min="13" max="14" width="7.7109375" customWidth="1"/>
    <col min="15" max="15" width="3.140625" customWidth="1"/>
  </cols>
  <sheetData>
    <row r="1" spans="1:16" s="63" customFormat="1" ht="45.75" thickBot="1" x14ac:dyDescent="0.3">
      <c r="A1" s="201"/>
      <c r="B1" s="562" t="str">
        <f>+Profit!B2</f>
        <v>115 Rosebrooks Dr, Cary, NC 27513</v>
      </c>
      <c r="C1" s="563"/>
      <c r="D1" s="560" t="s">
        <v>161</v>
      </c>
      <c r="E1" s="561"/>
      <c r="F1" s="231" t="s">
        <v>162</v>
      </c>
      <c r="G1" s="380" t="s">
        <v>163</v>
      </c>
      <c r="H1" s="231" t="s">
        <v>164</v>
      </c>
      <c r="I1" s="380" t="s">
        <v>166</v>
      </c>
      <c r="J1" s="231" t="s">
        <v>165</v>
      </c>
      <c r="K1" s="372" t="s">
        <v>167</v>
      </c>
      <c r="L1" s="372" t="s">
        <v>168</v>
      </c>
      <c r="M1" s="372" t="s">
        <v>169</v>
      </c>
      <c r="N1" s="372" t="s">
        <v>170</v>
      </c>
      <c r="O1" s="196"/>
      <c r="P1" s="191"/>
    </row>
    <row r="2" spans="1:16" x14ac:dyDescent="0.25">
      <c r="A2" s="202" t="s">
        <v>171</v>
      </c>
      <c r="B2" s="197"/>
      <c r="F2" s="200"/>
      <c r="G2" s="194"/>
      <c r="H2" s="200"/>
      <c r="I2" s="194"/>
      <c r="J2" s="200"/>
      <c r="O2" s="225"/>
    </row>
    <row r="3" spans="1:16" ht="13.15" customHeight="1" x14ac:dyDescent="0.25">
      <c r="A3" s="203"/>
      <c r="B3" s="198" t="s">
        <v>172</v>
      </c>
      <c r="C3" s="155" t="s">
        <v>8</v>
      </c>
      <c r="D3" s="558" t="s">
        <v>173</v>
      </c>
      <c r="E3" s="559"/>
      <c r="F3">
        <f>+[1]Todo!$A3</f>
        <v>0</v>
      </c>
      <c r="G3" s="195">
        <f>+[2]Todo!$A3</f>
        <v>0</v>
      </c>
      <c r="H3">
        <f>+[3]Todo!$A3</f>
        <v>0</v>
      </c>
      <c r="I3" s="195" t="str">
        <f>+[4]Todo!C3</f>
        <v>Yes</v>
      </c>
      <c r="O3" s="225"/>
    </row>
    <row r="4" spans="1:16" ht="13.15" customHeight="1" x14ac:dyDescent="0.25">
      <c r="A4" s="203"/>
      <c r="B4" s="198" t="s">
        <v>174</v>
      </c>
      <c r="C4" s="156" t="s">
        <v>8</v>
      </c>
      <c r="D4" s="558" t="s">
        <v>173</v>
      </c>
      <c r="E4" s="559"/>
      <c r="F4">
        <f>+[1]Todo!$A4</f>
        <v>0</v>
      </c>
      <c r="G4" s="195">
        <f>+[2]Todo!$A4</f>
        <v>0</v>
      </c>
      <c r="H4">
        <f>+[3]Todo!A4</f>
        <v>0</v>
      </c>
      <c r="I4" s="195" t="str">
        <f>+[4]Todo!C4</f>
        <v>Yes (2)</v>
      </c>
      <c r="O4" s="225"/>
    </row>
    <row r="5" spans="1:16" ht="13.15" customHeight="1" x14ac:dyDescent="0.25">
      <c r="A5" s="203"/>
      <c r="B5" s="198" t="s">
        <v>175</v>
      </c>
      <c r="C5" s="156" t="s">
        <v>8</v>
      </c>
      <c r="D5" s="558" t="s">
        <v>173</v>
      </c>
      <c r="E5" s="559"/>
      <c r="F5">
        <f>+[1]Todo!$A5</f>
        <v>0</v>
      </c>
      <c r="G5" s="195">
        <f>+[2]Todo!$A5</f>
        <v>0</v>
      </c>
      <c r="H5">
        <f>+[3]Todo!A5</f>
        <v>0</v>
      </c>
      <c r="I5" s="195" t="str">
        <f>+[4]Todo!C5</f>
        <v>Yes (2)</v>
      </c>
      <c r="O5" s="225"/>
    </row>
    <row r="6" spans="1:16" ht="13.15" customHeight="1" x14ac:dyDescent="0.25">
      <c r="A6" s="203"/>
      <c r="B6" s="198" t="s">
        <v>176</v>
      </c>
      <c r="C6" s="156" t="s">
        <v>45</v>
      </c>
      <c r="D6" s="558" t="s">
        <v>173</v>
      </c>
      <c r="E6" s="559"/>
      <c r="F6">
        <f>+[1]Todo!$A6</f>
        <v>0</v>
      </c>
      <c r="G6" s="195">
        <f>+[2]Todo!$A6</f>
        <v>0</v>
      </c>
      <c r="H6">
        <f>+[3]Todo!A6</f>
        <v>0</v>
      </c>
      <c r="I6" s="195" t="str">
        <f>+[4]Todo!C6</f>
        <v>yes</v>
      </c>
      <c r="O6" s="225"/>
    </row>
    <row r="7" spans="1:16" ht="13.15" customHeight="1" x14ac:dyDescent="0.25">
      <c r="A7" s="203"/>
      <c r="B7" s="198" t="s">
        <v>177</v>
      </c>
      <c r="C7" s="156"/>
      <c r="D7" s="558" t="s">
        <v>178</v>
      </c>
      <c r="E7" s="559"/>
      <c r="F7">
        <f>+[1]Todo!$A7</f>
        <v>0</v>
      </c>
      <c r="G7" s="195">
        <f>+[2]Todo!$A7</f>
        <v>0</v>
      </c>
      <c r="H7">
        <f>+[3]Todo!A7</f>
        <v>0</v>
      </c>
      <c r="I7" s="195" t="str">
        <f>+[4]Todo!C7</f>
        <v>yes</v>
      </c>
      <c r="O7" s="225"/>
    </row>
    <row r="8" spans="1:16" ht="13.15" customHeight="1" x14ac:dyDescent="0.25">
      <c r="A8" s="203"/>
      <c r="B8" s="198" t="s">
        <v>179</v>
      </c>
      <c r="C8" s="156"/>
      <c r="D8" s="558"/>
      <c r="E8" s="559"/>
      <c r="F8">
        <f>+[1]Todo!$A8</f>
        <v>0</v>
      </c>
      <c r="G8" s="195">
        <f>+[2]Todo!$A8</f>
        <v>0</v>
      </c>
      <c r="H8">
        <f>+[3]Todo!A8</f>
        <v>0</v>
      </c>
      <c r="I8" s="195" t="str">
        <f>+[4]Todo!C8</f>
        <v>yes</v>
      </c>
      <c r="O8" s="225"/>
    </row>
    <row r="9" spans="1:16" ht="13.15" customHeight="1" x14ac:dyDescent="0.25">
      <c r="A9" s="203"/>
      <c r="B9" s="198" t="s">
        <v>180</v>
      </c>
      <c r="C9" s="156"/>
      <c r="D9" s="558" t="s">
        <v>178</v>
      </c>
      <c r="E9" s="559"/>
      <c r="F9">
        <f>+[1]Todo!$A9</f>
        <v>0</v>
      </c>
      <c r="G9" s="195">
        <f>+[2]Todo!$A9</f>
        <v>0</v>
      </c>
      <c r="H9">
        <f>+[3]Todo!A9</f>
        <v>0</v>
      </c>
      <c r="I9" s="195" t="str">
        <f>+[4]Todo!C9</f>
        <v>yes</v>
      </c>
      <c r="O9" s="226"/>
    </row>
    <row r="10" spans="1:16" ht="13.15" customHeight="1" x14ac:dyDescent="0.25">
      <c r="A10" s="203"/>
      <c r="B10" s="198" t="s">
        <v>181</v>
      </c>
      <c r="C10" s="156" t="s">
        <v>45</v>
      </c>
      <c r="D10" s="558"/>
      <c r="E10" s="559"/>
      <c r="F10">
        <f>+[1]Todo!$A10</f>
        <v>0</v>
      </c>
      <c r="G10" s="195">
        <f>+[2]Todo!$A10</f>
        <v>0</v>
      </c>
      <c r="H10">
        <f>+[3]Todo!A10</f>
        <v>0</v>
      </c>
      <c r="I10" s="195" t="str">
        <f>+[4]Todo!C10</f>
        <v>yes</v>
      </c>
      <c r="O10" s="226"/>
    </row>
    <row r="11" spans="1:16" ht="13.15" customHeight="1" x14ac:dyDescent="0.25">
      <c r="A11" s="203"/>
      <c r="B11" s="198"/>
      <c r="C11" s="156"/>
      <c r="D11" s="558"/>
      <c r="E11" s="559"/>
      <c r="F11">
        <f>+[1]Todo!$A11</f>
        <v>0</v>
      </c>
      <c r="G11" s="195">
        <f>+[2]Todo!$A11</f>
        <v>0</v>
      </c>
      <c r="H11">
        <f>+[3]Todo!A11</f>
        <v>0</v>
      </c>
      <c r="I11" s="195">
        <f>+[4]Todo!C11</f>
        <v>0</v>
      </c>
      <c r="O11" s="226"/>
    </row>
    <row r="12" spans="1:16" ht="13.15" customHeight="1" x14ac:dyDescent="0.25">
      <c r="A12" s="564" t="s">
        <v>182</v>
      </c>
      <c r="B12" s="198"/>
      <c r="C12" s="156"/>
      <c r="D12" s="558"/>
      <c r="E12" s="559"/>
      <c r="F12" t="str">
        <f>+[1]Todo!$A12</f>
        <v>After Purchase</v>
      </c>
      <c r="G12" s="195" t="str">
        <f>+[2]Todo!$A12</f>
        <v>After Purchase</v>
      </c>
      <c r="H12" t="str">
        <f>+[3]Todo!A12</f>
        <v>After Purchase</v>
      </c>
      <c r="I12" s="195">
        <f>+[4]Todo!C12</f>
        <v>0</v>
      </c>
      <c r="O12" s="226"/>
    </row>
    <row r="13" spans="1:16" ht="13.15" customHeight="1" x14ac:dyDescent="0.25">
      <c r="A13" s="565"/>
      <c r="B13" s="198" t="s">
        <v>183</v>
      </c>
      <c r="C13" s="156"/>
      <c r="D13" s="558" t="s">
        <v>173</v>
      </c>
      <c r="E13" s="559"/>
      <c r="F13">
        <f>+[1]Todo!$A13</f>
        <v>0</v>
      </c>
      <c r="G13" s="195">
        <f>+[2]Todo!$A13</f>
        <v>0</v>
      </c>
      <c r="H13">
        <f>+[3]Todo!A13</f>
        <v>0</v>
      </c>
      <c r="I13" s="195" t="str">
        <f>+[4]Todo!C13</f>
        <v>yes</v>
      </c>
      <c r="O13" s="226"/>
    </row>
    <row r="14" spans="1:16" ht="13.15" customHeight="1" x14ac:dyDescent="0.25">
      <c r="A14" s="203"/>
      <c r="B14" s="198" t="s">
        <v>184</v>
      </c>
      <c r="C14" s="156" t="s">
        <v>173</v>
      </c>
      <c r="D14" s="558" t="s">
        <v>173</v>
      </c>
      <c r="E14" s="559"/>
      <c r="F14">
        <f>+[1]Todo!$A14</f>
        <v>0</v>
      </c>
      <c r="G14" s="195">
        <f>+[2]Todo!$A14</f>
        <v>0</v>
      </c>
      <c r="H14">
        <f>+[3]Todo!A14</f>
        <v>0</v>
      </c>
      <c r="I14" s="195" t="str">
        <f>+[4]Todo!C14</f>
        <v>yes</v>
      </c>
      <c r="O14" s="226"/>
    </row>
    <row r="15" spans="1:16" ht="13.15" customHeight="1" x14ac:dyDescent="0.25">
      <c r="A15" s="203"/>
      <c r="B15" s="198" t="s">
        <v>185</v>
      </c>
      <c r="C15" s="156" t="s">
        <v>186</v>
      </c>
      <c r="D15" s="558" t="s">
        <v>173</v>
      </c>
      <c r="E15" s="559"/>
      <c r="F15">
        <f>+[1]Todo!$A15</f>
        <v>0</v>
      </c>
      <c r="G15" s="195">
        <f>+[2]Todo!$A15</f>
        <v>0</v>
      </c>
      <c r="H15">
        <f>+[3]Todo!A15</f>
        <v>0</v>
      </c>
      <c r="I15" s="195" t="str">
        <f>+[4]Todo!C15</f>
        <v>yes</v>
      </c>
      <c r="O15" s="226"/>
    </row>
    <row r="16" spans="1:16" ht="13.15" customHeight="1" x14ac:dyDescent="0.25">
      <c r="A16" s="203"/>
      <c r="B16" s="198" t="s">
        <v>187</v>
      </c>
      <c r="C16" s="156" t="s">
        <v>188</v>
      </c>
      <c r="D16" s="558"/>
      <c r="E16" s="559"/>
      <c r="F16">
        <f>+[1]Todo!$A16</f>
        <v>0</v>
      </c>
      <c r="G16" s="195">
        <f>+[2]Todo!$A16</f>
        <v>0</v>
      </c>
      <c r="H16">
        <f>+[3]Todo!A16</f>
        <v>0</v>
      </c>
      <c r="I16" s="195" t="str">
        <f>+[4]Todo!C16</f>
        <v>yes</v>
      </c>
      <c r="O16" s="226"/>
    </row>
    <row r="17" spans="1:15" ht="13.15" customHeight="1" x14ac:dyDescent="0.25">
      <c r="A17" s="203"/>
      <c r="B17" s="198" t="s">
        <v>189</v>
      </c>
      <c r="C17" s="156" t="s">
        <v>173</v>
      </c>
      <c r="D17" s="558"/>
      <c r="E17" s="559"/>
      <c r="F17">
        <f>+[1]Todo!$A17</f>
        <v>0</v>
      </c>
      <c r="G17" s="195">
        <f>+[2]Todo!$A17</f>
        <v>0</v>
      </c>
      <c r="H17">
        <f>+[3]Todo!A17</f>
        <v>0</v>
      </c>
      <c r="I17" s="195" t="str">
        <f>+[4]Todo!C17</f>
        <v>yes</v>
      </c>
      <c r="O17" s="226"/>
    </row>
    <row r="18" spans="1:15" ht="13.15" customHeight="1" x14ac:dyDescent="0.25">
      <c r="A18" s="203"/>
      <c r="B18" s="198" t="s">
        <v>190</v>
      </c>
      <c r="C18" s="156" t="s">
        <v>173</v>
      </c>
      <c r="D18" s="558"/>
      <c r="E18" s="559"/>
      <c r="F18">
        <f>+[1]Todo!$A18</f>
        <v>0</v>
      </c>
      <c r="G18" s="195">
        <f>+[2]Todo!$A18</f>
        <v>0</v>
      </c>
      <c r="H18">
        <f>+[3]Todo!A18</f>
        <v>0</v>
      </c>
      <c r="I18" s="195" t="str">
        <f>+[4]Todo!C18</f>
        <v>n/a</v>
      </c>
      <c r="O18" s="226"/>
    </row>
    <row r="19" spans="1:15" ht="13.15" customHeight="1" x14ac:dyDescent="0.25">
      <c r="A19" s="203"/>
      <c r="B19" s="198" t="s">
        <v>191</v>
      </c>
      <c r="C19" s="156" t="s">
        <v>173</v>
      </c>
      <c r="D19" s="558"/>
      <c r="E19" s="559"/>
      <c r="F19">
        <f>+[1]Todo!$A19</f>
        <v>0</v>
      </c>
      <c r="G19" s="195">
        <f>+[2]Todo!$A19</f>
        <v>0</v>
      </c>
      <c r="H19">
        <f>+[3]Todo!A19</f>
        <v>0</v>
      </c>
      <c r="I19" s="195" t="str">
        <f>+[4]Todo!C19</f>
        <v>yes</v>
      </c>
      <c r="O19" s="226"/>
    </row>
    <row r="20" spans="1:15" ht="13.15" customHeight="1" x14ac:dyDescent="0.25">
      <c r="A20" s="203"/>
      <c r="B20" s="198" t="s">
        <v>192</v>
      </c>
      <c r="C20" s="156" t="s">
        <v>45</v>
      </c>
      <c r="D20" s="558" t="s">
        <v>173</v>
      </c>
      <c r="E20" s="559"/>
      <c r="F20">
        <f>+[1]Todo!$A20</f>
        <v>0</v>
      </c>
      <c r="G20" s="195">
        <f>+[2]Todo!$A20</f>
        <v>0</v>
      </c>
      <c r="H20">
        <f>+[3]Todo!A20</f>
        <v>0</v>
      </c>
      <c r="I20" s="195" t="str">
        <f>+[4]Todo!C20</f>
        <v>yes</v>
      </c>
      <c r="O20" s="226"/>
    </row>
    <row r="21" spans="1:15" ht="13.15" customHeight="1" x14ac:dyDescent="0.25">
      <c r="A21" s="203"/>
      <c r="B21" s="198" t="s">
        <v>193</v>
      </c>
      <c r="C21" s="156" t="s">
        <v>173</v>
      </c>
      <c r="D21" s="558"/>
      <c r="E21" s="559"/>
      <c r="F21">
        <f>+[1]Todo!$A21</f>
        <v>0</v>
      </c>
      <c r="G21" s="195">
        <f>+[2]Todo!$A21</f>
        <v>0</v>
      </c>
      <c r="H21">
        <f>+[3]Todo!A21</f>
        <v>0</v>
      </c>
      <c r="I21" s="195" t="str">
        <f>+[4]Todo!C21</f>
        <v>yes</v>
      </c>
      <c r="O21" s="226"/>
    </row>
    <row r="22" spans="1:15" ht="13.15" customHeight="1" x14ac:dyDescent="0.25">
      <c r="A22" s="203"/>
      <c r="B22" s="198" t="s">
        <v>194</v>
      </c>
      <c r="C22" s="156" t="s">
        <v>173</v>
      </c>
      <c r="D22" s="558"/>
      <c r="E22" s="559"/>
      <c r="F22">
        <f>+[1]Todo!$A22</f>
        <v>0</v>
      </c>
      <c r="G22" s="195">
        <f>+[2]Todo!$A22</f>
        <v>0</v>
      </c>
      <c r="H22">
        <f>+[3]Todo!A22</f>
        <v>0</v>
      </c>
      <c r="I22" s="195" t="str">
        <f>+[4]Todo!C22</f>
        <v xml:space="preserve">yes  </v>
      </c>
      <c r="O22" s="226"/>
    </row>
    <row r="23" spans="1:15" ht="13.15" customHeight="1" x14ac:dyDescent="0.25">
      <c r="A23" s="203"/>
      <c r="B23" s="198" t="s">
        <v>195</v>
      </c>
      <c r="C23" s="156" t="s">
        <v>173</v>
      </c>
      <c r="D23" s="558"/>
      <c r="E23" s="559"/>
      <c r="F23">
        <f>+[1]Todo!$A23</f>
        <v>0</v>
      </c>
      <c r="G23" s="195">
        <f>+[2]Todo!$A23</f>
        <v>0</v>
      </c>
      <c r="H23">
        <f>+[3]Todo!A23</f>
        <v>0</v>
      </c>
      <c r="I23" s="195" t="str">
        <f>+[4]Todo!C23</f>
        <v>yes</v>
      </c>
      <c r="O23" s="226"/>
    </row>
    <row r="24" spans="1:15" ht="13.15" customHeight="1" x14ac:dyDescent="0.25">
      <c r="A24" s="203"/>
      <c r="B24" s="198" t="s">
        <v>196</v>
      </c>
      <c r="C24" s="156" t="s">
        <v>45</v>
      </c>
      <c r="D24" s="558"/>
      <c r="E24" s="559"/>
      <c r="F24">
        <f>+[1]Todo!$A24</f>
        <v>0</v>
      </c>
      <c r="G24" s="195">
        <f>+[2]Todo!$A24</f>
        <v>0</v>
      </c>
      <c r="H24">
        <f>+[3]Todo!A24</f>
        <v>0</v>
      </c>
      <c r="I24" s="195" t="str">
        <f>+[4]Todo!C24</f>
        <v>yes</v>
      </c>
      <c r="O24" s="226"/>
    </row>
    <row r="25" spans="1:15" ht="13.15" customHeight="1" x14ac:dyDescent="0.25">
      <c r="A25" s="204"/>
      <c r="B25" s="198" t="s">
        <v>197</v>
      </c>
      <c r="C25" s="156"/>
      <c r="D25" s="558"/>
      <c r="E25" s="559"/>
      <c r="F25">
        <f>+[1]Todo!$A25</f>
        <v>0</v>
      </c>
      <c r="G25" s="195">
        <f>+[2]Todo!$A25</f>
        <v>0</v>
      </c>
      <c r="H25">
        <f>+[3]Todo!A25</f>
        <v>0</v>
      </c>
      <c r="I25" s="195" t="str">
        <f>+[4]Todo!C25</f>
        <v>yes</v>
      </c>
      <c r="O25" s="226"/>
    </row>
    <row r="26" spans="1:15" ht="13.15" customHeight="1" x14ac:dyDescent="0.25">
      <c r="A26" s="204"/>
      <c r="B26" s="198" t="s">
        <v>198</v>
      </c>
      <c r="C26" s="156"/>
      <c r="D26" s="558"/>
      <c r="E26" s="559"/>
      <c r="F26">
        <f>+[1]Todo!$A26</f>
        <v>0</v>
      </c>
      <c r="G26" s="195">
        <f>+[2]Todo!$A26</f>
        <v>0</v>
      </c>
      <c r="H26">
        <f>+[3]Todo!A26</f>
        <v>0</v>
      </c>
      <c r="I26" s="195" t="str">
        <f>+[4]Todo!C26</f>
        <v>yes</v>
      </c>
      <c r="O26" s="226"/>
    </row>
    <row r="27" spans="1:15" ht="13.15" customHeight="1" x14ac:dyDescent="0.25">
      <c r="A27" s="203"/>
      <c r="B27" s="198" t="s">
        <v>199</v>
      </c>
      <c r="C27" s="157"/>
      <c r="D27" s="558"/>
      <c r="E27" s="559"/>
      <c r="F27">
        <f>+[1]Todo!$A27</f>
        <v>0</v>
      </c>
      <c r="G27" s="195">
        <f>+[2]Todo!$A27</f>
        <v>0</v>
      </c>
      <c r="H27">
        <f>+[3]Todo!A27</f>
        <v>0</v>
      </c>
      <c r="I27" s="195" t="str">
        <f>+[4]Todo!C27</f>
        <v>yes</v>
      </c>
      <c r="O27" s="226"/>
    </row>
    <row r="28" spans="1:15" ht="13.15" customHeight="1" x14ac:dyDescent="0.25">
      <c r="A28" s="203"/>
      <c r="B28" s="198" t="s">
        <v>200</v>
      </c>
      <c r="C28" s="156" t="s">
        <v>201</v>
      </c>
      <c r="D28" s="558"/>
      <c r="E28" s="559"/>
      <c r="F28">
        <f>+[1]Todo!$A28</f>
        <v>0</v>
      </c>
      <c r="G28" s="195">
        <f>+[2]Todo!$A28</f>
        <v>0</v>
      </c>
      <c r="H28">
        <f>+[3]Todo!A28</f>
        <v>0</v>
      </c>
      <c r="I28" s="195" t="str">
        <f>+[4]Todo!C28</f>
        <v>yes</v>
      </c>
      <c r="O28" s="226"/>
    </row>
    <row r="29" spans="1:15" ht="13.15" customHeight="1" x14ac:dyDescent="0.25">
      <c r="A29" s="203"/>
      <c r="B29" s="198"/>
      <c r="C29" s="156"/>
      <c r="D29" s="221"/>
      <c r="E29" s="222"/>
      <c r="F29">
        <f>+[1]Todo!$A29</f>
        <v>0</v>
      </c>
      <c r="G29" s="195">
        <f>+[2]Todo!$A29</f>
        <v>0</v>
      </c>
      <c r="H29">
        <f>+[3]Todo!A29</f>
        <v>0</v>
      </c>
      <c r="I29" s="195">
        <f>+[4]Todo!C29</f>
        <v>0</v>
      </c>
      <c r="O29" s="226"/>
    </row>
    <row r="30" spans="1:15" ht="13.15" customHeight="1" x14ac:dyDescent="0.25">
      <c r="A30" s="564" t="s">
        <v>202</v>
      </c>
      <c r="B30" s="198" t="s">
        <v>203</v>
      </c>
      <c r="C30" s="156"/>
      <c r="D30" s="558"/>
      <c r="E30" s="559"/>
      <c r="F30" t="str">
        <f>+[1]Todo!$A30</f>
        <v>Upon Sales Contract</v>
      </c>
      <c r="G30" s="195" t="str">
        <f>+[2]Todo!$A30</f>
        <v>Upon Sales Contract</v>
      </c>
      <c r="H30" t="str">
        <f>+[3]Todo!A30</f>
        <v>Upon Sales Contract</v>
      </c>
      <c r="I30" s="195">
        <f>+[4]Todo!C30</f>
        <v>0</v>
      </c>
      <c r="O30" s="226"/>
    </row>
    <row r="31" spans="1:15" ht="13.15" customHeight="1" x14ac:dyDescent="0.25">
      <c r="A31" s="565"/>
      <c r="B31" s="198" t="s">
        <v>204</v>
      </c>
      <c r="C31" s="156"/>
      <c r="D31" s="221"/>
      <c r="E31" s="222"/>
      <c r="F31">
        <f>+[1]Todo!$A31</f>
        <v>0</v>
      </c>
      <c r="G31" s="195">
        <f>+[2]Todo!$A31</f>
        <v>0</v>
      </c>
      <c r="H31">
        <f>+[3]Todo!A31</f>
        <v>0</v>
      </c>
      <c r="I31" s="195">
        <f>+[4]Todo!C31</f>
        <v>0</v>
      </c>
      <c r="O31" s="226"/>
    </row>
    <row r="32" spans="1:15" ht="13.15" customHeight="1" x14ac:dyDescent="0.25">
      <c r="A32" s="204"/>
      <c r="B32" s="198" t="s">
        <v>205</v>
      </c>
      <c r="C32" s="156"/>
      <c r="D32" s="221"/>
      <c r="E32" s="222"/>
      <c r="F32">
        <f>+[1]Todo!$A32</f>
        <v>0</v>
      </c>
      <c r="G32" s="195">
        <f>+[2]Todo!$A32</f>
        <v>0</v>
      </c>
      <c r="H32">
        <f>+[3]Todo!A32</f>
        <v>0</v>
      </c>
      <c r="I32" s="195">
        <f>+[4]Todo!C32</f>
        <v>0</v>
      </c>
      <c r="O32" s="226"/>
    </row>
    <row r="33" spans="1:15" ht="13.15" customHeight="1" x14ac:dyDescent="0.25">
      <c r="A33" s="204"/>
      <c r="B33" s="198" t="s">
        <v>206</v>
      </c>
      <c r="C33" s="156"/>
      <c r="D33" s="221"/>
      <c r="E33" s="222"/>
      <c r="F33">
        <f>+[1]Todo!$A33</f>
        <v>0</v>
      </c>
      <c r="G33" s="195">
        <f>+[2]Todo!$A33</f>
        <v>0</v>
      </c>
      <c r="H33">
        <f>+[3]Todo!A33</f>
        <v>0</v>
      </c>
      <c r="I33" s="195">
        <f>+[4]Todo!C33</f>
        <v>0</v>
      </c>
      <c r="O33" s="226"/>
    </row>
    <row r="34" spans="1:15" ht="13.15" customHeight="1" x14ac:dyDescent="0.25">
      <c r="A34" s="204"/>
      <c r="B34" s="198" t="s">
        <v>207</v>
      </c>
      <c r="C34" s="156"/>
      <c r="D34" s="558"/>
      <c r="E34" s="559"/>
      <c r="F34">
        <f>+[1]Todo!$A34</f>
        <v>0</v>
      </c>
      <c r="G34" s="195">
        <f>+[2]Todo!$A34</f>
        <v>0</v>
      </c>
      <c r="H34">
        <f>+[3]Todo!A34</f>
        <v>0</v>
      </c>
      <c r="I34" s="195">
        <f>+[4]Todo!C34</f>
        <v>0</v>
      </c>
      <c r="O34" s="226"/>
    </row>
    <row r="35" spans="1:15" ht="13.15" customHeight="1" x14ac:dyDescent="0.25">
      <c r="A35" s="203"/>
      <c r="B35" s="198"/>
      <c r="C35" s="156"/>
      <c r="D35" s="558"/>
      <c r="E35" s="559"/>
      <c r="F35">
        <f>+[1]Todo!$A35</f>
        <v>0</v>
      </c>
      <c r="G35" s="195">
        <f>+[2]Todo!$A35</f>
        <v>0</v>
      </c>
      <c r="H35">
        <f>+[3]Todo!A35</f>
        <v>0</v>
      </c>
      <c r="I35" s="195">
        <f>+[4]Todo!C35</f>
        <v>0</v>
      </c>
      <c r="O35" s="226"/>
    </row>
    <row r="36" spans="1:15" ht="13.15" customHeight="1" x14ac:dyDescent="0.25">
      <c r="A36" s="203"/>
      <c r="B36" s="198"/>
      <c r="C36" s="156"/>
      <c r="D36" s="558"/>
      <c r="E36" s="559"/>
      <c r="F36">
        <f>+[1]Todo!$A36</f>
        <v>0</v>
      </c>
      <c r="G36" s="195">
        <f>+[2]Todo!$A36</f>
        <v>0</v>
      </c>
      <c r="H36">
        <f>+[3]Todo!A36</f>
        <v>0</v>
      </c>
      <c r="I36" s="195">
        <f>+[4]Todo!C36</f>
        <v>0</v>
      </c>
      <c r="O36" s="226"/>
    </row>
    <row r="37" spans="1:15" ht="13.15" customHeight="1" x14ac:dyDescent="0.25">
      <c r="A37" s="203"/>
      <c r="B37" s="198"/>
      <c r="C37" s="156"/>
      <c r="D37" s="558"/>
      <c r="E37" s="559"/>
      <c r="F37">
        <f>+[1]Todo!$A37</f>
        <v>0</v>
      </c>
      <c r="G37" s="195">
        <f>+[2]Todo!$A37</f>
        <v>0</v>
      </c>
      <c r="H37">
        <f>+[3]Todo!A37</f>
        <v>0</v>
      </c>
      <c r="I37" s="195">
        <f>+[4]Todo!C37</f>
        <v>0</v>
      </c>
      <c r="O37" s="226"/>
    </row>
    <row r="38" spans="1:15" ht="13.15" customHeight="1" x14ac:dyDescent="0.25">
      <c r="A38" s="564" t="s">
        <v>208</v>
      </c>
      <c r="B38" s="198" t="s">
        <v>209</v>
      </c>
      <c r="C38" s="156"/>
      <c r="D38" s="558"/>
      <c r="E38" s="559"/>
      <c r="F38" t="str">
        <f>+[1]Todo!$A38</f>
        <v>Upon Closing</v>
      </c>
      <c r="G38" s="195" t="str">
        <f>+[2]Todo!$A38</f>
        <v>Upon Closing</v>
      </c>
      <c r="H38" t="str">
        <f>+[3]Todo!A38</f>
        <v>Upon Closing</v>
      </c>
      <c r="I38" s="195">
        <f>+[4]Todo!C38</f>
        <v>0</v>
      </c>
      <c r="O38" s="226"/>
    </row>
    <row r="39" spans="1:15" ht="13.15" customHeight="1" x14ac:dyDescent="0.25">
      <c r="A39" s="565"/>
      <c r="B39" s="198" t="s">
        <v>207</v>
      </c>
      <c r="C39" s="156"/>
      <c r="D39" s="558"/>
      <c r="E39" s="559"/>
      <c r="F39">
        <f>+[1]Todo!$A39</f>
        <v>0</v>
      </c>
      <c r="G39" s="195">
        <f>+[2]Todo!$A39</f>
        <v>0</v>
      </c>
      <c r="H39">
        <f>+[3]Todo!A39</f>
        <v>0</v>
      </c>
      <c r="I39" s="195">
        <f>+[4]Todo!C39</f>
        <v>0</v>
      </c>
      <c r="O39" s="226"/>
    </row>
    <row r="40" spans="1:15" ht="13.15" customHeight="1" x14ac:dyDescent="0.25">
      <c r="A40" s="203"/>
      <c r="B40" s="198" t="s">
        <v>210</v>
      </c>
      <c r="C40" s="156"/>
      <c r="D40" s="558"/>
      <c r="E40" s="559"/>
      <c r="F40">
        <f>+[1]Todo!$A40</f>
        <v>0</v>
      </c>
      <c r="G40" s="195">
        <f>+[2]Todo!$A40</f>
        <v>0</v>
      </c>
      <c r="H40">
        <f>+[3]Todo!A40</f>
        <v>0</v>
      </c>
      <c r="I40" s="195">
        <f>+[4]Todo!C40</f>
        <v>0</v>
      </c>
      <c r="O40" s="226"/>
    </row>
    <row r="41" spans="1:15" ht="13.15" customHeight="1" x14ac:dyDescent="0.25">
      <c r="A41" s="203"/>
      <c r="B41" s="198" t="s">
        <v>211</v>
      </c>
      <c r="C41" s="156"/>
      <c r="D41" s="558"/>
      <c r="E41" s="559"/>
      <c r="F41">
        <f>+[1]Todo!$A41</f>
        <v>0</v>
      </c>
      <c r="G41" s="195">
        <f>+[2]Todo!$A41</f>
        <v>0</v>
      </c>
      <c r="H41">
        <f>+[3]Todo!A41</f>
        <v>0</v>
      </c>
      <c r="I41" s="195">
        <f>+[4]Todo!C41</f>
        <v>0</v>
      </c>
      <c r="O41" s="226"/>
    </row>
    <row r="42" spans="1:15" ht="13.15" customHeight="1" thickBot="1" x14ac:dyDescent="0.3">
      <c r="A42" s="203"/>
      <c r="B42" s="198"/>
      <c r="C42" s="156"/>
      <c r="D42" s="558"/>
      <c r="E42" s="559"/>
      <c r="G42" s="195"/>
      <c r="I42" s="195"/>
      <c r="O42" s="226"/>
    </row>
    <row r="43" spans="1:15" ht="45.75" thickBot="1" x14ac:dyDescent="0.3">
      <c r="A43" s="204"/>
      <c r="B43" s="199"/>
      <c r="C43" s="566" t="s">
        <v>212</v>
      </c>
      <c r="D43" s="567"/>
      <c r="E43" s="379" t="str">
        <f>+B1</f>
        <v>115 Rosebrooks Dr, Cary, NC 27513</v>
      </c>
      <c r="F43" s="379" t="str">
        <f>+F1</f>
        <v>1426 Pleasant Garden</v>
      </c>
      <c r="G43" s="381" t="str">
        <f>+G1</f>
        <v>3413 Pinetree Ln</v>
      </c>
      <c r="H43" s="379" t="str">
        <f>+H1</f>
        <v>3021 Pearces Rd</v>
      </c>
      <c r="I43" s="381" t="str">
        <f t="shared" ref="I43" si="0">+I1</f>
        <v>Larchmont</v>
      </c>
      <c r="J43" s="379" t="str">
        <f>+J1</f>
        <v>6004  Sandy Run</v>
      </c>
      <c r="K43" s="373">
        <v>2</v>
      </c>
      <c r="L43" s="373">
        <v>4</v>
      </c>
      <c r="M43" s="373">
        <v>3</v>
      </c>
      <c r="N43" s="373">
        <v>3</v>
      </c>
      <c r="O43" s="226"/>
    </row>
    <row r="44" spans="1:15" ht="15.75" thickBot="1" x14ac:dyDescent="0.3">
      <c r="A44" s="204"/>
      <c r="B44" s="386" t="s">
        <v>213</v>
      </c>
      <c r="C44" s="555">
        <f>+SUM(E44:O44)</f>
        <v>5247029</v>
      </c>
      <c r="D44" s="556"/>
      <c r="E44" s="377">
        <f>+Profit!$B$4</f>
        <v>289000</v>
      </c>
      <c r="F44" s="377">
        <f>+[1]Todo!$E44</f>
        <v>341700</v>
      </c>
      <c r="G44" s="382">
        <f>+[2]Todo!$E44</f>
        <v>287000</v>
      </c>
      <c r="H44" s="377">
        <f>+[3]Todo!$E44</f>
        <v>50000</v>
      </c>
      <c r="I44" s="382">
        <f>+[4]Todo!$E44</f>
        <v>630000</v>
      </c>
      <c r="J44" s="377">
        <f>+[5]Todo!$E44</f>
        <v>285000</v>
      </c>
      <c r="K44" s="378">
        <v>750000</v>
      </c>
      <c r="L44" s="378">
        <v>1262529</v>
      </c>
      <c r="M44" s="378">
        <v>811800</v>
      </c>
      <c r="N44" s="378">
        <v>540000</v>
      </c>
      <c r="O44" s="309"/>
    </row>
    <row r="45" spans="1:15" ht="15.75" thickBot="1" x14ac:dyDescent="0.3">
      <c r="A45" s="204"/>
      <c r="B45" s="386" t="s">
        <v>214</v>
      </c>
      <c r="C45" s="555">
        <f>+SUM(E45:$O$45)</f>
        <v>2638171.4732499998</v>
      </c>
      <c r="D45" s="556"/>
      <c r="E45" s="311">
        <f>+Profit!K28</f>
        <v>209324.04450000002</v>
      </c>
      <c r="F45" s="311">
        <f>+[1]Todo!$E45</f>
        <v>182784</v>
      </c>
      <c r="G45" s="383">
        <f>+[2]Todo!$E45</f>
        <v>185424.13125000001</v>
      </c>
      <c r="H45" s="311">
        <f>+[3]Todo!$E45</f>
        <v>10000.13875</v>
      </c>
      <c r="I45" s="383">
        <f>+[4]Todo!$E45</f>
        <v>352162.49</v>
      </c>
      <c r="J45" s="311">
        <f>+[5]Todo!$E45</f>
        <v>79099.138750000013</v>
      </c>
      <c r="K45" s="374">
        <v>352369</v>
      </c>
      <c r="L45" s="374">
        <v>554594.92000000004</v>
      </c>
      <c r="M45" s="374">
        <v>401770.9</v>
      </c>
      <c r="N45" s="374">
        <v>310642.71000000002</v>
      </c>
      <c r="O45" s="309"/>
    </row>
    <row r="46" spans="1:15" ht="15.75" thickBot="1" x14ac:dyDescent="0.3">
      <c r="A46" s="204"/>
      <c r="B46" s="387" t="s">
        <v>215</v>
      </c>
      <c r="C46" s="555">
        <f>+SUM(E46:O46)</f>
        <v>922700.73974162503</v>
      </c>
      <c r="D46" s="556"/>
      <c r="E46" s="311">
        <f>+Profit!B31</f>
        <v>37573.025187499996</v>
      </c>
      <c r="F46" s="311">
        <f>+[1]Todo!$E46</f>
        <v>47412.056299999997</v>
      </c>
      <c r="G46" s="383">
        <f>+[2]Todo!$E46</f>
        <v>5676.2640000000001</v>
      </c>
      <c r="H46" s="311">
        <f>+[3]Todo!$E46</f>
        <v>0</v>
      </c>
      <c r="I46" s="383">
        <f>+[4]Todo!$E46</f>
        <v>159759.01010000001</v>
      </c>
      <c r="J46" s="311">
        <f>+[5]Todo!$E46</f>
        <v>84974.5</v>
      </c>
      <c r="K46" s="374">
        <v>242267</v>
      </c>
      <c r="L46" s="374">
        <v>148708.10749999998</v>
      </c>
      <c r="M46" s="374">
        <v>146350.07515412499</v>
      </c>
      <c r="N46" s="374">
        <v>49980.701499999996</v>
      </c>
      <c r="O46" s="192"/>
    </row>
    <row r="47" spans="1:15" ht="15.75" thickBot="1" x14ac:dyDescent="0.3">
      <c r="A47" s="204"/>
      <c r="B47" s="387" t="s">
        <v>814</v>
      </c>
      <c r="C47" s="385"/>
      <c r="D47" s="389">
        <f>+SUM(E47:N47)</f>
        <v>597265.16</v>
      </c>
      <c r="E47" s="311">
        <f>SUM(Profit!C15:C19)</f>
        <v>181057.16</v>
      </c>
      <c r="F47" s="311">
        <f>+[1]Todo!$E47</f>
        <v>273784</v>
      </c>
      <c r="G47" s="383">
        <f>+[2]Todo!$E47</f>
        <v>142424</v>
      </c>
      <c r="H47" s="311">
        <f>+[3]Todo!$E47</f>
        <v>0</v>
      </c>
      <c r="I47" s="383">
        <f>+[4]Todo!$E47</f>
        <v>0</v>
      </c>
      <c r="J47" s="311">
        <f>+[5]Todo!$E47</f>
        <v>0</v>
      </c>
      <c r="K47" s="374"/>
      <c r="L47" s="374"/>
      <c r="M47" s="374"/>
      <c r="N47" s="374"/>
      <c r="O47" s="192"/>
    </row>
    <row r="48" spans="1:15" ht="15.75" thickBot="1" x14ac:dyDescent="0.3">
      <c r="A48" s="204"/>
      <c r="B48" s="387" t="s">
        <v>216</v>
      </c>
      <c r="C48" s="555">
        <f ca="1">+SUM(E48:O48)</f>
        <v>4726.0711996842192</v>
      </c>
      <c r="D48" s="556"/>
      <c r="E48" s="360">
        <f ca="1">+Profit!B28/Profit!B20</f>
        <v>1477.1203178206588</v>
      </c>
      <c r="F48" s="360">
        <f>+[1]Todo!$E48</f>
        <v>2358.6708818635602</v>
      </c>
      <c r="G48" s="360">
        <f>+[2]Todo!$E48</f>
        <v>890.28000000000009</v>
      </c>
      <c r="H48" s="360">
        <f>+[3]Todo!$E48</f>
        <v>0</v>
      </c>
      <c r="I48" s="360">
        <f>+[4]Todo!$E48</f>
        <v>0</v>
      </c>
      <c r="J48" s="360">
        <f>+[5]Todo!$E48</f>
        <v>0</v>
      </c>
      <c r="K48" s="374"/>
      <c r="L48" s="374"/>
      <c r="M48" s="374"/>
      <c r="N48" s="374"/>
      <c r="O48" s="192"/>
    </row>
    <row r="49" spans="1:15" ht="15.75" thickBot="1" x14ac:dyDescent="0.3">
      <c r="A49" s="204"/>
      <c r="B49" s="387" t="s">
        <v>217</v>
      </c>
      <c r="C49" s="555">
        <f>+SUM(E49:J49)</f>
        <v>3115.3</v>
      </c>
      <c r="D49" s="556"/>
      <c r="E49" s="361">
        <f>+Profit!H9</f>
        <v>0</v>
      </c>
      <c r="F49" s="361">
        <f>+[1]Todo!$E49</f>
        <v>2225</v>
      </c>
      <c r="G49" s="361">
        <f>+[2]Todo!$E49</f>
        <v>890.3</v>
      </c>
      <c r="H49" s="361">
        <v>0</v>
      </c>
      <c r="I49" s="361">
        <f>+[4]Todo!$E49</f>
        <v>0</v>
      </c>
      <c r="J49" s="361">
        <v>0</v>
      </c>
      <c r="K49" s="374"/>
      <c r="L49" s="374"/>
      <c r="M49" s="374"/>
      <c r="N49" s="374"/>
      <c r="O49" s="192"/>
    </row>
    <row r="50" spans="1:15" ht="15.75" thickBot="1" x14ac:dyDescent="0.3">
      <c r="A50" s="204"/>
      <c r="B50" s="388" t="s">
        <v>218</v>
      </c>
      <c r="C50" s="555">
        <f ca="1">+SUM($E$50:J50)</f>
        <v>409190.65499405924</v>
      </c>
      <c r="D50" s="556"/>
      <c r="E50" s="311">
        <f ca="1">+Profit!K46</f>
        <v>191224.29347916669</v>
      </c>
      <c r="F50" s="311">
        <f>+[1]Todo!$E50</f>
        <v>132917.8527116667</v>
      </c>
      <c r="G50" s="383">
        <f>+[2]Todo!$E50</f>
        <v>104394.49600000001</v>
      </c>
      <c r="H50" s="311">
        <f>+[3]Todo!$E50</f>
        <v>0</v>
      </c>
      <c r="I50" s="383">
        <f>+[4]Todo!$E50</f>
        <v>-19345.987196774222</v>
      </c>
      <c r="J50" s="311">
        <f>+[5]Todo!$E50</f>
        <v>0</v>
      </c>
      <c r="K50" s="374"/>
      <c r="L50" s="374"/>
      <c r="M50" s="374"/>
      <c r="N50" s="374"/>
      <c r="O50" s="192"/>
    </row>
    <row r="51" spans="1:15" ht="15.75" thickBot="1" x14ac:dyDescent="0.3">
      <c r="A51" s="204"/>
      <c r="B51" s="388" t="s">
        <v>816</v>
      </c>
      <c r="C51" s="555">
        <f>+SUM($K$51:$O$51)</f>
        <v>999683.00429031963</v>
      </c>
      <c r="D51" s="556"/>
      <c r="E51" s="311"/>
      <c r="F51" s="311">
        <f>+[1]Todo!$E51</f>
        <v>13291.785271166671</v>
      </c>
      <c r="G51" s="383">
        <f>+[2]Todo!$E51</f>
        <v>10439.449600000002</v>
      </c>
      <c r="H51" s="311">
        <f>+[3]Todo!$E51</f>
        <v>0</v>
      </c>
      <c r="I51" s="383">
        <f>+[4]Todo!$E51</f>
        <v>0</v>
      </c>
      <c r="J51" s="311">
        <f>+[5]Todo!$E51</f>
        <v>0</v>
      </c>
      <c r="K51" s="374">
        <v>155363.89666666667</v>
      </c>
      <c r="L51" s="374">
        <v>471212.07700000005</v>
      </c>
      <c r="M51" s="374">
        <v>257067.10484587503</v>
      </c>
      <c r="N51" s="374">
        <v>116039.9257777778</v>
      </c>
      <c r="O51" s="192"/>
    </row>
    <row r="52" spans="1:15" ht="15.75" thickBot="1" x14ac:dyDescent="0.3">
      <c r="A52" s="204"/>
      <c r="B52" s="388" t="s">
        <v>219</v>
      </c>
      <c r="C52" s="555">
        <f ca="1">+SUM($E$52:$O$52)</f>
        <v>34593.233147916675</v>
      </c>
      <c r="D52" s="556"/>
      <c r="E52" s="311">
        <f ca="1">+E50*0.1</f>
        <v>19122.42934791667</v>
      </c>
      <c r="F52" s="311">
        <f>+[1]Todo!$E52</f>
        <v>0</v>
      </c>
      <c r="G52" s="383">
        <f>+[2]Todo!$E52</f>
        <v>0</v>
      </c>
      <c r="H52" s="311">
        <f>+[3]Todo!$E52</f>
        <v>0</v>
      </c>
      <c r="I52" s="383">
        <f>+[4]Todo!$E52</f>
        <v>0</v>
      </c>
      <c r="J52" s="311">
        <f>+[5]Todo!$E52</f>
        <v>0</v>
      </c>
      <c r="K52" s="375">
        <v>0</v>
      </c>
      <c r="L52" s="375">
        <v>15470.803800000003</v>
      </c>
      <c r="M52" s="375">
        <v>0</v>
      </c>
      <c r="N52" s="375">
        <v>0</v>
      </c>
      <c r="O52" s="192"/>
    </row>
    <row r="53" spans="1:15" ht="15.75" thickBot="1" x14ac:dyDescent="0.3">
      <c r="A53" s="204"/>
      <c r="B53" s="552" t="s">
        <v>220</v>
      </c>
      <c r="C53" s="550"/>
      <c r="D53" s="551"/>
      <c r="E53" s="376" t="s">
        <v>221</v>
      </c>
      <c r="F53" s="552" t="str">
        <f>+"Across  "&amp; COUNT(B44:L44)+SUM(M43:P43) &amp; " Projects"</f>
        <v>Across  15 Projects</v>
      </c>
      <c r="G53" s="549"/>
      <c r="H53" s="501"/>
      <c r="I53" s="550"/>
      <c r="J53" s="551"/>
      <c r="K53" s="540"/>
      <c r="L53" s="498"/>
      <c r="M53" s="498"/>
      <c r="N53" s="498"/>
      <c r="O53" s="401"/>
    </row>
    <row r="54" spans="1:15" ht="15.75" thickBot="1" x14ac:dyDescent="0.3">
      <c r="A54" s="204"/>
      <c r="B54" s="193" t="s">
        <v>222</v>
      </c>
      <c r="C54" s="557">
        <f>+AVERAGE(E44:J44)</f>
        <v>313783.33333333331</v>
      </c>
      <c r="D54" s="501"/>
      <c r="E54" s="193" t="s">
        <v>222</v>
      </c>
      <c r="F54" s="548">
        <f>+SUM(E44:N44)/(COUNT(E44:J44)+SUM($K$43:$N$43))</f>
        <v>291501.61111111112</v>
      </c>
      <c r="G54" s="549"/>
      <c r="H54" s="501"/>
      <c r="I54" s="548">
        <f>+SUM(E44:N44)</f>
        <v>5247029</v>
      </c>
      <c r="J54" s="501"/>
      <c r="K54" s="404"/>
      <c r="L54" s="497"/>
      <c r="M54" s="497"/>
      <c r="N54" s="497"/>
      <c r="O54" s="405"/>
    </row>
    <row r="55" spans="1:15" ht="15.75" thickBot="1" x14ac:dyDescent="0.3">
      <c r="A55" s="204"/>
      <c r="B55" s="193" t="s">
        <v>223</v>
      </c>
      <c r="C55" s="557">
        <f>+AVERAGE(E45:J45)</f>
        <v>169798.99054166669</v>
      </c>
      <c r="D55" s="501"/>
      <c r="E55" s="193" t="s">
        <v>223</v>
      </c>
      <c r="F55" s="548">
        <f>+SUM(E45:N45)/(COUNT(E45:J45)+SUM($K$43:$N$43))</f>
        <v>146565.0818472222</v>
      </c>
      <c r="G55" s="549"/>
      <c r="H55" s="501"/>
      <c r="I55" s="548">
        <f>+SUM(E45:N45)</f>
        <v>2638171.4732499998</v>
      </c>
      <c r="J55" s="501"/>
      <c r="K55" s="541" t="s">
        <v>224</v>
      </c>
      <c r="L55" s="542"/>
      <c r="M55" s="542"/>
      <c r="N55" s="542"/>
      <c r="O55" s="543"/>
    </row>
    <row r="56" spans="1:15" ht="15.75" thickBot="1" x14ac:dyDescent="0.3">
      <c r="B56" s="193" t="s">
        <v>225</v>
      </c>
      <c r="C56" s="557">
        <f>+AVERAGE(E46:J46)</f>
        <v>55899.142597916674</v>
      </c>
      <c r="D56" s="501"/>
      <c r="E56" s="193" t="s">
        <v>225</v>
      </c>
      <c r="F56" s="548">
        <f>+SUM(E46:N46)/(COUNT(E46:J46)+SUM($K$43:$N$43))</f>
        <v>51261.152207868057</v>
      </c>
      <c r="G56" s="549"/>
      <c r="H56" s="501"/>
      <c r="I56" s="548">
        <f>+SUM(E46:N46)</f>
        <v>922700.73974162503</v>
      </c>
      <c r="J56" s="501"/>
      <c r="K56" s="544" t="s">
        <v>226</v>
      </c>
      <c r="L56" s="545"/>
      <c r="M56" s="545"/>
      <c r="N56" s="545"/>
      <c r="O56" s="501"/>
    </row>
    <row r="57" spans="1:15" ht="15.75" thickBot="1" x14ac:dyDescent="0.3">
      <c r="B57" s="193" t="s">
        <v>227</v>
      </c>
      <c r="C57" s="557">
        <f ca="1">+AVERAGE(E50:J50)</f>
        <v>68198.442499009878</v>
      </c>
      <c r="D57" s="501"/>
      <c r="E57" s="193" t="s">
        <v>227</v>
      </c>
      <c r="F57" s="548">
        <f ca="1">+SUM(E50:N50)/(COUNT(E50:J50)+SUM($K$43:$N$43))</f>
        <v>22732.814166336626</v>
      </c>
      <c r="G57" s="549"/>
      <c r="H57" s="501"/>
      <c r="I57" s="548">
        <f ca="1">+SUM($E$50:$S$50)</f>
        <v>409190.65499405924</v>
      </c>
      <c r="J57" s="501"/>
      <c r="K57" s="546" t="s">
        <v>228</v>
      </c>
      <c r="L57" s="547"/>
      <c r="M57" s="547"/>
      <c r="N57" s="547"/>
      <c r="O57" s="501"/>
    </row>
    <row r="58" spans="1:15" ht="15.75" thickBot="1" x14ac:dyDescent="0.3">
      <c r="F58" s="237"/>
      <c r="G58" s="237"/>
      <c r="I58" s="237"/>
      <c r="J58" s="237"/>
    </row>
    <row r="59" spans="1:15" ht="15.75" thickBot="1" x14ac:dyDescent="0.3">
      <c r="B59" s="359" t="s">
        <v>229</v>
      </c>
      <c r="C59" s="553">
        <f ca="1">+C49-C48</f>
        <v>-1610.771199684219</v>
      </c>
      <c r="D59" s="554"/>
    </row>
  </sheetData>
  <mergeCells count="70">
    <mergeCell ref="A12:A13"/>
    <mergeCell ref="A38:A39"/>
    <mergeCell ref="C43:D43"/>
    <mergeCell ref="C54:D54"/>
    <mergeCell ref="D41:E41"/>
    <mergeCell ref="D42:E42"/>
    <mergeCell ref="D37:E37"/>
    <mergeCell ref="D38:E38"/>
    <mergeCell ref="D18:E18"/>
    <mergeCell ref="D14:E14"/>
    <mergeCell ref="D15:E15"/>
    <mergeCell ref="D40:E40"/>
    <mergeCell ref="D23:E23"/>
    <mergeCell ref="A30:A31"/>
    <mergeCell ref="D19:E19"/>
    <mergeCell ref="D39:E39"/>
    <mergeCell ref="B1:C1"/>
    <mergeCell ref="D30:E30"/>
    <mergeCell ref="D34:E34"/>
    <mergeCell ref="D35:E35"/>
    <mergeCell ref="D36:E36"/>
    <mergeCell ref="D20:E20"/>
    <mergeCell ref="D24:E24"/>
    <mergeCell ref="D25:E25"/>
    <mergeCell ref="D26:E26"/>
    <mergeCell ref="D27:E27"/>
    <mergeCell ref="D28:E28"/>
    <mergeCell ref="D21:E21"/>
    <mergeCell ref="D13:E13"/>
    <mergeCell ref="D22:E22"/>
    <mergeCell ref="D16:E16"/>
    <mergeCell ref="D17:E17"/>
    <mergeCell ref="D7:E7"/>
    <mergeCell ref="D1:E1"/>
    <mergeCell ref="D3:E3"/>
    <mergeCell ref="D4:E4"/>
    <mergeCell ref="D5:E5"/>
    <mergeCell ref="D6:E6"/>
    <mergeCell ref="D8:E8"/>
    <mergeCell ref="D9:E9"/>
    <mergeCell ref="D10:E10"/>
    <mergeCell ref="D11:E11"/>
    <mergeCell ref="D12:E12"/>
    <mergeCell ref="C59:D59"/>
    <mergeCell ref="C44:D44"/>
    <mergeCell ref="C45:D45"/>
    <mergeCell ref="C46:D46"/>
    <mergeCell ref="C48:D48"/>
    <mergeCell ref="C49:D49"/>
    <mergeCell ref="C50:D50"/>
    <mergeCell ref="C52:D52"/>
    <mergeCell ref="C56:D56"/>
    <mergeCell ref="C55:D55"/>
    <mergeCell ref="C51:D51"/>
    <mergeCell ref="B53:D53"/>
    <mergeCell ref="C57:D57"/>
    <mergeCell ref="K53:O54"/>
    <mergeCell ref="K55:O55"/>
    <mergeCell ref="K56:O56"/>
    <mergeCell ref="K57:O57"/>
    <mergeCell ref="F57:H57"/>
    <mergeCell ref="I54:J54"/>
    <mergeCell ref="I55:J55"/>
    <mergeCell ref="I56:J56"/>
    <mergeCell ref="I57:J57"/>
    <mergeCell ref="I53:J53"/>
    <mergeCell ref="F53:H53"/>
    <mergeCell ref="F54:H54"/>
    <mergeCell ref="F55:H55"/>
    <mergeCell ref="F56:H56"/>
  </mergeCells>
  <pageMargins left="0.25" right="0.25" top="0.75" bottom="0.5" header="0.3" footer="0.3"/>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4"/>
  <dimension ref="A1:Y28"/>
  <sheetViews>
    <sheetView tabSelected="1" workbookViewId="0">
      <pane ySplit="1" topLeftCell="A2" activePane="bottomLeft" state="frozen"/>
      <selection activeCell="C1" sqref="C1:E1"/>
      <selection pane="bottomLeft" activeCell="D13" sqref="D13"/>
    </sheetView>
  </sheetViews>
  <sheetFormatPr defaultRowHeight="15" x14ac:dyDescent="0.25"/>
  <cols>
    <col min="1" max="1" width="47.140625" style="2" bestFit="1" customWidth="1"/>
    <col min="2" max="2" width="31.28515625" style="2" bestFit="1" customWidth="1"/>
    <col min="3" max="3" width="16.28515625" style="25" bestFit="1" customWidth="1"/>
    <col min="4" max="4" width="20.28515625" style="2" bestFit="1" customWidth="1"/>
    <col min="5" max="5" width="36" style="25" customWidth="1"/>
    <col min="6" max="6" width="12.140625" customWidth="1"/>
    <col min="9" max="9" width="33.140625" bestFit="1" customWidth="1"/>
    <col min="21" max="21" width="34.5703125" bestFit="1" customWidth="1"/>
    <col min="22" max="22" width="4.5703125" bestFit="1" customWidth="1"/>
    <col min="23" max="23" width="10.5703125" bestFit="1" customWidth="1"/>
    <col min="25" max="25" width="5" bestFit="1" customWidth="1"/>
  </cols>
  <sheetData>
    <row r="1" spans="1:25" s="3" customFormat="1" x14ac:dyDescent="0.25">
      <c r="A1" s="3" t="s">
        <v>230</v>
      </c>
      <c r="B1" s="3" t="s">
        <v>231</v>
      </c>
      <c r="C1" s="33" t="s">
        <v>232</v>
      </c>
      <c r="D1" s="31" t="s">
        <v>233</v>
      </c>
      <c r="E1" s="33" t="s">
        <v>234</v>
      </c>
      <c r="F1" s="3" t="s">
        <v>235</v>
      </c>
    </row>
    <row r="2" spans="1:25" x14ac:dyDescent="0.25">
      <c r="A2" s="25" t="s">
        <v>236</v>
      </c>
      <c r="E2" s="28"/>
    </row>
    <row r="3" spans="1:25" x14ac:dyDescent="0.25">
      <c r="A3" s="187" t="s">
        <v>237</v>
      </c>
      <c r="B3" s="187"/>
      <c r="C3" s="29" t="s">
        <v>238</v>
      </c>
      <c r="D3" s="29" t="s">
        <v>239</v>
      </c>
      <c r="E3" s="29" t="s">
        <v>240</v>
      </c>
    </row>
    <row r="4" spans="1:25" x14ac:dyDescent="0.25">
      <c r="A4" s="2" t="s">
        <v>241</v>
      </c>
      <c r="D4" s="25" t="s">
        <v>242</v>
      </c>
      <c r="E4" s="12"/>
    </row>
    <row r="5" spans="1:25" x14ac:dyDescent="0.25">
      <c r="B5" s="45"/>
      <c r="D5" s="2" t="s">
        <v>243</v>
      </c>
      <c r="E5" s="28"/>
    </row>
    <row r="6" spans="1:25" x14ac:dyDescent="0.25">
      <c r="A6" s="25" t="s">
        <v>244</v>
      </c>
      <c r="B6" s="45" t="s">
        <v>245</v>
      </c>
      <c r="E6" s="307"/>
    </row>
    <row r="7" spans="1:25" x14ac:dyDescent="0.25">
      <c r="A7" s="46" t="s">
        <v>246</v>
      </c>
      <c r="B7" s="47" t="s">
        <v>247</v>
      </c>
      <c r="C7" s="33" t="s">
        <v>248</v>
      </c>
      <c r="D7" s="48" t="s">
        <v>249</v>
      </c>
      <c r="E7" s="28"/>
      <c r="F7" s="19" t="s">
        <v>250</v>
      </c>
    </row>
    <row r="8" spans="1:25" x14ac:dyDescent="0.25">
      <c r="A8" s="2" t="s">
        <v>251</v>
      </c>
      <c r="B8" s="2" t="s">
        <v>252</v>
      </c>
      <c r="E8" s="28" t="s">
        <v>253</v>
      </c>
      <c r="F8" s="25" t="s">
        <v>254</v>
      </c>
    </row>
    <row r="9" spans="1:25" x14ac:dyDescent="0.25">
      <c r="A9" s="2" t="s">
        <v>255</v>
      </c>
      <c r="B9" s="2" t="s">
        <v>256</v>
      </c>
      <c r="E9" s="28"/>
      <c r="F9" t="s">
        <v>257</v>
      </c>
    </row>
    <row r="10" spans="1:25" x14ac:dyDescent="0.25">
      <c r="A10" s="2" t="s">
        <v>258</v>
      </c>
      <c r="B10" s="2" t="s">
        <v>259</v>
      </c>
      <c r="C10" s="25" t="s">
        <v>260</v>
      </c>
      <c r="E10" s="28"/>
    </row>
    <row r="11" spans="1:25" x14ac:dyDescent="0.25">
      <c r="F11" s="28"/>
    </row>
    <row r="12" spans="1:25" x14ac:dyDescent="0.25">
      <c r="A12" s="2" t="s">
        <v>809</v>
      </c>
      <c r="B12" s="273" t="s">
        <v>810</v>
      </c>
      <c r="C12" s="25" t="s">
        <v>811</v>
      </c>
      <c r="D12" s="28" t="s">
        <v>813</v>
      </c>
      <c r="E12" s="321"/>
    </row>
    <row r="13" spans="1:25" x14ac:dyDescent="0.25">
      <c r="A13" s="2" t="s">
        <v>812</v>
      </c>
      <c r="D13" s="2">
        <v>691805311</v>
      </c>
    </row>
    <row r="14" spans="1:25" x14ac:dyDescent="0.25">
      <c r="A14" s="2" t="s">
        <v>261</v>
      </c>
      <c r="B14" s="34" t="s">
        <v>262</v>
      </c>
      <c r="E14" s="19"/>
    </row>
    <row r="16" spans="1:25" x14ac:dyDescent="0.25">
      <c r="U16" t="s">
        <v>263</v>
      </c>
      <c r="V16" t="s">
        <v>264</v>
      </c>
      <c r="W16" t="s">
        <v>265</v>
      </c>
      <c r="X16" t="s">
        <v>266</v>
      </c>
      <c r="Y16" t="s">
        <v>267</v>
      </c>
    </row>
    <row r="17" spans="1:24" x14ac:dyDescent="0.25">
      <c r="E17" s="28"/>
      <c r="F17" s="19"/>
      <c r="U17" t="s">
        <v>268</v>
      </c>
      <c r="V17" t="s">
        <v>269</v>
      </c>
      <c r="W17" s="269">
        <v>0.4458333333333333</v>
      </c>
      <c r="X17" t="s">
        <v>270</v>
      </c>
    </row>
    <row r="20" spans="1:24" x14ac:dyDescent="0.25">
      <c r="A20" s="2" t="s">
        <v>271</v>
      </c>
    </row>
    <row r="21" spans="1:24" x14ac:dyDescent="0.25">
      <c r="A21" s="270" t="s">
        <v>272</v>
      </c>
      <c r="B21" s="2" t="s">
        <v>273</v>
      </c>
      <c r="C21" s="28" t="s">
        <v>274</v>
      </c>
    </row>
    <row r="22" spans="1:24" x14ac:dyDescent="0.25">
      <c r="A22" s="271" t="s">
        <v>275</v>
      </c>
    </row>
    <row r="23" spans="1:24" x14ac:dyDescent="0.25">
      <c r="A23" s="272" t="s">
        <v>276</v>
      </c>
    </row>
    <row r="24" spans="1:24" x14ac:dyDescent="0.25">
      <c r="A24" s="273" t="s">
        <v>277</v>
      </c>
    </row>
    <row r="25" spans="1:24" x14ac:dyDescent="0.25">
      <c r="A25" s="274" t="s">
        <v>278</v>
      </c>
      <c r="B25" s="2" t="s">
        <v>279</v>
      </c>
      <c r="C25" s="28" t="s">
        <v>280</v>
      </c>
    </row>
    <row r="26" spans="1:24" x14ac:dyDescent="0.25">
      <c r="A26" s="275" t="s">
        <v>281</v>
      </c>
    </row>
    <row r="27" spans="1:24" x14ac:dyDescent="0.25">
      <c r="A27" s="276" t="s">
        <v>276</v>
      </c>
    </row>
    <row r="28" spans="1:24" x14ac:dyDescent="0.25">
      <c r="A28" s="277" t="s">
        <v>282</v>
      </c>
    </row>
  </sheetData>
  <hyperlinks>
    <hyperlink ref="A24" r:id="rId1" display="https://insurancehub.com/" xr:uid="{480FAD21-BCC5-4FB4-945E-5359A5B6B2C4}"/>
    <hyperlink ref="C21" r:id="rId2" xr:uid="{F468BB82-EA4E-4CE9-A37B-65EE4DBE144A}"/>
    <hyperlink ref="A28" r:id="rId3" display="https://insurancehub.com/" xr:uid="{E070D91F-70C6-4446-88CC-EA9C53F18129}"/>
    <hyperlink ref="C25" r:id="rId4" xr:uid="{4FA2555B-7156-4E87-BAA9-3381BCBBA69F}"/>
    <hyperlink ref="E8" r:id="rId5" xr:uid="{49FBE1C8-3B99-4D04-8B72-310E5C9C11D1}"/>
    <hyperlink ref="B12" r:id="rId6" xr:uid="{2FE1E748-9BA1-4E14-9A6A-71ECD9849A42}"/>
    <hyperlink ref="D12" r:id="rId7" xr:uid="{E0DC18F6-C5E4-4373-A29A-EF0FB1C80772}"/>
  </hyperlinks>
  <pageMargins left="0.7" right="0.7" top="0.75" bottom="0.75" header="0.3" footer="0.3"/>
  <pageSetup orientation="portrait"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4123C-2413-4492-95E7-A42DA77FC709}">
  <sheetPr>
    <tabColor rgb="FFFF0000"/>
  </sheetPr>
  <dimension ref="A1:AA49"/>
  <sheetViews>
    <sheetView workbookViewId="0">
      <pane ySplit="2" topLeftCell="A3" activePane="bottomLeft" state="frozen"/>
      <selection pane="bottomLeft" activeCell="Y6" sqref="Y6"/>
    </sheetView>
  </sheetViews>
  <sheetFormatPr defaultRowHeight="15" x14ac:dyDescent="0.25"/>
  <cols>
    <col min="2" max="2" width="9.7109375" bestFit="1" customWidth="1"/>
    <col min="4" max="4" width="4.7109375" customWidth="1"/>
    <col min="5" max="5" width="10.7109375" customWidth="1"/>
    <col min="6" max="6" width="10.140625" bestFit="1" customWidth="1"/>
    <col min="7" max="7" width="3.85546875" customWidth="1"/>
    <col min="8" max="8" width="14" bestFit="1" customWidth="1"/>
    <col min="9" max="9" width="10.140625" bestFit="1" customWidth="1"/>
    <col min="10" max="10" width="3.42578125" customWidth="1"/>
    <col min="11" max="11" width="10.7109375" bestFit="1" customWidth="1"/>
    <col min="13" max="13" width="3.7109375" customWidth="1"/>
    <col min="14" max="14" width="12" customWidth="1"/>
    <col min="16" max="16" width="3" customWidth="1"/>
    <col min="17" max="17" width="10.42578125" customWidth="1"/>
    <col min="19" max="19" width="3.42578125" customWidth="1"/>
    <col min="20" max="20" width="10.7109375" bestFit="1" customWidth="1"/>
    <col min="22" max="22" width="3.28515625" customWidth="1"/>
    <col min="23" max="23" width="12.42578125" customWidth="1"/>
  </cols>
  <sheetData>
    <row r="1" spans="1:27" s="3" customFormat="1" x14ac:dyDescent="0.25">
      <c r="A1" s="525" t="s">
        <v>283</v>
      </c>
      <c r="B1" s="525"/>
      <c r="C1" s="525"/>
      <c r="D1" s="525"/>
      <c r="E1" s="525" t="s">
        <v>284</v>
      </c>
      <c r="F1" s="526"/>
      <c r="H1" s="3" t="s">
        <v>285</v>
      </c>
      <c r="K1" s="525" t="s">
        <v>286</v>
      </c>
      <c r="L1" s="525"/>
      <c r="M1" s="525"/>
      <c r="N1" s="525" t="s">
        <v>287</v>
      </c>
      <c r="O1" s="525"/>
      <c r="P1" s="525"/>
      <c r="Q1" s="525" t="s">
        <v>288</v>
      </c>
      <c r="R1" s="525"/>
      <c r="S1" s="525"/>
      <c r="T1" s="525" t="s">
        <v>289</v>
      </c>
      <c r="U1" s="525"/>
      <c r="V1" s="525"/>
      <c r="W1" s="525" t="s">
        <v>290</v>
      </c>
      <c r="X1" s="525"/>
      <c r="Y1" s="525"/>
    </row>
    <row r="2" spans="1:27" x14ac:dyDescent="0.25">
      <c r="A2" s="3"/>
      <c r="B2" s="3" t="s">
        <v>291</v>
      </c>
      <c r="C2" s="13" t="s">
        <v>292</v>
      </c>
      <c r="D2" s="3"/>
      <c r="E2" s="3" t="s">
        <v>291</v>
      </c>
      <c r="F2" s="13" t="s">
        <v>292</v>
      </c>
      <c r="G2" s="3"/>
      <c r="H2" s="3" t="s">
        <v>291</v>
      </c>
      <c r="I2" s="13" t="s">
        <v>292</v>
      </c>
      <c r="J2" s="3"/>
      <c r="K2" s="3" t="s">
        <v>291</v>
      </c>
      <c r="L2" s="13" t="s">
        <v>292</v>
      </c>
      <c r="M2" s="3"/>
      <c r="N2" s="3" t="s">
        <v>291</v>
      </c>
      <c r="O2" s="13" t="s">
        <v>292</v>
      </c>
      <c r="P2" s="3"/>
      <c r="Q2" s="3" t="s">
        <v>291</v>
      </c>
      <c r="R2" s="13" t="s">
        <v>292</v>
      </c>
      <c r="S2" s="3"/>
      <c r="T2" s="3" t="s">
        <v>291</v>
      </c>
      <c r="U2" s="13" t="s">
        <v>292</v>
      </c>
      <c r="V2" s="3"/>
      <c r="W2" s="3" t="s">
        <v>291</v>
      </c>
      <c r="X2" s="13" t="s">
        <v>292</v>
      </c>
      <c r="Y2" s="3"/>
    </row>
    <row r="3" spans="1:27" x14ac:dyDescent="0.25">
      <c r="A3" s="2"/>
      <c r="C3" s="14"/>
      <c r="D3" s="14"/>
      <c r="F3" s="14"/>
      <c r="G3" s="14"/>
      <c r="I3" s="14"/>
      <c r="J3" s="14"/>
      <c r="M3" s="14"/>
      <c r="O3" s="14"/>
      <c r="P3" s="14"/>
      <c r="R3" s="14"/>
      <c r="S3" s="14"/>
      <c r="U3" s="14"/>
      <c r="V3" s="14"/>
      <c r="X3" s="14"/>
      <c r="Y3" s="14"/>
    </row>
    <row r="4" spans="1:27" x14ac:dyDescent="0.25">
      <c r="A4" s="2"/>
      <c r="B4" s="12" t="s">
        <v>173</v>
      </c>
      <c r="C4" s="14"/>
      <c r="D4" s="14"/>
      <c r="E4" s="12">
        <v>45444</v>
      </c>
      <c r="F4" s="14"/>
      <c r="G4" s="14"/>
      <c r="H4" s="12">
        <v>45307</v>
      </c>
      <c r="I4" s="14">
        <v>625</v>
      </c>
      <c r="J4" s="14"/>
      <c r="K4" s="12">
        <v>45231</v>
      </c>
      <c r="L4" s="14">
        <v>166.58</v>
      </c>
      <c r="M4" s="14"/>
      <c r="N4" s="12"/>
      <c r="O4" s="14"/>
      <c r="P4" s="14"/>
      <c r="Q4" s="12"/>
      <c r="R4" s="14"/>
      <c r="S4" s="14"/>
      <c r="T4" s="12">
        <v>45231</v>
      </c>
      <c r="U4" s="14">
        <v>120</v>
      </c>
      <c r="V4" s="14"/>
      <c r="W4" s="12">
        <v>45170</v>
      </c>
      <c r="X4" s="14">
        <v>853.79</v>
      </c>
      <c r="Y4" s="14"/>
    </row>
    <row r="5" spans="1:27" x14ac:dyDescent="0.25">
      <c r="A5" s="2"/>
      <c r="B5" s="12"/>
      <c r="C5" s="14"/>
      <c r="D5" s="14"/>
      <c r="E5" s="12">
        <f t="shared" ref="E5:E47" si="0">+E4+30</f>
        <v>45474</v>
      </c>
      <c r="F5" s="14"/>
      <c r="G5" s="14"/>
      <c r="H5" s="12">
        <f>+H4+30</f>
        <v>45337</v>
      </c>
      <c r="I5" s="14">
        <f>+I4</f>
        <v>625</v>
      </c>
      <c r="J5" s="14"/>
      <c r="K5" s="12">
        <f t="shared" ref="K5:K47" si="1">+K4+30</f>
        <v>45261</v>
      </c>
      <c r="L5" s="14">
        <f t="shared" ref="L5:L10" ca="1" si="2">IF(NOW()&gt;K5,L4,0)</f>
        <v>166.58</v>
      </c>
      <c r="M5" s="14"/>
      <c r="N5" s="12"/>
      <c r="O5" s="14"/>
      <c r="P5" s="14"/>
      <c r="Q5" s="12"/>
      <c r="R5" s="14"/>
      <c r="S5" s="14"/>
      <c r="T5" s="12">
        <f t="shared" ref="T5:T47" si="3">+T4+30</f>
        <v>45261</v>
      </c>
      <c r="U5" s="14">
        <f ca="1">IF(Profit!$J$58&gt;T5,U4,0)</f>
        <v>120</v>
      </c>
      <c r="V5" s="14"/>
      <c r="W5" s="12">
        <f>365+W4</f>
        <v>45535</v>
      </c>
      <c r="X5" s="14">
        <f ca="1">IF(Profit!$J$58&gt;W5,X4,0)</f>
        <v>853.79</v>
      </c>
      <c r="Y5" s="14"/>
    </row>
    <row r="6" spans="1:27" x14ac:dyDescent="0.25">
      <c r="A6" s="2"/>
      <c r="B6" s="12"/>
      <c r="C6" s="14"/>
      <c r="D6" s="14"/>
      <c r="E6" s="12">
        <f t="shared" si="0"/>
        <v>45504</v>
      </c>
      <c r="F6" s="14"/>
      <c r="G6" s="14"/>
      <c r="H6" s="12">
        <f t="shared" ref="H6:H47" si="4">+H5+30</f>
        <v>45367</v>
      </c>
      <c r="I6" s="14">
        <f t="shared" ref="I6" si="5">+I5</f>
        <v>625</v>
      </c>
      <c r="J6" s="14"/>
      <c r="K6" s="12">
        <f t="shared" si="1"/>
        <v>45291</v>
      </c>
      <c r="L6" s="14">
        <f t="shared" ca="1" si="2"/>
        <v>166.58</v>
      </c>
      <c r="M6" s="14"/>
      <c r="N6" s="12"/>
      <c r="O6" s="14"/>
      <c r="P6" s="14"/>
      <c r="Q6" s="12"/>
      <c r="R6" s="14"/>
      <c r="S6" s="14"/>
      <c r="T6" s="12">
        <f t="shared" si="3"/>
        <v>45291</v>
      </c>
      <c r="U6" s="14">
        <f ca="1">IF(Profit!$J$58&gt;T6,U5,0)</f>
        <v>120</v>
      </c>
      <c r="V6" s="14"/>
      <c r="W6" s="12">
        <f t="shared" ref="W6:W16" si="6">365+W5</f>
        <v>45900</v>
      </c>
      <c r="X6" s="14">
        <v>2384.81</v>
      </c>
      <c r="Y6" s="14"/>
    </row>
    <row r="7" spans="1:27" x14ac:dyDescent="0.25">
      <c r="A7" s="2"/>
      <c r="B7" s="12"/>
      <c r="C7" s="14"/>
      <c r="D7" s="14"/>
      <c r="E7" s="12">
        <f t="shared" si="0"/>
        <v>45534</v>
      </c>
      <c r="F7" s="14"/>
      <c r="G7" s="14"/>
      <c r="H7" s="12">
        <f t="shared" si="4"/>
        <v>45397</v>
      </c>
      <c r="I7" s="14">
        <f ca="1">IF(Profit!$J$58&gt;H7,I6,0)</f>
        <v>625</v>
      </c>
      <c r="J7" s="14"/>
      <c r="K7" s="12">
        <f t="shared" si="1"/>
        <v>45321</v>
      </c>
      <c r="L7" s="14">
        <f t="shared" ca="1" si="2"/>
        <v>166.58</v>
      </c>
      <c r="M7" s="14"/>
      <c r="N7" s="12"/>
      <c r="O7" s="14"/>
      <c r="P7" s="14"/>
      <c r="Q7" s="12"/>
      <c r="R7" s="14"/>
      <c r="S7" s="14"/>
      <c r="T7" s="12">
        <f t="shared" si="3"/>
        <v>45321</v>
      </c>
      <c r="U7" s="14">
        <f ca="1">IF(Profit!$J$58&gt;T7,U6,0)</f>
        <v>120</v>
      </c>
      <c r="V7" s="14"/>
      <c r="W7" s="12">
        <f t="shared" si="6"/>
        <v>46265</v>
      </c>
      <c r="X7" s="14">
        <f ca="1">IF(Profit!$J$58&gt;W7,X6,0)</f>
        <v>0</v>
      </c>
      <c r="Y7" s="14"/>
    </row>
    <row r="8" spans="1:27" x14ac:dyDescent="0.25">
      <c r="A8" s="2"/>
      <c r="B8" s="12"/>
      <c r="C8" s="14"/>
      <c r="D8" s="14"/>
      <c r="E8" s="12">
        <f t="shared" si="0"/>
        <v>45564</v>
      </c>
      <c r="F8" s="14"/>
      <c r="G8" s="14"/>
      <c r="H8" s="12">
        <f t="shared" si="4"/>
        <v>45427</v>
      </c>
      <c r="I8" s="14">
        <f ca="1">IF(Profit!$J$58&gt;H8,I7,0)</f>
        <v>625</v>
      </c>
      <c r="J8" s="14"/>
      <c r="K8" s="12">
        <f t="shared" si="1"/>
        <v>45351</v>
      </c>
      <c r="L8" s="14">
        <f t="shared" ca="1" si="2"/>
        <v>166.58</v>
      </c>
      <c r="M8" s="14"/>
      <c r="N8" s="12"/>
      <c r="O8" s="14"/>
      <c r="P8" s="14"/>
      <c r="Q8" s="12"/>
      <c r="R8" s="14"/>
      <c r="S8" s="14"/>
      <c r="T8" s="12">
        <f t="shared" si="3"/>
        <v>45351</v>
      </c>
      <c r="U8" s="14">
        <f ca="1">IF(Profit!$J$58&gt;T8,U7,0)</f>
        <v>120</v>
      </c>
      <c r="V8" s="14"/>
      <c r="W8" s="12">
        <f t="shared" si="6"/>
        <v>46630</v>
      </c>
      <c r="X8" s="14">
        <f ca="1">IF(Profit!$J$58&gt;W8,X7,0)</f>
        <v>0</v>
      </c>
      <c r="Y8" s="14"/>
    </row>
    <row r="9" spans="1:27" x14ac:dyDescent="0.25">
      <c r="A9" s="2"/>
      <c r="B9" s="12"/>
      <c r="C9" s="14"/>
      <c r="D9" s="14"/>
      <c r="E9" s="12">
        <f t="shared" si="0"/>
        <v>45594</v>
      </c>
      <c r="F9" s="14">
        <v>1218.69</v>
      </c>
      <c r="G9" s="14"/>
      <c r="H9" s="12">
        <f t="shared" si="4"/>
        <v>45457</v>
      </c>
      <c r="I9" s="14">
        <f ca="1">IF(Profit!$J$58&gt;H9,I8,0)</f>
        <v>625</v>
      </c>
      <c r="J9" s="14"/>
      <c r="K9" s="12">
        <f t="shared" si="1"/>
        <v>45381</v>
      </c>
      <c r="L9" s="14">
        <f t="shared" ca="1" si="2"/>
        <v>166.58</v>
      </c>
      <c r="M9" s="14"/>
      <c r="N9" s="12"/>
      <c r="O9" s="14"/>
      <c r="P9" s="14"/>
      <c r="Q9" s="12"/>
      <c r="R9" s="14"/>
      <c r="S9" s="14"/>
      <c r="T9" s="12">
        <f t="shared" si="3"/>
        <v>45381</v>
      </c>
      <c r="U9" s="14">
        <f ca="1">IF(Profit!$J$58&gt;T9,U8,0)</f>
        <v>120</v>
      </c>
      <c r="V9" s="14"/>
      <c r="W9" s="12">
        <f t="shared" si="6"/>
        <v>46995</v>
      </c>
      <c r="X9" s="14">
        <f ca="1">IF(Profit!$J$58&gt;W9,X8,0)</f>
        <v>0</v>
      </c>
      <c r="Y9" s="14"/>
      <c r="AA9" s="14">
        <f ca="1">+L8+U9+Profit!B23</f>
        <v>348.27375709421119</v>
      </c>
    </row>
    <row r="10" spans="1:27" x14ac:dyDescent="0.25">
      <c r="A10" s="2"/>
      <c r="B10" s="12"/>
      <c r="C10" s="14"/>
      <c r="D10" s="14"/>
      <c r="E10" s="12">
        <f t="shared" si="0"/>
        <v>45624</v>
      </c>
      <c r="F10" s="14">
        <f ca="1">IF(Profit!$J$58&gt;E10,F9,0)</f>
        <v>1218.69</v>
      </c>
      <c r="H10" s="12">
        <f t="shared" si="4"/>
        <v>45487</v>
      </c>
      <c r="I10" s="14">
        <f ca="1">IF(Profit!$J$58&gt;H10,I9,0)</f>
        <v>625</v>
      </c>
      <c r="K10" s="12">
        <f t="shared" si="1"/>
        <v>45411</v>
      </c>
      <c r="L10" s="14">
        <f t="shared" ca="1" si="2"/>
        <v>166.58</v>
      </c>
      <c r="N10" s="12"/>
      <c r="O10" s="14"/>
      <c r="Q10" s="12"/>
      <c r="R10" s="14"/>
      <c r="T10" s="12">
        <f t="shared" si="3"/>
        <v>45411</v>
      </c>
      <c r="U10" s="14">
        <f ca="1">IF(Profit!$J$58&gt;T10,U9,0)</f>
        <v>120</v>
      </c>
      <c r="W10" s="12">
        <f t="shared" si="6"/>
        <v>47360</v>
      </c>
      <c r="X10" s="14">
        <f ca="1">IF(Profit!$J$58&gt;W10,X9,0)</f>
        <v>0</v>
      </c>
    </row>
    <row r="11" spans="1:27" x14ac:dyDescent="0.25">
      <c r="A11" s="2"/>
      <c r="B11" s="12"/>
      <c r="C11" s="14"/>
      <c r="D11" s="14"/>
      <c r="E11" s="12">
        <f t="shared" si="0"/>
        <v>45654</v>
      </c>
      <c r="F11" s="14">
        <f ca="1">IF(Profit!$J$58&gt;E11,F10,0)</f>
        <v>1218.69</v>
      </c>
      <c r="H11" s="12">
        <f t="shared" si="4"/>
        <v>45517</v>
      </c>
      <c r="I11" s="14">
        <f ca="1">IF(Profit!$J$58&gt;H11,I10,0)</f>
        <v>625</v>
      </c>
      <c r="K11" s="12">
        <v>45456</v>
      </c>
      <c r="L11" s="14">
        <v>161.41999999999999</v>
      </c>
      <c r="N11" s="12"/>
      <c r="O11" s="14"/>
      <c r="Q11" s="12"/>
      <c r="R11" s="14"/>
      <c r="T11" s="12">
        <f t="shared" si="3"/>
        <v>45441</v>
      </c>
      <c r="U11" s="14">
        <f ca="1">IF(Profit!$J$58&gt;T11,U10,0)</f>
        <v>120</v>
      </c>
      <c r="W11" s="12">
        <f t="shared" si="6"/>
        <v>47725</v>
      </c>
      <c r="X11" s="14">
        <f ca="1">IF(Profit!$J$58&gt;W11,X10,0)</f>
        <v>0</v>
      </c>
    </row>
    <row r="12" spans="1:27" x14ac:dyDescent="0.25">
      <c r="A12" s="2"/>
      <c r="B12" s="12"/>
      <c r="C12" s="14"/>
      <c r="D12" s="14"/>
      <c r="E12" s="12">
        <f t="shared" ref="E12" si="7">+E11+30</f>
        <v>45684</v>
      </c>
      <c r="F12" s="14">
        <v>1493.86</v>
      </c>
      <c r="H12" s="12">
        <f t="shared" si="4"/>
        <v>45547</v>
      </c>
      <c r="I12" s="14">
        <f ca="1">IF(Profit!$J$58&gt;H12,I11,0)</f>
        <v>625</v>
      </c>
      <c r="K12" s="12">
        <v>45486</v>
      </c>
      <c r="L12" s="14">
        <v>80.709999999999994</v>
      </c>
      <c r="N12" s="12"/>
      <c r="O12" s="14"/>
      <c r="Q12" s="12"/>
      <c r="R12" s="14"/>
      <c r="T12" s="12">
        <f t="shared" si="3"/>
        <v>45471</v>
      </c>
      <c r="U12" s="14">
        <f ca="1">IF(Profit!$J$58&gt;T12,U11,0)</f>
        <v>120</v>
      </c>
      <c r="W12" s="12">
        <f t="shared" si="6"/>
        <v>48090</v>
      </c>
      <c r="X12" s="14">
        <f ca="1">IF(Profit!$J$58&gt;W12,X11,0)</f>
        <v>0</v>
      </c>
    </row>
    <row r="13" spans="1:27" x14ac:dyDescent="0.25">
      <c r="A13" s="2"/>
      <c r="B13" s="12"/>
      <c r="C13" s="14"/>
      <c r="D13" s="14"/>
      <c r="E13" s="12">
        <f t="shared" si="0"/>
        <v>45714</v>
      </c>
      <c r="F13" s="14">
        <f ca="1">IF(Profit!$J$58&gt;E13,F12,0)</f>
        <v>1493.86</v>
      </c>
      <c r="H13" s="12">
        <f t="shared" si="4"/>
        <v>45577</v>
      </c>
      <c r="I13" s="14">
        <f ca="1">IF(Profit!$J$58&gt;H13,I12,0)</f>
        <v>625</v>
      </c>
      <c r="K13" s="12">
        <v>45517</v>
      </c>
      <c r="L13" s="14">
        <f ca="1">IF(Profit!$J$58&gt;K13,L12,0)</f>
        <v>80.709999999999994</v>
      </c>
      <c r="O13" s="14"/>
      <c r="R13" s="14"/>
      <c r="T13" s="12">
        <f t="shared" si="3"/>
        <v>45501</v>
      </c>
      <c r="U13" s="14">
        <f ca="1">IF(Profit!$J$58&gt;T13,U12,0)</f>
        <v>120</v>
      </c>
      <c r="W13" s="12">
        <f t="shared" si="6"/>
        <v>48455</v>
      </c>
      <c r="X13" s="14">
        <f ca="1">IF(Profit!$J$58&gt;W13,X12,0)</f>
        <v>0</v>
      </c>
    </row>
    <row r="14" spans="1:27" x14ac:dyDescent="0.25">
      <c r="A14" s="2"/>
      <c r="C14" s="14"/>
      <c r="E14" s="12">
        <f t="shared" si="0"/>
        <v>45744</v>
      </c>
      <c r="F14" s="14">
        <f ca="1">IF(Profit!$J$58&gt;E14,F13,0)</f>
        <v>1493.86</v>
      </c>
      <c r="H14" s="12">
        <f t="shared" si="4"/>
        <v>45607</v>
      </c>
      <c r="I14" s="14"/>
      <c r="K14" s="12">
        <f t="shared" si="1"/>
        <v>45547</v>
      </c>
      <c r="L14" s="14">
        <f ca="1">IF(Profit!$J$58&gt;K14,L13,0)</f>
        <v>80.709999999999994</v>
      </c>
      <c r="O14" s="14"/>
      <c r="R14" s="14"/>
      <c r="T14" s="12">
        <f t="shared" si="3"/>
        <v>45531</v>
      </c>
      <c r="U14" s="14">
        <f ca="1">IF(Profit!$J$58&gt;T14,U13,0)</f>
        <v>120</v>
      </c>
      <c r="W14" s="12">
        <f t="shared" si="6"/>
        <v>48820</v>
      </c>
      <c r="X14" s="14">
        <f ca="1">IF(Profit!$J$58&gt;W14,X13,0)</f>
        <v>0</v>
      </c>
    </row>
    <row r="15" spans="1:27" x14ac:dyDescent="0.25">
      <c r="A15" s="2"/>
      <c r="C15" s="14"/>
      <c r="E15" s="12">
        <f t="shared" si="0"/>
        <v>45774</v>
      </c>
      <c r="F15" s="14">
        <f ca="1">IF(Profit!$J$58&gt;E15,F14,0)</f>
        <v>1493.86</v>
      </c>
      <c r="H15" s="12">
        <f t="shared" si="4"/>
        <v>45637</v>
      </c>
      <c r="I15" s="14">
        <f ca="1">IF(Profit!$J$58&gt;H15,I14,0)</f>
        <v>0</v>
      </c>
      <c r="K15" s="12">
        <f t="shared" si="1"/>
        <v>45577</v>
      </c>
      <c r="L15" s="14">
        <f ca="1">IF(Profit!$J$58&gt;K15,L14,0)</f>
        <v>80.709999999999994</v>
      </c>
      <c r="O15" s="14"/>
      <c r="R15" s="14"/>
      <c r="T15" s="12">
        <f t="shared" si="3"/>
        <v>45561</v>
      </c>
      <c r="U15" s="14">
        <f ca="1">IF(Profit!$J$58&gt;T15,U14,0)</f>
        <v>120</v>
      </c>
      <c r="W15" s="12">
        <f t="shared" si="6"/>
        <v>49185</v>
      </c>
      <c r="X15" s="14">
        <f ca="1">IF(Profit!$J$58&gt;W15,X14,0)</f>
        <v>0</v>
      </c>
    </row>
    <row r="16" spans="1:27" x14ac:dyDescent="0.25">
      <c r="A16" s="2"/>
      <c r="C16" s="14"/>
      <c r="E16" s="12">
        <f t="shared" si="0"/>
        <v>45804</v>
      </c>
      <c r="F16" s="14">
        <v>1493.86</v>
      </c>
      <c r="H16" s="12">
        <f t="shared" si="4"/>
        <v>45667</v>
      </c>
      <c r="I16" s="14">
        <f ca="1">IF(Profit!$J$58&gt;H16,I15,0)</f>
        <v>0</v>
      </c>
      <c r="K16" s="12">
        <f t="shared" si="1"/>
        <v>45607</v>
      </c>
      <c r="L16" s="14">
        <f ca="1">IF(Profit!$J$58&gt;K16,L15,0)</f>
        <v>80.709999999999994</v>
      </c>
      <c r="O16" s="14"/>
      <c r="R16" s="14"/>
      <c r="T16" s="12">
        <f t="shared" si="3"/>
        <v>45591</v>
      </c>
      <c r="U16" s="14">
        <f ca="1">IF(Profit!$J$58&gt;T16,U15,0)</f>
        <v>120</v>
      </c>
      <c r="W16" s="12">
        <f t="shared" si="6"/>
        <v>49550</v>
      </c>
      <c r="X16" s="14">
        <f ca="1">IF(Profit!$J$58&gt;W16,X15,0)</f>
        <v>0</v>
      </c>
    </row>
    <row r="17" spans="1:24" x14ac:dyDescent="0.25">
      <c r="A17" s="2"/>
      <c r="C17" s="14"/>
      <c r="E17" s="12">
        <f t="shared" si="0"/>
        <v>45834</v>
      </c>
      <c r="F17" s="14">
        <f ca="1">IF(Profit!$J$58&gt;E17,F16,0)</f>
        <v>1493.86</v>
      </c>
      <c r="H17" s="12">
        <f t="shared" si="4"/>
        <v>45697</v>
      </c>
      <c r="I17" s="14">
        <f ca="1">IF(Profit!$J$58&gt;H17,I16,0)</f>
        <v>0</v>
      </c>
      <c r="K17" s="12">
        <f t="shared" si="1"/>
        <v>45637</v>
      </c>
      <c r="L17" s="14">
        <f ca="1">IF(Profit!$J$58&gt;K17,L16,0)</f>
        <v>80.709999999999994</v>
      </c>
      <c r="O17" s="14"/>
      <c r="R17" s="14"/>
      <c r="T17" s="12">
        <f t="shared" si="3"/>
        <v>45621</v>
      </c>
      <c r="U17" s="14">
        <f ca="1">IF(Profit!$J$58&gt;T17,U16,0)</f>
        <v>120</v>
      </c>
      <c r="W17" s="12">
        <f t="shared" ref="W17:W30" si="8">365+W16</f>
        <v>49915</v>
      </c>
      <c r="X17" s="14">
        <f ca="1">IF(Profit!$J$58&gt;W17,X16,0)</f>
        <v>0</v>
      </c>
    </row>
    <row r="18" spans="1:24" x14ac:dyDescent="0.25">
      <c r="A18" s="2"/>
      <c r="C18" s="14"/>
      <c r="E18" s="12">
        <f t="shared" si="0"/>
        <v>45864</v>
      </c>
      <c r="F18" s="14">
        <f ca="1">IF(Profit!$J$58&gt;E18,F17,0)</f>
        <v>1493.86</v>
      </c>
      <c r="H18" s="12">
        <f t="shared" si="4"/>
        <v>45727</v>
      </c>
      <c r="I18" s="14">
        <f ca="1">IF(Profit!$J$58&gt;H18,I17,0)</f>
        <v>0</v>
      </c>
      <c r="K18" s="12">
        <f t="shared" si="1"/>
        <v>45667</v>
      </c>
      <c r="L18" s="14">
        <v>0</v>
      </c>
      <c r="O18" s="14"/>
      <c r="R18" s="14"/>
      <c r="T18" s="12">
        <f t="shared" si="3"/>
        <v>45651</v>
      </c>
      <c r="U18" s="14">
        <f ca="1">IF(Profit!$J$58&gt;T18,U17,0)</f>
        <v>120</v>
      </c>
      <c r="W18" s="12">
        <f t="shared" si="8"/>
        <v>50280</v>
      </c>
      <c r="X18" s="14">
        <f ca="1">IF(Profit!$J$58&gt;W18,X17,0)</f>
        <v>0</v>
      </c>
    </row>
    <row r="19" spans="1:24" x14ac:dyDescent="0.25">
      <c r="A19" s="2"/>
      <c r="C19" s="14"/>
      <c r="E19" s="12">
        <f t="shared" si="0"/>
        <v>45894</v>
      </c>
      <c r="F19" s="14">
        <f ca="1">IF(Profit!$J$58&gt;E19,F18,0)</f>
        <v>1493.86</v>
      </c>
      <c r="H19" s="12">
        <f t="shared" si="4"/>
        <v>45757</v>
      </c>
      <c r="I19" s="14">
        <f ca="1">IF(Profit!$J$58&gt;H19,I18,0)</f>
        <v>0</v>
      </c>
      <c r="K19" s="12">
        <f t="shared" si="1"/>
        <v>45697</v>
      </c>
      <c r="L19" s="14">
        <v>0</v>
      </c>
      <c r="O19" s="14"/>
      <c r="R19" s="14"/>
      <c r="T19" s="12">
        <f t="shared" si="3"/>
        <v>45681</v>
      </c>
      <c r="U19" s="14">
        <f ca="1">IF(Profit!$J$58&gt;T19,U18,0)</f>
        <v>120</v>
      </c>
      <c r="W19" s="12">
        <f t="shared" si="8"/>
        <v>50645</v>
      </c>
      <c r="X19" s="14">
        <f ca="1">IF(Profit!$J$58&gt;W19,X18,0)</f>
        <v>0</v>
      </c>
    </row>
    <row r="20" spans="1:24" x14ac:dyDescent="0.25">
      <c r="A20" s="2"/>
      <c r="C20" s="14"/>
      <c r="E20" s="12">
        <f t="shared" si="0"/>
        <v>45924</v>
      </c>
      <c r="F20" s="14">
        <f ca="1">IF(Profit!$J$58&gt;E20,F19,0)</f>
        <v>1493.86</v>
      </c>
      <c r="H20" s="12">
        <f t="shared" si="4"/>
        <v>45787</v>
      </c>
      <c r="I20" s="14">
        <f ca="1">IF(Profit!$J$58&gt;H20,I19,0)</f>
        <v>0</v>
      </c>
      <c r="K20" s="12">
        <f t="shared" si="1"/>
        <v>45727</v>
      </c>
      <c r="L20" s="14">
        <v>0</v>
      </c>
      <c r="O20" s="14"/>
      <c r="R20" s="14"/>
      <c r="T20" s="12">
        <f t="shared" si="3"/>
        <v>45711</v>
      </c>
      <c r="U20" s="14">
        <f ca="1">IF(Profit!$J$58&gt;T20,U19,0)</f>
        <v>120</v>
      </c>
      <c r="W20" s="12">
        <f t="shared" si="8"/>
        <v>51010</v>
      </c>
      <c r="X20" s="14">
        <f ca="1">IF(Profit!$J$58&gt;W20,X19,0)</f>
        <v>0</v>
      </c>
    </row>
    <row r="21" spans="1:24" x14ac:dyDescent="0.25">
      <c r="A21" s="2"/>
      <c r="C21" s="14"/>
      <c r="E21" s="12">
        <f t="shared" si="0"/>
        <v>45954</v>
      </c>
      <c r="F21" s="14">
        <f ca="1">IF(Profit!$J$58&gt;E21,F20,0)</f>
        <v>1493.86</v>
      </c>
      <c r="H21" s="12">
        <f t="shared" si="4"/>
        <v>45817</v>
      </c>
      <c r="I21" s="14">
        <f ca="1">IF(Profit!$J$58&gt;H21,I20,0)</f>
        <v>0</v>
      </c>
      <c r="K21" s="12">
        <f t="shared" si="1"/>
        <v>45757</v>
      </c>
      <c r="L21" s="14">
        <v>0</v>
      </c>
      <c r="O21" s="14"/>
      <c r="R21" s="14"/>
      <c r="T21" s="12">
        <f t="shared" si="3"/>
        <v>45741</v>
      </c>
      <c r="U21" s="14">
        <f ca="1">IF(Profit!$J$58&gt;T21,U20,0)</f>
        <v>120</v>
      </c>
      <c r="W21" s="12">
        <f t="shared" si="8"/>
        <v>51375</v>
      </c>
      <c r="X21" s="14">
        <f ca="1">IF(Profit!$J$58&gt;W21,X20,0)</f>
        <v>0</v>
      </c>
    </row>
    <row r="22" spans="1:24" x14ac:dyDescent="0.25">
      <c r="A22" s="2"/>
      <c r="C22" s="14"/>
      <c r="E22" s="12">
        <f t="shared" si="0"/>
        <v>45984</v>
      </c>
      <c r="F22" s="14">
        <f ca="1">IF(Profit!$J$58&gt;E22,F21,0)</f>
        <v>1493.86</v>
      </c>
      <c r="H22" s="12">
        <f t="shared" si="4"/>
        <v>45847</v>
      </c>
      <c r="I22" s="14">
        <f ca="1">IF(Profit!$J$58&gt;H22,I21,0)</f>
        <v>0</v>
      </c>
      <c r="K22" s="12">
        <f t="shared" si="1"/>
        <v>45787</v>
      </c>
      <c r="L22" s="14">
        <v>0</v>
      </c>
      <c r="O22" s="14"/>
      <c r="R22" s="14"/>
      <c r="T22" s="12">
        <f t="shared" si="3"/>
        <v>45771</v>
      </c>
      <c r="U22" s="14">
        <f ca="1">IF(Profit!$J$58&gt;T22,U21,0)</f>
        <v>120</v>
      </c>
      <c r="W22" s="12">
        <f t="shared" si="8"/>
        <v>51740</v>
      </c>
      <c r="X22" s="14">
        <f ca="1">IF(Profit!$J$58&gt;W22,X21,0)</f>
        <v>0</v>
      </c>
    </row>
    <row r="23" spans="1:24" x14ac:dyDescent="0.25">
      <c r="A23" s="2"/>
      <c r="C23" s="14"/>
      <c r="E23" s="12">
        <f t="shared" si="0"/>
        <v>46014</v>
      </c>
      <c r="F23" s="14">
        <f ca="1">IF(Profit!$J$58&gt;E23,F22,0)</f>
        <v>1493.86</v>
      </c>
      <c r="H23" s="12">
        <f t="shared" si="4"/>
        <v>45877</v>
      </c>
      <c r="I23" s="14">
        <f ca="1">IF(Profit!$J$58&gt;H23,I22,0)</f>
        <v>0</v>
      </c>
      <c r="K23" s="12">
        <f t="shared" si="1"/>
        <v>45817</v>
      </c>
      <c r="L23" s="14">
        <v>0</v>
      </c>
      <c r="O23" s="14"/>
      <c r="R23" s="14"/>
      <c r="T23" s="12">
        <f t="shared" si="3"/>
        <v>45801</v>
      </c>
      <c r="U23" s="14">
        <f ca="1">IF(Profit!$J$58&gt;T23,U22,0)</f>
        <v>120</v>
      </c>
      <c r="W23" s="12">
        <f t="shared" si="8"/>
        <v>52105</v>
      </c>
      <c r="X23" s="14">
        <f ca="1">IF(Profit!$J$58&gt;W23,X22,0)</f>
        <v>0</v>
      </c>
    </row>
    <row r="24" spans="1:24" x14ac:dyDescent="0.25">
      <c r="A24" s="2"/>
      <c r="C24" s="14"/>
      <c r="E24" s="12">
        <f t="shared" si="0"/>
        <v>46044</v>
      </c>
      <c r="F24" s="14">
        <f ca="1">IF(Profit!$J$58&gt;E24,F23,0)</f>
        <v>1493.86</v>
      </c>
      <c r="H24" s="12">
        <f t="shared" si="4"/>
        <v>45907</v>
      </c>
      <c r="I24" s="14">
        <f ca="1">IF(Profit!$J$58&gt;H24,I23,0)</f>
        <v>0</v>
      </c>
      <c r="K24" s="12">
        <f t="shared" si="1"/>
        <v>45847</v>
      </c>
      <c r="L24" s="14">
        <v>0</v>
      </c>
      <c r="O24" s="14"/>
      <c r="R24" s="14"/>
      <c r="T24" s="12">
        <f t="shared" si="3"/>
        <v>45831</v>
      </c>
      <c r="U24" s="14">
        <f ca="1">IF(Profit!$J$58&gt;T24,U23,0)</f>
        <v>120</v>
      </c>
      <c r="W24" s="12">
        <f t="shared" si="8"/>
        <v>52470</v>
      </c>
      <c r="X24" s="14">
        <f ca="1">IF(Profit!$J$58&gt;W24,X23,0)</f>
        <v>0</v>
      </c>
    </row>
    <row r="25" spans="1:24" x14ac:dyDescent="0.25">
      <c r="A25" s="2"/>
      <c r="C25" s="14"/>
      <c r="E25" s="12">
        <f t="shared" si="0"/>
        <v>46074</v>
      </c>
      <c r="F25" s="14">
        <f ca="1">IF(Profit!$J$58&gt;E25,F24,0)</f>
        <v>1493.86</v>
      </c>
      <c r="H25" s="12">
        <f t="shared" si="4"/>
        <v>45937</v>
      </c>
      <c r="I25" s="14">
        <f ca="1">IF(Profit!$J$58&gt;H25,I24,0)</f>
        <v>0</v>
      </c>
      <c r="K25" s="12">
        <f t="shared" si="1"/>
        <v>45877</v>
      </c>
      <c r="L25" s="14">
        <v>0</v>
      </c>
      <c r="O25" s="14"/>
      <c r="R25" s="14"/>
      <c r="T25" s="12">
        <f t="shared" si="3"/>
        <v>45861</v>
      </c>
      <c r="U25" s="14">
        <f ca="1">IF(Profit!$J$58&gt;T25,U24,0)</f>
        <v>120</v>
      </c>
      <c r="W25" s="12">
        <f t="shared" si="8"/>
        <v>52835</v>
      </c>
      <c r="X25" s="14">
        <f ca="1">IF(Profit!$J$58&gt;W25,X24,0)</f>
        <v>0</v>
      </c>
    </row>
    <row r="26" spans="1:24" x14ac:dyDescent="0.25">
      <c r="A26" s="2"/>
      <c r="C26" s="14"/>
      <c r="E26" s="12">
        <f t="shared" si="0"/>
        <v>46104</v>
      </c>
      <c r="F26" s="14">
        <f ca="1">IF(Profit!$J$58&gt;E26,F25,0)</f>
        <v>1493.86</v>
      </c>
      <c r="H26" s="12">
        <f t="shared" si="4"/>
        <v>45967</v>
      </c>
      <c r="I26" s="14">
        <f ca="1">IF(Profit!$J$58&gt;H26,I25,0)</f>
        <v>0</v>
      </c>
      <c r="K26" s="12">
        <f t="shared" si="1"/>
        <v>45907</v>
      </c>
      <c r="L26" s="14">
        <v>0</v>
      </c>
      <c r="O26" s="14"/>
      <c r="R26" s="14"/>
      <c r="T26" s="12">
        <f t="shared" si="3"/>
        <v>45891</v>
      </c>
      <c r="U26" s="14">
        <f ca="1">IF(Profit!$J$58&gt;T26,U25,0)</f>
        <v>120</v>
      </c>
      <c r="W26" s="12">
        <f t="shared" si="8"/>
        <v>53200</v>
      </c>
      <c r="X26" s="14">
        <f ca="1">IF(Profit!$J$58&gt;W26,X25,0)</f>
        <v>0</v>
      </c>
    </row>
    <row r="27" spans="1:24" x14ac:dyDescent="0.25">
      <c r="A27" s="2"/>
      <c r="C27" s="14"/>
      <c r="E27" s="12">
        <f t="shared" si="0"/>
        <v>46134</v>
      </c>
      <c r="F27" s="14">
        <f ca="1">IF(Profit!$J$58&gt;E27,F26,0)</f>
        <v>0</v>
      </c>
      <c r="H27" s="12">
        <f t="shared" si="4"/>
        <v>45997</v>
      </c>
      <c r="I27" s="14">
        <f ca="1">IF(Profit!$J$58&gt;H27,I26,0)</f>
        <v>0</v>
      </c>
      <c r="K27" s="12">
        <f t="shared" si="1"/>
        <v>45937</v>
      </c>
      <c r="L27" s="14">
        <v>0</v>
      </c>
      <c r="O27" s="14"/>
      <c r="R27" s="14"/>
      <c r="T27" s="12">
        <f t="shared" si="3"/>
        <v>45921</v>
      </c>
      <c r="U27" s="14">
        <f ca="1">IF(Profit!$J$58&gt;T27,U26,0)</f>
        <v>120</v>
      </c>
      <c r="W27" s="12">
        <f t="shared" si="8"/>
        <v>53565</v>
      </c>
      <c r="X27" s="14">
        <f ca="1">IF(Profit!$J$58&gt;W27,X26,0)</f>
        <v>0</v>
      </c>
    </row>
    <row r="28" spans="1:24" x14ac:dyDescent="0.25">
      <c r="A28" s="2"/>
      <c r="C28" s="14"/>
      <c r="E28" s="12">
        <f t="shared" si="0"/>
        <v>46164</v>
      </c>
      <c r="F28" s="14">
        <f ca="1">IF(Profit!$J$58&gt;E28,F27,0)</f>
        <v>0</v>
      </c>
      <c r="H28" s="12">
        <f t="shared" si="4"/>
        <v>46027</v>
      </c>
      <c r="I28" s="14">
        <f ca="1">IF(Profit!$J$58&gt;H28,I27,0)</f>
        <v>0</v>
      </c>
      <c r="K28" s="12">
        <f t="shared" si="1"/>
        <v>45967</v>
      </c>
      <c r="L28" s="14">
        <v>0</v>
      </c>
      <c r="O28" s="14"/>
      <c r="R28" s="14"/>
      <c r="T28" s="12">
        <f t="shared" si="3"/>
        <v>45951</v>
      </c>
      <c r="U28" s="14">
        <f ca="1">IF(Profit!$J$58&gt;T28,U27,0)</f>
        <v>120</v>
      </c>
      <c r="W28" s="12">
        <f t="shared" si="8"/>
        <v>53930</v>
      </c>
      <c r="X28" s="14">
        <f ca="1">IF(Profit!$J$58&gt;W28,X27,0)</f>
        <v>0</v>
      </c>
    </row>
    <row r="29" spans="1:24" x14ac:dyDescent="0.25">
      <c r="A29" s="2"/>
      <c r="C29" s="14"/>
      <c r="E29" s="12">
        <f t="shared" si="0"/>
        <v>46194</v>
      </c>
      <c r="F29" s="14">
        <f ca="1">IF(Profit!$J$58&gt;E29,F28,0)</f>
        <v>0</v>
      </c>
      <c r="H29" s="12">
        <f t="shared" si="4"/>
        <v>46057</v>
      </c>
      <c r="I29" s="14">
        <f ca="1">IF(Profit!$J$58&gt;H29,I28,0)</f>
        <v>0</v>
      </c>
      <c r="K29" s="12">
        <f t="shared" si="1"/>
        <v>45997</v>
      </c>
      <c r="L29" s="14">
        <v>0</v>
      </c>
      <c r="O29" s="14"/>
      <c r="R29" s="14"/>
      <c r="T29" s="12">
        <f t="shared" si="3"/>
        <v>45981</v>
      </c>
      <c r="U29" s="14">
        <f ca="1">IF(Profit!$J$58&gt;T29,U28,0)</f>
        <v>120</v>
      </c>
      <c r="W29" s="12">
        <f t="shared" si="8"/>
        <v>54295</v>
      </c>
      <c r="X29" s="14">
        <f ca="1">IF(Profit!$J$58&gt;W29,X28,0)</f>
        <v>0</v>
      </c>
    </row>
    <row r="30" spans="1:24" x14ac:dyDescent="0.25">
      <c r="A30" s="2"/>
      <c r="C30" s="14"/>
      <c r="E30" s="12">
        <f t="shared" si="0"/>
        <v>46224</v>
      </c>
      <c r="F30" s="14">
        <f ca="1">IF(Profit!$J$58&gt;E30,F29,0)</f>
        <v>0</v>
      </c>
      <c r="H30" s="12">
        <f t="shared" si="4"/>
        <v>46087</v>
      </c>
      <c r="I30" s="14">
        <f ca="1">IF(Profit!$J$58&gt;H30,I29,0)</f>
        <v>0</v>
      </c>
      <c r="K30" s="12">
        <f t="shared" si="1"/>
        <v>46027</v>
      </c>
      <c r="L30" s="14">
        <v>0</v>
      </c>
      <c r="O30" s="14"/>
      <c r="R30" s="14"/>
      <c r="T30" s="12">
        <f t="shared" si="3"/>
        <v>46011</v>
      </c>
      <c r="U30" s="14">
        <f ca="1">IF(Profit!$J$58&gt;T30,U29,0)</f>
        <v>120</v>
      </c>
      <c r="W30" s="12">
        <f t="shared" si="8"/>
        <v>54660</v>
      </c>
      <c r="X30" s="14">
        <f ca="1">IF(Profit!$J$58&gt;W30,X29,0)</f>
        <v>0</v>
      </c>
    </row>
    <row r="31" spans="1:24" x14ac:dyDescent="0.25">
      <c r="A31" s="2"/>
      <c r="C31" s="14"/>
      <c r="E31" s="12">
        <f t="shared" si="0"/>
        <v>46254</v>
      </c>
      <c r="F31" s="14">
        <f ca="1">IF(Profit!$J$58&gt;E31,F30,0)</f>
        <v>0</v>
      </c>
      <c r="H31" s="12">
        <f t="shared" si="4"/>
        <v>46117</v>
      </c>
      <c r="I31" s="14">
        <f ca="1">IF(Profit!$J$58&gt;H31,I30,0)</f>
        <v>0</v>
      </c>
      <c r="K31" s="12">
        <f t="shared" si="1"/>
        <v>46057</v>
      </c>
      <c r="L31" s="14">
        <v>0</v>
      </c>
      <c r="O31" s="14"/>
      <c r="R31" s="14"/>
      <c r="T31" s="12">
        <v>45662</v>
      </c>
      <c r="U31" s="14">
        <f ca="1">IF(Profit!$J$58&gt;T31,U30,0)</f>
        <v>120</v>
      </c>
      <c r="W31" s="12">
        <f t="shared" ref="W31:W47" si="9">365+W30</f>
        <v>55025</v>
      </c>
      <c r="X31" s="14">
        <f ca="1">IF(Profit!$J$58&gt;W31,X30,0)</f>
        <v>0</v>
      </c>
    </row>
    <row r="32" spans="1:24" x14ac:dyDescent="0.25">
      <c r="A32" s="2"/>
      <c r="C32" s="14"/>
      <c r="E32" s="12">
        <f t="shared" si="0"/>
        <v>46284</v>
      </c>
      <c r="F32" s="14">
        <f ca="1">IF(Profit!$J$58&gt;E32,F31,0)</f>
        <v>0</v>
      </c>
      <c r="H32" s="12">
        <f t="shared" si="4"/>
        <v>46147</v>
      </c>
      <c r="I32" s="14">
        <f ca="1">IF(Profit!$J$58&gt;H32,I31,0)</f>
        <v>0</v>
      </c>
      <c r="K32" s="12">
        <f t="shared" si="1"/>
        <v>46087</v>
      </c>
      <c r="L32" s="14">
        <v>0</v>
      </c>
      <c r="O32" s="14"/>
      <c r="R32" s="14"/>
      <c r="T32" s="12">
        <f t="shared" si="3"/>
        <v>45692</v>
      </c>
      <c r="U32" s="14">
        <f ca="1">IF(Profit!$J$58&gt;T32,U31,0)</f>
        <v>120</v>
      </c>
      <c r="W32" s="12">
        <f t="shared" si="9"/>
        <v>55390</v>
      </c>
      <c r="X32" s="14">
        <f ca="1">IF(Profit!$J$58&gt;W32,X31,0)</f>
        <v>0</v>
      </c>
    </row>
    <row r="33" spans="1:24" x14ac:dyDescent="0.25">
      <c r="A33" s="2"/>
      <c r="C33" s="14"/>
      <c r="E33" s="12">
        <f t="shared" si="0"/>
        <v>46314</v>
      </c>
      <c r="F33" s="14">
        <f ca="1">IF(Profit!$J$58&gt;E33,F32,0)</f>
        <v>0</v>
      </c>
      <c r="H33" s="12">
        <f t="shared" si="4"/>
        <v>46177</v>
      </c>
      <c r="I33" s="14">
        <f ca="1">IF(Profit!$J$58&gt;H33,I32,0)</f>
        <v>0</v>
      </c>
      <c r="K33" s="12">
        <f t="shared" si="1"/>
        <v>46117</v>
      </c>
      <c r="L33" s="14">
        <v>0</v>
      </c>
      <c r="O33" s="14"/>
      <c r="R33" s="14"/>
      <c r="T33" s="12">
        <f t="shared" si="3"/>
        <v>45722</v>
      </c>
      <c r="U33" s="14">
        <f ca="1">IF(Profit!$J$58&gt;T33,U32,0)</f>
        <v>120</v>
      </c>
      <c r="W33" s="12">
        <f t="shared" si="9"/>
        <v>55755</v>
      </c>
      <c r="X33" s="14">
        <f ca="1">IF(Profit!$J$58&gt;W33,X32,0)</f>
        <v>0</v>
      </c>
    </row>
    <row r="34" spans="1:24" x14ac:dyDescent="0.25">
      <c r="A34" s="2"/>
      <c r="C34" s="14"/>
      <c r="E34" s="12">
        <f t="shared" si="0"/>
        <v>46344</v>
      </c>
      <c r="F34" s="14">
        <f ca="1">IF(Profit!$J$58&gt;E34,F33,0)</f>
        <v>0</v>
      </c>
      <c r="H34" s="12">
        <f t="shared" si="4"/>
        <v>46207</v>
      </c>
      <c r="I34" s="14">
        <f ca="1">IF(Profit!$J$58&gt;H34,I33,0)</f>
        <v>0</v>
      </c>
      <c r="K34" s="12">
        <f t="shared" si="1"/>
        <v>46147</v>
      </c>
      <c r="L34" s="14">
        <v>0</v>
      </c>
      <c r="O34" s="14"/>
      <c r="R34" s="14"/>
      <c r="T34" s="12">
        <f t="shared" si="3"/>
        <v>45752</v>
      </c>
      <c r="U34" s="14">
        <f ca="1">IF(Profit!$J$58&gt;T34,U33,0)</f>
        <v>120</v>
      </c>
      <c r="W34" s="12">
        <f t="shared" si="9"/>
        <v>56120</v>
      </c>
      <c r="X34" s="14">
        <f ca="1">IF(Profit!$J$58&gt;W34,X33,0)</f>
        <v>0</v>
      </c>
    </row>
    <row r="35" spans="1:24" x14ac:dyDescent="0.25">
      <c r="A35" s="2"/>
      <c r="C35" s="14"/>
      <c r="E35" s="12">
        <f t="shared" si="0"/>
        <v>46374</v>
      </c>
      <c r="F35" s="14">
        <f ca="1">IF(Profit!$J$58&gt;E35,F34,0)</f>
        <v>0</v>
      </c>
      <c r="H35" s="12">
        <f t="shared" si="4"/>
        <v>46237</v>
      </c>
      <c r="I35" s="14">
        <f ca="1">IF(Profit!$J$58&gt;H35,I34,0)</f>
        <v>0</v>
      </c>
      <c r="K35" s="12">
        <f t="shared" si="1"/>
        <v>46177</v>
      </c>
      <c r="L35" s="14">
        <v>0</v>
      </c>
      <c r="O35" s="14"/>
      <c r="R35" s="14"/>
      <c r="T35" s="12">
        <f t="shared" si="3"/>
        <v>45782</v>
      </c>
      <c r="U35" s="14">
        <f ca="1">IF(Profit!$J$58&gt;T35,U34,0)</f>
        <v>120</v>
      </c>
      <c r="W35" s="12">
        <f t="shared" si="9"/>
        <v>56485</v>
      </c>
      <c r="X35" s="14">
        <f ca="1">IF(Profit!$J$58&gt;W35,X34,0)</f>
        <v>0</v>
      </c>
    </row>
    <row r="36" spans="1:24" x14ac:dyDescent="0.25">
      <c r="A36" s="2"/>
      <c r="C36" s="14"/>
      <c r="E36" s="12">
        <f t="shared" si="0"/>
        <v>46404</v>
      </c>
      <c r="F36" s="14">
        <f ca="1">IF(Profit!$J$58&gt;E36,F35,0)</f>
        <v>0</v>
      </c>
      <c r="H36" s="12">
        <f t="shared" si="4"/>
        <v>46267</v>
      </c>
      <c r="I36" s="14">
        <f ca="1">IF(Profit!$J$58&gt;H36,I35,0)</f>
        <v>0</v>
      </c>
      <c r="K36" s="12">
        <f t="shared" si="1"/>
        <v>46207</v>
      </c>
      <c r="L36" s="14">
        <v>0</v>
      </c>
      <c r="O36" s="14"/>
      <c r="R36" s="14"/>
      <c r="T36" s="12">
        <f t="shared" si="3"/>
        <v>45812</v>
      </c>
      <c r="U36" s="14">
        <f ca="1">IF(Profit!$J$58&gt;T36,U35,0)</f>
        <v>120</v>
      </c>
      <c r="W36" s="12">
        <f t="shared" si="9"/>
        <v>56850</v>
      </c>
      <c r="X36" s="14">
        <f ca="1">IF(Profit!$J$58&gt;W36,X35,0)</f>
        <v>0</v>
      </c>
    </row>
    <row r="37" spans="1:24" x14ac:dyDescent="0.25">
      <c r="A37" s="2"/>
      <c r="C37" s="14"/>
      <c r="E37" s="12">
        <f t="shared" si="0"/>
        <v>46434</v>
      </c>
      <c r="F37" s="14">
        <f ca="1">IF(Profit!$J$58&gt;E37,F36,0)</f>
        <v>0</v>
      </c>
      <c r="H37" s="12">
        <f t="shared" si="4"/>
        <v>46297</v>
      </c>
      <c r="I37" s="14">
        <f ca="1">IF(Profit!$J$58&gt;H37,I36,0)</f>
        <v>0</v>
      </c>
      <c r="K37" s="12">
        <f t="shared" si="1"/>
        <v>46237</v>
      </c>
      <c r="L37" s="14">
        <v>0</v>
      </c>
      <c r="O37" s="14"/>
      <c r="R37" s="14"/>
      <c r="T37" s="12">
        <f t="shared" si="3"/>
        <v>45842</v>
      </c>
      <c r="U37" s="14">
        <f ca="1">IF(Profit!$J$58&gt;T37,U36,0)</f>
        <v>120</v>
      </c>
      <c r="W37" s="12">
        <f t="shared" si="9"/>
        <v>57215</v>
      </c>
      <c r="X37" s="14">
        <f ca="1">IF(Profit!$J$58&gt;W37,X36,0)</f>
        <v>0</v>
      </c>
    </row>
    <row r="38" spans="1:24" x14ac:dyDescent="0.25">
      <c r="A38" s="2"/>
      <c r="C38" s="14"/>
      <c r="E38" s="12">
        <f t="shared" si="0"/>
        <v>46464</v>
      </c>
      <c r="F38" s="14">
        <f ca="1">IF(Profit!$J$58&gt;E38,F37,0)</f>
        <v>0</v>
      </c>
      <c r="H38" s="12">
        <f t="shared" si="4"/>
        <v>46327</v>
      </c>
      <c r="I38" s="14">
        <f ca="1">IF(Profit!$J$58&gt;H38,I37,0)</f>
        <v>0</v>
      </c>
      <c r="K38" s="12">
        <f t="shared" si="1"/>
        <v>46267</v>
      </c>
      <c r="L38" s="14">
        <v>0</v>
      </c>
      <c r="O38" s="14"/>
      <c r="R38" s="14"/>
      <c r="T38" s="12">
        <f t="shared" si="3"/>
        <v>45872</v>
      </c>
      <c r="U38" s="14">
        <f ca="1">IF(Profit!$J$58&gt;T38,U37,0)</f>
        <v>120</v>
      </c>
      <c r="W38" s="12">
        <f t="shared" si="9"/>
        <v>57580</v>
      </c>
      <c r="X38" s="14">
        <f ca="1">IF(Profit!$J$58&gt;W38,X37,0)</f>
        <v>0</v>
      </c>
    </row>
    <row r="39" spans="1:24" x14ac:dyDescent="0.25">
      <c r="A39" s="2"/>
      <c r="C39" s="14"/>
      <c r="E39" s="12">
        <f t="shared" si="0"/>
        <v>46494</v>
      </c>
      <c r="F39" s="14">
        <f ca="1">IF(Profit!$J$58&gt;E39,F38,0)</f>
        <v>0</v>
      </c>
      <c r="H39" s="12">
        <f t="shared" si="4"/>
        <v>46357</v>
      </c>
      <c r="I39" s="14">
        <f ca="1">IF(Profit!$J$58&gt;H39,I38,0)</f>
        <v>0</v>
      </c>
      <c r="K39" s="12">
        <f t="shared" si="1"/>
        <v>46297</v>
      </c>
      <c r="L39" s="14">
        <v>0</v>
      </c>
      <c r="O39" s="14"/>
      <c r="R39" s="14"/>
      <c r="T39" s="12">
        <f t="shared" si="3"/>
        <v>45902</v>
      </c>
      <c r="U39" s="14">
        <f ca="1">IF(Profit!$J$58&gt;T39,U38,0)</f>
        <v>120</v>
      </c>
      <c r="W39" s="12">
        <f t="shared" si="9"/>
        <v>57945</v>
      </c>
      <c r="X39" s="14">
        <f ca="1">IF(Profit!$J$58&gt;W39,X38,0)</f>
        <v>0</v>
      </c>
    </row>
    <row r="40" spans="1:24" x14ac:dyDescent="0.25">
      <c r="A40" s="2"/>
      <c r="C40" s="14"/>
      <c r="E40" s="12">
        <f t="shared" si="0"/>
        <v>46524</v>
      </c>
      <c r="F40" s="14">
        <f ca="1">IF(Profit!$J$58&gt;E40,F39,0)</f>
        <v>0</v>
      </c>
      <c r="H40" s="12">
        <f t="shared" si="4"/>
        <v>46387</v>
      </c>
      <c r="I40" s="14">
        <f ca="1">IF(Profit!$J$58&gt;H40,I39,0)</f>
        <v>0</v>
      </c>
      <c r="K40" s="12">
        <f t="shared" si="1"/>
        <v>46327</v>
      </c>
      <c r="L40" s="14">
        <v>0</v>
      </c>
      <c r="O40" s="14"/>
      <c r="R40" s="14"/>
      <c r="T40" s="12">
        <f t="shared" si="3"/>
        <v>45932</v>
      </c>
      <c r="U40" s="14">
        <f ca="1">IF(Profit!$J$58&gt;T40,U39,0)</f>
        <v>120</v>
      </c>
      <c r="W40" s="12">
        <f t="shared" si="9"/>
        <v>58310</v>
      </c>
      <c r="X40" s="14">
        <f ca="1">IF(Profit!$J$58&gt;W40,X39,0)</f>
        <v>0</v>
      </c>
    </row>
    <row r="41" spans="1:24" x14ac:dyDescent="0.25">
      <c r="A41" s="2"/>
      <c r="C41" s="14"/>
      <c r="E41" s="12">
        <f t="shared" si="0"/>
        <v>46554</v>
      </c>
      <c r="F41" s="14">
        <f ca="1">IF(Profit!$J$58&gt;E41,F40,0)</f>
        <v>0</v>
      </c>
      <c r="H41" s="12">
        <f t="shared" si="4"/>
        <v>46417</v>
      </c>
      <c r="I41" s="14">
        <f ca="1">IF(Profit!$J$58&gt;H41,I40,0)</f>
        <v>0</v>
      </c>
      <c r="K41" s="12">
        <f t="shared" si="1"/>
        <v>46357</v>
      </c>
      <c r="L41" s="14">
        <v>0</v>
      </c>
      <c r="O41" s="14"/>
      <c r="R41" s="14"/>
      <c r="T41" s="12">
        <f t="shared" si="3"/>
        <v>45962</v>
      </c>
      <c r="U41" s="14">
        <f ca="1">IF(Profit!$J$58&gt;T41,U40,0)</f>
        <v>120</v>
      </c>
      <c r="W41" s="12">
        <f t="shared" si="9"/>
        <v>58675</v>
      </c>
      <c r="X41" s="14">
        <f ca="1">IF(Profit!$J$58&gt;W41,X40,0)</f>
        <v>0</v>
      </c>
    </row>
    <row r="42" spans="1:24" x14ac:dyDescent="0.25">
      <c r="A42" s="2"/>
      <c r="C42" s="14"/>
      <c r="E42" s="12">
        <f t="shared" si="0"/>
        <v>46584</v>
      </c>
      <c r="F42" s="14">
        <f ca="1">IF(Profit!$J$58&gt;E42,F41,0)</f>
        <v>0</v>
      </c>
      <c r="H42" s="12">
        <f t="shared" si="4"/>
        <v>46447</v>
      </c>
      <c r="I42" s="14">
        <f ca="1">IF(Profit!$J$58&gt;H42,I41,0)</f>
        <v>0</v>
      </c>
      <c r="K42" s="12">
        <f t="shared" si="1"/>
        <v>46387</v>
      </c>
      <c r="L42" s="14">
        <f ca="1">IF(Profit!$J$58&gt;K42,L41,0)</f>
        <v>0</v>
      </c>
      <c r="O42" s="14"/>
      <c r="R42" s="14"/>
      <c r="T42" s="12">
        <f t="shared" si="3"/>
        <v>45992</v>
      </c>
      <c r="U42" s="14">
        <f ca="1">IF(Profit!$J$58&gt;T42,U41,0)</f>
        <v>120</v>
      </c>
      <c r="W42" s="12">
        <f t="shared" si="9"/>
        <v>59040</v>
      </c>
      <c r="X42" s="14">
        <f ca="1">IF(Profit!$J$58&gt;W42,X41,0)</f>
        <v>0</v>
      </c>
    </row>
    <row r="43" spans="1:24" x14ac:dyDescent="0.25">
      <c r="A43" s="2"/>
      <c r="C43" s="14"/>
      <c r="E43" s="12">
        <f t="shared" si="0"/>
        <v>46614</v>
      </c>
      <c r="F43" s="14">
        <f ca="1">IF(Profit!$J$58&gt;E43,F42,0)</f>
        <v>0</v>
      </c>
      <c r="H43" s="12">
        <f t="shared" si="4"/>
        <v>46477</v>
      </c>
      <c r="I43" s="14">
        <f ca="1">IF(Profit!$J$58&gt;H43,I42,0)</f>
        <v>0</v>
      </c>
      <c r="K43" s="12">
        <f t="shared" si="1"/>
        <v>46417</v>
      </c>
      <c r="L43" s="14">
        <f ca="1">IF(Profit!$J$58&gt;K43,L42,0)</f>
        <v>0</v>
      </c>
      <c r="O43" s="14"/>
      <c r="R43" s="14"/>
      <c r="T43" s="12">
        <f t="shared" si="3"/>
        <v>46022</v>
      </c>
      <c r="U43" s="14">
        <f ca="1">IF(Profit!$J$58&gt;T43,U42,0)</f>
        <v>120</v>
      </c>
      <c r="W43" s="12">
        <f t="shared" si="9"/>
        <v>59405</v>
      </c>
      <c r="X43" s="14">
        <f ca="1">IF(Profit!$J$58&gt;W43,X42,0)</f>
        <v>0</v>
      </c>
    </row>
    <row r="44" spans="1:24" x14ac:dyDescent="0.25">
      <c r="A44" s="2"/>
      <c r="C44" s="14"/>
      <c r="E44" s="12">
        <f t="shared" si="0"/>
        <v>46644</v>
      </c>
      <c r="F44" s="14">
        <f ca="1">IF(Profit!$J$58&gt;E44,F43,0)</f>
        <v>0</v>
      </c>
      <c r="H44" s="12">
        <f t="shared" si="4"/>
        <v>46507</v>
      </c>
      <c r="I44" s="14">
        <f ca="1">IF(Profit!$J$58&gt;H44,I43,0)</f>
        <v>0</v>
      </c>
      <c r="K44" s="12">
        <f t="shared" si="1"/>
        <v>46447</v>
      </c>
      <c r="L44" s="14">
        <f ca="1">IF(Profit!$J$58&gt;K44,L43,0)</f>
        <v>0</v>
      </c>
      <c r="O44" s="14"/>
      <c r="R44" s="14"/>
      <c r="T44" s="12">
        <f t="shared" si="3"/>
        <v>46052</v>
      </c>
      <c r="U44" s="14">
        <f ca="1">IF(Profit!$J$58&gt;T44,U43,0)</f>
        <v>120</v>
      </c>
      <c r="W44" s="12">
        <f t="shared" si="9"/>
        <v>59770</v>
      </c>
      <c r="X44" s="14">
        <f ca="1">IF(Profit!$J$58&gt;W44,X43,0)</f>
        <v>0</v>
      </c>
    </row>
    <row r="45" spans="1:24" x14ac:dyDescent="0.25">
      <c r="A45" s="2"/>
      <c r="C45" s="14"/>
      <c r="E45" s="12">
        <f t="shared" si="0"/>
        <v>46674</v>
      </c>
      <c r="F45" s="14">
        <f ca="1">IF(Profit!$J$58&gt;E45,F44,0)</f>
        <v>0</v>
      </c>
      <c r="H45" s="12">
        <f t="shared" si="4"/>
        <v>46537</v>
      </c>
      <c r="I45" s="14">
        <f ca="1">IF(Profit!$J$58&gt;H45,I44,0)</f>
        <v>0</v>
      </c>
      <c r="K45" s="12">
        <f t="shared" si="1"/>
        <v>46477</v>
      </c>
      <c r="L45" s="14">
        <f ca="1">IF(Profit!$J$58&gt;K45,L44,0)</f>
        <v>0</v>
      </c>
      <c r="O45" s="14"/>
      <c r="R45" s="14"/>
      <c r="T45" s="12">
        <f t="shared" si="3"/>
        <v>46082</v>
      </c>
      <c r="U45" s="14">
        <f ca="1">IF(Profit!$J$58&gt;T45,U44,0)</f>
        <v>120</v>
      </c>
      <c r="W45" s="12">
        <f t="shared" si="9"/>
        <v>60135</v>
      </c>
      <c r="X45" s="14">
        <f ca="1">IF(Profit!$J$58&gt;W45,X44,0)</f>
        <v>0</v>
      </c>
    </row>
    <row r="46" spans="1:24" x14ac:dyDescent="0.25">
      <c r="A46" s="2"/>
      <c r="C46" s="14"/>
      <c r="E46" s="12">
        <f t="shared" si="0"/>
        <v>46704</v>
      </c>
      <c r="F46" s="14">
        <f ca="1">IF(Profit!$J$58&gt;E46,F45,0)</f>
        <v>0</v>
      </c>
      <c r="H46" s="12">
        <f t="shared" si="4"/>
        <v>46567</v>
      </c>
      <c r="I46" s="14">
        <f ca="1">IF(Profit!$J$58&gt;H46,I45,0)</f>
        <v>0</v>
      </c>
      <c r="K46" s="12">
        <f t="shared" si="1"/>
        <v>46507</v>
      </c>
      <c r="L46" s="14">
        <f ca="1">IF(Profit!$J$58&gt;K46,L45,0)</f>
        <v>0</v>
      </c>
      <c r="O46" s="14"/>
      <c r="R46" s="14"/>
      <c r="T46" s="12">
        <f t="shared" si="3"/>
        <v>46112</v>
      </c>
      <c r="U46" s="14">
        <f ca="1">IF(Profit!$J$58&gt;T46,U45,0)</f>
        <v>120</v>
      </c>
      <c r="W46" s="12">
        <f t="shared" si="9"/>
        <v>60500</v>
      </c>
      <c r="X46" s="14">
        <f ca="1">IF(Profit!$J$58&gt;W46,X45,0)</f>
        <v>0</v>
      </c>
    </row>
    <row r="47" spans="1:24" x14ac:dyDescent="0.25">
      <c r="A47" s="2"/>
      <c r="C47" s="14"/>
      <c r="E47" s="12">
        <f t="shared" si="0"/>
        <v>46734</v>
      </c>
      <c r="F47" s="14">
        <f ca="1">IF(Profit!$J$58&gt;E47,F46,0)</f>
        <v>0</v>
      </c>
      <c r="H47" s="12">
        <f t="shared" si="4"/>
        <v>46597</v>
      </c>
      <c r="I47" s="14">
        <f ca="1">IF(Profit!$J$58&gt;H47,I46,0)</f>
        <v>0</v>
      </c>
      <c r="K47" s="12">
        <f t="shared" si="1"/>
        <v>46537</v>
      </c>
      <c r="L47" s="14">
        <f ca="1">IF(Profit!$J$58&gt;K47,L46,0)</f>
        <v>0</v>
      </c>
      <c r="O47" s="14"/>
      <c r="R47" s="14"/>
      <c r="T47" s="12">
        <f t="shared" si="3"/>
        <v>46142</v>
      </c>
      <c r="U47" s="14">
        <f ca="1">IF(Profit!$J$58&gt;T47,U46,0)</f>
        <v>0</v>
      </c>
      <c r="W47" s="12">
        <f t="shared" si="9"/>
        <v>60865</v>
      </c>
      <c r="X47" s="14">
        <f ca="1">IF(Profit!$J$58&gt;W47,X46,0)</f>
        <v>0</v>
      </c>
    </row>
    <row r="48" spans="1:24" ht="15.75" thickBot="1" x14ac:dyDescent="0.3">
      <c r="A48" s="2"/>
      <c r="C48" s="23"/>
      <c r="D48" s="23"/>
      <c r="F48" s="23"/>
      <c r="G48" s="23"/>
      <c r="I48" s="23"/>
      <c r="J48" s="23"/>
      <c r="L48" s="23"/>
      <c r="M48" s="23"/>
      <c r="O48" s="23"/>
      <c r="P48" s="23"/>
      <c r="R48" s="23"/>
      <c r="S48" s="23"/>
      <c r="U48" s="23"/>
      <c r="V48" s="23"/>
      <c r="X48" s="23"/>
    </row>
    <row r="49" spans="1:24" x14ac:dyDescent="0.25">
      <c r="A49" s="2"/>
      <c r="C49" s="5">
        <f>SUM(C3:C48)</f>
        <v>0</v>
      </c>
      <c r="F49" s="5">
        <f ca="1">SUM(F3:F48)</f>
        <v>26063.970000000005</v>
      </c>
      <c r="I49" s="5">
        <f ca="1">SUM(I3:I48)</f>
        <v>6250</v>
      </c>
      <c r="L49" s="5">
        <f ca="1">SUM(L3:L48)</f>
        <v>1811.7400000000005</v>
      </c>
      <c r="O49" s="5">
        <f>SUM(O3:O48)</f>
        <v>0</v>
      </c>
      <c r="R49" s="5">
        <f>SUM(R3:R48)</f>
        <v>0</v>
      </c>
      <c r="U49" s="5">
        <f ca="1">SUM(U3:U48)</f>
        <v>5160</v>
      </c>
      <c r="X49" s="5">
        <f ca="1">SUM(X3:X48)</f>
        <v>4092.39</v>
      </c>
    </row>
  </sheetData>
  <mergeCells count="7">
    <mergeCell ref="W1:Y1"/>
    <mergeCell ref="A1:D1"/>
    <mergeCell ref="K1:M1"/>
    <mergeCell ref="N1:P1"/>
    <mergeCell ref="Q1:S1"/>
    <mergeCell ref="T1:V1"/>
    <mergeCell ref="E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5F9F1-54EC-40FF-95C4-C14CCDEB7581}">
  <sheetPr codeName="Sheet6">
    <tabColor theme="5" tint="0.59999389629810485"/>
  </sheetPr>
  <dimension ref="A1:M71"/>
  <sheetViews>
    <sheetView zoomScaleNormal="100" workbookViewId="0">
      <pane ySplit="11" topLeftCell="A44" activePane="bottomLeft" state="frozen"/>
      <selection activeCell="H28" sqref="H28"/>
      <selection pane="bottomLeft" activeCell="E14" sqref="E14"/>
    </sheetView>
  </sheetViews>
  <sheetFormatPr defaultRowHeight="15" x14ac:dyDescent="0.25"/>
  <cols>
    <col min="1" max="1" width="21.42578125" style="56" bestFit="1" customWidth="1"/>
    <col min="2" max="2" width="20.5703125" style="56" bestFit="1" customWidth="1"/>
    <col min="3" max="3" width="97.85546875" style="56" bestFit="1" customWidth="1"/>
    <col min="4" max="4" width="7.5703125" style="57" customWidth="1"/>
    <col min="5" max="5" width="14.140625" style="58" customWidth="1"/>
    <col min="6" max="6" width="9.140625" style="56"/>
    <col min="7" max="7" width="18.7109375" style="56" bestFit="1" customWidth="1"/>
    <col min="8" max="8" width="27.7109375" style="56" bestFit="1" customWidth="1"/>
    <col min="9" max="9" width="81.140625" style="56" bestFit="1" customWidth="1"/>
    <col min="10" max="10" width="6.28515625" style="56" bestFit="1" customWidth="1"/>
    <col min="11" max="12" width="12" style="56" bestFit="1" customWidth="1"/>
    <col min="13" max="254" width="9.140625" style="56"/>
    <col min="255" max="255" width="21.85546875" style="56" customWidth="1"/>
    <col min="256" max="256" width="35.85546875" style="56" customWidth="1"/>
    <col min="257" max="257" width="97.7109375" style="56" customWidth="1"/>
    <col min="258" max="258" width="31.7109375" style="56" customWidth="1"/>
    <col min="259" max="259" width="13.7109375" style="56" bestFit="1" customWidth="1"/>
    <col min="260" max="510" width="9.140625" style="56"/>
    <col min="511" max="511" width="21.85546875" style="56" customWidth="1"/>
    <col min="512" max="512" width="35.85546875" style="56" customWidth="1"/>
    <col min="513" max="513" width="97.7109375" style="56" customWidth="1"/>
    <col min="514" max="514" width="31.7109375" style="56" customWidth="1"/>
    <col min="515" max="515" width="13.7109375" style="56" bestFit="1" customWidth="1"/>
    <col min="516" max="766" width="9.140625" style="56"/>
    <col min="767" max="767" width="21.85546875" style="56" customWidth="1"/>
    <col min="768" max="768" width="35.85546875" style="56" customWidth="1"/>
    <col min="769" max="769" width="97.7109375" style="56" customWidth="1"/>
    <col min="770" max="770" width="31.7109375" style="56" customWidth="1"/>
    <col min="771" max="771" width="13.7109375" style="56" bestFit="1" customWidth="1"/>
    <col min="772" max="1022" width="9.140625" style="56"/>
    <col min="1023" max="1023" width="21.85546875" style="56" customWidth="1"/>
    <col min="1024" max="1024" width="35.85546875" style="56" customWidth="1"/>
    <col min="1025" max="1025" width="97.7109375" style="56" customWidth="1"/>
    <col min="1026" max="1026" width="31.7109375" style="56" customWidth="1"/>
    <col min="1027" max="1027" width="13.7109375" style="56" bestFit="1" customWidth="1"/>
    <col min="1028" max="1278" width="9.140625" style="56"/>
    <col min="1279" max="1279" width="21.85546875" style="56" customWidth="1"/>
    <col min="1280" max="1280" width="35.85546875" style="56" customWidth="1"/>
    <col min="1281" max="1281" width="97.7109375" style="56" customWidth="1"/>
    <col min="1282" max="1282" width="31.7109375" style="56" customWidth="1"/>
    <col min="1283" max="1283" width="13.7109375" style="56" bestFit="1" customWidth="1"/>
    <col min="1284" max="1534" width="9.140625" style="56"/>
    <col min="1535" max="1535" width="21.85546875" style="56" customWidth="1"/>
    <col min="1536" max="1536" width="35.85546875" style="56" customWidth="1"/>
    <col min="1537" max="1537" width="97.7109375" style="56" customWidth="1"/>
    <col min="1538" max="1538" width="31.7109375" style="56" customWidth="1"/>
    <col min="1539" max="1539" width="13.7109375" style="56" bestFit="1" customWidth="1"/>
    <col min="1540" max="1790" width="9.140625" style="56"/>
    <col min="1791" max="1791" width="21.85546875" style="56" customWidth="1"/>
    <col min="1792" max="1792" width="35.85546875" style="56" customWidth="1"/>
    <col min="1793" max="1793" width="97.7109375" style="56" customWidth="1"/>
    <col min="1794" max="1794" width="31.7109375" style="56" customWidth="1"/>
    <col min="1795" max="1795" width="13.7109375" style="56" bestFit="1" customWidth="1"/>
    <col min="1796" max="2046" width="9.140625" style="56"/>
    <col min="2047" max="2047" width="21.85546875" style="56" customWidth="1"/>
    <col min="2048" max="2048" width="35.85546875" style="56" customWidth="1"/>
    <col min="2049" max="2049" width="97.7109375" style="56" customWidth="1"/>
    <col min="2050" max="2050" width="31.7109375" style="56" customWidth="1"/>
    <col min="2051" max="2051" width="13.7109375" style="56" bestFit="1" customWidth="1"/>
    <col min="2052" max="2302" width="9.140625" style="56"/>
    <col min="2303" max="2303" width="21.85546875" style="56" customWidth="1"/>
    <col min="2304" max="2304" width="35.85546875" style="56" customWidth="1"/>
    <col min="2305" max="2305" width="97.7109375" style="56" customWidth="1"/>
    <col min="2306" max="2306" width="31.7109375" style="56" customWidth="1"/>
    <col min="2307" max="2307" width="13.7109375" style="56" bestFit="1" customWidth="1"/>
    <col min="2308" max="2558" width="9.140625" style="56"/>
    <col min="2559" max="2559" width="21.85546875" style="56" customWidth="1"/>
    <col min="2560" max="2560" width="35.85546875" style="56" customWidth="1"/>
    <col min="2561" max="2561" width="97.7109375" style="56" customWidth="1"/>
    <col min="2562" max="2562" width="31.7109375" style="56" customWidth="1"/>
    <col min="2563" max="2563" width="13.7109375" style="56" bestFit="1" customWidth="1"/>
    <col min="2564" max="2814" width="9.140625" style="56"/>
    <col min="2815" max="2815" width="21.85546875" style="56" customWidth="1"/>
    <col min="2816" max="2816" width="35.85546875" style="56" customWidth="1"/>
    <col min="2817" max="2817" width="97.7109375" style="56" customWidth="1"/>
    <col min="2818" max="2818" width="31.7109375" style="56" customWidth="1"/>
    <col min="2819" max="2819" width="13.7109375" style="56" bestFit="1" customWidth="1"/>
    <col min="2820" max="3070" width="9.140625" style="56"/>
    <col min="3071" max="3071" width="21.85546875" style="56" customWidth="1"/>
    <col min="3072" max="3072" width="35.85546875" style="56" customWidth="1"/>
    <col min="3073" max="3073" width="97.7109375" style="56" customWidth="1"/>
    <col min="3074" max="3074" width="31.7109375" style="56" customWidth="1"/>
    <col min="3075" max="3075" width="13.7109375" style="56" bestFit="1" customWidth="1"/>
    <col min="3076" max="3326" width="9.140625" style="56"/>
    <col min="3327" max="3327" width="21.85546875" style="56" customWidth="1"/>
    <col min="3328" max="3328" width="35.85546875" style="56" customWidth="1"/>
    <col min="3329" max="3329" width="97.7109375" style="56" customWidth="1"/>
    <col min="3330" max="3330" width="31.7109375" style="56" customWidth="1"/>
    <col min="3331" max="3331" width="13.7109375" style="56" bestFit="1" customWidth="1"/>
    <col min="3332" max="3582" width="9.140625" style="56"/>
    <col min="3583" max="3583" width="21.85546875" style="56" customWidth="1"/>
    <col min="3584" max="3584" width="35.85546875" style="56" customWidth="1"/>
    <col min="3585" max="3585" width="97.7109375" style="56" customWidth="1"/>
    <col min="3586" max="3586" width="31.7109375" style="56" customWidth="1"/>
    <col min="3587" max="3587" width="13.7109375" style="56" bestFit="1" customWidth="1"/>
    <col min="3588" max="3838" width="9.140625" style="56"/>
    <col min="3839" max="3839" width="21.85546875" style="56" customWidth="1"/>
    <col min="3840" max="3840" width="35.85546875" style="56" customWidth="1"/>
    <col min="3841" max="3841" width="97.7109375" style="56" customWidth="1"/>
    <col min="3842" max="3842" width="31.7109375" style="56" customWidth="1"/>
    <col min="3843" max="3843" width="13.7109375" style="56" bestFit="1" customWidth="1"/>
    <col min="3844" max="4094" width="9.140625" style="56"/>
    <col min="4095" max="4095" width="21.85546875" style="56" customWidth="1"/>
    <col min="4096" max="4096" width="35.85546875" style="56" customWidth="1"/>
    <col min="4097" max="4097" width="97.7109375" style="56" customWidth="1"/>
    <col min="4098" max="4098" width="31.7109375" style="56" customWidth="1"/>
    <col min="4099" max="4099" width="13.7109375" style="56" bestFit="1" customWidth="1"/>
    <col min="4100" max="4350" width="9.140625" style="56"/>
    <col min="4351" max="4351" width="21.85546875" style="56" customWidth="1"/>
    <col min="4352" max="4352" width="35.85546875" style="56" customWidth="1"/>
    <col min="4353" max="4353" width="97.7109375" style="56" customWidth="1"/>
    <col min="4354" max="4354" width="31.7109375" style="56" customWidth="1"/>
    <col min="4355" max="4355" width="13.7109375" style="56" bestFit="1" customWidth="1"/>
    <col min="4356" max="4606" width="9.140625" style="56"/>
    <col min="4607" max="4607" width="21.85546875" style="56" customWidth="1"/>
    <col min="4608" max="4608" width="35.85546875" style="56" customWidth="1"/>
    <col min="4609" max="4609" width="97.7109375" style="56" customWidth="1"/>
    <col min="4610" max="4610" width="31.7109375" style="56" customWidth="1"/>
    <col min="4611" max="4611" width="13.7109375" style="56" bestFit="1" customWidth="1"/>
    <col min="4612" max="4862" width="9.140625" style="56"/>
    <col min="4863" max="4863" width="21.85546875" style="56" customWidth="1"/>
    <col min="4864" max="4864" width="35.85546875" style="56" customWidth="1"/>
    <col min="4865" max="4865" width="97.7109375" style="56" customWidth="1"/>
    <col min="4866" max="4866" width="31.7109375" style="56" customWidth="1"/>
    <col min="4867" max="4867" width="13.7109375" style="56" bestFit="1" customWidth="1"/>
    <col min="4868" max="5118" width="9.140625" style="56"/>
    <col min="5119" max="5119" width="21.85546875" style="56" customWidth="1"/>
    <col min="5120" max="5120" width="35.85546875" style="56" customWidth="1"/>
    <col min="5121" max="5121" width="97.7109375" style="56" customWidth="1"/>
    <col min="5122" max="5122" width="31.7109375" style="56" customWidth="1"/>
    <col min="5123" max="5123" width="13.7109375" style="56" bestFit="1" customWidth="1"/>
    <col min="5124" max="5374" width="9.140625" style="56"/>
    <col min="5375" max="5375" width="21.85546875" style="56" customWidth="1"/>
    <col min="5376" max="5376" width="35.85546875" style="56" customWidth="1"/>
    <col min="5377" max="5377" width="97.7109375" style="56" customWidth="1"/>
    <col min="5378" max="5378" width="31.7109375" style="56" customWidth="1"/>
    <col min="5379" max="5379" width="13.7109375" style="56" bestFit="1" customWidth="1"/>
    <col min="5380" max="5630" width="9.140625" style="56"/>
    <col min="5631" max="5631" width="21.85546875" style="56" customWidth="1"/>
    <col min="5632" max="5632" width="35.85546875" style="56" customWidth="1"/>
    <col min="5633" max="5633" width="97.7109375" style="56" customWidth="1"/>
    <col min="5634" max="5634" width="31.7109375" style="56" customWidth="1"/>
    <col min="5635" max="5635" width="13.7109375" style="56" bestFit="1" customWidth="1"/>
    <col min="5636" max="5886" width="9.140625" style="56"/>
    <col min="5887" max="5887" width="21.85546875" style="56" customWidth="1"/>
    <col min="5888" max="5888" width="35.85546875" style="56" customWidth="1"/>
    <col min="5889" max="5889" width="97.7109375" style="56" customWidth="1"/>
    <col min="5890" max="5890" width="31.7109375" style="56" customWidth="1"/>
    <col min="5891" max="5891" width="13.7109375" style="56" bestFit="1" customWidth="1"/>
    <col min="5892" max="6142" width="9.140625" style="56"/>
    <col min="6143" max="6143" width="21.85546875" style="56" customWidth="1"/>
    <col min="6144" max="6144" width="35.85546875" style="56" customWidth="1"/>
    <col min="6145" max="6145" width="97.7109375" style="56" customWidth="1"/>
    <col min="6146" max="6146" width="31.7109375" style="56" customWidth="1"/>
    <col min="6147" max="6147" width="13.7109375" style="56" bestFit="1" customWidth="1"/>
    <col min="6148" max="6398" width="9.140625" style="56"/>
    <col min="6399" max="6399" width="21.85546875" style="56" customWidth="1"/>
    <col min="6400" max="6400" width="35.85546875" style="56" customWidth="1"/>
    <col min="6401" max="6401" width="97.7109375" style="56" customWidth="1"/>
    <col min="6402" max="6402" width="31.7109375" style="56" customWidth="1"/>
    <col min="6403" max="6403" width="13.7109375" style="56" bestFit="1" customWidth="1"/>
    <col min="6404" max="6654" width="9.140625" style="56"/>
    <col min="6655" max="6655" width="21.85546875" style="56" customWidth="1"/>
    <col min="6656" max="6656" width="35.85546875" style="56" customWidth="1"/>
    <col min="6657" max="6657" width="97.7109375" style="56" customWidth="1"/>
    <col min="6658" max="6658" width="31.7109375" style="56" customWidth="1"/>
    <col min="6659" max="6659" width="13.7109375" style="56" bestFit="1" customWidth="1"/>
    <col min="6660" max="6910" width="9.140625" style="56"/>
    <col min="6911" max="6911" width="21.85546875" style="56" customWidth="1"/>
    <col min="6912" max="6912" width="35.85546875" style="56" customWidth="1"/>
    <col min="6913" max="6913" width="97.7109375" style="56" customWidth="1"/>
    <col min="6914" max="6914" width="31.7109375" style="56" customWidth="1"/>
    <col min="6915" max="6915" width="13.7109375" style="56" bestFit="1" customWidth="1"/>
    <col min="6916" max="7166" width="9.140625" style="56"/>
    <col min="7167" max="7167" width="21.85546875" style="56" customWidth="1"/>
    <col min="7168" max="7168" width="35.85546875" style="56" customWidth="1"/>
    <col min="7169" max="7169" width="97.7109375" style="56" customWidth="1"/>
    <col min="7170" max="7170" width="31.7109375" style="56" customWidth="1"/>
    <col min="7171" max="7171" width="13.7109375" style="56" bestFit="1" customWidth="1"/>
    <col min="7172" max="7422" width="9.140625" style="56"/>
    <col min="7423" max="7423" width="21.85546875" style="56" customWidth="1"/>
    <col min="7424" max="7424" width="35.85546875" style="56" customWidth="1"/>
    <col min="7425" max="7425" width="97.7109375" style="56" customWidth="1"/>
    <col min="7426" max="7426" width="31.7109375" style="56" customWidth="1"/>
    <col min="7427" max="7427" width="13.7109375" style="56" bestFit="1" customWidth="1"/>
    <col min="7428" max="7678" width="9.140625" style="56"/>
    <col min="7679" max="7679" width="21.85546875" style="56" customWidth="1"/>
    <col min="7680" max="7680" width="35.85546875" style="56" customWidth="1"/>
    <col min="7681" max="7681" width="97.7109375" style="56" customWidth="1"/>
    <col min="7682" max="7682" width="31.7109375" style="56" customWidth="1"/>
    <col min="7683" max="7683" width="13.7109375" style="56" bestFit="1" customWidth="1"/>
    <col min="7684" max="7934" width="9.140625" style="56"/>
    <col min="7935" max="7935" width="21.85546875" style="56" customWidth="1"/>
    <col min="7936" max="7936" width="35.85546875" style="56" customWidth="1"/>
    <col min="7937" max="7937" width="97.7109375" style="56" customWidth="1"/>
    <col min="7938" max="7938" width="31.7109375" style="56" customWidth="1"/>
    <col min="7939" max="7939" width="13.7109375" style="56" bestFit="1" customWidth="1"/>
    <col min="7940" max="8190" width="9.140625" style="56"/>
    <col min="8191" max="8191" width="21.85546875" style="56" customWidth="1"/>
    <col min="8192" max="8192" width="35.85546875" style="56" customWidth="1"/>
    <col min="8193" max="8193" width="97.7109375" style="56" customWidth="1"/>
    <col min="8194" max="8194" width="31.7109375" style="56" customWidth="1"/>
    <col min="8195" max="8195" width="13.7109375" style="56" bestFit="1" customWidth="1"/>
    <col min="8196" max="8446" width="9.140625" style="56"/>
    <col min="8447" max="8447" width="21.85546875" style="56" customWidth="1"/>
    <col min="8448" max="8448" width="35.85546875" style="56" customWidth="1"/>
    <col min="8449" max="8449" width="97.7109375" style="56" customWidth="1"/>
    <col min="8450" max="8450" width="31.7109375" style="56" customWidth="1"/>
    <col min="8451" max="8451" width="13.7109375" style="56" bestFit="1" customWidth="1"/>
    <col min="8452" max="8702" width="9.140625" style="56"/>
    <col min="8703" max="8703" width="21.85546875" style="56" customWidth="1"/>
    <col min="8704" max="8704" width="35.85546875" style="56" customWidth="1"/>
    <col min="8705" max="8705" width="97.7109375" style="56" customWidth="1"/>
    <col min="8706" max="8706" width="31.7109375" style="56" customWidth="1"/>
    <col min="8707" max="8707" width="13.7109375" style="56" bestFit="1" customWidth="1"/>
    <col min="8708" max="8958" width="9.140625" style="56"/>
    <col min="8959" max="8959" width="21.85546875" style="56" customWidth="1"/>
    <col min="8960" max="8960" width="35.85546875" style="56" customWidth="1"/>
    <col min="8961" max="8961" width="97.7109375" style="56" customWidth="1"/>
    <col min="8962" max="8962" width="31.7109375" style="56" customWidth="1"/>
    <col min="8963" max="8963" width="13.7109375" style="56" bestFit="1" customWidth="1"/>
    <col min="8964" max="9214" width="9.140625" style="56"/>
    <col min="9215" max="9215" width="21.85546875" style="56" customWidth="1"/>
    <col min="9216" max="9216" width="35.85546875" style="56" customWidth="1"/>
    <col min="9217" max="9217" width="97.7109375" style="56" customWidth="1"/>
    <col min="9218" max="9218" width="31.7109375" style="56" customWidth="1"/>
    <col min="9219" max="9219" width="13.7109375" style="56" bestFit="1" customWidth="1"/>
    <col min="9220" max="9470" width="9.140625" style="56"/>
    <col min="9471" max="9471" width="21.85546875" style="56" customWidth="1"/>
    <col min="9472" max="9472" width="35.85546875" style="56" customWidth="1"/>
    <col min="9473" max="9473" width="97.7109375" style="56" customWidth="1"/>
    <col min="9474" max="9474" width="31.7109375" style="56" customWidth="1"/>
    <col min="9475" max="9475" width="13.7109375" style="56" bestFit="1" customWidth="1"/>
    <col min="9476" max="9726" width="9.140625" style="56"/>
    <col min="9727" max="9727" width="21.85546875" style="56" customWidth="1"/>
    <col min="9728" max="9728" width="35.85546875" style="56" customWidth="1"/>
    <col min="9729" max="9729" width="97.7109375" style="56" customWidth="1"/>
    <col min="9730" max="9730" width="31.7109375" style="56" customWidth="1"/>
    <col min="9731" max="9731" width="13.7109375" style="56" bestFit="1" customWidth="1"/>
    <col min="9732" max="9982" width="9.140625" style="56"/>
    <col min="9983" max="9983" width="21.85546875" style="56" customWidth="1"/>
    <col min="9984" max="9984" width="35.85546875" style="56" customWidth="1"/>
    <col min="9985" max="9985" width="97.7109375" style="56" customWidth="1"/>
    <col min="9986" max="9986" width="31.7109375" style="56" customWidth="1"/>
    <col min="9987" max="9987" width="13.7109375" style="56" bestFit="1" customWidth="1"/>
    <col min="9988" max="10238" width="9.140625" style="56"/>
    <col min="10239" max="10239" width="21.85546875" style="56" customWidth="1"/>
    <col min="10240" max="10240" width="35.85546875" style="56" customWidth="1"/>
    <col min="10241" max="10241" width="97.7109375" style="56" customWidth="1"/>
    <col min="10242" max="10242" width="31.7109375" style="56" customWidth="1"/>
    <col min="10243" max="10243" width="13.7109375" style="56" bestFit="1" customWidth="1"/>
    <col min="10244" max="10494" width="9.140625" style="56"/>
    <col min="10495" max="10495" width="21.85546875" style="56" customWidth="1"/>
    <col min="10496" max="10496" width="35.85546875" style="56" customWidth="1"/>
    <col min="10497" max="10497" width="97.7109375" style="56" customWidth="1"/>
    <col min="10498" max="10498" width="31.7109375" style="56" customWidth="1"/>
    <col min="10499" max="10499" width="13.7109375" style="56" bestFit="1" customWidth="1"/>
    <col min="10500" max="10750" width="9.140625" style="56"/>
    <col min="10751" max="10751" width="21.85546875" style="56" customWidth="1"/>
    <col min="10752" max="10752" width="35.85546875" style="56" customWidth="1"/>
    <col min="10753" max="10753" width="97.7109375" style="56" customWidth="1"/>
    <col min="10754" max="10754" width="31.7109375" style="56" customWidth="1"/>
    <col min="10755" max="10755" width="13.7109375" style="56" bestFit="1" customWidth="1"/>
    <col min="10756" max="11006" width="9.140625" style="56"/>
    <col min="11007" max="11007" width="21.85546875" style="56" customWidth="1"/>
    <col min="11008" max="11008" width="35.85546875" style="56" customWidth="1"/>
    <col min="11009" max="11009" width="97.7109375" style="56" customWidth="1"/>
    <col min="11010" max="11010" width="31.7109375" style="56" customWidth="1"/>
    <col min="11011" max="11011" width="13.7109375" style="56" bestFit="1" customWidth="1"/>
    <col min="11012" max="11262" width="9.140625" style="56"/>
    <col min="11263" max="11263" width="21.85546875" style="56" customWidth="1"/>
    <col min="11264" max="11264" width="35.85546875" style="56" customWidth="1"/>
    <col min="11265" max="11265" width="97.7109375" style="56" customWidth="1"/>
    <col min="11266" max="11266" width="31.7109375" style="56" customWidth="1"/>
    <col min="11267" max="11267" width="13.7109375" style="56" bestFit="1" customWidth="1"/>
    <col min="11268" max="11518" width="9.140625" style="56"/>
    <col min="11519" max="11519" width="21.85546875" style="56" customWidth="1"/>
    <col min="11520" max="11520" width="35.85546875" style="56" customWidth="1"/>
    <col min="11521" max="11521" width="97.7109375" style="56" customWidth="1"/>
    <col min="11522" max="11522" width="31.7109375" style="56" customWidth="1"/>
    <col min="11523" max="11523" width="13.7109375" style="56" bestFit="1" customWidth="1"/>
    <col min="11524" max="11774" width="9.140625" style="56"/>
    <col min="11775" max="11775" width="21.85546875" style="56" customWidth="1"/>
    <col min="11776" max="11776" width="35.85546875" style="56" customWidth="1"/>
    <col min="11777" max="11777" width="97.7109375" style="56" customWidth="1"/>
    <col min="11778" max="11778" width="31.7109375" style="56" customWidth="1"/>
    <col min="11779" max="11779" width="13.7109375" style="56" bestFit="1" customWidth="1"/>
    <col min="11780" max="12030" width="9.140625" style="56"/>
    <col min="12031" max="12031" width="21.85546875" style="56" customWidth="1"/>
    <col min="12032" max="12032" width="35.85546875" style="56" customWidth="1"/>
    <col min="12033" max="12033" width="97.7109375" style="56" customWidth="1"/>
    <col min="12034" max="12034" width="31.7109375" style="56" customWidth="1"/>
    <col min="12035" max="12035" width="13.7109375" style="56" bestFit="1" customWidth="1"/>
    <col min="12036" max="12286" width="9.140625" style="56"/>
    <col min="12287" max="12287" width="21.85546875" style="56" customWidth="1"/>
    <col min="12288" max="12288" width="35.85546875" style="56" customWidth="1"/>
    <col min="12289" max="12289" width="97.7109375" style="56" customWidth="1"/>
    <col min="12290" max="12290" width="31.7109375" style="56" customWidth="1"/>
    <col min="12291" max="12291" width="13.7109375" style="56" bestFit="1" customWidth="1"/>
    <col min="12292" max="12542" width="9.140625" style="56"/>
    <col min="12543" max="12543" width="21.85546875" style="56" customWidth="1"/>
    <col min="12544" max="12544" width="35.85546875" style="56" customWidth="1"/>
    <col min="12545" max="12545" width="97.7109375" style="56" customWidth="1"/>
    <col min="12546" max="12546" width="31.7109375" style="56" customWidth="1"/>
    <col min="12547" max="12547" width="13.7109375" style="56" bestFit="1" customWidth="1"/>
    <col min="12548" max="12798" width="9.140625" style="56"/>
    <col min="12799" max="12799" width="21.85546875" style="56" customWidth="1"/>
    <col min="12800" max="12800" width="35.85546875" style="56" customWidth="1"/>
    <col min="12801" max="12801" width="97.7109375" style="56" customWidth="1"/>
    <col min="12802" max="12802" width="31.7109375" style="56" customWidth="1"/>
    <col min="12803" max="12803" width="13.7109375" style="56" bestFit="1" customWidth="1"/>
    <col min="12804" max="13054" width="9.140625" style="56"/>
    <col min="13055" max="13055" width="21.85546875" style="56" customWidth="1"/>
    <col min="13056" max="13056" width="35.85546875" style="56" customWidth="1"/>
    <col min="13057" max="13057" width="97.7109375" style="56" customWidth="1"/>
    <col min="13058" max="13058" width="31.7109375" style="56" customWidth="1"/>
    <col min="13059" max="13059" width="13.7109375" style="56" bestFit="1" customWidth="1"/>
    <col min="13060" max="13310" width="9.140625" style="56"/>
    <col min="13311" max="13311" width="21.85546875" style="56" customWidth="1"/>
    <col min="13312" max="13312" width="35.85546875" style="56" customWidth="1"/>
    <col min="13313" max="13313" width="97.7109375" style="56" customWidth="1"/>
    <col min="13314" max="13314" width="31.7109375" style="56" customWidth="1"/>
    <col min="13315" max="13315" width="13.7109375" style="56" bestFit="1" customWidth="1"/>
    <col min="13316" max="13566" width="9.140625" style="56"/>
    <col min="13567" max="13567" width="21.85546875" style="56" customWidth="1"/>
    <col min="13568" max="13568" width="35.85546875" style="56" customWidth="1"/>
    <col min="13569" max="13569" width="97.7109375" style="56" customWidth="1"/>
    <col min="13570" max="13570" width="31.7109375" style="56" customWidth="1"/>
    <col min="13571" max="13571" width="13.7109375" style="56" bestFit="1" customWidth="1"/>
    <col min="13572" max="13822" width="9.140625" style="56"/>
    <col min="13823" max="13823" width="21.85546875" style="56" customWidth="1"/>
    <col min="13824" max="13824" width="35.85546875" style="56" customWidth="1"/>
    <col min="13825" max="13825" width="97.7109375" style="56" customWidth="1"/>
    <col min="13826" max="13826" width="31.7109375" style="56" customWidth="1"/>
    <col min="13827" max="13827" width="13.7109375" style="56" bestFit="1" customWidth="1"/>
    <col min="13828" max="14078" width="9.140625" style="56"/>
    <col min="14079" max="14079" width="21.85546875" style="56" customWidth="1"/>
    <col min="14080" max="14080" width="35.85546875" style="56" customWidth="1"/>
    <col min="14081" max="14081" width="97.7109375" style="56" customWidth="1"/>
    <col min="14082" max="14082" width="31.7109375" style="56" customWidth="1"/>
    <col min="14083" max="14083" width="13.7109375" style="56" bestFit="1" customWidth="1"/>
    <col min="14084" max="14334" width="9.140625" style="56"/>
    <col min="14335" max="14335" width="21.85546875" style="56" customWidth="1"/>
    <col min="14336" max="14336" width="35.85546875" style="56" customWidth="1"/>
    <col min="14337" max="14337" width="97.7109375" style="56" customWidth="1"/>
    <col min="14338" max="14338" width="31.7109375" style="56" customWidth="1"/>
    <col min="14339" max="14339" width="13.7109375" style="56" bestFit="1" customWidth="1"/>
    <col min="14340" max="14590" width="9.140625" style="56"/>
    <col min="14591" max="14591" width="21.85546875" style="56" customWidth="1"/>
    <col min="14592" max="14592" width="35.85546875" style="56" customWidth="1"/>
    <col min="14593" max="14593" width="97.7109375" style="56" customWidth="1"/>
    <col min="14594" max="14594" width="31.7109375" style="56" customWidth="1"/>
    <col min="14595" max="14595" width="13.7109375" style="56" bestFit="1" customWidth="1"/>
    <col min="14596" max="14846" width="9.140625" style="56"/>
    <col min="14847" max="14847" width="21.85546875" style="56" customWidth="1"/>
    <col min="14848" max="14848" width="35.85546875" style="56" customWidth="1"/>
    <col min="14849" max="14849" width="97.7109375" style="56" customWidth="1"/>
    <col min="14850" max="14850" width="31.7109375" style="56" customWidth="1"/>
    <col min="14851" max="14851" width="13.7109375" style="56" bestFit="1" customWidth="1"/>
    <col min="14852" max="15102" width="9.140625" style="56"/>
    <col min="15103" max="15103" width="21.85546875" style="56" customWidth="1"/>
    <col min="15104" max="15104" width="35.85546875" style="56" customWidth="1"/>
    <col min="15105" max="15105" width="97.7109375" style="56" customWidth="1"/>
    <col min="15106" max="15106" width="31.7109375" style="56" customWidth="1"/>
    <col min="15107" max="15107" width="13.7109375" style="56" bestFit="1" customWidth="1"/>
    <col min="15108" max="15358" width="9.140625" style="56"/>
    <col min="15359" max="15359" width="21.85546875" style="56" customWidth="1"/>
    <col min="15360" max="15360" width="35.85546875" style="56" customWidth="1"/>
    <col min="15361" max="15361" width="97.7109375" style="56" customWidth="1"/>
    <col min="15362" max="15362" width="31.7109375" style="56" customWidth="1"/>
    <col min="15363" max="15363" width="13.7109375" style="56" bestFit="1" customWidth="1"/>
    <col min="15364" max="15614" width="9.140625" style="56"/>
    <col min="15615" max="15615" width="21.85546875" style="56" customWidth="1"/>
    <col min="15616" max="15616" width="35.85546875" style="56" customWidth="1"/>
    <col min="15617" max="15617" width="97.7109375" style="56" customWidth="1"/>
    <col min="15618" max="15618" width="31.7109375" style="56" customWidth="1"/>
    <col min="15619" max="15619" width="13.7109375" style="56" bestFit="1" customWidth="1"/>
    <col min="15620" max="15870" width="9.140625" style="56"/>
    <col min="15871" max="15871" width="21.85546875" style="56" customWidth="1"/>
    <col min="15872" max="15872" width="35.85546875" style="56" customWidth="1"/>
    <col min="15873" max="15873" width="97.7109375" style="56" customWidth="1"/>
    <col min="15874" max="15874" width="31.7109375" style="56" customWidth="1"/>
    <col min="15875" max="15875" width="13.7109375" style="56" bestFit="1" customWidth="1"/>
    <col min="15876" max="16126" width="9.140625" style="56"/>
    <col min="16127" max="16127" width="21.85546875" style="56" customWidth="1"/>
    <col min="16128" max="16128" width="35.85546875" style="56" customWidth="1"/>
    <col min="16129" max="16129" width="97.7109375" style="56" customWidth="1"/>
    <col min="16130" max="16130" width="31.7109375" style="56" customWidth="1"/>
    <col min="16131" max="16131" width="13.7109375" style="56" bestFit="1" customWidth="1"/>
    <col min="16132" max="16384" width="9.140625" style="56"/>
  </cols>
  <sheetData>
    <row r="1" spans="1:13" ht="15.75" hidden="1" thickBot="1" x14ac:dyDescent="0.3"/>
    <row r="2" spans="1:13" hidden="1" x14ac:dyDescent="0.25">
      <c r="B2" s="568" t="str">
        <f>"Preassigned Rows Indicating Payment or Scheduling by " &amp;Profit!E1&amp;" Your Home"</f>
        <v>Preassigned Rows Indicating Payment or Scheduling by Buy Your Home</v>
      </c>
      <c r="C2" s="569"/>
      <c r="E2" s="56"/>
    </row>
    <row r="3" spans="1:13" ht="15.75" hidden="1" thickBot="1" x14ac:dyDescent="0.3">
      <c r="B3" s="570"/>
      <c r="C3" s="571"/>
      <c r="E3" s="56"/>
    </row>
    <row r="4" spans="1:13" hidden="1" x14ac:dyDescent="0.25">
      <c r="B4" s="576" t="s">
        <v>293</v>
      </c>
      <c r="C4" s="577"/>
      <c r="E4" s="56"/>
    </row>
    <row r="5" spans="1:13" ht="15.75" hidden="1" thickBot="1" x14ac:dyDescent="0.3">
      <c r="B5" s="578"/>
      <c r="C5" s="579"/>
      <c r="E5" s="56"/>
    </row>
    <row r="6" spans="1:13" hidden="1" x14ac:dyDescent="0.25">
      <c r="B6" s="572" t="s">
        <v>294</v>
      </c>
      <c r="C6" s="573"/>
      <c r="E6" s="56"/>
    </row>
    <row r="7" spans="1:13" ht="15.75" hidden="1" thickBot="1" x14ac:dyDescent="0.3">
      <c r="B7" s="574"/>
      <c r="C7" s="575"/>
    </row>
    <row r="8" spans="1:13" hidden="1" x14ac:dyDescent="0.25">
      <c r="B8" s="580" t="s">
        <v>295</v>
      </c>
      <c r="C8" s="581"/>
    </row>
    <row r="9" spans="1:13" ht="15.75" hidden="1" thickBot="1" x14ac:dyDescent="0.3">
      <c r="B9" s="582"/>
      <c r="C9" s="583"/>
    </row>
    <row r="10" spans="1:13" hidden="1" x14ac:dyDescent="0.25"/>
    <row r="11" spans="1:13" s="50" customFormat="1" ht="15.75" thickBot="1" x14ac:dyDescent="0.3">
      <c r="A11" s="49" t="s">
        <v>296</v>
      </c>
      <c r="B11" s="49" t="s">
        <v>297</v>
      </c>
      <c r="C11" s="49" t="s">
        <v>298</v>
      </c>
      <c r="D11" s="66" t="s">
        <v>299</v>
      </c>
      <c r="E11" s="67" t="s">
        <v>300</v>
      </c>
      <c r="G11" s="56"/>
      <c r="H11" s="56"/>
      <c r="I11" s="56"/>
      <c r="J11" s="56"/>
      <c r="K11" s="56"/>
      <c r="L11" s="56"/>
      <c r="M11" s="56"/>
    </row>
    <row r="12" spans="1:13" s="50" customFormat="1" ht="15.75" thickTop="1" x14ac:dyDescent="0.25">
      <c r="A12" s="52" t="s">
        <v>301</v>
      </c>
      <c r="B12" s="52" t="s">
        <v>301</v>
      </c>
      <c r="C12" s="52" t="s">
        <v>302</v>
      </c>
      <c r="D12" s="64">
        <v>0</v>
      </c>
      <c r="E12" s="65">
        <v>7016</v>
      </c>
      <c r="G12" s="56"/>
      <c r="H12" s="56"/>
      <c r="I12" s="56"/>
      <c r="J12" s="56"/>
      <c r="K12" s="56"/>
      <c r="L12" s="56"/>
      <c r="M12" s="56"/>
    </row>
    <row r="13" spans="1:13" s="50" customFormat="1" x14ac:dyDescent="0.25">
      <c r="A13" s="52" t="s">
        <v>303</v>
      </c>
      <c r="B13" s="52" t="s">
        <v>304</v>
      </c>
      <c r="C13" s="52" t="s">
        <v>305</v>
      </c>
      <c r="D13" s="64">
        <v>0</v>
      </c>
      <c r="E13" s="65">
        <v>10505.74</v>
      </c>
      <c r="G13" s="56"/>
      <c r="H13" s="56"/>
      <c r="I13" s="56"/>
      <c r="J13" s="56"/>
      <c r="K13" s="56"/>
      <c r="L13" s="56"/>
      <c r="M13" s="56"/>
    </row>
    <row r="14" spans="1:13" s="50" customFormat="1" x14ac:dyDescent="0.25">
      <c r="A14" s="52" t="s">
        <v>303</v>
      </c>
      <c r="B14" s="52" t="s">
        <v>306</v>
      </c>
      <c r="C14" s="52" t="s">
        <v>306</v>
      </c>
      <c r="D14" s="64">
        <v>0</v>
      </c>
      <c r="E14" s="65">
        <v>9940</v>
      </c>
      <c r="G14" s="56"/>
      <c r="H14" s="56"/>
      <c r="I14" s="56"/>
      <c r="J14" s="56"/>
      <c r="K14" s="56"/>
      <c r="L14" s="56"/>
      <c r="M14" s="56"/>
    </row>
    <row r="15" spans="1:13" s="50" customFormat="1" x14ac:dyDescent="0.25">
      <c r="A15" s="52"/>
      <c r="B15" s="52" t="s">
        <v>307</v>
      </c>
      <c r="C15" s="52" t="s">
        <v>308</v>
      </c>
      <c r="D15" s="64">
        <v>6</v>
      </c>
      <c r="E15" s="65"/>
      <c r="G15" s="56"/>
      <c r="H15" s="56"/>
      <c r="I15" s="56"/>
      <c r="J15" s="56"/>
      <c r="K15" s="56"/>
      <c r="L15" s="56"/>
      <c r="M15" s="56"/>
    </row>
    <row r="16" spans="1:13" s="50" customFormat="1" x14ac:dyDescent="0.25">
      <c r="A16" s="53" t="s">
        <v>309</v>
      </c>
      <c r="B16" s="53" t="s">
        <v>310</v>
      </c>
      <c r="C16" s="53" t="s">
        <v>309</v>
      </c>
      <c r="D16" s="54">
        <v>0</v>
      </c>
      <c r="E16" s="55">
        <v>0</v>
      </c>
      <c r="G16" s="56"/>
      <c r="H16" s="56"/>
      <c r="I16" s="56"/>
      <c r="J16" s="56"/>
      <c r="K16" s="56"/>
      <c r="L16" s="56"/>
      <c r="M16" s="56"/>
    </row>
    <row r="17" spans="1:13" s="50" customFormat="1" x14ac:dyDescent="0.25">
      <c r="A17" s="53" t="s">
        <v>311</v>
      </c>
      <c r="B17" s="53" t="s">
        <v>310</v>
      </c>
      <c r="C17" s="53" t="s">
        <v>312</v>
      </c>
      <c r="D17" s="54">
        <v>0</v>
      </c>
      <c r="E17" s="55">
        <v>0</v>
      </c>
      <c r="G17" s="56"/>
      <c r="H17" s="56"/>
      <c r="I17" s="56"/>
      <c r="J17" s="56"/>
      <c r="K17" s="56"/>
      <c r="L17" s="56"/>
      <c r="M17" s="56"/>
    </row>
    <row r="18" spans="1:13" s="50" customFormat="1" x14ac:dyDescent="0.25">
      <c r="A18" s="53" t="s">
        <v>313</v>
      </c>
      <c r="B18" s="53" t="s">
        <v>310</v>
      </c>
      <c r="C18" s="53" t="s">
        <v>314</v>
      </c>
      <c r="D18" s="54">
        <v>0</v>
      </c>
      <c r="E18" s="55">
        <v>0</v>
      </c>
      <c r="G18" s="56"/>
      <c r="H18" s="56"/>
      <c r="I18" s="56"/>
      <c r="J18" s="56"/>
      <c r="K18" s="56"/>
      <c r="L18" s="56"/>
      <c r="M18" s="56"/>
    </row>
    <row r="19" spans="1:13" s="50" customFormat="1" x14ac:dyDescent="0.25">
      <c r="A19" s="53" t="s">
        <v>315</v>
      </c>
      <c r="B19" s="53" t="s">
        <v>310</v>
      </c>
      <c r="C19" s="53" t="s">
        <v>316</v>
      </c>
      <c r="D19" s="54">
        <v>0</v>
      </c>
      <c r="E19" s="55">
        <v>0</v>
      </c>
      <c r="G19" s="56"/>
      <c r="H19" s="56"/>
      <c r="I19" s="56"/>
      <c r="J19" s="56"/>
      <c r="K19" s="56"/>
      <c r="L19" s="56"/>
      <c r="M19" s="56"/>
    </row>
    <row r="20" spans="1:13" s="50" customFormat="1" x14ac:dyDescent="0.25">
      <c r="A20" s="53" t="s">
        <v>317</v>
      </c>
      <c r="B20" s="53" t="s">
        <v>310</v>
      </c>
      <c r="C20" s="53" t="s">
        <v>318</v>
      </c>
      <c r="D20" s="54">
        <v>0</v>
      </c>
      <c r="E20" s="55">
        <v>0</v>
      </c>
      <c r="G20" s="51"/>
    </row>
    <row r="21" spans="1:13" x14ac:dyDescent="0.25">
      <c r="A21" s="298" t="s">
        <v>319</v>
      </c>
      <c r="B21" s="298" t="s">
        <v>320</v>
      </c>
      <c r="C21" s="298" t="s">
        <v>321</v>
      </c>
      <c r="D21" s="319">
        <v>1</v>
      </c>
      <c r="E21" s="320">
        <v>3800</v>
      </c>
    </row>
    <row r="22" spans="1:13" x14ac:dyDescent="0.25">
      <c r="A22" s="302" t="s">
        <v>319</v>
      </c>
      <c r="B22" s="302"/>
      <c r="C22" s="302" t="s">
        <v>322</v>
      </c>
      <c r="D22" s="304">
        <v>0</v>
      </c>
      <c r="E22" s="305"/>
    </row>
    <row r="23" spans="1:13" x14ac:dyDescent="0.25">
      <c r="A23" s="298" t="s">
        <v>319</v>
      </c>
      <c r="B23" s="298"/>
      <c r="C23" s="298" t="s">
        <v>323</v>
      </c>
      <c r="D23" s="319">
        <v>0</v>
      </c>
      <c r="E23" s="320"/>
    </row>
    <row r="24" spans="1:13" x14ac:dyDescent="0.25">
      <c r="A24" s="298" t="s">
        <v>324</v>
      </c>
      <c r="B24" s="298"/>
      <c r="C24" s="298" t="s">
        <v>325</v>
      </c>
      <c r="D24" s="319">
        <v>1</v>
      </c>
      <c r="E24" s="320">
        <v>4950</v>
      </c>
    </row>
    <row r="25" spans="1:13" x14ac:dyDescent="0.25">
      <c r="A25" s="298" t="s">
        <v>326</v>
      </c>
      <c r="B25" s="298"/>
      <c r="C25" s="298" t="s">
        <v>327</v>
      </c>
      <c r="D25" s="319">
        <v>1</v>
      </c>
      <c r="E25" s="320">
        <v>590</v>
      </c>
    </row>
    <row r="26" spans="1:13" x14ac:dyDescent="0.25">
      <c r="A26" s="298" t="s">
        <v>311</v>
      </c>
      <c r="B26" s="298" t="s">
        <v>328</v>
      </c>
      <c r="C26" s="298" t="s">
        <v>329</v>
      </c>
      <c r="D26" s="319">
        <v>1</v>
      </c>
      <c r="E26" s="320">
        <v>3790</v>
      </c>
    </row>
    <row r="27" spans="1:13" x14ac:dyDescent="0.25">
      <c r="A27" s="298" t="s">
        <v>311</v>
      </c>
      <c r="B27" s="298"/>
      <c r="C27" s="298" t="s">
        <v>330</v>
      </c>
      <c r="D27" s="319"/>
      <c r="E27" s="320"/>
    </row>
    <row r="28" spans="1:13" x14ac:dyDescent="0.25">
      <c r="A28" s="298" t="s">
        <v>311</v>
      </c>
      <c r="B28" s="298"/>
      <c r="C28" s="298" t="s">
        <v>331</v>
      </c>
      <c r="D28" s="319"/>
      <c r="E28" s="320"/>
    </row>
    <row r="29" spans="1:13" x14ac:dyDescent="0.25">
      <c r="A29" s="298" t="s">
        <v>311</v>
      </c>
      <c r="B29" s="298" t="s">
        <v>332</v>
      </c>
      <c r="C29" s="298" t="s">
        <v>333</v>
      </c>
      <c r="D29" s="319">
        <v>1</v>
      </c>
      <c r="E29" s="320">
        <v>1200</v>
      </c>
    </row>
    <row r="30" spans="1:13" x14ac:dyDescent="0.25">
      <c r="A30" s="298" t="s">
        <v>317</v>
      </c>
      <c r="B30" s="298" t="s">
        <v>334</v>
      </c>
      <c r="C30" s="298" t="s">
        <v>335</v>
      </c>
      <c r="D30" s="319">
        <v>1</v>
      </c>
      <c r="E30" s="320">
        <v>3190</v>
      </c>
    </row>
    <row r="31" spans="1:13" x14ac:dyDescent="0.25">
      <c r="A31" s="298" t="s">
        <v>317</v>
      </c>
      <c r="B31" s="298" t="s">
        <v>334</v>
      </c>
      <c r="C31" s="298" t="s">
        <v>336</v>
      </c>
      <c r="D31" s="319">
        <v>0</v>
      </c>
      <c r="E31" s="320"/>
    </row>
    <row r="32" spans="1:13" x14ac:dyDescent="0.25">
      <c r="A32" s="298" t="s">
        <v>317</v>
      </c>
      <c r="B32" s="298" t="s">
        <v>337</v>
      </c>
      <c r="C32" s="298" t="s">
        <v>338</v>
      </c>
      <c r="D32" s="319">
        <v>1</v>
      </c>
      <c r="E32" s="320">
        <v>4345</v>
      </c>
    </row>
    <row r="33" spans="1:5" x14ac:dyDescent="0.25">
      <c r="A33" s="298" t="s">
        <v>339</v>
      </c>
      <c r="B33" s="298" t="s">
        <v>340</v>
      </c>
      <c r="C33" s="298" t="s">
        <v>339</v>
      </c>
      <c r="D33" s="319">
        <v>1</v>
      </c>
      <c r="E33" s="320">
        <v>4252.5</v>
      </c>
    </row>
    <row r="34" spans="1:5" x14ac:dyDescent="0.25">
      <c r="A34" s="298" t="s">
        <v>339</v>
      </c>
      <c r="B34" s="298" t="s">
        <v>340</v>
      </c>
      <c r="C34" s="302" t="s">
        <v>341</v>
      </c>
      <c r="D34" s="319">
        <v>1</v>
      </c>
      <c r="E34" s="320"/>
    </row>
    <row r="35" spans="1:5" x14ac:dyDescent="0.25">
      <c r="A35" s="298" t="s">
        <v>339</v>
      </c>
      <c r="B35" s="298" t="s">
        <v>340</v>
      </c>
      <c r="C35" s="298" t="s">
        <v>342</v>
      </c>
      <c r="D35" s="319">
        <v>1</v>
      </c>
      <c r="E35" s="320"/>
    </row>
    <row r="36" spans="1:5" x14ac:dyDescent="0.25">
      <c r="A36" s="298" t="s">
        <v>339</v>
      </c>
      <c r="B36" s="298" t="s">
        <v>340</v>
      </c>
      <c r="C36" s="298" t="s">
        <v>343</v>
      </c>
      <c r="D36" s="319">
        <v>1</v>
      </c>
      <c r="E36" s="320"/>
    </row>
    <row r="37" spans="1:5" x14ac:dyDescent="0.25">
      <c r="A37" s="298" t="s">
        <v>339</v>
      </c>
      <c r="B37" s="298" t="s">
        <v>340</v>
      </c>
      <c r="C37" s="298" t="s">
        <v>344</v>
      </c>
      <c r="D37" s="319">
        <v>1</v>
      </c>
      <c r="E37" s="320"/>
    </row>
    <row r="38" spans="1:5" x14ac:dyDescent="0.25">
      <c r="A38" s="298" t="s">
        <v>339</v>
      </c>
      <c r="B38" s="298" t="s">
        <v>340</v>
      </c>
      <c r="C38" s="298" t="s">
        <v>345</v>
      </c>
      <c r="D38" s="319">
        <v>1</v>
      </c>
      <c r="E38" s="320"/>
    </row>
    <row r="39" spans="1:5" x14ac:dyDescent="0.25">
      <c r="A39" s="298" t="s">
        <v>339</v>
      </c>
      <c r="B39" s="298" t="s">
        <v>340</v>
      </c>
      <c r="C39" s="298" t="s">
        <v>346</v>
      </c>
      <c r="D39" s="319">
        <v>1</v>
      </c>
      <c r="E39" s="320"/>
    </row>
    <row r="40" spans="1:5" x14ac:dyDescent="0.25">
      <c r="A40" s="298" t="s">
        <v>339</v>
      </c>
      <c r="B40" s="298" t="s">
        <v>340</v>
      </c>
      <c r="C40" s="298" t="s">
        <v>347</v>
      </c>
      <c r="D40" s="319">
        <v>1</v>
      </c>
      <c r="E40" s="320"/>
    </row>
    <row r="41" spans="1:5" x14ac:dyDescent="0.25">
      <c r="A41" s="298" t="s">
        <v>339</v>
      </c>
      <c r="B41" s="298" t="s">
        <v>340</v>
      </c>
      <c r="C41" s="298" t="s">
        <v>348</v>
      </c>
      <c r="D41" s="319">
        <v>1</v>
      </c>
      <c r="E41" s="320"/>
    </row>
    <row r="42" spans="1:5" x14ac:dyDescent="0.25">
      <c r="A42" s="298" t="s">
        <v>339</v>
      </c>
      <c r="B42" s="298" t="s">
        <v>340</v>
      </c>
      <c r="C42" s="298" t="s">
        <v>349</v>
      </c>
      <c r="D42" s="319">
        <v>1</v>
      </c>
      <c r="E42" s="320"/>
    </row>
    <row r="43" spans="1:5" x14ac:dyDescent="0.25">
      <c r="A43" s="298" t="s">
        <v>339</v>
      </c>
      <c r="B43" s="298" t="s">
        <v>340</v>
      </c>
      <c r="C43" s="298" t="s">
        <v>350</v>
      </c>
      <c r="D43" s="319">
        <v>1</v>
      </c>
      <c r="E43" s="320"/>
    </row>
    <row r="44" spans="1:5" x14ac:dyDescent="0.25">
      <c r="A44" s="298" t="s">
        <v>339</v>
      </c>
      <c r="B44" s="298" t="s">
        <v>340</v>
      </c>
      <c r="C44" s="298" t="s">
        <v>351</v>
      </c>
      <c r="D44" s="319">
        <v>1</v>
      </c>
      <c r="E44" s="320"/>
    </row>
    <row r="45" spans="1:5" x14ac:dyDescent="0.25">
      <c r="A45" s="298" t="s">
        <v>339</v>
      </c>
      <c r="B45" s="298" t="s">
        <v>340</v>
      </c>
      <c r="C45" s="298" t="s">
        <v>352</v>
      </c>
      <c r="D45" s="319">
        <v>1</v>
      </c>
      <c r="E45" s="320"/>
    </row>
    <row r="46" spans="1:5" x14ac:dyDescent="0.25">
      <c r="A46" s="298" t="s">
        <v>339</v>
      </c>
      <c r="B46" s="298" t="s">
        <v>340</v>
      </c>
      <c r="C46" s="298" t="s">
        <v>353</v>
      </c>
      <c r="D46" s="319">
        <v>1</v>
      </c>
      <c r="E46" s="320"/>
    </row>
    <row r="47" spans="1:5" x14ac:dyDescent="0.25">
      <c r="A47" s="298" t="s">
        <v>339</v>
      </c>
      <c r="B47" s="298" t="s">
        <v>354</v>
      </c>
      <c r="C47" s="298" t="s">
        <v>355</v>
      </c>
      <c r="D47" s="319">
        <v>1</v>
      </c>
      <c r="E47" s="320">
        <v>600</v>
      </c>
    </row>
    <row r="48" spans="1:5" x14ac:dyDescent="0.25">
      <c r="A48" s="298" t="s">
        <v>311</v>
      </c>
      <c r="B48" s="298" t="s">
        <v>356</v>
      </c>
      <c r="C48" s="298" t="s">
        <v>357</v>
      </c>
      <c r="D48" s="319">
        <v>1</v>
      </c>
      <c r="E48" s="320">
        <v>1800</v>
      </c>
    </row>
    <row r="49" spans="1:5" x14ac:dyDescent="0.25">
      <c r="A49" s="298" t="s">
        <v>311</v>
      </c>
      <c r="B49" s="298" t="s">
        <v>358</v>
      </c>
      <c r="C49" s="298" t="s">
        <v>359</v>
      </c>
      <c r="D49" s="319">
        <v>1</v>
      </c>
      <c r="E49" s="320">
        <v>50</v>
      </c>
    </row>
    <row r="50" spans="1:5" x14ac:dyDescent="0.25">
      <c r="A50" s="298" t="s">
        <v>339</v>
      </c>
      <c r="B50" s="298" t="s">
        <v>360</v>
      </c>
      <c r="C50" s="298" t="s">
        <v>361</v>
      </c>
      <c r="D50" s="319">
        <v>1</v>
      </c>
      <c r="E50" s="320">
        <v>50</v>
      </c>
    </row>
    <row r="51" spans="1:5" x14ac:dyDescent="0.25">
      <c r="A51" s="298" t="s">
        <v>339</v>
      </c>
      <c r="B51" s="298" t="s">
        <v>362</v>
      </c>
      <c r="C51" s="298" t="s">
        <v>363</v>
      </c>
      <c r="D51" s="319">
        <v>1</v>
      </c>
      <c r="E51" s="320">
        <v>50</v>
      </c>
    </row>
    <row r="52" spans="1:5" x14ac:dyDescent="0.25">
      <c r="A52" s="298" t="s">
        <v>311</v>
      </c>
      <c r="B52" s="298" t="s">
        <v>364</v>
      </c>
      <c r="C52" s="298" t="s">
        <v>365</v>
      </c>
      <c r="D52" s="319">
        <v>1</v>
      </c>
      <c r="E52" s="320">
        <v>2980.24</v>
      </c>
    </row>
    <row r="53" spans="1:5" x14ac:dyDescent="0.25">
      <c r="A53" s="298" t="s">
        <v>324</v>
      </c>
      <c r="B53" s="298" t="s">
        <v>366</v>
      </c>
      <c r="C53" s="298" t="s">
        <v>367</v>
      </c>
      <c r="D53" s="319">
        <v>1</v>
      </c>
      <c r="E53" s="320">
        <v>294</v>
      </c>
    </row>
    <row r="54" spans="1:5" x14ac:dyDescent="0.25">
      <c r="A54" s="298" t="s">
        <v>339</v>
      </c>
      <c r="B54" s="298" t="s">
        <v>368</v>
      </c>
      <c r="C54" s="298" t="s">
        <v>369</v>
      </c>
      <c r="D54" s="319">
        <v>1</v>
      </c>
      <c r="E54" s="320"/>
    </row>
    <row r="55" spans="1:5" x14ac:dyDescent="0.25">
      <c r="A55" s="298" t="s">
        <v>317</v>
      </c>
      <c r="B55" s="298" t="s">
        <v>337</v>
      </c>
      <c r="C55" s="298" t="s">
        <v>370</v>
      </c>
      <c r="D55" s="319">
        <v>1</v>
      </c>
      <c r="E55" s="320">
        <v>-3190</v>
      </c>
    </row>
    <row r="56" spans="1:5" x14ac:dyDescent="0.25">
      <c r="A56" s="298" t="s">
        <v>339</v>
      </c>
      <c r="B56" s="298" t="s">
        <v>371</v>
      </c>
      <c r="C56" s="298" t="s">
        <v>372</v>
      </c>
      <c r="D56" s="319">
        <v>1</v>
      </c>
      <c r="E56" s="320"/>
    </row>
    <row r="57" spans="1:5" x14ac:dyDescent="0.25">
      <c r="A57" s="298" t="s">
        <v>339</v>
      </c>
      <c r="B57" s="298" t="s">
        <v>373</v>
      </c>
      <c r="C57" s="298" t="s">
        <v>374</v>
      </c>
      <c r="D57" s="319">
        <v>1</v>
      </c>
      <c r="E57" s="320"/>
    </row>
    <row r="58" spans="1:5" x14ac:dyDescent="0.25">
      <c r="A58" s="298" t="s">
        <v>339</v>
      </c>
      <c r="B58" s="298" t="s">
        <v>375</v>
      </c>
      <c r="C58" s="298" t="s">
        <v>376</v>
      </c>
      <c r="D58" s="319">
        <v>1</v>
      </c>
      <c r="E58" s="320"/>
    </row>
    <row r="59" spans="1:5" x14ac:dyDescent="0.25">
      <c r="A59" s="298" t="s">
        <v>339</v>
      </c>
      <c r="B59" s="298" t="s">
        <v>377</v>
      </c>
      <c r="C59" s="298" t="s">
        <v>378</v>
      </c>
      <c r="D59" s="319">
        <v>1</v>
      </c>
      <c r="E59" s="320"/>
    </row>
    <row r="60" spans="1:5" x14ac:dyDescent="0.25">
      <c r="A60" s="298" t="s">
        <v>339</v>
      </c>
      <c r="B60" s="298" t="s">
        <v>379</v>
      </c>
      <c r="C60" s="298" t="s">
        <v>380</v>
      </c>
      <c r="D60" s="319">
        <v>1</v>
      </c>
      <c r="E60" s="320"/>
    </row>
    <row r="61" spans="1:5" x14ac:dyDescent="0.25">
      <c r="A61" s="298" t="s">
        <v>339</v>
      </c>
      <c r="B61" s="298" t="s">
        <v>381</v>
      </c>
      <c r="C61" s="298" t="s">
        <v>382</v>
      </c>
      <c r="D61" s="319">
        <v>1</v>
      </c>
      <c r="E61" s="320"/>
    </row>
    <row r="62" spans="1:5" x14ac:dyDescent="0.25">
      <c r="A62" s="298" t="s">
        <v>339</v>
      </c>
      <c r="B62" s="298" t="s">
        <v>383</v>
      </c>
      <c r="C62" s="298" t="s">
        <v>384</v>
      </c>
      <c r="D62" s="319">
        <v>1</v>
      </c>
      <c r="E62" s="320"/>
    </row>
    <row r="63" spans="1:5" x14ac:dyDescent="0.25">
      <c r="A63" s="298" t="s">
        <v>339</v>
      </c>
      <c r="B63" s="298" t="s">
        <v>385</v>
      </c>
      <c r="C63" s="298" t="s">
        <v>386</v>
      </c>
      <c r="D63" s="319">
        <v>1</v>
      </c>
      <c r="E63" s="320"/>
    </row>
    <row r="64" spans="1:5" x14ac:dyDescent="0.25">
      <c r="A64" s="302" t="s">
        <v>339</v>
      </c>
      <c r="B64" s="302" t="s">
        <v>387</v>
      </c>
      <c r="C64" s="302" t="s">
        <v>388</v>
      </c>
      <c r="D64" s="319">
        <v>1</v>
      </c>
      <c r="E64" s="320"/>
    </row>
    <row r="65" spans="1:5" x14ac:dyDescent="0.25">
      <c r="A65" s="302" t="s">
        <v>339</v>
      </c>
      <c r="B65" s="302" t="s">
        <v>389</v>
      </c>
      <c r="C65" s="302" t="s">
        <v>390</v>
      </c>
      <c r="D65" s="304">
        <v>1</v>
      </c>
      <c r="E65" s="305"/>
    </row>
    <row r="66" spans="1:5" x14ac:dyDescent="0.25">
      <c r="A66" s="302" t="s">
        <v>391</v>
      </c>
      <c r="B66" s="302" t="s">
        <v>392</v>
      </c>
      <c r="C66" s="302" t="s">
        <v>393</v>
      </c>
      <c r="D66" s="319">
        <v>1</v>
      </c>
      <c r="E66" s="320"/>
    </row>
    <row r="67" spans="1:5" x14ac:dyDescent="0.25">
      <c r="A67" s="302" t="s">
        <v>339</v>
      </c>
      <c r="B67" s="302" t="s">
        <v>394</v>
      </c>
      <c r="C67" s="302" t="s">
        <v>395</v>
      </c>
      <c r="D67" s="304">
        <v>1</v>
      </c>
      <c r="E67" s="305"/>
    </row>
    <row r="68" spans="1:5" x14ac:dyDescent="0.25">
      <c r="A68" s="302" t="s">
        <v>391</v>
      </c>
      <c r="B68" s="302" t="s">
        <v>396</v>
      </c>
      <c r="C68" s="302" t="s">
        <v>397</v>
      </c>
      <c r="D68" s="319">
        <v>1</v>
      </c>
      <c r="E68" s="320"/>
    </row>
    <row r="69" spans="1:5" x14ac:dyDescent="0.25">
      <c r="A69" s="302" t="s">
        <v>398</v>
      </c>
      <c r="B69" s="302" t="s">
        <v>399</v>
      </c>
      <c r="C69" s="302" t="s">
        <v>400</v>
      </c>
      <c r="D69" s="304">
        <v>1</v>
      </c>
      <c r="E69" s="305"/>
    </row>
    <row r="70" spans="1:5" x14ac:dyDescent="0.25">
      <c r="A70" s="302" t="s">
        <v>391</v>
      </c>
      <c r="B70" s="302" t="s">
        <v>401</v>
      </c>
      <c r="C70" s="302" t="s">
        <v>402</v>
      </c>
      <c r="D70" s="319">
        <v>1</v>
      </c>
      <c r="E70" s="320"/>
    </row>
    <row r="71" spans="1:5" x14ac:dyDescent="0.25">
      <c r="A71" s="302"/>
      <c r="B71" s="302" t="s">
        <v>403</v>
      </c>
      <c r="C71" s="302" t="s">
        <v>404</v>
      </c>
      <c r="D71" s="304">
        <v>1</v>
      </c>
      <c r="E71" s="305"/>
    </row>
  </sheetData>
  <mergeCells count="4">
    <mergeCell ref="B2:C3"/>
    <mergeCell ref="B6:C7"/>
    <mergeCell ref="B4:C5"/>
    <mergeCell ref="B8:C9"/>
  </mergeCells>
  <phoneticPr fontId="26" type="noConversion"/>
  <pageMargins left="0.7" right="0.7" top="0.75" bottom="0.75" header="0.3" footer="0.3"/>
  <pageSetup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D33F0-34DE-4F30-89D5-7C62DA75027F}">
  <sheetPr codeName="Sheet7">
    <tabColor theme="5" tint="0.59999389629810485"/>
    <pageSetUpPr fitToPage="1"/>
  </sheetPr>
  <dimension ref="A1:S207"/>
  <sheetViews>
    <sheetView workbookViewId="0">
      <pane ySplit="4" topLeftCell="A5" activePane="bottomLeft" state="frozen"/>
      <selection activeCell="H28" sqref="H28"/>
      <selection pane="bottomLeft" activeCell="M7" sqref="M7"/>
    </sheetView>
  </sheetViews>
  <sheetFormatPr defaultRowHeight="15" x14ac:dyDescent="0.25"/>
  <cols>
    <col min="1" max="1" width="10.140625" style="74" bestFit="1" customWidth="1"/>
    <col min="2" max="2" width="9.7109375" style="72" bestFit="1" customWidth="1"/>
    <col min="3" max="3" width="18.5703125" style="74" bestFit="1" customWidth="1"/>
    <col min="4" max="4" width="17.7109375" style="74" bestFit="1" customWidth="1"/>
    <col min="5" max="5" width="81.140625" style="74" bestFit="1" customWidth="1"/>
    <col min="6" max="6" width="8.7109375" style="74" bestFit="1" customWidth="1"/>
    <col min="7" max="7" width="14.28515625" style="113" bestFit="1" customWidth="1"/>
    <col min="8" max="8" width="10" style="113" bestFit="1" customWidth="1"/>
    <col min="9" max="9" width="10.28515625" style="301" bestFit="1" customWidth="1"/>
    <col min="10" max="10" width="11.140625" style="72" bestFit="1" customWidth="1"/>
    <col min="11" max="11" width="14.28515625" style="109" bestFit="1" customWidth="1"/>
    <col min="12" max="12" width="9.7109375" style="73" bestFit="1" customWidth="1"/>
    <col min="13" max="13" width="9.42578125" style="72" bestFit="1" customWidth="1"/>
    <col min="14" max="14" width="14.28515625" style="74" bestFit="1" customWidth="1"/>
    <col min="16" max="16" width="15.85546875" bestFit="1" customWidth="1"/>
    <col min="17" max="17" width="1.85546875" bestFit="1" customWidth="1"/>
    <col min="18" max="18" width="12.7109375" bestFit="1" customWidth="1"/>
    <col min="19" max="19" width="1.85546875" bestFit="1" customWidth="1"/>
  </cols>
  <sheetData>
    <row r="1" spans="1:19" ht="15.75" thickTop="1" x14ac:dyDescent="0.25">
      <c r="A1" s="593" t="s">
        <v>405</v>
      </c>
      <c r="B1" s="594"/>
      <c r="C1" s="594"/>
      <c r="D1" s="594"/>
      <c r="E1" s="594"/>
      <c r="F1" s="594"/>
      <c r="G1" s="594"/>
      <c r="H1" s="595"/>
      <c r="I1" s="584" t="s">
        <v>406</v>
      </c>
      <c r="J1" s="585"/>
      <c r="K1" s="585"/>
      <c r="L1" s="585"/>
      <c r="M1" s="585"/>
      <c r="N1" s="586"/>
      <c r="P1" s="31" t="s">
        <v>407</v>
      </c>
      <c r="Q1" s="15">
        <v>1</v>
      </c>
      <c r="R1" s="61" t="s">
        <v>408</v>
      </c>
      <c r="S1" s="15">
        <v>4</v>
      </c>
    </row>
    <row r="2" spans="1:19" x14ac:dyDescent="0.25">
      <c r="A2" s="596"/>
      <c r="B2" s="518"/>
      <c r="C2" s="518"/>
      <c r="D2" s="518"/>
      <c r="E2" s="518"/>
      <c r="F2" s="518"/>
      <c r="G2" s="518"/>
      <c r="H2" s="597"/>
      <c r="I2" s="587"/>
      <c r="J2" s="588"/>
      <c r="K2" s="588"/>
      <c r="L2" s="588"/>
      <c r="M2" s="588"/>
      <c r="N2" s="589"/>
      <c r="P2" s="31" t="s">
        <v>409</v>
      </c>
      <c r="Q2" s="15">
        <v>2</v>
      </c>
      <c r="R2" s="31" t="s">
        <v>410</v>
      </c>
      <c r="S2" s="15">
        <v>0</v>
      </c>
    </row>
    <row r="3" spans="1:19" ht="15.75" thickBot="1" x14ac:dyDescent="0.3">
      <c r="A3" s="598"/>
      <c r="B3" s="599"/>
      <c r="C3" s="599"/>
      <c r="D3" s="599"/>
      <c r="E3" s="599"/>
      <c r="F3" s="599"/>
      <c r="G3" s="599"/>
      <c r="H3" s="600"/>
      <c r="I3" s="590"/>
      <c r="J3" s="591"/>
      <c r="K3" s="591"/>
      <c r="L3" s="591"/>
      <c r="M3" s="591"/>
      <c r="N3" s="592"/>
      <c r="P3" s="31" t="s">
        <v>411</v>
      </c>
      <c r="Q3" s="15">
        <v>3</v>
      </c>
      <c r="R3" s="15" t="s">
        <v>412</v>
      </c>
      <c r="S3" s="15">
        <v>5</v>
      </c>
    </row>
    <row r="4" spans="1:19" s="63" customFormat="1" ht="30.75" thickTop="1" x14ac:dyDescent="0.25">
      <c r="A4" s="110" t="s">
        <v>413</v>
      </c>
      <c r="B4" s="111" t="s">
        <v>414</v>
      </c>
      <c r="C4" s="110" t="s">
        <v>415</v>
      </c>
      <c r="D4" s="110" t="s">
        <v>416</v>
      </c>
      <c r="E4" s="110" t="s">
        <v>417</v>
      </c>
      <c r="F4" s="110" t="s">
        <v>299</v>
      </c>
      <c r="G4" s="112" t="s">
        <v>300</v>
      </c>
      <c r="H4" s="112" t="s">
        <v>418</v>
      </c>
      <c r="I4" s="299" t="s">
        <v>419</v>
      </c>
      <c r="J4" s="69" t="s">
        <v>420</v>
      </c>
      <c r="K4" s="314" t="s">
        <v>82</v>
      </c>
      <c r="L4" s="69" t="s">
        <v>421</v>
      </c>
      <c r="M4" s="69" t="s">
        <v>422</v>
      </c>
      <c r="N4" s="69" t="s">
        <v>161</v>
      </c>
    </row>
    <row r="5" spans="1:19" x14ac:dyDescent="0.25">
      <c r="A5" s="74" t="str">
        <f>+IF(FromProposal[[#This Row],[Cost Code]]&lt;&gt;0,+'Gnatt Chart'!$A$2,"")</f>
        <v xml:space="preserve">AvilaCRI </v>
      </c>
      <c r="B5" s="72">
        <v>1</v>
      </c>
      <c r="C5" s="74" t="s">
        <v>301</v>
      </c>
      <c r="D5" s="74" t="s">
        <v>301</v>
      </c>
      <c r="E5" s="74" t="s">
        <v>302</v>
      </c>
      <c r="F5" s="74">
        <v>0</v>
      </c>
      <c r="G5" s="349">
        <v>7016</v>
      </c>
      <c r="H5" s="349">
        <v>0</v>
      </c>
      <c r="I5" s="300" t="s">
        <v>8</v>
      </c>
      <c r="J5" s="70">
        <v>4</v>
      </c>
      <c r="K5" s="318" t="s">
        <v>423</v>
      </c>
      <c r="L5" s="70"/>
      <c r="M5" s="317">
        <v>7016</v>
      </c>
      <c r="N5" s="71"/>
    </row>
    <row r="6" spans="1:19" x14ac:dyDescent="0.25">
      <c r="A6" s="74" t="str">
        <f>+IF(FromProposal[[#This Row],[Cost Code]]&lt;&gt;0,+'Gnatt Chart'!$A$2,"")</f>
        <v xml:space="preserve">AvilaCRI </v>
      </c>
      <c r="B6" s="72">
        <v>2</v>
      </c>
      <c r="C6" s="74" t="s">
        <v>303</v>
      </c>
      <c r="D6" s="74" t="s">
        <v>304</v>
      </c>
      <c r="E6" s="74" t="s">
        <v>305</v>
      </c>
      <c r="F6" s="74">
        <v>0</v>
      </c>
      <c r="G6" s="349">
        <v>10505.74</v>
      </c>
      <c r="H6" s="349">
        <v>0</v>
      </c>
      <c r="I6" s="300" t="s">
        <v>45</v>
      </c>
      <c r="J6" s="70">
        <v>4</v>
      </c>
      <c r="K6" s="318">
        <v>45218</v>
      </c>
      <c r="L6" s="70"/>
      <c r="M6" s="317">
        <v>10505.74</v>
      </c>
      <c r="N6" s="71"/>
    </row>
    <row r="7" spans="1:19" x14ac:dyDescent="0.25">
      <c r="A7" s="74" t="str">
        <f>+IF(FromProposal[[#This Row],[Cost Code]]&lt;&gt;0,+'Gnatt Chart'!$A$2,"")</f>
        <v xml:space="preserve">AvilaCRI </v>
      </c>
      <c r="B7" s="72">
        <v>3</v>
      </c>
      <c r="C7" s="74" t="s">
        <v>303</v>
      </c>
      <c r="D7" s="74" t="s">
        <v>306</v>
      </c>
      <c r="E7" s="74" t="s">
        <v>306</v>
      </c>
      <c r="F7" s="74">
        <v>0</v>
      </c>
      <c r="G7" s="349">
        <v>9940</v>
      </c>
      <c r="H7" s="349">
        <v>0</v>
      </c>
      <c r="I7" s="300"/>
      <c r="J7" s="70">
        <v>4</v>
      </c>
      <c r="K7" s="318">
        <v>45226</v>
      </c>
      <c r="L7" s="70"/>
      <c r="M7" s="317">
        <v>9940</v>
      </c>
      <c r="N7" s="71"/>
    </row>
    <row r="8" spans="1:19" x14ac:dyDescent="0.25">
      <c r="A8" s="74" t="str">
        <f>+IF(FromProposal[[#This Row],[Cost Code]]&lt;&gt;0,+'Gnatt Chart'!$A$2,"")</f>
        <v/>
      </c>
      <c r="B8" s="72">
        <v>4</v>
      </c>
      <c r="D8" s="74" t="s">
        <v>307</v>
      </c>
      <c r="E8" s="74" t="s">
        <v>308</v>
      </c>
      <c r="F8" s="74">
        <v>6</v>
      </c>
      <c r="G8" s="349"/>
      <c r="H8" s="349"/>
      <c r="I8" s="300"/>
      <c r="J8" s="70">
        <v>5</v>
      </c>
      <c r="K8" s="318"/>
      <c r="L8" s="70"/>
      <c r="M8" s="317"/>
      <c r="N8" s="71"/>
    </row>
    <row r="9" spans="1:19" x14ac:dyDescent="0.25">
      <c r="A9" s="74" t="str">
        <f>+IF(FromProposal[[#This Row],[Cost Code]]&lt;&gt;0,+'Gnatt Chart'!$A$2,"")</f>
        <v xml:space="preserve">AvilaCRI </v>
      </c>
      <c r="B9" s="72">
        <v>5</v>
      </c>
      <c r="C9" s="74" t="s">
        <v>309</v>
      </c>
      <c r="D9" s="74" t="s">
        <v>310</v>
      </c>
      <c r="E9" s="74" t="s">
        <v>309</v>
      </c>
      <c r="F9" s="74">
        <v>0</v>
      </c>
      <c r="G9" s="349">
        <v>0</v>
      </c>
      <c r="H9" s="349">
        <v>0</v>
      </c>
      <c r="I9" s="300"/>
      <c r="J9" s="70">
        <v>0</v>
      </c>
      <c r="K9" s="318"/>
      <c r="L9" s="70"/>
      <c r="M9" s="317"/>
      <c r="N9" s="71"/>
    </row>
    <row r="10" spans="1:19" x14ac:dyDescent="0.25">
      <c r="A10" s="74" t="str">
        <f>+IF(FromProposal[[#This Row],[Cost Code]]&lt;&gt;0,+'Gnatt Chart'!$A$2,"")</f>
        <v xml:space="preserve">AvilaCRI </v>
      </c>
      <c r="B10" s="72">
        <v>6</v>
      </c>
      <c r="C10" s="74" t="s">
        <v>311</v>
      </c>
      <c r="D10" s="74" t="s">
        <v>310</v>
      </c>
      <c r="E10" s="74" t="s">
        <v>312</v>
      </c>
      <c r="F10" s="74">
        <v>0</v>
      </c>
      <c r="G10" s="349">
        <v>0</v>
      </c>
      <c r="H10" s="349">
        <v>0</v>
      </c>
      <c r="I10" s="300"/>
      <c r="J10" s="70">
        <v>0</v>
      </c>
      <c r="K10" s="318"/>
      <c r="L10" s="70">
        <v>5</v>
      </c>
      <c r="M10" s="317"/>
      <c r="N10" s="71"/>
    </row>
    <row r="11" spans="1:19" x14ac:dyDescent="0.25">
      <c r="A11" s="74" t="str">
        <f>+IF(FromProposal[[#This Row],[Cost Code]]&lt;&gt;0,+'Gnatt Chart'!$A$2,"")</f>
        <v xml:space="preserve">AvilaCRI </v>
      </c>
      <c r="B11" s="72">
        <v>7</v>
      </c>
      <c r="C11" s="74" t="s">
        <v>313</v>
      </c>
      <c r="D11" s="74" t="s">
        <v>310</v>
      </c>
      <c r="E11" s="74" t="s">
        <v>314</v>
      </c>
      <c r="F11" s="74">
        <v>0</v>
      </c>
      <c r="G11" s="349">
        <v>0</v>
      </c>
      <c r="H11" s="349">
        <v>0</v>
      </c>
      <c r="I11" s="300"/>
      <c r="J11" s="70">
        <v>0</v>
      </c>
      <c r="K11" s="318"/>
      <c r="L11" s="70"/>
      <c r="M11" s="317"/>
      <c r="N11" s="71"/>
    </row>
    <row r="12" spans="1:19" x14ac:dyDescent="0.25">
      <c r="A12" s="74" t="str">
        <f>+IF(FromProposal[[#This Row],[Cost Code]]&lt;&gt;0,+'Gnatt Chart'!$A$2,"")</f>
        <v xml:space="preserve">AvilaCRI </v>
      </c>
      <c r="B12" s="72">
        <v>8</v>
      </c>
      <c r="C12" s="74" t="s">
        <v>315</v>
      </c>
      <c r="D12" s="74" t="s">
        <v>310</v>
      </c>
      <c r="E12" s="74" t="s">
        <v>316</v>
      </c>
      <c r="F12" s="74">
        <v>0</v>
      </c>
      <c r="G12" s="349">
        <v>0</v>
      </c>
      <c r="H12" s="349">
        <v>0</v>
      </c>
      <c r="I12" s="300"/>
      <c r="J12" s="70">
        <v>0</v>
      </c>
      <c r="K12" s="318"/>
      <c r="L12" s="70"/>
      <c r="M12" s="317"/>
      <c r="N12" s="71"/>
    </row>
    <row r="13" spans="1:19" x14ac:dyDescent="0.25">
      <c r="A13" s="74" t="str">
        <f>+IF(FromProposal[[#This Row],[Cost Code]]&lt;&gt;0,+'Gnatt Chart'!$A$2,"")</f>
        <v xml:space="preserve">AvilaCRI </v>
      </c>
      <c r="B13" s="72">
        <v>9</v>
      </c>
      <c r="C13" s="74" t="s">
        <v>317</v>
      </c>
      <c r="D13" s="74" t="s">
        <v>310</v>
      </c>
      <c r="E13" s="74" t="s">
        <v>318</v>
      </c>
      <c r="F13" s="74">
        <v>0</v>
      </c>
      <c r="G13" s="349">
        <v>0</v>
      </c>
      <c r="H13" s="349">
        <v>0</v>
      </c>
      <c r="I13" s="300" t="s">
        <v>45</v>
      </c>
      <c r="J13" s="70">
        <v>0</v>
      </c>
      <c r="K13" s="318"/>
      <c r="L13" s="70"/>
      <c r="M13" s="317"/>
      <c r="N13" s="71"/>
    </row>
    <row r="14" spans="1:19" x14ac:dyDescent="0.25">
      <c r="A14" s="74" t="str">
        <f>+IF(FromProposal[[#This Row],[Cost Code]]&lt;&gt;0,+'Gnatt Chart'!$A$2,"")</f>
        <v xml:space="preserve">AvilaCRI </v>
      </c>
      <c r="B14" s="72">
        <v>10</v>
      </c>
      <c r="C14" s="74" t="s">
        <v>319</v>
      </c>
      <c r="D14" s="74" t="s">
        <v>320</v>
      </c>
      <c r="E14" s="74" t="s">
        <v>321</v>
      </c>
      <c r="F14" s="74">
        <v>1</v>
      </c>
      <c r="G14" s="348">
        <v>3800</v>
      </c>
      <c r="H14" s="348">
        <v>3800</v>
      </c>
      <c r="I14" s="300" t="s">
        <v>45</v>
      </c>
      <c r="J14" s="70">
        <v>1</v>
      </c>
      <c r="K14" s="318">
        <v>45213</v>
      </c>
      <c r="L14" s="70">
        <v>1</v>
      </c>
      <c r="M14" s="317"/>
      <c r="N14" s="71"/>
    </row>
    <row r="15" spans="1:19" x14ac:dyDescent="0.25">
      <c r="A15" s="74" t="str">
        <f>+IF(FromProposal[[#This Row],[Cost Code]]&lt;&gt;0,+'Gnatt Chart'!$A$2,"")</f>
        <v xml:space="preserve">AvilaCRI </v>
      </c>
      <c r="B15" s="72">
        <v>11</v>
      </c>
      <c r="C15" s="74" t="s">
        <v>319</v>
      </c>
      <c r="E15" s="74" t="s">
        <v>322</v>
      </c>
      <c r="F15" s="74">
        <v>0</v>
      </c>
      <c r="G15" s="349"/>
      <c r="H15" s="349"/>
      <c r="I15" s="300" t="s">
        <v>45</v>
      </c>
      <c r="J15" s="70">
        <v>1</v>
      </c>
      <c r="K15" s="318">
        <v>45213</v>
      </c>
      <c r="L15" s="70">
        <v>1</v>
      </c>
      <c r="M15" s="317"/>
      <c r="N15" s="71"/>
    </row>
    <row r="16" spans="1:19" x14ac:dyDescent="0.25">
      <c r="A16" s="74" t="str">
        <f>+IF(FromProposal[[#This Row],[Cost Code]]&lt;&gt;0,+'Gnatt Chart'!$A$2,"")</f>
        <v xml:space="preserve">AvilaCRI </v>
      </c>
      <c r="B16" s="72">
        <v>12</v>
      </c>
      <c r="C16" s="74" t="s">
        <v>319</v>
      </c>
      <c r="E16" s="74" t="s">
        <v>323</v>
      </c>
      <c r="F16" s="74">
        <v>0</v>
      </c>
      <c r="G16" s="349"/>
      <c r="H16" s="349"/>
      <c r="I16" s="300" t="s">
        <v>45</v>
      </c>
      <c r="J16" s="70">
        <v>1</v>
      </c>
      <c r="K16" s="318">
        <v>45213</v>
      </c>
      <c r="L16" s="70">
        <v>1</v>
      </c>
      <c r="M16" s="317"/>
      <c r="N16" s="71"/>
    </row>
    <row r="17" spans="1:14" x14ac:dyDescent="0.25">
      <c r="A17" s="74" t="str">
        <f>+IF(FromProposal[[#This Row],[Cost Code]]&lt;&gt;0,+'Gnatt Chart'!$A$2,"")</f>
        <v xml:space="preserve">AvilaCRI </v>
      </c>
      <c r="B17" s="72">
        <v>13</v>
      </c>
      <c r="C17" s="74" t="s">
        <v>324</v>
      </c>
      <c r="E17" s="74" t="s">
        <v>325</v>
      </c>
      <c r="F17" s="74">
        <v>1</v>
      </c>
      <c r="G17" s="349">
        <v>4950</v>
      </c>
      <c r="H17" s="349">
        <v>4950</v>
      </c>
      <c r="I17" s="300" t="s">
        <v>45</v>
      </c>
      <c r="J17" s="70">
        <v>1</v>
      </c>
      <c r="K17" s="318">
        <v>45216</v>
      </c>
      <c r="L17" s="70">
        <v>7</v>
      </c>
      <c r="M17" s="317"/>
      <c r="N17" s="71"/>
    </row>
    <row r="18" spans="1:14" x14ac:dyDescent="0.25">
      <c r="A18" s="74" t="str">
        <f>+IF(FromProposal[[#This Row],[Cost Code]]&lt;&gt;0,+'Gnatt Chart'!$A$2,"")</f>
        <v xml:space="preserve">AvilaCRI </v>
      </c>
      <c r="B18" s="72">
        <v>14</v>
      </c>
      <c r="C18" s="74" t="s">
        <v>326</v>
      </c>
      <c r="E18" s="74" t="s">
        <v>327</v>
      </c>
      <c r="F18" s="74">
        <v>1</v>
      </c>
      <c r="G18" s="349">
        <v>590</v>
      </c>
      <c r="H18" s="349">
        <v>590</v>
      </c>
      <c r="I18" s="300"/>
      <c r="J18" s="70">
        <v>1</v>
      </c>
      <c r="K18" s="318"/>
      <c r="L18" s="70">
        <v>1</v>
      </c>
      <c r="M18" s="317"/>
      <c r="N18" s="71"/>
    </row>
    <row r="19" spans="1:14" x14ac:dyDescent="0.25">
      <c r="A19" s="74" t="str">
        <f>+IF(FromProposal[[#This Row],[Cost Code]]&lt;&gt;0,+'Gnatt Chart'!$A$2,"")</f>
        <v xml:space="preserve">AvilaCRI </v>
      </c>
      <c r="B19" s="72">
        <v>15</v>
      </c>
      <c r="C19" s="74" t="s">
        <v>311</v>
      </c>
      <c r="D19" s="74" t="s">
        <v>328</v>
      </c>
      <c r="E19" s="74" t="s">
        <v>329</v>
      </c>
      <c r="F19" s="74">
        <v>1</v>
      </c>
      <c r="G19" s="349">
        <v>3790</v>
      </c>
      <c r="H19" s="349">
        <v>3790</v>
      </c>
      <c r="I19" s="300" t="s">
        <v>8</v>
      </c>
      <c r="J19" s="70">
        <v>1</v>
      </c>
      <c r="K19" s="318">
        <v>45226</v>
      </c>
      <c r="L19" s="70">
        <v>2</v>
      </c>
      <c r="M19" s="317"/>
      <c r="N19" s="71"/>
    </row>
    <row r="20" spans="1:14" x14ac:dyDescent="0.25">
      <c r="A20" s="74" t="str">
        <f>+IF(FromProposal[[#This Row],[Cost Code]]&lt;&gt;0,+'Gnatt Chart'!$A$2,"")</f>
        <v xml:space="preserve">AvilaCRI </v>
      </c>
      <c r="B20" s="72">
        <v>16</v>
      </c>
      <c r="C20" s="74" t="s">
        <v>311</v>
      </c>
      <c r="E20" s="74" t="s">
        <v>330</v>
      </c>
      <c r="G20" s="349"/>
      <c r="H20" s="349"/>
      <c r="I20" s="300"/>
      <c r="J20" s="70">
        <v>1</v>
      </c>
      <c r="K20" s="318"/>
      <c r="L20" s="70"/>
      <c r="M20" s="317"/>
      <c r="N20" s="71"/>
    </row>
    <row r="21" spans="1:14" x14ac:dyDescent="0.25">
      <c r="A21" s="74" t="str">
        <f>+IF(FromProposal[[#This Row],[Cost Code]]&lt;&gt;0,+'Gnatt Chart'!$A$2,"")</f>
        <v xml:space="preserve">AvilaCRI </v>
      </c>
      <c r="B21" s="72">
        <v>17</v>
      </c>
      <c r="C21" s="74" t="s">
        <v>311</v>
      </c>
      <c r="E21" s="74" t="s">
        <v>331</v>
      </c>
      <c r="G21" s="349"/>
      <c r="H21" s="349"/>
      <c r="I21" s="300"/>
      <c r="J21" s="70">
        <v>1</v>
      </c>
      <c r="K21" s="318"/>
      <c r="L21" s="70"/>
      <c r="M21" s="317"/>
      <c r="N21" s="71"/>
    </row>
    <row r="22" spans="1:14" x14ac:dyDescent="0.25">
      <c r="A22" s="74" t="str">
        <f>+IF(FromProposal[[#This Row],[Cost Code]]&lt;&gt;0,+'Gnatt Chart'!$A$2,"")</f>
        <v xml:space="preserve">AvilaCRI </v>
      </c>
      <c r="B22" s="72">
        <v>18</v>
      </c>
      <c r="C22" s="74" t="s">
        <v>311</v>
      </c>
      <c r="D22" s="74" t="s">
        <v>332</v>
      </c>
      <c r="E22" s="74" t="s">
        <v>333</v>
      </c>
      <c r="F22" s="74">
        <v>1</v>
      </c>
      <c r="G22" s="349">
        <v>1200</v>
      </c>
      <c r="H22" s="349">
        <v>1200</v>
      </c>
      <c r="I22" s="300" t="s">
        <v>45</v>
      </c>
      <c r="J22" s="70">
        <v>1</v>
      </c>
      <c r="K22" s="318">
        <v>45225</v>
      </c>
      <c r="L22" s="70">
        <v>1</v>
      </c>
      <c r="M22" s="317"/>
      <c r="N22" s="71"/>
    </row>
    <row r="23" spans="1:14" x14ac:dyDescent="0.25">
      <c r="A23" s="74" t="str">
        <f>+IF(FromProposal[[#This Row],[Cost Code]]&lt;&gt;0,+'Gnatt Chart'!$A$2,"")</f>
        <v xml:space="preserve">AvilaCRI </v>
      </c>
      <c r="B23" s="72">
        <v>19</v>
      </c>
      <c r="C23" s="74" t="s">
        <v>317</v>
      </c>
      <c r="D23" s="74" t="s">
        <v>334</v>
      </c>
      <c r="E23" s="74" t="s">
        <v>335</v>
      </c>
      <c r="F23" s="74">
        <v>1</v>
      </c>
      <c r="G23" s="349">
        <v>3190</v>
      </c>
      <c r="H23" s="349">
        <v>3190</v>
      </c>
      <c r="I23" s="300" t="s">
        <v>45</v>
      </c>
      <c r="J23" s="70">
        <v>1</v>
      </c>
      <c r="K23" s="318">
        <v>45219</v>
      </c>
      <c r="L23" s="70">
        <v>1</v>
      </c>
      <c r="M23" s="317"/>
      <c r="N23" s="71" t="s">
        <v>424</v>
      </c>
    </row>
    <row r="24" spans="1:14" x14ac:dyDescent="0.25">
      <c r="A24" s="74" t="str">
        <f>+IF(FromProposal[[#This Row],[Cost Code]]&lt;&gt;0,+'Gnatt Chart'!$A$2,"")</f>
        <v xml:space="preserve">AvilaCRI </v>
      </c>
      <c r="B24" s="72">
        <v>20</v>
      </c>
      <c r="C24" s="74" t="s">
        <v>317</v>
      </c>
      <c r="D24" s="74" t="s">
        <v>334</v>
      </c>
      <c r="E24" s="74" t="s">
        <v>336</v>
      </c>
      <c r="F24" s="74">
        <v>0</v>
      </c>
      <c r="G24" s="349"/>
      <c r="H24" s="349"/>
      <c r="I24" s="300"/>
      <c r="J24" s="70">
        <v>1</v>
      </c>
      <c r="K24" s="318"/>
      <c r="L24" s="70"/>
      <c r="M24" s="317"/>
      <c r="N24" s="71"/>
    </row>
    <row r="25" spans="1:14" x14ac:dyDescent="0.25">
      <c r="A25" s="74" t="str">
        <f>+IF(FromProposal[[#This Row],[Cost Code]]&lt;&gt;0,+'Gnatt Chart'!$A$2,"")</f>
        <v xml:space="preserve">AvilaCRI </v>
      </c>
      <c r="B25" s="72">
        <v>21</v>
      </c>
      <c r="C25" s="74" t="s">
        <v>317</v>
      </c>
      <c r="D25" s="74" t="s">
        <v>337</v>
      </c>
      <c r="E25" s="74" t="s">
        <v>338</v>
      </c>
      <c r="F25" s="74">
        <v>1</v>
      </c>
      <c r="G25" s="349">
        <v>4345</v>
      </c>
      <c r="H25" s="349">
        <v>4345</v>
      </c>
      <c r="I25" s="300" t="s">
        <v>45</v>
      </c>
      <c r="J25" s="70">
        <v>2</v>
      </c>
      <c r="K25" s="318">
        <v>45219</v>
      </c>
      <c r="L25" s="70"/>
      <c r="M25" s="317"/>
      <c r="N25" s="71"/>
    </row>
    <row r="26" spans="1:14" x14ac:dyDescent="0.25">
      <c r="A26" s="74" t="str">
        <f>+IF(FromProposal[[#This Row],[Cost Code]]&lt;&gt;0,+'Gnatt Chart'!$A$2,"")</f>
        <v xml:space="preserve">AvilaCRI </v>
      </c>
      <c r="B26" s="72">
        <v>22</v>
      </c>
      <c r="C26" s="74" t="s">
        <v>339</v>
      </c>
      <c r="D26" s="74" t="s">
        <v>340</v>
      </c>
      <c r="E26" s="332" t="s">
        <v>339</v>
      </c>
      <c r="F26" s="332">
        <v>1</v>
      </c>
      <c r="G26" s="350">
        <v>4252.5</v>
      </c>
      <c r="H26" s="350">
        <v>4252.5</v>
      </c>
      <c r="I26" s="300" t="s">
        <v>45</v>
      </c>
      <c r="J26" s="70">
        <v>1</v>
      </c>
      <c r="K26" s="318">
        <v>45229</v>
      </c>
      <c r="L26" s="70">
        <v>7</v>
      </c>
      <c r="M26" s="317"/>
      <c r="N26" s="71"/>
    </row>
    <row r="27" spans="1:14" x14ac:dyDescent="0.25">
      <c r="A27" s="74" t="str">
        <f>+IF(FromProposal[[#This Row],[Cost Code]]&lt;&gt;0,+'Gnatt Chart'!$A$2,"")</f>
        <v xml:space="preserve">AvilaCRI </v>
      </c>
      <c r="B27" s="72">
        <v>23</v>
      </c>
      <c r="C27" s="74" t="s">
        <v>339</v>
      </c>
      <c r="D27" s="74" t="s">
        <v>340</v>
      </c>
      <c r="E27" s="74" t="s">
        <v>341</v>
      </c>
      <c r="F27" s="74">
        <v>1</v>
      </c>
      <c r="G27" s="349"/>
      <c r="H27" s="349"/>
      <c r="I27" s="300"/>
      <c r="J27" s="70">
        <v>1</v>
      </c>
      <c r="K27" s="318">
        <v>45229</v>
      </c>
      <c r="L27" s="70"/>
      <c r="M27" s="317"/>
      <c r="N27" s="71"/>
    </row>
    <row r="28" spans="1:14" x14ac:dyDescent="0.25">
      <c r="A28" s="74" t="str">
        <f>+IF(FromProposal[[#This Row],[Cost Code]]&lt;&gt;0,+'Gnatt Chart'!$A$2,"")</f>
        <v xml:space="preserve">AvilaCRI </v>
      </c>
      <c r="B28" s="72">
        <v>24</v>
      </c>
      <c r="C28" s="74" t="s">
        <v>339</v>
      </c>
      <c r="D28" s="74" t="s">
        <v>340</v>
      </c>
      <c r="E28" s="74" t="s">
        <v>342</v>
      </c>
      <c r="F28" s="74">
        <v>1</v>
      </c>
      <c r="G28" s="349"/>
      <c r="H28" s="349"/>
      <c r="I28" s="300"/>
      <c r="J28" s="70">
        <v>1</v>
      </c>
      <c r="K28" s="318">
        <v>45229</v>
      </c>
      <c r="L28" s="70"/>
      <c r="M28" s="317"/>
      <c r="N28" s="71"/>
    </row>
    <row r="29" spans="1:14" x14ac:dyDescent="0.25">
      <c r="A29" s="74" t="str">
        <f>+IF(FromProposal[[#This Row],[Cost Code]]&lt;&gt;0,+'Gnatt Chart'!$A$2,"")</f>
        <v xml:space="preserve">AvilaCRI </v>
      </c>
      <c r="B29" s="72">
        <v>25</v>
      </c>
      <c r="C29" s="74" t="s">
        <v>339</v>
      </c>
      <c r="D29" s="74" t="s">
        <v>340</v>
      </c>
      <c r="E29" s="74" t="s">
        <v>343</v>
      </c>
      <c r="F29" s="74">
        <v>1</v>
      </c>
      <c r="G29" s="349"/>
      <c r="H29" s="349"/>
      <c r="I29" s="300"/>
      <c r="J29" s="70">
        <v>1</v>
      </c>
      <c r="K29" s="318">
        <v>45229</v>
      </c>
      <c r="L29" s="70"/>
      <c r="M29" s="317"/>
      <c r="N29" s="71"/>
    </row>
    <row r="30" spans="1:14" x14ac:dyDescent="0.25">
      <c r="A30" s="74" t="str">
        <f>+IF(FromProposal[[#This Row],[Cost Code]]&lt;&gt;0,+'Gnatt Chart'!$A$2,"")</f>
        <v xml:space="preserve">AvilaCRI </v>
      </c>
      <c r="B30" s="72">
        <v>26</v>
      </c>
      <c r="C30" s="74" t="s">
        <v>339</v>
      </c>
      <c r="D30" s="74" t="s">
        <v>340</v>
      </c>
      <c r="E30" s="74" t="s">
        <v>344</v>
      </c>
      <c r="F30" s="74">
        <v>1</v>
      </c>
      <c r="G30" s="349"/>
      <c r="H30" s="349"/>
      <c r="I30" s="300"/>
      <c r="J30" s="70">
        <v>1</v>
      </c>
      <c r="K30" s="318">
        <v>45229</v>
      </c>
      <c r="L30" s="70"/>
      <c r="M30" s="317"/>
      <c r="N30" s="71"/>
    </row>
    <row r="31" spans="1:14" x14ac:dyDescent="0.25">
      <c r="A31" s="74" t="str">
        <f>+IF(FromProposal[[#This Row],[Cost Code]]&lt;&gt;0,+'Gnatt Chart'!$A$2,"")</f>
        <v xml:space="preserve">AvilaCRI </v>
      </c>
      <c r="B31" s="72">
        <v>27</v>
      </c>
      <c r="C31" s="74" t="s">
        <v>339</v>
      </c>
      <c r="D31" s="74" t="s">
        <v>340</v>
      </c>
      <c r="E31" s="74" t="s">
        <v>345</v>
      </c>
      <c r="F31" s="74">
        <v>1</v>
      </c>
      <c r="G31" s="349"/>
      <c r="H31" s="349"/>
      <c r="I31" s="300"/>
      <c r="J31" s="70">
        <v>1</v>
      </c>
      <c r="K31" s="318">
        <v>45229</v>
      </c>
      <c r="L31" s="70"/>
      <c r="M31" s="317"/>
      <c r="N31" s="71"/>
    </row>
    <row r="32" spans="1:14" x14ac:dyDescent="0.25">
      <c r="A32" s="74" t="str">
        <f>+IF(FromProposal[[#This Row],[Cost Code]]&lt;&gt;0,+'Gnatt Chart'!$A$2,"")</f>
        <v xml:space="preserve">AvilaCRI </v>
      </c>
      <c r="B32" s="72">
        <v>28</v>
      </c>
      <c r="C32" s="74" t="s">
        <v>339</v>
      </c>
      <c r="D32" s="74" t="s">
        <v>340</v>
      </c>
      <c r="E32" s="74" t="s">
        <v>346</v>
      </c>
      <c r="F32" s="74">
        <v>1</v>
      </c>
      <c r="G32" s="349"/>
      <c r="H32" s="349"/>
      <c r="I32" s="300"/>
      <c r="J32" s="70">
        <v>1</v>
      </c>
      <c r="K32" s="318">
        <v>45229</v>
      </c>
      <c r="L32" s="70"/>
      <c r="M32" s="317"/>
      <c r="N32" s="71"/>
    </row>
    <row r="33" spans="1:14" x14ac:dyDescent="0.25">
      <c r="A33" s="74" t="str">
        <f>+IF(FromProposal[[#This Row],[Cost Code]]&lt;&gt;0,+'Gnatt Chart'!$A$2,"")</f>
        <v xml:space="preserve">AvilaCRI </v>
      </c>
      <c r="B33" s="72">
        <v>29</v>
      </c>
      <c r="C33" s="74" t="s">
        <v>339</v>
      </c>
      <c r="D33" s="74" t="s">
        <v>340</v>
      </c>
      <c r="E33" s="74" t="s">
        <v>347</v>
      </c>
      <c r="F33" s="74">
        <v>1</v>
      </c>
      <c r="G33" s="349"/>
      <c r="H33" s="349"/>
      <c r="I33" s="300"/>
      <c r="J33" s="70">
        <v>1</v>
      </c>
      <c r="K33" s="318">
        <v>45229</v>
      </c>
      <c r="L33" s="70"/>
      <c r="M33" s="317"/>
      <c r="N33" s="71"/>
    </row>
    <row r="34" spans="1:14" x14ac:dyDescent="0.25">
      <c r="A34" s="74" t="str">
        <f>+IF(FromProposal[[#This Row],[Cost Code]]&lt;&gt;0,+'Gnatt Chart'!$A$2,"")</f>
        <v xml:space="preserve">AvilaCRI </v>
      </c>
      <c r="B34" s="72">
        <v>30</v>
      </c>
      <c r="C34" s="74" t="s">
        <v>339</v>
      </c>
      <c r="D34" s="74" t="s">
        <v>340</v>
      </c>
      <c r="E34" s="74" t="s">
        <v>348</v>
      </c>
      <c r="F34" s="74">
        <v>1</v>
      </c>
      <c r="G34" s="349"/>
      <c r="H34" s="349"/>
      <c r="I34" s="300"/>
      <c r="J34" s="70">
        <v>1</v>
      </c>
      <c r="K34" s="318">
        <v>45229</v>
      </c>
      <c r="L34" s="70"/>
      <c r="M34" s="317"/>
      <c r="N34" s="71"/>
    </row>
    <row r="35" spans="1:14" x14ac:dyDescent="0.25">
      <c r="A35" s="74" t="str">
        <f>+IF(FromProposal[[#This Row],[Cost Code]]&lt;&gt;0,+'Gnatt Chart'!$A$2,"")</f>
        <v xml:space="preserve">AvilaCRI </v>
      </c>
      <c r="B35" s="72">
        <v>31</v>
      </c>
      <c r="C35" s="74" t="s">
        <v>339</v>
      </c>
      <c r="D35" s="74" t="s">
        <v>340</v>
      </c>
      <c r="E35" s="74" t="s">
        <v>349</v>
      </c>
      <c r="F35" s="74">
        <v>1</v>
      </c>
      <c r="G35" s="349"/>
      <c r="H35" s="349"/>
      <c r="I35" s="300"/>
      <c r="J35" s="70">
        <v>1</v>
      </c>
      <c r="K35" s="318">
        <v>45229</v>
      </c>
      <c r="L35" s="70"/>
      <c r="M35" s="317"/>
      <c r="N35" s="71"/>
    </row>
    <row r="36" spans="1:14" x14ac:dyDescent="0.25">
      <c r="A36" s="74" t="str">
        <f>+IF(FromProposal[[#This Row],[Cost Code]]&lt;&gt;0,+'Gnatt Chart'!$A$2,"")</f>
        <v xml:space="preserve">AvilaCRI </v>
      </c>
      <c r="B36" s="72">
        <v>32</v>
      </c>
      <c r="C36" s="74" t="s">
        <v>339</v>
      </c>
      <c r="D36" s="74" t="s">
        <v>340</v>
      </c>
      <c r="E36" s="74" t="s">
        <v>350</v>
      </c>
      <c r="F36" s="74">
        <v>1</v>
      </c>
      <c r="G36" s="349"/>
      <c r="H36" s="349"/>
      <c r="I36" s="300"/>
      <c r="J36" s="70">
        <v>1</v>
      </c>
      <c r="K36" s="318">
        <v>45229</v>
      </c>
      <c r="L36" s="70"/>
      <c r="M36" s="317"/>
      <c r="N36" s="71"/>
    </row>
    <row r="37" spans="1:14" x14ac:dyDescent="0.25">
      <c r="A37" s="74" t="str">
        <f>+IF(FromProposal[[#This Row],[Cost Code]]&lt;&gt;0,+'Gnatt Chart'!$A$2,"")</f>
        <v xml:space="preserve">AvilaCRI </v>
      </c>
      <c r="B37" s="72">
        <v>33</v>
      </c>
      <c r="C37" s="74" t="s">
        <v>339</v>
      </c>
      <c r="D37" s="74" t="s">
        <v>340</v>
      </c>
      <c r="E37" s="74" t="s">
        <v>351</v>
      </c>
      <c r="F37" s="74">
        <v>1</v>
      </c>
      <c r="G37" s="349"/>
      <c r="H37" s="349"/>
      <c r="I37" s="300"/>
      <c r="J37" s="70">
        <v>1</v>
      </c>
      <c r="K37" s="318">
        <v>45229</v>
      </c>
      <c r="L37" s="70"/>
      <c r="M37" s="317"/>
      <c r="N37" s="71"/>
    </row>
    <row r="38" spans="1:14" x14ac:dyDescent="0.25">
      <c r="A38" s="74" t="str">
        <f>+IF(FromProposal[[#This Row],[Cost Code]]&lt;&gt;0,+'Gnatt Chart'!$A$2,"")</f>
        <v xml:space="preserve">AvilaCRI </v>
      </c>
      <c r="B38" s="72">
        <v>34</v>
      </c>
      <c r="C38" s="74" t="s">
        <v>339</v>
      </c>
      <c r="D38" s="74" t="s">
        <v>340</v>
      </c>
      <c r="E38" s="74" t="s">
        <v>352</v>
      </c>
      <c r="F38" s="74">
        <v>1</v>
      </c>
      <c r="G38" s="349"/>
      <c r="H38" s="349"/>
      <c r="I38" s="300"/>
      <c r="J38" s="70">
        <v>1</v>
      </c>
      <c r="K38" s="318">
        <v>45229</v>
      </c>
      <c r="L38" s="70"/>
      <c r="M38" s="317"/>
      <c r="N38" s="71"/>
    </row>
    <row r="39" spans="1:14" x14ac:dyDescent="0.25">
      <c r="A39" s="74" t="str">
        <f>+IF(FromProposal[[#This Row],[Cost Code]]&lt;&gt;0,+'Gnatt Chart'!$A$2,"")</f>
        <v xml:space="preserve">AvilaCRI </v>
      </c>
      <c r="B39" s="72">
        <v>35</v>
      </c>
      <c r="C39" s="74" t="s">
        <v>339</v>
      </c>
      <c r="D39" s="74" t="s">
        <v>340</v>
      </c>
      <c r="E39" s="74" t="s">
        <v>353</v>
      </c>
      <c r="F39" s="74">
        <v>1</v>
      </c>
      <c r="G39" s="349"/>
      <c r="H39" s="349"/>
      <c r="I39" s="300"/>
      <c r="J39" s="70">
        <v>1</v>
      </c>
      <c r="K39" s="318">
        <v>45216</v>
      </c>
      <c r="L39" s="70">
        <v>1</v>
      </c>
      <c r="M39" s="317"/>
      <c r="N39" s="71"/>
    </row>
    <row r="40" spans="1:14" x14ac:dyDescent="0.25">
      <c r="A40" s="74" t="str">
        <f>+IF(FromProposal[[#This Row],[Cost Code]]&lt;&gt;0,+'Gnatt Chart'!$A$2,"")</f>
        <v xml:space="preserve">AvilaCRI </v>
      </c>
      <c r="B40" s="72">
        <v>36</v>
      </c>
      <c r="C40" s="74" t="s">
        <v>339</v>
      </c>
      <c r="D40" s="74" t="s">
        <v>354</v>
      </c>
      <c r="E40" s="74" t="s">
        <v>355</v>
      </c>
      <c r="F40" s="74">
        <v>1</v>
      </c>
      <c r="G40" s="349">
        <v>600</v>
      </c>
      <c r="H40" s="349">
        <v>600</v>
      </c>
      <c r="I40" s="300"/>
      <c r="J40" s="70">
        <v>2</v>
      </c>
      <c r="K40" s="318"/>
      <c r="L40" s="70"/>
      <c r="M40" s="317"/>
      <c r="N40" s="71"/>
    </row>
    <row r="41" spans="1:14" x14ac:dyDescent="0.25">
      <c r="A41" s="74" t="str">
        <f>+IF(FromProposal[[#This Row],[Cost Code]]&lt;&gt;0,+'Gnatt Chart'!$A$2,"")</f>
        <v xml:space="preserve">AvilaCRI </v>
      </c>
      <c r="B41" s="72">
        <v>37</v>
      </c>
      <c r="C41" s="74" t="s">
        <v>311</v>
      </c>
      <c r="D41" s="74" t="s">
        <v>356</v>
      </c>
      <c r="E41" s="74" t="s">
        <v>357</v>
      </c>
      <c r="F41" s="74">
        <v>1</v>
      </c>
      <c r="G41" s="349">
        <v>1800</v>
      </c>
      <c r="H41" s="349">
        <v>1800</v>
      </c>
      <c r="I41" s="300" t="s">
        <v>45</v>
      </c>
      <c r="J41" s="70">
        <v>2</v>
      </c>
      <c r="K41" s="318"/>
      <c r="L41" s="70"/>
      <c r="M41" s="317"/>
      <c r="N41" s="71"/>
    </row>
    <row r="42" spans="1:14" x14ac:dyDescent="0.25">
      <c r="A42" s="74" t="str">
        <f>+IF(FromProposal[[#This Row],[Cost Code]]&lt;&gt;0,+'Gnatt Chart'!$A$2,"")</f>
        <v xml:space="preserve">AvilaCRI </v>
      </c>
      <c r="B42" s="72">
        <v>38</v>
      </c>
      <c r="C42" s="74" t="s">
        <v>311</v>
      </c>
      <c r="D42" s="74" t="s">
        <v>358</v>
      </c>
      <c r="E42" s="74" t="s">
        <v>359</v>
      </c>
      <c r="F42" s="74">
        <v>1</v>
      </c>
      <c r="G42" s="349">
        <v>50</v>
      </c>
      <c r="H42" s="349">
        <v>50</v>
      </c>
      <c r="I42" s="300"/>
      <c r="J42" s="70">
        <v>2</v>
      </c>
      <c r="K42" s="318"/>
      <c r="L42" s="70"/>
      <c r="M42" s="317"/>
      <c r="N42" s="71"/>
    </row>
    <row r="43" spans="1:14" x14ac:dyDescent="0.25">
      <c r="A43" s="74" t="str">
        <f>+IF(FromProposal[[#This Row],[Cost Code]]&lt;&gt;0,+'Gnatt Chart'!$A$2,"")</f>
        <v xml:space="preserve">AvilaCRI </v>
      </c>
      <c r="B43" s="72">
        <v>39</v>
      </c>
      <c r="C43" s="74" t="s">
        <v>339</v>
      </c>
      <c r="D43" s="74" t="s">
        <v>360</v>
      </c>
      <c r="E43" s="74" t="s">
        <v>361</v>
      </c>
      <c r="F43" s="74">
        <v>1</v>
      </c>
      <c r="G43" s="349">
        <v>50</v>
      </c>
      <c r="H43" s="349">
        <v>50</v>
      </c>
      <c r="I43" s="300"/>
      <c r="J43" s="70">
        <v>2</v>
      </c>
      <c r="K43" s="318"/>
      <c r="L43" s="70"/>
      <c r="M43" s="317"/>
      <c r="N43" s="71"/>
    </row>
    <row r="44" spans="1:14" x14ac:dyDescent="0.25">
      <c r="A44" s="74" t="str">
        <f>+IF(FromProposal[[#This Row],[Cost Code]]&lt;&gt;0,+'Gnatt Chart'!$A$2,"")</f>
        <v xml:space="preserve">AvilaCRI </v>
      </c>
      <c r="B44" s="72">
        <v>40</v>
      </c>
      <c r="C44" s="74" t="s">
        <v>339</v>
      </c>
      <c r="D44" s="74" t="s">
        <v>362</v>
      </c>
      <c r="E44" s="74" t="s">
        <v>363</v>
      </c>
      <c r="F44" s="74">
        <v>1</v>
      </c>
      <c r="G44" s="349">
        <v>50</v>
      </c>
      <c r="H44" s="349">
        <v>50</v>
      </c>
      <c r="I44" s="300" t="s">
        <v>8</v>
      </c>
      <c r="J44" s="70">
        <v>2</v>
      </c>
      <c r="K44" s="318"/>
      <c r="L44" s="70"/>
      <c r="M44" s="317"/>
      <c r="N44" s="71"/>
    </row>
    <row r="45" spans="1:14" x14ac:dyDescent="0.25">
      <c r="A45" s="74" t="str">
        <f>+IF(FromProposal[[#This Row],[Cost Code]]&lt;&gt;0,+'Gnatt Chart'!$A$2,"")</f>
        <v xml:space="preserve">AvilaCRI </v>
      </c>
      <c r="B45" s="72">
        <v>41</v>
      </c>
      <c r="C45" s="74" t="s">
        <v>311</v>
      </c>
      <c r="D45" s="74" t="s">
        <v>364</v>
      </c>
      <c r="E45" s="74" t="s">
        <v>365</v>
      </c>
      <c r="F45" s="74">
        <v>1</v>
      </c>
      <c r="G45" s="349">
        <v>2980.24</v>
      </c>
      <c r="H45" s="349">
        <v>2980.24</v>
      </c>
      <c r="I45" s="300" t="s">
        <v>45</v>
      </c>
      <c r="J45" s="70">
        <v>2</v>
      </c>
      <c r="K45" s="318"/>
      <c r="L45" s="70"/>
      <c r="M45" s="317"/>
      <c r="N45" s="71"/>
    </row>
    <row r="46" spans="1:14" x14ac:dyDescent="0.25">
      <c r="A46" s="74" t="str">
        <f>+IF(FromProposal[[#This Row],[Cost Code]]&lt;&gt;0,+'Gnatt Chart'!$A$2,"")</f>
        <v xml:space="preserve">AvilaCRI </v>
      </c>
      <c r="B46" s="72">
        <v>42</v>
      </c>
      <c r="C46" s="74" t="s">
        <v>324</v>
      </c>
      <c r="D46" s="74" t="s">
        <v>366</v>
      </c>
      <c r="E46" s="74" t="s">
        <v>367</v>
      </c>
      <c r="F46" s="74">
        <v>1</v>
      </c>
      <c r="G46" s="349">
        <v>294</v>
      </c>
      <c r="H46" s="349">
        <v>294</v>
      </c>
      <c r="I46" s="300" t="s">
        <v>8</v>
      </c>
      <c r="J46" s="70">
        <v>2</v>
      </c>
      <c r="K46" s="318"/>
      <c r="L46" s="70"/>
      <c r="M46" s="317"/>
      <c r="N46" s="71"/>
    </row>
    <row r="47" spans="1:14" x14ac:dyDescent="0.25">
      <c r="A47" s="74" t="str">
        <f>+IF(FromProposal[[#This Row],[Cost Code]]&lt;&gt;0,+'Gnatt Chart'!$A$2,"")</f>
        <v xml:space="preserve">AvilaCRI </v>
      </c>
      <c r="B47" s="72">
        <v>43</v>
      </c>
      <c r="C47" s="74" t="s">
        <v>339</v>
      </c>
      <c r="D47" s="74" t="s">
        <v>368</v>
      </c>
      <c r="E47" s="74" t="s">
        <v>369</v>
      </c>
      <c r="F47" s="74">
        <v>1</v>
      </c>
      <c r="G47" s="349"/>
      <c r="H47" s="349"/>
      <c r="I47" s="300"/>
      <c r="J47" s="70">
        <v>2</v>
      </c>
      <c r="K47" s="318"/>
      <c r="L47" s="70"/>
      <c r="M47" s="317"/>
      <c r="N47" s="71"/>
    </row>
    <row r="48" spans="1:14" x14ac:dyDescent="0.25">
      <c r="A48" s="74" t="str">
        <f>+IF(FromProposal[[#This Row],[Cost Code]]&lt;&gt;0,+'Gnatt Chart'!$A$2,"")</f>
        <v xml:space="preserve">AvilaCRI </v>
      </c>
      <c r="B48" s="72">
        <v>44</v>
      </c>
      <c r="C48" s="74" t="s">
        <v>317</v>
      </c>
      <c r="D48" s="74" t="s">
        <v>337</v>
      </c>
      <c r="E48" s="74" t="s">
        <v>370</v>
      </c>
      <c r="F48" s="74">
        <v>1</v>
      </c>
      <c r="G48" s="349">
        <v>-3190</v>
      </c>
      <c r="H48" s="349">
        <v>-3190</v>
      </c>
      <c r="I48" s="300" t="s">
        <v>45</v>
      </c>
      <c r="J48" s="70">
        <v>2</v>
      </c>
      <c r="K48" s="318">
        <v>45219</v>
      </c>
      <c r="L48" s="70"/>
      <c r="M48" s="317"/>
      <c r="N48" s="71"/>
    </row>
    <row r="49" spans="1:14" x14ac:dyDescent="0.25">
      <c r="A49" s="74" t="str">
        <f>+IF(FromProposal[[#This Row],[Cost Code]]&lt;&gt;0,+'Gnatt Chart'!$A$2,"")</f>
        <v xml:space="preserve">AvilaCRI </v>
      </c>
      <c r="B49" s="72">
        <v>45</v>
      </c>
      <c r="C49" s="74" t="s">
        <v>339</v>
      </c>
      <c r="D49" s="74" t="s">
        <v>371</v>
      </c>
      <c r="E49" s="74" t="s">
        <v>372</v>
      </c>
      <c r="F49" s="74">
        <v>1</v>
      </c>
      <c r="G49" s="349"/>
      <c r="H49" s="349"/>
      <c r="I49" s="300"/>
      <c r="J49" s="70">
        <v>2</v>
      </c>
      <c r="K49" s="318"/>
      <c r="L49" s="70"/>
      <c r="M49" s="317"/>
      <c r="N49" s="71"/>
    </row>
    <row r="50" spans="1:14" x14ac:dyDescent="0.25">
      <c r="A50" s="74" t="str">
        <f>+IF(FromProposal[[#This Row],[Cost Code]]&lt;&gt;0,+'Gnatt Chart'!$A$2,"")</f>
        <v xml:space="preserve">AvilaCRI </v>
      </c>
      <c r="B50" s="72">
        <v>46</v>
      </c>
      <c r="C50" s="74" t="s">
        <v>339</v>
      </c>
      <c r="D50" s="74" t="s">
        <v>373</v>
      </c>
      <c r="E50" s="74" t="s">
        <v>374</v>
      </c>
      <c r="F50" s="74">
        <v>1</v>
      </c>
      <c r="G50" s="349"/>
      <c r="H50" s="349"/>
      <c r="I50" s="300"/>
      <c r="J50" s="70">
        <v>2</v>
      </c>
      <c r="K50" s="318"/>
      <c r="L50" s="70"/>
      <c r="M50" s="317"/>
      <c r="N50" s="71"/>
    </row>
    <row r="51" spans="1:14" x14ac:dyDescent="0.25">
      <c r="A51" s="74" t="str">
        <f>+IF(FromProposal[[#This Row],[Cost Code]]&lt;&gt;0,+'Gnatt Chart'!$A$2,"")</f>
        <v xml:space="preserve">AvilaCRI </v>
      </c>
      <c r="B51" s="72">
        <v>47</v>
      </c>
      <c r="C51" s="74" t="s">
        <v>339</v>
      </c>
      <c r="D51" s="74" t="s">
        <v>375</v>
      </c>
      <c r="E51" s="74" t="s">
        <v>376</v>
      </c>
      <c r="F51" s="74">
        <v>1</v>
      </c>
      <c r="G51" s="349"/>
      <c r="H51" s="349"/>
      <c r="I51" s="300"/>
      <c r="J51" s="70">
        <v>2</v>
      </c>
      <c r="K51" s="318"/>
      <c r="L51" s="70"/>
      <c r="M51" s="317"/>
      <c r="N51" s="71"/>
    </row>
    <row r="52" spans="1:14" x14ac:dyDescent="0.25">
      <c r="A52" s="74" t="str">
        <f>+IF(FromProposal[[#This Row],[Cost Code]]&lt;&gt;0,+'Gnatt Chart'!$A$2,"")</f>
        <v xml:space="preserve">AvilaCRI </v>
      </c>
      <c r="B52" s="72">
        <v>48</v>
      </c>
      <c r="C52" s="74" t="s">
        <v>339</v>
      </c>
      <c r="D52" s="74" t="s">
        <v>377</v>
      </c>
      <c r="E52" s="74" t="s">
        <v>378</v>
      </c>
      <c r="F52" s="74">
        <v>1</v>
      </c>
      <c r="G52" s="349"/>
      <c r="H52" s="349"/>
      <c r="I52" s="300"/>
      <c r="J52" s="70">
        <v>2</v>
      </c>
      <c r="K52" s="318"/>
      <c r="L52" s="70"/>
      <c r="M52" s="317"/>
      <c r="N52" s="71"/>
    </row>
    <row r="53" spans="1:14" x14ac:dyDescent="0.25">
      <c r="A53" s="74" t="str">
        <f>+IF(FromProposal[[#This Row],[Cost Code]]&lt;&gt;0,+'Gnatt Chart'!$A$2,"")</f>
        <v xml:space="preserve">AvilaCRI </v>
      </c>
      <c r="B53" s="72">
        <v>49</v>
      </c>
      <c r="C53" s="74" t="s">
        <v>339</v>
      </c>
      <c r="D53" s="74" t="s">
        <v>379</v>
      </c>
      <c r="E53" s="74" t="s">
        <v>380</v>
      </c>
      <c r="F53" s="74">
        <v>1</v>
      </c>
      <c r="G53" s="349"/>
      <c r="H53" s="349"/>
      <c r="I53" s="300"/>
      <c r="J53" s="70">
        <v>2</v>
      </c>
      <c r="K53" s="318"/>
      <c r="L53" s="70"/>
      <c r="M53" s="317"/>
      <c r="N53" s="71"/>
    </row>
    <row r="54" spans="1:14" x14ac:dyDescent="0.25">
      <c r="A54" s="74" t="str">
        <f>+IF(FromProposal[[#This Row],[Cost Code]]&lt;&gt;0,+'Gnatt Chart'!$A$2,"")</f>
        <v xml:space="preserve">AvilaCRI </v>
      </c>
      <c r="B54" s="72">
        <v>50</v>
      </c>
      <c r="C54" s="74" t="s">
        <v>339</v>
      </c>
      <c r="D54" s="74" t="s">
        <v>381</v>
      </c>
      <c r="E54" s="74" t="s">
        <v>382</v>
      </c>
      <c r="F54" s="74">
        <v>1</v>
      </c>
      <c r="G54" s="349"/>
      <c r="H54" s="349"/>
      <c r="I54" s="300"/>
      <c r="J54" s="70">
        <v>2</v>
      </c>
      <c r="K54" s="318"/>
      <c r="L54" s="70"/>
      <c r="M54" s="317"/>
      <c r="N54" s="71"/>
    </row>
    <row r="55" spans="1:14" x14ac:dyDescent="0.25">
      <c r="A55" s="74" t="str">
        <f>+IF(FromProposal[[#This Row],[Cost Code]]&lt;&gt;0,+'Gnatt Chart'!$A$2,"")</f>
        <v xml:space="preserve">AvilaCRI </v>
      </c>
      <c r="B55" s="72">
        <v>51</v>
      </c>
      <c r="C55" s="74" t="s">
        <v>339</v>
      </c>
      <c r="D55" s="74" t="s">
        <v>383</v>
      </c>
      <c r="E55" s="74" t="s">
        <v>384</v>
      </c>
      <c r="F55" s="74">
        <v>1</v>
      </c>
      <c r="G55" s="349"/>
      <c r="H55" s="349"/>
      <c r="I55" s="300"/>
      <c r="J55" s="70">
        <v>2</v>
      </c>
      <c r="K55" s="318"/>
      <c r="L55" s="70"/>
      <c r="M55" s="317"/>
      <c r="N55" s="71"/>
    </row>
    <row r="56" spans="1:14" x14ac:dyDescent="0.25">
      <c r="A56" s="74" t="str">
        <f>+IF(FromProposal[[#This Row],[Cost Code]]&lt;&gt;0,+'Gnatt Chart'!$A$2,"")</f>
        <v xml:space="preserve">AvilaCRI </v>
      </c>
      <c r="B56" s="72">
        <v>52</v>
      </c>
      <c r="C56" s="74" t="s">
        <v>339</v>
      </c>
      <c r="D56" s="74" t="s">
        <v>385</v>
      </c>
      <c r="E56" s="74" t="s">
        <v>386</v>
      </c>
      <c r="F56" s="74">
        <v>1</v>
      </c>
      <c r="G56" s="349"/>
      <c r="H56" s="349"/>
      <c r="I56" s="300"/>
      <c r="J56" s="70">
        <v>2</v>
      </c>
      <c r="K56" s="318"/>
      <c r="L56" s="70"/>
      <c r="M56" s="317"/>
      <c r="N56" s="71"/>
    </row>
    <row r="57" spans="1:14" x14ac:dyDescent="0.25">
      <c r="A57" s="74" t="str">
        <f>+IF(FromProposal[[#This Row],[Cost Code]]&lt;&gt;0,+'Gnatt Chart'!$A$2,"")</f>
        <v xml:space="preserve">AvilaCRI </v>
      </c>
      <c r="B57" s="72">
        <v>53</v>
      </c>
      <c r="C57" s="74" t="s">
        <v>339</v>
      </c>
      <c r="D57" s="74" t="s">
        <v>387</v>
      </c>
      <c r="E57" s="74" t="s">
        <v>388</v>
      </c>
      <c r="F57" s="74">
        <v>1</v>
      </c>
      <c r="G57" s="349"/>
      <c r="H57" s="349"/>
      <c r="I57" s="300"/>
      <c r="J57" s="70">
        <v>2</v>
      </c>
      <c r="K57" s="318"/>
      <c r="L57" s="70"/>
      <c r="M57" s="317"/>
      <c r="N57" s="71"/>
    </row>
    <row r="58" spans="1:14" x14ac:dyDescent="0.25">
      <c r="A58" s="74" t="str">
        <f>+IF(FromProposal[[#This Row],[Cost Code]]&lt;&gt;0,+'Gnatt Chart'!$A$2,"")</f>
        <v xml:space="preserve">AvilaCRI </v>
      </c>
      <c r="B58" s="72">
        <v>54</v>
      </c>
      <c r="C58" s="74" t="s">
        <v>339</v>
      </c>
      <c r="D58" s="74" t="s">
        <v>389</v>
      </c>
      <c r="E58" s="74" t="s">
        <v>390</v>
      </c>
      <c r="F58" s="74">
        <v>1</v>
      </c>
      <c r="G58" s="349"/>
      <c r="H58" s="349"/>
      <c r="I58" s="300"/>
      <c r="J58" s="70">
        <v>2</v>
      </c>
      <c r="K58" s="318"/>
      <c r="L58" s="70"/>
      <c r="M58" s="317"/>
      <c r="N58" s="71"/>
    </row>
    <row r="59" spans="1:14" x14ac:dyDescent="0.25">
      <c r="A59" s="74" t="str">
        <f>+IF(FromProposal[[#This Row],[Cost Code]]&lt;&gt;0,+'Gnatt Chart'!$A$2,"")</f>
        <v xml:space="preserve">AvilaCRI </v>
      </c>
      <c r="B59" s="72">
        <v>55</v>
      </c>
      <c r="C59" s="74" t="s">
        <v>391</v>
      </c>
      <c r="D59" s="74" t="s">
        <v>392</v>
      </c>
      <c r="E59" s="74" t="s">
        <v>393</v>
      </c>
      <c r="F59" s="74">
        <v>1</v>
      </c>
      <c r="G59" s="349"/>
      <c r="H59" s="349"/>
      <c r="I59" s="300"/>
      <c r="J59" s="70">
        <v>2</v>
      </c>
      <c r="K59" s="318"/>
      <c r="L59" s="70"/>
      <c r="M59" s="317"/>
      <c r="N59" s="71"/>
    </row>
    <row r="60" spans="1:14" x14ac:dyDescent="0.25">
      <c r="A60" s="74" t="str">
        <f>+IF(FromProposal[[#This Row],[Cost Code]]&lt;&gt;0,+'Gnatt Chart'!$A$2,"")</f>
        <v xml:space="preserve">AvilaCRI </v>
      </c>
      <c r="B60" s="72">
        <v>56</v>
      </c>
      <c r="C60" s="74" t="s">
        <v>339</v>
      </c>
      <c r="D60" s="74" t="s">
        <v>394</v>
      </c>
      <c r="E60" s="74" t="s">
        <v>395</v>
      </c>
      <c r="F60" s="74">
        <v>1</v>
      </c>
      <c r="G60" s="349"/>
      <c r="H60" s="349"/>
      <c r="I60" s="300"/>
      <c r="J60" s="70">
        <v>2</v>
      </c>
      <c r="K60" s="318"/>
      <c r="L60" s="70"/>
      <c r="M60" s="317"/>
      <c r="N60" s="71"/>
    </row>
    <row r="61" spans="1:14" x14ac:dyDescent="0.25">
      <c r="A61" s="74" t="str">
        <f>+IF(FromProposal[[#This Row],[Cost Code]]&lt;&gt;0,+'Gnatt Chart'!$A$2,"")</f>
        <v xml:space="preserve">AvilaCRI </v>
      </c>
      <c r="B61" s="72">
        <v>57</v>
      </c>
      <c r="C61" s="74" t="s">
        <v>391</v>
      </c>
      <c r="D61" s="74" t="s">
        <v>396</v>
      </c>
      <c r="E61" s="74" t="s">
        <v>397</v>
      </c>
      <c r="F61" s="74">
        <v>1</v>
      </c>
      <c r="G61" s="349"/>
      <c r="H61" s="349"/>
      <c r="I61" s="300"/>
      <c r="J61" s="70">
        <v>2</v>
      </c>
      <c r="K61" s="318"/>
      <c r="L61" s="70"/>
      <c r="M61" s="317"/>
      <c r="N61" s="71"/>
    </row>
    <row r="62" spans="1:14" x14ac:dyDescent="0.25">
      <c r="A62" s="74" t="str">
        <f>+IF(FromProposal[[#This Row],[Cost Code]]&lt;&gt;0,+'Gnatt Chart'!$A$2,"")</f>
        <v xml:space="preserve">AvilaCRI </v>
      </c>
      <c r="B62" s="72">
        <v>58</v>
      </c>
      <c r="C62" s="74" t="s">
        <v>398</v>
      </c>
      <c r="D62" s="74" t="s">
        <v>399</v>
      </c>
      <c r="E62" s="74" t="s">
        <v>400</v>
      </c>
      <c r="F62" s="74">
        <v>1</v>
      </c>
      <c r="G62" s="349"/>
      <c r="H62" s="349"/>
      <c r="I62" s="300"/>
      <c r="J62" s="70">
        <v>2</v>
      </c>
      <c r="K62" s="318"/>
      <c r="L62" s="70"/>
      <c r="M62" s="317"/>
      <c r="N62" s="71"/>
    </row>
    <row r="63" spans="1:14" x14ac:dyDescent="0.25">
      <c r="A63" s="74" t="str">
        <f>+IF(FromProposal[[#This Row],[Cost Code]]&lt;&gt;0,+'Gnatt Chart'!$A$2,"")</f>
        <v xml:space="preserve">AvilaCRI </v>
      </c>
      <c r="B63" s="72">
        <v>59</v>
      </c>
      <c r="C63" s="74" t="s">
        <v>391</v>
      </c>
      <c r="D63" s="74" t="s">
        <v>401</v>
      </c>
      <c r="E63" s="74" t="s">
        <v>402</v>
      </c>
      <c r="F63" s="74">
        <v>1</v>
      </c>
      <c r="G63" s="349"/>
      <c r="H63" s="349"/>
      <c r="I63" s="300"/>
      <c r="J63" s="70">
        <v>2</v>
      </c>
      <c r="K63" s="318"/>
      <c r="L63" s="70"/>
      <c r="M63" s="317"/>
      <c r="N63" s="71"/>
    </row>
    <row r="64" spans="1:14" x14ac:dyDescent="0.25">
      <c r="A64" s="74" t="str">
        <f>+IF(FromProposal[[#This Row],[Cost Code]]&lt;&gt;0,+'Gnatt Chart'!$A$2,"")</f>
        <v/>
      </c>
      <c r="B64" s="72">
        <v>60</v>
      </c>
      <c r="D64" s="74" t="s">
        <v>403</v>
      </c>
      <c r="E64" s="74" t="s">
        <v>404</v>
      </c>
      <c r="F64" s="74">
        <v>1</v>
      </c>
      <c r="G64" s="349"/>
      <c r="H64" s="349"/>
      <c r="I64" s="300" t="s">
        <v>173</v>
      </c>
      <c r="J64" s="70">
        <v>2</v>
      </c>
      <c r="K64" s="318" t="s">
        <v>173</v>
      </c>
      <c r="L64" s="70"/>
      <c r="M64" s="317"/>
      <c r="N64" s="71"/>
    </row>
    <row r="65" spans="7:11" x14ac:dyDescent="0.25">
      <c r="G65" s="74"/>
      <c r="H65" s="74"/>
      <c r="K65" s="315"/>
    </row>
    <row r="66" spans="7:11" x14ac:dyDescent="0.25">
      <c r="G66" s="74"/>
      <c r="H66" s="74"/>
      <c r="K66" s="315"/>
    </row>
    <row r="67" spans="7:11" x14ac:dyDescent="0.25">
      <c r="G67" s="74"/>
      <c r="H67" s="74"/>
      <c r="K67" s="315"/>
    </row>
    <row r="68" spans="7:11" x14ac:dyDescent="0.25">
      <c r="G68" s="74"/>
      <c r="H68" s="74"/>
      <c r="K68" s="315"/>
    </row>
    <row r="69" spans="7:11" x14ac:dyDescent="0.25">
      <c r="G69" s="74"/>
      <c r="H69" s="74"/>
      <c r="K69" s="315"/>
    </row>
    <row r="70" spans="7:11" x14ac:dyDescent="0.25">
      <c r="G70" s="74"/>
      <c r="H70" s="74"/>
      <c r="K70" s="315"/>
    </row>
    <row r="71" spans="7:11" x14ac:dyDescent="0.25">
      <c r="G71" s="74"/>
      <c r="H71" s="74"/>
      <c r="K71" s="315"/>
    </row>
    <row r="72" spans="7:11" x14ac:dyDescent="0.25">
      <c r="G72" s="74"/>
      <c r="H72" s="74"/>
      <c r="K72" s="315"/>
    </row>
    <row r="73" spans="7:11" x14ac:dyDescent="0.25">
      <c r="G73" s="74"/>
      <c r="H73" s="74"/>
      <c r="K73" s="315"/>
    </row>
    <row r="74" spans="7:11" x14ac:dyDescent="0.25">
      <c r="G74" s="74"/>
      <c r="H74" s="74"/>
      <c r="K74" s="315"/>
    </row>
    <row r="75" spans="7:11" x14ac:dyDescent="0.25">
      <c r="G75" s="74"/>
      <c r="H75" s="74"/>
      <c r="K75" s="315"/>
    </row>
    <row r="76" spans="7:11" x14ac:dyDescent="0.25">
      <c r="G76" s="74"/>
      <c r="H76" s="74"/>
      <c r="K76" s="315"/>
    </row>
    <row r="77" spans="7:11" x14ac:dyDescent="0.25">
      <c r="G77" s="74"/>
      <c r="H77" s="74"/>
      <c r="K77" s="315"/>
    </row>
    <row r="78" spans="7:11" x14ac:dyDescent="0.25">
      <c r="G78" s="74"/>
      <c r="H78" s="74"/>
      <c r="K78" s="315"/>
    </row>
    <row r="79" spans="7:11" x14ac:dyDescent="0.25">
      <c r="G79" s="74"/>
      <c r="H79" s="74"/>
      <c r="K79" s="315"/>
    </row>
    <row r="80" spans="7:11" x14ac:dyDescent="0.25">
      <c r="G80" s="74"/>
      <c r="H80" s="74"/>
      <c r="K80" s="315"/>
    </row>
    <row r="81" spans="7:11" x14ac:dyDescent="0.25">
      <c r="G81" s="74"/>
      <c r="H81" s="74"/>
      <c r="K81" s="315"/>
    </row>
    <row r="82" spans="7:11" x14ac:dyDescent="0.25">
      <c r="G82" s="74"/>
      <c r="H82" s="74"/>
      <c r="K82" s="315"/>
    </row>
    <row r="83" spans="7:11" x14ac:dyDescent="0.25">
      <c r="G83" s="74"/>
      <c r="H83" s="74"/>
      <c r="K83" s="315"/>
    </row>
    <row r="84" spans="7:11" x14ac:dyDescent="0.25">
      <c r="G84" s="74"/>
      <c r="H84" s="74"/>
      <c r="K84" s="315"/>
    </row>
    <row r="85" spans="7:11" x14ac:dyDescent="0.25">
      <c r="G85" s="74"/>
      <c r="H85" s="74"/>
      <c r="K85" s="315"/>
    </row>
    <row r="86" spans="7:11" x14ac:dyDescent="0.25">
      <c r="G86" s="74"/>
      <c r="H86" s="74"/>
      <c r="K86" s="315"/>
    </row>
    <row r="87" spans="7:11" x14ac:dyDescent="0.25">
      <c r="G87" s="74"/>
      <c r="H87" s="74"/>
      <c r="K87" s="315"/>
    </row>
    <row r="88" spans="7:11" x14ac:dyDescent="0.25">
      <c r="G88" s="74"/>
      <c r="H88" s="74"/>
      <c r="K88" s="315"/>
    </row>
    <row r="89" spans="7:11" x14ac:dyDescent="0.25">
      <c r="G89" s="74"/>
      <c r="H89" s="74"/>
      <c r="K89" s="315"/>
    </row>
    <row r="90" spans="7:11" x14ac:dyDescent="0.25">
      <c r="G90" s="74"/>
      <c r="H90" s="74"/>
      <c r="K90" s="315"/>
    </row>
    <row r="91" spans="7:11" x14ac:dyDescent="0.25">
      <c r="G91" s="74"/>
      <c r="H91" s="74"/>
      <c r="K91" s="315"/>
    </row>
    <row r="92" spans="7:11" x14ac:dyDescent="0.25">
      <c r="G92" s="74"/>
      <c r="H92" s="74"/>
      <c r="K92" s="315"/>
    </row>
    <row r="93" spans="7:11" x14ac:dyDescent="0.25">
      <c r="G93" s="74"/>
      <c r="H93" s="74"/>
      <c r="K93" s="315"/>
    </row>
    <row r="94" spans="7:11" x14ac:dyDescent="0.25">
      <c r="G94" s="74"/>
      <c r="H94" s="74"/>
      <c r="K94" s="315"/>
    </row>
    <row r="95" spans="7:11" x14ac:dyDescent="0.25">
      <c r="G95" s="74"/>
      <c r="H95" s="74"/>
      <c r="K95" s="315"/>
    </row>
    <row r="96" spans="7:11" x14ac:dyDescent="0.25">
      <c r="G96" s="74"/>
      <c r="H96" s="74"/>
      <c r="K96" s="315"/>
    </row>
    <row r="97" spans="7:11" x14ac:dyDescent="0.25">
      <c r="G97" s="74"/>
      <c r="H97" s="74"/>
      <c r="K97" s="315"/>
    </row>
    <row r="98" spans="7:11" x14ac:dyDescent="0.25">
      <c r="G98" s="74"/>
      <c r="H98" s="74"/>
      <c r="K98" s="315"/>
    </row>
    <row r="99" spans="7:11" x14ac:dyDescent="0.25">
      <c r="G99" s="74"/>
      <c r="H99" s="74"/>
      <c r="K99" s="315"/>
    </row>
    <row r="100" spans="7:11" x14ac:dyDescent="0.25">
      <c r="G100" s="74"/>
      <c r="H100" s="74"/>
      <c r="K100" s="315"/>
    </row>
    <row r="101" spans="7:11" x14ac:dyDescent="0.25">
      <c r="G101" s="74"/>
      <c r="H101" s="74"/>
      <c r="K101" s="315"/>
    </row>
    <row r="102" spans="7:11" x14ac:dyDescent="0.25">
      <c r="G102" s="74"/>
      <c r="H102" s="74"/>
      <c r="K102" s="315"/>
    </row>
    <row r="103" spans="7:11" x14ac:dyDescent="0.25">
      <c r="G103" s="74"/>
      <c r="H103" s="74"/>
      <c r="K103" s="315"/>
    </row>
    <row r="104" spans="7:11" x14ac:dyDescent="0.25">
      <c r="G104" s="74"/>
      <c r="H104" s="74"/>
      <c r="K104" s="315"/>
    </row>
    <row r="105" spans="7:11" x14ac:dyDescent="0.25">
      <c r="G105" s="74"/>
      <c r="H105" s="74"/>
      <c r="K105" s="315"/>
    </row>
    <row r="106" spans="7:11" x14ac:dyDescent="0.25">
      <c r="G106" s="74"/>
      <c r="H106" s="74"/>
      <c r="K106" s="315"/>
    </row>
    <row r="107" spans="7:11" x14ac:dyDescent="0.25">
      <c r="K107" s="315"/>
    </row>
    <row r="108" spans="7:11" x14ac:dyDescent="0.25">
      <c r="K108" s="315"/>
    </row>
    <row r="109" spans="7:11" x14ac:dyDescent="0.25">
      <c r="K109" s="315"/>
    </row>
    <row r="110" spans="7:11" x14ac:dyDescent="0.25">
      <c r="K110" s="315"/>
    </row>
    <row r="111" spans="7:11" x14ac:dyDescent="0.25">
      <c r="K111" s="315"/>
    </row>
    <row r="112" spans="7:11" x14ac:dyDescent="0.25">
      <c r="K112" s="315"/>
    </row>
    <row r="113" spans="11:11" x14ac:dyDescent="0.25">
      <c r="K113" s="315"/>
    </row>
    <row r="114" spans="11:11" x14ac:dyDescent="0.25">
      <c r="K114" s="315"/>
    </row>
    <row r="115" spans="11:11" x14ac:dyDescent="0.25">
      <c r="K115" s="315"/>
    </row>
    <row r="116" spans="11:11" x14ac:dyDescent="0.25">
      <c r="K116" s="315"/>
    </row>
    <row r="117" spans="11:11" x14ac:dyDescent="0.25">
      <c r="K117" s="315"/>
    </row>
    <row r="118" spans="11:11" x14ac:dyDescent="0.25">
      <c r="K118" s="315"/>
    </row>
    <row r="119" spans="11:11" x14ac:dyDescent="0.25">
      <c r="K119" s="315"/>
    </row>
    <row r="120" spans="11:11" x14ac:dyDescent="0.25">
      <c r="K120" s="315"/>
    </row>
    <row r="121" spans="11:11" x14ac:dyDescent="0.25">
      <c r="K121" s="315"/>
    </row>
    <row r="122" spans="11:11" x14ac:dyDescent="0.25">
      <c r="K122" s="315"/>
    </row>
    <row r="123" spans="11:11" x14ac:dyDescent="0.25">
      <c r="K123" s="315"/>
    </row>
    <row r="124" spans="11:11" x14ac:dyDescent="0.25">
      <c r="K124" s="315"/>
    </row>
    <row r="125" spans="11:11" x14ac:dyDescent="0.25">
      <c r="K125" s="315"/>
    </row>
    <row r="126" spans="11:11" x14ac:dyDescent="0.25">
      <c r="K126" s="315"/>
    </row>
    <row r="127" spans="11:11" x14ac:dyDescent="0.25">
      <c r="K127" s="315"/>
    </row>
    <row r="128" spans="11:11" x14ac:dyDescent="0.25">
      <c r="K128" s="315"/>
    </row>
    <row r="129" spans="11:11" x14ac:dyDescent="0.25">
      <c r="K129" s="315"/>
    </row>
    <row r="130" spans="11:11" x14ac:dyDescent="0.25">
      <c r="K130" s="315"/>
    </row>
    <row r="131" spans="11:11" x14ac:dyDescent="0.25">
      <c r="K131" s="315"/>
    </row>
    <row r="132" spans="11:11" x14ac:dyDescent="0.25">
      <c r="K132" s="315"/>
    </row>
    <row r="133" spans="11:11" x14ac:dyDescent="0.25">
      <c r="K133" s="315"/>
    </row>
    <row r="134" spans="11:11" x14ac:dyDescent="0.25">
      <c r="K134" s="315"/>
    </row>
    <row r="135" spans="11:11" x14ac:dyDescent="0.25">
      <c r="K135" s="315"/>
    </row>
    <row r="136" spans="11:11" x14ac:dyDescent="0.25">
      <c r="K136" s="315"/>
    </row>
    <row r="137" spans="11:11" x14ac:dyDescent="0.25">
      <c r="K137" s="315"/>
    </row>
    <row r="138" spans="11:11" x14ac:dyDescent="0.25">
      <c r="K138" s="315"/>
    </row>
    <row r="139" spans="11:11" x14ac:dyDescent="0.25">
      <c r="K139" s="315"/>
    </row>
    <row r="140" spans="11:11" x14ac:dyDescent="0.25">
      <c r="K140" s="315"/>
    </row>
    <row r="141" spans="11:11" x14ac:dyDescent="0.25">
      <c r="K141" s="315"/>
    </row>
    <row r="142" spans="11:11" x14ac:dyDescent="0.25">
      <c r="K142" s="315"/>
    </row>
    <row r="143" spans="11:11" x14ac:dyDescent="0.25">
      <c r="K143" s="315"/>
    </row>
    <row r="144" spans="11:11" x14ac:dyDescent="0.25">
      <c r="K144" s="315"/>
    </row>
    <row r="145" spans="11:11" x14ac:dyDescent="0.25">
      <c r="K145" s="315"/>
    </row>
    <row r="146" spans="11:11" x14ac:dyDescent="0.25">
      <c r="K146" s="315"/>
    </row>
    <row r="147" spans="11:11" x14ac:dyDescent="0.25">
      <c r="K147" s="315"/>
    </row>
    <row r="148" spans="11:11" x14ac:dyDescent="0.25">
      <c r="K148" s="315"/>
    </row>
    <row r="149" spans="11:11" x14ac:dyDescent="0.25">
      <c r="K149" s="315"/>
    </row>
    <row r="150" spans="11:11" x14ac:dyDescent="0.25">
      <c r="K150" s="315"/>
    </row>
    <row r="151" spans="11:11" x14ac:dyDescent="0.25">
      <c r="K151" s="315"/>
    </row>
    <row r="152" spans="11:11" x14ac:dyDescent="0.25">
      <c r="K152" s="315"/>
    </row>
    <row r="153" spans="11:11" x14ac:dyDescent="0.25">
      <c r="K153" s="315"/>
    </row>
    <row r="154" spans="11:11" x14ac:dyDescent="0.25">
      <c r="K154" s="315"/>
    </row>
    <row r="155" spans="11:11" x14ac:dyDescent="0.25">
      <c r="K155" s="315"/>
    </row>
    <row r="156" spans="11:11" x14ac:dyDescent="0.25">
      <c r="K156" s="315"/>
    </row>
    <row r="157" spans="11:11" x14ac:dyDescent="0.25">
      <c r="K157" s="315"/>
    </row>
    <row r="158" spans="11:11" x14ac:dyDescent="0.25">
      <c r="K158" s="315"/>
    </row>
    <row r="159" spans="11:11" x14ac:dyDescent="0.25">
      <c r="K159" s="315"/>
    </row>
    <row r="160" spans="11:11" x14ac:dyDescent="0.25">
      <c r="K160" s="315"/>
    </row>
    <row r="161" spans="11:11" x14ac:dyDescent="0.25">
      <c r="K161" s="315"/>
    </row>
    <row r="162" spans="11:11" x14ac:dyDescent="0.25">
      <c r="K162" s="315"/>
    </row>
    <row r="163" spans="11:11" x14ac:dyDescent="0.25">
      <c r="K163" s="315"/>
    </row>
    <row r="164" spans="11:11" x14ac:dyDescent="0.25">
      <c r="K164" s="315"/>
    </row>
    <row r="165" spans="11:11" x14ac:dyDescent="0.25">
      <c r="K165" s="315"/>
    </row>
    <row r="166" spans="11:11" x14ac:dyDescent="0.25">
      <c r="K166" s="315"/>
    </row>
    <row r="167" spans="11:11" x14ac:dyDescent="0.25">
      <c r="K167" s="315"/>
    </row>
    <row r="168" spans="11:11" x14ac:dyDescent="0.25">
      <c r="K168" s="315"/>
    </row>
    <row r="169" spans="11:11" x14ac:dyDescent="0.25">
      <c r="K169" s="315"/>
    </row>
    <row r="170" spans="11:11" x14ac:dyDescent="0.25">
      <c r="K170" s="315"/>
    </row>
    <row r="171" spans="11:11" x14ac:dyDescent="0.25">
      <c r="K171" s="315"/>
    </row>
    <row r="172" spans="11:11" x14ac:dyDescent="0.25">
      <c r="K172" s="315"/>
    </row>
    <row r="173" spans="11:11" x14ac:dyDescent="0.25">
      <c r="K173" s="315"/>
    </row>
    <row r="174" spans="11:11" x14ac:dyDescent="0.25">
      <c r="K174" s="315"/>
    </row>
    <row r="175" spans="11:11" x14ac:dyDescent="0.25">
      <c r="K175" s="315"/>
    </row>
    <row r="176" spans="11:11" x14ac:dyDescent="0.25">
      <c r="K176" s="315"/>
    </row>
    <row r="177" spans="11:11" x14ac:dyDescent="0.25">
      <c r="K177" s="315"/>
    </row>
    <row r="178" spans="11:11" x14ac:dyDescent="0.25">
      <c r="K178" s="315"/>
    </row>
    <row r="179" spans="11:11" x14ac:dyDescent="0.25">
      <c r="K179" s="315"/>
    </row>
    <row r="180" spans="11:11" x14ac:dyDescent="0.25">
      <c r="K180" s="315"/>
    </row>
    <row r="181" spans="11:11" x14ac:dyDescent="0.25">
      <c r="K181" s="315"/>
    </row>
    <row r="182" spans="11:11" x14ac:dyDescent="0.25">
      <c r="K182" s="315"/>
    </row>
    <row r="183" spans="11:11" x14ac:dyDescent="0.25">
      <c r="K183" s="315"/>
    </row>
    <row r="184" spans="11:11" x14ac:dyDescent="0.25">
      <c r="K184" s="315"/>
    </row>
    <row r="185" spans="11:11" x14ac:dyDescent="0.25">
      <c r="K185" s="315"/>
    </row>
    <row r="186" spans="11:11" x14ac:dyDescent="0.25">
      <c r="K186" s="315"/>
    </row>
    <row r="187" spans="11:11" x14ac:dyDescent="0.25">
      <c r="K187" s="315"/>
    </row>
    <row r="188" spans="11:11" x14ac:dyDescent="0.25">
      <c r="K188" s="315"/>
    </row>
    <row r="189" spans="11:11" x14ac:dyDescent="0.25">
      <c r="K189" s="315"/>
    </row>
    <row r="190" spans="11:11" x14ac:dyDescent="0.25">
      <c r="K190" s="315"/>
    </row>
    <row r="191" spans="11:11" x14ac:dyDescent="0.25">
      <c r="K191" s="315"/>
    </row>
    <row r="192" spans="11:11" x14ac:dyDescent="0.25">
      <c r="K192" s="315"/>
    </row>
    <row r="193" spans="11:11" x14ac:dyDescent="0.25">
      <c r="K193" s="315"/>
    </row>
    <row r="194" spans="11:11" x14ac:dyDescent="0.25">
      <c r="K194" s="315"/>
    </row>
    <row r="195" spans="11:11" x14ac:dyDescent="0.25">
      <c r="K195" s="315"/>
    </row>
    <row r="196" spans="11:11" x14ac:dyDescent="0.25">
      <c r="K196" s="315"/>
    </row>
    <row r="197" spans="11:11" x14ac:dyDescent="0.25">
      <c r="K197" s="315"/>
    </row>
    <row r="198" spans="11:11" x14ac:dyDescent="0.25">
      <c r="K198" s="315"/>
    </row>
    <row r="199" spans="11:11" x14ac:dyDescent="0.25">
      <c r="K199" s="315"/>
    </row>
    <row r="200" spans="11:11" x14ac:dyDescent="0.25">
      <c r="K200" s="315"/>
    </row>
    <row r="201" spans="11:11" x14ac:dyDescent="0.25">
      <c r="K201" s="315"/>
    </row>
    <row r="202" spans="11:11" x14ac:dyDescent="0.25">
      <c r="K202" s="315"/>
    </row>
    <row r="203" spans="11:11" x14ac:dyDescent="0.25">
      <c r="K203" s="315"/>
    </row>
    <row r="204" spans="11:11" x14ac:dyDescent="0.25">
      <c r="K204" s="315"/>
    </row>
    <row r="205" spans="11:11" x14ac:dyDescent="0.25">
      <c r="K205" s="315"/>
    </row>
    <row r="206" spans="11:11" x14ac:dyDescent="0.25">
      <c r="K206" s="315"/>
    </row>
    <row r="207" spans="11:11" x14ac:dyDescent="0.25">
      <c r="K207" s="315"/>
    </row>
  </sheetData>
  <mergeCells count="2">
    <mergeCell ref="I1:N3"/>
    <mergeCell ref="A1:H3"/>
  </mergeCells>
  <phoneticPr fontId="26" type="noConversion"/>
  <pageMargins left="0.7" right="0.7" top="0.75" bottom="0.75" header="0.3" footer="0.3"/>
  <pageSetup scale="58" fitToHeight="0" orientation="landscape"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0EC7B-E7C7-4307-98D4-CF9375F22C8A}">
  <sheetPr codeName="Sheet8">
    <tabColor theme="5" tint="0.59999389629810485"/>
    <pageSetUpPr fitToPage="1"/>
  </sheetPr>
  <dimension ref="A1:DU96"/>
  <sheetViews>
    <sheetView workbookViewId="0">
      <pane ySplit="7" topLeftCell="A8" activePane="bottomLeft" state="frozen"/>
      <selection activeCell="H28" sqref="H28"/>
      <selection pane="bottomLeft" activeCell="E13" sqref="E13"/>
    </sheetView>
  </sheetViews>
  <sheetFormatPr defaultColWidth="9.140625" defaultRowHeight="18" customHeight="1" x14ac:dyDescent="0.25"/>
  <cols>
    <col min="1" max="1" width="17.28515625" style="75" bestFit="1" customWidth="1"/>
    <col min="2" max="2" width="5.28515625" style="76" customWidth="1"/>
    <col min="3" max="3" width="18.5703125" style="77" bestFit="1" customWidth="1"/>
    <col min="4" max="4" width="21.140625" style="75" customWidth="1"/>
    <col min="5" max="5" width="69.140625" style="25" customWidth="1"/>
    <col min="6" max="6" width="5.5703125" style="36" customWidth="1"/>
    <col min="7" max="7" width="9.140625" style="351" bestFit="1" customWidth="1"/>
    <col min="8" max="8" width="10.140625" style="351" bestFit="1" customWidth="1"/>
    <col min="9" max="9" width="5.5703125" style="36" customWidth="1"/>
    <col min="10" max="10" width="6.28515625" style="36" customWidth="1"/>
    <col min="11" max="11" width="13" style="36" customWidth="1"/>
    <col min="12" max="12" width="5.28515625" style="36" customWidth="1"/>
    <col min="13" max="13" width="9.42578125" style="351" customWidth="1"/>
    <col min="14" max="14" width="9" style="351" customWidth="1"/>
    <col min="15" max="15" width="10.85546875" style="36" bestFit="1" customWidth="1"/>
    <col min="16" max="26" width="2.7109375" style="36" customWidth="1"/>
    <col min="27" max="27" width="3.28515625" style="36" bestFit="1" customWidth="1"/>
    <col min="28" max="28" width="4" style="36" bestFit="1" customWidth="1"/>
    <col min="29" max="38" width="2.7109375" style="36" customWidth="1"/>
    <col min="39" max="99" width="2.7109375" customWidth="1"/>
    <col min="100" max="121" width="3.5703125" customWidth="1"/>
    <col min="122" max="125" width="2" bestFit="1" customWidth="1"/>
  </cols>
  <sheetData>
    <row r="1" spans="1:125" ht="21.75" thickBot="1" x14ac:dyDescent="0.4">
      <c r="A1" s="205"/>
      <c r="B1" s="206"/>
      <c r="C1" s="207"/>
      <c r="D1" s="208"/>
      <c r="E1" s="209"/>
      <c r="F1" s="210"/>
      <c r="G1" s="210"/>
      <c r="H1" s="210"/>
      <c r="I1" s="210"/>
      <c r="J1" s="624" t="s">
        <v>425</v>
      </c>
      <c r="K1" s="624"/>
      <c r="L1" s="210"/>
      <c r="M1" s="620" t="s">
        <v>426</v>
      </c>
      <c r="N1" s="621"/>
      <c r="O1" s="333" t="s">
        <v>427</v>
      </c>
    </row>
    <row r="2" spans="1:125" ht="30" customHeight="1" thickBot="1" x14ac:dyDescent="0.35">
      <c r="A2" s="618" t="s">
        <v>428</v>
      </c>
      <c r="B2" s="619"/>
      <c r="C2" s="616" t="str">
        <f>Profit!E1&amp; " Your Home"</f>
        <v>Buy Your Home</v>
      </c>
      <c r="D2" s="617"/>
      <c r="E2" s="219" t="s">
        <v>429</v>
      </c>
      <c r="F2" s="614">
        <f>+MIN(ProposalToGnatt[Start Date])</f>
        <v>45212</v>
      </c>
      <c r="G2" s="615"/>
      <c r="H2" s="627" t="s">
        <v>430</v>
      </c>
      <c r="I2" s="628"/>
      <c r="J2" s="604">
        <f>+SUM(H8:H22)</f>
        <v>5405.555625</v>
      </c>
      <c r="K2" s="605"/>
      <c r="L2" s="211"/>
      <c r="M2" s="604">
        <f>+SUM(N8:N22)-SUM(M8:M22)</f>
        <v>-2293.2400000000002</v>
      </c>
      <c r="N2" s="633"/>
      <c r="O2" s="334">
        <f>+SUM(H8:H22)-SUM(M8:M22)</f>
        <v>1912.3156249999997</v>
      </c>
      <c r="R2" s="60"/>
      <c r="S2" s="60"/>
      <c r="T2" s="60"/>
      <c r="U2" s="60"/>
      <c r="V2" s="60"/>
      <c r="W2" s="60"/>
      <c r="X2" s="60"/>
      <c r="Y2" s="60"/>
      <c r="Z2" s="60"/>
      <c r="AA2" s="60"/>
      <c r="AB2" s="60"/>
      <c r="AC2" s="60"/>
      <c r="AD2" s="60"/>
      <c r="AE2" s="60"/>
      <c r="AF2" s="60"/>
      <c r="AG2" s="60"/>
      <c r="AH2" s="60"/>
      <c r="AI2" s="60"/>
      <c r="AJ2" s="61"/>
      <c r="AK2" s="61"/>
      <c r="AP2" s="15"/>
      <c r="AQ2" s="15"/>
      <c r="AR2" s="15"/>
    </row>
    <row r="3" spans="1:125" ht="30" customHeight="1" x14ac:dyDescent="0.3">
      <c r="A3" s="601"/>
      <c r="B3" s="602"/>
      <c r="C3" s="602"/>
      <c r="D3" s="602"/>
      <c r="E3" s="220"/>
      <c r="G3" s="36"/>
      <c r="H3" s="629" t="s">
        <v>431</v>
      </c>
      <c r="I3" s="630"/>
      <c r="J3" s="608">
        <f>SUM(H24:H27)</f>
        <v>0</v>
      </c>
      <c r="K3" s="609"/>
      <c r="L3" s="212"/>
      <c r="M3" s="608">
        <f>+J3-SUM(M24:M27)</f>
        <v>0</v>
      </c>
      <c r="N3" s="633"/>
      <c r="O3" s="335">
        <f>+SUM(H24:H27)-SUM(M24:M27)</f>
        <v>0</v>
      </c>
      <c r="AP3" s="15"/>
      <c r="AQ3" s="15"/>
      <c r="AR3" s="15"/>
    </row>
    <row r="4" spans="1:125" ht="30" customHeight="1" x14ac:dyDescent="0.3">
      <c r="A4" s="601" t="str">
        <f>+Profit!B2</f>
        <v>115 Rosebrooks Dr, Cary, NC 27513</v>
      </c>
      <c r="B4" s="602" t="str">
        <f>+Profit!B2</f>
        <v>115 Rosebrooks Dr, Cary, NC 27513</v>
      </c>
      <c r="C4" s="602"/>
      <c r="D4" s="602"/>
      <c r="E4" s="625" t="s">
        <v>432</v>
      </c>
      <c r="F4" s="626"/>
      <c r="G4" s="78">
        <v>1</v>
      </c>
      <c r="H4" s="631" t="str">
        <f>+A2 &amp; "Total:"</f>
        <v>AvilaCRI Total:</v>
      </c>
      <c r="I4" s="632"/>
      <c r="J4" s="610">
        <f>SUM(ProposalToGnatt[Price])</f>
        <v>28751.739999999998</v>
      </c>
      <c r="K4" s="611"/>
      <c r="L4" s="213"/>
      <c r="M4" s="610" cm="1">
        <f t="array" ref="M4">+SUM(ProposalToGnatt[Due]-ProposalToGnatt[Paid])</f>
        <v>-1.8189894035458565E-12</v>
      </c>
      <c r="N4" s="633"/>
      <c r="O4" s="336">
        <f>+SUM(ProposalToGnatt[Price])-SUM(ProposalToGnatt[Paid])</f>
        <v>1290</v>
      </c>
      <c r="AP4" s="15"/>
      <c r="AQ4" s="15"/>
      <c r="AR4" s="15"/>
    </row>
    <row r="5" spans="1:125" ht="18" customHeight="1" thickBot="1" x14ac:dyDescent="0.3">
      <c r="A5" s="214"/>
      <c r="B5" s="215" t="s">
        <v>433</v>
      </c>
      <c r="C5" s="216"/>
      <c r="D5" s="217"/>
      <c r="E5" s="606" t="s">
        <v>434</v>
      </c>
      <c r="F5" s="607"/>
      <c r="G5" s="218">
        <v>2</v>
      </c>
      <c r="H5" s="603" t="s">
        <v>435</v>
      </c>
      <c r="I5" s="603"/>
      <c r="J5" s="612">
        <f>+SUM(J2:K4)</f>
        <v>34157.295624999999</v>
      </c>
      <c r="K5" s="613"/>
      <c r="L5" s="24"/>
      <c r="M5" s="634">
        <f>+SUM(M2:M4)</f>
        <v>-2293.2400000000021</v>
      </c>
      <c r="N5" s="635"/>
      <c r="O5" s="339">
        <f>+SUM(O2:Q4)</f>
        <v>3202.3156249999997</v>
      </c>
      <c r="BB5" s="15"/>
      <c r="BC5" s="15"/>
      <c r="BD5" s="15"/>
    </row>
    <row r="6" spans="1:125" s="22" customFormat="1" ht="30.75" customHeight="1" x14ac:dyDescent="0.35">
      <c r="A6" s="79"/>
      <c r="B6" s="80"/>
      <c r="C6" s="81"/>
      <c r="D6" s="79"/>
      <c r="E6" s="82" t="str">
        <f>Profit!E1&amp;" Your Home Supplied Materials"</f>
        <v>Buy Your Home Supplied Materials</v>
      </c>
      <c r="F6" s="79"/>
      <c r="G6" s="83"/>
      <c r="H6" s="83"/>
      <c r="I6" s="79"/>
      <c r="J6" s="79"/>
      <c r="K6" s="84"/>
      <c r="L6" s="79"/>
      <c r="M6" s="79"/>
      <c r="N6" s="79"/>
      <c r="O6" s="79"/>
      <c r="R6" s="36"/>
      <c r="S6" s="36"/>
      <c r="T6" s="36"/>
      <c r="U6" s="36"/>
      <c r="V6" s="36"/>
      <c r="W6" s="36"/>
      <c r="X6" s="36"/>
      <c r="Y6" s="36"/>
      <c r="Z6" s="36"/>
      <c r="AA6" s="36"/>
      <c r="AB6" s="36"/>
      <c r="AC6" s="36"/>
      <c r="AD6" s="36"/>
      <c r="AE6" s="36"/>
      <c r="AF6" s="36"/>
      <c r="AG6" s="36"/>
      <c r="AH6" s="36"/>
    </row>
    <row r="7" spans="1:125" s="42" customFormat="1" ht="32.25" customHeight="1" x14ac:dyDescent="0.25">
      <c r="A7" s="79" t="s">
        <v>436</v>
      </c>
      <c r="B7" s="80" t="s">
        <v>437</v>
      </c>
      <c r="C7" s="81" t="s">
        <v>415</v>
      </c>
      <c r="D7" s="79" t="s">
        <v>416</v>
      </c>
      <c r="E7" s="79" t="s">
        <v>417</v>
      </c>
      <c r="F7" s="79" t="s">
        <v>299</v>
      </c>
      <c r="G7" s="83" t="s">
        <v>300</v>
      </c>
      <c r="H7" s="83" t="s">
        <v>418</v>
      </c>
      <c r="I7" s="79" t="s">
        <v>419</v>
      </c>
      <c r="J7" s="79" t="s">
        <v>420</v>
      </c>
      <c r="K7" s="84" t="s">
        <v>82</v>
      </c>
      <c r="L7" s="79" t="s">
        <v>421</v>
      </c>
      <c r="M7" s="79" t="s">
        <v>422</v>
      </c>
      <c r="N7" s="79" t="s">
        <v>426</v>
      </c>
      <c r="O7" s="79" t="s">
        <v>161</v>
      </c>
      <c r="R7" s="36"/>
      <c r="S7" s="36"/>
      <c r="T7" s="36"/>
      <c r="U7" s="36"/>
      <c r="V7" s="36"/>
      <c r="W7" s="36"/>
      <c r="X7" s="36"/>
      <c r="Y7" s="36"/>
      <c r="Z7" s="36"/>
      <c r="AA7" s="36"/>
      <c r="AB7" s="36"/>
      <c r="AC7" s="36"/>
      <c r="AD7" s="36"/>
      <c r="AE7" s="36"/>
      <c r="AF7" s="36"/>
      <c r="AG7" s="36"/>
      <c r="AH7" s="36"/>
      <c r="AO7" s="37" t="str">
        <f>IFERROR(IF(LEN(#REF!)=0,"",IF(AND(#REF!=#REF!,#REF!=1),Milestone_Marker_Old,"")),"")</f>
        <v/>
      </c>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K7" s="37"/>
      <c r="DL7" s="37"/>
      <c r="DM7" s="37"/>
      <c r="DN7" s="37"/>
      <c r="DO7" s="37"/>
      <c r="DP7" s="37"/>
      <c r="DQ7" s="37"/>
      <c r="DR7" s="37"/>
      <c r="DS7" s="37"/>
      <c r="DT7" s="37"/>
    </row>
    <row r="8" spans="1:125" s="42" customFormat="1" ht="20.100000000000001" customHeight="1" x14ac:dyDescent="0.25">
      <c r="A8" s="85" t="str">
        <f>Profit!$E$1&amp;" Your Home"</f>
        <v>Buy Your Home</v>
      </c>
      <c r="B8" s="86">
        <v>1</v>
      </c>
      <c r="C8" s="87"/>
      <c r="D8" s="85"/>
      <c r="E8" s="85" t="s">
        <v>438</v>
      </c>
      <c r="F8" s="86">
        <v>1</v>
      </c>
      <c r="G8" s="88">
        <f>+'Demo &amp; Trash Haul'!G17</f>
        <v>1200</v>
      </c>
      <c r="H8" s="88">
        <f t="shared" ref="H8:H22" si="0">+F8*G8</f>
        <v>1200</v>
      </c>
      <c r="I8" s="89" t="s">
        <v>45</v>
      </c>
      <c r="J8" s="88"/>
      <c r="K8" s="90"/>
      <c r="L8" s="88"/>
      <c r="M8" s="88">
        <v>800</v>
      </c>
      <c r="N8" s="88">
        <f t="shared" ref="N8:N22" si="1">IF(I8="Yes",H8,0)</f>
        <v>1200</v>
      </c>
      <c r="O8" s="89"/>
      <c r="R8" s="36"/>
      <c r="S8" s="36"/>
      <c r="T8" s="36"/>
      <c r="U8" s="36"/>
      <c r="V8" s="36"/>
      <c r="W8" s="36"/>
      <c r="X8" s="36"/>
      <c r="Y8" s="36"/>
      <c r="Z8" s="36"/>
      <c r="AA8" s="36"/>
      <c r="AB8" s="36"/>
      <c r="AC8" s="36"/>
      <c r="AD8" s="36"/>
      <c r="AE8" s="36"/>
      <c r="AF8" s="36"/>
      <c r="AG8" s="36"/>
      <c r="AH8" s="36"/>
      <c r="AI8" s="36"/>
      <c r="AP8" s="35"/>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K8" s="37"/>
      <c r="DL8" s="37"/>
      <c r="DM8" s="37"/>
      <c r="DN8" s="37"/>
      <c r="DO8" s="37"/>
      <c r="DP8" s="37"/>
      <c r="DQ8" s="37"/>
      <c r="DR8" s="37"/>
      <c r="DS8" s="37"/>
      <c r="DT8" s="37"/>
      <c r="DU8" s="37"/>
    </row>
    <row r="9" spans="1:125" s="42" customFormat="1" ht="20.100000000000001" customHeight="1" x14ac:dyDescent="0.25">
      <c r="A9" s="85" t="str">
        <f>Profit!$E$1&amp;" Your Home"</f>
        <v>Buy Your Home</v>
      </c>
      <c r="B9" s="86">
        <f>+B8+1</f>
        <v>2</v>
      </c>
      <c r="C9" s="87"/>
      <c r="D9" s="85"/>
      <c r="E9" s="85" t="s">
        <v>439</v>
      </c>
      <c r="F9" s="86">
        <v>1</v>
      </c>
      <c r="G9" s="88">
        <f>+Taxes!E19</f>
        <v>2559</v>
      </c>
      <c r="H9" s="88">
        <f t="shared" si="0"/>
        <v>2559</v>
      </c>
      <c r="I9" s="89"/>
      <c r="J9" s="88"/>
      <c r="K9" s="90"/>
      <c r="L9" s="88"/>
      <c r="M9" s="88"/>
      <c r="N9" s="88">
        <f t="shared" si="1"/>
        <v>0</v>
      </c>
      <c r="O9" s="89"/>
      <c r="R9" s="36"/>
      <c r="S9" s="36"/>
      <c r="T9" s="36"/>
      <c r="U9" s="36"/>
      <c r="V9" s="36"/>
      <c r="W9" s="36"/>
      <c r="X9" s="36"/>
      <c r="Y9" s="36"/>
      <c r="Z9" s="36"/>
      <c r="AA9" s="36"/>
      <c r="AB9" s="36"/>
      <c r="AC9" s="36"/>
      <c r="AD9" s="36"/>
      <c r="AE9" s="36"/>
      <c r="AF9" s="36"/>
      <c r="AG9" s="36"/>
      <c r="AH9" s="36"/>
      <c r="AI9" s="36"/>
      <c r="AP9" s="35"/>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K9" s="37"/>
      <c r="DL9" s="37"/>
      <c r="DM9" s="37"/>
      <c r="DN9" s="37"/>
      <c r="DO9" s="37"/>
      <c r="DP9" s="37"/>
      <c r="DQ9" s="37"/>
      <c r="DR9" s="37"/>
      <c r="DS9" s="37"/>
      <c r="DT9" s="37"/>
      <c r="DU9" s="37"/>
    </row>
    <row r="10" spans="1:125" s="42" customFormat="1" ht="20.100000000000001" customHeight="1" x14ac:dyDescent="0.25">
      <c r="A10" s="85" t="str">
        <f>Profit!$E$1&amp;" Your Home"</f>
        <v>Buy Your Home</v>
      </c>
      <c r="B10" s="86">
        <f>+B8+1</f>
        <v>2</v>
      </c>
      <c r="C10" s="87"/>
      <c r="D10" s="85"/>
      <c r="E10" s="85" t="s">
        <v>440</v>
      </c>
      <c r="F10" s="86">
        <v>1</v>
      </c>
      <c r="G10" s="88">
        <f>+Appliances!G20</f>
        <v>1646.555625</v>
      </c>
      <c r="H10" s="88">
        <f t="shared" si="0"/>
        <v>1646.555625</v>
      </c>
      <c r="I10" s="89"/>
      <c r="J10" s="88"/>
      <c r="K10" s="90"/>
      <c r="L10" s="88"/>
      <c r="M10" s="88"/>
      <c r="N10" s="88">
        <f t="shared" si="1"/>
        <v>0</v>
      </c>
      <c r="O10" s="89"/>
      <c r="R10" s="36"/>
      <c r="S10" s="36"/>
      <c r="T10" s="36"/>
      <c r="U10" s="36"/>
      <c r="V10" s="36"/>
      <c r="W10" s="36"/>
      <c r="X10" s="36"/>
      <c r="Y10" s="36"/>
      <c r="Z10" s="36"/>
      <c r="AA10" s="36"/>
      <c r="AB10" s="36"/>
      <c r="AC10" s="36"/>
      <c r="AD10" s="36"/>
      <c r="AE10" s="36"/>
      <c r="AF10" s="36"/>
      <c r="AG10" s="36"/>
      <c r="AH10" s="36"/>
      <c r="AI10" s="36"/>
      <c r="AP10" s="35"/>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row>
    <row r="11" spans="1:125" s="42" customFormat="1" ht="20.100000000000001" customHeight="1" x14ac:dyDescent="0.25">
      <c r="A11" s="85" t="str">
        <f>Profit!$E$1&amp;" Your Home"</f>
        <v>Buy Your Home</v>
      </c>
      <c r="B11" s="86">
        <f t="shared" ref="B11:B22" si="2">+B10+1</f>
        <v>3</v>
      </c>
      <c r="C11" s="87"/>
      <c r="D11" s="85"/>
      <c r="E11" s="85" t="s">
        <v>441</v>
      </c>
      <c r="F11" s="86">
        <v>1</v>
      </c>
      <c r="G11" s="88">
        <f>+'Plumbing Fixtures'!G22</f>
        <v>0</v>
      </c>
      <c r="H11" s="88">
        <f t="shared" si="0"/>
        <v>0</v>
      </c>
      <c r="I11" s="89" t="s">
        <v>45</v>
      </c>
      <c r="J11" s="88"/>
      <c r="K11" s="90"/>
      <c r="L11" s="88"/>
      <c r="M11" s="88">
        <v>706.39</v>
      </c>
      <c r="N11" s="88">
        <f t="shared" si="1"/>
        <v>0</v>
      </c>
      <c r="O11" s="89"/>
      <c r="R11" s="36"/>
      <c r="S11" s="36"/>
      <c r="T11" s="36"/>
      <c r="U11" s="36"/>
      <c r="V11" s="36"/>
      <c r="W11" s="36"/>
      <c r="X11" s="36"/>
      <c r="Y11" s="36"/>
      <c r="Z11" s="36"/>
      <c r="AA11" s="36"/>
      <c r="AB11" s="36"/>
      <c r="AC11" s="36"/>
      <c r="AD11" s="36"/>
      <c r="AE11" s="36"/>
      <c r="AF11" s="36"/>
      <c r="AG11" s="36"/>
      <c r="AH11" s="36"/>
      <c r="AI11" s="36"/>
      <c r="AP11" s="35"/>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K11" s="37"/>
      <c r="DL11" s="37"/>
      <c r="DM11" s="37"/>
      <c r="DN11" s="37"/>
      <c r="DO11" s="37"/>
      <c r="DP11" s="37"/>
      <c r="DQ11" s="37"/>
      <c r="DR11" s="37"/>
      <c r="DS11" s="37"/>
      <c r="DT11" s="37"/>
      <c r="DU11" s="37"/>
    </row>
    <row r="12" spans="1:125" s="42" customFormat="1" ht="20.100000000000001" customHeight="1" x14ac:dyDescent="0.25">
      <c r="A12" s="85" t="str">
        <f>Profit!$E$1&amp;" Your Home"</f>
        <v>Buy Your Home</v>
      </c>
      <c r="B12" s="86">
        <f t="shared" si="2"/>
        <v>4</v>
      </c>
      <c r="C12" s="87"/>
      <c r="D12" s="85"/>
      <c r="E12" s="85" t="s">
        <v>442</v>
      </c>
      <c r="F12" s="86">
        <v>0</v>
      </c>
      <c r="G12" s="88">
        <f>+'Windows &amp; Doors'!F34</f>
        <v>0</v>
      </c>
      <c r="H12" s="88">
        <f t="shared" si="0"/>
        <v>0</v>
      </c>
      <c r="I12" s="89"/>
      <c r="J12" s="88"/>
      <c r="K12" s="90"/>
      <c r="L12" s="88"/>
      <c r="M12" s="88"/>
      <c r="N12" s="88">
        <f t="shared" si="1"/>
        <v>0</v>
      </c>
      <c r="O12" s="89"/>
      <c r="R12" s="36"/>
      <c r="S12" s="36"/>
      <c r="T12" s="36"/>
      <c r="U12" s="36"/>
      <c r="V12" s="36"/>
      <c r="W12" s="36"/>
      <c r="X12" s="36"/>
      <c r="Y12" s="36"/>
      <c r="Z12" s="36"/>
      <c r="AA12" s="36"/>
      <c r="AB12" s="36"/>
      <c r="AC12" s="36"/>
      <c r="AD12" s="36"/>
      <c r="AE12" s="36"/>
      <c r="AF12" s="36"/>
      <c r="AG12" s="36"/>
      <c r="AH12" s="36"/>
      <c r="AI12" s="36"/>
      <c r="AP12" s="35"/>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c r="DL12" s="37"/>
      <c r="DM12" s="37"/>
      <c r="DN12" s="37"/>
      <c r="DO12" s="37"/>
      <c r="DP12" s="37"/>
      <c r="DQ12" s="37"/>
      <c r="DR12" s="37"/>
      <c r="DS12" s="37"/>
      <c r="DT12" s="37"/>
      <c r="DU12" s="37"/>
    </row>
    <row r="13" spans="1:125" ht="20.100000000000001" customHeight="1" x14ac:dyDescent="0.25">
      <c r="A13" s="85" t="str">
        <f>Profit!$E$1&amp;" Your Home"</f>
        <v>Buy Your Home</v>
      </c>
      <c r="B13" s="86">
        <f t="shared" si="2"/>
        <v>5</v>
      </c>
      <c r="C13" s="87"/>
      <c r="D13" s="85"/>
      <c r="E13" s="85" t="s">
        <v>443</v>
      </c>
      <c r="F13" s="86">
        <v>0</v>
      </c>
      <c r="G13" s="88">
        <f>+Cabinets!H44</f>
        <v>0</v>
      </c>
      <c r="H13" s="88">
        <f t="shared" si="0"/>
        <v>0</v>
      </c>
      <c r="I13" s="89"/>
      <c r="J13" s="88"/>
      <c r="K13" s="90"/>
      <c r="L13" s="88"/>
      <c r="M13" s="88"/>
      <c r="N13" s="88">
        <f t="shared" si="1"/>
        <v>0</v>
      </c>
      <c r="O13" s="89"/>
      <c r="AQ13" s="37"/>
    </row>
    <row r="14" spans="1:125" s="42" customFormat="1" ht="20.100000000000001" customHeight="1" x14ac:dyDescent="0.25">
      <c r="A14" s="85" t="str">
        <f>Profit!$E$1&amp;" Your Home"</f>
        <v>Buy Your Home</v>
      </c>
      <c r="B14" s="86">
        <f t="shared" si="2"/>
        <v>6</v>
      </c>
      <c r="C14" s="87"/>
      <c r="D14" s="85"/>
      <c r="E14" s="85" t="s">
        <v>444</v>
      </c>
      <c r="F14" s="86">
        <v>1</v>
      </c>
      <c r="G14" s="88">
        <f>+Paint!I31</f>
        <v>0</v>
      </c>
      <c r="H14" s="88">
        <f t="shared" si="0"/>
        <v>0</v>
      </c>
      <c r="I14" s="89" t="s">
        <v>45</v>
      </c>
      <c r="J14" s="88"/>
      <c r="K14" s="90"/>
      <c r="L14" s="88"/>
      <c r="M14" s="88">
        <v>1519.41</v>
      </c>
      <c r="N14" s="88">
        <f t="shared" si="1"/>
        <v>0</v>
      </c>
      <c r="O14" s="89"/>
      <c r="R14" s="36"/>
      <c r="S14" s="36"/>
      <c r="T14" s="36"/>
      <c r="U14" s="36"/>
      <c r="V14" s="36"/>
      <c r="W14" s="36"/>
      <c r="X14" s="36"/>
      <c r="Y14" s="36"/>
      <c r="Z14" s="36"/>
      <c r="AA14" s="36"/>
      <c r="AB14" s="36"/>
      <c r="AC14" s="36"/>
      <c r="AD14" s="36"/>
      <c r="AE14" s="36"/>
      <c r="AF14" s="36"/>
      <c r="AG14" s="36"/>
      <c r="AH14" s="36"/>
      <c r="AI14" s="36"/>
      <c r="AP14" s="35"/>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K14" s="37"/>
      <c r="DL14" s="37"/>
      <c r="DM14" s="37"/>
      <c r="DN14" s="37"/>
      <c r="DO14" s="37"/>
      <c r="DP14" s="37"/>
      <c r="DQ14" s="37"/>
      <c r="DR14" s="37"/>
      <c r="DS14" s="37"/>
      <c r="DT14" s="37"/>
      <c r="DU14" s="37"/>
    </row>
    <row r="15" spans="1:125" s="42" customFormat="1" ht="20.100000000000001" customHeight="1" x14ac:dyDescent="0.25">
      <c r="A15" s="85" t="str">
        <f>Profit!$E$1&amp;" Your Home"</f>
        <v>Buy Your Home</v>
      </c>
      <c r="B15" s="86">
        <f t="shared" si="2"/>
        <v>7</v>
      </c>
      <c r="C15" s="87"/>
      <c r="D15" s="85"/>
      <c r="E15" s="85" t="s">
        <v>445</v>
      </c>
      <c r="F15" s="86">
        <v>1</v>
      </c>
      <c r="G15" s="88">
        <f>+Flooring!G10</f>
        <v>0</v>
      </c>
      <c r="H15" s="88">
        <f t="shared" si="0"/>
        <v>0</v>
      </c>
      <c r="I15" s="89"/>
      <c r="J15" s="88"/>
      <c r="K15" s="90"/>
      <c r="L15" s="88"/>
      <c r="M15" s="88"/>
      <c r="N15" s="88">
        <f t="shared" si="1"/>
        <v>0</v>
      </c>
      <c r="O15" s="89"/>
      <c r="R15" s="36"/>
      <c r="S15" s="36"/>
      <c r="T15" s="36"/>
      <c r="U15" s="36"/>
      <c r="V15" s="36"/>
      <c r="W15" s="36"/>
      <c r="X15" s="36"/>
      <c r="Y15" s="36"/>
      <c r="Z15" s="36"/>
      <c r="AA15" s="36"/>
      <c r="AB15" s="36"/>
      <c r="AC15" s="36"/>
      <c r="AD15" s="36"/>
      <c r="AE15" s="36"/>
      <c r="AF15" s="36"/>
      <c r="AG15" s="36"/>
      <c r="AH15" s="36"/>
      <c r="AI15" s="36"/>
      <c r="AP15" s="37" t="str">
        <f>IFERROR(IF(LEN(#REF!)=0,"",IF(P$29=#REF!,Milestone_Marker_Old,"")),"")</f>
        <v/>
      </c>
      <c r="AQ15" s="37" t="str">
        <f>IFERROR(IF(LEN(#REF!)=0,"",IF(Q$29=#REF!,Milestone_Marker_Old,"")),"")</f>
        <v/>
      </c>
      <c r="AR15" s="37" t="str">
        <f>IFERROR(IF(LEN(#REF!)=0,"",IF(R$29=#REF!,Milestone_Marker_Old,"")),"")</f>
        <v/>
      </c>
      <c r="AS15" s="37" t="str">
        <f>IFERROR(IF(LEN(#REF!)=0,"",IF(S$29=#REF!,Milestone_Marker_Old,"")),"")</f>
        <v/>
      </c>
      <c r="AT15" s="37" t="str">
        <f>IFERROR(IF(LEN(#REF!)=0,"",IF(T$29=#REF!,Milestone_Marker_Old,"")),"")</f>
        <v/>
      </c>
      <c r="AU15" s="37" t="str">
        <f>IFERROR(IF(LEN(#REF!)=0,"",IF(U$29=#REF!,Milestone_Marker_Old,"")),"")</f>
        <v/>
      </c>
      <c r="AV15" s="37" t="str">
        <f>IFERROR(IF(LEN(#REF!)=0,"",IF(V$29=#REF!,Milestone_Marker_Old,"")),"")</f>
        <v/>
      </c>
      <c r="AW15" s="37" t="str">
        <f>IFERROR(IF(LEN(#REF!)=0,"",IF(W$29=#REF!,Milestone_Marker_Old,"")),"")</f>
        <v/>
      </c>
      <c r="AX15" s="37" t="str">
        <f>IFERROR(IF(LEN(#REF!)=0,"",IF(X$29=#REF!,Milestone_Marker_Old,"")),"")</f>
        <v/>
      </c>
      <c r="AY15" s="37" t="str">
        <f>IFERROR(IF(LEN(#REF!)=0,"",IF(Y$29=#REF!,Milestone_Marker_Old,"")),"")</f>
        <v/>
      </c>
      <c r="AZ15" s="37" t="str">
        <f>IFERROR(IF(LEN(#REF!)=0,"",IF(Z$29=#REF!,Milestone_Marker_Old,"")),"")</f>
        <v/>
      </c>
      <c r="BA15" s="37" t="str">
        <f>IFERROR(IF(LEN(#REF!)=0,"",IF(AA$29=#REF!,Milestone_Marker_Old,"")),"")</f>
        <v/>
      </c>
      <c r="BB15" s="37" t="str">
        <f>IFERROR(IF(LEN(#REF!)=0,"",IF(AB$29=#REF!,Milestone_Marker_Old,"")),"")</f>
        <v/>
      </c>
      <c r="BC15" s="37" t="str">
        <f>IFERROR(IF(LEN(#REF!)=0,"",IF(AC$29=#REF!,Milestone_Marker_Old,"")),"")</f>
        <v/>
      </c>
      <c r="BD15" s="37" t="str">
        <f>IFERROR(IF(LEN(#REF!)=0,"",IF(AD$29=#REF!,Milestone_Marker_Old,"")),"")</f>
        <v/>
      </c>
      <c r="BE15" s="37" t="str">
        <f>IFERROR(IF(LEN(#REF!)=0,"",IF(AE$29=#REF!,Milestone_Marker_Old,"")),"")</f>
        <v/>
      </c>
      <c r="BF15" s="37" t="str">
        <f>IFERROR(IF(LEN(#REF!)=0,"",IF(AF$29=#REF!,Milestone_Marker_Old,"")),"")</f>
        <v/>
      </c>
      <c r="BG15" s="37" t="str">
        <f>IFERROR(IF(LEN(#REF!)=0,"",IF(AG$29=#REF!,Milestone_Marker_Old,"")),"")</f>
        <v/>
      </c>
      <c r="BH15" s="37" t="str">
        <f>IFERROR(IF(LEN(#REF!)=0,"",IF(AH$29=#REF!,Milestone_Marker_Old,"")),"")</f>
        <v/>
      </c>
      <c r="BI15" s="37" t="str">
        <f>IFERROR(IF(LEN(#REF!)=0,"",IF(AI$29=#REF!,Milestone_Marker_Old,"")),"")</f>
        <v/>
      </c>
      <c r="BJ15" s="37" t="str">
        <f>IFERROR(IF(LEN(#REF!)=0,"",IF(AJ$29=#REF!,Milestone_Marker_Old,"")),"")</f>
        <v/>
      </c>
      <c r="BK15" s="37" t="str">
        <f>IFERROR(IF(LEN(#REF!)=0,"",IF(AK$29=#REF!,Milestone_Marker_Old,"")),"")</f>
        <v/>
      </c>
      <c r="BL15" s="37" t="str">
        <f>IFERROR(IF(LEN(#REF!)=0,"",IF(AL$29=#REF!,Milestone_Marker_Old,"")),"")</f>
        <v/>
      </c>
      <c r="BM15" s="37" t="str">
        <f>IFERROR(IF(LEN(#REF!)=0,"",IF(AM$29=#REF!,Milestone_Marker_Old,"")),"")</f>
        <v/>
      </c>
      <c r="BN15" s="37" t="str">
        <f>IFERROR(IF(LEN(#REF!)=0,"",IF(AN$29=#REF!,Milestone_Marker_Old,"")),"")</f>
        <v/>
      </c>
      <c r="BO15" s="37" t="str">
        <f>IFERROR(IF(LEN(#REF!)=0,"",IF(AO$29=#REF!,Milestone_Marker_Old,"")),"")</f>
        <v/>
      </c>
      <c r="BP15" s="37" t="str">
        <f>IFERROR(IF(LEN(#REF!)=0,"",IF(AP$29=#REF!,Milestone_Marker_Old,"")),"")</f>
        <v/>
      </c>
      <c r="BQ15" s="37" t="str">
        <f>IFERROR(IF(LEN(#REF!)=0,"",IF(AQ$29=#REF!,Milestone_Marker_Old,"")),"")</f>
        <v/>
      </c>
      <c r="BR15" s="37" t="str">
        <f>IFERROR(IF(LEN(#REF!)=0,"",IF(AR$29=#REF!,Milestone_Marker_Old,"")),"")</f>
        <v/>
      </c>
      <c r="BS15" s="37" t="str">
        <f>IFERROR(IF(LEN(#REF!)=0,"",IF(AS$29=#REF!,Milestone_Marker_Old,"")),"")</f>
        <v/>
      </c>
      <c r="BT15" s="37" t="str">
        <f>IFERROR(IF(LEN(#REF!)=0,"",IF(AT$29=#REF!,Milestone_Marker_Old,"")),"")</f>
        <v/>
      </c>
      <c r="BU15" s="37" t="str">
        <f>IFERROR(IF(LEN(#REF!)=0,"",IF(AU$29=#REF!,Milestone_Marker_Old,"")),"")</f>
        <v/>
      </c>
      <c r="BV15" s="37" t="str">
        <f>IFERROR(IF(LEN(#REF!)=0,"",IF(AV$29=#REF!,Milestone_Marker_Old,"")),"")</f>
        <v/>
      </c>
      <c r="BW15" s="37" t="str">
        <f>IFERROR(IF(LEN(#REF!)=0,"",IF(AW$29=#REF!,Milestone_Marker_Old,"")),"")</f>
        <v/>
      </c>
      <c r="BX15" s="37" t="str">
        <f>IFERROR(IF(LEN(#REF!)=0,"",IF(AX$29=#REF!,Milestone_Marker_Old,"")),"")</f>
        <v/>
      </c>
      <c r="BY15" s="37" t="str">
        <f>IFERROR(IF(LEN(#REF!)=0,"",IF(AY$29=#REF!,Milestone_Marker_Old,"")),"")</f>
        <v/>
      </c>
      <c r="BZ15" s="37" t="str">
        <f>IFERROR(IF(LEN(#REF!)=0,"",IF(AZ$29=#REF!,Milestone_Marker_Old,"")),"")</f>
        <v/>
      </c>
      <c r="CA15" s="37" t="str">
        <f>IFERROR(IF(LEN(#REF!)=0,"",IF(BA$29=#REF!,Milestone_Marker_Old,"")),"")</f>
        <v/>
      </c>
      <c r="CB15" s="37" t="str">
        <f>IFERROR(IF(LEN(#REF!)=0,"",IF(BB$29=#REF!,Milestone_Marker_Old,"")),"")</f>
        <v/>
      </c>
      <c r="CC15" s="37" t="str">
        <f>IFERROR(IF(LEN(#REF!)=0,"",IF(BC$29=#REF!,Milestone_Marker_Old,"")),"")</f>
        <v/>
      </c>
      <c r="CD15" s="37" t="str">
        <f>IFERROR(IF(LEN(#REF!)=0,"",IF(BD$29=#REF!,Milestone_Marker_Old,"")),"")</f>
        <v/>
      </c>
      <c r="CE15" s="37" t="str">
        <f>IFERROR(IF(LEN(#REF!)=0,"",IF(BE$29=#REF!,Milestone_Marker_Old,"")),"")</f>
        <v/>
      </c>
      <c r="CF15" s="37" t="str">
        <f>IFERROR(IF(LEN(#REF!)=0,"",IF(BF$29=#REF!,Milestone_Marker_Old,"")),"")</f>
        <v/>
      </c>
      <c r="CG15" s="37" t="str">
        <f>IFERROR(IF(LEN(#REF!)=0,"",IF(BG$29=#REF!,Milestone_Marker_Old,"")),"")</f>
        <v/>
      </c>
      <c r="CH15" s="37" t="str">
        <f>IFERROR(IF(LEN(#REF!)=0,"",IF(BH$29=#REF!,Milestone_Marker_Old,"")),"")</f>
        <v/>
      </c>
      <c r="CI15" s="37" t="str">
        <f>IFERROR(IF(LEN(#REF!)=0,"",IF(BI$29=#REF!,Milestone_Marker_Old,"")),"")</f>
        <v/>
      </c>
      <c r="CJ15" s="37" t="str">
        <f>IFERROR(IF(LEN(#REF!)=0,"",IF(BJ$29=#REF!,Milestone_Marker_Old,"")),"")</f>
        <v/>
      </c>
      <c r="CK15" s="37" t="str">
        <f>IFERROR(IF(LEN(#REF!)=0,"",IF(BK$29=#REF!,Milestone_Marker_Old,"")),"")</f>
        <v/>
      </c>
      <c r="CL15" s="37" t="str">
        <f>IFERROR(IF(LEN(#REF!)=0,"",IF(BL$29=#REF!,Milestone_Marker_Old,"")),"")</f>
        <v/>
      </c>
      <c r="CM15" s="37" t="str">
        <f>IFERROR(IF(LEN(#REF!)=0,"",IF(BM$29=#REF!,Milestone_Marker_Old,"")),"")</f>
        <v/>
      </c>
      <c r="CN15" s="37" t="str">
        <f>IFERROR(IF(LEN(#REF!)=0,"",IF(BN$29=#REF!,Milestone_Marker_Old,"")),"")</f>
        <v/>
      </c>
      <c r="CO15" s="37" t="str">
        <f>IFERROR(IF(LEN(#REF!)=0,"",IF(BO$29=#REF!,Milestone_Marker_Old,"")),"")</f>
        <v/>
      </c>
      <c r="CP15" s="37" t="str">
        <f>IFERROR(IF(LEN(#REF!)=0,"",IF(BP$29=#REF!,Milestone_Marker_Old,"")),"")</f>
        <v/>
      </c>
      <c r="CQ15" s="37" t="str">
        <f>IFERROR(IF(LEN(#REF!)=0,"",IF(BQ$29=#REF!,Milestone_Marker_Old,"")),"")</f>
        <v/>
      </c>
      <c r="CR15" s="37" t="str">
        <f>IFERROR(IF(LEN(#REF!)=0,"",IF(BR$29=#REF!,Milestone_Marker_Old,"")),"")</f>
        <v/>
      </c>
      <c r="CS15" s="37" t="str">
        <f>IFERROR(IF(LEN(#REF!)=0,"",IF(BS$29=#REF!,Milestone_Marker_Old,"")),"")</f>
        <v/>
      </c>
      <c r="CT15" s="37" t="str">
        <f>IFERROR(IF(LEN(#REF!)=0,"",IF(BT$29=#REF!,Milestone_Marker_Old,"")),"")</f>
        <v/>
      </c>
      <c r="CU15" s="37" t="str">
        <f>IFERROR(IF(LEN(#REF!)=0,"",IF(BU$29=#REF!,Milestone_Marker_Old,"")),"")</f>
        <v/>
      </c>
      <c r="CV15" s="37" t="str">
        <f>IFERROR(IF(LEN(#REF!)=0,"",IF(BV$29=#REF!,Milestone_Marker_Old,"")),"")</f>
        <v/>
      </c>
      <c r="CW15" s="37" t="str">
        <f>IFERROR(IF(LEN(#REF!)=0,"",IF(BW$29=#REF!,Milestone_Marker_Old,"")),"")</f>
        <v/>
      </c>
      <c r="CX15" s="37" t="str">
        <f>IFERROR(IF(LEN(#REF!)=0,"",IF(BX$29=#REF!,Milestone_Marker_Old,"")),"")</f>
        <v/>
      </c>
      <c r="CY15" s="37" t="str">
        <f>IFERROR(IF(LEN(#REF!)=0,"",IF(BY$29=#REF!,Milestone_Marker_Old,"")),"")</f>
        <v/>
      </c>
      <c r="CZ15" s="37" t="str">
        <f>IFERROR(IF(LEN(#REF!)=0,"",IF(BZ$29=#REF!,Milestone_Marker_Old,"")),"")</f>
        <v/>
      </c>
      <c r="DA15" s="37" t="str">
        <f>IFERROR(IF(LEN(#REF!)=0,"",IF(CA$29=#REF!,Milestone_Marker_Old,"")),"")</f>
        <v/>
      </c>
      <c r="DB15" s="37" t="str">
        <f>IFERROR(IF(LEN(#REF!)=0,"",IF(CB$29=#REF!,Milestone_Marker_Old,"")),"")</f>
        <v/>
      </c>
      <c r="DC15" s="37" t="str">
        <f>IFERROR(IF(LEN(#REF!)=0,"",IF(CC$29=#REF!,Milestone_Marker_Old,"")),"")</f>
        <v/>
      </c>
      <c r="DD15" s="37" t="str">
        <f>IFERROR(IF(LEN(#REF!)=0,"",IF(CD$29=#REF!,Milestone_Marker_Old,"")),"")</f>
        <v/>
      </c>
      <c r="DE15" s="37" t="str">
        <f>IFERROR(IF(LEN(#REF!)=0,"",IF(CE$29=#REF!,Milestone_Marker_Old,"")),"")</f>
        <v/>
      </c>
      <c r="DF15" s="37" t="str">
        <f>IFERROR(IF(LEN(#REF!)=0,"",IF(CF$29=#REF!,Milestone_Marker_Old,"")),"")</f>
        <v/>
      </c>
      <c r="DG15" s="37" t="str">
        <f>IFERROR(IF(LEN(#REF!)=0,"",IF(CG$29=#REF!,Milestone_Marker_Old,"")),"")</f>
        <v/>
      </c>
      <c r="DH15" s="37" t="str">
        <f>IFERROR(IF(LEN(#REF!)=0,"",IF(CH$29=#REF!,Milestone_Marker_Old,"")),"")</f>
        <v/>
      </c>
      <c r="DI15" s="37" t="str">
        <f>IFERROR(IF(LEN(#REF!)=0,"",IF(CI$29=#REF!,Milestone_Marker_Old,"")),"")</f>
        <v/>
      </c>
      <c r="DJ15" s="37" t="str">
        <f>IFERROR(IF(LEN(#REF!)=0,"",IF(CJ$29=#REF!,Milestone_Marker_Old,"")),"")</f>
        <v/>
      </c>
      <c r="DK15" s="37" t="str">
        <f>IFERROR(IF(LEN(#REF!)=0,"",IF(CK$29=#REF!,Milestone_Marker_Old,"")),"")</f>
        <v/>
      </c>
      <c r="DL15" s="37" t="str">
        <f>IFERROR(IF(LEN(#REF!)=0,"",IF(CL$29=#REF!,Milestone_Marker_Old,"")),"")</f>
        <v/>
      </c>
      <c r="DM15" s="37" t="str">
        <f>IFERROR(IF(LEN(#REF!)=0,"",IF(CM$29=#REF!,Milestone_Marker_Old,"")),"")</f>
        <v/>
      </c>
      <c r="DN15" s="37" t="str">
        <f>IFERROR(IF(LEN(#REF!)=0,"",IF(CN$29=#REF!,Milestone_Marker_Old,"")),"")</f>
        <v/>
      </c>
      <c r="DO15" s="37" t="str">
        <f>IFERROR(IF(LEN(#REF!)=0,"",IF(CO$29=#REF!,Milestone_Marker_Old,"")),"")</f>
        <v/>
      </c>
      <c r="DP15" s="37" t="str">
        <f>IFERROR(IF(LEN(#REF!)=0,"",IF(CP$29=#REF!,Milestone_Marker_Old,"")),"")</f>
        <v/>
      </c>
      <c r="DQ15" s="37" t="str">
        <f>IFERROR(IF(LEN(#REF!)=0,"",IF(CQ$29=#REF!,Milestone_Marker_Old,"")),"")</f>
        <v/>
      </c>
      <c r="DR15" s="37" t="str">
        <f>IFERROR(IF(LEN(#REF!)=0,"",IF(CR$29=#REF!,Milestone_Marker_Old,"")),"")</f>
        <v/>
      </c>
      <c r="DS15" s="37" t="str">
        <f>IFERROR(IF(LEN(#REF!)=0,"",IF(CS$29=#REF!,Milestone_Marker_Old,"")),"")</f>
        <v/>
      </c>
      <c r="DT15" s="37" t="str">
        <f>IFERROR(IF(LEN(#REF!)=0,"",IF(CT$29=#REF!,Milestone_Marker_Old,"")),"")</f>
        <v/>
      </c>
      <c r="DU15" s="37" t="str">
        <f>IFERROR(IF(LEN(#REF!)=0,"",IF(CU$29=#REF!,Milestone_Marker_Old,"")),"")</f>
        <v/>
      </c>
    </row>
    <row r="16" spans="1:125" s="42" customFormat="1" ht="20.100000000000001" customHeight="1" x14ac:dyDescent="0.25">
      <c r="A16" s="85" t="str">
        <f>Profit!$E$1&amp;" Your Home"</f>
        <v>Buy Your Home</v>
      </c>
      <c r="B16" s="86">
        <f t="shared" si="2"/>
        <v>8</v>
      </c>
      <c r="C16" s="87"/>
      <c r="D16" s="85"/>
      <c r="E16" s="85" t="s">
        <v>446</v>
      </c>
      <c r="F16" s="86">
        <v>1</v>
      </c>
      <c r="G16" s="88">
        <f>+'Electrical Fixtures'!F28</f>
        <v>0</v>
      </c>
      <c r="H16" s="88">
        <f t="shared" si="0"/>
        <v>0</v>
      </c>
      <c r="I16" s="89" t="s">
        <v>45</v>
      </c>
      <c r="J16" s="88"/>
      <c r="K16" s="90"/>
      <c r="L16" s="88"/>
      <c r="M16" s="88">
        <v>417.69</v>
      </c>
      <c r="N16" s="88">
        <f t="shared" si="1"/>
        <v>0</v>
      </c>
      <c r="O16" s="89"/>
      <c r="R16" s="36"/>
      <c r="S16" s="36"/>
      <c r="T16" s="36"/>
      <c r="U16" s="36"/>
      <c r="V16" s="36"/>
      <c r="W16" s="36"/>
      <c r="X16" s="36"/>
      <c r="Y16" s="36"/>
      <c r="Z16" s="36"/>
      <c r="AA16" s="36"/>
      <c r="AB16" s="36"/>
      <c r="AC16" s="36"/>
      <c r="AD16" s="36"/>
      <c r="AE16" s="36"/>
      <c r="AF16" s="36"/>
      <c r="AG16" s="36"/>
      <c r="AH16" s="36"/>
      <c r="AI16" s="36"/>
      <c r="AP16" s="37" t="str">
        <f>IFERROR(IF(LEN(#REF!)=0,"",IF(P$29=#REF!,Milestone_Marker_Old,"")),"")</f>
        <v/>
      </c>
      <c r="AQ16" s="37" t="str">
        <f>IFERROR(IF(LEN(#REF!)=0,"",IF(Q$29=#REF!,Milestone_Marker_Old,"")),"")</f>
        <v/>
      </c>
      <c r="AR16" s="37" t="str">
        <f>IFERROR(IF(LEN(#REF!)=0,"",IF(R$29=#REF!,Milestone_Marker_Old,"")),"")</f>
        <v/>
      </c>
      <c r="AS16" s="37" t="str">
        <f>IFERROR(IF(LEN(#REF!)=0,"",IF(S$29=#REF!,Milestone_Marker_Old,"")),"")</f>
        <v/>
      </c>
      <c r="AT16" s="37" t="str">
        <f>IFERROR(IF(LEN(#REF!)=0,"",IF(T$29=#REF!,Milestone_Marker_Old,"")),"")</f>
        <v/>
      </c>
      <c r="AU16" s="37" t="str">
        <f>IFERROR(IF(LEN(#REF!)=0,"",IF(U$29=#REF!,Milestone_Marker_Old,"")),"")</f>
        <v/>
      </c>
      <c r="AV16" s="37" t="str">
        <f>IFERROR(IF(LEN(#REF!)=0,"",IF(V$29=#REF!,Milestone_Marker_Old,"")),"")</f>
        <v/>
      </c>
      <c r="AW16" s="37" t="str">
        <f>IFERROR(IF(LEN(#REF!)=0,"",IF(W$29=#REF!,Milestone_Marker_Old,"")),"")</f>
        <v/>
      </c>
      <c r="AX16" s="37" t="str">
        <f>IFERROR(IF(LEN(#REF!)=0,"",IF(X$29=#REF!,Milestone_Marker_Old,"")),"")</f>
        <v/>
      </c>
      <c r="AY16" s="37" t="str">
        <f>IFERROR(IF(LEN(#REF!)=0,"",IF(Y$29=#REF!,Milestone_Marker_Old,"")),"")</f>
        <v/>
      </c>
      <c r="AZ16" s="37" t="str">
        <f>IFERROR(IF(LEN(#REF!)=0,"",IF(Z$29=#REF!,Milestone_Marker_Old,"")),"")</f>
        <v/>
      </c>
      <c r="BA16" s="37" t="str">
        <f>IFERROR(IF(LEN(#REF!)=0,"",IF(AA$29=#REF!,Milestone_Marker_Old,"")),"")</f>
        <v/>
      </c>
      <c r="BB16" s="37" t="str">
        <f>IFERROR(IF(LEN(#REF!)=0,"",IF(AB$29=#REF!,Milestone_Marker_Old,"")),"")</f>
        <v/>
      </c>
      <c r="BC16" s="37" t="str">
        <f>IFERROR(IF(LEN(#REF!)=0,"",IF(AC$29=#REF!,Milestone_Marker_Old,"")),"")</f>
        <v/>
      </c>
      <c r="BD16" s="37" t="str">
        <f>IFERROR(IF(LEN(#REF!)=0,"",IF(AD$29=#REF!,Milestone_Marker_Old,"")),"")</f>
        <v/>
      </c>
      <c r="BE16" s="37" t="str">
        <f>IFERROR(IF(LEN(#REF!)=0,"",IF(AE$29=#REF!,Milestone_Marker_Old,"")),"")</f>
        <v/>
      </c>
      <c r="BF16" s="37" t="str">
        <f>IFERROR(IF(LEN(#REF!)=0,"",IF(AF$29=#REF!,Milestone_Marker_Old,"")),"")</f>
        <v/>
      </c>
      <c r="BG16" s="37" t="str">
        <f>IFERROR(IF(LEN(#REF!)=0,"",IF(AG$29=#REF!,Milestone_Marker_Old,"")),"")</f>
        <v/>
      </c>
      <c r="BH16" s="37" t="str">
        <f>IFERROR(IF(LEN(#REF!)=0,"",IF(AH$29=#REF!,Milestone_Marker_Old,"")),"")</f>
        <v/>
      </c>
      <c r="BI16" s="37" t="str">
        <f>IFERROR(IF(LEN(#REF!)=0,"",IF(AI$29=#REF!,Milestone_Marker_Old,"")),"")</f>
        <v/>
      </c>
      <c r="BJ16" s="37" t="str">
        <f>IFERROR(IF(LEN(#REF!)=0,"",IF(AJ$29=#REF!,Milestone_Marker_Old,"")),"")</f>
        <v/>
      </c>
      <c r="BK16" s="37" t="str">
        <f>IFERROR(IF(LEN(#REF!)=0,"",IF(AK$29=#REF!,Milestone_Marker_Old,"")),"")</f>
        <v/>
      </c>
      <c r="BL16" s="37" t="str">
        <f>IFERROR(IF(LEN(#REF!)=0,"",IF(AL$29=#REF!,Milestone_Marker_Old,"")),"")</f>
        <v/>
      </c>
      <c r="BM16" s="37" t="str">
        <f>IFERROR(IF(LEN(#REF!)=0,"",IF(AM$29=#REF!,Milestone_Marker_Old,"")),"")</f>
        <v/>
      </c>
      <c r="BN16" s="37" t="str">
        <f>IFERROR(IF(LEN(#REF!)=0,"",IF(AN$29=#REF!,Milestone_Marker_Old,"")),"")</f>
        <v/>
      </c>
      <c r="BO16" s="37" t="str">
        <f>IFERROR(IF(LEN(#REF!)=0,"",IF(AO$29=#REF!,Milestone_Marker_Old,"")),"")</f>
        <v/>
      </c>
      <c r="BP16" s="37" t="str">
        <f>IFERROR(IF(LEN(#REF!)=0,"",IF(AP$29=#REF!,Milestone_Marker_Old,"")),"")</f>
        <v/>
      </c>
      <c r="BQ16" s="37" t="str">
        <f>IFERROR(IF(LEN(#REF!)=0,"",IF(AQ$29=#REF!,Milestone_Marker_Old,"")),"")</f>
        <v/>
      </c>
      <c r="BR16" s="37" t="str">
        <f>IFERROR(IF(LEN(#REF!)=0,"",IF(AR$29=#REF!,Milestone_Marker_Old,"")),"")</f>
        <v/>
      </c>
      <c r="BS16" s="37" t="str">
        <f>IFERROR(IF(LEN(#REF!)=0,"",IF(AS$29=#REF!,Milestone_Marker_Old,"")),"")</f>
        <v/>
      </c>
      <c r="BT16" s="37" t="str">
        <f>IFERROR(IF(LEN(#REF!)=0,"",IF(AT$29=#REF!,Milestone_Marker_Old,"")),"")</f>
        <v/>
      </c>
      <c r="BU16" s="37" t="str">
        <f>IFERROR(IF(LEN(#REF!)=0,"",IF(AU$29=#REF!,Milestone_Marker_Old,"")),"")</f>
        <v/>
      </c>
      <c r="BV16" s="37" t="str">
        <f>IFERROR(IF(LEN(#REF!)=0,"",IF(AV$29=#REF!,Milestone_Marker_Old,"")),"")</f>
        <v/>
      </c>
      <c r="BW16" s="37" t="str">
        <f>IFERROR(IF(LEN(#REF!)=0,"",IF(AW$29=#REF!,Milestone_Marker_Old,"")),"")</f>
        <v/>
      </c>
      <c r="BX16" s="37" t="str">
        <f>IFERROR(IF(LEN(#REF!)=0,"",IF(AX$29=#REF!,Milestone_Marker_Old,"")),"")</f>
        <v/>
      </c>
      <c r="BY16" s="37" t="str">
        <f>IFERROR(IF(LEN(#REF!)=0,"",IF(AY$29=#REF!,Milestone_Marker_Old,"")),"")</f>
        <v/>
      </c>
      <c r="BZ16" s="37" t="str">
        <f>IFERROR(IF(LEN(#REF!)=0,"",IF(AZ$29=#REF!,Milestone_Marker_Old,"")),"")</f>
        <v/>
      </c>
      <c r="CA16" s="37" t="str">
        <f>IFERROR(IF(LEN(#REF!)=0,"",IF(BA$29=#REF!,Milestone_Marker_Old,"")),"")</f>
        <v/>
      </c>
      <c r="CB16" s="37" t="str">
        <f>IFERROR(IF(LEN(#REF!)=0,"",IF(BB$29=#REF!,Milestone_Marker_Old,"")),"")</f>
        <v/>
      </c>
      <c r="CC16" s="37" t="str">
        <f>IFERROR(IF(LEN(#REF!)=0,"",IF(BC$29=#REF!,Milestone_Marker_Old,"")),"")</f>
        <v/>
      </c>
      <c r="CD16" s="37" t="str">
        <f>IFERROR(IF(LEN(#REF!)=0,"",IF(BD$29=#REF!,Milestone_Marker_Old,"")),"")</f>
        <v/>
      </c>
      <c r="CE16" s="37" t="str">
        <f>IFERROR(IF(LEN(#REF!)=0,"",IF(BE$29=#REF!,Milestone_Marker_Old,"")),"")</f>
        <v/>
      </c>
      <c r="CF16" s="37" t="str">
        <f>IFERROR(IF(LEN(#REF!)=0,"",IF(BF$29=#REF!,Milestone_Marker_Old,"")),"")</f>
        <v/>
      </c>
      <c r="CG16" s="37" t="str">
        <f>IFERROR(IF(LEN(#REF!)=0,"",IF(BG$29=#REF!,Milestone_Marker_Old,"")),"")</f>
        <v/>
      </c>
      <c r="CH16" s="37" t="str">
        <f>IFERROR(IF(LEN(#REF!)=0,"",IF(BH$29=#REF!,Milestone_Marker_Old,"")),"")</f>
        <v/>
      </c>
      <c r="CI16" s="37" t="str">
        <f>IFERROR(IF(LEN(#REF!)=0,"",IF(BI$29=#REF!,Milestone_Marker_Old,"")),"")</f>
        <v/>
      </c>
      <c r="CJ16" s="37" t="str">
        <f>IFERROR(IF(LEN(#REF!)=0,"",IF(BJ$29=#REF!,Milestone_Marker_Old,"")),"")</f>
        <v/>
      </c>
      <c r="CK16" s="37" t="str">
        <f>IFERROR(IF(LEN(#REF!)=0,"",IF(BK$29=#REF!,Milestone_Marker_Old,"")),"")</f>
        <v/>
      </c>
      <c r="CL16" s="37" t="str">
        <f>IFERROR(IF(LEN(#REF!)=0,"",IF(BL$29=#REF!,Milestone_Marker_Old,"")),"")</f>
        <v/>
      </c>
      <c r="CM16" s="37" t="str">
        <f>IFERROR(IF(LEN(#REF!)=0,"",IF(BM$29=#REF!,Milestone_Marker_Old,"")),"")</f>
        <v/>
      </c>
      <c r="CN16" s="37" t="str">
        <f>IFERROR(IF(LEN(#REF!)=0,"",IF(BN$29=#REF!,Milestone_Marker_Old,"")),"")</f>
        <v/>
      </c>
      <c r="CO16" s="37" t="str">
        <f>IFERROR(IF(LEN(#REF!)=0,"",IF(BO$29=#REF!,Milestone_Marker_Old,"")),"")</f>
        <v/>
      </c>
      <c r="CP16" s="37" t="str">
        <f>IFERROR(IF(LEN(#REF!)=0,"",IF(BP$29=#REF!,Milestone_Marker_Old,"")),"")</f>
        <v/>
      </c>
      <c r="CQ16" s="37" t="str">
        <f>IFERROR(IF(LEN(#REF!)=0,"",IF(BQ$29=#REF!,Milestone_Marker_Old,"")),"")</f>
        <v/>
      </c>
      <c r="CR16" s="37" t="str">
        <f>IFERROR(IF(LEN(#REF!)=0,"",IF(BR$29=#REF!,Milestone_Marker_Old,"")),"")</f>
        <v/>
      </c>
      <c r="CS16" s="37" t="str">
        <f>IFERROR(IF(LEN(#REF!)=0,"",IF(BS$29=#REF!,Milestone_Marker_Old,"")),"")</f>
        <v/>
      </c>
      <c r="CT16" s="37" t="str">
        <f>IFERROR(IF(LEN(#REF!)=0,"",IF(BT$29=#REF!,Milestone_Marker_Old,"")),"")</f>
        <v/>
      </c>
      <c r="CU16" s="37" t="str">
        <f>IFERROR(IF(LEN(#REF!)=0,"",IF(BU$29=#REF!,Milestone_Marker_Old,"")),"")</f>
        <v/>
      </c>
      <c r="CV16" s="37" t="str">
        <f>IFERROR(IF(LEN(#REF!)=0,"",IF(BV$29=#REF!,Milestone_Marker_Old,"")),"")</f>
        <v/>
      </c>
      <c r="CW16" s="37" t="str">
        <f>IFERROR(IF(LEN(#REF!)=0,"",IF(BW$29=#REF!,Milestone_Marker_Old,"")),"")</f>
        <v/>
      </c>
      <c r="CX16" s="37" t="str">
        <f>IFERROR(IF(LEN(#REF!)=0,"",IF(BX$29=#REF!,Milestone_Marker_Old,"")),"")</f>
        <v/>
      </c>
      <c r="CY16" s="37" t="str">
        <f>IFERROR(IF(LEN(#REF!)=0,"",IF(BY$29=#REF!,Milestone_Marker_Old,"")),"")</f>
        <v/>
      </c>
      <c r="CZ16" s="37" t="str">
        <f>IFERROR(IF(LEN(#REF!)=0,"",IF(BZ$29=#REF!,Milestone_Marker_Old,"")),"")</f>
        <v/>
      </c>
      <c r="DA16" s="37" t="str">
        <f>IFERROR(IF(LEN(#REF!)=0,"",IF(CA$29=#REF!,Milestone_Marker_Old,"")),"")</f>
        <v/>
      </c>
      <c r="DB16" s="37" t="str">
        <f>IFERROR(IF(LEN(#REF!)=0,"",IF(CB$29=#REF!,Milestone_Marker_Old,"")),"")</f>
        <v/>
      </c>
      <c r="DC16" s="37" t="str">
        <f>IFERROR(IF(LEN(#REF!)=0,"",IF(CC$29=#REF!,Milestone_Marker_Old,"")),"")</f>
        <v/>
      </c>
      <c r="DD16" s="37" t="str">
        <f>IFERROR(IF(LEN(#REF!)=0,"",IF(CD$29=#REF!,Milestone_Marker_Old,"")),"")</f>
        <v/>
      </c>
      <c r="DE16" s="37" t="str">
        <f>IFERROR(IF(LEN(#REF!)=0,"",IF(CE$29=#REF!,Milestone_Marker_Old,"")),"")</f>
        <v/>
      </c>
      <c r="DF16" s="37" t="str">
        <f>IFERROR(IF(LEN(#REF!)=0,"",IF(CF$29=#REF!,Milestone_Marker_Old,"")),"")</f>
        <v/>
      </c>
      <c r="DG16" s="37" t="str">
        <f>IFERROR(IF(LEN(#REF!)=0,"",IF(CG$29=#REF!,Milestone_Marker_Old,"")),"")</f>
        <v/>
      </c>
      <c r="DH16" s="37" t="str">
        <f>IFERROR(IF(LEN(#REF!)=0,"",IF(CH$29=#REF!,Milestone_Marker_Old,"")),"")</f>
        <v/>
      </c>
      <c r="DI16" s="37" t="str">
        <f>IFERROR(IF(LEN(#REF!)=0,"",IF(CI$29=#REF!,Milestone_Marker_Old,"")),"")</f>
        <v/>
      </c>
      <c r="DJ16" s="37" t="str">
        <f>IFERROR(IF(LEN(#REF!)=0,"",IF(CJ$29=#REF!,Milestone_Marker_Old,"")),"")</f>
        <v/>
      </c>
      <c r="DK16" s="37" t="str">
        <f>IFERROR(IF(LEN(#REF!)=0,"",IF(CK$29=#REF!,Milestone_Marker_Old,"")),"")</f>
        <v/>
      </c>
      <c r="DL16" s="37" t="str">
        <f>IFERROR(IF(LEN(#REF!)=0,"",IF(CL$29=#REF!,Milestone_Marker_Old,"")),"")</f>
        <v/>
      </c>
      <c r="DM16" s="37" t="str">
        <f>IFERROR(IF(LEN(#REF!)=0,"",IF(CM$29=#REF!,Milestone_Marker_Old,"")),"")</f>
        <v/>
      </c>
      <c r="DN16" s="37" t="str">
        <f>IFERROR(IF(LEN(#REF!)=0,"",IF(CN$29=#REF!,Milestone_Marker_Old,"")),"")</f>
        <v/>
      </c>
      <c r="DO16" s="37" t="str">
        <f>IFERROR(IF(LEN(#REF!)=0,"",IF(CO$29=#REF!,Milestone_Marker_Old,"")),"")</f>
        <v/>
      </c>
      <c r="DP16" s="37" t="str">
        <f>IFERROR(IF(LEN(#REF!)=0,"",IF(CP$29=#REF!,Milestone_Marker_Old,"")),"")</f>
        <v/>
      </c>
      <c r="DQ16" s="37" t="str">
        <f>IFERROR(IF(LEN(#REF!)=0,"",IF(CQ$29=#REF!,Milestone_Marker_Old,"")),"")</f>
        <v/>
      </c>
      <c r="DR16" s="37" t="str">
        <f>IFERROR(IF(LEN(#REF!)=0,"",IF(CR$29=#REF!,Milestone_Marker_Old,"")),"")</f>
        <v/>
      </c>
      <c r="DS16" s="37" t="str">
        <f>IFERROR(IF(LEN(#REF!)=0,"",IF(CS$29=#REF!,Milestone_Marker_Old,"")),"")</f>
        <v/>
      </c>
      <c r="DT16" s="37" t="str">
        <f>IFERROR(IF(LEN(#REF!)=0,"",IF(CT$29=#REF!,Milestone_Marker_Old,"")),"")</f>
        <v/>
      </c>
      <c r="DU16" s="37" t="str">
        <f>IFERROR(IF(LEN(#REF!)=0,"",IF(CU$29=#REF!,Milestone_Marker_Old,"")),"")</f>
        <v/>
      </c>
    </row>
    <row r="17" spans="1:125" s="42" customFormat="1" ht="20.100000000000001" customHeight="1" x14ac:dyDescent="0.25">
      <c r="A17" s="85" t="str">
        <f>Profit!$E$1&amp;" Your Home"</f>
        <v>Buy Your Home</v>
      </c>
      <c r="B17" s="86">
        <f t="shared" si="2"/>
        <v>9</v>
      </c>
      <c r="C17" s="87"/>
      <c r="D17" s="85"/>
      <c r="E17" s="85" t="s">
        <v>447</v>
      </c>
      <c r="F17" s="86">
        <v>1</v>
      </c>
      <c r="G17" s="88">
        <f>+Exterior!H19</f>
        <v>0</v>
      </c>
      <c r="H17" s="88">
        <f t="shared" si="0"/>
        <v>0</v>
      </c>
      <c r="I17" s="89" t="s">
        <v>45</v>
      </c>
      <c r="J17" s="88"/>
      <c r="K17" s="90"/>
      <c r="L17" s="88"/>
      <c r="M17" s="88">
        <v>49.75</v>
      </c>
      <c r="N17" s="88">
        <f t="shared" si="1"/>
        <v>0</v>
      </c>
      <c r="O17" s="89"/>
      <c r="R17" s="36"/>
      <c r="S17" s="36"/>
      <c r="T17" s="36"/>
      <c r="U17" s="36"/>
      <c r="V17" s="36"/>
      <c r="W17" s="36"/>
      <c r="X17" s="36"/>
      <c r="Y17" s="36"/>
      <c r="Z17" s="36"/>
      <c r="AA17" s="36"/>
      <c r="AB17" s="36"/>
      <c r="AC17" s="36"/>
      <c r="AD17" s="36"/>
      <c r="AE17" s="36"/>
      <c r="AF17" s="36"/>
      <c r="AG17" s="36"/>
      <c r="AH17" s="36"/>
      <c r="AI17" s="36"/>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row>
    <row r="18" spans="1:125" s="42" customFormat="1" ht="20.100000000000001" customHeight="1" x14ac:dyDescent="0.25">
      <c r="A18" s="85" t="str">
        <f>Profit!$E$1&amp;" Your Home"</f>
        <v>Buy Your Home</v>
      </c>
      <c r="B18" s="86">
        <f t="shared" si="2"/>
        <v>10</v>
      </c>
      <c r="C18" s="87"/>
      <c r="D18" s="85"/>
      <c r="E18" s="85" t="s">
        <v>448</v>
      </c>
      <c r="F18" s="86">
        <v>1</v>
      </c>
      <c r="G18" s="88">
        <f>+Landscape!G17</f>
        <v>0</v>
      </c>
      <c r="H18" s="88">
        <f>+F18*G18</f>
        <v>0</v>
      </c>
      <c r="I18" s="89"/>
      <c r="J18" s="88"/>
      <c r="K18" s="90"/>
      <c r="L18" s="88"/>
      <c r="M18" s="88"/>
      <c r="N18" s="88">
        <f t="shared" si="1"/>
        <v>0</v>
      </c>
      <c r="O18" s="89"/>
      <c r="R18" s="36"/>
      <c r="S18" s="36"/>
      <c r="T18" s="36"/>
      <c r="U18" s="36"/>
      <c r="V18" s="36"/>
      <c r="W18" s="36"/>
      <c r="X18" s="36"/>
      <c r="Y18" s="36"/>
      <c r="Z18" s="36"/>
      <c r="AA18" s="36"/>
      <c r="AB18" s="36"/>
      <c r="AC18" s="36"/>
      <c r="AD18" s="36"/>
      <c r="AE18" s="36"/>
      <c r="AF18" s="36"/>
      <c r="AG18" s="36"/>
      <c r="AH18" s="36"/>
      <c r="AI18" s="36"/>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K18" s="37"/>
      <c r="DL18" s="37"/>
      <c r="DM18" s="37"/>
      <c r="DN18" s="37"/>
      <c r="DO18" s="37"/>
      <c r="DP18" s="37"/>
      <c r="DQ18" s="37"/>
      <c r="DR18" s="37"/>
      <c r="DS18" s="37"/>
      <c r="DT18" s="37"/>
      <c r="DU18" s="37"/>
    </row>
    <row r="19" spans="1:125" s="42" customFormat="1" ht="20.100000000000001" customHeight="1" x14ac:dyDescent="0.25">
      <c r="A19" s="85" t="str">
        <f>Profit!$E$1&amp;" Your Home"</f>
        <v>Buy Your Home</v>
      </c>
      <c r="B19" s="86">
        <f t="shared" si="2"/>
        <v>11</v>
      </c>
      <c r="C19" s="87"/>
      <c r="D19" s="85"/>
      <c r="E19" s="85" t="s">
        <v>449</v>
      </c>
      <c r="F19" s="86">
        <v>0</v>
      </c>
      <c r="G19" s="88">
        <f>+'Demo &amp; Trash Haul'!F29</f>
        <v>0</v>
      </c>
      <c r="H19" s="88">
        <f t="shared" si="0"/>
        <v>0</v>
      </c>
      <c r="I19" s="89"/>
      <c r="J19" s="88"/>
      <c r="K19" s="90"/>
      <c r="L19" s="88"/>
      <c r="M19" s="88"/>
      <c r="N19" s="88">
        <f t="shared" si="1"/>
        <v>0</v>
      </c>
      <c r="O19" s="89"/>
      <c r="R19" s="36"/>
      <c r="S19" s="36"/>
      <c r="T19" s="36"/>
      <c r="U19" s="36"/>
      <c r="V19" s="36"/>
      <c r="W19" s="36"/>
      <c r="X19" s="36"/>
      <c r="Y19" s="36"/>
      <c r="Z19" s="36"/>
      <c r="AA19" s="36"/>
      <c r="AB19" s="36"/>
      <c r="AC19" s="36"/>
      <c r="AD19" s="36"/>
      <c r="AE19" s="36"/>
      <c r="AF19" s="36"/>
      <c r="AG19" s="36"/>
      <c r="AH19" s="36"/>
      <c r="AI19" s="36"/>
      <c r="AP19" s="37" t="str">
        <f>IFERROR(IF(LEN(#REF!)=0,"",IF(P$29=#REF!,Milestone_Marker_Old,"")),"")</f>
        <v/>
      </c>
      <c r="AQ19" s="37" t="str">
        <f>IFERROR(IF(LEN(#REF!)=0,"",IF(Q$29=#REF!,Milestone_Marker_Old,"")),"")</f>
        <v/>
      </c>
      <c r="AR19" s="37" t="str">
        <f>IFERROR(IF(LEN(#REF!)=0,"",IF(R$29=#REF!,Milestone_Marker_Old,"")),"")</f>
        <v/>
      </c>
      <c r="AS19" s="37" t="str">
        <f>IFERROR(IF(LEN(#REF!)=0,"",IF(S$29=#REF!,Milestone_Marker_Old,"")),"")</f>
        <v/>
      </c>
      <c r="AT19" s="37" t="str">
        <f>IFERROR(IF(LEN(#REF!)=0,"",IF(T$29=#REF!,Milestone_Marker_Old,"")),"")</f>
        <v/>
      </c>
      <c r="AU19" s="37" t="str">
        <f>IFERROR(IF(LEN(#REF!)=0,"",IF(U$29=#REF!,Milestone_Marker_Old,"")),"")</f>
        <v/>
      </c>
      <c r="AV19" s="37" t="str">
        <f>IFERROR(IF(LEN(#REF!)=0,"",IF(V$29=#REF!,Milestone_Marker_Old,"")),"")</f>
        <v/>
      </c>
      <c r="AW19" s="37" t="str">
        <f>IFERROR(IF(LEN(#REF!)=0,"",IF(W$29=#REF!,Milestone_Marker_Old,"")),"")</f>
        <v/>
      </c>
      <c r="AX19" s="37" t="str">
        <f>IFERROR(IF(LEN(#REF!)=0,"",IF(X$29=#REF!,Milestone_Marker_Old,"")),"")</f>
        <v/>
      </c>
      <c r="AY19" s="37" t="str">
        <f>IFERROR(IF(LEN(#REF!)=0,"",IF(Y$29=#REF!,Milestone_Marker_Old,"")),"")</f>
        <v/>
      </c>
      <c r="AZ19" s="37" t="str">
        <f>IFERROR(IF(LEN(#REF!)=0,"",IF(Z$29=#REF!,Milestone_Marker_Old,"")),"")</f>
        <v/>
      </c>
      <c r="BA19" s="37" t="str">
        <f>IFERROR(IF(LEN(#REF!)=0,"",IF(AA$29=#REF!,Milestone_Marker_Old,"")),"")</f>
        <v/>
      </c>
      <c r="BB19" s="37" t="str">
        <f>IFERROR(IF(LEN(#REF!)=0,"",IF(AB$29=#REF!,Milestone_Marker_Old,"")),"")</f>
        <v/>
      </c>
      <c r="BC19" s="37" t="str">
        <f>IFERROR(IF(LEN(#REF!)=0,"",IF(AC$29=#REF!,Milestone_Marker_Old,"")),"")</f>
        <v/>
      </c>
      <c r="BD19" s="37" t="str">
        <f>IFERROR(IF(LEN(#REF!)=0,"",IF(AD$29=#REF!,Milestone_Marker_Old,"")),"")</f>
        <v/>
      </c>
      <c r="BE19" s="37" t="str">
        <f>IFERROR(IF(LEN(#REF!)=0,"",IF(AE$29=#REF!,Milestone_Marker_Old,"")),"")</f>
        <v/>
      </c>
      <c r="BF19" s="37" t="str">
        <f>IFERROR(IF(LEN(#REF!)=0,"",IF(AF$29=#REF!,Milestone_Marker_Old,"")),"")</f>
        <v/>
      </c>
      <c r="BG19" s="37" t="str">
        <f>IFERROR(IF(LEN(#REF!)=0,"",IF(AG$29=#REF!,Milestone_Marker_Old,"")),"")</f>
        <v/>
      </c>
      <c r="BH19" s="37" t="str">
        <f>IFERROR(IF(LEN(#REF!)=0,"",IF(AH$29=#REF!,Milestone_Marker_Old,"")),"")</f>
        <v/>
      </c>
      <c r="BI19" s="37" t="str">
        <f>IFERROR(IF(LEN(#REF!)=0,"",IF(AI$29=#REF!,Milestone_Marker_Old,"")),"")</f>
        <v/>
      </c>
      <c r="BJ19" s="37" t="str">
        <f>IFERROR(IF(LEN(#REF!)=0,"",IF(AJ$29=#REF!,Milestone_Marker_Old,"")),"")</f>
        <v/>
      </c>
      <c r="BK19" s="37" t="str">
        <f>IFERROR(IF(LEN(#REF!)=0,"",IF(AK$29=#REF!,Milestone_Marker_Old,"")),"")</f>
        <v/>
      </c>
      <c r="BL19" s="37" t="str">
        <f>IFERROR(IF(LEN(#REF!)=0,"",IF(AL$29=#REF!,Milestone_Marker_Old,"")),"")</f>
        <v/>
      </c>
      <c r="BM19" s="37" t="str">
        <f>IFERROR(IF(LEN(#REF!)=0,"",IF(AM$29=#REF!,Milestone_Marker_Old,"")),"")</f>
        <v/>
      </c>
      <c r="BN19" s="37" t="str">
        <f>IFERROR(IF(LEN(#REF!)=0,"",IF(AN$29=#REF!,Milestone_Marker_Old,"")),"")</f>
        <v/>
      </c>
      <c r="BO19" s="37" t="str">
        <f>IFERROR(IF(LEN(#REF!)=0,"",IF(AO$29=#REF!,Milestone_Marker_Old,"")),"")</f>
        <v/>
      </c>
      <c r="BP19" s="37" t="str">
        <f>IFERROR(IF(LEN(#REF!)=0,"",IF(AP$29=#REF!,Milestone_Marker_Old,"")),"")</f>
        <v/>
      </c>
      <c r="BQ19" s="37" t="str">
        <f>IFERROR(IF(LEN(#REF!)=0,"",IF(AQ$29=#REF!,Milestone_Marker_Old,"")),"")</f>
        <v/>
      </c>
      <c r="BR19" s="37" t="str">
        <f>IFERROR(IF(LEN(#REF!)=0,"",IF(AR$29=#REF!,Milestone_Marker_Old,"")),"")</f>
        <v/>
      </c>
      <c r="BS19" s="37" t="str">
        <f>IFERROR(IF(LEN(#REF!)=0,"",IF(AS$29=#REF!,Milestone_Marker_Old,"")),"")</f>
        <v/>
      </c>
      <c r="BT19" s="37" t="str">
        <f>IFERROR(IF(LEN(#REF!)=0,"",IF(AT$29=#REF!,Milestone_Marker_Old,"")),"")</f>
        <v/>
      </c>
      <c r="BU19" s="37" t="str">
        <f>IFERROR(IF(LEN(#REF!)=0,"",IF(AU$29=#REF!,Milestone_Marker_Old,"")),"")</f>
        <v/>
      </c>
      <c r="BV19" s="37" t="str">
        <f>IFERROR(IF(LEN(#REF!)=0,"",IF(AV$29=#REF!,Milestone_Marker_Old,"")),"")</f>
        <v/>
      </c>
      <c r="BW19" s="37" t="str">
        <f>IFERROR(IF(LEN(#REF!)=0,"",IF(AW$29=#REF!,Milestone_Marker_Old,"")),"")</f>
        <v/>
      </c>
      <c r="BX19" s="37" t="str">
        <f>IFERROR(IF(LEN(#REF!)=0,"",IF(AX$29=#REF!,Milestone_Marker_Old,"")),"")</f>
        <v/>
      </c>
      <c r="BY19" s="37" t="str">
        <f>IFERROR(IF(LEN(#REF!)=0,"",IF(AY$29=#REF!,Milestone_Marker_Old,"")),"")</f>
        <v/>
      </c>
      <c r="BZ19" s="37" t="str">
        <f>IFERROR(IF(LEN(#REF!)=0,"",IF(AZ$29=#REF!,Milestone_Marker_Old,"")),"")</f>
        <v/>
      </c>
      <c r="CA19" s="37" t="str">
        <f>IFERROR(IF(LEN(#REF!)=0,"",IF(BA$29=#REF!,Milestone_Marker_Old,"")),"")</f>
        <v/>
      </c>
      <c r="CB19" s="37" t="str">
        <f>IFERROR(IF(LEN(#REF!)=0,"",IF(BB$29=#REF!,Milestone_Marker_Old,"")),"")</f>
        <v/>
      </c>
      <c r="CC19" s="37" t="str">
        <f>IFERROR(IF(LEN(#REF!)=0,"",IF(BC$29=#REF!,Milestone_Marker_Old,"")),"")</f>
        <v/>
      </c>
      <c r="CD19" s="37" t="str">
        <f>IFERROR(IF(LEN(#REF!)=0,"",IF(BD$29=#REF!,Milestone_Marker_Old,"")),"")</f>
        <v/>
      </c>
      <c r="CE19" s="37" t="str">
        <f>IFERROR(IF(LEN(#REF!)=0,"",IF(BE$29=#REF!,Milestone_Marker_Old,"")),"")</f>
        <v/>
      </c>
      <c r="CF19" s="37" t="str">
        <f>IFERROR(IF(LEN(#REF!)=0,"",IF(BF$29=#REF!,Milestone_Marker_Old,"")),"")</f>
        <v/>
      </c>
      <c r="CG19" s="37" t="str">
        <f>IFERROR(IF(LEN(#REF!)=0,"",IF(BG$29=#REF!,Milestone_Marker_Old,"")),"")</f>
        <v/>
      </c>
      <c r="CH19" s="37" t="str">
        <f>IFERROR(IF(LEN(#REF!)=0,"",IF(BH$29=#REF!,Milestone_Marker_Old,"")),"")</f>
        <v/>
      </c>
      <c r="CI19" s="37" t="str">
        <f>IFERROR(IF(LEN(#REF!)=0,"",IF(BI$29=#REF!,Milestone_Marker_Old,"")),"")</f>
        <v/>
      </c>
      <c r="CJ19" s="37" t="str">
        <f>IFERROR(IF(LEN(#REF!)=0,"",IF(BJ$29=#REF!,Milestone_Marker_Old,"")),"")</f>
        <v/>
      </c>
      <c r="CK19" s="37" t="str">
        <f>IFERROR(IF(LEN(#REF!)=0,"",IF(BK$29=#REF!,Milestone_Marker_Old,"")),"")</f>
        <v/>
      </c>
      <c r="CL19" s="37" t="str">
        <f>IFERROR(IF(LEN(#REF!)=0,"",IF(BL$29=#REF!,Milestone_Marker_Old,"")),"")</f>
        <v/>
      </c>
      <c r="CM19" s="37" t="str">
        <f>IFERROR(IF(LEN(#REF!)=0,"",IF(BM$29=#REF!,Milestone_Marker_Old,"")),"")</f>
        <v/>
      </c>
      <c r="CN19" s="37" t="str">
        <f>IFERROR(IF(LEN(#REF!)=0,"",IF(BN$29=#REF!,Milestone_Marker_Old,"")),"")</f>
        <v/>
      </c>
      <c r="CO19" s="37" t="str">
        <f>IFERROR(IF(LEN(#REF!)=0,"",IF(BO$29=#REF!,Milestone_Marker_Old,"")),"")</f>
        <v/>
      </c>
      <c r="CP19" s="37" t="str">
        <f>IFERROR(IF(LEN(#REF!)=0,"",IF(BP$29=#REF!,Milestone_Marker_Old,"")),"")</f>
        <v/>
      </c>
      <c r="CQ19" s="37" t="str">
        <f>IFERROR(IF(LEN(#REF!)=0,"",IF(BQ$29=#REF!,Milestone_Marker_Old,"")),"")</f>
        <v/>
      </c>
      <c r="CR19" s="37" t="str">
        <f>IFERROR(IF(LEN(#REF!)=0,"",IF(BR$29=#REF!,Milestone_Marker_Old,"")),"")</f>
        <v/>
      </c>
      <c r="CS19" s="37" t="str">
        <f>IFERROR(IF(LEN(#REF!)=0,"",IF(BS$29=#REF!,Milestone_Marker_Old,"")),"")</f>
        <v/>
      </c>
      <c r="CT19" s="37" t="str">
        <f>IFERROR(IF(LEN(#REF!)=0,"",IF(BT$29=#REF!,Milestone_Marker_Old,"")),"")</f>
        <v/>
      </c>
      <c r="CU19" s="37" t="str">
        <f>IFERROR(IF(LEN(#REF!)=0,"",IF(BU$29=#REF!,Milestone_Marker_Old,"")),"")</f>
        <v/>
      </c>
      <c r="CV19" s="37" t="str">
        <f>IFERROR(IF(LEN(#REF!)=0,"",IF(BV$29=#REF!,Milestone_Marker_Old,"")),"")</f>
        <v/>
      </c>
      <c r="CW19" s="37" t="str">
        <f>IFERROR(IF(LEN(#REF!)=0,"",IF(BW$29=#REF!,Milestone_Marker_Old,"")),"")</f>
        <v/>
      </c>
      <c r="CX19" s="37" t="str">
        <f>IFERROR(IF(LEN(#REF!)=0,"",IF(BX$29=#REF!,Milestone_Marker_Old,"")),"")</f>
        <v/>
      </c>
      <c r="CY19" s="37" t="str">
        <f>IFERROR(IF(LEN(#REF!)=0,"",IF(BY$29=#REF!,Milestone_Marker_Old,"")),"")</f>
        <v/>
      </c>
      <c r="CZ19" s="37" t="str">
        <f>IFERROR(IF(LEN(#REF!)=0,"",IF(BZ$29=#REF!,Milestone_Marker_Old,"")),"")</f>
        <v/>
      </c>
      <c r="DA19" s="37" t="str">
        <f>IFERROR(IF(LEN(#REF!)=0,"",IF(CA$29=#REF!,Milestone_Marker_Old,"")),"")</f>
        <v/>
      </c>
      <c r="DB19" s="37" t="str">
        <f>IFERROR(IF(LEN(#REF!)=0,"",IF(CB$29=#REF!,Milestone_Marker_Old,"")),"")</f>
        <v/>
      </c>
      <c r="DC19" s="37" t="str">
        <f>IFERROR(IF(LEN(#REF!)=0,"",IF(CC$29=#REF!,Milestone_Marker_Old,"")),"")</f>
        <v/>
      </c>
      <c r="DD19" s="37" t="str">
        <f>IFERROR(IF(LEN(#REF!)=0,"",IF(CD$29=#REF!,Milestone_Marker_Old,"")),"")</f>
        <v/>
      </c>
      <c r="DE19" s="37" t="str">
        <f>IFERROR(IF(LEN(#REF!)=0,"",IF(CE$29=#REF!,Milestone_Marker_Old,"")),"")</f>
        <v/>
      </c>
      <c r="DF19" s="37" t="str">
        <f>IFERROR(IF(LEN(#REF!)=0,"",IF(CF$29=#REF!,Milestone_Marker_Old,"")),"")</f>
        <v/>
      </c>
      <c r="DG19" s="37" t="str">
        <f>IFERROR(IF(LEN(#REF!)=0,"",IF(CG$29=#REF!,Milestone_Marker_Old,"")),"")</f>
        <v/>
      </c>
      <c r="DH19" s="37" t="str">
        <f>IFERROR(IF(LEN(#REF!)=0,"",IF(CH$29=#REF!,Milestone_Marker_Old,"")),"")</f>
        <v/>
      </c>
      <c r="DI19" s="37" t="str">
        <f>IFERROR(IF(LEN(#REF!)=0,"",IF(CI$29=#REF!,Milestone_Marker_Old,"")),"")</f>
        <v/>
      </c>
      <c r="DJ19" s="37" t="str">
        <f>IFERROR(IF(LEN(#REF!)=0,"",IF(CJ$29=#REF!,Milestone_Marker_Old,"")),"")</f>
        <v/>
      </c>
      <c r="DK19" s="37" t="str">
        <f>IFERROR(IF(LEN(#REF!)=0,"",IF(CK$29=#REF!,Milestone_Marker_Old,"")),"")</f>
        <v/>
      </c>
      <c r="DL19" s="37" t="str">
        <f>IFERROR(IF(LEN(#REF!)=0,"",IF(CL$29=#REF!,Milestone_Marker_Old,"")),"")</f>
        <v/>
      </c>
      <c r="DM19" s="37" t="str">
        <f>IFERROR(IF(LEN(#REF!)=0,"",IF(CM$29=#REF!,Milestone_Marker_Old,"")),"")</f>
        <v/>
      </c>
      <c r="DN19" s="37" t="str">
        <f>IFERROR(IF(LEN(#REF!)=0,"",IF(CN$29=#REF!,Milestone_Marker_Old,"")),"")</f>
        <v/>
      </c>
      <c r="DO19" s="37" t="str">
        <f>IFERROR(IF(LEN(#REF!)=0,"",IF(CO$29=#REF!,Milestone_Marker_Old,"")),"")</f>
        <v/>
      </c>
      <c r="DP19" s="37" t="str">
        <f>IFERROR(IF(LEN(#REF!)=0,"",IF(CP$29=#REF!,Milestone_Marker_Old,"")),"")</f>
        <v/>
      </c>
      <c r="DQ19" s="37" t="str">
        <f>IFERROR(IF(LEN(#REF!)=0,"",IF(CQ$29=#REF!,Milestone_Marker_Old,"")),"")</f>
        <v/>
      </c>
      <c r="DR19" s="37" t="str">
        <f>IFERROR(IF(LEN(#REF!)=0,"",IF(CR$29=#REF!,Milestone_Marker_Old,"")),"")</f>
        <v/>
      </c>
      <c r="DS19" s="37" t="str">
        <f>IFERROR(IF(LEN(#REF!)=0,"",IF(CS$29=#REF!,Milestone_Marker_Old,"")),"")</f>
        <v/>
      </c>
      <c r="DT19" s="37" t="str">
        <f>IFERROR(IF(LEN(#REF!)=0,"",IF(CT$29=#REF!,Milestone_Marker_Old,"")),"")</f>
        <v/>
      </c>
      <c r="DU19" s="37" t="str">
        <f>IFERROR(IF(LEN(#REF!)=0,"",IF(CU$29=#REF!,Milestone_Marker_Old,"")),"")</f>
        <v/>
      </c>
    </row>
    <row r="20" spans="1:125" ht="20.100000000000001" customHeight="1" x14ac:dyDescent="0.25">
      <c r="A20" s="85" t="str">
        <f>Profit!$E$1&amp;" Your Home"</f>
        <v>Buy Your Home</v>
      </c>
      <c r="B20" s="86">
        <f t="shared" si="2"/>
        <v>12</v>
      </c>
      <c r="C20" s="87"/>
      <c r="D20" s="85"/>
      <c r="E20" s="85" t="s">
        <v>450</v>
      </c>
      <c r="F20" s="86">
        <v>0</v>
      </c>
      <c r="G20" s="88">
        <f>+'Demo &amp; Trash Haul'!F30</f>
        <v>0</v>
      </c>
      <c r="H20" s="88">
        <f t="shared" si="0"/>
        <v>0</v>
      </c>
      <c r="I20" s="89"/>
      <c r="J20" s="88"/>
      <c r="K20" s="90"/>
      <c r="L20" s="88"/>
      <c r="M20" s="88"/>
      <c r="N20" s="88">
        <f t="shared" si="1"/>
        <v>0</v>
      </c>
      <c r="O20" s="89"/>
      <c r="AP20" s="37" t="str">
        <f>IFERROR(IF(LEN(#REF!)=0,"",IF(P$29=#REF!,Milestone_Marker_Old,"")),"")</f>
        <v/>
      </c>
      <c r="AQ20" s="37" t="str">
        <f>IFERROR(IF(LEN(#REF!)=0,"",IF(Q$29=#REF!,Milestone_Marker_Old,"")),"")</f>
        <v/>
      </c>
      <c r="AR20" s="37" t="str">
        <f>IFERROR(IF(LEN(#REF!)=0,"",IF(R$29=#REF!,Milestone_Marker_Old,"")),"")</f>
        <v/>
      </c>
      <c r="AS20" s="37" t="str">
        <f>IFERROR(IF(LEN(#REF!)=0,"",IF(S$29=#REF!,Milestone_Marker_Old,"")),"")</f>
        <v/>
      </c>
      <c r="AT20" s="37" t="str">
        <f>IFERROR(IF(LEN(#REF!)=0,"",IF(T$29=#REF!,Milestone_Marker_Old,"")),"")</f>
        <v/>
      </c>
      <c r="AU20" s="37" t="str">
        <f>IFERROR(IF(LEN(#REF!)=0,"",IF(U$29=#REF!,Milestone_Marker_Old,"")),"")</f>
        <v/>
      </c>
      <c r="AV20" s="37" t="str">
        <f>IFERROR(IF(LEN(#REF!)=0,"",IF(V$29=#REF!,Milestone_Marker_Old,"")),"")</f>
        <v/>
      </c>
      <c r="AW20" s="37" t="str">
        <f>IFERROR(IF(LEN(#REF!)=0,"",IF(W$29=#REF!,Milestone_Marker_Old,"")),"")</f>
        <v/>
      </c>
      <c r="AX20" s="37" t="str">
        <f>IFERROR(IF(LEN(#REF!)=0,"",IF(X$29=#REF!,Milestone_Marker_Old,"")),"")</f>
        <v/>
      </c>
      <c r="AY20" s="37" t="str">
        <f>IFERROR(IF(LEN(#REF!)=0,"",IF(Y$29=#REF!,Milestone_Marker_Old,"")),"")</f>
        <v/>
      </c>
      <c r="AZ20" s="37" t="str">
        <f>IFERROR(IF(LEN(#REF!)=0,"",IF(Z$29=#REF!,Milestone_Marker_Old,"")),"")</f>
        <v/>
      </c>
      <c r="BA20" s="37" t="str">
        <f>IFERROR(IF(LEN(#REF!)=0,"",IF(AA$29=#REF!,Milestone_Marker_Old,"")),"")</f>
        <v/>
      </c>
      <c r="BB20" s="37" t="str">
        <f>IFERROR(IF(LEN(#REF!)=0,"",IF(AB$29=#REF!,Milestone_Marker_Old,"")),"")</f>
        <v/>
      </c>
      <c r="BC20" s="37" t="str">
        <f>IFERROR(IF(LEN(#REF!)=0,"",IF(AC$29=#REF!,Milestone_Marker_Old,"")),"")</f>
        <v/>
      </c>
      <c r="BD20" s="37" t="str">
        <f>IFERROR(IF(LEN(#REF!)=0,"",IF(AD$29=#REF!,Milestone_Marker_Old,"")),"")</f>
        <v/>
      </c>
      <c r="BE20" s="37" t="str">
        <f>IFERROR(IF(LEN(#REF!)=0,"",IF(AE$29=#REF!,Milestone_Marker_Old,"")),"")</f>
        <v/>
      </c>
      <c r="BF20" s="37" t="str">
        <f>IFERROR(IF(LEN(#REF!)=0,"",IF(AF$29=#REF!,Milestone_Marker_Old,"")),"")</f>
        <v/>
      </c>
      <c r="BG20" s="37" t="str">
        <f>IFERROR(IF(LEN(#REF!)=0,"",IF(AG$29=#REF!,Milestone_Marker_Old,"")),"")</f>
        <v/>
      </c>
      <c r="BH20" s="37" t="str">
        <f>IFERROR(IF(LEN(#REF!)=0,"",IF(AH$29=#REF!,Milestone_Marker_Old,"")),"")</f>
        <v/>
      </c>
      <c r="BI20" s="37" t="str">
        <f>IFERROR(IF(LEN(#REF!)=0,"",IF(AI$29=#REF!,Milestone_Marker_Old,"")),"")</f>
        <v/>
      </c>
      <c r="BJ20" s="37" t="str">
        <f>IFERROR(IF(LEN(#REF!)=0,"",IF(AJ$29=#REF!,Milestone_Marker_Old,"")),"")</f>
        <v/>
      </c>
      <c r="BK20" s="37" t="str">
        <f>IFERROR(IF(LEN(#REF!)=0,"",IF(AK$29=#REF!,Milestone_Marker_Old,"")),"")</f>
        <v/>
      </c>
      <c r="BL20" s="37" t="str">
        <f>IFERROR(IF(LEN(#REF!)=0,"",IF(AL$29=#REF!,Milestone_Marker_Old,"")),"")</f>
        <v/>
      </c>
      <c r="BM20" s="37" t="str">
        <f>IFERROR(IF(LEN(#REF!)=0,"",IF(AM$29=#REF!,Milestone_Marker_Old,"")),"")</f>
        <v/>
      </c>
      <c r="BN20" s="37" t="str">
        <f>IFERROR(IF(LEN(#REF!)=0,"",IF(AN$29=#REF!,Milestone_Marker_Old,"")),"")</f>
        <v/>
      </c>
      <c r="BO20" s="37" t="str">
        <f>IFERROR(IF(LEN(#REF!)=0,"",IF(AO$29=#REF!,Milestone_Marker_Old,"")),"")</f>
        <v/>
      </c>
      <c r="BP20" s="37" t="str">
        <f>IFERROR(IF(LEN(#REF!)=0,"",IF(AP$29=#REF!,Milestone_Marker_Old,"")),"")</f>
        <v/>
      </c>
      <c r="BQ20" s="37" t="str">
        <f>IFERROR(IF(LEN(#REF!)=0,"",IF(AQ$29=#REF!,Milestone_Marker_Old,"")),"")</f>
        <v/>
      </c>
      <c r="BR20" s="37" t="str">
        <f>IFERROR(IF(LEN(#REF!)=0,"",IF(AR$29=#REF!,Milestone_Marker_Old,"")),"")</f>
        <v/>
      </c>
      <c r="BS20" s="37" t="str">
        <f>IFERROR(IF(LEN(#REF!)=0,"",IF(AS$29=#REF!,Milestone_Marker_Old,"")),"")</f>
        <v/>
      </c>
      <c r="BT20" s="37" t="str">
        <f>IFERROR(IF(LEN(#REF!)=0,"",IF(AT$29=#REF!,Milestone_Marker_Old,"")),"")</f>
        <v/>
      </c>
      <c r="BU20" s="37" t="str">
        <f>IFERROR(IF(LEN(#REF!)=0,"",IF(AU$29=#REF!,Milestone_Marker_Old,"")),"")</f>
        <v/>
      </c>
      <c r="BV20" s="37" t="str">
        <f>IFERROR(IF(LEN(#REF!)=0,"",IF(AV$29=#REF!,Milestone_Marker_Old,"")),"")</f>
        <v/>
      </c>
      <c r="BW20" s="37" t="str">
        <f>IFERROR(IF(LEN(#REF!)=0,"",IF(AW$29=#REF!,Milestone_Marker_Old,"")),"")</f>
        <v/>
      </c>
      <c r="BX20" s="37" t="str">
        <f>IFERROR(IF(LEN(#REF!)=0,"",IF(AX$29=#REF!,Milestone_Marker_Old,"")),"")</f>
        <v/>
      </c>
      <c r="BY20" s="37" t="str">
        <f>IFERROR(IF(LEN(#REF!)=0,"",IF(AY$29=#REF!,Milestone_Marker_Old,"")),"")</f>
        <v/>
      </c>
      <c r="BZ20" s="37" t="str">
        <f>IFERROR(IF(LEN(#REF!)=0,"",IF(AZ$29=#REF!,Milestone_Marker_Old,"")),"")</f>
        <v/>
      </c>
      <c r="CA20" s="37" t="str">
        <f>IFERROR(IF(LEN(#REF!)=0,"",IF(BA$29=#REF!,Milestone_Marker_Old,"")),"")</f>
        <v/>
      </c>
      <c r="CB20" s="37" t="str">
        <f>IFERROR(IF(LEN(#REF!)=0,"",IF(BB$29=#REF!,Milestone_Marker_Old,"")),"")</f>
        <v/>
      </c>
      <c r="CC20" s="37" t="str">
        <f>IFERROR(IF(LEN(#REF!)=0,"",IF(BC$29=#REF!,Milestone_Marker_Old,"")),"")</f>
        <v/>
      </c>
      <c r="CD20" s="37" t="str">
        <f>IFERROR(IF(LEN(#REF!)=0,"",IF(BD$29=#REF!,Milestone_Marker_Old,"")),"")</f>
        <v/>
      </c>
      <c r="CE20" s="37" t="str">
        <f>IFERROR(IF(LEN(#REF!)=0,"",IF(BE$29=#REF!,Milestone_Marker_Old,"")),"")</f>
        <v/>
      </c>
      <c r="CF20" s="37" t="str">
        <f>IFERROR(IF(LEN(#REF!)=0,"",IF(BF$29=#REF!,Milestone_Marker_Old,"")),"")</f>
        <v/>
      </c>
      <c r="CG20" s="37" t="str">
        <f>IFERROR(IF(LEN(#REF!)=0,"",IF(BG$29=#REF!,Milestone_Marker_Old,"")),"")</f>
        <v/>
      </c>
      <c r="CH20" s="37" t="str">
        <f>IFERROR(IF(LEN(#REF!)=0,"",IF(BH$29=#REF!,Milestone_Marker_Old,"")),"")</f>
        <v/>
      </c>
      <c r="CI20" s="37" t="str">
        <f>IFERROR(IF(LEN(#REF!)=0,"",IF(BI$29=#REF!,Milestone_Marker_Old,"")),"")</f>
        <v/>
      </c>
      <c r="CJ20" s="37" t="str">
        <f>IFERROR(IF(LEN(#REF!)=0,"",IF(BJ$29=#REF!,Milestone_Marker_Old,"")),"")</f>
        <v/>
      </c>
      <c r="CK20" s="37" t="str">
        <f>IFERROR(IF(LEN(#REF!)=0,"",IF(BK$29=#REF!,Milestone_Marker_Old,"")),"")</f>
        <v/>
      </c>
      <c r="CL20" s="37" t="str">
        <f>IFERROR(IF(LEN(#REF!)=0,"",IF(BL$29=#REF!,Milestone_Marker_Old,"")),"")</f>
        <v/>
      </c>
      <c r="CM20" s="37" t="str">
        <f>IFERROR(IF(LEN(#REF!)=0,"",IF(BM$29=#REF!,Milestone_Marker_Old,"")),"")</f>
        <v/>
      </c>
      <c r="CN20" s="37" t="str">
        <f>IFERROR(IF(LEN(#REF!)=0,"",IF(BN$29=#REF!,Milestone_Marker_Old,"")),"")</f>
        <v/>
      </c>
      <c r="CO20" s="37" t="str">
        <f>IFERROR(IF(LEN(#REF!)=0,"",IF(BO$29=#REF!,Milestone_Marker_Old,"")),"")</f>
        <v/>
      </c>
      <c r="CP20" s="37" t="str">
        <f>IFERROR(IF(LEN(#REF!)=0,"",IF(BP$29=#REF!,Milestone_Marker_Old,"")),"")</f>
        <v/>
      </c>
      <c r="CQ20" s="37" t="str">
        <f>IFERROR(IF(LEN(#REF!)=0,"",IF(BQ$29=#REF!,Milestone_Marker_Old,"")),"")</f>
        <v/>
      </c>
      <c r="CR20" s="37" t="str">
        <f>IFERROR(IF(LEN(#REF!)=0,"",IF(BR$29=#REF!,Milestone_Marker_Old,"")),"")</f>
        <v/>
      </c>
      <c r="CS20" s="37" t="str">
        <f>IFERROR(IF(LEN(#REF!)=0,"",IF(BS$29=#REF!,Milestone_Marker_Old,"")),"")</f>
        <v/>
      </c>
      <c r="CT20" s="37" t="str">
        <f>IFERROR(IF(LEN(#REF!)=0,"",IF(BT$29=#REF!,Milestone_Marker_Old,"")),"")</f>
        <v/>
      </c>
      <c r="CU20" s="37" t="str">
        <f>IFERROR(IF(LEN(#REF!)=0,"",IF(BU$29=#REF!,Milestone_Marker_Old,"")),"")</f>
        <v/>
      </c>
      <c r="CV20" s="37" t="str">
        <f>IFERROR(IF(LEN(#REF!)=0,"",IF(BV$29=#REF!,Milestone_Marker_Old,"")),"")</f>
        <v/>
      </c>
      <c r="CW20" s="37" t="str">
        <f>IFERROR(IF(LEN(#REF!)=0,"",IF(BW$29=#REF!,Milestone_Marker_Old,"")),"")</f>
        <v/>
      </c>
      <c r="CX20" s="37" t="str">
        <f>IFERROR(IF(LEN(#REF!)=0,"",IF(BX$29=#REF!,Milestone_Marker_Old,"")),"")</f>
        <v/>
      </c>
      <c r="CY20" s="37" t="str">
        <f>IFERROR(IF(LEN(#REF!)=0,"",IF(BY$29=#REF!,Milestone_Marker_Old,"")),"")</f>
        <v/>
      </c>
      <c r="CZ20" s="37" t="str">
        <f>IFERROR(IF(LEN(#REF!)=0,"",IF(BZ$29=#REF!,Milestone_Marker_Old,"")),"")</f>
        <v/>
      </c>
      <c r="DA20" s="37" t="str">
        <f>IFERROR(IF(LEN(#REF!)=0,"",IF(CA$29=#REF!,Milestone_Marker_Old,"")),"")</f>
        <v/>
      </c>
      <c r="DB20" s="37" t="str">
        <f>IFERROR(IF(LEN(#REF!)=0,"",IF(CB$29=#REF!,Milestone_Marker_Old,"")),"")</f>
        <v/>
      </c>
      <c r="DC20" s="37" t="str">
        <f>IFERROR(IF(LEN(#REF!)=0,"",IF(CC$29=#REF!,Milestone_Marker_Old,"")),"")</f>
        <v/>
      </c>
      <c r="DD20" s="37" t="str">
        <f>IFERROR(IF(LEN(#REF!)=0,"",IF(CD$29=#REF!,Milestone_Marker_Old,"")),"")</f>
        <v/>
      </c>
      <c r="DE20" s="37" t="str">
        <f>IFERROR(IF(LEN(#REF!)=0,"",IF(CE$29=#REF!,Milestone_Marker_Old,"")),"")</f>
        <v/>
      </c>
      <c r="DF20" s="37" t="str">
        <f>IFERROR(IF(LEN(#REF!)=0,"",IF(CF$29=#REF!,Milestone_Marker_Old,"")),"")</f>
        <v/>
      </c>
      <c r="DG20" s="37" t="str">
        <f>IFERROR(IF(LEN(#REF!)=0,"",IF(CG$29=#REF!,Milestone_Marker_Old,"")),"")</f>
        <v/>
      </c>
      <c r="DH20" s="37" t="str">
        <f>IFERROR(IF(LEN(#REF!)=0,"",IF(CH$29=#REF!,Milestone_Marker_Old,"")),"")</f>
        <v/>
      </c>
      <c r="DI20" s="37" t="str">
        <f>IFERROR(IF(LEN(#REF!)=0,"",IF(CI$29=#REF!,Milestone_Marker_Old,"")),"")</f>
        <v/>
      </c>
      <c r="DJ20" s="37" t="str">
        <f>IFERROR(IF(LEN(#REF!)=0,"",IF(CJ$29=#REF!,Milestone_Marker_Old,"")),"")</f>
        <v/>
      </c>
      <c r="DK20" s="37" t="str">
        <f>IFERROR(IF(LEN(#REF!)=0,"",IF(CK$29=#REF!,Milestone_Marker_Old,"")),"")</f>
        <v/>
      </c>
      <c r="DL20" s="37" t="str">
        <f>IFERROR(IF(LEN(#REF!)=0,"",IF(CL$29=#REF!,Milestone_Marker_Old,"")),"")</f>
        <v/>
      </c>
      <c r="DM20" s="37" t="str">
        <f>IFERROR(IF(LEN(#REF!)=0,"",IF(CM$29=#REF!,Milestone_Marker_Old,"")),"")</f>
        <v/>
      </c>
      <c r="DN20" s="37" t="str">
        <f>IFERROR(IF(LEN(#REF!)=0,"",IF(CN$29=#REF!,Milestone_Marker_Old,"")),"")</f>
        <v/>
      </c>
      <c r="DO20" s="37" t="str">
        <f>IFERROR(IF(LEN(#REF!)=0,"",IF(CO$29=#REF!,Milestone_Marker_Old,"")),"")</f>
        <v/>
      </c>
      <c r="DP20" s="37" t="str">
        <f>IFERROR(IF(LEN(#REF!)=0,"",IF(CP$29=#REF!,Milestone_Marker_Old,"")),"")</f>
        <v/>
      </c>
      <c r="DQ20" s="37" t="str">
        <f>IFERROR(IF(LEN(#REF!)=0,"",IF(CQ$29=#REF!,Milestone_Marker_Old,"")),"")</f>
        <v/>
      </c>
      <c r="DR20" s="37" t="str">
        <f>IFERROR(IF(LEN(#REF!)=0,"",IF(CR$29=#REF!,Milestone_Marker_Old,"")),"")</f>
        <v/>
      </c>
      <c r="DS20" s="37" t="str">
        <f>IFERROR(IF(LEN(#REF!)=0,"",IF(CS$29=#REF!,Milestone_Marker_Old,"")),"")</f>
        <v/>
      </c>
      <c r="DT20" s="37" t="str">
        <f>IFERROR(IF(LEN(#REF!)=0,"",IF(CT$29=#REF!,Milestone_Marker_Old,"")),"")</f>
        <v/>
      </c>
      <c r="DU20" s="37" t="str">
        <f>IFERROR(IF(LEN(#REF!)=0,"",IF(CU$29=#REF!,Milestone_Marker_Old,"")),"")</f>
        <v/>
      </c>
    </row>
    <row r="21" spans="1:125" ht="20.100000000000001" customHeight="1" x14ac:dyDescent="0.25">
      <c r="A21" s="85" t="str">
        <f>Profit!$E$1&amp;" Your Home"</f>
        <v>Buy Your Home</v>
      </c>
      <c r="B21" s="86">
        <f t="shared" si="2"/>
        <v>13</v>
      </c>
      <c r="C21" s="87"/>
      <c r="D21" s="85"/>
      <c r="E21" s="85" t="s">
        <v>451</v>
      </c>
      <c r="F21" s="86">
        <v>0</v>
      </c>
      <c r="G21" s="88">
        <v>0</v>
      </c>
      <c r="H21" s="88">
        <f t="shared" si="0"/>
        <v>0</v>
      </c>
      <c r="I21" s="89"/>
      <c r="J21" s="88"/>
      <c r="K21" s="90"/>
      <c r="L21" s="88"/>
      <c r="M21" s="88"/>
      <c r="N21" s="88">
        <f t="shared" si="1"/>
        <v>0</v>
      </c>
      <c r="O21" s="89"/>
      <c r="AP21" s="37" t="str">
        <f>IFERROR(IF(LEN(#REF!)=0,"",IF(P$29=#REF!,Milestone_Marker_Old,"")),"")</f>
        <v/>
      </c>
      <c r="AQ21" s="37" t="str">
        <f>IFERROR(IF(LEN(#REF!)=0,"",IF(Q$29=#REF!,Milestone_Marker_Old,"")),"")</f>
        <v/>
      </c>
      <c r="AR21" s="37" t="str">
        <f>IFERROR(IF(LEN(#REF!)=0,"",IF(R$29=#REF!,Milestone_Marker_Old,"")),"")</f>
        <v/>
      </c>
      <c r="AS21" s="37" t="str">
        <f>IFERROR(IF(LEN(#REF!)=0,"",IF(S$29=#REF!,Milestone_Marker_Old,"")),"")</f>
        <v/>
      </c>
      <c r="AT21" s="37" t="str">
        <f>IFERROR(IF(LEN(#REF!)=0,"",IF(T$29=#REF!,Milestone_Marker_Old,"")),"")</f>
        <v/>
      </c>
      <c r="AU21" s="37" t="str">
        <f>IFERROR(IF(LEN(#REF!)=0,"",IF(U$29=#REF!,Milestone_Marker_Old,"")),"")</f>
        <v/>
      </c>
      <c r="AV21" s="37" t="str">
        <f>IFERROR(IF(LEN(#REF!)=0,"",IF(V$29=#REF!,Milestone_Marker_Old,"")),"")</f>
        <v/>
      </c>
      <c r="AW21" s="37" t="str">
        <f>IFERROR(IF(LEN(#REF!)=0,"",IF(W$29=#REF!,Milestone_Marker_Old,"")),"")</f>
        <v/>
      </c>
      <c r="AX21" s="37" t="str">
        <f>IFERROR(IF(LEN(#REF!)=0,"",IF(X$29=#REF!,Milestone_Marker_Old,"")),"")</f>
        <v/>
      </c>
      <c r="AY21" s="37" t="str">
        <f>IFERROR(IF(LEN(#REF!)=0,"",IF(Y$29=#REF!,Milestone_Marker_Old,"")),"")</f>
        <v/>
      </c>
      <c r="AZ21" s="37" t="str">
        <f>IFERROR(IF(LEN(#REF!)=0,"",IF(Z$29=#REF!,Milestone_Marker_Old,"")),"")</f>
        <v/>
      </c>
      <c r="BA21" s="37" t="str">
        <f>IFERROR(IF(LEN(#REF!)=0,"",IF(AA$29=#REF!,Milestone_Marker_Old,"")),"")</f>
        <v/>
      </c>
      <c r="BB21" s="37" t="str">
        <f>IFERROR(IF(LEN(#REF!)=0,"",IF(AB$29=#REF!,Milestone_Marker_Old,"")),"")</f>
        <v/>
      </c>
      <c r="BC21" s="37" t="str">
        <f>IFERROR(IF(LEN(#REF!)=0,"",IF(AC$29=#REF!,Milestone_Marker_Old,"")),"")</f>
        <v/>
      </c>
      <c r="BD21" s="37" t="str">
        <f>IFERROR(IF(LEN(#REF!)=0,"",IF(AD$29=#REF!,Milestone_Marker_Old,"")),"")</f>
        <v/>
      </c>
      <c r="BE21" s="37" t="str">
        <f>IFERROR(IF(LEN(#REF!)=0,"",IF(AE$29=#REF!,Milestone_Marker_Old,"")),"")</f>
        <v/>
      </c>
      <c r="BF21" s="37" t="str">
        <f>IFERROR(IF(LEN(#REF!)=0,"",IF(AF$29=#REF!,Milestone_Marker_Old,"")),"")</f>
        <v/>
      </c>
      <c r="BG21" s="37" t="str">
        <f>IFERROR(IF(LEN(#REF!)=0,"",IF(AG$29=#REF!,Milestone_Marker_Old,"")),"")</f>
        <v/>
      </c>
      <c r="BH21" s="37" t="str">
        <f>IFERROR(IF(LEN(#REF!)=0,"",IF(AH$29=#REF!,Milestone_Marker_Old,"")),"")</f>
        <v/>
      </c>
      <c r="BI21" s="37" t="str">
        <f>IFERROR(IF(LEN(#REF!)=0,"",IF(AI$29=#REF!,Milestone_Marker_Old,"")),"")</f>
        <v/>
      </c>
      <c r="BJ21" s="37" t="str">
        <f>IFERROR(IF(LEN(#REF!)=0,"",IF(AJ$29=#REF!,Milestone_Marker_Old,"")),"")</f>
        <v/>
      </c>
      <c r="BK21" s="37" t="str">
        <f>IFERROR(IF(LEN(#REF!)=0,"",IF(AK$29=#REF!,Milestone_Marker_Old,"")),"")</f>
        <v/>
      </c>
      <c r="BL21" s="37" t="str">
        <f>IFERROR(IF(LEN(#REF!)=0,"",IF(AL$29=#REF!,Milestone_Marker_Old,"")),"")</f>
        <v/>
      </c>
      <c r="BM21" s="37" t="str">
        <f>IFERROR(IF(LEN(#REF!)=0,"",IF(AM$29=#REF!,Milestone_Marker_Old,"")),"")</f>
        <v/>
      </c>
      <c r="BN21" s="37" t="str">
        <f>IFERROR(IF(LEN(#REF!)=0,"",IF(AN$29=#REF!,Milestone_Marker_Old,"")),"")</f>
        <v/>
      </c>
      <c r="BO21" s="37" t="str">
        <f>IFERROR(IF(LEN(#REF!)=0,"",IF(AO$29=#REF!,Milestone_Marker_Old,"")),"")</f>
        <v/>
      </c>
      <c r="BP21" s="37" t="str">
        <f>IFERROR(IF(LEN(#REF!)=0,"",IF(AP$29=#REF!,Milestone_Marker_Old,"")),"")</f>
        <v/>
      </c>
      <c r="BQ21" s="37" t="str">
        <f>IFERROR(IF(LEN(#REF!)=0,"",IF(AQ$29=#REF!,Milestone_Marker_Old,"")),"")</f>
        <v/>
      </c>
      <c r="BR21" s="37" t="str">
        <f>IFERROR(IF(LEN(#REF!)=0,"",IF(AR$29=#REF!,Milestone_Marker_Old,"")),"")</f>
        <v/>
      </c>
      <c r="BS21" s="37" t="str">
        <f>IFERROR(IF(LEN(#REF!)=0,"",IF(AS$29=#REF!,Milestone_Marker_Old,"")),"")</f>
        <v/>
      </c>
      <c r="BT21" s="37" t="str">
        <f>IFERROR(IF(LEN(#REF!)=0,"",IF(AT$29=#REF!,Milestone_Marker_Old,"")),"")</f>
        <v/>
      </c>
      <c r="BU21" s="37" t="str">
        <f>IFERROR(IF(LEN(#REF!)=0,"",IF(AU$29=#REF!,Milestone_Marker_Old,"")),"")</f>
        <v/>
      </c>
      <c r="BV21" s="37" t="str">
        <f>IFERROR(IF(LEN(#REF!)=0,"",IF(AV$29=#REF!,Milestone_Marker_Old,"")),"")</f>
        <v/>
      </c>
      <c r="BW21" s="37" t="str">
        <f>IFERROR(IF(LEN(#REF!)=0,"",IF(AW$29=#REF!,Milestone_Marker_Old,"")),"")</f>
        <v/>
      </c>
      <c r="BX21" s="37" t="str">
        <f>IFERROR(IF(LEN(#REF!)=0,"",IF(AX$29=#REF!,Milestone_Marker_Old,"")),"")</f>
        <v/>
      </c>
      <c r="BY21" s="37" t="str">
        <f>IFERROR(IF(LEN(#REF!)=0,"",IF(AY$29=#REF!,Milestone_Marker_Old,"")),"")</f>
        <v/>
      </c>
      <c r="BZ21" s="37" t="str">
        <f>IFERROR(IF(LEN(#REF!)=0,"",IF(AZ$29=#REF!,Milestone_Marker_Old,"")),"")</f>
        <v/>
      </c>
      <c r="CA21" s="37" t="str">
        <f>IFERROR(IF(LEN(#REF!)=0,"",IF(BA$29=#REF!,Milestone_Marker_Old,"")),"")</f>
        <v/>
      </c>
      <c r="CB21" s="37" t="str">
        <f>IFERROR(IF(LEN(#REF!)=0,"",IF(BB$29=#REF!,Milestone_Marker_Old,"")),"")</f>
        <v/>
      </c>
      <c r="CC21" s="37" t="str">
        <f>IFERROR(IF(LEN(#REF!)=0,"",IF(BC$29=#REF!,Milestone_Marker_Old,"")),"")</f>
        <v/>
      </c>
      <c r="CD21" s="37" t="str">
        <f>IFERROR(IF(LEN(#REF!)=0,"",IF(BD$29=#REF!,Milestone_Marker_Old,"")),"")</f>
        <v/>
      </c>
      <c r="CE21" s="37" t="str">
        <f>IFERROR(IF(LEN(#REF!)=0,"",IF(BE$29=#REF!,Milestone_Marker_Old,"")),"")</f>
        <v/>
      </c>
      <c r="CF21" s="37" t="str">
        <f>IFERROR(IF(LEN(#REF!)=0,"",IF(BF$29=#REF!,Milestone_Marker_Old,"")),"")</f>
        <v/>
      </c>
      <c r="CG21" s="37" t="str">
        <f>IFERROR(IF(LEN(#REF!)=0,"",IF(BG$29=#REF!,Milestone_Marker_Old,"")),"")</f>
        <v/>
      </c>
      <c r="CH21" s="37" t="str">
        <f>IFERROR(IF(LEN(#REF!)=0,"",IF(BH$29=#REF!,Milestone_Marker_Old,"")),"")</f>
        <v/>
      </c>
      <c r="CI21" s="37" t="str">
        <f>IFERROR(IF(LEN(#REF!)=0,"",IF(BI$29=#REF!,Milestone_Marker_Old,"")),"")</f>
        <v/>
      </c>
      <c r="CJ21" s="37" t="str">
        <f>IFERROR(IF(LEN(#REF!)=0,"",IF(BJ$29=#REF!,Milestone_Marker_Old,"")),"")</f>
        <v/>
      </c>
      <c r="CK21" s="37" t="str">
        <f>IFERROR(IF(LEN(#REF!)=0,"",IF(BK$29=#REF!,Milestone_Marker_Old,"")),"")</f>
        <v/>
      </c>
      <c r="CL21" s="37" t="str">
        <f>IFERROR(IF(LEN(#REF!)=0,"",IF(BL$29=#REF!,Milestone_Marker_Old,"")),"")</f>
        <v/>
      </c>
      <c r="CM21" s="37" t="str">
        <f>IFERROR(IF(LEN(#REF!)=0,"",IF(BM$29=#REF!,Milestone_Marker_Old,"")),"")</f>
        <v/>
      </c>
      <c r="CN21" s="37" t="str">
        <f>IFERROR(IF(LEN(#REF!)=0,"",IF(BN$29=#REF!,Milestone_Marker_Old,"")),"")</f>
        <v/>
      </c>
      <c r="CO21" s="37" t="str">
        <f>IFERROR(IF(LEN(#REF!)=0,"",IF(BO$29=#REF!,Milestone_Marker_Old,"")),"")</f>
        <v/>
      </c>
      <c r="CP21" s="37" t="str">
        <f>IFERROR(IF(LEN(#REF!)=0,"",IF(BP$29=#REF!,Milestone_Marker_Old,"")),"")</f>
        <v/>
      </c>
      <c r="CQ21" s="37" t="str">
        <f>IFERROR(IF(LEN(#REF!)=0,"",IF(BQ$29=#REF!,Milestone_Marker_Old,"")),"")</f>
        <v/>
      </c>
      <c r="CR21" s="37" t="str">
        <f>IFERROR(IF(LEN(#REF!)=0,"",IF(BR$29=#REF!,Milestone_Marker_Old,"")),"")</f>
        <v/>
      </c>
      <c r="CS21" s="37" t="str">
        <f>IFERROR(IF(LEN(#REF!)=0,"",IF(BS$29=#REF!,Milestone_Marker_Old,"")),"")</f>
        <v/>
      </c>
      <c r="CT21" s="37" t="str">
        <f>IFERROR(IF(LEN(#REF!)=0,"",IF(BT$29=#REF!,Milestone_Marker_Old,"")),"")</f>
        <v/>
      </c>
      <c r="CU21" s="37" t="str">
        <f>IFERROR(IF(LEN(#REF!)=0,"",IF(BU$29=#REF!,Milestone_Marker_Old,"")),"")</f>
        <v/>
      </c>
      <c r="CV21" s="37" t="str">
        <f>IFERROR(IF(LEN(#REF!)=0,"",IF(BV$29=#REF!,Milestone_Marker_Old,"")),"")</f>
        <v/>
      </c>
      <c r="CW21" s="37" t="str">
        <f>IFERROR(IF(LEN(#REF!)=0,"",IF(BW$29=#REF!,Milestone_Marker_Old,"")),"")</f>
        <v/>
      </c>
      <c r="CX21" s="37" t="str">
        <f>IFERROR(IF(LEN(#REF!)=0,"",IF(BX$29=#REF!,Milestone_Marker_Old,"")),"")</f>
        <v/>
      </c>
      <c r="CY21" s="37" t="str">
        <f>IFERROR(IF(LEN(#REF!)=0,"",IF(BY$29=#REF!,Milestone_Marker_Old,"")),"")</f>
        <v/>
      </c>
      <c r="CZ21" s="37" t="str">
        <f>IFERROR(IF(LEN(#REF!)=0,"",IF(BZ$29=#REF!,Milestone_Marker_Old,"")),"")</f>
        <v/>
      </c>
      <c r="DA21" s="37" t="str">
        <f>IFERROR(IF(LEN(#REF!)=0,"",IF(CA$29=#REF!,Milestone_Marker_Old,"")),"")</f>
        <v/>
      </c>
      <c r="DB21" s="37" t="str">
        <f>IFERROR(IF(LEN(#REF!)=0,"",IF(CB$29=#REF!,Milestone_Marker_Old,"")),"")</f>
        <v/>
      </c>
      <c r="DC21" s="37" t="str">
        <f>IFERROR(IF(LEN(#REF!)=0,"",IF(CC$29=#REF!,Milestone_Marker_Old,"")),"")</f>
        <v/>
      </c>
      <c r="DD21" s="37" t="str">
        <f>IFERROR(IF(LEN(#REF!)=0,"",IF(CD$29=#REF!,Milestone_Marker_Old,"")),"")</f>
        <v/>
      </c>
      <c r="DE21" s="37" t="str">
        <f>IFERROR(IF(LEN(#REF!)=0,"",IF(CE$29=#REF!,Milestone_Marker_Old,"")),"")</f>
        <v/>
      </c>
      <c r="DF21" s="37" t="str">
        <f>IFERROR(IF(LEN(#REF!)=0,"",IF(CF$29=#REF!,Milestone_Marker_Old,"")),"")</f>
        <v/>
      </c>
      <c r="DG21" s="37" t="str">
        <f>IFERROR(IF(LEN(#REF!)=0,"",IF(CG$29=#REF!,Milestone_Marker_Old,"")),"")</f>
        <v/>
      </c>
      <c r="DH21" s="37" t="str">
        <f>IFERROR(IF(LEN(#REF!)=0,"",IF(CH$29=#REF!,Milestone_Marker_Old,"")),"")</f>
        <v/>
      </c>
      <c r="DI21" s="37" t="str">
        <f>IFERROR(IF(LEN(#REF!)=0,"",IF(CI$29=#REF!,Milestone_Marker_Old,"")),"")</f>
        <v/>
      </c>
      <c r="DJ21" s="37" t="str">
        <f>IFERROR(IF(LEN(#REF!)=0,"",IF(CJ$29=#REF!,Milestone_Marker_Old,"")),"")</f>
        <v/>
      </c>
      <c r="DK21" s="37" t="str">
        <f>IFERROR(IF(LEN(#REF!)=0,"",IF(CK$29=#REF!,Milestone_Marker_Old,"")),"")</f>
        <v/>
      </c>
      <c r="DL21" s="37" t="str">
        <f>IFERROR(IF(LEN(#REF!)=0,"",IF(CL$29=#REF!,Milestone_Marker_Old,"")),"")</f>
        <v/>
      </c>
      <c r="DM21" s="37" t="str">
        <f>IFERROR(IF(LEN(#REF!)=0,"",IF(CM$29=#REF!,Milestone_Marker_Old,"")),"")</f>
        <v/>
      </c>
      <c r="DN21" s="37" t="str">
        <f>IFERROR(IF(LEN(#REF!)=0,"",IF(CN$29=#REF!,Milestone_Marker_Old,"")),"")</f>
        <v/>
      </c>
      <c r="DO21" s="37" t="str">
        <f>IFERROR(IF(LEN(#REF!)=0,"",IF(CO$29=#REF!,Milestone_Marker_Old,"")),"")</f>
        <v/>
      </c>
      <c r="DP21" s="37" t="str">
        <f>IFERROR(IF(LEN(#REF!)=0,"",IF(CP$29=#REF!,Milestone_Marker_Old,"")),"")</f>
        <v/>
      </c>
      <c r="DQ21" s="37" t="str">
        <f>IFERROR(IF(LEN(#REF!)=0,"",IF(CQ$29=#REF!,Milestone_Marker_Old,"")),"")</f>
        <v/>
      </c>
      <c r="DR21" s="37" t="str">
        <f>IFERROR(IF(LEN(#REF!)=0,"",IF(CR$29=#REF!,Milestone_Marker_Old,"")),"")</f>
        <v/>
      </c>
      <c r="DS21" s="37" t="str">
        <f>IFERROR(IF(LEN(#REF!)=0,"",IF(CS$29=#REF!,Milestone_Marker_Old,"")),"")</f>
        <v/>
      </c>
      <c r="DT21" s="37" t="str">
        <f>IFERROR(IF(LEN(#REF!)=0,"",IF(CT$29=#REF!,Milestone_Marker_Old,"")),"")</f>
        <v/>
      </c>
      <c r="DU21" s="37" t="str">
        <f>IFERROR(IF(LEN(#REF!)=0,"",IF(CU$29=#REF!,Milestone_Marker_Old,"")),"")</f>
        <v/>
      </c>
    </row>
    <row r="22" spans="1:125" s="42" customFormat="1" ht="20.100000000000001" customHeight="1" x14ac:dyDescent="0.25">
      <c r="A22" s="85" t="str">
        <f>Profit!$E$1&amp;" Your Home"</f>
        <v>Buy Your Home</v>
      </c>
      <c r="B22" s="86">
        <f t="shared" si="2"/>
        <v>14</v>
      </c>
      <c r="C22" s="87"/>
      <c r="D22" s="85"/>
      <c r="E22" s="85" t="s">
        <v>452</v>
      </c>
      <c r="F22" s="86">
        <v>0</v>
      </c>
      <c r="G22" s="88">
        <f>+'Demo &amp; Trash Haul'!F32</f>
        <v>0</v>
      </c>
      <c r="H22" s="88">
        <f t="shared" si="0"/>
        <v>0</v>
      </c>
      <c r="I22" s="89"/>
      <c r="J22" s="88"/>
      <c r="K22" s="90"/>
      <c r="L22" s="88"/>
      <c r="M22" s="88"/>
      <c r="N22" s="88">
        <f t="shared" si="1"/>
        <v>0</v>
      </c>
      <c r="O22" s="89"/>
      <c r="R22" s="36"/>
      <c r="S22" s="36"/>
      <c r="T22" s="36"/>
      <c r="U22" s="36"/>
      <c r="V22" s="36"/>
      <c r="W22" s="36"/>
      <c r="X22" s="36"/>
      <c r="Y22" s="36"/>
      <c r="Z22" s="36"/>
      <c r="AA22" s="36"/>
      <c r="AB22" s="36"/>
      <c r="AC22" s="36"/>
      <c r="AD22" s="36"/>
      <c r="AE22" s="36"/>
      <c r="AF22" s="36"/>
      <c r="AG22" s="36"/>
      <c r="AH22" s="36"/>
      <c r="AI22" s="36"/>
      <c r="AP22" s="37" t="str">
        <f>IFERROR(IF(LEN(#REF!)=0,"",IF(P$29=#REF!,Milestone_Marker_Old,"")),"")</f>
        <v/>
      </c>
      <c r="AQ22" s="37" t="str">
        <f>IFERROR(IF(LEN(#REF!)=0,"",IF(Q$29=#REF!,Milestone_Marker_Old,"")),"")</f>
        <v/>
      </c>
      <c r="AR22" s="37" t="str">
        <f>IFERROR(IF(LEN(#REF!)=0,"",IF(R$29=#REF!,Milestone_Marker_Old,"")),"")</f>
        <v/>
      </c>
      <c r="AS22" s="37" t="str">
        <f>IFERROR(IF(LEN(#REF!)=0,"",IF(S$29=#REF!,Milestone_Marker_Old,"")),"")</f>
        <v/>
      </c>
      <c r="AT22" s="37" t="str">
        <f>IFERROR(IF(LEN(#REF!)=0,"",IF(T$29=#REF!,Milestone_Marker_Old,"")),"")</f>
        <v/>
      </c>
      <c r="AU22" s="37" t="str">
        <f>IFERROR(IF(LEN(#REF!)=0,"",IF(U$29=#REF!,Milestone_Marker_Old,"")),"")</f>
        <v/>
      </c>
      <c r="AV22" s="37" t="str">
        <f>IFERROR(IF(LEN(#REF!)=0,"",IF(V$29=#REF!,Milestone_Marker_Old,"")),"")</f>
        <v/>
      </c>
      <c r="AW22" s="37" t="str">
        <f>IFERROR(IF(LEN(#REF!)=0,"",IF(W$29=#REF!,Milestone_Marker_Old,"")),"")</f>
        <v/>
      </c>
      <c r="AX22" s="37" t="str">
        <f>IFERROR(IF(LEN(#REF!)=0,"",IF(X$29=#REF!,Milestone_Marker_Old,"")),"")</f>
        <v/>
      </c>
      <c r="AY22" s="37" t="str">
        <f>IFERROR(IF(LEN(#REF!)=0,"",IF(Y$29=#REF!,Milestone_Marker_Old,"")),"")</f>
        <v/>
      </c>
      <c r="AZ22" s="37" t="str">
        <f>IFERROR(IF(LEN(#REF!)=0,"",IF(Z$29=#REF!,Milestone_Marker_Old,"")),"")</f>
        <v/>
      </c>
      <c r="BA22" s="37" t="str">
        <f>IFERROR(IF(LEN(#REF!)=0,"",IF(AA$29=#REF!,Milestone_Marker_Old,"")),"")</f>
        <v/>
      </c>
      <c r="BB22" s="37" t="str">
        <f>IFERROR(IF(LEN(#REF!)=0,"",IF(AB$29=#REF!,Milestone_Marker_Old,"")),"")</f>
        <v/>
      </c>
      <c r="BC22" s="37" t="str">
        <f>IFERROR(IF(LEN(#REF!)=0,"",IF(AC$29=#REF!,Milestone_Marker_Old,"")),"")</f>
        <v/>
      </c>
      <c r="BD22" s="37" t="str">
        <f>IFERROR(IF(LEN(#REF!)=0,"",IF(AD$29=#REF!,Milestone_Marker_Old,"")),"")</f>
        <v/>
      </c>
      <c r="BE22" s="37" t="str">
        <f>IFERROR(IF(LEN(#REF!)=0,"",IF(AE$29=#REF!,Milestone_Marker_Old,"")),"")</f>
        <v/>
      </c>
      <c r="BF22" s="37" t="str">
        <f>IFERROR(IF(LEN(#REF!)=0,"",IF(AF$29=#REF!,Milestone_Marker_Old,"")),"")</f>
        <v/>
      </c>
      <c r="BG22" s="37" t="str">
        <f>IFERROR(IF(LEN(#REF!)=0,"",IF(AG$29=#REF!,Milestone_Marker_Old,"")),"")</f>
        <v/>
      </c>
      <c r="BH22" s="37" t="str">
        <f>IFERROR(IF(LEN(#REF!)=0,"",IF(AH$29=#REF!,Milestone_Marker_Old,"")),"")</f>
        <v/>
      </c>
      <c r="BI22" s="37" t="str">
        <f>IFERROR(IF(LEN(#REF!)=0,"",IF(AI$29=#REF!,Milestone_Marker_Old,"")),"")</f>
        <v/>
      </c>
      <c r="BJ22" s="37" t="str">
        <f>IFERROR(IF(LEN(#REF!)=0,"",IF(AJ$29=#REF!,Milestone_Marker_Old,"")),"")</f>
        <v/>
      </c>
      <c r="BK22" s="37" t="str">
        <f>IFERROR(IF(LEN(#REF!)=0,"",IF(AK$29=#REF!,Milestone_Marker_Old,"")),"")</f>
        <v/>
      </c>
      <c r="BL22" s="37" t="str">
        <f>IFERROR(IF(LEN(#REF!)=0,"",IF(AL$29=#REF!,Milestone_Marker_Old,"")),"")</f>
        <v/>
      </c>
      <c r="BM22" s="37" t="str">
        <f>IFERROR(IF(LEN(#REF!)=0,"",IF(AM$29=#REF!,Milestone_Marker_Old,"")),"")</f>
        <v/>
      </c>
      <c r="BN22" s="37" t="str">
        <f>IFERROR(IF(LEN(#REF!)=0,"",IF(AN$29=#REF!,Milestone_Marker_Old,"")),"")</f>
        <v/>
      </c>
      <c r="BO22" s="37" t="str">
        <f>IFERROR(IF(LEN(#REF!)=0,"",IF(AO$29=#REF!,Milestone_Marker_Old,"")),"")</f>
        <v/>
      </c>
      <c r="BP22" s="37" t="str">
        <f>IFERROR(IF(LEN(#REF!)=0,"",IF(AP$29=#REF!,Milestone_Marker_Old,"")),"")</f>
        <v/>
      </c>
      <c r="BQ22" s="37" t="str">
        <f>IFERROR(IF(LEN(#REF!)=0,"",IF(AQ$29=#REF!,Milestone_Marker_Old,"")),"")</f>
        <v/>
      </c>
      <c r="BR22" s="37" t="str">
        <f>IFERROR(IF(LEN(#REF!)=0,"",IF(AR$29=#REF!,Milestone_Marker_Old,"")),"")</f>
        <v/>
      </c>
      <c r="BS22" s="37" t="str">
        <f>IFERROR(IF(LEN(#REF!)=0,"",IF(AS$29=#REF!,Milestone_Marker_Old,"")),"")</f>
        <v/>
      </c>
      <c r="BT22" s="37" t="str">
        <f>IFERROR(IF(LEN(#REF!)=0,"",IF(AT$29=#REF!,Milestone_Marker_Old,"")),"")</f>
        <v/>
      </c>
      <c r="BU22" s="37" t="str">
        <f>IFERROR(IF(LEN(#REF!)=0,"",IF(AU$29=#REF!,Milestone_Marker_Old,"")),"")</f>
        <v/>
      </c>
      <c r="BV22" s="37" t="str">
        <f>IFERROR(IF(LEN(#REF!)=0,"",IF(AV$29=#REF!,Milestone_Marker_Old,"")),"")</f>
        <v/>
      </c>
      <c r="BW22" s="37" t="str">
        <f>IFERROR(IF(LEN(#REF!)=0,"",IF(AW$29=#REF!,Milestone_Marker_Old,"")),"")</f>
        <v/>
      </c>
      <c r="BX22" s="37" t="str">
        <f>IFERROR(IF(LEN(#REF!)=0,"",IF(AX$29=#REF!,Milestone_Marker_Old,"")),"")</f>
        <v/>
      </c>
      <c r="BY22" s="37" t="str">
        <f>IFERROR(IF(LEN(#REF!)=0,"",IF(AY$29=#REF!,Milestone_Marker_Old,"")),"")</f>
        <v/>
      </c>
      <c r="BZ22" s="37" t="str">
        <f>IFERROR(IF(LEN(#REF!)=0,"",IF(AZ$29=#REF!,Milestone_Marker_Old,"")),"")</f>
        <v/>
      </c>
      <c r="CA22" s="37" t="str">
        <f>IFERROR(IF(LEN(#REF!)=0,"",IF(BA$29=#REF!,Milestone_Marker_Old,"")),"")</f>
        <v/>
      </c>
      <c r="CB22" s="37" t="str">
        <f>IFERROR(IF(LEN(#REF!)=0,"",IF(BB$29=#REF!,Milestone_Marker_Old,"")),"")</f>
        <v/>
      </c>
      <c r="CC22" s="37" t="str">
        <f>IFERROR(IF(LEN(#REF!)=0,"",IF(BC$29=#REF!,Milestone_Marker_Old,"")),"")</f>
        <v/>
      </c>
      <c r="CD22" s="37" t="str">
        <f>IFERROR(IF(LEN(#REF!)=0,"",IF(BD$29=#REF!,Milestone_Marker_Old,"")),"")</f>
        <v/>
      </c>
      <c r="CE22" s="37" t="str">
        <f>IFERROR(IF(LEN(#REF!)=0,"",IF(BE$29=#REF!,Milestone_Marker_Old,"")),"")</f>
        <v/>
      </c>
      <c r="CF22" s="37" t="str">
        <f>IFERROR(IF(LEN(#REF!)=0,"",IF(BF$29=#REF!,Milestone_Marker_Old,"")),"")</f>
        <v/>
      </c>
      <c r="CG22" s="37" t="str">
        <f>IFERROR(IF(LEN(#REF!)=0,"",IF(BG$29=#REF!,Milestone_Marker_Old,"")),"")</f>
        <v/>
      </c>
      <c r="CH22" s="37" t="str">
        <f>IFERROR(IF(LEN(#REF!)=0,"",IF(BH$29=#REF!,Milestone_Marker_Old,"")),"")</f>
        <v/>
      </c>
      <c r="CI22" s="37" t="str">
        <f>IFERROR(IF(LEN(#REF!)=0,"",IF(BI$29=#REF!,Milestone_Marker_Old,"")),"")</f>
        <v/>
      </c>
      <c r="CJ22" s="37" t="str">
        <f>IFERROR(IF(LEN(#REF!)=0,"",IF(BJ$29=#REF!,Milestone_Marker_Old,"")),"")</f>
        <v/>
      </c>
      <c r="CK22" s="37" t="str">
        <f>IFERROR(IF(LEN(#REF!)=0,"",IF(BK$29=#REF!,Milestone_Marker_Old,"")),"")</f>
        <v/>
      </c>
      <c r="CL22" s="37" t="str">
        <f>IFERROR(IF(LEN(#REF!)=0,"",IF(BL$29=#REF!,Milestone_Marker_Old,"")),"")</f>
        <v/>
      </c>
      <c r="CM22" s="37" t="str">
        <f>IFERROR(IF(LEN(#REF!)=0,"",IF(BM$29=#REF!,Milestone_Marker_Old,"")),"")</f>
        <v/>
      </c>
      <c r="CN22" s="37" t="str">
        <f>IFERROR(IF(LEN(#REF!)=0,"",IF(BN$29=#REF!,Milestone_Marker_Old,"")),"")</f>
        <v/>
      </c>
      <c r="CO22" s="37" t="str">
        <f>IFERROR(IF(LEN(#REF!)=0,"",IF(BO$29=#REF!,Milestone_Marker_Old,"")),"")</f>
        <v/>
      </c>
      <c r="CP22" s="37" t="str">
        <f>IFERROR(IF(LEN(#REF!)=0,"",IF(BP$29=#REF!,Milestone_Marker_Old,"")),"")</f>
        <v/>
      </c>
      <c r="CQ22" s="37" t="str">
        <f>IFERROR(IF(LEN(#REF!)=0,"",IF(BQ$29=#REF!,Milestone_Marker_Old,"")),"")</f>
        <v/>
      </c>
      <c r="CR22" s="37" t="str">
        <f>IFERROR(IF(LEN(#REF!)=0,"",IF(BR$29=#REF!,Milestone_Marker_Old,"")),"")</f>
        <v/>
      </c>
      <c r="CS22" s="37" t="str">
        <f>IFERROR(IF(LEN(#REF!)=0,"",IF(BS$29=#REF!,Milestone_Marker_Old,"")),"")</f>
        <v/>
      </c>
      <c r="CT22" s="37" t="str">
        <f>IFERROR(IF(LEN(#REF!)=0,"",IF(BT$29=#REF!,Milestone_Marker_Old,"")),"")</f>
        <v/>
      </c>
      <c r="CU22" s="37" t="str">
        <f>IFERROR(IF(LEN(#REF!)=0,"",IF(BU$29=#REF!,Milestone_Marker_Old,"")),"")</f>
        <v/>
      </c>
      <c r="CV22" s="37" t="str">
        <f>IFERROR(IF(LEN(#REF!)=0,"",IF(BV$29=#REF!,Milestone_Marker_Old,"")),"")</f>
        <v/>
      </c>
      <c r="CW22" s="37" t="str">
        <f>IFERROR(IF(LEN(#REF!)=0,"",IF(BW$29=#REF!,Milestone_Marker_Old,"")),"")</f>
        <v/>
      </c>
      <c r="CX22" s="37" t="str">
        <f>IFERROR(IF(LEN(#REF!)=0,"",IF(BX$29=#REF!,Milestone_Marker_Old,"")),"")</f>
        <v/>
      </c>
      <c r="CY22" s="37" t="str">
        <f>IFERROR(IF(LEN(#REF!)=0,"",IF(BY$29=#REF!,Milestone_Marker_Old,"")),"")</f>
        <v/>
      </c>
      <c r="CZ22" s="37" t="str">
        <f>IFERROR(IF(LEN(#REF!)=0,"",IF(BZ$29=#REF!,Milestone_Marker_Old,"")),"")</f>
        <v/>
      </c>
      <c r="DA22" s="37" t="str">
        <f>IFERROR(IF(LEN(#REF!)=0,"",IF(CA$29=#REF!,Milestone_Marker_Old,"")),"")</f>
        <v/>
      </c>
      <c r="DB22" s="37" t="str">
        <f>IFERROR(IF(LEN(#REF!)=0,"",IF(CB$29=#REF!,Milestone_Marker_Old,"")),"")</f>
        <v/>
      </c>
      <c r="DC22" s="37" t="str">
        <f>IFERROR(IF(LEN(#REF!)=0,"",IF(CC$29=#REF!,Milestone_Marker_Old,"")),"")</f>
        <v/>
      </c>
      <c r="DD22" s="37" t="str">
        <f>IFERROR(IF(LEN(#REF!)=0,"",IF(CD$29=#REF!,Milestone_Marker_Old,"")),"")</f>
        <v/>
      </c>
      <c r="DE22" s="37" t="str">
        <f>IFERROR(IF(LEN(#REF!)=0,"",IF(CE$29=#REF!,Milestone_Marker_Old,"")),"")</f>
        <v/>
      </c>
      <c r="DF22" s="37" t="str">
        <f>IFERROR(IF(LEN(#REF!)=0,"",IF(CF$29=#REF!,Milestone_Marker_Old,"")),"")</f>
        <v/>
      </c>
      <c r="DG22" s="37" t="str">
        <f>IFERROR(IF(LEN(#REF!)=0,"",IF(CG$29=#REF!,Milestone_Marker_Old,"")),"")</f>
        <v/>
      </c>
      <c r="DH22" s="37" t="str">
        <f>IFERROR(IF(LEN(#REF!)=0,"",IF(CH$29=#REF!,Milestone_Marker_Old,"")),"")</f>
        <v/>
      </c>
      <c r="DI22" s="37" t="str">
        <f>IFERROR(IF(LEN(#REF!)=0,"",IF(CI$29=#REF!,Milestone_Marker_Old,"")),"")</f>
        <v/>
      </c>
      <c r="DJ22" s="37" t="str">
        <f>IFERROR(IF(LEN(#REF!)=0,"",IF(CJ$29=#REF!,Milestone_Marker_Old,"")),"")</f>
        <v/>
      </c>
      <c r="DK22" s="37" t="str">
        <f>IFERROR(IF(LEN(#REF!)=0,"",IF(CK$29=#REF!,Milestone_Marker_Old,"")),"")</f>
        <v/>
      </c>
      <c r="DL22" s="37" t="str">
        <f>IFERROR(IF(LEN(#REF!)=0,"",IF(CL$29=#REF!,Milestone_Marker_Old,"")),"")</f>
        <v/>
      </c>
      <c r="DM22" s="37" t="str">
        <f>IFERROR(IF(LEN(#REF!)=0,"",IF(CM$29=#REF!,Milestone_Marker_Old,"")),"")</f>
        <v/>
      </c>
      <c r="DN22" s="37" t="str">
        <f>IFERROR(IF(LEN(#REF!)=0,"",IF(CN$29=#REF!,Milestone_Marker_Old,"")),"")</f>
        <v/>
      </c>
      <c r="DO22" s="37" t="str">
        <f>IFERROR(IF(LEN(#REF!)=0,"",IF(CO$29=#REF!,Milestone_Marker_Old,"")),"")</f>
        <v/>
      </c>
      <c r="DP22" s="37" t="str">
        <f>IFERROR(IF(LEN(#REF!)=0,"",IF(CP$29=#REF!,Milestone_Marker_Old,"")),"")</f>
        <v/>
      </c>
      <c r="DQ22" s="37" t="str">
        <f>IFERROR(IF(LEN(#REF!)=0,"",IF(CQ$29=#REF!,Milestone_Marker_Old,"")),"")</f>
        <v/>
      </c>
      <c r="DR22" s="37" t="str">
        <f>IFERROR(IF(LEN(#REF!)=0,"",IF(CR$29=#REF!,Milestone_Marker_Old,"")),"")</f>
        <v/>
      </c>
      <c r="DS22" s="37" t="str">
        <f>IFERROR(IF(LEN(#REF!)=0,"",IF(CS$29=#REF!,Milestone_Marker_Old,"")),"")</f>
        <v/>
      </c>
      <c r="DT22" s="37" t="str">
        <f>IFERROR(IF(LEN(#REF!)=0,"",IF(CT$29=#REF!,Milestone_Marker_Old,"")),"")</f>
        <v/>
      </c>
      <c r="DU22" s="37" t="str">
        <f>IFERROR(IF(LEN(#REF!)=0,"",IF(CU$29=#REF!,Milestone_Marker_Old,"")),"")</f>
        <v/>
      </c>
    </row>
    <row r="23" spans="1:125" s="42" customFormat="1" ht="21" x14ac:dyDescent="0.25">
      <c r="A23" s="91"/>
      <c r="B23" s="92"/>
      <c r="C23" s="93"/>
      <c r="D23" s="93"/>
      <c r="E23" s="94" t="str">
        <f>Profit!E1&amp;" Your Home's Paid Contractors"</f>
        <v>Buy Your Home's Paid Contractors</v>
      </c>
      <c r="F23" s="95"/>
      <c r="G23" s="93"/>
      <c r="H23" s="93"/>
      <c r="I23" s="93"/>
      <c r="J23" s="93"/>
      <c r="K23" s="96"/>
      <c r="L23" s="93"/>
      <c r="M23" s="93"/>
      <c r="N23" s="93"/>
      <c r="O23" s="93"/>
      <c r="R23" s="43"/>
      <c r="S23" s="43"/>
      <c r="T23" s="43"/>
      <c r="U23" s="43"/>
      <c r="V23" s="43"/>
      <c r="W23" s="43"/>
      <c r="X23" s="43"/>
      <c r="Y23" s="43"/>
      <c r="Z23" s="43"/>
      <c r="AA23" s="43"/>
      <c r="AB23" s="43"/>
      <c r="AC23" s="43"/>
      <c r="AD23" s="43"/>
      <c r="AE23" s="43"/>
      <c r="AF23" s="43"/>
      <c r="AG23" s="43"/>
      <c r="AH23" s="43"/>
      <c r="AI23" s="43"/>
      <c r="AJ23" s="43"/>
      <c r="AK23" s="43"/>
      <c r="AL23" s="43"/>
      <c r="AM23" s="43"/>
      <c r="AN23" s="43"/>
      <c r="AO23" s="43"/>
      <c r="AP23" s="37" t="str">
        <f>IFERROR(IF(LEN(#REF!)=0,"",IF(P$29=#REF!,Milestone_Marker_Old,"")),"")</f>
        <v/>
      </c>
      <c r="AQ23" s="37" t="str">
        <f>IFERROR(IF(LEN(#REF!)=0,"",IF(Q$29=#REF!,Milestone_Marker_Old,"")),"")</f>
        <v/>
      </c>
      <c r="AR23" s="37" t="str">
        <f>IFERROR(IF(LEN(#REF!)=0,"",IF(R$29=#REF!,Milestone_Marker_Old,"")),"")</f>
        <v/>
      </c>
      <c r="AS23" s="37" t="str">
        <f>IFERROR(IF(LEN(#REF!)=0,"",IF(S$29=#REF!,Milestone_Marker_Old,"")),"")</f>
        <v/>
      </c>
      <c r="AT23" s="37" t="str">
        <f>IFERROR(IF(LEN(#REF!)=0,"",IF(T$29=#REF!,Milestone_Marker_Old,"")),"")</f>
        <v/>
      </c>
      <c r="AU23" s="37" t="str">
        <f>IFERROR(IF(LEN(#REF!)=0,"",IF(U$29=#REF!,Milestone_Marker_Old,"")),"")</f>
        <v/>
      </c>
      <c r="AV23" s="37" t="str">
        <f>IFERROR(IF(LEN(#REF!)=0,"",IF(V$29=#REF!,Milestone_Marker_Old,"")),"")</f>
        <v/>
      </c>
      <c r="AW23" s="37" t="str">
        <f>IFERROR(IF(LEN(#REF!)=0,"",IF(W$29=#REF!,Milestone_Marker_Old,"")),"")</f>
        <v/>
      </c>
      <c r="AX23" s="37" t="str">
        <f>IFERROR(IF(LEN(#REF!)=0,"",IF(X$29=#REF!,Milestone_Marker_Old,"")),"")</f>
        <v/>
      </c>
      <c r="AY23" s="37" t="str">
        <f>IFERROR(IF(LEN(#REF!)=0,"",IF(Y$29=#REF!,Milestone_Marker_Old,"")),"")</f>
        <v/>
      </c>
      <c r="AZ23" s="37" t="str">
        <f>IFERROR(IF(LEN(#REF!)=0,"",IF(Z$29=#REF!,Milestone_Marker_Old,"")),"")</f>
        <v/>
      </c>
      <c r="BA23" s="37" t="str">
        <f>IFERROR(IF(LEN(#REF!)=0,"",IF(AA$29=#REF!,Milestone_Marker_Old,"")),"")</f>
        <v/>
      </c>
      <c r="BB23" s="37" t="str">
        <f>IFERROR(IF(LEN(#REF!)=0,"",IF(AB$29=#REF!,Milestone_Marker_Old,"")),"")</f>
        <v/>
      </c>
      <c r="BC23" s="37" t="str">
        <f>IFERROR(IF(LEN(#REF!)=0,"",IF(AC$29=#REF!,Milestone_Marker_Old,"")),"")</f>
        <v/>
      </c>
      <c r="BD23" s="37" t="str">
        <f>IFERROR(IF(LEN(#REF!)=0,"",IF(AD$29=#REF!,Milestone_Marker_Old,"")),"")</f>
        <v/>
      </c>
      <c r="BE23" s="37" t="str">
        <f>IFERROR(IF(LEN(#REF!)=0,"",IF(AE$29=#REF!,Milestone_Marker_Old,"")),"")</f>
        <v/>
      </c>
      <c r="BF23" s="37" t="str">
        <f>IFERROR(IF(LEN(#REF!)=0,"",IF(AF$29=#REF!,Milestone_Marker_Old,"")),"")</f>
        <v/>
      </c>
      <c r="BG23" s="37" t="str">
        <f>IFERROR(IF(LEN(#REF!)=0,"",IF(AG$29=#REF!,Milestone_Marker_Old,"")),"")</f>
        <v/>
      </c>
      <c r="BH23" s="37" t="str">
        <f>IFERROR(IF(LEN(#REF!)=0,"",IF(AH$29=#REF!,Milestone_Marker_Old,"")),"")</f>
        <v/>
      </c>
      <c r="BI23" s="37" t="str">
        <f>IFERROR(IF(LEN(#REF!)=0,"",IF(AI$29=#REF!,Milestone_Marker_Old,"")),"")</f>
        <v/>
      </c>
      <c r="BJ23" s="37" t="str">
        <f>IFERROR(IF(LEN(#REF!)=0,"",IF(AJ$29=#REF!,Milestone_Marker_Old,"")),"")</f>
        <v/>
      </c>
      <c r="BK23" s="37" t="str">
        <f>IFERROR(IF(LEN(#REF!)=0,"",IF(AK$29=#REF!,Milestone_Marker_Old,"")),"")</f>
        <v/>
      </c>
      <c r="BL23" s="37" t="str">
        <f>IFERROR(IF(LEN(#REF!)=0,"",IF(AL$29=#REF!,Milestone_Marker_Old,"")),"")</f>
        <v/>
      </c>
      <c r="BM23" s="37" t="str">
        <f>IFERROR(IF(LEN(#REF!)=0,"",IF(AM$29=#REF!,Milestone_Marker_Old,"")),"")</f>
        <v/>
      </c>
      <c r="BN23" s="37" t="str">
        <f>IFERROR(IF(LEN(#REF!)=0,"",IF(AN$29=#REF!,Milestone_Marker_Old,"")),"")</f>
        <v/>
      </c>
      <c r="BO23" s="37" t="str">
        <f>IFERROR(IF(LEN(#REF!)=0,"",IF(AO$29=#REF!,Milestone_Marker_Old,"")),"")</f>
        <v/>
      </c>
      <c r="BP23" s="37" t="str">
        <f>IFERROR(IF(LEN(#REF!)=0,"",IF(AP$29=#REF!,Milestone_Marker_Old,"")),"")</f>
        <v/>
      </c>
      <c r="BQ23" s="37" t="str">
        <f>IFERROR(IF(LEN(#REF!)=0,"",IF(AQ$29=#REF!,Milestone_Marker_Old,"")),"")</f>
        <v/>
      </c>
      <c r="BR23" s="37" t="str">
        <f>IFERROR(IF(LEN(#REF!)=0,"",IF(AR$29=#REF!,Milestone_Marker_Old,"")),"")</f>
        <v/>
      </c>
      <c r="BS23" s="37" t="str">
        <f>IFERROR(IF(LEN(#REF!)=0,"",IF(AS$29=#REF!,Milestone_Marker_Old,"")),"")</f>
        <v/>
      </c>
      <c r="BT23" s="37" t="str">
        <f>IFERROR(IF(LEN(#REF!)=0,"",IF(AT$29=#REF!,Milestone_Marker_Old,"")),"")</f>
        <v/>
      </c>
      <c r="BU23" s="37" t="str">
        <f>IFERROR(IF(LEN(#REF!)=0,"",IF(AU$29=#REF!,Milestone_Marker_Old,"")),"")</f>
        <v/>
      </c>
      <c r="BV23" s="37" t="str">
        <f>IFERROR(IF(LEN(#REF!)=0,"",IF(AV$29=#REF!,Milestone_Marker_Old,"")),"")</f>
        <v/>
      </c>
      <c r="BW23" s="37" t="str">
        <f>IFERROR(IF(LEN(#REF!)=0,"",IF(AW$29=#REF!,Milestone_Marker_Old,"")),"")</f>
        <v/>
      </c>
      <c r="BX23" s="37" t="str">
        <f>IFERROR(IF(LEN(#REF!)=0,"",IF(AX$29=#REF!,Milestone_Marker_Old,"")),"")</f>
        <v/>
      </c>
      <c r="BY23" s="37" t="str">
        <f>IFERROR(IF(LEN(#REF!)=0,"",IF(AY$29=#REF!,Milestone_Marker_Old,"")),"")</f>
        <v/>
      </c>
      <c r="BZ23" s="37" t="str">
        <f>IFERROR(IF(LEN(#REF!)=0,"",IF(AZ$29=#REF!,Milestone_Marker_Old,"")),"")</f>
        <v/>
      </c>
      <c r="CA23" s="37" t="str">
        <f>IFERROR(IF(LEN(#REF!)=0,"",IF(BA$29=#REF!,Milestone_Marker_Old,"")),"")</f>
        <v/>
      </c>
      <c r="CB23" s="37" t="str">
        <f>IFERROR(IF(LEN(#REF!)=0,"",IF(BB$29=#REF!,Milestone_Marker_Old,"")),"")</f>
        <v/>
      </c>
      <c r="CC23" s="37" t="str">
        <f>IFERROR(IF(LEN(#REF!)=0,"",IF(BC$29=#REF!,Milestone_Marker_Old,"")),"")</f>
        <v/>
      </c>
      <c r="CD23" s="37" t="str">
        <f>IFERROR(IF(LEN(#REF!)=0,"",IF(BD$29=#REF!,Milestone_Marker_Old,"")),"")</f>
        <v/>
      </c>
      <c r="CE23" s="37" t="str">
        <f>IFERROR(IF(LEN(#REF!)=0,"",IF(BE$29=#REF!,Milestone_Marker_Old,"")),"")</f>
        <v/>
      </c>
      <c r="CF23" s="37" t="str">
        <f>IFERROR(IF(LEN(#REF!)=0,"",IF(BF$29=#REF!,Milestone_Marker_Old,"")),"")</f>
        <v/>
      </c>
      <c r="CG23" s="37" t="str">
        <f>IFERROR(IF(LEN(#REF!)=0,"",IF(BG$29=#REF!,Milestone_Marker_Old,"")),"")</f>
        <v/>
      </c>
      <c r="CH23" s="37" t="str">
        <f>IFERROR(IF(LEN(#REF!)=0,"",IF(BH$29=#REF!,Milestone_Marker_Old,"")),"")</f>
        <v/>
      </c>
      <c r="CI23" s="37" t="str">
        <f>IFERROR(IF(LEN(#REF!)=0,"",IF(BI$29=#REF!,Milestone_Marker_Old,"")),"")</f>
        <v/>
      </c>
      <c r="CJ23" s="37" t="str">
        <f>IFERROR(IF(LEN(#REF!)=0,"",IF(BJ$29=#REF!,Milestone_Marker_Old,"")),"")</f>
        <v/>
      </c>
      <c r="CK23" s="37" t="str">
        <f>IFERROR(IF(LEN(#REF!)=0,"",IF(BK$29=#REF!,Milestone_Marker_Old,"")),"")</f>
        <v/>
      </c>
      <c r="CL23" s="37" t="str">
        <f>IFERROR(IF(LEN(#REF!)=0,"",IF(BL$29=#REF!,Milestone_Marker_Old,"")),"")</f>
        <v/>
      </c>
      <c r="CM23" s="37" t="str">
        <f>IFERROR(IF(LEN(#REF!)=0,"",IF(BM$29=#REF!,Milestone_Marker_Old,"")),"")</f>
        <v/>
      </c>
      <c r="CN23" s="37" t="str">
        <f>IFERROR(IF(LEN(#REF!)=0,"",IF(BN$29=#REF!,Milestone_Marker_Old,"")),"")</f>
        <v/>
      </c>
      <c r="CO23" s="37" t="str">
        <f>IFERROR(IF(LEN(#REF!)=0,"",IF(BO$29=#REF!,Milestone_Marker_Old,"")),"")</f>
        <v/>
      </c>
      <c r="CP23" s="37" t="str">
        <f>IFERROR(IF(LEN(#REF!)=0,"",IF(BP$29=#REF!,Milestone_Marker_Old,"")),"")</f>
        <v/>
      </c>
      <c r="CQ23" s="37" t="str">
        <f>IFERROR(IF(LEN(#REF!)=0,"",IF(BQ$29=#REF!,Milestone_Marker_Old,"")),"")</f>
        <v/>
      </c>
      <c r="CR23" s="37" t="str">
        <f>IFERROR(IF(LEN(#REF!)=0,"",IF(BR$29=#REF!,Milestone_Marker_Old,"")),"")</f>
        <v/>
      </c>
      <c r="CS23" s="37" t="str">
        <f>IFERROR(IF(LEN(#REF!)=0,"",IF(BS$29=#REF!,Milestone_Marker_Old,"")),"")</f>
        <v/>
      </c>
      <c r="CT23" s="37" t="str">
        <f>IFERROR(IF(LEN(#REF!)=0,"",IF(BT$29=#REF!,Milestone_Marker_Old,"")),"")</f>
        <v/>
      </c>
      <c r="CU23" s="37" t="str">
        <f>IFERROR(IF(LEN(#REF!)=0,"",IF(BU$29=#REF!,Milestone_Marker_Old,"")),"")</f>
        <v/>
      </c>
      <c r="CV23" s="37" t="str">
        <f>IFERROR(IF(LEN(#REF!)=0,"",IF(BV$29=#REF!,Milestone_Marker_Old,"")),"")</f>
        <v/>
      </c>
      <c r="CW23" s="37" t="str">
        <f>IFERROR(IF(LEN(#REF!)=0,"",IF(BW$29=#REF!,Milestone_Marker_Old,"")),"")</f>
        <v/>
      </c>
      <c r="CX23" s="37" t="str">
        <f>IFERROR(IF(LEN(#REF!)=0,"",IF(BX$29=#REF!,Milestone_Marker_Old,"")),"")</f>
        <v/>
      </c>
      <c r="CY23" s="37" t="str">
        <f>IFERROR(IF(LEN(#REF!)=0,"",IF(BY$29=#REF!,Milestone_Marker_Old,"")),"")</f>
        <v/>
      </c>
      <c r="CZ23" s="37" t="str">
        <f>IFERROR(IF(LEN(#REF!)=0,"",IF(BZ$29=#REF!,Milestone_Marker_Old,"")),"")</f>
        <v/>
      </c>
      <c r="DA23" s="37" t="str">
        <f>IFERROR(IF(LEN(#REF!)=0,"",IF(CA$29=#REF!,Milestone_Marker_Old,"")),"")</f>
        <v/>
      </c>
      <c r="DB23" s="37" t="str">
        <f>IFERROR(IF(LEN(#REF!)=0,"",IF(CB$29=#REF!,Milestone_Marker_Old,"")),"")</f>
        <v/>
      </c>
      <c r="DC23" s="37" t="str">
        <f>IFERROR(IF(LEN(#REF!)=0,"",IF(CC$29=#REF!,Milestone_Marker_Old,"")),"")</f>
        <v/>
      </c>
      <c r="DD23" s="37" t="str">
        <f>IFERROR(IF(LEN(#REF!)=0,"",IF(CD$29=#REF!,Milestone_Marker_Old,"")),"")</f>
        <v/>
      </c>
      <c r="DE23" s="37" t="str">
        <f>IFERROR(IF(LEN(#REF!)=0,"",IF(CE$29=#REF!,Milestone_Marker_Old,"")),"")</f>
        <v/>
      </c>
      <c r="DF23" s="37" t="str">
        <f>IFERROR(IF(LEN(#REF!)=0,"",IF(CF$29=#REF!,Milestone_Marker_Old,"")),"")</f>
        <v/>
      </c>
      <c r="DG23" s="37" t="str">
        <f>IFERROR(IF(LEN(#REF!)=0,"",IF(CG$29=#REF!,Milestone_Marker_Old,"")),"")</f>
        <v/>
      </c>
      <c r="DH23" s="37" t="str">
        <f>IFERROR(IF(LEN(#REF!)=0,"",IF(CH$29=#REF!,Milestone_Marker_Old,"")),"")</f>
        <v/>
      </c>
      <c r="DI23" s="37" t="str">
        <f>IFERROR(IF(LEN(#REF!)=0,"",IF(CI$29=#REF!,Milestone_Marker_Old,"")),"")</f>
        <v/>
      </c>
      <c r="DJ23" s="37" t="str">
        <f>IFERROR(IF(LEN(#REF!)=0,"",IF(CJ$29=#REF!,Milestone_Marker_Old,"")),"")</f>
        <v/>
      </c>
      <c r="DK23" s="37" t="str">
        <f>IFERROR(IF(LEN(#REF!)=0,"",IF(CK$29=#REF!,Milestone_Marker_Old,"")),"")</f>
        <v/>
      </c>
      <c r="DL23" s="37" t="str">
        <f>IFERROR(IF(LEN(#REF!)=0,"",IF(CL$29=#REF!,Milestone_Marker_Old,"")),"")</f>
        <v/>
      </c>
      <c r="DM23" s="37" t="str">
        <f>IFERROR(IF(LEN(#REF!)=0,"",IF(CM$29=#REF!,Milestone_Marker_Old,"")),"")</f>
        <v/>
      </c>
      <c r="DN23" s="37" t="str">
        <f>IFERROR(IF(LEN(#REF!)=0,"",IF(CN$29=#REF!,Milestone_Marker_Old,"")),"")</f>
        <v/>
      </c>
      <c r="DO23" s="37" t="str">
        <f>IFERROR(IF(LEN(#REF!)=0,"",IF(CO$29=#REF!,Milestone_Marker_Old,"")),"")</f>
        <v/>
      </c>
      <c r="DP23" s="37" t="str">
        <f>IFERROR(IF(LEN(#REF!)=0,"",IF(CP$29=#REF!,Milestone_Marker_Old,"")),"")</f>
        <v/>
      </c>
      <c r="DQ23" s="37" t="str">
        <f>IFERROR(IF(LEN(#REF!)=0,"",IF(CQ$29=#REF!,Milestone_Marker_Old,"")),"")</f>
        <v/>
      </c>
      <c r="DR23" s="37" t="str">
        <f>IFERROR(IF(LEN(#REF!)=0,"",IF(CR$29=#REF!,Milestone_Marker_Old,"")),"")</f>
        <v/>
      </c>
      <c r="DS23" s="37" t="str">
        <f>IFERROR(IF(LEN(#REF!)=0,"",IF(CS$29=#REF!,Milestone_Marker_Old,"")),"")</f>
        <v/>
      </c>
      <c r="DT23" s="37" t="str">
        <f>IFERROR(IF(LEN(#REF!)=0,"",IF(CT$29=#REF!,Milestone_Marker_Old,"")),"")</f>
        <v/>
      </c>
      <c r="DU23" s="37" t="str">
        <f>IFERROR(IF(LEN(#REF!)=0,"",IF(CU$29=#REF!,Milestone_Marker_Old,"")),"")</f>
        <v/>
      </c>
    </row>
    <row r="24" spans="1:125" s="42" customFormat="1" ht="20.100000000000001" customHeight="1" thickBot="1" x14ac:dyDescent="0.3">
      <c r="A24" s="97" t="s">
        <v>453</v>
      </c>
      <c r="B24" s="98">
        <f>+B22+1</f>
        <v>15</v>
      </c>
      <c r="C24" s="99"/>
      <c r="D24" s="100"/>
      <c r="E24" s="101" t="s">
        <v>454</v>
      </c>
      <c r="F24" s="102">
        <v>1</v>
      </c>
      <c r="G24" s="103">
        <v>0</v>
      </c>
      <c r="H24" s="103">
        <f>+F24*G24</f>
        <v>0</v>
      </c>
      <c r="I24" s="104"/>
      <c r="J24" s="104"/>
      <c r="K24" s="105"/>
      <c r="L24" s="104"/>
      <c r="M24" s="104"/>
      <c r="N24" s="104">
        <f>IF(I24="Yes",H24,0)</f>
        <v>0</v>
      </c>
      <c r="O24" s="104"/>
      <c r="R24" s="44"/>
      <c r="S24" s="44"/>
      <c r="T24" s="44"/>
      <c r="U24" s="44"/>
      <c r="V24" s="44"/>
      <c r="W24" s="44"/>
      <c r="X24" s="44"/>
      <c r="Y24" s="44"/>
      <c r="Z24" s="44"/>
      <c r="AA24" s="622" t="s">
        <v>455</v>
      </c>
      <c r="AB24" s="623"/>
      <c r="AC24" s="623"/>
      <c r="AD24" s="623"/>
      <c r="AE24" s="623"/>
      <c r="AF24" s="623"/>
      <c r="AG24" s="623"/>
      <c r="AH24" s="623"/>
      <c r="AI24" s="43"/>
      <c r="AJ24" s="43"/>
      <c r="AK24" s="43"/>
      <c r="AL24" s="43"/>
      <c r="AM24" s="43"/>
      <c r="AN24" s="43"/>
      <c r="AO24" s="43"/>
      <c r="AP24" s="43" t="str">
        <f>IFERROR(IF(LEN(#REF!)=0,"",IF(P$29=#REF!,Milestone_Marker_Old,"")),"")</f>
        <v/>
      </c>
      <c r="AQ24" s="37" t="str">
        <f>IFERROR(IF(LEN(#REF!)=0,"",IF(Q$29=#REF!,Milestone_Marker_Old,"")),"")</f>
        <v/>
      </c>
      <c r="AR24" s="37" t="str">
        <f>IFERROR(IF(LEN(#REF!)=0,"",IF(R$29=#REF!,Milestone_Marker_Old,"")),"")</f>
        <v/>
      </c>
      <c r="AS24" s="37" t="str">
        <f>IFERROR(IF(LEN(#REF!)=0,"",IF(S$29=#REF!,Milestone_Marker_Old,"")),"")</f>
        <v/>
      </c>
      <c r="AT24" s="37" t="str">
        <f>IFERROR(IF(LEN(#REF!)=0,"",IF(T$29=#REF!,Milestone_Marker_Old,"")),"")</f>
        <v/>
      </c>
      <c r="AU24" s="37" t="str">
        <f>IFERROR(IF(LEN(#REF!)=0,"",IF(U$29=#REF!,Milestone_Marker_Old,"")),"")</f>
        <v/>
      </c>
      <c r="AV24" s="37" t="str">
        <f>IFERROR(IF(LEN(#REF!)=0,"",IF(V$29=#REF!,Milestone_Marker_Old,"")),"")</f>
        <v/>
      </c>
      <c r="AW24" s="37" t="str">
        <f>IFERROR(IF(LEN(#REF!)=0,"",IF(W$29=#REF!,Milestone_Marker_Old,"")),"")</f>
        <v/>
      </c>
      <c r="AX24" s="37" t="str">
        <f>IFERROR(IF(LEN(#REF!)=0,"",IF(X$29=#REF!,Milestone_Marker_Old,"")),"")</f>
        <v/>
      </c>
      <c r="AY24" s="37" t="str">
        <f>IFERROR(IF(LEN(#REF!)=0,"",IF(Y$29=#REF!,Milestone_Marker_Old,"")),"")</f>
        <v/>
      </c>
      <c r="AZ24" s="37" t="str">
        <f>IFERROR(IF(LEN(#REF!)=0,"",IF(Z$29=#REF!,Milestone_Marker_Old,"")),"")</f>
        <v/>
      </c>
      <c r="BA24" s="37" t="str">
        <f>IFERROR(IF(LEN(#REF!)=0,"",IF(AA$29=#REF!,Milestone_Marker_Old,"")),"")</f>
        <v/>
      </c>
      <c r="BB24" s="37" t="str">
        <f>IFERROR(IF(LEN(#REF!)=0,"",IF(AB$29=#REF!,Milestone_Marker_Old,"")),"")</f>
        <v/>
      </c>
      <c r="BC24" s="37" t="str">
        <f>IFERROR(IF(LEN(#REF!)=0,"",IF(AC$29=#REF!,Milestone_Marker_Old,"")),"")</f>
        <v/>
      </c>
      <c r="BD24" s="37" t="str">
        <f>IFERROR(IF(LEN(#REF!)=0,"",IF(AD$29=#REF!,Milestone_Marker_Old,"")),"")</f>
        <v/>
      </c>
      <c r="BE24" s="37" t="str">
        <f>IFERROR(IF(LEN(#REF!)=0,"",IF(AE$29=#REF!,Milestone_Marker_Old,"")),"")</f>
        <v/>
      </c>
      <c r="BF24" s="37" t="str">
        <f>IFERROR(IF(LEN(#REF!)=0,"",IF(AF$29=#REF!,Milestone_Marker_Old,"")),"")</f>
        <v/>
      </c>
      <c r="BG24" s="37" t="str">
        <f>IFERROR(IF(LEN(#REF!)=0,"",IF(AG$29=#REF!,Milestone_Marker_Old,"")),"")</f>
        <v/>
      </c>
      <c r="BH24" s="37" t="str">
        <f>IFERROR(IF(LEN(#REF!)=0,"",IF(AH$29=#REF!,Milestone_Marker_Old,"")),"")</f>
        <v/>
      </c>
      <c r="BI24" s="37" t="str">
        <f>IFERROR(IF(LEN(#REF!)=0,"",IF(AI$29=#REF!,Milestone_Marker_Old,"")),"")</f>
        <v/>
      </c>
      <c r="BJ24" s="37" t="str">
        <f>IFERROR(IF(LEN(#REF!)=0,"",IF(AJ$29=#REF!,Milestone_Marker_Old,"")),"")</f>
        <v/>
      </c>
      <c r="BK24" s="37" t="str">
        <f>IFERROR(IF(LEN(#REF!)=0,"",IF(AK$29=#REF!,Milestone_Marker_Old,"")),"")</f>
        <v/>
      </c>
      <c r="BL24" s="37" t="str">
        <f>IFERROR(IF(LEN(#REF!)=0,"",IF(AL$29=#REF!,Milestone_Marker_Old,"")),"")</f>
        <v/>
      </c>
      <c r="BM24" s="37" t="str">
        <f>IFERROR(IF(LEN(#REF!)=0,"",IF(AM$29=#REF!,Milestone_Marker_Old,"")),"")</f>
        <v/>
      </c>
      <c r="BN24" s="37" t="str">
        <f>IFERROR(IF(LEN(#REF!)=0,"",IF(AN$29=#REF!,Milestone_Marker_Old,"")),"")</f>
        <v/>
      </c>
      <c r="BO24" s="37" t="str">
        <f>IFERROR(IF(LEN(#REF!)=0,"",IF(AO$29=#REF!,Milestone_Marker_Old,"")),"")</f>
        <v/>
      </c>
      <c r="BP24" s="37" t="str">
        <f>IFERROR(IF(LEN(#REF!)=0,"",IF(AP$29=#REF!,Milestone_Marker_Old,"")),"")</f>
        <v/>
      </c>
      <c r="BQ24" s="37" t="str">
        <f>IFERROR(IF(LEN(#REF!)=0,"",IF(AQ$29=#REF!,Milestone_Marker_Old,"")),"")</f>
        <v/>
      </c>
      <c r="BR24" s="37" t="str">
        <f>IFERROR(IF(LEN(#REF!)=0,"",IF(AR$29=#REF!,Milestone_Marker_Old,"")),"")</f>
        <v/>
      </c>
      <c r="BS24" s="37" t="str">
        <f>IFERROR(IF(LEN(#REF!)=0,"",IF(AS$29=#REF!,Milestone_Marker_Old,"")),"")</f>
        <v/>
      </c>
      <c r="BT24" s="37" t="str">
        <f>IFERROR(IF(LEN(#REF!)=0,"",IF(AT$29=#REF!,Milestone_Marker_Old,"")),"")</f>
        <v/>
      </c>
      <c r="BU24" s="37" t="str">
        <f>IFERROR(IF(LEN(#REF!)=0,"",IF(AU$29=#REF!,Milestone_Marker_Old,"")),"")</f>
        <v/>
      </c>
      <c r="BV24" s="37" t="str">
        <f>IFERROR(IF(LEN(#REF!)=0,"",IF(AV$29=#REF!,Milestone_Marker_Old,"")),"")</f>
        <v/>
      </c>
      <c r="BW24" s="37" t="str">
        <f>IFERROR(IF(LEN(#REF!)=0,"",IF(AW$29=#REF!,Milestone_Marker_Old,"")),"")</f>
        <v/>
      </c>
      <c r="BX24" s="37" t="str">
        <f>IFERROR(IF(LEN(#REF!)=0,"",IF(AX$29=#REF!,Milestone_Marker_Old,"")),"")</f>
        <v/>
      </c>
      <c r="BY24" s="37" t="str">
        <f>IFERROR(IF(LEN(#REF!)=0,"",IF(AY$29=#REF!,Milestone_Marker_Old,"")),"")</f>
        <v/>
      </c>
      <c r="BZ24" s="37" t="str">
        <f>IFERROR(IF(LEN(#REF!)=0,"",IF(AZ$29=#REF!,Milestone_Marker_Old,"")),"")</f>
        <v/>
      </c>
      <c r="CA24" s="37" t="str">
        <f>IFERROR(IF(LEN(#REF!)=0,"",IF(BA$29=#REF!,Milestone_Marker_Old,"")),"")</f>
        <v/>
      </c>
      <c r="CB24" s="37" t="str">
        <f>IFERROR(IF(LEN(#REF!)=0,"",IF(BB$29=#REF!,Milestone_Marker_Old,"")),"")</f>
        <v/>
      </c>
      <c r="CC24" s="37" t="str">
        <f>IFERROR(IF(LEN(#REF!)=0,"",IF(BC$29=#REF!,Milestone_Marker_Old,"")),"")</f>
        <v/>
      </c>
      <c r="CD24" s="37" t="str">
        <f>IFERROR(IF(LEN(#REF!)=0,"",IF(BD$29=#REF!,Milestone_Marker_Old,"")),"")</f>
        <v/>
      </c>
      <c r="CE24" s="37" t="str">
        <f>IFERROR(IF(LEN(#REF!)=0,"",IF(BE$29=#REF!,Milestone_Marker_Old,"")),"")</f>
        <v/>
      </c>
      <c r="CF24" s="37" t="str">
        <f>IFERROR(IF(LEN(#REF!)=0,"",IF(BF$29=#REF!,Milestone_Marker_Old,"")),"")</f>
        <v/>
      </c>
      <c r="CG24" s="37" t="str">
        <f>IFERROR(IF(LEN(#REF!)=0,"",IF(BG$29=#REF!,Milestone_Marker_Old,"")),"")</f>
        <v/>
      </c>
      <c r="CH24" s="37" t="str">
        <f>IFERROR(IF(LEN(#REF!)=0,"",IF(BH$29=#REF!,Milestone_Marker_Old,"")),"")</f>
        <v/>
      </c>
      <c r="CI24" s="37" t="str">
        <f>IFERROR(IF(LEN(#REF!)=0,"",IF(BI$29=#REF!,Milestone_Marker_Old,"")),"")</f>
        <v/>
      </c>
      <c r="CJ24" s="37" t="str">
        <f>IFERROR(IF(LEN(#REF!)=0,"",IF(BJ$29=#REF!,Milestone_Marker_Old,"")),"")</f>
        <v/>
      </c>
      <c r="CK24" s="37" t="str">
        <f>IFERROR(IF(LEN(#REF!)=0,"",IF(BK$29=#REF!,Milestone_Marker_Old,"")),"")</f>
        <v/>
      </c>
      <c r="CL24" s="37" t="str">
        <f>IFERROR(IF(LEN(#REF!)=0,"",IF(BL$29=#REF!,Milestone_Marker_Old,"")),"")</f>
        <v/>
      </c>
      <c r="CM24" s="37" t="str">
        <f>IFERROR(IF(LEN(#REF!)=0,"",IF(BM$29=#REF!,Milestone_Marker_Old,"")),"")</f>
        <v/>
      </c>
      <c r="CN24" s="37" t="str">
        <f>IFERROR(IF(LEN(#REF!)=0,"",IF(BN$29=#REF!,Milestone_Marker_Old,"")),"")</f>
        <v/>
      </c>
      <c r="CO24" s="37" t="str">
        <f>IFERROR(IF(LEN(#REF!)=0,"",IF(BO$29=#REF!,Milestone_Marker_Old,"")),"")</f>
        <v/>
      </c>
      <c r="CP24" s="37" t="str">
        <f>IFERROR(IF(LEN(#REF!)=0,"",IF(BP$29=#REF!,Milestone_Marker_Old,"")),"")</f>
        <v/>
      </c>
      <c r="CQ24" s="37" t="str">
        <f>IFERROR(IF(LEN(#REF!)=0,"",IF(BQ$29=#REF!,Milestone_Marker_Old,"")),"")</f>
        <v/>
      </c>
      <c r="CR24" s="37" t="str">
        <f>IFERROR(IF(LEN(#REF!)=0,"",IF(BR$29=#REF!,Milestone_Marker_Old,"")),"")</f>
        <v/>
      </c>
      <c r="CS24" s="37" t="str">
        <f>IFERROR(IF(LEN(#REF!)=0,"",IF(BS$29=#REF!,Milestone_Marker_Old,"")),"")</f>
        <v/>
      </c>
      <c r="CT24" s="37" t="str">
        <f>IFERROR(IF(LEN(#REF!)=0,"",IF(BT$29=#REF!,Milestone_Marker_Old,"")),"")</f>
        <v/>
      </c>
      <c r="CU24" s="37" t="str">
        <f>IFERROR(IF(LEN(#REF!)=0,"",IF(BU$29=#REF!,Milestone_Marker_Old,"")),"")</f>
        <v/>
      </c>
      <c r="CV24" s="37" t="str">
        <f>IFERROR(IF(LEN(#REF!)=0,"",IF(BV$29=#REF!,Milestone_Marker_Old,"")),"")</f>
        <v/>
      </c>
      <c r="CW24" s="37" t="str">
        <f>IFERROR(IF(LEN(#REF!)=0,"",IF(BW$29=#REF!,Milestone_Marker_Old,"")),"")</f>
        <v/>
      </c>
      <c r="CX24" s="37" t="str">
        <f>IFERROR(IF(LEN(#REF!)=0,"",IF(BX$29=#REF!,Milestone_Marker_Old,"")),"")</f>
        <v/>
      </c>
      <c r="CY24" s="37" t="str">
        <f>IFERROR(IF(LEN(#REF!)=0,"",IF(BY$29=#REF!,Milestone_Marker_Old,"")),"")</f>
        <v/>
      </c>
      <c r="CZ24" s="37" t="str">
        <f>IFERROR(IF(LEN(#REF!)=0,"",IF(BZ$29=#REF!,Milestone_Marker_Old,"")),"")</f>
        <v/>
      </c>
      <c r="DA24" s="37" t="str">
        <f>IFERROR(IF(LEN(#REF!)=0,"",IF(CA$29=#REF!,Milestone_Marker_Old,"")),"")</f>
        <v/>
      </c>
      <c r="DB24" s="37" t="str">
        <f>IFERROR(IF(LEN(#REF!)=0,"",IF(CB$29=#REF!,Milestone_Marker_Old,"")),"")</f>
        <v/>
      </c>
      <c r="DC24" s="37" t="str">
        <f>IFERROR(IF(LEN(#REF!)=0,"",IF(CC$29=#REF!,Milestone_Marker_Old,"")),"")</f>
        <v/>
      </c>
      <c r="DD24" s="37" t="str">
        <f>IFERROR(IF(LEN(#REF!)=0,"",IF(CD$29=#REF!,Milestone_Marker_Old,"")),"")</f>
        <v/>
      </c>
      <c r="DE24" s="37" t="str">
        <f>IFERROR(IF(LEN(#REF!)=0,"",IF(CE$29=#REF!,Milestone_Marker_Old,"")),"")</f>
        <v/>
      </c>
      <c r="DF24" s="37" t="str">
        <f>IFERROR(IF(LEN(#REF!)=0,"",IF(CF$29=#REF!,Milestone_Marker_Old,"")),"")</f>
        <v/>
      </c>
      <c r="DG24" s="37" t="str">
        <f>IFERROR(IF(LEN(#REF!)=0,"",IF(CG$29=#REF!,Milestone_Marker_Old,"")),"")</f>
        <v/>
      </c>
      <c r="DH24" s="37" t="str">
        <f>IFERROR(IF(LEN(#REF!)=0,"",IF(CH$29=#REF!,Milestone_Marker_Old,"")),"")</f>
        <v/>
      </c>
      <c r="DI24" s="37" t="str">
        <f>IFERROR(IF(LEN(#REF!)=0,"",IF(CI$29=#REF!,Milestone_Marker_Old,"")),"")</f>
        <v/>
      </c>
      <c r="DJ24" s="37" t="str">
        <f>IFERROR(IF(LEN(#REF!)=0,"",IF(CJ$29=#REF!,Milestone_Marker_Old,"")),"")</f>
        <v/>
      </c>
      <c r="DK24" s="37" t="str">
        <f>IFERROR(IF(LEN(#REF!)=0,"",IF(CK$29=#REF!,Milestone_Marker_Old,"")),"")</f>
        <v/>
      </c>
      <c r="DL24" s="37" t="str">
        <f>IFERROR(IF(LEN(#REF!)=0,"",IF(CL$29=#REF!,Milestone_Marker_Old,"")),"")</f>
        <v/>
      </c>
      <c r="DM24" s="37" t="str">
        <f>IFERROR(IF(LEN(#REF!)=0,"",IF(CM$29=#REF!,Milestone_Marker_Old,"")),"")</f>
        <v/>
      </c>
      <c r="DN24" s="37" t="str">
        <f>IFERROR(IF(LEN(#REF!)=0,"",IF(CN$29=#REF!,Milestone_Marker_Old,"")),"")</f>
        <v/>
      </c>
      <c r="DO24" s="37" t="str">
        <f>IFERROR(IF(LEN(#REF!)=0,"",IF(CO$29=#REF!,Milestone_Marker_Old,"")),"")</f>
        <v/>
      </c>
      <c r="DP24" s="37" t="str">
        <f>IFERROR(IF(LEN(#REF!)=0,"",IF(CP$29=#REF!,Milestone_Marker_Old,"")),"")</f>
        <v/>
      </c>
      <c r="DQ24" s="37" t="str">
        <f>IFERROR(IF(LEN(#REF!)=0,"",IF(CQ$29=#REF!,Milestone_Marker_Old,"")),"")</f>
        <v/>
      </c>
      <c r="DR24" s="37" t="str">
        <f>IFERROR(IF(LEN(#REF!)=0,"",IF(CR$29=#REF!,Milestone_Marker_Old,"")),"")</f>
        <v/>
      </c>
      <c r="DS24" s="37" t="str">
        <f>IFERROR(IF(LEN(#REF!)=0,"",IF(CS$29=#REF!,Milestone_Marker_Old,"")),"")</f>
        <v/>
      </c>
      <c r="DT24" s="37" t="str">
        <f>IFERROR(IF(LEN(#REF!)=0,"",IF(CT$29=#REF!,Milestone_Marker_Old,"")),"")</f>
        <v/>
      </c>
      <c r="DU24" s="37" t="str">
        <f>IFERROR(IF(LEN(#REF!)=0,"",IF(CU$29=#REF!,Milestone_Marker_Old,"")),"")</f>
        <v/>
      </c>
    </row>
    <row r="25" spans="1:125" s="42" customFormat="1" ht="20.100000000000001" customHeight="1" x14ac:dyDescent="0.25">
      <c r="A25" s="97" t="s">
        <v>453</v>
      </c>
      <c r="B25" s="98">
        <f>+B24+1</f>
        <v>16</v>
      </c>
      <c r="C25" s="99"/>
      <c r="D25" s="100"/>
      <c r="E25" s="101" t="s">
        <v>454</v>
      </c>
      <c r="F25" s="102">
        <v>0</v>
      </c>
      <c r="G25" s="103">
        <v>400</v>
      </c>
      <c r="H25" s="103">
        <f>+F25*G25</f>
        <v>0</v>
      </c>
      <c r="I25" s="104"/>
      <c r="J25" s="104"/>
      <c r="K25" s="105"/>
      <c r="L25" s="104"/>
      <c r="M25" s="104"/>
      <c r="N25" s="104">
        <f>IF(I25="Yes",H25,0)</f>
        <v>0</v>
      </c>
      <c r="O25" s="104"/>
      <c r="R25" s="44"/>
      <c r="S25" s="44"/>
      <c r="T25" s="44"/>
      <c r="U25" s="44"/>
      <c r="V25" s="44"/>
      <c r="W25" s="44"/>
      <c r="X25" s="44"/>
      <c r="Y25" s="44"/>
      <c r="Z25" s="44"/>
      <c r="AA25" s="623"/>
      <c r="AB25" s="623"/>
      <c r="AC25" s="623"/>
      <c r="AD25" s="623"/>
      <c r="AE25" s="623"/>
      <c r="AF25" s="623"/>
      <c r="AG25" s="623"/>
      <c r="AH25" s="623"/>
      <c r="AI25" s="43"/>
      <c r="AJ25" s="43"/>
      <c r="AK25" s="43"/>
      <c r="AL25" s="43"/>
      <c r="AM25" s="43"/>
      <c r="AN25" s="43"/>
      <c r="AO25" s="43"/>
      <c r="AP25" s="43" t="str">
        <f>IFERROR(IF(LEN(#REF!)=0,"",IF(P$29=#REF!,Milestone_Marker_Old,"")),"")</f>
        <v/>
      </c>
      <c r="AQ25" s="37" t="str">
        <f>IFERROR(IF(LEN(#REF!)=0,"",IF(Q$29=#REF!,Milestone_Marker_Old,"")),"")</f>
        <v/>
      </c>
      <c r="AR25" s="37" t="str">
        <f>IFERROR(IF(LEN(#REF!)=0,"",IF(R$29=#REF!,Milestone_Marker_Old,"")),"")</f>
        <v/>
      </c>
      <c r="AS25" s="37" t="str">
        <f>IFERROR(IF(LEN(#REF!)=0,"",IF(S$29=#REF!,Milestone_Marker_Old,"")),"")</f>
        <v/>
      </c>
      <c r="AT25" s="37" t="str">
        <f>IFERROR(IF(LEN(#REF!)=0,"",IF(T$29=#REF!,Milestone_Marker_Old,"")),"")</f>
        <v/>
      </c>
      <c r="AU25" s="37" t="str">
        <f>IFERROR(IF(LEN(#REF!)=0,"",IF(U$29=#REF!,Milestone_Marker_Old,"")),"")</f>
        <v/>
      </c>
      <c r="AV25" s="37" t="str">
        <f>IFERROR(IF(LEN(#REF!)=0,"",IF(V$29=#REF!,Milestone_Marker_Old,"")),"")</f>
        <v/>
      </c>
      <c r="AW25" s="37" t="str">
        <f>IFERROR(IF(LEN(#REF!)=0,"",IF(W$29=#REF!,Milestone_Marker_Old,"")),"")</f>
        <v/>
      </c>
      <c r="AX25" s="37" t="str">
        <f>IFERROR(IF(LEN(#REF!)=0,"",IF(X$29=#REF!,Milestone_Marker_Old,"")),"")</f>
        <v/>
      </c>
      <c r="AY25" s="37" t="str">
        <f>IFERROR(IF(LEN(#REF!)=0,"",IF(Y$29=#REF!,Milestone_Marker_Old,"")),"")</f>
        <v/>
      </c>
      <c r="AZ25" s="37" t="str">
        <f>IFERROR(IF(LEN(#REF!)=0,"",IF(Z$29=#REF!,Milestone_Marker_Old,"")),"")</f>
        <v/>
      </c>
      <c r="BA25" s="37" t="str">
        <f>IFERROR(IF(LEN(#REF!)=0,"",IF(AA$29=#REF!,Milestone_Marker_Old,"")),"")</f>
        <v/>
      </c>
      <c r="BB25" s="37" t="str">
        <f>IFERROR(IF(LEN(#REF!)=0,"",IF(AB$29=#REF!,Milestone_Marker_Old,"")),"")</f>
        <v/>
      </c>
      <c r="BC25" s="37" t="str">
        <f>IFERROR(IF(LEN(#REF!)=0,"",IF(AC$29=#REF!,Milestone_Marker_Old,"")),"")</f>
        <v/>
      </c>
      <c r="BD25" s="37" t="str">
        <f>IFERROR(IF(LEN(#REF!)=0,"",IF(AD$29=#REF!,Milestone_Marker_Old,"")),"")</f>
        <v/>
      </c>
      <c r="BE25" s="37" t="str">
        <f>IFERROR(IF(LEN(#REF!)=0,"",IF(AE$29=#REF!,Milestone_Marker_Old,"")),"")</f>
        <v/>
      </c>
      <c r="BF25" s="37" t="str">
        <f>IFERROR(IF(LEN(#REF!)=0,"",IF(AF$29=#REF!,Milestone_Marker_Old,"")),"")</f>
        <v/>
      </c>
      <c r="BG25" s="37" t="str">
        <f>IFERROR(IF(LEN(#REF!)=0,"",IF(AG$29=#REF!,Milestone_Marker_Old,"")),"")</f>
        <v/>
      </c>
      <c r="BH25" s="37" t="str">
        <f>IFERROR(IF(LEN(#REF!)=0,"",IF(AH$29=#REF!,Milestone_Marker_Old,"")),"")</f>
        <v/>
      </c>
      <c r="BI25" s="37" t="str">
        <f>IFERROR(IF(LEN(#REF!)=0,"",IF(AI$29=#REF!,Milestone_Marker_Old,"")),"")</f>
        <v/>
      </c>
      <c r="BJ25" s="37" t="str">
        <f>IFERROR(IF(LEN(#REF!)=0,"",IF(AJ$29=#REF!,Milestone_Marker_Old,"")),"")</f>
        <v/>
      </c>
      <c r="BK25" s="37" t="str">
        <f>IFERROR(IF(LEN(#REF!)=0,"",IF(AK$29=#REF!,Milestone_Marker_Old,"")),"")</f>
        <v/>
      </c>
      <c r="BL25" s="37" t="str">
        <f>IFERROR(IF(LEN(#REF!)=0,"",IF(AL$29=#REF!,Milestone_Marker_Old,"")),"")</f>
        <v/>
      </c>
      <c r="BM25" s="37" t="str">
        <f>IFERROR(IF(LEN(#REF!)=0,"",IF(AM$29=#REF!,Milestone_Marker_Old,"")),"")</f>
        <v/>
      </c>
      <c r="BN25" s="37" t="str">
        <f>IFERROR(IF(LEN(#REF!)=0,"",IF(AN$29=#REF!,Milestone_Marker_Old,"")),"")</f>
        <v/>
      </c>
      <c r="BO25" s="37" t="str">
        <f>IFERROR(IF(LEN(#REF!)=0,"",IF(AO$29=#REF!,Milestone_Marker_Old,"")),"")</f>
        <v/>
      </c>
      <c r="BP25" s="37" t="str">
        <f>IFERROR(IF(LEN(#REF!)=0,"",IF(AP$29=#REF!,Milestone_Marker_Old,"")),"")</f>
        <v/>
      </c>
      <c r="BQ25" s="37" t="str">
        <f>IFERROR(IF(LEN(#REF!)=0,"",IF(AQ$29=#REF!,Milestone_Marker_Old,"")),"")</f>
        <v/>
      </c>
      <c r="BR25" s="37" t="str">
        <f>IFERROR(IF(LEN(#REF!)=0,"",IF(AR$29=#REF!,Milestone_Marker_Old,"")),"")</f>
        <v/>
      </c>
      <c r="BS25" s="37" t="str">
        <f>IFERROR(IF(LEN(#REF!)=0,"",IF(AS$29=#REF!,Milestone_Marker_Old,"")),"")</f>
        <v/>
      </c>
      <c r="BT25" s="37" t="str">
        <f>IFERROR(IF(LEN(#REF!)=0,"",IF(AT$29=#REF!,Milestone_Marker_Old,"")),"")</f>
        <v/>
      </c>
      <c r="BU25" s="37" t="str">
        <f>IFERROR(IF(LEN(#REF!)=0,"",IF(AU$29=#REF!,Milestone_Marker_Old,"")),"")</f>
        <v/>
      </c>
      <c r="BV25" s="37" t="str">
        <f>IFERROR(IF(LEN(#REF!)=0,"",IF(AV$29=#REF!,Milestone_Marker_Old,"")),"")</f>
        <v/>
      </c>
      <c r="BW25" s="37" t="str">
        <f>IFERROR(IF(LEN(#REF!)=0,"",IF(AW$29=#REF!,Milestone_Marker_Old,"")),"")</f>
        <v/>
      </c>
      <c r="BX25" s="37" t="str">
        <f>IFERROR(IF(LEN(#REF!)=0,"",IF(AX$29=#REF!,Milestone_Marker_Old,"")),"")</f>
        <v/>
      </c>
      <c r="BY25" s="37" t="str">
        <f>IFERROR(IF(LEN(#REF!)=0,"",IF(AY$29=#REF!,Milestone_Marker_Old,"")),"")</f>
        <v/>
      </c>
      <c r="BZ25" s="37" t="str">
        <f>IFERROR(IF(LEN(#REF!)=0,"",IF(AZ$29=#REF!,Milestone_Marker_Old,"")),"")</f>
        <v/>
      </c>
      <c r="CA25" s="37" t="str">
        <f>IFERROR(IF(LEN(#REF!)=0,"",IF(BA$29=#REF!,Milestone_Marker_Old,"")),"")</f>
        <v/>
      </c>
      <c r="CB25" s="37" t="str">
        <f>IFERROR(IF(LEN(#REF!)=0,"",IF(BB$29=#REF!,Milestone_Marker_Old,"")),"")</f>
        <v/>
      </c>
      <c r="CC25" s="37" t="str">
        <f>IFERROR(IF(LEN(#REF!)=0,"",IF(BC$29=#REF!,Milestone_Marker_Old,"")),"")</f>
        <v/>
      </c>
      <c r="CD25" s="37" t="str">
        <f>IFERROR(IF(LEN(#REF!)=0,"",IF(BD$29=#REF!,Milestone_Marker_Old,"")),"")</f>
        <v/>
      </c>
      <c r="CE25" s="37" t="str">
        <f>IFERROR(IF(LEN(#REF!)=0,"",IF(BE$29=#REF!,Milestone_Marker_Old,"")),"")</f>
        <v/>
      </c>
      <c r="CF25" s="37" t="str">
        <f>IFERROR(IF(LEN(#REF!)=0,"",IF(BF$29=#REF!,Milestone_Marker_Old,"")),"")</f>
        <v/>
      </c>
      <c r="CG25" s="37" t="str">
        <f>IFERROR(IF(LEN(#REF!)=0,"",IF(BG$29=#REF!,Milestone_Marker_Old,"")),"")</f>
        <v/>
      </c>
      <c r="CH25" s="37" t="str">
        <f>IFERROR(IF(LEN(#REF!)=0,"",IF(BH$29=#REF!,Milestone_Marker_Old,"")),"")</f>
        <v/>
      </c>
      <c r="CI25" s="37" t="str">
        <f>IFERROR(IF(LEN(#REF!)=0,"",IF(BI$29=#REF!,Milestone_Marker_Old,"")),"")</f>
        <v/>
      </c>
      <c r="CJ25" s="37" t="str">
        <f>IFERROR(IF(LEN(#REF!)=0,"",IF(BJ$29=#REF!,Milestone_Marker_Old,"")),"")</f>
        <v/>
      </c>
      <c r="CK25" s="37" t="str">
        <f>IFERROR(IF(LEN(#REF!)=0,"",IF(BK$29=#REF!,Milestone_Marker_Old,"")),"")</f>
        <v/>
      </c>
      <c r="CL25" s="37" t="str">
        <f>IFERROR(IF(LEN(#REF!)=0,"",IF(BL$29=#REF!,Milestone_Marker_Old,"")),"")</f>
        <v/>
      </c>
      <c r="CM25" s="37" t="str">
        <f>IFERROR(IF(LEN(#REF!)=0,"",IF(BM$29=#REF!,Milestone_Marker_Old,"")),"")</f>
        <v/>
      </c>
      <c r="CN25" s="37" t="str">
        <f>IFERROR(IF(LEN(#REF!)=0,"",IF(BN$29=#REF!,Milestone_Marker_Old,"")),"")</f>
        <v/>
      </c>
      <c r="CO25" s="37" t="str">
        <f>IFERROR(IF(LEN(#REF!)=0,"",IF(BO$29=#REF!,Milestone_Marker_Old,"")),"")</f>
        <v/>
      </c>
      <c r="CP25" s="37" t="str">
        <f>IFERROR(IF(LEN(#REF!)=0,"",IF(BP$29=#REF!,Milestone_Marker_Old,"")),"")</f>
        <v/>
      </c>
      <c r="CQ25" s="37" t="str">
        <f>IFERROR(IF(LEN(#REF!)=0,"",IF(BQ$29=#REF!,Milestone_Marker_Old,"")),"")</f>
        <v/>
      </c>
      <c r="CR25" s="37" t="str">
        <f>IFERROR(IF(LEN(#REF!)=0,"",IF(BR$29=#REF!,Milestone_Marker_Old,"")),"")</f>
        <v/>
      </c>
      <c r="CS25" s="37" t="str">
        <f>IFERROR(IF(LEN(#REF!)=0,"",IF(BS$29=#REF!,Milestone_Marker_Old,"")),"")</f>
        <v/>
      </c>
      <c r="CT25" s="37" t="str">
        <f>IFERROR(IF(LEN(#REF!)=0,"",IF(BT$29=#REF!,Milestone_Marker_Old,"")),"")</f>
        <v/>
      </c>
      <c r="CU25" s="37" t="str">
        <f>IFERROR(IF(LEN(#REF!)=0,"",IF(BU$29=#REF!,Milestone_Marker_Old,"")),"")</f>
        <v/>
      </c>
      <c r="CV25" s="37" t="str">
        <f>IFERROR(IF(LEN(#REF!)=0,"",IF(BV$29=#REF!,Milestone_Marker_Old,"")),"")</f>
        <v/>
      </c>
      <c r="CW25" s="37" t="str">
        <f>IFERROR(IF(LEN(#REF!)=0,"",IF(BW$29=#REF!,Milestone_Marker_Old,"")),"")</f>
        <v/>
      </c>
      <c r="CX25" s="37" t="str">
        <f>IFERROR(IF(LEN(#REF!)=0,"",IF(BX$29=#REF!,Milestone_Marker_Old,"")),"")</f>
        <v/>
      </c>
      <c r="CY25" s="37" t="str">
        <f>IFERROR(IF(LEN(#REF!)=0,"",IF(BY$29=#REF!,Milestone_Marker_Old,"")),"")</f>
        <v/>
      </c>
      <c r="CZ25" s="37" t="str">
        <f>IFERROR(IF(LEN(#REF!)=0,"",IF(BZ$29=#REF!,Milestone_Marker_Old,"")),"")</f>
        <v/>
      </c>
      <c r="DA25" s="37" t="str">
        <f>IFERROR(IF(LEN(#REF!)=0,"",IF(CA$29=#REF!,Milestone_Marker_Old,"")),"")</f>
        <v/>
      </c>
      <c r="DB25" s="37" t="str">
        <f>IFERROR(IF(LEN(#REF!)=0,"",IF(CB$29=#REF!,Milestone_Marker_Old,"")),"")</f>
        <v/>
      </c>
      <c r="DC25" s="37" t="str">
        <f>IFERROR(IF(LEN(#REF!)=0,"",IF(CC$29=#REF!,Milestone_Marker_Old,"")),"")</f>
        <v/>
      </c>
      <c r="DD25" s="37" t="str">
        <f>IFERROR(IF(LEN(#REF!)=0,"",IF(CD$29=#REF!,Milestone_Marker_Old,"")),"")</f>
        <v/>
      </c>
      <c r="DE25" s="37" t="str">
        <f>IFERROR(IF(LEN(#REF!)=0,"",IF(CE$29=#REF!,Milestone_Marker_Old,"")),"")</f>
        <v/>
      </c>
      <c r="DF25" s="37" t="str">
        <f>IFERROR(IF(LEN(#REF!)=0,"",IF(CF$29=#REF!,Milestone_Marker_Old,"")),"")</f>
        <v/>
      </c>
      <c r="DG25" s="37" t="str">
        <f>IFERROR(IF(LEN(#REF!)=0,"",IF(CG$29=#REF!,Milestone_Marker_Old,"")),"")</f>
        <v/>
      </c>
      <c r="DH25" s="37" t="str">
        <f>IFERROR(IF(LEN(#REF!)=0,"",IF(CH$29=#REF!,Milestone_Marker_Old,"")),"")</f>
        <v/>
      </c>
      <c r="DI25" s="37" t="str">
        <f>IFERROR(IF(LEN(#REF!)=0,"",IF(CI$29=#REF!,Milestone_Marker_Old,"")),"")</f>
        <v/>
      </c>
      <c r="DJ25" s="37" t="str">
        <f>IFERROR(IF(LEN(#REF!)=0,"",IF(CJ$29=#REF!,Milestone_Marker_Old,"")),"")</f>
        <v/>
      </c>
      <c r="DK25" s="37" t="str">
        <f>IFERROR(IF(LEN(#REF!)=0,"",IF(CK$29=#REF!,Milestone_Marker_Old,"")),"")</f>
        <v/>
      </c>
      <c r="DL25" s="37" t="str">
        <f>IFERROR(IF(LEN(#REF!)=0,"",IF(CL$29=#REF!,Milestone_Marker_Old,"")),"")</f>
        <v/>
      </c>
      <c r="DM25" s="37" t="str">
        <f>IFERROR(IF(LEN(#REF!)=0,"",IF(CM$29=#REF!,Milestone_Marker_Old,"")),"")</f>
        <v/>
      </c>
      <c r="DN25" s="37" t="str">
        <f>IFERROR(IF(LEN(#REF!)=0,"",IF(CN$29=#REF!,Milestone_Marker_Old,"")),"")</f>
        <v/>
      </c>
      <c r="DO25" s="37" t="str">
        <f>IFERROR(IF(LEN(#REF!)=0,"",IF(CO$29=#REF!,Milestone_Marker_Old,"")),"")</f>
        <v/>
      </c>
      <c r="DP25" s="37" t="str">
        <f>IFERROR(IF(LEN(#REF!)=0,"",IF(CP$29=#REF!,Milestone_Marker_Old,"")),"")</f>
        <v/>
      </c>
      <c r="DQ25" s="37" t="str">
        <f>IFERROR(IF(LEN(#REF!)=0,"",IF(CQ$29=#REF!,Milestone_Marker_Old,"")),"")</f>
        <v/>
      </c>
      <c r="DR25" s="37" t="str">
        <f>IFERROR(IF(LEN(#REF!)=0,"",IF(CR$29=#REF!,Milestone_Marker_Old,"")),"")</f>
        <v/>
      </c>
      <c r="DS25" s="37" t="str">
        <f>IFERROR(IF(LEN(#REF!)=0,"",IF(CS$29=#REF!,Milestone_Marker_Old,"")),"")</f>
        <v/>
      </c>
      <c r="DT25" s="37" t="str">
        <f>IFERROR(IF(LEN(#REF!)=0,"",IF(CT$29=#REF!,Milestone_Marker_Old,"")),"")</f>
        <v/>
      </c>
      <c r="DU25" s="37" t="str">
        <f>IFERROR(IF(LEN(#REF!)=0,"",IF(CU$29=#REF!,Milestone_Marker_Old,"")),"")</f>
        <v/>
      </c>
    </row>
    <row r="26" spans="1:125" s="42" customFormat="1" ht="20.100000000000001" customHeight="1" x14ac:dyDescent="0.25">
      <c r="A26" s="97" t="s">
        <v>456</v>
      </c>
      <c r="B26" s="98">
        <f>+B25+1</f>
        <v>17</v>
      </c>
      <c r="C26" s="99"/>
      <c r="D26" s="100"/>
      <c r="E26" s="101" t="s">
        <v>457</v>
      </c>
      <c r="F26" s="102">
        <v>0</v>
      </c>
      <c r="G26" s="103">
        <f>+HVAC!F13</f>
        <v>0</v>
      </c>
      <c r="H26" s="103">
        <f>+F26*G26</f>
        <v>0</v>
      </c>
      <c r="I26" s="104"/>
      <c r="J26" s="104"/>
      <c r="K26" s="105"/>
      <c r="L26" s="104"/>
      <c r="M26" s="104"/>
      <c r="N26" s="104">
        <f>IF(I26="Yes",H26,0)</f>
        <v>0</v>
      </c>
      <c r="O26" s="104"/>
      <c r="R26" s="44"/>
      <c r="S26" s="44"/>
      <c r="T26" s="44"/>
      <c r="U26" s="44"/>
      <c r="V26" s="44"/>
      <c r="W26" s="44"/>
      <c r="X26" s="44"/>
      <c r="Y26" s="44"/>
      <c r="Z26" s="44"/>
      <c r="AB26" s="68">
        <v>0</v>
      </c>
      <c r="AC26" s="43"/>
      <c r="AD26" s="43"/>
      <c r="AE26" s="43"/>
      <c r="AF26" s="43"/>
      <c r="AG26" s="43"/>
      <c r="AH26" s="43"/>
      <c r="AI26" s="43"/>
      <c r="AJ26" s="43"/>
      <c r="AK26" s="43"/>
      <c r="AL26" s="43"/>
      <c r="AM26" s="43"/>
      <c r="AN26" s="43"/>
      <c r="AO26" s="43"/>
      <c r="AP26" s="43"/>
    </row>
    <row r="27" spans="1:125" s="42" customFormat="1" ht="20.100000000000001" customHeight="1" x14ac:dyDescent="0.25">
      <c r="A27" s="97" t="s">
        <v>456</v>
      </c>
      <c r="B27" s="98">
        <f>+B26+1</f>
        <v>18</v>
      </c>
      <c r="C27" s="99"/>
      <c r="D27" s="100"/>
      <c r="E27" s="101" t="s">
        <v>458</v>
      </c>
      <c r="F27" s="102">
        <v>0</v>
      </c>
      <c r="G27" s="103">
        <v>4598</v>
      </c>
      <c r="H27" s="103">
        <f>+F27*G27</f>
        <v>0</v>
      </c>
      <c r="I27" s="104"/>
      <c r="J27" s="104"/>
      <c r="K27" s="105"/>
      <c r="L27" s="104"/>
      <c r="M27" s="104"/>
      <c r="N27" s="104">
        <f>IF(I27="Yes",H27,0)</f>
        <v>0</v>
      </c>
      <c r="O27" s="104"/>
      <c r="R27" s="44"/>
      <c r="S27" s="44"/>
      <c r="T27" s="44"/>
      <c r="U27" s="44"/>
      <c r="V27" s="44"/>
      <c r="W27" s="44"/>
      <c r="X27" s="44"/>
      <c r="Y27" s="44"/>
      <c r="Z27" s="44"/>
    </row>
    <row r="28" spans="1:125" s="42" customFormat="1" ht="21.75" thickBot="1" x14ac:dyDescent="0.25">
      <c r="A28" s="106"/>
      <c r="B28" s="107"/>
      <c r="C28" s="106"/>
      <c r="D28" s="106"/>
      <c r="E28" s="94" t="str">
        <f>+A2 &amp; "Items (all items should be updated from Proposal or ProposalUpdate tab)"</f>
        <v>AvilaCRI Items (all items should be updated from Proposal or ProposalUpdate tab)</v>
      </c>
      <c r="F28" s="106"/>
      <c r="G28" s="106"/>
      <c r="H28" s="106"/>
      <c r="I28" s="106"/>
      <c r="J28" s="106"/>
      <c r="K28" s="108"/>
      <c r="L28" s="106"/>
      <c r="M28" s="106"/>
      <c r="N28" s="106"/>
      <c r="O28" s="106"/>
      <c r="P28" s="59" t="str">
        <f ca="1">IF(TEXT(Project_Start,"mmmm")=TEXT(P29,"mmmm"),"",TEXT(P29,"mmmm"))</f>
        <v/>
      </c>
      <c r="Q28" s="59" t="str">
        <f t="shared" ref="Q28:AV28" ca="1" si="3">IF(TEXT(P29,"mmmm")=TEXT(Q29,"mmmm"),"",TEXT(Q29,"mmmm"))</f>
        <v/>
      </c>
      <c r="R28" s="59" t="str">
        <f t="shared" ca="1" si="3"/>
        <v/>
      </c>
      <c r="S28" s="59" t="str">
        <f t="shared" ca="1" si="3"/>
        <v/>
      </c>
      <c r="T28" s="59" t="str">
        <f t="shared" ca="1" si="3"/>
        <v/>
      </c>
      <c r="U28" s="59" t="str">
        <f t="shared" ca="1" si="3"/>
        <v/>
      </c>
      <c r="V28" s="59" t="str">
        <f t="shared" ca="1" si="3"/>
        <v/>
      </c>
      <c r="W28" s="59" t="str">
        <f t="shared" ca="1" si="3"/>
        <v/>
      </c>
      <c r="X28" s="59" t="str">
        <f t="shared" ca="1" si="3"/>
        <v/>
      </c>
      <c r="Y28" s="59" t="str">
        <f t="shared" ca="1" si="3"/>
        <v/>
      </c>
      <c r="Z28" s="59" t="str">
        <f t="shared" ca="1" si="3"/>
        <v/>
      </c>
      <c r="AA28" s="59" t="str">
        <f t="shared" ca="1" si="3"/>
        <v/>
      </c>
      <c r="AB28" s="59" t="str">
        <f t="shared" ca="1" si="3"/>
        <v/>
      </c>
      <c r="AC28" s="59" t="str">
        <f t="shared" ca="1" si="3"/>
        <v/>
      </c>
      <c r="AD28" s="59" t="str">
        <f t="shared" ca="1" si="3"/>
        <v/>
      </c>
      <c r="AE28" s="59" t="str">
        <f t="shared" ca="1" si="3"/>
        <v/>
      </c>
      <c r="AF28" s="59" t="str">
        <f t="shared" ca="1" si="3"/>
        <v/>
      </c>
      <c r="AG28" s="59" t="str">
        <f t="shared" ca="1" si="3"/>
        <v/>
      </c>
      <c r="AH28" s="59" t="str">
        <f t="shared" ca="1" si="3"/>
        <v/>
      </c>
      <c r="AI28" s="59" t="str">
        <f t="shared" ca="1" si="3"/>
        <v>November</v>
      </c>
      <c r="AJ28" s="59" t="str">
        <f t="shared" ca="1" si="3"/>
        <v/>
      </c>
      <c r="AK28" s="59" t="str">
        <f t="shared" ca="1" si="3"/>
        <v/>
      </c>
      <c r="AL28" s="59" t="str">
        <f t="shared" ca="1" si="3"/>
        <v/>
      </c>
      <c r="AM28" s="59" t="str">
        <f t="shared" ca="1" si="3"/>
        <v/>
      </c>
      <c r="AN28" s="59" t="str">
        <f t="shared" ca="1" si="3"/>
        <v/>
      </c>
      <c r="AO28" s="59" t="str">
        <f t="shared" ca="1" si="3"/>
        <v/>
      </c>
      <c r="AP28" s="59" t="str">
        <f t="shared" ca="1" si="3"/>
        <v/>
      </c>
      <c r="AQ28" s="59" t="str">
        <f t="shared" ca="1" si="3"/>
        <v/>
      </c>
      <c r="AR28" s="59" t="str">
        <f t="shared" ca="1" si="3"/>
        <v/>
      </c>
      <c r="AS28" s="59" t="str">
        <f t="shared" ca="1" si="3"/>
        <v/>
      </c>
      <c r="AT28" s="59" t="str">
        <f t="shared" ca="1" si="3"/>
        <v/>
      </c>
      <c r="AU28" s="59" t="str">
        <f t="shared" ca="1" si="3"/>
        <v/>
      </c>
      <c r="AV28" s="59" t="str">
        <f t="shared" ca="1" si="3"/>
        <v/>
      </c>
      <c r="AW28" s="59" t="str">
        <f t="shared" ref="AW28:CB28" ca="1" si="4">IF(TEXT(AV29,"mmmm")=TEXT(AW29,"mmmm"),"",TEXT(AW29,"mmmm"))</f>
        <v/>
      </c>
      <c r="AX28" s="59" t="str">
        <f t="shared" ca="1" si="4"/>
        <v/>
      </c>
      <c r="AY28" s="59" t="str">
        <f t="shared" ca="1" si="4"/>
        <v/>
      </c>
      <c r="AZ28" s="59" t="str">
        <f t="shared" ca="1" si="4"/>
        <v/>
      </c>
      <c r="BA28" s="59" t="str">
        <f t="shared" ca="1" si="4"/>
        <v/>
      </c>
      <c r="BB28" s="59" t="str">
        <f t="shared" ca="1" si="4"/>
        <v/>
      </c>
      <c r="BC28" s="59" t="str">
        <f t="shared" ca="1" si="4"/>
        <v/>
      </c>
      <c r="BD28" s="59" t="str">
        <f t="shared" ca="1" si="4"/>
        <v/>
      </c>
      <c r="BE28" s="59" t="str">
        <f t="shared" ca="1" si="4"/>
        <v/>
      </c>
      <c r="BF28" s="59" t="str">
        <f t="shared" ca="1" si="4"/>
        <v/>
      </c>
      <c r="BG28" s="59" t="str">
        <f t="shared" ca="1" si="4"/>
        <v/>
      </c>
      <c r="BH28" s="59" t="str">
        <f t="shared" ca="1" si="4"/>
        <v/>
      </c>
      <c r="BI28" s="59" t="str">
        <f t="shared" ca="1" si="4"/>
        <v/>
      </c>
      <c r="BJ28" s="59" t="str">
        <f t="shared" ca="1" si="4"/>
        <v/>
      </c>
      <c r="BK28" s="59" t="str">
        <f t="shared" ca="1" si="4"/>
        <v/>
      </c>
      <c r="BL28" s="59" t="str">
        <f t="shared" ca="1" si="4"/>
        <v/>
      </c>
      <c r="BM28" s="59" t="str">
        <f t="shared" ca="1" si="4"/>
        <v>December</v>
      </c>
      <c r="BN28" s="59" t="str">
        <f t="shared" ca="1" si="4"/>
        <v/>
      </c>
      <c r="BO28" s="59" t="str">
        <f t="shared" ca="1" si="4"/>
        <v/>
      </c>
      <c r="BP28" s="59" t="str">
        <f t="shared" ca="1" si="4"/>
        <v/>
      </c>
      <c r="BQ28" s="59" t="str">
        <f t="shared" ca="1" si="4"/>
        <v/>
      </c>
      <c r="BR28" s="59" t="str">
        <f t="shared" ca="1" si="4"/>
        <v/>
      </c>
      <c r="BS28" s="59" t="str">
        <f t="shared" ca="1" si="4"/>
        <v/>
      </c>
      <c r="BT28" s="59" t="str">
        <f t="shared" ca="1" si="4"/>
        <v/>
      </c>
      <c r="BU28" s="59" t="str">
        <f t="shared" ca="1" si="4"/>
        <v/>
      </c>
      <c r="BV28" s="59" t="str">
        <f t="shared" ca="1" si="4"/>
        <v/>
      </c>
      <c r="BW28" s="59" t="str">
        <f t="shared" ca="1" si="4"/>
        <v/>
      </c>
      <c r="BX28" s="59" t="str">
        <f t="shared" ca="1" si="4"/>
        <v/>
      </c>
      <c r="BY28" s="59" t="str">
        <f t="shared" ca="1" si="4"/>
        <v/>
      </c>
      <c r="BZ28" s="59" t="str">
        <f t="shared" ca="1" si="4"/>
        <v/>
      </c>
      <c r="CA28" s="59" t="str">
        <f t="shared" ca="1" si="4"/>
        <v/>
      </c>
      <c r="CB28" s="59" t="str">
        <f t="shared" ca="1" si="4"/>
        <v/>
      </c>
      <c r="CC28" s="59" t="str">
        <f t="shared" ref="CC28:CU28" ca="1" si="5">IF(TEXT(CB29,"mmmm")=TEXT(CC29,"mmmm"),"",TEXT(CC29,"mmmm"))</f>
        <v/>
      </c>
      <c r="CD28" s="59" t="str">
        <f t="shared" ca="1" si="5"/>
        <v/>
      </c>
      <c r="CE28" s="59" t="str">
        <f t="shared" ca="1" si="5"/>
        <v/>
      </c>
      <c r="CF28" s="59" t="str">
        <f t="shared" ca="1" si="5"/>
        <v/>
      </c>
      <c r="CG28" s="59" t="str">
        <f t="shared" ca="1" si="5"/>
        <v/>
      </c>
      <c r="CH28" s="59" t="str">
        <f t="shared" ca="1" si="5"/>
        <v/>
      </c>
      <c r="CI28" s="59" t="str">
        <f t="shared" ca="1" si="5"/>
        <v/>
      </c>
      <c r="CJ28" s="59" t="str">
        <f t="shared" ca="1" si="5"/>
        <v/>
      </c>
      <c r="CK28" s="59" t="str">
        <f t="shared" ca="1" si="5"/>
        <v/>
      </c>
      <c r="CL28" s="59" t="str">
        <f t="shared" ca="1" si="5"/>
        <v/>
      </c>
      <c r="CM28" s="59" t="str">
        <f t="shared" ca="1" si="5"/>
        <v/>
      </c>
      <c r="CN28" s="59" t="str">
        <f t="shared" ca="1" si="5"/>
        <v/>
      </c>
      <c r="CO28" s="59" t="str">
        <f t="shared" ca="1" si="5"/>
        <v/>
      </c>
      <c r="CP28" s="59" t="str">
        <f t="shared" ca="1" si="5"/>
        <v/>
      </c>
      <c r="CQ28" s="59" t="str">
        <f t="shared" ca="1" si="5"/>
        <v/>
      </c>
      <c r="CR28" s="59" t="str">
        <f t="shared" ca="1" si="5"/>
        <v>January</v>
      </c>
      <c r="CS28" s="59" t="str">
        <f t="shared" ca="1" si="5"/>
        <v/>
      </c>
      <c r="CT28" s="59" t="str">
        <f t="shared" ca="1" si="5"/>
        <v/>
      </c>
      <c r="CU28" s="59" t="str">
        <f t="shared" ca="1" si="5"/>
        <v/>
      </c>
    </row>
    <row r="29" spans="1:125" s="56" customFormat="1" ht="34.5" customHeight="1" thickTop="1" x14ac:dyDescent="0.25">
      <c r="A29" s="316" t="s">
        <v>413</v>
      </c>
      <c r="B29" s="316" t="s">
        <v>414</v>
      </c>
      <c r="C29" s="316" t="s">
        <v>415</v>
      </c>
      <c r="D29" s="316" t="s">
        <v>416</v>
      </c>
      <c r="E29" s="316" t="s">
        <v>417</v>
      </c>
      <c r="F29" s="316" t="s">
        <v>299</v>
      </c>
      <c r="G29" s="337" t="s">
        <v>300</v>
      </c>
      <c r="H29" s="337" t="s">
        <v>418</v>
      </c>
      <c r="I29" s="316" t="s">
        <v>419</v>
      </c>
      <c r="J29" s="316" t="s">
        <v>420</v>
      </c>
      <c r="K29" s="338" t="s">
        <v>82</v>
      </c>
      <c r="L29" s="316" t="s">
        <v>421</v>
      </c>
      <c r="M29" s="316" t="s">
        <v>422</v>
      </c>
      <c r="N29" s="22" t="s">
        <v>426</v>
      </c>
      <c r="O29" s="22" t="s">
        <v>161</v>
      </c>
      <c r="P29" s="62">
        <f ca="1">IFERROR(Project_Start+Scrolling_Increment,TODAY())</f>
        <v>45212</v>
      </c>
      <c r="Q29" s="62">
        <f t="shared" ref="Q29:AV29" ca="1" si="6">+P29+1</f>
        <v>45213</v>
      </c>
      <c r="R29" s="62">
        <f t="shared" ca="1" si="6"/>
        <v>45214</v>
      </c>
      <c r="S29" s="62">
        <f t="shared" ca="1" si="6"/>
        <v>45215</v>
      </c>
      <c r="T29" s="62">
        <f t="shared" ca="1" si="6"/>
        <v>45216</v>
      </c>
      <c r="U29" s="62">
        <f t="shared" ca="1" si="6"/>
        <v>45217</v>
      </c>
      <c r="V29" s="62">
        <f t="shared" ca="1" si="6"/>
        <v>45218</v>
      </c>
      <c r="W29" s="62">
        <f t="shared" ca="1" si="6"/>
        <v>45219</v>
      </c>
      <c r="X29" s="62">
        <f t="shared" ca="1" si="6"/>
        <v>45220</v>
      </c>
      <c r="Y29" s="62">
        <f t="shared" ca="1" si="6"/>
        <v>45221</v>
      </c>
      <c r="Z29" s="62">
        <f t="shared" ca="1" si="6"/>
        <v>45222</v>
      </c>
      <c r="AA29" s="62">
        <f t="shared" ca="1" si="6"/>
        <v>45223</v>
      </c>
      <c r="AB29" s="62">
        <f t="shared" ca="1" si="6"/>
        <v>45224</v>
      </c>
      <c r="AC29" s="62">
        <f t="shared" ca="1" si="6"/>
        <v>45225</v>
      </c>
      <c r="AD29" s="62">
        <f t="shared" ca="1" si="6"/>
        <v>45226</v>
      </c>
      <c r="AE29" s="62">
        <f t="shared" ca="1" si="6"/>
        <v>45227</v>
      </c>
      <c r="AF29" s="62">
        <f t="shared" ca="1" si="6"/>
        <v>45228</v>
      </c>
      <c r="AG29" s="62">
        <f t="shared" ca="1" si="6"/>
        <v>45229</v>
      </c>
      <c r="AH29" s="62">
        <f t="shared" ca="1" si="6"/>
        <v>45230</v>
      </c>
      <c r="AI29" s="62">
        <f t="shared" ca="1" si="6"/>
        <v>45231</v>
      </c>
      <c r="AJ29" s="62">
        <f t="shared" ca="1" si="6"/>
        <v>45232</v>
      </c>
      <c r="AK29" s="62">
        <f t="shared" ca="1" si="6"/>
        <v>45233</v>
      </c>
      <c r="AL29" s="62">
        <f t="shared" ca="1" si="6"/>
        <v>45234</v>
      </c>
      <c r="AM29" s="62">
        <f t="shared" ca="1" si="6"/>
        <v>45235</v>
      </c>
      <c r="AN29" s="62">
        <f t="shared" ca="1" si="6"/>
        <v>45236</v>
      </c>
      <c r="AO29" s="62">
        <f t="shared" ca="1" si="6"/>
        <v>45237</v>
      </c>
      <c r="AP29" s="62">
        <f t="shared" ca="1" si="6"/>
        <v>45238</v>
      </c>
      <c r="AQ29" s="62">
        <f t="shared" ca="1" si="6"/>
        <v>45239</v>
      </c>
      <c r="AR29" s="62">
        <f t="shared" ca="1" si="6"/>
        <v>45240</v>
      </c>
      <c r="AS29" s="62">
        <f t="shared" ca="1" si="6"/>
        <v>45241</v>
      </c>
      <c r="AT29" s="62">
        <f t="shared" ca="1" si="6"/>
        <v>45242</v>
      </c>
      <c r="AU29" s="62">
        <f t="shared" ca="1" si="6"/>
        <v>45243</v>
      </c>
      <c r="AV29" s="62">
        <f t="shared" ca="1" si="6"/>
        <v>45244</v>
      </c>
      <c r="AW29" s="62">
        <f t="shared" ref="AW29:CB29" ca="1" si="7">+AV29+1</f>
        <v>45245</v>
      </c>
      <c r="AX29" s="62">
        <f t="shared" ca="1" si="7"/>
        <v>45246</v>
      </c>
      <c r="AY29" s="62">
        <f t="shared" ca="1" si="7"/>
        <v>45247</v>
      </c>
      <c r="AZ29" s="62">
        <f t="shared" ca="1" si="7"/>
        <v>45248</v>
      </c>
      <c r="BA29" s="62">
        <f t="shared" ca="1" si="7"/>
        <v>45249</v>
      </c>
      <c r="BB29" s="62">
        <f t="shared" ca="1" si="7"/>
        <v>45250</v>
      </c>
      <c r="BC29" s="62">
        <f t="shared" ca="1" si="7"/>
        <v>45251</v>
      </c>
      <c r="BD29" s="62">
        <f t="shared" ca="1" si="7"/>
        <v>45252</v>
      </c>
      <c r="BE29" s="62">
        <f t="shared" ca="1" si="7"/>
        <v>45253</v>
      </c>
      <c r="BF29" s="62">
        <f t="shared" ca="1" si="7"/>
        <v>45254</v>
      </c>
      <c r="BG29" s="62">
        <f t="shared" ca="1" si="7"/>
        <v>45255</v>
      </c>
      <c r="BH29" s="62">
        <f t="shared" ca="1" si="7"/>
        <v>45256</v>
      </c>
      <c r="BI29" s="62">
        <f t="shared" ca="1" si="7"/>
        <v>45257</v>
      </c>
      <c r="BJ29" s="62">
        <f t="shared" ca="1" si="7"/>
        <v>45258</v>
      </c>
      <c r="BK29" s="62">
        <f t="shared" ca="1" si="7"/>
        <v>45259</v>
      </c>
      <c r="BL29" s="62">
        <f t="shared" ca="1" si="7"/>
        <v>45260</v>
      </c>
      <c r="BM29" s="62">
        <f t="shared" ca="1" si="7"/>
        <v>45261</v>
      </c>
      <c r="BN29" s="62">
        <f t="shared" ca="1" si="7"/>
        <v>45262</v>
      </c>
      <c r="BO29" s="62">
        <f t="shared" ca="1" si="7"/>
        <v>45263</v>
      </c>
      <c r="BP29" s="62">
        <f t="shared" ca="1" si="7"/>
        <v>45264</v>
      </c>
      <c r="BQ29" s="62">
        <f t="shared" ca="1" si="7"/>
        <v>45265</v>
      </c>
      <c r="BR29" s="62">
        <f t="shared" ca="1" si="7"/>
        <v>45266</v>
      </c>
      <c r="BS29" s="62">
        <f t="shared" ca="1" si="7"/>
        <v>45267</v>
      </c>
      <c r="BT29" s="62">
        <f t="shared" ca="1" si="7"/>
        <v>45268</v>
      </c>
      <c r="BU29" s="62">
        <f t="shared" ca="1" si="7"/>
        <v>45269</v>
      </c>
      <c r="BV29" s="62">
        <f t="shared" ca="1" si="7"/>
        <v>45270</v>
      </c>
      <c r="BW29" s="62">
        <f t="shared" ca="1" si="7"/>
        <v>45271</v>
      </c>
      <c r="BX29" s="62">
        <f t="shared" ca="1" si="7"/>
        <v>45272</v>
      </c>
      <c r="BY29" s="62">
        <f t="shared" ca="1" si="7"/>
        <v>45273</v>
      </c>
      <c r="BZ29" s="62">
        <f t="shared" ca="1" si="7"/>
        <v>45274</v>
      </c>
      <c r="CA29" s="62">
        <f t="shared" ca="1" si="7"/>
        <v>45275</v>
      </c>
      <c r="CB29" s="62">
        <f t="shared" ca="1" si="7"/>
        <v>45276</v>
      </c>
      <c r="CC29" s="62">
        <f t="shared" ref="CC29:CU29" ca="1" si="8">+CB29+1</f>
        <v>45277</v>
      </c>
      <c r="CD29" s="62">
        <f t="shared" ca="1" si="8"/>
        <v>45278</v>
      </c>
      <c r="CE29" s="62">
        <f t="shared" ca="1" si="8"/>
        <v>45279</v>
      </c>
      <c r="CF29" s="62">
        <f t="shared" ca="1" si="8"/>
        <v>45280</v>
      </c>
      <c r="CG29" s="62">
        <f t="shared" ca="1" si="8"/>
        <v>45281</v>
      </c>
      <c r="CH29" s="62">
        <f t="shared" ca="1" si="8"/>
        <v>45282</v>
      </c>
      <c r="CI29" s="62">
        <f t="shared" ca="1" si="8"/>
        <v>45283</v>
      </c>
      <c r="CJ29" s="62">
        <f t="shared" ca="1" si="8"/>
        <v>45284</v>
      </c>
      <c r="CK29" s="62">
        <f t="shared" ca="1" si="8"/>
        <v>45285</v>
      </c>
      <c r="CL29" s="62">
        <f t="shared" ca="1" si="8"/>
        <v>45286</v>
      </c>
      <c r="CM29" s="62">
        <f t="shared" ca="1" si="8"/>
        <v>45287</v>
      </c>
      <c r="CN29" s="62">
        <f t="shared" ca="1" si="8"/>
        <v>45288</v>
      </c>
      <c r="CO29" s="62">
        <f t="shared" ca="1" si="8"/>
        <v>45289</v>
      </c>
      <c r="CP29" s="62">
        <f t="shared" ca="1" si="8"/>
        <v>45290</v>
      </c>
      <c r="CQ29" s="62">
        <f t="shared" ca="1" si="8"/>
        <v>45291</v>
      </c>
      <c r="CR29" s="62">
        <f t="shared" ca="1" si="8"/>
        <v>45292</v>
      </c>
      <c r="CS29" s="62">
        <f t="shared" ca="1" si="8"/>
        <v>45293</v>
      </c>
      <c r="CT29" s="62">
        <f t="shared" ca="1" si="8"/>
        <v>45294</v>
      </c>
      <c r="CU29" s="62">
        <f t="shared" ca="1" si="8"/>
        <v>45295</v>
      </c>
    </row>
    <row r="30" spans="1:125" s="42" customFormat="1" ht="20.100000000000001" customHeight="1" x14ac:dyDescent="0.25">
      <c r="A30" t="s">
        <v>428</v>
      </c>
      <c r="B30">
        <v>5</v>
      </c>
      <c r="C30" t="s">
        <v>309</v>
      </c>
      <c r="D30" t="s">
        <v>310</v>
      </c>
      <c r="E30" t="s">
        <v>309</v>
      </c>
      <c r="F30">
        <v>0</v>
      </c>
      <c r="G30" s="14">
        <v>0</v>
      </c>
      <c r="H30" s="14">
        <v>0</v>
      </c>
      <c r="I30"/>
      <c r="J30">
        <v>0</v>
      </c>
      <c r="K30" s="303"/>
      <c r="L30"/>
      <c r="M30" s="14"/>
      <c r="N30" s="352"/>
      <c r="O30" s="340"/>
      <c r="P30" s="37" t="str">
        <f ca="1">IFERROR(+IF(P$29=ProposalToGnatt[[#This Row],[Start Date]],Milestone_Marker,IF(AND(P$29&gt;ProposalToGnatt[[#This Row],[Start Date]],P$29&lt;ProposalToGnatt[[#This Row],[Start Date]]+ProposalToGnatt[[#This Row],[Days]]),$G$5,"")),"")</f>
        <v/>
      </c>
      <c r="Q30" s="37" t="str">
        <f ca="1">IFERROR(+IF(Q$29=ProposalToGnatt[[#This Row],[Start Date]],Milestone_Marker,IF(AND(Q$29&gt;ProposalToGnatt[[#This Row],[Start Date]],Q$29&lt;ProposalToGnatt[[#This Row],[Start Date]]+ProposalToGnatt[[#This Row],[Days]]),$G$5,"")),"")</f>
        <v/>
      </c>
      <c r="R30" s="37" t="str">
        <f ca="1">IFERROR(+IF(R$29=ProposalToGnatt[[#This Row],[Start Date]],Milestone_Marker,IF(AND(R$29&gt;ProposalToGnatt[[#This Row],[Start Date]],R$29&lt;ProposalToGnatt[[#This Row],[Start Date]]+ProposalToGnatt[[#This Row],[Days]]),$G$5,"")),"")</f>
        <v/>
      </c>
      <c r="S30" s="37" t="str">
        <f ca="1">IFERROR(+IF(S$29=ProposalToGnatt[[#This Row],[Start Date]],Milestone_Marker,IF(AND(S$29&gt;ProposalToGnatt[[#This Row],[Start Date]],S$29&lt;ProposalToGnatt[[#This Row],[Start Date]]+ProposalToGnatt[[#This Row],[Days]]),$G$5,"")),"")</f>
        <v/>
      </c>
      <c r="T30" s="37" t="str">
        <f ca="1">IFERROR(+IF(T$29=ProposalToGnatt[[#This Row],[Start Date]],Milestone_Marker,IF(AND(T$29&gt;ProposalToGnatt[[#This Row],[Start Date]],T$29&lt;ProposalToGnatt[[#This Row],[Start Date]]+ProposalToGnatt[[#This Row],[Days]]),$G$5,"")),"")</f>
        <v/>
      </c>
      <c r="U30" s="37" t="str">
        <f ca="1">IFERROR(+IF(U$29=ProposalToGnatt[[#This Row],[Start Date]],Milestone_Marker,IF(AND(U$29&gt;ProposalToGnatt[[#This Row],[Start Date]],U$29&lt;ProposalToGnatt[[#This Row],[Start Date]]+ProposalToGnatt[[#This Row],[Days]]),$G$5,"")),"")</f>
        <v/>
      </c>
      <c r="V30" s="37" t="str">
        <f ca="1">IFERROR(+IF(V$29=ProposalToGnatt[[#This Row],[Start Date]],Milestone_Marker,IF(AND(V$29&gt;ProposalToGnatt[[#This Row],[Start Date]],V$29&lt;ProposalToGnatt[[#This Row],[Start Date]]+ProposalToGnatt[[#This Row],[Days]]),$G$5,"")),"")</f>
        <v/>
      </c>
      <c r="W30" s="37" t="str">
        <f ca="1">IFERROR(+IF(W$29=ProposalToGnatt[[#This Row],[Start Date]],Milestone_Marker,IF(AND(W$29&gt;ProposalToGnatt[[#This Row],[Start Date]],W$29&lt;ProposalToGnatt[[#This Row],[Start Date]]+ProposalToGnatt[[#This Row],[Days]]),$G$5,"")),"")</f>
        <v/>
      </c>
      <c r="X30" s="37" t="str">
        <f ca="1">IFERROR(+IF(X$29=ProposalToGnatt[[#This Row],[Start Date]],Milestone_Marker,IF(AND(X$29&gt;ProposalToGnatt[[#This Row],[Start Date]],X$29&lt;ProposalToGnatt[[#This Row],[Start Date]]+ProposalToGnatt[[#This Row],[Days]]),$G$5,"")),"")</f>
        <v/>
      </c>
      <c r="Y30" s="37" t="str">
        <f ca="1">IFERROR(+IF(Y$29=ProposalToGnatt[[#This Row],[Start Date]],Milestone_Marker,IF(AND(Y$29&gt;ProposalToGnatt[[#This Row],[Start Date]],Y$29&lt;ProposalToGnatt[[#This Row],[Start Date]]+ProposalToGnatt[[#This Row],[Days]]),$G$5,"")),"")</f>
        <v/>
      </c>
      <c r="Z30" s="37" t="str">
        <f ca="1">IFERROR(+IF(Z$29=ProposalToGnatt[[#This Row],[Start Date]],Milestone_Marker,IF(AND(Z$29&gt;ProposalToGnatt[[#This Row],[Start Date]],Z$29&lt;ProposalToGnatt[[#This Row],[Start Date]]+ProposalToGnatt[[#This Row],[Days]]),$G$5,"")),"")</f>
        <v/>
      </c>
      <c r="AA30" s="37" t="str">
        <f ca="1">IFERROR(+IF(AA$29=ProposalToGnatt[[#This Row],[Start Date]],Milestone_Marker,IF(AND(AA$29&gt;ProposalToGnatt[[#This Row],[Start Date]],AA$29&lt;ProposalToGnatt[[#This Row],[Start Date]]+ProposalToGnatt[[#This Row],[Days]]),$G$5,"")),"")</f>
        <v/>
      </c>
      <c r="AB30" s="37" t="str">
        <f ca="1">IFERROR(+IF(AB$29=ProposalToGnatt[[#This Row],[Start Date]],Milestone_Marker,IF(AND(AB$29&gt;ProposalToGnatt[[#This Row],[Start Date]],AB$29&lt;ProposalToGnatt[[#This Row],[Start Date]]+ProposalToGnatt[[#This Row],[Days]]),$G$5,"")),"")</f>
        <v/>
      </c>
      <c r="AC30" s="37" t="str">
        <f ca="1">IFERROR(+IF(AC$29=ProposalToGnatt[[#This Row],[Start Date]],Milestone_Marker,IF(AND(AC$29&gt;ProposalToGnatt[[#This Row],[Start Date]],AC$29&lt;ProposalToGnatt[[#This Row],[Start Date]]+ProposalToGnatt[[#This Row],[Days]]),$G$5,"")),"")</f>
        <v/>
      </c>
      <c r="AD30" s="37" t="str">
        <f ca="1">IFERROR(+IF(AD$29=ProposalToGnatt[[#This Row],[Start Date]],Milestone_Marker,IF(AND(AD$29&gt;ProposalToGnatt[[#This Row],[Start Date]],AD$29&lt;ProposalToGnatt[[#This Row],[Start Date]]+ProposalToGnatt[[#This Row],[Days]]),$G$5,"")),"")</f>
        <v/>
      </c>
      <c r="AE30" s="37" t="str">
        <f ca="1">IFERROR(+IF(AE$29=ProposalToGnatt[[#This Row],[Start Date]],Milestone_Marker,IF(AND(AE$29&gt;ProposalToGnatt[[#This Row],[Start Date]],AE$29&lt;ProposalToGnatt[[#This Row],[Start Date]]+ProposalToGnatt[[#This Row],[Days]]),$G$5,"")),"")</f>
        <v/>
      </c>
      <c r="AF30" s="37" t="str">
        <f ca="1">IFERROR(+IF(AF$29=ProposalToGnatt[[#This Row],[Start Date]],Milestone_Marker,IF(AND(AF$29&gt;ProposalToGnatt[[#This Row],[Start Date]],AF$29&lt;ProposalToGnatt[[#This Row],[Start Date]]+ProposalToGnatt[[#This Row],[Days]]),$G$5,"")),"")</f>
        <v/>
      </c>
      <c r="AG30" s="37" t="str">
        <f ca="1">IFERROR(+IF(AG$29=ProposalToGnatt[[#This Row],[Start Date]],Milestone_Marker,IF(AND(AG$29&gt;ProposalToGnatt[[#This Row],[Start Date]],AG$29&lt;ProposalToGnatt[[#This Row],[Start Date]]+ProposalToGnatt[[#This Row],[Days]]),$G$5,"")),"")</f>
        <v/>
      </c>
      <c r="AH30" s="37" t="str">
        <f ca="1">IFERROR(+IF(AH$29=ProposalToGnatt[[#This Row],[Start Date]],Milestone_Marker,IF(AND(AH$29&gt;ProposalToGnatt[[#This Row],[Start Date]],AH$29&lt;ProposalToGnatt[[#This Row],[Start Date]]+ProposalToGnatt[[#This Row],[Days]]),$G$5,"")),"")</f>
        <v/>
      </c>
      <c r="AI30" s="37" t="str">
        <f ca="1">IFERROR(+IF(AI$29=ProposalToGnatt[[#This Row],[Start Date]],Milestone_Marker,IF(AND(AI$29&gt;ProposalToGnatt[[#This Row],[Start Date]],AI$29&lt;ProposalToGnatt[[#This Row],[Start Date]]+ProposalToGnatt[[#This Row],[Days]]),$G$5,"")),"")</f>
        <v/>
      </c>
      <c r="AJ30" s="37" t="str">
        <f ca="1">IFERROR(+IF(AJ$29=ProposalToGnatt[[#This Row],[Start Date]],Milestone_Marker,IF(AND(AJ$29&gt;ProposalToGnatt[[#This Row],[Start Date]],AJ$29&lt;ProposalToGnatt[[#This Row],[Start Date]]+ProposalToGnatt[[#This Row],[Days]]),$G$5,"")),"")</f>
        <v/>
      </c>
      <c r="AK30" s="37" t="str">
        <f ca="1">IFERROR(+IF(AK$29=ProposalToGnatt[[#This Row],[Start Date]],Milestone_Marker,IF(AND(AK$29&gt;ProposalToGnatt[[#This Row],[Start Date]],AK$29&lt;ProposalToGnatt[[#This Row],[Start Date]]+ProposalToGnatt[[#This Row],[Days]]),$G$5,"")),"")</f>
        <v/>
      </c>
      <c r="AL30" s="37" t="str">
        <f ca="1">IFERROR(+IF(AL$29=ProposalToGnatt[[#This Row],[Start Date]],Milestone_Marker,IF(AND(AL$29&gt;ProposalToGnatt[[#This Row],[Start Date]],AL$29&lt;ProposalToGnatt[[#This Row],[Start Date]]+ProposalToGnatt[[#This Row],[Days]]),$G$5,"")),"")</f>
        <v/>
      </c>
      <c r="AM30" s="37" t="str">
        <f ca="1">IFERROR(+IF(AM$29=ProposalToGnatt[[#This Row],[Start Date]],Milestone_Marker,IF(AND(AM$29&gt;ProposalToGnatt[[#This Row],[Start Date]],AM$29&lt;ProposalToGnatt[[#This Row],[Start Date]]+ProposalToGnatt[[#This Row],[Days]]),$G$5,"")),"")</f>
        <v/>
      </c>
      <c r="AN30" s="37" t="str">
        <f ca="1">IFERROR(+IF(AN$29=ProposalToGnatt[[#This Row],[Start Date]],Milestone_Marker,IF(AND(AN$29&gt;ProposalToGnatt[[#This Row],[Start Date]],AN$29&lt;ProposalToGnatt[[#This Row],[Start Date]]+ProposalToGnatt[[#This Row],[Days]]),$G$5,"")),"")</f>
        <v/>
      </c>
      <c r="AO30" s="37" t="str">
        <f ca="1">IFERROR(+IF(AO$29=ProposalToGnatt[[#This Row],[Start Date]],Milestone_Marker,IF(AND(AO$29&gt;ProposalToGnatt[[#This Row],[Start Date]],AO$29&lt;ProposalToGnatt[[#This Row],[Start Date]]+ProposalToGnatt[[#This Row],[Days]]),$G$5,"")),"")</f>
        <v/>
      </c>
      <c r="AP30" s="37" t="str">
        <f ca="1">IFERROR(+IF(AP$29=ProposalToGnatt[[#This Row],[Start Date]],Milestone_Marker,IF(AND(AP$29&gt;ProposalToGnatt[[#This Row],[Start Date]],AP$29&lt;ProposalToGnatt[[#This Row],[Start Date]]+ProposalToGnatt[[#This Row],[Days]]),$G$5,"")),"")</f>
        <v/>
      </c>
      <c r="AQ30" s="37" t="str">
        <f ca="1">IFERROR(+IF(AQ$29=ProposalToGnatt[[#This Row],[Start Date]],Milestone_Marker,IF(AND(AQ$29&gt;ProposalToGnatt[[#This Row],[Start Date]],AQ$29&lt;ProposalToGnatt[[#This Row],[Start Date]]+ProposalToGnatt[[#This Row],[Days]]),$G$5,"")),"")</f>
        <v/>
      </c>
      <c r="AR30" s="37" t="str">
        <f ca="1">IFERROR(+IF(AR$29=ProposalToGnatt[[#This Row],[Start Date]],Milestone_Marker,IF(AND(AR$29&gt;ProposalToGnatt[[#This Row],[Start Date]],AR$29&lt;ProposalToGnatt[[#This Row],[Start Date]]+ProposalToGnatt[[#This Row],[Days]]),$G$5,"")),"")</f>
        <v/>
      </c>
      <c r="AS30" s="37" t="str">
        <f ca="1">IFERROR(+IF(AS$29=ProposalToGnatt[[#This Row],[Start Date]],Milestone_Marker,IF(AND(AS$29&gt;ProposalToGnatt[[#This Row],[Start Date]],AS$29&lt;ProposalToGnatt[[#This Row],[Start Date]]+ProposalToGnatt[[#This Row],[Days]]),$G$5,"")),"")</f>
        <v/>
      </c>
      <c r="AT30" s="37" t="str">
        <f ca="1">IFERROR(+IF(AT$29=ProposalToGnatt[[#This Row],[Start Date]],Milestone_Marker,IF(AND(AT$29&gt;ProposalToGnatt[[#This Row],[Start Date]],AT$29&lt;ProposalToGnatt[[#This Row],[Start Date]]+ProposalToGnatt[[#This Row],[Days]]),$G$5,"")),"")</f>
        <v/>
      </c>
      <c r="AU30" s="37" t="str">
        <f ca="1">IFERROR(+IF(AU$29=ProposalToGnatt[[#This Row],[Start Date]],Milestone_Marker,IF(AND(AU$29&gt;ProposalToGnatt[[#This Row],[Start Date]],AU$29&lt;ProposalToGnatt[[#This Row],[Start Date]]+ProposalToGnatt[[#This Row],[Days]]),$G$5,"")),"")</f>
        <v/>
      </c>
      <c r="AV30" s="37" t="str">
        <f ca="1">IFERROR(+IF(AV$29=ProposalToGnatt[[#This Row],[Start Date]],Milestone_Marker,IF(AND(AV$29&gt;ProposalToGnatt[[#This Row],[Start Date]],AV$29&lt;ProposalToGnatt[[#This Row],[Start Date]]+ProposalToGnatt[[#This Row],[Days]]),$G$5,"")),"")</f>
        <v/>
      </c>
      <c r="AW30" s="37" t="str">
        <f ca="1">IFERROR(+IF(AW$29=ProposalToGnatt[[#This Row],[Start Date]],Milestone_Marker,IF(AND(AW$29&gt;ProposalToGnatt[[#This Row],[Start Date]],AW$29&lt;ProposalToGnatt[[#This Row],[Start Date]]+ProposalToGnatt[[#This Row],[Days]]),$G$5,"")),"")</f>
        <v/>
      </c>
      <c r="AX30" s="37" t="str">
        <f ca="1">IFERROR(+IF(AX$29=ProposalToGnatt[[#This Row],[Start Date]],Milestone_Marker,IF(AND(AX$29&gt;ProposalToGnatt[[#This Row],[Start Date]],AX$29&lt;ProposalToGnatt[[#This Row],[Start Date]]+ProposalToGnatt[[#This Row],[Days]]),$G$5,"")),"")</f>
        <v/>
      </c>
      <c r="AY30" s="37" t="str">
        <f ca="1">IFERROR(+IF(AY$29=ProposalToGnatt[[#This Row],[Start Date]],Milestone_Marker,IF(AND(AY$29&gt;ProposalToGnatt[[#This Row],[Start Date]],AY$29&lt;ProposalToGnatt[[#This Row],[Start Date]]+ProposalToGnatt[[#This Row],[Days]]),$G$5,"")),"")</f>
        <v/>
      </c>
      <c r="AZ30" s="37" t="str">
        <f ca="1">IFERROR(+IF(AZ$29=ProposalToGnatt[[#This Row],[Start Date]],Milestone_Marker,IF(AND(AZ$29&gt;ProposalToGnatt[[#This Row],[Start Date]],AZ$29&lt;ProposalToGnatt[[#This Row],[Start Date]]+ProposalToGnatt[[#This Row],[Days]]),$G$5,"")),"")</f>
        <v/>
      </c>
      <c r="BA30" s="37" t="str">
        <f ca="1">IFERROR(+IF(BA$29=ProposalToGnatt[[#This Row],[Start Date]],Milestone_Marker,IF(AND(BA$29&gt;ProposalToGnatt[[#This Row],[Start Date]],BA$29&lt;ProposalToGnatt[[#This Row],[Start Date]]+ProposalToGnatt[[#This Row],[Days]]),$G$5,"")),"")</f>
        <v/>
      </c>
      <c r="BB30" s="37" t="str">
        <f ca="1">IFERROR(+IF(BB$29=ProposalToGnatt[[#This Row],[Start Date]],Milestone_Marker,IF(AND(BB$29&gt;ProposalToGnatt[[#This Row],[Start Date]],BB$29&lt;ProposalToGnatt[[#This Row],[Start Date]]+ProposalToGnatt[[#This Row],[Days]]),$G$5,"")),"")</f>
        <v/>
      </c>
      <c r="BC30" s="37" t="str">
        <f ca="1">IFERROR(+IF(BC$29=ProposalToGnatt[[#This Row],[Start Date]],Milestone_Marker,IF(AND(BC$29&gt;ProposalToGnatt[[#This Row],[Start Date]],BC$29&lt;ProposalToGnatt[[#This Row],[Start Date]]+ProposalToGnatt[[#This Row],[Days]]),$G$5,"")),"")</f>
        <v/>
      </c>
      <c r="BD30" s="37" t="str">
        <f ca="1">IFERROR(+IF(BD$29=ProposalToGnatt[[#This Row],[Start Date]],Milestone_Marker,IF(AND(BD$29&gt;ProposalToGnatt[[#This Row],[Start Date]],BD$29&lt;ProposalToGnatt[[#This Row],[Start Date]]+ProposalToGnatt[[#This Row],[Days]]),$G$5,"")),"")</f>
        <v/>
      </c>
      <c r="BE30" s="37" t="str">
        <f ca="1">IFERROR(+IF(BE$29=ProposalToGnatt[[#This Row],[Start Date]],Milestone_Marker,IF(AND(BE$29&gt;ProposalToGnatt[[#This Row],[Start Date]],BE$29&lt;ProposalToGnatt[[#This Row],[Start Date]]+ProposalToGnatt[[#This Row],[Days]]),$G$5,"")),"")</f>
        <v/>
      </c>
      <c r="BF30" s="37" t="str">
        <f ca="1">IFERROR(+IF(BF$29=ProposalToGnatt[[#This Row],[Start Date]],Milestone_Marker,IF(AND(BF$29&gt;ProposalToGnatt[[#This Row],[Start Date]],BF$29&lt;ProposalToGnatt[[#This Row],[Start Date]]+ProposalToGnatt[[#This Row],[Days]]),$G$5,"")),"")</f>
        <v/>
      </c>
      <c r="BG30" s="37" t="str">
        <f ca="1">IFERROR(+IF(BG$29=ProposalToGnatt[[#This Row],[Start Date]],Milestone_Marker,IF(AND(BG$29&gt;ProposalToGnatt[[#This Row],[Start Date]],BG$29&lt;ProposalToGnatt[[#This Row],[Start Date]]+ProposalToGnatt[[#This Row],[Days]]),$G$5,"")),"")</f>
        <v/>
      </c>
      <c r="BH30" s="37" t="str">
        <f ca="1">IFERROR(+IF(BH$29=ProposalToGnatt[[#This Row],[Start Date]],Milestone_Marker,IF(AND(BH$29&gt;ProposalToGnatt[[#This Row],[Start Date]],BH$29&lt;ProposalToGnatt[[#This Row],[Start Date]]+ProposalToGnatt[[#This Row],[Days]]),$G$5,"")),"")</f>
        <v/>
      </c>
      <c r="BI30" s="37" t="str">
        <f ca="1">IFERROR(+IF(BI$29=ProposalToGnatt[[#This Row],[Start Date]],Milestone_Marker,IF(AND(BI$29&gt;ProposalToGnatt[[#This Row],[Start Date]],BI$29&lt;ProposalToGnatt[[#This Row],[Start Date]]+ProposalToGnatt[[#This Row],[Days]]),$G$5,"")),"")</f>
        <v/>
      </c>
      <c r="BJ30" s="37" t="str">
        <f ca="1">IFERROR(+IF(BJ$29=ProposalToGnatt[[#This Row],[Start Date]],Milestone_Marker,IF(AND(BJ$29&gt;ProposalToGnatt[[#This Row],[Start Date]],BJ$29&lt;ProposalToGnatt[[#This Row],[Start Date]]+ProposalToGnatt[[#This Row],[Days]]),$G$5,"")),"")</f>
        <v/>
      </c>
      <c r="BK30" s="37" t="str">
        <f ca="1">IFERROR(+IF(BK$29=ProposalToGnatt[[#This Row],[Start Date]],Milestone_Marker,IF(AND(BK$29&gt;ProposalToGnatt[[#This Row],[Start Date]],BK$29&lt;ProposalToGnatt[[#This Row],[Start Date]]+ProposalToGnatt[[#This Row],[Days]]),$G$5,"")),"")</f>
        <v/>
      </c>
      <c r="BL30" s="37" t="str">
        <f ca="1">IFERROR(+IF(BL$29=ProposalToGnatt[[#This Row],[Start Date]],Milestone_Marker,IF(AND(BL$29&gt;ProposalToGnatt[[#This Row],[Start Date]],BL$29&lt;ProposalToGnatt[[#This Row],[Start Date]]+ProposalToGnatt[[#This Row],[Days]]),$G$5,"")),"")</f>
        <v/>
      </c>
      <c r="BM30" s="37" t="str">
        <f ca="1">IFERROR(+IF(BM$29=ProposalToGnatt[[#This Row],[Start Date]],Milestone_Marker,IF(AND(BM$29&gt;ProposalToGnatt[[#This Row],[Start Date]],BM$29&lt;ProposalToGnatt[[#This Row],[Start Date]]+ProposalToGnatt[[#This Row],[Days]]),$G$5,"")),"")</f>
        <v/>
      </c>
      <c r="BN30" s="37" t="str">
        <f ca="1">IFERROR(+IF(BN$29=ProposalToGnatt[[#This Row],[Start Date]],Milestone_Marker,IF(AND(BN$29&gt;ProposalToGnatt[[#This Row],[Start Date]],BN$29&lt;ProposalToGnatt[[#This Row],[Start Date]]+ProposalToGnatt[[#This Row],[Days]]),$G$5,"")),"")</f>
        <v/>
      </c>
      <c r="BO30" s="37" t="str">
        <f ca="1">IFERROR(+IF(BO$29=ProposalToGnatt[[#This Row],[Start Date]],Milestone_Marker,IF(AND(BO$29&gt;ProposalToGnatt[[#This Row],[Start Date]],BO$29&lt;ProposalToGnatt[[#This Row],[Start Date]]+ProposalToGnatt[[#This Row],[Days]]),$G$5,"")),"")</f>
        <v/>
      </c>
      <c r="BP30" s="37" t="str">
        <f ca="1">IFERROR(+IF(BP$29=ProposalToGnatt[[#This Row],[Start Date]],Milestone_Marker,IF(AND(BP$29&gt;ProposalToGnatt[[#This Row],[Start Date]],BP$29&lt;ProposalToGnatt[[#This Row],[Start Date]]+ProposalToGnatt[[#This Row],[Days]]),$G$5,"")),"")</f>
        <v/>
      </c>
      <c r="BQ30" s="37" t="str">
        <f ca="1">IFERROR(+IF(BQ$29=ProposalToGnatt[[#This Row],[Start Date]],Milestone_Marker,IF(AND(BQ$29&gt;ProposalToGnatt[[#This Row],[Start Date]],BQ$29&lt;ProposalToGnatt[[#This Row],[Start Date]]+ProposalToGnatt[[#This Row],[Days]]),$G$5,"")),"")</f>
        <v/>
      </c>
      <c r="BR30" s="37" t="str">
        <f ca="1">IFERROR(+IF(BR$29=ProposalToGnatt[[#This Row],[Start Date]],Milestone_Marker,IF(AND(BR$29&gt;ProposalToGnatt[[#This Row],[Start Date]],BR$29&lt;ProposalToGnatt[[#This Row],[Start Date]]+ProposalToGnatt[[#This Row],[Days]]),$G$5,"")),"")</f>
        <v/>
      </c>
      <c r="BS30" s="37" t="str">
        <f ca="1">IFERROR(+IF(BS$29=ProposalToGnatt[[#This Row],[Start Date]],Milestone_Marker,IF(AND(BS$29&gt;ProposalToGnatt[[#This Row],[Start Date]],BS$29&lt;ProposalToGnatt[[#This Row],[Start Date]]+ProposalToGnatt[[#This Row],[Days]]),$G$5,"")),"")</f>
        <v/>
      </c>
      <c r="BT30" s="37" t="str">
        <f ca="1">IFERROR(+IF(BT$29=ProposalToGnatt[[#This Row],[Start Date]],Milestone_Marker,IF(AND(BT$29&gt;ProposalToGnatt[[#This Row],[Start Date]],BT$29&lt;ProposalToGnatt[[#This Row],[Start Date]]+ProposalToGnatt[[#This Row],[Days]]),$G$5,"")),"")</f>
        <v/>
      </c>
      <c r="BU30" s="37" t="str">
        <f ca="1">IFERROR(+IF(BU$29=ProposalToGnatt[[#This Row],[Start Date]],Milestone_Marker,IF(AND(BU$29&gt;ProposalToGnatt[[#This Row],[Start Date]],BU$29&lt;ProposalToGnatt[[#This Row],[Start Date]]+ProposalToGnatt[[#This Row],[Days]]),$G$5,"")),"")</f>
        <v/>
      </c>
      <c r="BV30" s="37" t="str">
        <f ca="1">IFERROR(+IF(BV$29=ProposalToGnatt[[#This Row],[Start Date]],Milestone_Marker,IF(AND(BV$29&gt;ProposalToGnatt[[#This Row],[Start Date]],BV$29&lt;ProposalToGnatt[[#This Row],[Start Date]]+ProposalToGnatt[[#This Row],[Days]]),$G$5,"")),"")</f>
        <v/>
      </c>
      <c r="BW30" s="37" t="str">
        <f ca="1">IFERROR(+IF(BW$29=ProposalToGnatt[[#This Row],[Start Date]],Milestone_Marker,IF(AND(BW$29&gt;ProposalToGnatt[[#This Row],[Start Date]],BW$29&lt;ProposalToGnatt[[#This Row],[Start Date]]+ProposalToGnatt[[#This Row],[Days]]),$G$5,"")),"")</f>
        <v/>
      </c>
      <c r="BX30" s="37" t="str">
        <f ca="1">IFERROR(+IF(BX$29=ProposalToGnatt[[#This Row],[Start Date]],Milestone_Marker,IF(AND(BX$29&gt;ProposalToGnatt[[#This Row],[Start Date]],BX$29&lt;ProposalToGnatt[[#This Row],[Start Date]]+ProposalToGnatt[[#This Row],[Days]]),$G$5,"")),"")</f>
        <v/>
      </c>
      <c r="BY30" s="37" t="str">
        <f ca="1">IFERROR(+IF(BY$29=ProposalToGnatt[[#This Row],[Start Date]],Milestone_Marker,IF(AND(BY$29&gt;ProposalToGnatt[[#This Row],[Start Date]],BY$29&lt;ProposalToGnatt[[#This Row],[Start Date]]+ProposalToGnatt[[#This Row],[Days]]),$G$5,"")),"")</f>
        <v/>
      </c>
      <c r="BZ30" s="37" t="str">
        <f ca="1">IFERROR(+IF(BZ$29=ProposalToGnatt[[#This Row],[Start Date]],Milestone_Marker,IF(AND(BZ$29&gt;ProposalToGnatt[[#This Row],[Start Date]],BZ$29&lt;ProposalToGnatt[[#This Row],[Start Date]]+ProposalToGnatt[[#This Row],[Days]]),$G$5,"")),"")</f>
        <v/>
      </c>
      <c r="CA30" s="37" t="str">
        <f ca="1">IFERROR(+IF(CA$29=ProposalToGnatt[[#This Row],[Start Date]],Milestone_Marker,IF(AND(CA$29&gt;ProposalToGnatt[[#This Row],[Start Date]],CA$29&lt;ProposalToGnatt[[#This Row],[Start Date]]+ProposalToGnatt[[#This Row],[Days]]),$G$5,"")),"")</f>
        <v/>
      </c>
      <c r="CB30" s="37" t="str">
        <f ca="1">IFERROR(+IF(CB$29=ProposalToGnatt[[#This Row],[Start Date]],Milestone_Marker,IF(AND(CB$29&gt;ProposalToGnatt[[#This Row],[Start Date]],CB$29&lt;ProposalToGnatt[[#This Row],[Start Date]]+ProposalToGnatt[[#This Row],[Days]]),$G$5,"")),"")</f>
        <v/>
      </c>
      <c r="CC30" s="37" t="str">
        <f ca="1">IFERROR(+IF(CC$29=ProposalToGnatt[[#This Row],[Start Date]],Milestone_Marker,IF(AND(CC$29&gt;ProposalToGnatt[[#This Row],[Start Date]],CC$29&lt;ProposalToGnatt[[#This Row],[Start Date]]+ProposalToGnatt[[#This Row],[Days]]),$G$5,"")),"")</f>
        <v/>
      </c>
      <c r="CD30" s="37" t="str">
        <f ca="1">IFERROR(+IF(CD$29=ProposalToGnatt[[#This Row],[Start Date]],Milestone_Marker,IF(AND(CD$29&gt;ProposalToGnatt[[#This Row],[Start Date]],CD$29&lt;ProposalToGnatt[[#This Row],[Start Date]]+ProposalToGnatt[[#This Row],[Days]]),$G$5,"")),"")</f>
        <v/>
      </c>
      <c r="CE30" s="37" t="str">
        <f ca="1">IFERROR(+IF(CE$29=ProposalToGnatt[[#This Row],[Start Date]],Milestone_Marker,IF(AND(CE$29&gt;ProposalToGnatt[[#This Row],[Start Date]],CE$29&lt;ProposalToGnatt[[#This Row],[Start Date]]+ProposalToGnatt[[#This Row],[Days]]),$G$5,"")),"")</f>
        <v/>
      </c>
      <c r="CF30" s="37" t="str">
        <f ca="1">IFERROR(+IF(CF$29=ProposalToGnatt[[#This Row],[Start Date]],Milestone_Marker,IF(AND(CF$29&gt;ProposalToGnatt[[#This Row],[Start Date]],CF$29&lt;ProposalToGnatt[[#This Row],[Start Date]]+ProposalToGnatt[[#This Row],[Days]]),$G$5,"")),"")</f>
        <v/>
      </c>
      <c r="CG30" s="37" t="str">
        <f ca="1">IFERROR(+IF(CG$29=ProposalToGnatt[[#This Row],[Start Date]],Milestone_Marker,IF(AND(CG$29&gt;ProposalToGnatt[[#This Row],[Start Date]],CG$29&lt;ProposalToGnatt[[#This Row],[Start Date]]+ProposalToGnatt[[#This Row],[Days]]),$G$5,"")),"")</f>
        <v/>
      </c>
      <c r="CH30" s="37" t="str">
        <f ca="1">IFERROR(+IF(CH$29=ProposalToGnatt[[#This Row],[Start Date]],Milestone_Marker,IF(AND(CH$29&gt;ProposalToGnatt[[#This Row],[Start Date]],CH$29&lt;ProposalToGnatt[[#This Row],[Start Date]]+ProposalToGnatt[[#This Row],[Days]]),$G$5,"")),"")</f>
        <v/>
      </c>
      <c r="CI30" s="37" t="str">
        <f ca="1">IFERROR(+IF(CI$29=ProposalToGnatt[[#This Row],[Start Date]],Milestone_Marker,IF(AND(CI$29&gt;ProposalToGnatt[[#This Row],[Start Date]],CI$29&lt;ProposalToGnatt[[#This Row],[Start Date]]+ProposalToGnatt[[#This Row],[Days]]),$G$5,"")),"")</f>
        <v/>
      </c>
      <c r="CJ30" s="37" t="str">
        <f ca="1">IFERROR(+IF(CJ$29=ProposalToGnatt[[#This Row],[Start Date]],Milestone_Marker,IF(AND(CJ$29&gt;ProposalToGnatt[[#This Row],[Start Date]],CJ$29&lt;ProposalToGnatt[[#This Row],[Start Date]]+ProposalToGnatt[[#This Row],[Days]]),$G$5,"")),"")</f>
        <v/>
      </c>
      <c r="CK30" s="37" t="str">
        <f ca="1">IFERROR(+IF(CK$29=ProposalToGnatt[[#This Row],[Start Date]],Milestone_Marker,IF(AND(CK$29&gt;ProposalToGnatt[[#This Row],[Start Date]],CK$29&lt;ProposalToGnatt[[#This Row],[Start Date]]+ProposalToGnatt[[#This Row],[Days]]),$G$5,"")),"")</f>
        <v/>
      </c>
      <c r="CL30" s="37" t="str">
        <f ca="1">IFERROR(+IF(CL$29=ProposalToGnatt[[#This Row],[Start Date]],Milestone_Marker,IF(AND(CL$29&gt;ProposalToGnatt[[#This Row],[Start Date]],CL$29&lt;ProposalToGnatt[[#This Row],[Start Date]]+ProposalToGnatt[[#This Row],[Days]]),$G$5,"")),"")</f>
        <v/>
      </c>
      <c r="CM30" s="37" t="str">
        <f ca="1">IFERROR(+IF(CM$29=ProposalToGnatt[[#This Row],[Start Date]],Milestone_Marker,IF(AND(CM$29&gt;ProposalToGnatt[[#This Row],[Start Date]],CM$29&lt;ProposalToGnatt[[#This Row],[Start Date]]+ProposalToGnatt[[#This Row],[Days]]),$G$5,"")),"")</f>
        <v/>
      </c>
      <c r="CN30" s="37" t="str">
        <f ca="1">IFERROR(+IF(CN$29=ProposalToGnatt[[#This Row],[Start Date]],Milestone_Marker,IF(AND(CN$29&gt;ProposalToGnatt[[#This Row],[Start Date]],CN$29&lt;ProposalToGnatt[[#This Row],[Start Date]]+ProposalToGnatt[[#This Row],[Days]]),$G$5,"")),"")</f>
        <v/>
      </c>
      <c r="CO30" s="37" t="str">
        <f ca="1">IFERROR(+IF(CO$29=ProposalToGnatt[[#This Row],[Start Date]],Milestone_Marker,IF(AND(CO$29&gt;ProposalToGnatt[[#This Row],[Start Date]],CO$29&lt;ProposalToGnatt[[#This Row],[Start Date]]+ProposalToGnatt[[#This Row],[Days]]),$G$5,"")),"")</f>
        <v/>
      </c>
      <c r="CP30" s="37" t="str">
        <f ca="1">IFERROR(+IF(CP$29=ProposalToGnatt[[#This Row],[Start Date]],Milestone_Marker,IF(AND(CP$29&gt;ProposalToGnatt[[#This Row],[Start Date]],CP$29&lt;ProposalToGnatt[[#This Row],[Start Date]]+ProposalToGnatt[[#This Row],[Days]]),$G$5,"")),"")</f>
        <v/>
      </c>
      <c r="CQ30" s="37" t="str">
        <f ca="1">IFERROR(+IF(CQ$29=ProposalToGnatt[[#This Row],[Start Date]],Milestone_Marker,IF(AND(CQ$29&gt;ProposalToGnatt[[#This Row],[Start Date]],CQ$29&lt;ProposalToGnatt[[#This Row],[Start Date]]+ProposalToGnatt[[#This Row],[Days]]),$G$5,"")),"")</f>
        <v/>
      </c>
      <c r="CR30" s="37" t="str">
        <f ca="1">IFERROR(+IF(CR$29=ProposalToGnatt[[#This Row],[Start Date]],Milestone_Marker,IF(AND(CR$29&gt;ProposalToGnatt[[#This Row],[Start Date]],CR$29&lt;ProposalToGnatt[[#This Row],[Start Date]]+ProposalToGnatt[[#This Row],[Days]]),$G$5,"")),"")</f>
        <v/>
      </c>
      <c r="CS30" s="37" t="str">
        <f ca="1">IFERROR(+IF(CS$29=ProposalToGnatt[[#This Row],[Start Date]],Milestone_Marker,IF(AND(CS$29&gt;ProposalToGnatt[[#This Row],[Start Date]],CS$29&lt;ProposalToGnatt[[#This Row],[Start Date]]+ProposalToGnatt[[#This Row],[Days]]),$G$5,"")),"")</f>
        <v/>
      </c>
      <c r="CT30" s="37" t="str">
        <f ca="1">IFERROR(+IF(CT$29=ProposalToGnatt[[#This Row],[Start Date]],Milestone_Marker,IF(AND(CT$29&gt;ProposalToGnatt[[#This Row],[Start Date]],CT$29&lt;ProposalToGnatt[[#This Row],[Start Date]]+ProposalToGnatt[[#This Row],[Days]]),$G$5,"")),"")</f>
        <v/>
      </c>
      <c r="CU30" s="37" t="str">
        <f ca="1">IFERROR(+IF(CU$29=ProposalToGnatt[[#This Row],[Start Date]],Milestone_Marker,IF(AND(CU$29&gt;ProposalToGnatt[[#This Row],[Start Date]],CU$29&lt;ProposalToGnatt[[#This Row],[Start Date]]+ProposalToGnatt[[#This Row],[Days]]),$G$5,"")),"")</f>
        <v/>
      </c>
      <c r="CV30" s="37"/>
      <c r="CW30" s="37"/>
      <c r="CX30" s="37"/>
      <c r="CY30" s="37"/>
      <c r="CZ30" s="37"/>
      <c r="DA30" s="37"/>
      <c r="DB30" s="37"/>
      <c r="DC30" s="37"/>
      <c r="DD30" s="37"/>
      <c r="DE30" s="37"/>
      <c r="DF30" s="37"/>
      <c r="DG30" s="37"/>
      <c r="DH30" s="37"/>
      <c r="DI30" s="37"/>
      <c r="DJ30" s="37"/>
      <c r="DK30" s="37"/>
      <c r="DL30" s="37"/>
      <c r="DM30" s="37"/>
      <c r="DN30" s="37"/>
      <c r="DO30" s="37"/>
      <c r="DP30" s="37"/>
      <c r="DQ30" s="37"/>
      <c r="DR30" s="37"/>
      <c r="DS30" s="37"/>
      <c r="DT30" s="37"/>
      <c r="DU30" s="37"/>
    </row>
    <row r="31" spans="1:125" s="42" customFormat="1" ht="20.100000000000001" customHeight="1" x14ac:dyDescent="0.25">
      <c r="A31" t="s">
        <v>428</v>
      </c>
      <c r="B31">
        <v>6</v>
      </c>
      <c r="C31" t="s">
        <v>311</v>
      </c>
      <c r="D31" t="s">
        <v>310</v>
      </c>
      <c r="E31" t="s">
        <v>312</v>
      </c>
      <c r="F31">
        <v>0</v>
      </c>
      <c r="G31" s="14">
        <v>0</v>
      </c>
      <c r="H31" s="14">
        <v>0</v>
      </c>
      <c r="I31"/>
      <c r="J31">
        <v>0</v>
      </c>
      <c r="K31" s="303"/>
      <c r="L31">
        <v>5</v>
      </c>
      <c r="M31" s="14"/>
      <c r="N31" s="352"/>
      <c r="O31" s="340"/>
      <c r="P31" s="37" t="str">
        <f ca="1">IFERROR(+IF(P$29=ProposalToGnatt[[#This Row],[Start Date]],Milestone_Marker,IF(AND(P$29&gt;ProposalToGnatt[[#This Row],[Start Date]],P$29&lt;ProposalToGnatt[[#This Row],[Start Date]]+ProposalToGnatt[[#This Row],[Days]]),$G$5,"")),"")</f>
        <v/>
      </c>
      <c r="Q31" s="37" t="str">
        <f ca="1">IFERROR(+IF(Q$29=ProposalToGnatt[[#This Row],[Start Date]],Milestone_Marker,IF(AND(Q$29&gt;ProposalToGnatt[[#This Row],[Start Date]],Q$29&lt;ProposalToGnatt[[#This Row],[Start Date]]+ProposalToGnatt[[#This Row],[Days]]),$G$5,"")),"")</f>
        <v/>
      </c>
      <c r="R31" s="37" t="str">
        <f ca="1">IFERROR(+IF(R$29=ProposalToGnatt[[#This Row],[Start Date]],Milestone_Marker,IF(AND(R$29&gt;ProposalToGnatt[[#This Row],[Start Date]],R$29&lt;ProposalToGnatt[[#This Row],[Start Date]]+ProposalToGnatt[[#This Row],[Days]]),$G$5,"")),"")</f>
        <v/>
      </c>
      <c r="S31" s="37" t="str">
        <f ca="1">IFERROR(+IF(S$29=ProposalToGnatt[[#This Row],[Start Date]],Milestone_Marker,IF(AND(S$29&gt;ProposalToGnatt[[#This Row],[Start Date]],S$29&lt;ProposalToGnatt[[#This Row],[Start Date]]+ProposalToGnatt[[#This Row],[Days]]),$G$5,"")),"")</f>
        <v/>
      </c>
      <c r="T31" s="37" t="str">
        <f ca="1">IFERROR(+IF(T$29=ProposalToGnatt[[#This Row],[Start Date]],Milestone_Marker,IF(AND(T$29&gt;ProposalToGnatt[[#This Row],[Start Date]],T$29&lt;ProposalToGnatt[[#This Row],[Start Date]]+ProposalToGnatt[[#This Row],[Days]]),$G$5,"")),"")</f>
        <v/>
      </c>
      <c r="U31" s="37" t="str">
        <f ca="1">IFERROR(+IF(U$29=ProposalToGnatt[[#This Row],[Start Date]],Milestone_Marker,IF(AND(U$29&gt;ProposalToGnatt[[#This Row],[Start Date]],U$29&lt;ProposalToGnatt[[#This Row],[Start Date]]+ProposalToGnatt[[#This Row],[Days]]),$G$5,"")),"")</f>
        <v/>
      </c>
      <c r="V31" s="37" t="str">
        <f ca="1">IFERROR(+IF(V$29=ProposalToGnatt[[#This Row],[Start Date]],Milestone_Marker,IF(AND(V$29&gt;ProposalToGnatt[[#This Row],[Start Date]],V$29&lt;ProposalToGnatt[[#This Row],[Start Date]]+ProposalToGnatt[[#This Row],[Days]]),$G$5,"")),"")</f>
        <v/>
      </c>
      <c r="W31" s="37" t="str">
        <f ca="1">IFERROR(+IF(W$29=ProposalToGnatt[[#This Row],[Start Date]],Milestone_Marker,IF(AND(W$29&gt;ProposalToGnatt[[#This Row],[Start Date]],W$29&lt;ProposalToGnatt[[#This Row],[Start Date]]+ProposalToGnatt[[#This Row],[Days]]),$G$5,"")),"")</f>
        <v/>
      </c>
      <c r="X31" s="37" t="str">
        <f ca="1">IFERROR(+IF(X$29=ProposalToGnatt[[#This Row],[Start Date]],Milestone_Marker,IF(AND(X$29&gt;ProposalToGnatt[[#This Row],[Start Date]],X$29&lt;ProposalToGnatt[[#This Row],[Start Date]]+ProposalToGnatt[[#This Row],[Days]]),$G$5,"")),"")</f>
        <v/>
      </c>
      <c r="Y31" s="37" t="str">
        <f ca="1">IFERROR(+IF(Y$29=ProposalToGnatt[[#This Row],[Start Date]],Milestone_Marker,IF(AND(Y$29&gt;ProposalToGnatt[[#This Row],[Start Date]],Y$29&lt;ProposalToGnatt[[#This Row],[Start Date]]+ProposalToGnatt[[#This Row],[Days]]),$G$5,"")),"")</f>
        <v/>
      </c>
      <c r="Z31" s="37" t="str">
        <f ca="1">IFERROR(+IF(Z$29=ProposalToGnatt[[#This Row],[Start Date]],Milestone_Marker,IF(AND(Z$29&gt;ProposalToGnatt[[#This Row],[Start Date]],Z$29&lt;ProposalToGnatt[[#This Row],[Start Date]]+ProposalToGnatt[[#This Row],[Days]]),$G$5,"")),"")</f>
        <v/>
      </c>
      <c r="AA31" s="37" t="str">
        <f ca="1">IFERROR(+IF(AA$29=ProposalToGnatt[[#This Row],[Start Date]],Milestone_Marker,IF(AND(AA$29&gt;ProposalToGnatt[[#This Row],[Start Date]],AA$29&lt;ProposalToGnatt[[#This Row],[Start Date]]+ProposalToGnatt[[#This Row],[Days]]),$G$5,"")),"")</f>
        <v/>
      </c>
      <c r="AB31" s="37" t="str">
        <f ca="1">IFERROR(+IF(AB$29=ProposalToGnatt[[#This Row],[Start Date]],Milestone_Marker,IF(AND(AB$29&gt;ProposalToGnatt[[#This Row],[Start Date]],AB$29&lt;ProposalToGnatt[[#This Row],[Start Date]]+ProposalToGnatt[[#This Row],[Days]]),$G$5,"")),"")</f>
        <v/>
      </c>
      <c r="AC31" s="37" t="str">
        <f ca="1">IFERROR(+IF(AC$29=ProposalToGnatt[[#This Row],[Start Date]],Milestone_Marker,IF(AND(AC$29&gt;ProposalToGnatt[[#This Row],[Start Date]],AC$29&lt;ProposalToGnatt[[#This Row],[Start Date]]+ProposalToGnatt[[#This Row],[Days]]),$G$5,"")),"")</f>
        <v/>
      </c>
      <c r="AD31" s="37" t="str">
        <f ca="1">IFERROR(+IF(AD$29=ProposalToGnatt[[#This Row],[Start Date]],Milestone_Marker,IF(AND(AD$29&gt;ProposalToGnatt[[#This Row],[Start Date]],AD$29&lt;ProposalToGnatt[[#This Row],[Start Date]]+ProposalToGnatt[[#This Row],[Days]]),$G$5,"")),"")</f>
        <v/>
      </c>
      <c r="AE31" s="37" t="str">
        <f ca="1">IFERROR(+IF(AE$29=ProposalToGnatt[[#This Row],[Start Date]],Milestone_Marker,IF(AND(AE$29&gt;ProposalToGnatt[[#This Row],[Start Date]],AE$29&lt;ProposalToGnatt[[#This Row],[Start Date]]+ProposalToGnatt[[#This Row],[Days]]),$G$5,"")),"")</f>
        <v/>
      </c>
      <c r="AF31" s="37" t="str">
        <f ca="1">IFERROR(+IF(AF$29=ProposalToGnatt[[#This Row],[Start Date]],Milestone_Marker,IF(AND(AF$29&gt;ProposalToGnatt[[#This Row],[Start Date]],AF$29&lt;ProposalToGnatt[[#This Row],[Start Date]]+ProposalToGnatt[[#This Row],[Days]]),$G$5,"")),"")</f>
        <v/>
      </c>
      <c r="AG31" s="37" t="str">
        <f ca="1">IFERROR(+IF(AG$29=ProposalToGnatt[[#This Row],[Start Date]],Milestone_Marker,IF(AND(AG$29&gt;ProposalToGnatt[[#This Row],[Start Date]],AG$29&lt;ProposalToGnatt[[#This Row],[Start Date]]+ProposalToGnatt[[#This Row],[Days]]),$G$5,"")),"")</f>
        <v/>
      </c>
      <c r="AH31" s="37" t="str">
        <f ca="1">IFERROR(+IF(AH$29=ProposalToGnatt[[#This Row],[Start Date]],Milestone_Marker,IF(AND(AH$29&gt;ProposalToGnatt[[#This Row],[Start Date]],AH$29&lt;ProposalToGnatt[[#This Row],[Start Date]]+ProposalToGnatt[[#This Row],[Days]]),$G$5,"")),"")</f>
        <v/>
      </c>
      <c r="AI31" s="37" t="str">
        <f ca="1">IFERROR(+IF(AI$29=ProposalToGnatt[[#This Row],[Start Date]],Milestone_Marker,IF(AND(AI$29&gt;ProposalToGnatt[[#This Row],[Start Date]],AI$29&lt;ProposalToGnatt[[#This Row],[Start Date]]+ProposalToGnatt[[#This Row],[Days]]),$G$5,"")),"")</f>
        <v/>
      </c>
      <c r="AJ31" s="37" t="str">
        <f ca="1">IFERROR(+IF(AJ$29=ProposalToGnatt[[#This Row],[Start Date]],Milestone_Marker,IF(AND(AJ$29&gt;ProposalToGnatt[[#This Row],[Start Date]],AJ$29&lt;ProposalToGnatt[[#This Row],[Start Date]]+ProposalToGnatt[[#This Row],[Days]]),$G$5,"")),"")</f>
        <v/>
      </c>
      <c r="AK31" s="37" t="str">
        <f ca="1">IFERROR(+IF(AK$29=ProposalToGnatt[[#This Row],[Start Date]],Milestone_Marker,IF(AND(AK$29&gt;ProposalToGnatt[[#This Row],[Start Date]],AK$29&lt;ProposalToGnatt[[#This Row],[Start Date]]+ProposalToGnatt[[#This Row],[Days]]),$G$5,"")),"")</f>
        <v/>
      </c>
      <c r="AL31" s="37" t="str">
        <f ca="1">IFERROR(+IF(AL$29=ProposalToGnatt[[#This Row],[Start Date]],Milestone_Marker,IF(AND(AL$29&gt;ProposalToGnatt[[#This Row],[Start Date]],AL$29&lt;ProposalToGnatt[[#This Row],[Start Date]]+ProposalToGnatt[[#This Row],[Days]]),$G$5,"")),"")</f>
        <v/>
      </c>
      <c r="AM31" s="37" t="str">
        <f ca="1">IFERROR(+IF(AM$29=ProposalToGnatt[[#This Row],[Start Date]],Milestone_Marker,IF(AND(AM$29&gt;ProposalToGnatt[[#This Row],[Start Date]],AM$29&lt;ProposalToGnatt[[#This Row],[Start Date]]+ProposalToGnatt[[#This Row],[Days]]),$G$5,"")),"")</f>
        <v/>
      </c>
      <c r="AN31" s="37" t="str">
        <f ca="1">IFERROR(+IF(AN$29=ProposalToGnatt[[#This Row],[Start Date]],Milestone_Marker,IF(AND(AN$29&gt;ProposalToGnatt[[#This Row],[Start Date]],AN$29&lt;ProposalToGnatt[[#This Row],[Start Date]]+ProposalToGnatt[[#This Row],[Days]]),$G$5,"")),"")</f>
        <v/>
      </c>
      <c r="AO31" s="37" t="str">
        <f ca="1">IFERROR(+IF(AO$29=ProposalToGnatt[[#This Row],[Start Date]],Milestone_Marker,IF(AND(AO$29&gt;ProposalToGnatt[[#This Row],[Start Date]],AO$29&lt;ProposalToGnatt[[#This Row],[Start Date]]+ProposalToGnatt[[#This Row],[Days]]),$G$5,"")),"")</f>
        <v/>
      </c>
      <c r="AP31" s="37" t="str">
        <f ca="1">IFERROR(+IF(AP$29=ProposalToGnatt[[#This Row],[Start Date]],Milestone_Marker,IF(AND(AP$29&gt;ProposalToGnatt[[#This Row],[Start Date]],AP$29&lt;ProposalToGnatt[[#This Row],[Start Date]]+ProposalToGnatt[[#This Row],[Days]]),$G$5,"")),"")</f>
        <v/>
      </c>
      <c r="AQ31" s="37" t="str">
        <f ca="1">IFERROR(+IF(AQ$29=ProposalToGnatt[[#This Row],[Start Date]],Milestone_Marker,IF(AND(AQ$29&gt;ProposalToGnatt[[#This Row],[Start Date]],AQ$29&lt;ProposalToGnatt[[#This Row],[Start Date]]+ProposalToGnatt[[#This Row],[Days]]),$G$5,"")),"")</f>
        <v/>
      </c>
      <c r="AR31" s="37" t="str">
        <f ca="1">IFERROR(+IF(AR$29=ProposalToGnatt[[#This Row],[Start Date]],Milestone_Marker,IF(AND(AR$29&gt;ProposalToGnatt[[#This Row],[Start Date]],AR$29&lt;ProposalToGnatt[[#This Row],[Start Date]]+ProposalToGnatt[[#This Row],[Days]]),$G$5,"")),"")</f>
        <v/>
      </c>
      <c r="AS31" s="37" t="str">
        <f ca="1">IFERROR(+IF(AS$29=ProposalToGnatt[[#This Row],[Start Date]],Milestone_Marker,IF(AND(AS$29&gt;ProposalToGnatt[[#This Row],[Start Date]],AS$29&lt;ProposalToGnatt[[#This Row],[Start Date]]+ProposalToGnatt[[#This Row],[Days]]),$G$5,"")),"")</f>
        <v/>
      </c>
      <c r="AT31" s="37" t="str">
        <f ca="1">IFERROR(+IF(AT$29=ProposalToGnatt[[#This Row],[Start Date]],Milestone_Marker,IF(AND(AT$29&gt;ProposalToGnatt[[#This Row],[Start Date]],AT$29&lt;ProposalToGnatt[[#This Row],[Start Date]]+ProposalToGnatt[[#This Row],[Days]]),$G$5,"")),"")</f>
        <v/>
      </c>
      <c r="AU31" s="37" t="str">
        <f ca="1">IFERROR(+IF(AU$29=ProposalToGnatt[[#This Row],[Start Date]],Milestone_Marker,IF(AND(AU$29&gt;ProposalToGnatt[[#This Row],[Start Date]],AU$29&lt;ProposalToGnatt[[#This Row],[Start Date]]+ProposalToGnatt[[#This Row],[Days]]),$G$5,"")),"")</f>
        <v/>
      </c>
      <c r="AV31" s="37" t="str">
        <f ca="1">IFERROR(+IF(AV$29=ProposalToGnatt[[#This Row],[Start Date]],Milestone_Marker,IF(AND(AV$29&gt;ProposalToGnatt[[#This Row],[Start Date]],AV$29&lt;ProposalToGnatt[[#This Row],[Start Date]]+ProposalToGnatt[[#This Row],[Days]]),$G$5,"")),"")</f>
        <v/>
      </c>
      <c r="AW31" s="37" t="str">
        <f ca="1">IFERROR(+IF(AW$29=ProposalToGnatt[[#This Row],[Start Date]],Milestone_Marker,IF(AND(AW$29&gt;ProposalToGnatt[[#This Row],[Start Date]],AW$29&lt;ProposalToGnatt[[#This Row],[Start Date]]+ProposalToGnatt[[#This Row],[Days]]),$G$5,"")),"")</f>
        <v/>
      </c>
      <c r="AX31" s="37" t="str">
        <f ca="1">IFERROR(+IF(AX$29=ProposalToGnatt[[#This Row],[Start Date]],Milestone_Marker,IF(AND(AX$29&gt;ProposalToGnatt[[#This Row],[Start Date]],AX$29&lt;ProposalToGnatt[[#This Row],[Start Date]]+ProposalToGnatt[[#This Row],[Days]]),$G$5,"")),"")</f>
        <v/>
      </c>
      <c r="AY31" s="37" t="str">
        <f ca="1">IFERROR(+IF(AY$29=ProposalToGnatt[[#This Row],[Start Date]],Milestone_Marker,IF(AND(AY$29&gt;ProposalToGnatt[[#This Row],[Start Date]],AY$29&lt;ProposalToGnatt[[#This Row],[Start Date]]+ProposalToGnatt[[#This Row],[Days]]),$G$5,"")),"")</f>
        <v/>
      </c>
      <c r="AZ31" s="37" t="str">
        <f ca="1">IFERROR(+IF(AZ$29=ProposalToGnatt[[#This Row],[Start Date]],Milestone_Marker,IF(AND(AZ$29&gt;ProposalToGnatt[[#This Row],[Start Date]],AZ$29&lt;ProposalToGnatt[[#This Row],[Start Date]]+ProposalToGnatt[[#This Row],[Days]]),$G$5,"")),"")</f>
        <v/>
      </c>
      <c r="BA31" s="37" t="str">
        <f ca="1">IFERROR(+IF(BA$29=ProposalToGnatt[[#This Row],[Start Date]],Milestone_Marker,IF(AND(BA$29&gt;ProposalToGnatt[[#This Row],[Start Date]],BA$29&lt;ProposalToGnatt[[#This Row],[Start Date]]+ProposalToGnatt[[#This Row],[Days]]),$G$5,"")),"")</f>
        <v/>
      </c>
      <c r="BB31" s="37" t="str">
        <f ca="1">IFERROR(+IF(BB$29=ProposalToGnatt[[#This Row],[Start Date]],Milestone_Marker,IF(AND(BB$29&gt;ProposalToGnatt[[#This Row],[Start Date]],BB$29&lt;ProposalToGnatt[[#This Row],[Start Date]]+ProposalToGnatt[[#This Row],[Days]]),$G$5,"")),"")</f>
        <v/>
      </c>
      <c r="BC31" s="37" t="str">
        <f ca="1">IFERROR(+IF(BC$29=ProposalToGnatt[[#This Row],[Start Date]],Milestone_Marker,IF(AND(BC$29&gt;ProposalToGnatt[[#This Row],[Start Date]],BC$29&lt;ProposalToGnatt[[#This Row],[Start Date]]+ProposalToGnatt[[#This Row],[Days]]),$G$5,"")),"")</f>
        <v/>
      </c>
      <c r="BD31" s="37" t="str">
        <f ca="1">IFERROR(+IF(BD$29=ProposalToGnatt[[#This Row],[Start Date]],Milestone_Marker,IF(AND(BD$29&gt;ProposalToGnatt[[#This Row],[Start Date]],BD$29&lt;ProposalToGnatt[[#This Row],[Start Date]]+ProposalToGnatt[[#This Row],[Days]]),$G$5,"")),"")</f>
        <v/>
      </c>
      <c r="BE31" s="37" t="str">
        <f ca="1">IFERROR(+IF(BE$29=ProposalToGnatt[[#This Row],[Start Date]],Milestone_Marker,IF(AND(BE$29&gt;ProposalToGnatt[[#This Row],[Start Date]],BE$29&lt;ProposalToGnatt[[#This Row],[Start Date]]+ProposalToGnatt[[#This Row],[Days]]),$G$5,"")),"")</f>
        <v/>
      </c>
      <c r="BF31" s="37" t="str">
        <f ca="1">IFERROR(+IF(BF$29=ProposalToGnatt[[#This Row],[Start Date]],Milestone_Marker,IF(AND(BF$29&gt;ProposalToGnatt[[#This Row],[Start Date]],BF$29&lt;ProposalToGnatt[[#This Row],[Start Date]]+ProposalToGnatt[[#This Row],[Days]]),$G$5,"")),"")</f>
        <v/>
      </c>
      <c r="BG31" s="37" t="str">
        <f ca="1">IFERROR(+IF(BG$29=ProposalToGnatt[[#This Row],[Start Date]],Milestone_Marker,IF(AND(BG$29&gt;ProposalToGnatt[[#This Row],[Start Date]],BG$29&lt;ProposalToGnatt[[#This Row],[Start Date]]+ProposalToGnatt[[#This Row],[Days]]),$G$5,"")),"")</f>
        <v/>
      </c>
      <c r="BH31" s="37" t="str">
        <f ca="1">IFERROR(+IF(BH$29=ProposalToGnatt[[#This Row],[Start Date]],Milestone_Marker,IF(AND(BH$29&gt;ProposalToGnatt[[#This Row],[Start Date]],BH$29&lt;ProposalToGnatt[[#This Row],[Start Date]]+ProposalToGnatt[[#This Row],[Days]]),$G$5,"")),"")</f>
        <v/>
      </c>
      <c r="BI31" s="37" t="str">
        <f ca="1">IFERROR(+IF(BI$29=ProposalToGnatt[[#This Row],[Start Date]],Milestone_Marker,IF(AND(BI$29&gt;ProposalToGnatt[[#This Row],[Start Date]],BI$29&lt;ProposalToGnatt[[#This Row],[Start Date]]+ProposalToGnatt[[#This Row],[Days]]),$G$5,"")),"")</f>
        <v/>
      </c>
      <c r="BJ31" s="37" t="str">
        <f ca="1">IFERROR(+IF(BJ$29=ProposalToGnatt[[#This Row],[Start Date]],Milestone_Marker,IF(AND(BJ$29&gt;ProposalToGnatt[[#This Row],[Start Date]],BJ$29&lt;ProposalToGnatt[[#This Row],[Start Date]]+ProposalToGnatt[[#This Row],[Days]]),$G$5,"")),"")</f>
        <v/>
      </c>
      <c r="BK31" s="37" t="str">
        <f ca="1">IFERROR(+IF(BK$29=ProposalToGnatt[[#This Row],[Start Date]],Milestone_Marker,IF(AND(BK$29&gt;ProposalToGnatt[[#This Row],[Start Date]],BK$29&lt;ProposalToGnatt[[#This Row],[Start Date]]+ProposalToGnatt[[#This Row],[Days]]),$G$5,"")),"")</f>
        <v/>
      </c>
      <c r="BL31" s="37" t="str">
        <f ca="1">IFERROR(+IF(BL$29=ProposalToGnatt[[#This Row],[Start Date]],Milestone_Marker,IF(AND(BL$29&gt;ProposalToGnatt[[#This Row],[Start Date]],BL$29&lt;ProposalToGnatt[[#This Row],[Start Date]]+ProposalToGnatt[[#This Row],[Days]]),$G$5,"")),"")</f>
        <v/>
      </c>
      <c r="BM31" s="37" t="str">
        <f ca="1">IFERROR(+IF(BM$29=ProposalToGnatt[[#This Row],[Start Date]],Milestone_Marker,IF(AND(BM$29&gt;ProposalToGnatt[[#This Row],[Start Date]],BM$29&lt;ProposalToGnatt[[#This Row],[Start Date]]+ProposalToGnatt[[#This Row],[Days]]),$G$5,"")),"")</f>
        <v/>
      </c>
      <c r="BN31" s="37" t="str">
        <f ca="1">IFERROR(+IF(BN$29=ProposalToGnatt[[#This Row],[Start Date]],Milestone_Marker,IF(AND(BN$29&gt;ProposalToGnatt[[#This Row],[Start Date]],BN$29&lt;ProposalToGnatt[[#This Row],[Start Date]]+ProposalToGnatt[[#This Row],[Days]]),$G$5,"")),"")</f>
        <v/>
      </c>
      <c r="BO31" s="37" t="str">
        <f ca="1">IFERROR(+IF(BO$29=ProposalToGnatt[[#This Row],[Start Date]],Milestone_Marker,IF(AND(BO$29&gt;ProposalToGnatt[[#This Row],[Start Date]],BO$29&lt;ProposalToGnatt[[#This Row],[Start Date]]+ProposalToGnatt[[#This Row],[Days]]),$G$5,"")),"")</f>
        <v/>
      </c>
      <c r="BP31" s="37" t="str">
        <f ca="1">IFERROR(+IF(BP$29=ProposalToGnatt[[#This Row],[Start Date]],Milestone_Marker,IF(AND(BP$29&gt;ProposalToGnatt[[#This Row],[Start Date]],BP$29&lt;ProposalToGnatt[[#This Row],[Start Date]]+ProposalToGnatt[[#This Row],[Days]]),$G$5,"")),"")</f>
        <v/>
      </c>
      <c r="BQ31" s="37" t="str">
        <f ca="1">IFERROR(+IF(BQ$29=ProposalToGnatt[[#This Row],[Start Date]],Milestone_Marker,IF(AND(BQ$29&gt;ProposalToGnatt[[#This Row],[Start Date]],BQ$29&lt;ProposalToGnatt[[#This Row],[Start Date]]+ProposalToGnatt[[#This Row],[Days]]),$G$5,"")),"")</f>
        <v/>
      </c>
      <c r="BR31" s="37" t="str">
        <f ca="1">IFERROR(+IF(BR$29=ProposalToGnatt[[#This Row],[Start Date]],Milestone_Marker,IF(AND(BR$29&gt;ProposalToGnatt[[#This Row],[Start Date]],BR$29&lt;ProposalToGnatt[[#This Row],[Start Date]]+ProposalToGnatt[[#This Row],[Days]]),$G$5,"")),"")</f>
        <v/>
      </c>
      <c r="BS31" s="37" t="str">
        <f ca="1">IFERROR(+IF(BS$29=ProposalToGnatt[[#This Row],[Start Date]],Milestone_Marker,IF(AND(BS$29&gt;ProposalToGnatt[[#This Row],[Start Date]],BS$29&lt;ProposalToGnatt[[#This Row],[Start Date]]+ProposalToGnatt[[#This Row],[Days]]),$G$5,"")),"")</f>
        <v/>
      </c>
      <c r="BT31" s="37" t="str">
        <f ca="1">IFERROR(+IF(BT$29=ProposalToGnatt[[#This Row],[Start Date]],Milestone_Marker,IF(AND(BT$29&gt;ProposalToGnatt[[#This Row],[Start Date]],BT$29&lt;ProposalToGnatt[[#This Row],[Start Date]]+ProposalToGnatt[[#This Row],[Days]]),$G$5,"")),"")</f>
        <v/>
      </c>
      <c r="BU31" s="37" t="str">
        <f ca="1">IFERROR(+IF(BU$29=ProposalToGnatt[[#This Row],[Start Date]],Milestone_Marker,IF(AND(BU$29&gt;ProposalToGnatt[[#This Row],[Start Date]],BU$29&lt;ProposalToGnatt[[#This Row],[Start Date]]+ProposalToGnatt[[#This Row],[Days]]),$G$5,"")),"")</f>
        <v/>
      </c>
      <c r="BV31" s="37" t="str">
        <f ca="1">IFERROR(+IF(BV$29=ProposalToGnatt[[#This Row],[Start Date]],Milestone_Marker,IF(AND(BV$29&gt;ProposalToGnatt[[#This Row],[Start Date]],BV$29&lt;ProposalToGnatt[[#This Row],[Start Date]]+ProposalToGnatt[[#This Row],[Days]]),$G$5,"")),"")</f>
        <v/>
      </c>
      <c r="BW31" s="37" t="str">
        <f ca="1">IFERROR(+IF(BW$29=ProposalToGnatt[[#This Row],[Start Date]],Milestone_Marker,IF(AND(BW$29&gt;ProposalToGnatt[[#This Row],[Start Date]],BW$29&lt;ProposalToGnatt[[#This Row],[Start Date]]+ProposalToGnatt[[#This Row],[Days]]),$G$5,"")),"")</f>
        <v/>
      </c>
      <c r="BX31" s="37" t="str">
        <f ca="1">IFERROR(+IF(BX$29=ProposalToGnatt[[#This Row],[Start Date]],Milestone_Marker,IF(AND(BX$29&gt;ProposalToGnatt[[#This Row],[Start Date]],BX$29&lt;ProposalToGnatt[[#This Row],[Start Date]]+ProposalToGnatt[[#This Row],[Days]]),$G$5,"")),"")</f>
        <v/>
      </c>
      <c r="BY31" s="37" t="str">
        <f ca="1">IFERROR(+IF(BY$29=ProposalToGnatt[[#This Row],[Start Date]],Milestone_Marker,IF(AND(BY$29&gt;ProposalToGnatt[[#This Row],[Start Date]],BY$29&lt;ProposalToGnatt[[#This Row],[Start Date]]+ProposalToGnatt[[#This Row],[Days]]),$G$5,"")),"")</f>
        <v/>
      </c>
      <c r="BZ31" s="37" t="str">
        <f ca="1">IFERROR(+IF(BZ$29=ProposalToGnatt[[#This Row],[Start Date]],Milestone_Marker,IF(AND(BZ$29&gt;ProposalToGnatt[[#This Row],[Start Date]],BZ$29&lt;ProposalToGnatt[[#This Row],[Start Date]]+ProposalToGnatt[[#This Row],[Days]]),$G$5,"")),"")</f>
        <v/>
      </c>
      <c r="CA31" s="37" t="str">
        <f ca="1">IFERROR(+IF(CA$29=ProposalToGnatt[[#This Row],[Start Date]],Milestone_Marker,IF(AND(CA$29&gt;ProposalToGnatt[[#This Row],[Start Date]],CA$29&lt;ProposalToGnatt[[#This Row],[Start Date]]+ProposalToGnatt[[#This Row],[Days]]),$G$5,"")),"")</f>
        <v/>
      </c>
      <c r="CB31" s="37" t="str">
        <f ca="1">IFERROR(+IF(CB$29=ProposalToGnatt[[#This Row],[Start Date]],Milestone_Marker,IF(AND(CB$29&gt;ProposalToGnatt[[#This Row],[Start Date]],CB$29&lt;ProposalToGnatt[[#This Row],[Start Date]]+ProposalToGnatt[[#This Row],[Days]]),$G$5,"")),"")</f>
        <v/>
      </c>
      <c r="CC31" s="37" t="str">
        <f ca="1">IFERROR(+IF(CC$29=ProposalToGnatt[[#This Row],[Start Date]],Milestone_Marker,IF(AND(CC$29&gt;ProposalToGnatt[[#This Row],[Start Date]],CC$29&lt;ProposalToGnatt[[#This Row],[Start Date]]+ProposalToGnatt[[#This Row],[Days]]),$G$5,"")),"")</f>
        <v/>
      </c>
      <c r="CD31" s="37" t="str">
        <f ca="1">IFERROR(+IF(CD$29=ProposalToGnatt[[#This Row],[Start Date]],Milestone_Marker,IF(AND(CD$29&gt;ProposalToGnatt[[#This Row],[Start Date]],CD$29&lt;ProposalToGnatt[[#This Row],[Start Date]]+ProposalToGnatt[[#This Row],[Days]]),$G$5,"")),"")</f>
        <v/>
      </c>
      <c r="CE31" s="37" t="str">
        <f ca="1">IFERROR(+IF(CE$29=ProposalToGnatt[[#This Row],[Start Date]],Milestone_Marker,IF(AND(CE$29&gt;ProposalToGnatt[[#This Row],[Start Date]],CE$29&lt;ProposalToGnatt[[#This Row],[Start Date]]+ProposalToGnatt[[#This Row],[Days]]),$G$5,"")),"")</f>
        <v/>
      </c>
      <c r="CF31" s="37" t="str">
        <f ca="1">IFERROR(+IF(CF$29=ProposalToGnatt[[#This Row],[Start Date]],Milestone_Marker,IF(AND(CF$29&gt;ProposalToGnatt[[#This Row],[Start Date]],CF$29&lt;ProposalToGnatt[[#This Row],[Start Date]]+ProposalToGnatt[[#This Row],[Days]]),$G$5,"")),"")</f>
        <v/>
      </c>
      <c r="CG31" s="37" t="str">
        <f ca="1">IFERROR(+IF(CG$29=ProposalToGnatt[[#This Row],[Start Date]],Milestone_Marker,IF(AND(CG$29&gt;ProposalToGnatt[[#This Row],[Start Date]],CG$29&lt;ProposalToGnatt[[#This Row],[Start Date]]+ProposalToGnatt[[#This Row],[Days]]),$G$5,"")),"")</f>
        <v/>
      </c>
      <c r="CH31" s="37" t="str">
        <f ca="1">IFERROR(+IF(CH$29=ProposalToGnatt[[#This Row],[Start Date]],Milestone_Marker,IF(AND(CH$29&gt;ProposalToGnatt[[#This Row],[Start Date]],CH$29&lt;ProposalToGnatt[[#This Row],[Start Date]]+ProposalToGnatt[[#This Row],[Days]]),$G$5,"")),"")</f>
        <v/>
      </c>
      <c r="CI31" s="37" t="str">
        <f ca="1">IFERROR(+IF(CI$29=ProposalToGnatt[[#This Row],[Start Date]],Milestone_Marker,IF(AND(CI$29&gt;ProposalToGnatt[[#This Row],[Start Date]],CI$29&lt;ProposalToGnatt[[#This Row],[Start Date]]+ProposalToGnatt[[#This Row],[Days]]),$G$5,"")),"")</f>
        <v/>
      </c>
      <c r="CJ31" s="37" t="str">
        <f ca="1">IFERROR(+IF(CJ$29=ProposalToGnatt[[#This Row],[Start Date]],Milestone_Marker,IF(AND(CJ$29&gt;ProposalToGnatt[[#This Row],[Start Date]],CJ$29&lt;ProposalToGnatt[[#This Row],[Start Date]]+ProposalToGnatt[[#This Row],[Days]]),$G$5,"")),"")</f>
        <v/>
      </c>
      <c r="CK31" s="37" t="str">
        <f ca="1">IFERROR(+IF(CK$29=ProposalToGnatt[[#This Row],[Start Date]],Milestone_Marker,IF(AND(CK$29&gt;ProposalToGnatt[[#This Row],[Start Date]],CK$29&lt;ProposalToGnatt[[#This Row],[Start Date]]+ProposalToGnatt[[#This Row],[Days]]),$G$5,"")),"")</f>
        <v/>
      </c>
      <c r="CL31" s="37" t="str">
        <f ca="1">IFERROR(+IF(CL$29=ProposalToGnatt[[#This Row],[Start Date]],Milestone_Marker,IF(AND(CL$29&gt;ProposalToGnatt[[#This Row],[Start Date]],CL$29&lt;ProposalToGnatt[[#This Row],[Start Date]]+ProposalToGnatt[[#This Row],[Days]]),$G$5,"")),"")</f>
        <v/>
      </c>
      <c r="CM31" s="37" t="str">
        <f ca="1">IFERROR(+IF(CM$29=ProposalToGnatt[[#This Row],[Start Date]],Milestone_Marker,IF(AND(CM$29&gt;ProposalToGnatt[[#This Row],[Start Date]],CM$29&lt;ProposalToGnatt[[#This Row],[Start Date]]+ProposalToGnatt[[#This Row],[Days]]),$G$5,"")),"")</f>
        <v/>
      </c>
      <c r="CN31" s="37" t="str">
        <f ca="1">IFERROR(+IF(CN$29=ProposalToGnatt[[#This Row],[Start Date]],Milestone_Marker,IF(AND(CN$29&gt;ProposalToGnatt[[#This Row],[Start Date]],CN$29&lt;ProposalToGnatt[[#This Row],[Start Date]]+ProposalToGnatt[[#This Row],[Days]]),$G$5,"")),"")</f>
        <v/>
      </c>
      <c r="CO31" s="37" t="str">
        <f ca="1">IFERROR(+IF(CO$29=ProposalToGnatt[[#This Row],[Start Date]],Milestone_Marker,IF(AND(CO$29&gt;ProposalToGnatt[[#This Row],[Start Date]],CO$29&lt;ProposalToGnatt[[#This Row],[Start Date]]+ProposalToGnatt[[#This Row],[Days]]),$G$5,"")),"")</f>
        <v/>
      </c>
      <c r="CP31" s="37" t="str">
        <f ca="1">IFERROR(+IF(CP$29=ProposalToGnatt[[#This Row],[Start Date]],Milestone_Marker,IF(AND(CP$29&gt;ProposalToGnatt[[#This Row],[Start Date]],CP$29&lt;ProposalToGnatt[[#This Row],[Start Date]]+ProposalToGnatt[[#This Row],[Days]]),$G$5,"")),"")</f>
        <v/>
      </c>
      <c r="CQ31" s="37" t="str">
        <f ca="1">IFERROR(+IF(CQ$29=ProposalToGnatt[[#This Row],[Start Date]],Milestone_Marker,IF(AND(CQ$29&gt;ProposalToGnatt[[#This Row],[Start Date]],CQ$29&lt;ProposalToGnatt[[#This Row],[Start Date]]+ProposalToGnatt[[#This Row],[Days]]),$G$5,"")),"")</f>
        <v/>
      </c>
      <c r="CR31" s="37" t="str">
        <f ca="1">IFERROR(+IF(CR$29=ProposalToGnatt[[#This Row],[Start Date]],Milestone_Marker,IF(AND(CR$29&gt;ProposalToGnatt[[#This Row],[Start Date]],CR$29&lt;ProposalToGnatt[[#This Row],[Start Date]]+ProposalToGnatt[[#This Row],[Days]]),$G$5,"")),"")</f>
        <v/>
      </c>
      <c r="CS31" s="37" t="str">
        <f ca="1">IFERROR(+IF(CS$29=ProposalToGnatt[[#This Row],[Start Date]],Milestone_Marker,IF(AND(CS$29&gt;ProposalToGnatt[[#This Row],[Start Date]],CS$29&lt;ProposalToGnatt[[#This Row],[Start Date]]+ProposalToGnatt[[#This Row],[Days]]),$G$5,"")),"")</f>
        <v/>
      </c>
      <c r="CT31" s="37" t="str">
        <f ca="1">IFERROR(+IF(CT$29=ProposalToGnatt[[#This Row],[Start Date]],Milestone_Marker,IF(AND(CT$29&gt;ProposalToGnatt[[#This Row],[Start Date]],CT$29&lt;ProposalToGnatt[[#This Row],[Start Date]]+ProposalToGnatt[[#This Row],[Days]]),$G$5,"")),"")</f>
        <v/>
      </c>
      <c r="CU31" s="37" t="str">
        <f ca="1">IFERROR(+IF(CU$29=ProposalToGnatt[[#This Row],[Start Date]],Milestone_Marker,IF(AND(CU$29&gt;ProposalToGnatt[[#This Row],[Start Date]],CU$29&lt;ProposalToGnatt[[#This Row],[Start Date]]+ProposalToGnatt[[#This Row],[Days]]),$G$5,"")),"")</f>
        <v/>
      </c>
      <c r="CV31" s="37"/>
      <c r="CW31" s="37"/>
      <c r="CX31" s="37"/>
      <c r="CY31" s="37"/>
      <c r="CZ31" s="37"/>
      <c r="DA31" s="37"/>
      <c r="DB31" s="37"/>
      <c r="DC31" s="37"/>
      <c r="DD31" s="37"/>
      <c r="DE31" s="37"/>
      <c r="DF31" s="37"/>
      <c r="DG31" s="37"/>
      <c r="DH31" s="37"/>
      <c r="DI31" s="37"/>
      <c r="DJ31" s="37"/>
      <c r="DK31" s="37"/>
      <c r="DL31" s="37"/>
      <c r="DM31" s="37"/>
      <c r="DN31" s="37"/>
      <c r="DO31" s="37"/>
      <c r="DP31" s="37"/>
      <c r="DQ31" s="37"/>
      <c r="DR31" s="37"/>
      <c r="DS31" s="37"/>
      <c r="DT31" s="37"/>
      <c r="DU31" s="37"/>
    </row>
    <row r="32" spans="1:125" s="42" customFormat="1" ht="20.100000000000001" customHeight="1" x14ac:dyDescent="0.25">
      <c r="A32" t="s">
        <v>428</v>
      </c>
      <c r="B32">
        <v>7</v>
      </c>
      <c r="C32" t="s">
        <v>313</v>
      </c>
      <c r="D32" t="s">
        <v>310</v>
      </c>
      <c r="E32" t="s">
        <v>314</v>
      </c>
      <c r="F32">
        <v>0</v>
      </c>
      <c r="G32" s="14">
        <v>0</v>
      </c>
      <c r="H32" s="14">
        <v>0</v>
      </c>
      <c r="I32"/>
      <c r="J32">
        <v>0</v>
      </c>
      <c r="K32" s="303"/>
      <c r="L32"/>
      <c r="M32" s="14"/>
      <c r="N32" s="352"/>
      <c r="O32" s="340"/>
      <c r="P32" s="37" t="str">
        <f ca="1">IFERROR(+IF(P$29=ProposalToGnatt[[#This Row],[Start Date]],Milestone_Marker,IF(AND(P$29&gt;ProposalToGnatt[[#This Row],[Start Date]],P$29&lt;ProposalToGnatt[[#This Row],[Start Date]]+ProposalToGnatt[[#This Row],[Days]]),$G$5,"")),"")</f>
        <v/>
      </c>
      <c r="Q32" s="37" t="str">
        <f ca="1">IFERROR(+IF(Q$29=ProposalToGnatt[[#This Row],[Start Date]],Milestone_Marker,IF(AND(Q$29&gt;ProposalToGnatt[[#This Row],[Start Date]],Q$29&lt;ProposalToGnatt[[#This Row],[Start Date]]+ProposalToGnatt[[#This Row],[Days]]),$G$5,"")),"")</f>
        <v/>
      </c>
      <c r="R32" s="37" t="str">
        <f ca="1">IFERROR(+IF(R$29=ProposalToGnatt[[#This Row],[Start Date]],Milestone_Marker,IF(AND(R$29&gt;ProposalToGnatt[[#This Row],[Start Date]],R$29&lt;ProposalToGnatt[[#This Row],[Start Date]]+ProposalToGnatt[[#This Row],[Days]]),$G$5,"")),"")</f>
        <v/>
      </c>
      <c r="S32" s="37" t="str">
        <f ca="1">IFERROR(+IF(S$29=ProposalToGnatt[[#This Row],[Start Date]],Milestone_Marker,IF(AND(S$29&gt;ProposalToGnatt[[#This Row],[Start Date]],S$29&lt;ProposalToGnatt[[#This Row],[Start Date]]+ProposalToGnatt[[#This Row],[Days]]),$G$5,"")),"")</f>
        <v/>
      </c>
      <c r="T32" s="37" t="str">
        <f ca="1">IFERROR(+IF(T$29=ProposalToGnatt[[#This Row],[Start Date]],Milestone_Marker,IF(AND(T$29&gt;ProposalToGnatt[[#This Row],[Start Date]],T$29&lt;ProposalToGnatt[[#This Row],[Start Date]]+ProposalToGnatt[[#This Row],[Days]]),$G$5,"")),"")</f>
        <v/>
      </c>
      <c r="U32" s="37" t="str">
        <f ca="1">IFERROR(+IF(U$29=ProposalToGnatt[[#This Row],[Start Date]],Milestone_Marker,IF(AND(U$29&gt;ProposalToGnatt[[#This Row],[Start Date]],U$29&lt;ProposalToGnatt[[#This Row],[Start Date]]+ProposalToGnatt[[#This Row],[Days]]),$G$5,"")),"")</f>
        <v/>
      </c>
      <c r="V32" s="37" t="str">
        <f ca="1">IFERROR(+IF(V$29=ProposalToGnatt[[#This Row],[Start Date]],Milestone_Marker,IF(AND(V$29&gt;ProposalToGnatt[[#This Row],[Start Date]],V$29&lt;ProposalToGnatt[[#This Row],[Start Date]]+ProposalToGnatt[[#This Row],[Days]]),$G$5,"")),"")</f>
        <v/>
      </c>
      <c r="W32" s="37" t="str">
        <f ca="1">IFERROR(+IF(W$29=ProposalToGnatt[[#This Row],[Start Date]],Milestone_Marker,IF(AND(W$29&gt;ProposalToGnatt[[#This Row],[Start Date]],W$29&lt;ProposalToGnatt[[#This Row],[Start Date]]+ProposalToGnatt[[#This Row],[Days]]),$G$5,"")),"")</f>
        <v/>
      </c>
      <c r="X32" s="37" t="str">
        <f ca="1">IFERROR(+IF(X$29=ProposalToGnatt[[#This Row],[Start Date]],Milestone_Marker,IF(AND(X$29&gt;ProposalToGnatt[[#This Row],[Start Date]],X$29&lt;ProposalToGnatt[[#This Row],[Start Date]]+ProposalToGnatt[[#This Row],[Days]]),$G$5,"")),"")</f>
        <v/>
      </c>
      <c r="Y32" s="37" t="str">
        <f ca="1">IFERROR(+IF(Y$29=ProposalToGnatt[[#This Row],[Start Date]],Milestone_Marker,IF(AND(Y$29&gt;ProposalToGnatt[[#This Row],[Start Date]],Y$29&lt;ProposalToGnatt[[#This Row],[Start Date]]+ProposalToGnatt[[#This Row],[Days]]),$G$5,"")),"")</f>
        <v/>
      </c>
      <c r="Z32" s="37" t="str">
        <f ca="1">IFERROR(+IF(Z$29=ProposalToGnatt[[#This Row],[Start Date]],Milestone_Marker,IF(AND(Z$29&gt;ProposalToGnatt[[#This Row],[Start Date]],Z$29&lt;ProposalToGnatt[[#This Row],[Start Date]]+ProposalToGnatt[[#This Row],[Days]]),$G$5,"")),"")</f>
        <v/>
      </c>
      <c r="AA32" s="37" t="str">
        <f ca="1">IFERROR(+IF(AA$29=ProposalToGnatt[[#This Row],[Start Date]],Milestone_Marker,IF(AND(AA$29&gt;ProposalToGnatt[[#This Row],[Start Date]],AA$29&lt;ProposalToGnatt[[#This Row],[Start Date]]+ProposalToGnatt[[#This Row],[Days]]),$G$5,"")),"")</f>
        <v/>
      </c>
      <c r="AB32" s="37" t="str">
        <f ca="1">IFERROR(+IF(AB$29=ProposalToGnatt[[#This Row],[Start Date]],Milestone_Marker,IF(AND(AB$29&gt;ProposalToGnatt[[#This Row],[Start Date]],AB$29&lt;ProposalToGnatt[[#This Row],[Start Date]]+ProposalToGnatt[[#This Row],[Days]]),$G$5,"")),"")</f>
        <v/>
      </c>
      <c r="AC32" s="37" t="str">
        <f ca="1">IFERROR(+IF(AC$29=ProposalToGnatt[[#This Row],[Start Date]],Milestone_Marker,IF(AND(AC$29&gt;ProposalToGnatt[[#This Row],[Start Date]],AC$29&lt;ProposalToGnatt[[#This Row],[Start Date]]+ProposalToGnatt[[#This Row],[Days]]),$G$5,"")),"")</f>
        <v/>
      </c>
      <c r="AD32" s="37" t="str">
        <f ca="1">IFERROR(+IF(AD$29=ProposalToGnatt[[#This Row],[Start Date]],Milestone_Marker,IF(AND(AD$29&gt;ProposalToGnatt[[#This Row],[Start Date]],AD$29&lt;ProposalToGnatt[[#This Row],[Start Date]]+ProposalToGnatt[[#This Row],[Days]]),$G$5,"")),"")</f>
        <v/>
      </c>
      <c r="AE32" s="37" t="str">
        <f ca="1">IFERROR(+IF(AE$29=ProposalToGnatt[[#This Row],[Start Date]],Milestone_Marker,IF(AND(AE$29&gt;ProposalToGnatt[[#This Row],[Start Date]],AE$29&lt;ProposalToGnatt[[#This Row],[Start Date]]+ProposalToGnatt[[#This Row],[Days]]),$G$5,"")),"")</f>
        <v/>
      </c>
      <c r="AF32" s="37" t="str">
        <f ca="1">IFERROR(+IF(AF$29=ProposalToGnatt[[#This Row],[Start Date]],Milestone_Marker,IF(AND(AF$29&gt;ProposalToGnatt[[#This Row],[Start Date]],AF$29&lt;ProposalToGnatt[[#This Row],[Start Date]]+ProposalToGnatt[[#This Row],[Days]]),$G$5,"")),"")</f>
        <v/>
      </c>
      <c r="AG32" s="37" t="str">
        <f ca="1">IFERROR(+IF(AG$29=ProposalToGnatt[[#This Row],[Start Date]],Milestone_Marker,IF(AND(AG$29&gt;ProposalToGnatt[[#This Row],[Start Date]],AG$29&lt;ProposalToGnatt[[#This Row],[Start Date]]+ProposalToGnatt[[#This Row],[Days]]),$G$5,"")),"")</f>
        <v/>
      </c>
      <c r="AH32" s="37" t="str">
        <f ca="1">IFERROR(+IF(AH$29=ProposalToGnatt[[#This Row],[Start Date]],Milestone_Marker,IF(AND(AH$29&gt;ProposalToGnatt[[#This Row],[Start Date]],AH$29&lt;ProposalToGnatt[[#This Row],[Start Date]]+ProposalToGnatt[[#This Row],[Days]]),$G$5,"")),"")</f>
        <v/>
      </c>
      <c r="AI32" s="37" t="str">
        <f ca="1">IFERROR(+IF(AI$29=ProposalToGnatt[[#This Row],[Start Date]],Milestone_Marker,IF(AND(AI$29&gt;ProposalToGnatt[[#This Row],[Start Date]],AI$29&lt;ProposalToGnatt[[#This Row],[Start Date]]+ProposalToGnatt[[#This Row],[Days]]),$G$5,"")),"")</f>
        <v/>
      </c>
      <c r="AJ32" s="37" t="str">
        <f ca="1">IFERROR(+IF(AJ$29=ProposalToGnatt[[#This Row],[Start Date]],Milestone_Marker,IF(AND(AJ$29&gt;ProposalToGnatt[[#This Row],[Start Date]],AJ$29&lt;ProposalToGnatt[[#This Row],[Start Date]]+ProposalToGnatt[[#This Row],[Days]]),$G$5,"")),"")</f>
        <v/>
      </c>
      <c r="AK32" s="37" t="str">
        <f ca="1">IFERROR(+IF(AK$29=ProposalToGnatt[[#This Row],[Start Date]],Milestone_Marker,IF(AND(AK$29&gt;ProposalToGnatt[[#This Row],[Start Date]],AK$29&lt;ProposalToGnatt[[#This Row],[Start Date]]+ProposalToGnatt[[#This Row],[Days]]),$G$5,"")),"")</f>
        <v/>
      </c>
      <c r="AL32" s="37" t="str">
        <f ca="1">IFERROR(+IF(AL$29=ProposalToGnatt[[#This Row],[Start Date]],Milestone_Marker,IF(AND(AL$29&gt;ProposalToGnatt[[#This Row],[Start Date]],AL$29&lt;ProposalToGnatt[[#This Row],[Start Date]]+ProposalToGnatt[[#This Row],[Days]]),$G$5,"")),"")</f>
        <v/>
      </c>
      <c r="AM32" s="37" t="str">
        <f ca="1">IFERROR(+IF(AM$29=ProposalToGnatt[[#This Row],[Start Date]],Milestone_Marker,IF(AND(AM$29&gt;ProposalToGnatt[[#This Row],[Start Date]],AM$29&lt;ProposalToGnatt[[#This Row],[Start Date]]+ProposalToGnatt[[#This Row],[Days]]),$G$5,"")),"")</f>
        <v/>
      </c>
      <c r="AN32" s="37" t="str">
        <f ca="1">IFERROR(+IF(AN$29=ProposalToGnatt[[#This Row],[Start Date]],Milestone_Marker,IF(AND(AN$29&gt;ProposalToGnatt[[#This Row],[Start Date]],AN$29&lt;ProposalToGnatt[[#This Row],[Start Date]]+ProposalToGnatt[[#This Row],[Days]]),$G$5,"")),"")</f>
        <v/>
      </c>
      <c r="AO32" s="37" t="str">
        <f ca="1">IFERROR(+IF(AO$29=ProposalToGnatt[[#This Row],[Start Date]],Milestone_Marker,IF(AND(AO$29&gt;ProposalToGnatt[[#This Row],[Start Date]],AO$29&lt;ProposalToGnatt[[#This Row],[Start Date]]+ProposalToGnatt[[#This Row],[Days]]),$G$5,"")),"")</f>
        <v/>
      </c>
      <c r="AP32" s="37" t="str">
        <f ca="1">IFERROR(+IF(AP$29=ProposalToGnatt[[#This Row],[Start Date]],Milestone_Marker,IF(AND(AP$29&gt;ProposalToGnatt[[#This Row],[Start Date]],AP$29&lt;ProposalToGnatt[[#This Row],[Start Date]]+ProposalToGnatt[[#This Row],[Days]]),$G$5,"")),"")</f>
        <v/>
      </c>
      <c r="AQ32" s="37" t="str">
        <f ca="1">IFERROR(+IF(AQ$29=ProposalToGnatt[[#This Row],[Start Date]],Milestone_Marker,IF(AND(AQ$29&gt;ProposalToGnatt[[#This Row],[Start Date]],AQ$29&lt;ProposalToGnatt[[#This Row],[Start Date]]+ProposalToGnatt[[#This Row],[Days]]),$G$5,"")),"")</f>
        <v/>
      </c>
      <c r="AR32" s="37" t="str">
        <f ca="1">IFERROR(+IF(AR$29=ProposalToGnatt[[#This Row],[Start Date]],Milestone_Marker,IF(AND(AR$29&gt;ProposalToGnatt[[#This Row],[Start Date]],AR$29&lt;ProposalToGnatt[[#This Row],[Start Date]]+ProposalToGnatt[[#This Row],[Days]]),$G$5,"")),"")</f>
        <v/>
      </c>
      <c r="AS32" s="37" t="str">
        <f ca="1">IFERROR(+IF(AS$29=ProposalToGnatt[[#This Row],[Start Date]],Milestone_Marker,IF(AND(AS$29&gt;ProposalToGnatt[[#This Row],[Start Date]],AS$29&lt;ProposalToGnatt[[#This Row],[Start Date]]+ProposalToGnatt[[#This Row],[Days]]),$G$5,"")),"")</f>
        <v/>
      </c>
      <c r="AT32" s="37" t="str">
        <f ca="1">IFERROR(+IF(AT$29=ProposalToGnatt[[#This Row],[Start Date]],Milestone_Marker,IF(AND(AT$29&gt;ProposalToGnatt[[#This Row],[Start Date]],AT$29&lt;ProposalToGnatt[[#This Row],[Start Date]]+ProposalToGnatt[[#This Row],[Days]]),$G$5,"")),"")</f>
        <v/>
      </c>
      <c r="AU32" s="37" t="str">
        <f ca="1">IFERROR(+IF(AU$29=ProposalToGnatt[[#This Row],[Start Date]],Milestone_Marker,IF(AND(AU$29&gt;ProposalToGnatt[[#This Row],[Start Date]],AU$29&lt;ProposalToGnatt[[#This Row],[Start Date]]+ProposalToGnatt[[#This Row],[Days]]),$G$5,"")),"")</f>
        <v/>
      </c>
      <c r="AV32" s="37" t="str">
        <f ca="1">IFERROR(+IF(AV$29=ProposalToGnatt[[#This Row],[Start Date]],Milestone_Marker,IF(AND(AV$29&gt;ProposalToGnatt[[#This Row],[Start Date]],AV$29&lt;ProposalToGnatt[[#This Row],[Start Date]]+ProposalToGnatt[[#This Row],[Days]]),$G$5,"")),"")</f>
        <v/>
      </c>
      <c r="AW32" s="37" t="str">
        <f ca="1">IFERROR(+IF(AW$29=ProposalToGnatt[[#This Row],[Start Date]],Milestone_Marker,IF(AND(AW$29&gt;ProposalToGnatt[[#This Row],[Start Date]],AW$29&lt;ProposalToGnatt[[#This Row],[Start Date]]+ProposalToGnatt[[#This Row],[Days]]),$G$5,"")),"")</f>
        <v/>
      </c>
      <c r="AX32" s="37" t="str">
        <f ca="1">IFERROR(+IF(AX$29=ProposalToGnatt[[#This Row],[Start Date]],Milestone_Marker,IF(AND(AX$29&gt;ProposalToGnatt[[#This Row],[Start Date]],AX$29&lt;ProposalToGnatt[[#This Row],[Start Date]]+ProposalToGnatt[[#This Row],[Days]]),$G$5,"")),"")</f>
        <v/>
      </c>
      <c r="AY32" s="37" t="str">
        <f ca="1">IFERROR(+IF(AY$29=ProposalToGnatt[[#This Row],[Start Date]],Milestone_Marker,IF(AND(AY$29&gt;ProposalToGnatt[[#This Row],[Start Date]],AY$29&lt;ProposalToGnatt[[#This Row],[Start Date]]+ProposalToGnatt[[#This Row],[Days]]),$G$5,"")),"")</f>
        <v/>
      </c>
      <c r="AZ32" s="37" t="str">
        <f ca="1">IFERROR(+IF(AZ$29=ProposalToGnatt[[#This Row],[Start Date]],Milestone_Marker,IF(AND(AZ$29&gt;ProposalToGnatt[[#This Row],[Start Date]],AZ$29&lt;ProposalToGnatt[[#This Row],[Start Date]]+ProposalToGnatt[[#This Row],[Days]]),$G$5,"")),"")</f>
        <v/>
      </c>
      <c r="BA32" s="37" t="str">
        <f ca="1">IFERROR(+IF(BA$29=ProposalToGnatt[[#This Row],[Start Date]],Milestone_Marker,IF(AND(BA$29&gt;ProposalToGnatt[[#This Row],[Start Date]],BA$29&lt;ProposalToGnatt[[#This Row],[Start Date]]+ProposalToGnatt[[#This Row],[Days]]),$G$5,"")),"")</f>
        <v/>
      </c>
      <c r="BB32" s="37" t="str">
        <f ca="1">IFERROR(+IF(BB$29=ProposalToGnatt[[#This Row],[Start Date]],Milestone_Marker,IF(AND(BB$29&gt;ProposalToGnatt[[#This Row],[Start Date]],BB$29&lt;ProposalToGnatt[[#This Row],[Start Date]]+ProposalToGnatt[[#This Row],[Days]]),$G$5,"")),"")</f>
        <v/>
      </c>
      <c r="BC32" s="37" t="str">
        <f ca="1">IFERROR(+IF(BC$29=ProposalToGnatt[[#This Row],[Start Date]],Milestone_Marker,IF(AND(BC$29&gt;ProposalToGnatt[[#This Row],[Start Date]],BC$29&lt;ProposalToGnatt[[#This Row],[Start Date]]+ProposalToGnatt[[#This Row],[Days]]),$G$5,"")),"")</f>
        <v/>
      </c>
      <c r="BD32" s="37" t="str">
        <f ca="1">IFERROR(+IF(BD$29=ProposalToGnatt[[#This Row],[Start Date]],Milestone_Marker,IF(AND(BD$29&gt;ProposalToGnatt[[#This Row],[Start Date]],BD$29&lt;ProposalToGnatt[[#This Row],[Start Date]]+ProposalToGnatt[[#This Row],[Days]]),$G$5,"")),"")</f>
        <v/>
      </c>
      <c r="BE32" s="37" t="str">
        <f ca="1">IFERROR(+IF(BE$29=ProposalToGnatt[[#This Row],[Start Date]],Milestone_Marker,IF(AND(BE$29&gt;ProposalToGnatt[[#This Row],[Start Date]],BE$29&lt;ProposalToGnatt[[#This Row],[Start Date]]+ProposalToGnatt[[#This Row],[Days]]),$G$5,"")),"")</f>
        <v/>
      </c>
      <c r="BF32" s="37" t="str">
        <f ca="1">IFERROR(+IF(BF$29=ProposalToGnatt[[#This Row],[Start Date]],Milestone_Marker,IF(AND(BF$29&gt;ProposalToGnatt[[#This Row],[Start Date]],BF$29&lt;ProposalToGnatt[[#This Row],[Start Date]]+ProposalToGnatt[[#This Row],[Days]]),$G$5,"")),"")</f>
        <v/>
      </c>
      <c r="BG32" s="37" t="str">
        <f ca="1">IFERROR(+IF(BG$29=ProposalToGnatt[[#This Row],[Start Date]],Milestone_Marker,IF(AND(BG$29&gt;ProposalToGnatt[[#This Row],[Start Date]],BG$29&lt;ProposalToGnatt[[#This Row],[Start Date]]+ProposalToGnatt[[#This Row],[Days]]),$G$5,"")),"")</f>
        <v/>
      </c>
      <c r="BH32" s="37" t="str">
        <f ca="1">IFERROR(+IF(BH$29=ProposalToGnatt[[#This Row],[Start Date]],Milestone_Marker,IF(AND(BH$29&gt;ProposalToGnatt[[#This Row],[Start Date]],BH$29&lt;ProposalToGnatt[[#This Row],[Start Date]]+ProposalToGnatt[[#This Row],[Days]]),$G$5,"")),"")</f>
        <v/>
      </c>
      <c r="BI32" s="37" t="str">
        <f ca="1">IFERROR(+IF(BI$29=ProposalToGnatt[[#This Row],[Start Date]],Milestone_Marker,IF(AND(BI$29&gt;ProposalToGnatt[[#This Row],[Start Date]],BI$29&lt;ProposalToGnatt[[#This Row],[Start Date]]+ProposalToGnatt[[#This Row],[Days]]),$G$5,"")),"")</f>
        <v/>
      </c>
      <c r="BJ32" s="37" t="str">
        <f ca="1">IFERROR(+IF(BJ$29=ProposalToGnatt[[#This Row],[Start Date]],Milestone_Marker,IF(AND(BJ$29&gt;ProposalToGnatt[[#This Row],[Start Date]],BJ$29&lt;ProposalToGnatt[[#This Row],[Start Date]]+ProposalToGnatt[[#This Row],[Days]]),$G$5,"")),"")</f>
        <v/>
      </c>
      <c r="BK32" s="37" t="str">
        <f ca="1">IFERROR(+IF(BK$29=ProposalToGnatt[[#This Row],[Start Date]],Milestone_Marker,IF(AND(BK$29&gt;ProposalToGnatt[[#This Row],[Start Date]],BK$29&lt;ProposalToGnatt[[#This Row],[Start Date]]+ProposalToGnatt[[#This Row],[Days]]),$G$5,"")),"")</f>
        <v/>
      </c>
      <c r="BL32" s="37" t="str">
        <f ca="1">IFERROR(+IF(BL$29=ProposalToGnatt[[#This Row],[Start Date]],Milestone_Marker,IF(AND(BL$29&gt;ProposalToGnatt[[#This Row],[Start Date]],BL$29&lt;ProposalToGnatt[[#This Row],[Start Date]]+ProposalToGnatt[[#This Row],[Days]]),$G$5,"")),"")</f>
        <v/>
      </c>
      <c r="BM32" s="37" t="str">
        <f ca="1">IFERROR(+IF(BM$29=ProposalToGnatt[[#This Row],[Start Date]],Milestone_Marker,IF(AND(BM$29&gt;ProposalToGnatt[[#This Row],[Start Date]],BM$29&lt;ProposalToGnatt[[#This Row],[Start Date]]+ProposalToGnatt[[#This Row],[Days]]),$G$5,"")),"")</f>
        <v/>
      </c>
      <c r="BN32" s="37" t="str">
        <f ca="1">IFERROR(+IF(BN$29=ProposalToGnatt[[#This Row],[Start Date]],Milestone_Marker,IF(AND(BN$29&gt;ProposalToGnatt[[#This Row],[Start Date]],BN$29&lt;ProposalToGnatt[[#This Row],[Start Date]]+ProposalToGnatt[[#This Row],[Days]]),$G$5,"")),"")</f>
        <v/>
      </c>
      <c r="BO32" s="37" t="str">
        <f ca="1">IFERROR(+IF(BO$29=ProposalToGnatt[[#This Row],[Start Date]],Milestone_Marker,IF(AND(BO$29&gt;ProposalToGnatt[[#This Row],[Start Date]],BO$29&lt;ProposalToGnatt[[#This Row],[Start Date]]+ProposalToGnatt[[#This Row],[Days]]),$G$5,"")),"")</f>
        <v/>
      </c>
      <c r="BP32" s="37" t="str">
        <f ca="1">IFERROR(+IF(BP$29=ProposalToGnatt[[#This Row],[Start Date]],Milestone_Marker,IF(AND(BP$29&gt;ProposalToGnatt[[#This Row],[Start Date]],BP$29&lt;ProposalToGnatt[[#This Row],[Start Date]]+ProposalToGnatt[[#This Row],[Days]]),$G$5,"")),"")</f>
        <v/>
      </c>
      <c r="BQ32" s="37" t="str">
        <f ca="1">IFERROR(+IF(BQ$29=ProposalToGnatt[[#This Row],[Start Date]],Milestone_Marker,IF(AND(BQ$29&gt;ProposalToGnatt[[#This Row],[Start Date]],BQ$29&lt;ProposalToGnatt[[#This Row],[Start Date]]+ProposalToGnatt[[#This Row],[Days]]),$G$5,"")),"")</f>
        <v/>
      </c>
      <c r="BR32" s="37" t="str">
        <f ca="1">IFERROR(+IF(BR$29=ProposalToGnatt[[#This Row],[Start Date]],Milestone_Marker,IF(AND(BR$29&gt;ProposalToGnatt[[#This Row],[Start Date]],BR$29&lt;ProposalToGnatt[[#This Row],[Start Date]]+ProposalToGnatt[[#This Row],[Days]]),$G$5,"")),"")</f>
        <v/>
      </c>
      <c r="BS32" s="37" t="str">
        <f ca="1">IFERROR(+IF(BS$29=ProposalToGnatt[[#This Row],[Start Date]],Milestone_Marker,IF(AND(BS$29&gt;ProposalToGnatt[[#This Row],[Start Date]],BS$29&lt;ProposalToGnatt[[#This Row],[Start Date]]+ProposalToGnatt[[#This Row],[Days]]),$G$5,"")),"")</f>
        <v/>
      </c>
      <c r="BT32" s="37" t="str">
        <f ca="1">IFERROR(+IF(BT$29=ProposalToGnatt[[#This Row],[Start Date]],Milestone_Marker,IF(AND(BT$29&gt;ProposalToGnatt[[#This Row],[Start Date]],BT$29&lt;ProposalToGnatt[[#This Row],[Start Date]]+ProposalToGnatt[[#This Row],[Days]]),$G$5,"")),"")</f>
        <v/>
      </c>
      <c r="BU32" s="37" t="str">
        <f ca="1">IFERROR(+IF(BU$29=ProposalToGnatt[[#This Row],[Start Date]],Milestone_Marker,IF(AND(BU$29&gt;ProposalToGnatt[[#This Row],[Start Date]],BU$29&lt;ProposalToGnatt[[#This Row],[Start Date]]+ProposalToGnatt[[#This Row],[Days]]),$G$5,"")),"")</f>
        <v/>
      </c>
      <c r="BV32" s="37" t="str">
        <f ca="1">IFERROR(+IF(BV$29=ProposalToGnatt[[#This Row],[Start Date]],Milestone_Marker,IF(AND(BV$29&gt;ProposalToGnatt[[#This Row],[Start Date]],BV$29&lt;ProposalToGnatt[[#This Row],[Start Date]]+ProposalToGnatt[[#This Row],[Days]]),$G$5,"")),"")</f>
        <v/>
      </c>
      <c r="BW32" s="37" t="str">
        <f ca="1">IFERROR(+IF(BW$29=ProposalToGnatt[[#This Row],[Start Date]],Milestone_Marker,IF(AND(BW$29&gt;ProposalToGnatt[[#This Row],[Start Date]],BW$29&lt;ProposalToGnatt[[#This Row],[Start Date]]+ProposalToGnatt[[#This Row],[Days]]),$G$5,"")),"")</f>
        <v/>
      </c>
      <c r="BX32" s="37" t="str">
        <f ca="1">IFERROR(+IF(BX$29=ProposalToGnatt[[#This Row],[Start Date]],Milestone_Marker,IF(AND(BX$29&gt;ProposalToGnatt[[#This Row],[Start Date]],BX$29&lt;ProposalToGnatt[[#This Row],[Start Date]]+ProposalToGnatt[[#This Row],[Days]]),$G$5,"")),"")</f>
        <v/>
      </c>
      <c r="BY32" s="37" t="str">
        <f ca="1">IFERROR(+IF(BY$29=ProposalToGnatt[[#This Row],[Start Date]],Milestone_Marker,IF(AND(BY$29&gt;ProposalToGnatt[[#This Row],[Start Date]],BY$29&lt;ProposalToGnatt[[#This Row],[Start Date]]+ProposalToGnatt[[#This Row],[Days]]),$G$5,"")),"")</f>
        <v/>
      </c>
      <c r="BZ32" s="37" t="str">
        <f ca="1">IFERROR(+IF(BZ$29=ProposalToGnatt[[#This Row],[Start Date]],Milestone_Marker,IF(AND(BZ$29&gt;ProposalToGnatt[[#This Row],[Start Date]],BZ$29&lt;ProposalToGnatt[[#This Row],[Start Date]]+ProposalToGnatt[[#This Row],[Days]]),$G$5,"")),"")</f>
        <v/>
      </c>
      <c r="CA32" s="37" t="str">
        <f ca="1">IFERROR(+IF(CA$29=ProposalToGnatt[[#This Row],[Start Date]],Milestone_Marker,IF(AND(CA$29&gt;ProposalToGnatt[[#This Row],[Start Date]],CA$29&lt;ProposalToGnatt[[#This Row],[Start Date]]+ProposalToGnatt[[#This Row],[Days]]),$G$5,"")),"")</f>
        <v/>
      </c>
      <c r="CB32" s="37" t="str">
        <f ca="1">IFERROR(+IF(CB$29=ProposalToGnatt[[#This Row],[Start Date]],Milestone_Marker,IF(AND(CB$29&gt;ProposalToGnatt[[#This Row],[Start Date]],CB$29&lt;ProposalToGnatt[[#This Row],[Start Date]]+ProposalToGnatt[[#This Row],[Days]]),$G$5,"")),"")</f>
        <v/>
      </c>
      <c r="CC32" s="37" t="str">
        <f ca="1">IFERROR(+IF(CC$29=ProposalToGnatt[[#This Row],[Start Date]],Milestone_Marker,IF(AND(CC$29&gt;ProposalToGnatt[[#This Row],[Start Date]],CC$29&lt;ProposalToGnatt[[#This Row],[Start Date]]+ProposalToGnatt[[#This Row],[Days]]),$G$5,"")),"")</f>
        <v/>
      </c>
      <c r="CD32" s="37" t="str">
        <f ca="1">IFERROR(+IF(CD$29=ProposalToGnatt[[#This Row],[Start Date]],Milestone_Marker,IF(AND(CD$29&gt;ProposalToGnatt[[#This Row],[Start Date]],CD$29&lt;ProposalToGnatt[[#This Row],[Start Date]]+ProposalToGnatt[[#This Row],[Days]]),$G$5,"")),"")</f>
        <v/>
      </c>
      <c r="CE32" s="37" t="str">
        <f ca="1">IFERROR(+IF(CE$29=ProposalToGnatt[[#This Row],[Start Date]],Milestone_Marker,IF(AND(CE$29&gt;ProposalToGnatt[[#This Row],[Start Date]],CE$29&lt;ProposalToGnatt[[#This Row],[Start Date]]+ProposalToGnatt[[#This Row],[Days]]),$G$5,"")),"")</f>
        <v/>
      </c>
      <c r="CF32" s="37" t="str">
        <f ca="1">IFERROR(+IF(CF$29=ProposalToGnatt[[#This Row],[Start Date]],Milestone_Marker,IF(AND(CF$29&gt;ProposalToGnatt[[#This Row],[Start Date]],CF$29&lt;ProposalToGnatt[[#This Row],[Start Date]]+ProposalToGnatt[[#This Row],[Days]]),$G$5,"")),"")</f>
        <v/>
      </c>
      <c r="CG32" s="37" t="str">
        <f ca="1">IFERROR(+IF(CG$29=ProposalToGnatt[[#This Row],[Start Date]],Milestone_Marker,IF(AND(CG$29&gt;ProposalToGnatt[[#This Row],[Start Date]],CG$29&lt;ProposalToGnatt[[#This Row],[Start Date]]+ProposalToGnatt[[#This Row],[Days]]),$G$5,"")),"")</f>
        <v/>
      </c>
      <c r="CH32" s="37" t="str">
        <f ca="1">IFERROR(+IF(CH$29=ProposalToGnatt[[#This Row],[Start Date]],Milestone_Marker,IF(AND(CH$29&gt;ProposalToGnatt[[#This Row],[Start Date]],CH$29&lt;ProposalToGnatt[[#This Row],[Start Date]]+ProposalToGnatt[[#This Row],[Days]]),$G$5,"")),"")</f>
        <v/>
      </c>
      <c r="CI32" s="37" t="str">
        <f ca="1">IFERROR(+IF(CI$29=ProposalToGnatt[[#This Row],[Start Date]],Milestone_Marker,IF(AND(CI$29&gt;ProposalToGnatt[[#This Row],[Start Date]],CI$29&lt;ProposalToGnatt[[#This Row],[Start Date]]+ProposalToGnatt[[#This Row],[Days]]),$G$5,"")),"")</f>
        <v/>
      </c>
      <c r="CJ32" s="37" t="str">
        <f ca="1">IFERROR(+IF(CJ$29=ProposalToGnatt[[#This Row],[Start Date]],Milestone_Marker,IF(AND(CJ$29&gt;ProposalToGnatt[[#This Row],[Start Date]],CJ$29&lt;ProposalToGnatt[[#This Row],[Start Date]]+ProposalToGnatt[[#This Row],[Days]]),$G$5,"")),"")</f>
        <v/>
      </c>
      <c r="CK32" s="37" t="str">
        <f ca="1">IFERROR(+IF(CK$29=ProposalToGnatt[[#This Row],[Start Date]],Milestone_Marker,IF(AND(CK$29&gt;ProposalToGnatt[[#This Row],[Start Date]],CK$29&lt;ProposalToGnatt[[#This Row],[Start Date]]+ProposalToGnatt[[#This Row],[Days]]),$G$5,"")),"")</f>
        <v/>
      </c>
      <c r="CL32" s="37" t="str">
        <f ca="1">IFERROR(+IF(CL$29=ProposalToGnatt[[#This Row],[Start Date]],Milestone_Marker,IF(AND(CL$29&gt;ProposalToGnatt[[#This Row],[Start Date]],CL$29&lt;ProposalToGnatt[[#This Row],[Start Date]]+ProposalToGnatt[[#This Row],[Days]]),$G$5,"")),"")</f>
        <v/>
      </c>
      <c r="CM32" s="37" t="str">
        <f ca="1">IFERROR(+IF(CM$29=ProposalToGnatt[[#This Row],[Start Date]],Milestone_Marker,IF(AND(CM$29&gt;ProposalToGnatt[[#This Row],[Start Date]],CM$29&lt;ProposalToGnatt[[#This Row],[Start Date]]+ProposalToGnatt[[#This Row],[Days]]),$G$5,"")),"")</f>
        <v/>
      </c>
      <c r="CN32" s="37" t="str">
        <f ca="1">IFERROR(+IF(CN$29=ProposalToGnatt[[#This Row],[Start Date]],Milestone_Marker,IF(AND(CN$29&gt;ProposalToGnatt[[#This Row],[Start Date]],CN$29&lt;ProposalToGnatt[[#This Row],[Start Date]]+ProposalToGnatt[[#This Row],[Days]]),$G$5,"")),"")</f>
        <v/>
      </c>
      <c r="CO32" s="37" t="str">
        <f ca="1">IFERROR(+IF(CO$29=ProposalToGnatt[[#This Row],[Start Date]],Milestone_Marker,IF(AND(CO$29&gt;ProposalToGnatt[[#This Row],[Start Date]],CO$29&lt;ProposalToGnatt[[#This Row],[Start Date]]+ProposalToGnatt[[#This Row],[Days]]),$G$5,"")),"")</f>
        <v/>
      </c>
      <c r="CP32" s="37" t="str">
        <f ca="1">IFERROR(+IF(CP$29=ProposalToGnatt[[#This Row],[Start Date]],Milestone_Marker,IF(AND(CP$29&gt;ProposalToGnatt[[#This Row],[Start Date]],CP$29&lt;ProposalToGnatt[[#This Row],[Start Date]]+ProposalToGnatt[[#This Row],[Days]]),$G$5,"")),"")</f>
        <v/>
      </c>
      <c r="CQ32" s="37" t="str">
        <f ca="1">IFERROR(+IF(CQ$29=ProposalToGnatt[[#This Row],[Start Date]],Milestone_Marker,IF(AND(CQ$29&gt;ProposalToGnatt[[#This Row],[Start Date]],CQ$29&lt;ProposalToGnatt[[#This Row],[Start Date]]+ProposalToGnatt[[#This Row],[Days]]),$G$5,"")),"")</f>
        <v/>
      </c>
      <c r="CR32" s="37" t="str">
        <f ca="1">IFERROR(+IF(CR$29=ProposalToGnatt[[#This Row],[Start Date]],Milestone_Marker,IF(AND(CR$29&gt;ProposalToGnatt[[#This Row],[Start Date]],CR$29&lt;ProposalToGnatt[[#This Row],[Start Date]]+ProposalToGnatt[[#This Row],[Days]]),$G$5,"")),"")</f>
        <v/>
      </c>
      <c r="CS32" s="37" t="str">
        <f ca="1">IFERROR(+IF(CS$29=ProposalToGnatt[[#This Row],[Start Date]],Milestone_Marker,IF(AND(CS$29&gt;ProposalToGnatt[[#This Row],[Start Date]],CS$29&lt;ProposalToGnatt[[#This Row],[Start Date]]+ProposalToGnatt[[#This Row],[Days]]),$G$5,"")),"")</f>
        <v/>
      </c>
      <c r="CT32" s="37" t="str">
        <f ca="1">IFERROR(+IF(CT$29=ProposalToGnatt[[#This Row],[Start Date]],Milestone_Marker,IF(AND(CT$29&gt;ProposalToGnatt[[#This Row],[Start Date]],CT$29&lt;ProposalToGnatt[[#This Row],[Start Date]]+ProposalToGnatt[[#This Row],[Days]]),$G$5,"")),"")</f>
        <v/>
      </c>
      <c r="CU32" s="37" t="str">
        <f ca="1">IFERROR(+IF(CU$29=ProposalToGnatt[[#This Row],[Start Date]],Milestone_Marker,IF(AND(CU$29&gt;ProposalToGnatt[[#This Row],[Start Date]],CU$29&lt;ProposalToGnatt[[#This Row],[Start Date]]+ProposalToGnatt[[#This Row],[Days]]),$G$5,"")),"")</f>
        <v/>
      </c>
      <c r="CV32" s="37"/>
      <c r="CW32" s="37"/>
      <c r="CX32" s="37"/>
      <c r="CY32" s="37"/>
      <c r="CZ32" s="37"/>
      <c r="DA32" s="37"/>
      <c r="DB32" s="37"/>
      <c r="DC32" s="37"/>
      <c r="DD32" s="37"/>
      <c r="DE32" s="37"/>
      <c r="DF32" s="37"/>
      <c r="DG32" s="37"/>
      <c r="DH32" s="37"/>
      <c r="DI32" s="37"/>
      <c r="DJ32" s="37"/>
      <c r="DK32" s="37"/>
      <c r="DL32" s="37"/>
      <c r="DM32" s="37"/>
      <c r="DN32" s="37"/>
      <c r="DO32" s="37"/>
      <c r="DP32" s="37"/>
      <c r="DQ32" s="37"/>
      <c r="DR32" s="37"/>
      <c r="DS32" s="37"/>
      <c r="DT32" s="37"/>
      <c r="DU32" s="37"/>
    </row>
    <row r="33" spans="1:125" s="42" customFormat="1" ht="20.100000000000001" customHeight="1" x14ac:dyDescent="0.25">
      <c r="A33" t="s">
        <v>428</v>
      </c>
      <c r="B33">
        <v>8</v>
      </c>
      <c r="C33" t="s">
        <v>315</v>
      </c>
      <c r="D33" t="s">
        <v>310</v>
      </c>
      <c r="E33" t="s">
        <v>316</v>
      </c>
      <c r="F33">
        <v>0</v>
      </c>
      <c r="G33" s="14">
        <v>0</v>
      </c>
      <c r="H33" s="14">
        <v>0</v>
      </c>
      <c r="I33"/>
      <c r="J33">
        <v>0</v>
      </c>
      <c r="K33" s="303"/>
      <c r="L33"/>
      <c r="M33" s="14"/>
      <c r="N33" s="352"/>
      <c r="O33" s="340"/>
      <c r="P33" s="37" t="str">
        <f ca="1">IFERROR(+IF(P$29=ProposalToGnatt[[#This Row],[Start Date]],Milestone_Marker,IF(AND(P$29&gt;ProposalToGnatt[[#This Row],[Start Date]],P$29&lt;ProposalToGnatt[[#This Row],[Start Date]]+ProposalToGnatt[[#This Row],[Days]]),$G$5,"")),"")</f>
        <v/>
      </c>
      <c r="Q33" s="37" t="str">
        <f ca="1">IFERROR(+IF(Q$29=ProposalToGnatt[[#This Row],[Start Date]],Milestone_Marker,IF(AND(Q$29&gt;ProposalToGnatt[[#This Row],[Start Date]],Q$29&lt;ProposalToGnatt[[#This Row],[Start Date]]+ProposalToGnatt[[#This Row],[Days]]),$G$5,"")),"")</f>
        <v/>
      </c>
      <c r="R33" s="37" t="str">
        <f ca="1">IFERROR(+IF(R$29=ProposalToGnatt[[#This Row],[Start Date]],Milestone_Marker,IF(AND(R$29&gt;ProposalToGnatt[[#This Row],[Start Date]],R$29&lt;ProposalToGnatt[[#This Row],[Start Date]]+ProposalToGnatt[[#This Row],[Days]]),$G$5,"")),"")</f>
        <v/>
      </c>
      <c r="S33" s="37" t="str">
        <f ca="1">IFERROR(+IF(S$29=ProposalToGnatt[[#This Row],[Start Date]],Milestone_Marker,IF(AND(S$29&gt;ProposalToGnatt[[#This Row],[Start Date]],S$29&lt;ProposalToGnatt[[#This Row],[Start Date]]+ProposalToGnatt[[#This Row],[Days]]),$G$5,"")),"")</f>
        <v/>
      </c>
      <c r="T33" s="37" t="str">
        <f ca="1">IFERROR(+IF(T$29=ProposalToGnatt[[#This Row],[Start Date]],Milestone_Marker,IF(AND(T$29&gt;ProposalToGnatt[[#This Row],[Start Date]],T$29&lt;ProposalToGnatt[[#This Row],[Start Date]]+ProposalToGnatt[[#This Row],[Days]]),$G$5,"")),"")</f>
        <v/>
      </c>
      <c r="U33" s="37" t="str">
        <f ca="1">IFERROR(+IF(U$29=ProposalToGnatt[[#This Row],[Start Date]],Milestone_Marker,IF(AND(U$29&gt;ProposalToGnatt[[#This Row],[Start Date]],U$29&lt;ProposalToGnatt[[#This Row],[Start Date]]+ProposalToGnatt[[#This Row],[Days]]),$G$5,"")),"")</f>
        <v/>
      </c>
      <c r="V33" s="37" t="str">
        <f ca="1">IFERROR(+IF(V$29=ProposalToGnatt[[#This Row],[Start Date]],Milestone_Marker,IF(AND(V$29&gt;ProposalToGnatt[[#This Row],[Start Date]],V$29&lt;ProposalToGnatt[[#This Row],[Start Date]]+ProposalToGnatt[[#This Row],[Days]]),$G$5,"")),"")</f>
        <v/>
      </c>
      <c r="W33" s="37" t="str">
        <f ca="1">IFERROR(+IF(W$29=ProposalToGnatt[[#This Row],[Start Date]],Milestone_Marker,IF(AND(W$29&gt;ProposalToGnatt[[#This Row],[Start Date]],W$29&lt;ProposalToGnatt[[#This Row],[Start Date]]+ProposalToGnatt[[#This Row],[Days]]),$G$5,"")),"")</f>
        <v/>
      </c>
      <c r="X33" s="37" t="str">
        <f ca="1">IFERROR(+IF(X$29=ProposalToGnatt[[#This Row],[Start Date]],Milestone_Marker,IF(AND(X$29&gt;ProposalToGnatt[[#This Row],[Start Date]],X$29&lt;ProposalToGnatt[[#This Row],[Start Date]]+ProposalToGnatt[[#This Row],[Days]]),$G$5,"")),"")</f>
        <v/>
      </c>
      <c r="Y33" s="37" t="str">
        <f ca="1">IFERROR(+IF(Y$29=ProposalToGnatt[[#This Row],[Start Date]],Milestone_Marker,IF(AND(Y$29&gt;ProposalToGnatt[[#This Row],[Start Date]],Y$29&lt;ProposalToGnatt[[#This Row],[Start Date]]+ProposalToGnatt[[#This Row],[Days]]),$G$5,"")),"")</f>
        <v/>
      </c>
      <c r="Z33" s="37" t="str">
        <f ca="1">IFERROR(+IF(Z$29=ProposalToGnatt[[#This Row],[Start Date]],Milestone_Marker,IF(AND(Z$29&gt;ProposalToGnatt[[#This Row],[Start Date]],Z$29&lt;ProposalToGnatt[[#This Row],[Start Date]]+ProposalToGnatt[[#This Row],[Days]]),$G$5,"")),"")</f>
        <v/>
      </c>
      <c r="AA33" s="37" t="str">
        <f ca="1">IFERROR(+IF(AA$29=ProposalToGnatt[[#This Row],[Start Date]],Milestone_Marker,IF(AND(AA$29&gt;ProposalToGnatt[[#This Row],[Start Date]],AA$29&lt;ProposalToGnatt[[#This Row],[Start Date]]+ProposalToGnatt[[#This Row],[Days]]),$G$5,"")),"")</f>
        <v/>
      </c>
      <c r="AB33" s="37" t="str">
        <f ca="1">IFERROR(+IF(AB$29=ProposalToGnatt[[#This Row],[Start Date]],Milestone_Marker,IF(AND(AB$29&gt;ProposalToGnatt[[#This Row],[Start Date]],AB$29&lt;ProposalToGnatt[[#This Row],[Start Date]]+ProposalToGnatt[[#This Row],[Days]]),$G$5,"")),"")</f>
        <v/>
      </c>
      <c r="AC33" s="37" t="str">
        <f ca="1">IFERROR(+IF(AC$29=ProposalToGnatt[[#This Row],[Start Date]],Milestone_Marker,IF(AND(AC$29&gt;ProposalToGnatt[[#This Row],[Start Date]],AC$29&lt;ProposalToGnatt[[#This Row],[Start Date]]+ProposalToGnatt[[#This Row],[Days]]),$G$5,"")),"")</f>
        <v/>
      </c>
      <c r="AD33" s="37" t="str">
        <f ca="1">IFERROR(+IF(AD$29=ProposalToGnatt[[#This Row],[Start Date]],Milestone_Marker,IF(AND(AD$29&gt;ProposalToGnatt[[#This Row],[Start Date]],AD$29&lt;ProposalToGnatt[[#This Row],[Start Date]]+ProposalToGnatt[[#This Row],[Days]]),$G$5,"")),"")</f>
        <v/>
      </c>
      <c r="AE33" s="37" t="str">
        <f ca="1">IFERROR(+IF(AE$29=ProposalToGnatt[[#This Row],[Start Date]],Milestone_Marker,IF(AND(AE$29&gt;ProposalToGnatt[[#This Row],[Start Date]],AE$29&lt;ProposalToGnatt[[#This Row],[Start Date]]+ProposalToGnatt[[#This Row],[Days]]),$G$5,"")),"")</f>
        <v/>
      </c>
      <c r="AF33" s="37" t="str">
        <f ca="1">IFERROR(+IF(AF$29=ProposalToGnatt[[#This Row],[Start Date]],Milestone_Marker,IF(AND(AF$29&gt;ProposalToGnatt[[#This Row],[Start Date]],AF$29&lt;ProposalToGnatt[[#This Row],[Start Date]]+ProposalToGnatt[[#This Row],[Days]]),$G$5,"")),"")</f>
        <v/>
      </c>
      <c r="AG33" s="37" t="str">
        <f ca="1">IFERROR(+IF(AG$29=ProposalToGnatt[[#This Row],[Start Date]],Milestone_Marker,IF(AND(AG$29&gt;ProposalToGnatt[[#This Row],[Start Date]],AG$29&lt;ProposalToGnatt[[#This Row],[Start Date]]+ProposalToGnatt[[#This Row],[Days]]),$G$5,"")),"")</f>
        <v/>
      </c>
      <c r="AH33" s="37" t="str">
        <f ca="1">IFERROR(+IF(AH$29=ProposalToGnatt[[#This Row],[Start Date]],Milestone_Marker,IF(AND(AH$29&gt;ProposalToGnatt[[#This Row],[Start Date]],AH$29&lt;ProposalToGnatt[[#This Row],[Start Date]]+ProposalToGnatt[[#This Row],[Days]]),$G$5,"")),"")</f>
        <v/>
      </c>
      <c r="AI33" s="37" t="str">
        <f ca="1">IFERROR(+IF(AI$29=ProposalToGnatt[[#This Row],[Start Date]],Milestone_Marker,IF(AND(AI$29&gt;ProposalToGnatt[[#This Row],[Start Date]],AI$29&lt;ProposalToGnatt[[#This Row],[Start Date]]+ProposalToGnatt[[#This Row],[Days]]),$G$5,"")),"")</f>
        <v/>
      </c>
      <c r="AJ33" s="37" t="str">
        <f ca="1">IFERROR(+IF(AJ$29=ProposalToGnatt[[#This Row],[Start Date]],Milestone_Marker,IF(AND(AJ$29&gt;ProposalToGnatt[[#This Row],[Start Date]],AJ$29&lt;ProposalToGnatt[[#This Row],[Start Date]]+ProposalToGnatt[[#This Row],[Days]]),$G$5,"")),"")</f>
        <v/>
      </c>
      <c r="AK33" s="37" t="str">
        <f ca="1">IFERROR(+IF(AK$29=ProposalToGnatt[[#This Row],[Start Date]],Milestone_Marker,IF(AND(AK$29&gt;ProposalToGnatt[[#This Row],[Start Date]],AK$29&lt;ProposalToGnatt[[#This Row],[Start Date]]+ProposalToGnatt[[#This Row],[Days]]),$G$5,"")),"")</f>
        <v/>
      </c>
      <c r="AL33" s="37" t="str">
        <f ca="1">IFERROR(+IF(AL$29=ProposalToGnatt[[#This Row],[Start Date]],Milestone_Marker,IF(AND(AL$29&gt;ProposalToGnatt[[#This Row],[Start Date]],AL$29&lt;ProposalToGnatt[[#This Row],[Start Date]]+ProposalToGnatt[[#This Row],[Days]]),$G$5,"")),"")</f>
        <v/>
      </c>
      <c r="AM33" s="37" t="str">
        <f ca="1">IFERROR(+IF(AM$29=ProposalToGnatt[[#This Row],[Start Date]],Milestone_Marker,IF(AND(AM$29&gt;ProposalToGnatt[[#This Row],[Start Date]],AM$29&lt;ProposalToGnatt[[#This Row],[Start Date]]+ProposalToGnatt[[#This Row],[Days]]),$G$5,"")),"")</f>
        <v/>
      </c>
      <c r="AN33" s="37" t="str">
        <f ca="1">IFERROR(+IF(AN$29=ProposalToGnatt[[#This Row],[Start Date]],Milestone_Marker,IF(AND(AN$29&gt;ProposalToGnatt[[#This Row],[Start Date]],AN$29&lt;ProposalToGnatt[[#This Row],[Start Date]]+ProposalToGnatt[[#This Row],[Days]]),$G$5,"")),"")</f>
        <v/>
      </c>
      <c r="AO33" s="37" t="str">
        <f ca="1">IFERROR(+IF(AO$29=ProposalToGnatt[[#This Row],[Start Date]],Milestone_Marker,IF(AND(AO$29&gt;ProposalToGnatt[[#This Row],[Start Date]],AO$29&lt;ProposalToGnatt[[#This Row],[Start Date]]+ProposalToGnatt[[#This Row],[Days]]),$G$5,"")),"")</f>
        <v/>
      </c>
      <c r="AP33" s="37" t="str">
        <f ca="1">IFERROR(+IF(AP$29=ProposalToGnatt[[#This Row],[Start Date]],Milestone_Marker,IF(AND(AP$29&gt;ProposalToGnatt[[#This Row],[Start Date]],AP$29&lt;ProposalToGnatt[[#This Row],[Start Date]]+ProposalToGnatt[[#This Row],[Days]]),$G$5,"")),"")</f>
        <v/>
      </c>
      <c r="AQ33" s="37" t="str">
        <f ca="1">IFERROR(+IF(AQ$29=ProposalToGnatt[[#This Row],[Start Date]],Milestone_Marker,IF(AND(AQ$29&gt;ProposalToGnatt[[#This Row],[Start Date]],AQ$29&lt;ProposalToGnatt[[#This Row],[Start Date]]+ProposalToGnatt[[#This Row],[Days]]),$G$5,"")),"")</f>
        <v/>
      </c>
      <c r="AR33" s="37" t="str">
        <f ca="1">IFERROR(+IF(AR$29=ProposalToGnatt[[#This Row],[Start Date]],Milestone_Marker,IF(AND(AR$29&gt;ProposalToGnatt[[#This Row],[Start Date]],AR$29&lt;ProposalToGnatt[[#This Row],[Start Date]]+ProposalToGnatt[[#This Row],[Days]]),$G$5,"")),"")</f>
        <v/>
      </c>
      <c r="AS33" s="37" t="str">
        <f ca="1">IFERROR(+IF(AS$29=ProposalToGnatt[[#This Row],[Start Date]],Milestone_Marker,IF(AND(AS$29&gt;ProposalToGnatt[[#This Row],[Start Date]],AS$29&lt;ProposalToGnatt[[#This Row],[Start Date]]+ProposalToGnatt[[#This Row],[Days]]),$G$5,"")),"")</f>
        <v/>
      </c>
      <c r="AT33" s="37" t="str">
        <f ca="1">IFERROR(+IF(AT$29=ProposalToGnatt[[#This Row],[Start Date]],Milestone_Marker,IF(AND(AT$29&gt;ProposalToGnatt[[#This Row],[Start Date]],AT$29&lt;ProposalToGnatt[[#This Row],[Start Date]]+ProposalToGnatt[[#This Row],[Days]]),$G$5,"")),"")</f>
        <v/>
      </c>
      <c r="AU33" s="37" t="str">
        <f ca="1">IFERROR(+IF(AU$29=ProposalToGnatt[[#This Row],[Start Date]],Milestone_Marker,IF(AND(AU$29&gt;ProposalToGnatt[[#This Row],[Start Date]],AU$29&lt;ProposalToGnatt[[#This Row],[Start Date]]+ProposalToGnatt[[#This Row],[Days]]),$G$5,"")),"")</f>
        <v/>
      </c>
      <c r="AV33" s="37" t="str">
        <f ca="1">IFERROR(+IF(AV$29=ProposalToGnatt[[#This Row],[Start Date]],Milestone_Marker,IF(AND(AV$29&gt;ProposalToGnatt[[#This Row],[Start Date]],AV$29&lt;ProposalToGnatt[[#This Row],[Start Date]]+ProposalToGnatt[[#This Row],[Days]]),$G$5,"")),"")</f>
        <v/>
      </c>
      <c r="AW33" s="37" t="str">
        <f ca="1">IFERROR(+IF(AW$29=ProposalToGnatt[[#This Row],[Start Date]],Milestone_Marker,IF(AND(AW$29&gt;ProposalToGnatt[[#This Row],[Start Date]],AW$29&lt;ProposalToGnatt[[#This Row],[Start Date]]+ProposalToGnatt[[#This Row],[Days]]),$G$5,"")),"")</f>
        <v/>
      </c>
      <c r="AX33" s="37" t="str">
        <f ca="1">IFERROR(+IF(AX$29=ProposalToGnatt[[#This Row],[Start Date]],Milestone_Marker,IF(AND(AX$29&gt;ProposalToGnatt[[#This Row],[Start Date]],AX$29&lt;ProposalToGnatt[[#This Row],[Start Date]]+ProposalToGnatt[[#This Row],[Days]]),$G$5,"")),"")</f>
        <v/>
      </c>
      <c r="AY33" s="37" t="str">
        <f ca="1">IFERROR(+IF(AY$29=ProposalToGnatt[[#This Row],[Start Date]],Milestone_Marker,IF(AND(AY$29&gt;ProposalToGnatt[[#This Row],[Start Date]],AY$29&lt;ProposalToGnatt[[#This Row],[Start Date]]+ProposalToGnatt[[#This Row],[Days]]),$G$5,"")),"")</f>
        <v/>
      </c>
      <c r="AZ33" s="37" t="str">
        <f ca="1">IFERROR(+IF(AZ$29=ProposalToGnatt[[#This Row],[Start Date]],Milestone_Marker,IF(AND(AZ$29&gt;ProposalToGnatt[[#This Row],[Start Date]],AZ$29&lt;ProposalToGnatt[[#This Row],[Start Date]]+ProposalToGnatt[[#This Row],[Days]]),$G$5,"")),"")</f>
        <v/>
      </c>
      <c r="BA33" s="37" t="str">
        <f ca="1">IFERROR(+IF(BA$29=ProposalToGnatt[[#This Row],[Start Date]],Milestone_Marker,IF(AND(BA$29&gt;ProposalToGnatt[[#This Row],[Start Date]],BA$29&lt;ProposalToGnatt[[#This Row],[Start Date]]+ProposalToGnatt[[#This Row],[Days]]),$G$5,"")),"")</f>
        <v/>
      </c>
      <c r="BB33" s="37" t="str">
        <f ca="1">IFERROR(+IF(BB$29=ProposalToGnatt[[#This Row],[Start Date]],Milestone_Marker,IF(AND(BB$29&gt;ProposalToGnatt[[#This Row],[Start Date]],BB$29&lt;ProposalToGnatt[[#This Row],[Start Date]]+ProposalToGnatt[[#This Row],[Days]]),$G$5,"")),"")</f>
        <v/>
      </c>
      <c r="BC33" s="37" t="str">
        <f ca="1">IFERROR(+IF(BC$29=ProposalToGnatt[[#This Row],[Start Date]],Milestone_Marker,IF(AND(BC$29&gt;ProposalToGnatt[[#This Row],[Start Date]],BC$29&lt;ProposalToGnatt[[#This Row],[Start Date]]+ProposalToGnatt[[#This Row],[Days]]),$G$5,"")),"")</f>
        <v/>
      </c>
      <c r="BD33" s="37" t="str">
        <f ca="1">IFERROR(+IF(BD$29=ProposalToGnatt[[#This Row],[Start Date]],Milestone_Marker,IF(AND(BD$29&gt;ProposalToGnatt[[#This Row],[Start Date]],BD$29&lt;ProposalToGnatt[[#This Row],[Start Date]]+ProposalToGnatt[[#This Row],[Days]]),$G$5,"")),"")</f>
        <v/>
      </c>
      <c r="BE33" s="37" t="str">
        <f ca="1">IFERROR(+IF(BE$29=ProposalToGnatt[[#This Row],[Start Date]],Milestone_Marker,IF(AND(BE$29&gt;ProposalToGnatt[[#This Row],[Start Date]],BE$29&lt;ProposalToGnatt[[#This Row],[Start Date]]+ProposalToGnatt[[#This Row],[Days]]),$G$5,"")),"")</f>
        <v/>
      </c>
      <c r="BF33" s="37" t="str">
        <f ca="1">IFERROR(+IF(BF$29=ProposalToGnatt[[#This Row],[Start Date]],Milestone_Marker,IF(AND(BF$29&gt;ProposalToGnatt[[#This Row],[Start Date]],BF$29&lt;ProposalToGnatt[[#This Row],[Start Date]]+ProposalToGnatt[[#This Row],[Days]]),$G$5,"")),"")</f>
        <v/>
      </c>
      <c r="BG33" s="37" t="str">
        <f ca="1">IFERROR(+IF(BG$29=ProposalToGnatt[[#This Row],[Start Date]],Milestone_Marker,IF(AND(BG$29&gt;ProposalToGnatt[[#This Row],[Start Date]],BG$29&lt;ProposalToGnatt[[#This Row],[Start Date]]+ProposalToGnatt[[#This Row],[Days]]),$G$5,"")),"")</f>
        <v/>
      </c>
      <c r="BH33" s="37" t="str">
        <f ca="1">IFERROR(+IF(BH$29=ProposalToGnatt[[#This Row],[Start Date]],Milestone_Marker,IF(AND(BH$29&gt;ProposalToGnatt[[#This Row],[Start Date]],BH$29&lt;ProposalToGnatt[[#This Row],[Start Date]]+ProposalToGnatt[[#This Row],[Days]]),$G$5,"")),"")</f>
        <v/>
      </c>
      <c r="BI33" s="37" t="str">
        <f ca="1">IFERROR(+IF(BI$29=ProposalToGnatt[[#This Row],[Start Date]],Milestone_Marker,IF(AND(BI$29&gt;ProposalToGnatt[[#This Row],[Start Date]],BI$29&lt;ProposalToGnatt[[#This Row],[Start Date]]+ProposalToGnatt[[#This Row],[Days]]),$G$5,"")),"")</f>
        <v/>
      </c>
      <c r="BJ33" s="37" t="str">
        <f ca="1">IFERROR(+IF(BJ$29=ProposalToGnatt[[#This Row],[Start Date]],Milestone_Marker,IF(AND(BJ$29&gt;ProposalToGnatt[[#This Row],[Start Date]],BJ$29&lt;ProposalToGnatt[[#This Row],[Start Date]]+ProposalToGnatt[[#This Row],[Days]]),$G$5,"")),"")</f>
        <v/>
      </c>
      <c r="BK33" s="37" t="str">
        <f ca="1">IFERROR(+IF(BK$29=ProposalToGnatt[[#This Row],[Start Date]],Milestone_Marker,IF(AND(BK$29&gt;ProposalToGnatt[[#This Row],[Start Date]],BK$29&lt;ProposalToGnatt[[#This Row],[Start Date]]+ProposalToGnatt[[#This Row],[Days]]),$G$5,"")),"")</f>
        <v/>
      </c>
      <c r="BL33" s="37" t="str">
        <f ca="1">IFERROR(+IF(BL$29=ProposalToGnatt[[#This Row],[Start Date]],Milestone_Marker,IF(AND(BL$29&gt;ProposalToGnatt[[#This Row],[Start Date]],BL$29&lt;ProposalToGnatt[[#This Row],[Start Date]]+ProposalToGnatt[[#This Row],[Days]]),$G$5,"")),"")</f>
        <v/>
      </c>
      <c r="BM33" s="37" t="str">
        <f ca="1">IFERROR(+IF(BM$29=ProposalToGnatt[[#This Row],[Start Date]],Milestone_Marker,IF(AND(BM$29&gt;ProposalToGnatt[[#This Row],[Start Date]],BM$29&lt;ProposalToGnatt[[#This Row],[Start Date]]+ProposalToGnatt[[#This Row],[Days]]),$G$5,"")),"")</f>
        <v/>
      </c>
      <c r="BN33" s="37" t="str">
        <f ca="1">IFERROR(+IF(BN$29=ProposalToGnatt[[#This Row],[Start Date]],Milestone_Marker,IF(AND(BN$29&gt;ProposalToGnatt[[#This Row],[Start Date]],BN$29&lt;ProposalToGnatt[[#This Row],[Start Date]]+ProposalToGnatt[[#This Row],[Days]]),$G$5,"")),"")</f>
        <v/>
      </c>
      <c r="BO33" s="37" t="str">
        <f ca="1">IFERROR(+IF(BO$29=ProposalToGnatt[[#This Row],[Start Date]],Milestone_Marker,IF(AND(BO$29&gt;ProposalToGnatt[[#This Row],[Start Date]],BO$29&lt;ProposalToGnatt[[#This Row],[Start Date]]+ProposalToGnatt[[#This Row],[Days]]),$G$5,"")),"")</f>
        <v/>
      </c>
      <c r="BP33" s="37" t="str">
        <f ca="1">IFERROR(+IF(BP$29=ProposalToGnatt[[#This Row],[Start Date]],Milestone_Marker,IF(AND(BP$29&gt;ProposalToGnatt[[#This Row],[Start Date]],BP$29&lt;ProposalToGnatt[[#This Row],[Start Date]]+ProposalToGnatt[[#This Row],[Days]]),$G$5,"")),"")</f>
        <v/>
      </c>
      <c r="BQ33" s="37" t="str">
        <f ca="1">IFERROR(+IF(BQ$29=ProposalToGnatt[[#This Row],[Start Date]],Milestone_Marker,IF(AND(BQ$29&gt;ProposalToGnatt[[#This Row],[Start Date]],BQ$29&lt;ProposalToGnatt[[#This Row],[Start Date]]+ProposalToGnatt[[#This Row],[Days]]),$G$5,"")),"")</f>
        <v/>
      </c>
      <c r="BR33" s="37" t="str">
        <f ca="1">IFERROR(+IF(BR$29=ProposalToGnatt[[#This Row],[Start Date]],Milestone_Marker,IF(AND(BR$29&gt;ProposalToGnatt[[#This Row],[Start Date]],BR$29&lt;ProposalToGnatt[[#This Row],[Start Date]]+ProposalToGnatt[[#This Row],[Days]]),$G$5,"")),"")</f>
        <v/>
      </c>
      <c r="BS33" s="37" t="str">
        <f ca="1">IFERROR(+IF(BS$29=ProposalToGnatt[[#This Row],[Start Date]],Milestone_Marker,IF(AND(BS$29&gt;ProposalToGnatt[[#This Row],[Start Date]],BS$29&lt;ProposalToGnatt[[#This Row],[Start Date]]+ProposalToGnatt[[#This Row],[Days]]),$G$5,"")),"")</f>
        <v/>
      </c>
      <c r="BT33" s="37" t="str">
        <f ca="1">IFERROR(+IF(BT$29=ProposalToGnatt[[#This Row],[Start Date]],Milestone_Marker,IF(AND(BT$29&gt;ProposalToGnatt[[#This Row],[Start Date]],BT$29&lt;ProposalToGnatt[[#This Row],[Start Date]]+ProposalToGnatt[[#This Row],[Days]]),$G$5,"")),"")</f>
        <v/>
      </c>
      <c r="BU33" s="37" t="str">
        <f ca="1">IFERROR(+IF(BU$29=ProposalToGnatt[[#This Row],[Start Date]],Milestone_Marker,IF(AND(BU$29&gt;ProposalToGnatt[[#This Row],[Start Date]],BU$29&lt;ProposalToGnatt[[#This Row],[Start Date]]+ProposalToGnatt[[#This Row],[Days]]),$G$5,"")),"")</f>
        <v/>
      </c>
      <c r="BV33" s="37" t="str">
        <f ca="1">IFERROR(+IF(BV$29=ProposalToGnatt[[#This Row],[Start Date]],Milestone_Marker,IF(AND(BV$29&gt;ProposalToGnatt[[#This Row],[Start Date]],BV$29&lt;ProposalToGnatt[[#This Row],[Start Date]]+ProposalToGnatt[[#This Row],[Days]]),$G$5,"")),"")</f>
        <v/>
      </c>
      <c r="BW33" s="37" t="str">
        <f ca="1">IFERROR(+IF(BW$29=ProposalToGnatt[[#This Row],[Start Date]],Milestone_Marker,IF(AND(BW$29&gt;ProposalToGnatt[[#This Row],[Start Date]],BW$29&lt;ProposalToGnatt[[#This Row],[Start Date]]+ProposalToGnatt[[#This Row],[Days]]),$G$5,"")),"")</f>
        <v/>
      </c>
      <c r="BX33" s="37" t="str">
        <f ca="1">IFERROR(+IF(BX$29=ProposalToGnatt[[#This Row],[Start Date]],Milestone_Marker,IF(AND(BX$29&gt;ProposalToGnatt[[#This Row],[Start Date]],BX$29&lt;ProposalToGnatt[[#This Row],[Start Date]]+ProposalToGnatt[[#This Row],[Days]]),$G$5,"")),"")</f>
        <v/>
      </c>
      <c r="BY33" s="37" t="str">
        <f ca="1">IFERROR(+IF(BY$29=ProposalToGnatt[[#This Row],[Start Date]],Milestone_Marker,IF(AND(BY$29&gt;ProposalToGnatt[[#This Row],[Start Date]],BY$29&lt;ProposalToGnatt[[#This Row],[Start Date]]+ProposalToGnatt[[#This Row],[Days]]),$G$5,"")),"")</f>
        <v/>
      </c>
      <c r="BZ33" s="37" t="str">
        <f ca="1">IFERROR(+IF(BZ$29=ProposalToGnatt[[#This Row],[Start Date]],Milestone_Marker,IF(AND(BZ$29&gt;ProposalToGnatt[[#This Row],[Start Date]],BZ$29&lt;ProposalToGnatt[[#This Row],[Start Date]]+ProposalToGnatt[[#This Row],[Days]]),$G$5,"")),"")</f>
        <v/>
      </c>
      <c r="CA33" s="37" t="str">
        <f ca="1">IFERROR(+IF(CA$29=ProposalToGnatt[[#This Row],[Start Date]],Milestone_Marker,IF(AND(CA$29&gt;ProposalToGnatt[[#This Row],[Start Date]],CA$29&lt;ProposalToGnatt[[#This Row],[Start Date]]+ProposalToGnatt[[#This Row],[Days]]),$G$5,"")),"")</f>
        <v/>
      </c>
      <c r="CB33" s="37" t="str">
        <f ca="1">IFERROR(+IF(CB$29=ProposalToGnatt[[#This Row],[Start Date]],Milestone_Marker,IF(AND(CB$29&gt;ProposalToGnatt[[#This Row],[Start Date]],CB$29&lt;ProposalToGnatt[[#This Row],[Start Date]]+ProposalToGnatt[[#This Row],[Days]]),$G$5,"")),"")</f>
        <v/>
      </c>
      <c r="CC33" s="37" t="str">
        <f ca="1">IFERROR(+IF(CC$29=ProposalToGnatt[[#This Row],[Start Date]],Milestone_Marker,IF(AND(CC$29&gt;ProposalToGnatt[[#This Row],[Start Date]],CC$29&lt;ProposalToGnatt[[#This Row],[Start Date]]+ProposalToGnatt[[#This Row],[Days]]),$G$5,"")),"")</f>
        <v/>
      </c>
      <c r="CD33" s="37" t="str">
        <f ca="1">IFERROR(+IF(CD$29=ProposalToGnatt[[#This Row],[Start Date]],Milestone_Marker,IF(AND(CD$29&gt;ProposalToGnatt[[#This Row],[Start Date]],CD$29&lt;ProposalToGnatt[[#This Row],[Start Date]]+ProposalToGnatt[[#This Row],[Days]]),$G$5,"")),"")</f>
        <v/>
      </c>
      <c r="CE33" s="37" t="str">
        <f ca="1">IFERROR(+IF(CE$29=ProposalToGnatt[[#This Row],[Start Date]],Milestone_Marker,IF(AND(CE$29&gt;ProposalToGnatt[[#This Row],[Start Date]],CE$29&lt;ProposalToGnatt[[#This Row],[Start Date]]+ProposalToGnatt[[#This Row],[Days]]),$G$5,"")),"")</f>
        <v/>
      </c>
      <c r="CF33" s="37" t="str">
        <f ca="1">IFERROR(+IF(CF$29=ProposalToGnatt[[#This Row],[Start Date]],Milestone_Marker,IF(AND(CF$29&gt;ProposalToGnatt[[#This Row],[Start Date]],CF$29&lt;ProposalToGnatt[[#This Row],[Start Date]]+ProposalToGnatt[[#This Row],[Days]]),$G$5,"")),"")</f>
        <v/>
      </c>
      <c r="CG33" s="37" t="str">
        <f ca="1">IFERROR(+IF(CG$29=ProposalToGnatt[[#This Row],[Start Date]],Milestone_Marker,IF(AND(CG$29&gt;ProposalToGnatt[[#This Row],[Start Date]],CG$29&lt;ProposalToGnatt[[#This Row],[Start Date]]+ProposalToGnatt[[#This Row],[Days]]),$G$5,"")),"")</f>
        <v/>
      </c>
      <c r="CH33" s="37" t="str">
        <f ca="1">IFERROR(+IF(CH$29=ProposalToGnatt[[#This Row],[Start Date]],Milestone_Marker,IF(AND(CH$29&gt;ProposalToGnatt[[#This Row],[Start Date]],CH$29&lt;ProposalToGnatt[[#This Row],[Start Date]]+ProposalToGnatt[[#This Row],[Days]]),$G$5,"")),"")</f>
        <v/>
      </c>
      <c r="CI33" s="37" t="str">
        <f ca="1">IFERROR(+IF(CI$29=ProposalToGnatt[[#This Row],[Start Date]],Milestone_Marker,IF(AND(CI$29&gt;ProposalToGnatt[[#This Row],[Start Date]],CI$29&lt;ProposalToGnatt[[#This Row],[Start Date]]+ProposalToGnatt[[#This Row],[Days]]),$G$5,"")),"")</f>
        <v/>
      </c>
      <c r="CJ33" s="37" t="str">
        <f ca="1">IFERROR(+IF(CJ$29=ProposalToGnatt[[#This Row],[Start Date]],Milestone_Marker,IF(AND(CJ$29&gt;ProposalToGnatt[[#This Row],[Start Date]],CJ$29&lt;ProposalToGnatt[[#This Row],[Start Date]]+ProposalToGnatt[[#This Row],[Days]]),$G$5,"")),"")</f>
        <v/>
      </c>
      <c r="CK33" s="37" t="str">
        <f ca="1">IFERROR(+IF(CK$29=ProposalToGnatt[[#This Row],[Start Date]],Milestone_Marker,IF(AND(CK$29&gt;ProposalToGnatt[[#This Row],[Start Date]],CK$29&lt;ProposalToGnatt[[#This Row],[Start Date]]+ProposalToGnatt[[#This Row],[Days]]),$G$5,"")),"")</f>
        <v/>
      </c>
      <c r="CL33" s="37" t="str">
        <f ca="1">IFERROR(+IF(CL$29=ProposalToGnatt[[#This Row],[Start Date]],Milestone_Marker,IF(AND(CL$29&gt;ProposalToGnatt[[#This Row],[Start Date]],CL$29&lt;ProposalToGnatt[[#This Row],[Start Date]]+ProposalToGnatt[[#This Row],[Days]]),$G$5,"")),"")</f>
        <v/>
      </c>
      <c r="CM33" s="37" t="str">
        <f ca="1">IFERROR(+IF(CM$29=ProposalToGnatt[[#This Row],[Start Date]],Milestone_Marker,IF(AND(CM$29&gt;ProposalToGnatt[[#This Row],[Start Date]],CM$29&lt;ProposalToGnatt[[#This Row],[Start Date]]+ProposalToGnatt[[#This Row],[Days]]),$G$5,"")),"")</f>
        <v/>
      </c>
      <c r="CN33" s="37" t="str">
        <f ca="1">IFERROR(+IF(CN$29=ProposalToGnatt[[#This Row],[Start Date]],Milestone_Marker,IF(AND(CN$29&gt;ProposalToGnatt[[#This Row],[Start Date]],CN$29&lt;ProposalToGnatt[[#This Row],[Start Date]]+ProposalToGnatt[[#This Row],[Days]]),$G$5,"")),"")</f>
        <v/>
      </c>
      <c r="CO33" s="37" t="str">
        <f ca="1">IFERROR(+IF(CO$29=ProposalToGnatt[[#This Row],[Start Date]],Milestone_Marker,IF(AND(CO$29&gt;ProposalToGnatt[[#This Row],[Start Date]],CO$29&lt;ProposalToGnatt[[#This Row],[Start Date]]+ProposalToGnatt[[#This Row],[Days]]),$G$5,"")),"")</f>
        <v/>
      </c>
      <c r="CP33" s="37" t="str">
        <f ca="1">IFERROR(+IF(CP$29=ProposalToGnatt[[#This Row],[Start Date]],Milestone_Marker,IF(AND(CP$29&gt;ProposalToGnatt[[#This Row],[Start Date]],CP$29&lt;ProposalToGnatt[[#This Row],[Start Date]]+ProposalToGnatt[[#This Row],[Days]]),$G$5,"")),"")</f>
        <v/>
      </c>
      <c r="CQ33" s="37" t="str">
        <f ca="1">IFERROR(+IF(CQ$29=ProposalToGnatt[[#This Row],[Start Date]],Milestone_Marker,IF(AND(CQ$29&gt;ProposalToGnatt[[#This Row],[Start Date]],CQ$29&lt;ProposalToGnatt[[#This Row],[Start Date]]+ProposalToGnatt[[#This Row],[Days]]),$G$5,"")),"")</f>
        <v/>
      </c>
      <c r="CR33" s="37" t="str">
        <f ca="1">IFERROR(+IF(CR$29=ProposalToGnatt[[#This Row],[Start Date]],Milestone_Marker,IF(AND(CR$29&gt;ProposalToGnatt[[#This Row],[Start Date]],CR$29&lt;ProposalToGnatt[[#This Row],[Start Date]]+ProposalToGnatt[[#This Row],[Days]]),$G$5,"")),"")</f>
        <v/>
      </c>
      <c r="CS33" s="37" t="str">
        <f ca="1">IFERROR(+IF(CS$29=ProposalToGnatt[[#This Row],[Start Date]],Milestone_Marker,IF(AND(CS$29&gt;ProposalToGnatt[[#This Row],[Start Date]],CS$29&lt;ProposalToGnatt[[#This Row],[Start Date]]+ProposalToGnatt[[#This Row],[Days]]),$G$5,"")),"")</f>
        <v/>
      </c>
      <c r="CT33" s="37" t="str">
        <f ca="1">IFERROR(+IF(CT$29=ProposalToGnatt[[#This Row],[Start Date]],Milestone_Marker,IF(AND(CT$29&gt;ProposalToGnatt[[#This Row],[Start Date]],CT$29&lt;ProposalToGnatt[[#This Row],[Start Date]]+ProposalToGnatt[[#This Row],[Days]]),$G$5,"")),"")</f>
        <v/>
      </c>
      <c r="CU33" s="37" t="str">
        <f ca="1">IFERROR(+IF(CU$29=ProposalToGnatt[[#This Row],[Start Date]],Milestone_Marker,IF(AND(CU$29&gt;ProposalToGnatt[[#This Row],[Start Date]],CU$29&lt;ProposalToGnatt[[#This Row],[Start Date]]+ProposalToGnatt[[#This Row],[Days]]),$G$5,"")),"")</f>
        <v/>
      </c>
      <c r="CV33" s="37"/>
      <c r="CW33" s="37"/>
      <c r="CX33" s="37"/>
      <c r="CY33" s="37"/>
      <c r="CZ33" s="37"/>
      <c r="DA33" s="37"/>
      <c r="DB33" s="37"/>
      <c r="DC33" s="37"/>
      <c r="DD33" s="37"/>
      <c r="DE33" s="37"/>
      <c r="DF33" s="37"/>
      <c r="DG33" s="37"/>
      <c r="DH33" s="37"/>
      <c r="DI33" s="37"/>
      <c r="DJ33" s="37"/>
      <c r="DK33" s="37"/>
      <c r="DL33" s="37"/>
      <c r="DM33" s="37"/>
      <c r="DN33" s="37"/>
      <c r="DO33" s="37"/>
      <c r="DP33" s="37"/>
      <c r="DQ33" s="37"/>
      <c r="DR33" s="37"/>
      <c r="DS33" s="37"/>
      <c r="DT33" s="37"/>
      <c r="DU33" s="37"/>
    </row>
    <row r="34" spans="1:125" s="42" customFormat="1" ht="20.100000000000001" customHeight="1" x14ac:dyDescent="0.25">
      <c r="A34" t="s">
        <v>428</v>
      </c>
      <c r="B34">
        <v>9</v>
      </c>
      <c r="C34" t="s">
        <v>317</v>
      </c>
      <c r="D34" t="s">
        <v>310</v>
      </c>
      <c r="E34" t="s">
        <v>318</v>
      </c>
      <c r="F34">
        <v>0</v>
      </c>
      <c r="G34" s="14">
        <v>0</v>
      </c>
      <c r="H34" s="14">
        <v>0</v>
      </c>
      <c r="I34" t="s">
        <v>45</v>
      </c>
      <c r="J34">
        <v>0</v>
      </c>
      <c r="K34" s="303"/>
      <c r="L34"/>
      <c r="M34" s="14"/>
      <c r="N34" s="352">
        <v>0</v>
      </c>
      <c r="O34" s="340"/>
      <c r="P34" s="37" t="str">
        <f ca="1">IFERROR(+IF(P$29=ProposalToGnatt[[#This Row],[Start Date]],Milestone_Marker,IF(AND(P$29&gt;ProposalToGnatt[[#This Row],[Start Date]],P$29&lt;ProposalToGnatt[[#This Row],[Start Date]]+ProposalToGnatt[[#This Row],[Days]]),$G$5,"")),"")</f>
        <v/>
      </c>
      <c r="Q34" s="37" t="str">
        <f ca="1">IFERROR(+IF(Q$29=ProposalToGnatt[[#This Row],[Start Date]],Milestone_Marker,IF(AND(Q$29&gt;ProposalToGnatt[[#This Row],[Start Date]],Q$29&lt;ProposalToGnatt[[#This Row],[Start Date]]+ProposalToGnatt[[#This Row],[Days]]),$G$5,"")),"")</f>
        <v/>
      </c>
      <c r="R34" s="37" t="str">
        <f ca="1">IFERROR(+IF(R$29=ProposalToGnatt[[#This Row],[Start Date]],Milestone_Marker,IF(AND(R$29&gt;ProposalToGnatt[[#This Row],[Start Date]],R$29&lt;ProposalToGnatt[[#This Row],[Start Date]]+ProposalToGnatt[[#This Row],[Days]]),$G$5,"")),"")</f>
        <v/>
      </c>
      <c r="S34" s="37" t="str">
        <f ca="1">IFERROR(+IF(S$29=ProposalToGnatt[[#This Row],[Start Date]],Milestone_Marker,IF(AND(S$29&gt;ProposalToGnatt[[#This Row],[Start Date]],S$29&lt;ProposalToGnatt[[#This Row],[Start Date]]+ProposalToGnatt[[#This Row],[Days]]),$G$5,"")),"")</f>
        <v/>
      </c>
      <c r="T34" s="37" t="str">
        <f ca="1">IFERROR(+IF(T$29=ProposalToGnatt[[#This Row],[Start Date]],Milestone_Marker,IF(AND(T$29&gt;ProposalToGnatt[[#This Row],[Start Date]],T$29&lt;ProposalToGnatt[[#This Row],[Start Date]]+ProposalToGnatt[[#This Row],[Days]]),$G$5,"")),"")</f>
        <v/>
      </c>
      <c r="U34" s="37" t="str">
        <f ca="1">IFERROR(+IF(U$29=ProposalToGnatt[[#This Row],[Start Date]],Milestone_Marker,IF(AND(U$29&gt;ProposalToGnatt[[#This Row],[Start Date]],U$29&lt;ProposalToGnatt[[#This Row],[Start Date]]+ProposalToGnatt[[#This Row],[Days]]),$G$5,"")),"")</f>
        <v/>
      </c>
      <c r="V34" s="37" t="str">
        <f ca="1">IFERROR(+IF(V$29=ProposalToGnatt[[#This Row],[Start Date]],Milestone_Marker,IF(AND(V$29&gt;ProposalToGnatt[[#This Row],[Start Date]],V$29&lt;ProposalToGnatt[[#This Row],[Start Date]]+ProposalToGnatt[[#This Row],[Days]]),$G$5,"")),"")</f>
        <v/>
      </c>
      <c r="W34" s="37" t="str">
        <f ca="1">IFERROR(+IF(W$29=ProposalToGnatt[[#This Row],[Start Date]],Milestone_Marker,IF(AND(W$29&gt;ProposalToGnatt[[#This Row],[Start Date]],W$29&lt;ProposalToGnatt[[#This Row],[Start Date]]+ProposalToGnatt[[#This Row],[Days]]),$G$5,"")),"")</f>
        <v/>
      </c>
      <c r="X34" s="37" t="str">
        <f ca="1">IFERROR(+IF(X$29=ProposalToGnatt[[#This Row],[Start Date]],Milestone_Marker,IF(AND(X$29&gt;ProposalToGnatt[[#This Row],[Start Date]],X$29&lt;ProposalToGnatt[[#This Row],[Start Date]]+ProposalToGnatt[[#This Row],[Days]]),$G$5,"")),"")</f>
        <v/>
      </c>
      <c r="Y34" s="37" t="str">
        <f ca="1">IFERROR(+IF(Y$29=ProposalToGnatt[[#This Row],[Start Date]],Milestone_Marker,IF(AND(Y$29&gt;ProposalToGnatt[[#This Row],[Start Date]],Y$29&lt;ProposalToGnatt[[#This Row],[Start Date]]+ProposalToGnatt[[#This Row],[Days]]),$G$5,"")),"")</f>
        <v/>
      </c>
      <c r="Z34" s="37" t="str">
        <f ca="1">IFERROR(+IF(Z$29=ProposalToGnatt[[#This Row],[Start Date]],Milestone_Marker,IF(AND(Z$29&gt;ProposalToGnatt[[#This Row],[Start Date]],Z$29&lt;ProposalToGnatt[[#This Row],[Start Date]]+ProposalToGnatt[[#This Row],[Days]]),$G$5,"")),"")</f>
        <v/>
      </c>
      <c r="AA34" s="37" t="str">
        <f ca="1">IFERROR(+IF(AA$29=ProposalToGnatt[[#This Row],[Start Date]],Milestone_Marker,IF(AND(AA$29&gt;ProposalToGnatt[[#This Row],[Start Date]],AA$29&lt;ProposalToGnatt[[#This Row],[Start Date]]+ProposalToGnatt[[#This Row],[Days]]),$G$5,"")),"")</f>
        <v/>
      </c>
      <c r="AB34" s="37" t="str">
        <f ca="1">IFERROR(+IF(AB$29=ProposalToGnatt[[#This Row],[Start Date]],Milestone_Marker,IF(AND(AB$29&gt;ProposalToGnatt[[#This Row],[Start Date]],AB$29&lt;ProposalToGnatt[[#This Row],[Start Date]]+ProposalToGnatt[[#This Row],[Days]]),$G$5,"")),"")</f>
        <v/>
      </c>
      <c r="AC34" s="37" t="str">
        <f ca="1">IFERROR(+IF(AC$29=ProposalToGnatt[[#This Row],[Start Date]],Milestone_Marker,IF(AND(AC$29&gt;ProposalToGnatt[[#This Row],[Start Date]],AC$29&lt;ProposalToGnatt[[#This Row],[Start Date]]+ProposalToGnatt[[#This Row],[Days]]),$G$5,"")),"")</f>
        <v/>
      </c>
      <c r="AD34" s="37" t="str">
        <f ca="1">IFERROR(+IF(AD$29=ProposalToGnatt[[#This Row],[Start Date]],Milestone_Marker,IF(AND(AD$29&gt;ProposalToGnatt[[#This Row],[Start Date]],AD$29&lt;ProposalToGnatt[[#This Row],[Start Date]]+ProposalToGnatt[[#This Row],[Days]]),$G$5,"")),"")</f>
        <v/>
      </c>
      <c r="AE34" s="37" t="str">
        <f ca="1">IFERROR(+IF(AE$29=ProposalToGnatt[[#This Row],[Start Date]],Milestone_Marker,IF(AND(AE$29&gt;ProposalToGnatt[[#This Row],[Start Date]],AE$29&lt;ProposalToGnatt[[#This Row],[Start Date]]+ProposalToGnatt[[#This Row],[Days]]),$G$5,"")),"")</f>
        <v/>
      </c>
      <c r="AF34" s="37" t="str">
        <f ca="1">IFERROR(+IF(AF$29=ProposalToGnatt[[#This Row],[Start Date]],Milestone_Marker,IF(AND(AF$29&gt;ProposalToGnatt[[#This Row],[Start Date]],AF$29&lt;ProposalToGnatt[[#This Row],[Start Date]]+ProposalToGnatt[[#This Row],[Days]]),$G$5,"")),"")</f>
        <v/>
      </c>
      <c r="AG34" s="37" t="str">
        <f ca="1">IFERROR(+IF(AG$29=ProposalToGnatt[[#This Row],[Start Date]],Milestone_Marker,IF(AND(AG$29&gt;ProposalToGnatt[[#This Row],[Start Date]],AG$29&lt;ProposalToGnatt[[#This Row],[Start Date]]+ProposalToGnatt[[#This Row],[Days]]),$G$5,"")),"")</f>
        <v/>
      </c>
      <c r="AH34" s="37" t="str">
        <f ca="1">IFERROR(+IF(AH$29=ProposalToGnatt[[#This Row],[Start Date]],Milestone_Marker,IF(AND(AH$29&gt;ProposalToGnatt[[#This Row],[Start Date]],AH$29&lt;ProposalToGnatt[[#This Row],[Start Date]]+ProposalToGnatt[[#This Row],[Days]]),$G$5,"")),"")</f>
        <v/>
      </c>
      <c r="AI34" s="37" t="str">
        <f ca="1">IFERROR(+IF(AI$29=ProposalToGnatt[[#This Row],[Start Date]],Milestone_Marker,IF(AND(AI$29&gt;ProposalToGnatt[[#This Row],[Start Date]],AI$29&lt;ProposalToGnatt[[#This Row],[Start Date]]+ProposalToGnatt[[#This Row],[Days]]),$G$5,"")),"")</f>
        <v/>
      </c>
      <c r="AJ34" s="37" t="str">
        <f ca="1">IFERROR(+IF(AJ$29=ProposalToGnatt[[#This Row],[Start Date]],Milestone_Marker,IF(AND(AJ$29&gt;ProposalToGnatt[[#This Row],[Start Date]],AJ$29&lt;ProposalToGnatt[[#This Row],[Start Date]]+ProposalToGnatt[[#This Row],[Days]]),$G$5,"")),"")</f>
        <v/>
      </c>
      <c r="AK34" s="37" t="str">
        <f ca="1">IFERROR(+IF(AK$29=ProposalToGnatt[[#This Row],[Start Date]],Milestone_Marker,IF(AND(AK$29&gt;ProposalToGnatt[[#This Row],[Start Date]],AK$29&lt;ProposalToGnatt[[#This Row],[Start Date]]+ProposalToGnatt[[#This Row],[Days]]),$G$5,"")),"")</f>
        <v/>
      </c>
      <c r="AL34" s="37" t="str">
        <f ca="1">IFERROR(+IF(AL$29=ProposalToGnatt[[#This Row],[Start Date]],Milestone_Marker,IF(AND(AL$29&gt;ProposalToGnatt[[#This Row],[Start Date]],AL$29&lt;ProposalToGnatt[[#This Row],[Start Date]]+ProposalToGnatt[[#This Row],[Days]]),$G$5,"")),"")</f>
        <v/>
      </c>
      <c r="AM34" s="37" t="str">
        <f ca="1">IFERROR(+IF(AM$29=ProposalToGnatt[[#This Row],[Start Date]],Milestone_Marker,IF(AND(AM$29&gt;ProposalToGnatt[[#This Row],[Start Date]],AM$29&lt;ProposalToGnatt[[#This Row],[Start Date]]+ProposalToGnatt[[#This Row],[Days]]),$G$5,"")),"")</f>
        <v/>
      </c>
      <c r="AN34" s="37" t="str">
        <f ca="1">IFERROR(+IF(AN$29=ProposalToGnatt[[#This Row],[Start Date]],Milestone_Marker,IF(AND(AN$29&gt;ProposalToGnatt[[#This Row],[Start Date]],AN$29&lt;ProposalToGnatt[[#This Row],[Start Date]]+ProposalToGnatt[[#This Row],[Days]]),$G$5,"")),"")</f>
        <v/>
      </c>
      <c r="AO34" s="37" t="str">
        <f ca="1">IFERROR(+IF(AO$29=ProposalToGnatt[[#This Row],[Start Date]],Milestone_Marker,IF(AND(AO$29&gt;ProposalToGnatt[[#This Row],[Start Date]],AO$29&lt;ProposalToGnatt[[#This Row],[Start Date]]+ProposalToGnatt[[#This Row],[Days]]),$G$5,"")),"")</f>
        <v/>
      </c>
      <c r="AP34" s="37" t="str">
        <f ca="1">IFERROR(+IF(AP$29=ProposalToGnatt[[#This Row],[Start Date]],Milestone_Marker,IF(AND(AP$29&gt;ProposalToGnatt[[#This Row],[Start Date]],AP$29&lt;ProposalToGnatt[[#This Row],[Start Date]]+ProposalToGnatt[[#This Row],[Days]]),$G$5,"")),"")</f>
        <v/>
      </c>
      <c r="AQ34" s="37" t="str">
        <f ca="1">IFERROR(+IF(AQ$29=ProposalToGnatt[[#This Row],[Start Date]],Milestone_Marker,IF(AND(AQ$29&gt;ProposalToGnatt[[#This Row],[Start Date]],AQ$29&lt;ProposalToGnatt[[#This Row],[Start Date]]+ProposalToGnatt[[#This Row],[Days]]),$G$5,"")),"")</f>
        <v/>
      </c>
      <c r="AR34" s="37" t="str">
        <f ca="1">IFERROR(+IF(AR$29=ProposalToGnatt[[#This Row],[Start Date]],Milestone_Marker,IF(AND(AR$29&gt;ProposalToGnatt[[#This Row],[Start Date]],AR$29&lt;ProposalToGnatt[[#This Row],[Start Date]]+ProposalToGnatt[[#This Row],[Days]]),$G$5,"")),"")</f>
        <v/>
      </c>
      <c r="AS34" s="37" t="str">
        <f ca="1">IFERROR(+IF(AS$29=ProposalToGnatt[[#This Row],[Start Date]],Milestone_Marker,IF(AND(AS$29&gt;ProposalToGnatt[[#This Row],[Start Date]],AS$29&lt;ProposalToGnatt[[#This Row],[Start Date]]+ProposalToGnatt[[#This Row],[Days]]),$G$5,"")),"")</f>
        <v/>
      </c>
      <c r="AT34" s="37" t="str">
        <f ca="1">IFERROR(+IF(AT$29=ProposalToGnatt[[#This Row],[Start Date]],Milestone_Marker,IF(AND(AT$29&gt;ProposalToGnatt[[#This Row],[Start Date]],AT$29&lt;ProposalToGnatt[[#This Row],[Start Date]]+ProposalToGnatt[[#This Row],[Days]]),$G$5,"")),"")</f>
        <v/>
      </c>
      <c r="AU34" s="37" t="str">
        <f ca="1">IFERROR(+IF(AU$29=ProposalToGnatt[[#This Row],[Start Date]],Milestone_Marker,IF(AND(AU$29&gt;ProposalToGnatt[[#This Row],[Start Date]],AU$29&lt;ProposalToGnatt[[#This Row],[Start Date]]+ProposalToGnatt[[#This Row],[Days]]),$G$5,"")),"")</f>
        <v/>
      </c>
      <c r="AV34" s="37" t="str">
        <f ca="1">IFERROR(+IF(AV$29=ProposalToGnatt[[#This Row],[Start Date]],Milestone_Marker,IF(AND(AV$29&gt;ProposalToGnatt[[#This Row],[Start Date]],AV$29&lt;ProposalToGnatt[[#This Row],[Start Date]]+ProposalToGnatt[[#This Row],[Days]]),$G$5,"")),"")</f>
        <v/>
      </c>
      <c r="AW34" s="37" t="str">
        <f ca="1">IFERROR(+IF(AW$29=ProposalToGnatt[[#This Row],[Start Date]],Milestone_Marker,IF(AND(AW$29&gt;ProposalToGnatt[[#This Row],[Start Date]],AW$29&lt;ProposalToGnatt[[#This Row],[Start Date]]+ProposalToGnatt[[#This Row],[Days]]),$G$5,"")),"")</f>
        <v/>
      </c>
      <c r="AX34" s="37" t="str">
        <f ca="1">IFERROR(+IF(AX$29=ProposalToGnatt[[#This Row],[Start Date]],Milestone_Marker,IF(AND(AX$29&gt;ProposalToGnatt[[#This Row],[Start Date]],AX$29&lt;ProposalToGnatt[[#This Row],[Start Date]]+ProposalToGnatt[[#This Row],[Days]]),$G$5,"")),"")</f>
        <v/>
      </c>
      <c r="AY34" s="37" t="str">
        <f ca="1">IFERROR(+IF(AY$29=ProposalToGnatt[[#This Row],[Start Date]],Milestone_Marker,IF(AND(AY$29&gt;ProposalToGnatt[[#This Row],[Start Date]],AY$29&lt;ProposalToGnatt[[#This Row],[Start Date]]+ProposalToGnatt[[#This Row],[Days]]),$G$5,"")),"")</f>
        <v/>
      </c>
      <c r="AZ34" s="37" t="str">
        <f ca="1">IFERROR(+IF(AZ$29=ProposalToGnatt[[#This Row],[Start Date]],Milestone_Marker,IF(AND(AZ$29&gt;ProposalToGnatt[[#This Row],[Start Date]],AZ$29&lt;ProposalToGnatt[[#This Row],[Start Date]]+ProposalToGnatt[[#This Row],[Days]]),$G$5,"")),"")</f>
        <v/>
      </c>
      <c r="BA34" s="37" t="str">
        <f ca="1">IFERROR(+IF(BA$29=ProposalToGnatt[[#This Row],[Start Date]],Milestone_Marker,IF(AND(BA$29&gt;ProposalToGnatt[[#This Row],[Start Date]],BA$29&lt;ProposalToGnatt[[#This Row],[Start Date]]+ProposalToGnatt[[#This Row],[Days]]),$G$5,"")),"")</f>
        <v/>
      </c>
      <c r="BB34" s="37" t="str">
        <f ca="1">IFERROR(+IF(BB$29=ProposalToGnatt[[#This Row],[Start Date]],Milestone_Marker,IF(AND(BB$29&gt;ProposalToGnatt[[#This Row],[Start Date]],BB$29&lt;ProposalToGnatt[[#This Row],[Start Date]]+ProposalToGnatt[[#This Row],[Days]]),$G$5,"")),"")</f>
        <v/>
      </c>
      <c r="BC34" s="37" t="str">
        <f ca="1">IFERROR(+IF(BC$29=ProposalToGnatt[[#This Row],[Start Date]],Milestone_Marker,IF(AND(BC$29&gt;ProposalToGnatt[[#This Row],[Start Date]],BC$29&lt;ProposalToGnatt[[#This Row],[Start Date]]+ProposalToGnatt[[#This Row],[Days]]),$G$5,"")),"")</f>
        <v/>
      </c>
      <c r="BD34" s="37" t="str">
        <f ca="1">IFERROR(+IF(BD$29=ProposalToGnatt[[#This Row],[Start Date]],Milestone_Marker,IF(AND(BD$29&gt;ProposalToGnatt[[#This Row],[Start Date]],BD$29&lt;ProposalToGnatt[[#This Row],[Start Date]]+ProposalToGnatt[[#This Row],[Days]]),$G$5,"")),"")</f>
        <v/>
      </c>
      <c r="BE34" s="37" t="str">
        <f ca="1">IFERROR(+IF(BE$29=ProposalToGnatt[[#This Row],[Start Date]],Milestone_Marker,IF(AND(BE$29&gt;ProposalToGnatt[[#This Row],[Start Date]],BE$29&lt;ProposalToGnatt[[#This Row],[Start Date]]+ProposalToGnatt[[#This Row],[Days]]),$G$5,"")),"")</f>
        <v/>
      </c>
      <c r="BF34" s="37" t="str">
        <f ca="1">IFERROR(+IF(BF$29=ProposalToGnatt[[#This Row],[Start Date]],Milestone_Marker,IF(AND(BF$29&gt;ProposalToGnatt[[#This Row],[Start Date]],BF$29&lt;ProposalToGnatt[[#This Row],[Start Date]]+ProposalToGnatt[[#This Row],[Days]]),$G$5,"")),"")</f>
        <v/>
      </c>
      <c r="BG34" s="37" t="str">
        <f ca="1">IFERROR(+IF(BG$29=ProposalToGnatt[[#This Row],[Start Date]],Milestone_Marker,IF(AND(BG$29&gt;ProposalToGnatt[[#This Row],[Start Date]],BG$29&lt;ProposalToGnatt[[#This Row],[Start Date]]+ProposalToGnatt[[#This Row],[Days]]),$G$5,"")),"")</f>
        <v/>
      </c>
      <c r="BH34" s="37" t="str">
        <f ca="1">IFERROR(+IF(BH$29=ProposalToGnatt[[#This Row],[Start Date]],Milestone_Marker,IF(AND(BH$29&gt;ProposalToGnatt[[#This Row],[Start Date]],BH$29&lt;ProposalToGnatt[[#This Row],[Start Date]]+ProposalToGnatt[[#This Row],[Days]]),$G$5,"")),"")</f>
        <v/>
      </c>
      <c r="BI34" s="37" t="str">
        <f ca="1">IFERROR(+IF(BI$29=ProposalToGnatt[[#This Row],[Start Date]],Milestone_Marker,IF(AND(BI$29&gt;ProposalToGnatt[[#This Row],[Start Date]],BI$29&lt;ProposalToGnatt[[#This Row],[Start Date]]+ProposalToGnatt[[#This Row],[Days]]),$G$5,"")),"")</f>
        <v/>
      </c>
      <c r="BJ34" s="37" t="str">
        <f ca="1">IFERROR(+IF(BJ$29=ProposalToGnatt[[#This Row],[Start Date]],Milestone_Marker,IF(AND(BJ$29&gt;ProposalToGnatt[[#This Row],[Start Date]],BJ$29&lt;ProposalToGnatt[[#This Row],[Start Date]]+ProposalToGnatt[[#This Row],[Days]]),$G$5,"")),"")</f>
        <v/>
      </c>
      <c r="BK34" s="37" t="str">
        <f ca="1">IFERROR(+IF(BK$29=ProposalToGnatt[[#This Row],[Start Date]],Milestone_Marker,IF(AND(BK$29&gt;ProposalToGnatt[[#This Row],[Start Date]],BK$29&lt;ProposalToGnatt[[#This Row],[Start Date]]+ProposalToGnatt[[#This Row],[Days]]),$G$5,"")),"")</f>
        <v/>
      </c>
      <c r="BL34" s="37" t="str">
        <f ca="1">IFERROR(+IF(BL$29=ProposalToGnatt[[#This Row],[Start Date]],Milestone_Marker,IF(AND(BL$29&gt;ProposalToGnatt[[#This Row],[Start Date]],BL$29&lt;ProposalToGnatt[[#This Row],[Start Date]]+ProposalToGnatt[[#This Row],[Days]]),$G$5,"")),"")</f>
        <v/>
      </c>
      <c r="BM34" s="37" t="str">
        <f ca="1">IFERROR(+IF(BM$29=ProposalToGnatt[[#This Row],[Start Date]],Milestone_Marker,IF(AND(BM$29&gt;ProposalToGnatt[[#This Row],[Start Date]],BM$29&lt;ProposalToGnatt[[#This Row],[Start Date]]+ProposalToGnatt[[#This Row],[Days]]),$G$5,"")),"")</f>
        <v/>
      </c>
      <c r="BN34" s="37" t="str">
        <f ca="1">IFERROR(+IF(BN$29=ProposalToGnatt[[#This Row],[Start Date]],Milestone_Marker,IF(AND(BN$29&gt;ProposalToGnatt[[#This Row],[Start Date]],BN$29&lt;ProposalToGnatt[[#This Row],[Start Date]]+ProposalToGnatt[[#This Row],[Days]]),$G$5,"")),"")</f>
        <v/>
      </c>
      <c r="BO34" s="37" t="str">
        <f ca="1">IFERROR(+IF(BO$29=ProposalToGnatt[[#This Row],[Start Date]],Milestone_Marker,IF(AND(BO$29&gt;ProposalToGnatt[[#This Row],[Start Date]],BO$29&lt;ProposalToGnatt[[#This Row],[Start Date]]+ProposalToGnatt[[#This Row],[Days]]),$G$5,"")),"")</f>
        <v/>
      </c>
      <c r="BP34" s="37" t="str">
        <f ca="1">IFERROR(+IF(BP$29=ProposalToGnatt[[#This Row],[Start Date]],Milestone_Marker,IF(AND(BP$29&gt;ProposalToGnatt[[#This Row],[Start Date]],BP$29&lt;ProposalToGnatt[[#This Row],[Start Date]]+ProposalToGnatt[[#This Row],[Days]]),$G$5,"")),"")</f>
        <v/>
      </c>
      <c r="BQ34" s="37" t="str">
        <f ca="1">IFERROR(+IF(BQ$29=ProposalToGnatt[[#This Row],[Start Date]],Milestone_Marker,IF(AND(BQ$29&gt;ProposalToGnatt[[#This Row],[Start Date]],BQ$29&lt;ProposalToGnatt[[#This Row],[Start Date]]+ProposalToGnatt[[#This Row],[Days]]),$G$5,"")),"")</f>
        <v/>
      </c>
      <c r="BR34" s="37" t="str">
        <f ca="1">IFERROR(+IF(BR$29=ProposalToGnatt[[#This Row],[Start Date]],Milestone_Marker,IF(AND(BR$29&gt;ProposalToGnatt[[#This Row],[Start Date]],BR$29&lt;ProposalToGnatt[[#This Row],[Start Date]]+ProposalToGnatt[[#This Row],[Days]]),$G$5,"")),"")</f>
        <v/>
      </c>
      <c r="BS34" s="37" t="str">
        <f ca="1">IFERROR(+IF(BS$29=ProposalToGnatt[[#This Row],[Start Date]],Milestone_Marker,IF(AND(BS$29&gt;ProposalToGnatt[[#This Row],[Start Date]],BS$29&lt;ProposalToGnatt[[#This Row],[Start Date]]+ProposalToGnatt[[#This Row],[Days]]),$G$5,"")),"")</f>
        <v/>
      </c>
      <c r="BT34" s="37" t="str">
        <f ca="1">IFERROR(+IF(BT$29=ProposalToGnatt[[#This Row],[Start Date]],Milestone_Marker,IF(AND(BT$29&gt;ProposalToGnatt[[#This Row],[Start Date]],BT$29&lt;ProposalToGnatt[[#This Row],[Start Date]]+ProposalToGnatt[[#This Row],[Days]]),$G$5,"")),"")</f>
        <v/>
      </c>
      <c r="BU34" s="37" t="str">
        <f ca="1">IFERROR(+IF(BU$29=ProposalToGnatt[[#This Row],[Start Date]],Milestone_Marker,IF(AND(BU$29&gt;ProposalToGnatt[[#This Row],[Start Date]],BU$29&lt;ProposalToGnatt[[#This Row],[Start Date]]+ProposalToGnatt[[#This Row],[Days]]),$G$5,"")),"")</f>
        <v/>
      </c>
      <c r="BV34" s="37" t="str">
        <f ca="1">IFERROR(+IF(BV$29=ProposalToGnatt[[#This Row],[Start Date]],Milestone_Marker,IF(AND(BV$29&gt;ProposalToGnatt[[#This Row],[Start Date]],BV$29&lt;ProposalToGnatt[[#This Row],[Start Date]]+ProposalToGnatt[[#This Row],[Days]]),$G$5,"")),"")</f>
        <v/>
      </c>
      <c r="BW34" s="37" t="str">
        <f ca="1">IFERROR(+IF(BW$29=ProposalToGnatt[[#This Row],[Start Date]],Milestone_Marker,IF(AND(BW$29&gt;ProposalToGnatt[[#This Row],[Start Date]],BW$29&lt;ProposalToGnatt[[#This Row],[Start Date]]+ProposalToGnatt[[#This Row],[Days]]),$G$5,"")),"")</f>
        <v/>
      </c>
      <c r="BX34" s="37" t="str">
        <f ca="1">IFERROR(+IF(BX$29=ProposalToGnatt[[#This Row],[Start Date]],Milestone_Marker,IF(AND(BX$29&gt;ProposalToGnatt[[#This Row],[Start Date]],BX$29&lt;ProposalToGnatt[[#This Row],[Start Date]]+ProposalToGnatt[[#This Row],[Days]]),$G$5,"")),"")</f>
        <v/>
      </c>
      <c r="BY34" s="37" t="str">
        <f ca="1">IFERROR(+IF(BY$29=ProposalToGnatt[[#This Row],[Start Date]],Milestone_Marker,IF(AND(BY$29&gt;ProposalToGnatt[[#This Row],[Start Date]],BY$29&lt;ProposalToGnatt[[#This Row],[Start Date]]+ProposalToGnatt[[#This Row],[Days]]),$G$5,"")),"")</f>
        <v/>
      </c>
      <c r="BZ34" s="37" t="str">
        <f ca="1">IFERROR(+IF(BZ$29=ProposalToGnatt[[#This Row],[Start Date]],Milestone_Marker,IF(AND(BZ$29&gt;ProposalToGnatt[[#This Row],[Start Date]],BZ$29&lt;ProposalToGnatt[[#This Row],[Start Date]]+ProposalToGnatt[[#This Row],[Days]]),$G$5,"")),"")</f>
        <v/>
      </c>
      <c r="CA34" s="37" t="str">
        <f ca="1">IFERROR(+IF(CA$29=ProposalToGnatt[[#This Row],[Start Date]],Milestone_Marker,IF(AND(CA$29&gt;ProposalToGnatt[[#This Row],[Start Date]],CA$29&lt;ProposalToGnatt[[#This Row],[Start Date]]+ProposalToGnatt[[#This Row],[Days]]),$G$5,"")),"")</f>
        <v/>
      </c>
      <c r="CB34" s="37" t="str">
        <f ca="1">IFERROR(+IF(CB$29=ProposalToGnatt[[#This Row],[Start Date]],Milestone_Marker,IF(AND(CB$29&gt;ProposalToGnatt[[#This Row],[Start Date]],CB$29&lt;ProposalToGnatt[[#This Row],[Start Date]]+ProposalToGnatt[[#This Row],[Days]]),$G$5,"")),"")</f>
        <v/>
      </c>
      <c r="CC34" s="37" t="str">
        <f ca="1">IFERROR(+IF(CC$29=ProposalToGnatt[[#This Row],[Start Date]],Milestone_Marker,IF(AND(CC$29&gt;ProposalToGnatt[[#This Row],[Start Date]],CC$29&lt;ProposalToGnatt[[#This Row],[Start Date]]+ProposalToGnatt[[#This Row],[Days]]),$G$5,"")),"")</f>
        <v/>
      </c>
      <c r="CD34" s="37" t="str">
        <f ca="1">IFERROR(+IF(CD$29=ProposalToGnatt[[#This Row],[Start Date]],Milestone_Marker,IF(AND(CD$29&gt;ProposalToGnatt[[#This Row],[Start Date]],CD$29&lt;ProposalToGnatt[[#This Row],[Start Date]]+ProposalToGnatt[[#This Row],[Days]]),$G$5,"")),"")</f>
        <v/>
      </c>
      <c r="CE34" s="37" t="str">
        <f ca="1">IFERROR(+IF(CE$29=ProposalToGnatt[[#This Row],[Start Date]],Milestone_Marker,IF(AND(CE$29&gt;ProposalToGnatt[[#This Row],[Start Date]],CE$29&lt;ProposalToGnatt[[#This Row],[Start Date]]+ProposalToGnatt[[#This Row],[Days]]),$G$5,"")),"")</f>
        <v/>
      </c>
      <c r="CF34" s="37" t="str">
        <f ca="1">IFERROR(+IF(CF$29=ProposalToGnatt[[#This Row],[Start Date]],Milestone_Marker,IF(AND(CF$29&gt;ProposalToGnatt[[#This Row],[Start Date]],CF$29&lt;ProposalToGnatt[[#This Row],[Start Date]]+ProposalToGnatt[[#This Row],[Days]]),$G$5,"")),"")</f>
        <v/>
      </c>
      <c r="CG34" s="37" t="str">
        <f ca="1">IFERROR(+IF(CG$29=ProposalToGnatt[[#This Row],[Start Date]],Milestone_Marker,IF(AND(CG$29&gt;ProposalToGnatt[[#This Row],[Start Date]],CG$29&lt;ProposalToGnatt[[#This Row],[Start Date]]+ProposalToGnatt[[#This Row],[Days]]),$G$5,"")),"")</f>
        <v/>
      </c>
      <c r="CH34" s="37" t="str">
        <f ca="1">IFERROR(+IF(CH$29=ProposalToGnatt[[#This Row],[Start Date]],Milestone_Marker,IF(AND(CH$29&gt;ProposalToGnatt[[#This Row],[Start Date]],CH$29&lt;ProposalToGnatt[[#This Row],[Start Date]]+ProposalToGnatt[[#This Row],[Days]]),$G$5,"")),"")</f>
        <v/>
      </c>
      <c r="CI34" s="37" t="str">
        <f ca="1">IFERROR(+IF(CI$29=ProposalToGnatt[[#This Row],[Start Date]],Milestone_Marker,IF(AND(CI$29&gt;ProposalToGnatt[[#This Row],[Start Date]],CI$29&lt;ProposalToGnatt[[#This Row],[Start Date]]+ProposalToGnatt[[#This Row],[Days]]),$G$5,"")),"")</f>
        <v/>
      </c>
      <c r="CJ34" s="37" t="str">
        <f ca="1">IFERROR(+IF(CJ$29=ProposalToGnatt[[#This Row],[Start Date]],Milestone_Marker,IF(AND(CJ$29&gt;ProposalToGnatt[[#This Row],[Start Date]],CJ$29&lt;ProposalToGnatt[[#This Row],[Start Date]]+ProposalToGnatt[[#This Row],[Days]]),$G$5,"")),"")</f>
        <v/>
      </c>
      <c r="CK34" s="37" t="str">
        <f ca="1">IFERROR(+IF(CK$29=ProposalToGnatt[[#This Row],[Start Date]],Milestone_Marker,IF(AND(CK$29&gt;ProposalToGnatt[[#This Row],[Start Date]],CK$29&lt;ProposalToGnatt[[#This Row],[Start Date]]+ProposalToGnatt[[#This Row],[Days]]),$G$5,"")),"")</f>
        <v/>
      </c>
      <c r="CL34" s="37" t="str">
        <f ca="1">IFERROR(+IF(CL$29=ProposalToGnatt[[#This Row],[Start Date]],Milestone_Marker,IF(AND(CL$29&gt;ProposalToGnatt[[#This Row],[Start Date]],CL$29&lt;ProposalToGnatt[[#This Row],[Start Date]]+ProposalToGnatt[[#This Row],[Days]]),$G$5,"")),"")</f>
        <v/>
      </c>
      <c r="CM34" s="37" t="str">
        <f ca="1">IFERROR(+IF(CM$29=ProposalToGnatt[[#This Row],[Start Date]],Milestone_Marker,IF(AND(CM$29&gt;ProposalToGnatt[[#This Row],[Start Date]],CM$29&lt;ProposalToGnatt[[#This Row],[Start Date]]+ProposalToGnatt[[#This Row],[Days]]),$G$5,"")),"")</f>
        <v/>
      </c>
      <c r="CN34" s="37" t="str">
        <f ca="1">IFERROR(+IF(CN$29=ProposalToGnatt[[#This Row],[Start Date]],Milestone_Marker,IF(AND(CN$29&gt;ProposalToGnatt[[#This Row],[Start Date]],CN$29&lt;ProposalToGnatt[[#This Row],[Start Date]]+ProposalToGnatt[[#This Row],[Days]]),$G$5,"")),"")</f>
        <v/>
      </c>
      <c r="CO34" s="37" t="str">
        <f ca="1">IFERROR(+IF(CO$29=ProposalToGnatt[[#This Row],[Start Date]],Milestone_Marker,IF(AND(CO$29&gt;ProposalToGnatt[[#This Row],[Start Date]],CO$29&lt;ProposalToGnatt[[#This Row],[Start Date]]+ProposalToGnatt[[#This Row],[Days]]),$G$5,"")),"")</f>
        <v/>
      </c>
      <c r="CP34" s="37" t="str">
        <f ca="1">IFERROR(+IF(CP$29=ProposalToGnatt[[#This Row],[Start Date]],Milestone_Marker,IF(AND(CP$29&gt;ProposalToGnatt[[#This Row],[Start Date]],CP$29&lt;ProposalToGnatt[[#This Row],[Start Date]]+ProposalToGnatt[[#This Row],[Days]]),$G$5,"")),"")</f>
        <v/>
      </c>
      <c r="CQ34" s="37" t="str">
        <f ca="1">IFERROR(+IF(CQ$29=ProposalToGnatt[[#This Row],[Start Date]],Milestone_Marker,IF(AND(CQ$29&gt;ProposalToGnatt[[#This Row],[Start Date]],CQ$29&lt;ProposalToGnatt[[#This Row],[Start Date]]+ProposalToGnatt[[#This Row],[Days]]),$G$5,"")),"")</f>
        <v/>
      </c>
      <c r="CR34" s="37" t="str">
        <f ca="1">IFERROR(+IF(CR$29=ProposalToGnatt[[#This Row],[Start Date]],Milestone_Marker,IF(AND(CR$29&gt;ProposalToGnatt[[#This Row],[Start Date]],CR$29&lt;ProposalToGnatt[[#This Row],[Start Date]]+ProposalToGnatt[[#This Row],[Days]]),$G$5,"")),"")</f>
        <v/>
      </c>
      <c r="CS34" s="37" t="str">
        <f ca="1">IFERROR(+IF(CS$29=ProposalToGnatt[[#This Row],[Start Date]],Milestone_Marker,IF(AND(CS$29&gt;ProposalToGnatt[[#This Row],[Start Date]],CS$29&lt;ProposalToGnatt[[#This Row],[Start Date]]+ProposalToGnatt[[#This Row],[Days]]),$G$5,"")),"")</f>
        <v/>
      </c>
      <c r="CT34" s="37" t="str">
        <f ca="1">IFERROR(+IF(CT$29=ProposalToGnatt[[#This Row],[Start Date]],Milestone_Marker,IF(AND(CT$29&gt;ProposalToGnatt[[#This Row],[Start Date]],CT$29&lt;ProposalToGnatt[[#This Row],[Start Date]]+ProposalToGnatt[[#This Row],[Days]]),$G$5,"")),"")</f>
        <v/>
      </c>
      <c r="CU34" s="37" t="str">
        <f ca="1">IFERROR(+IF(CU$29=ProposalToGnatt[[#This Row],[Start Date]],Milestone_Marker,IF(AND(CU$29&gt;ProposalToGnatt[[#This Row],[Start Date]],CU$29&lt;ProposalToGnatt[[#This Row],[Start Date]]+ProposalToGnatt[[#This Row],[Days]]),$G$5,"")),"")</f>
        <v/>
      </c>
      <c r="CV34" s="37"/>
      <c r="CW34" s="37"/>
      <c r="CX34" s="37"/>
      <c r="CY34" s="37"/>
      <c r="CZ34" s="37"/>
      <c r="DA34" s="37"/>
      <c r="DB34" s="37"/>
      <c r="DC34" s="37"/>
      <c r="DD34" s="37"/>
      <c r="DE34" s="37"/>
      <c r="DF34" s="37"/>
      <c r="DG34" s="37"/>
      <c r="DH34" s="37"/>
      <c r="DI34" s="37"/>
      <c r="DJ34" s="37"/>
      <c r="DK34" s="37"/>
      <c r="DL34" s="37"/>
      <c r="DM34" s="37"/>
      <c r="DN34" s="37"/>
      <c r="DO34" s="37"/>
      <c r="DP34" s="37"/>
      <c r="DQ34" s="37"/>
      <c r="DR34" s="37"/>
      <c r="DS34" s="37"/>
      <c r="DT34" s="37"/>
      <c r="DU34" s="37"/>
    </row>
    <row r="35" spans="1:125" s="42" customFormat="1" ht="20.100000000000001" customHeight="1" x14ac:dyDescent="0.25">
      <c r="A35" t="s">
        <v>428</v>
      </c>
      <c r="B35">
        <v>10</v>
      </c>
      <c r="C35" t="s">
        <v>319</v>
      </c>
      <c r="D35" t="s">
        <v>320</v>
      </c>
      <c r="E35" t="s">
        <v>321</v>
      </c>
      <c r="F35">
        <v>1</v>
      </c>
      <c r="G35" s="14">
        <v>3800</v>
      </c>
      <c r="H35" s="14">
        <v>3800</v>
      </c>
      <c r="I35" t="s">
        <v>45</v>
      </c>
      <c r="J35">
        <v>1</v>
      </c>
      <c r="K35" s="303">
        <v>45213</v>
      </c>
      <c r="L35">
        <v>1</v>
      </c>
      <c r="M35" s="14"/>
      <c r="N35" s="352">
        <v>3800</v>
      </c>
      <c r="O35" s="340"/>
      <c r="P35" s="37" t="str">
        <f ca="1">IFERROR(+IF(P$29=ProposalToGnatt[[#This Row],[Start Date]],Milestone_Marker,IF(AND(P$29&gt;ProposalToGnatt[[#This Row],[Start Date]],P$29&lt;ProposalToGnatt[[#This Row],[Start Date]]+ProposalToGnatt[[#This Row],[Days]]),$G$5,"")),"")</f>
        <v/>
      </c>
      <c r="Q35" s="37">
        <f ca="1">IFERROR(+IF(Q$29=ProposalToGnatt[[#This Row],[Start Date]],Milestone_Marker,IF(AND(Q$29&gt;ProposalToGnatt[[#This Row],[Start Date]],Q$29&lt;ProposalToGnatt[[#This Row],[Start Date]]+ProposalToGnatt[[#This Row],[Days]]),$G$5,"")),"")</f>
        <v>1</v>
      </c>
      <c r="R35" s="37" t="str">
        <f ca="1">IFERROR(+IF(R$29=ProposalToGnatt[[#This Row],[Start Date]],Milestone_Marker,IF(AND(R$29&gt;ProposalToGnatt[[#This Row],[Start Date]],R$29&lt;ProposalToGnatt[[#This Row],[Start Date]]+ProposalToGnatt[[#This Row],[Days]]),$G$5,"")),"")</f>
        <v/>
      </c>
      <c r="S35" s="37" t="str">
        <f ca="1">IFERROR(+IF(S$29=ProposalToGnatt[[#This Row],[Start Date]],Milestone_Marker,IF(AND(S$29&gt;ProposalToGnatt[[#This Row],[Start Date]],S$29&lt;ProposalToGnatt[[#This Row],[Start Date]]+ProposalToGnatt[[#This Row],[Days]]),$G$5,"")),"")</f>
        <v/>
      </c>
      <c r="T35" s="37" t="str">
        <f ca="1">IFERROR(+IF(T$29=ProposalToGnatt[[#This Row],[Start Date]],Milestone_Marker,IF(AND(T$29&gt;ProposalToGnatt[[#This Row],[Start Date]],T$29&lt;ProposalToGnatt[[#This Row],[Start Date]]+ProposalToGnatt[[#This Row],[Days]]),$G$5,"")),"")</f>
        <v/>
      </c>
      <c r="U35" s="37" t="str">
        <f ca="1">IFERROR(+IF(U$29=ProposalToGnatt[[#This Row],[Start Date]],Milestone_Marker,IF(AND(U$29&gt;ProposalToGnatt[[#This Row],[Start Date]],U$29&lt;ProposalToGnatt[[#This Row],[Start Date]]+ProposalToGnatt[[#This Row],[Days]]),$G$5,"")),"")</f>
        <v/>
      </c>
      <c r="V35" s="37" t="str">
        <f ca="1">IFERROR(+IF(V$29=ProposalToGnatt[[#This Row],[Start Date]],Milestone_Marker,IF(AND(V$29&gt;ProposalToGnatt[[#This Row],[Start Date]],V$29&lt;ProposalToGnatt[[#This Row],[Start Date]]+ProposalToGnatt[[#This Row],[Days]]),$G$5,"")),"")</f>
        <v/>
      </c>
      <c r="W35" s="37" t="str">
        <f ca="1">IFERROR(+IF(W$29=ProposalToGnatt[[#This Row],[Start Date]],Milestone_Marker,IF(AND(W$29&gt;ProposalToGnatt[[#This Row],[Start Date]],W$29&lt;ProposalToGnatt[[#This Row],[Start Date]]+ProposalToGnatt[[#This Row],[Days]]),$G$5,"")),"")</f>
        <v/>
      </c>
      <c r="X35" s="37" t="str">
        <f ca="1">IFERROR(+IF(X$29=ProposalToGnatt[[#This Row],[Start Date]],Milestone_Marker,IF(AND(X$29&gt;ProposalToGnatt[[#This Row],[Start Date]],X$29&lt;ProposalToGnatt[[#This Row],[Start Date]]+ProposalToGnatt[[#This Row],[Days]]),$G$5,"")),"")</f>
        <v/>
      </c>
      <c r="Y35" s="37" t="str">
        <f ca="1">IFERROR(+IF(Y$29=ProposalToGnatt[[#This Row],[Start Date]],Milestone_Marker,IF(AND(Y$29&gt;ProposalToGnatt[[#This Row],[Start Date]],Y$29&lt;ProposalToGnatt[[#This Row],[Start Date]]+ProposalToGnatt[[#This Row],[Days]]),$G$5,"")),"")</f>
        <v/>
      </c>
      <c r="Z35" s="37" t="str">
        <f ca="1">IFERROR(+IF(Z$29=ProposalToGnatt[[#This Row],[Start Date]],Milestone_Marker,IF(AND(Z$29&gt;ProposalToGnatt[[#This Row],[Start Date]],Z$29&lt;ProposalToGnatt[[#This Row],[Start Date]]+ProposalToGnatt[[#This Row],[Days]]),$G$5,"")),"")</f>
        <v/>
      </c>
      <c r="AA35" s="37" t="str">
        <f ca="1">IFERROR(+IF(AA$29=ProposalToGnatt[[#This Row],[Start Date]],Milestone_Marker,IF(AND(AA$29&gt;ProposalToGnatt[[#This Row],[Start Date]],AA$29&lt;ProposalToGnatt[[#This Row],[Start Date]]+ProposalToGnatt[[#This Row],[Days]]),$G$5,"")),"")</f>
        <v/>
      </c>
      <c r="AB35" s="37" t="str">
        <f ca="1">IFERROR(+IF(AB$29=ProposalToGnatt[[#This Row],[Start Date]],Milestone_Marker,IF(AND(AB$29&gt;ProposalToGnatt[[#This Row],[Start Date]],AB$29&lt;ProposalToGnatt[[#This Row],[Start Date]]+ProposalToGnatt[[#This Row],[Days]]),$G$5,"")),"")</f>
        <v/>
      </c>
      <c r="AC35" s="37" t="str">
        <f ca="1">IFERROR(+IF(AC$29=ProposalToGnatt[[#This Row],[Start Date]],Milestone_Marker,IF(AND(AC$29&gt;ProposalToGnatt[[#This Row],[Start Date]],AC$29&lt;ProposalToGnatt[[#This Row],[Start Date]]+ProposalToGnatt[[#This Row],[Days]]),$G$5,"")),"")</f>
        <v/>
      </c>
      <c r="AD35" s="37" t="str">
        <f ca="1">IFERROR(+IF(AD$29=ProposalToGnatt[[#This Row],[Start Date]],Milestone_Marker,IF(AND(AD$29&gt;ProposalToGnatt[[#This Row],[Start Date]],AD$29&lt;ProposalToGnatt[[#This Row],[Start Date]]+ProposalToGnatt[[#This Row],[Days]]),$G$5,"")),"")</f>
        <v/>
      </c>
      <c r="AE35" s="37" t="str">
        <f ca="1">IFERROR(+IF(AE$29=ProposalToGnatt[[#This Row],[Start Date]],Milestone_Marker,IF(AND(AE$29&gt;ProposalToGnatt[[#This Row],[Start Date]],AE$29&lt;ProposalToGnatt[[#This Row],[Start Date]]+ProposalToGnatt[[#This Row],[Days]]),$G$5,"")),"")</f>
        <v/>
      </c>
      <c r="AF35" s="37" t="str">
        <f ca="1">IFERROR(+IF(AF$29=ProposalToGnatt[[#This Row],[Start Date]],Milestone_Marker,IF(AND(AF$29&gt;ProposalToGnatt[[#This Row],[Start Date]],AF$29&lt;ProposalToGnatt[[#This Row],[Start Date]]+ProposalToGnatt[[#This Row],[Days]]),$G$5,"")),"")</f>
        <v/>
      </c>
      <c r="AG35" s="37" t="str">
        <f ca="1">IFERROR(+IF(AG$29=ProposalToGnatt[[#This Row],[Start Date]],Milestone_Marker,IF(AND(AG$29&gt;ProposalToGnatt[[#This Row],[Start Date]],AG$29&lt;ProposalToGnatt[[#This Row],[Start Date]]+ProposalToGnatt[[#This Row],[Days]]),$G$5,"")),"")</f>
        <v/>
      </c>
      <c r="AH35" s="37" t="str">
        <f ca="1">IFERROR(+IF(AH$29=ProposalToGnatt[[#This Row],[Start Date]],Milestone_Marker,IF(AND(AH$29&gt;ProposalToGnatt[[#This Row],[Start Date]],AH$29&lt;ProposalToGnatt[[#This Row],[Start Date]]+ProposalToGnatt[[#This Row],[Days]]),$G$5,"")),"")</f>
        <v/>
      </c>
      <c r="AI35" s="37" t="str">
        <f ca="1">IFERROR(+IF(AI$29=ProposalToGnatt[[#This Row],[Start Date]],Milestone_Marker,IF(AND(AI$29&gt;ProposalToGnatt[[#This Row],[Start Date]],AI$29&lt;ProposalToGnatt[[#This Row],[Start Date]]+ProposalToGnatt[[#This Row],[Days]]),$G$5,"")),"")</f>
        <v/>
      </c>
      <c r="AJ35" s="37" t="str">
        <f ca="1">IFERROR(+IF(AJ$29=ProposalToGnatt[[#This Row],[Start Date]],Milestone_Marker,IF(AND(AJ$29&gt;ProposalToGnatt[[#This Row],[Start Date]],AJ$29&lt;ProposalToGnatt[[#This Row],[Start Date]]+ProposalToGnatt[[#This Row],[Days]]),$G$5,"")),"")</f>
        <v/>
      </c>
      <c r="AK35" s="37" t="str">
        <f ca="1">IFERROR(+IF(AK$29=ProposalToGnatt[[#This Row],[Start Date]],Milestone_Marker,IF(AND(AK$29&gt;ProposalToGnatt[[#This Row],[Start Date]],AK$29&lt;ProposalToGnatt[[#This Row],[Start Date]]+ProposalToGnatt[[#This Row],[Days]]),$G$5,"")),"")</f>
        <v/>
      </c>
      <c r="AL35" s="37" t="str">
        <f ca="1">IFERROR(+IF(AL$29=ProposalToGnatt[[#This Row],[Start Date]],Milestone_Marker,IF(AND(AL$29&gt;ProposalToGnatt[[#This Row],[Start Date]],AL$29&lt;ProposalToGnatt[[#This Row],[Start Date]]+ProposalToGnatt[[#This Row],[Days]]),$G$5,"")),"")</f>
        <v/>
      </c>
      <c r="AM35" s="37" t="str">
        <f ca="1">IFERROR(+IF(AM$29=ProposalToGnatt[[#This Row],[Start Date]],Milestone_Marker,IF(AND(AM$29&gt;ProposalToGnatt[[#This Row],[Start Date]],AM$29&lt;ProposalToGnatt[[#This Row],[Start Date]]+ProposalToGnatt[[#This Row],[Days]]),$G$5,"")),"")</f>
        <v/>
      </c>
      <c r="AN35" s="37" t="str">
        <f ca="1">IFERROR(+IF(AN$29=ProposalToGnatt[[#This Row],[Start Date]],Milestone_Marker,IF(AND(AN$29&gt;ProposalToGnatt[[#This Row],[Start Date]],AN$29&lt;ProposalToGnatt[[#This Row],[Start Date]]+ProposalToGnatt[[#This Row],[Days]]),$G$5,"")),"")</f>
        <v/>
      </c>
      <c r="AO35" s="37" t="str">
        <f ca="1">IFERROR(+IF(AO$29=ProposalToGnatt[[#This Row],[Start Date]],Milestone_Marker,IF(AND(AO$29&gt;ProposalToGnatt[[#This Row],[Start Date]],AO$29&lt;ProposalToGnatt[[#This Row],[Start Date]]+ProposalToGnatt[[#This Row],[Days]]),$G$5,"")),"")</f>
        <v/>
      </c>
      <c r="AP35" s="37" t="str">
        <f ca="1">IFERROR(+IF(AP$29=ProposalToGnatt[[#This Row],[Start Date]],Milestone_Marker,IF(AND(AP$29&gt;ProposalToGnatt[[#This Row],[Start Date]],AP$29&lt;ProposalToGnatt[[#This Row],[Start Date]]+ProposalToGnatt[[#This Row],[Days]]),$G$5,"")),"")</f>
        <v/>
      </c>
      <c r="AQ35" s="37" t="str">
        <f ca="1">IFERROR(+IF(AQ$29=ProposalToGnatt[[#This Row],[Start Date]],Milestone_Marker,IF(AND(AQ$29&gt;ProposalToGnatt[[#This Row],[Start Date]],AQ$29&lt;ProposalToGnatt[[#This Row],[Start Date]]+ProposalToGnatt[[#This Row],[Days]]),$G$5,"")),"")</f>
        <v/>
      </c>
      <c r="AR35" s="37" t="str">
        <f ca="1">IFERROR(+IF(AR$29=ProposalToGnatt[[#This Row],[Start Date]],Milestone_Marker,IF(AND(AR$29&gt;ProposalToGnatt[[#This Row],[Start Date]],AR$29&lt;ProposalToGnatt[[#This Row],[Start Date]]+ProposalToGnatt[[#This Row],[Days]]),$G$5,"")),"")</f>
        <v/>
      </c>
      <c r="AS35" s="37" t="str">
        <f ca="1">IFERROR(+IF(AS$29=ProposalToGnatt[[#This Row],[Start Date]],Milestone_Marker,IF(AND(AS$29&gt;ProposalToGnatt[[#This Row],[Start Date]],AS$29&lt;ProposalToGnatt[[#This Row],[Start Date]]+ProposalToGnatt[[#This Row],[Days]]),$G$5,"")),"")</f>
        <v/>
      </c>
      <c r="AT35" s="37" t="str">
        <f ca="1">IFERROR(+IF(AT$29=ProposalToGnatt[[#This Row],[Start Date]],Milestone_Marker,IF(AND(AT$29&gt;ProposalToGnatt[[#This Row],[Start Date]],AT$29&lt;ProposalToGnatt[[#This Row],[Start Date]]+ProposalToGnatt[[#This Row],[Days]]),$G$5,"")),"")</f>
        <v/>
      </c>
      <c r="AU35" s="37" t="str">
        <f ca="1">IFERROR(+IF(AU$29=ProposalToGnatt[[#This Row],[Start Date]],Milestone_Marker,IF(AND(AU$29&gt;ProposalToGnatt[[#This Row],[Start Date]],AU$29&lt;ProposalToGnatt[[#This Row],[Start Date]]+ProposalToGnatt[[#This Row],[Days]]),$G$5,"")),"")</f>
        <v/>
      </c>
      <c r="AV35" s="37" t="str">
        <f ca="1">IFERROR(+IF(AV$29=ProposalToGnatt[[#This Row],[Start Date]],Milestone_Marker,IF(AND(AV$29&gt;ProposalToGnatt[[#This Row],[Start Date]],AV$29&lt;ProposalToGnatt[[#This Row],[Start Date]]+ProposalToGnatt[[#This Row],[Days]]),$G$5,"")),"")</f>
        <v/>
      </c>
      <c r="AW35" s="37" t="str">
        <f ca="1">IFERROR(+IF(AW$29=ProposalToGnatt[[#This Row],[Start Date]],Milestone_Marker,IF(AND(AW$29&gt;ProposalToGnatt[[#This Row],[Start Date]],AW$29&lt;ProposalToGnatt[[#This Row],[Start Date]]+ProposalToGnatt[[#This Row],[Days]]),$G$5,"")),"")</f>
        <v/>
      </c>
      <c r="AX35" s="37" t="str">
        <f ca="1">IFERROR(+IF(AX$29=ProposalToGnatt[[#This Row],[Start Date]],Milestone_Marker,IF(AND(AX$29&gt;ProposalToGnatt[[#This Row],[Start Date]],AX$29&lt;ProposalToGnatt[[#This Row],[Start Date]]+ProposalToGnatt[[#This Row],[Days]]),$G$5,"")),"")</f>
        <v/>
      </c>
      <c r="AY35" s="37" t="str">
        <f ca="1">IFERROR(+IF(AY$29=ProposalToGnatt[[#This Row],[Start Date]],Milestone_Marker,IF(AND(AY$29&gt;ProposalToGnatt[[#This Row],[Start Date]],AY$29&lt;ProposalToGnatt[[#This Row],[Start Date]]+ProposalToGnatt[[#This Row],[Days]]),$G$5,"")),"")</f>
        <v/>
      </c>
      <c r="AZ35" s="37" t="str">
        <f ca="1">IFERROR(+IF(AZ$29=ProposalToGnatt[[#This Row],[Start Date]],Milestone_Marker,IF(AND(AZ$29&gt;ProposalToGnatt[[#This Row],[Start Date]],AZ$29&lt;ProposalToGnatt[[#This Row],[Start Date]]+ProposalToGnatt[[#This Row],[Days]]),$G$5,"")),"")</f>
        <v/>
      </c>
      <c r="BA35" s="37" t="str">
        <f ca="1">IFERROR(+IF(BA$29=ProposalToGnatt[[#This Row],[Start Date]],Milestone_Marker,IF(AND(BA$29&gt;ProposalToGnatt[[#This Row],[Start Date]],BA$29&lt;ProposalToGnatt[[#This Row],[Start Date]]+ProposalToGnatt[[#This Row],[Days]]),$G$5,"")),"")</f>
        <v/>
      </c>
      <c r="BB35" s="37" t="str">
        <f ca="1">IFERROR(+IF(BB$29=ProposalToGnatt[[#This Row],[Start Date]],Milestone_Marker,IF(AND(BB$29&gt;ProposalToGnatt[[#This Row],[Start Date]],BB$29&lt;ProposalToGnatt[[#This Row],[Start Date]]+ProposalToGnatt[[#This Row],[Days]]),$G$5,"")),"")</f>
        <v/>
      </c>
      <c r="BC35" s="37" t="str">
        <f ca="1">IFERROR(+IF(BC$29=ProposalToGnatt[[#This Row],[Start Date]],Milestone_Marker,IF(AND(BC$29&gt;ProposalToGnatt[[#This Row],[Start Date]],BC$29&lt;ProposalToGnatt[[#This Row],[Start Date]]+ProposalToGnatt[[#This Row],[Days]]),$G$5,"")),"")</f>
        <v/>
      </c>
      <c r="BD35" s="37" t="str">
        <f ca="1">IFERROR(+IF(BD$29=ProposalToGnatt[[#This Row],[Start Date]],Milestone_Marker,IF(AND(BD$29&gt;ProposalToGnatt[[#This Row],[Start Date]],BD$29&lt;ProposalToGnatt[[#This Row],[Start Date]]+ProposalToGnatt[[#This Row],[Days]]),$G$5,"")),"")</f>
        <v/>
      </c>
      <c r="BE35" s="37" t="str">
        <f ca="1">IFERROR(+IF(BE$29=ProposalToGnatt[[#This Row],[Start Date]],Milestone_Marker,IF(AND(BE$29&gt;ProposalToGnatt[[#This Row],[Start Date]],BE$29&lt;ProposalToGnatt[[#This Row],[Start Date]]+ProposalToGnatt[[#This Row],[Days]]),$G$5,"")),"")</f>
        <v/>
      </c>
      <c r="BF35" s="37" t="str">
        <f ca="1">IFERROR(+IF(BF$29=ProposalToGnatt[[#This Row],[Start Date]],Milestone_Marker,IF(AND(BF$29&gt;ProposalToGnatt[[#This Row],[Start Date]],BF$29&lt;ProposalToGnatt[[#This Row],[Start Date]]+ProposalToGnatt[[#This Row],[Days]]),$G$5,"")),"")</f>
        <v/>
      </c>
      <c r="BG35" s="37" t="str">
        <f ca="1">IFERROR(+IF(BG$29=ProposalToGnatt[[#This Row],[Start Date]],Milestone_Marker,IF(AND(BG$29&gt;ProposalToGnatt[[#This Row],[Start Date]],BG$29&lt;ProposalToGnatt[[#This Row],[Start Date]]+ProposalToGnatt[[#This Row],[Days]]),$G$5,"")),"")</f>
        <v/>
      </c>
      <c r="BH35" s="37" t="str">
        <f ca="1">IFERROR(+IF(BH$29=ProposalToGnatt[[#This Row],[Start Date]],Milestone_Marker,IF(AND(BH$29&gt;ProposalToGnatt[[#This Row],[Start Date]],BH$29&lt;ProposalToGnatt[[#This Row],[Start Date]]+ProposalToGnatt[[#This Row],[Days]]),$G$5,"")),"")</f>
        <v/>
      </c>
      <c r="BI35" s="37" t="str">
        <f ca="1">IFERROR(+IF(BI$29=ProposalToGnatt[[#This Row],[Start Date]],Milestone_Marker,IF(AND(BI$29&gt;ProposalToGnatt[[#This Row],[Start Date]],BI$29&lt;ProposalToGnatt[[#This Row],[Start Date]]+ProposalToGnatt[[#This Row],[Days]]),$G$5,"")),"")</f>
        <v/>
      </c>
      <c r="BJ35" s="37" t="str">
        <f ca="1">IFERROR(+IF(BJ$29=ProposalToGnatt[[#This Row],[Start Date]],Milestone_Marker,IF(AND(BJ$29&gt;ProposalToGnatt[[#This Row],[Start Date]],BJ$29&lt;ProposalToGnatt[[#This Row],[Start Date]]+ProposalToGnatt[[#This Row],[Days]]),$G$5,"")),"")</f>
        <v/>
      </c>
      <c r="BK35" s="37" t="str">
        <f ca="1">IFERROR(+IF(BK$29=ProposalToGnatt[[#This Row],[Start Date]],Milestone_Marker,IF(AND(BK$29&gt;ProposalToGnatt[[#This Row],[Start Date]],BK$29&lt;ProposalToGnatt[[#This Row],[Start Date]]+ProposalToGnatt[[#This Row],[Days]]),$G$5,"")),"")</f>
        <v/>
      </c>
      <c r="BL35" s="37" t="str">
        <f ca="1">IFERROR(+IF(BL$29=ProposalToGnatt[[#This Row],[Start Date]],Milestone_Marker,IF(AND(BL$29&gt;ProposalToGnatt[[#This Row],[Start Date]],BL$29&lt;ProposalToGnatt[[#This Row],[Start Date]]+ProposalToGnatt[[#This Row],[Days]]),$G$5,"")),"")</f>
        <v/>
      </c>
      <c r="BM35" s="37" t="str">
        <f ca="1">IFERROR(+IF(BM$29=ProposalToGnatt[[#This Row],[Start Date]],Milestone_Marker,IF(AND(BM$29&gt;ProposalToGnatt[[#This Row],[Start Date]],BM$29&lt;ProposalToGnatt[[#This Row],[Start Date]]+ProposalToGnatt[[#This Row],[Days]]),$G$5,"")),"")</f>
        <v/>
      </c>
      <c r="BN35" s="37" t="str">
        <f ca="1">IFERROR(+IF(BN$29=ProposalToGnatt[[#This Row],[Start Date]],Milestone_Marker,IF(AND(BN$29&gt;ProposalToGnatt[[#This Row],[Start Date]],BN$29&lt;ProposalToGnatt[[#This Row],[Start Date]]+ProposalToGnatt[[#This Row],[Days]]),$G$5,"")),"")</f>
        <v/>
      </c>
      <c r="BO35" s="37" t="str">
        <f ca="1">IFERROR(+IF(BO$29=ProposalToGnatt[[#This Row],[Start Date]],Milestone_Marker,IF(AND(BO$29&gt;ProposalToGnatt[[#This Row],[Start Date]],BO$29&lt;ProposalToGnatt[[#This Row],[Start Date]]+ProposalToGnatt[[#This Row],[Days]]),$G$5,"")),"")</f>
        <v/>
      </c>
      <c r="BP35" s="37" t="str">
        <f ca="1">IFERROR(+IF(BP$29=ProposalToGnatt[[#This Row],[Start Date]],Milestone_Marker,IF(AND(BP$29&gt;ProposalToGnatt[[#This Row],[Start Date]],BP$29&lt;ProposalToGnatt[[#This Row],[Start Date]]+ProposalToGnatt[[#This Row],[Days]]),$G$5,"")),"")</f>
        <v/>
      </c>
      <c r="BQ35" s="37" t="str">
        <f ca="1">IFERROR(+IF(BQ$29=ProposalToGnatt[[#This Row],[Start Date]],Milestone_Marker,IF(AND(BQ$29&gt;ProposalToGnatt[[#This Row],[Start Date]],BQ$29&lt;ProposalToGnatt[[#This Row],[Start Date]]+ProposalToGnatt[[#This Row],[Days]]),$G$5,"")),"")</f>
        <v/>
      </c>
      <c r="BR35" s="37" t="str">
        <f ca="1">IFERROR(+IF(BR$29=ProposalToGnatt[[#This Row],[Start Date]],Milestone_Marker,IF(AND(BR$29&gt;ProposalToGnatt[[#This Row],[Start Date]],BR$29&lt;ProposalToGnatt[[#This Row],[Start Date]]+ProposalToGnatt[[#This Row],[Days]]),$G$5,"")),"")</f>
        <v/>
      </c>
      <c r="BS35" s="37" t="str">
        <f ca="1">IFERROR(+IF(BS$29=ProposalToGnatt[[#This Row],[Start Date]],Milestone_Marker,IF(AND(BS$29&gt;ProposalToGnatt[[#This Row],[Start Date]],BS$29&lt;ProposalToGnatt[[#This Row],[Start Date]]+ProposalToGnatt[[#This Row],[Days]]),$G$5,"")),"")</f>
        <v/>
      </c>
      <c r="BT35" s="37" t="str">
        <f ca="1">IFERROR(+IF(BT$29=ProposalToGnatt[[#This Row],[Start Date]],Milestone_Marker,IF(AND(BT$29&gt;ProposalToGnatt[[#This Row],[Start Date]],BT$29&lt;ProposalToGnatt[[#This Row],[Start Date]]+ProposalToGnatt[[#This Row],[Days]]),$G$5,"")),"")</f>
        <v/>
      </c>
      <c r="BU35" s="37" t="str">
        <f ca="1">IFERROR(+IF(BU$29=ProposalToGnatt[[#This Row],[Start Date]],Milestone_Marker,IF(AND(BU$29&gt;ProposalToGnatt[[#This Row],[Start Date]],BU$29&lt;ProposalToGnatt[[#This Row],[Start Date]]+ProposalToGnatt[[#This Row],[Days]]),$G$5,"")),"")</f>
        <v/>
      </c>
      <c r="BV35" s="37" t="str">
        <f ca="1">IFERROR(+IF(BV$29=ProposalToGnatt[[#This Row],[Start Date]],Milestone_Marker,IF(AND(BV$29&gt;ProposalToGnatt[[#This Row],[Start Date]],BV$29&lt;ProposalToGnatt[[#This Row],[Start Date]]+ProposalToGnatt[[#This Row],[Days]]),$G$5,"")),"")</f>
        <v/>
      </c>
      <c r="BW35" s="37" t="str">
        <f ca="1">IFERROR(+IF(BW$29=ProposalToGnatt[[#This Row],[Start Date]],Milestone_Marker,IF(AND(BW$29&gt;ProposalToGnatt[[#This Row],[Start Date]],BW$29&lt;ProposalToGnatt[[#This Row],[Start Date]]+ProposalToGnatt[[#This Row],[Days]]),$G$5,"")),"")</f>
        <v/>
      </c>
      <c r="BX35" s="37" t="str">
        <f ca="1">IFERROR(+IF(BX$29=ProposalToGnatt[[#This Row],[Start Date]],Milestone_Marker,IF(AND(BX$29&gt;ProposalToGnatt[[#This Row],[Start Date]],BX$29&lt;ProposalToGnatt[[#This Row],[Start Date]]+ProposalToGnatt[[#This Row],[Days]]),$G$5,"")),"")</f>
        <v/>
      </c>
      <c r="BY35" s="37" t="str">
        <f ca="1">IFERROR(+IF(BY$29=ProposalToGnatt[[#This Row],[Start Date]],Milestone_Marker,IF(AND(BY$29&gt;ProposalToGnatt[[#This Row],[Start Date]],BY$29&lt;ProposalToGnatt[[#This Row],[Start Date]]+ProposalToGnatt[[#This Row],[Days]]),$G$5,"")),"")</f>
        <v/>
      </c>
      <c r="BZ35" s="37" t="str">
        <f ca="1">IFERROR(+IF(BZ$29=ProposalToGnatt[[#This Row],[Start Date]],Milestone_Marker,IF(AND(BZ$29&gt;ProposalToGnatt[[#This Row],[Start Date]],BZ$29&lt;ProposalToGnatt[[#This Row],[Start Date]]+ProposalToGnatt[[#This Row],[Days]]),$G$5,"")),"")</f>
        <v/>
      </c>
      <c r="CA35" s="37" t="str">
        <f ca="1">IFERROR(+IF(CA$29=ProposalToGnatt[[#This Row],[Start Date]],Milestone_Marker,IF(AND(CA$29&gt;ProposalToGnatt[[#This Row],[Start Date]],CA$29&lt;ProposalToGnatt[[#This Row],[Start Date]]+ProposalToGnatt[[#This Row],[Days]]),$G$5,"")),"")</f>
        <v/>
      </c>
      <c r="CB35" s="37" t="str">
        <f ca="1">IFERROR(+IF(CB$29=ProposalToGnatt[[#This Row],[Start Date]],Milestone_Marker,IF(AND(CB$29&gt;ProposalToGnatt[[#This Row],[Start Date]],CB$29&lt;ProposalToGnatt[[#This Row],[Start Date]]+ProposalToGnatt[[#This Row],[Days]]),$G$5,"")),"")</f>
        <v/>
      </c>
      <c r="CC35" s="37" t="str">
        <f ca="1">IFERROR(+IF(CC$29=ProposalToGnatt[[#This Row],[Start Date]],Milestone_Marker,IF(AND(CC$29&gt;ProposalToGnatt[[#This Row],[Start Date]],CC$29&lt;ProposalToGnatt[[#This Row],[Start Date]]+ProposalToGnatt[[#This Row],[Days]]),$G$5,"")),"")</f>
        <v/>
      </c>
      <c r="CD35" s="37" t="str">
        <f ca="1">IFERROR(+IF(CD$29=ProposalToGnatt[[#This Row],[Start Date]],Milestone_Marker,IF(AND(CD$29&gt;ProposalToGnatt[[#This Row],[Start Date]],CD$29&lt;ProposalToGnatt[[#This Row],[Start Date]]+ProposalToGnatt[[#This Row],[Days]]),$G$5,"")),"")</f>
        <v/>
      </c>
      <c r="CE35" s="37" t="str">
        <f ca="1">IFERROR(+IF(CE$29=ProposalToGnatt[[#This Row],[Start Date]],Milestone_Marker,IF(AND(CE$29&gt;ProposalToGnatt[[#This Row],[Start Date]],CE$29&lt;ProposalToGnatt[[#This Row],[Start Date]]+ProposalToGnatt[[#This Row],[Days]]),$G$5,"")),"")</f>
        <v/>
      </c>
      <c r="CF35" s="37" t="str">
        <f ca="1">IFERROR(+IF(CF$29=ProposalToGnatt[[#This Row],[Start Date]],Milestone_Marker,IF(AND(CF$29&gt;ProposalToGnatt[[#This Row],[Start Date]],CF$29&lt;ProposalToGnatt[[#This Row],[Start Date]]+ProposalToGnatt[[#This Row],[Days]]),$G$5,"")),"")</f>
        <v/>
      </c>
      <c r="CG35" s="37" t="str">
        <f ca="1">IFERROR(+IF(CG$29=ProposalToGnatt[[#This Row],[Start Date]],Milestone_Marker,IF(AND(CG$29&gt;ProposalToGnatt[[#This Row],[Start Date]],CG$29&lt;ProposalToGnatt[[#This Row],[Start Date]]+ProposalToGnatt[[#This Row],[Days]]),$G$5,"")),"")</f>
        <v/>
      </c>
      <c r="CH35" s="37" t="str">
        <f ca="1">IFERROR(+IF(CH$29=ProposalToGnatt[[#This Row],[Start Date]],Milestone_Marker,IF(AND(CH$29&gt;ProposalToGnatt[[#This Row],[Start Date]],CH$29&lt;ProposalToGnatt[[#This Row],[Start Date]]+ProposalToGnatt[[#This Row],[Days]]),$G$5,"")),"")</f>
        <v/>
      </c>
      <c r="CI35" s="37" t="str">
        <f ca="1">IFERROR(+IF(CI$29=ProposalToGnatt[[#This Row],[Start Date]],Milestone_Marker,IF(AND(CI$29&gt;ProposalToGnatt[[#This Row],[Start Date]],CI$29&lt;ProposalToGnatt[[#This Row],[Start Date]]+ProposalToGnatt[[#This Row],[Days]]),$G$5,"")),"")</f>
        <v/>
      </c>
      <c r="CJ35" s="37" t="str">
        <f ca="1">IFERROR(+IF(CJ$29=ProposalToGnatt[[#This Row],[Start Date]],Milestone_Marker,IF(AND(CJ$29&gt;ProposalToGnatt[[#This Row],[Start Date]],CJ$29&lt;ProposalToGnatt[[#This Row],[Start Date]]+ProposalToGnatt[[#This Row],[Days]]),$G$5,"")),"")</f>
        <v/>
      </c>
      <c r="CK35" s="37" t="str">
        <f ca="1">IFERROR(+IF(CK$29=ProposalToGnatt[[#This Row],[Start Date]],Milestone_Marker,IF(AND(CK$29&gt;ProposalToGnatt[[#This Row],[Start Date]],CK$29&lt;ProposalToGnatt[[#This Row],[Start Date]]+ProposalToGnatt[[#This Row],[Days]]),$G$5,"")),"")</f>
        <v/>
      </c>
      <c r="CL35" s="37" t="str">
        <f ca="1">IFERROR(+IF(CL$29=ProposalToGnatt[[#This Row],[Start Date]],Milestone_Marker,IF(AND(CL$29&gt;ProposalToGnatt[[#This Row],[Start Date]],CL$29&lt;ProposalToGnatt[[#This Row],[Start Date]]+ProposalToGnatt[[#This Row],[Days]]),$G$5,"")),"")</f>
        <v/>
      </c>
      <c r="CM35" s="37" t="str">
        <f ca="1">IFERROR(+IF(CM$29=ProposalToGnatt[[#This Row],[Start Date]],Milestone_Marker,IF(AND(CM$29&gt;ProposalToGnatt[[#This Row],[Start Date]],CM$29&lt;ProposalToGnatt[[#This Row],[Start Date]]+ProposalToGnatt[[#This Row],[Days]]),$G$5,"")),"")</f>
        <v/>
      </c>
      <c r="CN35" s="37" t="str">
        <f ca="1">IFERROR(+IF(CN$29=ProposalToGnatt[[#This Row],[Start Date]],Milestone_Marker,IF(AND(CN$29&gt;ProposalToGnatt[[#This Row],[Start Date]],CN$29&lt;ProposalToGnatt[[#This Row],[Start Date]]+ProposalToGnatt[[#This Row],[Days]]),$G$5,"")),"")</f>
        <v/>
      </c>
      <c r="CO35" s="37" t="str">
        <f ca="1">IFERROR(+IF(CO$29=ProposalToGnatt[[#This Row],[Start Date]],Milestone_Marker,IF(AND(CO$29&gt;ProposalToGnatt[[#This Row],[Start Date]],CO$29&lt;ProposalToGnatt[[#This Row],[Start Date]]+ProposalToGnatt[[#This Row],[Days]]),$G$5,"")),"")</f>
        <v/>
      </c>
      <c r="CP35" s="37" t="str">
        <f ca="1">IFERROR(+IF(CP$29=ProposalToGnatt[[#This Row],[Start Date]],Milestone_Marker,IF(AND(CP$29&gt;ProposalToGnatt[[#This Row],[Start Date]],CP$29&lt;ProposalToGnatt[[#This Row],[Start Date]]+ProposalToGnatt[[#This Row],[Days]]),$G$5,"")),"")</f>
        <v/>
      </c>
      <c r="CQ35" s="37" t="str">
        <f ca="1">IFERROR(+IF(CQ$29=ProposalToGnatt[[#This Row],[Start Date]],Milestone_Marker,IF(AND(CQ$29&gt;ProposalToGnatt[[#This Row],[Start Date]],CQ$29&lt;ProposalToGnatt[[#This Row],[Start Date]]+ProposalToGnatt[[#This Row],[Days]]),$G$5,"")),"")</f>
        <v/>
      </c>
      <c r="CR35" s="37" t="str">
        <f ca="1">IFERROR(+IF(CR$29=ProposalToGnatt[[#This Row],[Start Date]],Milestone_Marker,IF(AND(CR$29&gt;ProposalToGnatt[[#This Row],[Start Date]],CR$29&lt;ProposalToGnatt[[#This Row],[Start Date]]+ProposalToGnatt[[#This Row],[Days]]),$G$5,"")),"")</f>
        <v/>
      </c>
      <c r="CS35" s="37" t="str">
        <f ca="1">IFERROR(+IF(CS$29=ProposalToGnatt[[#This Row],[Start Date]],Milestone_Marker,IF(AND(CS$29&gt;ProposalToGnatt[[#This Row],[Start Date]],CS$29&lt;ProposalToGnatt[[#This Row],[Start Date]]+ProposalToGnatt[[#This Row],[Days]]),$G$5,"")),"")</f>
        <v/>
      </c>
      <c r="CT35" s="37" t="str">
        <f ca="1">IFERROR(+IF(CT$29=ProposalToGnatt[[#This Row],[Start Date]],Milestone_Marker,IF(AND(CT$29&gt;ProposalToGnatt[[#This Row],[Start Date]],CT$29&lt;ProposalToGnatt[[#This Row],[Start Date]]+ProposalToGnatt[[#This Row],[Days]]),$G$5,"")),"")</f>
        <v/>
      </c>
      <c r="CU35" s="37" t="str">
        <f ca="1">IFERROR(+IF(CU$29=ProposalToGnatt[[#This Row],[Start Date]],Milestone_Marker,IF(AND(CU$29&gt;ProposalToGnatt[[#This Row],[Start Date]],CU$29&lt;ProposalToGnatt[[#This Row],[Start Date]]+ProposalToGnatt[[#This Row],[Days]]),$G$5,"")),"")</f>
        <v/>
      </c>
      <c r="CV35" s="37"/>
      <c r="CW35" s="37"/>
      <c r="CX35" s="37"/>
      <c r="CY35" s="37"/>
      <c r="CZ35" s="37"/>
      <c r="DA35" s="37"/>
      <c r="DB35" s="37"/>
      <c r="DC35" s="37"/>
      <c r="DD35" s="37"/>
      <c r="DE35" s="37"/>
      <c r="DF35" s="37"/>
      <c r="DG35" s="37"/>
      <c r="DH35" s="37"/>
      <c r="DI35" s="37"/>
      <c r="DJ35" s="37"/>
      <c r="DK35" s="37"/>
      <c r="DL35" s="37"/>
      <c r="DM35" s="37"/>
      <c r="DN35" s="37"/>
      <c r="DO35" s="37"/>
      <c r="DP35" s="37"/>
      <c r="DQ35" s="37"/>
      <c r="DR35" s="37"/>
      <c r="DS35" s="37"/>
      <c r="DT35" s="37"/>
      <c r="DU35" s="37"/>
    </row>
    <row r="36" spans="1:125" s="42" customFormat="1" ht="20.100000000000001" customHeight="1" x14ac:dyDescent="0.25">
      <c r="A36" t="s">
        <v>428</v>
      </c>
      <c r="B36">
        <v>11</v>
      </c>
      <c r="C36" t="s">
        <v>319</v>
      </c>
      <c r="D36"/>
      <c r="E36" t="s">
        <v>322</v>
      </c>
      <c r="F36">
        <v>0</v>
      </c>
      <c r="G36" s="14"/>
      <c r="H36" s="14"/>
      <c r="I36" t="s">
        <v>45</v>
      </c>
      <c r="J36">
        <v>1</v>
      </c>
      <c r="K36" s="303">
        <v>45213</v>
      </c>
      <c r="L36">
        <v>1</v>
      </c>
      <c r="M36" s="14"/>
      <c r="N36" s="352"/>
      <c r="O36" s="340"/>
      <c r="P36" s="37" t="str">
        <f ca="1">IFERROR(+IF(P$29=ProposalToGnatt[[#This Row],[Start Date]],Milestone_Marker,IF(AND(P$29&gt;ProposalToGnatt[[#This Row],[Start Date]],P$29&lt;ProposalToGnatt[[#This Row],[Start Date]]+ProposalToGnatt[[#This Row],[Days]]),$G$5,"")),"")</f>
        <v/>
      </c>
      <c r="Q36" s="37">
        <f ca="1">IFERROR(+IF(Q$29=ProposalToGnatt[[#This Row],[Start Date]],Milestone_Marker,IF(AND(Q$29&gt;ProposalToGnatt[[#This Row],[Start Date]],Q$29&lt;ProposalToGnatt[[#This Row],[Start Date]]+ProposalToGnatt[[#This Row],[Days]]),$G$5,"")),"")</f>
        <v>1</v>
      </c>
      <c r="R36" s="37" t="str">
        <f ca="1">IFERROR(+IF(R$29=ProposalToGnatt[[#This Row],[Start Date]],Milestone_Marker,IF(AND(R$29&gt;ProposalToGnatt[[#This Row],[Start Date]],R$29&lt;ProposalToGnatt[[#This Row],[Start Date]]+ProposalToGnatt[[#This Row],[Days]]),$G$5,"")),"")</f>
        <v/>
      </c>
      <c r="S36" s="37" t="str">
        <f ca="1">IFERROR(+IF(S$29=ProposalToGnatt[[#This Row],[Start Date]],Milestone_Marker,IF(AND(S$29&gt;ProposalToGnatt[[#This Row],[Start Date]],S$29&lt;ProposalToGnatt[[#This Row],[Start Date]]+ProposalToGnatt[[#This Row],[Days]]),$G$5,"")),"")</f>
        <v/>
      </c>
      <c r="T36" s="37" t="str">
        <f ca="1">IFERROR(+IF(T$29=ProposalToGnatt[[#This Row],[Start Date]],Milestone_Marker,IF(AND(T$29&gt;ProposalToGnatt[[#This Row],[Start Date]],T$29&lt;ProposalToGnatt[[#This Row],[Start Date]]+ProposalToGnatt[[#This Row],[Days]]),$G$5,"")),"")</f>
        <v/>
      </c>
      <c r="U36" s="37" t="str">
        <f ca="1">IFERROR(+IF(U$29=ProposalToGnatt[[#This Row],[Start Date]],Milestone_Marker,IF(AND(U$29&gt;ProposalToGnatt[[#This Row],[Start Date]],U$29&lt;ProposalToGnatt[[#This Row],[Start Date]]+ProposalToGnatt[[#This Row],[Days]]),$G$5,"")),"")</f>
        <v/>
      </c>
      <c r="V36" s="37" t="str">
        <f ca="1">IFERROR(+IF(V$29=ProposalToGnatt[[#This Row],[Start Date]],Milestone_Marker,IF(AND(V$29&gt;ProposalToGnatt[[#This Row],[Start Date]],V$29&lt;ProposalToGnatt[[#This Row],[Start Date]]+ProposalToGnatt[[#This Row],[Days]]),$G$5,"")),"")</f>
        <v/>
      </c>
      <c r="W36" s="37" t="str">
        <f ca="1">IFERROR(+IF(W$29=ProposalToGnatt[[#This Row],[Start Date]],Milestone_Marker,IF(AND(W$29&gt;ProposalToGnatt[[#This Row],[Start Date]],W$29&lt;ProposalToGnatt[[#This Row],[Start Date]]+ProposalToGnatt[[#This Row],[Days]]),$G$5,"")),"")</f>
        <v/>
      </c>
      <c r="X36" s="37" t="str">
        <f ca="1">IFERROR(+IF(X$29=ProposalToGnatt[[#This Row],[Start Date]],Milestone_Marker,IF(AND(X$29&gt;ProposalToGnatt[[#This Row],[Start Date]],X$29&lt;ProposalToGnatt[[#This Row],[Start Date]]+ProposalToGnatt[[#This Row],[Days]]),$G$5,"")),"")</f>
        <v/>
      </c>
      <c r="Y36" s="37" t="str">
        <f ca="1">IFERROR(+IF(Y$29=ProposalToGnatt[[#This Row],[Start Date]],Milestone_Marker,IF(AND(Y$29&gt;ProposalToGnatt[[#This Row],[Start Date]],Y$29&lt;ProposalToGnatt[[#This Row],[Start Date]]+ProposalToGnatt[[#This Row],[Days]]),$G$5,"")),"")</f>
        <v/>
      </c>
      <c r="Z36" s="37" t="str">
        <f ca="1">IFERROR(+IF(Z$29=ProposalToGnatt[[#This Row],[Start Date]],Milestone_Marker,IF(AND(Z$29&gt;ProposalToGnatt[[#This Row],[Start Date]],Z$29&lt;ProposalToGnatt[[#This Row],[Start Date]]+ProposalToGnatt[[#This Row],[Days]]),$G$5,"")),"")</f>
        <v/>
      </c>
      <c r="AA36" s="37" t="str">
        <f ca="1">IFERROR(+IF(AA$29=ProposalToGnatt[[#This Row],[Start Date]],Milestone_Marker,IF(AND(AA$29&gt;ProposalToGnatt[[#This Row],[Start Date]],AA$29&lt;ProposalToGnatt[[#This Row],[Start Date]]+ProposalToGnatt[[#This Row],[Days]]),$G$5,"")),"")</f>
        <v/>
      </c>
      <c r="AB36" s="37" t="str">
        <f ca="1">IFERROR(+IF(AB$29=ProposalToGnatt[[#This Row],[Start Date]],Milestone_Marker,IF(AND(AB$29&gt;ProposalToGnatt[[#This Row],[Start Date]],AB$29&lt;ProposalToGnatt[[#This Row],[Start Date]]+ProposalToGnatt[[#This Row],[Days]]),$G$5,"")),"")</f>
        <v/>
      </c>
      <c r="AC36" s="37" t="str">
        <f ca="1">IFERROR(+IF(AC$29=ProposalToGnatt[[#This Row],[Start Date]],Milestone_Marker,IF(AND(AC$29&gt;ProposalToGnatt[[#This Row],[Start Date]],AC$29&lt;ProposalToGnatt[[#This Row],[Start Date]]+ProposalToGnatt[[#This Row],[Days]]),$G$5,"")),"")</f>
        <v/>
      </c>
      <c r="AD36" s="37" t="str">
        <f ca="1">IFERROR(+IF(AD$29=ProposalToGnatt[[#This Row],[Start Date]],Milestone_Marker,IF(AND(AD$29&gt;ProposalToGnatt[[#This Row],[Start Date]],AD$29&lt;ProposalToGnatt[[#This Row],[Start Date]]+ProposalToGnatt[[#This Row],[Days]]),$G$5,"")),"")</f>
        <v/>
      </c>
      <c r="AE36" s="37" t="str">
        <f ca="1">IFERROR(+IF(AE$29=ProposalToGnatt[[#This Row],[Start Date]],Milestone_Marker,IF(AND(AE$29&gt;ProposalToGnatt[[#This Row],[Start Date]],AE$29&lt;ProposalToGnatt[[#This Row],[Start Date]]+ProposalToGnatt[[#This Row],[Days]]),$G$5,"")),"")</f>
        <v/>
      </c>
      <c r="AF36" s="37" t="str">
        <f ca="1">IFERROR(+IF(AF$29=ProposalToGnatt[[#This Row],[Start Date]],Milestone_Marker,IF(AND(AF$29&gt;ProposalToGnatt[[#This Row],[Start Date]],AF$29&lt;ProposalToGnatt[[#This Row],[Start Date]]+ProposalToGnatt[[#This Row],[Days]]),$G$5,"")),"")</f>
        <v/>
      </c>
      <c r="AG36" s="37" t="str">
        <f ca="1">IFERROR(+IF(AG$29=ProposalToGnatt[[#This Row],[Start Date]],Milestone_Marker,IF(AND(AG$29&gt;ProposalToGnatt[[#This Row],[Start Date]],AG$29&lt;ProposalToGnatt[[#This Row],[Start Date]]+ProposalToGnatt[[#This Row],[Days]]),$G$5,"")),"")</f>
        <v/>
      </c>
      <c r="AH36" s="37" t="str">
        <f ca="1">IFERROR(+IF(AH$29=ProposalToGnatt[[#This Row],[Start Date]],Milestone_Marker,IF(AND(AH$29&gt;ProposalToGnatt[[#This Row],[Start Date]],AH$29&lt;ProposalToGnatt[[#This Row],[Start Date]]+ProposalToGnatt[[#This Row],[Days]]),$G$5,"")),"")</f>
        <v/>
      </c>
      <c r="AI36" s="37" t="str">
        <f ca="1">IFERROR(+IF(AI$29=ProposalToGnatt[[#This Row],[Start Date]],Milestone_Marker,IF(AND(AI$29&gt;ProposalToGnatt[[#This Row],[Start Date]],AI$29&lt;ProposalToGnatt[[#This Row],[Start Date]]+ProposalToGnatt[[#This Row],[Days]]),$G$5,"")),"")</f>
        <v/>
      </c>
      <c r="AJ36" s="37" t="str">
        <f ca="1">IFERROR(+IF(AJ$29=ProposalToGnatt[[#This Row],[Start Date]],Milestone_Marker,IF(AND(AJ$29&gt;ProposalToGnatt[[#This Row],[Start Date]],AJ$29&lt;ProposalToGnatt[[#This Row],[Start Date]]+ProposalToGnatt[[#This Row],[Days]]),$G$5,"")),"")</f>
        <v/>
      </c>
      <c r="AK36" s="37" t="str">
        <f ca="1">IFERROR(+IF(AK$29=ProposalToGnatt[[#This Row],[Start Date]],Milestone_Marker,IF(AND(AK$29&gt;ProposalToGnatt[[#This Row],[Start Date]],AK$29&lt;ProposalToGnatt[[#This Row],[Start Date]]+ProposalToGnatt[[#This Row],[Days]]),$G$5,"")),"")</f>
        <v/>
      </c>
      <c r="AL36" s="37" t="str">
        <f ca="1">IFERROR(+IF(AL$29=ProposalToGnatt[[#This Row],[Start Date]],Milestone_Marker,IF(AND(AL$29&gt;ProposalToGnatt[[#This Row],[Start Date]],AL$29&lt;ProposalToGnatt[[#This Row],[Start Date]]+ProposalToGnatt[[#This Row],[Days]]),$G$5,"")),"")</f>
        <v/>
      </c>
      <c r="AM36" s="37" t="str">
        <f ca="1">IFERROR(+IF(AM$29=ProposalToGnatt[[#This Row],[Start Date]],Milestone_Marker,IF(AND(AM$29&gt;ProposalToGnatt[[#This Row],[Start Date]],AM$29&lt;ProposalToGnatt[[#This Row],[Start Date]]+ProposalToGnatt[[#This Row],[Days]]),$G$5,"")),"")</f>
        <v/>
      </c>
      <c r="AN36" s="37" t="str">
        <f ca="1">IFERROR(+IF(AN$29=ProposalToGnatt[[#This Row],[Start Date]],Milestone_Marker,IF(AND(AN$29&gt;ProposalToGnatt[[#This Row],[Start Date]],AN$29&lt;ProposalToGnatt[[#This Row],[Start Date]]+ProposalToGnatt[[#This Row],[Days]]),$G$5,"")),"")</f>
        <v/>
      </c>
      <c r="AO36" s="37" t="str">
        <f ca="1">IFERROR(+IF(AO$29=ProposalToGnatt[[#This Row],[Start Date]],Milestone_Marker,IF(AND(AO$29&gt;ProposalToGnatt[[#This Row],[Start Date]],AO$29&lt;ProposalToGnatt[[#This Row],[Start Date]]+ProposalToGnatt[[#This Row],[Days]]),$G$5,"")),"")</f>
        <v/>
      </c>
      <c r="AP36" s="37" t="str">
        <f ca="1">IFERROR(+IF(AP$29=ProposalToGnatt[[#This Row],[Start Date]],Milestone_Marker,IF(AND(AP$29&gt;ProposalToGnatt[[#This Row],[Start Date]],AP$29&lt;ProposalToGnatt[[#This Row],[Start Date]]+ProposalToGnatt[[#This Row],[Days]]),$G$5,"")),"")</f>
        <v/>
      </c>
      <c r="AQ36" s="37" t="str">
        <f ca="1">IFERROR(+IF(AQ$29=ProposalToGnatt[[#This Row],[Start Date]],Milestone_Marker,IF(AND(AQ$29&gt;ProposalToGnatt[[#This Row],[Start Date]],AQ$29&lt;ProposalToGnatt[[#This Row],[Start Date]]+ProposalToGnatt[[#This Row],[Days]]),$G$5,"")),"")</f>
        <v/>
      </c>
      <c r="AR36" s="37" t="str">
        <f ca="1">IFERROR(+IF(AR$29=ProposalToGnatt[[#This Row],[Start Date]],Milestone_Marker,IF(AND(AR$29&gt;ProposalToGnatt[[#This Row],[Start Date]],AR$29&lt;ProposalToGnatt[[#This Row],[Start Date]]+ProposalToGnatt[[#This Row],[Days]]),$G$5,"")),"")</f>
        <v/>
      </c>
      <c r="AS36" s="37" t="str">
        <f ca="1">IFERROR(+IF(AS$29=ProposalToGnatt[[#This Row],[Start Date]],Milestone_Marker,IF(AND(AS$29&gt;ProposalToGnatt[[#This Row],[Start Date]],AS$29&lt;ProposalToGnatt[[#This Row],[Start Date]]+ProposalToGnatt[[#This Row],[Days]]),$G$5,"")),"")</f>
        <v/>
      </c>
      <c r="AT36" s="37" t="str">
        <f ca="1">IFERROR(+IF(AT$29=ProposalToGnatt[[#This Row],[Start Date]],Milestone_Marker,IF(AND(AT$29&gt;ProposalToGnatt[[#This Row],[Start Date]],AT$29&lt;ProposalToGnatt[[#This Row],[Start Date]]+ProposalToGnatt[[#This Row],[Days]]),$G$5,"")),"")</f>
        <v/>
      </c>
      <c r="AU36" s="37" t="str">
        <f ca="1">IFERROR(+IF(AU$29=ProposalToGnatt[[#This Row],[Start Date]],Milestone_Marker,IF(AND(AU$29&gt;ProposalToGnatt[[#This Row],[Start Date]],AU$29&lt;ProposalToGnatt[[#This Row],[Start Date]]+ProposalToGnatt[[#This Row],[Days]]),$G$5,"")),"")</f>
        <v/>
      </c>
      <c r="AV36" s="37" t="str">
        <f ca="1">IFERROR(+IF(AV$29=ProposalToGnatt[[#This Row],[Start Date]],Milestone_Marker,IF(AND(AV$29&gt;ProposalToGnatt[[#This Row],[Start Date]],AV$29&lt;ProposalToGnatt[[#This Row],[Start Date]]+ProposalToGnatt[[#This Row],[Days]]),$G$5,"")),"")</f>
        <v/>
      </c>
      <c r="AW36" s="37" t="str">
        <f ca="1">IFERROR(+IF(AW$29=ProposalToGnatt[[#This Row],[Start Date]],Milestone_Marker,IF(AND(AW$29&gt;ProposalToGnatt[[#This Row],[Start Date]],AW$29&lt;ProposalToGnatt[[#This Row],[Start Date]]+ProposalToGnatt[[#This Row],[Days]]),$G$5,"")),"")</f>
        <v/>
      </c>
      <c r="AX36" s="37" t="str">
        <f ca="1">IFERROR(+IF(AX$29=ProposalToGnatt[[#This Row],[Start Date]],Milestone_Marker,IF(AND(AX$29&gt;ProposalToGnatt[[#This Row],[Start Date]],AX$29&lt;ProposalToGnatt[[#This Row],[Start Date]]+ProposalToGnatt[[#This Row],[Days]]),$G$5,"")),"")</f>
        <v/>
      </c>
      <c r="AY36" s="37" t="str">
        <f ca="1">IFERROR(+IF(AY$29=ProposalToGnatt[[#This Row],[Start Date]],Milestone_Marker,IF(AND(AY$29&gt;ProposalToGnatt[[#This Row],[Start Date]],AY$29&lt;ProposalToGnatt[[#This Row],[Start Date]]+ProposalToGnatt[[#This Row],[Days]]),$G$5,"")),"")</f>
        <v/>
      </c>
      <c r="AZ36" s="37" t="str">
        <f ca="1">IFERROR(+IF(AZ$29=ProposalToGnatt[[#This Row],[Start Date]],Milestone_Marker,IF(AND(AZ$29&gt;ProposalToGnatt[[#This Row],[Start Date]],AZ$29&lt;ProposalToGnatt[[#This Row],[Start Date]]+ProposalToGnatt[[#This Row],[Days]]),$G$5,"")),"")</f>
        <v/>
      </c>
      <c r="BA36" s="37" t="str">
        <f ca="1">IFERROR(+IF(BA$29=ProposalToGnatt[[#This Row],[Start Date]],Milestone_Marker,IF(AND(BA$29&gt;ProposalToGnatt[[#This Row],[Start Date]],BA$29&lt;ProposalToGnatt[[#This Row],[Start Date]]+ProposalToGnatt[[#This Row],[Days]]),$G$5,"")),"")</f>
        <v/>
      </c>
      <c r="BB36" s="37" t="str">
        <f ca="1">IFERROR(+IF(BB$29=ProposalToGnatt[[#This Row],[Start Date]],Milestone_Marker,IF(AND(BB$29&gt;ProposalToGnatt[[#This Row],[Start Date]],BB$29&lt;ProposalToGnatt[[#This Row],[Start Date]]+ProposalToGnatt[[#This Row],[Days]]),$G$5,"")),"")</f>
        <v/>
      </c>
      <c r="BC36" s="37" t="str">
        <f ca="1">IFERROR(+IF(BC$29=ProposalToGnatt[[#This Row],[Start Date]],Milestone_Marker,IF(AND(BC$29&gt;ProposalToGnatt[[#This Row],[Start Date]],BC$29&lt;ProposalToGnatt[[#This Row],[Start Date]]+ProposalToGnatt[[#This Row],[Days]]),$G$5,"")),"")</f>
        <v/>
      </c>
      <c r="BD36" s="37" t="str">
        <f ca="1">IFERROR(+IF(BD$29=ProposalToGnatt[[#This Row],[Start Date]],Milestone_Marker,IF(AND(BD$29&gt;ProposalToGnatt[[#This Row],[Start Date]],BD$29&lt;ProposalToGnatt[[#This Row],[Start Date]]+ProposalToGnatt[[#This Row],[Days]]),$G$5,"")),"")</f>
        <v/>
      </c>
      <c r="BE36" s="37" t="str">
        <f ca="1">IFERROR(+IF(BE$29=ProposalToGnatt[[#This Row],[Start Date]],Milestone_Marker,IF(AND(BE$29&gt;ProposalToGnatt[[#This Row],[Start Date]],BE$29&lt;ProposalToGnatt[[#This Row],[Start Date]]+ProposalToGnatt[[#This Row],[Days]]),$G$5,"")),"")</f>
        <v/>
      </c>
      <c r="BF36" s="37" t="str">
        <f ca="1">IFERROR(+IF(BF$29=ProposalToGnatt[[#This Row],[Start Date]],Milestone_Marker,IF(AND(BF$29&gt;ProposalToGnatt[[#This Row],[Start Date]],BF$29&lt;ProposalToGnatt[[#This Row],[Start Date]]+ProposalToGnatt[[#This Row],[Days]]),$G$5,"")),"")</f>
        <v/>
      </c>
      <c r="BG36" s="37" t="str">
        <f ca="1">IFERROR(+IF(BG$29=ProposalToGnatt[[#This Row],[Start Date]],Milestone_Marker,IF(AND(BG$29&gt;ProposalToGnatt[[#This Row],[Start Date]],BG$29&lt;ProposalToGnatt[[#This Row],[Start Date]]+ProposalToGnatt[[#This Row],[Days]]),$G$5,"")),"")</f>
        <v/>
      </c>
      <c r="BH36" s="37" t="str">
        <f ca="1">IFERROR(+IF(BH$29=ProposalToGnatt[[#This Row],[Start Date]],Milestone_Marker,IF(AND(BH$29&gt;ProposalToGnatt[[#This Row],[Start Date]],BH$29&lt;ProposalToGnatt[[#This Row],[Start Date]]+ProposalToGnatt[[#This Row],[Days]]),$G$5,"")),"")</f>
        <v/>
      </c>
      <c r="BI36" s="37" t="str">
        <f ca="1">IFERROR(+IF(BI$29=ProposalToGnatt[[#This Row],[Start Date]],Milestone_Marker,IF(AND(BI$29&gt;ProposalToGnatt[[#This Row],[Start Date]],BI$29&lt;ProposalToGnatt[[#This Row],[Start Date]]+ProposalToGnatt[[#This Row],[Days]]),$G$5,"")),"")</f>
        <v/>
      </c>
      <c r="BJ36" s="37" t="str">
        <f ca="1">IFERROR(+IF(BJ$29=ProposalToGnatt[[#This Row],[Start Date]],Milestone_Marker,IF(AND(BJ$29&gt;ProposalToGnatt[[#This Row],[Start Date]],BJ$29&lt;ProposalToGnatt[[#This Row],[Start Date]]+ProposalToGnatt[[#This Row],[Days]]),$G$5,"")),"")</f>
        <v/>
      </c>
      <c r="BK36" s="37" t="str">
        <f ca="1">IFERROR(+IF(BK$29=ProposalToGnatt[[#This Row],[Start Date]],Milestone_Marker,IF(AND(BK$29&gt;ProposalToGnatt[[#This Row],[Start Date]],BK$29&lt;ProposalToGnatt[[#This Row],[Start Date]]+ProposalToGnatt[[#This Row],[Days]]),$G$5,"")),"")</f>
        <v/>
      </c>
      <c r="BL36" s="37" t="str">
        <f ca="1">IFERROR(+IF(BL$29=ProposalToGnatt[[#This Row],[Start Date]],Milestone_Marker,IF(AND(BL$29&gt;ProposalToGnatt[[#This Row],[Start Date]],BL$29&lt;ProposalToGnatt[[#This Row],[Start Date]]+ProposalToGnatt[[#This Row],[Days]]),$G$5,"")),"")</f>
        <v/>
      </c>
      <c r="BM36" s="37" t="str">
        <f ca="1">IFERROR(+IF(BM$29=ProposalToGnatt[[#This Row],[Start Date]],Milestone_Marker,IF(AND(BM$29&gt;ProposalToGnatt[[#This Row],[Start Date]],BM$29&lt;ProposalToGnatt[[#This Row],[Start Date]]+ProposalToGnatt[[#This Row],[Days]]),$G$5,"")),"")</f>
        <v/>
      </c>
      <c r="BN36" s="37" t="str">
        <f ca="1">IFERROR(+IF(BN$29=ProposalToGnatt[[#This Row],[Start Date]],Milestone_Marker,IF(AND(BN$29&gt;ProposalToGnatt[[#This Row],[Start Date]],BN$29&lt;ProposalToGnatt[[#This Row],[Start Date]]+ProposalToGnatt[[#This Row],[Days]]),$G$5,"")),"")</f>
        <v/>
      </c>
      <c r="BO36" s="37" t="str">
        <f ca="1">IFERROR(+IF(BO$29=ProposalToGnatt[[#This Row],[Start Date]],Milestone_Marker,IF(AND(BO$29&gt;ProposalToGnatt[[#This Row],[Start Date]],BO$29&lt;ProposalToGnatt[[#This Row],[Start Date]]+ProposalToGnatt[[#This Row],[Days]]),$G$5,"")),"")</f>
        <v/>
      </c>
      <c r="BP36" s="37" t="str">
        <f ca="1">IFERROR(+IF(BP$29=ProposalToGnatt[[#This Row],[Start Date]],Milestone_Marker,IF(AND(BP$29&gt;ProposalToGnatt[[#This Row],[Start Date]],BP$29&lt;ProposalToGnatt[[#This Row],[Start Date]]+ProposalToGnatt[[#This Row],[Days]]),$G$5,"")),"")</f>
        <v/>
      </c>
      <c r="BQ36" s="37" t="str">
        <f ca="1">IFERROR(+IF(BQ$29=ProposalToGnatt[[#This Row],[Start Date]],Milestone_Marker,IF(AND(BQ$29&gt;ProposalToGnatt[[#This Row],[Start Date]],BQ$29&lt;ProposalToGnatt[[#This Row],[Start Date]]+ProposalToGnatt[[#This Row],[Days]]),$G$5,"")),"")</f>
        <v/>
      </c>
      <c r="BR36" s="37" t="str">
        <f ca="1">IFERROR(+IF(BR$29=ProposalToGnatt[[#This Row],[Start Date]],Milestone_Marker,IF(AND(BR$29&gt;ProposalToGnatt[[#This Row],[Start Date]],BR$29&lt;ProposalToGnatt[[#This Row],[Start Date]]+ProposalToGnatt[[#This Row],[Days]]),$G$5,"")),"")</f>
        <v/>
      </c>
      <c r="BS36" s="37" t="str">
        <f ca="1">IFERROR(+IF(BS$29=ProposalToGnatt[[#This Row],[Start Date]],Milestone_Marker,IF(AND(BS$29&gt;ProposalToGnatt[[#This Row],[Start Date]],BS$29&lt;ProposalToGnatt[[#This Row],[Start Date]]+ProposalToGnatt[[#This Row],[Days]]),$G$5,"")),"")</f>
        <v/>
      </c>
      <c r="BT36" s="37" t="str">
        <f ca="1">IFERROR(+IF(BT$29=ProposalToGnatt[[#This Row],[Start Date]],Milestone_Marker,IF(AND(BT$29&gt;ProposalToGnatt[[#This Row],[Start Date]],BT$29&lt;ProposalToGnatt[[#This Row],[Start Date]]+ProposalToGnatt[[#This Row],[Days]]),$G$5,"")),"")</f>
        <v/>
      </c>
      <c r="BU36" s="37" t="str">
        <f ca="1">IFERROR(+IF(BU$29=ProposalToGnatt[[#This Row],[Start Date]],Milestone_Marker,IF(AND(BU$29&gt;ProposalToGnatt[[#This Row],[Start Date]],BU$29&lt;ProposalToGnatt[[#This Row],[Start Date]]+ProposalToGnatt[[#This Row],[Days]]),$G$5,"")),"")</f>
        <v/>
      </c>
      <c r="BV36" s="37" t="str">
        <f ca="1">IFERROR(+IF(BV$29=ProposalToGnatt[[#This Row],[Start Date]],Milestone_Marker,IF(AND(BV$29&gt;ProposalToGnatt[[#This Row],[Start Date]],BV$29&lt;ProposalToGnatt[[#This Row],[Start Date]]+ProposalToGnatt[[#This Row],[Days]]),$G$5,"")),"")</f>
        <v/>
      </c>
      <c r="BW36" s="37" t="str">
        <f ca="1">IFERROR(+IF(BW$29=ProposalToGnatt[[#This Row],[Start Date]],Milestone_Marker,IF(AND(BW$29&gt;ProposalToGnatt[[#This Row],[Start Date]],BW$29&lt;ProposalToGnatt[[#This Row],[Start Date]]+ProposalToGnatt[[#This Row],[Days]]),$G$5,"")),"")</f>
        <v/>
      </c>
      <c r="BX36" s="37" t="str">
        <f ca="1">IFERROR(+IF(BX$29=ProposalToGnatt[[#This Row],[Start Date]],Milestone_Marker,IF(AND(BX$29&gt;ProposalToGnatt[[#This Row],[Start Date]],BX$29&lt;ProposalToGnatt[[#This Row],[Start Date]]+ProposalToGnatt[[#This Row],[Days]]),$G$5,"")),"")</f>
        <v/>
      </c>
      <c r="BY36" s="37" t="str">
        <f ca="1">IFERROR(+IF(BY$29=ProposalToGnatt[[#This Row],[Start Date]],Milestone_Marker,IF(AND(BY$29&gt;ProposalToGnatt[[#This Row],[Start Date]],BY$29&lt;ProposalToGnatt[[#This Row],[Start Date]]+ProposalToGnatt[[#This Row],[Days]]),$G$5,"")),"")</f>
        <v/>
      </c>
      <c r="BZ36" s="37" t="str">
        <f ca="1">IFERROR(+IF(BZ$29=ProposalToGnatt[[#This Row],[Start Date]],Milestone_Marker,IF(AND(BZ$29&gt;ProposalToGnatt[[#This Row],[Start Date]],BZ$29&lt;ProposalToGnatt[[#This Row],[Start Date]]+ProposalToGnatt[[#This Row],[Days]]),$G$5,"")),"")</f>
        <v/>
      </c>
      <c r="CA36" s="37" t="str">
        <f ca="1">IFERROR(+IF(CA$29=ProposalToGnatt[[#This Row],[Start Date]],Milestone_Marker,IF(AND(CA$29&gt;ProposalToGnatt[[#This Row],[Start Date]],CA$29&lt;ProposalToGnatt[[#This Row],[Start Date]]+ProposalToGnatt[[#This Row],[Days]]),$G$5,"")),"")</f>
        <v/>
      </c>
      <c r="CB36" s="37" t="str">
        <f ca="1">IFERROR(+IF(CB$29=ProposalToGnatt[[#This Row],[Start Date]],Milestone_Marker,IF(AND(CB$29&gt;ProposalToGnatt[[#This Row],[Start Date]],CB$29&lt;ProposalToGnatt[[#This Row],[Start Date]]+ProposalToGnatt[[#This Row],[Days]]),$G$5,"")),"")</f>
        <v/>
      </c>
      <c r="CC36" s="37" t="str">
        <f ca="1">IFERROR(+IF(CC$29=ProposalToGnatt[[#This Row],[Start Date]],Milestone_Marker,IF(AND(CC$29&gt;ProposalToGnatt[[#This Row],[Start Date]],CC$29&lt;ProposalToGnatt[[#This Row],[Start Date]]+ProposalToGnatt[[#This Row],[Days]]),$G$5,"")),"")</f>
        <v/>
      </c>
      <c r="CD36" s="37" t="str">
        <f ca="1">IFERROR(+IF(CD$29=ProposalToGnatt[[#This Row],[Start Date]],Milestone_Marker,IF(AND(CD$29&gt;ProposalToGnatt[[#This Row],[Start Date]],CD$29&lt;ProposalToGnatt[[#This Row],[Start Date]]+ProposalToGnatt[[#This Row],[Days]]),$G$5,"")),"")</f>
        <v/>
      </c>
      <c r="CE36" s="37" t="str">
        <f ca="1">IFERROR(+IF(CE$29=ProposalToGnatt[[#This Row],[Start Date]],Milestone_Marker,IF(AND(CE$29&gt;ProposalToGnatt[[#This Row],[Start Date]],CE$29&lt;ProposalToGnatt[[#This Row],[Start Date]]+ProposalToGnatt[[#This Row],[Days]]),$G$5,"")),"")</f>
        <v/>
      </c>
      <c r="CF36" s="37" t="str">
        <f ca="1">IFERROR(+IF(CF$29=ProposalToGnatt[[#This Row],[Start Date]],Milestone_Marker,IF(AND(CF$29&gt;ProposalToGnatt[[#This Row],[Start Date]],CF$29&lt;ProposalToGnatt[[#This Row],[Start Date]]+ProposalToGnatt[[#This Row],[Days]]),$G$5,"")),"")</f>
        <v/>
      </c>
      <c r="CG36" s="37" t="str">
        <f ca="1">IFERROR(+IF(CG$29=ProposalToGnatt[[#This Row],[Start Date]],Milestone_Marker,IF(AND(CG$29&gt;ProposalToGnatt[[#This Row],[Start Date]],CG$29&lt;ProposalToGnatt[[#This Row],[Start Date]]+ProposalToGnatt[[#This Row],[Days]]),$G$5,"")),"")</f>
        <v/>
      </c>
      <c r="CH36" s="37" t="str">
        <f ca="1">IFERROR(+IF(CH$29=ProposalToGnatt[[#This Row],[Start Date]],Milestone_Marker,IF(AND(CH$29&gt;ProposalToGnatt[[#This Row],[Start Date]],CH$29&lt;ProposalToGnatt[[#This Row],[Start Date]]+ProposalToGnatt[[#This Row],[Days]]),$G$5,"")),"")</f>
        <v/>
      </c>
      <c r="CI36" s="37" t="str">
        <f ca="1">IFERROR(+IF(CI$29=ProposalToGnatt[[#This Row],[Start Date]],Milestone_Marker,IF(AND(CI$29&gt;ProposalToGnatt[[#This Row],[Start Date]],CI$29&lt;ProposalToGnatt[[#This Row],[Start Date]]+ProposalToGnatt[[#This Row],[Days]]),$G$5,"")),"")</f>
        <v/>
      </c>
      <c r="CJ36" s="37" t="str">
        <f ca="1">IFERROR(+IF(CJ$29=ProposalToGnatt[[#This Row],[Start Date]],Milestone_Marker,IF(AND(CJ$29&gt;ProposalToGnatt[[#This Row],[Start Date]],CJ$29&lt;ProposalToGnatt[[#This Row],[Start Date]]+ProposalToGnatt[[#This Row],[Days]]),$G$5,"")),"")</f>
        <v/>
      </c>
      <c r="CK36" s="37" t="str">
        <f ca="1">IFERROR(+IF(CK$29=ProposalToGnatt[[#This Row],[Start Date]],Milestone_Marker,IF(AND(CK$29&gt;ProposalToGnatt[[#This Row],[Start Date]],CK$29&lt;ProposalToGnatt[[#This Row],[Start Date]]+ProposalToGnatt[[#This Row],[Days]]),$G$5,"")),"")</f>
        <v/>
      </c>
      <c r="CL36" s="37" t="str">
        <f ca="1">IFERROR(+IF(CL$29=ProposalToGnatt[[#This Row],[Start Date]],Milestone_Marker,IF(AND(CL$29&gt;ProposalToGnatt[[#This Row],[Start Date]],CL$29&lt;ProposalToGnatt[[#This Row],[Start Date]]+ProposalToGnatt[[#This Row],[Days]]),$G$5,"")),"")</f>
        <v/>
      </c>
      <c r="CM36" s="37" t="str">
        <f ca="1">IFERROR(+IF(CM$29=ProposalToGnatt[[#This Row],[Start Date]],Milestone_Marker,IF(AND(CM$29&gt;ProposalToGnatt[[#This Row],[Start Date]],CM$29&lt;ProposalToGnatt[[#This Row],[Start Date]]+ProposalToGnatt[[#This Row],[Days]]),$G$5,"")),"")</f>
        <v/>
      </c>
      <c r="CN36" s="37" t="str">
        <f ca="1">IFERROR(+IF(CN$29=ProposalToGnatt[[#This Row],[Start Date]],Milestone_Marker,IF(AND(CN$29&gt;ProposalToGnatt[[#This Row],[Start Date]],CN$29&lt;ProposalToGnatt[[#This Row],[Start Date]]+ProposalToGnatt[[#This Row],[Days]]),$G$5,"")),"")</f>
        <v/>
      </c>
      <c r="CO36" s="37" t="str">
        <f ca="1">IFERROR(+IF(CO$29=ProposalToGnatt[[#This Row],[Start Date]],Milestone_Marker,IF(AND(CO$29&gt;ProposalToGnatt[[#This Row],[Start Date]],CO$29&lt;ProposalToGnatt[[#This Row],[Start Date]]+ProposalToGnatt[[#This Row],[Days]]),$G$5,"")),"")</f>
        <v/>
      </c>
      <c r="CP36" s="37" t="str">
        <f ca="1">IFERROR(+IF(CP$29=ProposalToGnatt[[#This Row],[Start Date]],Milestone_Marker,IF(AND(CP$29&gt;ProposalToGnatt[[#This Row],[Start Date]],CP$29&lt;ProposalToGnatt[[#This Row],[Start Date]]+ProposalToGnatt[[#This Row],[Days]]),$G$5,"")),"")</f>
        <v/>
      </c>
      <c r="CQ36" s="37" t="str">
        <f ca="1">IFERROR(+IF(CQ$29=ProposalToGnatt[[#This Row],[Start Date]],Milestone_Marker,IF(AND(CQ$29&gt;ProposalToGnatt[[#This Row],[Start Date]],CQ$29&lt;ProposalToGnatt[[#This Row],[Start Date]]+ProposalToGnatt[[#This Row],[Days]]),$G$5,"")),"")</f>
        <v/>
      </c>
      <c r="CR36" s="37" t="str">
        <f ca="1">IFERROR(+IF(CR$29=ProposalToGnatt[[#This Row],[Start Date]],Milestone_Marker,IF(AND(CR$29&gt;ProposalToGnatt[[#This Row],[Start Date]],CR$29&lt;ProposalToGnatt[[#This Row],[Start Date]]+ProposalToGnatt[[#This Row],[Days]]),$G$5,"")),"")</f>
        <v/>
      </c>
      <c r="CS36" s="37" t="str">
        <f ca="1">IFERROR(+IF(CS$29=ProposalToGnatt[[#This Row],[Start Date]],Milestone_Marker,IF(AND(CS$29&gt;ProposalToGnatt[[#This Row],[Start Date]],CS$29&lt;ProposalToGnatt[[#This Row],[Start Date]]+ProposalToGnatt[[#This Row],[Days]]),$G$5,"")),"")</f>
        <v/>
      </c>
      <c r="CT36" s="37" t="str">
        <f ca="1">IFERROR(+IF(CT$29=ProposalToGnatt[[#This Row],[Start Date]],Milestone_Marker,IF(AND(CT$29&gt;ProposalToGnatt[[#This Row],[Start Date]],CT$29&lt;ProposalToGnatt[[#This Row],[Start Date]]+ProposalToGnatt[[#This Row],[Days]]),$G$5,"")),"")</f>
        <v/>
      </c>
      <c r="CU36" s="37" t="str">
        <f ca="1">IFERROR(+IF(CU$29=ProposalToGnatt[[#This Row],[Start Date]],Milestone_Marker,IF(AND(CU$29&gt;ProposalToGnatt[[#This Row],[Start Date]],CU$29&lt;ProposalToGnatt[[#This Row],[Start Date]]+ProposalToGnatt[[#This Row],[Days]]),$G$5,"")),"")</f>
        <v/>
      </c>
      <c r="CV36" s="37"/>
      <c r="CW36" s="37"/>
      <c r="CX36" s="37"/>
      <c r="CY36" s="37"/>
      <c r="CZ36" s="37"/>
      <c r="DA36" s="37"/>
      <c r="DB36" s="37"/>
      <c r="DC36" s="37"/>
      <c r="DD36" s="37"/>
      <c r="DE36" s="37"/>
      <c r="DF36" s="37"/>
      <c r="DG36" s="37"/>
      <c r="DH36" s="37"/>
      <c r="DI36" s="37"/>
      <c r="DJ36" s="37"/>
      <c r="DK36" s="37"/>
      <c r="DL36" s="37"/>
      <c r="DM36" s="37"/>
      <c r="DN36" s="37"/>
      <c r="DO36" s="37"/>
      <c r="DP36" s="37"/>
      <c r="DQ36" s="37"/>
      <c r="DR36" s="37"/>
      <c r="DS36" s="37"/>
      <c r="DT36" s="37"/>
      <c r="DU36" s="37"/>
    </row>
    <row r="37" spans="1:125" s="42" customFormat="1" ht="20.100000000000001" customHeight="1" x14ac:dyDescent="0.25">
      <c r="A37" t="s">
        <v>428</v>
      </c>
      <c r="B37">
        <v>12</v>
      </c>
      <c r="C37" t="s">
        <v>319</v>
      </c>
      <c r="D37"/>
      <c r="E37" t="s">
        <v>323</v>
      </c>
      <c r="F37">
        <v>0</v>
      </c>
      <c r="G37" s="14"/>
      <c r="H37" s="14"/>
      <c r="I37" t="s">
        <v>45</v>
      </c>
      <c r="J37">
        <v>1</v>
      </c>
      <c r="K37" s="303">
        <v>45213</v>
      </c>
      <c r="L37">
        <v>1</v>
      </c>
      <c r="M37" s="14"/>
      <c r="N37" s="352"/>
      <c r="O37" s="340"/>
      <c r="P37" s="37" t="str">
        <f ca="1">IFERROR(+IF(P$29=ProposalToGnatt[[#This Row],[Start Date]],Milestone_Marker,IF(AND(P$29&gt;ProposalToGnatt[[#This Row],[Start Date]],P$29&lt;ProposalToGnatt[[#This Row],[Start Date]]+ProposalToGnatt[[#This Row],[Days]]),$G$5,"")),"")</f>
        <v/>
      </c>
      <c r="Q37" s="37">
        <f ca="1">IFERROR(+IF(Q$29=ProposalToGnatt[[#This Row],[Start Date]],Milestone_Marker,IF(AND(Q$29&gt;ProposalToGnatt[[#This Row],[Start Date]],Q$29&lt;ProposalToGnatt[[#This Row],[Start Date]]+ProposalToGnatt[[#This Row],[Days]]),$G$5,"")),"")</f>
        <v>1</v>
      </c>
      <c r="R37" s="37" t="str">
        <f ca="1">IFERROR(+IF(R$29=ProposalToGnatt[[#This Row],[Start Date]],Milestone_Marker,IF(AND(R$29&gt;ProposalToGnatt[[#This Row],[Start Date]],R$29&lt;ProposalToGnatt[[#This Row],[Start Date]]+ProposalToGnatt[[#This Row],[Days]]),$G$5,"")),"")</f>
        <v/>
      </c>
      <c r="S37" s="37" t="str">
        <f ca="1">IFERROR(+IF(S$29=ProposalToGnatt[[#This Row],[Start Date]],Milestone_Marker,IF(AND(S$29&gt;ProposalToGnatt[[#This Row],[Start Date]],S$29&lt;ProposalToGnatt[[#This Row],[Start Date]]+ProposalToGnatt[[#This Row],[Days]]),$G$5,"")),"")</f>
        <v/>
      </c>
      <c r="T37" s="37" t="str">
        <f ca="1">IFERROR(+IF(T$29=ProposalToGnatt[[#This Row],[Start Date]],Milestone_Marker,IF(AND(T$29&gt;ProposalToGnatt[[#This Row],[Start Date]],T$29&lt;ProposalToGnatt[[#This Row],[Start Date]]+ProposalToGnatt[[#This Row],[Days]]),$G$5,"")),"")</f>
        <v/>
      </c>
      <c r="U37" s="37" t="str">
        <f ca="1">IFERROR(+IF(U$29=ProposalToGnatt[[#This Row],[Start Date]],Milestone_Marker,IF(AND(U$29&gt;ProposalToGnatt[[#This Row],[Start Date]],U$29&lt;ProposalToGnatt[[#This Row],[Start Date]]+ProposalToGnatt[[#This Row],[Days]]),$G$5,"")),"")</f>
        <v/>
      </c>
      <c r="V37" s="37" t="str">
        <f ca="1">IFERROR(+IF(V$29=ProposalToGnatt[[#This Row],[Start Date]],Milestone_Marker,IF(AND(V$29&gt;ProposalToGnatt[[#This Row],[Start Date]],V$29&lt;ProposalToGnatt[[#This Row],[Start Date]]+ProposalToGnatt[[#This Row],[Days]]),$G$5,"")),"")</f>
        <v/>
      </c>
      <c r="W37" s="37" t="str">
        <f ca="1">IFERROR(+IF(W$29=ProposalToGnatt[[#This Row],[Start Date]],Milestone_Marker,IF(AND(W$29&gt;ProposalToGnatt[[#This Row],[Start Date]],W$29&lt;ProposalToGnatt[[#This Row],[Start Date]]+ProposalToGnatt[[#This Row],[Days]]),$G$5,"")),"")</f>
        <v/>
      </c>
      <c r="X37" s="37" t="str">
        <f ca="1">IFERROR(+IF(X$29=ProposalToGnatt[[#This Row],[Start Date]],Milestone_Marker,IF(AND(X$29&gt;ProposalToGnatt[[#This Row],[Start Date]],X$29&lt;ProposalToGnatt[[#This Row],[Start Date]]+ProposalToGnatt[[#This Row],[Days]]),$G$5,"")),"")</f>
        <v/>
      </c>
      <c r="Y37" s="37" t="str">
        <f ca="1">IFERROR(+IF(Y$29=ProposalToGnatt[[#This Row],[Start Date]],Milestone_Marker,IF(AND(Y$29&gt;ProposalToGnatt[[#This Row],[Start Date]],Y$29&lt;ProposalToGnatt[[#This Row],[Start Date]]+ProposalToGnatt[[#This Row],[Days]]),$G$5,"")),"")</f>
        <v/>
      </c>
      <c r="Z37" s="37" t="str">
        <f ca="1">IFERROR(+IF(Z$29=ProposalToGnatt[[#This Row],[Start Date]],Milestone_Marker,IF(AND(Z$29&gt;ProposalToGnatt[[#This Row],[Start Date]],Z$29&lt;ProposalToGnatt[[#This Row],[Start Date]]+ProposalToGnatt[[#This Row],[Days]]),$G$5,"")),"")</f>
        <v/>
      </c>
      <c r="AA37" s="37" t="str">
        <f ca="1">IFERROR(+IF(AA$29=ProposalToGnatt[[#This Row],[Start Date]],Milestone_Marker,IF(AND(AA$29&gt;ProposalToGnatt[[#This Row],[Start Date]],AA$29&lt;ProposalToGnatt[[#This Row],[Start Date]]+ProposalToGnatt[[#This Row],[Days]]),$G$5,"")),"")</f>
        <v/>
      </c>
      <c r="AB37" s="37" t="str">
        <f ca="1">IFERROR(+IF(AB$29=ProposalToGnatt[[#This Row],[Start Date]],Milestone_Marker,IF(AND(AB$29&gt;ProposalToGnatt[[#This Row],[Start Date]],AB$29&lt;ProposalToGnatt[[#This Row],[Start Date]]+ProposalToGnatt[[#This Row],[Days]]),$G$5,"")),"")</f>
        <v/>
      </c>
      <c r="AC37" s="37" t="str">
        <f ca="1">IFERROR(+IF(AC$29=ProposalToGnatt[[#This Row],[Start Date]],Milestone_Marker,IF(AND(AC$29&gt;ProposalToGnatt[[#This Row],[Start Date]],AC$29&lt;ProposalToGnatt[[#This Row],[Start Date]]+ProposalToGnatt[[#This Row],[Days]]),$G$5,"")),"")</f>
        <v/>
      </c>
      <c r="AD37" s="37" t="str">
        <f ca="1">IFERROR(+IF(AD$29=ProposalToGnatt[[#This Row],[Start Date]],Milestone_Marker,IF(AND(AD$29&gt;ProposalToGnatt[[#This Row],[Start Date]],AD$29&lt;ProposalToGnatt[[#This Row],[Start Date]]+ProposalToGnatt[[#This Row],[Days]]),$G$5,"")),"")</f>
        <v/>
      </c>
      <c r="AE37" s="37" t="str">
        <f ca="1">IFERROR(+IF(AE$29=ProposalToGnatt[[#This Row],[Start Date]],Milestone_Marker,IF(AND(AE$29&gt;ProposalToGnatt[[#This Row],[Start Date]],AE$29&lt;ProposalToGnatt[[#This Row],[Start Date]]+ProposalToGnatt[[#This Row],[Days]]),$G$5,"")),"")</f>
        <v/>
      </c>
      <c r="AF37" s="37" t="str">
        <f ca="1">IFERROR(+IF(AF$29=ProposalToGnatt[[#This Row],[Start Date]],Milestone_Marker,IF(AND(AF$29&gt;ProposalToGnatt[[#This Row],[Start Date]],AF$29&lt;ProposalToGnatt[[#This Row],[Start Date]]+ProposalToGnatt[[#This Row],[Days]]),$G$5,"")),"")</f>
        <v/>
      </c>
      <c r="AG37" s="37" t="str">
        <f ca="1">IFERROR(+IF(AG$29=ProposalToGnatt[[#This Row],[Start Date]],Milestone_Marker,IF(AND(AG$29&gt;ProposalToGnatt[[#This Row],[Start Date]],AG$29&lt;ProposalToGnatt[[#This Row],[Start Date]]+ProposalToGnatt[[#This Row],[Days]]),$G$5,"")),"")</f>
        <v/>
      </c>
      <c r="AH37" s="37" t="str">
        <f ca="1">IFERROR(+IF(AH$29=ProposalToGnatt[[#This Row],[Start Date]],Milestone_Marker,IF(AND(AH$29&gt;ProposalToGnatt[[#This Row],[Start Date]],AH$29&lt;ProposalToGnatt[[#This Row],[Start Date]]+ProposalToGnatt[[#This Row],[Days]]),$G$5,"")),"")</f>
        <v/>
      </c>
      <c r="AI37" s="37" t="str">
        <f ca="1">IFERROR(+IF(AI$29=ProposalToGnatt[[#This Row],[Start Date]],Milestone_Marker,IF(AND(AI$29&gt;ProposalToGnatt[[#This Row],[Start Date]],AI$29&lt;ProposalToGnatt[[#This Row],[Start Date]]+ProposalToGnatt[[#This Row],[Days]]),$G$5,"")),"")</f>
        <v/>
      </c>
      <c r="AJ37" s="37" t="str">
        <f ca="1">IFERROR(+IF(AJ$29=ProposalToGnatt[[#This Row],[Start Date]],Milestone_Marker,IF(AND(AJ$29&gt;ProposalToGnatt[[#This Row],[Start Date]],AJ$29&lt;ProposalToGnatt[[#This Row],[Start Date]]+ProposalToGnatt[[#This Row],[Days]]),$G$5,"")),"")</f>
        <v/>
      </c>
      <c r="AK37" s="37" t="str">
        <f ca="1">IFERROR(+IF(AK$29=ProposalToGnatt[[#This Row],[Start Date]],Milestone_Marker,IF(AND(AK$29&gt;ProposalToGnatt[[#This Row],[Start Date]],AK$29&lt;ProposalToGnatt[[#This Row],[Start Date]]+ProposalToGnatt[[#This Row],[Days]]),$G$5,"")),"")</f>
        <v/>
      </c>
      <c r="AL37" s="37" t="str">
        <f ca="1">IFERROR(+IF(AL$29=ProposalToGnatt[[#This Row],[Start Date]],Milestone_Marker,IF(AND(AL$29&gt;ProposalToGnatt[[#This Row],[Start Date]],AL$29&lt;ProposalToGnatt[[#This Row],[Start Date]]+ProposalToGnatt[[#This Row],[Days]]),$G$5,"")),"")</f>
        <v/>
      </c>
      <c r="AM37" s="37" t="str">
        <f ca="1">IFERROR(+IF(AM$29=ProposalToGnatt[[#This Row],[Start Date]],Milestone_Marker,IF(AND(AM$29&gt;ProposalToGnatt[[#This Row],[Start Date]],AM$29&lt;ProposalToGnatt[[#This Row],[Start Date]]+ProposalToGnatt[[#This Row],[Days]]),$G$5,"")),"")</f>
        <v/>
      </c>
      <c r="AN37" s="37" t="str">
        <f ca="1">IFERROR(+IF(AN$29=ProposalToGnatt[[#This Row],[Start Date]],Milestone_Marker,IF(AND(AN$29&gt;ProposalToGnatt[[#This Row],[Start Date]],AN$29&lt;ProposalToGnatt[[#This Row],[Start Date]]+ProposalToGnatt[[#This Row],[Days]]),$G$5,"")),"")</f>
        <v/>
      </c>
      <c r="AO37" s="37" t="str">
        <f ca="1">IFERROR(+IF(AO$29=ProposalToGnatt[[#This Row],[Start Date]],Milestone_Marker,IF(AND(AO$29&gt;ProposalToGnatt[[#This Row],[Start Date]],AO$29&lt;ProposalToGnatt[[#This Row],[Start Date]]+ProposalToGnatt[[#This Row],[Days]]),$G$5,"")),"")</f>
        <v/>
      </c>
      <c r="AP37" s="37" t="str">
        <f ca="1">IFERROR(+IF(AP$29=ProposalToGnatt[[#This Row],[Start Date]],Milestone_Marker,IF(AND(AP$29&gt;ProposalToGnatt[[#This Row],[Start Date]],AP$29&lt;ProposalToGnatt[[#This Row],[Start Date]]+ProposalToGnatt[[#This Row],[Days]]),$G$5,"")),"")</f>
        <v/>
      </c>
      <c r="AQ37" s="37" t="str">
        <f ca="1">IFERROR(+IF(AQ$29=ProposalToGnatt[[#This Row],[Start Date]],Milestone_Marker,IF(AND(AQ$29&gt;ProposalToGnatt[[#This Row],[Start Date]],AQ$29&lt;ProposalToGnatt[[#This Row],[Start Date]]+ProposalToGnatt[[#This Row],[Days]]),$G$5,"")),"")</f>
        <v/>
      </c>
      <c r="AR37" s="37" t="str">
        <f ca="1">IFERROR(+IF(AR$29=ProposalToGnatt[[#This Row],[Start Date]],Milestone_Marker,IF(AND(AR$29&gt;ProposalToGnatt[[#This Row],[Start Date]],AR$29&lt;ProposalToGnatt[[#This Row],[Start Date]]+ProposalToGnatt[[#This Row],[Days]]),$G$5,"")),"")</f>
        <v/>
      </c>
      <c r="AS37" s="37" t="str">
        <f ca="1">IFERROR(+IF(AS$29=ProposalToGnatt[[#This Row],[Start Date]],Milestone_Marker,IF(AND(AS$29&gt;ProposalToGnatt[[#This Row],[Start Date]],AS$29&lt;ProposalToGnatt[[#This Row],[Start Date]]+ProposalToGnatt[[#This Row],[Days]]),$G$5,"")),"")</f>
        <v/>
      </c>
      <c r="AT37" s="37" t="str">
        <f ca="1">IFERROR(+IF(AT$29=ProposalToGnatt[[#This Row],[Start Date]],Milestone_Marker,IF(AND(AT$29&gt;ProposalToGnatt[[#This Row],[Start Date]],AT$29&lt;ProposalToGnatt[[#This Row],[Start Date]]+ProposalToGnatt[[#This Row],[Days]]),$G$5,"")),"")</f>
        <v/>
      </c>
      <c r="AU37" s="37" t="str">
        <f ca="1">IFERROR(+IF(AU$29=ProposalToGnatt[[#This Row],[Start Date]],Milestone_Marker,IF(AND(AU$29&gt;ProposalToGnatt[[#This Row],[Start Date]],AU$29&lt;ProposalToGnatt[[#This Row],[Start Date]]+ProposalToGnatt[[#This Row],[Days]]),$G$5,"")),"")</f>
        <v/>
      </c>
      <c r="AV37" s="37" t="str">
        <f ca="1">IFERROR(+IF(AV$29=ProposalToGnatt[[#This Row],[Start Date]],Milestone_Marker,IF(AND(AV$29&gt;ProposalToGnatt[[#This Row],[Start Date]],AV$29&lt;ProposalToGnatt[[#This Row],[Start Date]]+ProposalToGnatt[[#This Row],[Days]]),$G$5,"")),"")</f>
        <v/>
      </c>
      <c r="AW37" s="37" t="str">
        <f ca="1">IFERROR(+IF(AW$29=ProposalToGnatt[[#This Row],[Start Date]],Milestone_Marker,IF(AND(AW$29&gt;ProposalToGnatt[[#This Row],[Start Date]],AW$29&lt;ProposalToGnatt[[#This Row],[Start Date]]+ProposalToGnatt[[#This Row],[Days]]),$G$5,"")),"")</f>
        <v/>
      </c>
      <c r="AX37" s="37" t="str">
        <f ca="1">IFERROR(+IF(AX$29=ProposalToGnatt[[#This Row],[Start Date]],Milestone_Marker,IF(AND(AX$29&gt;ProposalToGnatt[[#This Row],[Start Date]],AX$29&lt;ProposalToGnatt[[#This Row],[Start Date]]+ProposalToGnatt[[#This Row],[Days]]),$G$5,"")),"")</f>
        <v/>
      </c>
      <c r="AY37" s="37" t="str">
        <f ca="1">IFERROR(+IF(AY$29=ProposalToGnatt[[#This Row],[Start Date]],Milestone_Marker,IF(AND(AY$29&gt;ProposalToGnatt[[#This Row],[Start Date]],AY$29&lt;ProposalToGnatt[[#This Row],[Start Date]]+ProposalToGnatt[[#This Row],[Days]]),$G$5,"")),"")</f>
        <v/>
      </c>
      <c r="AZ37" s="37" t="str">
        <f ca="1">IFERROR(+IF(AZ$29=ProposalToGnatt[[#This Row],[Start Date]],Milestone_Marker,IF(AND(AZ$29&gt;ProposalToGnatt[[#This Row],[Start Date]],AZ$29&lt;ProposalToGnatt[[#This Row],[Start Date]]+ProposalToGnatt[[#This Row],[Days]]),$G$5,"")),"")</f>
        <v/>
      </c>
      <c r="BA37" s="37" t="str">
        <f ca="1">IFERROR(+IF(BA$29=ProposalToGnatt[[#This Row],[Start Date]],Milestone_Marker,IF(AND(BA$29&gt;ProposalToGnatt[[#This Row],[Start Date]],BA$29&lt;ProposalToGnatt[[#This Row],[Start Date]]+ProposalToGnatt[[#This Row],[Days]]),$G$5,"")),"")</f>
        <v/>
      </c>
      <c r="BB37" s="37" t="str">
        <f ca="1">IFERROR(+IF(BB$29=ProposalToGnatt[[#This Row],[Start Date]],Milestone_Marker,IF(AND(BB$29&gt;ProposalToGnatt[[#This Row],[Start Date]],BB$29&lt;ProposalToGnatt[[#This Row],[Start Date]]+ProposalToGnatt[[#This Row],[Days]]),$G$5,"")),"")</f>
        <v/>
      </c>
      <c r="BC37" s="37" t="str">
        <f ca="1">IFERROR(+IF(BC$29=ProposalToGnatt[[#This Row],[Start Date]],Milestone_Marker,IF(AND(BC$29&gt;ProposalToGnatt[[#This Row],[Start Date]],BC$29&lt;ProposalToGnatt[[#This Row],[Start Date]]+ProposalToGnatt[[#This Row],[Days]]),$G$5,"")),"")</f>
        <v/>
      </c>
      <c r="BD37" s="37" t="str">
        <f ca="1">IFERROR(+IF(BD$29=ProposalToGnatt[[#This Row],[Start Date]],Milestone_Marker,IF(AND(BD$29&gt;ProposalToGnatt[[#This Row],[Start Date]],BD$29&lt;ProposalToGnatt[[#This Row],[Start Date]]+ProposalToGnatt[[#This Row],[Days]]),$G$5,"")),"")</f>
        <v/>
      </c>
      <c r="BE37" s="37" t="str">
        <f ca="1">IFERROR(+IF(BE$29=ProposalToGnatt[[#This Row],[Start Date]],Milestone_Marker,IF(AND(BE$29&gt;ProposalToGnatt[[#This Row],[Start Date]],BE$29&lt;ProposalToGnatt[[#This Row],[Start Date]]+ProposalToGnatt[[#This Row],[Days]]),$G$5,"")),"")</f>
        <v/>
      </c>
      <c r="BF37" s="37" t="str">
        <f ca="1">IFERROR(+IF(BF$29=ProposalToGnatt[[#This Row],[Start Date]],Milestone_Marker,IF(AND(BF$29&gt;ProposalToGnatt[[#This Row],[Start Date]],BF$29&lt;ProposalToGnatt[[#This Row],[Start Date]]+ProposalToGnatt[[#This Row],[Days]]),$G$5,"")),"")</f>
        <v/>
      </c>
      <c r="BG37" s="37" t="str">
        <f ca="1">IFERROR(+IF(BG$29=ProposalToGnatt[[#This Row],[Start Date]],Milestone_Marker,IF(AND(BG$29&gt;ProposalToGnatt[[#This Row],[Start Date]],BG$29&lt;ProposalToGnatt[[#This Row],[Start Date]]+ProposalToGnatt[[#This Row],[Days]]),$G$5,"")),"")</f>
        <v/>
      </c>
      <c r="BH37" s="37" t="str">
        <f ca="1">IFERROR(+IF(BH$29=ProposalToGnatt[[#This Row],[Start Date]],Milestone_Marker,IF(AND(BH$29&gt;ProposalToGnatt[[#This Row],[Start Date]],BH$29&lt;ProposalToGnatt[[#This Row],[Start Date]]+ProposalToGnatt[[#This Row],[Days]]),$G$5,"")),"")</f>
        <v/>
      </c>
      <c r="BI37" s="37" t="str">
        <f ca="1">IFERROR(+IF(BI$29=ProposalToGnatt[[#This Row],[Start Date]],Milestone_Marker,IF(AND(BI$29&gt;ProposalToGnatt[[#This Row],[Start Date]],BI$29&lt;ProposalToGnatt[[#This Row],[Start Date]]+ProposalToGnatt[[#This Row],[Days]]),$G$5,"")),"")</f>
        <v/>
      </c>
      <c r="BJ37" s="37" t="str">
        <f ca="1">IFERROR(+IF(BJ$29=ProposalToGnatt[[#This Row],[Start Date]],Milestone_Marker,IF(AND(BJ$29&gt;ProposalToGnatt[[#This Row],[Start Date]],BJ$29&lt;ProposalToGnatt[[#This Row],[Start Date]]+ProposalToGnatt[[#This Row],[Days]]),$G$5,"")),"")</f>
        <v/>
      </c>
      <c r="BK37" s="37" t="str">
        <f ca="1">IFERROR(+IF(BK$29=ProposalToGnatt[[#This Row],[Start Date]],Milestone_Marker,IF(AND(BK$29&gt;ProposalToGnatt[[#This Row],[Start Date]],BK$29&lt;ProposalToGnatt[[#This Row],[Start Date]]+ProposalToGnatt[[#This Row],[Days]]),$G$5,"")),"")</f>
        <v/>
      </c>
      <c r="BL37" s="37" t="str">
        <f ca="1">IFERROR(+IF(BL$29=ProposalToGnatt[[#This Row],[Start Date]],Milestone_Marker,IF(AND(BL$29&gt;ProposalToGnatt[[#This Row],[Start Date]],BL$29&lt;ProposalToGnatt[[#This Row],[Start Date]]+ProposalToGnatt[[#This Row],[Days]]),$G$5,"")),"")</f>
        <v/>
      </c>
      <c r="BM37" s="37" t="str">
        <f ca="1">IFERROR(+IF(BM$29=ProposalToGnatt[[#This Row],[Start Date]],Milestone_Marker,IF(AND(BM$29&gt;ProposalToGnatt[[#This Row],[Start Date]],BM$29&lt;ProposalToGnatt[[#This Row],[Start Date]]+ProposalToGnatt[[#This Row],[Days]]),$G$5,"")),"")</f>
        <v/>
      </c>
      <c r="BN37" s="37" t="str">
        <f ca="1">IFERROR(+IF(BN$29=ProposalToGnatt[[#This Row],[Start Date]],Milestone_Marker,IF(AND(BN$29&gt;ProposalToGnatt[[#This Row],[Start Date]],BN$29&lt;ProposalToGnatt[[#This Row],[Start Date]]+ProposalToGnatt[[#This Row],[Days]]),$G$5,"")),"")</f>
        <v/>
      </c>
      <c r="BO37" s="37" t="str">
        <f ca="1">IFERROR(+IF(BO$29=ProposalToGnatt[[#This Row],[Start Date]],Milestone_Marker,IF(AND(BO$29&gt;ProposalToGnatt[[#This Row],[Start Date]],BO$29&lt;ProposalToGnatt[[#This Row],[Start Date]]+ProposalToGnatt[[#This Row],[Days]]),$G$5,"")),"")</f>
        <v/>
      </c>
      <c r="BP37" s="37" t="str">
        <f ca="1">IFERROR(+IF(BP$29=ProposalToGnatt[[#This Row],[Start Date]],Milestone_Marker,IF(AND(BP$29&gt;ProposalToGnatt[[#This Row],[Start Date]],BP$29&lt;ProposalToGnatt[[#This Row],[Start Date]]+ProposalToGnatt[[#This Row],[Days]]),$G$5,"")),"")</f>
        <v/>
      </c>
      <c r="BQ37" s="37" t="str">
        <f ca="1">IFERROR(+IF(BQ$29=ProposalToGnatt[[#This Row],[Start Date]],Milestone_Marker,IF(AND(BQ$29&gt;ProposalToGnatt[[#This Row],[Start Date]],BQ$29&lt;ProposalToGnatt[[#This Row],[Start Date]]+ProposalToGnatt[[#This Row],[Days]]),$G$5,"")),"")</f>
        <v/>
      </c>
      <c r="BR37" s="37" t="str">
        <f ca="1">IFERROR(+IF(BR$29=ProposalToGnatt[[#This Row],[Start Date]],Milestone_Marker,IF(AND(BR$29&gt;ProposalToGnatt[[#This Row],[Start Date]],BR$29&lt;ProposalToGnatt[[#This Row],[Start Date]]+ProposalToGnatt[[#This Row],[Days]]),$G$5,"")),"")</f>
        <v/>
      </c>
      <c r="BS37" s="37" t="str">
        <f ca="1">IFERROR(+IF(BS$29=ProposalToGnatt[[#This Row],[Start Date]],Milestone_Marker,IF(AND(BS$29&gt;ProposalToGnatt[[#This Row],[Start Date]],BS$29&lt;ProposalToGnatt[[#This Row],[Start Date]]+ProposalToGnatt[[#This Row],[Days]]),$G$5,"")),"")</f>
        <v/>
      </c>
      <c r="BT37" s="37" t="str">
        <f ca="1">IFERROR(+IF(BT$29=ProposalToGnatt[[#This Row],[Start Date]],Milestone_Marker,IF(AND(BT$29&gt;ProposalToGnatt[[#This Row],[Start Date]],BT$29&lt;ProposalToGnatt[[#This Row],[Start Date]]+ProposalToGnatt[[#This Row],[Days]]),$G$5,"")),"")</f>
        <v/>
      </c>
      <c r="BU37" s="37" t="str">
        <f ca="1">IFERROR(+IF(BU$29=ProposalToGnatt[[#This Row],[Start Date]],Milestone_Marker,IF(AND(BU$29&gt;ProposalToGnatt[[#This Row],[Start Date]],BU$29&lt;ProposalToGnatt[[#This Row],[Start Date]]+ProposalToGnatt[[#This Row],[Days]]),$G$5,"")),"")</f>
        <v/>
      </c>
      <c r="BV37" s="37" t="str">
        <f ca="1">IFERROR(+IF(BV$29=ProposalToGnatt[[#This Row],[Start Date]],Milestone_Marker,IF(AND(BV$29&gt;ProposalToGnatt[[#This Row],[Start Date]],BV$29&lt;ProposalToGnatt[[#This Row],[Start Date]]+ProposalToGnatt[[#This Row],[Days]]),$G$5,"")),"")</f>
        <v/>
      </c>
      <c r="BW37" s="37" t="str">
        <f ca="1">IFERROR(+IF(BW$29=ProposalToGnatt[[#This Row],[Start Date]],Milestone_Marker,IF(AND(BW$29&gt;ProposalToGnatt[[#This Row],[Start Date]],BW$29&lt;ProposalToGnatt[[#This Row],[Start Date]]+ProposalToGnatt[[#This Row],[Days]]),$G$5,"")),"")</f>
        <v/>
      </c>
      <c r="BX37" s="37" t="str">
        <f ca="1">IFERROR(+IF(BX$29=ProposalToGnatt[[#This Row],[Start Date]],Milestone_Marker,IF(AND(BX$29&gt;ProposalToGnatt[[#This Row],[Start Date]],BX$29&lt;ProposalToGnatt[[#This Row],[Start Date]]+ProposalToGnatt[[#This Row],[Days]]),$G$5,"")),"")</f>
        <v/>
      </c>
      <c r="BY37" s="37" t="str">
        <f ca="1">IFERROR(+IF(BY$29=ProposalToGnatt[[#This Row],[Start Date]],Milestone_Marker,IF(AND(BY$29&gt;ProposalToGnatt[[#This Row],[Start Date]],BY$29&lt;ProposalToGnatt[[#This Row],[Start Date]]+ProposalToGnatt[[#This Row],[Days]]),$G$5,"")),"")</f>
        <v/>
      </c>
      <c r="BZ37" s="37" t="str">
        <f ca="1">IFERROR(+IF(BZ$29=ProposalToGnatt[[#This Row],[Start Date]],Milestone_Marker,IF(AND(BZ$29&gt;ProposalToGnatt[[#This Row],[Start Date]],BZ$29&lt;ProposalToGnatt[[#This Row],[Start Date]]+ProposalToGnatt[[#This Row],[Days]]),$G$5,"")),"")</f>
        <v/>
      </c>
      <c r="CA37" s="37" t="str">
        <f ca="1">IFERROR(+IF(CA$29=ProposalToGnatt[[#This Row],[Start Date]],Milestone_Marker,IF(AND(CA$29&gt;ProposalToGnatt[[#This Row],[Start Date]],CA$29&lt;ProposalToGnatt[[#This Row],[Start Date]]+ProposalToGnatt[[#This Row],[Days]]),$G$5,"")),"")</f>
        <v/>
      </c>
      <c r="CB37" s="37" t="str">
        <f ca="1">IFERROR(+IF(CB$29=ProposalToGnatt[[#This Row],[Start Date]],Milestone_Marker,IF(AND(CB$29&gt;ProposalToGnatt[[#This Row],[Start Date]],CB$29&lt;ProposalToGnatt[[#This Row],[Start Date]]+ProposalToGnatt[[#This Row],[Days]]),$G$5,"")),"")</f>
        <v/>
      </c>
      <c r="CC37" s="37" t="str">
        <f ca="1">IFERROR(+IF(CC$29=ProposalToGnatt[[#This Row],[Start Date]],Milestone_Marker,IF(AND(CC$29&gt;ProposalToGnatt[[#This Row],[Start Date]],CC$29&lt;ProposalToGnatt[[#This Row],[Start Date]]+ProposalToGnatt[[#This Row],[Days]]),$G$5,"")),"")</f>
        <v/>
      </c>
      <c r="CD37" s="37" t="str">
        <f ca="1">IFERROR(+IF(CD$29=ProposalToGnatt[[#This Row],[Start Date]],Milestone_Marker,IF(AND(CD$29&gt;ProposalToGnatt[[#This Row],[Start Date]],CD$29&lt;ProposalToGnatt[[#This Row],[Start Date]]+ProposalToGnatt[[#This Row],[Days]]),$G$5,"")),"")</f>
        <v/>
      </c>
      <c r="CE37" s="37" t="str">
        <f ca="1">IFERROR(+IF(CE$29=ProposalToGnatt[[#This Row],[Start Date]],Milestone_Marker,IF(AND(CE$29&gt;ProposalToGnatt[[#This Row],[Start Date]],CE$29&lt;ProposalToGnatt[[#This Row],[Start Date]]+ProposalToGnatt[[#This Row],[Days]]),$G$5,"")),"")</f>
        <v/>
      </c>
      <c r="CF37" s="37" t="str">
        <f ca="1">IFERROR(+IF(CF$29=ProposalToGnatt[[#This Row],[Start Date]],Milestone_Marker,IF(AND(CF$29&gt;ProposalToGnatt[[#This Row],[Start Date]],CF$29&lt;ProposalToGnatt[[#This Row],[Start Date]]+ProposalToGnatt[[#This Row],[Days]]),$G$5,"")),"")</f>
        <v/>
      </c>
      <c r="CG37" s="37" t="str">
        <f ca="1">IFERROR(+IF(CG$29=ProposalToGnatt[[#This Row],[Start Date]],Milestone_Marker,IF(AND(CG$29&gt;ProposalToGnatt[[#This Row],[Start Date]],CG$29&lt;ProposalToGnatt[[#This Row],[Start Date]]+ProposalToGnatt[[#This Row],[Days]]),$G$5,"")),"")</f>
        <v/>
      </c>
      <c r="CH37" s="37" t="str">
        <f ca="1">IFERROR(+IF(CH$29=ProposalToGnatt[[#This Row],[Start Date]],Milestone_Marker,IF(AND(CH$29&gt;ProposalToGnatt[[#This Row],[Start Date]],CH$29&lt;ProposalToGnatt[[#This Row],[Start Date]]+ProposalToGnatt[[#This Row],[Days]]),$G$5,"")),"")</f>
        <v/>
      </c>
      <c r="CI37" s="37" t="str">
        <f ca="1">IFERROR(+IF(CI$29=ProposalToGnatt[[#This Row],[Start Date]],Milestone_Marker,IF(AND(CI$29&gt;ProposalToGnatt[[#This Row],[Start Date]],CI$29&lt;ProposalToGnatt[[#This Row],[Start Date]]+ProposalToGnatt[[#This Row],[Days]]),$G$5,"")),"")</f>
        <v/>
      </c>
      <c r="CJ37" s="37" t="str">
        <f ca="1">IFERROR(+IF(CJ$29=ProposalToGnatt[[#This Row],[Start Date]],Milestone_Marker,IF(AND(CJ$29&gt;ProposalToGnatt[[#This Row],[Start Date]],CJ$29&lt;ProposalToGnatt[[#This Row],[Start Date]]+ProposalToGnatt[[#This Row],[Days]]),$G$5,"")),"")</f>
        <v/>
      </c>
      <c r="CK37" s="37" t="str">
        <f ca="1">IFERROR(+IF(CK$29=ProposalToGnatt[[#This Row],[Start Date]],Milestone_Marker,IF(AND(CK$29&gt;ProposalToGnatt[[#This Row],[Start Date]],CK$29&lt;ProposalToGnatt[[#This Row],[Start Date]]+ProposalToGnatt[[#This Row],[Days]]),$G$5,"")),"")</f>
        <v/>
      </c>
      <c r="CL37" s="37" t="str">
        <f ca="1">IFERROR(+IF(CL$29=ProposalToGnatt[[#This Row],[Start Date]],Milestone_Marker,IF(AND(CL$29&gt;ProposalToGnatt[[#This Row],[Start Date]],CL$29&lt;ProposalToGnatt[[#This Row],[Start Date]]+ProposalToGnatt[[#This Row],[Days]]),$G$5,"")),"")</f>
        <v/>
      </c>
      <c r="CM37" s="37" t="str">
        <f ca="1">IFERROR(+IF(CM$29=ProposalToGnatt[[#This Row],[Start Date]],Milestone_Marker,IF(AND(CM$29&gt;ProposalToGnatt[[#This Row],[Start Date]],CM$29&lt;ProposalToGnatt[[#This Row],[Start Date]]+ProposalToGnatt[[#This Row],[Days]]),$G$5,"")),"")</f>
        <v/>
      </c>
      <c r="CN37" s="37" t="str">
        <f ca="1">IFERROR(+IF(CN$29=ProposalToGnatt[[#This Row],[Start Date]],Milestone_Marker,IF(AND(CN$29&gt;ProposalToGnatt[[#This Row],[Start Date]],CN$29&lt;ProposalToGnatt[[#This Row],[Start Date]]+ProposalToGnatt[[#This Row],[Days]]),$G$5,"")),"")</f>
        <v/>
      </c>
      <c r="CO37" s="37" t="str">
        <f ca="1">IFERROR(+IF(CO$29=ProposalToGnatt[[#This Row],[Start Date]],Milestone_Marker,IF(AND(CO$29&gt;ProposalToGnatt[[#This Row],[Start Date]],CO$29&lt;ProposalToGnatt[[#This Row],[Start Date]]+ProposalToGnatt[[#This Row],[Days]]),$G$5,"")),"")</f>
        <v/>
      </c>
      <c r="CP37" s="37" t="str">
        <f ca="1">IFERROR(+IF(CP$29=ProposalToGnatt[[#This Row],[Start Date]],Milestone_Marker,IF(AND(CP$29&gt;ProposalToGnatt[[#This Row],[Start Date]],CP$29&lt;ProposalToGnatt[[#This Row],[Start Date]]+ProposalToGnatt[[#This Row],[Days]]),$G$5,"")),"")</f>
        <v/>
      </c>
      <c r="CQ37" s="37" t="str">
        <f ca="1">IFERROR(+IF(CQ$29=ProposalToGnatt[[#This Row],[Start Date]],Milestone_Marker,IF(AND(CQ$29&gt;ProposalToGnatt[[#This Row],[Start Date]],CQ$29&lt;ProposalToGnatt[[#This Row],[Start Date]]+ProposalToGnatt[[#This Row],[Days]]),$G$5,"")),"")</f>
        <v/>
      </c>
      <c r="CR37" s="37" t="str">
        <f ca="1">IFERROR(+IF(CR$29=ProposalToGnatt[[#This Row],[Start Date]],Milestone_Marker,IF(AND(CR$29&gt;ProposalToGnatt[[#This Row],[Start Date]],CR$29&lt;ProposalToGnatt[[#This Row],[Start Date]]+ProposalToGnatt[[#This Row],[Days]]),$G$5,"")),"")</f>
        <v/>
      </c>
      <c r="CS37" s="37" t="str">
        <f ca="1">IFERROR(+IF(CS$29=ProposalToGnatt[[#This Row],[Start Date]],Milestone_Marker,IF(AND(CS$29&gt;ProposalToGnatt[[#This Row],[Start Date]],CS$29&lt;ProposalToGnatt[[#This Row],[Start Date]]+ProposalToGnatt[[#This Row],[Days]]),$G$5,"")),"")</f>
        <v/>
      </c>
      <c r="CT37" s="37" t="str">
        <f ca="1">IFERROR(+IF(CT$29=ProposalToGnatt[[#This Row],[Start Date]],Milestone_Marker,IF(AND(CT$29&gt;ProposalToGnatt[[#This Row],[Start Date]],CT$29&lt;ProposalToGnatt[[#This Row],[Start Date]]+ProposalToGnatt[[#This Row],[Days]]),$G$5,"")),"")</f>
        <v/>
      </c>
      <c r="CU37" s="37" t="str">
        <f ca="1">IFERROR(+IF(CU$29=ProposalToGnatt[[#This Row],[Start Date]],Milestone_Marker,IF(AND(CU$29&gt;ProposalToGnatt[[#This Row],[Start Date]],CU$29&lt;ProposalToGnatt[[#This Row],[Start Date]]+ProposalToGnatt[[#This Row],[Days]]),$G$5,"")),"")</f>
        <v/>
      </c>
      <c r="CV37" s="37"/>
      <c r="CW37" s="37"/>
      <c r="CX37" s="37"/>
      <c r="CY37" s="37"/>
      <c r="CZ37" s="37"/>
      <c r="DA37" s="37"/>
      <c r="DB37" s="37"/>
      <c r="DC37" s="37"/>
      <c r="DD37" s="37"/>
      <c r="DE37" s="37"/>
      <c r="DF37" s="37"/>
      <c r="DG37" s="37"/>
      <c r="DH37" s="37"/>
      <c r="DI37" s="37"/>
      <c r="DJ37" s="37"/>
      <c r="DK37" s="37"/>
      <c r="DL37" s="37"/>
      <c r="DM37" s="37"/>
      <c r="DN37" s="37"/>
      <c r="DO37" s="37"/>
      <c r="DP37" s="37"/>
      <c r="DQ37" s="37"/>
      <c r="DR37" s="37"/>
      <c r="DS37" s="37"/>
      <c r="DT37" s="37"/>
      <c r="DU37" s="37"/>
    </row>
    <row r="38" spans="1:125" s="42" customFormat="1" ht="20.100000000000001" customHeight="1" x14ac:dyDescent="0.25">
      <c r="A38" t="s">
        <v>428</v>
      </c>
      <c r="B38">
        <v>13</v>
      </c>
      <c r="C38" t="s">
        <v>324</v>
      </c>
      <c r="D38"/>
      <c r="E38" t="s">
        <v>325</v>
      </c>
      <c r="F38">
        <v>1</v>
      </c>
      <c r="G38" s="14">
        <v>4950</v>
      </c>
      <c r="H38" s="14">
        <v>4950</v>
      </c>
      <c r="I38" t="s">
        <v>45</v>
      </c>
      <c r="J38">
        <v>1</v>
      </c>
      <c r="K38" s="303">
        <v>45216</v>
      </c>
      <c r="L38">
        <v>7</v>
      </c>
      <c r="M38" s="14"/>
      <c r="N38" s="352">
        <v>4950</v>
      </c>
      <c r="O38" s="340"/>
      <c r="P38" s="37" t="str">
        <f ca="1">IFERROR(+IF(P$29=ProposalToGnatt[[#This Row],[Start Date]],Milestone_Marker,IF(AND(P$29&gt;ProposalToGnatt[[#This Row],[Start Date]],P$29&lt;ProposalToGnatt[[#This Row],[Start Date]]+ProposalToGnatt[[#This Row],[Days]]),$G$5,"")),"")</f>
        <v/>
      </c>
      <c r="Q38" s="37" t="str">
        <f ca="1">IFERROR(+IF(Q$29=ProposalToGnatt[[#This Row],[Start Date]],Milestone_Marker,IF(AND(Q$29&gt;ProposalToGnatt[[#This Row],[Start Date]],Q$29&lt;ProposalToGnatt[[#This Row],[Start Date]]+ProposalToGnatt[[#This Row],[Days]]),$G$5,"")),"")</f>
        <v/>
      </c>
      <c r="R38" s="37" t="str">
        <f ca="1">IFERROR(+IF(R$29=ProposalToGnatt[[#This Row],[Start Date]],Milestone_Marker,IF(AND(R$29&gt;ProposalToGnatt[[#This Row],[Start Date]],R$29&lt;ProposalToGnatt[[#This Row],[Start Date]]+ProposalToGnatt[[#This Row],[Days]]),$G$5,"")),"")</f>
        <v/>
      </c>
      <c r="S38" s="37" t="str">
        <f ca="1">IFERROR(+IF(S$29=ProposalToGnatt[[#This Row],[Start Date]],Milestone_Marker,IF(AND(S$29&gt;ProposalToGnatt[[#This Row],[Start Date]],S$29&lt;ProposalToGnatt[[#This Row],[Start Date]]+ProposalToGnatt[[#This Row],[Days]]),$G$5,"")),"")</f>
        <v/>
      </c>
      <c r="T38" s="37">
        <f ca="1">IFERROR(+IF(T$29=ProposalToGnatt[[#This Row],[Start Date]],Milestone_Marker,IF(AND(T$29&gt;ProposalToGnatt[[#This Row],[Start Date]],T$29&lt;ProposalToGnatt[[#This Row],[Start Date]]+ProposalToGnatt[[#This Row],[Days]]),$G$5,"")),"")</f>
        <v>1</v>
      </c>
      <c r="U38" s="37">
        <f ca="1">IFERROR(+IF(U$29=ProposalToGnatt[[#This Row],[Start Date]],Milestone_Marker,IF(AND(U$29&gt;ProposalToGnatt[[#This Row],[Start Date]],U$29&lt;ProposalToGnatt[[#This Row],[Start Date]]+ProposalToGnatt[[#This Row],[Days]]),$G$5,"")),"")</f>
        <v>2</v>
      </c>
      <c r="V38" s="37">
        <f ca="1">IFERROR(+IF(V$29=ProposalToGnatt[[#This Row],[Start Date]],Milestone_Marker,IF(AND(V$29&gt;ProposalToGnatt[[#This Row],[Start Date]],V$29&lt;ProposalToGnatt[[#This Row],[Start Date]]+ProposalToGnatt[[#This Row],[Days]]),$G$5,"")),"")</f>
        <v>2</v>
      </c>
      <c r="W38" s="37">
        <f ca="1">IFERROR(+IF(W$29=ProposalToGnatt[[#This Row],[Start Date]],Milestone_Marker,IF(AND(W$29&gt;ProposalToGnatt[[#This Row],[Start Date]],W$29&lt;ProposalToGnatt[[#This Row],[Start Date]]+ProposalToGnatt[[#This Row],[Days]]),$G$5,"")),"")</f>
        <v>2</v>
      </c>
      <c r="X38" s="37">
        <f ca="1">IFERROR(+IF(X$29=ProposalToGnatt[[#This Row],[Start Date]],Milestone_Marker,IF(AND(X$29&gt;ProposalToGnatt[[#This Row],[Start Date]],X$29&lt;ProposalToGnatt[[#This Row],[Start Date]]+ProposalToGnatt[[#This Row],[Days]]),$G$5,"")),"")</f>
        <v>2</v>
      </c>
      <c r="Y38" s="37">
        <f ca="1">IFERROR(+IF(Y$29=ProposalToGnatt[[#This Row],[Start Date]],Milestone_Marker,IF(AND(Y$29&gt;ProposalToGnatt[[#This Row],[Start Date]],Y$29&lt;ProposalToGnatt[[#This Row],[Start Date]]+ProposalToGnatt[[#This Row],[Days]]),$G$5,"")),"")</f>
        <v>2</v>
      </c>
      <c r="Z38" s="37">
        <f ca="1">IFERROR(+IF(Z$29=ProposalToGnatt[[#This Row],[Start Date]],Milestone_Marker,IF(AND(Z$29&gt;ProposalToGnatt[[#This Row],[Start Date]],Z$29&lt;ProposalToGnatt[[#This Row],[Start Date]]+ProposalToGnatt[[#This Row],[Days]]),$G$5,"")),"")</f>
        <v>2</v>
      </c>
      <c r="AA38" s="37" t="str">
        <f ca="1">IFERROR(+IF(AA$29=ProposalToGnatt[[#This Row],[Start Date]],Milestone_Marker,IF(AND(AA$29&gt;ProposalToGnatt[[#This Row],[Start Date]],AA$29&lt;ProposalToGnatt[[#This Row],[Start Date]]+ProposalToGnatt[[#This Row],[Days]]),$G$5,"")),"")</f>
        <v/>
      </c>
      <c r="AB38" s="37" t="str">
        <f ca="1">IFERROR(+IF(AB$29=ProposalToGnatt[[#This Row],[Start Date]],Milestone_Marker,IF(AND(AB$29&gt;ProposalToGnatt[[#This Row],[Start Date]],AB$29&lt;ProposalToGnatt[[#This Row],[Start Date]]+ProposalToGnatt[[#This Row],[Days]]),$G$5,"")),"")</f>
        <v/>
      </c>
      <c r="AC38" s="37" t="str">
        <f ca="1">IFERROR(+IF(AC$29=ProposalToGnatt[[#This Row],[Start Date]],Milestone_Marker,IF(AND(AC$29&gt;ProposalToGnatt[[#This Row],[Start Date]],AC$29&lt;ProposalToGnatt[[#This Row],[Start Date]]+ProposalToGnatt[[#This Row],[Days]]),$G$5,"")),"")</f>
        <v/>
      </c>
      <c r="AD38" s="37" t="str">
        <f ca="1">IFERROR(+IF(AD$29=ProposalToGnatt[[#This Row],[Start Date]],Milestone_Marker,IF(AND(AD$29&gt;ProposalToGnatt[[#This Row],[Start Date]],AD$29&lt;ProposalToGnatt[[#This Row],[Start Date]]+ProposalToGnatt[[#This Row],[Days]]),$G$5,"")),"")</f>
        <v/>
      </c>
      <c r="AE38" s="37" t="str">
        <f ca="1">IFERROR(+IF(AE$29=ProposalToGnatt[[#This Row],[Start Date]],Milestone_Marker,IF(AND(AE$29&gt;ProposalToGnatt[[#This Row],[Start Date]],AE$29&lt;ProposalToGnatt[[#This Row],[Start Date]]+ProposalToGnatt[[#This Row],[Days]]),$G$5,"")),"")</f>
        <v/>
      </c>
      <c r="AF38" s="37" t="str">
        <f ca="1">IFERROR(+IF(AF$29=ProposalToGnatt[[#This Row],[Start Date]],Milestone_Marker,IF(AND(AF$29&gt;ProposalToGnatt[[#This Row],[Start Date]],AF$29&lt;ProposalToGnatt[[#This Row],[Start Date]]+ProposalToGnatt[[#This Row],[Days]]),$G$5,"")),"")</f>
        <v/>
      </c>
      <c r="AG38" s="37" t="str">
        <f ca="1">IFERROR(+IF(AG$29=ProposalToGnatt[[#This Row],[Start Date]],Milestone_Marker,IF(AND(AG$29&gt;ProposalToGnatt[[#This Row],[Start Date]],AG$29&lt;ProposalToGnatt[[#This Row],[Start Date]]+ProposalToGnatt[[#This Row],[Days]]),$G$5,"")),"")</f>
        <v/>
      </c>
      <c r="AH38" s="37" t="str">
        <f ca="1">IFERROR(+IF(AH$29=ProposalToGnatt[[#This Row],[Start Date]],Milestone_Marker,IF(AND(AH$29&gt;ProposalToGnatt[[#This Row],[Start Date]],AH$29&lt;ProposalToGnatt[[#This Row],[Start Date]]+ProposalToGnatt[[#This Row],[Days]]),$G$5,"")),"")</f>
        <v/>
      </c>
      <c r="AI38" s="37" t="str">
        <f ca="1">IFERROR(+IF(AI$29=ProposalToGnatt[[#This Row],[Start Date]],Milestone_Marker,IF(AND(AI$29&gt;ProposalToGnatt[[#This Row],[Start Date]],AI$29&lt;ProposalToGnatt[[#This Row],[Start Date]]+ProposalToGnatt[[#This Row],[Days]]),$G$5,"")),"")</f>
        <v/>
      </c>
      <c r="AJ38" s="37" t="str">
        <f ca="1">IFERROR(+IF(AJ$29=ProposalToGnatt[[#This Row],[Start Date]],Milestone_Marker,IF(AND(AJ$29&gt;ProposalToGnatt[[#This Row],[Start Date]],AJ$29&lt;ProposalToGnatt[[#This Row],[Start Date]]+ProposalToGnatt[[#This Row],[Days]]),$G$5,"")),"")</f>
        <v/>
      </c>
      <c r="AK38" s="37" t="str">
        <f ca="1">IFERROR(+IF(AK$29=ProposalToGnatt[[#This Row],[Start Date]],Milestone_Marker,IF(AND(AK$29&gt;ProposalToGnatt[[#This Row],[Start Date]],AK$29&lt;ProposalToGnatt[[#This Row],[Start Date]]+ProposalToGnatt[[#This Row],[Days]]),$G$5,"")),"")</f>
        <v/>
      </c>
      <c r="AL38" s="37" t="str">
        <f ca="1">IFERROR(+IF(AL$29=ProposalToGnatt[[#This Row],[Start Date]],Milestone_Marker,IF(AND(AL$29&gt;ProposalToGnatt[[#This Row],[Start Date]],AL$29&lt;ProposalToGnatt[[#This Row],[Start Date]]+ProposalToGnatt[[#This Row],[Days]]),$G$5,"")),"")</f>
        <v/>
      </c>
      <c r="AM38" s="37" t="str">
        <f ca="1">IFERROR(+IF(AM$29=ProposalToGnatt[[#This Row],[Start Date]],Milestone_Marker,IF(AND(AM$29&gt;ProposalToGnatt[[#This Row],[Start Date]],AM$29&lt;ProposalToGnatt[[#This Row],[Start Date]]+ProposalToGnatt[[#This Row],[Days]]),$G$5,"")),"")</f>
        <v/>
      </c>
      <c r="AN38" s="37" t="str">
        <f ca="1">IFERROR(+IF(AN$29=ProposalToGnatt[[#This Row],[Start Date]],Milestone_Marker,IF(AND(AN$29&gt;ProposalToGnatt[[#This Row],[Start Date]],AN$29&lt;ProposalToGnatt[[#This Row],[Start Date]]+ProposalToGnatt[[#This Row],[Days]]),$G$5,"")),"")</f>
        <v/>
      </c>
      <c r="AO38" s="37" t="str">
        <f ca="1">IFERROR(+IF(AO$29=ProposalToGnatt[[#This Row],[Start Date]],Milestone_Marker,IF(AND(AO$29&gt;ProposalToGnatt[[#This Row],[Start Date]],AO$29&lt;ProposalToGnatt[[#This Row],[Start Date]]+ProposalToGnatt[[#This Row],[Days]]),$G$5,"")),"")</f>
        <v/>
      </c>
      <c r="AP38" s="37" t="str">
        <f ca="1">IFERROR(+IF(AP$29=ProposalToGnatt[[#This Row],[Start Date]],Milestone_Marker,IF(AND(AP$29&gt;ProposalToGnatt[[#This Row],[Start Date]],AP$29&lt;ProposalToGnatt[[#This Row],[Start Date]]+ProposalToGnatt[[#This Row],[Days]]),$G$5,"")),"")</f>
        <v/>
      </c>
      <c r="AQ38" s="37" t="str">
        <f ca="1">IFERROR(+IF(AQ$29=ProposalToGnatt[[#This Row],[Start Date]],Milestone_Marker,IF(AND(AQ$29&gt;ProposalToGnatt[[#This Row],[Start Date]],AQ$29&lt;ProposalToGnatt[[#This Row],[Start Date]]+ProposalToGnatt[[#This Row],[Days]]),$G$5,"")),"")</f>
        <v/>
      </c>
      <c r="AR38" s="37" t="str">
        <f ca="1">IFERROR(+IF(AR$29=ProposalToGnatt[[#This Row],[Start Date]],Milestone_Marker,IF(AND(AR$29&gt;ProposalToGnatt[[#This Row],[Start Date]],AR$29&lt;ProposalToGnatt[[#This Row],[Start Date]]+ProposalToGnatt[[#This Row],[Days]]),$G$5,"")),"")</f>
        <v/>
      </c>
      <c r="AS38" s="37" t="str">
        <f ca="1">IFERROR(+IF(AS$29=ProposalToGnatt[[#This Row],[Start Date]],Milestone_Marker,IF(AND(AS$29&gt;ProposalToGnatt[[#This Row],[Start Date]],AS$29&lt;ProposalToGnatt[[#This Row],[Start Date]]+ProposalToGnatt[[#This Row],[Days]]),$G$5,"")),"")</f>
        <v/>
      </c>
      <c r="AT38" s="37" t="str">
        <f ca="1">IFERROR(+IF(AT$29=ProposalToGnatt[[#This Row],[Start Date]],Milestone_Marker,IF(AND(AT$29&gt;ProposalToGnatt[[#This Row],[Start Date]],AT$29&lt;ProposalToGnatt[[#This Row],[Start Date]]+ProposalToGnatt[[#This Row],[Days]]),$G$5,"")),"")</f>
        <v/>
      </c>
      <c r="AU38" s="37" t="str">
        <f ca="1">IFERROR(+IF(AU$29=ProposalToGnatt[[#This Row],[Start Date]],Milestone_Marker,IF(AND(AU$29&gt;ProposalToGnatt[[#This Row],[Start Date]],AU$29&lt;ProposalToGnatt[[#This Row],[Start Date]]+ProposalToGnatt[[#This Row],[Days]]),$G$5,"")),"")</f>
        <v/>
      </c>
      <c r="AV38" s="37" t="str">
        <f ca="1">IFERROR(+IF(AV$29=ProposalToGnatt[[#This Row],[Start Date]],Milestone_Marker,IF(AND(AV$29&gt;ProposalToGnatt[[#This Row],[Start Date]],AV$29&lt;ProposalToGnatt[[#This Row],[Start Date]]+ProposalToGnatt[[#This Row],[Days]]),$G$5,"")),"")</f>
        <v/>
      </c>
      <c r="AW38" s="37" t="str">
        <f ca="1">IFERROR(+IF(AW$29=ProposalToGnatt[[#This Row],[Start Date]],Milestone_Marker,IF(AND(AW$29&gt;ProposalToGnatt[[#This Row],[Start Date]],AW$29&lt;ProposalToGnatt[[#This Row],[Start Date]]+ProposalToGnatt[[#This Row],[Days]]),$G$5,"")),"")</f>
        <v/>
      </c>
      <c r="AX38" s="37" t="str">
        <f ca="1">IFERROR(+IF(AX$29=ProposalToGnatt[[#This Row],[Start Date]],Milestone_Marker,IF(AND(AX$29&gt;ProposalToGnatt[[#This Row],[Start Date]],AX$29&lt;ProposalToGnatt[[#This Row],[Start Date]]+ProposalToGnatt[[#This Row],[Days]]),$G$5,"")),"")</f>
        <v/>
      </c>
      <c r="AY38" s="37" t="str">
        <f ca="1">IFERROR(+IF(AY$29=ProposalToGnatt[[#This Row],[Start Date]],Milestone_Marker,IF(AND(AY$29&gt;ProposalToGnatt[[#This Row],[Start Date]],AY$29&lt;ProposalToGnatt[[#This Row],[Start Date]]+ProposalToGnatt[[#This Row],[Days]]),$G$5,"")),"")</f>
        <v/>
      </c>
      <c r="AZ38" s="37" t="str">
        <f ca="1">IFERROR(+IF(AZ$29=ProposalToGnatt[[#This Row],[Start Date]],Milestone_Marker,IF(AND(AZ$29&gt;ProposalToGnatt[[#This Row],[Start Date]],AZ$29&lt;ProposalToGnatt[[#This Row],[Start Date]]+ProposalToGnatt[[#This Row],[Days]]),$G$5,"")),"")</f>
        <v/>
      </c>
      <c r="BA38" s="37" t="str">
        <f ca="1">IFERROR(+IF(BA$29=ProposalToGnatt[[#This Row],[Start Date]],Milestone_Marker,IF(AND(BA$29&gt;ProposalToGnatt[[#This Row],[Start Date]],BA$29&lt;ProposalToGnatt[[#This Row],[Start Date]]+ProposalToGnatt[[#This Row],[Days]]),$G$5,"")),"")</f>
        <v/>
      </c>
      <c r="BB38" s="37" t="str">
        <f ca="1">IFERROR(+IF(BB$29=ProposalToGnatt[[#This Row],[Start Date]],Milestone_Marker,IF(AND(BB$29&gt;ProposalToGnatt[[#This Row],[Start Date]],BB$29&lt;ProposalToGnatt[[#This Row],[Start Date]]+ProposalToGnatt[[#This Row],[Days]]),$G$5,"")),"")</f>
        <v/>
      </c>
      <c r="BC38" s="37" t="str">
        <f ca="1">IFERROR(+IF(BC$29=ProposalToGnatt[[#This Row],[Start Date]],Milestone_Marker,IF(AND(BC$29&gt;ProposalToGnatt[[#This Row],[Start Date]],BC$29&lt;ProposalToGnatt[[#This Row],[Start Date]]+ProposalToGnatt[[#This Row],[Days]]),$G$5,"")),"")</f>
        <v/>
      </c>
      <c r="BD38" s="37" t="str">
        <f ca="1">IFERROR(+IF(BD$29=ProposalToGnatt[[#This Row],[Start Date]],Milestone_Marker,IF(AND(BD$29&gt;ProposalToGnatt[[#This Row],[Start Date]],BD$29&lt;ProposalToGnatt[[#This Row],[Start Date]]+ProposalToGnatt[[#This Row],[Days]]),$G$5,"")),"")</f>
        <v/>
      </c>
      <c r="BE38" s="37" t="str">
        <f ca="1">IFERROR(+IF(BE$29=ProposalToGnatt[[#This Row],[Start Date]],Milestone_Marker,IF(AND(BE$29&gt;ProposalToGnatt[[#This Row],[Start Date]],BE$29&lt;ProposalToGnatt[[#This Row],[Start Date]]+ProposalToGnatt[[#This Row],[Days]]),$G$5,"")),"")</f>
        <v/>
      </c>
      <c r="BF38" s="37" t="str">
        <f ca="1">IFERROR(+IF(BF$29=ProposalToGnatt[[#This Row],[Start Date]],Milestone_Marker,IF(AND(BF$29&gt;ProposalToGnatt[[#This Row],[Start Date]],BF$29&lt;ProposalToGnatt[[#This Row],[Start Date]]+ProposalToGnatt[[#This Row],[Days]]),$G$5,"")),"")</f>
        <v/>
      </c>
      <c r="BG38" s="37" t="str">
        <f ca="1">IFERROR(+IF(BG$29=ProposalToGnatt[[#This Row],[Start Date]],Milestone_Marker,IF(AND(BG$29&gt;ProposalToGnatt[[#This Row],[Start Date]],BG$29&lt;ProposalToGnatt[[#This Row],[Start Date]]+ProposalToGnatt[[#This Row],[Days]]),$G$5,"")),"")</f>
        <v/>
      </c>
      <c r="BH38" s="37" t="str">
        <f ca="1">IFERROR(+IF(BH$29=ProposalToGnatt[[#This Row],[Start Date]],Milestone_Marker,IF(AND(BH$29&gt;ProposalToGnatt[[#This Row],[Start Date]],BH$29&lt;ProposalToGnatt[[#This Row],[Start Date]]+ProposalToGnatt[[#This Row],[Days]]),$G$5,"")),"")</f>
        <v/>
      </c>
      <c r="BI38" s="37" t="str">
        <f ca="1">IFERROR(+IF(BI$29=ProposalToGnatt[[#This Row],[Start Date]],Milestone_Marker,IF(AND(BI$29&gt;ProposalToGnatt[[#This Row],[Start Date]],BI$29&lt;ProposalToGnatt[[#This Row],[Start Date]]+ProposalToGnatt[[#This Row],[Days]]),$G$5,"")),"")</f>
        <v/>
      </c>
      <c r="BJ38" s="37" t="str">
        <f ca="1">IFERROR(+IF(BJ$29=ProposalToGnatt[[#This Row],[Start Date]],Milestone_Marker,IF(AND(BJ$29&gt;ProposalToGnatt[[#This Row],[Start Date]],BJ$29&lt;ProposalToGnatt[[#This Row],[Start Date]]+ProposalToGnatt[[#This Row],[Days]]),$G$5,"")),"")</f>
        <v/>
      </c>
      <c r="BK38" s="37" t="str">
        <f ca="1">IFERROR(+IF(BK$29=ProposalToGnatt[[#This Row],[Start Date]],Milestone_Marker,IF(AND(BK$29&gt;ProposalToGnatt[[#This Row],[Start Date]],BK$29&lt;ProposalToGnatt[[#This Row],[Start Date]]+ProposalToGnatt[[#This Row],[Days]]),$G$5,"")),"")</f>
        <v/>
      </c>
      <c r="BL38" s="37" t="str">
        <f ca="1">IFERROR(+IF(BL$29=ProposalToGnatt[[#This Row],[Start Date]],Milestone_Marker,IF(AND(BL$29&gt;ProposalToGnatt[[#This Row],[Start Date]],BL$29&lt;ProposalToGnatt[[#This Row],[Start Date]]+ProposalToGnatt[[#This Row],[Days]]),$G$5,"")),"")</f>
        <v/>
      </c>
      <c r="BM38" s="37" t="str">
        <f ca="1">IFERROR(+IF(BM$29=ProposalToGnatt[[#This Row],[Start Date]],Milestone_Marker,IF(AND(BM$29&gt;ProposalToGnatt[[#This Row],[Start Date]],BM$29&lt;ProposalToGnatt[[#This Row],[Start Date]]+ProposalToGnatt[[#This Row],[Days]]),$G$5,"")),"")</f>
        <v/>
      </c>
      <c r="BN38" s="37" t="str">
        <f ca="1">IFERROR(+IF(BN$29=ProposalToGnatt[[#This Row],[Start Date]],Milestone_Marker,IF(AND(BN$29&gt;ProposalToGnatt[[#This Row],[Start Date]],BN$29&lt;ProposalToGnatt[[#This Row],[Start Date]]+ProposalToGnatt[[#This Row],[Days]]),$G$5,"")),"")</f>
        <v/>
      </c>
      <c r="BO38" s="37" t="str">
        <f ca="1">IFERROR(+IF(BO$29=ProposalToGnatt[[#This Row],[Start Date]],Milestone_Marker,IF(AND(BO$29&gt;ProposalToGnatt[[#This Row],[Start Date]],BO$29&lt;ProposalToGnatt[[#This Row],[Start Date]]+ProposalToGnatt[[#This Row],[Days]]),$G$5,"")),"")</f>
        <v/>
      </c>
      <c r="BP38" s="37" t="str">
        <f ca="1">IFERROR(+IF(BP$29=ProposalToGnatt[[#This Row],[Start Date]],Milestone_Marker,IF(AND(BP$29&gt;ProposalToGnatt[[#This Row],[Start Date]],BP$29&lt;ProposalToGnatt[[#This Row],[Start Date]]+ProposalToGnatt[[#This Row],[Days]]),$G$5,"")),"")</f>
        <v/>
      </c>
      <c r="BQ38" s="37" t="str">
        <f ca="1">IFERROR(+IF(BQ$29=ProposalToGnatt[[#This Row],[Start Date]],Milestone_Marker,IF(AND(BQ$29&gt;ProposalToGnatt[[#This Row],[Start Date]],BQ$29&lt;ProposalToGnatt[[#This Row],[Start Date]]+ProposalToGnatt[[#This Row],[Days]]),$G$5,"")),"")</f>
        <v/>
      </c>
      <c r="BR38" s="37" t="str">
        <f ca="1">IFERROR(+IF(BR$29=ProposalToGnatt[[#This Row],[Start Date]],Milestone_Marker,IF(AND(BR$29&gt;ProposalToGnatt[[#This Row],[Start Date]],BR$29&lt;ProposalToGnatt[[#This Row],[Start Date]]+ProposalToGnatt[[#This Row],[Days]]),$G$5,"")),"")</f>
        <v/>
      </c>
      <c r="BS38" s="37" t="str">
        <f ca="1">IFERROR(+IF(BS$29=ProposalToGnatt[[#This Row],[Start Date]],Milestone_Marker,IF(AND(BS$29&gt;ProposalToGnatt[[#This Row],[Start Date]],BS$29&lt;ProposalToGnatt[[#This Row],[Start Date]]+ProposalToGnatt[[#This Row],[Days]]),$G$5,"")),"")</f>
        <v/>
      </c>
      <c r="BT38" s="37" t="str">
        <f ca="1">IFERROR(+IF(BT$29=ProposalToGnatt[[#This Row],[Start Date]],Milestone_Marker,IF(AND(BT$29&gt;ProposalToGnatt[[#This Row],[Start Date]],BT$29&lt;ProposalToGnatt[[#This Row],[Start Date]]+ProposalToGnatt[[#This Row],[Days]]),$G$5,"")),"")</f>
        <v/>
      </c>
      <c r="BU38" s="37" t="str">
        <f ca="1">IFERROR(+IF(BU$29=ProposalToGnatt[[#This Row],[Start Date]],Milestone_Marker,IF(AND(BU$29&gt;ProposalToGnatt[[#This Row],[Start Date]],BU$29&lt;ProposalToGnatt[[#This Row],[Start Date]]+ProposalToGnatt[[#This Row],[Days]]),$G$5,"")),"")</f>
        <v/>
      </c>
      <c r="BV38" s="37" t="str">
        <f ca="1">IFERROR(+IF(BV$29=ProposalToGnatt[[#This Row],[Start Date]],Milestone_Marker,IF(AND(BV$29&gt;ProposalToGnatt[[#This Row],[Start Date]],BV$29&lt;ProposalToGnatt[[#This Row],[Start Date]]+ProposalToGnatt[[#This Row],[Days]]),$G$5,"")),"")</f>
        <v/>
      </c>
      <c r="BW38" s="37" t="str">
        <f ca="1">IFERROR(+IF(BW$29=ProposalToGnatt[[#This Row],[Start Date]],Milestone_Marker,IF(AND(BW$29&gt;ProposalToGnatt[[#This Row],[Start Date]],BW$29&lt;ProposalToGnatt[[#This Row],[Start Date]]+ProposalToGnatt[[#This Row],[Days]]),$G$5,"")),"")</f>
        <v/>
      </c>
      <c r="BX38" s="37" t="str">
        <f ca="1">IFERROR(+IF(BX$29=ProposalToGnatt[[#This Row],[Start Date]],Milestone_Marker,IF(AND(BX$29&gt;ProposalToGnatt[[#This Row],[Start Date]],BX$29&lt;ProposalToGnatt[[#This Row],[Start Date]]+ProposalToGnatt[[#This Row],[Days]]),$G$5,"")),"")</f>
        <v/>
      </c>
      <c r="BY38" s="37" t="str">
        <f ca="1">IFERROR(+IF(BY$29=ProposalToGnatt[[#This Row],[Start Date]],Milestone_Marker,IF(AND(BY$29&gt;ProposalToGnatt[[#This Row],[Start Date]],BY$29&lt;ProposalToGnatt[[#This Row],[Start Date]]+ProposalToGnatt[[#This Row],[Days]]),$G$5,"")),"")</f>
        <v/>
      </c>
      <c r="BZ38" s="37" t="str">
        <f ca="1">IFERROR(+IF(BZ$29=ProposalToGnatt[[#This Row],[Start Date]],Milestone_Marker,IF(AND(BZ$29&gt;ProposalToGnatt[[#This Row],[Start Date]],BZ$29&lt;ProposalToGnatt[[#This Row],[Start Date]]+ProposalToGnatt[[#This Row],[Days]]),$G$5,"")),"")</f>
        <v/>
      </c>
      <c r="CA38" s="37" t="str">
        <f ca="1">IFERROR(+IF(CA$29=ProposalToGnatt[[#This Row],[Start Date]],Milestone_Marker,IF(AND(CA$29&gt;ProposalToGnatt[[#This Row],[Start Date]],CA$29&lt;ProposalToGnatt[[#This Row],[Start Date]]+ProposalToGnatt[[#This Row],[Days]]),$G$5,"")),"")</f>
        <v/>
      </c>
      <c r="CB38" s="37" t="str">
        <f ca="1">IFERROR(+IF(CB$29=ProposalToGnatt[[#This Row],[Start Date]],Milestone_Marker,IF(AND(CB$29&gt;ProposalToGnatt[[#This Row],[Start Date]],CB$29&lt;ProposalToGnatt[[#This Row],[Start Date]]+ProposalToGnatt[[#This Row],[Days]]),$G$5,"")),"")</f>
        <v/>
      </c>
      <c r="CC38" s="37" t="str">
        <f ca="1">IFERROR(+IF(CC$29=ProposalToGnatt[[#This Row],[Start Date]],Milestone_Marker,IF(AND(CC$29&gt;ProposalToGnatt[[#This Row],[Start Date]],CC$29&lt;ProposalToGnatt[[#This Row],[Start Date]]+ProposalToGnatt[[#This Row],[Days]]),$G$5,"")),"")</f>
        <v/>
      </c>
      <c r="CD38" s="37" t="str">
        <f ca="1">IFERROR(+IF(CD$29=ProposalToGnatt[[#This Row],[Start Date]],Milestone_Marker,IF(AND(CD$29&gt;ProposalToGnatt[[#This Row],[Start Date]],CD$29&lt;ProposalToGnatt[[#This Row],[Start Date]]+ProposalToGnatt[[#This Row],[Days]]),$G$5,"")),"")</f>
        <v/>
      </c>
      <c r="CE38" s="37" t="str">
        <f ca="1">IFERROR(+IF(CE$29=ProposalToGnatt[[#This Row],[Start Date]],Milestone_Marker,IF(AND(CE$29&gt;ProposalToGnatt[[#This Row],[Start Date]],CE$29&lt;ProposalToGnatt[[#This Row],[Start Date]]+ProposalToGnatt[[#This Row],[Days]]),$G$5,"")),"")</f>
        <v/>
      </c>
      <c r="CF38" s="37" t="str">
        <f ca="1">IFERROR(+IF(CF$29=ProposalToGnatt[[#This Row],[Start Date]],Milestone_Marker,IF(AND(CF$29&gt;ProposalToGnatt[[#This Row],[Start Date]],CF$29&lt;ProposalToGnatt[[#This Row],[Start Date]]+ProposalToGnatt[[#This Row],[Days]]),$G$5,"")),"")</f>
        <v/>
      </c>
      <c r="CG38" s="37" t="str">
        <f ca="1">IFERROR(+IF(CG$29=ProposalToGnatt[[#This Row],[Start Date]],Milestone_Marker,IF(AND(CG$29&gt;ProposalToGnatt[[#This Row],[Start Date]],CG$29&lt;ProposalToGnatt[[#This Row],[Start Date]]+ProposalToGnatt[[#This Row],[Days]]),$G$5,"")),"")</f>
        <v/>
      </c>
      <c r="CH38" s="37" t="str">
        <f ca="1">IFERROR(+IF(CH$29=ProposalToGnatt[[#This Row],[Start Date]],Milestone_Marker,IF(AND(CH$29&gt;ProposalToGnatt[[#This Row],[Start Date]],CH$29&lt;ProposalToGnatt[[#This Row],[Start Date]]+ProposalToGnatt[[#This Row],[Days]]),$G$5,"")),"")</f>
        <v/>
      </c>
      <c r="CI38" s="37" t="str">
        <f ca="1">IFERROR(+IF(CI$29=ProposalToGnatt[[#This Row],[Start Date]],Milestone_Marker,IF(AND(CI$29&gt;ProposalToGnatt[[#This Row],[Start Date]],CI$29&lt;ProposalToGnatt[[#This Row],[Start Date]]+ProposalToGnatt[[#This Row],[Days]]),$G$5,"")),"")</f>
        <v/>
      </c>
      <c r="CJ38" s="37" t="str">
        <f ca="1">IFERROR(+IF(CJ$29=ProposalToGnatt[[#This Row],[Start Date]],Milestone_Marker,IF(AND(CJ$29&gt;ProposalToGnatt[[#This Row],[Start Date]],CJ$29&lt;ProposalToGnatt[[#This Row],[Start Date]]+ProposalToGnatt[[#This Row],[Days]]),$G$5,"")),"")</f>
        <v/>
      </c>
      <c r="CK38" s="37" t="str">
        <f ca="1">IFERROR(+IF(CK$29=ProposalToGnatt[[#This Row],[Start Date]],Milestone_Marker,IF(AND(CK$29&gt;ProposalToGnatt[[#This Row],[Start Date]],CK$29&lt;ProposalToGnatt[[#This Row],[Start Date]]+ProposalToGnatt[[#This Row],[Days]]),$G$5,"")),"")</f>
        <v/>
      </c>
      <c r="CL38" s="37" t="str">
        <f ca="1">IFERROR(+IF(CL$29=ProposalToGnatt[[#This Row],[Start Date]],Milestone_Marker,IF(AND(CL$29&gt;ProposalToGnatt[[#This Row],[Start Date]],CL$29&lt;ProposalToGnatt[[#This Row],[Start Date]]+ProposalToGnatt[[#This Row],[Days]]),$G$5,"")),"")</f>
        <v/>
      </c>
      <c r="CM38" s="37" t="str">
        <f ca="1">IFERROR(+IF(CM$29=ProposalToGnatt[[#This Row],[Start Date]],Milestone_Marker,IF(AND(CM$29&gt;ProposalToGnatt[[#This Row],[Start Date]],CM$29&lt;ProposalToGnatt[[#This Row],[Start Date]]+ProposalToGnatt[[#This Row],[Days]]),$G$5,"")),"")</f>
        <v/>
      </c>
      <c r="CN38" s="37" t="str">
        <f ca="1">IFERROR(+IF(CN$29=ProposalToGnatt[[#This Row],[Start Date]],Milestone_Marker,IF(AND(CN$29&gt;ProposalToGnatt[[#This Row],[Start Date]],CN$29&lt;ProposalToGnatt[[#This Row],[Start Date]]+ProposalToGnatt[[#This Row],[Days]]),$G$5,"")),"")</f>
        <v/>
      </c>
      <c r="CO38" s="37" t="str">
        <f ca="1">IFERROR(+IF(CO$29=ProposalToGnatt[[#This Row],[Start Date]],Milestone_Marker,IF(AND(CO$29&gt;ProposalToGnatt[[#This Row],[Start Date]],CO$29&lt;ProposalToGnatt[[#This Row],[Start Date]]+ProposalToGnatt[[#This Row],[Days]]),$G$5,"")),"")</f>
        <v/>
      </c>
      <c r="CP38" s="37" t="str">
        <f ca="1">IFERROR(+IF(CP$29=ProposalToGnatt[[#This Row],[Start Date]],Milestone_Marker,IF(AND(CP$29&gt;ProposalToGnatt[[#This Row],[Start Date]],CP$29&lt;ProposalToGnatt[[#This Row],[Start Date]]+ProposalToGnatt[[#This Row],[Days]]),$G$5,"")),"")</f>
        <v/>
      </c>
      <c r="CQ38" s="37" t="str">
        <f ca="1">IFERROR(+IF(CQ$29=ProposalToGnatt[[#This Row],[Start Date]],Milestone_Marker,IF(AND(CQ$29&gt;ProposalToGnatt[[#This Row],[Start Date]],CQ$29&lt;ProposalToGnatt[[#This Row],[Start Date]]+ProposalToGnatt[[#This Row],[Days]]),$G$5,"")),"")</f>
        <v/>
      </c>
      <c r="CR38" s="37" t="str">
        <f ca="1">IFERROR(+IF(CR$29=ProposalToGnatt[[#This Row],[Start Date]],Milestone_Marker,IF(AND(CR$29&gt;ProposalToGnatt[[#This Row],[Start Date]],CR$29&lt;ProposalToGnatt[[#This Row],[Start Date]]+ProposalToGnatt[[#This Row],[Days]]),$G$5,"")),"")</f>
        <v/>
      </c>
      <c r="CS38" s="37" t="str">
        <f ca="1">IFERROR(+IF(CS$29=ProposalToGnatt[[#This Row],[Start Date]],Milestone_Marker,IF(AND(CS$29&gt;ProposalToGnatt[[#This Row],[Start Date]],CS$29&lt;ProposalToGnatt[[#This Row],[Start Date]]+ProposalToGnatt[[#This Row],[Days]]),$G$5,"")),"")</f>
        <v/>
      </c>
      <c r="CT38" s="37" t="str">
        <f ca="1">IFERROR(+IF(CT$29=ProposalToGnatt[[#This Row],[Start Date]],Milestone_Marker,IF(AND(CT$29&gt;ProposalToGnatt[[#This Row],[Start Date]],CT$29&lt;ProposalToGnatt[[#This Row],[Start Date]]+ProposalToGnatt[[#This Row],[Days]]),$G$5,"")),"")</f>
        <v/>
      </c>
      <c r="CU38" s="37" t="str">
        <f ca="1">IFERROR(+IF(CU$29=ProposalToGnatt[[#This Row],[Start Date]],Milestone_Marker,IF(AND(CU$29&gt;ProposalToGnatt[[#This Row],[Start Date]],CU$29&lt;ProposalToGnatt[[#This Row],[Start Date]]+ProposalToGnatt[[#This Row],[Days]]),$G$5,"")),"")</f>
        <v/>
      </c>
      <c r="CV38" s="37"/>
      <c r="CW38" s="37"/>
      <c r="CX38" s="37"/>
      <c r="CY38" s="37"/>
      <c r="CZ38" s="37"/>
      <c r="DA38" s="37"/>
      <c r="DB38" s="37"/>
      <c r="DC38" s="37"/>
      <c r="DD38" s="37"/>
      <c r="DE38" s="37"/>
      <c r="DF38" s="37"/>
      <c r="DG38" s="37"/>
      <c r="DH38" s="37"/>
      <c r="DI38" s="37"/>
      <c r="DJ38" s="37"/>
      <c r="DK38" s="37"/>
      <c r="DL38" s="37"/>
      <c r="DM38" s="37"/>
      <c r="DN38" s="37"/>
      <c r="DO38" s="37"/>
      <c r="DP38" s="37"/>
      <c r="DQ38" s="37"/>
      <c r="DR38" s="37"/>
      <c r="DS38" s="37"/>
      <c r="DT38" s="37"/>
      <c r="DU38" s="37"/>
    </row>
    <row r="39" spans="1:125" s="42" customFormat="1" ht="20.100000000000001" customHeight="1" x14ac:dyDescent="0.25">
      <c r="A39" t="s">
        <v>428</v>
      </c>
      <c r="B39">
        <v>35</v>
      </c>
      <c r="C39" t="s">
        <v>339</v>
      </c>
      <c r="D39" t="s">
        <v>340</v>
      </c>
      <c r="E39" t="s">
        <v>353</v>
      </c>
      <c r="F39">
        <v>1</v>
      </c>
      <c r="G39" s="14"/>
      <c r="H39" s="14"/>
      <c r="I39"/>
      <c r="J39">
        <v>1</v>
      </c>
      <c r="K39" s="303">
        <v>45216</v>
      </c>
      <c r="L39">
        <v>1</v>
      </c>
      <c r="M39" s="14"/>
      <c r="N39" s="352"/>
      <c r="O39" s="340"/>
      <c r="P39" s="37" t="str">
        <f ca="1">IFERROR(+IF(P$29=ProposalToGnatt[[#This Row],[Start Date]],Milestone_Marker,IF(AND(P$29&gt;ProposalToGnatt[[#This Row],[Start Date]],P$29&lt;ProposalToGnatt[[#This Row],[Start Date]]+ProposalToGnatt[[#This Row],[Days]]),$G$5,"")),"")</f>
        <v/>
      </c>
      <c r="Q39" s="37" t="str">
        <f ca="1">IFERROR(+IF(Q$29=ProposalToGnatt[[#This Row],[Start Date]],Milestone_Marker,IF(AND(Q$29&gt;ProposalToGnatt[[#This Row],[Start Date]],Q$29&lt;ProposalToGnatt[[#This Row],[Start Date]]+ProposalToGnatt[[#This Row],[Days]]),$G$5,"")),"")</f>
        <v/>
      </c>
      <c r="R39" s="37" t="str">
        <f ca="1">IFERROR(+IF(R$29=ProposalToGnatt[[#This Row],[Start Date]],Milestone_Marker,IF(AND(R$29&gt;ProposalToGnatt[[#This Row],[Start Date]],R$29&lt;ProposalToGnatt[[#This Row],[Start Date]]+ProposalToGnatt[[#This Row],[Days]]),$G$5,"")),"")</f>
        <v/>
      </c>
      <c r="S39" s="37" t="str">
        <f ca="1">IFERROR(+IF(S$29=ProposalToGnatt[[#This Row],[Start Date]],Milestone_Marker,IF(AND(S$29&gt;ProposalToGnatt[[#This Row],[Start Date]],S$29&lt;ProposalToGnatt[[#This Row],[Start Date]]+ProposalToGnatt[[#This Row],[Days]]),$G$5,"")),"")</f>
        <v/>
      </c>
      <c r="T39" s="37">
        <f ca="1">IFERROR(+IF(T$29=ProposalToGnatt[[#This Row],[Start Date]],Milestone_Marker,IF(AND(T$29&gt;ProposalToGnatt[[#This Row],[Start Date]],T$29&lt;ProposalToGnatt[[#This Row],[Start Date]]+ProposalToGnatt[[#This Row],[Days]]),$G$5,"")),"")</f>
        <v>1</v>
      </c>
      <c r="U39" s="37" t="str">
        <f ca="1">IFERROR(+IF(U$29=ProposalToGnatt[[#This Row],[Start Date]],Milestone_Marker,IF(AND(U$29&gt;ProposalToGnatt[[#This Row],[Start Date]],U$29&lt;ProposalToGnatt[[#This Row],[Start Date]]+ProposalToGnatt[[#This Row],[Days]]),$G$5,"")),"")</f>
        <v/>
      </c>
      <c r="V39" s="37" t="str">
        <f ca="1">IFERROR(+IF(V$29=ProposalToGnatt[[#This Row],[Start Date]],Milestone_Marker,IF(AND(V$29&gt;ProposalToGnatt[[#This Row],[Start Date]],V$29&lt;ProposalToGnatt[[#This Row],[Start Date]]+ProposalToGnatt[[#This Row],[Days]]),$G$5,"")),"")</f>
        <v/>
      </c>
      <c r="W39" s="37" t="str">
        <f ca="1">IFERROR(+IF(W$29=ProposalToGnatt[[#This Row],[Start Date]],Milestone_Marker,IF(AND(W$29&gt;ProposalToGnatt[[#This Row],[Start Date]],W$29&lt;ProposalToGnatt[[#This Row],[Start Date]]+ProposalToGnatt[[#This Row],[Days]]),$G$5,"")),"")</f>
        <v/>
      </c>
      <c r="X39" s="37" t="str">
        <f ca="1">IFERROR(+IF(X$29=ProposalToGnatt[[#This Row],[Start Date]],Milestone_Marker,IF(AND(X$29&gt;ProposalToGnatt[[#This Row],[Start Date]],X$29&lt;ProposalToGnatt[[#This Row],[Start Date]]+ProposalToGnatt[[#This Row],[Days]]),$G$5,"")),"")</f>
        <v/>
      </c>
      <c r="Y39" s="37" t="str">
        <f ca="1">IFERROR(+IF(Y$29=ProposalToGnatt[[#This Row],[Start Date]],Milestone_Marker,IF(AND(Y$29&gt;ProposalToGnatt[[#This Row],[Start Date]],Y$29&lt;ProposalToGnatt[[#This Row],[Start Date]]+ProposalToGnatt[[#This Row],[Days]]),$G$5,"")),"")</f>
        <v/>
      </c>
      <c r="Z39" s="37" t="str">
        <f ca="1">IFERROR(+IF(Z$29=ProposalToGnatt[[#This Row],[Start Date]],Milestone_Marker,IF(AND(Z$29&gt;ProposalToGnatt[[#This Row],[Start Date]],Z$29&lt;ProposalToGnatt[[#This Row],[Start Date]]+ProposalToGnatt[[#This Row],[Days]]),$G$5,"")),"")</f>
        <v/>
      </c>
      <c r="AA39" s="37" t="str">
        <f ca="1">IFERROR(+IF(AA$29=ProposalToGnatt[[#This Row],[Start Date]],Milestone_Marker,IF(AND(AA$29&gt;ProposalToGnatt[[#This Row],[Start Date]],AA$29&lt;ProposalToGnatt[[#This Row],[Start Date]]+ProposalToGnatt[[#This Row],[Days]]),$G$5,"")),"")</f>
        <v/>
      </c>
      <c r="AB39" s="37" t="str">
        <f ca="1">IFERROR(+IF(AB$29=ProposalToGnatt[[#This Row],[Start Date]],Milestone_Marker,IF(AND(AB$29&gt;ProposalToGnatt[[#This Row],[Start Date]],AB$29&lt;ProposalToGnatt[[#This Row],[Start Date]]+ProposalToGnatt[[#This Row],[Days]]),$G$5,"")),"")</f>
        <v/>
      </c>
      <c r="AC39" s="37" t="str">
        <f ca="1">IFERROR(+IF(AC$29=ProposalToGnatt[[#This Row],[Start Date]],Milestone_Marker,IF(AND(AC$29&gt;ProposalToGnatt[[#This Row],[Start Date]],AC$29&lt;ProposalToGnatt[[#This Row],[Start Date]]+ProposalToGnatt[[#This Row],[Days]]),$G$5,"")),"")</f>
        <v/>
      </c>
      <c r="AD39" s="37" t="str">
        <f ca="1">IFERROR(+IF(AD$29=ProposalToGnatt[[#This Row],[Start Date]],Milestone_Marker,IF(AND(AD$29&gt;ProposalToGnatt[[#This Row],[Start Date]],AD$29&lt;ProposalToGnatt[[#This Row],[Start Date]]+ProposalToGnatt[[#This Row],[Days]]),$G$5,"")),"")</f>
        <v/>
      </c>
      <c r="AE39" s="37" t="str">
        <f ca="1">IFERROR(+IF(AE$29=ProposalToGnatt[[#This Row],[Start Date]],Milestone_Marker,IF(AND(AE$29&gt;ProposalToGnatt[[#This Row],[Start Date]],AE$29&lt;ProposalToGnatt[[#This Row],[Start Date]]+ProposalToGnatt[[#This Row],[Days]]),$G$5,"")),"")</f>
        <v/>
      </c>
      <c r="AF39" s="37" t="str">
        <f ca="1">IFERROR(+IF(AF$29=ProposalToGnatt[[#This Row],[Start Date]],Milestone_Marker,IF(AND(AF$29&gt;ProposalToGnatt[[#This Row],[Start Date]],AF$29&lt;ProposalToGnatt[[#This Row],[Start Date]]+ProposalToGnatt[[#This Row],[Days]]),$G$5,"")),"")</f>
        <v/>
      </c>
      <c r="AG39" s="37" t="str">
        <f ca="1">IFERROR(+IF(AG$29=ProposalToGnatt[[#This Row],[Start Date]],Milestone_Marker,IF(AND(AG$29&gt;ProposalToGnatt[[#This Row],[Start Date]],AG$29&lt;ProposalToGnatt[[#This Row],[Start Date]]+ProposalToGnatt[[#This Row],[Days]]),$G$5,"")),"")</f>
        <v/>
      </c>
      <c r="AH39" s="37" t="str">
        <f ca="1">IFERROR(+IF(AH$29=ProposalToGnatt[[#This Row],[Start Date]],Milestone_Marker,IF(AND(AH$29&gt;ProposalToGnatt[[#This Row],[Start Date]],AH$29&lt;ProposalToGnatt[[#This Row],[Start Date]]+ProposalToGnatt[[#This Row],[Days]]),$G$5,"")),"")</f>
        <v/>
      </c>
      <c r="AI39" s="37" t="str">
        <f ca="1">IFERROR(+IF(AI$29=ProposalToGnatt[[#This Row],[Start Date]],Milestone_Marker,IF(AND(AI$29&gt;ProposalToGnatt[[#This Row],[Start Date]],AI$29&lt;ProposalToGnatt[[#This Row],[Start Date]]+ProposalToGnatt[[#This Row],[Days]]),$G$5,"")),"")</f>
        <v/>
      </c>
      <c r="AJ39" s="37" t="str">
        <f ca="1">IFERROR(+IF(AJ$29=ProposalToGnatt[[#This Row],[Start Date]],Milestone_Marker,IF(AND(AJ$29&gt;ProposalToGnatt[[#This Row],[Start Date]],AJ$29&lt;ProposalToGnatt[[#This Row],[Start Date]]+ProposalToGnatt[[#This Row],[Days]]),$G$5,"")),"")</f>
        <v/>
      </c>
      <c r="AK39" s="37" t="str">
        <f ca="1">IFERROR(+IF(AK$29=ProposalToGnatt[[#This Row],[Start Date]],Milestone_Marker,IF(AND(AK$29&gt;ProposalToGnatt[[#This Row],[Start Date]],AK$29&lt;ProposalToGnatt[[#This Row],[Start Date]]+ProposalToGnatt[[#This Row],[Days]]),$G$5,"")),"")</f>
        <v/>
      </c>
      <c r="AL39" s="37" t="str">
        <f ca="1">IFERROR(+IF(AL$29=ProposalToGnatt[[#This Row],[Start Date]],Milestone_Marker,IF(AND(AL$29&gt;ProposalToGnatt[[#This Row],[Start Date]],AL$29&lt;ProposalToGnatt[[#This Row],[Start Date]]+ProposalToGnatt[[#This Row],[Days]]),$G$5,"")),"")</f>
        <v/>
      </c>
      <c r="AM39" s="37" t="str">
        <f ca="1">IFERROR(+IF(AM$29=ProposalToGnatt[[#This Row],[Start Date]],Milestone_Marker,IF(AND(AM$29&gt;ProposalToGnatt[[#This Row],[Start Date]],AM$29&lt;ProposalToGnatt[[#This Row],[Start Date]]+ProposalToGnatt[[#This Row],[Days]]),$G$5,"")),"")</f>
        <v/>
      </c>
      <c r="AN39" s="37" t="str">
        <f ca="1">IFERROR(+IF(AN$29=ProposalToGnatt[[#This Row],[Start Date]],Milestone_Marker,IF(AND(AN$29&gt;ProposalToGnatt[[#This Row],[Start Date]],AN$29&lt;ProposalToGnatt[[#This Row],[Start Date]]+ProposalToGnatt[[#This Row],[Days]]),$G$5,"")),"")</f>
        <v/>
      </c>
      <c r="AO39" s="37" t="str">
        <f ca="1">IFERROR(+IF(AO$29=ProposalToGnatt[[#This Row],[Start Date]],Milestone_Marker,IF(AND(AO$29&gt;ProposalToGnatt[[#This Row],[Start Date]],AO$29&lt;ProposalToGnatt[[#This Row],[Start Date]]+ProposalToGnatt[[#This Row],[Days]]),$G$5,"")),"")</f>
        <v/>
      </c>
      <c r="AP39" s="37" t="str">
        <f ca="1">IFERROR(+IF(AP$29=ProposalToGnatt[[#This Row],[Start Date]],Milestone_Marker,IF(AND(AP$29&gt;ProposalToGnatt[[#This Row],[Start Date]],AP$29&lt;ProposalToGnatt[[#This Row],[Start Date]]+ProposalToGnatt[[#This Row],[Days]]),$G$5,"")),"")</f>
        <v/>
      </c>
      <c r="AQ39" s="37" t="str">
        <f ca="1">IFERROR(+IF(AQ$29=ProposalToGnatt[[#This Row],[Start Date]],Milestone_Marker,IF(AND(AQ$29&gt;ProposalToGnatt[[#This Row],[Start Date]],AQ$29&lt;ProposalToGnatt[[#This Row],[Start Date]]+ProposalToGnatt[[#This Row],[Days]]),$G$5,"")),"")</f>
        <v/>
      </c>
      <c r="AR39" s="37" t="str">
        <f ca="1">IFERROR(+IF(AR$29=ProposalToGnatt[[#This Row],[Start Date]],Milestone_Marker,IF(AND(AR$29&gt;ProposalToGnatt[[#This Row],[Start Date]],AR$29&lt;ProposalToGnatt[[#This Row],[Start Date]]+ProposalToGnatt[[#This Row],[Days]]),$G$5,"")),"")</f>
        <v/>
      </c>
      <c r="AS39" s="37" t="str">
        <f ca="1">IFERROR(+IF(AS$29=ProposalToGnatt[[#This Row],[Start Date]],Milestone_Marker,IF(AND(AS$29&gt;ProposalToGnatt[[#This Row],[Start Date]],AS$29&lt;ProposalToGnatt[[#This Row],[Start Date]]+ProposalToGnatt[[#This Row],[Days]]),$G$5,"")),"")</f>
        <v/>
      </c>
      <c r="AT39" s="37" t="str">
        <f ca="1">IFERROR(+IF(AT$29=ProposalToGnatt[[#This Row],[Start Date]],Milestone_Marker,IF(AND(AT$29&gt;ProposalToGnatt[[#This Row],[Start Date]],AT$29&lt;ProposalToGnatt[[#This Row],[Start Date]]+ProposalToGnatt[[#This Row],[Days]]),$G$5,"")),"")</f>
        <v/>
      </c>
      <c r="AU39" s="37" t="str">
        <f ca="1">IFERROR(+IF(AU$29=ProposalToGnatt[[#This Row],[Start Date]],Milestone_Marker,IF(AND(AU$29&gt;ProposalToGnatt[[#This Row],[Start Date]],AU$29&lt;ProposalToGnatt[[#This Row],[Start Date]]+ProposalToGnatt[[#This Row],[Days]]),$G$5,"")),"")</f>
        <v/>
      </c>
      <c r="AV39" s="37" t="str">
        <f ca="1">IFERROR(+IF(AV$29=ProposalToGnatt[[#This Row],[Start Date]],Milestone_Marker,IF(AND(AV$29&gt;ProposalToGnatt[[#This Row],[Start Date]],AV$29&lt;ProposalToGnatt[[#This Row],[Start Date]]+ProposalToGnatt[[#This Row],[Days]]),$G$5,"")),"")</f>
        <v/>
      </c>
      <c r="AW39" s="37" t="str">
        <f ca="1">IFERROR(+IF(AW$29=ProposalToGnatt[[#This Row],[Start Date]],Milestone_Marker,IF(AND(AW$29&gt;ProposalToGnatt[[#This Row],[Start Date]],AW$29&lt;ProposalToGnatt[[#This Row],[Start Date]]+ProposalToGnatt[[#This Row],[Days]]),$G$5,"")),"")</f>
        <v/>
      </c>
      <c r="AX39" s="37" t="str">
        <f ca="1">IFERROR(+IF(AX$29=ProposalToGnatt[[#This Row],[Start Date]],Milestone_Marker,IF(AND(AX$29&gt;ProposalToGnatt[[#This Row],[Start Date]],AX$29&lt;ProposalToGnatt[[#This Row],[Start Date]]+ProposalToGnatt[[#This Row],[Days]]),$G$5,"")),"")</f>
        <v/>
      </c>
      <c r="AY39" s="37" t="str">
        <f ca="1">IFERROR(+IF(AY$29=ProposalToGnatt[[#This Row],[Start Date]],Milestone_Marker,IF(AND(AY$29&gt;ProposalToGnatt[[#This Row],[Start Date]],AY$29&lt;ProposalToGnatt[[#This Row],[Start Date]]+ProposalToGnatt[[#This Row],[Days]]),$G$5,"")),"")</f>
        <v/>
      </c>
      <c r="AZ39" s="37" t="str">
        <f ca="1">IFERROR(+IF(AZ$29=ProposalToGnatt[[#This Row],[Start Date]],Milestone_Marker,IF(AND(AZ$29&gt;ProposalToGnatt[[#This Row],[Start Date]],AZ$29&lt;ProposalToGnatt[[#This Row],[Start Date]]+ProposalToGnatt[[#This Row],[Days]]),$G$5,"")),"")</f>
        <v/>
      </c>
      <c r="BA39" s="37" t="str">
        <f ca="1">IFERROR(+IF(BA$29=ProposalToGnatt[[#This Row],[Start Date]],Milestone_Marker,IF(AND(BA$29&gt;ProposalToGnatt[[#This Row],[Start Date]],BA$29&lt;ProposalToGnatt[[#This Row],[Start Date]]+ProposalToGnatt[[#This Row],[Days]]),$G$5,"")),"")</f>
        <v/>
      </c>
      <c r="BB39" s="37" t="str">
        <f ca="1">IFERROR(+IF(BB$29=ProposalToGnatt[[#This Row],[Start Date]],Milestone_Marker,IF(AND(BB$29&gt;ProposalToGnatt[[#This Row],[Start Date]],BB$29&lt;ProposalToGnatt[[#This Row],[Start Date]]+ProposalToGnatt[[#This Row],[Days]]),$G$5,"")),"")</f>
        <v/>
      </c>
      <c r="BC39" s="37" t="str">
        <f ca="1">IFERROR(+IF(BC$29=ProposalToGnatt[[#This Row],[Start Date]],Milestone_Marker,IF(AND(BC$29&gt;ProposalToGnatt[[#This Row],[Start Date]],BC$29&lt;ProposalToGnatt[[#This Row],[Start Date]]+ProposalToGnatt[[#This Row],[Days]]),$G$5,"")),"")</f>
        <v/>
      </c>
      <c r="BD39" s="37" t="str">
        <f ca="1">IFERROR(+IF(BD$29=ProposalToGnatt[[#This Row],[Start Date]],Milestone_Marker,IF(AND(BD$29&gt;ProposalToGnatt[[#This Row],[Start Date]],BD$29&lt;ProposalToGnatt[[#This Row],[Start Date]]+ProposalToGnatt[[#This Row],[Days]]),$G$5,"")),"")</f>
        <v/>
      </c>
      <c r="BE39" s="37" t="str">
        <f ca="1">IFERROR(+IF(BE$29=ProposalToGnatt[[#This Row],[Start Date]],Milestone_Marker,IF(AND(BE$29&gt;ProposalToGnatt[[#This Row],[Start Date]],BE$29&lt;ProposalToGnatt[[#This Row],[Start Date]]+ProposalToGnatt[[#This Row],[Days]]),$G$5,"")),"")</f>
        <v/>
      </c>
      <c r="BF39" s="37" t="str">
        <f ca="1">IFERROR(+IF(BF$29=ProposalToGnatt[[#This Row],[Start Date]],Milestone_Marker,IF(AND(BF$29&gt;ProposalToGnatt[[#This Row],[Start Date]],BF$29&lt;ProposalToGnatt[[#This Row],[Start Date]]+ProposalToGnatt[[#This Row],[Days]]),$G$5,"")),"")</f>
        <v/>
      </c>
      <c r="BG39" s="37" t="str">
        <f ca="1">IFERROR(+IF(BG$29=ProposalToGnatt[[#This Row],[Start Date]],Milestone_Marker,IF(AND(BG$29&gt;ProposalToGnatt[[#This Row],[Start Date]],BG$29&lt;ProposalToGnatt[[#This Row],[Start Date]]+ProposalToGnatt[[#This Row],[Days]]),$G$5,"")),"")</f>
        <v/>
      </c>
      <c r="BH39" s="37" t="str">
        <f ca="1">IFERROR(+IF(BH$29=ProposalToGnatt[[#This Row],[Start Date]],Milestone_Marker,IF(AND(BH$29&gt;ProposalToGnatt[[#This Row],[Start Date]],BH$29&lt;ProposalToGnatt[[#This Row],[Start Date]]+ProposalToGnatt[[#This Row],[Days]]),$G$5,"")),"")</f>
        <v/>
      </c>
      <c r="BI39" s="37" t="str">
        <f ca="1">IFERROR(+IF(BI$29=ProposalToGnatt[[#This Row],[Start Date]],Milestone_Marker,IF(AND(BI$29&gt;ProposalToGnatt[[#This Row],[Start Date]],BI$29&lt;ProposalToGnatt[[#This Row],[Start Date]]+ProposalToGnatt[[#This Row],[Days]]),$G$5,"")),"")</f>
        <v/>
      </c>
      <c r="BJ39" s="37" t="str">
        <f ca="1">IFERROR(+IF(BJ$29=ProposalToGnatt[[#This Row],[Start Date]],Milestone_Marker,IF(AND(BJ$29&gt;ProposalToGnatt[[#This Row],[Start Date]],BJ$29&lt;ProposalToGnatt[[#This Row],[Start Date]]+ProposalToGnatt[[#This Row],[Days]]),$G$5,"")),"")</f>
        <v/>
      </c>
      <c r="BK39" s="37" t="str">
        <f ca="1">IFERROR(+IF(BK$29=ProposalToGnatt[[#This Row],[Start Date]],Milestone_Marker,IF(AND(BK$29&gt;ProposalToGnatt[[#This Row],[Start Date]],BK$29&lt;ProposalToGnatt[[#This Row],[Start Date]]+ProposalToGnatt[[#This Row],[Days]]),$G$5,"")),"")</f>
        <v/>
      </c>
      <c r="BL39" s="37" t="str">
        <f ca="1">IFERROR(+IF(BL$29=ProposalToGnatt[[#This Row],[Start Date]],Milestone_Marker,IF(AND(BL$29&gt;ProposalToGnatt[[#This Row],[Start Date]],BL$29&lt;ProposalToGnatt[[#This Row],[Start Date]]+ProposalToGnatt[[#This Row],[Days]]),$G$5,"")),"")</f>
        <v/>
      </c>
      <c r="BM39" s="37" t="str">
        <f ca="1">IFERROR(+IF(BM$29=ProposalToGnatt[[#This Row],[Start Date]],Milestone_Marker,IF(AND(BM$29&gt;ProposalToGnatt[[#This Row],[Start Date]],BM$29&lt;ProposalToGnatt[[#This Row],[Start Date]]+ProposalToGnatt[[#This Row],[Days]]),$G$5,"")),"")</f>
        <v/>
      </c>
      <c r="BN39" s="37" t="str">
        <f ca="1">IFERROR(+IF(BN$29=ProposalToGnatt[[#This Row],[Start Date]],Milestone_Marker,IF(AND(BN$29&gt;ProposalToGnatt[[#This Row],[Start Date]],BN$29&lt;ProposalToGnatt[[#This Row],[Start Date]]+ProposalToGnatt[[#This Row],[Days]]),$G$5,"")),"")</f>
        <v/>
      </c>
      <c r="BO39" s="37" t="str">
        <f ca="1">IFERROR(+IF(BO$29=ProposalToGnatt[[#This Row],[Start Date]],Milestone_Marker,IF(AND(BO$29&gt;ProposalToGnatt[[#This Row],[Start Date]],BO$29&lt;ProposalToGnatt[[#This Row],[Start Date]]+ProposalToGnatt[[#This Row],[Days]]),$G$5,"")),"")</f>
        <v/>
      </c>
      <c r="BP39" s="37" t="str">
        <f ca="1">IFERROR(+IF(BP$29=ProposalToGnatt[[#This Row],[Start Date]],Milestone_Marker,IF(AND(BP$29&gt;ProposalToGnatt[[#This Row],[Start Date]],BP$29&lt;ProposalToGnatt[[#This Row],[Start Date]]+ProposalToGnatt[[#This Row],[Days]]),$G$5,"")),"")</f>
        <v/>
      </c>
      <c r="BQ39" s="37" t="str">
        <f ca="1">IFERROR(+IF(BQ$29=ProposalToGnatt[[#This Row],[Start Date]],Milestone_Marker,IF(AND(BQ$29&gt;ProposalToGnatt[[#This Row],[Start Date]],BQ$29&lt;ProposalToGnatt[[#This Row],[Start Date]]+ProposalToGnatt[[#This Row],[Days]]),$G$5,"")),"")</f>
        <v/>
      </c>
      <c r="BR39" s="37" t="str">
        <f ca="1">IFERROR(+IF(BR$29=ProposalToGnatt[[#This Row],[Start Date]],Milestone_Marker,IF(AND(BR$29&gt;ProposalToGnatt[[#This Row],[Start Date]],BR$29&lt;ProposalToGnatt[[#This Row],[Start Date]]+ProposalToGnatt[[#This Row],[Days]]),$G$5,"")),"")</f>
        <v/>
      </c>
      <c r="BS39" s="37" t="str">
        <f ca="1">IFERROR(+IF(BS$29=ProposalToGnatt[[#This Row],[Start Date]],Milestone_Marker,IF(AND(BS$29&gt;ProposalToGnatt[[#This Row],[Start Date]],BS$29&lt;ProposalToGnatt[[#This Row],[Start Date]]+ProposalToGnatt[[#This Row],[Days]]),$G$5,"")),"")</f>
        <v/>
      </c>
      <c r="BT39" s="37" t="str">
        <f ca="1">IFERROR(+IF(BT$29=ProposalToGnatt[[#This Row],[Start Date]],Milestone_Marker,IF(AND(BT$29&gt;ProposalToGnatt[[#This Row],[Start Date]],BT$29&lt;ProposalToGnatt[[#This Row],[Start Date]]+ProposalToGnatt[[#This Row],[Days]]),$G$5,"")),"")</f>
        <v/>
      </c>
      <c r="BU39" s="37" t="str">
        <f ca="1">IFERROR(+IF(BU$29=ProposalToGnatt[[#This Row],[Start Date]],Milestone_Marker,IF(AND(BU$29&gt;ProposalToGnatt[[#This Row],[Start Date]],BU$29&lt;ProposalToGnatt[[#This Row],[Start Date]]+ProposalToGnatt[[#This Row],[Days]]),$G$5,"")),"")</f>
        <v/>
      </c>
      <c r="BV39" s="37" t="str">
        <f ca="1">IFERROR(+IF(BV$29=ProposalToGnatt[[#This Row],[Start Date]],Milestone_Marker,IF(AND(BV$29&gt;ProposalToGnatt[[#This Row],[Start Date]],BV$29&lt;ProposalToGnatt[[#This Row],[Start Date]]+ProposalToGnatt[[#This Row],[Days]]),$G$5,"")),"")</f>
        <v/>
      </c>
      <c r="BW39" s="37" t="str">
        <f ca="1">IFERROR(+IF(BW$29=ProposalToGnatt[[#This Row],[Start Date]],Milestone_Marker,IF(AND(BW$29&gt;ProposalToGnatt[[#This Row],[Start Date]],BW$29&lt;ProposalToGnatt[[#This Row],[Start Date]]+ProposalToGnatt[[#This Row],[Days]]),$G$5,"")),"")</f>
        <v/>
      </c>
      <c r="BX39" s="37" t="str">
        <f ca="1">IFERROR(+IF(BX$29=ProposalToGnatt[[#This Row],[Start Date]],Milestone_Marker,IF(AND(BX$29&gt;ProposalToGnatt[[#This Row],[Start Date]],BX$29&lt;ProposalToGnatt[[#This Row],[Start Date]]+ProposalToGnatt[[#This Row],[Days]]),$G$5,"")),"")</f>
        <v/>
      </c>
      <c r="BY39" s="37" t="str">
        <f ca="1">IFERROR(+IF(BY$29=ProposalToGnatt[[#This Row],[Start Date]],Milestone_Marker,IF(AND(BY$29&gt;ProposalToGnatt[[#This Row],[Start Date]],BY$29&lt;ProposalToGnatt[[#This Row],[Start Date]]+ProposalToGnatt[[#This Row],[Days]]),$G$5,"")),"")</f>
        <v/>
      </c>
      <c r="BZ39" s="37" t="str">
        <f ca="1">IFERROR(+IF(BZ$29=ProposalToGnatt[[#This Row],[Start Date]],Milestone_Marker,IF(AND(BZ$29&gt;ProposalToGnatt[[#This Row],[Start Date]],BZ$29&lt;ProposalToGnatt[[#This Row],[Start Date]]+ProposalToGnatt[[#This Row],[Days]]),$G$5,"")),"")</f>
        <v/>
      </c>
      <c r="CA39" s="37" t="str">
        <f ca="1">IFERROR(+IF(CA$29=ProposalToGnatt[[#This Row],[Start Date]],Milestone_Marker,IF(AND(CA$29&gt;ProposalToGnatt[[#This Row],[Start Date]],CA$29&lt;ProposalToGnatt[[#This Row],[Start Date]]+ProposalToGnatt[[#This Row],[Days]]),$G$5,"")),"")</f>
        <v/>
      </c>
      <c r="CB39" s="37" t="str">
        <f ca="1">IFERROR(+IF(CB$29=ProposalToGnatt[[#This Row],[Start Date]],Milestone_Marker,IF(AND(CB$29&gt;ProposalToGnatt[[#This Row],[Start Date]],CB$29&lt;ProposalToGnatt[[#This Row],[Start Date]]+ProposalToGnatt[[#This Row],[Days]]),$G$5,"")),"")</f>
        <v/>
      </c>
      <c r="CC39" s="37" t="str">
        <f ca="1">IFERROR(+IF(CC$29=ProposalToGnatt[[#This Row],[Start Date]],Milestone_Marker,IF(AND(CC$29&gt;ProposalToGnatt[[#This Row],[Start Date]],CC$29&lt;ProposalToGnatt[[#This Row],[Start Date]]+ProposalToGnatt[[#This Row],[Days]]),$G$5,"")),"")</f>
        <v/>
      </c>
      <c r="CD39" s="37" t="str">
        <f ca="1">IFERROR(+IF(CD$29=ProposalToGnatt[[#This Row],[Start Date]],Milestone_Marker,IF(AND(CD$29&gt;ProposalToGnatt[[#This Row],[Start Date]],CD$29&lt;ProposalToGnatt[[#This Row],[Start Date]]+ProposalToGnatt[[#This Row],[Days]]),$G$5,"")),"")</f>
        <v/>
      </c>
      <c r="CE39" s="37" t="str">
        <f ca="1">IFERROR(+IF(CE$29=ProposalToGnatt[[#This Row],[Start Date]],Milestone_Marker,IF(AND(CE$29&gt;ProposalToGnatt[[#This Row],[Start Date]],CE$29&lt;ProposalToGnatt[[#This Row],[Start Date]]+ProposalToGnatt[[#This Row],[Days]]),$G$5,"")),"")</f>
        <v/>
      </c>
      <c r="CF39" s="37" t="str">
        <f ca="1">IFERROR(+IF(CF$29=ProposalToGnatt[[#This Row],[Start Date]],Milestone_Marker,IF(AND(CF$29&gt;ProposalToGnatt[[#This Row],[Start Date]],CF$29&lt;ProposalToGnatt[[#This Row],[Start Date]]+ProposalToGnatt[[#This Row],[Days]]),$G$5,"")),"")</f>
        <v/>
      </c>
      <c r="CG39" s="37" t="str">
        <f ca="1">IFERROR(+IF(CG$29=ProposalToGnatt[[#This Row],[Start Date]],Milestone_Marker,IF(AND(CG$29&gt;ProposalToGnatt[[#This Row],[Start Date]],CG$29&lt;ProposalToGnatt[[#This Row],[Start Date]]+ProposalToGnatt[[#This Row],[Days]]),$G$5,"")),"")</f>
        <v/>
      </c>
      <c r="CH39" s="37" t="str">
        <f ca="1">IFERROR(+IF(CH$29=ProposalToGnatt[[#This Row],[Start Date]],Milestone_Marker,IF(AND(CH$29&gt;ProposalToGnatt[[#This Row],[Start Date]],CH$29&lt;ProposalToGnatt[[#This Row],[Start Date]]+ProposalToGnatt[[#This Row],[Days]]),$G$5,"")),"")</f>
        <v/>
      </c>
      <c r="CI39" s="37" t="str">
        <f ca="1">IFERROR(+IF(CI$29=ProposalToGnatt[[#This Row],[Start Date]],Milestone_Marker,IF(AND(CI$29&gt;ProposalToGnatt[[#This Row],[Start Date]],CI$29&lt;ProposalToGnatt[[#This Row],[Start Date]]+ProposalToGnatt[[#This Row],[Days]]),$G$5,"")),"")</f>
        <v/>
      </c>
      <c r="CJ39" s="37" t="str">
        <f ca="1">IFERROR(+IF(CJ$29=ProposalToGnatt[[#This Row],[Start Date]],Milestone_Marker,IF(AND(CJ$29&gt;ProposalToGnatt[[#This Row],[Start Date]],CJ$29&lt;ProposalToGnatt[[#This Row],[Start Date]]+ProposalToGnatt[[#This Row],[Days]]),$G$5,"")),"")</f>
        <v/>
      </c>
      <c r="CK39" s="37" t="str">
        <f ca="1">IFERROR(+IF(CK$29=ProposalToGnatt[[#This Row],[Start Date]],Milestone_Marker,IF(AND(CK$29&gt;ProposalToGnatt[[#This Row],[Start Date]],CK$29&lt;ProposalToGnatt[[#This Row],[Start Date]]+ProposalToGnatt[[#This Row],[Days]]),$G$5,"")),"")</f>
        <v/>
      </c>
      <c r="CL39" s="37" t="str">
        <f ca="1">IFERROR(+IF(CL$29=ProposalToGnatt[[#This Row],[Start Date]],Milestone_Marker,IF(AND(CL$29&gt;ProposalToGnatt[[#This Row],[Start Date]],CL$29&lt;ProposalToGnatt[[#This Row],[Start Date]]+ProposalToGnatt[[#This Row],[Days]]),$G$5,"")),"")</f>
        <v/>
      </c>
      <c r="CM39" s="37" t="str">
        <f ca="1">IFERROR(+IF(CM$29=ProposalToGnatt[[#This Row],[Start Date]],Milestone_Marker,IF(AND(CM$29&gt;ProposalToGnatt[[#This Row],[Start Date]],CM$29&lt;ProposalToGnatt[[#This Row],[Start Date]]+ProposalToGnatt[[#This Row],[Days]]),$G$5,"")),"")</f>
        <v/>
      </c>
      <c r="CN39" s="37" t="str">
        <f ca="1">IFERROR(+IF(CN$29=ProposalToGnatt[[#This Row],[Start Date]],Milestone_Marker,IF(AND(CN$29&gt;ProposalToGnatt[[#This Row],[Start Date]],CN$29&lt;ProposalToGnatt[[#This Row],[Start Date]]+ProposalToGnatt[[#This Row],[Days]]),$G$5,"")),"")</f>
        <v/>
      </c>
      <c r="CO39" s="37" t="str">
        <f ca="1">IFERROR(+IF(CO$29=ProposalToGnatt[[#This Row],[Start Date]],Milestone_Marker,IF(AND(CO$29&gt;ProposalToGnatt[[#This Row],[Start Date]],CO$29&lt;ProposalToGnatt[[#This Row],[Start Date]]+ProposalToGnatt[[#This Row],[Days]]),$G$5,"")),"")</f>
        <v/>
      </c>
      <c r="CP39" s="37" t="str">
        <f ca="1">IFERROR(+IF(CP$29=ProposalToGnatt[[#This Row],[Start Date]],Milestone_Marker,IF(AND(CP$29&gt;ProposalToGnatt[[#This Row],[Start Date]],CP$29&lt;ProposalToGnatt[[#This Row],[Start Date]]+ProposalToGnatt[[#This Row],[Days]]),$G$5,"")),"")</f>
        <v/>
      </c>
      <c r="CQ39" s="37" t="str">
        <f ca="1">IFERROR(+IF(CQ$29=ProposalToGnatt[[#This Row],[Start Date]],Milestone_Marker,IF(AND(CQ$29&gt;ProposalToGnatt[[#This Row],[Start Date]],CQ$29&lt;ProposalToGnatt[[#This Row],[Start Date]]+ProposalToGnatt[[#This Row],[Days]]),$G$5,"")),"")</f>
        <v/>
      </c>
      <c r="CR39" s="37" t="str">
        <f ca="1">IFERROR(+IF(CR$29=ProposalToGnatt[[#This Row],[Start Date]],Milestone_Marker,IF(AND(CR$29&gt;ProposalToGnatt[[#This Row],[Start Date]],CR$29&lt;ProposalToGnatt[[#This Row],[Start Date]]+ProposalToGnatt[[#This Row],[Days]]),$G$5,"")),"")</f>
        <v/>
      </c>
      <c r="CS39" s="37" t="str">
        <f ca="1">IFERROR(+IF(CS$29=ProposalToGnatt[[#This Row],[Start Date]],Milestone_Marker,IF(AND(CS$29&gt;ProposalToGnatt[[#This Row],[Start Date]],CS$29&lt;ProposalToGnatt[[#This Row],[Start Date]]+ProposalToGnatt[[#This Row],[Days]]),$G$5,"")),"")</f>
        <v/>
      </c>
      <c r="CT39" s="37" t="str">
        <f ca="1">IFERROR(+IF(CT$29=ProposalToGnatt[[#This Row],[Start Date]],Milestone_Marker,IF(AND(CT$29&gt;ProposalToGnatt[[#This Row],[Start Date]],CT$29&lt;ProposalToGnatt[[#This Row],[Start Date]]+ProposalToGnatt[[#This Row],[Days]]),$G$5,"")),"")</f>
        <v/>
      </c>
      <c r="CU39" s="37" t="str">
        <f ca="1">IFERROR(+IF(CU$29=ProposalToGnatt[[#This Row],[Start Date]],Milestone_Marker,IF(AND(CU$29&gt;ProposalToGnatt[[#This Row],[Start Date]],CU$29&lt;ProposalToGnatt[[#This Row],[Start Date]]+ProposalToGnatt[[#This Row],[Days]]),$G$5,"")),"")</f>
        <v/>
      </c>
      <c r="CV39" s="37"/>
      <c r="CW39" s="37"/>
      <c r="CX39" s="37"/>
      <c r="CY39" s="37"/>
      <c r="CZ39" s="37"/>
      <c r="DA39" s="37"/>
      <c r="DB39" s="37"/>
      <c r="DC39" s="37"/>
      <c r="DD39" s="37"/>
      <c r="DE39" s="37"/>
      <c r="DF39" s="37"/>
      <c r="DG39" s="37"/>
      <c r="DH39" s="37"/>
      <c r="DI39" s="37"/>
      <c r="DJ39" s="37"/>
      <c r="DK39" s="37"/>
      <c r="DL39" s="37"/>
      <c r="DM39" s="37"/>
      <c r="DN39" s="37"/>
      <c r="DO39" s="37"/>
      <c r="DP39" s="37"/>
      <c r="DQ39" s="37"/>
      <c r="DR39" s="37"/>
      <c r="DS39" s="37"/>
      <c r="DT39" s="37"/>
      <c r="DU39" s="37"/>
    </row>
    <row r="40" spans="1:125" s="42" customFormat="1" ht="20.100000000000001" customHeight="1" x14ac:dyDescent="0.25">
      <c r="A40" t="s">
        <v>428</v>
      </c>
      <c r="B40">
        <v>19</v>
      </c>
      <c r="C40" t="s">
        <v>317</v>
      </c>
      <c r="D40" t="s">
        <v>334</v>
      </c>
      <c r="E40" t="s">
        <v>335</v>
      </c>
      <c r="F40">
        <v>1</v>
      </c>
      <c r="G40" s="14">
        <v>3190</v>
      </c>
      <c r="H40" s="14">
        <v>3190</v>
      </c>
      <c r="I40" t="s">
        <v>45</v>
      </c>
      <c r="J40">
        <v>1</v>
      </c>
      <c r="K40" s="303">
        <v>45219</v>
      </c>
      <c r="L40">
        <v>1</v>
      </c>
      <c r="M40" s="14"/>
      <c r="N40" s="352">
        <v>3190</v>
      </c>
      <c r="O40" s="340" t="s">
        <v>424</v>
      </c>
      <c r="P40" s="37" t="str">
        <f ca="1">IFERROR(+IF(P$29=ProposalToGnatt[[#This Row],[Start Date]],Milestone_Marker,IF(AND(P$29&gt;ProposalToGnatt[[#This Row],[Start Date]],P$29&lt;ProposalToGnatt[[#This Row],[Start Date]]+ProposalToGnatt[[#This Row],[Days]]),$G$5,"")),"")</f>
        <v/>
      </c>
      <c r="Q40" s="37" t="str">
        <f ca="1">IFERROR(+IF(Q$29=ProposalToGnatt[[#This Row],[Start Date]],Milestone_Marker,IF(AND(Q$29&gt;ProposalToGnatt[[#This Row],[Start Date]],Q$29&lt;ProposalToGnatt[[#This Row],[Start Date]]+ProposalToGnatt[[#This Row],[Days]]),$G$5,"")),"")</f>
        <v/>
      </c>
      <c r="R40" s="37" t="str">
        <f ca="1">IFERROR(+IF(R$29=ProposalToGnatt[[#This Row],[Start Date]],Milestone_Marker,IF(AND(R$29&gt;ProposalToGnatt[[#This Row],[Start Date]],R$29&lt;ProposalToGnatt[[#This Row],[Start Date]]+ProposalToGnatt[[#This Row],[Days]]),$G$5,"")),"")</f>
        <v/>
      </c>
      <c r="S40" s="37" t="str">
        <f ca="1">IFERROR(+IF(S$29=ProposalToGnatt[[#This Row],[Start Date]],Milestone_Marker,IF(AND(S$29&gt;ProposalToGnatt[[#This Row],[Start Date]],S$29&lt;ProposalToGnatt[[#This Row],[Start Date]]+ProposalToGnatt[[#This Row],[Days]]),$G$5,"")),"")</f>
        <v/>
      </c>
      <c r="T40" s="37" t="str">
        <f ca="1">IFERROR(+IF(T$29=ProposalToGnatt[[#This Row],[Start Date]],Milestone_Marker,IF(AND(T$29&gt;ProposalToGnatt[[#This Row],[Start Date]],T$29&lt;ProposalToGnatt[[#This Row],[Start Date]]+ProposalToGnatt[[#This Row],[Days]]),$G$5,"")),"")</f>
        <v/>
      </c>
      <c r="U40" s="37" t="str">
        <f ca="1">IFERROR(+IF(U$29=ProposalToGnatt[[#This Row],[Start Date]],Milestone_Marker,IF(AND(U$29&gt;ProposalToGnatt[[#This Row],[Start Date]],U$29&lt;ProposalToGnatt[[#This Row],[Start Date]]+ProposalToGnatt[[#This Row],[Days]]),$G$5,"")),"")</f>
        <v/>
      </c>
      <c r="V40" s="37" t="str">
        <f ca="1">IFERROR(+IF(V$29=ProposalToGnatt[[#This Row],[Start Date]],Milestone_Marker,IF(AND(V$29&gt;ProposalToGnatt[[#This Row],[Start Date]],V$29&lt;ProposalToGnatt[[#This Row],[Start Date]]+ProposalToGnatt[[#This Row],[Days]]),$G$5,"")),"")</f>
        <v/>
      </c>
      <c r="W40" s="37">
        <f ca="1">IFERROR(+IF(W$29=ProposalToGnatt[[#This Row],[Start Date]],Milestone_Marker,IF(AND(W$29&gt;ProposalToGnatt[[#This Row],[Start Date]],W$29&lt;ProposalToGnatt[[#This Row],[Start Date]]+ProposalToGnatt[[#This Row],[Days]]),$G$5,"")),"")</f>
        <v>1</v>
      </c>
      <c r="X40" s="37" t="str">
        <f ca="1">IFERROR(+IF(X$29=ProposalToGnatt[[#This Row],[Start Date]],Milestone_Marker,IF(AND(X$29&gt;ProposalToGnatt[[#This Row],[Start Date]],X$29&lt;ProposalToGnatt[[#This Row],[Start Date]]+ProposalToGnatt[[#This Row],[Days]]),$G$5,"")),"")</f>
        <v/>
      </c>
      <c r="Y40" s="37" t="str">
        <f ca="1">IFERROR(+IF(Y$29=ProposalToGnatt[[#This Row],[Start Date]],Milestone_Marker,IF(AND(Y$29&gt;ProposalToGnatt[[#This Row],[Start Date]],Y$29&lt;ProposalToGnatt[[#This Row],[Start Date]]+ProposalToGnatt[[#This Row],[Days]]),$G$5,"")),"")</f>
        <v/>
      </c>
      <c r="Z40" s="37" t="str">
        <f ca="1">IFERROR(+IF(Z$29=ProposalToGnatt[[#This Row],[Start Date]],Milestone_Marker,IF(AND(Z$29&gt;ProposalToGnatt[[#This Row],[Start Date]],Z$29&lt;ProposalToGnatt[[#This Row],[Start Date]]+ProposalToGnatt[[#This Row],[Days]]),$G$5,"")),"")</f>
        <v/>
      </c>
      <c r="AA40" s="37" t="str">
        <f ca="1">IFERROR(+IF(AA$29=ProposalToGnatt[[#This Row],[Start Date]],Milestone_Marker,IF(AND(AA$29&gt;ProposalToGnatt[[#This Row],[Start Date]],AA$29&lt;ProposalToGnatt[[#This Row],[Start Date]]+ProposalToGnatt[[#This Row],[Days]]),$G$5,"")),"")</f>
        <v/>
      </c>
      <c r="AB40" s="37" t="str">
        <f ca="1">IFERROR(+IF(AB$29=ProposalToGnatt[[#This Row],[Start Date]],Milestone_Marker,IF(AND(AB$29&gt;ProposalToGnatt[[#This Row],[Start Date]],AB$29&lt;ProposalToGnatt[[#This Row],[Start Date]]+ProposalToGnatt[[#This Row],[Days]]),$G$5,"")),"")</f>
        <v/>
      </c>
      <c r="AC40" s="37" t="str">
        <f ca="1">IFERROR(+IF(AC$29=ProposalToGnatt[[#This Row],[Start Date]],Milestone_Marker,IF(AND(AC$29&gt;ProposalToGnatt[[#This Row],[Start Date]],AC$29&lt;ProposalToGnatt[[#This Row],[Start Date]]+ProposalToGnatt[[#This Row],[Days]]),$G$5,"")),"")</f>
        <v/>
      </c>
      <c r="AD40" s="37" t="str">
        <f ca="1">IFERROR(+IF(AD$29=ProposalToGnatt[[#This Row],[Start Date]],Milestone_Marker,IF(AND(AD$29&gt;ProposalToGnatt[[#This Row],[Start Date]],AD$29&lt;ProposalToGnatt[[#This Row],[Start Date]]+ProposalToGnatt[[#This Row],[Days]]),$G$5,"")),"")</f>
        <v/>
      </c>
      <c r="AE40" s="37" t="str">
        <f ca="1">IFERROR(+IF(AE$29=ProposalToGnatt[[#This Row],[Start Date]],Milestone_Marker,IF(AND(AE$29&gt;ProposalToGnatt[[#This Row],[Start Date]],AE$29&lt;ProposalToGnatt[[#This Row],[Start Date]]+ProposalToGnatt[[#This Row],[Days]]),$G$5,"")),"")</f>
        <v/>
      </c>
      <c r="AF40" s="37" t="str">
        <f ca="1">IFERROR(+IF(AF$29=ProposalToGnatt[[#This Row],[Start Date]],Milestone_Marker,IF(AND(AF$29&gt;ProposalToGnatt[[#This Row],[Start Date]],AF$29&lt;ProposalToGnatt[[#This Row],[Start Date]]+ProposalToGnatt[[#This Row],[Days]]),$G$5,"")),"")</f>
        <v/>
      </c>
      <c r="AG40" s="37" t="str">
        <f ca="1">IFERROR(+IF(AG$29=ProposalToGnatt[[#This Row],[Start Date]],Milestone_Marker,IF(AND(AG$29&gt;ProposalToGnatt[[#This Row],[Start Date]],AG$29&lt;ProposalToGnatt[[#This Row],[Start Date]]+ProposalToGnatt[[#This Row],[Days]]),$G$5,"")),"")</f>
        <v/>
      </c>
      <c r="AH40" s="37" t="str">
        <f ca="1">IFERROR(+IF(AH$29=ProposalToGnatt[[#This Row],[Start Date]],Milestone_Marker,IF(AND(AH$29&gt;ProposalToGnatt[[#This Row],[Start Date]],AH$29&lt;ProposalToGnatt[[#This Row],[Start Date]]+ProposalToGnatt[[#This Row],[Days]]),$G$5,"")),"")</f>
        <v/>
      </c>
      <c r="AI40" s="37" t="str">
        <f ca="1">IFERROR(+IF(AI$29=ProposalToGnatt[[#This Row],[Start Date]],Milestone_Marker,IF(AND(AI$29&gt;ProposalToGnatt[[#This Row],[Start Date]],AI$29&lt;ProposalToGnatt[[#This Row],[Start Date]]+ProposalToGnatt[[#This Row],[Days]]),$G$5,"")),"")</f>
        <v/>
      </c>
      <c r="AJ40" s="37" t="str">
        <f ca="1">IFERROR(+IF(AJ$29=ProposalToGnatt[[#This Row],[Start Date]],Milestone_Marker,IF(AND(AJ$29&gt;ProposalToGnatt[[#This Row],[Start Date]],AJ$29&lt;ProposalToGnatt[[#This Row],[Start Date]]+ProposalToGnatt[[#This Row],[Days]]),$G$5,"")),"")</f>
        <v/>
      </c>
      <c r="AK40" s="37" t="str">
        <f ca="1">IFERROR(+IF(AK$29=ProposalToGnatt[[#This Row],[Start Date]],Milestone_Marker,IF(AND(AK$29&gt;ProposalToGnatt[[#This Row],[Start Date]],AK$29&lt;ProposalToGnatt[[#This Row],[Start Date]]+ProposalToGnatt[[#This Row],[Days]]),$G$5,"")),"")</f>
        <v/>
      </c>
      <c r="AL40" s="37" t="str">
        <f ca="1">IFERROR(+IF(AL$29=ProposalToGnatt[[#This Row],[Start Date]],Milestone_Marker,IF(AND(AL$29&gt;ProposalToGnatt[[#This Row],[Start Date]],AL$29&lt;ProposalToGnatt[[#This Row],[Start Date]]+ProposalToGnatt[[#This Row],[Days]]),$G$5,"")),"")</f>
        <v/>
      </c>
      <c r="AM40" s="37" t="str">
        <f ca="1">IFERROR(+IF(AM$29=ProposalToGnatt[[#This Row],[Start Date]],Milestone_Marker,IF(AND(AM$29&gt;ProposalToGnatt[[#This Row],[Start Date]],AM$29&lt;ProposalToGnatt[[#This Row],[Start Date]]+ProposalToGnatt[[#This Row],[Days]]),$G$5,"")),"")</f>
        <v/>
      </c>
      <c r="AN40" s="37" t="str">
        <f ca="1">IFERROR(+IF(AN$29=ProposalToGnatt[[#This Row],[Start Date]],Milestone_Marker,IF(AND(AN$29&gt;ProposalToGnatt[[#This Row],[Start Date]],AN$29&lt;ProposalToGnatt[[#This Row],[Start Date]]+ProposalToGnatt[[#This Row],[Days]]),$G$5,"")),"")</f>
        <v/>
      </c>
      <c r="AO40" s="37" t="str">
        <f ca="1">IFERROR(+IF(AO$29=ProposalToGnatt[[#This Row],[Start Date]],Milestone_Marker,IF(AND(AO$29&gt;ProposalToGnatt[[#This Row],[Start Date]],AO$29&lt;ProposalToGnatt[[#This Row],[Start Date]]+ProposalToGnatt[[#This Row],[Days]]),$G$5,"")),"")</f>
        <v/>
      </c>
      <c r="AP40" s="37" t="str">
        <f ca="1">IFERROR(+IF(AP$29=ProposalToGnatt[[#This Row],[Start Date]],Milestone_Marker,IF(AND(AP$29&gt;ProposalToGnatt[[#This Row],[Start Date]],AP$29&lt;ProposalToGnatt[[#This Row],[Start Date]]+ProposalToGnatt[[#This Row],[Days]]),$G$5,"")),"")</f>
        <v/>
      </c>
      <c r="AQ40" s="37" t="str">
        <f ca="1">IFERROR(+IF(AQ$29=ProposalToGnatt[[#This Row],[Start Date]],Milestone_Marker,IF(AND(AQ$29&gt;ProposalToGnatt[[#This Row],[Start Date]],AQ$29&lt;ProposalToGnatt[[#This Row],[Start Date]]+ProposalToGnatt[[#This Row],[Days]]),$G$5,"")),"")</f>
        <v/>
      </c>
      <c r="AR40" s="37" t="str">
        <f ca="1">IFERROR(+IF(AR$29=ProposalToGnatt[[#This Row],[Start Date]],Milestone_Marker,IF(AND(AR$29&gt;ProposalToGnatt[[#This Row],[Start Date]],AR$29&lt;ProposalToGnatt[[#This Row],[Start Date]]+ProposalToGnatt[[#This Row],[Days]]),$G$5,"")),"")</f>
        <v/>
      </c>
      <c r="AS40" s="37" t="str">
        <f ca="1">IFERROR(+IF(AS$29=ProposalToGnatt[[#This Row],[Start Date]],Milestone_Marker,IF(AND(AS$29&gt;ProposalToGnatt[[#This Row],[Start Date]],AS$29&lt;ProposalToGnatt[[#This Row],[Start Date]]+ProposalToGnatt[[#This Row],[Days]]),$G$5,"")),"")</f>
        <v/>
      </c>
      <c r="AT40" s="37" t="str">
        <f ca="1">IFERROR(+IF(AT$29=ProposalToGnatt[[#This Row],[Start Date]],Milestone_Marker,IF(AND(AT$29&gt;ProposalToGnatt[[#This Row],[Start Date]],AT$29&lt;ProposalToGnatt[[#This Row],[Start Date]]+ProposalToGnatt[[#This Row],[Days]]),$G$5,"")),"")</f>
        <v/>
      </c>
      <c r="AU40" s="37" t="str">
        <f ca="1">IFERROR(+IF(AU$29=ProposalToGnatt[[#This Row],[Start Date]],Milestone_Marker,IF(AND(AU$29&gt;ProposalToGnatt[[#This Row],[Start Date]],AU$29&lt;ProposalToGnatt[[#This Row],[Start Date]]+ProposalToGnatt[[#This Row],[Days]]),$G$5,"")),"")</f>
        <v/>
      </c>
      <c r="AV40" s="37" t="str">
        <f ca="1">IFERROR(+IF(AV$29=ProposalToGnatt[[#This Row],[Start Date]],Milestone_Marker,IF(AND(AV$29&gt;ProposalToGnatt[[#This Row],[Start Date]],AV$29&lt;ProposalToGnatt[[#This Row],[Start Date]]+ProposalToGnatt[[#This Row],[Days]]),$G$5,"")),"")</f>
        <v/>
      </c>
      <c r="AW40" s="37" t="str">
        <f ca="1">IFERROR(+IF(AW$29=ProposalToGnatt[[#This Row],[Start Date]],Milestone_Marker,IF(AND(AW$29&gt;ProposalToGnatt[[#This Row],[Start Date]],AW$29&lt;ProposalToGnatt[[#This Row],[Start Date]]+ProposalToGnatt[[#This Row],[Days]]),$G$5,"")),"")</f>
        <v/>
      </c>
      <c r="AX40" s="37" t="str">
        <f ca="1">IFERROR(+IF(AX$29=ProposalToGnatt[[#This Row],[Start Date]],Milestone_Marker,IF(AND(AX$29&gt;ProposalToGnatt[[#This Row],[Start Date]],AX$29&lt;ProposalToGnatt[[#This Row],[Start Date]]+ProposalToGnatt[[#This Row],[Days]]),$G$5,"")),"")</f>
        <v/>
      </c>
      <c r="AY40" s="37" t="str">
        <f ca="1">IFERROR(+IF(AY$29=ProposalToGnatt[[#This Row],[Start Date]],Milestone_Marker,IF(AND(AY$29&gt;ProposalToGnatt[[#This Row],[Start Date]],AY$29&lt;ProposalToGnatt[[#This Row],[Start Date]]+ProposalToGnatt[[#This Row],[Days]]),$G$5,"")),"")</f>
        <v/>
      </c>
      <c r="AZ40" s="37" t="str">
        <f ca="1">IFERROR(+IF(AZ$29=ProposalToGnatt[[#This Row],[Start Date]],Milestone_Marker,IF(AND(AZ$29&gt;ProposalToGnatt[[#This Row],[Start Date]],AZ$29&lt;ProposalToGnatt[[#This Row],[Start Date]]+ProposalToGnatt[[#This Row],[Days]]),$G$5,"")),"")</f>
        <v/>
      </c>
      <c r="BA40" s="37" t="str">
        <f ca="1">IFERROR(+IF(BA$29=ProposalToGnatt[[#This Row],[Start Date]],Milestone_Marker,IF(AND(BA$29&gt;ProposalToGnatt[[#This Row],[Start Date]],BA$29&lt;ProposalToGnatt[[#This Row],[Start Date]]+ProposalToGnatt[[#This Row],[Days]]),$G$5,"")),"")</f>
        <v/>
      </c>
      <c r="BB40" s="37" t="str">
        <f ca="1">IFERROR(+IF(BB$29=ProposalToGnatt[[#This Row],[Start Date]],Milestone_Marker,IF(AND(BB$29&gt;ProposalToGnatt[[#This Row],[Start Date]],BB$29&lt;ProposalToGnatt[[#This Row],[Start Date]]+ProposalToGnatt[[#This Row],[Days]]),$G$5,"")),"")</f>
        <v/>
      </c>
      <c r="BC40" s="37" t="str">
        <f ca="1">IFERROR(+IF(BC$29=ProposalToGnatt[[#This Row],[Start Date]],Milestone_Marker,IF(AND(BC$29&gt;ProposalToGnatt[[#This Row],[Start Date]],BC$29&lt;ProposalToGnatt[[#This Row],[Start Date]]+ProposalToGnatt[[#This Row],[Days]]),$G$5,"")),"")</f>
        <v/>
      </c>
      <c r="BD40" s="37" t="str">
        <f ca="1">IFERROR(+IF(BD$29=ProposalToGnatt[[#This Row],[Start Date]],Milestone_Marker,IF(AND(BD$29&gt;ProposalToGnatt[[#This Row],[Start Date]],BD$29&lt;ProposalToGnatt[[#This Row],[Start Date]]+ProposalToGnatt[[#This Row],[Days]]),$G$5,"")),"")</f>
        <v/>
      </c>
      <c r="BE40" s="37" t="str">
        <f ca="1">IFERROR(+IF(BE$29=ProposalToGnatt[[#This Row],[Start Date]],Milestone_Marker,IF(AND(BE$29&gt;ProposalToGnatt[[#This Row],[Start Date]],BE$29&lt;ProposalToGnatt[[#This Row],[Start Date]]+ProposalToGnatt[[#This Row],[Days]]),$G$5,"")),"")</f>
        <v/>
      </c>
      <c r="BF40" s="37" t="str">
        <f ca="1">IFERROR(+IF(BF$29=ProposalToGnatt[[#This Row],[Start Date]],Milestone_Marker,IF(AND(BF$29&gt;ProposalToGnatt[[#This Row],[Start Date]],BF$29&lt;ProposalToGnatt[[#This Row],[Start Date]]+ProposalToGnatt[[#This Row],[Days]]),$G$5,"")),"")</f>
        <v/>
      </c>
      <c r="BG40" s="37" t="str">
        <f ca="1">IFERROR(+IF(BG$29=ProposalToGnatt[[#This Row],[Start Date]],Milestone_Marker,IF(AND(BG$29&gt;ProposalToGnatt[[#This Row],[Start Date]],BG$29&lt;ProposalToGnatt[[#This Row],[Start Date]]+ProposalToGnatt[[#This Row],[Days]]),$G$5,"")),"")</f>
        <v/>
      </c>
      <c r="BH40" s="37" t="str">
        <f ca="1">IFERROR(+IF(BH$29=ProposalToGnatt[[#This Row],[Start Date]],Milestone_Marker,IF(AND(BH$29&gt;ProposalToGnatt[[#This Row],[Start Date]],BH$29&lt;ProposalToGnatt[[#This Row],[Start Date]]+ProposalToGnatt[[#This Row],[Days]]),$G$5,"")),"")</f>
        <v/>
      </c>
      <c r="BI40" s="37" t="str">
        <f ca="1">IFERROR(+IF(BI$29=ProposalToGnatt[[#This Row],[Start Date]],Milestone_Marker,IF(AND(BI$29&gt;ProposalToGnatt[[#This Row],[Start Date]],BI$29&lt;ProposalToGnatt[[#This Row],[Start Date]]+ProposalToGnatt[[#This Row],[Days]]),$G$5,"")),"")</f>
        <v/>
      </c>
      <c r="BJ40" s="37" t="str">
        <f ca="1">IFERROR(+IF(BJ$29=ProposalToGnatt[[#This Row],[Start Date]],Milestone_Marker,IF(AND(BJ$29&gt;ProposalToGnatt[[#This Row],[Start Date]],BJ$29&lt;ProposalToGnatt[[#This Row],[Start Date]]+ProposalToGnatt[[#This Row],[Days]]),$G$5,"")),"")</f>
        <v/>
      </c>
      <c r="BK40" s="37" t="str">
        <f ca="1">IFERROR(+IF(BK$29=ProposalToGnatt[[#This Row],[Start Date]],Milestone_Marker,IF(AND(BK$29&gt;ProposalToGnatt[[#This Row],[Start Date]],BK$29&lt;ProposalToGnatt[[#This Row],[Start Date]]+ProposalToGnatt[[#This Row],[Days]]),$G$5,"")),"")</f>
        <v/>
      </c>
      <c r="BL40" s="37" t="str">
        <f ca="1">IFERROR(+IF(BL$29=ProposalToGnatt[[#This Row],[Start Date]],Milestone_Marker,IF(AND(BL$29&gt;ProposalToGnatt[[#This Row],[Start Date]],BL$29&lt;ProposalToGnatt[[#This Row],[Start Date]]+ProposalToGnatt[[#This Row],[Days]]),$G$5,"")),"")</f>
        <v/>
      </c>
      <c r="BM40" s="37" t="str">
        <f ca="1">IFERROR(+IF(BM$29=ProposalToGnatt[[#This Row],[Start Date]],Milestone_Marker,IF(AND(BM$29&gt;ProposalToGnatt[[#This Row],[Start Date]],BM$29&lt;ProposalToGnatt[[#This Row],[Start Date]]+ProposalToGnatt[[#This Row],[Days]]),$G$5,"")),"")</f>
        <v/>
      </c>
      <c r="BN40" s="37" t="str">
        <f ca="1">IFERROR(+IF(BN$29=ProposalToGnatt[[#This Row],[Start Date]],Milestone_Marker,IF(AND(BN$29&gt;ProposalToGnatt[[#This Row],[Start Date]],BN$29&lt;ProposalToGnatt[[#This Row],[Start Date]]+ProposalToGnatt[[#This Row],[Days]]),$G$5,"")),"")</f>
        <v/>
      </c>
      <c r="BO40" s="37" t="str">
        <f ca="1">IFERROR(+IF(BO$29=ProposalToGnatt[[#This Row],[Start Date]],Milestone_Marker,IF(AND(BO$29&gt;ProposalToGnatt[[#This Row],[Start Date]],BO$29&lt;ProposalToGnatt[[#This Row],[Start Date]]+ProposalToGnatt[[#This Row],[Days]]),$G$5,"")),"")</f>
        <v/>
      </c>
      <c r="BP40" s="37" t="str">
        <f ca="1">IFERROR(+IF(BP$29=ProposalToGnatt[[#This Row],[Start Date]],Milestone_Marker,IF(AND(BP$29&gt;ProposalToGnatt[[#This Row],[Start Date]],BP$29&lt;ProposalToGnatt[[#This Row],[Start Date]]+ProposalToGnatt[[#This Row],[Days]]),$G$5,"")),"")</f>
        <v/>
      </c>
      <c r="BQ40" s="37" t="str">
        <f ca="1">IFERROR(+IF(BQ$29=ProposalToGnatt[[#This Row],[Start Date]],Milestone_Marker,IF(AND(BQ$29&gt;ProposalToGnatt[[#This Row],[Start Date]],BQ$29&lt;ProposalToGnatt[[#This Row],[Start Date]]+ProposalToGnatt[[#This Row],[Days]]),$G$5,"")),"")</f>
        <v/>
      </c>
      <c r="BR40" s="37" t="str">
        <f ca="1">IFERROR(+IF(BR$29=ProposalToGnatt[[#This Row],[Start Date]],Milestone_Marker,IF(AND(BR$29&gt;ProposalToGnatt[[#This Row],[Start Date]],BR$29&lt;ProposalToGnatt[[#This Row],[Start Date]]+ProposalToGnatt[[#This Row],[Days]]),$G$5,"")),"")</f>
        <v/>
      </c>
      <c r="BS40" s="37" t="str">
        <f ca="1">IFERROR(+IF(BS$29=ProposalToGnatt[[#This Row],[Start Date]],Milestone_Marker,IF(AND(BS$29&gt;ProposalToGnatt[[#This Row],[Start Date]],BS$29&lt;ProposalToGnatt[[#This Row],[Start Date]]+ProposalToGnatt[[#This Row],[Days]]),$G$5,"")),"")</f>
        <v/>
      </c>
      <c r="BT40" s="37" t="str">
        <f ca="1">IFERROR(+IF(BT$29=ProposalToGnatt[[#This Row],[Start Date]],Milestone_Marker,IF(AND(BT$29&gt;ProposalToGnatt[[#This Row],[Start Date]],BT$29&lt;ProposalToGnatt[[#This Row],[Start Date]]+ProposalToGnatt[[#This Row],[Days]]),$G$5,"")),"")</f>
        <v/>
      </c>
      <c r="BU40" s="37" t="str">
        <f ca="1">IFERROR(+IF(BU$29=ProposalToGnatt[[#This Row],[Start Date]],Milestone_Marker,IF(AND(BU$29&gt;ProposalToGnatt[[#This Row],[Start Date]],BU$29&lt;ProposalToGnatt[[#This Row],[Start Date]]+ProposalToGnatt[[#This Row],[Days]]),$G$5,"")),"")</f>
        <v/>
      </c>
      <c r="BV40" s="37" t="str">
        <f ca="1">IFERROR(+IF(BV$29=ProposalToGnatt[[#This Row],[Start Date]],Milestone_Marker,IF(AND(BV$29&gt;ProposalToGnatt[[#This Row],[Start Date]],BV$29&lt;ProposalToGnatt[[#This Row],[Start Date]]+ProposalToGnatt[[#This Row],[Days]]),$G$5,"")),"")</f>
        <v/>
      </c>
      <c r="BW40" s="37" t="str">
        <f ca="1">IFERROR(+IF(BW$29=ProposalToGnatt[[#This Row],[Start Date]],Milestone_Marker,IF(AND(BW$29&gt;ProposalToGnatt[[#This Row],[Start Date]],BW$29&lt;ProposalToGnatt[[#This Row],[Start Date]]+ProposalToGnatt[[#This Row],[Days]]),$G$5,"")),"")</f>
        <v/>
      </c>
      <c r="BX40" s="37" t="str">
        <f ca="1">IFERROR(+IF(BX$29=ProposalToGnatt[[#This Row],[Start Date]],Milestone_Marker,IF(AND(BX$29&gt;ProposalToGnatt[[#This Row],[Start Date]],BX$29&lt;ProposalToGnatt[[#This Row],[Start Date]]+ProposalToGnatt[[#This Row],[Days]]),$G$5,"")),"")</f>
        <v/>
      </c>
      <c r="BY40" s="37" t="str">
        <f ca="1">IFERROR(+IF(BY$29=ProposalToGnatt[[#This Row],[Start Date]],Milestone_Marker,IF(AND(BY$29&gt;ProposalToGnatt[[#This Row],[Start Date]],BY$29&lt;ProposalToGnatt[[#This Row],[Start Date]]+ProposalToGnatt[[#This Row],[Days]]),$G$5,"")),"")</f>
        <v/>
      </c>
      <c r="BZ40" s="37" t="str">
        <f ca="1">IFERROR(+IF(BZ$29=ProposalToGnatt[[#This Row],[Start Date]],Milestone_Marker,IF(AND(BZ$29&gt;ProposalToGnatt[[#This Row],[Start Date]],BZ$29&lt;ProposalToGnatt[[#This Row],[Start Date]]+ProposalToGnatt[[#This Row],[Days]]),$G$5,"")),"")</f>
        <v/>
      </c>
      <c r="CA40" s="37" t="str">
        <f ca="1">IFERROR(+IF(CA$29=ProposalToGnatt[[#This Row],[Start Date]],Milestone_Marker,IF(AND(CA$29&gt;ProposalToGnatt[[#This Row],[Start Date]],CA$29&lt;ProposalToGnatt[[#This Row],[Start Date]]+ProposalToGnatt[[#This Row],[Days]]),$G$5,"")),"")</f>
        <v/>
      </c>
      <c r="CB40" s="37" t="str">
        <f ca="1">IFERROR(+IF(CB$29=ProposalToGnatt[[#This Row],[Start Date]],Milestone_Marker,IF(AND(CB$29&gt;ProposalToGnatt[[#This Row],[Start Date]],CB$29&lt;ProposalToGnatt[[#This Row],[Start Date]]+ProposalToGnatt[[#This Row],[Days]]),$G$5,"")),"")</f>
        <v/>
      </c>
      <c r="CC40" s="37" t="str">
        <f ca="1">IFERROR(+IF(CC$29=ProposalToGnatt[[#This Row],[Start Date]],Milestone_Marker,IF(AND(CC$29&gt;ProposalToGnatt[[#This Row],[Start Date]],CC$29&lt;ProposalToGnatt[[#This Row],[Start Date]]+ProposalToGnatt[[#This Row],[Days]]),$G$5,"")),"")</f>
        <v/>
      </c>
      <c r="CD40" s="37" t="str">
        <f ca="1">IFERROR(+IF(CD$29=ProposalToGnatt[[#This Row],[Start Date]],Milestone_Marker,IF(AND(CD$29&gt;ProposalToGnatt[[#This Row],[Start Date]],CD$29&lt;ProposalToGnatt[[#This Row],[Start Date]]+ProposalToGnatt[[#This Row],[Days]]),$G$5,"")),"")</f>
        <v/>
      </c>
      <c r="CE40" s="37" t="str">
        <f ca="1">IFERROR(+IF(CE$29=ProposalToGnatt[[#This Row],[Start Date]],Milestone_Marker,IF(AND(CE$29&gt;ProposalToGnatt[[#This Row],[Start Date]],CE$29&lt;ProposalToGnatt[[#This Row],[Start Date]]+ProposalToGnatt[[#This Row],[Days]]),$G$5,"")),"")</f>
        <v/>
      </c>
      <c r="CF40" s="37" t="str">
        <f ca="1">IFERROR(+IF(CF$29=ProposalToGnatt[[#This Row],[Start Date]],Milestone_Marker,IF(AND(CF$29&gt;ProposalToGnatt[[#This Row],[Start Date]],CF$29&lt;ProposalToGnatt[[#This Row],[Start Date]]+ProposalToGnatt[[#This Row],[Days]]),$G$5,"")),"")</f>
        <v/>
      </c>
      <c r="CG40" s="37" t="str">
        <f ca="1">IFERROR(+IF(CG$29=ProposalToGnatt[[#This Row],[Start Date]],Milestone_Marker,IF(AND(CG$29&gt;ProposalToGnatt[[#This Row],[Start Date]],CG$29&lt;ProposalToGnatt[[#This Row],[Start Date]]+ProposalToGnatt[[#This Row],[Days]]),$G$5,"")),"")</f>
        <v/>
      </c>
      <c r="CH40" s="37" t="str">
        <f ca="1">IFERROR(+IF(CH$29=ProposalToGnatt[[#This Row],[Start Date]],Milestone_Marker,IF(AND(CH$29&gt;ProposalToGnatt[[#This Row],[Start Date]],CH$29&lt;ProposalToGnatt[[#This Row],[Start Date]]+ProposalToGnatt[[#This Row],[Days]]),$G$5,"")),"")</f>
        <v/>
      </c>
      <c r="CI40" s="37" t="str">
        <f ca="1">IFERROR(+IF(CI$29=ProposalToGnatt[[#This Row],[Start Date]],Milestone_Marker,IF(AND(CI$29&gt;ProposalToGnatt[[#This Row],[Start Date]],CI$29&lt;ProposalToGnatt[[#This Row],[Start Date]]+ProposalToGnatt[[#This Row],[Days]]),$G$5,"")),"")</f>
        <v/>
      </c>
      <c r="CJ40" s="37" t="str">
        <f ca="1">IFERROR(+IF(CJ$29=ProposalToGnatt[[#This Row],[Start Date]],Milestone_Marker,IF(AND(CJ$29&gt;ProposalToGnatt[[#This Row],[Start Date]],CJ$29&lt;ProposalToGnatt[[#This Row],[Start Date]]+ProposalToGnatt[[#This Row],[Days]]),$G$5,"")),"")</f>
        <v/>
      </c>
      <c r="CK40" s="37" t="str">
        <f ca="1">IFERROR(+IF(CK$29=ProposalToGnatt[[#This Row],[Start Date]],Milestone_Marker,IF(AND(CK$29&gt;ProposalToGnatt[[#This Row],[Start Date]],CK$29&lt;ProposalToGnatt[[#This Row],[Start Date]]+ProposalToGnatt[[#This Row],[Days]]),$G$5,"")),"")</f>
        <v/>
      </c>
      <c r="CL40" s="37" t="str">
        <f ca="1">IFERROR(+IF(CL$29=ProposalToGnatt[[#This Row],[Start Date]],Milestone_Marker,IF(AND(CL$29&gt;ProposalToGnatt[[#This Row],[Start Date]],CL$29&lt;ProposalToGnatt[[#This Row],[Start Date]]+ProposalToGnatt[[#This Row],[Days]]),$G$5,"")),"")</f>
        <v/>
      </c>
      <c r="CM40" s="37" t="str">
        <f ca="1">IFERROR(+IF(CM$29=ProposalToGnatt[[#This Row],[Start Date]],Milestone_Marker,IF(AND(CM$29&gt;ProposalToGnatt[[#This Row],[Start Date]],CM$29&lt;ProposalToGnatt[[#This Row],[Start Date]]+ProposalToGnatt[[#This Row],[Days]]),$G$5,"")),"")</f>
        <v/>
      </c>
      <c r="CN40" s="37" t="str">
        <f ca="1">IFERROR(+IF(CN$29=ProposalToGnatt[[#This Row],[Start Date]],Milestone_Marker,IF(AND(CN$29&gt;ProposalToGnatt[[#This Row],[Start Date]],CN$29&lt;ProposalToGnatt[[#This Row],[Start Date]]+ProposalToGnatt[[#This Row],[Days]]),$G$5,"")),"")</f>
        <v/>
      </c>
      <c r="CO40" s="37" t="str">
        <f ca="1">IFERROR(+IF(CO$29=ProposalToGnatt[[#This Row],[Start Date]],Milestone_Marker,IF(AND(CO$29&gt;ProposalToGnatt[[#This Row],[Start Date]],CO$29&lt;ProposalToGnatt[[#This Row],[Start Date]]+ProposalToGnatt[[#This Row],[Days]]),$G$5,"")),"")</f>
        <v/>
      </c>
      <c r="CP40" s="37" t="str">
        <f ca="1">IFERROR(+IF(CP$29=ProposalToGnatt[[#This Row],[Start Date]],Milestone_Marker,IF(AND(CP$29&gt;ProposalToGnatt[[#This Row],[Start Date]],CP$29&lt;ProposalToGnatt[[#This Row],[Start Date]]+ProposalToGnatt[[#This Row],[Days]]),$G$5,"")),"")</f>
        <v/>
      </c>
      <c r="CQ40" s="37" t="str">
        <f ca="1">IFERROR(+IF(CQ$29=ProposalToGnatt[[#This Row],[Start Date]],Milestone_Marker,IF(AND(CQ$29&gt;ProposalToGnatt[[#This Row],[Start Date]],CQ$29&lt;ProposalToGnatt[[#This Row],[Start Date]]+ProposalToGnatt[[#This Row],[Days]]),$G$5,"")),"")</f>
        <v/>
      </c>
      <c r="CR40" s="37" t="str">
        <f ca="1">IFERROR(+IF(CR$29=ProposalToGnatt[[#This Row],[Start Date]],Milestone_Marker,IF(AND(CR$29&gt;ProposalToGnatt[[#This Row],[Start Date]],CR$29&lt;ProposalToGnatt[[#This Row],[Start Date]]+ProposalToGnatt[[#This Row],[Days]]),$G$5,"")),"")</f>
        <v/>
      </c>
      <c r="CS40" s="37" t="str">
        <f ca="1">IFERROR(+IF(CS$29=ProposalToGnatt[[#This Row],[Start Date]],Milestone_Marker,IF(AND(CS$29&gt;ProposalToGnatt[[#This Row],[Start Date]],CS$29&lt;ProposalToGnatt[[#This Row],[Start Date]]+ProposalToGnatt[[#This Row],[Days]]),$G$5,"")),"")</f>
        <v/>
      </c>
      <c r="CT40" s="37" t="str">
        <f ca="1">IFERROR(+IF(CT$29=ProposalToGnatt[[#This Row],[Start Date]],Milestone_Marker,IF(AND(CT$29&gt;ProposalToGnatt[[#This Row],[Start Date]],CT$29&lt;ProposalToGnatt[[#This Row],[Start Date]]+ProposalToGnatt[[#This Row],[Days]]),$G$5,"")),"")</f>
        <v/>
      </c>
      <c r="CU40" s="37" t="str">
        <f ca="1">IFERROR(+IF(CU$29=ProposalToGnatt[[#This Row],[Start Date]],Milestone_Marker,IF(AND(CU$29&gt;ProposalToGnatt[[#This Row],[Start Date]],CU$29&lt;ProposalToGnatt[[#This Row],[Start Date]]+ProposalToGnatt[[#This Row],[Days]]),$G$5,"")),"")</f>
        <v/>
      </c>
      <c r="CV40" s="37"/>
      <c r="CW40" s="37"/>
      <c r="CX40" s="37"/>
      <c r="CY40" s="37"/>
      <c r="CZ40" s="37"/>
      <c r="DA40" s="37"/>
      <c r="DB40" s="37"/>
      <c r="DC40" s="37"/>
      <c r="DD40" s="37"/>
      <c r="DE40" s="37"/>
      <c r="DF40" s="37"/>
      <c r="DG40" s="37"/>
      <c r="DH40" s="37"/>
      <c r="DI40" s="37"/>
      <c r="DJ40" s="37"/>
      <c r="DK40" s="37"/>
      <c r="DL40" s="37"/>
      <c r="DM40" s="37"/>
      <c r="DN40" s="37"/>
      <c r="DO40" s="37"/>
      <c r="DP40" s="37"/>
      <c r="DQ40" s="37"/>
      <c r="DR40" s="37"/>
      <c r="DS40" s="37"/>
      <c r="DT40" s="37"/>
      <c r="DU40" s="37"/>
    </row>
    <row r="41" spans="1:125" s="42" customFormat="1" ht="20.100000000000001" customHeight="1" x14ac:dyDescent="0.25">
      <c r="A41" t="s">
        <v>428</v>
      </c>
      <c r="B41">
        <v>18</v>
      </c>
      <c r="C41" t="s">
        <v>311</v>
      </c>
      <c r="D41" t="s">
        <v>332</v>
      </c>
      <c r="E41" t="s">
        <v>333</v>
      </c>
      <c r="F41">
        <v>1</v>
      </c>
      <c r="G41" s="14">
        <v>1200</v>
      </c>
      <c r="H41" s="14">
        <v>1200</v>
      </c>
      <c r="I41" t="s">
        <v>45</v>
      </c>
      <c r="J41">
        <v>1</v>
      </c>
      <c r="K41" s="303">
        <v>45225</v>
      </c>
      <c r="L41">
        <v>1</v>
      </c>
      <c r="M41" s="14"/>
      <c r="N41" s="352">
        <v>1200</v>
      </c>
      <c r="O41" s="340"/>
      <c r="P41" s="37" t="str">
        <f ca="1">IFERROR(+IF(P$29=ProposalToGnatt[[#This Row],[Start Date]],Milestone_Marker,IF(AND(P$29&gt;ProposalToGnatt[[#This Row],[Start Date]],P$29&lt;ProposalToGnatt[[#This Row],[Start Date]]+ProposalToGnatt[[#This Row],[Days]]),$G$5,"")),"")</f>
        <v/>
      </c>
      <c r="Q41" s="37" t="str">
        <f ca="1">IFERROR(+IF(Q$29=ProposalToGnatt[[#This Row],[Start Date]],Milestone_Marker,IF(AND(Q$29&gt;ProposalToGnatt[[#This Row],[Start Date]],Q$29&lt;ProposalToGnatt[[#This Row],[Start Date]]+ProposalToGnatt[[#This Row],[Days]]),$G$5,"")),"")</f>
        <v/>
      </c>
      <c r="R41" s="37" t="str">
        <f ca="1">IFERROR(+IF(R$29=ProposalToGnatt[[#This Row],[Start Date]],Milestone_Marker,IF(AND(R$29&gt;ProposalToGnatt[[#This Row],[Start Date]],R$29&lt;ProposalToGnatt[[#This Row],[Start Date]]+ProposalToGnatt[[#This Row],[Days]]),$G$5,"")),"")</f>
        <v/>
      </c>
      <c r="S41" s="37" t="str">
        <f ca="1">IFERROR(+IF(S$29=ProposalToGnatt[[#This Row],[Start Date]],Milestone_Marker,IF(AND(S$29&gt;ProposalToGnatt[[#This Row],[Start Date]],S$29&lt;ProposalToGnatt[[#This Row],[Start Date]]+ProposalToGnatt[[#This Row],[Days]]),$G$5,"")),"")</f>
        <v/>
      </c>
      <c r="T41" s="37" t="str">
        <f ca="1">IFERROR(+IF(T$29=ProposalToGnatt[[#This Row],[Start Date]],Milestone_Marker,IF(AND(T$29&gt;ProposalToGnatt[[#This Row],[Start Date]],T$29&lt;ProposalToGnatt[[#This Row],[Start Date]]+ProposalToGnatt[[#This Row],[Days]]),$G$5,"")),"")</f>
        <v/>
      </c>
      <c r="U41" s="37" t="str">
        <f ca="1">IFERROR(+IF(U$29=ProposalToGnatt[[#This Row],[Start Date]],Milestone_Marker,IF(AND(U$29&gt;ProposalToGnatt[[#This Row],[Start Date]],U$29&lt;ProposalToGnatt[[#This Row],[Start Date]]+ProposalToGnatt[[#This Row],[Days]]),$G$5,"")),"")</f>
        <v/>
      </c>
      <c r="V41" s="37" t="str">
        <f ca="1">IFERROR(+IF(V$29=ProposalToGnatt[[#This Row],[Start Date]],Milestone_Marker,IF(AND(V$29&gt;ProposalToGnatt[[#This Row],[Start Date]],V$29&lt;ProposalToGnatt[[#This Row],[Start Date]]+ProposalToGnatt[[#This Row],[Days]]),$G$5,"")),"")</f>
        <v/>
      </c>
      <c r="W41" s="37" t="str">
        <f ca="1">IFERROR(+IF(W$29=ProposalToGnatt[[#This Row],[Start Date]],Milestone_Marker,IF(AND(W$29&gt;ProposalToGnatt[[#This Row],[Start Date]],W$29&lt;ProposalToGnatt[[#This Row],[Start Date]]+ProposalToGnatt[[#This Row],[Days]]),$G$5,"")),"")</f>
        <v/>
      </c>
      <c r="X41" s="37" t="str">
        <f ca="1">IFERROR(+IF(X$29=ProposalToGnatt[[#This Row],[Start Date]],Milestone_Marker,IF(AND(X$29&gt;ProposalToGnatt[[#This Row],[Start Date]],X$29&lt;ProposalToGnatt[[#This Row],[Start Date]]+ProposalToGnatt[[#This Row],[Days]]),$G$5,"")),"")</f>
        <v/>
      </c>
      <c r="Y41" s="37" t="str">
        <f ca="1">IFERROR(+IF(Y$29=ProposalToGnatt[[#This Row],[Start Date]],Milestone_Marker,IF(AND(Y$29&gt;ProposalToGnatt[[#This Row],[Start Date]],Y$29&lt;ProposalToGnatt[[#This Row],[Start Date]]+ProposalToGnatt[[#This Row],[Days]]),$G$5,"")),"")</f>
        <v/>
      </c>
      <c r="Z41" s="37" t="str">
        <f ca="1">IFERROR(+IF(Z$29=ProposalToGnatt[[#This Row],[Start Date]],Milestone_Marker,IF(AND(Z$29&gt;ProposalToGnatt[[#This Row],[Start Date]],Z$29&lt;ProposalToGnatt[[#This Row],[Start Date]]+ProposalToGnatt[[#This Row],[Days]]),$G$5,"")),"")</f>
        <v/>
      </c>
      <c r="AA41" s="37" t="str">
        <f ca="1">IFERROR(+IF(AA$29=ProposalToGnatt[[#This Row],[Start Date]],Milestone_Marker,IF(AND(AA$29&gt;ProposalToGnatt[[#This Row],[Start Date]],AA$29&lt;ProposalToGnatt[[#This Row],[Start Date]]+ProposalToGnatt[[#This Row],[Days]]),$G$5,"")),"")</f>
        <v/>
      </c>
      <c r="AB41" s="37" t="str">
        <f ca="1">IFERROR(+IF(AB$29=ProposalToGnatt[[#This Row],[Start Date]],Milestone_Marker,IF(AND(AB$29&gt;ProposalToGnatt[[#This Row],[Start Date]],AB$29&lt;ProposalToGnatt[[#This Row],[Start Date]]+ProposalToGnatt[[#This Row],[Days]]),$G$5,"")),"")</f>
        <v/>
      </c>
      <c r="AC41" s="37">
        <f ca="1">IFERROR(+IF(AC$29=ProposalToGnatt[[#This Row],[Start Date]],Milestone_Marker,IF(AND(AC$29&gt;ProposalToGnatt[[#This Row],[Start Date]],AC$29&lt;ProposalToGnatt[[#This Row],[Start Date]]+ProposalToGnatt[[#This Row],[Days]]),$G$5,"")),"")</f>
        <v>1</v>
      </c>
      <c r="AD41" s="37" t="str">
        <f ca="1">IFERROR(+IF(AD$29=ProposalToGnatt[[#This Row],[Start Date]],Milestone_Marker,IF(AND(AD$29&gt;ProposalToGnatt[[#This Row],[Start Date]],AD$29&lt;ProposalToGnatt[[#This Row],[Start Date]]+ProposalToGnatt[[#This Row],[Days]]),$G$5,"")),"")</f>
        <v/>
      </c>
      <c r="AE41" s="37" t="str">
        <f ca="1">IFERROR(+IF(AE$29=ProposalToGnatt[[#This Row],[Start Date]],Milestone_Marker,IF(AND(AE$29&gt;ProposalToGnatt[[#This Row],[Start Date]],AE$29&lt;ProposalToGnatt[[#This Row],[Start Date]]+ProposalToGnatt[[#This Row],[Days]]),$G$5,"")),"")</f>
        <v/>
      </c>
      <c r="AF41" s="37" t="str">
        <f ca="1">IFERROR(+IF(AF$29=ProposalToGnatt[[#This Row],[Start Date]],Milestone_Marker,IF(AND(AF$29&gt;ProposalToGnatt[[#This Row],[Start Date]],AF$29&lt;ProposalToGnatt[[#This Row],[Start Date]]+ProposalToGnatt[[#This Row],[Days]]),$G$5,"")),"")</f>
        <v/>
      </c>
      <c r="AG41" s="37" t="str">
        <f ca="1">IFERROR(+IF(AG$29=ProposalToGnatt[[#This Row],[Start Date]],Milestone_Marker,IF(AND(AG$29&gt;ProposalToGnatt[[#This Row],[Start Date]],AG$29&lt;ProposalToGnatt[[#This Row],[Start Date]]+ProposalToGnatt[[#This Row],[Days]]),$G$5,"")),"")</f>
        <v/>
      </c>
      <c r="AH41" s="37" t="str">
        <f ca="1">IFERROR(+IF(AH$29=ProposalToGnatt[[#This Row],[Start Date]],Milestone_Marker,IF(AND(AH$29&gt;ProposalToGnatt[[#This Row],[Start Date]],AH$29&lt;ProposalToGnatt[[#This Row],[Start Date]]+ProposalToGnatt[[#This Row],[Days]]),$G$5,"")),"")</f>
        <v/>
      </c>
      <c r="AI41" s="37" t="str">
        <f ca="1">IFERROR(+IF(AI$29=ProposalToGnatt[[#This Row],[Start Date]],Milestone_Marker,IF(AND(AI$29&gt;ProposalToGnatt[[#This Row],[Start Date]],AI$29&lt;ProposalToGnatt[[#This Row],[Start Date]]+ProposalToGnatt[[#This Row],[Days]]),$G$5,"")),"")</f>
        <v/>
      </c>
      <c r="AJ41" s="37" t="str">
        <f ca="1">IFERROR(+IF(AJ$29=ProposalToGnatt[[#This Row],[Start Date]],Milestone_Marker,IF(AND(AJ$29&gt;ProposalToGnatt[[#This Row],[Start Date]],AJ$29&lt;ProposalToGnatt[[#This Row],[Start Date]]+ProposalToGnatt[[#This Row],[Days]]),$G$5,"")),"")</f>
        <v/>
      </c>
      <c r="AK41" s="37" t="str">
        <f ca="1">IFERROR(+IF(AK$29=ProposalToGnatt[[#This Row],[Start Date]],Milestone_Marker,IF(AND(AK$29&gt;ProposalToGnatt[[#This Row],[Start Date]],AK$29&lt;ProposalToGnatt[[#This Row],[Start Date]]+ProposalToGnatt[[#This Row],[Days]]),$G$5,"")),"")</f>
        <v/>
      </c>
      <c r="AL41" s="37" t="str">
        <f ca="1">IFERROR(+IF(AL$29=ProposalToGnatt[[#This Row],[Start Date]],Milestone_Marker,IF(AND(AL$29&gt;ProposalToGnatt[[#This Row],[Start Date]],AL$29&lt;ProposalToGnatt[[#This Row],[Start Date]]+ProposalToGnatt[[#This Row],[Days]]),$G$5,"")),"")</f>
        <v/>
      </c>
      <c r="AM41" s="37" t="str">
        <f ca="1">IFERROR(+IF(AM$29=ProposalToGnatt[[#This Row],[Start Date]],Milestone_Marker,IF(AND(AM$29&gt;ProposalToGnatt[[#This Row],[Start Date]],AM$29&lt;ProposalToGnatt[[#This Row],[Start Date]]+ProposalToGnatt[[#This Row],[Days]]),$G$5,"")),"")</f>
        <v/>
      </c>
      <c r="AN41" s="37" t="str">
        <f ca="1">IFERROR(+IF(AN$29=ProposalToGnatt[[#This Row],[Start Date]],Milestone_Marker,IF(AND(AN$29&gt;ProposalToGnatt[[#This Row],[Start Date]],AN$29&lt;ProposalToGnatt[[#This Row],[Start Date]]+ProposalToGnatt[[#This Row],[Days]]),$G$5,"")),"")</f>
        <v/>
      </c>
      <c r="AO41" s="37" t="str">
        <f ca="1">IFERROR(+IF(AO$29=ProposalToGnatt[[#This Row],[Start Date]],Milestone_Marker,IF(AND(AO$29&gt;ProposalToGnatt[[#This Row],[Start Date]],AO$29&lt;ProposalToGnatt[[#This Row],[Start Date]]+ProposalToGnatt[[#This Row],[Days]]),$G$5,"")),"")</f>
        <v/>
      </c>
      <c r="AP41" s="37" t="str">
        <f ca="1">IFERROR(+IF(AP$29=ProposalToGnatt[[#This Row],[Start Date]],Milestone_Marker,IF(AND(AP$29&gt;ProposalToGnatt[[#This Row],[Start Date]],AP$29&lt;ProposalToGnatt[[#This Row],[Start Date]]+ProposalToGnatt[[#This Row],[Days]]),$G$5,"")),"")</f>
        <v/>
      </c>
      <c r="AQ41" s="37" t="str">
        <f ca="1">IFERROR(+IF(AQ$29=ProposalToGnatt[[#This Row],[Start Date]],Milestone_Marker,IF(AND(AQ$29&gt;ProposalToGnatt[[#This Row],[Start Date]],AQ$29&lt;ProposalToGnatt[[#This Row],[Start Date]]+ProposalToGnatt[[#This Row],[Days]]),$G$5,"")),"")</f>
        <v/>
      </c>
      <c r="AR41" s="37" t="str">
        <f ca="1">IFERROR(+IF(AR$29=ProposalToGnatt[[#This Row],[Start Date]],Milestone_Marker,IF(AND(AR$29&gt;ProposalToGnatt[[#This Row],[Start Date]],AR$29&lt;ProposalToGnatt[[#This Row],[Start Date]]+ProposalToGnatt[[#This Row],[Days]]),$G$5,"")),"")</f>
        <v/>
      </c>
      <c r="AS41" s="37" t="str">
        <f ca="1">IFERROR(+IF(AS$29=ProposalToGnatt[[#This Row],[Start Date]],Milestone_Marker,IF(AND(AS$29&gt;ProposalToGnatt[[#This Row],[Start Date]],AS$29&lt;ProposalToGnatt[[#This Row],[Start Date]]+ProposalToGnatt[[#This Row],[Days]]),$G$5,"")),"")</f>
        <v/>
      </c>
      <c r="AT41" s="37" t="str">
        <f ca="1">IFERROR(+IF(AT$29=ProposalToGnatt[[#This Row],[Start Date]],Milestone_Marker,IF(AND(AT$29&gt;ProposalToGnatt[[#This Row],[Start Date]],AT$29&lt;ProposalToGnatt[[#This Row],[Start Date]]+ProposalToGnatt[[#This Row],[Days]]),$G$5,"")),"")</f>
        <v/>
      </c>
      <c r="AU41" s="37" t="str">
        <f ca="1">IFERROR(+IF(AU$29=ProposalToGnatt[[#This Row],[Start Date]],Milestone_Marker,IF(AND(AU$29&gt;ProposalToGnatt[[#This Row],[Start Date]],AU$29&lt;ProposalToGnatt[[#This Row],[Start Date]]+ProposalToGnatt[[#This Row],[Days]]),$G$5,"")),"")</f>
        <v/>
      </c>
      <c r="AV41" s="37" t="str">
        <f ca="1">IFERROR(+IF(AV$29=ProposalToGnatt[[#This Row],[Start Date]],Milestone_Marker,IF(AND(AV$29&gt;ProposalToGnatt[[#This Row],[Start Date]],AV$29&lt;ProposalToGnatt[[#This Row],[Start Date]]+ProposalToGnatt[[#This Row],[Days]]),$G$5,"")),"")</f>
        <v/>
      </c>
      <c r="AW41" s="37" t="str">
        <f ca="1">IFERROR(+IF(AW$29=ProposalToGnatt[[#This Row],[Start Date]],Milestone_Marker,IF(AND(AW$29&gt;ProposalToGnatt[[#This Row],[Start Date]],AW$29&lt;ProposalToGnatt[[#This Row],[Start Date]]+ProposalToGnatt[[#This Row],[Days]]),$G$5,"")),"")</f>
        <v/>
      </c>
      <c r="AX41" s="37" t="str">
        <f ca="1">IFERROR(+IF(AX$29=ProposalToGnatt[[#This Row],[Start Date]],Milestone_Marker,IF(AND(AX$29&gt;ProposalToGnatt[[#This Row],[Start Date]],AX$29&lt;ProposalToGnatt[[#This Row],[Start Date]]+ProposalToGnatt[[#This Row],[Days]]),$G$5,"")),"")</f>
        <v/>
      </c>
      <c r="AY41" s="37" t="str">
        <f ca="1">IFERROR(+IF(AY$29=ProposalToGnatt[[#This Row],[Start Date]],Milestone_Marker,IF(AND(AY$29&gt;ProposalToGnatt[[#This Row],[Start Date]],AY$29&lt;ProposalToGnatt[[#This Row],[Start Date]]+ProposalToGnatt[[#This Row],[Days]]),$G$5,"")),"")</f>
        <v/>
      </c>
      <c r="AZ41" s="37" t="str">
        <f ca="1">IFERROR(+IF(AZ$29=ProposalToGnatt[[#This Row],[Start Date]],Milestone_Marker,IF(AND(AZ$29&gt;ProposalToGnatt[[#This Row],[Start Date]],AZ$29&lt;ProposalToGnatt[[#This Row],[Start Date]]+ProposalToGnatt[[#This Row],[Days]]),$G$5,"")),"")</f>
        <v/>
      </c>
      <c r="BA41" s="37" t="str">
        <f ca="1">IFERROR(+IF(BA$29=ProposalToGnatt[[#This Row],[Start Date]],Milestone_Marker,IF(AND(BA$29&gt;ProposalToGnatt[[#This Row],[Start Date]],BA$29&lt;ProposalToGnatt[[#This Row],[Start Date]]+ProposalToGnatt[[#This Row],[Days]]),$G$5,"")),"")</f>
        <v/>
      </c>
      <c r="BB41" s="37" t="str">
        <f ca="1">IFERROR(+IF(BB$29=ProposalToGnatt[[#This Row],[Start Date]],Milestone_Marker,IF(AND(BB$29&gt;ProposalToGnatt[[#This Row],[Start Date]],BB$29&lt;ProposalToGnatt[[#This Row],[Start Date]]+ProposalToGnatt[[#This Row],[Days]]),$G$5,"")),"")</f>
        <v/>
      </c>
      <c r="BC41" s="37" t="str">
        <f ca="1">IFERROR(+IF(BC$29=ProposalToGnatt[[#This Row],[Start Date]],Milestone_Marker,IF(AND(BC$29&gt;ProposalToGnatt[[#This Row],[Start Date]],BC$29&lt;ProposalToGnatt[[#This Row],[Start Date]]+ProposalToGnatt[[#This Row],[Days]]),$G$5,"")),"")</f>
        <v/>
      </c>
      <c r="BD41" s="37" t="str">
        <f ca="1">IFERROR(+IF(BD$29=ProposalToGnatt[[#This Row],[Start Date]],Milestone_Marker,IF(AND(BD$29&gt;ProposalToGnatt[[#This Row],[Start Date]],BD$29&lt;ProposalToGnatt[[#This Row],[Start Date]]+ProposalToGnatt[[#This Row],[Days]]),$G$5,"")),"")</f>
        <v/>
      </c>
      <c r="BE41" s="37" t="str">
        <f ca="1">IFERROR(+IF(BE$29=ProposalToGnatt[[#This Row],[Start Date]],Milestone_Marker,IF(AND(BE$29&gt;ProposalToGnatt[[#This Row],[Start Date]],BE$29&lt;ProposalToGnatt[[#This Row],[Start Date]]+ProposalToGnatt[[#This Row],[Days]]),$G$5,"")),"")</f>
        <v/>
      </c>
      <c r="BF41" s="37" t="str">
        <f ca="1">IFERROR(+IF(BF$29=ProposalToGnatt[[#This Row],[Start Date]],Milestone_Marker,IF(AND(BF$29&gt;ProposalToGnatt[[#This Row],[Start Date]],BF$29&lt;ProposalToGnatt[[#This Row],[Start Date]]+ProposalToGnatt[[#This Row],[Days]]),$G$5,"")),"")</f>
        <v/>
      </c>
      <c r="BG41" s="37" t="str">
        <f ca="1">IFERROR(+IF(BG$29=ProposalToGnatt[[#This Row],[Start Date]],Milestone_Marker,IF(AND(BG$29&gt;ProposalToGnatt[[#This Row],[Start Date]],BG$29&lt;ProposalToGnatt[[#This Row],[Start Date]]+ProposalToGnatt[[#This Row],[Days]]),$G$5,"")),"")</f>
        <v/>
      </c>
      <c r="BH41" s="37" t="str">
        <f ca="1">IFERROR(+IF(BH$29=ProposalToGnatt[[#This Row],[Start Date]],Milestone_Marker,IF(AND(BH$29&gt;ProposalToGnatt[[#This Row],[Start Date]],BH$29&lt;ProposalToGnatt[[#This Row],[Start Date]]+ProposalToGnatt[[#This Row],[Days]]),$G$5,"")),"")</f>
        <v/>
      </c>
      <c r="BI41" s="37" t="str">
        <f ca="1">IFERROR(+IF(BI$29=ProposalToGnatt[[#This Row],[Start Date]],Milestone_Marker,IF(AND(BI$29&gt;ProposalToGnatt[[#This Row],[Start Date]],BI$29&lt;ProposalToGnatt[[#This Row],[Start Date]]+ProposalToGnatt[[#This Row],[Days]]),$G$5,"")),"")</f>
        <v/>
      </c>
      <c r="BJ41" s="37" t="str">
        <f ca="1">IFERROR(+IF(BJ$29=ProposalToGnatt[[#This Row],[Start Date]],Milestone_Marker,IF(AND(BJ$29&gt;ProposalToGnatt[[#This Row],[Start Date]],BJ$29&lt;ProposalToGnatt[[#This Row],[Start Date]]+ProposalToGnatt[[#This Row],[Days]]),$G$5,"")),"")</f>
        <v/>
      </c>
      <c r="BK41" s="37" t="str">
        <f ca="1">IFERROR(+IF(BK$29=ProposalToGnatt[[#This Row],[Start Date]],Milestone_Marker,IF(AND(BK$29&gt;ProposalToGnatt[[#This Row],[Start Date]],BK$29&lt;ProposalToGnatt[[#This Row],[Start Date]]+ProposalToGnatt[[#This Row],[Days]]),$G$5,"")),"")</f>
        <v/>
      </c>
      <c r="BL41" s="37" t="str">
        <f ca="1">IFERROR(+IF(BL$29=ProposalToGnatt[[#This Row],[Start Date]],Milestone_Marker,IF(AND(BL$29&gt;ProposalToGnatt[[#This Row],[Start Date]],BL$29&lt;ProposalToGnatt[[#This Row],[Start Date]]+ProposalToGnatt[[#This Row],[Days]]),$G$5,"")),"")</f>
        <v/>
      </c>
      <c r="BM41" s="37" t="str">
        <f ca="1">IFERROR(+IF(BM$29=ProposalToGnatt[[#This Row],[Start Date]],Milestone_Marker,IF(AND(BM$29&gt;ProposalToGnatt[[#This Row],[Start Date]],BM$29&lt;ProposalToGnatt[[#This Row],[Start Date]]+ProposalToGnatt[[#This Row],[Days]]),$G$5,"")),"")</f>
        <v/>
      </c>
      <c r="BN41" s="37" t="str">
        <f ca="1">IFERROR(+IF(BN$29=ProposalToGnatt[[#This Row],[Start Date]],Milestone_Marker,IF(AND(BN$29&gt;ProposalToGnatt[[#This Row],[Start Date]],BN$29&lt;ProposalToGnatt[[#This Row],[Start Date]]+ProposalToGnatt[[#This Row],[Days]]),$G$5,"")),"")</f>
        <v/>
      </c>
      <c r="BO41" s="37" t="str">
        <f ca="1">IFERROR(+IF(BO$29=ProposalToGnatt[[#This Row],[Start Date]],Milestone_Marker,IF(AND(BO$29&gt;ProposalToGnatt[[#This Row],[Start Date]],BO$29&lt;ProposalToGnatt[[#This Row],[Start Date]]+ProposalToGnatt[[#This Row],[Days]]),$G$5,"")),"")</f>
        <v/>
      </c>
      <c r="BP41" s="37" t="str">
        <f ca="1">IFERROR(+IF(BP$29=ProposalToGnatt[[#This Row],[Start Date]],Milestone_Marker,IF(AND(BP$29&gt;ProposalToGnatt[[#This Row],[Start Date]],BP$29&lt;ProposalToGnatt[[#This Row],[Start Date]]+ProposalToGnatt[[#This Row],[Days]]),$G$5,"")),"")</f>
        <v/>
      </c>
      <c r="BQ41" s="37" t="str">
        <f ca="1">IFERROR(+IF(BQ$29=ProposalToGnatt[[#This Row],[Start Date]],Milestone_Marker,IF(AND(BQ$29&gt;ProposalToGnatt[[#This Row],[Start Date]],BQ$29&lt;ProposalToGnatt[[#This Row],[Start Date]]+ProposalToGnatt[[#This Row],[Days]]),$G$5,"")),"")</f>
        <v/>
      </c>
      <c r="BR41" s="37" t="str">
        <f ca="1">IFERROR(+IF(BR$29=ProposalToGnatt[[#This Row],[Start Date]],Milestone_Marker,IF(AND(BR$29&gt;ProposalToGnatt[[#This Row],[Start Date]],BR$29&lt;ProposalToGnatt[[#This Row],[Start Date]]+ProposalToGnatt[[#This Row],[Days]]),$G$5,"")),"")</f>
        <v/>
      </c>
      <c r="BS41" s="37" t="str">
        <f ca="1">IFERROR(+IF(BS$29=ProposalToGnatt[[#This Row],[Start Date]],Milestone_Marker,IF(AND(BS$29&gt;ProposalToGnatt[[#This Row],[Start Date]],BS$29&lt;ProposalToGnatt[[#This Row],[Start Date]]+ProposalToGnatt[[#This Row],[Days]]),$G$5,"")),"")</f>
        <v/>
      </c>
      <c r="BT41" s="37" t="str">
        <f ca="1">IFERROR(+IF(BT$29=ProposalToGnatt[[#This Row],[Start Date]],Milestone_Marker,IF(AND(BT$29&gt;ProposalToGnatt[[#This Row],[Start Date]],BT$29&lt;ProposalToGnatt[[#This Row],[Start Date]]+ProposalToGnatt[[#This Row],[Days]]),$G$5,"")),"")</f>
        <v/>
      </c>
      <c r="BU41" s="37" t="str">
        <f ca="1">IFERROR(+IF(BU$29=ProposalToGnatt[[#This Row],[Start Date]],Milestone_Marker,IF(AND(BU$29&gt;ProposalToGnatt[[#This Row],[Start Date]],BU$29&lt;ProposalToGnatt[[#This Row],[Start Date]]+ProposalToGnatt[[#This Row],[Days]]),$G$5,"")),"")</f>
        <v/>
      </c>
      <c r="BV41" s="37" t="str">
        <f ca="1">IFERROR(+IF(BV$29=ProposalToGnatt[[#This Row],[Start Date]],Milestone_Marker,IF(AND(BV$29&gt;ProposalToGnatt[[#This Row],[Start Date]],BV$29&lt;ProposalToGnatt[[#This Row],[Start Date]]+ProposalToGnatt[[#This Row],[Days]]),$G$5,"")),"")</f>
        <v/>
      </c>
      <c r="BW41" s="37" t="str">
        <f ca="1">IFERROR(+IF(BW$29=ProposalToGnatt[[#This Row],[Start Date]],Milestone_Marker,IF(AND(BW$29&gt;ProposalToGnatt[[#This Row],[Start Date]],BW$29&lt;ProposalToGnatt[[#This Row],[Start Date]]+ProposalToGnatt[[#This Row],[Days]]),$G$5,"")),"")</f>
        <v/>
      </c>
      <c r="BX41" s="37" t="str">
        <f ca="1">IFERROR(+IF(BX$29=ProposalToGnatt[[#This Row],[Start Date]],Milestone_Marker,IF(AND(BX$29&gt;ProposalToGnatt[[#This Row],[Start Date]],BX$29&lt;ProposalToGnatt[[#This Row],[Start Date]]+ProposalToGnatt[[#This Row],[Days]]),$G$5,"")),"")</f>
        <v/>
      </c>
      <c r="BY41" s="37" t="str">
        <f ca="1">IFERROR(+IF(BY$29=ProposalToGnatt[[#This Row],[Start Date]],Milestone_Marker,IF(AND(BY$29&gt;ProposalToGnatt[[#This Row],[Start Date]],BY$29&lt;ProposalToGnatt[[#This Row],[Start Date]]+ProposalToGnatt[[#This Row],[Days]]),$G$5,"")),"")</f>
        <v/>
      </c>
      <c r="BZ41" s="37" t="str">
        <f ca="1">IFERROR(+IF(BZ$29=ProposalToGnatt[[#This Row],[Start Date]],Milestone_Marker,IF(AND(BZ$29&gt;ProposalToGnatt[[#This Row],[Start Date]],BZ$29&lt;ProposalToGnatt[[#This Row],[Start Date]]+ProposalToGnatt[[#This Row],[Days]]),$G$5,"")),"")</f>
        <v/>
      </c>
      <c r="CA41" s="37" t="str">
        <f ca="1">IFERROR(+IF(CA$29=ProposalToGnatt[[#This Row],[Start Date]],Milestone_Marker,IF(AND(CA$29&gt;ProposalToGnatt[[#This Row],[Start Date]],CA$29&lt;ProposalToGnatt[[#This Row],[Start Date]]+ProposalToGnatt[[#This Row],[Days]]),$G$5,"")),"")</f>
        <v/>
      </c>
      <c r="CB41" s="37" t="str">
        <f ca="1">IFERROR(+IF(CB$29=ProposalToGnatt[[#This Row],[Start Date]],Milestone_Marker,IF(AND(CB$29&gt;ProposalToGnatt[[#This Row],[Start Date]],CB$29&lt;ProposalToGnatt[[#This Row],[Start Date]]+ProposalToGnatt[[#This Row],[Days]]),$G$5,"")),"")</f>
        <v/>
      </c>
      <c r="CC41" s="37" t="str">
        <f ca="1">IFERROR(+IF(CC$29=ProposalToGnatt[[#This Row],[Start Date]],Milestone_Marker,IF(AND(CC$29&gt;ProposalToGnatt[[#This Row],[Start Date]],CC$29&lt;ProposalToGnatt[[#This Row],[Start Date]]+ProposalToGnatt[[#This Row],[Days]]),$G$5,"")),"")</f>
        <v/>
      </c>
      <c r="CD41" s="37" t="str">
        <f ca="1">IFERROR(+IF(CD$29=ProposalToGnatt[[#This Row],[Start Date]],Milestone_Marker,IF(AND(CD$29&gt;ProposalToGnatt[[#This Row],[Start Date]],CD$29&lt;ProposalToGnatt[[#This Row],[Start Date]]+ProposalToGnatt[[#This Row],[Days]]),$G$5,"")),"")</f>
        <v/>
      </c>
      <c r="CE41" s="37" t="str">
        <f ca="1">IFERROR(+IF(CE$29=ProposalToGnatt[[#This Row],[Start Date]],Milestone_Marker,IF(AND(CE$29&gt;ProposalToGnatt[[#This Row],[Start Date]],CE$29&lt;ProposalToGnatt[[#This Row],[Start Date]]+ProposalToGnatt[[#This Row],[Days]]),$G$5,"")),"")</f>
        <v/>
      </c>
      <c r="CF41" s="37" t="str">
        <f ca="1">IFERROR(+IF(CF$29=ProposalToGnatt[[#This Row],[Start Date]],Milestone_Marker,IF(AND(CF$29&gt;ProposalToGnatt[[#This Row],[Start Date]],CF$29&lt;ProposalToGnatt[[#This Row],[Start Date]]+ProposalToGnatt[[#This Row],[Days]]),$G$5,"")),"")</f>
        <v/>
      </c>
      <c r="CG41" s="37" t="str">
        <f ca="1">IFERROR(+IF(CG$29=ProposalToGnatt[[#This Row],[Start Date]],Milestone_Marker,IF(AND(CG$29&gt;ProposalToGnatt[[#This Row],[Start Date]],CG$29&lt;ProposalToGnatt[[#This Row],[Start Date]]+ProposalToGnatt[[#This Row],[Days]]),$G$5,"")),"")</f>
        <v/>
      </c>
      <c r="CH41" s="37" t="str">
        <f ca="1">IFERROR(+IF(CH$29=ProposalToGnatt[[#This Row],[Start Date]],Milestone_Marker,IF(AND(CH$29&gt;ProposalToGnatt[[#This Row],[Start Date]],CH$29&lt;ProposalToGnatt[[#This Row],[Start Date]]+ProposalToGnatt[[#This Row],[Days]]),$G$5,"")),"")</f>
        <v/>
      </c>
      <c r="CI41" s="37" t="str">
        <f ca="1">IFERROR(+IF(CI$29=ProposalToGnatt[[#This Row],[Start Date]],Milestone_Marker,IF(AND(CI$29&gt;ProposalToGnatt[[#This Row],[Start Date]],CI$29&lt;ProposalToGnatt[[#This Row],[Start Date]]+ProposalToGnatt[[#This Row],[Days]]),$G$5,"")),"")</f>
        <v/>
      </c>
      <c r="CJ41" s="37" t="str">
        <f ca="1">IFERROR(+IF(CJ$29=ProposalToGnatt[[#This Row],[Start Date]],Milestone_Marker,IF(AND(CJ$29&gt;ProposalToGnatt[[#This Row],[Start Date]],CJ$29&lt;ProposalToGnatt[[#This Row],[Start Date]]+ProposalToGnatt[[#This Row],[Days]]),$G$5,"")),"")</f>
        <v/>
      </c>
      <c r="CK41" s="37" t="str">
        <f ca="1">IFERROR(+IF(CK$29=ProposalToGnatt[[#This Row],[Start Date]],Milestone_Marker,IF(AND(CK$29&gt;ProposalToGnatt[[#This Row],[Start Date]],CK$29&lt;ProposalToGnatt[[#This Row],[Start Date]]+ProposalToGnatt[[#This Row],[Days]]),$G$5,"")),"")</f>
        <v/>
      </c>
      <c r="CL41" s="37" t="str">
        <f ca="1">IFERROR(+IF(CL$29=ProposalToGnatt[[#This Row],[Start Date]],Milestone_Marker,IF(AND(CL$29&gt;ProposalToGnatt[[#This Row],[Start Date]],CL$29&lt;ProposalToGnatt[[#This Row],[Start Date]]+ProposalToGnatt[[#This Row],[Days]]),$G$5,"")),"")</f>
        <v/>
      </c>
      <c r="CM41" s="37" t="str">
        <f ca="1">IFERROR(+IF(CM$29=ProposalToGnatt[[#This Row],[Start Date]],Milestone_Marker,IF(AND(CM$29&gt;ProposalToGnatt[[#This Row],[Start Date]],CM$29&lt;ProposalToGnatt[[#This Row],[Start Date]]+ProposalToGnatt[[#This Row],[Days]]),$G$5,"")),"")</f>
        <v/>
      </c>
      <c r="CN41" s="37" t="str">
        <f ca="1">IFERROR(+IF(CN$29=ProposalToGnatt[[#This Row],[Start Date]],Milestone_Marker,IF(AND(CN$29&gt;ProposalToGnatt[[#This Row],[Start Date]],CN$29&lt;ProposalToGnatt[[#This Row],[Start Date]]+ProposalToGnatt[[#This Row],[Days]]),$G$5,"")),"")</f>
        <v/>
      </c>
      <c r="CO41" s="37" t="str">
        <f ca="1">IFERROR(+IF(CO$29=ProposalToGnatt[[#This Row],[Start Date]],Milestone_Marker,IF(AND(CO$29&gt;ProposalToGnatt[[#This Row],[Start Date]],CO$29&lt;ProposalToGnatt[[#This Row],[Start Date]]+ProposalToGnatt[[#This Row],[Days]]),$G$5,"")),"")</f>
        <v/>
      </c>
      <c r="CP41" s="37" t="str">
        <f ca="1">IFERROR(+IF(CP$29=ProposalToGnatt[[#This Row],[Start Date]],Milestone_Marker,IF(AND(CP$29&gt;ProposalToGnatt[[#This Row],[Start Date]],CP$29&lt;ProposalToGnatt[[#This Row],[Start Date]]+ProposalToGnatt[[#This Row],[Days]]),$G$5,"")),"")</f>
        <v/>
      </c>
      <c r="CQ41" s="37" t="str">
        <f ca="1">IFERROR(+IF(CQ$29=ProposalToGnatt[[#This Row],[Start Date]],Milestone_Marker,IF(AND(CQ$29&gt;ProposalToGnatt[[#This Row],[Start Date]],CQ$29&lt;ProposalToGnatt[[#This Row],[Start Date]]+ProposalToGnatt[[#This Row],[Days]]),$G$5,"")),"")</f>
        <v/>
      </c>
      <c r="CR41" s="37" t="str">
        <f ca="1">IFERROR(+IF(CR$29=ProposalToGnatt[[#This Row],[Start Date]],Milestone_Marker,IF(AND(CR$29&gt;ProposalToGnatt[[#This Row],[Start Date]],CR$29&lt;ProposalToGnatt[[#This Row],[Start Date]]+ProposalToGnatt[[#This Row],[Days]]),$G$5,"")),"")</f>
        <v/>
      </c>
      <c r="CS41" s="37" t="str">
        <f ca="1">IFERROR(+IF(CS$29=ProposalToGnatt[[#This Row],[Start Date]],Milestone_Marker,IF(AND(CS$29&gt;ProposalToGnatt[[#This Row],[Start Date]],CS$29&lt;ProposalToGnatt[[#This Row],[Start Date]]+ProposalToGnatt[[#This Row],[Days]]),$G$5,"")),"")</f>
        <v/>
      </c>
      <c r="CT41" s="37" t="str">
        <f ca="1">IFERROR(+IF(CT$29=ProposalToGnatt[[#This Row],[Start Date]],Milestone_Marker,IF(AND(CT$29&gt;ProposalToGnatt[[#This Row],[Start Date]],CT$29&lt;ProposalToGnatt[[#This Row],[Start Date]]+ProposalToGnatt[[#This Row],[Days]]),$G$5,"")),"")</f>
        <v/>
      </c>
      <c r="CU41" s="37" t="str">
        <f ca="1">IFERROR(+IF(CU$29=ProposalToGnatt[[#This Row],[Start Date]],Milestone_Marker,IF(AND(CU$29&gt;ProposalToGnatt[[#This Row],[Start Date]],CU$29&lt;ProposalToGnatt[[#This Row],[Start Date]]+ProposalToGnatt[[#This Row],[Days]]),$G$5,"")),"")</f>
        <v/>
      </c>
      <c r="CV41" s="37"/>
      <c r="CW41" s="37"/>
      <c r="CX41" s="37"/>
      <c r="CY41" s="37"/>
      <c r="CZ41" s="37"/>
      <c r="DA41" s="37"/>
      <c r="DB41" s="37"/>
      <c r="DC41" s="37"/>
      <c r="DD41" s="37"/>
      <c r="DE41" s="37"/>
      <c r="DF41" s="37"/>
      <c r="DG41" s="37"/>
      <c r="DH41" s="37"/>
      <c r="DI41" s="37"/>
      <c r="DJ41" s="37"/>
      <c r="DK41" s="37"/>
      <c r="DL41" s="37"/>
      <c r="DM41" s="37"/>
      <c r="DN41" s="37"/>
      <c r="DO41" s="37"/>
      <c r="DP41" s="37"/>
      <c r="DQ41" s="37"/>
      <c r="DR41" s="37"/>
      <c r="DS41" s="37"/>
      <c r="DT41" s="37"/>
      <c r="DU41" s="37"/>
    </row>
    <row r="42" spans="1:125" s="42" customFormat="1" ht="15" x14ac:dyDescent="0.25">
      <c r="A42" t="s">
        <v>428</v>
      </c>
      <c r="B42">
        <v>15</v>
      </c>
      <c r="C42" t="s">
        <v>311</v>
      </c>
      <c r="D42" t="s">
        <v>328</v>
      </c>
      <c r="E42" t="s">
        <v>329</v>
      </c>
      <c r="F42">
        <v>1</v>
      </c>
      <c r="G42" s="14">
        <v>3790</v>
      </c>
      <c r="H42" s="14">
        <v>3790</v>
      </c>
      <c r="I42" t="s">
        <v>8</v>
      </c>
      <c r="J42">
        <v>1</v>
      </c>
      <c r="K42" s="303">
        <v>45226</v>
      </c>
      <c r="L42">
        <v>2</v>
      </c>
      <c r="M42" s="14"/>
      <c r="N42" s="352">
        <v>3790</v>
      </c>
      <c r="O42" s="340"/>
      <c r="P42" s="37" t="str">
        <f ca="1">IFERROR(+IF(P$29=ProposalToGnatt[[#This Row],[Start Date]],Milestone_Marker,IF(AND(P$29&gt;ProposalToGnatt[[#This Row],[Start Date]],P$29&lt;ProposalToGnatt[[#This Row],[Start Date]]+ProposalToGnatt[[#This Row],[Days]]),$G$5,"")),"")</f>
        <v/>
      </c>
      <c r="Q42" s="37" t="str">
        <f ca="1">IFERROR(+IF(Q$29=ProposalToGnatt[[#This Row],[Start Date]],Milestone_Marker,IF(AND(Q$29&gt;ProposalToGnatt[[#This Row],[Start Date]],Q$29&lt;ProposalToGnatt[[#This Row],[Start Date]]+ProposalToGnatt[[#This Row],[Days]]),$G$5,"")),"")</f>
        <v/>
      </c>
      <c r="R42" s="37" t="str">
        <f ca="1">IFERROR(+IF(R$29=ProposalToGnatt[[#This Row],[Start Date]],Milestone_Marker,IF(AND(R$29&gt;ProposalToGnatt[[#This Row],[Start Date]],R$29&lt;ProposalToGnatt[[#This Row],[Start Date]]+ProposalToGnatt[[#This Row],[Days]]),$G$5,"")),"")</f>
        <v/>
      </c>
      <c r="S42" s="37" t="str">
        <f ca="1">IFERROR(+IF(S$29=ProposalToGnatt[[#This Row],[Start Date]],Milestone_Marker,IF(AND(S$29&gt;ProposalToGnatt[[#This Row],[Start Date]],S$29&lt;ProposalToGnatt[[#This Row],[Start Date]]+ProposalToGnatt[[#This Row],[Days]]),$G$5,"")),"")</f>
        <v/>
      </c>
      <c r="T42" s="37" t="str">
        <f ca="1">IFERROR(+IF(T$29=ProposalToGnatt[[#This Row],[Start Date]],Milestone_Marker,IF(AND(T$29&gt;ProposalToGnatt[[#This Row],[Start Date]],T$29&lt;ProposalToGnatt[[#This Row],[Start Date]]+ProposalToGnatt[[#This Row],[Days]]),$G$5,"")),"")</f>
        <v/>
      </c>
      <c r="U42" s="37" t="str">
        <f ca="1">IFERROR(+IF(U$29=ProposalToGnatt[[#This Row],[Start Date]],Milestone_Marker,IF(AND(U$29&gt;ProposalToGnatt[[#This Row],[Start Date]],U$29&lt;ProposalToGnatt[[#This Row],[Start Date]]+ProposalToGnatt[[#This Row],[Days]]),$G$5,"")),"")</f>
        <v/>
      </c>
      <c r="V42" s="37" t="str">
        <f ca="1">IFERROR(+IF(V$29=ProposalToGnatt[[#This Row],[Start Date]],Milestone_Marker,IF(AND(V$29&gt;ProposalToGnatt[[#This Row],[Start Date]],V$29&lt;ProposalToGnatt[[#This Row],[Start Date]]+ProposalToGnatt[[#This Row],[Days]]),$G$5,"")),"")</f>
        <v/>
      </c>
      <c r="W42" s="37" t="str">
        <f ca="1">IFERROR(+IF(W$29=ProposalToGnatt[[#This Row],[Start Date]],Milestone_Marker,IF(AND(W$29&gt;ProposalToGnatt[[#This Row],[Start Date]],W$29&lt;ProposalToGnatt[[#This Row],[Start Date]]+ProposalToGnatt[[#This Row],[Days]]),$G$5,"")),"")</f>
        <v/>
      </c>
      <c r="X42" s="37" t="str">
        <f ca="1">IFERROR(+IF(X$29=ProposalToGnatt[[#This Row],[Start Date]],Milestone_Marker,IF(AND(X$29&gt;ProposalToGnatt[[#This Row],[Start Date]],X$29&lt;ProposalToGnatt[[#This Row],[Start Date]]+ProposalToGnatt[[#This Row],[Days]]),$G$5,"")),"")</f>
        <v/>
      </c>
      <c r="Y42" s="37" t="str">
        <f ca="1">IFERROR(+IF(Y$29=ProposalToGnatt[[#This Row],[Start Date]],Milestone_Marker,IF(AND(Y$29&gt;ProposalToGnatt[[#This Row],[Start Date]],Y$29&lt;ProposalToGnatt[[#This Row],[Start Date]]+ProposalToGnatt[[#This Row],[Days]]),$G$5,"")),"")</f>
        <v/>
      </c>
      <c r="Z42" s="37" t="str">
        <f ca="1">IFERROR(+IF(Z$29=ProposalToGnatt[[#This Row],[Start Date]],Milestone_Marker,IF(AND(Z$29&gt;ProposalToGnatt[[#This Row],[Start Date]],Z$29&lt;ProposalToGnatt[[#This Row],[Start Date]]+ProposalToGnatt[[#This Row],[Days]]),$G$5,"")),"")</f>
        <v/>
      </c>
      <c r="AA42" s="37" t="str">
        <f ca="1">IFERROR(+IF(AA$29=ProposalToGnatt[[#This Row],[Start Date]],Milestone_Marker,IF(AND(AA$29&gt;ProposalToGnatt[[#This Row],[Start Date]],AA$29&lt;ProposalToGnatt[[#This Row],[Start Date]]+ProposalToGnatt[[#This Row],[Days]]),$G$5,"")),"")</f>
        <v/>
      </c>
      <c r="AB42" s="37" t="str">
        <f ca="1">IFERROR(+IF(AB$29=ProposalToGnatt[[#This Row],[Start Date]],Milestone_Marker,IF(AND(AB$29&gt;ProposalToGnatt[[#This Row],[Start Date]],AB$29&lt;ProposalToGnatt[[#This Row],[Start Date]]+ProposalToGnatt[[#This Row],[Days]]),$G$5,"")),"")</f>
        <v/>
      </c>
      <c r="AC42" s="37" t="str">
        <f ca="1">IFERROR(+IF(AC$29=ProposalToGnatt[[#This Row],[Start Date]],Milestone_Marker,IF(AND(AC$29&gt;ProposalToGnatt[[#This Row],[Start Date]],AC$29&lt;ProposalToGnatt[[#This Row],[Start Date]]+ProposalToGnatt[[#This Row],[Days]]),$G$5,"")),"")</f>
        <v/>
      </c>
      <c r="AD42" s="37">
        <f ca="1">IFERROR(+IF(AD$29=ProposalToGnatt[[#This Row],[Start Date]],Milestone_Marker,IF(AND(AD$29&gt;ProposalToGnatt[[#This Row],[Start Date]],AD$29&lt;ProposalToGnatt[[#This Row],[Start Date]]+ProposalToGnatt[[#This Row],[Days]]),$G$5,"")),"")</f>
        <v>1</v>
      </c>
      <c r="AE42" s="37">
        <f ca="1">IFERROR(+IF(AE$29=ProposalToGnatt[[#This Row],[Start Date]],Milestone_Marker,IF(AND(AE$29&gt;ProposalToGnatt[[#This Row],[Start Date]],AE$29&lt;ProposalToGnatt[[#This Row],[Start Date]]+ProposalToGnatt[[#This Row],[Days]]),$G$5,"")),"")</f>
        <v>2</v>
      </c>
      <c r="AF42" s="37" t="str">
        <f ca="1">IFERROR(+IF(AF$29=ProposalToGnatt[[#This Row],[Start Date]],Milestone_Marker,IF(AND(AF$29&gt;ProposalToGnatt[[#This Row],[Start Date]],AF$29&lt;ProposalToGnatt[[#This Row],[Start Date]]+ProposalToGnatt[[#This Row],[Days]]),$G$5,"")),"")</f>
        <v/>
      </c>
      <c r="AG42" s="37" t="str">
        <f ca="1">IFERROR(+IF(AG$29=ProposalToGnatt[[#This Row],[Start Date]],Milestone_Marker,IF(AND(AG$29&gt;ProposalToGnatt[[#This Row],[Start Date]],AG$29&lt;ProposalToGnatt[[#This Row],[Start Date]]+ProposalToGnatt[[#This Row],[Days]]),$G$5,"")),"")</f>
        <v/>
      </c>
      <c r="AH42" s="37" t="str">
        <f ca="1">IFERROR(+IF(AH$29=ProposalToGnatt[[#This Row],[Start Date]],Milestone_Marker,IF(AND(AH$29&gt;ProposalToGnatt[[#This Row],[Start Date]],AH$29&lt;ProposalToGnatt[[#This Row],[Start Date]]+ProposalToGnatt[[#This Row],[Days]]),$G$5,"")),"")</f>
        <v/>
      </c>
      <c r="AI42" s="37" t="str">
        <f ca="1">IFERROR(+IF(AI$29=ProposalToGnatt[[#This Row],[Start Date]],Milestone_Marker,IF(AND(AI$29&gt;ProposalToGnatt[[#This Row],[Start Date]],AI$29&lt;ProposalToGnatt[[#This Row],[Start Date]]+ProposalToGnatt[[#This Row],[Days]]),$G$5,"")),"")</f>
        <v/>
      </c>
      <c r="AJ42" s="37" t="str">
        <f ca="1">IFERROR(+IF(AJ$29=ProposalToGnatt[[#This Row],[Start Date]],Milestone_Marker,IF(AND(AJ$29&gt;ProposalToGnatt[[#This Row],[Start Date]],AJ$29&lt;ProposalToGnatt[[#This Row],[Start Date]]+ProposalToGnatt[[#This Row],[Days]]),$G$5,"")),"")</f>
        <v/>
      </c>
      <c r="AK42" s="37" t="str">
        <f ca="1">IFERROR(+IF(AK$29=ProposalToGnatt[[#This Row],[Start Date]],Milestone_Marker,IF(AND(AK$29&gt;ProposalToGnatt[[#This Row],[Start Date]],AK$29&lt;ProposalToGnatt[[#This Row],[Start Date]]+ProposalToGnatt[[#This Row],[Days]]),$G$5,"")),"")</f>
        <v/>
      </c>
      <c r="AL42" s="37" t="str">
        <f ca="1">IFERROR(+IF(AL$29=ProposalToGnatt[[#This Row],[Start Date]],Milestone_Marker,IF(AND(AL$29&gt;ProposalToGnatt[[#This Row],[Start Date]],AL$29&lt;ProposalToGnatt[[#This Row],[Start Date]]+ProposalToGnatt[[#This Row],[Days]]),$G$5,"")),"")</f>
        <v/>
      </c>
      <c r="AM42" s="37" t="str">
        <f ca="1">IFERROR(+IF(AM$29=ProposalToGnatt[[#This Row],[Start Date]],Milestone_Marker,IF(AND(AM$29&gt;ProposalToGnatt[[#This Row],[Start Date]],AM$29&lt;ProposalToGnatt[[#This Row],[Start Date]]+ProposalToGnatt[[#This Row],[Days]]),$G$5,"")),"")</f>
        <v/>
      </c>
      <c r="AN42" s="37" t="str">
        <f ca="1">IFERROR(+IF(AN$29=ProposalToGnatt[[#This Row],[Start Date]],Milestone_Marker,IF(AND(AN$29&gt;ProposalToGnatt[[#This Row],[Start Date]],AN$29&lt;ProposalToGnatt[[#This Row],[Start Date]]+ProposalToGnatt[[#This Row],[Days]]),$G$5,"")),"")</f>
        <v/>
      </c>
      <c r="AO42" s="37" t="str">
        <f ca="1">IFERROR(+IF(AO$29=ProposalToGnatt[[#This Row],[Start Date]],Milestone_Marker,IF(AND(AO$29&gt;ProposalToGnatt[[#This Row],[Start Date]],AO$29&lt;ProposalToGnatt[[#This Row],[Start Date]]+ProposalToGnatt[[#This Row],[Days]]),$G$5,"")),"")</f>
        <v/>
      </c>
      <c r="AP42" s="37" t="str">
        <f ca="1">IFERROR(+IF(AP$29=ProposalToGnatt[[#This Row],[Start Date]],Milestone_Marker,IF(AND(AP$29&gt;ProposalToGnatt[[#This Row],[Start Date]],AP$29&lt;ProposalToGnatt[[#This Row],[Start Date]]+ProposalToGnatt[[#This Row],[Days]]),$G$5,"")),"")</f>
        <v/>
      </c>
      <c r="AQ42" s="37" t="str">
        <f ca="1">IFERROR(+IF(AQ$29=ProposalToGnatt[[#This Row],[Start Date]],Milestone_Marker,IF(AND(AQ$29&gt;ProposalToGnatt[[#This Row],[Start Date]],AQ$29&lt;ProposalToGnatt[[#This Row],[Start Date]]+ProposalToGnatt[[#This Row],[Days]]),$G$5,"")),"")</f>
        <v/>
      </c>
      <c r="AR42" s="37" t="str">
        <f ca="1">IFERROR(+IF(AR$29=ProposalToGnatt[[#This Row],[Start Date]],Milestone_Marker,IF(AND(AR$29&gt;ProposalToGnatt[[#This Row],[Start Date]],AR$29&lt;ProposalToGnatt[[#This Row],[Start Date]]+ProposalToGnatt[[#This Row],[Days]]),$G$5,"")),"")</f>
        <v/>
      </c>
      <c r="AS42" s="37" t="str">
        <f ca="1">IFERROR(+IF(AS$29=ProposalToGnatt[[#This Row],[Start Date]],Milestone_Marker,IF(AND(AS$29&gt;ProposalToGnatt[[#This Row],[Start Date]],AS$29&lt;ProposalToGnatt[[#This Row],[Start Date]]+ProposalToGnatt[[#This Row],[Days]]),$G$5,"")),"")</f>
        <v/>
      </c>
      <c r="AT42" s="37" t="str">
        <f ca="1">IFERROR(+IF(AT$29=ProposalToGnatt[[#This Row],[Start Date]],Milestone_Marker,IF(AND(AT$29&gt;ProposalToGnatt[[#This Row],[Start Date]],AT$29&lt;ProposalToGnatt[[#This Row],[Start Date]]+ProposalToGnatt[[#This Row],[Days]]),$G$5,"")),"")</f>
        <v/>
      </c>
      <c r="AU42" s="37" t="str">
        <f ca="1">IFERROR(+IF(AU$29=ProposalToGnatt[[#This Row],[Start Date]],Milestone_Marker,IF(AND(AU$29&gt;ProposalToGnatt[[#This Row],[Start Date]],AU$29&lt;ProposalToGnatt[[#This Row],[Start Date]]+ProposalToGnatt[[#This Row],[Days]]),$G$5,"")),"")</f>
        <v/>
      </c>
      <c r="AV42" s="37" t="str">
        <f ca="1">IFERROR(+IF(AV$29=ProposalToGnatt[[#This Row],[Start Date]],Milestone_Marker,IF(AND(AV$29&gt;ProposalToGnatt[[#This Row],[Start Date]],AV$29&lt;ProposalToGnatt[[#This Row],[Start Date]]+ProposalToGnatt[[#This Row],[Days]]),$G$5,"")),"")</f>
        <v/>
      </c>
      <c r="AW42" s="37" t="str">
        <f ca="1">IFERROR(+IF(AW$29=ProposalToGnatt[[#This Row],[Start Date]],Milestone_Marker,IF(AND(AW$29&gt;ProposalToGnatt[[#This Row],[Start Date]],AW$29&lt;ProposalToGnatt[[#This Row],[Start Date]]+ProposalToGnatt[[#This Row],[Days]]),$G$5,"")),"")</f>
        <v/>
      </c>
      <c r="AX42" s="37" t="str">
        <f ca="1">IFERROR(+IF(AX$29=ProposalToGnatt[[#This Row],[Start Date]],Milestone_Marker,IF(AND(AX$29&gt;ProposalToGnatt[[#This Row],[Start Date]],AX$29&lt;ProposalToGnatt[[#This Row],[Start Date]]+ProposalToGnatt[[#This Row],[Days]]),$G$5,"")),"")</f>
        <v/>
      </c>
      <c r="AY42" s="37" t="str">
        <f ca="1">IFERROR(+IF(AY$29=ProposalToGnatt[[#This Row],[Start Date]],Milestone_Marker,IF(AND(AY$29&gt;ProposalToGnatt[[#This Row],[Start Date]],AY$29&lt;ProposalToGnatt[[#This Row],[Start Date]]+ProposalToGnatt[[#This Row],[Days]]),$G$5,"")),"")</f>
        <v/>
      </c>
      <c r="AZ42" s="37" t="str">
        <f ca="1">IFERROR(+IF(AZ$29=ProposalToGnatt[[#This Row],[Start Date]],Milestone_Marker,IF(AND(AZ$29&gt;ProposalToGnatt[[#This Row],[Start Date]],AZ$29&lt;ProposalToGnatt[[#This Row],[Start Date]]+ProposalToGnatt[[#This Row],[Days]]),$G$5,"")),"")</f>
        <v/>
      </c>
      <c r="BA42" s="37" t="str">
        <f ca="1">IFERROR(+IF(BA$29=ProposalToGnatt[[#This Row],[Start Date]],Milestone_Marker,IF(AND(BA$29&gt;ProposalToGnatt[[#This Row],[Start Date]],BA$29&lt;ProposalToGnatt[[#This Row],[Start Date]]+ProposalToGnatt[[#This Row],[Days]]),$G$5,"")),"")</f>
        <v/>
      </c>
      <c r="BB42" s="37" t="str">
        <f ca="1">IFERROR(+IF(BB$29=ProposalToGnatt[[#This Row],[Start Date]],Milestone_Marker,IF(AND(BB$29&gt;ProposalToGnatt[[#This Row],[Start Date]],BB$29&lt;ProposalToGnatt[[#This Row],[Start Date]]+ProposalToGnatt[[#This Row],[Days]]),$G$5,"")),"")</f>
        <v/>
      </c>
      <c r="BC42" s="37" t="str">
        <f ca="1">IFERROR(+IF(BC$29=ProposalToGnatt[[#This Row],[Start Date]],Milestone_Marker,IF(AND(BC$29&gt;ProposalToGnatt[[#This Row],[Start Date]],BC$29&lt;ProposalToGnatt[[#This Row],[Start Date]]+ProposalToGnatt[[#This Row],[Days]]),$G$5,"")),"")</f>
        <v/>
      </c>
      <c r="BD42" s="37" t="str">
        <f ca="1">IFERROR(+IF(BD$29=ProposalToGnatt[[#This Row],[Start Date]],Milestone_Marker,IF(AND(BD$29&gt;ProposalToGnatt[[#This Row],[Start Date]],BD$29&lt;ProposalToGnatt[[#This Row],[Start Date]]+ProposalToGnatt[[#This Row],[Days]]),$G$5,"")),"")</f>
        <v/>
      </c>
      <c r="BE42" s="37" t="str">
        <f ca="1">IFERROR(+IF(BE$29=ProposalToGnatt[[#This Row],[Start Date]],Milestone_Marker,IF(AND(BE$29&gt;ProposalToGnatt[[#This Row],[Start Date]],BE$29&lt;ProposalToGnatt[[#This Row],[Start Date]]+ProposalToGnatt[[#This Row],[Days]]),$G$5,"")),"")</f>
        <v/>
      </c>
      <c r="BF42" s="37" t="str">
        <f ca="1">IFERROR(+IF(BF$29=ProposalToGnatt[[#This Row],[Start Date]],Milestone_Marker,IF(AND(BF$29&gt;ProposalToGnatt[[#This Row],[Start Date]],BF$29&lt;ProposalToGnatt[[#This Row],[Start Date]]+ProposalToGnatt[[#This Row],[Days]]),$G$5,"")),"")</f>
        <v/>
      </c>
      <c r="BG42" s="37" t="str">
        <f ca="1">IFERROR(+IF(BG$29=ProposalToGnatt[[#This Row],[Start Date]],Milestone_Marker,IF(AND(BG$29&gt;ProposalToGnatt[[#This Row],[Start Date]],BG$29&lt;ProposalToGnatt[[#This Row],[Start Date]]+ProposalToGnatt[[#This Row],[Days]]),$G$5,"")),"")</f>
        <v/>
      </c>
      <c r="BH42" s="37" t="str">
        <f ca="1">IFERROR(+IF(BH$29=ProposalToGnatt[[#This Row],[Start Date]],Milestone_Marker,IF(AND(BH$29&gt;ProposalToGnatt[[#This Row],[Start Date]],BH$29&lt;ProposalToGnatt[[#This Row],[Start Date]]+ProposalToGnatt[[#This Row],[Days]]),$G$5,"")),"")</f>
        <v/>
      </c>
      <c r="BI42" s="37" t="str">
        <f ca="1">IFERROR(+IF(BI$29=ProposalToGnatt[[#This Row],[Start Date]],Milestone_Marker,IF(AND(BI$29&gt;ProposalToGnatt[[#This Row],[Start Date]],BI$29&lt;ProposalToGnatt[[#This Row],[Start Date]]+ProposalToGnatt[[#This Row],[Days]]),$G$5,"")),"")</f>
        <v/>
      </c>
      <c r="BJ42" s="37" t="str">
        <f ca="1">IFERROR(+IF(BJ$29=ProposalToGnatt[[#This Row],[Start Date]],Milestone_Marker,IF(AND(BJ$29&gt;ProposalToGnatt[[#This Row],[Start Date]],BJ$29&lt;ProposalToGnatt[[#This Row],[Start Date]]+ProposalToGnatt[[#This Row],[Days]]),$G$5,"")),"")</f>
        <v/>
      </c>
      <c r="BK42" s="37" t="str">
        <f ca="1">IFERROR(+IF(BK$29=ProposalToGnatt[[#This Row],[Start Date]],Milestone_Marker,IF(AND(BK$29&gt;ProposalToGnatt[[#This Row],[Start Date]],BK$29&lt;ProposalToGnatt[[#This Row],[Start Date]]+ProposalToGnatt[[#This Row],[Days]]),$G$5,"")),"")</f>
        <v/>
      </c>
      <c r="BL42" s="37" t="str">
        <f ca="1">IFERROR(+IF(BL$29=ProposalToGnatt[[#This Row],[Start Date]],Milestone_Marker,IF(AND(BL$29&gt;ProposalToGnatt[[#This Row],[Start Date]],BL$29&lt;ProposalToGnatt[[#This Row],[Start Date]]+ProposalToGnatt[[#This Row],[Days]]),$G$5,"")),"")</f>
        <v/>
      </c>
      <c r="BM42" s="37" t="str">
        <f ca="1">IFERROR(+IF(BM$29=ProposalToGnatt[[#This Row],[Start Date]],Milestone_Marker,IF(AND(BM$29&gt;ProposalToGnatt[[#This Row],[Start Date]],BM$29&lt;ProposalToGnatt[[#This Row],[Start Date]]+ProposalToGnatt[[#This Row],[Days]]),$G$5,"")),"")</f>
        <v/>
      </c>
      <c r="BN42" s="37" t="str">
        <f ca="1">IFERROR(+IF(BN$29=ProposalToGnatt[[#This Row],[Start Date]],Milestone_Marker,IF(AND(BN$29&gt;ProposalToGnatt[[#This Row],[Start Date]],BN$29&lt;ProposalToGnatt[[#This Row],[Start Date]]+ProposalToGnatt[[#This Row],[Days]]),$G$5,"")),"")</f>
        <v/>
      </c>
      <c r="BO42" s="37" t="str">
        <f ca="1">IFERROR(+IF(BO$29=ProposalToGnatt[[#This Row],[Start Date]],Milestone_Marker,IF(AND(BO$29&gt;ProposalToGnatt[[#This Row],[Start Date]],BO$29&lt;ProposalToGnatt[[#This Row],[Start Date]]+ProposalToGnatt[[#This Row],[Days]]),$G$5,"")),"")</f>
        <v/>
      </c>
      <c r="BP42" s="37" t="str">
        <f ca="1">IFERROR(+IF(BP$29=ProposalToGnatt[[#This Row],[Start Date]],Milestone_Marker,IF(AND(BP$29&gt;ProposalToGnatt[[#This Row],[Start Date]],BP$29&lt;ProposalToGnatt[[#This Row],[Start Date]]+ProposalToGnatt[[#This Row],[Days]]),$G$5,"")),"")</f>
        <v/>
      </c>
      <c r="BQ42" s="37" t="str">
        <f ca="1">IFERROR(+IF(BQ$29=ProposalToGnatt[[#This Row],[Start Date]],Milestone_Marker,IF(AND(BQ$29&gt;ProposalToGnatt[[#This Row],[Start Date]],BQ$29&lt;ProposalToGnatt[[#This Row],[Start Date]]+ProposalToGnatt[[#This Row],[Days]]),$G$5,"")),"")</f>
        <v/>
      </c>
      <c r="BR42" s="37" t="str">
        <f ca="1">IFERROR(+IF(BR$29=ProposalToGnatt[[#This Row],[Start Date]],Milestone_Marker,IF(AND(BR$29&gt;ProposalToGnatt[[#This Row],[Start Date]],BR$29&lt;ProposalToGnatt[[#This Row],[Start Date]]+ProposalToGnatt[[#This Row],[Days]]),$G$5,"")),"")</f>
        <v/>
      </c>
      <c r="BS42" s="37" t="str">
        <f ca="1">IFERROR(+IF(BS$29=ProposalToGnatt[[#This Row],[Start Date]],Milestone_Marker,IF(AND(BS$29&gt;ProposalToGnatt[[#This Row],[Start Date]],BS$29&lt;ProposalToGnatt[[#This Row],[Start Date]]+ProposalToGnatt[[#This Row],[Days]]),$G$5,"")),"")</f>
        <v/>
      </c>
      <c r="BT42" s="37" t="str">
        <f ca="1">IFERROR(+IF(BT$29=ProposalToGnatt[[#This Row],[Start Date]],Milestone_Marker,IF(AND(BT$29&gt;ProposalToGnatt[[#This Row],[Start Date]],BT$29&lt;ProposalToGnatt[[#This Row],[Start Date]]+ProposalToGnatt[[#This Row],[Days]]),$G$5,"")),"")</f>
        <v/>
      </c>
      <c r="BU42" s="37" t="str">
        <f ca="1">IFERROR(+IF(BU$29=ProposalToGnatt[[#This Row],[Start Date]],Milestone_Marker,IF(AND(BU$29&gt;ProposalToGnatt[[#This Row],[Start Date]],BU$29&lt;ProposalToGnatt[[#This Row],[Start Date]]+ProposalToGnatt[[#This Row],[Days]]),$G$5,"")),"")</f>
        <v/>
      </c>
      <c r="BV42" s="37" t="str">
        <f ca="1">IFERROR(+IF(BV$29=ProposalToGnatt[[#This Row],[Start Date]],Milestone_Marker,IF(AND(BV$29&gt;ProposalToGnatt[[#This Row],[Start Date]],BV$29&lt;ProposalToGnatt[[#This Row],[Start Date]]+ProposalToGnatt[[#This Row],[Days]]),$G$5,"")),"")</f>
        <v/>
      </c>
      <c r="BW42" s="37" t="str">
        <f ca="1">IFERROR(+IF(BW$29=ProposalToGnatt[[#This Row],[Start Date]],Milestone_Marker,IF(AND(BW$29&gt;ProposalToGnatt[[#This Row],[Start Date]],BW$29&lt;ProposalToGnatt[[#This Row],[Start Date]]+ProposalToGnatt[[#This Row],[Days]]),$G$5,"")),"")</f>
        <v/>
      </c>
      <c r="BX42" s="37" t="str">
        <f ca="1">IFERROR(+IF(BX$29=ProposalToGnatt[[#This Row],[Start Date]],Milestone_Marker,IF(AND(BX$29&gt;ProposalToGnatt[[#This Row],[Start Date]],BX$29&lt;ProposalToGnatt[[#This Row],[Start Date]]+ProposalToGnatt[[#This Row],[Days]]),$G$5,"")),"")</f>
        <v/>
      </c>
      <c r="BY42" s="37" t="str">
        <f ca="1">IFERROR(+IF(BY$29=ProposalToGnatt[[#This Row],[Start Date]],Milestone_Marker,IF(AND(BY$29&gt;ProposalToGnatt[[#This Row],[Start Date]],BY$29&lt;ProposalToGnatt[[#This Row],[Start Date]]+ProposalToGnatt[[#This Row],[Days]]),$G$5,"")),"")</f>
        <v/>
      </c>
      <c r="BZ42" s="37" t="str">
        <f ca="1">IFERROR(+IF(BZ$29=ProposalToGnatt[[#This Row],[Start Date]],Milestone_Marker,IF(AND(BZ$29&gt;ProposalToGnatt[[#This Row],[Start Date]],BZ$29&lt;ProposalToGnatt[[#This Row],[Start Date]]+ProposalToGnatt[[#This Row],[Days]]),$G$5,"")),"")</f>
        <v/>
      </c>
      <c r="CA42" s="37" t="str">
        <f ca="1">IFERROR(+IF(CA$29=ProposalToGnatt[[#This Row],[Start Date]],Milestone_Marker,IF(AND(CA$29&gt;ProposalToGnatt[[#This Row],[Start Date]],CA$29&lt;ProposalToGnatt[[#This Row],[Start Date]]+ProposalToGnatt[[#This Row],[Days]]),$G$5,"")),"")</f>
        <v/>
      </c>
      <c r="CB42" s="37" t="str">
        <f ca="1">IFERROR(+IF(CB$29=ProposalToGnatt[[#This Row],[Start Date]],Milestone_Marker,IF(AND(CB$29&gt;ProposalToGnatt[[#This Row],[Start Date]],CB$29&lt;ProposalToGnatt[[#This Row],[Start Date]]+ProposalToGnatt[[#This Row],[Days]]),$G$5,"")),"")</f>
        <v/>
      </c>
      <c r="CC42" s="37" t="str">
        <f ca="1">IFERROR(+IF(CC$29=ProposalToGnatt[[#This Row],[Start Date]],Milestone_Marker,IF(AND(CC$29&gt;ProposalToGnatt[[#This Row],[Start Date]],CC$29&lt;ProposalToGnatt[[#This Row],[Start Date]]+ProposalToGnatt[[#This Row],[Days]]),$G$5,"")),"")</f>
        <v/>
      </c>
      <c r="CD42" s="37" t="str">
        <f ca="1">IFERROR(+IF(CD$29=ProposalToGnatt[[#This Row],[Start Date]],Milestone_Marker,IF(AND(CD$29&gt;ProposalToGnatt[[#This Row],[Start Date]],CD$29&lt;ProposalToGnatt[[#This Row],[Start Date]]+ProposalToGnatt[[#This Row],[Days]]),$G$5,"")),"")</f>
        <v/>
      </c>
      <c r="CE42" s="37" t="str">
        <f ca="1">IFERROR(+IF(CE$29=ProposalToGnatt[[#This Row],[Start Date]],Milestone_Marker,IF(AND(CE$29&gt;ProposalToGnatt[[#This Row],[Start Date]],CE$29&lt;ProposalToGnatt[[#This Row],[Start Date]]+ProposalToGnatt[[#This Row],[Days]]),$G$5,"")),"")</f>
        <v/>
      </c>
      <c r="CF42" s="37" t="str">
        <f ca="1">IFERROR(+IF(CF$29=ProposalToGnatt[[#This Row],[Start Date]],Milestone_Marker,IF(AND(CF$29&gt;ProposalToGnatt[[#This Row],[Start Date]],CF$29&lt;ProposalToGnatt[[#This Row],[Start Date]]+ProposalToGnatt[[#This Row],[Days]]),$G$5,"")),"")</f>
        <v/>
      </c>
      <c r="CG42" s="37" t="str">
        <f ca="1">IFERROR(+IF(CG$29=ProposalToGnatt[[#This Row],[Start Date]],Milestone_Marker,IF(AND(CG$29&gt;ProposalToGnatt[[#This Row],[Start Date]],CG$29&lt;ProposalToGnatt[[#This Row],[Start Date]]+ProposalToGnatt[[#This Row],[Days]]),$G$5,"")),"")</f>
        <v/>
      </c>
      <c r="CH42" s="37" t="str">
        <f ca="1">IFERROR(+IF(CH$29=ProposalToGnatt[[#This Row],[Start Date]],Milestone_Marker,IF(AND(CH$29&gt;ProposalToGnatt[[#This Row],[Start Date]],CH$29&lt;ProposalToGnatt[[#This Row],[Start Date]]+ProposalToGnatt[[#This Row],[Days]]),$G$5,"")),"")</f>
        <v/>
      </c>
      <c r="CI42" s="37" t="str">
        <f ca="1">IFERROR(+IF(CI$29=ProposalToGnatt[[#This Row],[Start Date]],Milestone_Marker,IF(AND(CI$29&gt;ProposalToGnatt[[#This Row],[Start Date]],CI$29&lt;ProposalToGnatt[[#This Row],[Start Date]]+ProposalToGnatt[[#This Row],[Days]]),$G$5,"")),"")</f>
        <v/>
      </c>
      <c r="CJ42" s="37" t="str">
        <f ca="1">IFERROR(+IF(CJ$29=ProposalToGnatt[[#This Row],[Start Date]],Milestone_Marker,IF(AND(CJ$29&gt;ProposalToGnatt[[#This Row],[Start Date]],CJ$29&lt;ProposalToGnatt[[#This Row],[Start Date]]+ProposalToGnatt[[#This Row],[Days]]),$G$5,"")),"")</f>
        <v/>
      </c>
      <c r="CK42" s="37" t="str">
        <f ca="1">IFERROR(+IF(CK$29=ProposalToGnatt[[#This Row],[Start Date]],Milestone_Marker,IF(AND(CK$29&gt;ProposalToGnatt[[#This Row],[Start Date]],CK$29&lt;ProposalToGnatt[[#This Row],[Start Date]]+ProposalToGnatt[[#This Row],[Days]]),$G$5,"")),"")</f>
        <v/>
      </c>
      <c r="CL42" s="37" t="str">
        <f ca="1">IFERROR(+IF(CL$29=ProposalToGnatt[[#This Row],[Start Date]],Milestone_Marker,IF(AND(CL$29&gt;ProposalToGnatt[[#This Row],[Start Date]],CL$29&lt;ProposalToGnatt[[#This Row],[Start Date]]+ProposalToGnatt[[#This Row],[Days]]),$G$5,"")),"")</f>
        <v/>
      </c>
      <c r="CM42" s="37" t="str">
        <f ca="1">IFERROR(+IF(CM$29=ProposalToGnatt[[#This Row],[Start Date]],Milestone_Marker,IF(AND(CM$29&gt;ProposalToGnatt[[#This Row],[Start Date]],CM$29&lt;ProposalToGnatt[[#This Row],[Start Date]]+ProposalToGnatt[[#This Row],[Days]]),$G$5,"")),"")</f>
        <v/>
      </c>
      <c r="CN42" s="37" t="str">
        <f ca="1">IFERROR(+IF(CN$29=ProposalToGnatt[[#This Row],[Start Date]],Milestone_Marker,IF(AND(CN$29&gt;ProposalToGnatt[[#This Row],[Start Date]],CN$29&lt;ProposalToGnatt[[#This Row],[Start Date]]+ProposalToGnatt[[#This Row],[Days]]),$G$5,"")),"")</f>
        <v/>
      </c>
      <c r="CO42" s="37" t="str">
        <f ca="1">IFERROR(+IF(CO$29=ProposalToGnatt[[#This Row],[Start Date]],Milestone_Marker,IF(AND(CO$29&gt;ProposalToGnatt[[#This Row],[Start Date]],CO$29&lt;ProposalToGnatt[[#This Row],[Start Date]]+ProposalToGnatt[[#This Row],[Days]]),$G$5,"")),"")</f>
        <v/>
      </c>
      <c r="CP42" s="37" t="str">
        <f ca="1">IFERROR(+IF(CP$29=ProposalToGnatt[[#This Row],[Start Date]],Milestone_Marker,IF(AND(CP$29&gt;ProposalToGnatt[[#This Row],[Start Date]],CP$29&lt;ProposalToGnatt[[#This Row],[Start Date]]+ProposalToGnatt[[#This Row],[Days]]),$G$5,"")),"")</f>
        <v/>
      </c>
      <c r="CQ42" s="37" t="str">
        <f ca="1">IFERROR(+IF(CQ$29=ProposalToGnatt[[#This Row],[Start Date]],Milestone_Marker,IF(AND(CQ$29&gt;ProposalToGnatt[[#This Row],[Start Date]],CQ$29&lt;ProposalToGnatt[[#This Row],[Start Date]]+ProposalToGnatt[[#This Row],[Days]]),$G$5,"")),"")</f>
        <v/>
      </c>
      <c r="CR42" s="37" t="str">
        <f ca="1">IFERROR(+IF(CR$29=ProposalToGnatt[[#This Row],[Start Date]],Milestone_Marker,IF(AND(CR$29&gt;ProposalToGnatt[[#This Row],[Start Date]],CR$29&lt;ProposalToGnatt[[#This Row],[Start Date]]+ProposalToGnatt[[#This Row],[Days]]),$G$5,"")),"")</f>
        <v/>
      </c>
      <c r="CS42" s="37" t="str">
        <f ca="1">IFERROR(+IF(CS$29=ProposalToGnatt[[#This Row],[Start Date]],Milestone_Marker,IF(AND(CS$29&gt;ProposalToGnatt[[#This Row],[Start Date]],CS$29&lt;ProposalToGnatt[[#This Row],[Start Date]]+ProposalToGnatt[[#This Row],[Days]]),$G$5,"")),"")</f>
        <v/>
      </c>
      <c r="CT42" s="37" t="str">
        <f ca="1">IFERROR(+IF(CT$29=ProposalToGnatt[[#This Row],[Start Date]],Milestone_Marker,IF(AND(CT$29&gt;ProposalToGnatt[[#This Row],[Start Date]],CT$29&lt;ProposalToGnatt[[#This Row],[Start Date]]+ProposalToGnatt[[#This Row],[Days]]),$G$5,"")),"")</f>
        <v/>
      </c>
      <c r="CU42" s="37" t="str">
        <f ca="1">IFERROR(+IF(CU$29=ProposalToGnatt[[#This Row],[Start Date]],Milestone_Marker,IF(AND(CU$29&gt;ProposalToGnatt[[#This Row],[Start Date]],CU$29&lt;ProposalToGnatt[[#This Row],[Start Date]]+ProposalToGnatt[[#This Row],[Days]]),$G$5,"")),"")</f>
        <v/>
      </c>
      <c r="CV42" s="37"/>
      <c r="CW42" s="37"/>
      <c r="CX42" s="37"/>
      <c r="CY42" s="37"/>
      <c r="CZ42" s="37"/>
      <c r="DA42" s="37"/>
      <c r="DB42" s="37"/>
      <c r="DC42" s="37"/>
      <c r="DD42" s="37"/>
      <c r="DE42" s="37"/>
      <c r="DF42" s="37"/>
      <c r="DG42" s="37"/>
      <c r="DH42" s="37"/>
      <c r="DI42" s="37"/>
      <c r="DJ42" s="37"/>
      <c r="DK42" s="37"/>
      <c r="DL42" s="37"/>
      <c r="DM42" s="37"/>
      <c r="DN42" s="37"/>
      <c r="DO42" s="37"/>
      <c r="DP42" s="37"/>
      <c r="DQ42" s="37"/>
      <c r="DR42" s="37"/>
      <c r="DS42" s="37"/>
      <c r="DT42" s="37"/>
      <c r="DU42" s="37"/>
    </row>
    <row r="43" spans="1:125" s="42" customFormat="1" ht="15" x14ac:dyDescent="0.25">
      <c r="A43" t="s">
        <v>428</v>
      </c>
      <c r="B43">
        <v>22</v>
      </c>
      <c r="C43" t="s">
        <v>339</v>
      </c>
      <c r="D43" t="s">
        <v>340</v>
      </c>
      <c r="E43" t="s">
        <v>339</v>
      </c>
      <c r="F43">
        <v>1</v>
      </c>
      <c r="G43" s="14">
        <v>4252.5</v>
      </c>
      <c r="H43" s="14">
        <v>4252.5</v>
      </c>
      <c r="I43" t="s">
        <v>45</v>
      </c>
      <c r="J43">
        <v>1</v>
      </c>
      <c r="K43" s="303">
        <v>45229</v>
      </c>
      <c r="L43">
        <v>7</v>
      </c>
      <c r="M43" s="14"/>
      <c r="N43" s="352">
        <v>4252.5</v>
      </c>
      <c r="O43" s="340"/>
      <c r="P43" s="37" t="str">
        <f ca="1">IFERROR(+IF(P$29=ProposalToGnatt[[#This Row],[Start Date]],Milestone_Marker,IF(AND(P$29&gt;ProposalToGnatt[[#This Row],[Start Date]],P$29&lt;ProposalToGnatt[[#This Row],[Start Date]]+ProposalToGnatt[[#This Row],[Days]]),$G$5,"")),"")</f>
        <v/>
      </c>
      <c r="Q43" s="37" t="str">
        <f ca="1">IFERROR(+IF(Q$29=ProposalToGnatt[[#This Row],[Start Date]],Milestone_Marker,IF(AND(Q$29&gt;ProposalToGnatt[[#This Row],[Start Date]],Q$29&lt;ProposalToGnatt[[#This Row],[Start Date]]+ProposalToGnatt[[#This Row],[Days]]),$G$5,"")),"")</f>
        <v/>
      </c>
      <c r="R43" s="37" t="str">
        <f ca="1">IFERROR(+IF(R$29=ProposalToGnatt[[#This Row],[Start Date]],Milestone_Marker,IF(AND(R$29&gt;ProposalToGnatt[[#This Row],[Start Date]],R$29&lt;ProposalToGnatt[[#This Row],[Start Date]]+ProposalToGnatt[[#This Row],[Days]]),$G$5,"")),"")</f>
        <v/>
      </c>
      <c r="S43" s="37" t="str">
        <f ca="1">IFERROR(+IF(S$29=ProposalToGnatt[[#This Row],[Start Date]],Milestone_Marker,IF(AND(S$29&gt;ProposalToGnatt[[#This Row],[Start Date]],S$29&lt;ProposalToGnatt[[#This Row],[Start Date]]+ProposalToGnatt[[#This Row],[Days]]),$G$5,"")),"")</f>
        <v/>
      </c>
      <c r="T43" s="37" t="str">
        <f ca="1">IFERROR(+IF(T$29=ProposalToGnatt[[#This Row],[Start Date]],Milestone_Marker,IF(AND(T$29&gt;ProposalToGnatt[[#This Row],[Start Date]],T$29&lt;ProposalToGnatt[[#This Row],[Start Date]]+ProposalToGnatt[[#This Row],[Days]]),$G$5,"")),"")</f>
        <v/>
      </c>
      <c r="U43" s="37" t="str">
        <f ca="1">IFERROR(+IF(U$29=ProposalToGnatt[[#This Row],[Start Date]],Milestone_Marker,IF(AND(U$29&gt;ProposalToGnatt[[#This Row],[Start Date]],U$29&lt;ProposalToGnatt[[#This Row],[Start Date]]+ProposalToGnatt[[#This Row],[Days]]),$G$5,"")),"")</f>
        <v/>
      </c>
      <c r="V43" s="37" t="str">
        <f ca="1">IFERROR(+IF(V$29=ProposalToGnatt[[#This Row],[Start Date]],Milestone_Marker,IF(AND(V$29&gt;ProposalToGnatt[[#This Row],[Start Date]],V$29&lt;ProposalToGnatt[[#This Row],[Start Date]]+ProposalToGnatt[[#This Row],[Days]]),$G$5,"")),"")</f>
        <v/>
      </c>
      <c r="W43" s="37" t="str">
        <f ca="1">IFERROR(+IF(W$29=ProposalToGnatt[[#This Row],[Start Date]],Milestone_Marker,IF(AND(W$29&gt;ProposalToGnatt[[#This Row],[Start Date]],W$29&lt;ProposalToGnatt[[#This Row],[Start Date]]+ProposalToGnatt[[#This Row],[Days]]),$G$5,"")),"")</f>
        <v/>
      </c>
      <c r="X43" s="37" t="str">
        <f ca="1">IFERROR(+IF(X$29=ProposalToGnatt[[#This Row],[Start Date]],Milestone_Marker,IF(AND(X$29&gt;ProposalToGnatt[[#This Row],[Start Date]],X$29&lt;ProposalToGnatt[[#This Row],[Start Date]]+ProposalToGnatt[[#This Row],[Days]]),$G$5,"")),"")</f>
        <v/>
      </c>
      <c r="Y43" s="37" t="str">
        <f ca="1">IFERROR(+IF(Y$29=ProposalToGnatt[[#This Row],[Start Date]],Milestone_Marker,IF(AND(Y$29&gt;ProposalToGnatt[[#This Row],[Start Date]],Y$29&lt;ProposalToGnatt[[#This Row],[Start Date]]+ProposalToGnatt[[#This Row],[Days]]),$G$5,"")),"")</f>
        <v/>
      </c>
      <c r="Z43" s="37" t="str">
        <f ca="1">IFERROR(+IF(Z$29=ProposalToGnatt[[#This Row],[Start Date]],Milestone_Marker,IF(AND(Z$29&gt;ProposalToGnatt[[#This Row],[Start Date]],Z$29&lt;ProposalToGnatt[[#This Row],[Start Date]]+ProposalToGnatt[[#This Row],[Days]]),$G$5,"")),"")</f>
        <v/>
      </c>
      <c r="AA43" s="37" t="str">
        <f ca="1">IFERROR(+IF(AA$29=ProposalToGnatt[[#This Row],[Start Date]],Milestone_Marker,IF(AND(AA$29&gt;ProposalToGnatt[[#This Row],[Start Date]],AA$29&lt;ProposalToGnatt[[#This Row],[Start Date]]+ProposalToGnatt[[#This Row],[Days]]),$G$5,"")),"")</f>
        <v/>
      </c>
      <c r="AB43" s="37" t="str">
        <f ca="1">IFERROR(+IF(AB$29=ProposalToGnatt[[#This Row],[Start Date]],Milestone_Marker,IF(AND(AB$29&gt;ProposalToGnatt[[#This Row],[Start Date]],AB$29&lt;ProposalToGnatt[[#This Row],[Start Date]]+ProposalToGnatt[[#This Row],[Days]]),$G$5,"")),"")</f>
        <v/>
      </c>
      <c r="AC43" s="37" t="str">
        <f ca="1">IFERROR(+IF(AC$29=ProposalToGnatt[[#This Row],[Start Date]],Milestone_Marker,IF(AND(AC$29&gt;ProposalToGnatt[[#This Row],[Start Date]],AC$29&lt;ProposalToGnatt[[#This Row],[Start Date]]+ProposalToGnatt[[#This Row],[Days]]),$G$5,"")),"")</f>
        <v/>
      </c>
      <c r="AD43" s="37" t="str">
        <f ca="1">IFERROR(+IF(AD$29=ProposalToGnatt[[#This Row],[Start Date]],Milestone_Marker,IF(AND(AD$29&gt;ProposalToGnatt[[#This Row],[Start Date]],AD$29&lt;ProposalToGnatt[[#This Row],[Start Date]]+ProposalToGnatt[[#This Row],[Days]]),$G$5,"")),"")</f>
        <v/>
      </c>
      <c r="AE43" s="37" t="str">
        <f ca="1">IFERROR(+IF(AE$29=ProposalToGnatt[[#This Row],[Start Date]],Milestone_Marker,IF(AND(AE$29&gt;ProposalToGnatt[[#This Row],[Start Date]],AE$29&lt;ProposalToGnatt[[#This Row],[Start Date]]+ProposalToGnatt[[#This Row],[Days]]),$G$5,"")),"")</f>
        <v/>
      </c>
      <c r="AF43" s="37" t="str">
        <f ca="1">IFERROR(+IF(AF$29=ProposalToGnatt[[#This Row],[Start Date]],Milestone_Marker,IF(AND(AF$29&gt;ProposalToGnatt[[#This Row],[Start Date]],AF$29&lt;ProposalToGnatt[[#This Row],[Start Date]]+ProposalToGnatt[[#This Row],[Days]]),$G$5,"")),"")</f>
        <v/>
      </c>
      <c r="AG43" s="37">
        <f ca="1">IFERROR(+IF(AG$29=ProposalToGnatt[[#This Row],[Start Date]],Milestone_Marker,IF(AND(AG$29&gt;ProposalToGnatt[[#This Row],[Start Date]],AG$29&lt;ProposalToGnatt[[#This Row],[Start Date]]+ProposalToGnatt[[#This Row],[Days]]),$G$5,"")),"")</f>
        <v>1</v>
      </c>
      <c r="AH43" s="37">
        <f ca="1">IFERROR(+IF(AH$29=ProposalToGnatt[[#This Row],[Start Date]],Milestone_Marker,IF(AND(AH$29&gt;ProposalToGnatt[[#This Row],[Start Date]],AH$29&lt;ProposalToGnatt[[#This Row],[Start Date]]+ProposalToGnatt[[#This Row],[Days]]),$G$5,"")),"")</f>
        <v>2</v>
      </c>
      <c r="AI43" s="37">
        <f ca="1">IFERROR(+IF(AI$29=ProposalToGnatt[[#This Row],[Start Date]],Milestone_Marker,IF(AND(AI$29&gt;ProposalToGnatt[[#This Row],[Start Date]],AI$29&lt;ProposalToGnatt[[#This Row],[Start Date]]+ProposalToGnatt[[#This Row],[Days]]),$G$5,"")),"")</f>
        <v>2</v>
      </c>
      <c r="AJ43" s="37">
        <f ca="1">IFERROR(+IF(AJ$29=ProposalToGnatt[[#This Row],[Start Date]],Milestone_Marker,IF(AND(AJ$29&gt;ProposalToGnatt[[#This Row],[Start Date]],AJ$29&lt;ProposalToGnatt[[#This Row],[Start Date]]+ProposalToGnatt[[#This Row],[Days]]),$G$5,"")),"")</f>
        <v>2</v>
      </c>
      <c r="AK43" s="37">
        <f ca="1">IFERROR(+IF(AK$29=ProposalToGnatt[[#This Row],[Start Date]],Milestone_Marker,IF(AND(AK$29&gt;ProposalToGnatt[[#This Row],[Start Date]],AK$29&lt;ProposalToGnatt[[#This Row],[Start Date]]+ProposalToGnatt[[#This Row],[Days]]),$G$5,"")),"")</f>
        <v>2</v>
      </c>
      <c r="AL43" s="37">
        <f ca="1">IFERROR(+IF(AL$29=ProposalToGnatt[[#This Row],[Start Date]],Milestone_Marker,IF(AND(AL$29&gt;ProposalToGnatt[[#This Row],[Start Date]],AL$29&lt;ProposalToGnatt[[#This Row],[Start Date]]+ProposalToGnatt[[#This Row],[Days]]),$G$5,"")),"")</f>
        <v>2</v>
      </c>
      <c r="AM43" s="37">
        <f ca="1">IFERROR(+IF(AM$29=ProposalToGnatt[[#This Row],[Start Date]],Milestone_Marker,IF(AND(AM$29&gt;ProposalToGnatt[[#This Row],[Start Date]],AM$29&lt;ProposalToGnatt[[#This Row],[Start Date]]+ProposalToGnatt[[#This Row],[Days]]),$G$5,"")),"")</f>
        <v>2</v>
      </c>
      <c r="AN43" s="37" t="str">
        <f ca="1">IFERROR(+IF(AN$29=ProposalToGnatt[[#This Row],[Start Date]],Milestone_Marker,IF(AND(AN$29&gt;ProposalToGnatt[[#This Row],[Start Date]],AN$29&lt;ProposalToGnatt[[#This Row],[Start Date]]+ProposalToGnatt[[#This Row],[Days]]),$G$5,"")),"")</f>
        <v/>
      </c>
      <c r="AO43" s="37" t="str">
        <f ca="1">IFERROR(+IF(AO$29=ProposalToGnatt[[#This Row],[Start Date]],Milestone_Marker,IF(AND(AO$29&gt;ProposalToGnatt[[#This Row],[Start Date]],AO$29&lt;ProposalToGnatt[[#This Row],[Start Date]]+ProposalToGnatt[[#This Row],[Days]]),$G$5,"")),"")</f>
        <v/>
      </c>
      <c r="AP43" s="37" t="str">
        <f ca="1">IFERROR(+IF(AP$29=ProposalToGnatt[[#This Row],[Start Date]],Milestone_Marker,IF(AND(AP$29&gt;ProposalToGnatt[[#This Row],[Start Date]],AP$29&lt;ProposalToGnatt[[#This Row],[Start Date]]+ProposalToGnatt[[#This Row],[Days]]),$G$5,"")),"")</f>
        <v/>
      </c>
      <c r="AQ43" s="37" t="str">
        <f ca="1">IFERROR(+IF(AQ$29=ProposalToGnatt[[#This Row],[Start Date]],Milestone_Marker,IF(AND(AQ$29&gt;ProposalToGnatt[[#This Row],[Start Date]],AQ$29&lt;ProposalToGnatt[[#This Row],[Start Date]]+ProposalToGnatt[[#This Row],[Days]]),$G$5,"")),"")</f>
        <v/>
      </c>
      <c r="AR43" s="37" t="str">
        <f ca="1">IFERROR(+IF(AR$29=ProposalToGnatt[[#This Row],[Start Date]],Milestone_Marker,IF(AND(AR$29&gt;ProposalToGnatt[[#This Row],[Start Date]],AR$29&lt;ProposalToGnatt[[#This Row],[Start Date]]+ProposalToGnatt[[#This Row],[Days]]),$G$5,"")),"")</f>
        <v/>
      </c>
      <c r="AS43" s="37" t="str">
        <f ca="1">IFERROR(+IF(AS$29=ProposalToGnatt[[#This Row],[Start Date]],Milestone_Marker,IF(AND(AS$29&gt;ProposalToGnatt[[#This Row],[Start Date]],AS$29&lt;ProposalToGnatt[[#This Row],[Start Date]]+ProposalToGnatt[[#This Row],[Days]]),$G$5,"")),"")</f>
        <v/>
      </c>
      <c r="AT43" s="37" t="str">
        <f ca="1">IFERROR(+IF(AT$29=ProposalToGnatt[[#This Row],[Start Date]],Milestone_Marker,IF(AND(AT$29&gt;ProposalToGnatt[[#This Row],[Start Date]],AT$29&lt;ProposalToGnatt[[#This Row],[Start Date]]+ProposalToGnatt[[#This Row],[Days]]),$G$5,"")),"")</f>
        <v/>
      </c>
      <c r="AU43" s="37" t="str">
        <f ca="1">IFERROR(+IF(AU$29=ProposalToGnatt[[#This Row],[Start Date]],Milestone_Marker,IF(AND(AU$29&gt;ProposalToGnatt[[#This Row],[Start Date]],AU$29&lt;ProposalToGnatt[[#This Row],[Start Date]]+ProposalToGnatt[[#This Row],[Days]]),$G$5,"")),"")</f>
        <v/>
      </c>
      <c r="AV43" s="37" t="str">
        <f ca="1">IFERROR(+IF(AV$29=ProposalToGnatt[[#This Row],[Start Date]],Milestone_Marker,IF(AND(AV$29&gt;ProposalToGnatt[[#This Row],[Start Date]],AV$29&lt;ProposalToGnatt[[#This Row],[Start Date]]+ProposalToGnatt[[#This Row],[Days]]),$G$5,"")),"")</f>
        <v/>
      </c>
      <c r="AW43" s="37" t="str">
        <f ca="1">IFERROR(+IF(AW$29=ProposalToGnatt[[#This Row],[Start Date]],Milestone_Marker,IF(AND(AW$29&gt;ProposalToGnatt[[#This Row],[Start Date]],AW$29&lt;ProposalToGnatt[[#This Row],[Start Date]]+ProposalToGnatt[[#This Row],[Days]]),$G$5,"")),"")</f>
        <v/>
      </c>
      <c r="AX43" s="37" t="str">
        <f ca="1">IFERROR(+IF(AX$29=ProposalToGnatt[[#This Row],[Start Date]],Milestone_Marker,IF(AND(AX$29&gt;ProposalToGnatt[[#This Row],[Start Date]],AX$29&lt;ProposalToGnatt[[#This Row],[Start Date]]+ProposalToGnatt[[#This Row],[Days]]),$G$5,"")),"")</f>
        <v/>
      </c>
      <c r="AY43" s="37" t="str">
        <f ca="1">IFERROR(+IF(AY$29=ProposalToGnatt[[#This Row],[Start Date]],Milestone_Marker,IF(AND(AY$29&gt;ProposalToGnatt[[#This Row],[Start Date]],AY$29&lt;ProposalToGnatt[[#This Row],[Start Date]]+ProposalToGnatt[[#This Row],[Days]]),$G$5,"")),"")</f>
        <v/>
      </c>
      <c r="AZ43" s="37" t="str">
        <f ca="1">IFERROR(+IF(AZ$29=ProposalToGnatt[[#This Row],[Start Date]],Milestone_Marker,IF(AND(AZ$29&gt;ProposalToGnatt[[#This Row],[Start Date]],AZ$29&lt;ProposalToGnatt[[#This Row],[Start Date]]+ProposalToGnatt[[#This Row],[Days]]),$G$5,"")),"")</f>
        <v/>
      </c>
      <c r="BA43" s="37" t="str">
        <f ca="1">IFERROR(+IF(BA$29=ProposalToGnatt[[#This Row],[Start Date]],Milestone_Marker,IF(AND(BA$29&gt;ProposalToGnatt[[#This Row],[Start Date]],BA$29&lt;ProposalToGnatt[[#This Row],[Start Date]]+ProposalToGnatt[[#This Row],[Days]]),$G$5,"")),"")</f>
        <v/>
      </c>
      <c r="BB43" s="37" t="str">
        <f ca="1">IFERROR(+IF(BB$29=ProposalToGnatt[[#This Row],[Start Date]],Milestone_Marker,IF(AND(BB$29&gt;ProposalToGnatt[[#This Row],[Start Date]],BB$29&lt;ProposalToGnatt[[#This Row],[Start Date]]+ProposalToGnatt[[#This Row],[Days]]),$G$5,"")),"")</f>
        <v/>
      </c>
      <c r="BC43" s="37" t="str">
        <f ca="1">IFERROR(+IF(BC$29=ProposalToGnatt[[#This Row],[Start Date]],Milestone_Marker,IF(AND(BC$29&gt;ProposalToGnatt[[#This Row],[Start Date]],BC$29&lt;ProposalToGnatt[[#This Row],[Start Date]]+ProposalToGnatt[[#This Row],[Days]]),$G$5,"")),"")</f>
        <v/>
      </c>
      <c r="BD43" s="37" t="str">
        <f ca="1">IFERROR(+IF(BD$29=ProposalToGnatt[[#This Row],[Start Date]],Milestone_Marker,IF(AND(BD$29&gt;ProposalToGnatt[[#This Row],[Start Date]],BD$29&lt;ProposalToGnatt[[#This Row],[Start Date]]+ProposalToGnatt[[#This Row],[Days]]),$G$5,"")),"")</f>
        <v/>
      </c>
      <c r="BE43" s="37" t="str">
        <f ca="1">IFERROR(+IF(BE$29=ProposalToGnatt[[#This Row],[Start Date]],Milestone_Marker,IF(AND(BE$29&gt;ProposalToGnatt[[#This Row],[Start Date]],BE$29&lt;ProposalToGnatt[[#This Row],[Start Date]]+ProposalToGnatt[[#This Row],[Days]]),$G$5,"")),"")</f>
        <v/>
      </c>
      <c r="BF43" s="37" t="str">
        <f ca="1">IFERROR(+IF(BF$29=ProposalToGnatt[[#This Row],[Start Date]],Milestone_Marker,IF(AND(BF$29&gt;ProposalToGnatt[[#This Row],[Start Date]],BF$29&lt;ProposalToGnatt[[#This Row],[Start Date]]+ProposalToGnatt[[#This Row],[Days]]),$G$5,"")),"")</f>
        <v/>
      </c>
      <c r="BG43" s="37" t="str">
        <f ca="1">IFERROR(+IF(BG$29=ProposalToGnatt[[#This Row],[Start Date]],Milestone_Marker,IF(AND(BG$29&gt;ProposalToGnatt[[#This Row],[Start Date]],BG$29&lt;ProposalToGnatt[[#This Row],[Start Date]]+ProposalToGnatt[[#This Row],[Days]]),$G$5,"")),"")</f>
        <v/>
      </c>
      <c r="BH43" s="37" t="str">
        <f ca="1">IFERROR(+IF(BH$29=ProposalToGnatt[[#This Row],[Start Date]],Milestone_Marker,IF(AND(BH$29&gt;ProposalToGnatt[[#This Row],[Start Date]],BH$29&lt;ProposalToGnatt[[#This Row],[Start Date]]+ProposalToGnatt[[#This Row],[Days]]),$G$5,"")),"")</f>
        <v/>
      </c>
      <c r="BI43" s="37" t="str">
        <f ca="1">IFERROR(+IF(BI$29=ProposalToGnatt[[#This Row],[Start Date]],Milestone_Marker,IF(AND(BI$29&gt;ProposalToGnatt[[#This Row],[Start Date]],BI$29&lt;ProposalToGnatt[[#This Row],[Start Date]]+ProposalToGnatt[[#This Row],[Days]]),$G$5,"")),"")</f>
        <v/>
      </c>
      <c r="BJ43" s="37" t="str">
        <f ca="1">IFERROR(+IF(BJ$29=ProposalToGnatt[[#This Row],[Start Date]],Milestone_Marker,IF(AND(BJ$29&gt;ProposalToGnatt[[#This Row],[Start Date]],BJ$29&lt;ProposalToGnatt[[#This Row],[Start Date]]+ProposalToGnatt[[#This Row],[Days]]),$G$5,"")),"")</f>
        <v/>
      </c>
      <c r="BK43" s="37" t="str">
        <f ca="1">IFERROR(+IF(BK$29=ProposalToGnatt[[#This Row],[Start Date]],Milestone_Marker,IF(AND(BK$29&gt;ProposalToGnatt[[#This Row],[Start Date]],BK$29&lt;ProposalToGnatt[[#This Row],[Start Date]]+ProposalToGnatt[[#This Row],[Days]]),$G$5,"")),"")</f>
        <v/>
      </c>
      <c r="BL43" s="37" t="str">
        <f ca="1">IFERROR(+IF(BL$29=ProposalToGnatt[[#This Row],[Start Date]],Milestone_Marker,IF(AND(BL$29&gt;ProposalToGnatt[[#This Row],[Start Date]],BL$29&lt;ProposalToGnatt[[#This Row],[Start Date]]+ProposalToGnatt[[#This Row],[Days]]),$G$5,"")),"")</f>
        <v/>
      </c>
      <c r="BM43" s="37" t="str">
        <f ca="1">IFERROR(+IF(BM$29=ProposalToGnatt[[#This Row],[Start Date]],Milestone_Marker,IF(AND(BM$29&gt;ProposalToGnatt[[#This Row],[Start Date]],BM$29&lt;ProposalToGnatt[[#This Row],[Start Date]]+ProposalToGnatt[[#This Row],[Days]]),$G$5,"")),"")</f>
        <v/>
      </c>
      <c r="BN43" s="37" t="str">
        <f ca="1">IFERROR(+IF(BN$29=ProposalToGnatt[[#This Row],[Start Date]],Milestone_Marker,IF(AND(BN$29&gt;ProposalToGnatt[[#This Row],[Start Date]],BN$29&lt;ProposalToGnatt[[#This Row],[Start Date]]+ProposalToGnatt[[#This Row],[Days]]),$G$5,"")),"")</f>
        <v/>
      </c>
      <c r="BO43" s="37" t="str">
        <f ca="1">IFERROR(+IF(BO$29=ProposalToGnatt[[#This Row],[Start Date]],Milestone_Marker,IF(AND(BO$29&gt;ProposalToGnatt[[#This Row],[Start Date]],BO$29&lt;ProposalToGnatt[[#This Row],[Start Date]]+ProposalToGnatt[[#This Row],[Days]]),$G$5,"")),"")</f>
        <v/>
      </c>
      <c r="BP43" s="37" t="str">
        <f ca="1">IFERROR(+IF(BP$29=ProposalToGnatt[[#This Row],[Start Date]],Milestone_Marker,IF(AND(BP$29&gt;ProposalToGnatt[[#This Row],[Start Date]],BP$29&lt;ProposalToGnatt[[#This Row],[Start Date]]+ProposalToGnatt[[#This Row],[Days]]),$G$5,"")),"")</f>
        <v/>
      </c>
      <c r="BQ43" s="37" t="str">
        <f ca="1">IFERROR(+IF(BQ$29=ProposalToGnatt[[#This Row],[Start Date]],Milestone_Marker,IF(AND(BQ$29&gt;ProposalToGnatt[[#This Row],[Start Date]],BQ$29&lt;ProposalToGnatt[[#This Row],[Start Date]]+ProposalToGnatt[[#This Row],[Days]]),$G$5,"")),"")</f>
        <v/>
      </c>
      <c r="BR43" s="37" t="str">
        <f ca="1">IFERROR(+IF(BR$29=ProposalToGnatt[[#This Row],[Start Date]],Milestone_Marker,IF(AND(BR$29&gt;ProposalToGnatt[[#This Row],[Start Date]],BR$29&lt;ProposalToGnatt[[#This Row],[Start Date]]+ProposalToGnatt[[#This Row],[Days]]),$G$5,"")),"")</f>
        <v/>
      </c>
      <c r="BS43" s="37" t="str">
        <f ca="1">IFERROR(+IF(BS$29=ProposalToGnatt[[#This Row],[Start Date]],Milestone_Marker,IF(AND(BS$29&gt;ProposalToGnatt[[#This Row],[Start Date]],BS$29&lt;ProposalToGnatt[[#This Row],[Start Date]]+ProposalToGnatt[[#This Row],[Days]]),$G$5,"")),"")</f>
        <v/>
      </c>
      <c r="BT43" s="37" t="str">
        <f ca="1">IFERROR(+IF(BT$29=ProposalToGnatt[[#This Row],[Start Date]],Milestone_Marker,IF(AND(BT$29&gt;ProposalToGnatt[[#This Row],[Start Date]],BT$29&lt;ProposalToGnatt[[#This Row],[Start Date]]+ProposalToGnatt[[#This Row],[Days]]),$G$5,"")),"")</f>
        <v/>
      </c>
      <c r="BU43" s="37" t="str">
        <f ca="1">IFERROR(+IF(BU$29=ProposalToGnatt[[#This Row],[Start Date]],Milestone_Marker,IF(AND(BU$29&gt;ProposalToGnatt[[#This Row],[Start Date]],BU$29&lt;ProposalToGnatt[[#This Row],[Start Date]]+ProposalToGnatt[[#This Row],[Days]]),$G$5,"")),"")</f>
        <v/>
      </c>
      <c r="BV43" s="37" t="str">
        <f ca="1">IFERROR(+IF(BV$29=ProposalToGnatt[[#This Row],[Start Date]],Milestone_Marker,IF(AND(BV$29&gt;ProposalToGnatt[[#This Row],[Start Date]],BV$29&lt;ProposalToGnatt[[#This Row],[Start Date]]+ProposalToGnatt[[#This Row],[Days]]),$G$5,"")),"")</f>
        <v/>
      </c>
      <c r="BW43" s="37" t="str">
        <f ca="1">IFERROR(+IF(BW$29=ProposalToGnatt[[#This Row],[Start Date]],Milestone_Marker,IF(AND(BW$29&gt;ProposalToGnatt[[#This Row],[Start Date]],BW$29&lt;ProposalToGnatt[[#This Row],[Start Date]]+ProposalToGnatt[[#This Row],[Days]]),$G$5,"")),"")</f>
        <v/>
      </c>
      <c r="BX43" s="37" t="str">
        <f ca="1">IFERROR(+IF(BX$29=ProposalToGnatt[[#This Row],[Start Date]],Milestone_Marker,IF(AND(BX$29&gt;ProposalToGnatt[[#This Row],[Start Date]],BX$29&lt;ProposalToGnatt[[#This Row],[Start Date]]+ProposalToGnatt[[#This Row],[Days]]),$G$5,"")),"")</f>
        <v/>
      </c>
      <c r="BY43" s="37" t="str">
        <f ca="1">IFERROR(+IF(BY$29=ProposalToGnatt[[#This Row],[Start Date]],Milestone_Marker,IF(AND(BY$29&gt;ProposalToGnatt[[#This Row],[Start Date]],BY$29&lt;ProposalToGnatt[[#This Row],[Start Date]]+ProposalToGnatt[[#This Row],[Days]]),$G$5,"")),"")</f>
        <v/>
      </c>
      <c r="BZ43" s="37" t="str">
        <f ca="1">IFERROR(+IF(BZ$29=ProposalToGnatt[[#This Row],[Start Date]],Milestone_Marker,IF(AND(BZ$29&gt;ProposalToGnatt[[#This Row],[Start Date]],BZ$29&lt;ProposalToGnatt[[#This Row],[Start Date]]+ProposalToGnatt[[#This Row],[Days]]),$G$5,"")),"")</f>
        <v/>
      </c>
      <c r="CA43" s="37" t="str">
        <f ca="1">IFERROR(+IF(CA$29=ProposalToGnatt[[#This Row],[Start Date]],Milestone_Marker,IF(AND(CA$29&gt;ProposalToGnatt[[#This Row],[Start Date]],CA$29&lt;ProposalToGnatt[[#This Row],[Start Date]]+ProposalToGnatt[[#This Row],[Days]]),$G$5,"")),"")</f>
        <v/>
      </c>
      <c r="CB43" s="37" t="str">
        <f ca="1">IFERROR(+IF(CB$29=ProposalToGnatt[[#This Row],[Start Date]],Milestone_Marker,IF(AND(CB$29&gt;ProposalToGnatt[[#This Row],[Start Date]],CB$29&lt;ProposalToGnatt[[#This Row],[Start Date]]+ProposalToGnatt[[#This Row],[Days]]),$G$5,"")),"")</f>
        <v/>
      </c>
      <c r="CC43" s="37" t="str">
        <f ca="1">IFERROR(+IF(CC$29=ProposalToGnatt[[#This Row],[Start Date]],Milestone_Marker,IF(AND(CC$29&gt;ProposalToGnatt[[#This Row],[Start Date]],CC$29&lt;ProposalToGnatt[[#This Row],[Start Date]]+ProposalToGnatt[[#This Row],[Days]]),$G$5,"")),"")</f>
        <v/>
      </c>
      <c r="CD43" s="37" t="str">
        <f ca="1">IFERROR(+IF(CD$29=ProposalToGnatt[[#This Row],[Start Date]],Milestone_Marker,IF(AND(CD$29&gt;ProposalToGnatt[[#This Row],[Start Date]],CD$29&lt;ProposalToGnatt[[#This Row],[Start Date]]+ProposalToGnatt[[#This Row],[Days]]),$G$5,"")),"")</f>
        <v/>
      </c>
      <c r="CE43" s="37" t="str">
        <f ca="1">IFERROR(+IF(CE$29=ProposalToGnatt[[#This Row],[Start Date]],Milestone_Marker,IF(AND(CE$29&gt;ProposalToGnatt[[#This Row],[Start Date]],CE$29&lt;ProposalToGnatt[[#This Row],[Start Date]]+ProposalToGnatt[[#This Row],[Days]]),$G$5,"")),"")</f>
        <v/>
      </c>
      <c r="CF43" s="37" t="str">
        <f ca="1">IFERROR(+IF(CF$29=ProposalToGnatt[[#This Row],[Start Date]],Milestone_Marker,IF(AND(CF$29&gt;ProposalToGnatt[[#This Row],[Start Date]],CF$29&lt;ProposalToGnatt[[#This Row],[Start Date]]+ProposalToGnatt[[#This Row],[Days]]),$G$5,"")),"")</f>
        <v/>
      </c>
      <c r="CG43" s="37" t="str">
        <f ca="1">IFERROR(+IF(CG$29=ProposalToGnatt[[#This Row],[Start Date]],Milestone_Marker,IF(AND(CG$29&gt;ProposalToGnatt[[#This Row],[Start Date]],CG$29&lt;ProposalToGnatt[[#This Row],[Start Date]]+ProposalToGnatt[[#This Row],[Days]]),$G$5,"")),"")</f>
        <v/>
      </c>
      <c r="CH43" s="37" t="str">
        <f ca="1">IFERROR(+IF(CH$29=ProposalToGnatt[[#This Row],[Start Date]],Milestone_Marker,IF(AND(CH$29&gt;ProposalToGnatt[[#This Row],[Start Date]],CH$29&lt;ProposalToGnatt[[#This Row],[Start Date]]+ProposalToGnatt[[#This Row],[Days]]),$G$5,"")),"")</f>
        <v/>
      </c>
      <c r="CI43" s="37" t="str">
        <f ca="1">IFERROR(+IF(CI$29=ProposalToGnatt[[#This Row],[Start Date]],Milestone_Marker,IF(AND(CI$29&gt;ProposalToGnatt[[#This Row],[Start Date]],CI$29&lt;ProposalToGnatt[[#This Row],[Start Date]]+ProposalToGnatt[[#This Row],[Days]]),$G$5,"")),"")</f>
        <v/>
      </c>
      <c r="CJ43" s="37" t="str">
        <f ca="1">IFERROR(+IF(CJ$29=ProposalToGnatt[[#This Row],[Start Date]],Milestone_Marker,IF(AND(CJ$29&gt;ProposalToGnatt[[#This Row],[Start Date]],CJ$29&lt;ProposalToGnatt[[#This Row],[Start Date]]+ProposalToGnatt[[#This Row],[Days]]),$G$5,"")),"")</f>
        <v/>
      </c>
      <c r="CK43" s="37" t="str">
        <f ca="1">IFERROR(+IF(CK$29=ProposalToGnatt[[#This Row],[Start Date]],Milestone_Marker,IF(AND(CK$29&gt;ProposalToGnatt[[#This Row],[Start Date]],CK$29&lt;ProposalToGnatt[[#This Row],[Start Date]]+ProposalToGnatt[[#This Row],[Days]]),$G$5,"")),"")</f>
        <v/>
      </c>
      <c r="CL43" s="37" t="str">
        <f ca="1">IFERROR(+IF(CL$29=ProposalToGnatt[[#This Row],[Start Date]],Milestone_Marker,IF(AND(CL$29&gt;ProposalToGnatt[[#This Row],[Start Date]],CL$29&lt;ProposalToGnatt[[#This Row],[Start Date]]+ProposalToGnatt[[#This Row],[Days]]),$G$5,"")),"")</f>
        <v/>
      </c>
      <c r="CM43" s="37" t="str">
        <f ca="1">IFERROR(+IF(CM$29=ProposalToGnatt[[#This Row],[Start Date]],Milestone_Marker,IF(AND(CM$29&gt;ProposalToGnatt[[#This Row],[Start Date]],CM$29&lt;ProposalToGnatt[[#This Row],[Start Date]]+ProposalToGnatt[[#This Row],[Days]]),$G$5,"")),"")</f>
        <v/>
      </c>
      <c r="CN43" s="37" t="str">
        <f ca="1">IFERROR(+IF(CN$29=ProposalToGnatt[[#This Row],[Start Date]],Milestone_Marker,IF(AND(CN$29&gt;ProposalToGnatt[[#This Row],[Start Date]],CN$29&lt;ProposalToGnatt[[#This Row],[Start Date]]+ProposalToGnatt[[#This Row],[Days]]),$G$5,"")),"")</f>
        <v/>
      </c>
      <c r="CO43" s="37" t="str">
        <f ca="1">IFERROR(+IF(CO$29=ProposalToGnatt[[#This Row],[Start Date]],Milestone_Marker,IF(AND(CO$29&gt;ProposalToGnatt[[#This Row],[Start Date]],CO$29&lt;ProposalToGnatt[[#This Row],[Start Date]]+ProposalToGnatt[[#This Row],[Days]]),$G$5,"")),"")</f>
        <v/>
      </c>
      <c r="CP43" s="37" t="str">
        <f ca="1">IFERROR(+IF(CP$29=ProposalToGnatt[[#This Row],[Start Date]],Milestone_Marker,IF(AND(CP$29&gt;ProposalToGnatt[[#This Row],[Start Date]],CP$29&lt;ProposalToGnatt[[#This Row],[Start Date]]+ProposalToGnatt[[#This Row],[Days]]),$G$5,"")),"")</f>
        <v/>
      </c>
      <c r="CQ43" s="37" t="str">
        <f ca="1">IFERROR(+IF(CQ$29=ProposalToGnatt[[#This Row],[Start Date]],Milestone_Marker,IF(AND(CQ$29&gt;ProposalToGnatt[[#This Row],[Start Date]],CQ$29&lt;ProposalToGnatt[[#This Row],[Start Date]]+ProposalToGnatt[[#This Row],[Days]]),$G$5,"")),"")</f>
        <v/>
      </c>
      <c r="CR43" s="37" t="str">
        <f ca="1">IFERROR(+IF(CR$29=ProposalToGnatt[[#This Row],[Start Date]],Milestone_Marker,IF(AND(CR$29&gt;ProposalToGnatt[[#This Row],[Start Date]],CR$29&lt;ProposalToGnatt[[#This Row],[Start Date]]+ProposalToGnatt[[#This Row],[Days]]),$G$5,"")),"")</f>
        <v/>
      </c>
      <c r="CS43" s="37" t="str">
        <f ca="1">IFERROR(+IF(CS$29=ProposalToGnatt[[#This Row],[Start Date]],Milestone_Marker,IF(AND(CS$29&gt;ProposalToGnatt[[#This Row],[Start Date]],CS$29&lt;ProposalToGnatt[[#This Row],[Start Date]]+ProposalToGnatt[[#This Row],[Days]]),$G$5,"")),"")</f>
        <v/>
      </c>
      <c r="CT43" s="37" t="str">
        <f ca="1">IFERROR(+IF(CT$29=ProposalToGnatt[[#This Row],[Start Date]],Milestone_Marker,IF(AND(CT$29&gt;ProposalToGnatt[[#This Row],[Start Date]],CT$29&lt;ProposalToGnatt[[#This Row],[Start Date]]+ProposalToGnatt[[#This Row],[Days]]),$G$5,"")),"")</f>
        <v/>
      </c>
      <c r="CU43" s="37" t="str">
        <f ca="1">IFERROR(+IF(CU$29=ProposalToGnatt[[#This Row],[Start Date]],Milestone_Marker,IF(AND(CU$29&gt;ProposalToGnatt[[#This Row],[Start Date]],CU$29&lt;ProposalToGnatt[[#This Row],[Start Date]]+ProposalToGnatt[[#This Row],[Days]]),$G$5,"")),"")</f>
        <v/>
      </c>
      <c r="CV43" s="37"/>
      <c r="CW43" s="37"/>
      <c r="CX43" s="37"/>
      <c r="CY43" s="37"/>
      <c r="CZ43" s="37"/>
      <c r="DA43" s="37"/>
      <c r="DB43" s="37"/>
      <c r="DC43" s="37"/>
      <c r="DD43" s="37"/>
      <c r="DE43" s="37"/>
      <c r="DF43" s="37"/>
      <c r="DG43" s="37"/>
      <c r="DH43" s="37"/>
      <c r="DI43" s="37"/>
      <c r="DJ43" s="37"/>
      <c r="DK43" s="37"/>
      <c r="DL43" s="37"/>
      <c r="DM43" s="37"/>
      <c r="DN43" s="37"/>
      <c r="DO43" s="37"/>
      <c r="DP43" s="37"/>
      <c r="DQ43" s="37"/>
      <c r="DR43" s="37"/>
      <c r="DS43" s="37"/>
      <c r="DT43" s="37"/>
      <c r="DU43" s="37"/>
    </row>
    <row r="44" spans="1:125" s="42" customFormat="1" ht="15" customHeight="1" x14ac:dyDescent="0.25">
      <c r="A44" t="s">
        <v>428</v>
      </c>
      <c r="B44">
        <v>23</v>
      </c>
      <c r="C44" t="s">
        <v>339</v>
      </c>
      <c r="D44" t="s">
        <v>340</v>
      </c>
      <c r="E44" t="s">
        <v>341</v>
      </c>
      <c r="F44">
        <v>1</v>
      </c>
      <c r="G44" s="14"/>
      <c r="H44" s="14"/>
      <c r="I44"/>
      <c r="J44">
        <v>1</v>
      </c>
      <c r="K44" s="303">
        <v>45229</v>
      </c>
      <c r="L44"/>
      <c r="M44" s="14"/>
      <c r="N44" s="352"/>
      <c r="O44" s="340"/>
      <c r="P44" s="37" t="str">
        <f ca="1">IFERROR(+IF(P$29=ProposalToGnatt[[#This Row],[Start Date]],Milestone_Marker,IF(AND(P$29&gt;ProposalToGnatt[[#This Row],[Start Date]],P$29&lt;ProposalToGnatt[[#This Row],[Start Date]]+ProposalToGnatt[[#This Row],[Days]]),$G$5,"")),"")</f>
        <v/>
      </c>
      <c r="Q44" s="37" t="str">
        <f ca="1">IFERROR(+IF(Q$29=ProposalToGnatt[[#This Row],[Start Date]],Milestone_Marker,IF(AND(Q$29&gt;ProposalToGnatt[[#This Row],[Start Date]],Q$29&lt;ProposalToGnatt[[#This Row],[Start Date]]+ProposalToGnatt[[#This Row],[Days]]),$G$5,"")),"")</f>
        <v/>
      </c>
      <c r="R44" s="37" t="str">
        <f ca="1">IFERROR(+IF(R$29=ProposalToGnatt[[#This Row],[Start Date]],Milestone_Marker,IF(AND(R$29&gt;ProposalToGnatt[[#This Row],[Start Date]],R$29&lt;ProposalToGnatt[[#This Row],[Start Date]]+ProposalToGnatt[[#This Row],[Days]]),$G$5,"")),"")</f>
        <v/>
      </c>
      <c r="S44" s="37" t="str">
        <f ca="1">IFERROR(+IF(S$29=ProposalToGnatt[[#This Row],[Start Date]],Milestone_Marker,IF(AND(S$29&gt;ProposalToGnatt[[#This Row],[Start Date]],S$29&lt;ProposalToGnatt[[#This Row],[Start Date]]+ProposalToGnatt[[#This Row],[Days]]),$G$5,"")),"")</f>
        <v/>
      </c>
      <c r="T44" s="37" t="str">
        <f ca="1">IFERROR(+IF(T$29=ProposalToGnatt[[#This Row],[Start Date]],Milestone_Marker,IF(AND(T$29&gt;ProposalToGnatt[[#This Row],[Start Date]],T$29&lt;ProposalToGnatt[[#This Row],[Start Date]]+ProposalToGnatt[[#This Row],[Days]]),$G$5,"")),"")</f>
        <v/>
      </c>
      <c r="U44" s="37" t="str">
        <f ca="1">IFERROR(+IF(U$29=ProposalToGnatt[[#This Row],[Start Date]],Milestone_Marker,IF(AND(U$29&gt;ProposalToGnatt[[#This Row],[Start Date]],U$29&lt;ProposalToGnatt[[#This Row],[Start Date]]+ProposalToGnatt[[#This Row],[Days]]),$G$5,"")),"")</f>
        <v/>
      </c>
      <c r="V44" s="37" t="str">
        <f ca="1">IFERROR(+IF(V$29=ProposalToGnatt[[#This Row],[Start Date]],Milestone_Marker,IF(AND(V$29&gt;ProposalToGnatt[[#This Row],[Start Date]],V$29&lt;ProposalToGnatt[[#This Row],[Start Date]]+ProposalToGnatt[[#This Row],[Days]]),$G$5,"")),"")</f>
        <v/>
      </c>
      <c r="W44" s="37" t="str">
        <f ca="1">IFERROR(+IF(W$29=ProposalToGnatt[[#This Row],[Start Date]],Milestone_Marker,IF(AND(W$29&gt;ProposalToGnatt[[#This Row],[Start Date]],W$29&lt;ProposalToGnatt[[#This Row],[Start Date]]+ProposalToGnatt[[#This Row],[Days]]),$G$5,"")),"")</f>
        <v/>
      </c>
      <c r="X44" s="37" t="str">
        <f ca="1">IFERROR(+IF(X$29=ProposalToGnatt[[#This Row],[Start Date]],Milestone_Marker,IF(AND(X$29&gt;ProposalToGnatt[[#This Row],[Start Date]],X$29&lt;ProposalToGnatt[[#This Row],[Start Date]]+ProposalToGnatt[[#This Row],[Days]]),$G$5,"")),"")</f>
        <v/>
      </c>
      <c r="Y44" s="37" t="str">
        <f ca="1">IFERROR(+IF(Y$29=ProposalToGnatt[[#This Row],[Start Date]],Milestone_Marker,IF(AND(Y$29&gt;ProposalToGnatt[[#This Row],[Start Date]],Y$29&lt;ProposalToGnatt[[#This Row],[Start Date]]+ProposalToGnatt[[#This Row],[Days]]),$G$5,"")),"")</f>
        <v/>
      </c>
      <c r="Z44" s="37" t="str">
        <f ca="1">IFERROR(+IF(Z$29=ProposalToGnatt[[#This Row],[Start Date]],Milestone_Marker,IF(AND(Z$29&gt;ProposalToGnatt[[#This Row],[Start Date]],Z$29&lt;ProposalToGnatt[[#This Row],[Start Date]]+ProposalToGnatt[[#This Row],[Days]]),$G$5,"")),"")</f>
        <v/>
      </c>
      <c r="AA44" s="37" t="str">
        <f ca="1">IFERROR(+IF(AA$29=ProposalToGnatt[[#This Row],[Start Date]],Milestone_Marker,IF(AND(AA$29&gt;ProposalToGnatt[[#This Row],[Start Date]],AA$29&lt;ProposalToGnatt[[#This Row],[Start Date]]+ProposalToGnatt[[#This Row],[Days]]),$G$5,"")),"")</f>
        <v/>
      </c>
      <c r="AB44" s="37" t="str">
        <f ca="1">IFERROR(+IF(AB$29=ProposalToGnatt[[#This Row],[Start Date]],Milestone_Marker,IF(AND(AB$29&gt;ProposalToGnatt[[#This Row],[Start Date]],AB$29&lt;ProposalToGnatt[[#This Row],[Start Date]]+ProposalToGnatt[[#This Row],[Days]]),$G$5,"")),"")</f>
        <v/>
      </c>
      <c r="AC44" s="37" t="str">
        <f ca="1">IFERROR(+IF(AC$29=ProposalToGnatt[[#This Row],[Start Date]],Milestone_Marker,IF(AND(AC$29&gt;ProposalToGnatt[[#This Row],[Start Date]],AC$29&lt;ProposalToGnatt[[#This Row],[Start Date]]+ProposalToGnatt[[#This Row],[Days]]),$G$5,"")),"")</f>
        <v/>
      </c>
      <c r="AD44" s="37" t="str">
        <f ca="1">IFERROR(+IF(AD$29=ProposalToGnatt[[#This Row],[Start Date]],Milestone_Marker,IF(AND(AD$29&gt;ProposalToGnatt[[#This Row],[Start Date]],AD$29&lt;ProposalToGnatt[[#This Row],[Start Date]]+ProposalToGnatt[[#This Row],[Days]]),$G$5,"")),"")</f>
        <v/>
      </c>
      <c r="AE44" s="37" t="str">
        <f ca="1">IFERROR(+IF(AE$29=ProposalToGnatt[[#This Row],[Start Date]],Milestone_Marker,IF(AND(AE$29&gt;ProposalToGnatt[[#This Row],[Start Date]],AE$29&lt;ProposalToGnatt[[#This Row],[Start Date]]+ProposalToGnatt[[#This Row],[Days]]),$G$5,"")),"")</f>
        <v/>
      </c>
      <c r="AF44" s="37" t="str">
        <f ca="1">IFERROR(+IF(AF$29=ProposalToGnatt[[#This Row],[Start Date]],Milestone_Marker,IF(AND(AF$29&gt;ProposalToGnatt[[#This Row],[Start Date]],AF$29&lt;ProposalToGnatt[[#This Row],[Start Date]]+ProposalToGnatt[[#This Row],[Days]]),$G$5,"")),"")</f>
        <v/>
      </c>
      <c r="AG44" s="37">
        <f ca="1">IFERROR(+IF(AG$29=ProposalToGnatt[[#This Row],[Start Date]],Milestone_Marker,IF(AND(AG$29&gt;ProposalToGnatt[[#This Row],[Start Date]],AG$29&lt;ProposalToGnatt[[#This Row],[Start Date]]+ProposalToGnatt[[#This Row],[Days]]),$G$5,"")),"")</f>
        <v>1</v>
      </c>
      <c r="AH44" s="37" t="str">
        <f ca="1">IFERROR(+IF(AH$29=ProposalToGnatt[[#This Row],[Start Date]],Milestone_Marker,IF(AND(AH$29&gt;ProposalToGnatt[[#This Row],[Start Date]],AH$29&lt;ProposalToGnatt[[#This Row],[Start Date]]+ProposalToGnatt[[#This Row],[Days]]),$G$5,"")),"")</f>
        <v/>
      </c>
      <c r="AI44" s="37" t="str">
        <f ca="1">IFERROR(+IF(AI$29=ProposalToGnatt[[#This Row],[Start Date]],Milestone_Marker,IF(AND(AI$29&gt;ProposalToGnatt[[#This Row],[Start Date]],AI$29&lt;ProposalToGnatt[[#This Row],[Start Date]]+ProposalToGnatt[[#This Row],[Days]]),$G$5,"")),"")</f>
        <v/>
      </c>
      <c r="AJ44" s="37" t="str">
        <f ca="1">IFERROR(+IF(AJ$29=ProposalToGnatt[[#This Row],[Start Date]],Milestone_Marker,IF(AND(AJ$29&gt;ProposalToGnatt[[#This Row],[Start Date]],AJ$29&lt;ProposalToGnatt[[#This Row],[Start Date]]+ProposalToGnatt[[#This Row],[Days]]),$G$5,"")),"")</f>
        <v/>
      </c>
      <c r="AK44" s="37" t="str">
        <f ca="1">IFERROR(+IF(AK$29=ProposalToGnatt[[#This Row],[Start Date]],Milestone_Marker,IF(AND(AK$29&gt;ProposalToGnatt[[#This Row],[Start Date]],AK$29&lt;ProposalToGnatt[[#This Row],[Start Date]]+ProposalToGnatt[[#This Row],[Days]]),$G$5,"")),"")</f>
        <v/>
      </c>
      <c r="AL44" s="37" t="str">
        <f ca="1">IFERROR(+IF(AL$29=ProposalToGnatt[[#This Row],[Start Date]],Milestone_Marker,IF(AND(AL$29&gt;ProposalToGnatt[[#This Row],[Start Date]],AL$29&lt;ProposalToGnatt[[#This Row],[Start Date]]+ProposalToGnatt[[#This Row],[Days]]),$G$5,"")),"")</f>
        <v/>
      </c>
      <c r="AM44" s="37" t="str">
        <f ca="1">IFERROR(+IF(AM$29=ProposalToGnatt[[#This Row],[Start Date]],Milestone_Marker,IF(AND(AM$29&gt;ProposalToGnatt[[#This Row],[Start Date]],AM$29&lt;ProposalToGnatt[[#This Row],[Start Date]]+ProposalToGnatt[[#This Row],[Days]]),$G$5,"")),"")</f>
        <v/>
      </c>
      <c r="AN44" s="37" t="str">
        <f ca="1">IFERROR(+IF(AN$29=ProposalToGnatt[[#This Row],[Start Date]],Milestone_Marker,IF(AND(AN$29&gt;ProposalToGnatt[[#This Row],[Start Date]],AN$29&lt;ProposalToGnatt[[#This Row],[Start Date]]+ProposalToGnatt[[#This Row],[Days]]),$G$5,"")),"")</f>
        <v/>
      </c>
      <c r="AO44" s="37" t="str">
        <f ca="1">IFERROR(+IF(AO$29=ProposalToGnatt[[#This Row],[Start Date]],Milestone_Marker,IF(AND(AO$29&gt;ProposalToGnatt[[#This Row],[Start Date]],AO$29&lt;ProposalToGnatt[[#This Row],[Start Date]]+ProposalToGnatt[[#This Row],[Days]]),$G$5,"")),"")</f>
        <v/>
      </c>
      <c r="AP44" s="37" t="str">
        <f ca="1">IFERROR(+IF(AP$29=ProposalToGnatt[[#This Row],[Start Date]],Milestone_Marker,IF(AND(AP$29&gt;ProposalToGnatt[[#This Row],[Start Date]],AP$29&lt;ProposalToGnatt[[#This Row],[Start Date]]+ProposalToGnatt[[#This Row],[Days]]),$G$5,"")),"")</f>
        <v/>
      </c>
      <c r="AQ44" s="37" t="str">
        <f ca="1">IFERROR(+IF(AQ$29=ProposalToGnatt[[#This Row],[Start Date]],Milestone_Marker,IF(AND(AQ$29&gt;ProposalToGnatt[[#This Row],[Start Date]],AQ$29&lt;ProposalToGnatt[[#This Row],[Start Date]]+ProposalToGnatt[[#This Row],[Days]]),$G$5,"")),"")</f>
        <v/>
      </c>
      <c r="AR44" s="37" t="str">
        <f ca="1">IFERROR(+IF(AR$29=ProposalToGnatt[[#This Row],[Start Date]],Milestone_Marker,IF(AND(AR$29&gt;ProposalToGnatt[[#This Row],[Start Date]],AR$29&lt;ProposalToGnatt[[#This Row],[Start Date]]+ProposalToGnatt[[#This Row],[Days]]),$G$5,"")),"")</f>
        <v/>
      </c>
      <c r="AS44" s="37" t="str">
        <f ca="1">IFERROR(+IF(AS$29=ProposalToGnatt[[#This Row],[Start Date]],Milestone_Marker,IF(AND(AS$29&gt;ProposalToGnatt[[#This Row],[Start Date]],AS$29&lt;ProposalToGnatt[[#This Row],[Start Date]]+ProposalToGnatt[[#This Row],[Days]]),$G$5,"")),"")</f>
        <v/>
      </c>
      <c r="AT44" s="37" t="str">
        <f ca="1">IFERROR(+IF(AT$29=ProposalToGnatt[[#This Row],[Start Date]],Milestone_Marker,IF(AND(AT$29&gt;ProposalToGnatt[[#This Row],[Start Date]],AT$29&lt;ProposalToGnatt[[#This Row],[Start Date]]+ProposalToGnatt[[#This Row],[Days]]),$G$5,"")),"")</f>
        <v/>
      </c>
      <c r="AU44" s="37" t="str">
        <f ca="1">IFERROR(+IF(AU$29=ProposalToGnatt[[#This Row],[Start Date]],Milestone_Marker,IF(AND(AU$29&gt;ProposalToGnatt[[#This Row],[Start Date]],AU$29&lt;ProposalToGnatt[[#This Row],[Start Date]]+ProposalToGnatt[[#This Row],[Days]]),$G$5,"")),"")</f>
        <v/>
      </c>
      <c r="AV44" s="37" t="str">
        <f ca="1">IFERROR(+IF(AV$29=ProposalToGnatt[[#This Row],[Start Date]],Milestone_Marker,IF(AND(AV$29&gt;ProposalToGnatt[[#This Row],[Start Date]],AV$29&lt;ProposalToGnatt[[#This Row],[Start Date]]+ProposalToGnatt[[#This Row],[Days]]),$G$5,"")),"")</f>
        <v/>
      </c>
      <c r="AW44" s="37" t="str">
        <f ca="1">IFERROR(+IF(AW$29=ProposalToGnatt[[#This Row],[Start Date]],Milestone_Marker,IF(AND(AW$29&gt;ProposalToGnatt[[#This Row],[Start Date]],AW$29&lt;ProposalToGnatt[[#This Row],[Start Date]]+ProposalToGnatt[[#This Row],[Days]]),$G$5,"")),"")</f>
        <v/>
      </c>
      <c r="AX44" s="37" t="str">
        <f ca="1">IFERROR(+IF(AX$29=ProposalToGnatt[[#This Row],[Start Date]],Milestone_Marker,IF(AND(AX$29&gt;ProposalToGnatt[[#This Row],[Start Date]],AX$29&lt;ProposalToGnatt[[#This Row],[Start Date]]+ProposalToGnatt[[#This Row],[Days]]),$G$5,"")),"")</f>
        <v/>
      </c>
      <c r="AY44" s="37" t="str">
        <f ca="1">IFERROR(+IF(AY$29=ProposalToGnatt[[#This Row],[Start Date]],Milestone_Marker,IF(AND(AY$29&gt;ProposalToGnatt[[#This Row],[Start Date]],AY$29&lt;ProposalToGnatt[[#This Row],[Start Date]]+ProposalToGnatt[[#This Row],[Days]]),$G$5,"")),"")</f>
        <v/>
      </c>
      <c r="AZ44" s="37" t="str">
        <f ca="1">IFERROR(+IF(AZ$29=ProposalToGnatt[[#This Row],[Start Date]],Milestone_Marker,IF(AND(AZ$29&gt;ProposalToGnatt[[#This Row],[Start Date]],AZ$29&lt;ProposalToGnatt[[#This Row],[Start Date]]+ProposalToGnatt[[#This Row],[Days]]),$G$5,"")),"")</f>
        <v/>
      </c>
      <c r="BA44" s="37" t="str">
        <f ca="1">IFERROR(+IF(BA$29=ProposalToGnatt[[#This Row],[Start Date]],Milestone_Marker,IF(AND(BA$29&gt;ProposalToGnatt[[#This Row],[Start Date]],BA$29&lt;ProposalToGnatt[[#This Row],[Start Date]]+ProposalToGnatt[[#This Row],[Days]]),$G$5,"")),"")</f>
        <v/>
      </c>
      <c r="BB44" s="37" t="str">
        <f ca="1">IFERROR(+IF(BB$29=ProposalToGnatt[[#This Row],[Start Date]],Milestone_Marker,IF(AND(BB$29&gt;ProposalToGnatt[[#This Row],[Start Date]],BB$29&lt;ProposalToGnatt[[#This Row],[Start Date]]+ProposalToGnatt[[#This Row],[Days]]),$G$5,"")),"")</f>
        <v/>
      </c>
      <c r="BC44" s="37" t="str">
        <f ca="1">IFERROR(+IF(BC$29=ProposalToGnatt[[#This Row],[Start Date]],Milestone_Marker,IF(AND(BC$29&gt;ProposalToGnatt[[#This Row],[Start Date]],BC$29&lt;ProposalToGnatt[[#This Row],[Start Date]]+ProposalToGnatt[[#This Row],[Days]]),$G$5,"")),"")</f>
        <v/>
      </c>
      <c r="BD44" s="37" t="str">
        <f ca="1">IFERROR(+IF(BD$29=ProposalToGnatt[[#This Row],[Start Date]],Milestone_Marker,IF(AND(BD$29&gt;ProposalToGnatt[[#This Row],[Start Date]],BD$29&lt;ProposalToGnatt[[#This Row],[Start Date]]+ProposalToGnatt[[#This Row],[Days]]),$G$5,"")),"")</f>
        <v/>
      </c>
      <c r="BE44" s="37" t="str">
        <f ca="1">IFERROR(+IF(BE$29=ProposalToGnatt[[#This Row],[Start Date]],Milestone_Marker,IF(AND(BE$29&gt;ProposalToGnatt[[#This Row],[Start Date]],BE$29&lt;ProposalToGnatt[[#This Row],[Start Date]]+ProposalToGnatt[[#This Row],[Days]]),$G$5,"")),"")</f>
        <v/>
      </c>
      <c r="BF44" s="37" t="str">
        <f ca="1">IFERROR(+IF(BF$29=ProposalToGnatt[[#This Row],[Start Date]],Milestone_Marker,IF(AND(BF$29&gt;ProposalToGnatt[[#This Row],[Start Date]],BF$29&lt;ProposalToGnatt[[#This Row],[Start Date]]+ProposalToGnatt[[#This Row],[Days]]),$G$5,"")),"")</f>
        <v/>
      </c>
      <c r="BG44" s="37" t="str">
        <f ca="1">IFERROR(+IF(BG$29=ProposalToGnatt[[#This Row],[Start Date]],Milestone_Marker,IF(AND(BG$29&gt;ProposalToGnatt[[#This Row],[Start Date]],BG$29&lt;ProposalToGnatt[[#This Row],[Start Date]]+ProposalToGnatt[[#This Row],[Days]]),$G$5,"")),"")</f>
        <v/>
      </c>
      <c r="BH44" s="37" t="str">
        <f ca="1">IFERROR(+IF(BH$29=ProposalToGnatt[[#This Row],[Start Date]],Milestone_Marker,IF(AND(BH$29&gt;ProposalToGnatt[[#This Row],[Start Date]],BH$29&lt;ProposalToGnatt[[#This Row],[Start Date]]+ProposalToGnatt[[#This Row],[Days]]),$G$5,"")),"")</f>
        <v/>
      </c>
      <c r="BI44" s="37" t="str">
        <f ca="1">IFERROR(+IF(BI$29=ProposalToGnatt[[#This Row],[Start Date]],Milestone_Marker,IF(AND(BI$29&gt;ProposalToGnatt[[#This Row],[Start Date]],BI$29&lt;ProposalToGnatt[[#This Row],[Start Date]]+ProposalToGnatt[[#This Row],[Days]]),$G$5,"")),"")</f>
        <v/>
      </c>
      <c r="BJ44" s="37" t="str">
        <f ca="1">IFERROR(+IF(BJ$29=ProposalToGnatt[[#This Row],[Start Date]],Milestone_Marker,IF(AND(BJ$29&gt;ProposalToGnatt[[#This Row],[Start Date]],BJ$29&lt;ProposalToGnatt[[#This Row],[Start Date]]+ProposalToGnatt[[#This Row],[Days]]),$G$5,"")),"")</f>
        <v/>
      </c>
      <c r="BK44" s="37" t="str">
        <f ca="1">IFERROR(+IF(BK$29=ProposalToGnatt[[#This Row],[Start Date]],Milestone_Marker,IF(AND(BK$29&gt;ProposalToGnatt[[#This Row],[Start Date]],BK$29&lt;ProposalToGnatt[[#This Row],[Start Date]]+ProposalToGnatt[[#This Row],[Days]]),$G$5,"")),"")</f>
        <v/>
      </c>
      <c r="BL44" s="37" t="str">
        <f ca="1">IFERROR(+IF(BL$29=ProposalToGnatt[[#This Row],[Start Date]],Milestone_Marker,IF(AND(BL$29&gt;ProposalToGnatt[[#This Row],[Start Date]],BL$29&lt;ProposalToGnatt[[#This Row],[Start Date]]+ProposalToGnatt[[#This Row],[Days]]),$G$5,"")),"")</f>
        <v/>
      </c>
      <c r="BM44" s="37" t="str">
        <f ca="1">IFERROR(+IF(BM$29=ProposalToGnatt[[#This Row],[Start Date]],Milestone_Marker,IF(AND(BM$29&gt;ProposalToGnatt[[#This Row],[Start Date]],BM$29&lt;ProposalToGnatt[[#This Row],[Start Date]]+ProposalToGnatt[[#This Row],[Days]]),$G$5,"")),"")</f>
        <v/>
      </c>
      <c r="BN44" s="37" t="str">
        <f ca="1">IFERROR(+IF(BN$29=ProposalToGnatt[[#This Row],[Start Date]],Milestone_Marker,IF(AND(BN$29&gt;ProposalToGnatt[[#This Row],[Start Date]],BN$29&lt;ProposalToGnatt[[#This Row],[Start Date]]+ProposalToGnatt[[#This Row],[Days]]),$G$5,"")),"")</f>
        <v/>
      </c>
      <c r="BO44" s="37" t="str">
        <f ca="1">IFERROR(+IF(BO$29=ProposalToGnatt[[#This Row],[Start Date]],Milestone_Marker,IF(AND(BO$29&gt;ProposalToGnatt[[#This Row],[Start Date]],BO$29&lt;ProposalToGnatt[[#This Row],[Start Date]]+ProposalToGnatt[[#This Row],[Days]]),$G$5,"")),"")</f>
        <v/>
      </c>
      <c r="BP44" s="37" t="str">
        <f ca="1">IFERROR(+IF(BP$29=ProposalToGnatt[[#This Row],[Start Date]],Milestone_Marker,IF(AND(BP$29&gt;ProposalToGnatt[[#This Row],[Start Date]],BP$29&lt;ProposalToGnatt[[#This Row],[Start Date]]+ProposalToGnatt[[#This Row],[Days]]),$G$5,"")),"")</f>
        <v/>
      </c>
      <c r="BQ44" s="37" t="str">
        <f ca="1">IFERROR(+IF(BQ$29=ProposalToGnatt[[#This Row],[Start Date]],Milestone_Marker,IF(AND(BQ$29&gt;ProposalToGnatt[[#This Row],[Start Date]],BQ$29&lt;ProposalToGnatt[[#This Row],[Start Date]]+ProposalToGnatt[[#This Row],[Days]]),$G$5,"")),"")</f>
        <v/>
      </c>
      <c r="BR44" s="37" t="str">
        <f ca="1">IFERROR(+IF(BR$29=ProposalToGnatt[[#This Row],[Start Date]],Milestone_Marker,IF(AND(BR$29&gt;ProposalToGnatt[[#This Row],[Start Date]],BR$29&lt;ProposalToGnatt[[#This Row],[Start Date]]+ProposalToGnatt[[#This Row],[Days]]),$G$5,"")),"")</f>
        <v/>
      </c>
      <c r="BS44" s="37" t="str">
        <f ca="1">IFERROR(+IF(BS$29=ProposalToGnatt[[#This Row],[Start Date]],Milestone_Marker,IF(AND(BS$29&gt;ProposalToGnatt[[#This Row],[Start Date]],BS$29&lt;ProposalToGnatt[[#This Row],[Start Date]]+ProposalToGnatt[[#This Row],[Days]]),$G$5,"")),"")</f>
        <v/>
      </c>
      <c r="BT44" s="37" t="str">
        <f ca="1">IFERROR(+IF(BT$29=ProposalToGnatt[[#This Row],[Start Date]],Milestone_Marker,IF(AND(BT$29&gt;ProposalToGnatt[[#This Row],[Start Date]],BT$29&lt;ProposalToGnatt[[#This Row],[Start Date]]+ProposalToGnatt[[#This Row],[Days]]),$G$5,"")),"")</f>
        <v/>
      </c>
      <c r="BU44" s="37" t="str">
        <f ca="1">IFERROR(+IF(BU$29=ProposalToGnatt[[#This Row],[Start Date]],Milestone_Marker,IF(AND(BU$29&gt;ProposalToGnatt[[#This Row],[Start Date]],BU$29&lt;ProposalToGnatt[[#This Row],[Start Date]]+ProposalToGnatt[[#This Row],[Days]]),$G$5,"")),"")</f>
        <v/>
      </c>
      <c r="BV44" s="37" t="str">
        <f ca="1">IFERROR(+IF(BV$29=ProposalToGnatt[[#This Row],[Start Date]],Milestone_Marker,IF(AND(BV$29&gt;ProposalToGnatt[[#This Row],[Start Date]],BV$29&lt;ProposalToGnatt[[#This Row],[Start Date]]+ProposalToGnatt[[#This Row],[Days]]),$G$5,"")),"")</f>
        <v/>
      </c>
      <c r="BW44" s="37" t="str">
        <f ca="1">IFERROR(+IF(BW$29=ProposalToGnatt[[#This Row],[Start Date]],Milestone_Marker,IF(AND(BW$29&gt;ProposalToGnatt[[#This Row],[Start Date]],BW$29&lt;ProposalToGnatt[[#This Row],[Start Date]]+ProposalToGnatt[[#This Row],[Days]]),$G$5,"")),"")</f>
        <v/>
      </c>
      <c r="BX44" s="37" t="str">
        <f ca="1">IFERROR(+IF(BX$29=ProposalToGnatt[[#This Row],[Start Date]],Milestone_Marker,IF(AND(BX$29&gt;ProposalToGnatt[[#This Row],[Start Date]],BX$29&lt;ProposalToGnatt[[#This Row],[Start Date]]+ProposalToGnatt[[#This Row],[Days]]),$G$5,"")),"")</f>
        <v/>
      </c>
      <c r="BY44" s="37" t="str">
        <f ca="1">IFERROR(+IF(BY$29=ProposalToGnatt[[#This Row],[Start Date]],Milestone_Marker,IF(AND(BY$29&gt;ProposalToGnatt[[#This Row],[Start Date]],BY$29&lt;ProposalToGnatt[[#This Row],[Start Date]]+ProposalToGnatt[[#This Row],[Days]]),$G$5,"")),"")</f>
        <v/>
      </c>
      <c r="BZ44" s="37" t="str">
        <f ca="1">IFERROR(+IF(BZ$29=ProposalToGnatt[[#This Row],[Start Date]],Milestone_Marker,IF(AND(BZ$29&gt;ProposalToGnatt[[#This Row],[Start Date]],BZ$29&lt;ProposalToGnatt[[#This Row],[Start Date]]+ProposalToGnatt[[#This Row],[Days]]),$G$5,"")),"")</f>
        <v/>
      </c>
      <c r="CA44" s="37" t="str">
        <f ca="1">IFERROR(+IF(CA$29=ProposalToGnatt[[#This Row],[Start Date]],Milestone_Marker,IF(AND(CA$29&gt;ProposalToGnatt[[#This Row],[Start Date]],CA$29&lt;ProposalToGnatt[[#This Row],[Start Date]]+ProposalToGnatt[[#This Row],[Days]]),$G$5,"")),"")</f>
        <v/>
      </c>
      <c r="CB44" s="37" t="str">
        <f ca="1">IFERROR(+IF(CB$29=ProposalToGnatt[[#This Row],[Start Date]],Milestone_Marker,IF(AND(CB$29&gt;ProposalToGnatt[[#This Row],[Start Date]],CB$29&lt;ProposalToGnatt[[#This Row],[Start Date]]+ProposalToGnatt[[#This Row],[Days]]),$G$5,"")),"")</f>
        <v/>
      </c>
      <c r="CC44" s="37" t="str">
        <f ca="1">IFERROR(+IF(CC$29=ProposalToGnatt[[#This Row],[Start Date]],Milestone_Marker,IF(AND(CC$29&gt;ProposalToGnatt[[#This Row],[Start Date]],CC$29&lt;ProposalToGnatt[[#This Row],[Start Date]]+ProposalToGnatt[[#This Row],[Days]]),$G$5,"")),"")</f>
        <v/>
      </c>
      <c r="CD44" s="37" t="str">
        <f ca="1">IFERROR(+IF(CD$29=ProposalToGnatt[[#This Row],[Start Date]],Milestone_Marker,IF(AND(CD$29&gt;ProposalToGnatt[[#This Row],[Start Date]],CD$29&lt;ProposalToGnatt[[#This Row],[Start Date]]+ProposalToGnatt[[#This Row],[Days]]),$G$5,"")),"")</f>
        <v/>
      </c>
      <c r="CE44" s="37" t="str">
        <f ca="1">IFERROR(+IF(CE$29=ProposalToGnatt[[#This Row],[Start Date]],Milestone_Marker,IF(AND(CE$29&gt;ProposalToGnatt[[#This Row],[Start Date]],CE$29&lt;ProposalToGnatt[[#This Row],[Start Date]]+ProposalToGnatt[[#This Row],[Days]]),$G$5,"")),"")</f>
        <v/>
      </c>
      <c r="CF44" s="37" t="str">
        <f ca="1">IFERROR(+IF(CF$29=ProposalToGnatt[[#This Row],[Start Date]],Milestone_Marker,IF(AND(CF$29&gt;ProposalToGnatt[[#This Row],[Start Date]],CF$29&lt;ProposalToGnatt[[#This Row],[Start Date]]+ProposalToGnatt[[#This Row],[Days]]),$G$5,"")),"")</f>
        <v/>
      </c>
      <c r="CG44" s="37" t="str">
        <f ca="1">IFERROR(+IF(CG$29=ProposalToGnatt[[#This Row],[Start Date]],Milestone_Marker,IF(AND(CG$29&gt;ProposalToGnatt[[#This Row],[Start Date]],CG$29&lt;ProposalToGnatt[[#This Row],[Start Date]]+ProposalToGnatt[[#This Row],[Days]]),$G$5,"")),"")</f>
        <v/>
      </c>
      <c r="CH44" s="37" t="str">
        <f ca="1">IFERROR(+IF(CH$29=ProposalToGnatt[[#This Row],[Start Date]],Milestone_Marker,IF(AND(CH$29&gt;ProposalToGnatt[[#This Row],[Start Date]],CH$29&lt;ProposalToGnatt[[#This Row],[Start Date]]+ProposalToGnatt[[#This Row],[Days]]),$G$5,"")),"")</f>
        <v/>
      </c>
      <c r="CI44" s="37" t="str">
        <f ca="1">IFERROR(+IF(CI$29=ProposalToGnatt[[#This Row],[Start Date]],Milestone_Marker,IF(AND(CI$29&gt;ProposalToGnatt[[#This Row],[Start Date]],CI$29&lt;ProposalToGnatt[[#This Row],[Start Date]]+ProposalToGnatt[[#This Row],[Days]]),$G$5,"")),"")</f>
        <v/>
      </c>
      <c r="CJ44" s="37" t="str">
        <f ca="1">IFERROR(+IF(CJ$29=ProposalToGnatt[[#This Row],[Start Date]],Milestone_Marker,IF(AND(CJ$29&gt;ProposalToGnatt[[#This Row],[Start Date]],CJ$29&lt;ProposalToGnatt[[#This Row],[Start Date]]+ProposalToGnatt[[#This Row],[Days]]),$G$5,"")),"")</f>
        <v/>
      </c>
      <c r="CK44" s="37" t="str">
        <f ca="1">IFERROR(+IF(CK$29=ProposalToGnatt[[#This Row],[Start Date]],Milestone_Marker,IF(AND(CK$29&gt;ProposalToGnatt[[#This Row],[Start Date]],CK$29&lt;ProposalToGnatt[[#This Row],[Start Date]]+ProposalToGnatt[[#This Row],[Days]]),$G$5,"")),"")</f>
        <v/>
      </c>
      <c r="CL44" s="37" t="str">
        <f ca="1">IFERROR(+IF(CL$29=ProposalToGnatt[[#This Row],[Start Date]],Milestone_Marker,IF(AND(CL$29&gt;ProposalToGnatt[[#This Row],[Start Date]],CL$29&lt;ProposalToGnatt[[#This Row],[Start Date]]+ProposalToGnatt[[#This Row],[Days]]),$G$5,"")),"")</f>
        <v/>
      </c>
      <c r="CM44" s="37" t="str">
        <f ca="1">IFERROR(+IF(CM$29=ProposalToGnatt[[#This Row],[Start Date]],Milestone_Marker,IF(AND(CM$29&gt;ProposalToGnatt[[#This Row],[Start Date]],CM$29&lt;ProposalToGnatt[[#This Row],[Start Date]]+ProposalToGnatt[[#This Row],[Days]]),$G$5,"")),"")</f>
        <v/>
      </c>
      <c r="CN44" s="37" t="str">
        <f ca="1">IFERROR(+IF(CN$29=ProposalToGnatt[[#This Row],[Start Date]],Milestone_Marker,IF(AND(CN$29&gt;ProposalToGnatt[[#This Row],[Start Date]],CN$29&lt;ProposalToGnatt[[#This Row],[Start Date]]+ProposalToGnatt[[#This Row],[Days]]),$G$5,"")),"")</f>
        <v/>
      </c>
      <c r="CO44" s="37" t="str">
        <f ca="1">IFERROR(+IF(CO$29=ProposalToGnatt[[#This Row],[Start Date]],Milestone_Marker,IF(AND(CO$29&gt;ProposalToGnatt[[#This Row],[Start Date]],CO$29&lt;ProposalToGnatt[[#This Row],[Start Date]]+ProposalToGnatt[[#This Row],[Days]]),$G$5,"")),"")</f>
        <v/>
      </c>
      <c r="CP44" s="37" t="str">
        <f ca="1">IFERROR(+IF(CP$29=ProposalToGnatt[[#This Row],[Start Date]],Milestone_Marker,IF(AND(CP$29&gt;ProposalToGnatt[[#This Row],[Start Date]],CP$29&lt;ProposalToGnatt[[#This Row],[Start Date]]+ProposalToGnatt[[#This Row],[Days]]),$G$5,"")),"")</f>
        <v/>
      </c>
      <c r="CQ44" s="37" t="str">
        <f ca="1">IFERROR(+IF(CQ$29=ProposalToGnatt[[#This Row],[Start Date]],Milestone_Marker,IF(AND(CQ$29&gt;ProposalToGnatt[[#This Row],[Start Date]],CQ$29&lt;ProposalToGnatt[[#This Row],[Start Date]]+ProposalToGnatt[[#This Row],[Days]]),$G$5,"")),"")</f>
        <v/>
      </c>
      <c r="CR44" s="37" t="str">
        <f ca="1">IFERROR(+IF(CR$29=ProposalToGnatt[[#This Row],[Start Date]],Milestone_Marker,IF(AND(CR$29&gt;ProposalToGnatt[[#This Row],[Start Date]],CR$29&lt;ProposalToGnatt[[#This Row],[Start Date]]+ProposalToGnatt[[#This Row],[Days]]),$G$5,"")),"")</f>
        <v/>
      </c>
      <c r="CS44" s="37" t="str">
        <f ca="1">IFERROR(+IF(CS$29=ProposalToGnatt[[#This Row],[Start Date]],Milestone_Marker,IF(AND(CS$29&gt;ProposalToGnatt[[#This Row],[Start Date]],CS$29&lt;ProposalToGnatt[[#This Row],[Start Date]]+ProposalToGnatt[[#This Row],[Days]]),$G$5,"")),"")</f>
        <v/>
      </c>
      <c r="CT44" s="37" t="str">
        <f ca="1">IFERROR(+IF(CT$29=ProposalToGnatt[[#This Row],[Start Date]],Milestone_Marker,IF(AND(CT$29&gt;ProposalToGnatt[[#This Row],[Start Date]],CT$29&lt;ProposalToGnatt[[#This Row],[Start Date]]+ProposalToGnatt[[#This Row],[Days]]),$G$5,"")),"")</f>
        <v/>
      </c>
      <c r="CU44" s="37" t="str">
        <f ca="1">IFERROR(+IF(CU$29=ProposalToGnatt[[#This Row],[Start Date]],Milestone_Marker,IF(AND(CU$29&gt;ProposalToGnatt[[#This Row],[Start Date]],CU$29&lt;ProposalToGnatt[[#This Row],[Start Date]]+ProposalToGnatt[[#This Row],[Days]]),$G$5,"")),"")</f>
        <v/>
      </c>
      <c r="CV44" s="37"/>
      <c r="CW44" s="37"/>
      <c r="CX44" s="37"/>
      <c r="CY44" s="37"/>
      <c r="CZ44" s="37"/>
      <c r="DA44" s="37"/>
      <c r="DB44" s="37"/>
      <c r="DC44" s="37"/>
      <c r="DD44" s="37"/>
      <c r="DE44" s="37"/>
      <c r="DF44" s="37"/>
      <c r="DG44" s="37"/>
      <c r="DH44" s="37"/>
      <c r="DI44" s="37"/>
      <c r="DJ44" s="37"/>
      <c r="DK44" s="37"/>
      <c r="DL44" s="37"/>
      <c r="DM44" s="37"/>
      <c r="DN44" s="37"/>
      <c r="DO44" s="37"/>
      <c r="DP44" s="37"/>
      <c r="DQ44" s="37"/>
      <c r="DR44" s="37"/>
      <c r="DS44" s="37"/>
      <c r="DT44" s="37"/>
      <c r="DU44" s="37"/>
    </row>
    <row r="45" spans="1:125" s="42" customFormat="1" ht="15" x14ac:dyDescent="0.25">
      <c r="A45" t="s">
        <v>428</v>
      </c>
      <c r="B45">
        <v>24</v>
      </c>
      <c r="C45" t="s">
        <v>339</v>
      </c>
      <c r="D45" t="s">
        <v>340</v>
      </c>
      <c r="E45" t="s">
        <v>342</v>
      </c>
      <c r="F45">
        <v>1</v>
      </c>
      <c r="G45" s="14"/>
      <c r="H45" s="14"/>
      <c r="I45"/>
      <c r="J45">
        <v>1</v>
      </c>
      <c r="K45" s="303">
        <v>45229</v>
      </c>
      <c r="L45"/>
      <c r="M45" s="14"/>
      <c r="N45" s="352"/>
      <c r="O45" s="340"/>
      <c r="P45" s="37" t="str">
        <f ca="1">IFERROR(+IF(P$29=ProposalToGnatt[[#This Row],[Start Date]],Milestone_Marker,IF(AND(P$29&gt;ProposalToGnatt[[#This Row],[Start Date]],P$29&lt;ProposalToGnatt[[#This Row],[Start Date]]+ProposalToGnatt[[#This Row],[Days]]),$G$5,"")),"")</f>
        <v/>
      </c>
      <c r="Q45" s="37" t="str">
        <f ca="1">IFERROR(+IF(Q$29=ProposalToGnatt[[#This Row],[Start Date]],Milestone_Marker,IF(AND(Q$29&gt;ProposalToGnatt[[#This Row],[Start Date]],Q$29&lt;ProposalToGnatt[[#This Row],[Start Date]]+ProposalToGnatt[[#This Row],[Days]]),$G$5,"")),"")</f>
        <v/>
      </c>
      <c r="R45" s="37" t="str">
        <f ca="1">IFERROR(+IF(R$29=ProposalToGnatt[[#This Row],[Start Date]],Milestone_Marker,IF(AND(R$29&gt;ProposalToGnatt[[#This Row],[Start Date]],R$29&lt;ProposalToGnatt[[#This Row],[Start Date]]+ProposalToGnatt[[#This Row],[Days]]),$G$5,"")),"")</f>
        <v/>
      </c>
      <c r="S45" s="37" t="str">
        <f ca="1">IFERROR(+IF(S$29=ProposalToGnatt[[#This Row],[Start Date]],Milestone_Marker,IF(AND(S$29&gt;ProposalToGnatt[[#This Row],[Start Date]],S$29&lt;ProposalToGnatt[[#This Row],[Start Date]]+ProposalToGnatt[[#This Row],[Days]]),$G$5,"")),"")</f>
        <v/>
      </c>
      <c r="T45" s="37" t="str">
        <f ca="1">IFERROR(+IF(T$29=ProposalToGnatt[[#This Row],[Start Date]],Milestone_Marker,IF(AND(T$29&gt;ProposalToGnatt[[#This Row],[Start Date]],T$29&lt;ProposalToGnatt[[#This Row],[Start Date]]+ProposalToGnatt[[#This Row],[Days]]),$G$5,"")),"")</f>
        <v/>
      </c>
      <c r="U45" s="37" t="str">
        <f ca="1">IFERROR(+IF(U$29=ProposalToGnatt[[#This Row],[Start Date]],Milestone_Marker,IF(AND(U$29&gt;ProposalToGnatt[[#This Row],[Start Date]],U$29&lt;ProposalToGnatt[[#This Row],[Start Date]]+ProposalToGnatt[[#This Row],[Days]]),$G$5,"")),"")</f>
        <v/>
      </c>
      <c r="V45" s="37" t="str">
        <f ca="1">IFERROR(+IF(V$29=ProposalToGnatt[[#This Row],[Start Date]],Milestone_Marker,IF(AND(V$29&gt;ProposalToGnatt[[#This Row],[Start Date]],V$29&lt;ProposalToGnatt[[#This Row],[Start Date]]+ProposalToGnatt[[#This Row],[Days]]),$G$5,"")),"")</f>
        <v/>
      </c>
      <c r="W45" s="37" t="str">
        <f ca="1">IFERROR(+IF(W$29=ProposalToGnatt[[#This Row],[Start Date]],Milestone_Marker,IF(AND(W$29&gt;ProposalToGnatt[[#This Row],[Start Date]],W$29&lt;ProposalToGnatt[[#This Row],[Start Date]]+ProposalToGnatt[[#This Row],[Days]]),$G$5,"")),"")</f>
        <v/>
      </c>
      <c r="X45" s="37" t="str">
        <f ca="1">IFERROR(+IF(X$29=ProposalToGnatt[[#This Row],[Start Date]],Milestone_Marker,IF(AND(X$29&gt;ProposalToGnatt[[#This Row],[Start Date]],X$29&lt;ProposalToGnatt[[#This Row],[Start Date]]+ProposalToGnatt[[#This Row],[Days]]),$G$5,"")),"")</f>
        <v/>
      </c>
      <c r="Y45" s="37" t="str">
        <f ca="1">IFERROR(+IF(Y$29=ProposalToGnatt[[#This Row],[Start Date]],Milestone_Marker,IF(AND(Y$29&gt;ProposalToGnatt[[#This Row],[Start Date]],Y$29&lt;ProposalToGnatt[[#This Row],[Start Date]]+ProposalToGnatt[[#This Row],[Days]]),$G$5,"")),"")</f>
        <v/>
      </c>
      <c r="Z45" s="37" t="str">
        <f ca="1">IFERROR(+IF(Z$29=ProposalToGnatt[[#This Row],[Start Date]],Milestone_Marker,IF(AND(Z$29&gt;ProposalToGnatt[[#This Row],[Start Date]],Z$29&lt;ProposalToGnatt[[#This Row],[Start Date]]+ProposalToGnatt[[#This Row],[Days]]),$G$5,"")),"")</f>
        <v/>
      </c>
      <c r="AA45" s="37" t="str">
        <f ca="1">IFERROR(+IF(AA$29=ProposalToGnatt[[#This Row],[Start Date]],Milestone_Marker,IF(AND(AA$29&gt;ProposalToGnatt[[#This Row],[Start Date]],AA$29&lt;ProposalToGnatt[[#This Row],[Start Date]]+ProposalToGnatt[[#This Row],[Days]]),$G$5,"")),"")</f>
        <v/>
      </c>
      <c r="AB45" s="37" t="str">
        <f ca="1">IFERROR(+IF(AB$29=ProposalToGnatt[[#This Row],[Start Date]],Milestone_Marker,IF(AND(AB$29&gt;ProposalToGnatt[[#This Row],[Start Date]],AB$29&lt;ProposalToGnatt[[#This Row],[Start Date]]+ProposalToGnatt[[#This Row],[Days]]),$G$5,"")),"")</f>
        <v/>
      </c>
      <c r="AC45" s="37" t="str">
        <f ca="1">IFERROR(+IF(AC$29=ProposalToGnatt[[#This Row],[Start Date]],Milestone_Marker,IF(AND(AC$29&gt;ProposalToGnatt[[#This Row],[Start Date]],AC$29&lt;ProposalToGnatt[[#This Row],[Start Date]]+ProposalToGnatt[[#This Row],[Days]]),$G$5,"")),"")</f>
        <v/>
      </c>
      <c r="AD45" s="37" t="str">
        <f ca="1">IFERROR(+IF(AD$29=ProposalToGnatt[[#This Row],[Start Date]],Milestone_Marker,IF(AND(AD$29&gt;ProposalToGnatt[[#This Row],[Start Date]],AD$29&lt;ProposalToGnatt[[#This Row],[Start Date]]+ProposalToGnatt[[#This Row],[Days]]),$G$5,"")),"")</f>
        <v/>
      </c>
      <c r="AE45" s="37" t="str">
        <f ca="1">IFERROR(+IF(AE$29=ProposalToGnatt[[#This Row],[Start Date]],Milestone_Marker,IF(AND(AE$29&gt;ProposalToGnatt[[#This Row],[Start Date]],AE$29&lt;ProposalToGnatt[[#This Row],[Start Date]]+ProposalToGnatt[[#This Row],[Days]]),$G$5,"")),"")</f>
        <v/>
      </c>
      <c r="AF45" s="37" t="str">
        <f ca="1">IFERROR(+IF(AF$29=ProposalToGnatt[[#This Row],[Start Date]],Milestone_Marker,IF(AND(AF$29&gt;ProposalToGnatt[[#This Row],[Start Date]],AF$29&lt;ProposalToGnatt[[#This Row],[Start Date]]+ProposalToGnatt[[#This Row],[Days]]),$G$5,"")),"")</f>
        <v/>
      </c>
      <c r="AG45" s="37">
        <f ca="1">IFERROR(+IF(AG$29=ProposalToGnatt[[#This Row],[Start Date]],Milestone_Marker,IF(AND(AG$29&gt;ProposalToGnatt[[#This Row],[Start Date]],AG$29&lt;ProposalToGnatt[[#This Row],[Start Date]]+ProposalToGnatt[[#This Row],[Days]]),$G$5,"")),"")</f>
        <v>1</v>
      </c>
      <c r="AH45" s="37" t="str">
        <f ca="1">IFERROR(+IF(AH$29=ProposalToGnatt[[#This Row],[Start Date]],Milestone_Marker,IF(AND(AH$29&gt;ProposalToGnatt[[#This Row],[Start Date]],AH$29&lt;ProposalToGnatt[[#This Row],[Start Date]]+ProposalToGnatt[[#This Row],[Days]]),$G$5,"")),"")</f>
        <v/>
      </c>
      <c r="AI45" s="37" t="str">
        <f ca="1">IFERROR(+IF(AI$29=ProposalToGnatt[[#This Row],[Start Date]],Milestone_Marker,IF(AND(AI$29&gt;ProposalToGnatt[[#This Row],[Start Date]],AI$29&lt;ProposalToGnatt[[#This Row],[Start Date]]+ProposalToGnatt[[#This Row],[Days]]),$G$5,"")),"")</f>
        <v/>
      </c>
      <c r="AJ45" s="37" t="str">
        <f ca="1">IFERROR(+IF(AJ$29=ProposalToGnatt[[#This Row],[Start Date]],Milestone_Marker,IF(AND(AJ$29&gt;ProposalToGnatt[[#This Row],[Start Date]],AJ$29&lt;ProposalToGnatt[[#This Row],[Start Date]]+ProposalToGnatt[[#This Row],[Days]]),$G$5,"")),"")</f>
        <v/>
      </c>
      <c r="AK45" s="37" t="str">
        <f ca="1">IFERROR(+IF(AK$29=ProposalToGnatt[[#This Row],[Start Date]],Milestone_Marker,IF(AND(AK$29&gt;ProposalToGnatt[[#This Row],[Start Date]],AK$29&lt;ProposalToGnatt[[#This Row],[Start Date]]+ProposalToGnatt[[#This Row],[Days]]),$G$5,"")),"")</f>
        <v/>
      </c>
      <c r="AL45" s="37" t="str">
        <f ca="1">IFERROR(+IF(AL$29=ProposalToGnatt[[#This Row],[Start Date]],Milestone_Marker,IF(AND(AL$29&gt;ProposalToGnatt[[#This Row],[Start Date]],AL$29&lt;ProposalToGnatt[[#This Row],[Start Date]]+ProposalToGnatt[[#This Row],[Days]]),$G$5,"")),"")</f>
        <v/>
      </c>
      <c r="AM45" s="37" t="str">
        <f ca="1">IFERROR(+IF(AM$29=ProposalToGnatt[[#This Row],[Start Date]],Milestone_Marker,IF(AND(AM$29&gt;ProposalToGnatt[[#This Row],[Start Date]],AM$29&lt;ProposalToGnatt[[#This Row],[Start Date]]+ProposalToGnatt[[#This Row],[Days]]),$G$5,"")),"")</f>
        <v/>
      </c>
      <c r="AN45" s="37" t="str">
        <f ca="1">IFERROR(+IF(AN$29=ProposalToGnatt[[#This Row],[Start Date]],Milestone_Marker,IF(AND(AN$29&gt;ProposalToGnatt[[#This Row],[Start Date]],AN$29&lt;ProposalToGnatt[[#This Row],[Start Date]]+ProposalToGnatt[[#This Row],[Days]]),$G$5,"")),"")</f>
        <v/>
      </c>
      <c r="AO45" s="37" t="str">
        <f ca="1">IFERROR(+IF(AO$29=ProposalToGnatt[[#This Row],[Start Date]],Milestone_Marker,IF(AND(AO$29&gt;ProposalToGnatt[[#This Row],[Start Date]],AO$29&lt;ProposalToGnatt[[#This Row],[Start Date]]+ProposalToGnatt[[#This Row],[Days]]),$G$5,"")),"")</f>
        <v/>
      </c>
      <c r="AP45" s="37" t="str">
        <f ca="1">IFERROR(+IF(AP$29=ProposalToGnatt[[#This Row],[Start Date]],Milestone_Marker,IF(AND(AP$29&gt;ProposalToGnatt[[#This Row],[Start Date]],AP$29&lt;ProposalToGnatt[[#This Row],[Start Date]]+ProposalToGnatt[[#This Row],[Days]]),$G$5,"")),"")</f>
        <v/>
      </c>
      <c r="AQ45" s="37" t="str">
        <f ca="1">IFERROR(+IF(AQ$29=ProposalToGnatt[[#This Row],[Start Date]],Milestone_Marker,IF(AND(AQ$29&gt;ProposalToGnatt[[#This Row],[Start Date]],AQ$29&lt;ProposalToGnatt[[#This Row],[Start Date]]+ProposalToGnatt[[#This Row],[Days]]),$G$5,"")),"")</f>
        <v/>
      </c>
      <c r="AR45" s="37" t="str">
        <f ca="1">IFERROR(+IF(AR$29=ProposalToGnatt[[#This Row],[Start Date]],Milestone_Marker,IF(AND(AR$29&gt;ProposalToGnatt[[#This Row],[Start Date]],AR$29&lt;ProposalToGnatt[[#This Row],[Start Date]]+ProposalToGnatt[[#This Row],[Days]]),$G$5,"")),"")</f>
        <v/>
      </c>
      <c r="AS45" s="37" t="str">
        <f ca="1">IFERROR(+IF(AS$29=ProposalToGnatt[[#This Row],[Start Date]],Milestone_Marker,IF(AND(AS$29&gt;ProposalToGnatt[[#This Row],[Start Date]],AS$29&lt;ProposalToGnatt[[#This Row],[Start Date]]+ProposalToGnatt[[#This Row],[Days]]),$G$5,"")),"")</f>
        <v/>
      </c>
      <c r="AT45" s="37" t="str">
        <f ca="1">IFERROR(+IF(AT$29=ProposalToGnatt[[#This Row],[Start Date]],Milestone_Marker,IF(AND(AT$29&gt;ProposalToGnatt[[#This Row],[Start Date]],AT$29&lt;ProposalToGnatt[[#This Row],[Start Date]]+ProposalToGnatt[[#This Row],[Days]]),$G$5,"")),"")</f>
        <v/>
      </c>
      <c r="AU45" s="37" t="str">
        <f ca="1">IFERROR(+IF(AU$29=ProposalToGnatt[[#This Row],[Start Date]],Milestone_Marker,IF(AND(AU$29&gt;ProposalToGnatt[[#This Row],[Start Date]],AU$29&lt;ProposalToGnatt[[#This Row],[Start Date]]+ProposalToGnatt[[#This Row],[Days]]),$G$5,"")),"")</f>
        <v/>
      </c>
      <c r="AV45" s="37" t="str">
        <f ca="1">IFERROR(+IF(AV$29=ProposalToGnatt[[#This Row],[Start Date]],Milestone_Marker,IF(AND(AV$29&gt;ProposalToGnatt[[#This Row],[Start Date]],AV$29&lt;ProposalToGnatt[[#This Row],[Start Date]]+ProposalToGnatt[[#This Row],[Days]]),$G$5,"")),"")</f>
        <v/>
      </c>
      <c r="AW45" s="37" t="str">
        <f ca="1">IFERROR(+IF(AW$29=ProposalToGnatt[[#This Row],[Start Date]],Milestone_Marker,IF(AND(AW$29&gt;ProposalToGnatt[[#This Row],[Start Date]],AW$29&lt;ProposalToGnatt[[#This Row],[Start Date]]+ProposalToGnatt[[#This Row],[Days]]),$G$5,"")),"")</f>
        <v/>
      </c>
      <c r="AX45" s="37" t="str">
        <f ca="1">IFERROR(+IF(AX$29=ProposalToGnatt[[#This Row],[Start Date]],Milestone_Marker,IF(AND(AX$29&gt;ProposalToGnatt[[#This Row],[Start Date]],AX$29&lt;ProposalToGnatt[[#This Row],[Start Date]]+ProposalToGnatt[[#This Row],[Days]]),$G$5,"")),"")</f>
        <v/>
      </c>
      <c r="AY45" s="37" t="str">
        <f ca="1">IFERROR(+IF(AY$29=ProposalToGnatt[[#This Row],[Start Date]],Milestone_Marker,IF(AND(AY$29&gt;ProposalToGnatt[[#This Row],[Start Date]],AY$29&lt;ProposalToGnatt[[#This Row],[Start Date]]+ProposalToGnatt[[#This Row],[Days]]),$G$5,"")),"")</f>
        <v/>
      </c>
      <c r="AZ45" s="37" t="str">
        <f ca="1">IFERROR(+IF(AZ$29=ProposalToGnatt[[#This Row],[Start Date]],Milestone_Marker,IF(AND(AZ$29&gt;ProposalToGnatt[[#This Row],[Start Date]],AZ$29&lt;ProposalToGnatt[[#This Row],[Start Date]]+ProposalToGnatt[[#This Row],[Days]]),$G$5,"")),"")</f>
        <v/>
      </c>
      <c r="BA45" s="37" t="str">
        <f ca="1">IFERROR(+IF(BA$29=ProposalToGnatt[[#This Row],[Start Date]],Milestone_Marker,IF(AND(BA$29&gt;ProposalToGnatt[[#This Row],[Start Date]],BA$29&lt;ProposalToGnatt[[#This Row],[Start Date]]+ProposalToGnatt[[#This Row],[Days]]),$G$5,"")),"")</f>
        <v/>
      </c>
      <c r="BB45" s="37" t="str">
        <f ca="1">IFERROR(+IF(BB$29=ProposalToGnatt[[#This Row],[Start Date]],Milestone_Marker,IF(AND(BB$29&gt;ProposalToGnatt[[#This Row],[Start Date]],BB$29&lt;ProposalToGnatt[[#This Row],[Start Date]]+ProposalToGnatt[[#This Row],[Days]]),$G$5,"")),"")</f>
        <v/>
      </c>
      <c r="BC45" s="37" t="str">
        <f ca="1">IFERROR(+IF(BC$29=ProposalToGnatt[[#This Row],[Start Date]],Milestone_Marker,IF(AND(BC$29&gt;ProposalToGnatt[[#This Row],[Start Date]],BC$29&lt;ProposalToGnatt[[#This Row],[Start Date]]+ProposalToGnatt[[#This Row],[Days]]),$G$5,"")),"")</f>
        <v/>
      </c>
      <c r="BD45" s="37" t="str">
        <f ca="1">IFERROR(+IF(BD$29=ProposalToGnatt[[#This Row],[Start Date]],Milestone_Marker,IF(AND(BD$29&gt;ProposalToGnatt[[#This Row],[Start Date]],BD$29&lt;ProposalToGnatt[[#This Row],[Start Date]]+ProposalToGnatt[[#This Row],[Days]]),$G$5,"")),"")</f>
        <v/>
      </c>
      <c r="BE45" s="37" t="str">
        <f ca="1">IFERROR(+IF(BE$29=ProposalToGnatt[[#This Row],[Start Date]],Milestone_Marker,IF(AND(BE$29&gt;ProposalToGnatt[[#This Row],[Start Date]],BE$29&lt;ProposalToGnatt[[#This Row],[Start Date]]+ProposalToGnatt[[#This Row],[Days]]),$G$5,"")),"")</f>
        <v/>
      </c>
      <c r="BF45" s="37" t="str">
        <f ca="1">IFERROR(+IF(BF$29=ProposalToGnatt[[#This Row],[Start Date]],Milestone_Marker,IF(AND(BF$29&gt;ProposalToGnatt[[#This Row],[Start Date]],BF$29&lt;ProposalToGnatt[[#This Row],[Start Date]]+ProposalToGnatt[[#This Row],[Days]]),$G$5,"")),"")</f>
        <v/>
      </c>
      <c r="BG45" s="37" t="str">
        <f ca="1">IFERROR(+IF(BG$29=ProposalToGnatt[[#This Row],[Start Date]],Milestone_Marker,IF(AND(BG$29&gt;ProposalToGnatt[[#This Row],[Start Date]],BG$29&lt;ProposalToGnatt[[#This Row],[Start Date]]+ProposalToGnatt[[#This Row],[Days]]),$G$5,"")),"")</f>
        <v/>
      </c>
      <c r="BH45" s="37" t="str">
        <f ca="1">IFERROR(+IF(BH$29=ProposalToGnatt[[#This Row],[Start Date]],Milestone_Marker,IF(AND(BH$29&gt;ProposalToGnatt[[#This Row],[Start Date]],BH$29&lt;ProposalToGnatt[[#This Row],[Start Date]]+ProposalToGnatt[[#This Row],[Days]]),$G$5,"")),"")</f>
        <v/>
      </c>
      <c r="BI45" s="37" t="str">
        <f ca="1">IFERROR(+IF(BI$29=ProposalToGnatt[[#This Row],[Start Date]],Milestone_Marker,IF(AND(BI$29&gt;ProposalToGnatt[[#This Row],[Start Date]],BI$29&lt;ProposalToGnatt[[#This Row],[Start Date]]+ProposalToGnatt[[#This Row],[Days]]),$G$5,"")),"")</f>
        <v/>
      </c>
      <c r="BJ45" s="37" t="str">
        <f ca="1">IFERROR(+IF(BJ$29=ProposalToGnatt[[#This Row],[Start Date]],Milestone_Marker,IF(AND(BJ$29&gt;ProposalToGnatt[[#This Row],[Start Date]],BJ$29&lt;ProposalToGnatt[[#This Row],[Start Date]]+ProposalToGnatt[[#This Row],[Days]]),$G$5,"")),"")</f>
        <v/>
      </c>
      <c r="BK45" s="37" t="str">
        <f ca="1">IFERROR(+IF(BK$29=ProposalToGnatt[[#This Row],[Start Date]],Milestone_Marker,IF(AND(BK$29&gt;ProposalToGnatt[[#This Row],[Start Date]],BK$29&lt;ProposalToGnatt[[#This Row],[Start Date]]+ProposalToGnatt[[#This Row],[Days]]),$G$5,"")),"")</f>
        <v/>
      </c>
      <c r="BL45" s="37" t="str">
        <f ca="1">IFERROR(+IF(BL$29=ProposalToGnatt[[#This Row],[Start Date]],Milestone_Marker,IF(AND(BL$29&gt;ProposalToGnatt[[#This Row],[Start Date]],BL$29&lt;ProposalToGnatt[[#This Row],[Start Date]]+ProposalToGnatt[[#This Row],[Days]]),$G$5,"")),"")</f>
        <v/>
      </c>
      <c r="BM45" s="37" t="str">
        <f ca="1">IFERROR(+IF(BM$29=ProposalToGnatt[[#This Row],[Start Date]],Milestone_Marker,IF(AND(BM$29&gt;ProposalToGnatt[[#This Row],[Start Date]],BM$29&lt;ProposalToGnatt[[#This Row],[Start Date]]+ProposalToGnatt[[#This Row],[Days]]),$G$5,"")),"")</f>
        <v/>
      </c>
      <c r="BN45" s="37" t="str">
        <f ca="1">IFERROR(+IF(BN$29=ProposalToGnatt[[#This Row],[Start Date]],Milestone_Marker,IF(AND(BN$29&gt;ProposalToGnatt[[#This Row],[Start Date]],BN$29&lt;ProposalToGnatt[[#This Row],[Start Date]]+ProposalToGnatt[[#This Row],[Days]]),$G$5,"")),"")</f>
        <v/>
      </c>
      <c r="BO45" s="37" t="str">
        <f ca="1">IFERROR(+IF(BO$29=ProposalToGnatt[[#This Row],[Start Date]],Milestone_Marker,IF(AND(BO$29&gt;ProposalToGnatt[[#This Row],[Start Date]],BO$29&lt;ProposalToGnatt[[#This Row],[Start Date]]+ProposalToGnatt[[#This Row],[Days]]),$G$5,"")),"")</f>
        <v/>
      </c>
      <c r="BP45" s="37" t="str">
        <f ca="1">IFERROR(+IF(BP$29=ProposalToGnatt[[#This Row],[Start Date]],Milestone_Marker,IF(AND(BP$29&gt;ProposalToGnatt[[#This Row],[Start Date]],BP$29&lt;ProposalToGnatt[[#This Row],[Start Date]]+ProposalToGnatt[[#This Row],[Days]]),$G$5,"")),"")</f>
        <v/>
      </c>
      <c r="BQ45" s="37" t="str">
        <f ca="1">IFERROR(+IF(BQ$29=ProposalToGnatt[[#This Row],[Start Date]],Milestone_Marker,IF(AND(BQ$29&gt;ProposalToGnatt[[#This Row],[Start Date]],BQ$29&lt;ProposalToGnatt[[#This Row],[Start Date]]+ProposalToGnatt[[#This Row],[Days]]),$G$5,"")),"")</f>
        <v/>
      </c>
      <c r="BR45" s="37" t="str">
        <f ca="1">IFERROR(+IF(BR$29=ProposalToGnatt[[#This Row],[Start Date]],Milestone_Marker,IF(AND(BR$29&gt;ProposalToGnatt[[#This Row],[Start Date]],BR$29&lt;ProposalToGnatt[[#This Row],[Start Date]]+ProposalToGnatt[[#This Row],[Days]]),$G$5,"")),"")</f>
        <v/>
      </c>
      <c r="BS45" s="37" t="str">
        <f ca="1">IFERROR(+IF(BS$29=ProposalToGnatt[[#This Row],[Start Date]],Milestone_Marker,IF(AND(BS$29&gt;ProposalToGnatt[[#This Row],[Start Date]],BS$29&lt;ProposalToGnatt[[#This Row],[Start Date]]+ProposalToGnatt[[#This Row],[Days]]),$G$5,"")),"")</f>
        <v/>
      </c>
      <c r="BT45" s="37" t="str">
        <f ca="1">IFERROR(+IF(BT$29=ProposalToGnatt[[#This Row],[Start Date]],Milestone_Marker,IF(AND(BT$29&gt;ProposalToGnatt[[#This Row],[Start Date]],BT$29&lt;ProposalToGnatt[[#This Row],[Start Date]]+ProposalToGnatt[[#This Row],[Days]]),$G$5,"")),"")</f>
        <v/>
      </c>
      <c r="BU45" s="37" t="str">
        <f ca="1">IFERROR(+IF(BU$29=ProposalToGnatt[[#This Row],[Start Date]],Milestone_Marker,IF(AND(BU$29&gt;ProposalToGnatt[[#This Row],[Start Date]],BU$29&lt;ProposalToGnatt[[#This Row],[Start Date]]+ProposalToGnatt[[#This Row],[Days]]),$G$5,"")),"")</f>
        <v/>
      </c>
      <c r="BV45" s="37" t="str">
        <f ca="1">IFERROR(+IF(BV$29=ProposalToGnatt[[#This Row],[Start Date]],Milestone_Marker,IF(AND(BV$29&gt;ProposalToGnatt[[#This Row],[Start Date]],BV$29&lt;ProposalToGnatt[[#This Row],[Start Date]]+ProposalToGnatt[[#This Row],[Days]]),$G$5,"")),"")</f>
        <v/>
      </c>
      <c r="BW45" s="37" t="str">
        <f ca="1">IFERROR(+IF(BW$29=ProposalToGnatt[[#This Row],[Start Date]],Milestone_Marker,IF(AND(BW$29&gt;ProposalToGnatt[[#This Row],[Start Date]],BW$29&lt;ProposalToGnatt[[#This Row],[Start Date]]+ProposalToGnatt[[#This Row],[Days]]),$G$5,"")),"")</f>
        <v/>
      </c>
      <c r="BX45" s="37" t="str">
        <f ca="1">IFERROR(+IF(BX$29=ProposalToGnatt[[#This Row],[Start Date]],Milestone_Marker,IF(AND(BX$29&gt;ProposalToGnatt[[#This Row],[Start Date]],BX$29&lt;ProposalToGnatt[[#This Row],[Start Date]]+ProposalToGnatt[[#This Row],[Days]]),$G$5,"")),"")</f>
        <v/>
      </c>
      <c r="BY45" s="37" t="str">
        <f ca="1">IFERROR(+IF(BY$29=ProposalToGnatt[[#This Row],[Start Date]],Milestone_Marker,IF(AND(BY$29&gt;ProposalToGnatt[[#This Row],[Start Date]],BY$29&lt;ProposalToGnatt[[#This Row],[Start Date]]+ProposalToGnatt[[#This Row],[Days]]),$G$5,"")),"")</f>
        <v/>
      </c>
      <c r="BZ45" s="37" t="str">
        <f ca="1">IFERROR(+IF(BZ$29=ProposalToGnatt[[#This Row],[Start Date]],Milestone_Marker,IF(AND(BZ$29&gt;ProposalToGnatt[[#This Row],[Start Date]],BZ$29&lt;ProposalToGnatt[[#This Row],[Start Date]]+ProposalToGnatt[[#This Row],[Days]]),$G$5,"")),"")</f>
        <v/>
      </c>
      <c r="CA45" s="37" t="str">
        <f ca="1">IFERROR(+IF(CA$29=ProposalToGnatt[[#This Row],[Start Date]],Milestone_Marker,IF(AND(CA$29&gt;ProposalToGnatt[[#This Row],[Start Date]],CA$29&lt;ProposalToGnatt[[#This Row],[Start Date]]+ProposalToGnatt[[#This Row],[Days]]),$G$5,"")),"")</f>
        <v/>
      </c>
      <c r="CB45" s="37" t="str">
        <f ca="1">IFERROR(+IF(CB$29=ProposalToGnatt[[#This Row],[Start Date]],Milestone_Marker,IF(AND(CB$29&gt;ProposalToGnatt[[#This Row],[Start Date]],CB$29&lt;ProposalToGnatt[[#This Row],[Start Date]]+ProposalToGnatt[[#This Row],[Days]]),$G$5,"")),"")</f>
        <v/>
      </c>
      <c r="CC45" s="37" t="str">
        <f ca="1">IFERROR(+IF(CC$29=ProposalToGnatt[[#This Row],[Start Date]],Milestone_Marker,IF(AND(CC$29&gt;ProposalToGnatt[[#This Row],[Start Date]],CC$29&lt;ProposalToGnatt[[#This Row],[Start Date]]+ProposalToGnatt[[#This Row],[Days]]),$G$5,"")),"")</f>
        <v/>
      </c>
      <c r="CD45" s="37" t="str">
        <f ca="1">IFERROR(+IF(CD$29=ProposalToGnatt[[#This Row],[Start Date]],Milestone_Marker,IF(AND(CD$29&gt;ProposalToGnatt[[#This Row],[Start Date]],CD$29&lt;ProposalToGnatt[[#This Row],[Start Date]]+ProposalToGnatt[[#This Row],[Days]]),$G$5,"")),"")</f>
        <v/>
      </c>
      <c r="CE45" s="37" t="str">
        <f ca="1">IFERROR(+IF(CE$29=ProposalToGnatt[[#This Row],[Start Date]],Milestone_Marker,IF(AND(CE$29&gt;ProposalToGnatt[[#This Row],[Start Date]],CE$29&lt;ProposalToGnatt[[#This Row],[Start Date]]+ProposalToGnatt[[#This Row],[Days]]),$G$5,"")),"")</f>
        <v/>
      </c>
      <c r="CF45" s="37" t="str">
        <f ca="1">IFERROR(+IF(CF$29=ProposalToGnatt[[#This Row],[Start Date]],Milestone_Marker,IF(AND(CF$29&gt;ProposalToGnatt[[#This Row],[Start Date]],CF$29&lt;ProposalToGnatt[[#This Row],[Start Date]]+ProposalToGnatt[[#This Row],[Days]]),$G$5,"")),"")</f>
        <v/>
      </c>
      <c r="CG45" s="37" t="str">
        <f ca="1">IFERROR(+IF(CG$29=ProposalToGnatt[[#This Row],[Start Date]],Milestone_Marker,IF(AND(CG$29&gt;ProposalToGnatt[[#This Row],[Start Date]],CG$29&lt;ProposalToGnatt[[#This Row],[Start Date]]+ProposalToGnatt[[#This Row],[Days]]),$G$5,"")),"")</f>
        <v/>
      </c>
      <c r="CH45" s="37" t="str">
        <f ca="1">IFERROR(+IF(CH$29=ProposalToGnatt[[#This Row],[Start Date]],Milestone_Marker,IF(AND(CH$29&gt;ProposalToGnatt[[#This Row],[Start Date]],CH$29&lt;ProposalToGnatt[[#This Row],[Start Date]]+ProposalToGnatt[[#This Row],[Days]]),$G$5,"")),"")</f>
        <v/>
      </c>
      <c r="CI45" s="37" t="str">
        <f ca="1">IFERROR(+IF(CI$29=ProposalToGnatt[[#This Row],[Start Date]],Milestone_Marker,IF(AND(CI$29&gt;ProposalToGnatt[[#This Row],[Start Date]],CI$29&lt;ProposalToGnatt[[#This Row],[Start Date]]+ProposalToGnatt[[#This Row],[Days]]),$G$5,"")),"")</f>
        <v/>
      </c>
      <c r="CJ45" s="37" t="str">
        <f ca="1">IFERROR(+IF(CJ$29=ProposalToGnatt[[#This Row],[Start Date]],Milestone_Marker,IF(AND(CJ$29&gt;ProposalToGnatt[[#This Row],[Start Date]],CJ$29&lt;ProposalToGnatt[[#This Row],[Start Date]]+ProposalToGnatt[[#This Row],[Days]]),$G$5,"")),"")</f>
        <v/>
      </c>
      <c r="CK45" s="37" t="str">
        <f ca="1">IFERROR(+IF(CK$29=ProposalToGnatt[[#This Row],[Start Date]],Milestone_Marker,IF(AND(CK$29&gt;ProposalToGnatt[[#This Row],[Start Date]],CK$29&lt;ProposalToGnatt[[#This Row],[Start Date]]+ProposalToGnatt[[#This Row],[Days]]),$G$5,"")),"")</f>
        <v/>
      </c>
      <c r="CL45" s="37" t="str">
        <f ca="1">IFERROR(+IF(CL$29=ProposalToGnatt[[#This Row],[Start Date]],Milestone_Marker,IF(AND(CL$29&gt;ProposalToGnatt[[#This Row],[Start Date]],CL$29&lt;ProposalToGnatt[[#This Row],[Start Date]]+ProposalToGnatt[[#This Row],[Days]]),$G$5,"")),"")</f>
        <v/>
      </c>
      <c r="CM45" s="37" t="str">
        <f ca="1">IFERROR(+IF(CM$29=ProposalToGnatt[[#This Row],[Start Date]],Milestone_Marker,IF(AND(CM$29&gt;ProposalToGnatt[[#This Row],[Start Date]],CM$29&lt;ProposalToGnatt[[#This Row],[Start Date]]+ProposalToGnatt[[#This Row],[Days]]),$G$5,"")),"")</f>
        <v/>
      </c>
      <c r="CN45" s="37" t="str">
        <f ca="1">IFERROR(+IF(CN$29=ProposalToGnatt[[#This Row],[Start Date]],Milestone_Marker,IF(AND(CN$29&gt;ProposalToGnatt[[#This Row],[Start Date]],CN$29&lt;ProposalToGnatt[[#This Row],[Start Date]]+ProposalToGnatt[[#This Row],[Days]]),$G$5,"")),"")</f>
        <v/>
      </c>
      <c r="CO45" s="37" t="str">
        <f ca="1">IFERROR(+IF(CO$29=ProposalToGnatt[[#This Row],[Start Date]],Milestone_Marker,IF(AND(CO$29&gt;ProposalToGnatt[[#This Row],[Start Date]],CO$29&lt;ProposalToGnatt[[#This Row],[Start Date]]+ProposalToGnatt[[#This Row],[Days]]),$G$5,"")),"")</f>
        <v/>
      </c>
      <c r="CP45" s="37" t="str">
        <f ca="1">IFERROR(+IF(CP$29=ProposalToGnatt[[#This Row],[Start Date]],Milestone_Marker,IF(AND(CP$29&gt;ProposalToGnatt[[#This Row],[Start Date]],CP$29&lt;ProposalToGnatt[[#This Row],[Start Date]]+ProposalToGnatt[[#This Row],[Days]]),$G$5,"")),"")</f>
        <v/>
      </c>
      <c r="CQ45" s="37" t="str">
        <f ca="1">IFERROR(+IF(CQ$29=ProposalToGnatt[[#This Row],[Start Date]],Milestone_Marker,IF(AND(CQ$29&gt;ProposalToGnatt[[#This Row],[Start Date]],CQ$29&lt;ProposalToGnatt[[#This Row],[Start Date]]+ProposalToGnatt[[#This Row],[Days]]),$G$5,"")),"")</f>
        <v/>
      </c>
      <c r="CR45" s="37" t="str">
        <f ca="1">IFERROR(+IF(CR$29=ProposalToGnatt[[#This Row],[Start Date]],Milestone_Marker,IF(AND(CR$29&gt;ProposalToGnatt[[#This Row],[Start Date]],CR$29&lt;ProposalToGnatt[[#This Row],[Start Date]]+ProposalToGnatt[[#This Row],[Days]]),$G$5,"")),"")</f>
        <v/>
      </c>
      <c r="CS45" s="37" t="str">
        <f ca="1">IFERROR(+IF(CS$29=ProposalToGnatt[[#This Row],[Start Date]],Milestone_Marker,IF(AND(CS$29&gt;ProposalToGnatt[[#This Row],[Start Date]],CS$29&lt;ProposalToGnatt[[#This Row],[Start Date]]+ProposalToGnatt[[#This Row],[Days]]),$G$5,"")),"")</f>
        <v/>
      </c>
      <c r="CT45" s="37" t="str">
        <f ca="1">IFERROR(+IF(CT$29=ProposalToGnatt[[#This Row],[Start Date]],Milestone_Marker,IF(AND(CT$29&gt;ProposalToGnatt[[#This Row],[Start Date]],CT$29&lt;ProposalToGnatt[[#This Row],[Start Date]]+ProposalToGnatt[[#This Row],[Days]]),$G$5,"")),"")</f>
        <v/>
      </c>
      <c r="CU45" s="37" t="str">
        <f ca="1">IFERROR(+IF(CU$29=ProposalToGnatt[[#This Row],[Start Date]],Milestone_Marker,IF(AND(CU$29&gt;ProposalToGnatt[[#This Row],[Start Date]],CU$29&lt;ProposalToGnatt[[#This Row],[Start Date]]+ProposalToGnatt[[#This Row],[Days]]),$G$5,"")),"")</f>
        <v/>
      </c>
      <c r="CV45" s="37"/>
      <c r="CW45" s="37"/>
      <c r="CX45" s="37"/>
      <c r="CY45" s="37"/>
      <c r="CZ45" s="37"/>
      <c r="DA45" s="37"/>
      <c r="DB45" s="37"/>
      <c r="DC45" s="37"/>
      <c r="DD45" s="37"/>
      <c r="DE45" s="37"/>
      <c r="DF45" s="37"/>
      <c r="DG45" s="37"/>
      <c r="DH45" s="37"/>
      <c r="DI45" s="37"/>
      <c r="DJ45" s="37"/>
      <c r="DK45" s="37"/>
      <c r="DL45" s="37"/>
      <c r="DM45" s="37"/>
      <c r="DN45" s="37"/>
      <c r="DO45" s="37"/>
      <c r="DP45" s="37"/>
      <c r="DQ45" s="37"/>
      <c r="DR45" s="37"/>
      <c r="DS45" s="37"/>
      <c r="DT45" s="37"/>
      <c r="DU45" s="37"/>
    </row>
    <row r="46" spans="1:125" s="42" customFormat="1" ht="15" x14ac:dyDescent="0.25">
      <c r="A46" t="s">
        <v>428</v>
      </c>
      <c r="B46">
        <v>25</v>
      </c>
      <c r="C46" t="s">
        <v>339</v>
      </c>
      <c r="D46" t="s">
        <v>340</v>
      </c>
      <c r="E46" t="s">
        <v>343</v>
      </c>
      <c r="F46">
        <v>1</v>
      </c>
      <c r="G46" s="14"/>
      <c r="H46" s="14"/>
      <c r="I46"/>
      <c r="J46">
        <v>1</v>
      </c>
      <c r="K46" s="303">
        <v>45229</v>
      </c>
      <c r="L46"/>
      <c r="M46" s="14"/>
      <c r="N46" s="352"/>
      <c r="O46" s="340"/>
      <c r="P46" s="37" t="str">
        <f ca="1">IFERROR(+IF(P$29=ProposalToGnatt[[#This Row],[Start Date]],Milestone_Marker,IF(AND(P$29&gt;ProposalToGnatt[[#This Row],[Start Date]],P$29&lt;ProposalToGnatt[[#This Row],[Start Date]]+ProposalToGnatt[[#This Row],[Days]]),$G$5,"")),"")</f>
        <v/>
      </c>
      <c r="Q46" s="37" t="str">
        <f ca="1">IFERROR(+IF(Q$29=ProposalToGnatt[[#This Row],[Start Date]],Milestone_Marker,IF(AND(Q$29&gt;ProposalToGnatt[[#This Row],[Start Date]],Q$29&lt;ProposalToGnatt[[#This Row],[Start Date]]+ProposalToGnatt[[#This Row],[Days]]),$G$5,"")),"")</f>
        <v/>
      </c>
      <c r="R46" s="37" t="str">
        <f ca="1">IFERROR(+IF(R$29=ProposalToGnatt[[#This Row],[Start Date]],Milestone_Marker,IF(AND(R$29&gt;ProposalToGnatt[[#This Row],[Start Date]],R$29&lt;ProposalToGnatt[[#This Row],[Start Date]]+ProposalToGnatt[[#This Row],[Days]]),$G$5,"")),"")</f>
        <v/>
      </c>
      <c r="S46" s="37" t="str">
        <f ca="1">IFERROR(+IF(S$29=ProposalToGnatt[[#This Row],[Start Date]],Milestone_Marker,IF(AND(S$29&gt;ProposalToGnatt[[#This Row],[Start Date]],S$29&lt;ProposalToGnatt[[#This Row],[Start Date]]+ProposalToGnatt[[#This Row],[Days]]),$G$5,"")),"")</f>
        <v/>
      </c>
      <c r="T46" s="37" t="str">
        <f ca="1">IFERROR(+IF(T$29=ProposalToGnatt[[#This Row],[Start Date]],Milestone_Marker,IF(AND(T$29&gt;ProposalToGnatt[[#This Row],[Start Date]],T$29&lt;ProposalToGnatt[[#This Row],[Start Date]]+ProposalToGnatt[[#This Row],[Days]]),$G$5,"")),"")</f>
        <v/>
      </c>
      <c r="U46" s="37" t="str">
        <f ca="1">IFERROR(+IF(U$29=ProposalToGnatt[[#This Row],[Start Date]],Milestone_Marker,IF(AND(U$29&gt;ProposalToGnatt[[#This Row],[Start Date]],U$29&lt;ProposalToGnatt[[#This Row],[Start Date]]+ProposalToGnatt[[#This Row],[Days]]),$G$5,"")),"")</f>
        <v/>
      </c>
      <c r="V46" s="37" t="str">
        <f ca="1">IFERROR(+IF(V$29=ProposalToGnatt[[#This Row],[Start Date]],Milestone_Marker,IF(AND(V$29&gt;ProposalToGnatt[[#This Row],[Start Date]],V$29&lt;ProposalToGnatt[[#This Row],[Start Date]]+ProposalToGnatt[[#This Row],[Days]]),$G$5,"")),"")</f>
        <v/>
      </c>
      <c r="W46" s="37" t="str">
        <f ca="1">IFERROR(+IF(W$29=ProposalToGnatt[[#This Row],[Start Date]],Milestone_Marker,IF(AND(W$29&gt;ProposalToGnatt[[#This Row],[Start Date]],W$29&lt;ProposalToGnatt[[#This Row],[Start Date]]+ProposalToGnatt[[#This Row],[Days]]),$G$5,"")),"")</f>
        <v/>
      </c>
      <c r="X46" s="37" t="str">
        <f ca="1">IFERROR(+IF(X$29=ProposalToGnatt[[#This Row],[Start Date]],Milestone_Marker,IF(AND(X$29&gt;ProposalToGnatt[[#This Row],[Start Date]],X$29&lt;ProposalToGnatt[[#This Row],[Start Date]]+ProposalToGnatt[[#This Row],[Days]]),$G$5,"")),"")</f>
        <v/>
      </c>
      <c r="Y46" s="37" t="str">
        <f ca="1">IFERROR(+IF(Y$29=ProposalToGnatt[[#This Row],[Start Date]],Milestone_Marker,IF(AND(Y$29&gt;ProposalToGnatt[[#This Row],[Start Date]],Y$29&lt;ProposalToGnatt[[#This Row],[Start Date]]+ProposalToGnatt[[#This Row],[Days]]),$G$5,"")),"")</f>
        <v/>
      </c>
      <c r="Z46" s="37" t="str">
        <f ca="1">IFERROR(+IF(Z$29=ProposalToGnatt[[#This Row],[Start Date]],Milestone_Marker,IF(AND(Z$29&gt;ProposalToGnatt[[#This Row],[Start Date]],Z$29&lt;ProposalToGnatt[[#This Row],[Start Date]]+ProposalToGnatt[[#This Row],[Days]]),$G$5,"")),"")</f>
        <v/>
      </c>
      <c r="AA46" s="37" t="str">
        <f ca="1">IFERROR(+IF(AA$29=ProposalToGnatt[[#This Row],[Start Date]],Milestone_Marker,IF(AND(AA$29&gt;ProposalToGnatt[[#This Row],[Start Date]],AA$29&lt;ProposalToGnatt[[#This Row],[Start Date]]+ProposalToGnatt[[#This Row],[Days]]),$G$5,"")),"")</f>
        <v/>
      </c>
      <c r="AB46" s="37" t="str">
        <f ca="1">IFERROR(+IF(AB$29=ProposalToGnatt[[#This Row],[Start Date]],Milestone_Marker,IF(AND(AB$29&gt;ProposalToGnatt[[#This Row],[Start Date]],AB$29&lt;ProposalToGnatt[[#This Row],[Start Date]]+ProposalToGnatt[[#This Row],[Days]]),$G$5,"")),"")</f>
        <v/>
      </c>
      <c r="AC46" s="37" t="str">
        <f ca="1">IFERROR(+IF(AC$29=ProposalToGnatt[[#This Row],[Start Date]],Milestone_Marker,IF(AND(AC$29&gt;ProposalToGnatt[[#This Row],[Start Date]],AC$29&lt;ProposalToGnatt[[#This Row],[Start Date]]+ProposalToGnatt[[#This Row],[Days]]),$G$5,"")),"")</f>
        <v/>
      </c>
      <c r="AD46" s="37" t="str">
        <f ca="1">IFERROR(+IF(AD$29=ProposalToGnatt[[#This Row],[Start Date]],Milestone_Marker,IF(AND(AD$29&gt;ProposalToGnatt[[#This Row],[Start Date]],AD$29&lt;ProposalToGnatt[[#This Row],[Start Date]]+ProposalToGnatt[[#This Row],[Days]]),$G$5,"")),"")</f>
        <v/>
      </c>
      <c r="AE46" s="37" t="str">
        <f ca="1">IFERROR(+IF(AE$29=ProposalToGnatt[[#This Row],[Start Date]],Milestone_Marker,IF(AND(AE$29&gt;ProposalToGnatt[[#This Row],[Start Date]],AE$29&lt;ProposalToGnatt[[#This Row],[Start Date]]+ProposalToGnatt[[#This Row],[Days]]),$G$5,"")),"")</f>
        <v/>
      </c>
      <c r="AF46" s="37" t="str">
        <f ca="1">IFERROR(+IF(AF$29=ProposalToGnatt[[#This Row],[Start Date]],Milestone_Marker,IF(AND(AF$29&gt;ProposalToGnatt[[#This Row],[Start Date]],AF$29&lt;ProposalToGnatt[[#This Row],[Start Date]]+ProposalToGnatt[[#This Row],[Days]]),$G$5,"")),"")</f>
        <v/>
      </c>
      <c r="AG46" s="37">
        <f ca="1">IFERROR(+IF(AG$29=ProposalToGnatt[[#This Row],[Start Date]],Milestone_Marker,IF(AND(AG$29&gt;ProposalToGnatt[[#This Row],[Start Date]],AG$29&lt;ProposalToGnatt[[#This Row],[Start Date]]+ProposalToGnatt[[#This Row],[Days]]),$G$5,"")),"")</f>
        <v>1</v>
      </c>
      <c r="AH46" s="37" t="str">
        <f ca="1">IFERROR(+IF(AH$29=ProposalToGnatt[[#This Row],[Start Date]],Milestone_Marker,IF(AND(AH$29&gt;ProposalToGnatt[[#This Row],[Start Date]],AH$29&lt;ProposalToGnatt[[#This Row],[Start Date]]+ProposalToGnatt[[#This Row],[Days]]),$G$5,"")),"")</f>
        <v/>
      </c>
      <c r="AI46" s="37" t="str">
        <f ca="1">IFERROR(+IF(AI$29=ProposalToGnatt[[#This Row],[Start Date]],Milestone_Marker,IF(AND(AI$29&gt;ProposalToGnatt[[#This Row],[Start Date]],AI$29&lt;ProposalToGnatt[[#This Row],[Start Date]]+ProposalToGnatt[[#This Row],[Days]]),$G$5,"")),"")</f>
        <v/>
      </c>
      <c r="AJ46" s="37" t="str">
        <f ca="1">IFERROR(+IF(AJ$29=ProposalToGnatt[[#This Row],[Start Date]],Milestone_Marker,IF(AND(AJ$29&gt;ProposalToGnatt[[#This Row],[Start Date]],AJ$29&lt;ProposalToGnatt[[#This Row],[Start Date]]+ProposalToGnatt[[#This Row],[Days]]),$G$5,"")),"")</f>
        <v/>
      </c>
      <c r="AK46" s="37" t="str">
        <f ca="1">IFERROR(+IF(AK$29=ProposalToGnatt[[#This Row],[Start Date]],Milestone_Marker,IF(AND(AK$29&gt;ProposalToGnatt[[#This Row],[Start Date]],AK$29&lt;ProposalToGnatt[[#This Row],[Start Date]]+ProposalToGnatt[[#This Row],[Days]]),$G$5,"")),"")</f>
        <v/>
      </c>
      <c r="AL46" s="37" t="str">
        <f ca="1">IFERROR(+IF(AL$29=ProposalToGnatt[[#This Row],[Start Date]],Milestone_Marker,IF(AND(AL$29&gt;ProposalToGnatt[[#This Row],[Start Date]],AL$29&lt;ProposalToGnatt[[#This Row],[Start Date]]+ProposalToGnatt[[#This Row],[Days]]),$G$5,"")),"")</f>
        <v/>
      </c>
      <c r="AM46" s="37" t="str">
        <f ca="1">IFERROR(+IF(AM$29=ProposalToGnatt[[#This Row],[Start Date]],Milestone_Marker,IF(AND(AM$29&gt;ProposalToGnatt[[#This Row],[Start Date]],AM$29&lt;ProposalToGnatt[[#This Row],[Start Date]]+ProposalToGnatt[[#This Row],[Days]]),$G$5,"")),"")</f>
        <v/>
      </c>
      <c r="AN46" s="37" t="str">
        <f ca="1">IFERROR(+IF(AN$29=ProposalToGnatt[[#This Row],[Start Date]],Milestone_Marker,IF(AND(AN$29&gt;ProposalToGnatt[[#This Row],[Start Date]],AN$29&lt;ProposalToGnatt[[#This Row],[Start Date]]+ProposalToGnatt[[#This Row],[Days]]),$G$5,"")),"")</f>
        <v/>
      </c>
      <c r="AO46" s="37" t="str">
        <f ca="1">IFERROR(+IF(AO$29=ProposalToGnatt[[#This Row],[Start Date]],Milestone_Marker,IF(AND(AO$29&gt;ProposalToGnatt[[#This Row],[Start Date]],AO$29&lt;ProposalToGnatt[[#This Row],[Start Date]]+ProposalToGnatt[[#This Row],[Days]]),$G$5,"")),"")</f>
        <v/>
      </c>
      <c r="AP46" s="37" t="str">
        <f ca="1">IFERROR(+IF(AP$29=ProposalToGnatt[[#This Row],[Start Date]],Milestone_Marker,IF(AND(AP$29&gt;ProposalToGnatt[[#This Row],[Start Date]],AP$29&lt;ProposalToGnatt[[#This Row],[Start Date]]+ProposalToGnatt[[#This Row],[Days]]),$G$5,"")),"")</f>
        <v/>
      </c>
      <c r="AQ46" s="37" t="str">
        <f ca="1">IFERROR(+IF(AQ$29=ProposalToGnatt[[#This Row],[Start Date]],Milestone_Marker,IF(AND(AQ$29&gt;ProposalToGnatt[[#This Row],[Start Date]],AQ$29&lt;ProposalToGnatt[[#This Row],[Start Date]]+ProposalToGnatt[[#This Row],[Days]]),$G$5,"")),"")</f>
        <v/>
      </c>
      <c r="AR46" s="37" t="str">
        <f ca="1">IFERROR(+IF(AR$29=ProposalToGnatt[[#This Row],[Start Date]],Milestone_Marker,IF(AND(AR$29&gt;ProposalToGnatt[[#This Row],[Start Date]],AR$29&lt;ProposalToGnatt[[#This Row],[Start Date]]+ProposalToGnatt[[#This Row],[Days]]),$G$5,"")),"")</f>
        <v/>
      </c>
      <c r="AS46" s="37" t="str">
        <f ca="1">IFERROR(+IF(AS$29=ProposalToGnatt[[#This Row],[Start Date]],Milestone_Marker,IF(AND(AS$29&gt;ProposalToGnatt[[#This Row],[Start Date]],AS$29&lt;ProposalToGnatt[[#This Row],[Start Date]]+ProposalToGnatt[[#This Row],[Days]]),$G$5,"")),"")</f>
        <v/>
      </c>
      <c r="AT46" s="37" t="str">
        <f ca="1">IFERROR(+IF(AT$29=ProposalToGnatt[[#This Row],[Start Date]],Milestone_Marker,IF(AND(AT$29&gt;ProposalToGnatt[[#This Row],[Start Date]],AT$29&lt;ProposalToGnatt[[#This Row],[Start Date]]+ProposalToGnatt[[#This Row],[Days]]),$G$5,"")),"")</f>
        <v/>
      </c>
      <c r="AU46" s="37" t="str">
        <f ca="1">IFERROR(+IF(AU$29=ProposalToGnatt[[#This Row],[Start Date]],Milestone_Marker,IF(AND(AU$29&gt;ProposalToGnatt[[#This Row],[Start Date]],AU$29&lt;ProposalToGnatt[[#This Row],[Start Date]]+ProposalToGnatt[[#This Row],[Days]]),$G$5,"")),"")</f>
        <v/>
      </c>
      <c r="AV46" s="37" t="str">
        <f ca="1">IFERROR(+IF(AV$29=ProposalToGnatt[[#This Row],[Start Date]],Milestone_Marker,IF(AND(AV$29&gt;ProposalToGnatt[[#This Row],[Start Date]],AV$29&lt;ProposalToGnatt[[#This Row],[Start Date]]+ProposalToGnatt[[#This Row],[Days]]),$G$5,"")),"")</f>
        <v/>
      </c>
      <c r="AW46" s="37" t="str">
        <f ca="1">IFERROR(+IF(AW$29=ProposalToGnatt[[#This Row],[Start Date]],Milestone_Marker,IF(AND(AW$29&gt;ProposalToGnatt[[#This Row],[Start Date]],AW$29&lt;ProposalToGnatt[[#This Row],[Start Date]]+ProposalToGnatt[[#This Row],[Days]]),$G$5,"")),"")</f>
        <v/>
      </c>
      <c r="AX46" s="37" t="str">
        <f ca="1">IFERROR(+IF(AX$29=ProposalToGnatt[[#This Row],[Start Date]],Milestone_Marker,IF(AND(AX$29&gt;ProposalToGnatt[[#This Row],[Start Date]],AX$29&lt;ProposalToGnatt[[#This Row],[Start Date]]+ProposalToGnatt[[#This Row],[Days]]),$G$5,"")),"")</f>
        <v/>
      </c>
      <c r="AY46" s="37" t="str">
        <f ca="1">IFERROR(+IF(AY$29=ProposalToGnatt[[#This Row],[Start Date]],Milestone_Marker,IF(AND(AY$29&gt;ProposalToGnatt[[#This Row],[Start Date]],AY$29&lt;ProposalToGnatt[[#This Row],[Start Date]]+ProposalToGnatt[[#This Row],[Days]]),$G$5,"")),"")</f>
        <v/>
      </c>
      <c r="AZ46" s="37" t="str">
        <f ca="1">IFERROR(+IF(AZ$29=ProposalToGnatt[[#This Row],[Start Date]],Milestone_Marker,IF(AND(AZ$29&gt;ProposalToGnatt[[#This Row],[Start Date]],AZ$29&lt;ProposalToGnatt[[#This Row],[Start Date]]+ProposalToGnatt[[#This Row],[Days]]),$G$5,"")),"")</f>
        <v/>
      </c>
      <c r="BA46" s="37" t="str">
        <f ca="1">IFERROR(+IF(BA$29=ProposalToGnatt[[#This Row],[Start Date]],Milestone_Marker,IF(AND(BA$29&gt;ProposalToGnatt[[#This Row],[Start Date]],BA$29&lt;ProposalToGnatt[[#This Row],[Start Date]]+ProposalToGnatt[[#This Row],[Days]]),$G$5,"")),"")</f>
        <v/>
      </c>
      <c r="BB46" s="37" t="str">
        <f ca="1">IFERROR(+IF(BB$29=ProposalToGnatt[[#This Row],[Start Date]],Milestone_Marker,IF(AND(BB$29&gt;ProposalToGnatt[[#This Row],[Start Date]],BB$29&lt;ProposalToGnatt[[#This Row],[Start Date]]+ProposalToGnatt[[#This Row],[Days]]),$G$5,"")),"")</f>
        <v/>
      </c>
      <c r="BC46" s="37" t="str">
        <f ca="1">IFERROR(+IF(BC$29=ProposalToGnatt[[#This Row],[Start Date]],Milestone_Marker,IF(AND(BC$29&gt;ProposalToGnatt[[#This Row],[Start Date]],BC$29&lt;ProposalToGnatt[[#This Row],[Start Date]]+ProposalToGnatt[[#This Row],[Days]]),$G$5,"")),"")</f>
        <v/>
      </c>
      <c r="BD46" s="37" t="str">
        <f ca="1">IFERROR(+IF(BD$29=ProposalToGnatt[[#This Row],[Start Date]],Milestone_Marker,IF(AND(BD$29&gt;ProposalToGnatt[[#This Row],[Start Date]],BD$29&lt;ProposalToGnatt[[#This Row],[Start Date]]+ProposalToGnatt[[#This Row],[Days]]),$G$5,"")),"")</f>
        <v/>
      </c>
      <c r="BE46" s="37" t="str">
        <f ca="1">IFERROR(+IF(BE$29=ProposalToGnatt[[#This Row],[Start Date]],Milestone_Marker,IF(AND(BE$29&gt;ProposalToGnatt[[#This Row],[Start Date]],BE$29&lt;ProposalToGnatt[[#This Row],[Start Date]]+ProposalToGnatt[[#This Row],[Days]]),$G$5,"")),"")</f>
        <v/>
      </c>
      <c r="BF46" s="37" t="str">
        <f ca="1">IFERROR(+IF(BF$29=ProposalToGnatt[[#This Row],[Start Date]],Milestone_Marker,IF(AND(BF$29&gt;ProposalToGnatt[[#This Row],[Start Date]],BF$29&lt;ProposalToGnatt[[#This Row],[Start Date]]+ProposalToGnatt[[#This Row],[Days]]),$G$5,"")),"")</f>
        <v/>
      </c>
      <c r="BG46" s="37" t="str">
        <f ca="1">IFERROR(+IF(BG$29=ProposalToGnatt[[#This Row],[Start Date]],Milestone_Marker,IF(AND(BG$29&gt;ProposalToGnatt[[#This Row],[Start Date]],BG$29&lt;ProposalToGnatt[[#This Row],[Start Date]]+ProposalToGnatt[[#This Row],[Days]]),$G$5,"")),"")</f>
        <v/>
      </c>
      <c r="BH46" s="37" t="str">
        <f ca="1">IFERROR(+IF(BH$29=ProposalToGnatt[[#This Row],[Start Date]],Milestone_Marker,IF(AND(BH$29&gt;ProposalToGnatt[[#This Row],[Start Date]],BH$29&lt;ProposalToGnatt[[#This Row],[Start Date]]+ProposalToGnatt[[#This Row],[Days]]),$G$5,"")),"")</f>
        <v/>
      </c>
      <c r="BI46" s="37" t="str">
        <f ca="1">IFERROR(+IF(BI$29=ProposalToGnatt[[#This Row],[Start Date]],Milestone_Marker,IF(AND(BI$29&gt;ProposalToGnatt[[#This Row],[Start Date]],BI$29&lt;ProposalToGnatt[[#This Row],[Start Date]]+ProposalToGnatt[[#This Row],[Days]]),$G$5,"")),"")</f>
        <v/>
      </c>
      <c r="BJ46" s="37" t="str">
        <f ca="1">IFERROR(+IF(BJ$29=ProposalToGnatt[[#This Row],[Start Date]],Milestone_Marker,IF(AND(BJ$29&gt;ProposalToGnatt[[#This Row],[Start Date]],BJ$29&lt;ProposalToGnatt[[#This Row],[Start Date]]+ProposalToGnatt[[#This Row],[Days]]),$G$5,"")),"")</f>
        <v/>
      </c>
      <c r="BK46" s="37" t="str">
        <f ca="1">IFERROR(+IF(BK$29=ProposalToGnatt[[#This Row],[Start Date]],Milestone_Marker,IF(AND(BK$29&gt;ProposalToGnatt[[#This Row],[Start Date]],BK$29&lt;ProposalToGnatt[[#This Row],[Start Date]]+ProposalToGnatt[[#This Row],[Days]]),$G$5,"")),"")</f>
        <v/>
      </c>
      <c r="BL46" s="37" t="str">
        <f ca="1">IFERROR(+IF(BL$29=ProposalToGnatt[[#This Row],[Start Date]],Milestone_Marker,IF(AND(BL$29&gt;ProposalToGnatt[[#This Row],[Start Date]],BL$29&lt;ProposalToGnatt[[#This Row],[Start Date]]+ProposalToGnatt[[#This Row],[Days]]),$G$5,"")),"")</f>
        <v/>
      </c>
      <c r="BM46" s="37" t="str">
        <f ca="1">IFERROR(+IF(BM$29=ProposalToGnatt[[#This Row],[Start Date]],Milestone_Marker,IF(AND(BM$29&gt;ProposalToGnatt[[#This Row],[Start Date]],BM$29&lt;ProposalToGnatt[[#This Row],[Start Date]]+ProposalToGnatt[[#This Row],[Days]]),$G$5,"")),"")</f>
        <v/>
      </c>
      <c r="BN46" s="37" t="str">
        <f ca="1">IFERROR(+IF(BN$29=ProposalToGnatt[[#This Row],[Start Date]],Milestone_Marker,IF(AND(BN$29&gt;ProposalToGnatt[[#This Row],[Start Date]],BN$29&lt;ProposalToGnatt[[#This Row],[Start Date]]+ProposalToGnatt[[#This Row],[Days]]),$G$5,"")),"")</f>
        <v/>
      </c>
      <c r="BO46" s="37" t="str">
        <f ca="1">IFERROR(+IF(BO$29=ProposalToGnatt[[#This Row],[Start Date]],Milestone_Marker,IF(AND(BO$29&gt;ProposalToGnatt[[#This Row],[Start Date]],BO$29&lt;ProposalToGnatt[[#This Row],[Start Date]]+ProposalToGnatt[[#This Row],[Days]]),$G$5,"")),"")</f>
        <v/>
      </c>
      <c r="BP46" s="37" t="str">
        <f ca="1">IFERROR(+IF(BP$29=ProposalToGnatt[[#This Row],[Start Date]],Milestone_Marker,IF(AND(BP$29&gt;ProposalToGnatt[[#This Row],[Start Date]],BP$29&lt;ProposalToGnatt[[#This Row],[Start Date]]+ProposalToGnatt[[#This Row],[Days]]),$G$5,"")),"")</f>
        <v/>
      </c>
      <c r="BQ46" s="37" t="str">
        <f ca="1">IFERROR(+IF(BQ$29=ProposalToGnatt[[#This Row],[Start Date]],Milestone_Marker,IF(AND(BQ$29&gt;ProposalToGnatt[[#This Row],[Start Date]],BQ$29&lt;ProposalToGnatt[[#This Row],[Start Date]]+ProposalToGnatt[[#This Row],[Days]]),$G$5,"")),"")</f>
        <v/>
      </c>
      <c r="BR46" s="37" t="str">
        <f ca="1">IFERROR(+IF(BR$29=ProposalToGnatt[[#This Row],[Start Date]],Milestone_Marker,IF(AND(BR$29&gt;ProposalToGnatt[[#This Row],[Start Date]],BR$29&lt;ProposalToGnatt[[#This Row],[Start Date]]+ProposalToGnatt[[#This Row],[Days]]),$G$5,"")),"")</f>
        <v/>
      </c>
      <c r="BS46" s="37" t="str">
        <f ca="1">IFERROR(+IF(BS$29=ProposalToGnatt[[#This Row],[Start Date]],Milestone_Marker,IF(AND(BS$29&gt;ProposalToGnatt[[#This Row],[Start Date]],BS$29&lt;ProposalToGnatt[[#This Row],[Start Date]]+ProposalToGnatt[[#This Row],[Days]]),$G$5,"")),"")</f>
        <v/>
      </c>
      <c r="BT46" s="37" t="str">
        <f ca="1">IFERROR(+IF(BT$29=ProposalToGnatt[[#This Row],[Start Date]],Milestone_Marker,IF(AND(BT$29&gt;ProposalToGnatt[[#This Row],[Start Date]],BT$29&lt;ProposalToGnatt[[#This Row],[Start Date]]+ProposalToGnatt[[#This Row],[Days]]),$G$5,"")),"")</f>
        <v/>
      </c>
      <c r="BU46" s="37" t="str">
        <f ca="1">IFERROR(+IF(BU$29=ProposalToGnatt[[#This Row],[Start Date]],Milestone_Marker,IF(AND(BU$29&gt;ProposalToGnatt[[#This Row],[Start Date]],BU$29&lt;ProposalToGnatt[[#This Row],[Start Date]]+ProposalToGnatt[[#This Row],[Days]]),$G$5,"")),"")</f>
        <v/>
      </c>
      <c r="BV46" s="37" t="str">
        <f ca="1">IFERROR(+IF(BV$29=ProposalToGnatt[[#This Row],[Start Date]],Milestone_Marker,IF(AND(BV$29&gt;ProposalToGnatt[[#This Row],[Start Date]],BV$29&lt;ProposalToGnatt[[#This Row],[Start Date]]+ProposalToGnatt[[#This Row],[Days]]),$G$5,"")),"")</f>
        <v/>
      </c>
      <c r="BW46" s="37" t="str">
        <f ca="1">IFERROR(+IF(BW$29=ProposalToGnatt[[#This Row],[Start Date]],Milestone_Marker,IF(AND(BW$29&gt;ProposalToGnatt[[#This Row],[Start Date]],BW$29&lt;ProposalToGnatt[[#This Row],[Start Date]]+ProposalToGnatt[[#This Row],[Days]]),$G$5,"")),"")</f>
        <v/>
      </c>
      <c r="BX46" s="37" t="str">
        <f ca="1">IFERROR(+IF(BX$29=ProposalToGnatt[[#This Row],[Start Date]],Milestone_Marker,IF(AND(BX$29&gt;ProposalToGnatt[[#This Row],[Start Date]],BX$29&lt;ProposalToGnatt[[#This Row],[Start Date]]+ProposalToGnatt[[#This Row],[Days]]),$G$5,"")),"")</f>
        <v/>
      </c>
      <c r="BY46" s="37" t="str">
        <f ca="1">IFERROR(+IF(BY$29=ProposalToGnatt[[#This Row],[Start Date]],Milestone_Marker,IF(AND(BY$29&gt;ProposalToGnatt[[#This Row],[Start Date]],BY$29&lt;ProposalToGnatt[[#This Row],[Start Date]]+ProposalToGnatt[[#This Row],[Days]]),$G$5,"")),"")</f>
        <v/>
      </c>
      <c r="BZ46" s="37" t="str">
        <f ca="1">IFERROR(+IF(BZ$29=ProposalToGnatt[[#This Row],[Start Date]],Milestone_Marker,IF(AND(BZ$29&gt;ProposalToGnatt[[#This Row],[Start Date]],BZ$29&lt;ProposalToGnatt[[#This Row],[Start Date]]+ProposalToGnatt[[#This Row],[Days]]),$G$5,"")),"")</f>
        <v/>
      </c>
      <c r="CA46" s="37" t="str">
        <f ca="1">IFERROR(+IF(CA$29=ProposalToGnatt[[#This Row],[Start Date]],Milestone_Marker,IF(AND(CA$29&gt;ProposalToGnatt[[#This Row],[Start Date]],CA$29&lt;ProposalToGnatt[[#This Row],[Start Date]]+ProposalToGnatt[[#This Row],[Days]]),$G$5,"")),"")</f>
        <v/>
      </c>
      <c r="CB46" s="37" t="str">
        <f ca="1">IFERROR(+IF(CB$29=ProposalToGnatt[[#This Row],[Start Date]],Milestone_Marker,IF(AND(CB$29&gt;ProposalToGnatt[[#This Row],[Start Date]],CB$29&lt;ProposalToGnatt[[#This Row],[Start Date]]+ProposalToGnatt[[#This Row],[Days]]),$G$5,"")),"")</f>
        <v/>
      </c>
      <c r="CC46" s="37" t="str">
        <f ca="1">IFERROR(+IF(CC$29=ProposalToGnatt[[#This Row],[Start Date]],Milestone_Marker,IF(AND(CC$29&gt;ProposalToGnatt[[#This Row],[Start Date]],CC$29&lt;ProposalToGnatt[[#This Row],[Start Date]]+ProposalToGnatt[[#This Row],[Days]]),$G$5,"")),"")</f>
        <v/>
      </c>
      <c r="CD46" s="37" t="str">
        <f ca="1">IFERROR(+IF(CD$29=ProposalToGnatt[[#This Row],[Start Date]],Milestone_Marker,IF(AND(CD$29&gt;ProposalToGnatt[[#This Row],[Start Date]],CD$29&lt;ProposalToGnatt[[#This Row],[Start Date]]+ProposalToGnatt[[#This Row],[Days]]),$G$5,"")),"")</f>
        <v/>
      </c>
      <c r="CE46" s="37" t="str">
        <f ca="1">IFERROR(+IF(CE$29=ProposalToGnatt[[#This Row],[Start Date]],Milestone_Marker,IF(AND(CE$29&gt;ProposalToGnatt[[#This Row],[Start Date]],CE$29&lt;ProposalToGnatt[[#This Row],[Start Date]]+ProposalToGnatt[[#This Row],[Days]]),$G$5,"")),"")</f>
        <v/>
      </c>
      <c r="CF46" s="37" t="str">
        <f ca="1">IFERROR(+IF(CF$29=ProposalToGnatt[[#This Row],[Start Date]],Milestone_Marker,IF(AND(CF$29&gt;ProposalToGnatt[[#This Row],[Start Date]],CF$29&lt;ProposalToGnatt[[#This Row],[Start Date]]+ProposalToGnatt[[#This Row],[Days]]),$G$5,"")),"")</f>
        <v/>
      </c>
      <c r="CG46" s="37" t="str">
        <f ca="1">IFERROR(+IF(CG$29=ProposalToGnatt[[#This Row],[Start Date]],Milestone_Marker,IF(AND(CG$29&gt;ProposalToGnatt[[#This Row],[Start Date]],CG$29&lt;ProposalToGnatt[[#This Row],[Start Date]]+ProposalToGnatt[[#This Row],[Days]]),$G$5,"")),"")</f>
        <v/>
      </c>
      <c r="CH46" s="37" t="str">
        <f ca="1">IFERROR(+IF(CH$29=ProposalToGnatt[[#This Row],[Start Date]],Milestone_Marker,IF(AND(CH$29&gt;ProposalToGnatt[[#This Row],[Start Date]],CH$29&lt;ProposalToGnatt[[#This Row],[Start Date]]+ProposalToGnatt[[#This Row],[Days]]),$G$5,"")),"")</f>
        <v/>
      </c>
      <c r="CI46" s="37" t="str">
        <f ca="1">IFERROR(+IF(CI$29=ProposalToGnatt[[#This Row],[Start Date]],Milestone_Marker,IF(AND(CI$29&gt;ProposalToGnatt[[#This Row],[Start Date]],CI$29&lt;ProposalToGnatt[[#This Row],[Start Date]]+ProposalToGnatt[[#This Row],[Days]]),$G$5,"")),"")</f>
        <v/>
      </c>
      <c r="CJ46" s="37" t="str">
        <f ca="1">IFERROR(+IF(CJ$29=ProposalToGnatt[[#This Row],[Start Date]],Milestone_Marker,IF(AND(CJ$29&gt;ProposalToGnatt[[#This Row],[Start Date]],CJ$29&lt;ProposalToGnatt[[#This Row],[Start Date]]+ProposalToGnatt[[#This Row],[Days]]),$G$5,"")),"")</f>
        <v/>
      </c>
      <c r="CK46" s="37" t="str">
        <f ca="1">IFERROR(+IF(CK$29=ProposalToGnatt[[#This Row],[Start Date]],Milestone_Marker,IF(AND(CK$29&gt;ProposalToGnatt[[#This Row],[Start Date]],CK$29&lt;ProposalToGnatt[[#This Row],[Start Date]]+ProposalToGnatt[[#This Row],[Days]]),$G$5,"")),"")</f>
        <v/>
      </c>
      <c r="CL46" s="37" t="str">
        <f ca="1">IFERROR(+IF(CL$29=ProposalToGnatt[[#This Row],[Start Date]],Milestone_Marker,IF(AND(CL$29&gt;ProposalToGnatt[[#This Row],[Start Date]],CL$29&lt;ProposalToGnatt[[#This Row],[Start Date]]+ProposalToGnatt[[#This Row],[Days]]),$G$5,"")),"")</f>
        <v/>
      </c>
      <c r="CM46" s="37" t="str">
        <f ca="1">IFERROR(+IF(CM$29=ProposalToGnatt[[#This Row],[Start Date]],Milestone_Marker,IF(AND(CM$29&gt;ProposalToGnatt[[#This Row],[Start Date]],CM$29&lt;ProposalToGnatt[[#This Row],[Start Date]]+ProposalToGnatt[[#This Row],[Days]]),$G$5,"")),"")</f>
        <v/>
      </c>
      <c r="CN46" s="37" t="str">
        <f ca="1">IFERROR(+IF(CN$29=ProposalToGnatt[[#This Row],[Start Date]],Milestone_Marker,IF(AND(CN$29&gt;ProposalToGnatt[[#This Row],[Start Date]],CN$29&lt;ProposalToGnatt[[#This Row],[Start Date]]+ProposalToGnatt[[#This Row],[Days]]),$G$5,"")),"")</f>
        <v/>
      </c>
      <c r="CO46" s="37" t="str">
        <f ca="1">IFERROR(+IF(CO$29=ProposalToGnatt[[#This Row],[Start Date]],Milestone_Marker,IF(AND(CO$29&gt;ProposalToGnatt[[#This Row],[Start Date]],CO$29&lt;ProposalToGnatt[[#This Row],[Start Date]]+ProposalToGnatt[[#This Row],[Days]]),$G$5,"")),"")</f>
        <v/>
      </c>
      <c r="CP46" s="37" t="str">
        <f ca="1">IFERROR(+IF(CP$29=ProposalToGnatt[[#This Row],[Start Date]],Milestone_Marker,IF(AND(CP$29&gt;ProposalToGnatt[[#This Row],[Start Date]],CP$29&lt;ProposalToGnatt[[#This Row],[Start Date]]+ProposalToGnatt[[#This Row],[Days]]),$G$5,"")),"")</f>
        <v/>
      </c>
      <c r="CQ46" s="37" t="str">
        <f ca="1">IFERROR(+IF(CQ$29=ProposalToGnatt[[#This Row],[Start Date]],Milestone_Marker,IF(AND(CQ$29&gt;ProposalToGnatt[[#This Row],[Start Date]],CQ$29&lt;ProposalToGnatt[[#This Row],[Start Date]]+ProposalToGnatt[[#This Row],[Days]]),$G$5,"")),"")</f>
        <v/>
      </c>
      <c r="CR46" s="37" t="str">
        <f ca="1">IFERROR(+IF(CR$29=ProposalToGnatt[[#This Row],[Start Date]],Milestone_Marker,IF(AND(CR$29&gt;ProposalToGnatt[[#This Row],[Start Date]],CR$29&lt;ProposalToGnatt[[#This Row],[Start Date]]+ProposalToGnatt[[#This Row],[Days]]),$G$5,"")),"")</f>
        <v/>
      </c>
      <c r="CS46" s="37" t="str">
        <f ca="1">IFERROR(+IF(CS$29=ProposalToGnatt[[#This Row],[Start Date]],Milestone_Marker,IF(AND(CS$29&gt;ProposalToGnatt[[#This Row],[Start Date]],CS$29&lt;ProposalToGnatt[[#This Row],[Start Date]]+ProposalToGnatt[[#This Row],[Days]]),$G$5,"")),"")</f>
        <v/>
      </c>
      <c r="CT46" s="37" t="str">
        <f ca="1">IFERROR(+IF(CT$29=ProposalToGnatt[[#This Row],[Start Date]],Milestone_Marker,IF(AND(CT$29&gt;ProposalToGnatt[[#This Row],[Start Date]],CT$29&lt;ProposalToGnatt[[#This Row],[Start Date]]+ProposalToGnatt[[#This Row],[Days]]),$G$5,"")),"")</f>
        <v/>
      </c>
      <c r="CU46" s="37" t="str">
        <f ca="1">IFERROR(+IF(CU$29=ProposalToGnatt[[#This Row],[Start Date]],Milestone_Marker,IF(AND(CU$29&gt;ProposalToGnatt[[#This Row],[Start Date]],CU$29&lt;ProposalToGnatt[[#This Row],[Start Date]]+ProposalToGnatt[[#This Row],[Days]]),$G$5,"")),"")</f>
        <v/>
      </c>
      <c r="CV46" s="37"/>
      <c r="CW46" s="37"/>
      <c r="CX46" s="37"/>
      <c r="CY46" s="37"/>
      <c r="CZ46" s="37"/>
      <c r="DA46" s="37"/>
      <c r="DB46" s="37"/>
      <c r="DC46" s="37"/>
      <c r="DD46" s="37"/>
      <c r="DE46" s="37"/>
      <c r="DF46" s="37"/>
      <c r="DG46" s="37"/>
      <c r="DH46" s="37"/>
      <c r="DI46" s="37"/>
      <c r="DJ46" s="37"/>
      <c r="DK46" s="37"/>
      <c r="DL46" s="37"/>
      <c r="DM46" s="37"/>
      <c r="DN46" s="37"/>
      <c r="DO46" s="37"/>
      <c r="DP46" s="37"/>
      <c r="DQ46" s="37"/>
      <c r="DR46" s="37"/>
      <c r="DS46" s="37"/>
      <c r="DT46" s="37"/>
      <c r="DU46" s="37"/>
    </row>
    <row r="47" spans="1:125" s="42" customFormat="1" ht="15" x14ac:dyDescent="0.25">
      <c r="A47" t="s">
        <v>428</v>
      </c>
      <c r="B47">
        <v>26</v>
      </c>
      <c r="C47" t="s">
        <v>339</v>
      </c>
      <c r="D47" t="s">
        <v>340</v>
      </c>
      <c r="E47" t="s">
        <v>344</v>
      </c>
      <c r="F47">
        <v>1</v>
      </c>
      <c r="G47" s="14"/>
      <c r="H47" s="14"/>
      <c r="I47"/>
      <c r="J47">
        <v>1</v>
      </c>
      <c r="K47" s="303">
        <v>45229</v>
      </c>
      <c r="L47"/>
      <c r="M47" s="14"/>
      <c r="N47" s="352"/>
      <c r="O47" s="340"/>
      <c r="P47" s="37" t="str">
        <f ca="1">IFERROR(+IF(P$29=ProposalToGnatt[[#This Row],[Start Date]],Milestone_Marker,IF(AND(P$29&gt;ProposalToGnatt[[#This Row],[Start Date]],P$29&lt;ProposalToGnatt[[#This Row],[Start Date]]+ProposalToGnatt[[#This Row],[Days]]),$G$5,"")),"")</f>
        <v/>
      </c>
      <c r="Q47" s="37" t="str">
        <f ca="1">IFERROR(+IF(Q$29=ProposalToGnatt[[#This Row],[Start Date]],Milestone_Marker,IF(AND(Q$29&gt;ProposalToGnatt[[#This Row],[Start Date]],Q$29&lt;ProposalToGnatt[[#This Row],[Start Date]]+ProposalToGnatt[[#This Row],[Days]]),$G$5,"")),"")</f>
        <v/>
      </c>
      <c r="R47" s="37" t="str">
        <f ca="1">IFERROR(+IF(R$29=ProposalToGnatt[[#This Row],[Start Date]],Milestone_Marker,IF(AND(R$29&gt;ProposalToGnatt[[#This Row],[Start Date]],R$29&lt;ProposalToGnatt[[#This Row],[Start Date]]+ProposalToGnatt[[#This Row],[Days]]),$G$5,"")),"")</f>
        <v/>
      </c>
      <c r="S47" s="37" t="str">
        <f ca="1">IFERROR(+IF(S$29=ProposalToGnatt[[#This Row],[Start Date]],Milestone_Marker,IF(AND(S$29&gt;ProposalToGnatt[[#This Row],[Start Date]],S$29&lt;ProposalToGnatt[[#This Row],[Start Date]]+ProposalToGnatt[[#This Row],[Days]]),$G$5,"")),"")</f>
        <v/>
      </c>
      <c r="T47" s="37" t="str">
        <f ca="1">IFERROR(+IF(T$29=ProposalToGnatt[[#This Row],[Start Date]],Milestone_Marker,IF(AND(T$29&gt;ProposalToGnatt[[#This Row],[Start Date]],T$29&lt;ProposalToGnatt[[#This Row],[Start Date]]+ProposalToGnatt[[#This Row],[Days]]),$G$5,"")),"")</f>
        <v/>
      </c>
      <c r="U47" s="37" t="str">
        <f ca="1">IFERROR(+IF(U$29=ProposalToGnatt[[#This Row],[Start Date]],Milestone_Marker,IF(AND(U$29&gt;ProposalToGnatt[[#This Row],[Start Date]],U$29&lt;ProposalToGnatt[[#This Row],[Start Date]]+ProposalToGnatt[[#This Row],[Days]]),$G$5,"")),"")</f>
        <v/>
      </c>
      <c r="V47" s="37" t="str">
        <f ca="1">IFERROR(+IF(V$29=ProposalToGnatt[[#This Row],[Start Date]],Milestone_Marker,IF(AND(V$29&gt;ProposalToGnatt[[#This Row],[Start Date]],V$29&lt;ProposalToGnatt[[#This Row],[Start Date]]+ProposalToGnatt[[#This Row],[Days]]),$G$5,"")),"")</f>
        <v/>
      </c>
      <c r="W47" s="37" t="str">
        <f ca="1">IFERROR(+IF(W$29=ProposalToGnatt[[#This Row],[Start Date]],Milestone_Marker,IF(AND(W$29&gt;ProposalToGnatt[[#This Row],[Start Date]],W$29&lt;ProposalToGnatt[[#This Row],[Start Date]]+ProposalToGnatt[[#This Row],[Days]]),$G$5,"")),"")</f>
        <v/>
      </c>
      <c r="X47" s="37" t="str">
        <f ca="1">IFERROR(+IF(X$29=ProposalToGnatt[[#This Row],[Start Date]],Milestone_Marker,IF(AND(X$29&gt;ProposalToGnatt[[#This Row],[Start Date]],X$29&lt;ProposalToGnatt[[#This Row],[Start Date]]+ProposalToGnatt[[#This Row],[Days]]),$G$5,"")),"")</f>
        <v/>
      </c>
      <c r="Y47" s="37" t="str">
        <f ca="1">IFERROR(+IF(Y$29=ProposalToGnatt[[#This Row],[Start Date]],Milestone_Marker,IF(AND(Y$29&gt;ProposalToGnatt[[#This Row],[Start Date]],Y$29&lt;ProposalToGnatt[[#This Row],[Start Date]]+ProposalToGnatt[[#This Row],[Days]]),$G$5,"")),"")</f>
        <v/>
      </c>
      <c r="Z47" s="37" t="str">
        <f ca="1">IFERROR(+IF(Z$29=ProposalToGnatt[[#This Row],[Start Date]],Milestone_Marker,IF(AND(Z$29&gt;ProposalToGnatt[[#This Row],[Start Date]],Z$29&lt;ProposalToGnatt[[#This Row],[Start Date]]+ProposalToGnatt[[#This Row],[Days]]),$G$5,"")),"")</f>
        <v/>
      </c>
      <c r="AA47" s="37" t="str">
        <f ca="1">IFERROR(+IF(AA$29=ProposalToGnatt[[#This Row],[Start Date]],Milestone_Marker,IF(AND(AA$29&gt;ProposalToGnatt[[#This Row],[Start Date]],AA$29&lt;ProposalToGnatt[[#This Row],[Start Date]]+ProposalToGnatt[[#This Row],[Days]]),$G$5,"")),"")</f>
        <v/>
      </c>
      <c r="AB47" s="37" t="str">
        <f ca="1">IFERROR(+IF(AB$29=ProposalToGnatt[[#This Row],[Start Date]],Milestone_Marker,IF(AND(AB$29&gt;ProposalToGnatt[[#This Row],[Start Date]],AB$29&lt;ProposalToGnatt[[#This Row],[Start Date]]+ProposalToGnatt[[#This Row],[Days]]),$G$5,"")),"")</f>
        <v/>
      </c>
      <c r="AC47" s="37" t="str">
        <f ca="1">IFERROR(+IF(AC$29=ProposalToGnatt[[#This Row],[Start Date]],Milestone_Marker,IF(AND(AC$29&gt;ProposalToGnatt[[#This Row],[Start Date]],AC$29&lt;ProposalToGnatt[[#This Row],[Start Date]]+ProposalToGnatt[[#This Row],[Days]]),$G$5,"")),"")</f>
        <v/>
      </c>
      <c r="AD47" s="37" t="str">
        <f ca="1">IFERROR(+IF(AD$29=ProposalToGnatt[[#This Row],[Start Date]],Milestone_Marker,IF(AND(AD$29&gt;ProposalToGnatt[[#This Row],[Start Date]],AD$29&lt;ProposalToGnatt[[#This Row],[Start Date]]+ProposalToGnatt[[#This Row],[Days]]),$G$5,"")),"")</f>
        <v/>
      </c>
      <c r="AE47" s="37" t="str">
        <f ca="1">IFERROR(+IF(AE$29=ProposalToGnatt[[#This Row],[Start Date]],Milestone_Marker,IF(AND(AE$29&gt;ProposalToGnatt[[#This Row],[Start Date]],AE$29&lt;ProposalToGnatt[[#This Row],[Start Date]]+ProposalToGnatt[[#This Row],[Days]]),$G$5,"")),"")</f>
        <v/>
      </c>
      <c r="AF47" s="37" t="str">
        <f ca="1">IFERROR(+IF(AF$29=ProposalToGnatt[[#This Row],[Start Date]],Milestone_Marker,IF(AND(AF$29&gt;ProposalToGnatt[[#This Row],[Start Date]],AF$29&lt;ProposalToGnatt[[#This Row],[Start Date]]+ProposalToGnatt[[#This Row],[Days]]),$G$5,"")),"")</f>
        <v/>
      </c>
      <c r="AG47" s="37">
        <f ca="1">IFERROR(+IF(AG$29=ProposalToGnatt[[#This Row],[Start Date]],Milestone_Marker,IF(AND(AG$29&gt;ProposalToGnatt[[#This Row],[Start Date]],AG$29&lt;ProposalToGnatt[[#This Row],[Start Date]]+ProposalToGnatt[[#This Row],[Days]]),$G$5,"")),"")</f>
        <v>1</v>
      </c>
      <c r="AH47" s="37" t="str">
        <f ca="1">IFERROR(+IF(AH$29=ProposalToGnatt[[#This Row],[Start Date]],Milestone_Marker,IF(AND(AH$29&gt;ProposalToGnatt[[#This Row],[Start Date]],AH$29&lt;ProposalToGnatt[[#This Row],[Start Date]]+ProposalToGnatt[[#This Row],[Days]]),$G$5,"")),"")</f>
        <v/>
      </c>
      <c r="AI47" s="37" t="str">
        <f ca="1">IFERROR(+IF(AI$29=ProposalToGnatt[[#This Row],[Start Date]],Milestone_Marker,IF(AND(AI$29&gt;ProposalToGnatt[[#This Row],[Start Date]],AI$29&lt;ProposalToGnatt[[#This Row],[Start Date]]+ProposalToGnatt[[#This Row],[Days]]),$G$5,"")),"")</f>
        <v/>
      </c>
      <c r="AJ47" s="37" t="str">
        <f ca="1">IFERROR(+IF(AJ$29=ProposalToGnatt[[#This Row],[Start Date]],Milestone_Marker,IF(AND(AJ$29&gt;ProposalToGnatt[[#This Row],[Start Date]],AJ$29&lt;ProposalToGnatt[[#This Row],[Start Date]]+ProposalToGnatt[[#This Row],[Days]]),$G$5,"")),"")</f>
        <v/>
      </c>
      <c r="AK47" s="37" t="str">
        <f ca="1">IFERROR(+IF(AK$29=ProposalToGnatt[[#This Row],[Start Date]],Milestone_Marker,IF(AND(AK$29&gt;ProposalToGnatt[[#This Row],[Start Date]],AK$29&lt;ProposalToGnatt[[#This Row],[Start Date]]+ProposalToGnatt[[#This Row],[Days]]),$G$5,"")),"")</f>
        <v/>
      </c>
      <c r="AL47" s="37" t="str">
        <f ca="1">IFERROR(+IF(AL$29=ProposalToGnatt[[#This Row],[Start Date]],Milestone_Marker,IF(AND(AL$29&gt;ProposalToGnatt[[#This Row],[Start Date]],AL$29&lt;ProposalToGnatt[[#This Row],[Start Date]]+ProposalToGnatt[[#This Row],[Days]]),$G$5,"")),"")</f>
        <v/>
      </c>
      <c r="AM47" s="37" t="str">
        <f ca="1">IFERROR(+IF(AM$29=ProposalToGnatt[[#This Row],[Start Date]],Milestone_Marker,IF(AND(AM$29&gt;ProposalToGnatt[[#This Row],[Start Date]],AM$29&lt;ProposalToGnatt[[#This Row],[Start Date]]+ProposalToGnatt[[#This Row],[Days]]),$G$5,"")),"")</f>
        <v/>
      </c>
      <c r="AN47" s="37" t="str">
        <f ca="1">IFERROR(+IF(AN$29=ProposalToGnatt[[#This Row],[Start Date]],Milestone_Marker,IF(AND(AN$29&gt;ProposalToGnatt[[#This Row],[Start Date]],AN$29&lt;ProposalToGnatt[[#This Row],[Start Date]]+ProposalToGnatt[[#This Row],[Days]]),$G$5,"")),"")</f>
        <v/>
      </c>
      <c r="AO47" s="37" t="str">
        <f ca="1">IFERROR(+IF(AO$29=ProposalToGnatt[[#This Row],[Start Date]],Milestone_Marker,IF(AND(AO$29&gt;ProposalToGnatt[[#This Row],[Start Date]],AO$29&lt;ProposalToGnatt[[#This Row],[Start Date]]+ProposalToGnatt[[#This Row],[Days]]),$G$5,"")),"")</f>
        <v/>
      </c>
      <c r="AP47" s="37" t="str">
        <f ca="1">IFERROR(+IF(AP$29=ProposalToGnatt[[#This Row],[Start Date]],Milestone_Marker,IF(AND(AP$29&gt;ProposalToGnatt[[#This Row],[Start Date]],AP$29&lt;ProposalToGnatt[[#This Row],[Start Date]]+ProposalToGnatt[[#This Row],[Days]]),$G$5,"")),"")</f>
        <v/>
      </c>
      <c r="AQ47" s="37" t="str">
        <f ca="1">IFERROR(+IF(AQ$29=ProposalToGnatt[[#This Row],[Start Date]],Milestone_Marker,IF(AND(AQ$29&gt;ProposalToGnatt[[#This Row],[Start Date]],AQ$29&lt;ProposalToGnatt[[#This Row],[Start Date]]+ProposalToGnatt[[#This Row],[Days]]),$G$5,"")),"")</f>
        <v/>
      </c>
      <c r="AR47" s="37" t="str">
        <f ca="1">IFERROR(+IF(AR$29=ProposalToGnatt[[#This Row],[Start Date]],Milestone_Marker,IF(AND(AR$29&gt;ProposalToGnatt[[#This Row],[Start Date]],AR$29&lt;ProposalToGnatt[[#This Row],[Start Date]]+ProposalToGnatt[[#This Row],[Days]]),$G$5,"")),"")</f>
        <v/>
      </c>
      <c r="AS47" s="37" t="str">
        <f ca="1">IFERROR(+IF(AS$29=ProposalToGnatt[[#This Row],[Start Date]],Milestone_Marker,IF(AND(AS$29&gt;ProposalToGnatt[[#This Row],[Start Date]],AS$29&lt;ProposalToGnatt[[#This Row],[Start Date]]+ProposalToGnatt[[#This Row],[Days]]),$G$5,"")),"")</f>
        <v/>
      </c>
      <c r="AT47" s="37" t="str">
        <f ca="1">IFERROR(+IF(AT$29=ProposalToGnatt[[#This Row],[Start Date]],Milestone_Marker,IF(AND(AT$29&gt;ProposalToGnatt[[#This Row],[Start Date]],AT$29&lt;ProposalToGnatt[[#This Row],[Start Date]]+ProposalToGnatt[[#This Row],[Days]]),$G$5,"")),"")</f>
        <v/>
      </c>
      <c r="AU47" s="37" t="str">
        <f ca="1">IFERROR(+IF(AU$29=ProposalToGnatt[[#This Row],[Start Date]],Milestone_Marker,IF(AND(AU$29&gt;ProposalToGnatt[[#This Row],[Start Date]],AU$29&lt;ProposalToGnatt[[#This Row],[Start Date]]+ProposalToGnatt[[#This Row],[Days]]),$G$5,"")),"")</f>
        <v/>
      </c>
      <c r="AV47" s="37" t="str">
        <f ca="1">IFERROR(+IF(AV$29=ProposalToGnatt[[#This Row],[Start Date]],Milestone_Marker,IF(AND(AV$29&gt;ProposalToGnatt[[#This Row],[Start Date]],AV$29&lt;ProposalToGnatt[[#This Row],[Start Date]]+ProposalToGnatt[[#This Row],[Days]]),$G$5,"")),"")</f>
        <v/>
      </c>
      <c r="AW47" s="37" t="str">
        <f ca="1">IFERROR(+IF(AW$29=ProposalToGnatt[[#This Row],[Start Date]],Milestone_Marker,IF(AND(AW$29&gt;ProposalToGnatt[[#This Row],[Start Date]],AW$29&lt;ProposalToGnatt[[#This Row],[Start Date]]+ProposalToGnatt[[#This Row],[Days]]),$G$5,"")),"")</f>
        <v/>
      </c>
      <c r="AX47" s="37" t="str">
        <f ca="1">IFERROR(+IF(AX$29=ProposalToGnatt[[#This Row],[Start Date]],Milestone_Marker,IF(AND(AX$29&gt;ProposalToGnatt[[#This Row],[Start Date]],AX$29&lt;ProposalToGnatt[[#This Row],[Start Date]]+ProposalToGnatt[[#This Row],[Days]]),$G$5,"")),"")</f>
        <v/>
      </c>
      <c r="AY47" s="37" t="str">
        <f ca="1">IFERROR(+IF(AY$29=ProposalToGnatt[[#This Row],[Start Date]],Milestone_Marker,IF(AND(AY$29&gt;ProposalToGnatt[[#This Row],[Start Date]],AY$29&lt;ProposalToGnatt[[#This Row],[Start Date]]+ProposalToGnatt[[#This Row],[Days]]),$G$5,"")),"")</f>
        <v/>
      </c>
      <c r="AZ47" s="37" t="str">
        <f ca="1">IFERROR(+IF(AZ$29=ProposalToGnatt[[#This Row],[Start Date]],Milestone_Marker,IF(AND(AZ$29&gt;ProposalToGnatt[[#This Row],[Start Date]],AZ$29&lt;ProposalToGnatt[[#This Row],[Start Date]]+ProposalToGnatt[[#This Row],[Days]]),$G$5,"")),"")</f>
        <v/>
      </c>
      <c r="BA47" s="37" t="str">
        <f ca="1">IFERROR(+IF(BA$29=ProposalToGnatt[[#This Row],[Start Date]],Milestone_Marker,IF(AND(BA$29&gt;ProposalToGnatt[[#This Row],[Start Date]],BA$29&lt;ProposalToGnatt[[#This Row],[Start Date]]+ProposalToGnatt[[#This Row],[Days]]),$G$5,"")),"")</f>
        <v/>
      </c>
      <c r="BB47" s="37" t="str">
        <f ca="1">IFERROR(+IF(BB$29=ProposalToGnatt[[#This Row],[Start Date]],Milestone_Marker,IF(AND(BB$29&gt;ProposalToGnatt[[#This Row],[Start Date]],BB$29&lt;ProposalToGnatt[[#This Row],[Start Date]]+ProposalToGnatt[[#This Row],[Days]]),$G$5,"")),"")</f>
        <v/>
      </c>
      <c r="BC47" s="37" t="str">
        <f ca="1">IFERROR(+IF(BC$29=ProposalToGnatt[[#This Row],[Start Date]],Milestone_Marker,IF(AND(BC$29&gt;ProposalToGnatt[[#This Row],[Start Date]],BC$29&lt;ProposalToGnatt[[#This Row],[Start Date]]+ProposalToGnatt[[#This Row],[Days]]),$G$5,"")),"")</f>
        <v/>
      </c>
      <c r="BD47" s="37" t="str">
        <f ca="1">IFERROR(+IF(BD$29=ProposalToGnatt[[#This Row],[Start Date]],Milestone_Marker,IF(AND(BD$29&gt;ProposalToGnatt[[#This Row],[Start Date]],BD$29&lt;ProposalToGnatt[[#This Row],[Start Date]]+ProposalToGnatt[[#This Row],[Days]]),$G$5,"")),"")</f>
        <v/>
      </c>
      <c r="BE47" s="37" t="str">
        <f ca="1">IFERROR(+IF(BE$29=ProposalToGnatt[[#This Row],[Start Date]],Milestone_Marker,IF(AND(BE$29&gt;ProposalToGnatt[[#This Row],[Start Date]],BE$29&lt;ProposalToGnatt[[#This Row],[Start Date]]+ProposalToGnatt[[#This Row],[Days]]),$G$5,"")),"")</f>
        <v/>
      </c>
      <c r="BF47" s="37" t="str">
        <f ca="1">IFERROR(+IF(BF$29=ProposalToGnatt[[#This Row],[Start Date]],Milestone_Marker,IF(AND(BF$29&gt;ProposalToGnatt[[#This Row],[Start Date]],BF$29&lt;ProposalToGnatt[[#This Row],[Start Date]]+ProposalToGnatt[[#This Row],[Days]]),$G$5,"")),"")</f>
        <v/>
      </c>
      <c r="BG47" s="37" t="str">
        <f ca="1">IFERROR(+IF(BG$29=ProposalToGnatt[[#This Row],[Start Date]],Milestone_Marker,IF(AND(BG$29&gt;ProposalToGnatt[[#This Row],[Start Date]],BG$29&lt;ProposalToGnatt[[#This Row],[Start Date]]+ProposalToGnatt[[#This Row],[Days]]),$G$5,"")),"")</f>
        <v/>
      </c>
      <c r="BH47" s="37" t="str">
        <f ca="1">IFERROR(+IF(BH$29=ProposalToGnatt[[#This Row],[Start Date]],Milestone_Marker,IF(AND(BH$29&gt;ProposalToGnatt[[#This Row],[Start Date]],BH$29&lt;ProposalToGnatt[[#This Row],[Start Date]]+ProposalToGnatt[[#This Row],[Days]]),$G$5,"")),"")</f>
        <v/>
      </c>
      <c r="BI47" s="37" t="str">
        <f ca="1">IFERROR(+IF(BI$29=ProposalToGnatt[[#This Row],[Start Date]],Milestone_Marker,IF(AND(BI$29&gt;ProposalToGnatt[[#This Row],[Start Date]],BI$29&lt;ProposalToGnatt[[#This Row],[Start Date]]+ProposalToGnatt[[#This Row],[Days]]),$G$5,"")),"")</f>
        <v/>
      </c>
      <c r="BJ47" s="37" t="str">
        <f ca="1">IFERROR(+IF(BJ$29=ProposalToGnatt[[#This Row],[Start Date]],Milestone_Marker,IF(AND(BJ$29&gt;ProposalToGnatt[[#This Row],[Start Date]],BJ$29&lt;ProposalToGnatt[[#This Row],[Start Date]]+ProposalToGnatt[[#This Row],[Days]]),$G$5,"")),"")</f>
        <v/>
      </c>
      <c r="BK47" s="37" t="str">
        <f ca="1">IFERROR(+IF(BK$29=ProposalToGnatt[[#This Row],[Start Date]],Milestone_Marker,IF(AND(BK$29&gt;ProposalToGnatt[[#This Row],[Start Date]],BK$29&lt;ProposalToGnatt[[#This Row],[Start Date]]+ProposalToGnatt[[#This Row],[Days]]),$G$5,"")),"")</f>
        <v/>
      </c>
      <c r="BL47" s="37" t="str">
        <f ca="1">IFERROR(+IF(BL$29=ProposalToGnatt[[#This Row],[Start Date]],Milestone_Marker,IF(AND(BL$29&gt;ProposalToGnatt[[#This Row],[Start Date]],BL$29&lt;ProposalToGnatt[[#This Row],[Start Date]]+ProposalToGnatt[[#This Row],[Days]]),$G$5,"")),"")</f>
        <v/>
      </c>
      <c r="BM47" s="37" t="str">
        <f ca="1">IFERROR(+IF(BM$29=ProposalToGnatt[[#This Row],[Start Date]],Milestone_Marker,IF(AND(BM$29&gt;ProposalToGnatt[[#This Row],[Start Date]],BM$29&lt;ProposalToGnatt[[#This Row],[Start Date]]+ProposalToGnatt[[#This Row],[Days]]),$G$5,"")),"")</f>
        <v/>
      </c>
      <c r="BN47" s="37" t="str">
        <f ca="1">IFERROR(+IF(BN$29=ProposalToGnatt[[#This Row],[Start Date]],Milestone_Marker,IF(AND(BN$29&gt;ProposalToGnatt[[#This Row],[Start Date]],BN$29&lt;ProposalToGnatt[[#This Row],[Start Date]]+ProposalToGnatt[[#This Row],[Days]]),$G$5,"")),"")</f>
        <v/>
      </c>
      <c r="BO47" s="37" t="str">
        <f ca="1">IFERROR(+IF(BO$29=ProposalToGnatt[[#This Row],[Start Date]],Milestone_Marker,IF(AND(BO$29&gt;ProposalToGnatt[[#This Row],[Start Date]],BO$29&lt;ProposalToGnatt[[#This Row],[Start Date]]+ProposalToGnatt[[#This Row],[Days]]),$G$5,"")),"")</f>
        <v/>
      </c>
      <c r="BP47" s="37" t="str">
        <f ca="1">IFERROR(+IF(BP$29=ProposalToGnatt[[#This Row],[Start Date]],Milestone_Marker,IF(AND(BP$29&gt;ProposalToGnatt[[#This Row],[Start Date]],BP$29&lt;ProposalToGnatt[[#This Row],[Start Date]]+ProposalToGnatt[[#This Row],[Days]]),$G$5,"")),"")</f>
        <v/>
      </c>
      <c r="BQ47" s="37" t="str">
        <f ca="1">IFERROR(+IF(BQ$29=ProposalToGnatt[[#This Row],[Start Date]],Milestone_Marker,IF(AND(BQ$29&gt;ProposalToGnatt[[#This Row],[Start Date]],BQ$29&lt;ProposalToGnatt[[#This Row],[Start Date]]+ProposalToGnatt[[#This Row],[Days]]),$G$5,"")),"")</f>
        <v/>
      </c>
      <c r="BR47" s="37" t="str">
        <f ca="1">IFERROR(+IF(BR$29=ProposalToGnatt[[#This Row],[Start Date]],Milestone_Marker,IF(AND(BR$29&gt;ProposalToGnatt[[#This Row],[Start Date]],BR$29&lt;ProposalToGnatt[[#This Row],[Start Date]]+ProposalToGnatt[[#This Row],[Days]]),$G$5,"")),"")</f>
        <v/>
      </c>
      <c r="BS47" s="37" t="str">
        <f ca="1">IFERROR(+IF(BS$29=ProposalToGnatt[[#This Row],[Start Date]],Milestone_Marker,IF(AND(BS$29&gt;ProposalToGnatt[[#This Row],[Start Date]],BS$29&lt;ProposalToGnatt[[#This Row],[Start Date]]+ProposalToGnatt[[#This Row],[Days]]),$G$5,"")),"")</f>
        <v/>
      </c>
      <c r="BT47" s="37" t="str">
        <f ca="1">IFERROR(+IF(BT$29=ProposalToGnatt[[#This Row],[Start Date]],Milestone_Marker,IF(AND(BT$29&gt;ProposalToGnatt[[#This Row],[Start Date]],BT$29&lt;ProposalToGnatt[[#This Row],[Start Date]]+ProposalToGnatt[[#This Row],[Days]]),$G$5,"")),"")</f>
        <v/>
      </c>
      <c r="BU47" s="37" t="str">
        <f ca="1">IFERROR(+IF(BU$29=ProposalToGnatt[[#This Row],[Start Date]],Milestone_Marker,IF(AND(BU$29&gt;ProposalToGnatt[[#This Row],[Start Date]],BU$29&lt;ProposalToGnatt[[#This Row],[Start Date]]+ProposalToGnatt[[#This Row],[Days]]),$G$5,"")),"")</f>
        <v/>
      </c>
      <c r="BV47" s="37" t="str">
        <f ca="1">IFERROR(+IF(BV$29=ProposalToGnatt[[#This Row],[Start Date]],Milestone_Marker,IF(AND(BV$29&gt;ProposalToGnatt[[#This Row],[Start Date]],BV$29&lt;ProposalToGnatt[[#This Row],[Start Date]]+ProposalToGnatt[[#This Row],[Days]]),$G$5,"")),"")</f>
        <v/>
      </c>
      <c r="BW47" s="37" t="str">
        <f ca="1">IFERROR(+IF(BW$29=ProposalToGnatt[[#This Row],[Start Date]],Milestone_Marker,IF(AND(BW$29&gt;ProposalToGnatt[[#This Row],[Start Date]],BW$29&lt;ProposalToGnatt[[#This Row],[Start Date]]+ProposalToGnatt[[#This Row],[Days]]),$G$5,"")),"")</f>
        <v/>
      </c>
      <c r="BX47" s="37" t="str">
        <f ca="1">IFERROR(+IF(BX$29=ProposalToGnatt[[#This Row],[Start Date]],Milestone_Marker,IF(AND(BX$29&gt;ProposalToGnatt[[#This Row],[Start Date]],BX$29&lt;ProposalToGnatt[[#This Row],[Start Date]]+ProposalToGnatt[[#This Row],[Days]]),$G$5,"")),"")</f>
        <v/>
      </c>
      <c r="BY47" s="37" t="str">
        <f ca="1">IFERROR(+IF(BY$29=ProposalToGnatt[[#This Row],[Start Date]],Milestone_Marker,IF(AND(BY$29&gt;ProposalToGnatt[[#This Row],[Start Date]],BY$29&lt;ProposalToGnatt[[#This Row],[Start Date]]+ProposalToGnatt[[#This Row],[Days]]),$G$5,"")),"")</f>
        <v/>
      </c>
      <c r="BZ47" s="37" t="str">
        <f ca="1">IFERROR(+IF(BZ$29=ProposalToGnatt[[#This Row],[Start Date]],Milestone_Marker,IF(AND(BZ$29&gt;ProposalToGnatt[[#This Row],[Start Date]],BZ$29&lt;ProposalToGnatt[[#This Row],[Start Date]]+ProposalToGnatt[[#This Row],[Days]]),$G$5,"")),"")</f>
        <v/>
      </c>
      <c r="CA47" s="37" t="str">
        <f ca="1">IFERROR(+IF(CA$29=ProposalToGnatt[[#This Row],[Start Date]],Milestone_Marker,IF(AND(CA$29&gt;ProposalToGnatt[[#This Row],[Start Date]],CA$29&lt;ProposalToGnatt[[#This Row],[Start Date]]+ProposalToGnatt[[#This Row],[Days]]),$G$5,"")),"")</f>
        <v/>
      </c>
      <c r="CB47" s="37" t="str">
        <f ca="1">IFERROR(+IF(CB$29=ProposalToGnatt[[#This Row],[Start Date]],Milestone_Marker,IF(AND(CB$29&gt;ProposalToGnatt[[#This Row],[Start Date]],CB$29&lt;ProposalToGnatt[[#This Row],[Start Date]]+ProposalToGnatt[[#This Row],[Days]]),$G$5,"")),"")</f>
        <v/>
      </c>
      <c r="CC47" s="37" t="str">
        <f ca="1">IFERROR(+IF(CC$29=ProposalToGnatt[[#This Row],[Start Date]],Milestone_Marker,IF(AND(CC$29&gt;ProposalToGnatt[[#This Row],[Start Date]],CC$29&lt;ProposalToGnatt[[#This Row],[Start Date]]+ProposalToGnatt[[#This Row],[Days]]),$G$5,"")),"")</f>
        <v/>
      </c>
      <c r="CD47" s="37" t="str">
        <f ca="1">IFERROR(+IF(CD$29=ProposalToGnatt[[#This Row],[Start Date]],Milestone_Marker,IF(AND(CD$29&gt;ProposalToGnatt[[#This Row],[Start Date]],CD$29&lt;ProposalToGnatt[[#This Row],[Start Date]]+ProposalToGnatt[[#This Row],[Days]]),$G$5,"")),"")</f>
        <v/>
      </c>
      <c r="CE47" s="37" t="str">
        <f ca="1">IFERROR(+IF(CE$29=ProposalToGnatt[[#This Row],[Start Date]],Milestone_Marker,IF(AND(CE$29&gt;ProposalToGnatt[[#This Row],[Start Date]],CE$29&lt;ProposalToGnatt[[#This Row],[Start Date]]+ProposalToGnatt[[#This Row],[Days]]),$G$5,"")),"")</f>
        <v/>
      </c>
      <c r="CF47" s="37" t="str">
        <f ca="1">IFERROR(+IF(CF$29=ProposalToGnatt[[#This Row],[Start Date]],Milestone_Marker,IF(AND(CF$29&gt;ProposalToGnatt[[#This Row],[Start Date]],CF$29&lt;ProposalToGnatt[[#This Row],[Start Date]]+ProposalToGnatt[[#This Row],[Days]]),$G$5,"")),"")</f>
        <v/>
      </c>
      <c r="CG47" s="37" t="str">
        <f ca="1">IFERROR(+IF(CG$29=ProposalToGnatt[[#This Row],[Start Date]],Milestone_Marker,IF(AND(CG$29&gt;ProposalToGnatt[[#This Row],[Start Date]],CG$29&lt;ProposalToGnatt[[#This Row],[Start Date]]+ProposalToGnatt[[#This Row],[Days]]),$G$5,"")),"")</f>
        <v/>
      </c>
      <c r="CH47" s="37" t="str">
        <f ca="1">IFERROR(+IF(CH$29=ProposalToGnatt[[#This Row],[Start Date]],Milestone_Marker,IF(AND(CH$29&gt;ProposalToGnatt[[#This Row],[Start Date]],CH$29&lt;ProposalToGnatt[[#This Row],[Start Date]]+ProposalToGnatt[[#This Row],[Days]]),$G$5,"")),"")</f>
        <v/>
      </c>
      <c r="CI47" s="37" t="str">
        <f ca="1">IFERROR(+IF(CI$29=ProposalToGnatt[[#This Row],[Start Date]],Milestone_Marker,IF(AND(CI$29&gt;ProposalToGnatt[[#This Row],[Start Date]],CI$29&lt;ProposalToGnatt[[#This Row],[Start Date]]+ProposalToGnatt[[#This Row],[Days]]),$G$5,"")),"")</f>
        <v/>
      </c>
      <c r="CJ47" s="37" t="str">
        <f ca="1">IFERROR(+IF(CJ$29=ProposalToGnatt[[#This Row],[Start Date]],Milestone_Marker,IF(AND(CJ$29&gt;ProposalToGnatt[[#This Row],[Start Date]],CJ$29&lt;ProposalToGnatt[[#This Row],[Start Date]]+ProposalToGnatt[[#This Row],[Days]]),$G$5,"")),"")</f>
        <v/>
      </c>
      <c r="CK47" s="37" t="str">
        <f ca="1">IFERROR(+IF(CK$29=ProposalToGnatt[[#This Row],[Start Date]],Milestone_Marker,IF(AND(CK$29&gt;ProposalToGnatt[[#This Row],[Start Date]],CK$29&lt;ProposalToGnatt[[#This Row],[Start Date]]+ProposalToGnatt[[#This Row],[Days]]),$G$5,"")),"")</f>
        <v/>
      </c>
      <c r="CL47" s="37" t="str">
        <f ca="1">IFERROR(+IF(CL$29=ProposalToGnatt[[#This Row],[Start Date]],Milestone_Marker,IF(AND(CL$29&gt;ProposalToGnatt[[#This Row],[Start Date]],CL$29&lt;ProposalToGnatt[[#This Row],[Start Date]]+ProposalToGnatt[[#This Row],[Days]]),$G$5,"")),"")</f>
        <v/>
      </c>
      <c r="CM47" s="37" t="str">
        <f ca="1">IFERROR(+IF(CM$29=ProposalToGnatt[[#This Row],[Start Date]],Milestone_Marker,IF(AND(CM$29&gt;ProposalToGnatt[[#This Row],[Start Date]],CM$29&lt;ProposalToGnatt[[#This Row],[Start Date]]+ProposalToGnatt[[#This Row],[Days]]),$G$5,"")),"")</f>
        <v/>
      </c>
      <c r="CN47" s="37" t="str">
        <f ca="1">IFERROR(+IF(CN$29=ProposalToGnatt[[#This Row],[Start Date]],Milestone_Marker,IF(AND(CN$29&gt;ProposalToGnatt[[#This Row],[Start Date]],CN$29&lt;ProposalToGnatt[[#This Row],[Start Date]]+ProposalToGnatt[[#This Row],[Days]]),$G$5,"")),"")</f>
        <v/>
      </c>
      <c r="CO47" s="37" t="str">
        <f ca="1">IFERROR(+IF(CO$29=ProposalToGnatt[[#This Row],[Start Date]],Milestone_Marker,IF(AND(CO$29&gt;ProposalToGnatt[[#This Row],[Start Date]],CO$29&lt;ProposalToGnatt[[#This Row],[Start Date]]+ProposalToGnatt[[#This Row],[Days]]),$G$5,"")),"")</f>
        <v/>
      </c>
      <c r="CP47" s="37" t="str">
        <f ca="1">IFERROR(+IF(CP$29=ProposalToGnatt[[#This Row],[Start Date]],Milestone_Marker,IF(AND(CP$29&gt;ProposalToGnatt[[#This Row],[Start Date]],CP$29&lt;ProposalToGnatt[[#This Row],[Start Date]]+ProposalToGnatt[[#This Row],[Days]]),$G$5,"")),"")</f>
        <v/>
      </c>
      <c r="CQ47" s="37" t="str">
        <f ca="1">IFERROR(+IF(CQ$29=ProposalToGnatt[[#This Row],[Start Date]],Milestone_Marker,IF(AND(CQ$29&gt;ProposalToGnatt[[#This Row],[Start Date]],CQ$29&lt;ProposalToGnatt[[#This Row],[Start Date]]+ProposalToGnatt[[#This Row],[Days]]),$G$5,"")),"")</f>
        <v/>
      </c>
      <c r="CR47" s="37" t="str">
        <f ca="1">IFERROR(+IF(CR$29=ProposalToGnatt[[#This Row],[Start Date]],Milestone_Marker,IF(AND(CR$29&gt;ProposalToGnatt[[#This Row],[Start Date]],CR$29&lt;ProposalToGnatt[[#This Row],[Start Date]]+ProposalToGnatt[[#This Row],[Days]]),$G$5,"")),"")</f>
        <v/>
      </c>
      <c r="CS47" s="37" t="str">
        <f ca="1">IFERROR(+IF(CS$29=ProposalToGnatt[[#This Row],[Start Date]],Milestone_Marker,IF(AND(CS$29&gt;ProposalToGnatt[[#This Row],[Start Date]],CS$29&lt;ProposalToGnatt[[#This Row],[Start Date]]+ProposalToGnatt[[#This Row],[Days]]),$G$5,"")),"")</f>
        <v/>
      </c>
      <c r="CT47" s="37" t="str">
        <f ca="1">IFERROR(+IF(CT$29=ProposalToGnatt[[#This Row],[Start Date]],Milestone_Marker,IF(AND(CT$29&gt;ProposalToGnatt[[#This Row],[Start Date]],CT$29&lt;ProposalToGnatt[[#This Row],[Start Date]]+ProposalToGnatt[[#This Row],[Days]]),$G$5,"")),"")</f>
        <v/>
      </c>
      <c r="CU47" s="37" t="str">
        <f ca="1">IFERROR(+IF(CU$29=ProposalToGnatt[[#This Row],[Start Date]],Milestone_Marker,IF(AND(CU$29&gt;ProposalToGnatt[[#This Row],[Start Date]],CU$29&lt;ProposalToGnatt[[#This Row],[Start Date]]+ProposalToGnatt[[#This Row],[Days]]),$G$5,"")),"")</f>
        <v/>
      </c>
      <c r="CV47" s="37"/>
      <c r="CW47" s="37"/>
      <c r="CX47" s="37"/>
      <c r="CY47" s="37"/>
      <c r="CZ47" s="37"/>
      <c r="DA47" s="37"/>
      <c r="DB47" s="37"/>
      <c r="DC47" s="37"/>
      <c r="DD47" s="37"/>
      <c r="DE47" s="37"/>
      <c r="DF47" s="37"/>
      <c r="DG47" s="37"/>
      <c r="DH47" s="37"/>
      <c r="DI47" s="37"/>
      <c r="DJ47" s="37"/>
      <c r="DK47" s="37"/>
      <c r="DL47" s="37"/>
      <c r="DM47" s="37"/>
      <c r="DN47" s="37"/>
      <c r="DO47" s="37"/>
      <c r="DP47" s="37"/>
      <c r="DQ47" s="37"/>
      <c r="DR47" s="37"/>
      <c r="DS47" s="37"/>
      <c r="DT47" s="37"/>
      <c r="DU47" s="37"/>
    </row>
    <row r="48" spans="1:125" s="42" customFormat="1" ht="15" x14ac:dyDescent="0.25">
      <c r="A48" t="s">
        <v>428</v>
      </c>
      <c r="B48">
        <v>27</v>
      </c>
      <c r="C48" t="s">
        <v>339</v>
      </c>
      <c r="D48" t="s">
        <v>340</v>
      </c>
      <c r="E48" t="s">
        <v>345</v>
      </c>
      <c r="F48">
        <v>1</v>
      </c>
      <c r="G48" s="14"/>
      <c r="H48" s="14"/>
      <c r="I48"/>
      <c r="J48">
        <v>1</v>
      </c>
      <c r="K48" s="303">
        <v>45229</v>
      </c>
      <c r="L48"/>
      <c r="M48" s="14"/>
      <c r="N48" s="352"/>
      <c r="O48" s="340"/>
      <c r="P48" s="37" t="str">
        <f ca="1">IFERROR(+IF(P$29=ProposalToGnatt[[#This Row],[Start Date]],Milestone_Marker,IF(AND(P$29&gt;ProposalToGnatt[[#This Row],[Start Date]],P$29&lt;ProposalToGnatt[[#This Row],[Start Date]]+ProposalToGnatt[[#This Row],[Days]]),$G$5,"")),"")</f>
        <v/>
      </c>
      <c r="Q48" s="37" t="str">
        <f ca="1">IFERROR(+IF(Q$29=ProposalToGnatt[[#This Row],[Start Date]],Milestone_Marker,IF(AND(Q$29&gt;ProposalToGnatt[[#This Row],[Start Date]],Q$29&lt;ProposalToGnatt[[#This Row],[Start Date]]+ProposalToGnatt[[#This Row],[Days]]),$G$5,"")),"")</f>
        <v/>
      </c>
      <c r="R48" s="37" t="str">
        <f ca="1">IFERROR(+IF(R$29=ProposalToGnatt[[#This Row],[Start Date]],Milestone_Marker,IF(AND(R$29&gt;ProposalToGnatt[[#This Row],[Start Date]],R$29&lt;ProposalToGnatt[[#This Row],[Start Date]]+ProposalToGnatt[[#This Row],[Days]]),$G$5,"")),"")</f>
        <v/>
      </c>
      <c r="S48" s="37" t="str">
        <f ca="1">IFERROR(+IF(S$29=ProposalToGnatt[[#This Row],[Start Date]],Milestone_Marker,IF(AND(S$29&gt;ProposalToGnatt[[#This Row],[Start Date]],S$29&lt;ProposalToGnatt[[#This Row],[Start Date]]+ProposalToGnatt[[#This Row],[Days]]),$G$5,"")),"")</f>
        <v/>
      </c>
      <c r="T48" s="37" t="str">
        <f ca="1">IFERROR(+IF(T$29=ProposalToGnatt[[#This Row],[Start Date]],Milestone_Marker,IF(AND(T$29&gt;ProposalToGnatt[[#This Row],[Start Date]],T$29&lt;ProposalToGnatt[[#This Row],[Start Date]]+ProposalToGnatt[[#This Row],[Days]]),$G$5,"")),"")</f>
        <v/>
      </c>
      <c r="U48" s="37" t="str">
        <f ca="1">IFERROR(+IF(U$29=ProposalToGnatt[[#This Row],[Start Date]],Milestone_Marker,IF(AND(U$29&gt;ProposalToGnatt[[#This Row],[Start Date]],U$29&lt;ProposalToGnatt[[#This Row],[Start Date]]+ProposalToGnatt[[#This Row],[Days]]),$G$5,"")),"")</f>
        <v/>
      </c>
      <c r="V48" s="37" t="str">
        <f ca="1">IFERROR(+IF(V$29=ProposalToGnatt[[#This Row],[Start Date]],Milestone_Marker,IF(AND(V$29&gt;ProposalToGnatt[[#This Row],[Start Date]],V$29&lt;ProposalToGnatt[[#This Row],[Start Date]]+ProposalToGnatt[[#This Row],[Days]]),$G$5,"")),"")</f>
        <v/>
      </c>
      <c r="W48" s="37" t="str">
        <f ca="1">IFERROR(+IF(W$29=ProposalToGnatt[[#This Row],[Start Date]],Milestone_Marker,IF(AND(W$29&gt;ProposalToGnatt[[#This Row],[Start Date]],W$29&lt;ProposalToGnatt[[#This Row],[Start Date]]+ProposalToGnatt[[#This Row],[Days]]),$G$5,"")),"")</f>
        <v/>
      </c>
      <c r="X48" s="37" t="str">
        <f ca="1">IFERROR(+IF(X$29=ProposalToGnatt[[#This Row],[Start Date]],Milestone_Marker,IF(AND(X$29&gt;ProposalToGnatt[[#This Row],[Start Date]],X$29&lt;ProposalToGnatt[[#This Row],[Start Date]]+ProposalToGnatt[[#This Row],[Days]]),$G$5,"")),"")</f>
        <v/>
      </c>
      <c r="Y48" s="37" t="str">
        <f ca="1">IFERROR(+IF(Y$29=ProposalToGnatt[[#This Row],[Start Date]],Milestone_Marker,IF(AND(Y$29&gt;ProposalToGnatt[[#This Row],[Start Date]],Y$29&lt;ProposalToGnatt[[#This Row],[Start Date]]+ProposalToGnatt[[#This Row],[Days]]),$G$5,"")),"")</f>
        <v/>
      </c>
      <c r="Z48" s="37" t="str">
        <f ca="1">IFERROR(+IF(Z$29=ProposalToGnatt[[#This Row],[Start Date]],Milestone_Marker,IF(AND(Z$29&gt;ProposalToGnatt[[#This Row],[Start Date]],Z$29&lt;ProposalToGnatt[[#This Row],[Start Date]]+ProposalToGnatt[[#This Row],[Days]]),$G$5,"")),"")</f>
        <v/>
      </c>
      <c r="AA48" s="37" t="str">
        <f ca="1">IFERROR(+IF(AA$29=ProposalToGnatt[[#This Row],[Start Date]],Milestone_Marker,IF(AND(AA$29&gt;ProposalToGnatt[[#This Row],[Start Date]],AA$29&lt;ProposalToGnatt[[#This Row],[Start Date]]+ProposalToGnatt[[#This Row],[Days]]),$G$5,"")),"")</f>
        <v/>
      </c>
      <c r="AB48" s="37" t="str">
        <f ca="1">IFERROR(+IF(AB$29=ProposalToGnatt[[#This Row],[Start Date]],Milestone_Marker,IF(AND(AB$29&gt;ProposalToGnatt[[#This Row],[Start Date]],AB$29&lt;ProposalToGnatt[[#This Row],[Start Date]]+ProposalToGnatt[[#This Row],[Days]]),$G$5,"")),"")</f>
        <v/>
      </c>
      <c r="AC48" s="37" t="str">
        <f ca="1">IFERROR(+IF(AC$29=ProposalToGnatt[[#This Row],[Start Date]],Milestone_Marker,IF(AND(AC$29&gt;ProposalToGnatt[[#This Row],[Start Date]],AC$29&lt;ProposalToGnatt[[#This Row],[Start Date]]+ProposalToGnatt[[#This Row],[Days]]),$G$5,"")),"")</f>
        <v/>
      </c>
      <c r="AD48" s="37" t="str">
        <f ca="1">IFERROR(+IF(AD$29=ProposalToGnatt[[#This Row],[Start Date]],Milestone_Marker,IF(AND(AD$29&gt;ProposalToGnatt[[#This Row],[Start Date]],AD$29&lt;ProposalToGnatt[[#This Row],[Start Date]]+ProposalToGnatt[[#This Row],[Days]]),$G$5,"")),"")</f>
        <v/>
      </c>
      <c r="AE48" s="37" t="str">
        <f ca="1">IFERROR(+IF(AE$29=ProposalToGnatt[[#This Row],[Start Date]],Milestone_Marker,IF(AND(AE$29&gt;ProposalToGnatt[[#This Row],[Start Date]],AE$29&lt;ProposalToGnatt[[#This Row],[Start Date]]+ProposalToGnatt[[#This Row],[Days]]),$G$5,"")),"")</f>
        <v/>
      </c>
      <c r="AF48" s="37" t="str">
        <f ca="1">IFERROR(+IF(AF$29=ProposalToGnatt[[#This Row],[Start Date]],Milestone_Marker,IF(AND(AF$29&gt;ProposalToGnatt[[#This Row],[Start Date]],AF$29&lt;ProposalToGnatt[[#This Row],[Start Date]]+ProposalToGnatt[[#This Row],[Days]]),$G$5,"")),"")</f>
        <v/>
      </c>
      <c r="AG48" s="37">
        <f ca="1">IFERROR(+IF(AG$29=ProposalToGnatt[[#This Row],[Start Date]],Milestone_Marker,IF(AND(AG$29&gt;ProposalToGnatt[[#This Row],[Start Date]],AG$29&lt;ProposalToGnatt[[#This Row],[Start Date]]+ProposalToGnatt[[#This Row],[Days]]),$G$5,"")),"")</f>
        <v>1</v>
      </c>
      <c r="AH48" s="37" t="str">
        <f ca="1">IFERROR(+IF(AH$29=ProposalToGnatt[[#This Row],[Start Date]],Milestone_Marker,IF(AND(AH$29&gt;ProposalToGnatt[[#This Row],[Start Date]],AH$29&lt;ProposalToGnatt[[#This Row],[Start Date]]+ProposalToGnatt[[#This Row],[Days]]),$G$5,"")),"")</f>
        <v/>
      </c>
      <c r="AI48" s="37" t="str">
        <f ca="1">IFERROR(+IF(AI$29=ProposalToGnatt[[#This Row],[Start Date]],Milestone_Marker,IF(AND(AI$29&gt;ProposalToGnatt[[#This Row],[Start Date]],AI$29&lt;ProposalToGnatt[[#This Row],[Start Date]]+ProposalToGnatt[[#This Row],[Days]]),$G$5,"")),"")</f>
        <v/>
      </c>
      <c r="AJ48" s="37" t="str">
        <f ca="1">IFERROR(+IF(AJ$29=ProposalToGnatt[[#This Row],[Start Date]],Milestone_Marker,IF(AND(AJ$29&gt;ProposalToGnatt[[#This Row],[Start Date]],AJ$29&lt;ProposalToGnatt[[#This Row],[Start Date]]+ProposalToGnatt[[#This Row],[Days]]),$G$5,"")),"")</f>
        <v/>
      </c>
      <c r="AK48" s="37" t="str">
        <f ca="1">IFERROR(+IF(AK$29=ProposalToGnatt[[#This Row],[Start Date]],Milestone_Marker,IF(AND(AK$29&gt;ProposalToGnatt[[#This Row],[Start Date]],AK$29&lt;ProposalToGnatt[[#This Row],[Start Date]]+ProposalToGnatt[[#This Row],[Days]]),$G$5,"")),"")</f>
        <v/>
      </c>
      <c r="AL48" s="37" t="str">
        <f ca="1">IFERROR(+IF(AL$29=ProposalToGnatt[[#This Row],[Start Date]],Milestone_Marker,IF(AND(AL$29&gt;ProposalToGnatt[[#This Row],[Start Date]],AL$29&lt;ProposalToGnatt[[#This Row],[Start Date]]+ProposalToGnatt[[#This Row],[Days]]),$G$5,"")),"")</f>
        <v/>
      </c>
      <c r="AM48" s="37" t="str">
        <f ca="1">IFERROR(+IF(AM$29=ProposalToGnatt[[#This Row],[Start Date]],Milestone_Marker,IF(AND(AM$29&gt;ProposalToGnatt[[#This Row],[Start Date]],AM$29&lt;ProposalToGnatt[[#This Row],[Start Date]]+ProposalToGnatt[[#This Row],[Days]]),$G$5,"")),"")</f>
        <v/>
      </c>
      <c r="AN48" s="37" t="str">
        <f ca="1">IFERROR(+IF(AN$29=ProposalToGnatt[[#This Row],[Start Date]],Milestone_Marker,IF(AND(AN$29&gt;ProposalToGnatt[[#This Row],[Start Date]],AN$29&lt;ProposalToGnatt[[#This Row],[Start Date]]+ProposalToGnatt[[#This Row],[Days]]),$G$5,"")),"")</f>
        <v/>
      </c>
      <c r="AO48" s="37" t="str">
        <f ca="1">IFERROR(+IF(AO$29=ProposalToGnatt[[#This Row],[Start Date]],Milestone_Marker,IF(AND(AO$29&gt;ProposalToGnatt[[#This Row],[Start Date]],AO$29&lt;ProposalToGnatt[[#This Row],[Start Date]]+ProposalToGnatt[[#This Row],[Days]]),$G$5,"")),"")</f>
        <v/>
      </c>
      <c r="AP48" s="37" t="str">
        <f ca="1">IFERROR(+IF(AP$29=ProposalToGnatt[[#This Row],[Start Date]],Milestone_Marker,IF(AND(AP$29&gt;ProposalToGnatt[[#This Row],[Start Date]],AP$29&lt;ProposalToGnatt[[#This Row],[Start Date]]+ProposalToGnatt[[#This Row],[Days]]),$G$5,"")),"")</f>
        <v/>
      </c>
      <c r="AQ48" s="37" t="str">
        <f ca="1">IFERROR(+IF(AQ$29=ProposalToGnatt[[#This Row],[Start Date]],Milestone_Marker,IF(AND(AQ$29&gt;ProposalToGnatt[[#This Row],[Start Date]],AQ$29&lt;ProposalToGnatt[[#This Row],[Start Date]]+ProposalToGnatt[[#This Row],[Days]]),$G$5,"")),"")</f>
        <v/>
      </c>
      <c r="AR48" s="37" t="str">
        <f ca="1">IFERROR(+IF(AR$29=ProposalToGnatt[[#This Row],[Start Date]],Milestone_Marker,IF(AND(AR$29&gt;ProposalToGnatt[[#This Row],[Start Date]],AR$29&lt;ProposalToGnatt[[#This Row],[Start Date]]+ProposalToGnatt[[#This Row],[Days]]),$G$5,"")),"")</f>
        <v/>
      </c>
      <c r="AS48" s="37" t="str">
        <f ca="1">IFERROR(+IF(AS$29=ProposalToGnatt[[#This Row],[Start Date]],Milestone_Marker,IF(AND(AS$29&gt;ProposalToGnatt[[#This Row],[Start Date]],AS$29&lt;ProposalToGnatt[[#This Row],[Start Date]]+ProposalToGnatt[[#This Row],[Days]]),$G$5,"")),"")</f>
        <v/>
      </c>
      <c r="AT48" s="37" t="str">
        <f ca="1">IFERROR(+IF(AT$29=ProposalToGnatt[[#This Row],[Start Date]],Milestone_Marker,IF(AND(AT$29&gt;ProposalToGnatt[[#This Row],[Start Date]],AT$29&lt;ProposalToGnatt[[#This Row],[Start Date]]+ProposalToGnatt[[#This Row],[Days]]),$G$5,"")),"")</f>
        <v/>
      </c>
      <c r="AU48" s="37" t="str">
        <f ca="1">IFERROR(+IF(AU$29=ProposalToGnatt[[#This Row],[Start Date]],Milestone_Marker,IF(AND(AU$29&gt;ProposalToGnatt[[#This Row],[Start Date]],AU$29&lt;ProposalToGnatt[[#This Row],[Start Date]]+ProposalToGnatt[[#This Row],[Days]]),$G$5,"")),"")</f>
        <v/>
      </c>
      <c r="AV48" s="37" t="str">
        <f ca="1">IFERROR(+IF(AV$29=ProposalToGnatt[[#This Row],[Start Date]],Milestone_Marker,IF(AND(AV$29&gt;ProposalToGnatt[[#This Row],[Start Date]],AV$29&lt;ProposalToGnatt[[#This Row],[Start Date]]+ProposalToGnatt[[#This Row],[Days]]),$G$5,"")),"")</f>
        <v/>
      </c>
      <c r="AW48" s="37" t="str">
        <f ca="1">IFERROR(+IF(AW$29=ProposalToGnatt[[#This Row],[Start Date]],Milestone_Marker,IF(AND(AW$29&gt;ProposalToGnatt[[#This Row],[Start Date]],AW$29&lt;ProposalToGnatt[[#This Row],[Start Date]]+ProposalToGnatt[[#This Row],[Days]]),$G$5,"")),"")</f>
        <v/>
      </c>
      <c r="AX48" s="37" t="str">
        <f ca="1">IFERROR(+IF(AX$29=ProposalToGnatt[[#This Row],[Start Date]],Milestone_Marker,IF(AND(AX$29&gt;ProposalToGnatt[[#This Row],[Start Date]],AX$29&lt;ProposalToGnatt[[#This Row],[Start Date]]+ProposalToGnatt[[#This Row],[Days]]),$G$5,"")),"")</f>
        <v/>
      </c>
      <c r="AY48" s="37" t="str">
        <f ca="1">IFERROR(+IF(AY$29=ProposalToGnatt[[#This Row],[Start Date]],Milestone_Marker,IF(AND(AY$29&gt;ProposalToGnatt[[#This Row],[Start Date]],AY$29&lt;ProposalToGnatt[[#This Row],[Start Date]]+ProposalToGnatt[[#This Row],[Days]]),$G$5,"")),"")</f>
        <v/>
      </c>
      <c r="AZ48" s="37" t="str">
        <f ca="1">IFERROR(+IF(AZ$29=ProposalToGnatt[[#This Row],[Start Date]],Milestone_Marker,IF(AND(AZ$29&gt;ProposalToGnatt[[#This Row],[Start Date]],AZ$29&lt;ProposalToGnatt[[#This Row],[Start Date]]+ProposalToGnatt[[#This Row],[Days]]),$G$5,"")),"")</f>
        <v/>
      </c>
      <c r="BA48" s="37" t="str">
        <f ca="1">IFERROR(+IF(BA$29=ProposalToGnatt[[#This Row],[Start Date]],Milestone_Marker,IF(AND(BA$29&gt;ProposalToGnatt[[#This Row],[Start Date]],BA$29&lt;ProposalToGnatt[[#This Row],[Start Date]]+ProposalToGnatt[[#This Row],[Days]]),$G$5,"")),"")</f>
        <v/>
      </c>
      <c r="BB48" s="37" t="str">
        <f ca="1">IFERROR(+IF(BB$29=ProposalToGnatt[[#This Row],[Start Date]],Milestone_Marker,IF(AND(BB$29&gt;ProposalToGnatt[[#This Row],[Start Date]],BB$29&lt;ProposalToGnatt[[#This Row],[Start Date]]+ProposalToGnatt[[#This Row],[Days]]),$G$5,"")),"")</f>
        <v/>
      </c>
      <c r="BC48" s="37" t="str">
        <f ca="1">IFERROR(+IF(BC$29=ProposalToGnatt[[#This Row],[Start Date]],Milestone_Marker,IF(AND(BC$29&gt;ProposalToGnatt[[#This Row],[Start Date]],BC$29&lt;ProposalToGnatt[[#This Row],[Start Date]]+ProposalToGnatt[[#This Row],[Days]]),$G$5,"")),"")</f>
        <v/>
      </c>
      <c r="BD48" s="37" t="str">
        <f ca="1">IFERROR(+IF(BD$29=ProposalToGnatt[[#This Row],[Start Date]],Milestone_Marker,IF(AND(BD$29&gt;ProposalToGnatt[[#This Row],[Start Date]],BD$29&lt;ProposalToGnatt[[#This Row],[Start Date]]+ProposalToGnatt[[#This Row],[Days]]),$G$5,"")),"")</f>
        <v/>
      </c>
      <c r="BE48" s="37" t="str">
        <f ca="1">IFERROR(+IF(BE$29=ProposalToGnatt[[#This Row],[Start Date]],Milestone_Marker,IF(AND(BE$29&gt;ProposalToGnatt[[#This Row],[Start Date]],BE$29&lt;ProposalToGnatt[[#This Row],[Start Date]]+ProposalToGnatt[[#This Row],[Days]]),$G$5,"")),"")</f>
        <v/>
      </c>
      <c r="BF48" s="37" t="str">
        <f ca="1">IFERROR(+IF(BF$29=ProposalToGnatt[[#This Row],[Start Date]],Milestone_Marker,IF(AND(BF$29&gt;ProposalToGnatt[[#This Row],[Start Date]],BF$29&lt;ProposalToGnatt[[#This Row],[Start Date]]+ProposalToGnatt[[#This Row],[Days]]),$G$5,"")),"")</f>
        <v/>
      </c>
      <c r="BG48" s="37" t="str">
        <f ca="1">IFERROR(+IF(BG$29=ProposalToGnatt[[#This Row],[Start Date]],Milestone_Marker,IF(AND(BG$29&gt;ProposalToGnatt[[#This Row],[Start Date]],BG$29&lt;ProposalToGnatt[[#This Row],[Start Date]]+ProposalToGnatt[[#This Row],[Days]]),$G$5,"")),"")</f>
        <v/>
      </c>
      <c r="BH48" s="37" t="str">
        <f ca="1">IFERROR(+IF(BH$29=ProposalToGnatt[[#This Row],[Start Date]],Milestone_Marker,IF(AND(BH$29&gt;ProposalToGnatt[[#This Row],[Start Date]],BH$29&lt;ProposalToGnatt[[#This Row],[Start Date]]+ProposalToGnatt[[#This Row],[Days]]),$G$5,"")),"")</f>
        <v/>
      </c>
      <c r="BI48" s="37" t="str">
        <f ca="1">IFERROR(+IF(BI$29=ProposalToGnatt[[#This Row],[Start Date]],Milestone_Marker,IF(AND(BI$29&gt;ProposalToGnatt[[#This Row],[Start Date]],BI$29&lt;ProposalToGnatt[[#This Row],[Start Date]]+ProposalToGnatt[[#This Row],[Days]]),$G$5,"")),"")</f>
        <v/>
      </c>
      <c r="BJ48" s="37" t="str">
        <f ca="1">IFERROR(+IF(BJ$29=ProposalToGnatt[[#This Row],[Start Date]],Milestone_Marker,IF(AND(BJ$29&gt;ProposalToGnatt[[#This Row],[Start Date]],BJ$29&lt;ProposalToGnatt[[#This Row],[Start Date]]+ProposalToGnatt[[#This Row],[Days]]),$G$5,"")),"")</f>
        <v/>
      </c>
      <c r="BK48" s="37" t="str">
        <f ca="1">IFERROR(+IF(BK$29=ProposalToGnatt[[#This Row],[Start Date]],Milestone_Marker,IF(AND(BK$29&gt;ProposalToGnatt[[#This Row],[Start Date]],BK$29&lt;ProposalToGnatt[[#This Row],[Start Date]]+ProposalToGnatt[[#This Row],[Days]]),$G$5,"")),"")</f>
        <v/>
      </c>
      <c r="BL48" s="37" t="str">
        <f ca="1">IFERROR(+IF(BL$29=ProposalToGnatt[[#This Row],[Start Date]],Milestone_Marker,IF(AND(BL$29&gt;ProposalToGnatt[[#This Row],[Start Date]],BL$29&lt;ProposalToGnatt[[#This Row],[Start Date]]+ProposalToGnatt[[#This Row],[Days]]),$G$5,"")),"")</f>
        <v/>
      </c>
      <c r="BM48" s="37" t="str">
        <f ca="1">IFERROR(+IF(BM$29=ProposalToGnatt[[#This Row],[Start Date]],Milestone_Marker,IF(AND(BM$29&gt;ProposalToGnatt[[#This Row],[Start Date]],BM$29&lt;ProposalToGnatt[[#This Row],[Start Date]]+ProposalToGnatt[[#This Row],[Days]]),$G$5,"")),"")</f>
        <v/>
      </c>
      <c r="BN48" s="37" t="str">
        <f ca="1">IFERROR(+IF(BN$29=ProposalToGnatt[[#This Row],[Start Date]],Milestone_Marker,IF(AND(BN$29&gt;ProposalToGnatt[[#This Row],[Start Date]],BN$29&lt;ProposalToGnatt[[#This Row],[Start Date]]+ProposalToGnatt[[#This Row],[Days]]),$G$5,"")),"")</f>
        <v/>
      </c>
      <c r="BO48" s="37" t="str">
        <f ca="1">IFERROR(+IF(BO$29=ProposalToGnatt[[#This Row],[Start Date]],Milestone_Marker,IF(AND(BO$29&gt;ProposalToGnatt[[#This Row],[Start Date]],BO$29&lt;ProposalToGnatt[[#This Row],[Start Date]]+ProposalToGnatt[[#This Row],[Days]]),$G$5,"")),"")</f>
        <v/>
      </c>
      <c r="BP48" s="37" t="str">
        <f ca="1">IFERROR(+IF(BP$29=ProposalToGnatt[[#This Row],[Start Date]],Milestone_Marker,IF(AND(BP$29&gt;ProposalToGnatt[[#This Row],[Start Date]],BP$29&lt;ProposalToGnatt[[#This Row],[Start Date]]+ProposalToGnatt[[#This Row],[Days]]),$G$5,"")),"")</f>
        <v/>
      </c>
      <c r="BQ48" s="37" t="str">
        <f ca="1">IFERROR(+IF(BQ$29=ProposalToGnatt[[#This Row],[Start Date]],Milestone_Marker,IF(AND(BQ$29&gt;ProposalToGnatt[[#This Row],[Start Date]],BQ$29&lt;ProposalToGnatt[[#This Row],[Start Date]]+ProposalToGnatt[[#This Row],[Days]]),$G$5,"")),"")</f>
        <v/>
      </c>
      <c r="BR48" s="37" t="str">
        <f ca="1">IFERROR(+IF(BR$29=ProposalToGnatt[[#This Row],[Start Date]],Milestone_Marker,IF(AND(BR$29&gt;ProposalToGnatt[[#This Row],[Start Date]],BR$29&lt;ProposalToGnatt[[#This Row],[Start Date]]+ProposalToGnatt[[#This Row],[Days]]),$G$5,"")),"")</f>
        <v/>
      </c>
      <c r="BS48" s="37" t="str">
        <f ca="1">IFERROR(+IF(BS$29=ProposalToGnatt[[#This Row],[Start Date]],Milestone_Marker,IF(AND(BS$29&gt;ProposalToGnatt[[#This Row],[Start Date]],BS$29&lt;ProposalToGnatt[[#This Row],[Start Date]]+ProposalToGnatt[[#This Row],[Days]]),$G$5,"")),"")</f>
        <v/>
      </c>
      <c r="BT48" s="37" t="str">
        <f ca="1">IFERROR(+IF(BT$29=ProposalToGnatt[[#This Row],[Start Date]],Milestone_Marker,IF(AND(BT$29&gt;ProposalToGnatt[[#This Row],[Start Date]],BT$29&lt;ProposalToGnatt[[#This Row],[Start Date]]+ProposalToGnatt[[#This Row],[Days]]),$G$5,"")),"")</f>
        <v/>
      </c>
      <c r="BU48" s="37" t="str">
        <f ca="1">IFERROR(+IF(BU$29=ProposalToGnatt[[#This Row],[Start Date]],Milestone_Marker,IF(AND(BU$29&gt;ProposalToGnatt[[#This Row],[Start Date]],BU$29&lt;ProposalToGnatt[[#This Row],[Start Date]]+ProposalToGnatt[[#This Row],[Days]]),$G$5,"")),"")</f>
        <v/>
      </c>
      <c r="BV48" s="37" t="str">
        <f ca="1">IFERROR(+IF(BV$29=ProposalToGnatt[[#This Row],[Start Date]],Milestone_Marker,IF(AND(BV$29&gt;ProposalToGnatt[[#This Row],[Start Date]],BV$29&lt;ProposalToGnatt[[#This Row],[Start Date]]+ProposalToGnatt[[#This Row],[Days]]),$G$5,"")),"")</f>
        <v/>
      </c>
      <c r="BW48" s="37" t="str">
        <f ca="1">IFERROR(+IF(BW$29=ProposalToGnatt[[#This Row],[Start Date]],Milestone_Marker,IF(AND(BW$29&gt;ProposalToGnatt[[#This Row],[Start Date]],BW$29&lt;ProposalToGnatt[[#This Row],[Start Date]]+ProposalToGnatt[[#This Row],[Days]]),$G$5,"")),"")</f>
        <v/>
      </c>
      <c r="BX48" s="37" t="str">
        <f ca="1">IFERROR(+IF(BX$29=ProposalToGnatt[[#This Row],[Start Date]],Milestone_Marker,IF(AND(BX$29&gt;ProposalToGnatt[[#This Row],[Start Date]],BX$29&lt;ProposalToGnatt[[#This Row],[Start Date]]+ProposalToGnatt[[#This Row],[Days]]),$G$5,"")),"")</f>
        <v/>
      </c>
      <c r="BY48" s="37" t="str">
        <f ca="1">IFERROR(+IF(BY$29=ProposalToGnatt[[#This Row],[Start Date]],Milestone_Marker,IF(AND(BY$29&gt;ProposalToGnatt[[#This Row],[Start Date]],BY$29&lt;ProposalToGnatt[[#This Row],[Start Date]]+ProposalToGnatt[[#This Row],[Days]]),$G$5,"")),"")</f>
        <v/>
      </c>
      <c r="BZ48" s="37" t="str">
        <f ca="1">IFERROR(+IF(BZ$29=ProposalToGnatt[[#This Row],[Start Date]],Milestone_Marker,IF(AND(BZ$29&gt;ProposalToGnatt[[#This Row],[Start Date]],BZ$29&lt;ProposalToGnatt[[#This Row],[Start Date]]+ProposalToGnatt[[#This Row],[Days]]),$G$5,"")),"")</f>
        <v/>
      </c>
      <c r="CA48" s="37" t="str">
        <f ca="1">IFERROR(+IF(CA$29=ProposalToGnatt[[#This Row],[Start Date]],Milestone_Marker,IF(AND(CA$29&gt;ProposalToGnatt[[#This Row],[Start Date]],CA$29&lt;ProposalToGnatt[[#This Row],[Start Date]]+ProposalToGnatt[[#This Row],[Days]]),$G$5,"")),"")</f>
        <v/>
      </c>
      <c r="CB48" s="37" t="str">
        <f ca="1">IFERROR(+IF(CB$29=ProposalToGnatt[[#This Row],[Start Date]],Milestone_Marker,IF(AND(CB$29&gt;ProposalToGnatt[[#This Row],[Start Date]],CB$29&lt;ProposalToGnatt[[#This Row],[Start Date]]+ProposalToGnatt[[#This Row],[Days]]),$G$5,"")),"")</f>
        <v/>
      </c>
      <c r="CC48" s="37" t="str">
        <f ca="1">IFERROR(+IF(CC$29=ProposalToGnatt[[#This Row],[Start Date]],Milestone_Marker,IF(AND(CC$29&gt;ProposalToGnatt[[#This Row],[Start Date]],CC$29&lt;ProposalToGnatt[[#This Row],[Start Date]]+ProposalToGnatt[[#This Row],[Days]]),$G$5,"")),"")</f>
        <v/>
      </c>
      <c r="CD48" s="37" t="str">
        <f ca="1">IFERROR(+IF(CD$29=ProposalToGnatt[[#This Row],[Start Date]],Milestone_Marker,IF(AND(CD$29&gt;ProposalToGnatt[[#This Row],[Start Date]],CD$29&lt;ProposalToGnatt[[#This Row],[Start Date]]+ProposalToGnatt[[#This Row],[Days]]),$G$5,"")),"")</f>
        <v/>
      </c>
      <c r="CE48" s="37" t="str">
        <f ca="1">IFERROR(+IF(CE$29=ProposalToGnatt[[#This Row],[Start Date]],Milestone_Marker,IF(AND(CE$29&gt;ProposalToGnatt[[#This Row],[Start Date]],CE$29&lt;ProposalToGnatt[[#This Row],[Start Date]]+ProposalToGnatt[[#This Row],[Days]]),$G$5,"")),"")</f>
        <v/>
      </c>
      <c r="CF48" s="37" t="str">
        <f ca="1">IFERROR(+IF(CF$29=ProposalToGnatt[[#This Row],[Start Date]],Milestone_Marker,IF(AND(CF$29&gt;ProposalToGnatt[[#This Row],[Start Date]],CF$29&lt;ProposalToGnatt[[#This Row],[Start Date]]+ProposalToGnatt[[#This Row],[Days]]),$G$5,"")),"")</f>
        <v/>
      </c>
      <c r="CG48" s="37" t="str">
        <f ca="1">IFERROR(+IF(CG$29=ProposalToGnatt[[#This Row],[Start Date]],Milestone_Marker,IF(AND(CG$29&gt;ProposalToGnatt[[#This Row],[Start Date]],CG$29&lt;ProposalToGnatt[[#This Row],[Start Date]]+ProposalToGnatt[[#This Row],[Days]]),$G$5,"")),"")</f>
        <v/>
      </c>
      <c r="CH48" s="37" t="str">
        <f ca="1">IFERROR(+IF(CH$29=ProposalToGnatt[[#This Row],[Start Date]],Milestone_Marker,IF(AND(CH$29&gt;ProposalToGnatt[[#This Row],[Start Date]],CH$29&lt;ProposalToGnatt[[#This Row],[Start Date]]+ProposalToGnatt[[#This Row],[Days]]),$G$5,"")),"")</f>
        <v/>
      </c>
      <c r="CI48" s="37" t="str">
        <f ca="1">IFERROR(+IF(CI$29=ProposalToGnatt[[#This Row],[Start Date]],Milestone_Marker,IF(AND(CI$29&gt;ProposalToGnatt[[#This Row],[Start Date]],CI$29&lt;ProposalToGnatt[[#This Row],[Start Date]]+ProposalToGnatt[[#This Row],[Days]]),$G$5,"")),"")</f>
        <v/>
      </c>
      <c r="CJ48" s="37" t="str">
        <f ca="1">IFERROR(+IF(CJ$29=ProposalToGnatt[[#This Row],[Start Date]],Milestone_Marker,IF(AND(CJ$29&gt;ProposalToGnatt[[#This Row],[Start Date]],CJ$29&lt;ProposalToGnatt[[#This Row],[Start Date]]+ProposalToGnatt[[#This Row],[Days]]),$G$5,"")),"")</f>
        <v/>
      </c>
      <c r="CK48" s="37" t="str">
        <f ca="1">IFERROR(+IF(CK$29=ProposalToGnatt[[#This Row],[Start Date]],Milestone_Marker,IF(AND(CK$29&gt;ProposalToGnatt[[#This Row],[Start Date]],CK$29&lt;ProposalToGnatt[[#This Row],[Start Date]]+ProposalToGnatt[[#This Row],[Days]]),$G$5,"")),"")</f>
        <v/>
      </c>
      <c r="CL48" s="37" t="str">
        <f ca="1">IFERROR(+IF(CL$29=ProposalToGnatt[[#This Row],[Start Date]],Milestone_Marker,IF(AND(CL$29&gt;ProposalToGnatt[[#This Row],[Start Date]],CL$29&lt;ProposalToGnatt[[#This Row],[Start Date]]+ProposalToGnatt[[#This Row],[Days]]),$G$5,"")),"")</f>
        <v/>
      </c>
      <c r="CM48" s="37" t="str">
        <f ca="1">IFERROR(+IF(CM$29=ProposalToGnatt[[#This Row],[Start Date]],Milestone_Marker,IF(AND(CM$29&gt;ProposalToGnatt[[#This Row],[Start Date]],CM$29&lt;ProposalToGnatt[[#This Row],[Start Date]]+ProposalToGnatt[[#This Row],[Days]]),$G$5,"")),"")</f>
        <v/>
      </c>
      <c r="CN48" s="37" t="str">
        <f ca="1">IFERROR(+IF(CN$29=ProposalToGnatt[[#This Row],[Start Date]],Milestone_Marker,IF(AND(CN$29&gt;ProposalToGnatt[[#This Row],[Start Date]],CN$29&lt;ProposalToGnatt[[#This Row],[Start Date]]+ProposalToGnatt[[#This Row],[Days]]),$G$5,"")),"")</f>
        <v/>
      </c>
      <c r="CO48" s="37" t="str">
        <f ca="1">IFERROR(+IF(CO$29=ProposalToGnatt[[#This Row],[Start Date]],Milestone_Marker,IF(AND(CO$29&gt;ProposalToGnatt[[#This Row],[Start Date]],CO$29&lt;ProposalToGnatt[[#This Row],[Start Date]]+ProposalToGnatt[[#This Row],[Days]]),$G$5,"")),"")</f>
        <v/>
      </c>
      <c r="CP48" s="37" t="str">
        <f ca="1">IFERROR(+IF(CP$29=ProposalToGnatt[[#This Row],[Start Date]],Milestone_Marker,IF(AND(CP$29&gt;ProposalToGnatt[[#This Row],[Start Date]],CP$29&lt;ProposalToGnatt[[#This Row],[Start Date]]+ProposalToGnatt[[#This Row],[Days]]),$G$5,"")),"")</f>
        <v/>
      </c>
      <c r="CQ48" s="37" t="str">
        <f ca="1">IFERROR(+IF(CQ$29=ProposalToGnatt[[#This Row],[Start Date]],Milestone_Marker,IF(AND(CQ$29&gt;ProposalToGnatt[[#This Row],[Start Date]],CQ$29&lt;ProposalToGnatt[[#This Row],[Start Date]]+ProposalToGnatt[[#This Row],[Days]]),$G$5,"")),"")</f>
        <v/>
      </c>
      <c r="CR48" s="37" t="str">
        <f ca="1">IFERROR(+IF(CR$29=ProposalToGnatt[[#This Row],[Start Date]],Milestone_Marker,IF(AND(CR$29&gt;ProposalToGnatt[[#This Row],[Start Date]],CR$29&lt;ProposalToGnatt[[#This Row],[Start Date]]+ProposalToGnatt[[#This Row],[Days]]),$G$5,"")),"")</f>
        <v/>
      </c>
      <c r="CS48" s="37" t="str">
        <f ca="1">IFERROR(+IF(CS$29=ProposalToGnatt[[#This Row],[Start Date]],Milestone_Marker,IF(AND(CS$29&gt;ProposalToGnatt[[#This Row],[Start Date]],CS$29&lt;ProposalToGnatt[[#This Row],[Start Date]]+ProposalToGnatt[[#This Row],[Days]]),$G$5,"")),"")</f>
        <v/>
      </c>
      <c r="CT48" s="37" t="str">
        <f ca="1">IFERROR(+IF(CT$29=ProposalToGnatt[[#This Row],[Start Date]],Milestone_Marker,IF(AND(CT$29&gt;ProposalToGnatt[[#This Row],[Start Date]],CT$29&lt;ProposalToGnatt[[#This Row],[Start Date]]+ProposalToGnatt[[#This Row],[Days]]),$G$5,"")),"")</f>
        <v/>
      </c>
      <c r="CU48" s="37" t="str">
        <f ca="1">IFERROR(+IF(CU$29=ProposalToGnatt[[#This Row],[Start Date]],Milestone_Marker,IF(AND(CU$29&gt;ProposalToGnatt[[#This Row],[Start Date]],CU$29&lt;ProposalToGnatt[[#This Row],[Start Date]]+ProposalToGnatt[[#This Row],[Days]]),$G$5,"")),"")</f>
        <v/>
      </c>
      <c r="CV48" s="37"/>
      <c r="CW48" s="37"/>
      <c r="CX48" s="37"/>
      <c r="CY48" s="37"/>
      <c r="CZ48" s="37"/>
      <c r="DA48" s="37"/>
      <c r="DB48" s="37"/>
      <c r="DC48" s="37"/>
      <c r="DD48" s="37"/>
      <c r="DE48" s="37"/>
      <c r="DF48" s="37"/>
      <c r="DG48" s="37"/>
      <c r="DH48" s="37"/>
      <c r="DI48" s="37"/>
      <c r="DJ48" s="37"/>
      <c r="DK48" s="37"/>
      <c r="DL48" s="37"/>
      <c r="DM48" s="37"/>
      <c r="DN48" s="37"/>
      <c r="DO48" s="37"/>
      <c r="DP48" s="37"/>
      <c r="DQ48" s="37"/>
      <c r="DR48" s="37"/>
      <c r="DS48" s="37"/>
      <c r="DT48" s="37"/>
      <c r="DU48" s="37"/>
    </row>
    <row r="49" spans="1:125" s="42" customFormat="1" ht="15" x14ac:dyDescent="0.25">
      <c r="A49" t="s">
        <v>428</v>
      </c>
      <c r="B49">
        <v>28</v>
      </c>
      <c r="C49" t="s">
        <v>339</v>
      </c>
      <c r="D49" t="s">
        <v>340</v>
      </c>
      <c r="E49" t="s">
        <v>346</v>
      </c>
      <c r="F49">
        <v>1</v>
      </c>
      <c r="G49" s="14"/>
      <c r="H49" s="14"/>
      <c r="I49"/>
      <c r="J49">
        <v>1</v>
      </c>
      <c r="K49" s="303">
        <v>45229</v>
      </c>
      <c r="L49"/>
      <c r="M49" s="14"/>
      <c r="N49" s="352"/>
      <c r="O49" s="340"/>
      <c r="P49" s="37" t="str">
        <f ca="1">IFERROR(+IF(P$29=ProposalToGnatt[[#This Row],[Start Date]],Milestone_Marker,IF(AND(P$29&gt;ProposalToGnatt[[#This Row],[Start Date]],P$29&lt;ProposalToGnatt[[#This Row],[Start Date]]+ProposalToGnatt[[#This Row],[Days]]),$G$5,"")),"")</f>
        <v/>
      </c>
      <c r="Q49" s="37" t="str">
        <f ca="1">IFERROR(+IF(Q$29=ProposalToGnatt[[#This Row],[Start Date]],Milestone_Marker,IF(AND(Q$29&gt;ProposalToGnatt[[#This Row],[Start Date]],Q$29&lt;ProposalToGnatt[[#This Row],[Start Date]]+ProposalToGnatt[[#This Row],[Days]]),$G$5,"")),"")</f>
        <v/>
      </c>
      <c r="R49" s="37" t="str">
        <f ca="1">IFERROR(+IF(R$29=ProposalToGnatt[[#This Row],[Start Date]],Milestone_Marker,IF(AND(R$29&gt;ProposalToGnatt[[#This Row],[Start Date]],R$29&lt;ProposalToGnatt[[#This Row],[Start Date]]+ProposalToGnatt[[#This Row],[Days]]),$G$5,"")),"")</f>
        <v/>
      </c>
      <c r="S49" s="37" t="str">
        <f ca="1">IFERROR(+IF(S$29=ProposalToGnatt[[#This Row],[Start Date]],Milestone_Marker,IF(AND(S$29&gt;ProposalToGnatt[[#This Row],[Start Date]],S$29&lt;ProposalToGnatt[[#This Row],[Start Date]]+ProposalToGnatt[[#This Row],[Days]]),$G$5,"")),"")</f>
        <v/>
      </c>
      <c r="T49" s="37" t="str">
        <f ca="1">IFERROR(+IF(T$29=ProposalToGnatt[[#This Row],[Start Date]],Milestone_Marker,IF(AND(T$29&gt;ProposalToGnatt[[#This Row],[Start Date]],T$29&lt;ProposalToGnatt[[#This Row],[Start Date]]+ProposalToGnatt[[#This Row],[Days]]),$G$5,"")),"")</f>
        <v/>
      </c>
      <c r="U49" s="37" t="str">
        <f ca="1">IFERROR(+IF(U$29=ProposalToGnatt[[#This Row],[Start Date]],Milestone_Marker,IF(AND(U$29&gt;ProposalToGnatt[[#This Row],[Start Date]],U$29&lt;ProposalToGnatt[[#This Row],[Start Date]]+ProposalToGnatt[[#This Row],[Days]]),$G$5,"")),"")</f>
        <v/>
      </c>
      <c r="V49" s="37" t="str">
        <f ca="1">IFERROR(+IF(V$29=ProposalToGnatt[[#This Row],[Start Date]],Milestone_Marker,IF(AND(V$29&gt;ProposalToGnatt[[#This Row],[Start Date]],V$29&lt;ProposalToGnatt[[#This Row],[Start Date]]+ProposalToGnatt[[#This Row],[Days]]),$G$5,"")),"")</f>
        <v/>
      </c>
      <c r="W49" s="37" t="str">
        <f ca="1">IFERROR(+IF(W$29=ProposalToGnatt[[#This Row],[Start Date]],Milestone_Marker,IF(AND(W$29&gt;ProposalToGnatt[[#This Row],[Start Date]],W$29&lt;ProposalToGnatt[[#This Row],[Start Date]]+ProposalToGnatt[[#This Row],[Days]]),$G$5,"")),"")</f>
        <v/>
      </c>
      <c r="X49" s="37" t="str">
        <f ca="1">IFERROR(+IF(X$29=ProposalToGnatt[[#This Row],[Start Date]],Milestone_Marker,IF(AND(X$29&gt;ProposalToGnatt[[#This Row],[Start Date]],X$29&lt;ProposalToGnatt[[#This Row],[Start Date]]+ProposalToGnatt[[#This Row],[Days]]),$G$5,"")),"")</f>
        <v/>
      </c>
      <c r="Y49" s="37" t="str">
        <f ca="1">IFERROR(+IF(Y$29=ProposalToGnatt[[#This Row],[Start Date]],Milestone_Marker,IF(AND(Y$29&gt;ProposalToGnatt[[#This Row],[Start Date]],Y$29&lt;ProposalToGnatt[[#This Row],[Start Date]]+ProposalToGnatt[[#This Row],[Days]]),$G$5,"")),"")</f>
        <v/>
      </c>
      <c r="Z49" s="37" t="str">
        <f ca="1">IFERROR(+IF(Z$29=ProposalToGnatt[[#This Row],[Start Date]],Milestone_Marker,IF(AND(Z$29&gt;ProposalToGnatt[[#This Row],[Start Date]],Z$29&lt;ProposalToGnatt[[#This Row],[Start Date]]+ProposalToGnatt[[#This Row],[Days]]),$G$5,"")),"")</f>
        <v/>
      </c>
      <c r="AA49" s="37" t="str">
        <f ca="1">IFERROR(+IF(AA$29=ProposalToGnatt[[#This Row],[Start Date]],Milestone_Marker,IF(AND(AA$29&gt;ProposalToGnatt[[#This Row],[Start Date]],AA$29&lt;ProposalToGnatt[[#This Row],[Start Date]]+ProposalToGnatt[[#This Row],[Days]]),$G$5,"")),"")</f>
        <v/>
      </c>
      <c r="AB49" s="37" t="str">
        <f ca="1">IFERROR(+IF(AB$29=ProposalToGnatt[[#This Row],[Start Date]],Milestone_Marker,IF(AND(AB$29&gt;ProposalToGnatt[[#This Row],[Start Date]],AB$29&lt;ProposalToGnatt[[#This Row],[Start Date]]+ProposalToGnatt[[#This Row],[Days]]),$G$5,"")),"")</f>
        <v/>
      </c>
      <c r="AC49" s="37" t="str">
        <f ca="1">IFERROR(+IF(AC$29=ProposalToGnatt[[#This Row],[Start Date]],Milestone_Marker,IF(AND(AC$29&gt;ProposalToGnatt[[#This Row],[Start Date]],AC$29&lt;ProposalToGnatt[[#This Row],[Start Date]]+ProposalToGnatt[[#This Row],[Days]]),$G$5,"")),"")</f>
        <v/>
      </c>
      <c r="AD49" s="37" t="str">
        <f ca="1">IFERROR(+IF(AD$29=ProposalToGnatt[[#This Row],[Start Date]],Milestone_Marker,IF(AND(AD$29&gt;ProposalToGnatt[[#This Row],[Start Date]],AD$29&lt;ProposalToGnatt[[#This Row],[Start Date]]+ProposalToGnatt[[#This Row],[Days]]),$G$5,"")),"")</f>
        <v/>
      </c>
      <c r="AE49" s="37" t="str">
        <f ca="1">IFERROR(+IF(AE$29=ProposalToGnatt[[#This Row],[Start Date]],Milestone_Marker,IF(AND(AE$29&gt;ProposalToGnatt[[#This Row],[Start Date]],AE$29&lt;ProposalToGnatt[[#This Row],[Start Date]]+ProposalToGnatt[[#This Row],[Days]]),$G$5,"")),"")</f>
        <v/>
      </c>
      <c r="AF49" s="37" t="str">
        <f ca="1">IFERROR(+IF(AF$29=ProposalToGnatt[[#This Row],[Start Date]],Milestone_Marker,IF(AND(AF$29&gt;ProposalToGnatt[[#This Row],[Start Date]],AF$29&lt;ProposalToGnatt[[#This Row],[Start Date]]+ProposalToGnatt[[#This Row],[Days]]),$G$5,"")),"")</f>
        <v/>
      </c>
      <c r="AG49" s="37">
        <f ca="1">IFERROR(+IF(AG$29=ProposalToGnatt[[#This Row],[Start Date]],Milestone_Marker,IF(AND(AG$29&gt;ProposalToGnatt[[#This Row],[Start Date]],AG$29&lt;ProposalToGnatt[[#This Row],[Start Date]]+ProposalToGnatt[[#This Row],[Days]]),$G$5,"")),"")</f>
        <v>1</v>
      </c>
      <c r="AH49" s="37" t="str">
        <f ca="1">IFERROR(+IF(AH$29=ProposalToGnatt[[#This Row],[Start Date]],Milestone_Marker,IF(AND(AH$29&gt;ProposalToGnatt[[#This Row],[Start Date]],AH$29&lt;ProposalToGnatt[[#This Row],[Start Date]]+ProposalToGnatt[[#This Row],[Days]]),$G$5,"")),"")</f>
        <v/>
      </c>
      <c r="AI49" s="37" t="str">
        <f ca="1">IFERROR(+IF(AI$29=ProposalToGnatt[[#This Row],[Start Date]],Milestone_Marker,IF(AND(AI$29&gt;ProposalToGnatt[[#This Row],[Start Date]],AI$29&lt;ProposalToGnatt[[#This Row],[Start Date]]+ProposalToGnatt[[#This Row],[Days]]),$G$5,"")),"")</f>
        <v/>
      </c>
      <c r="AJ49" s="37" t="str">
        <f ca="1">IFERROR(+IF(AJ$29=ProposalToGnatt[[#This Row],[Start Date]],Milestone_Marker,IF(AND(AJ$29&gt;ProposalToGnatt[[#This Row],[Start Date]],AJ$29&lt;ProposalToGnatt[[#This Row],[Start Date]]+ProposalToGnatt[[#This Row],[Days]]),$G$5,"")),"")</f>
        <v/>
      </c>
      <c r="AK49" s="37" t="str">
        <f ca="1">IFERROR(+IF(AK$29=ProposalToGnatt[[#This Row],[Start Date]],Milestone_Marker,IF(AND(AK$29&gt;ProposalToGnatt[[#This Row],[Start Date]],AK$29&lt;ProposalToGnatt[[#This Row],[Start Date]]+ProposalToGnatt[[#This Row],[Days]]),$G$5,"")),"")</f>
        <v/>
      </c>
      <c r="AL49" s="37" t="str">
        <f ca="1">IFERROR(+IF(AL$29=ProposalToGnatt[[#This Row],[Start Date]],Milestone_Marker,IF(AND(AL$29&gt;ProposalToGnatt[[#This Row],[Start Date]],AL$29&lt;ProposalToGnatt[[#This Row],[Start Date]]+ProposalToGnatt[[#This Row],[Days]]),$G$5,"")),"")</f>
        <v/>
      </c>
      <c r="AM49" s="37" t="str">
        <f ca="1">IFERROR(+IF(AM$29=ProposalToGnatt[[#This Row],[Start Date]],Milestone_Marker,IF(AND(AM$29&gt;ProposalToGnatt[[#This Row],[Start Date]],AM$29&lt;ProposalToGnatt[[#This Row],[Start Date]]+ProposalToGnatt[[#This Row],[Days]]),$G$5,"")),"")</f>
        <v/>
      </c>
      <c r="AN49" s="37" t="str">
        <f ca="1">IFERROR(+IF(AN$29=ProposalToGnatt[[#This Row],[Start Date]],Milestone_Marker,IF(AND(AN$29&gt;ProposalToGnatt[[#This Row],[Start Date]],AN$29&lt;ProposalToGnatt[[#This Row],[Start Date]]+ProposalToGnatt[[#This Row],[Days]]),$G$5,"")),"")</f>
        <v/>
      </c>
      <c r="AO49" s="37" t="str">
        <f ca="1">IFERROR(+IF(AO$29=ProposalToGnatt[[#This Row],[Start Date]],Milestone_Marker,IF(AND(AO$29&gt;ProposalToGnatt[[#This Row],[Start Date]],AO$29&lt;ProposalToGnatt[[#This Row],[Start Date]]+ProposalToGnatt[[#This Row],[Days]]),$G$5,"")),"")</f>
        <v/>
      </c>
      <c r="AP49" s="37" t="str">
        <f ca="1">IFERROR(+IF(AP$29=ProposalToGnatt[[#This Row],[Start Date]],Milestone_Marker,IF(AND(AP$29&gt;ProposalToGnatt[[#This Row],[Start Date]],AP$29&lt;ProposalToGnatt[[#This Row],[Start Date]]+ProposalToGnatt[[#This Row],[Days]]),$G$5,"")),"")</f>
        <v/>
      </c>
      <c r="AQ49" s="37" t="str">
        <f ca="1">IFERROR(+IF(AQ$29=ProposalToGnatt[[#This Row],[Start Date]],Milestone_Marker,IF(AND(AQ$29&gt;ProposalToGnatt[[#This Row],[Start Date]],AQ$29&lt;ProposalToGnatt[[#This Row],[Start Date]]+ProposalToGnatt[[#This Row],[Days]]),$G$5,"")),"")</f>
        <v/>
      </c>
      <c r="AR49" s="37" t="str">
        <f ca="1">IFERROR(+IF(AR$29=ProposalToGnatt[[#This Row],[Start Date]],Milestone_Marker,IF(AND(AR$29&gt;ProposalToGnatt[[#This Row],[Start Date]],AR$29&lt;ProposalToGnatt[[#This Row],[Start Date]]+ProposalToGnatt[[#This Row],[Days]]),$G$5,"")),"")</f>
        <v/>
      </c>
      <c r="AS49" s="37" t="str">
        <f ca="1">IFERROR(+IF(AS$29=ProposalToGnatt[[#This Row],[Start Date]],Milestone_Marker,IF(AND(AS$29&gt;ProposalToGnatt[[#This Row],[Start Date]],AS$29&lt;ProposalToGnatt[[#This Row],[Start Date]]+ProposalToGnatt[[#This Row],[Days]]),$G$5,"")),"")</f>
        <v/>
      </c>
      <c r="AT49" s="37" t="str">
        <f ca="1">IFERROR(+IF(AT$29=ProposalToGnatt[[#This Row],[Start Date]],Milestone_Marker,IF(AND(AT$29&gt;ProposalToGnatt[[#This Row],[Start Date]],AT$29&lt;ProposalToGnatt[[#This Row],[Start Date]]+ProposalToGnatt[[#This Row],[Days]]),$G$5,"")),"")</f>
        <v/>
      </c>
      <c r="AU49" s="37" t="str">
        <f ca="1">IFERROR(+IF(AU$29=ProposalToGnatt[[#This Row],[Start Date]],Milestone_Marker,IF(AND(AU$29&gt;ProposalToGnatt[[#This Row],[Start Date]],AU$29&lt;ProposalToGnatt[[#This Row],[Start Date]]+ProposalToGnatt[[#This Row],[Days]]),$G$5,"")),"")</f>
        <v/>
      </c>
      <c r="AV49" s="37" t="str">
        <f ca="1">IFERROR(+IF(AV$29=ProposalToGnatt[[#This Row],[Start Date]],Milestone_Marker,IF(AND(AV$29&gt;ProposalToGnatt[[#This Row],[Start Date]],AV$29&lt;ProposalToGnatt[[#This Row],[Start Date]]+ProposalToGnatt[[#This Row],[Days]]),$G$5,"")),"")</f>
        <v/>
      </c>
      <c r="AW49" s="37" t="str">
        <f ca="1">IFERROR(+IF(AW$29=ProposalToGnatt[[#This Row],[Start Date]],Milestone_Marker,IF(AND(AW$29&gt;ProposalToGnatt[[#This Row],[Start Date]],AW$29&lt;ProposalToGnatt[[#This Row],[Start Date]]+ProposalToGnatt[[#This Row],[Days]]),$G$5,"")),"")</f>
        <v/>
      </c>
      <c r="AX49" s="37" t="str">
        <f ca="1">IFERROR(+IF(AX$29=ProposalToGnatt[[#This Row],[Start Date]],Milestone_Marker,IF(AND(AX$29&gt;ProposalToGnatt[[#This Row],[Start Date]],AX$29&lt;ProposalToGnatt[[#This Row],[Start Date]]+ProposalToGnatt[[#This Row],[Days]]),$G$5,"")),"")</f>
        <v/>
      </c>
      <c r="AY49" s="37" t="str">
        <f ca="1">IFERROR(+IF(AY$29=ProposalToGnatt[[#This Row],[Start Date]],Milestone_Marker,IF(AND(AY$29&gt;ProposalToGnatt[[#This Row],[Start Date]],AY$29&lt;ProposalToGnatt[[#This Row],[Start Date]]+ProposalToGnatt[[#This Row],[Days]]),$G$5,"")),"")</f>
        <v/>
      </c>
      <c r="AZ49" s="37" t="str">
        <f ca="1">IFERROR(+IF(AZ$29=ProposalToGnatt[[#This Row],[Start Date]],Milestone_Marker,IF(AND(AZ$29&gt;ProposalToGnatt[[#This Row],[Start Date]],AZ$29&lt;ProposalToGnatt[[#This Row],[Start Date]]+ProposalToGnatt[[#This Row],[Days]]),$G$5,"")),"")</f>
        <v/>
      </c>
      <c r="BA49" s="37" t="str">
        <f ca="1">IFERROR(+IF(BA$29=ProposalToGnatt[[#This Row],[Start Date]],Milestone_Marker,IF(AND(BA$29&gt;ProposalToGnatt[[#This Row],[Start Date]],BA$29&lt;ProposalToGnatt[[#This Row],[Start Date]]+ProposalToGnatt[[#This Row],[Days]]),$G$5,"")),"")</f>
        <v/>
      </c>
      <c r="BB49" s="37" t="str">
        <f ca="1">IFERROR(+IF(BB$29=ProposalToGnatt[[#This Row],[Start Date]],Milestone_Marker,IF(AND(BB$29&gt;ProposalToGnatt[[#This Row],[Start Date]],BB$29&lt;ProposalToGnatt[[#This Row],[Start Date]]+ProposalToGnatt[[#This Row],[Days]]),$G$5,"")),"")</f>
        <v/>
      </c>
      <c r="BC49" s="37" t="str">
        <f ca="1">IFERROR(+IF(BC$29=ProposalToGnatt[[#This Row],[Start Date]],Milestone_Marker,IF(AND(BC$29&gt;ProposalToGnatt[[#This Row],[Start Date]],BC$29&lt;ProposalToGnatt[[#This Row],[Start Date]]+ProposalToGnatt[[#This Row],[Days]]),$G$5,"")),"")</f>
        <v/>
      </c>
      <c r="BD49" s="37" t="str">
        <f ca="1">IFERROR(+IF(BD$29=ProposalToGnatt[[#This Row],[Start Date]],Milestone_Marker,IF(AND(BD$29&gt;ProposalToGnatt[[#This Row],[Start Date]],BD$29&lt;ProposalToGnatt[[#This Row],[Start Date]]+ProposalToGnatt[[#This Row],[Days]]),$G$5,"")),"")</f>
        <v/>
      </c>
      <c r="BE49" s="37" t="str">
        <f ca="1">IFERROR(+IF(BE$29=ProposalToGnatt[[#This Row],[Start Date]],Milestone_Marker,IF(AND(BE$29&gt;ProposalToGnatt[[#This Row],[Start Date]],BE$29&lt;ProposalToGnatt[[#This Row],[Start Date]]+ProposalToGnatt[[#This Row],[Days]]),$G$5,"")),"")</f>
        <v/>
      </c>
      <c r="BF49" s="37" t="str">
        <f ca="1">IFERROR(+IF(BF$29=ProposalToGnatt[[#This Row],[Start Date]],Milestone_Marker,IF(AND(BF$29&gt;ProposalToGnatt[[#This Row],[Start Date]],BF$29&lt;ProposalToGnatt[[#This Row],[Start Date]]+ProposalToGnatt[[#This Row],[Days]]),$G$5,"")),"")</f>
        <v/>
      </c>
      <c r="BG49" s="37" t="str">
        <f ca="1">IFERROR(+IF(BG$29=ProposalToGnatt[[#This Row],[Start Date]],Milestone_Marker,IF(AND(BG$29&gt;ProposalToGnatt[[#This Row],[Start Date]],BG$29&lt;ProposalToGnatt[[#This Row],[Start Date]]+ProposalToGnatt[[#This Row],[Days]]),$G$5,"")),"")</f>
        <v/>
      </c>
      <c r="BH49" s="37" t="str">
        <f ca="1">IFERROR(+IF(BH$29=ProposalToGnatt[[#This Row],[Start Date]],Milestone_Marker,IF(AND(BH$29&gt;ProposalToGnatt[[#This Row],[Start Date]],BH$29&lt;ProposalToGnatt[[#This Row],[Start Date]]+ProposalToGnatt[[#This Row],[Days]]),$G$5,"")),"")</f>
        <v/>
      </c>
      <c r="BI49" s="37" t="str">
        <f ca="1">IFERROR(+IF(BI$29=ProposalToGnatt[[#This Row],[Start Date]],Milestone_Marker,IF(AND(BI$29&gt;ProposalToGnatt[[#This Row],[Start Date]],BI$29&lt;ProposalToGnatt[[#This Row],[Start Date]]+ProposalToGnatt[[#This Row],[Days]]),$G$5,"")),"")</f>
        <v/>
      </c>
      <c r="BJ49" s="37" t="str">
        <f ca="1">IFERROR(+IF(BJ$29=ProposalToGnatt[[#This Row],[Start Date]],Milestone_Marker,IF(AND(BJ$29&gt;ProposalToGnatt[[#This Row],[Start Date]],BJ$29&lt;ProposalToGnatt[[#This Row],[Start Date]]+ProposalToGnatt[[#This Row],[Days]]),$G$5,"")),"")</f>
        <v/>
      </c>
      <c r="BK49" s="37" t="str">
        <f ca="1">IFERROR(+IF(BK$29=ProposalToGnatt[[#This Row],[Start Date]],Milestone_Marker,IF(AND(BK$29&gt;ProposalToGnatt[[#This Row],[Start Date]],BK$29&lt;ProposalToGnatt[[#This Row],[Start Date]]+ProposalToGnatt[[#This Row],[Days]]),$G$5,"")),"")</f>
        <v/>
      </c>
      <c r="BL49" s="37" t="str">
        <f ca="1">IFERROR(+IF(BL$29=ProposalToGnatt[[#This Row],[Start Date]],Milestone_Marker,IF(AND(BL$29&gt;ProposalToGnatt[[#This Row],[Start Date]],BL$29&lt;ProposalToGnatt[[#This Row],[Start Date]]+ProposalToGnatt[[#This Row],[Days]]),$G$5,"")),"")</f>
        <v/>
      </c>
      <c r="BM49" s="37" t="str">
        <f ca="1">IFERROR(+IF(BM$29=ProposalToGnatt[[#This Row],[Start Date]],Milestone_Marker,IF(AND(BM$29&gt;ProposalToGnatt[[#This Row],[Start Date]],BM$29&lt;ProposalToGnatt[[#This Row],[Start Date]]+ProposalToGnatt[[#This Row],[Days]]),$G$5,"")),"")</f>
        <v/>
      </c>
      <c r="BN49" s="37" t="str">
        <f ca="1">IFERROR(+IF(BN$29=ProposalToGnatt[[#This Row],[Start Date]],Milestone_Marker,IF(AND(BN$29&gt;ProposalToGnatt[[#This Row],[Start Date]],BN$29&lt;ProposalToGnatt[[#This Row],[Start Date]]+ProposalToGnatt[[#This Row],[Days]]),$G$5,"")),"")</f>
        <v/>
      </c>
      <c r="BO49" s="37" t="str">
        <f ca="1">IFERROR(+IF(BO$29=ProposalToGnatt[[#This Row],[Start Date]],Milestone_Marker,IF(AND(BO$29&gt;ProposalToGnatt[[#This Row],[Start Date]],BO$29&lt;ProposalToGnatt[[#This Row],[Start Date]]+ProposalToGnatt[[#This Row],[Days]]),$G$5,"")),"")</f>
        <v/>
      </c>
      <c r="BP49" s="37" t="str">
        <f ca="1">IFERROR(+IF(BP$29=ProposalToGnatt[[#This Row],[Start Date]],Milestone_Marker,IF(AND(BP$29&gt;ProposalToGnatt[[#This Row],[Start Date]],BP$29&lt;ProposalToGnatt[[#This Row],[Start Date]]+ProposalToGnatt[[#This Row],[Days]]),$G$5,"")),"")</f>
        <v/>
      </c>
      <c r="BQ49" s="37" t="str">
        <f ca="1">IFERROR(+IF(BQ$29=ProposalToGnatt[[#This Row],[Start Date]],Milestone_Marker,IF(AND(BQ$29&gt;ProposalToGnatt[[#This Row],[Start Date]],BQ$29&lt;ProposalToGnatt[[#This Row],[Start Date]]+ProposalToGnatt[[#This Row],[Days]]),$G$5,"")),"")</f>
        <v/>
      </c>
      <c r="BR49" s="37" t="str">
        <f ca="1">IFERROR(+IF(BR$29=ProposalToGnatt[[#This Row],[Start Date]],Milestone_Marker,IF(AND(BR$29&gt;ProposalToGnatt[[#This Row],[Start Date]],BR$29&lt;ProposalToGnatt[[#This Row],[Start Date]]+ProposalToGnatt[[#This Row],[Days]]),$G$5,"")),"")</f>
        <v/>
      </c>
      <c r="BS49" s="37" t="str">
        <f ca="1">IFERROR(+IF(BS$29=ProposalToGnatt[[#This Row],[Start Date]],Milestone_Marker,IF(AND(BS$29&gt;ProposalToGnatt[[#This Row],[Start Date]],BS$29&lt;ProposalToGnatt[[#This Row],[Start Date]]+ProposalToGnatt[[#This Row],[Days]]),$G$5,"")),"")</f>
        <v/>
      </c>
      <c r="BT49" s="37" t="str">
        <f ca="1">IFERROR(+IF(BT$29=ProposalToGnatt[[#This Row],[Start Date]],Milestone_Marker,IF(AND(BT$29&gt;ProposalToGnatt[[#This Row],[Start Date]],BT$29&lt;ProposalToGnatt[[#This Row],[Start Date]]+ProposalToGnatt[[#This Row],[Days]]),$G$5,"")),"")</f>
        <v/>
      </c>
      <c r="BU49" s="37" t="str">
        <f ca="1">IFERROR(+IF(BU$29=ProposalToGnatt[[#This Row],[Start Date]],Milestone_Marker,IF(AND(BU$29&gt;ProposalToGnatt[[#This Row],[Start Date]],BU$29&lt;ProposalToGnatt[[#This Row],[Start Date]]+ProposalToGnatt[[#This Row],[Days]]),$G$5,"")),"")</f>
        <v/>
      </c>
      <c r="BV49" s="37" t="str">
        <f ca="1">IFERROR(+IF(BV$29=ProposalToGnatt[[#This Row],[Start Date]],Milestone_Marker,IF(AND(BV$29&gt;ProposalToGnatt[[#This Row],[Start Date]],BV$29&lt;ProposalToGnatt[[#This Row],[Start Date]]+ProposalToGnatt[[#This Row],[Days]]),$G$5,"")),"")</f>
        <v/>
      </c>
      <c r="BW49" s="37" t="str">
        <f ca="1">IFERROR(+IF(BW$29=ProposalToGnatt[[#This Row],[Start Date]],Milestone_Marker,IF(AND(BW$29&gt;ProposalToGnatt[[#This Row],[Start Date]],BW$29&lt;ProposalToGnatt[[#This Row],[Start Date]]+ProposalToGnatt[[#This Row],[Days]]),$G$5,"")),"")</f>
        <v/>
      </c>
      <c r="BX49" s="37" t="str">
        <f ca="1">IFERROR(+IF(BX$29=ProposalToGnatt[[#This Row],[Start Date]],Milestone_Marker,IF(AND(BX$29&gt;ProposalToGnatt[[#This Row],[Start Date]],BX$29&lt;ProposalToGnatt[[#This Row],[Start Date]]+ProposalToGnatt[[#This Row],[Days]]),$G$5,"")),"")</f>
        <v/>
      </c>
      <c r="BY49" s="37" t="str">
        <f ca="1">IFERROR(+IF(BY$29=ProposalToGnatt[[#This Row],[Start Date]],Milestone_Marker,IF(AND(BY$29&gt;ProposalToGnatt[[#This Row],[Start Date]],BY$29&lt;ProposalToGnatt[[#This Row],[Start Date]]+ProposalToGnatt[[#This Row],[Days]]),$G$5,"")),"")</f>
        <v/>
      </c>
      <c r="BZ49" s="37" t="str">
        <f ca="1">IFERROR(+IF(BZ$29=ProposalToGnatt[[#This Row],[Start Date]],Milestone_Marker,IF(AND(BZ$29&gt;ProposalToGnatt[[#This Row],[Start Date]],BZ$29&lt;ProposalToGnatt[[#This Row],[Start Date]]+ProposalToGnatt[[#This Row],[Days]]),$G$5,"")),"")</f>
        <v/>
      </c>
      <c r="CA49" s="37" t="str">
        <f ca="1">IFERROR(+IF(CA$29=ProposalToGnatt[[#This Row],[Start Date]],Milestone_Marker,IF(AND(CA$29&gt;ProposalToGnatt[[#This Row],[Start Date]],CA$29&lt;ProposalToGnatt[[#This Row],[Start Date]]+ProposalToGnatt[[#This Row],[Days]]),$G$5,"")),"")</f>
        <v/>
      </c>
      <c r="CB49" s="37" t="str">
        <f ca="1">IFERROR(+IF(CB$29=ProposalToGnatt[[#This Row],[Start Date]],Milestone_Marker,IF(AND(CB$29&gt;ProposalToGnatt[[#This Row],[Start Date]],CB$29&lt;ProposalToGnatt[[#This Row],[Start Date]]+ProposalToGnatt[[#This Row],[Days]]),$G$5,"")),"")</f>
        <v/>
      </c>
      <c r="CC49" s="37" t="str">
        <f ca="1">IFERROR(+IF(CC$29=ProposalToGnatt[[#This Row],[Start Date]],Milestone_Marker,IF(AND(CC$29&gt;ProposalToGnatt[[#This Row],[Start Date]],CC$29&lt;ProposalToGnatt[[#This Row],[Start Date]]+ProposalToGnatt[[#This Row],[Days]]),$G$5,"")),"")</f>
        <v/>
      </c>
      <c r="CD49" s="37" t="str">
        <f ca="1">IFERROR(+IF(CD$29=ProposalToGnatt[[#This Row],[Start Date]],Milestone_Marker,IF(AND(CD$29&gt;ProposalToGnatt[[#This Row],[Start Date]],CD$29&lt;ProposalToGnatt[[#This Row],[Start Date]]+ProposalToGnatt[[#This Row],[Days]]),$G$5,"")),"")</f>
        <v/>
      </c>
      <c r="CE49" s="37" t="str">
        <f ca="1">IFERROR(+IF(CE$29=ProposalToGnatt[[#This Row],[Start Date]],Milestone_Marker,IF(AND(CE$29&gt;ProposalToGnatt[[#This Row],[Start Date]],CE$29&lt;ProposalToGnatt[[#This Row],[Start Date]]+ProposalToGnatt[[#This Row],[Days]]),$G$5,"")),"")</f>
        <v/>
      </c>
      <c r="CF49" s="37" t="str">
        <f ca="1">IFERROR(+IF(CF$29=ProposalToGnatt[[#This Row],[Start Date]],Milestone_Marker,IF(AND(CF$29&gt;ProposalToGnatt[[#This Row],[Start Date]],CF$29&lt;ProposalToGnatt[[#This Row],[Start Date]]+ProposalToGnatt[[#This Row],[Days]]),$G$5,"")),"")</f>
        <v/>
      </c>
      <c r="CG49" s="37" t="str">
        <f ca="1">IFERROR(+IF(CG$29=ProposalToGnatt[[#This Row],[Start Date]],Milestone_Marker,IF(AND(CG$29&gt;ProposalToGnatt[[#This Row],[Start Date]],CG$29&lt;ProposalToGnatt[[#This Row],[Start Date]]+ProposalToGnatt[[#This Row],[Days]]),$G$5,"")),"")</f>
        <v/>
      </c>
      <c r="CH49" s="37" t="str">
        <f ca="1">IFERROR(+IF(CH$29=ProposalToGnatt[[#This Row],[Start Date]],Milestone_Marker,IF(AND(CH$29&gt;ProposalToGnatt[[#This Row],[Start Date]],CH$29&lt;ProposalToGnatt[[#This Row],[Start Date]]+ProposalToGnatt[[#This Row],[Days]]),$G$5,"")),"")</f>
        <v/>
      </c>
      <c r="CI49" s="37" t="str">
        <f ca="1">IFERROR(+IF(CI$29=ProposalToGnatt[[#This Row],[Start Date]],Milestone_Marker,IF(AND(CI$29&gt;ProposalToGnatt[[#This Row],[Start Date]],CI$29&lt;ProposalToGnatt[[#This Row],[Start Date]]+ProposalToGnatt[[#This Row],[Days]]),$G$5,"")),"")</f>
        <v/>
      </c>
      <c r="CJ49" s="37" t="str">
        <f ca="1">IFERROR(+IF(CJ$29=ProposalToGnatt[[#This Row],[Start Date]],Milestone_Marker,IF(AND(CJ$29&gt;ProposalToGnatt[[#This Row],[Start Date]],CJ$29&lt;ProposalToGnatt[[#This Row],[Start Date]]+ProposalToGnatt[[#This Row],[Days]]),$G$5,"")),"")</f>
        <v/>
      </c>
      <c r="CK49" s="37" t="str">
        <f ca="1">IFERROR(+IF(CK$29=ProposalToGnatt[[#This Row],[Start Date]],Milestone_Marker,IF(AND(CK$29&gt;ProposalToGnatt[[#This Row],[Start Date]],CK$29&lt;ProposalToGnatt[[#This Row],[Start Date]]+ProposalToGnatt[[#This Row],[Days]]),$G$5,"")),"")</f>
        <v/>
      </c>
      <c r="CL49" s="37" t="str">
        <f ca="1">IFERROR(+IF(CL$29=ProposalToGnatt[[#This Row],[Start Date]],Milestone_Marker,IF(AND(CL$29&gt;ProposalToGnatt[[#This Row],[Start Date]],CL$29&lt;ProposalToGnatt[[#This Row],[Start Date]]+ProposalToGnatt[[#This Row],[Days]]),$G$5,"")),"")</f>
        <v/>
      </c>
      <c r="CM49" s="37" t="str">
        <f ca="1">IFERROR(+IF(CM$29=ProposalToGnatt[[#This Row],[Start Date]],Milestone_Marker,IF(AND(CM$29&gt;ProposalToGnatt[[#This Row],[Start Date]],CM$29&lt;ProposalToGnatt[[#This Row],[Start Date]]+ProposalToGnatt[[#This Row],[Days]]),$G$5,"")),"")</f>
        <v/>
      </c>
      <c r="CN49" s="37" t="str">
        <f ca="1">IFERROR(+IF(CN$29=ProposalToGnatt[[#This Row],[Start Date]],Milestone_Marker,IF(AND(CN$29&gt;ProposalToGnatt[[#This Row],[Start Date]],CN$29&lt;ProposalToGnatt[[#This Row],[Start Date]]+ProposalToGnatt[[#This Row],[Days]]),$G$5,"")),"")</f>
        <v/>
      </c>
      <c r="CO49" s="37" t="str">
        <f ca="1">IFERROR(+IF(CO$29=ProposalToGnatt[[#This Row],[Start Date]],Milestone_Marker,IF(AND(CO$29&gt;ProposalToGnatt[[#This Row],[Start Date]],CO$29&lt;ProposalToGnatt[[#This Row],[Start Date]]+ProposalToGnatt[[#This Row],[Days]]),$G$5,"")),"")</f>
        <v/>
      </c>
      <c r="CP49" s="37" t="str">
        <f ca="1">IFERROR(+IF(CP$29=ProposalToGnatt[[#This Row],[Start Date]],Milestone_Marker,IF(AND(CP$29&gt;ProposalToGnatt[[#This Row],[Start Date]],CP$29&lt;ProposalToGnatt[[#This Row],[Start Date]]+ProposalToGnatt[[#This Row],[Days]]),$G$5,"")),"")</f>
        <v/>
      </c>
      <c r="CQ49" s="37" t="str">
        <f ca="1">IFERROR(+IF(CQ$29=ProposalToGnatt[[#This Row],[Start Date]],Milestone_Marker,IF(AND(CQ$29&gt;ProposalToGnatt[[#This Row],[Start Date]],CQ$29&lt;ProposalToGnatt[[#This Row],[Start Date]]+ProposalToGnatt[[#This Row],[Days]]),$G$5,"")),"")</f>
        <v/>
      </c>
      <c r="CR49" s="37" t="str">
        <f ca="1">IFERROR(+IF(CR$29=ProposalToGnatt[[#This Row],[Start Date]],Milestone_Marker,IF(AND(CR$29&gt;ProposalToGnatt[[#This Row],[Start Date]],CR$29&lt;ProposalToGnatt[[#This Row],[Start Date]]+ProposalToGnatt[[#This Row],[Days]]),$G$5,"")),"")</f>
        <v/>
      </c>
      <c r="CS49" s="37" t="str">
        <f ca="1">IFERROR(+IF(CS$29=ProposalToGnatt[[#This Row],[Start Date]],Milestone_Marker,IF(AND(CS$29&gt;ProposalToGnatt[[#This Row],[Start Date]],CS$29&lt;ProposalToGnatt[[#This Row],[Start Date]]+ProposalToGnatt[[#This Row],[Days]]),$G$5,"")),"")</f>
        <v/>
      </c>
      <c r="CT49" s="37" t="str">
        <f ca="1">IFERROR(+IF(CT$29=ProposalToGnatt[[#This Row],[Start Date]],Milestone_Marker,IF(AND(CT$29&gt;ProposalToGnatt[[#This Row],[Start Date]],CT$29&lt;ProposalToGnatt[[#This Row],[Start Date]]+ProposalToGnatt[[#This Row],[Days]]),$G$5,"")),"")</f>
        <v/>
      </c>
      <c r="CU49" s="37" t="str">
        <f ca="1">IFERROR(+IF(CU$29=ProposalToGnatt[[#This Row],[Start Date]],Milestone_Marker,IF(AND(CU$29&gt;ProposalToGnatt[[#This Row],[Start Date]],CU$29&lt;ProposalToGnatt[[#This Row],[Start Date]]+ProposalToGnatt[[#This Row],[Days]]),$G$5,"")),"")</f>
        <v/>
      </c>
      <c r="CV49" s="37"/>
      <c r="CW49" s="37"/>
      <c r="CX49" s="37"/>
      <c r="CY49" s="37"/>
      <c r="CZ49" s="37"/>
      <c r="DA49" s="37"/>
      <c r="DB49" s="37"/>
      <c r="DC49" s="37"/>
      <c r="DD49" s="37"/>
      <c r="DE49" s="37"/>
      <c r="DF49" s="37"/>
      <c r="DG49" s="37"/>
      <c r="DH49" s="37"/>
      <c r="DI49" s="37"/>
      <c r="DJ49" s="37"/>
      <c r="DK49" s="37"/>
      <c r="DL49" s="37"/>
      <c r="DM49" s="37"/>
      <c r="DN49" s="37"/>
      <c r="DO49" s="37"/>
      <c r="DP49" s="37"/>
      <c r="DQ49" s="37"/>
      <c r="DR49" s="37"/>
      <c r="DS49" s="37"/>
      <c r="DT49" s="37"/>
      <c r="DU49" s="37"/>
    </row>
    <row r="50" spans="1:125" s="42" customFormat="1" ht="15" x14ac:dyDescent="0.25">
      <c r="A50" t="s">
        <v>428</v>
      </c>
      <c r="B50">
        <v>29</v>
      </c>
      <c r="C50" t="s">
        <v>339</v>
      </c>
      <c r="D50" t="s">
        <v>340</v>
      </c>
      <c r="E50" t="s">
        <v>347</v>
      </c>
      <c r="F50">
        <v>1</v>
      </c>
      <c r="G50" s="14"/>
      <c r="H50" s="14"/>
      <c r="I50"/>
      <c r="J50">
        <v>1</v>
      </c>
      <c r="K50" s="303">
        <v>45229</v>
      </c>
      <c r="L50"/>
      <c r="M50" s="14"/>
      <c r="N50" s="352"/>
      <c r="O50" s="340"/>
      <c r="P50" s="37" t="str">
        <f ca="1">IFERROR(+IF(P$29=ProposalToGnatt[[#This Row],[Start Date]],Milestone_Marker,IF(AND(P$29&gt;ProposalToGnatt[[#This Row],[Start Date]],P$29&lt;ProposalToGnatt[[#This Row],[Start Date]]+ProposalToGnatt[[#This Row],[Days]]),$G$5,"")),"")</f>
        <v/>
      </c>
      <c r="Q50" s="37" t="str">
        <f ca="1">IFERROR(+IF(Q$29=ProposalToGnatt[[#This Row],[Start Date]],Milestone_Marker,IF(AND(Q$29&gt;ProposalToGnatt[[#This Row],[Start Date]],Q$29&lt;ProposalToGnatt[[#This Row],[Start Date]]+ProposalToGnatt[[#This Row],[Days]]),$G$5,"")),"")</f>
        <v/>
      </c>
      <c r="R50" s="37" t="str">
        <f ca="1">IFERROR(+IF(R$29=ProposalToGnatt[[#This Row],[Start Date]],Milestone_Marker,IF(AND(R$29&gt;ProposalToGnatt[[#This Row],[Start Date]],R$29&lt;ProposalToGnatt[[#This Row],[Start Date]]+ProposalToGnatt[[#This Row],[Days]]),$G$5,"")),"")</f>
        <v/>
      </c>
      <c r="S50" s="37" t="str">
        <f ca="1">IFERROR(+IF(S$29=ProposalToGnatt[[#This Row],[Start Date]],Milestone_Marker,IF(AND(S$29&gt;ProposalToGnatt[[#This Row],[Start Date]],S$29&lt;ProposalToGnatt[[#This Row],[Start Date]]+ProposalToGnatt[[#This Row],[Days]]),$G$5,"")),"")</f>
        <v/>
      </c>
      <c r="T50" s="37" t="str">
        <f ca="1">IFERROR(+IF(T$29=ProposalToGnatt[[#This Row],[Start Date]],Milestone_Marker,IF(AND(T$29&gt;ProposalToGnatt[[#This Row],[Start Date]],T$29&lt;ProposalToGnatt[[#This Row],[Start Date]]+ProposalToGnatt[[#This Row],[Days]]),$G$5,"")),"")</f>
        <v/>
      </c>
      <c r="U50" s="37" t="str">
        <f ca="1">IFERROR(+IF(U$29=ProposalToGnatt[[#This Row],[Start Date]],Milestone_Marker,IF(AND(U$29&gt;ProposalToGnatt[[#This Row],[Start Date]],U$29&lt;ProposalToGnatt[[#This Row],[Start Date]]+ProposalToGnatt[[#This Row],[Days]]),$G$5,"")),"")</f>
        <v/>
      </c>
      <c r="V50" s="37" t="str">
        <f ca="1">IFERROR(+IF(V$29=ProposalToGnatt[[#This Row],[Start Date]],Milestone_Marker,IF(AND(V$29&gt;ProposalToGnatt[[#This Row],[Start Date]],V$29&lt;ProposalToGnatt[[#This Row],[Start Date]]+ProposalToGnatt[[#This Row],[Days]]),$G$5,"")),"")</f>
        <v/>
      </c>
      <c r="W50" s="37" t="str">
        <f ca="1">IFERROR(+IF(W$29=ProposalToGnatt[[#This Row],[Start Date]],Milestone_Marker,IF(AND(W$29&gt;ProposalToGnatt[[#This Row],[Start Date]],W$29&lt;ProposalToGnatt[[#This Row],[Start Date]]+ProposalToGnatt[[#This Row],[Days]]),$G$5,"")),"")</f>
        <v/>
      </c>
      <c r="X50" s="37" t="str">
        <f ca="1">IFERROR(+IF(X$29=ProposalToGnatt[[#This Row],[Start Date]],Milestone_Marker,IF(AND(X$29&gt;ProposalToGnatt[[#This Row],[Start Date]],X$29&lt;ProposalToGnatt[[#This Row],[Start Date]]+ProposalToGnatt[[#This Row],[Days]]),$G$5,"")),"")</f>
        <v/>
      </c>
      <c r="Y50" s="37" t="str">
        <f ca="1">IFERROR(+IF(Y$29=ProposalToGnatt[[#This Row],[Start Date]],Milestone_Marker,IF(AND(Y$29&gt;ProposalToGnatt[[#This Row],[Start Date]],Y$29&lt;ProposalToGnatt[[#This Row],[Start Date]]+ProposalToGnatt[[#This Row],[Days]]),$G$5,"")),"")</f>
        <v/>
      </c>
      <c r="Z50" s="37" t="str">
        <f ca="1">IFERROR(+IF(Z$29=ProposalToGnatt[[#This Row],[Start Date]],Milestone_Marker,IF(AND(Z$29&gt;ProposalToGnatt[[#This Row],[Start Date]],Z$29&lt;ProposalToGnatt[[#This Row],[Start Date]]+ProposalToGnatt[[#This Row],[Days]]),$G$5,"")),"")</f>
        <v/>
      </c>
      <c r="AA50" s="37" t="str">
        <f ca="1">IFERROR(+IF(AA$29=ProposalToGnatt[[#This Row],[Start Date]],Milestone_Marker,IF(AND(AA$29&gt;ProposalToGnatt[[#This Row],[Start Date]],AA$29&lt;ProposalToGnatt[[#This Row],[Start Date]]+ProposalToGnatt[[#This Row],[Days]]),$G$5,"")),"")</f>
        <v/>
      </c>
      <c r="AB50" s="37" t="str">
        <f ca="1">IFERROR(+IF(AB$29=ProposalToGnatt[[#This Row],[Start Date]],Milestone_Marker,IF(AND(AB$29&gt;ProposalToGnatt[[#This Row],[Start Date]],AB$29&lt;ProposalToGnatt[[#This Row],[Start Date]]+ProposalToGnatt[[#This Row],[Days]]),$G$5,"")),"")</f>
        <v/>
      </c>
      <c r="AC50" s="37" t="str">
        <f ca="1">IFERROR(+IF(AC$29=ProposalToGnatt[[#This Row],[Start Date]],Milestone_Marker,IF(AND(AC$29&gt;ProposalToGnatt[[#This Row],[Start Date]],AC$29&lt;ProposalToGnatt[[#This Row],[Start Date]]+ProposalToGnatt[[#This Row],[Days]]),$G$5,"")),"")</f>
        <v/>
      </c>
      <c r="AD50" s="37" t="str">
        <f ca="1">IFERROR(+IF(AD$29=ProposalToGnatt[[#This Row],[Start Date]],Milestone_Marker,IF(AND(AD$29&gt;ProposalToGnatt[[#This Row],[Start Date]],AD$29&lt;ProposalToGnatt[[#This Row],[Start Date]]+ProposalToGnatt[[#This Row],[Days]]),$G$5,"")),"")</f>
        <v/>
      </c>
      <c r="AE50" s="37" t="str">
        <f ca="1">IFERROR(+IF(AE$29=ProposalToGnatt[[#This Row],[Start Date]],Milestone_Marker,IF(AND(AE$29&gt;ProposalToGnatt[[#This Row],[Start Date]],AE$29&lt;ProposalToGnatt[[#This Row],[Start Date]]+ProposalToGnatt[[#This Row],[Days]]),$G$5,"")),"")</f>
        <v/>
      </c>
      <c r="AF50" s="37" t="str">
        <f ca="1">IFERROR(+IF(AF$29=ProposalToGnatt[[#This Row],[Start Date]],Milestone_Marker,IF(AND(AF$29&gt;ProposalToGnatt[[#This Row],[Start Date]],AF$29&lt;ProposalToGnatt[[#This Row],[Start Date]]+ProposalToGnatt[[#This Row],[Days]]),$G$5,"")),"")</f>
        <v/>
      </c>
      <c r="AG50" s="37">
        <f ca="1">IFERROR(+IF(AG$29=ProposalToGnatt[[#This Row],[Start Date]],Milestone_Marker,IF(AND(AG$29&gt;ProposalToGnatt[[#This Row],[Start Date]],AG$29&lt;ProposalToGnatt[[#This Row],[Start Date]]+ProposalToGnatt[[#This Row],[Days]]),$G$5,"")),"")</f>
        <v>1</v>
      </c>
      <c r="AH50" s="37" t="str">
        <f ca="1">IFERROR(+IF(AH$29=ProposalToGnatt[[#This Row],[Start Date]],Milestone_Marker,IF(AND(AH$29&gt;ProposalToGnatt[[#This Row],[Start Date]],AH$29&lt;ProposalToGnatt[[#This Row],[Start Date]]+ProposalToGnatt[[#This Row],[Days]]),$G$5,"")),"")</f>
        <v/>
      </c>
      <c r="AI50" s="37" t="str">
        <f ca="1">IFERROR(+IF(AI$29=ProposalToGnatt[[#This Row],[Start Date]],Milestone_Marker,IF(AND(AI$29&gt;ProposalToGnatt[[#This Row],[Start Date]],AI$29&lt;ProposalToGnatt[[#This Row],[Start Date]]+ProposalToGnatt[[#This Row],[Days]]),$G$5,"")),"")</f>
        <v/>
      </c>
      <c r="AJ50" s="37" t="str">
        <f ca="1">IFERROR(+IF(AJ$29=ProposalToGnatt[[#This Row],[Start Date]],Milestone_Marker,IF(AND(AJ$29&gt;ProposalToGnatt[[#This Row],[Start Date]],AJ$29&lt;ProposalToGnatt[[#This Row],[Start Date]]+ProposalToGnatt[[#This Row],[Days]]),$G$5,"")),"")</f>
        <v/>
      </c>
      <c r="AK50" s="37" t="str">
        <f ca="1">IFERROR(+IF(AK$29=ProposalToGnatt[[#This Row],[Start Date]],Milestone_Marker,IF(AND(AK$29&gt;ProposalToGnatt[[#This Row],[Start Date]],AK$29&lt;ProposalToGnatt[[#This Row],[Start Date]]+ProposalToGnatt[[#This Row],[Days]]),$G$5,"")),"")</f>
        <v/>
      </c>
      <c r="AL50" s="37" t="str">
        <f ca="1">IFERROR(+IF(AL$29=ProposalToGnatt[[#This Row],[Start Date]],Milestone_Marker,IF(AND(AL$29&gt;ProposalToGnatt[[#This Row],[Start Date]],AL$29&lt;ProposalToGnatt[[#This Row],[Start Date]]+ProposalToGnatt[[#This Row],[Days]]),$G$5,"")),"")</f>
        <v/>
      </c>
      <c r="AM50" s="37" t="str">
        <f ca="1">IFERROR(+IF(AM$29=ProposalToGnatt[[#This Row],[Start Date]],Milestone_Marker,IF(AND(AM$29&gt;ProposalToGnatt[[#This Row],[Start Date]],AM$29&lt;ProposalToGnatt[[#This Row],[Start Date]]+ProposalToGnatt[[#This Row],[Days]]),$G$5,"")),"")</f>
        <v/>
      </c>
      <c r="AN50" s="37" t="str">
        <f ca="1">IFERROR(+IF(AN$29=ProposalToGnatt[[#This Row],[Start Date]],Milestone_Marker,IF(AND(AN$29&gt;ProposalToGnatt[[#This Row],[Start Date]],AN$29&lt;ProposalToGnatt[[#This Row],[Start Date]]+ProposalToGnatt[[#This Row],[Days]]),$G$5,"")),"")</f>
        <v/>
      </c>
      <c r="AO50" s="37" t="str">
        <f ca="1">IFERROR(+IF(AO$29=ProposalToGnatt[[#This Row],[Start Date]],Milestone_Marker,IF(AND(AO$29&gt;ProposalToGnatt[[#This Row],[Start Date]],AO$29&lt;ProposalToGnatt[[#This Row],[Start Date]]+ProposalToGnatt[[#This Row],[Days]]),$G$5,"")),"")</f>
        <v/>
      </c>
      <c r="AP50" s="37" t="str">
        <f ca="1">IFERROR(+IF(AP$29=ProposalToGnatt[[#This Row],[Start Date]],Milestone_Marker,IF(AND(AP$29&gt;ProposalToGnatt[[#This Row],[Start Date]],AP$29&lt;ProposalToGnatt[[#This Row],[Start Date]]+ProposalToGnatt[[#This Row],[Days]]),$G$5,"")),"")</f>
        <v/>
      </c>
      <c r="AQ50" s="37" t="str">
        <f ca="1">IFERROR(+IF(AQ$29=ProposalToGnatt[[#This Row],[Start Date]],Milestone_Marker,IF(AND(AQ$29&gt;ProposalToGnatt[[#This Row],[Start Date]],AQ$29&lt;ProposalToGnatt[[#This Row],[Start Date]]+ProposalToGnatt[[#This Row],[Days]]),$G$5,"")),"")</f>
        <v/>
      </c>
      <c r="AR50" s="37" t="str">
        <f ca="1">IFERROR(+IF(AR$29=ProposalToGnatt[[#This Row],[Start Date]],Milestone_Marker,IF(AND(AR$29&gt;ProposalToGnatt[[#This Row],[Start Date]],AR$29&lt;ProposalToGnatt[[#This Row],[Start Date]]+ProposalToGnatt[[#This Row],[Days]]),$G$5,"")),"")</f>
        <v/>
      </c>
      <c r="AS50" s="37" t="str">
        <f ca="1">IFERROR(+IF(AS$29=ProposalToGnatt[[#This Row],[Start Date]],Milestone_Marker,IF(AND(AS$29&gt;ProposalToGnatt[[#This Row],[Start Date]],AS$29&lt;ProposalToGnatt[[#This Row],[Start Date]]+ProposalToGnatt[[#This Row],[Days]]),$G$5,"")),"")</f>
        <v/>
      </c>
      <c r="AT50" s="37" t="str">
        <f ca="1">IFERROR(+IF(AT$29=ProposalToGnatt[[#This Row],[Start Date]],Milestone_Marker,IF(AND(AT$29&gt;ProposalToGnatt[[#This Row],[Start Date]],AT$29&lt;ProposalToGnatt[[#This Row],[Start Date]]+ProposalToGnatt[[#This Row],[Days]]),$G$5,"")),"")</f>
        <v/>
      </c>
      <c r="AU50" s="37" t="str">
        <f ca="1">IFERROR(+IF(AU$29=ProposalToGnatt[[#This Row],[Start Date]],Milestone_Marker,IF(AND(AU$29&gt;ProposalToGnatt[[#This Row],[Start Date]],AU$29&lt;ProposalToGnatt[[#This Row],[Start Date]]+ProposalToGnatt[[#This Row],[Days]]),$G$5,"")),"")</f>
        <v/>
      </c>
      <c r="AV50" s="37" t="str">
        <f ca="1">IFERROR(+IF(AV$29=ProposalToGnatt[[#This Row],[Start Date]],Milestone_Marker,IF(AND(AV$29&gt;ProposalToGnatt[[#This Row],[Start Date]],AV$29&lt;ProposalToGnatt[[#This Row],[Start Date]]+ProposalToGnatt[[#This Row],[Days]]),$G$5,"")),"")</f>
        <v/>
      </c>
      <c r="AW50" s="37" t="str">
        <f ca="1">IFERROR(+IF(AW$29=ProposalToGnatt[[#This Row],[Start Date]],Milestone_Marker,IF(AND(AW$29&gt;ProposalToGnatt[[#This Row],[Start Date]],AW$29&lt;ProposalToGnatt[[#This Row],[Start Date]]+ProposalToGnatt[[#This Row],[Days]]),$G$5,"")),"")</f>
        <v/>
      </c>
      <c r="AX50" s="37" t="str">
        <f ca="1">IFERROR(+IF(AX$29=ProposalToGnatt[[#This Row],[Start Date]],Milestone_Marker,IF(AND(AX$29&gt;ProposalToGnatt[[#This Row],[Start Date]],AX$29&lt;ProposalToGnatt[[#This Row],[Start Date]]+ProposalToGnatt[[#This Row],[Days]]),$G$5,"")),"")</f>
        <v/>
      </c>
      <c r="AY50" s="37" t="str">
        <f ca="1">IFERROR(+IF(AY$29=ProposalToGnatt[[#This Row],[Start Date]],Milestone_Marker,IF(AND(AY$29&gt;ProposalToGnatt[[#This Row],[Start Date]],AY$29&lt;ProposalToGnatt[[#This Row],[Start Date]]+ProposalToGnatt[[#This Row],[Days]]),$G$5,"")),"")</f>
        <v/>
      </c>
      <c r="AZ50" s="37" t="str">
        <f ca="1">IFERROR(+IF(AZ$29=ProposalToGnatt[[#This Row],[Start Date]],Milestone_Marker,IF(AND(AZ$29&gt;ProposalToGnatt[[#This Row],[Start Date]],AZ$29&lt;ProposalToGnatt[[#This Row],[Start Date]]+ProposalToGnatt[[#This Row],[Days]]),$G$5,"")),"")</f>
        <v/>
      </c>
      <c r="BA50" s="37" t="str">
        <f ca="1">IFERROR(+IF(BA$29=ProposalToGnatt[[#This Row],[Start Date]],Milestone_Marker,IF(AND(BA$29&gt;ProposalToGnatt[[#This Row],[Start Date]],BA$29&lt;ProposalToGnatt[[#This Row],[Start Date]]+ProposalToGnatt[[#This Row],[Days]]),$G$5,"")),"")</f>
        <v/>
      </c>
      <c r="BB50" s="37" t="str">
        <f ca="1">IFERROR(+IF(BB$29=ProposalToGnatt[[#This Row],[Start Date]],Milestone_Marker,IF(AND(BB$29&gt;ProposalToGnatt[[#This Row],[Start Date]],BB$29&lt;ProposalToGnatt[[#This Row],[Start Date]]+ProposalToGnatt[[#This Row],[Days]]),$G$5,"")),"")</f>
        <v/>
      </c>
      <c r="BC50" s="37" t="str">
        <f ca="1">IFERROR(+IF(BC$29=ProposalToGnatt[[#This Row],[Start Date]],Milestone_Marker,IF(AND(BC$29&gt;ProposalToGnatt[[#This Row],[Start Date]],BC$29&lt;ProposalToGnatt[[#This Row],[Start Date]]+ProposalToGnatt[[#This Row],[Days]]),$G$5,"")),"")</f>
        <v/>
      </c>
      <c r="BD50" s="37" t="str">
        <f ca="1">IFERROR(+IF(BD$29=ProposalToGnatt[[#This Row],[Start Date]],Milestone_Marker,IF(AND(BD$29&gt;ProposalToGnatt[[#This Row],[Start Date]],BD$29&lt;ProposalToGnatt[[#This Row],[Start Date]]+ProposalToGnatt[[#This Row],[Days]]),$G$5,"")),"")</f>
        <v/>
      </c>
      <c r="BE50" s="37" t="str">
        <f ca="1">IFERROR(+IF(BE$29=ProposalToGnatt[[#This Row],[Start Date]],Milestone_Marker,IF(AND(BE$29&gt;ProposalToGnatt[[#This Row],[Start Date]],BE$29&lt;ProposalToGnatt[[#This Row],[Start Date]]+ProposalToGnatt[[#This Row],[Days]]),$G$5,"")),"")</f>
        <v/>
      </c>
      <c r="BF50" s="37" t="str">
        <f ca="1">IFERROR(+IF(BF$29=ProposalToGnatt[[#This Row],[Start Date]],Milestone_Marker,IF(AND(BF$29&gt;ProposalToGnatt[[#This Row],[Start Date]],BF$29&lt;ProposalToGnatt[[#This Row],[Start Date]]+ProposalToGnatt[[#This Row],[Days]]),$G$5,"")),"")</f>
        <v/>
      </c>
      <c r="BG50" s="37" t="str">
        <f ca="1">IFERROR(+IF(BG$29=ProposalToGnatt[[#This Row],[Start Date]],Milestone_Marker,IF(AND(BG$29&gt;ProposalToGnatt[[#This Row],[Start Date]],BG$29&lt;ProposalToGnatt[[#This Row],[Start Date]]+ProposalToGnatt[[#This Row],[Days]]),$G$5,"")),"")</f>
        <v/>
      </c>
      <c r="BH50" s="37" t="str">
        <f ca="1">IFERROR(+IF(BH$29=ProposalToGnatt[[#This Row],[Start Date]],Milestone_Marker,IF(AND(BH$29&gt;ProposalToGnatt[[#This Row],[Start Date]],BH$29&lt;ProposalToGnatt[[#This Row],[Start Date]]+ProposalToGnatt[[#This Row],[Days]]),$G$5,"")),"")</f>
        <v/>
      </c>
      <c r="BI50" s="37" t="str">
        <f ca="1">IFERROR(+IF(BI$29=ProposalToGnatt[[#This Row],[Start Date]],Milestone_Marker,IF(AND(BI$29&gt;ProposalToGnatt[[#This Row],[Start Date]],BI$29&lt;ProposalToGnatt[[#This Row],[Start Date]]+ProposalToGnatt[[#This Row],[Days]]),$G$5,"")),"")</f>
        <v/>
      </c>
      <c r="BJ50" s="37" t="str">
        <f ca="1">IFERROR(+IF(BJ$29=ProposalToGnatt[[#This Row],[Start Date]],Milestone_Marker,IF(AND(BJ$29&gt;ProposalToGnatt[[#This Row],[Start Date]],BJ$29&lt;ProposalToGnatt[[#This Row],[Start Date]]+ProposalToGnatt[[#This Row],[Days]]),$G$5,"")),"")</f>
        <v/>
      </c>
      <c r="BK50" s="37" t="str">
        <f ca="1">IFERROR(+IF(BK$29=ProposalToGnatt[[#This Row],[Start Date]],Milestone_Marker,IF(AND(BK$29&gt;ProposalToGnatt[[#This Row],[Start Date]],BK$29&lt;ProposalToGnatt[[#This Row],[Start Date]]+ProposalToGnatt[[#This Row],[Days]]),$G$5,"")),"")</f>
        <v/>
      </c>
      <c r="BL50" s="37" t="str">
        <f ca="1">IFERROR(+IF(BL$29=ProposalToGnatt[[#This Row],[Start Date]],Milestone_Marker,IF(AND(BL$29&gt;ProposalToGnatt[[#This Row],[Start Date]],BL$29&lt;ProposalToGnatt[[#This Row],[Start Date]]+ProposalToGnatt[[#This Row],[Days]]),$G$5,"")),"")</f>
        <v/>
      </c>
      <c r="BM50" s="37" t="str">
        <f ca="1">IFERROR(+IF(BM$29=ProposalToGnatt[[#This Row],[Start Date]],Milestone_Marker,IF(AND(BM$29&gt;ProposalToGnatt[[#This Row],[Start Date]],BM$29&lt;ProposalToGnatt[[#This Row],[Start Date]]+ProposalToGnatt[[#This Row],[Days]]),$G$5,"")),"")</f>
        <v/>
      </c>
      <c r="BN50" s="37" t="str">
        <f ca="1">IFERROR(+IF(BN$29=ProposalToGnatt[[#This Row],[Start Date]],Milestone_Marker,IF(AND(BN$29&gt;ProposalToGnatt[[#This Row],[Start Date]],BN$29&lt;ProposalToGnatt[[#This Row],[Start Date]]+ProposalToGnatt[[#This Row],[Days]]),$G$5,"")),"")</f>
        <v/>
      </c>
      <c r="BO50" s="37" t="str">
        <f ca="1">IFERROR(+IF(BO$29=ProposalToGnatt[[#This Row],[Start Date]],Milestone_Marker,IF(AND(BO$29&gt;ProposalToGnatt[[#This Row],[Start Date]],BO$29&lt;ProposalToGnatt[[#This Row],[Start Date]]+ProposalToGnatt[[#This Row],[Days]]),$G$5,"")),"")</f>
        <v/>
      </c>
      <c r="BP50" s="37" t="str">
        <f ca="1">IFERROR(+IF(BP$29=ProposalToGnatt[[#This Row],[Start Date]],Milestone_Marker,IF(AND(BP$29&gt;ProposalToGnatt[[#This Row],[Start Date]],BP$29&lt;ProposalToGnatt[[#This Row],[Start Date]]+ProposalToGnatt[[#This Row],[Days]]),$G$5,"")),"")</f>
        <v/>
      </c>
      <c r="BQ50" s="37" t="str">
        <f ca="1">IFERROR(+IF(BQ$29=ProposalToGnatt[[#This Row],[Start Date]],Milestone_Marker,IF(AND(BQ$29&gt;ProposalToGnatt[[#This Row],[Start Date]],BQ$29&lt;ProposalToGnatt[[#This Row],[Start Date]]+ProposalToGnatt[[#This Row],[Days]]),$G$5,"")),"")</f>
        <v/>
      </c>
      <c r="BR50" s="37" t="str">
        <f ca="1">IFERROR(+IF(BR$29=ProposalToGnatt[[#This Row],[Start Date]],Milestone_Marker,IF(AND(BR$29&gt;ProposalToGnatt[[#This Row],[Start Date]],BR$29&lt;ProposalToGnatt[[#This Row],[Start Date]]+ProposalToGnatt[[#This Row],[Days]]),$G$5,"")),"")</f>
        <v/>
      </c>
      <c r="BS50" s="37" t="str">
        <f ca="1">IFERROR(+IF(BS$29=ProposalToGnatt[[#This Row],[Start Date]],Milestone_Marker,IF(AND(BS$29&gt;ProposalToGnatt[[#This Row],[Start Date]],BS$29&lt;ProposalToGnatt[[#This Row],[Start Date]]+ProposalToGnatt[[#This Row],[Days]]),$G$5,"")),"")</f>
        <v/>
      </c>
      <c r="BT50" s="37" t="str">
        <f ca="1">IFERROR(+IF(BT$29=ProposalToGnatt[[#This Row],[Start Date]],Milestone_Marker,IF(AND(BT$29&gt;ProposalToGnatt[[#This Row],[Start Date]],BT$29&lt;ProposalToGnatt[[#This Row],[Start Date]]+ProposalToGnatt[[#This Row],[Days]]),$G$5,"")),"")</f>
        <v/>
      </c>
      <c r="BU50" s="37" t="str">
        <f ca="1">IFERROR(+IF(BU$29=ProposalToGnatt[[#This Row],[Start Date]],Milestone_Marker,IF(AND(BU$29&gt;ProposalToGnatt[[#This Row],[Start Date]],BU$29&lt;ProposalToGnatt[[#This Row],[Start Date]]+ProposalToGnatt[[#This Row],[Days]]),$G$5,"")),"")</f>
        <v/>
      </c>
      <c r="BV50" s="37" t="str">
        <f ca="1">IFERROR(+IF(BV$29=ProposalToGnatt[[#This Row],[Start Date]],Milestone_Marker,IF(AND(BV$29&gt;ProposalToGnatt[[#This Row],[Start Date]],BV$29&lt;ProposalToGnatt[[#This Row],[Start Date]]+ProposalToGnatt[[#This Row],[Days]]),$G$5,"")),"")</f>
        <v/>
      </c>
      <c r="BW50" s="37" t="str">
        <f ca="1">IFERROR(+IF(BW$29=ProposalToGnatt[[#This Row],[Start Date]],Milestone_Marker,IF(AND(BW$29&gt;ProposalToGnatt[[#This Row],[Start Date]],BW$29&lt;ProposalToGnatt[[#This Row],[Start Date]]+ProposalToGnatt[[#This Row],[Days]]),$G$5,"")),"")</f>
        <v/>
      </c>
      <c r="BX50" s="37" t="str">
        <f ca="1">IFERROR(+IF(BX$29=ProposalToGnatt[[#This Row],[Start Date]],Milestone_Marker,IF(AND(BX$29&gt;ProposalToGnatt[[#This Row],[Start Date]],BX$29&lt;ProposalToGnatt[[#This Row],[Start Date]]+ProposalToGnatt[[#This Row],[Days]]),$G$5,"")),"")</f>
        <v/>
      </c>
      <c r="BY50" s="37" t="str">
        <f ca="1">IFERROR(+IF(BY$29=ProposalToGnatt[[#This Row],[Start Date]],Milestone_Marker,IF(AND(BY$29&gt;ProposalToGnatt[[#This Row],[Start Date]],BY$29&lt;ProposalToGnatt[[#This Row],[Start Date]]+ProposalToGnatt[[#This Row],[Days]]),$G$5,"")),"")</f>
        <v/>
      </c>
      <c r="BZ50" s="37" t="str">
        <f ca="1">IFERROR(+IF(BZ$29=ProposalToGnatt[[#This Row],[Start Date]],Milestone_Marker,IF(AND(BZ$29&gt;ProposalToGnatt[[#This Row],[Start Date]],BZ$29&lt;ProposalToGnatt[[#This Row],[Start Date]]+ProposalToGnatt[[#This Row],[Days]]),$G$5,"")),"")</f>
        <v/>
      </c>
      <c r="CA50" s="37" t="str">
        <f ca="1">IFERROR(+IF(CA$29=ProposalToGnatt[[#This Row],[Start Date]],Milestone_Marker,IF(AND(CA$29&gt;ProposalToGnatt[[#This Row],[Start Date]],CA$29&lt;ProposalToGnatt[[#This Row],[Start Date]]+ProposalToGnatt[[#This Row],[Days]]),$G$5,"")),"")</f>
        <v/>
      </c>
      <c r="CB50" s="37" t="str">
        <f ca="1">IFERROR(+IF(CB$29=ProposalToGnatt[[#This Row],[Start Date]],Milestone_Marker,IF(AND(CB$29&gt;ProposalToGnatt[[#This Row],[Start Date]],CB$29&lt;ProposalToGnatt[[#This Row],[Start Date]]+ProposalToGnatt[[#This Row],[Days]]),$G$5,"")),"")</f>
        <v/>
      </c>
      <c r="CC50" s="37" t="str">
        <f ca="1">IFERROR(+IF(CC$29=ProposalToGnatt[[#This Row],[Start Date]],Milestone_Marker,IF(AND(CC$29&gt;ProposalToGnatt[[#This Row],[Start Date]],CC$29&lt;ProposalToGnatt[[#This Row],[Start Date]]+ProposalToGnatt[[#This Row],[Days]]),$G$5,"")),"")</f>
        <v/>
      </c>
      <c r="CD50" s="37" t="str">
        <f ca="1">IFERROR(+IF(CD$29=ProposalToGnatt[[#This Row],[Start Date]],Milestone_Marker,IF(AND(CD$29&gt;ProposalToGnatt[[#This Row],[Start Date]],CD$29&lt;ProposalToGnatt[[#This Row],[Start Date]]+ProposalToGnatt[[#This Row],[Days]]),$G$5,"")),"")</f>
        <v/>
      </c>
      <c r="CE50" s="37" t="str">
        <f ca="1">IFERROR(+IF(CE$29=ProposalToGnatt[[#This Row],[Start Date]],Milestone_Marker,IF(AND(CE$29&gt;ProposalToGnatt[[#This Row],[Start Date]],CE$29&lt;ProposalToGnatt[[#This Row],[Start Date]]+ProposalToGnatt[[#This Row],[Days]]),$G$5,"")),"")</f>
        <v/>
      </c>
      <c r="CF50" s="37" t="str">
        <f ca="1">IFERROR(+IF(CF$29=ProposalToGnatt[[#This Row],[Start Date]],Milestone_Marker,IF(AND(CF$29&gt;ProposalToGnatt[[#This Row],[Start Date]],CF$29&lt;ProposalToGnatt[[#This Row],[Start Date]]+ProposalToGnatt[[#This Row],[Days]]),$G$5,"")),"")</f>
        <v/>
      </c>
      <c r="CG50" s="37" t="str">
        <f ca="1">IFERROR(+IF(CG$29=ProposalToGnatt[[#This Row],[Start Date]],Milestone_Marker,IF(AND(CG$29&gt;ProposalToGnatt[[#This Row],[Start Date]],CG$29&lt;ProposalToGnatt[[#This Row],[Start Date]]+ProposalToGnatt[[#This Row],[Days]]),$G$5,"")),"")</f>
        <v/>
      </c>
      <c r="CH50" s="37" t="str">
        <f ca="1">IFERROR(+IF(CH$29=ProposalToGnatt[[#This Row],[Start Date]],Milestone_Marker,IF(AND(CH$29&gt;ProposalToGnatt[[#This Row],[Start Date]],CH$29&lt;ProposalToGnatt[[#This Row],[Start Date]]+ProposalToGnatt[[#This Row],[Days]]),$G$5,"")),"")</f>
        <v/>
      </c>
      <c r="CI50" s="37" t="str">
        <f ca="1">IFERROR(+IF(CI$29=ProposalToGnatt[[#This Row],[Start Date]],Milestone_Marker,IF(AND(CI$29&gt;ProposalToGnatt[[#This Row],[Start Date]],CI$29&lt;ProposalToGnatt[[#This Row],[Start Date]]+ProposalToGnatt[[#This Row],[Days]]),$G$5,"")),"")</f>
        <v/>
      </c>
      <c r="CJ50" s="37" t="str">
        <f ca="1">IFERROR(+IF(CJ$29=ProposalToGnatt[[#This Row],[Start Date]],Milestone_Marker,IF(AND(CJ$29&gt;ProposalToGnatt[[#This Row],[Start Date]],CJ$29&lt;ProposalToGnatt[[#This Row],[Start Date]]+ProposalToGnatt[[#This Row],[Days]]),$G$5,"")),"")</f>
        <v/>
      </c>
      <c r="CK50" s="37" t="str">
        <f ca="1">IFERROR(+IF(CK$29=ProposalToGnatt[[#This Row],[Start Date]],Milestone_Marker,IF(AND(CK$29&gt;ProposalToGnatt[[#This Row],[Start Date]],CK$29&lt;ProposalToGnatt[[#This Row],[Start Date]]+ProposalToGnatt[[#This Row],[Days]]),$G$5,"")),"")</f>
        <v/>
      </c>
      <c r="CL50" s="37" t="str">
        <f ca="1">IFERROR(+IF(CL$29=ProposalToGnatt[[#This Row],[Start Date]],Milestone_Marker,IF(AND(CL$29&gt;ProposalToGnatt[[#This Row],[Start Date]],CL$29&lt;ProposalToGnatt[[#This Row],[Start Date]]+ProposalToGnatt[[#This Row],[Days]]),$G$5,"")),"")</f>
        <v/>
      </c>
      <c r="CM50" s="37" t="str">
        <f ca="1">IFERROR(+IF(CM$29=ProposalToGnatt[[#This Row],[Start Date]],Milestone_Marker,IF(AND(CM$29&gt;ProposalToGnatt[[#This Row],[Start Date]],CM$29&lt;ProposalToGnatt[[#This Row],[Start Date]]+ProposalToGnatt[[#This Row],[Days]]),$G$5,"")),"")</f>
        <v/>
      </c>
      <c r="CN50" s="37" t="str">
        <f ca="1">IFERROR(+IF(CN$29=ProposalToGnatt[[#This Row],[Start Date]],Milestone_Marker,IF(AND(CN$29&gt;ProposalToGnatt[[#This Row],[Start Date]],CN$29&lt;ProposalToGnatt[[#This Row],[Start Date]]+ProposalToGnatt[[#This Row],[Days]]),$G$5,"")),"")</f>
        <v/>
      </c>
      <c r="CO50" s="37" t="str">
        <f ca="1">IFERROR(+IF(CO$29=ProposalToGnatt[[#This Row],[Start Date]],Milestone_Marker,IF(AND(CO$29&gt;ProposalToGnatt[[#This Row],[Start Date]],CO$29&lt;ProposalToGnatt[[#This Row],[Start Date]]+ProposalToGnatt[[#This Row],[Days]]),$G$5,"")),"")</f>
        <v/>
      </c>
      <c r="CP50" s="37" t="str">
        <f ca="1">IFERROR(+IF(CP$29=ProposalToGnatt[[#This Row],[Start Date]],Milestone_Marker,IF(AND(CP$29&gt;ProposalToGnatt[[#This Row],[Start Date]],CP$29&lt;ProposalToGnatt[[#This Row],[Start Date]]+ProposalToGnatt[[#This Row],[Days]]),$G$5,"")),"")</f>
        <v/>
      </c>
      <c r="CQ50" s="37" t="str">
        <f ca="1">IFERROR(+IF(CQ$29=ProposalToGnatt[[#This Row],[Start Date]],Milestone_Marker,IF(AND(CQ$29&gt;ProposalToGnatt[[#This Row],[Start Date]],CQ$29&lt;ProposalToGnatt[[#This Row],[Start Date]]+ProposalToGnatt[[#This Row],[Days]]),$G$5,"")),"")</f>
        <v/>
      </c>
      <c r="CR50" s="37" t="str">
        <f ca="1">IFERROR(+IF(CR$29=ProposalToGnatt[[#This Row],[Start Date]],Milestone_Marker,IF(AND(CR$29&gt;ProposalToGnatt[[#This Row],[Start Date]],CR$29&lt;ProposalToGnatt[[#This Row],[Start Date]]+ProposalToGnatt[[#This Row],[Days]]),$G$5,"")),"")</f>
        <v/>
      </c>
      <c r="CS50" s="37" t="str">
        <f ca="1">IFERROR(+IF(CS$29=ProposalToGnatt[[#This Row],[Start Date]],Milestone_Marker,IF(AND(CS$29&gt;ProposalToGnatt[[#This Row],[Start Date]],CS$29&lt;ProposalToGnatt[[#This Row],[Start Date]]+ProposalToGnatt[[#This Row],[Days]]),$G$5,"")),"")</f>
        <v/>
      </c>
      <c r="CT50" s="37" t="str">
        <f ca="1">IFERROR(+IF(CT$29=ProposalToGnatt[[#This Row],[Start Date]],Milestone_Marker,IF(AND(CT$29&gt;ProposalToGnatt[[#This Row],[Start Date]],CT$29&lt;ProposalToGnatt[[#This Row],[Start Date]]+ProposalToGnatt[[#This Row],[Days]]),$G$5,"")),"")</f>
        <v/>
      </c>
      <c r="CU50" s="37" t="str">
        <f ca="1">IFERROR(+IF(CU$29=ProposalToGnatt[[#This Row],[Start Date]],Milestone_Marker,IF(AND(CU$29&gt;ProposalToGnatt[[#This Row],[Start Date]],CU$29&lt;ProposalToGnatt[[#This Row],[Start Date]]+ProposalToGnatt[[#This Row],[Days]]),$G$5,"")),"")</f>
        <v/>
      </c>
      <c r="CV50" s="37"/>
      <c r="CW50" s="37"/>
      <c r="CX50" s="37"/>
      <c r="CY50" s="37"/>
      <c r="CZ50" s="37"/>
      <c r="DA50" s="37"/>
      <c r="DB50" s="37"/>
      <c r="DC50" s="37"/>
      <c r="DD50" s="37"/>
      <c r="DE50" s="37"/>
      <c r="DF50" s="37"/>
      <c r="DG50" s="37"/>
      <c r="DH50" s="37"/>
      <c r="DI50" s="37"/>
      <c r="DJ50" s="37"/>
      <c r="DK50" s="37"/>
      <c r="DL50" s="37"/>
      <c r="DM50" s="37"/>
      <c r="DN50" s="37"/>
      <c r="DO50" s="37"/>
      <c r="DP50" s="37"/>
      <c r="DQ50" s="37"/>
      <c r="DR50" s="37"/>
      <c r="DS50" s="37"/>
      <c r="DT50" s="37"/>
      <c r="DU50" s="37"/>
    </row>
    <row r="51" spans="1:125" s="42" customFormat="1" ht="15" x14ac:dyDescent="0.25">
      <c r="A51" t="s">
        <v>428</v>
      </c>
      <c r="B51">
        <v>30</v>
      </c>
      <c r="C51" t="s">
        <v>339</v>
      </c>
      <c r="D51" t="s">
        <v>340</v>
      </c>
      <c r="E51" t="s">
        <v>348</v>
      </c>
      <c r="F51">
        <v>1</v>
      </c>
      <c r="G51" s="14"/>
      <c r="H51" s="14"/>
      <c r="I51"/>
      <c r="J51">
        <v>1</v>
      </c>
      <c r="K51" s="303">
        <v>45229</v>
      </c>
      <c r="L51"/>
      <c r="M51" s="14"/>
      <c r="N51" s="352"/>
      <c r="O51" s="340"/>
      <c r="P51" s="37" t="str">
        <f ca="1">IFERROR(+IF(P$29=ProposalToGnatt[[#This Row],[Start Date]],Milestone_Marker,IF(AND(P$29&gt;ProposalToGnatt[[#This Row],[Start Date]],P$29&lt;ProposalToGnatt[[#This Row],[Start Date]]+ProposalToGnatt[[#This Row],[Days]]),$G$5,"")),"")</f>
        <v/>
      </c>
      <c r="Q51" s="37" t="str">
        <f ca="1">IFERROR(+IF(Q$29=ProposalToGnatt[[#This Row],[Start Date]],Milestone_Marker,IF(AND(Q$29&gt;ProposalToGnatt[[#This Row],[Start Date]],Q$29&lt;ProposalToGnatt[[#This Row],[Start Date]]+ProposalToGnatt[[#This Row],[Days]]),$G$5,"")),"")</f>
        <v/>
      </c>
      <c r="R51" s="37" t="str">
        <f ca="1">IFERROR(+IF(R$29=ProposalToGnatt[[#This Row],[Start Date]],Milestone_Marker,IF(AND(R$29&gt;ProposalToGnatt[[#This Row],[Start Date]],R$29&lt;ProposalToGnatt[[#This Row],[Start Date]]+ProposalToGnatt[[#This Row],[Days]]),$G$5,"")),"")</f>
        <v/>
      </c>
      <c r="S51" s="37" t="str">
        <f ca="1">IFERROR(+IF(S$29=ProposalToGnatt[[#This Row],[Start Date]],Milestone_Marker,IF(AND(S$29&gt;ProposalToGnatt[[#This Row],[Start Date]],S$29&lt;ProposalToGnatt[[#This Row],[Start Date]]+ProposalToGnatt[[#This Row],[Days]]),$G$5,"")),"")</f>
        <v/>
      </c>
      <c r="T51" s="37" t="str">
        <f ca="1">IFERROR(+IF(T$29=ProposalToGnatt[[#This Row],[Start Date]],Milestone_Marker,IF(AND(T$29&gt;ProposalToGnatt[[#This Row],[Start Date]],T$29&lt;ProposalToGnatt[[#This Row],[Start Date]]+ProposalToGnatt[[#This Row],[Days]]),$G$5,"")),"")</f>
        <v/>
      </c>
      <c r="U51" s="37" t="str">
        <f ca="1">IFERROR(+IF(U$29=ProposalToGnatt[[#This Row],[Start Date]],Milestone_Marker,IF(AND(U$29&gt;ProposalToGnatt[[#This Row],[Start Date]],U$29&lt;ProposalToGnatt[[#This Row],[Start Date]]+ProposalToGnatt[[#This Row],[Days]]),$G$5,"")),"")</f>
        <v/>
      </c>
      <c r="V51" s="37" t="str">
        <f ca="1">IFERROR(+IF(V$29=ProposalToGnatt[[#This Row],[Start Date]],Milestone_Marker,IF(AND(V$29&gt;ProposalToGnatt[[#This Row],[Start Date]],V$29&lt;ProposalToGnatt[[#This Row],[Start Date]]+ProposalToGnatt[[#This Row],[Days]]),$G$5,"")),"")</f>
        <v/>
      </c>
      <c r="W51" s="37" t="str">
        <f ca="1">IFERROR(+IF(W$29=ProposalToGnatt[[#This Row],[Start Date]],Milestone_Marker,IF(AND(W$29&gt;ProposalToGnatt[[#This Row],[Start Date]],W$29&lt;ProposalToGnatt[[#This Row],[Start Date]]+ProposalToGnatt[[#This Row],[Days]]),$G$5,"")),"")</f>
        <v/>
      </c>
      <c r="X51" s="37" t="str">
        <f ca="1">IFERROR(+IF(X$29=ProposalToGnatt[[#This Row],[Start Date]],Milestone_Marker,IF(AND(X$29&gt;ProposalToGnatt[[#This Row],[Start Date]],X$29&lt;ProposalToGnatt[[#This Row],[Start Date]]+ProposalToGnatt[[#This Row],[Days]]),$G$5,"")),"")</f>
        <v/>
      </c>
      <c r="Y51" s="37" t="str">
        <f ca="1">IFERROR(+IF(Y$29=ProposalToGnatt[[#This Row],[Start Date]],Milestone_Marker,IF(AND(Y$29&gt;ProposalToGnatt[[#This Row],[Start Date]],Y$29&lt;ProposalToGnatt[[#This Row],[Start Date]]+ProposalToGnatt[[#This Row],[Days]]),$G$5,"")),"")</f>
        <v/>
      </c>
      <c r="Z51" s="37" t="str">
        <f ca="1">IFERROR(+IF(Z$29=ProposalToGnatt[[#This Row],[Start Date]],Milestone_Marker,IF(AND(Z$29&gt;ProposalToGnatt[[#This Row],[Start Date]],Z$29&lt;ProposalToGnatt[[#This Row],[Start Date]]+ProposalToGnatt[[#This Row],[Days]]),$G$5,"")),"")</f>
        <v/>
      </c>
      <c r="AA51" s="37" t="str">
        <f ca="1">IFERROR(+IF(AA$29=ProposalToGnatt[[#This Row],[Start Date]],Milestone_Marker,IF(AND(AA$29&gt;ProposalToGnatt[[#This Row],[Start Date]],AA$29&lt;ProposalToGnatt[[#This Row],[Start Date]]+ProposalToGnatt[[#This Row],[Days]]),$G$5,"")),"")</f>
        <v/>
      </c>
      <c r="AB51" s="37" t="str">
        <f ca="1">IFERROR(+IF(AB$29=ProposalToGnatt[[#This Row],[Start Date]],Milestone_Marker,IF(AND(AB$29&gt;ProposalToGnatt[[#This Row],[Start Date]],AB$29&lt;ProposalToGnatt[[#This Row],[Start Date]]+ProposalToGnatt[[#This Row],[Days]]),$G$5,"")),"")</f>
        <v/>
      </c>
      <c r="AC51" s="37" t="str">
        <f ca="1">IFERROR(+IF(AC$29=ProposalToGnatt[[#This Row],[Start Date]],Milestone_Marker,IF(AND(AC$29&gt;ProposalToGnatt[[#This Row],[Start Date]],AC$29&lt;ProposalToGnatt[[#This Row],[Start Date]]+ProposalToGnatt[[#This Row],[Days]]),$G$5,"")),"")</f>
        <v/>
      </c>
      <c r="AD51" s="37" t="str">
        <f ca="1">IFERROR(+IF(AD$29=ProposalToGnatt[[#This Row],[Start Date]],Milestone_Marker,IF(AND(AD$29&gt;ProposalToGnatt[[#This Row],[Start Date]],AD$29&lt;ProposalToGnatt[[#This Row],[Start Date]]+ProposalToGnatt[[#This Row],[Days]]),$G$5,"")),"")</f>
        <v/>
      </c>
      <c r="AE51" s="37" t="str">
        <f ca="1">IFERROR(+IF(AE$29=ProposalToGnatt[[#This Row],[Start Date]],Milestone_Marker,IF(AND(AE$29&gt;ProposalToGnatt[[#This Row],[Start Date]],AE$29&lt;ProposalToGnatt[[#This Row],[Start Date]]+ProposalToGnatt[[#This Row],[Days]]),$G$5,"")),"")</f>
        <v/>
      </c>
      <c r="AF51" s="37" t="str">
        <f ca="1">IFERROR(+IF(AF$29=ProposalToGnatt[[#This Row],[Start Date]],Milestone_Marker,IF(AND(AF$29&gt;ProposalToGnatt[[#This Row],[Start Date]],AF$29&lt;ProposalToGnatt[[#This Row],[Start Date]]+ProposalToGnatt[[#This Row],[Days]]),$G$5,"")),"")</f>
        <v/>
      </c>
      <c r="AG51" s="37">
        <f ca="1">IFERROR(+IF(AG$29=ProposalToGnatt[[#This Row],[Start Date]],Milestone_Marker,IF(AND(AG$29&gt;ProposalToGnatt[[#This Row],[Start Date]],AG$29&lt;ProposalToGnatt[[#This Row],[Start Date]]+ProposalToGnatt[[#This Row],[Days]]),$G$5,"")),"")</f>
        <v>1</v>
      </c>
      <c r="AH51" s="37" t="str">
        <f ca="1">IFERROR(+IF(AH$29=ProposalToGnatt[[#This Row],[Start Date]],Milestone_Marker,IF(AND(AH$29&gt;ProposalToGnatt[[#This Row],[Start Date]],AH$29&lt;ProposalToGnatt[[#This Row],[Start Date]]+ProposalToGnatt[[#This Row],[Days]]),$G$5,"")),"")</f>
        <v/>
      </c>
      <c r="AI51" s="37" t="str">
        <f ca="1">IFERROR(+IF(AI$29=ProposalToGnatt[[#This Row],[Start Date]],Milestone_Marker,IF(AND(AI$29&gt;ProposalToGnatt[[#This Row],[Start Date]],AI$29&lt;ProposalToGnatt[[#This Row],[Start Date]]+ProposalToGnatt[[#This Row],[Days]]),$G$5,"")),"")</f>
        <v/>
      </c>
      <c r="AJ51" s="37" t="str">
        <f ca="1">IFERROR(+IF(AJ$29=ProposalToGnatt[[#This Row],[Start Date]],Milestone_Marker,IF(AND(AJ$29&gt;ProposalToGnatt[[#This Row],[Start Date]],AJ$29&lt;ProposalToGnatt[[#This Row],[Start Date]]+ProposalToGnatt[[#This Row],[Days]]),$G$5,"")),"")</f>
        <v/>
      </c>
      <c r="AK51" s="37" t="str">
        <f ca="1">IFERROR(+IF(AK$29=ProposalToGnatt[[#This Row],[Start Date]],Milestone_Marker,IF(AND(AK$29&gt;ProposalToGnatt[[#This Row],[Start Date]],AK$29&lt;ProposalToGnatt[[#This Row],[Start Date]]+ProposalToGnatt[[#This Row],[Days]]),$G$5,"")),"")</f>
        <v/>
      </c>
      <c r="AL51" s="37" t="str">
        <f ca="1">IFERROR(+IF(AL$29=ProposalToGnatt[[#This Row],[Start Date]],Milestone_Marker,IF(AND(AL$29&gt;ProposalToGnatt[[#This Row],[Start Date]],AL$29&lt;ProposalToGnatt[[#This Row],[Start Date]]+ProposalToGnatt[[#This Row],[Days]]),$G$5,"")),"")</f>
        <v/>
      </c>
      <c r="AM51" s="37" t="str">
        <f ca="1">IFERROR(+IF(AM$29=ProposalToGnatt[[#This Row],[Start Date]],Milestone_Marker,IF(AND(AM$29&gt;ProposalToGnatt[[#This Row],[Start Date]],AM$29&lt;ProposalToGnatt[[#This Row],[Start Date]]+ProposalToGnatt[[#This Row],[Days]]),$G$5,"")),"")</f>
        <v/>
      </c>
      <c r="AN51" s="37" t="str">
        <f ca="1">IFERROR(+IF(AN$29=ProposalToGnatt[[#This Row],[Start Date]],Milestone_Marker,IF(AND(AN$29&gt;ProposalToGnatt[[#This Row],[Start Date]],AN$29&lt;ProposalToGnatt[[#This Row],[Start Date]]+ProposalToGnatt[[#This Row],[Days]]),$G$5,"")),"")</f>
        <v/>
      </c>
      <c r="AO51" s="37" t="str">
        <f ca="1">IFERROR(+IF(AO$29=ProposalToGnatt[[#This Row],[Start Date]],Milestone_Marker,IF(AND(AO$29&gt;ProposalToGnatt[[#This Row],[Start Date]],AO$29&lt;ProposalToGnatt[[#This Row],[Start Date]]+ProposalToGnatt[[#This Row],[Days]]),$G$5,"")),"")</f>
        <v/>
      </c>
      <c r="AP51" s="37" t="str">
        <f ca="1">IFERROR(+IF(AP$29=ProposalToGnatt[[#This Row],[Start Date]],Milestone_Marker,IF(AND(AP$29&gt;ProposalToGnatt[[#This Row],[Start Date]],AP$29&lt;ProposalToGnatt[[#This Row],[Start Date]]+ProposalToGnatt[[#This Row],[Days]]),$G$5,"")),"")</f>
        <v/>
      </c>
      <c r="AQ51" s="37" t="str">
        <f ca="1">IFERROR(+IF(AQ$29=ProposalToGnatt[[#This Row],[Start Date]],Milestone_Marker,IF(AND(AQ$29&gt;ProposalToGnatt[[#This Row],[Start Date]],AQ$29&lt;ProposalToGnatt[[#This Row],[Start Date]]+ProposalToGnatt[[#This Row],[Days]]),$G$5,"")),"")</f>
        <v/>
      </c>
      <c r="AR51" s="37" t="str">
        <f ca="1">IFERROR(+IF(AR$29=ProposalToGnatt[[#This Row],[Start Date]],Milestone_Marker,IF(AND(AR$29&gt;ProposalToGnatt[[#This Row],[Start Date]],AR$29&lt;ProposalToGnatt[[#This Row],[Start Date]]+ProposalToGnatt[[#This Row],[Days]]),$G$5,"")),"")</f>
        <v/>
      </c>
      <c r="AS51" s="37" t="str">
        <f ca="1">IFERROR(+IF(AS$29=ProposalToGnatt[[#This Row],[Start Date]],Milestone_Marker,IF(AND(AS$29&gt;ProposalToGnatt[[#This Row],[Start Date]],AS$29&lt;ProposalToGnatt[[#This Row],[Start Date]]+ProposalToGnatt[[#This Row],[Days]]),$G$5,"")),"")</f>
        <v/>
      </c>
      <c r="AT51" s="37" t="str">
        <f ca="1">IFERROR(+IF(AT$29=ProposalToGnatt[[#This Row],[Start Date]],Milestone_Marker,IF(AND(AT$29&gt;ProposalToGnatt[[#This Row],[Start Date]],AT$29&lt;ProposalToGnatt[[#This Row],[Start Date]]+ProposalToGnatt[[#This Row],[Days]]),$G$5,"")),"")</f>
        <v/>
      </c>
      <c r="AU51" s="37" t="str">
        <f ca="1">IFERROR(+IF(AU$29=ProposalToGnatt[[#This Row],[Start Date]],Milestone_Marker,IF(AND(AU$29&gt;ProposalToGnatt[[#This Row],[Start Date]],AU$29&lt;ProposalToGnatt[[#This Row],[Start Date]]+ProposalToGnatt[[#This Row],[Days]]),$G$5,"")),"")</f>
        <v/>
      </c>
      <c r="AV51" s="37" t="str">
        <f ca="1">IFERROR(+IF(AV$29=ProposalToGnatt[[#This Row],[Start Date]],Milestone_Marker,IF(AND(AV$29&gt;ProposalToGnatt[[#This Row],[Start Date]],AV$29&lt;ProposalToGnatt[[#This Row],[Start Date]]+ProposalToGnatt[[#This Row],[Days]]),$G$5,"")),"")</f>
        <v/>
      </c>
      <c r="AW51" s="37" t="str">
        <f ca="1">IFERROR(+IF(AW$29=ProposalToGnatt[[#This Row],[Start Date]],Milestone_Marker,IF(AND(AW$29&gt;ProposalToGnatt[[#This Row],[Start Date]],AW$29&lt;ProposalToGnatt[[#This Row],[Start Date]]+ProposalToGnatt[[#This Row],[Days]]),$G$5,"")),"")</f>
        <v/>
      </c>
      <c r="AX51" s="37" t="str">
        <f ca="1">IFERROR(+IF(AX$29=ProposalToGnatt[[#This Row],[Start Date]],Milestone_Marker,IF(AND(AX$29&gt;ProposalToGnatt[[#This Row],[Start Date]],AX$29&lt;ProposalToGnatt[[#This Row],[Start Date]]+ProposalToGnatt[[#This Row],[Days]]),$G$5,"")),"")</f>
        <v/>
      </c>
      <c r="AY51" s="37" t="str">
        <f ca="1">IFERROR(+IF(AY$29=ProposalToGnatt[[#This Row],[Start Date]],Milestone_Marker,IF(AND(AY$29&gt;ProposalToGnatt[[#This Row],[Start Date]],AY$29&lt;ProposalToGnatt[[#This Row],[Start Date]]+ProposalToGnatt[[#This Row],[Days]]),$G$5,"")),"")</f>
        <v/>
      </c>
      <c r="AZ51" s="37" t="str">
        <f ca="1">IFERROR(+IF(AZ$29=ProposalToGnatt[[#This Row],[Start Date]],Milestone_Marker,IF(AND(AZ$29&gt;ProposalToGnatt[[#This Row],[Start Date]],AZ$29&lt;ProposalToGnatt[[#This Row],[Start Date]]+ProposalToGnatt[[#This Row],[Days]]),$G$5,"")),"")</f>
        <v/>
      </c>
      <c r="BA51" s="37" t="str">
        <f ca="1">IFERROR(+IF(BA$29=ProposalToGnatt[[#This Row],[Start Date]],Milestone_Marker,IF(AND(BA$29&gt;ProposalToGnatt[[#This Row],[Start Date]],BA$29&lt;ProposalToGnatt[[#This Row],[Start Date]]+ProposalToGnatt[[#This Row],[Days]]),$G$5,"")),"")</f>
        <v/>
      </c>
      <c r="BB51" s="37" t="str">
        <f ca="1">IFERROR(+IF(BB$29=ProposalToGnatt[[#This Row],[Start Date]],Milestone_Marker,IF(AND(BB$29&gt;ProposalToGnatt[[#This Row],[Start Date]],BB$29&lt;ProposalToGnatt[[#This Row],[Start Date]]+ProposalToGnatt[[#This Row],[Days]]),$G$5,"")),"")</f>
        <v/>
      </c>
      <c r="BC51" s="37" t="str">
        <f ca="1">IFERROR(+IF(BC$29=ProposalToGnatt[[#This Row],[Start Date]],Milestone_Marker,IF(AND(BC$29&gt;ProposalToGnatt[[#This Row],[Start Date]],BC$29&lt;ProposalToGnatt[[#This Row],[Start Date]]+ProposalToGnatt[[#This Row],[Days]]),$G$5,"")),"")</f>
        <v/>
      </c>
      <c r="BD51" s="37" t="str">
        <f ca="1">IFERROR(+IF(BD$29=ProposalToGnatt[[#This Row],[Start Date]],Milestone_Marker,IF(AND(BD$29&gt;ProposalToGnatt[[#This Row],[Start Date]],BD$29&lt;ProposalToGnatt[[#This Row],[Start Date]]+ProposalToGnatt[[#This Row],[Days]]),$G$5,"")),"")</f>
        <v/>
      </c>
      <c r="BE51" s="37" t="str">
        <f ca="1">IFERROR(+IF(BE$29=ProposalToGnatt[[#This Row],[Start Date]],Milestone_Marker,IF(AND(BE$29&gt;ProposalToGnatt[[#This Row],[Start Date]],BE$29&lt;ProposalToGnatt[[#This Row],[Start Date]]+ProposalToGnatt[[#This Row],[Days]]),$G$5,"")),"")</f>
        <v/>
      </c>
      <c r="BF51" s="37" t="str">
        <f ca="1">IFERROR(+IF(BF$29=ProposalToGnatt[[#This Row],[Start Date]],Milestone_Marker,IF(AND(BF$29&gt;ProposalToGnatt[[#This Row],[Start Date]],BF$29&lt;ProposalToGnatt[[#This Row],[Start Date]]+ProposalToGnatt[[#This Row],[Days]]),$G$5,"")),"")</f>
        <v/>
      </c>
      <c r="BG51" s="37" t="str">
        <f ca="1">IFERROR(+IF(BG$29=ProposalToGnatt[[#This Row],[Start Date]],Milestone_Marker,IF(AND(BG$29&gt;ProposalToGnatt[[#This Row],[Start Date]],BG$29&lt;ProposalToGnatt[[#This Row],[Start Date]]+ProposalToGnatt[[#This Row],[Days]]),$G$5,"")),"")</f>
        <v/>
      </c>
      <c r="BH51" s="37" t="str">
        <f ca="1">IFERROR(+IF(BH$29=ProposalToGnatt[[#This Row],[Start Date]],Milestone_Marker,IF(AND(BH$29&gt;ProposalToGnatt[[#This Row],[Start Date]],BH$29&lt;ProposalToGnatt[[#This Row],[Start Date]]+ProposalToGnatt[[#This Row],[Days]]),$G$5,"")),"")</f>
        <v/>
      </c>
      <c r="BI51" s="37" t="str">
        <f ca="1">IFERROR(+IF(BI$29=ProposalToGnatt[[#This Row],[Start Date]],Milestone_Marker,IF(AND(BI$29&gt;ProposalToGnatt[[#This Row],[Start Date]],BI$29&lt;ProposalToGnatt[[#This Row],[Start Date]]+ProposalToGnatt[[#This Row],[Days]]),$G$5,"")),"")</f>
        <v/>
      </c>
      <c r="BJ51" s="37" t="str">
        <f ca="1">IFERROR(+IF(BJ$29=ProposalToGnatt[[#This Row],[Start Date]],Milestone_Marker,IF(AND(BJ$29&gt;ProposalToGnatt[[#This Row],[Start Date]],BJ$29&lt;ProposalToGnatt[[#This Row],[Start Date]]+ProposalToGnatt[[#This Row],[Days]]),$G$5,"")),"")</f>
        <v/>
      </c>
      <c r="BK51" s="37" t="str">
        <f ca="1">IFERROR(+IF(BK$29=ProposalToGnatt[[#This Row],[Start Date]],Milestone_Marker,IF(AND(BK$29&gt;ProposalToGnatt[[#This Row],[Start Date]],BK$29&lt;ProposalToGnatt[[#This Row],[Start Date]]+ProposalToGnatt[[#This Row],[Days]]),$G$5,"")),"")</f>
        <v/>
      </c>
      <c r="BL51" s="37" t="str">
        <f ca="1">IFERROR(+IF(BL$29=ProposalToGnatt[[#This Row],[Start Date]],Milestone_Marker,IF(AND(BL$29&gt;ProposalToGnatt[[#This Row],[Start Date]],BL$29&lt;ProposalToGnatt[[#This Row],[Start Date]]+ProposalToGnatt[[#This Row],[Days]]),$G$5,"")),"")</f>
        <v/>
      </c>
      <c r="BM51" s="37" t="str">
        <f ca="1">IFERROR(+IF(BM$29=ProposalToGnatt[[#This Row],[Start Date]],Milestone_Marker,IF(AND(BM$29&gt;ProposalToGnatt[[#This Row],[Start Date]],BM$29&lt;ProposalToGnatt[[#This Row],[Start Date]]+ProposalToGnatt[[#This Row],[Days]]),$G$5,"")),"")</f>
        <v/>
      </c>
      <c r="BN51" s="37" t="str">
        <f ca="1">IFERROR(+IF(BN$29=ProposalToGnatt[[#This Row],[Start Date]],Milestone_Marker,IF(AND(BN$29&gt;ProposalToGnatt[[#This Row],[Start Date]],BN$29&lt;ProposalToGnatt[[#This Row],[Start Date]]+ProposalToGnatt[[#This Row],[Days]]),$G$5,"")),"")</f>
        <v/>
      </c>
      <c r="BO51" s="37" t="str">
        <f ca="1">IFERROR(+IF(BO$29=ProposalToGnatt[[#This Row],[Start Date]],Milestone_Marker,IF(AND(BO$29&gt;ProposalToGnatt[[#This Row],[Start Date]],BO$29&lt;ProposalToGnatt[[#This Row],[Start Date]]+ProposalToGnatt[[#This Row],[Days]]),$G$5,"")),"")</f>
        <v/>
      </c>
      <c r="BP51" s="37" t="str">
        <f ca="1">IFERROR(+IF(BP$29=ProposalToGnatt[[#This Row],[Start Date]],Milestone_Marker,IF(AND(BP$29&gt;ProposalToGnatt[[#This Row],[Start Date]],BP$29&lt;ProposalToGnatt[[#This Row],[Start Date]]+ProposalToGnatt[[#This Row],[Days]]),$G$5,"")),"")</f>
        <v/>
      </c>
      <c r="BQ51" s="37" t="str">
        <f ca="1">IFERROR(+IF(BQ$29=ProposalToGnatt[[#This Row],[Start Date]],Milestone_Marker,IF(AND(BQ$29&gt;ProposalToGnatt[[#This Row],[Start Date]],BQ$29&lt;ProposalToGnatt[[#This Row],[Start Date]]+ProposalToGnatt[[#This Row],[Days]]),$G$5,"")),"")</f>
        <v/>
      </c>
      <c r="BR51" s="37" t="str">
        <f ca="1">IFERROR(+IF(BR$29=ProposalToGnatt[[#This Row],[Start Date]],Milestone_Marker,IF(AND(BR$29&gt;ProposalToGnatt[[#This Row],[Start Date]],BR$29&lt;ProposalToGnatt[[#This Row],[Start Date]]+ProposalToGnatt[[#This Row],[Days]]),$G$5,"")),"")</f>
        <v/>
      </c>
      <c r="BS51" s="37" t="str">
        <f ca="1">IFERROR(+IF(BS$29=ProposalToGnatt[[#This Row],[Start Date]],Milestone_Marker,IF(AND(BS$29&gt;ProposalToGnatt[[#This Row],[Start Date]],BS$29&lt;ProposalToGnatt[[#This Row],[Start Date]]+ProposalToGnatt[[#This Row],[Days]]),$G$5,"")),"")</f>
        <v/>
      </c>
      <c r="BT51" s="37" t="str">
        <f ca="1">IFERROR(+IF(BT$29=ProposalToGnatt[[#This Row],[Start Date]],Milestone_Marker,IF(AND(BT$29&gt;ProposalToGnatt[[#This Row],[Start Date]],BT$29&lt;ProposalToGnatt[[#This Row],[Start Date]]+ProposalToGnatt[[#This Row],[Days]]),$G$5,"")),"")</f>
        <v/>
      </c>
      <c r="BU51" s="37" t="str">
        <f ca="1">IFERROR(+IF(BU$29=ProposalToGnatt[[#This Row],[Start Date]],Milestone_Marker,IF(AND(BU$29&gt;ProposalToGnatt[[#This Row],[Start Date]],BU$29&lt;ProposalToGnatt[[#This Row],[Start Date]]+ProposalToGnatt[[#This Row],[Days]]),$G$5,"")),"")</f>
        <v/>
      </c>
      <c r="BV51" s="37" t="str">
        <f ca="1">IFERROR(+IF(BV$29=ProposalToGnatt[[#This Row],[Start Date]],Milestone_Marker,IF(AND(BV$29&gt;ProposalToGnatt[[#This Row],[Start Date]],BV$29&lt;ProposalToGnatt[[#This Row],[Start Date]]+ProposalToGnatt[[#This Row],[Days]]),$G$5,"")),"")</f>
        <v/>
      </c>
      <c r="BW51" s="37" t="str">
        <f ca="1">IFERROR(+IF(BW$29=ProposalToGnatt[[#This Row],[Start Date]],Milestone_Marker,IF(AND(BW$29&gt;ProposalToGnatt[[#This Row],[Start Date]],BW$29&lt;ProposalToGnatt[[#This Row],[Start Date]]+ProposalToGnatt[[#This Row],[Days]]),$G$5,"")),"")</f>
        <v/>
      </c>
      <c r="BX51" s="37" t="str">
        <f ca="1">IFERROR(+IF(BX$29=ProposalToGnatt[[#This Row],[Start Date]],Milestone_Marker,IF(AND(BX$29&gt;ProposalToGnatt[[#This Row],[Start Date]],BX$29&lt;ProposalToGnatt[[#This Row],[Start Date]]+ProposalToGnatt[[#This Row],[Days]]),$G$5,"")),"")</f>
        <v/>
      </c>
      <c r="BY51" s="37" t="str">
        <f ca="1">IFERROR(+IF(BY$29=ProposalToGnatt[[#This Row],[Start Date]],Milestone_Marker,IF(AND(BY$29&gt;ProposalToGnatt[[#This Row],[Start Date]],BY$29&lt;ProposalToGnatt[[#This Row],[Start Date]]+ProposalToGnatt[[#This Row],[Days]]),$G$5,"")),"")</f>
        <v/>
      </c>
      <c r="BZ51" s="37" t="str">
        <f ca="1">IFERROR(+IF(BZ$29=ProposalToGnatt[[#This Row],[Start Date]],Milestone_Marker,IF(AND(BZ$29&gt;ProposalToGnatt[[#This Row],[Start Date]],BZ$29&lt;ProposalToGnatt[[#This Row],[Start Date]]+ProposalToGnatt[[#This Row],[Days]]),$G$5,"")),"")</f>
        <v/>
      </c>
      <c r="CA51" s="37" t="str">
        <f ca="1">IFERROR(+IF(CA$29=ProposalToGnatt[[#This Row],[Start Date]],Milestone_Marker,IF(AND(CA$29&gt;ProposalToGnatt[[#This Row],[Start Date]],CA$29&lt;ProposalToGnatt[[#This Row],[Start Date]]+ProposalToGnatt[[#This Row],[Days]]),$G$5,"")),"")</f>
        <v/>
      </c>
      <c r="CB51" s="37" t="str">
        <f ca="1">IFERROR(+IF(CB$29=ProposalToGnatt[[#This Row],[Start Date]],Milestone_Marker,IF(AND(CB$29&gt;ProposalToGnatt[[#This Row],[Start Date]],CB$29&lt;ProposalToGnatt[[#This Row],[Start Date]]+ProposalToGnatt[[#This Row],[Days]]),$G$5,"")),"")</f>
        <v/>
      </c>
      <c r="CC51" s="37" t="str">
        <f ca="1">IFERROR(+IF(CC$29=ProposalToGnatt[[#This Row],[Start Date]],Milestone_Marker,IF(AND(CC$29&gt;ProposalToGnatt[[#This Row],[Start Date]],CC$29&lt;ProposalToGnatt[[#This Row],[Start Date]]+ProposalToGnatt[[#This Row],[Days]]),$G$5,"")),"")</f>
        <v/>
      </c>
      <c r="CD51" s="37" t="str">
        <f ca="1">IFERROR(+IF(CD$29=ProposalToGnatt[[#This Row],[Start Date]],Milestone_Marker,IF(AND(CD$29&gt;ProposalToGnatt[[#This Row],[Start Date]],CD$29&lt;ProposalToGnatt[[#This Row],[Start Date]]+ProposalToGnatt[[#This Row],[Days]]),$G$5,"")),"")</f>
        <v/>
      </c>
      <c r="CE51" s="37" t="str">
        <f ca="1">IFERROR(+IF(CE$29=ProposalToGnatt[[#This Row],[Start Date]],Milestone_Marker,IF(AND(CE$29&gt;ProposalToGnatt[[#This Row],[Start Date]],CE$29&lt;ProposalToGnatt[[#This Row],[Start Date]]+ProposalToGnatt[[#This Row],[Days]]),$G$5,"")),"")</f>
        <v/>
      </c>
      <c r="CF51" s="37" t="str">
        <f ca="1">IFERROR(+IF(CF$29=ProposalToGnatt[[#This Row],[Start Date]],Milestone_Marker,IF(AND(CF$29&gt;ProposalToGnatt[[#This Row],[Start Date]],CF$29&lt;ProposalToGnatt[[#This Row],[Start Date]]+ProposalToGnatt[[#This Row],[Days]]),$G$5,"")),"")</f>
        <v/>
      </c>
      <c r="CG51" s="37" t="str">
        <f ca="1">IFERROR(+IF(CG$29=ProposalToGnatt[[#This Row],[Start Date]],Milestone_Marker,IF(AND(CG$29&gt;ProposalToGnatt[[#This Row],[Start Date]],CG$29&lt;ProposalToGnatt[[#This Row],[Start Date]]+ProposalToGnatt[[#This Row],[Days]]),$G$5,"")),"")</f>
        <v/>
      </c>
      <c r="CH51" s="37" t="str">
        <f ca="1">IFERROR(+IF(CH$29=ProposalToGnatt[[#This Row],[Start Date]],Milestone_Marker,IF(AND(CH$29&gt;ProposalToGnatt[[#This Row],[Start Date]],CH$29&lt;ProposalToGnatt[[#This Row],[Start Date]]+ProposalToGnatt[[#This Row],[Days]]),$G$5,"")),"")</f>
        <v/>
      </c>
      <c r="CI51" s="37" t="str">
        <f ca="1">IFERROR(+IF(CI$29=ProposalToGnatt[[#This Row],[Start Date]],Milestone_Marker,IF(AND(CI$29&gt;ProposalToGnatt[[#This Row],[Start Date]],CI$29&lt;ProposalToGnatt[[#This Row],[Start Date]]+ProposalToGnatt[[#This Row],[Days]]),$G$5,"")),"")</f>
        <v/>
      </c>
      <c r="CJ51" s="37" t="str">
        <f ca="1">IFERROR(+IF(CJ$29=ProposalToGnatt[[#This Row],[Start Date]],Milestone_Marker,IF(AND(CJ$29&gt;ProposalToGnatt[[#This Row],[Start Date]],CJ$29&lt;ProposalToGnatt[[#This Row],[Start Date]]+ProposalToGnatt[[#This Row],[Days]]),$G$5,"")),"")</f>
        <v/>
      </c>
      <c r="CK51" s="37" t="str">
        <f ca="1">IFERROR(+IF(CK$29=ProposalToGnatt[[#This Row],[Start Date]],Milestone_Marker,IF(AND(CK$29&gt;ProposalToGnatt[[#This Row],[Start Date]],CK$29&lt;ProposalToGnatt[[#This Row],[Start Date]]+ProposalToGnatt[[#This Row],[Days]]),$G$5,"")),"")</f>
        <v/>
      </c>
      <c r="CL51" s="37" t="str">
        <f ca="1">IFERROR(+IF(CL$29=ProposalToGnatt[[#This Row],[Start Date]],Milestone_Marker,IF(AND(CL$29&gt;ProposalToGnatt[[#This Row],[Start Date]],CL$29&lt;ProposalToGnatt[[#This Row],[Start Date]]+ProposalToGnatt[[#This Row],[Days]]),$G$5,"")),"")</f>
        <v/>
      </c>
      <c r="CM51" s="37" t="str">
        <f ca="1">IFERROR(+IF(CM$29=ProposalToGnatt[[#This Row],[Start Date]],Milestone_Marker,IF(AND(CM$29&gt;ProposalToGnatt[[#This Row],[Start Date]],CM$29&lt;ProposalToGnatt[[#This Row],[Start Date]]+ProposalToGnatt[[#This Row],[Days]]),$G$5,"")),"")</f>
        <v/>
      </c>
      <c r="CN51" s="37" t="str">
        <f ca="1">IFERROR(+IF(CN$29=ProposalToGnatt[[#This Row],[Start Date]],Milestone_Marker,IF(AND(CN$29&gt;ProposalToGnatt[[#This Row],[Start Date]],CN$29&lt;ProposalToGnatt[[#This Row],[Start Date]]+ProposalToGnatt[[#This Row],[Days]]),$G$5,"")),"")</f>
        <v/>
      </c>
      <c r="CO51" s="37" t="str">
        <f ca="1">IFERROR(+IF(CO$29=ProposalToGnatt[[#This Row],[Start Date]],Milestone_Marker,IF(AND(CO$29&gt;ProposalToGnatt[[#This Row],[Start Date]],CO$29&lt;ProposalToGnatt[[#This Row],[Start Date]]+ProposalToGnatt[[#This Row],[Days]]),$G$5,"")),"")</f>
        <v/>
      </c>
      <c r="CP51" s="37" t="str">
        <f ca="1">IFERROR(+IF(CP$29=ProposalToGnatt[[#This Row],[Start Date]],Milestone_Marker,IF(AND(CP$29&gt;ProposalToGnatt[[#This Row],[Start Date]],CP$29&lt;ProposalToGnatt[[#This Row],[Start Date]]+ProposalToGnatt[[#This Row],[Days]]),$G$5,"")),"")</f>
        <v/>
      </c>
      <c r="CQ51" s="37" t="str">
        <f ca="1">IFERROR(+IF(CQ$29=ProposalToGnatt[[#This Row],[Start Date]],Milestone_Marker,IF(AND(CQ$29&gt;ProposalToGnatt[[#This Row],[Start Date]],CQ$29&lt;ProposalToGnatt[[#This Row],[Start Date]]+ProposalToGnatt[[#This Row],[Days]]),$G$5,"")),"")</f>
        <v/>
      </c>
      <c r="CR51" s="37" t="str">
        <f ca="1">IFERROR(+IF(CR$29=ProposalToGnatt[[#This Row],[Start Date]],Milestone_Marker,IF(AND(CR$29&gt;ProposalToGnatt[[#This Row],[Start Date]],CR$29&lt;ProposalToGnatt[[#This Row],[Start Date]]+ProposalToGnatt[[#This Row],[Days]]),$G$5,"")),"")</f>
        <v/>
      </c>
      <c r="CS51" s="37" t="str">
        <f ca="1">IFERROR(+IF(CS$29=ProposalToGnatt[[#This Row],[Start Date]],Milestone_Marker,IF(AND(CS$29&gt;ProposalToGnatt[[#This Row],[Start Date]],CS$29&lt;ProposalToGnatt[[#This Row],[Start Date]]+ProposalToGnatt[[#This Row],[Days]]),$G$5,"")),"")</f>
        <v/>
      </c>
      <c r="CT51" s="37" t="str">
        <f ca="1">IFERROR(+IF(CT$29=ProposalToGnatt[[#This Row],[Start Date]],Milestone_Marker,IF(AND(CT$29&gt;ProposalToGnatt[[#This Row],[Start Date]],CT$29&lt;ProposalToGnatt[[#This Row],[Start Date]]+ProposalToGnatt[[#This Row],[Days]]),$G$5,"")),"")</f>
        <v/>
      </c>
      <c r="CU51" s="37" t="str">
        <f ca="1">IFERROR(+IF(CU$29=ProposalToGnatt[[#This Row],[Start Date]],Milestone_Marker,IF(AND(CU$29&gt;ProposalToGnatt[[#This Row],[Start Date]],CU$29&lt;ProposalToGnatt[[#This Row],[Start Date]]+ProposalToGnatt[[#This Row],[Days]]),$G$5,"")),"")</f>
        <v/>
      </c>
      <c r="CV51" s="37"/>
      <c r="CW51" s="37"/>
      <c r="CX51" s="37"/>
      <c r="CY51" s="37"/>
      <c r="CZ51" s="37"/>
      <c r="DA51" s="37"/>
      <c r="DB51" s="37"/>
      <c r="DC51" s="37"/>
      <c r="DD51" s="37"/>
      <c r="DE51" s="37"/>
      <c r="DF51" s="37"/>
      <c r="DG51" s="37"/>
      <c r="DH51" s="37"/>
      <c r="DI51" s="37"/>
      <c r="DJ51" s="37"/>
      <c r="DK51" s="37"/>
      <c r="DL51" s="37"/>
      <c r="DM51" s="37"/>
      <c r="DN51" s="37"/>
      <c r="DO51" s="37"/>
      <c r="DP51" s="37"/>
      <c r="DQ51" s="37"/>
      <c r="DR51" s="37"/>
      <c r="DS51" s="37"/>
      <c r="DT51" s="37"/>
      <c r="DU51" s="37"/>
    </row>
    <row r="52" spans="1:125" s="42" customFormat="1" ht="15" x14ac:dyDescent="0.25">
      <c r="A52" t="s">
        <v>428</v>
      </c>
      <c r="B52">
        <v>31</v>
      </c>
      <c r="C52" t="s">
        <v>339</v>
      </c>
      <c r="D52" t="s">
        <v>340</v>
      </c>
      <c r="E52" t="s">
        <v>349</v>
      </c>
      <c r="F52">
        <v>1</v>
      </c>
      <c r="G52" s="14"/>
      <c r="H52" s="14"/>
      <c r="I52"/>
      <c r="J52">
        <v>1</v>
      </c>
      <c r="K52" s="303">
        <v>45229</v>
      </c>
      <c r="L52"/>
      <c r="M52" s="14"/>
      <c r="N52" s="352"/>
      <c r="O52" s="340"/>
      <c r="P52" s="37" t="str">
        <f ca="1">IFERROR(+IF(P$29=ProposalToGnatt[[#This Row],[Start Date]],Milestone_Marker,IF(AND(P$29&gt;ProposalToGnatt[[#This Row],[Start Date]],P$29&lt;ProposalToGnatt[[#This Row],[Start Date]]+ProposalToGnatt[[#This Row],[Days]]),$G$5,"")),"")</f>
        <v/>
      </c>
      <c r="Q52" s="37" t="str">
        <f ca="1">IFERROR(+IF(Q$29=ProposalToGnatt[[#This Row],[Start Date]],Milestone_Marker,IF(AND(Q$29&gt;ProposalToGnatt[[#This Row],[Start Date]],Q$29&lt;ProposalToGnatt[[#This Row],[Start Date]]+ProposalToGnatt[[#This Row],[Days]]),$G$5,"")),"")</f>
        <v/>
      </c>
      <c r="R52" s="37" t="str">
        <f ca="1">IFERROR(+IF(R$29=ProposalToGnatt[[#This Row],[Start Date]],Milestone_Marker,IF(AND(R$29&gt;ProposalToGnatt[[#This Row],[Start Date]],R$29&lt;ProposalToGnatt[[#This Row],[Start Date]]+ProposalToGnatt[[#This Row],[Days]]),$G$5,"")),"")</f>
        <v/>
      </c>
      <c r="S52" s="37" t="str">
        <f ca="1">IFERROR(+IF(S$29=ProposalToGnatt[[#This Row],[Start Date]],Milestone_Marker,IF(AND(S$29&gt;ProposalToGnatt[[#This Row],[Start Date]],S$29&lt;ProposalToGnatt[[#This Row],[Start Date]]+ProposalToGnatt[[#This Row],[Days]]),$G$5,"")),"")</f>
        <v/>
      </c>
      <c r="T52" s="37" t="str">
        <f ca="1">IFERROR(+IF(T$29=ProposalToGnatt[[#This Row],[Start Date]],Milestone_Marker,IF(AND(T$29&gt;ProposalToGnatt[[#This Row],[Start Date]],T$29&lt;ProposalToGnatt[[#This Row],[Start Date]]+ProposalToGnatt[[#This Row],[Days]]),$G$5,"")),"")</f>
        <v/>
      </c>
      <c r="U52" s="37" t="str">
        <f ca="1">IFERROR(+IF(U$29=ProposalToGnatt[[#This Row],[Start Date]],Milestone_Marker,IF(AND(U$29&gt;ProposalToGnatt[[#This Row],[Start Date]],U$29&lt;ProposalToGnatt[[#This Row],[Start Date]]+ProposalToGnatt[[#This Row],[Days]]),$G$5,"")),"")</f>
        <v/>
      </c>
      <c r="V52" s="37" t="str">
        <f ca="1">IFERROR(+IF(V$29=ProposalToGnatt[[#This Row],[Start Date]],Milestone_Marker,IF(AND(V$29&gt;ProposalToGnatt[[#This Row],[Start Date]],V$29&lt;ProposalToGnatt[[#This Row],[Start Date]]+ProposalToGnatt[[#This Row],[Days]]),$G$5,"")),"")</f>
        <v/>
      </c>
      <c r="W52" s="37" t="str">
        <f ca="1">IFERROR(+IF(W$29=ProposalToGnatt[[#This Row],[Start Date]],Milestone_Marker,IF(AND(W$29&gt;ProposalToGnatt[[#This Row],[Start Date]],W$29&lt;ProposalToGnatt[[#This Row],[Start Date]]+ProposalToGnatt[[#This Row],[Days]]),$G$5,"")),"")</f>
        <v/>
      </c>
      <c r="X52" s="37" t="str">
        <f ca="1">IFERROR(+IF(X$29=ProposalToGnatt[[#This Row],[Start Date]],Milestone_Marker,IF(AND(X$29&gt;ProposalToGnatt[[#This Row],[Start Date]],X$29&lt;ProposalToGnatt[[#This Row],[Start Date]]+ProposalToGnatt[[#This Row],[Days]]),$G$5,"")),"")</f>
        <v/>
      </c>
      <c r="Y52" s="37" t="str">
        <f ca="1">IFERROR(+IF(Y$29=ProposalToGnatt[[#This Row],[Start Date]],Milestone_Marker,IF(AND(Y$29&gt;ProposalToGnatt[[#This Row],[Start Date]],Y$29&lt;ProposalToGnatt[[#This Row],[Start Date]]+ProposalToGnatt[[#This Row],[Days]]),$G$5,"")),"")</f>
        <v/>
      </c>
      <c r="Z52" s="37" t="str">
        <f ca="1">IFERROR(+IF(Z$29=ProposalToGnatt[[#This Row],[Start Date]],Milestone_Marker,IF(AND(Z$29&gt;ProposalToGnatt[[#This Row],[Start Date]],Z$29&lt;ProposalToGnatt[[#This Row],[Start Date]]+ProposalToGnatt[[#This Row],[Days]]),$G$5,"")),"")</f>
        <v/>
      </c>
      <c r="AA52" s="37" t="str">
        <f ca="1">IFERROR(+IF(AA$29=ProposalToGnatt[[#This Row],[Start Date]],Milestone_Marker,IF(AND(AA$29&gt;ProposalToGnatt[[#This Row],[Start Date]],AA$29&lt;ProposalToGnatt[[#This Row],[Start Date]]+ProposalToGnatt[[#This Row],[Days]]),$G$5,"")),"")</f>
        <v/>
      </c>
      <c r="AB52" s="37" t="str">
        <f ca="1">IFERROR(+IF(AB$29=ProposalToGnatt[[#This Row],[Start Date]],Milestone_Marker,IF(AND(AB$29&gt;ProposalToGnatt[[#This Row],[Start Date]],AB$29&lt;ProposalToGnatt[[#This Row],[Start Date]]+ProposalToGnatt[[#This Row],[Days]]),$G$5,"")),"")</f>
        <v/>
      </c>
      <c r="AC52" s="37" t="str">
        <f ca="1">IFERROR(+IF(AC$29=ProposalToGnatt[[#This Row],[Start Date]],Milestone_Marker,IF(AND(AC$29&gt;ProposalToGnatt[[#This Row],[Start Date]],AC$29&lt;ProposalToGnatt[[#This Row],[Start Date]]+ProposalToGnatt[[#This Row],[Days]]),$G$5,"")),"")</f>
        <v/>
      </c>
      <c r="AD52" s="37" t="str">
        <f ca="1">IFERROR(+IF(AD$29=ProposalToGnatt[[#This Row],[Start Date]],Milestone_Marker,IF(AND(AD$29&gt;ProposalToGnatt[[#This Row],[Start Date]],AD$29&lt;ProposalToGnatt[[#This Row],[Start Date]]+ProposalToGnatt[[#This Row],[Days]]),$G$5,"")),"")</f>
        <v/>
      </c>
      <c r="AE52" s="37" t="str">
        <f ca="1">IFERROR(+IF(AE$29=ProposalToGnatt[[#This Row],[Start Date]],Milestone_Marker,IF(AND(AE$29&gt;ProposalToGnatt[[#This Row],[Start Date]],AE$29&lt;ProposalToGnatt[[#This Row],[Start Date]]+ProposalToGnatt[[#This Row],[Days]]),$G$5,"")),"")</f>
        <v/>
      </c>
      <c r="AF52" s="37" t="str">
        <f ca="1">IFERROR(+IF(AF$29=ProposalToGnatt[[#This Row],[Start Date]],Milestone_Marker,IF(AND(AF$29&gt;ProposalToGnatt[[#This Row],[Start Date]],AF$29&lt;ProposalToGnatt[[#This Row],[Start Date]]+ProposalToGnatt[[#This Row],[Days]]),$G$5,"")),"")</f>
        <v/>
      </c>
      <c r="AG52" s="37">
        <f ca="1">IFERROR(+IF(AG$29=ProposalToGnatt[[#This Row],[Start Date]],Milestone_Marker,IF(AND(AG$29&gt;ProposalToGnatt[[#This Row],[Start Date]],AG$29&lt;ProposalToGnatt[[#This Row],[Start Date]]+ProposalToGnatt[[#This Row],[Days]]),$G$5,"")),"")</f>
        <v>1</v>
      </c>
      <c r="AH52" s="37" t="str">
        <f ca="1">IFERROR(+IF(AH$29=ProposalToGnatt[[#This Row],[Start Date]],Milestone_Marker,IF(AND(AH$29&gt;ProposalToGnatt[[#This Row],[Start Date]],AH$29&lt;ProposalToGnatt[[#This Row],[Start Date]]+ProposalToGnatt[[#This Row],[Days]]),$G$5,"")),"")</f>
        <v/>
      </c>
      <c r="AI52" s="37" t="str">
        <f ca="1">IFERROR(+IF(AI$29=ProposalToGnatt[[#This Row],[Start Date]],Milestone_Marker,IF(AND(AI$29&gt;ProposalToGnatt[[#This Row],[Start Date]],AI$29&lt;ProposalToGnatt[[#This Row],[Start Date]]+ProposalToGnatt[[#This Row],[Days]]),$G$5,"")),"")</f>
        <v/>
      </c>
      <c r="AJ52" s="37" t="str">
        <f ca="1">IFERROR(+IF(AJ$29=ProposalToGnatt[[#This Row],[Start Date]],Milestone_Marker,IF(AND(AJ$29&gt;ProposalToGnatt[[#This Row],[Start Date]],AJ$29&lt;ProposalToGnatt[[#This Row],[Start Date]]+ProposalToGnatt[[#This Row],[Days]]),$G$5,"")),"")</f>
        <v/>
      </c>
      <c r="AK52" s="37" t="str">
        <f ca="1">IFERROR(+IF(AK$29=ProposalToGnatt[[#This Row],[Start Date]],Milestone_Marker,IF(AND(AK$29&gt;ProposalToGnatt[[#This Row],[Start Date]],AK$29&lt;ProposalToGnatt[[#This Row],[Start Date]]+ProposalToGnatt[[#This Row],[Days]]),$G$5,"")),"")</f>
        <v/>
      </c>
      <c r="AL52" s="37" t="str">
        <f ca="1">IFERROR(+IF(AL$29=ProposalToGnatt[[#This Row],[Start Date]],Milestone_Marker,IF(AND(AL$29&gt;ProposalToGnatt[[#This Row],[Start Date]],AL$29&lt;ProposalToGnatt[[#This Row],[Start Date]]+ProposalToGnatt[[#This Row],[Days]]),$G$5,"")),"")</f>
        <v/>
      </c>
      <c r="AM52" s="37" t="str">
        <f ca="1">IFERROR(+IF(AM$29=ProposalToGnatt[[#This Row],[Start Date]],Milestone_Marker,IF(AND(AM$29&gt;ProposalToGnatt[[#This Row],[Start Date]],AM$29&lt;ProposalToGnatt[[#This Row],[Start Date]]+ProposalToGnatt[[#This Row],[Days]]),$G$5,"")),"")</f>
        <v/>
      </c>
      <c r="AN52" s="37" t="str">
        <f ca="1">IFERROR(+IF(AN$29=ProposalToGnatt[[#This Row],[Start Date]],Milestone_Marker,IF(AND(AN$29&gt;ProposalToGnatt[[#This Row],[Start Date]],AN$29&lt;ProposalToGnatt[[#This Row],[Start Date]]+ProposalToGnatt[[#This Row],[Days]]),$G$5,"")),"")</f>
        <v/>
      </c>
      <c r="AO52" s="37" t="str">
        <f ca="1">IFERROR(+IF(AO$29=ProposalToGnatt[[#This Row],[Start Date]],Milestone_Marker,IF(AND(AO$29&gt;ProposalToGnatt[[#This Row],[Start Date]],AO$29&lt;ProposalToGnatt[[#This Row],[Start Date]]+ProposalToGnatt[[#This Row],[Days]]),$G$5,"")),"")</f>
        <v/>
      </c>
      <c r="AP52" s="37" t="str">
        <f ca="1">IFERROR(+IF(AP$29=ProposalToGnatt[[#This Row],[Start Date]],Milestone_Marker,IF(AND(AP$29&gt;ProposalToGnatt[[#This Row],[Start Date]],AP$29&lt;ProposalToGnatt[[#This Row],[Start Date]]+ProposalToGnatt[[#This Row],[Days]]),$G$5,"")),"")</f>
        <v/>
      </c>
      <c r="AQ52" s="37" t="str">
        <f ca="1">IFERROR(+IF(AQ$29=ProposalToGnatt[[#This Row],[Start Date]],Milestone_Marker,IF(AND(AQ$29&gt;ProposalToGnatt[[#This Row],[Start Date]],AQ$29&lt;ProposalToGnatt[[#This Row],[Start Date]]+ProposalToGnatt[[#This Row],[Days]]),$G$5,"")),"")</f>
        <v/>
      </c>
      <c r="AR52" s="37" t="str">
        <f ca="1">IFERROR(+IF(AR$29=ProposalToGnatt[[#This Row],[Start Date]],Milestone_Marker,IF(AND(AR$29&gt;ProposalToGnatt[[#This Row],[Start Date]],AR$29&lt;ProposalToGnatt[[#This Row],[Start Date]]+ProposalToGnatt[[#This Row],[Days]]),$G$5,"")),"")</f>
        <v/>
      </c>
      <c r="AS52" s="37" t="str">
        <f ca="1">IFERROR(+IF(AS$29=ProposalToGnatt[[#This Row],[Start Date]],Milestone_Marker,IF(AND(AS$29&gt;ProposalToGnatt[[#This Row],[Start Date]],AS$29&lt;ProposalToGnatt[[#This Row],[Start Date]]+ProposalToGnatt[[#This Row],[Days]]),$G$5,"")),"")</f>
        <v/>
      </c>
      <c r="AT52" s="37" t="str">
        <f ca="1">IFERROR(+IF(AT$29=ProposalToGnatt[[#This Row],[Start Date]],Milestone_Marker,IF(AND(AT$29&gt;ProposalToGnatt[[#This Row],[Start Date]],AT$29&lt;ProposalToGnatt[[#This Row],[Start Date]]+ProposalToGnatt[[#This Row],[Days]]),$G$5,"")),"")</f>
        <v/>
      </c>
      <c r="AU52" s="37" t="str">
        <f ca="1">IFERROR(+IF(AU$29=ProposalToGnatt[[#This Row],[Start Date]],Milestone_Marker,IF(AND(AU$29&gt;ProposalToGnatt[[#This Row],[Start Date]],AU$29&lt;ProposalToGnatt[[#This Row],[Start Date]]+ProposalToGnatt[[#This Row],[Days]]),$G$5,"")),"")</f>
        <v/>
      </c>
      <c r="AV52" s="37" t="str">
        <f ca="1">IFERROR(+IF(AV$29=ProposalToGnatt[[#This Row],[Start Date]],Milestone_Marker,IF(AND(AV$29&gt;ProposalToGnatt[[#This Row],[Start Date]],AV$29&lt;ProposalToGnatt[[#This Row],[Start Date]]+ProposalToGnatt[[#This Row],[Days]]),$G$5,"")),"")</f>
        <v/>
      </c>
      <c r="AW52" s="37" t="str">
        <f ca="1">IFERROR(+IF(AW$29=ProposalToGnatt[[#This Row],[Start Date]],Milestone_Marker,IF(AND(AW$29&gt;ProposalToGnatt[[#This Row],[Start Date]],AW$29&lt;ProposalToGnatt[[#This Row],[Start Date]]+ProposalToGnatt[[#This Row],[Days]]),$G$5,"")),"")</f>
        <v/>
      </c>
      <c r="AX52" s="37" t="str">
        <f ca="1">IFERROR(+IF(AX$29=ProposalToGnatt[[#This Row],[Start Date]],Milestone_Marker,IF(AND(AX$29&gt;ProposalToGnatt[[#This Row],[Start Date]],AX$29&lt;ProposalToGnatt[[#This Row],[Start Date]]+ProposalToGnatt[[#This Row],[Days]]),$G$5,"")),"")</f>
        <v/>
      </c>
      <c r="AY52" s="37" t="str">
        <f ca="1">IFERROR(+IF(AY$29=ProposalToGnatt[[#This Row],[Start Date]],Milestone_Marker,IF(AND(AY$29&gt;ProposalToGnatt[[#This Row],[Start Date]],AY$29&lt;ProposalToGnatt[[#This Row],[Start Date]]+ProposalToGnatt[[#This Row],[Days]]),$G$5,"")),"")</f>
        <v/>
      </c>
      <c r="AZ52" s="37" t="str">
        <f ca="1">IFERROR(+IF(AZ$29=ProposalToGnatt[[#This Row],[Start Date]],Milestone_Marker,IF(AND(AZ$29&gt;ProposalToGnatt[[#This Row],[Start Date]],AZ$29&lt;ProposalToGnatt[[#This Row],[Start Date]]+ProposalToGnatt[[#This Row],[Days]]),$G$5,"")),"")</f>
        <v/>
      </c>
      <c r="BA52" s="37" t="str">
        <f ca="1">IFERROR(+IF(BA$29=ProposalToGnatt[[#This Row],[Start Date]],Milestone_Marker,IF(AND(BA$29&gt;ProposalToGnatt[[#This Row],[Start Date]],BA$29&lt;ProposalToGnatt[[#This Row],[Start Date]]+ProposalToGnatt[[#This Row],[Days]]),$G$5,"")),"")</f>
        <v/>
      </c>
      <c r="BB52" s="37" t="str">
        <f ca="1">IFERROR(+IF(BB$29=ProposalToGnatt[[#This Row],[Start Date]],Milestone_Marker,IF(AND(BB$29&gt;ProposalToGnatt[[#This Row],[Start Date]],BB$29&lt;ProposalToGnatt[[#This Row],[Start Date]]+ProposalToGnatt[[#This Row],[Days]]),$G$5,"")),"")</f>
        <v/>
      </c>
      <c r="BC52" s="37" t="str">
        <f ca="1">IFERROR(+IF(BC$29=ProposalToGnatt[[#This Row],[Start Date]],Milestone_Marker,IF(AND(BC$29&gt;ProposalToGnatt[[#This Row],[Start Date]],BC$29&lt;ProposalToGnatt[[#This Row],[Start Date]]+ProposalToGnatt[[#This Row],[Days]]),$G$5,"")),"")</f>
        <v/>
      </c>
      <c r="BD52" s="37" t="str">
        <f ca="1">IFERROR(+IF(BD$29=ProposalToGnatt[[#This Row],[Start Date]],Milestone_Marker,IF(AND(BD$29&gt;ProposalToGnatt[[#This Row],[Start Date]],BD$29&lt;ProposalToGnatt[[#This Row],[Start Date]]+ProposalToGnatt[[#This Row],[Days]]),$G$5,"")),"")</f>
        <v/>
      </c>
      <c r="BE52" s="37" t="str">
        <f ca="1">IFERROR(+IF(BE$29=ProposalToGnatt[[#This Row],[Start Date]],Milestone_Marker,IF(AND(BE$29&gt;ProposalToGnatt[[#This Row],[Start Date]],BE$29&lt;ProposalToGnatt[[#This Row],[Start Date]]+ProposalToGnatt[[#This Row],[Days]]),$G$5,"")),"")</f>
        <v/>
      </c>
      <c r="BF52" s="37" t="str">
        <f ca="1">IFERROR(+IF(BF$29=ProposalToGnatt[[#This Row],[Start Date]],Milestone_Marker,IF(AND(BF$29&gt;ProposalToGnatt[[#This Row],[Start Date]],BF$29&lt;ProposalToGnatt[[#This Row],[Start Date]]+ProposalToGnatt[[#This Row],[Days]]),$G$5,"")),"")</f>
        <v/>
      </c>
      <c r="BG52" s="37" t="str">
        <f ca="1">IFERROR(+IF(BG$29=ProposalToGnatt[[#This Row],[Start Date]],Milestone_Marker,IF(AND(BG$29&gt;ProposalToGnatt[[#This Row],[Start Date]],BG$29&lt;ProposalToGnatt[[#This Row],[Start Date]]+ProposalToGnatt[[#This Row],[Days]]),$G$5,"")),"")</f>
        <v/>
      </c>
      <c r="BH52" s="37" t="str">
        <f ca="1">IFERROR(+IF(BH$29=ProposalToGnatt[[#This Row],[Start Date]],Milestone_Marker,IF(AND(BH$29&gt;ProposalToGnatt[[#This Row],[Start Date]],BH$29&lt;ProposalToGnatt[[#This Row],[Start Date]]+ProposalToGnatt[[#This Row],[Days]]),$G$5,"")),"")</f>
        <v/>
      </c>
      <c r="BI52" s="37" t="str">
        <f ca="1">IFERROR(+IF(BI$29=ProposalToGnatt[[#This Row],[Start Date]],Milestone_Marker,IF(AND(BI$29&gt;ProposalToGnatt[[#This Row],[Start Date]],BI$29&lt;ProposalToGnatt[[#This Row],[Start Date]]+ProposalToGnatt[[#This Row],[Days]]),$G$5,"")),"")</f>
        <v/>
      </c>
      <c r="BJ52" s="37" t="str">
        <f ca="1">IFERROR(+IF(BJ$29=ProposalToGnatt[[#This Row],[Start Date]],Milestone_Marker,IF(AND(BJ$29&gt;ProposalToGnatt[[#This Row],[Start Date]],BJ$29&lt;ProposalToGnatt[[#This Row],[Start Date]]+ProposalToGnatt[[#This Row],[Days]]),$G$5,"")),"")</f>
        <v/>
      </c>
      <c r="BK52" s="37" t="str">
        <f ca="1">IFERROR(+IF(BK$29=ProposalToGnatt[[#This Row],[Start Date]],Milestone_Marker,IF(AND(BK$29&gt;ProposalToGnatt[[#This Row],[Start Date]],BK$29&lt;ProposalToGnatt[[#This Row],[Start Date]]+ProposalToGnatt[[#This Row],[Days]]),$G$5,"")),"")</f>
        <v/>
      </c>
      <c r="BL52" s="37" t="str">
        <f ca="1">IFERROR(+IF(BL$29=ProposalToGnatt[[#This Row],[Start Date]],Milestone_Marker,IF(AND(BL$29&gt;ProposalToGnatt[[#This Row],[Start Date]],BL$29&lt;ProposalToGnatt[[#This Row],[Start Date]]+ProposalToGnatt[[#This Row],[Days]]),$G$5,"")),"")</f>
        <v/>
      </c>
      <c r="BM52" s="37" t="str">
        <f ca="1">IFERROR(+IF(BM$29=ProposalToGnatt[[#This Row],[Start Date]],Milestone_Marker,IF(AND(BM$29&gt;ProposalToGnatt[[#This Row],[Start Date]],BM$29&lt;ProposalToGnatt[[#This Row],[Start Date]]+ProposalToGnatt[[#This Row],[Days]]),$G$5,"")),"")</f>
        <v/>
      </c>
      <c r="BN52" s="37" t="str">
        <f ca="1">IFERROR(+IF(BN$29=ProposalToGnatt[[#This Row],[Start Date]],Milestone_Marker,IF(AND(BN$29&gt;ProposalToGnatt[[#This Row],[Start Date]],BN$29&lt;ProposalToGnatt[[#This Row],[Start Date]]+ProposalToGnatt[[#This Row],[Days]]),$G$5,"")),"")</f>
        <v/>
      </c>
      <c r="BO52" s="37" t="str">
        <f ca="1">IFERROR(+IF(BO$29=ProposalToGnatt[[#This Row],[Start Date]],Milestone_Marker,IF(AND(BO$29&gt;ProposalToGnatt[[#This Row],[Start Date]],BO$29&lt;ProposalToGnatt[[#This Row],[Start Date]]+ProposalToGnatt[[#This Row],[Days]]),$G$5,"")),"")</f>
        <v/>
      </c>
      <c r="BP52" s="37" t="str">
        <f ca="1">IFERROR(+IF(BP$29=ProposalToGnatt[[#This Row],[Start Date]],Milestone_Marker,IF(AND(BP$29&gt;ProposalToGnatt[[#This Row],[Start Date]],BP$29&lt;ProposalToGnatt[[#This Row],[Start Date]]+ProposalToGnatt[[#This Row],[Days]]),$G$5,"")),"")</f>
        <v/>
      </c>
      <c r="BQ52" s="37" t="str">
        <f ca="1">IFERROR(+IF(BQ$29=ProposalToGnatt[[#This Row],[Start Date]],Milestone_Marker,IF(AND(BQ$29&gt;ProposalToGnatt[[#This Row],[Start Date]],BQ$29&lt;ProposalToGnatt[[#This Row],[Start Date]]+ProposalToGnatt[[#This Row],[Days]]),$G$5,"")),"")</f>
        <v/>
      </c>
      <c r="BR52" s="37" t="str">
        <f ca="1">IFERROR(+IF(BR$29=ProposalToGnatt[[#This Row],[Start Date]],Milestone_Marker,IF(AND(BR$29&gt;ProposalToGnatt[[#This Row],[Start Date]],BR$29&lt;ProposalToGnatt[[#This Row],[Start Date]]+ProposalToGnatt[[#This Row],[Days]]),$G$5,"")),"")</f>
        <v/>
      </c>
      <c r="BS52" s="37" t="str">
        <f ca="1">IFERROR(+IF(BS$29=ProposalToGnatt[[#This Row],[Start Date]],Milestone_Marker,IF(AND(BS$29&gt;ProposalToGnatt[[#This Row],[Start Date]],BS$29&lt;ProposalToGnatt[[#This Row],[Start Date]]+ProposalToGnatt[[#This Row],[Days]]),$G$5,"")),"")</f>
        <v/>
      </c>
      <c r="BT52" s="37" t="str">
        <f ca="1">IFERROR(+IF(BT$29=ProposalToGnatt[[#This Row],[Start Date]],Milestone_Marker,IF(AND(BT$29&gt;ProposalToGnatt[[#This Row],[Start Date]],BT$29&lt;ProposalToGnatt[[#This Row],[Start Date]]+ProposalToGnatt[[#This Row],[Days]]),$G$5,"")),"")</f>
        <v/>
      </c>
      <c r="BU52" s="37" t="str">
        <f ca="1">IFERROR(+IF(BU$29=ProposalToGnatt[[#This Row],[Start Date]],Milestone_Marker,IF(AND(BU$29&gt;ProposalToGnatt[[#This Row],[Start Date]],BU$29&lt;ProposalToGnatt[[#This Row],[Start Date]]+ProposalToGnatt[[#This Row],[Days]]),$G$5,"")),"")</f>
        <v/>
      </c>
      <c r="BV52" s="37" t="str">
        <f ca="1">IFERROR(+IF(BV$29=ProposalToGnatt[[#This Row],[Start Date]],Milestone_Marker,IF(AND(BV$29&gt;ProposalToGnatt[[#This Row],[Start Date]],BV$29&lt;ProposalToGnatt[[#This Row],[Start Date]]+ProposalToGnatt[[#This Row],[Days]]),$G$5,"")),"")</f>
        <v/>
      </c>
      <c r="BW52" s="37" t="str">
        <f ca="1">IFERROR(+IF(BW$29=ProposalToGnatt[[#This Row],[Start Date]],Milestone_Marker,IF(AND(BW$29&gt;ProposalToGnatt[[#This Row],[Start Date]],BW$29&lt;ProposalToGnatt[[#This Row],[Start Date]]+ProposalToGnatt[[#This Row],[Days]]),$G$5,"")),"")</f>
        <v/>
      </c>
      <c r="BX52" s="37" t="str">
        <f ca="1">IFERROR(+IF(BX$29=ProposalToGnatt[[#This Row],[Start Date]],Milestone_Marker,IF(AND(BX$29&gt;ProposalToGnatt[[#This Row],[Start Date]],BX$29&lt;ProposalToGnatt[[#This Row],[Start Date]]+ProposalToGnatt[[#This Row],[Days]]),$G$5,"")),"")</f>
        <v/>
      </c>
      <c r="BY52" s="37" t="str">
        <f ca="1">IFERROR(+IF(BY$29=ProposalToGnatt[[#This Row],[Start Date]],Milestone_Marker,IF(AND(BY$29&gt;ProposalToGnatt[[#This Row],[Start Date]],BY$29&lt;ProposalToGnatt[[#This Row],[Start Date]]+ProposalToGnatt[[#This Row],[Days]]),$G$5,"")),"")</f>
        <v/>
      </c>
      <c r="BZ52" s="37" t="str">
        <f ca="1">IFERROR(+IF(BZ$29=ProposalToGnatt[[#This Row],[Start Date]],Milestone_Marker,IF(AND(BZ$29&gt;ProposalToGnatt[[#This Row],[Start Date]],BZ$29&lt;ProposalToGnatt[[#This Row],[Start Date]]+ProposalToGnatt[[#This Row],[Days]]),$G$5,"")),"")</f>
        <v/>
      </c>
      <c r="CA52" s="37" t="str">
        <f ca="1">IFERROR(+IF(CA$29=ProposalToGnatt[[#This Row],[Start Date]],Milestone_Marker,IF(AND(CA$29&gt;ProposalToGnatt[[#This Row],[Start Date]],CA$29&lt;ProposalToGnatt[[#This Row],[Start Date]]+ProposalToGnatt[[#This Row],[Days]]),$G$5,"")),"")</f>
        <v/>
      </c>
      <c r="CB52" s="37" t="str">
        <f ca="1">IFERROR(+IF(CB$29=ProposalToGnatt[[#This Row],[Start Date]],Milestone_Marker,IF(AND(CB$29&gt;ProposalToGnatt[[#This Row],[Start Date]],CB$29&lt;ProposalToGnatt[[#This Row],[Start Date]]+ProposalToGnatt[[#This Row],[Days]]),$G$5,"")),"")</f>
        <v/>
      </c>
      <c r="CC52" s="37" t="str">
        <f ca="1">IFERROR(+IF(CC$29=ProposalToGnatt[[#This Row],[Start Date]],Milestone_Marker,IF(AND(CC$29&gt;ProposalToGnatt[[#This Row],[Start Date]],CC$29&lt;ProposalToGnatt[[#This Row],[Start Date]]+ProposalToGnatt[[#This Row],[Days]]),$G$5,"")),"")</f>
        <v/>
      </c>
      <c r="CD52" s="37" t="str">
        <f ca="1">IFERROR(+IF(CD$29=ProposalToGnatt[[#This Row],[Start Date]],Milestone_Marker,IF(AND(CD$29&gt;ProposalToGnatt[[#This Row],[Start Date]],CD$29&lt;ProposalToGnatt[[#This Row],[Start Date]]+ProposalToGnatt[[#This Row],[Days]]),$G$5,"")),"")</f>
        <v/>
      </c>
      <c r="CE52" s="37" t="str">
        <f ca="1">IFERROR(+IF(CE$29=ProposalToGnatt[[#This Row],[Start Date]],Milestone_Marker,IF(AND(CE$29&gt;ProposalToGnatt[[#This Row],[Start Date]],CE$29&lt;ProposalToGnatt[[#This Row],[Start Date]]+ProposalToGnatt[[#This Row],[Days]]),$G$5,"")),"")</f>
        <v/>
      </c>
      <c r="CF52" s="37" t="str">
        <f ca="1">IFERROR(+IF(CF$29=ProposalToGnatt[[#This Row],[Start Date]],Milestone_Marker,IF(AND(CF$29&gt;ProposalToGnatt[[#This Row],[Start Date]],CF$29&lt;ProposalToGnatt[[#This Row],[Start Date]]+ProposalToGnatt[[#This Row],[Days]]),$G$5,"")),"")</f>
        <v/>
      </c>
      <c r="CG52" s="37" t="str">
        <f ca="1">IFERROR(+IF(CG$29=ProposalToGnatt[[#This Row],[Start Date]],Milestone_Marker,IF(AND(CG$29&gt;ProposalToGnatt[[#This Row],[Start Date]],CG$29&lt;ProposalToGnatt[[#This Row],[Start Date]]+ProposalToGnatt[[#This Row],[Days]]),$G$5,"")),"")</f>
        <v/>
      </c>
      <c r="CH52" s="37" t="str">
        <f ca="1">IFERROR(+IF(CH$29=ProposalToGnatt[[#This Row],[Start Date]],Milestone_Marker,IF(AND(CH$29&gt;ProposalToGnatt[[#This Row],[Start Date]],CH$29&lt;ProposalToGnatt[[#This Row],[Start Date]]+ProposalToGnatt[[#This Row],[Days]]),$G$5,"")),"")</f>
        <v/>
      </c>
      <c r="CI52" s="37" t="str">
        <f ca="1">IFERROR(+IF(CI$29=ProposalToGnatt[[#This Row],[Start Date]],Milestone_Marker,IF(AND(CI$29&gt;ProposalToGnatt[[#This Row],[Start Date]],CI$29&lt;ProposalToGnatt[[#This Row],[Start Date]]+ProposalToGnatt[[#This Row],[Days]]),$G$5,"")),"")</f>
        <v/>
      </c>
      <c r="CJ52" s="37" t="str">
        <f ca="1">IFERROR(+IF(CJ$29=ProposalToGnatt[[#This Row],[Start Date]],Milestone_Marker,IF(AND(CJ$29&gt;ProposalToGnatt[[#This Row],[Start Date]],CJ$29&lt;ProposalToGnatt[[#This Row],[Start Date]]+ProposalToGnatt[[#This Row],[Days]]),$G$5,"")),"")</f>
        <v/>
      </c>
      <c r="CK52" s="37" t="str">
        <f ca="1">IFERROR(+IF(CK$29=ProposalToGnatt[[#This Row],[Start Date]],Milestone_Marker,IF(AND(CK$29&gt;ProposalToGnatt[[#This Row],[Start Date]],CK$29&lt;ProposalToGnatt[[#This Row],[Start Date]]+ProposalToGnatt[[#This Row],[Days]]),$G$5,"")),"")</f>
        <v/>
      </c>
      <c r="CL52" s="37" t="str">
        <f ca="1">IFERROR(+IF(CL$29=ProposalToGnatt[[#This Row],[Start Date]],Milestone_Marker,IF(AND(CL$29&gt;ProposalToGnatt[[#This Row],[Start Date]],CL$29&lt;ProposalToGnatt[[#This Row],[Start Date]]+ProposalToGnatt[[#This Row],[Days]]),$G$5,"")),"")</f>
        <v/>
      </c>
      <c r="CM52" s="37" t="str">
        <f ca="1">IFERROR(+IF(CM$29=ProposalToGnatt[[#This Row],[Start Date]],Milestone_Marker,IF(AND(CM$29&gt;ProposalToGnatt[[#This Row],[Start Date]],CM$29&lt;ProposalToGnatt[[#This Row],[Start Date]]+ProposalToGnatt[[#This Row],[Days]]),$G$5,"")),"")</f>
        <v/>
      </c>
      <c r="CN52" s="37" t="str">
        <f ca="1">IFERROR(+IF(CN$29=ProposalToGnatt[[#This Row],[Start Date]],Milestone_Marker,IF(AND(CN$29&gt;ProposalToGnatt[[#This Row],[Start Date]],CN$29&lt;ProposalToGnatt[[#This Row],[Start Date]]+ProposalToGnatt[[#This Row],[Days]]),$G$5,"")),"")</f>
        <v/>
      </c>
      <c r="CO52" s="37" t="str">
        <f ca="1">IFERROR(+IF(CO$29=ProposalToGnatt[[#This Row],[Start Date]],Milestone_Marker,IF(AND(CO$29&gt;ProposalToGnatt[[#This Row],[Start Date]],CO$29&lt;ProposalToGnatt[[#This Row],[Start Date]]+ProposalToGnatt[[#This Row],[Days]]),$G$5,"")),"")</f>
        <v/>
      </c>
      <c r="CP52" s="37" t="str">
        <f ca="1">IFERROR(+IF(CP$29=ProposalToGnatt[[#This Row],[Start Date]],Milestone_Marker,IF(AND(CP$29&gt;ProposalToGnatt[[#This Row],[Start Date]],CP$29&lt;ProposalToGnatt[[#This Row],[Start Date]]+ProposalToGnatt[[#This Row],[Days]]),$G$5,"")),"")</f>
        <v/>
      </c>
      <c r="CQ52" s="37" t="str">
        <f ca="1">IFERROR(+IF(CQ$29=ProposalToGnatt[[#This Row],[Start Date]],Milestone_Marker,IF(AND(CQ$29&gt;ProposalToGnatt[[#This Row],[Start Date]],CQ$29&lt;ProposalToGnatt[[#This Row],[Start Date]]+ProposalToGnatt[[#This Row],[Days]]),$G$5,"")),"")</f>
        <v/>
      </c>
      <c r="CR52" s="37" t="str">
        <f ca="1">IFERROR(+IF(CR$29=ProposalToGnatt[[#This Row],[Start Date]],Milestone_Marker,IF(AND(CR$29&gt;ProposalToGnatt[[#This Row],[Start Date]],CR$29&lt;ProposalToGnatt[[#This Row],[Start Date]]+ProposalToGnatt[[#This Row],[Days]]),$G$5,"")),"")</f>
        <v/>
      </c>
      <c r="CS52" s="37" t="str">
        <f ca="1">IFERROR(+IF(CS$29=ProposalToGnatt[[#This Row],[Start Date]],Milestone_Marker,IF(AND(CS$29&gt;ProposalToGnatt[[#This Row],[Start Date]],CS$29&lt;ProposalToGnatt[[#This Row],[Start Date]]+ProposalToGnatt[[#This Row],[Days]]),$G$5,"")),"")</f>
        <v/>
      </c>
      <c r="CT52" s="37" t="str">
        <f ca="1">IFERROR(+IF(CT$29=ProposalToGnatt[[#This Row],[Start Date]],Milestone_Marker,IF(AND(CT$29&gt;ProposalToGnatt[[#This Row],[Start Date]],CT$29&lt;ProposalToGnatt[[#This Row],[Start Date]]+ProposalToGnatt[[#This Row],[Days]]),$G$5,"")),"")</f>
        <v/>
      </c>
      <c r="CU52" s="37" t="str">
        <f ca="1">IFERROR(+IF(CU$29=ProposalToGnatt[[#This Row],[Start Date]],Milestone_Marker,IF(AND(CU$29&gt;ProposalToGnatt[[#This Row],[Start Date]],CU$29&lt;ProposalToGnatt[[#This Row],[Start Date]]+ProposalToGnatt[[#This Row],[Days]]),$G$5,"")),"")</f>
        <v/>
      </c>
      <c r="CV52" s="37"/>
      <c r="CW52" s="37"/>
      <c r="CX52" s="37"/>
      <c r="CY52" s="37"/>
      <c r="CZ52" s="37"/>
      <c r="DA52" s="37"/>
      <c r="DB52" s="37"/>
      <c r="DC52" s="37"/>
      <c r="DD52" s="37"/>
      <c r="DE52" s="37"/>
      <c r="DF52" s="37"/>
      <c r="DG52" s="37"/>
      <c r="DH52" s="37"/>
      <c r="DI52" s="37"/>
      <c r="DJ52" s="37"/>
      <c r="DK52" s="37"/>
      <c r="DL52" s="37"/>
      <c r="DM52" s="37"/>
      <c r="DN52" s="37"/>
      <c r="DO52" s="37"/>
      <c r="DP52" s="37"/>
      <c r="DQ52" s="37"/>
      <c r="DR52" s="37"/>
      <c r="DS52" s="37"/>
      <c r="DT52" s="37"/>
      <c r="DU52" s="37"/>
    </row>
    <row r="53" spans="1:125" s="42" customFormat="1" ht="15" x14ac:dyDescent="0.25">
      <c r="A53" t="s">
        <v>428</v>
      </c>
      <c r="B53">
        <v>32</v>
      </c>
      <c r="C53" t="s">
        <v>339</v>
      </c>
      <c r="D53" t="s">
        <v>340</v>
      </c>
      <c r="E53" t="s">
        <v>350</v>
      </c>
      <c r="F53">
        <v>1</v>
      </c>
      <c r="G53" s="14"/>
      <c r="H53" s="14"/>
      <c r="I53"/>
      <c r="J53">
        <v>1</v>
      </c>
      <c r="K53" s="303">
        <v>45229</v>
      </c>
      <c r="L53"/>
      <c r="M53" s="14"/>
      <c r="N53" s="352"/>
      <c r="O53" s="340"/>
      <c r="P53" s="37" t="str">
        <f ca="1">IFERROR(+IF(P$29=ProposalToGnatt[[#This Row],[Start Date]],Milestone_Marker,IF(AND(P$29&gt;ProposalToGnatt[[#This Row],[Start Date]],P$29&lt;ProposalToGnatt[[#This Row],[Start Date]]+ProposalToGnatt[[#This Row],[Days]]),$G$5,"")),"")</f>
        <v/>
      </c>
      <c r="Q53" s="37" t="str">
        <f ca="1">IFERROR(+IF(Q$29=ProposalToGnatt[[#This Row],[Start Date]],Milestone_Marker,IF(AND(Q$29&gt;ProposalToGnatt[[#This Row],[Start Date]],Q$29&lt;ProposalToGnatt[[#This Row],[Start Date]]+ProposalToGnatt[[#This Row],[Days]]),$G$5,"")),"")</f>
        <v/>
      </c>
      <c r="R53" s="37" t="str">
        <f ca="1">IFERROR(+IF(R$29=ProposalToGnatt[[#This Row],[Start Date]],Milestone_Marker,IF(AND(R$29&gt;ProposalToGnatt[[#This Row],[Start Date]],R$29&lt;ProposalToGnatt[[#This Row],[Start Date]]+ProposalToGnatt[[#This Row],[Days]]),$G$5,"")),"")</f>
        <v/>
      </c>
      <c r="S53" s="37" t="str">
        <f ca="1">IFERROR(+IF(S$29=ProposalToGnatt[[#This Row],[Start Date]],Milestone_Marker,IF(AND(S$29&gt;ProposalToGnatt[[#This Row],[Start Date]],S$29&lt;ProposalToGnatt[[#This Row],[Start Date]]+ProposalToGnatt[[#This Row],[Days]]),$G$5,"")),"")</f>
        <v/>
      </c>
      <c r="T53" s="37" t="str">
        <f ca="1">IFERROR(+IF(T$29=ProposalToGnatt[[#This Row],[Start Date]],Milestone_Marker,IF(AND(T$29&gt;ProposalToGnatt[[#This Row],[Start Date]],T$29&lt;ProposalToGnatt[[#This Row],[Start Date]]+ProposalToGnatt[[#This Row],[Days]]),$G$5,"")),"")</f>
        <v/>
      </c>
      <c r="U53" s="37" t="str">
        <f ca="1">IFERROR(+IF(U$29=ProposalToGnatt[[#This Row],[Start Date]],Milestone_Marker,IF(AND(U$29&gt;ProposalToGnatt[[#This Row],[Start Date]],U$29&lt;ProposalToGnatt[[#This Row],[Start Date]]+ProposalToGnatt[[#This Row],[Days]]),$G$5,"")),"")</f>
        <v/>
      </c>
      <c r="V53" s="37" t="str">
        <f ca="1">IFERROR(+IF(V$29=ProposalToGnatt[[#This Row],[Start Date]],Milestone_Marker,IF(AND(V$29&gt;ProposalToGnatt[[#This Row],[Start Date]],V$29&lt;ProposalToGnatt[[#This Row],[Start Date]]+ProposalToGnatt[[#This Row],[Days]]),$G$5,"")),"")</f>
        <v/>
      </c>
      <c r="W53" s="37" t="str">
        <f ca="1">IFERROR(+IF(W$29=ProposalToGnatt[[#This Row],[Start Date]],Milestone_Marker,IF(AND(W$29&gt;ProposalToGnatt[[#This Row],[Start Date]],W$29&lt;ProposalToGnatt[[#This Row],[Start Date]]+ProposalToGnatt[[#This Row],[Days]]),$G$5,"")),"")</f>
        <v/>
      </c>
      <c r="X53" s="37" t="str">
        <f ca="1">IFERROR(+IF(X$29=ProposalToGnatt[[#This Row],[Start Date]],Milestone_Marker,IF(AND(X$29&gt;ProposalToGnatt[[#This Row],[Start Date]],X$29&lt;ProposalToGnatt[[#This Row],[Start Date]]+ProposalToGnatt[[#This Row],[Days]]),$G$5,"")),"")</f>
        <v/>
      </c>
      <c r="Y53" s="37" t="str">
        <f ca="1">IFERROR(+IF(Y$29=ProposalToGnatt[[#This Row],[Start Date]],Milestone_Marker,IF(AND(Y$29&gt;ProposalToGnatt[[#This Row],[Start Date]],Y$29&lt;ProposalToGnatt[[#This Row],[Start Date]]+ProposalToGnatt[[#This Row],[Days]]),$G$5,"")),"")</f>
        <v/>
      </c>
      <c r="Z53" s="37" t="str">
        <f ca="1">IFERROR(+IF(Z$29=ProposalToGnatt[[#This Row],[Start Date]],Milestone_Marker,IF(AND(Z$29&gt;ProposalToGnatt[[#This Row],[Start Date]],Z$29&lt;ProposalToGnatt[[#This Row],[Start Date]]+ProposalToGnatt[[#This Row],[Days]]),$G$5,"")),"")</f>
        <v/>
      </c>
      <c r="AA53" s="37" t="str">
        <f ca="1">IFERROR(+IF(AA$29=ProposalToGnatt[[#This Row],[Start Date]],Milestone_Marker,IF(AND(AA$29&gt;ProposalToGnatt[[#This Row],[Start Date]],AA$29&lt;ProposalToGnatt[[#This Row],[Start Date]]+ProposalToGnatt[[#This Row],[Days]]),$G$5,"")),"")</f>
        <v/>
      </c>
      <c r="AB53" s="37" t="str">
        <f ca="1">IFERROR(+IF(AB$29=ProposalToGnatt[[#This Row],[Start Date]],Milestone_Marker,IF(AND(AB$29&gt;ProposalToGnatt[[#This Row],[Start Date]],AB$29&lt;ProposalToGnatt[[#This Row],[Start Date]]+ProposalToGnatt[[#This Row],[Days]]),$G$5,"")),"")</f>
        <v/>
      </c>
      <c r="AC53" s="37" t="str">
        <f ca="1">IFERROR(+IF(AC$29=ProposalToGnatt[[#This Row],[Start Date]],Milestone_Marker,IF(AND(AC$29&gt;ProposalToGnatt[[#This Row],[Start Date]],AC$29&lt;ProposalToGnatt[[#This Row],[Start Date]]+ProposalToGnatt[[#This Row],[Days]]),$G$5,"")),"")</f>
        <v/>
      </c>
      <c r="AD53" s="37" t="str">
        <f ca="1">IFERROR(+IF(AD$29=ProposalToGnatt[[#This Row],[Start Date]],Milestone_Marker,IF(AND(AD$29&gt;ProposalToGnatt[[#This Row],[Start Date]],AD$29&lt;ProposalToGnatt[[#This Row],[Start Date]]+ProposalToGnatt[[#This Row],[Days]]),$G$5,"")),"")</f>
        <v/>
      </c>
      <c r="AE53" s="37" t="str">
        <f ca="1">IFERROR(+IF(AE$29=ProposalToGnatt[[#This Row],[Start Date]],Milestone_Marker,IF(AND(AE$29&gt;ProposalToGnatt[[#This Row],[Start Date]],AE$29&lt;ProposalToGnatt[[#This Row],[Start Date]]+ProposalToGnatt[[#This Row],[Days]]),$G$5,"")),"")</f>
        <v/>
      </c>
      <c r="AF53" s="37" t="str">
        <f ca="1">IFERROR(+IF(AF$29=ProposalToGnatt[[#This Row],[Start Date]],Milestone_Marker,IF(AND(AF$29&gt;ProposalToGnatt[[#This Row],[Start Date]],AF$29&lt;ProposalToGnatt[[#This Row],[Start Date]]+ProposalToGnatt[[#This Row],[Days]]),$G$5,"")),"")</f>
        <v/>
      </c>
      <c r="AG53" s="37">
        <f ca="1">IFERROR(+IF(AG$29=ProposalToGnatt[[#This Row],[Start Date]],Milestone_Marker,IF(AND(AG$29&gt;ProposalToGnatt[[#This Row],[Start Date]],AG$29&lt;ProposalToGnatt[[#This Row],[Start Date]]+ProposalToGnatt[[#This Row],[Days]]),$G$5,"")),"")</f>
        <v>1</v>
      </c>
      <c r="AH53" s="37" t="str">
        <f ca="1">IFERROR(+IF(AH$29=ProposalToGnatt[[#This Row],[Start Date]],Milestone_Marker,IF(AND(AH$29&gt;ProposalToGnatt[[#This Row],[Start Date]],AH$29&lt;ProposalToGnatt[[#This Row],[Start Date]]+ProposalToGnatt[[#This Row],[Days]]),$G$5,"")),"")</f>
        <v/>
      </c>
      <c r="AI53" s="37" t="str">
        <f ca="1">IFERROR(+IF(AI$29=ProposalToGnatt[[#This Row],[Start Date]],Milestone_Marker,IF(AND(AI$29&gt;ProposalToGnatt[[#This Row],[Start Date]],AI$29&lt;ProposalToGnatt[[#This Row],[Start Date]]+ProposalToGnatt[[#This Row],[Days]]),$G$5,"")),"")</f>
        <v/>
      </c>
      <c r="AJ53" s="37" t="str">
        <f ca="1">IFERROR(+IF(AJ$29=ProposalToGnatt[[#This Row],[Start Date]],Milestone_Marker,IF(AND(AJ$29&gt;ProposalToGnatt[[#This Row],[Start Date]],AJ$29&lt;ProposalToGnatt[[#This Row],[Start Date]]+ProposalToGnatt[[#This Row],[Days]]),$G$5,"")),"")</f>
        <v/>
      </c>
      <c r="AK53" s="37" t="str">
        <f ca="1">IFERROR(+IF(AK$29=ProposalToGnatt[[#This Row],[Start Date]],Milestone_Marker,IF(AND(AK$29&gt;ProposalToGnatt[[#This Row],[Start Date]],AK$29&lt;ProposalToGnatt[[#This Row],[Start Date]]+ProposalToGnatt[[#This Row],[Days]]),$G$5,"")),"")</f>
        <v/>
      </c>
      <c r="AL53" s="37" t="str">
        <f ca="1">IFERROR(+IF(AL$29=ProposalToGnatt[[#This Row],[Start Date]],Milestone_Marker,IF(AND(AL$29&gt;ProposalToGnatt[[#This Row],[Start Date]],AL$29&lt;ProposalToGnatt[[#This Row],[Start Date]]+ProposalToGnatt[[#This Row],[Days]]),$G$5,"")),"")</f>
        <v/>
      </c>
      <c r="AM53" s="37" t="str">
        <f ca="1">IFERROR(+IF(AM$29=ProposalToGnatt[[#This Row],[Start Date]],Milestone_Marker,IF(AND(AM$29&gt;ProposalToGnatt[[#This Row],[Start Date]],AM$29&lt;ProposalToGnatt[[#This Row],[Start Date]]+ProposalToGnatt[[#This Row],[Days]]),$G$5,"")),"")</f>
        <v/>
      </c>
      <c r="AN53" s="37" t="str">
        <f ca="1">IFERROR(+IF(AN$29=ProposalToGnatt[[#This Row],[Start Date]],Milestone_Marker,IF(AND(AN$29&gt;ProposalToGnatt[[#This Row],[Start Date]],AN$29&lt;ProposalToGnatt[[#This Row],[Start Date]]+ProposalToGnatt[[#This Row],[Days]]),$G$5,"")),"")</f>
        <v/>
      </c>
      <c r="AO53" s="37" t="str">
        <f ca="1">IFERROR(+IF(AO$29=ProposalToGnatt[[#This Row],[Start Date]],Milestone_Marker,IF(AND(AO$29&gt;ProposalToGnatt[[#This Row],[Start Date]],AO$29&lt;ProposalToGnatt[[#This Row],[Start Date]]+ProposalToGnatt[[#This Row],[Days]]),$G$5,"")),"")</f>
        <v/>
      </c>
      <c r="AP53" s="37" t="str">
        <f ca="1">IFERROR(+IF(AP$29=ProposalToGnatt[[#This Row],[Start Date]],Milestone_Marker,IF(AND(AP$29&gt;ProposalToGnatt[[#This Row],[Start Date]],AP$29&lt;ProposalToGnatt[[#This Row],[Start Date]]+ProposalToGnatt[[#This Row],[Days]]),$G$5,"")),"")</f>
        <v/>
      </c>
      <c r="AQ53" s="37" t="str">
        <f ca="1">IFERROR(+IF(AQ$29=ProposalToGnatt[[#This Row],[Start Date]],Milestone_Marker,IF(AND(AQ$29&gt;ProposalToGnatt[[#This Row],[Start Date]],AQ$29&lt;ProposalToGnatt[[#This Row],[Start Date]]+ProposalToGnatt[[#This Row],[Days]]),$G$5,"")),"")</f>
        <v/>
      </c>
      <c r="AR53" s="37" t="str">
        <f ca="1">IFERROR(+IF(AR$29=ProposalToGnatt[[#This Row],[Start Date]],Milestone_Marker,IF(AND(AR$29&gt;ProposalToGnatt[[#This Row],[Start Date]],AR$29&lt;ProposalToGnatt[[#This Row],[Start Date]]+ProposalToGnatt[[#This Row],[Days]]),$G$5,"")),"")</f>
        <v/>
      </c>
      <c r="AS53" s="37" t="str">
        <f ca="1">IFERROR(+IF(AS$29=ProposalToGnatt[[#This Row],[Start Date]],Milestone_Marker,IF(AND(AS$29&gt;ProposalToGnatt[[#This Row],[Start Date]],AS$29&lt;ProposalToGnatt[[#This Row],[Start Date]]+ProposalToGnatt[[#This Row],[Days]]),$G$5,"")),"")</f>
        <v/>
      </c>
      <c r="AT53" s="37" t="str">
        <f ca="1">IFERROR(+IF(AT$29=ProposalToGnatt[[#This Row],[Start Date]],Milestone_Marker,IF(AND(AT$29&gt;ProposalToGnatt[[#This Row],[Start Date]],AT$29&lt;ProposalToGnatt[[#This Row],[Start Date]]+ProposalToGnatt[[#This Row],[Days]]),$G$5,"")),"")</f>
        <v/>
      </c>
      <c r="AU53" s="37" t="str">
        <f ca="1">IFERROR(+IF(AU$29=ProposalToGnatt[[#This Row],[Start Date]],Milestone_Marker,IF(AND(AU$29&gt;ProposalToGnatt[[#This Row],[Start Date]],AU$29&lt;ProposalToGnatt[[#This Row],[Start Date]]+ProposalToGnatt[[#This Row],[Days]]),$G$5,"")),"")</f>
        <v/>
      </c>
      <c r="AV53" s="37" t="str">
        <f ca="1">IFERROR(+IF(AV$29=ProposalToGnatt[[#This Row],[Start Date]],Milestone_Marker,IF(AND(AV$29&gt;ProposalToGnatt[[#This Row],[Start Date]],AV$29&lt;ProposalToGnatt[[#This Row],[Start Date]]+ProposalToGnatt[[#This Row],[Days]]),$G$5,"")),"")</f>
        <v/>
      </c>
      <c r="AW53" s="37" t="str">
        <f ca="1">IFERROR(+IF(AW$29=ProposalToGnatt[[#This Row],[Start Date]],Milestone_Marker,IF(AND(AW$29&gt;ProposalToGnatt[[#This Row],[Start Date]],AW$29&lt;ProposalToGnatt[[#This Row],[Start Date]]+ProposalToGnatt[[#This Row],[Days]]),$G$5,"")),"")</f>
        <v/>
      </c>
      <c r="AX53" s="37" t="str">
        <f ca="1">IFERROR(+IF(AX$29=ProposalToGnatt[[#This Row],[Start Date]],Milestone_Marker,IF(AND(AX$29&gt;ProposalToGnatt[[#This Row],[Start Date]],AX$29&lt;ProposalToGnatt[[#This Row],[Start Date]]+ProposalToGnatt[[#This Row],[Days]]),$G$5,"")),"")</f>
        <v/>
      </c>
      <c r="AY53" s="37" t="str">
        <f ca="1">IFERROR(+IF(AY$29=ProposalToGnatt[[#This Row],[Start Date]],Milestone_Marker,IF(AND(AY$29&gt;ProposalToGnatt[[#This Row],[Start Date]],AY$29&lt;ProposalToGnatt[[#This Row],[Start Date]]+ProposalToGnatt[[#This Row],[Days]]),$G$5,"")),"")</f>
        <v/>
      </c>
      <c r="AZ53" s="37" t="str">
        <f ca="1">IFERROR(+IF(AZ$29=ProposalToGnatt[[#This Row],[Start Date]],Milestone_Marker,IF(AND(AZ$29&gt;ProposalToGnatt[[#This Row],[Start Date]],AZ$29&lt;ProposalToGnatt[[#This Row],[Start Date]]+ProposalToGnatt[[#This Row],[Days]]),$G$5,"")),"")</f>
        <v/>
      </c>
      <c r="BA53" s="37" t="str">
        <f ca="1">IFERROR(+IF(BA$29=ProposalToGnatt[[#This Row],[Start Date]],Milestone_Marker,IF(AND(BA$29&gt;ProposalToGnatt[[#This Row],[Start Date]],BA$29&lt;ProposalToGnatt[[#This Row],[Start Date]]+ProposalToGnatt[[#This Row],[Days]]),$G$5,"")),"")</f>
        <v/>
      </c>
      <c r="BB53" s="37" t="str">
        <f ca="1">IFERROR(+IF(BB$29=ProposalToGnatt[[#This Row],[Start Date]],Milestone_Marker,IF(AND(BB$29&gt;ProposalToGnatt[[#This Row],[Start Date]],BB$29&lt;ProposalToGnatt[[#This Row],[Start Date]]+ProposalToGnatt[[#This Row],[Days]]),$G$5,"")),"")</f>
        <v/>
      </c>
      <c r="BC53" s="37" t="str">
        <f ca="1">IFERROR(+IF(BC$29=ProposalToGnatt[[#This Row],[Start Date]],Milestone_Marker,IF(AND(BC$29&gt;ProposalToGnatt[[#This Row],[Start Date]],BC$29&lt;ProposalToGnatt[[#This Row],[Start Date]]+ProposalToGnatt[[#This Row],[Days]]),$G$5,"")),"")</f>
        <v/>
      </c>
      <c r="BD53" s="37" t="str">
        <f ca="1">IFERROR(+IF(BD$29=ProposalToGnatt[[#This Row],[Start Date]],Milestone_Marker,IF(AND(BD$29&gt;ProposalToGnatt[[#This Row],[Start Date]],BD$29&lt;ProposalToGnatt[[#This Row],[Start Date]]+ProposalToGnatt[[#This Row],[Days]]),$G$5,"")),"")</f>
        <v/>
      </c>
      <c r="BE53" s="37" t="str">
        <f ca="1">IFERROR(+IF(BE$29=ProposalToGnatt[[#This Row],[Start Date]],Milestone_Marker,IF(AND(BE$29&gt;ProposalToGnatt[[#This Row],[Start Date]],BE$29&lt;ProposalToGnatt[[#This Row],[Start Date]]+ProposalToGnatt[[#This Row],[Days]]),$G$5,"")),"")</f>
        <v/>
      </c>
      <c r="BF53" s="37" t="str">
        <f ca="1">IFERROR(+IF(BF$29=ProposalToGnatt[[#This Row],[Start Date]],Milestone_Marker,IF(AND(BF$29&gt;ProposalToGnatt[[#This Row],[Start Date]],BF$29&lt;ProposalToGnatt[[#This Row],[Start Date]]+ProposalToGnatt[[#This Row],[Days]]),$G$5,"")),"")</f>
        <v/>
      </c>
      <c r="BG53" s="37" t="str">
        <f ca="1">IFERROR(+IF(BG$29=ProposalToGnatt[[#This Row],[Start Date]],Milestone_Marker,IF(AND(BG$29&gt;ProposalToGnatt[[#This Row],[Start Date]],BG$29&lt;ProposalToGnatt[[#This Row],[Start Date]]+ProposalToGnatt[[#This Row],[Days]]),$G$5,"")),"")</f>
        <v/>
      </c>
      <c r="BH53" s="37" t="str">
        <f ca="1">IFERROR(+IF(BH$29=ProposalToGnatt[[#This Row],[Start Date]],Milestone_Marker,IF(AND(BH$29&gt;ProposalToGnatt[[#This Row],[Start Date]],BH$29&lt;ProposalToGnatt[[#This Row],[Start Date]]+ProposalToGnatt[[#This Row],[Days]]),$G$5,"")),"")</f>
        <v/>
      </c>
      <c r="BI53" s="37" t="str">
        <f ca="1">IFERROR(+IF(BI$29=ProposalToGnatt[[#This Row],[Start Date]],Milestone_Marker,IF(AND(BI$29&gt;ProposalToGnatt[[#This Row],[Start Date]],BI$29&lt;ProposalToGnatt[[#This Row],[Start Date]]+ProposalToGnatt[[#This Row],[Days]]),$G$5,"")),"")</f>
        <v/>
      </c>
      <c r="BJ53" s="37" t="str">
        <f ca="1">IFERROR(+IF(BJ$29=ProposalToGnatt[[#This Row],[Start Date]],Milestone_Marker,IF(AND(BJ$29&gt;ProposalToGnatt[[#This Row],[Start Date]],BJ$29&lt;ProposalToGnatt[[#This Row],[Start Date]]+ProposalToGnatt[[#This Row],[Days]]),$G$5,"")),"")</f>
        <v/>
      </c>
      <c r="BK53" s="37" t="str">
        <f ca="1">IFERROR(+IF(BK$29=ProposalToGnatt[[#This Row],[Start Date]],Milestone_Marker,IF(AND(BK$29&gt;ProposalToGnatt[[#This Row],[Start Date]],BK$29&lt;ProposalToGnatt[[#This Row],[Start Date]]+ProposalToGnatt[[#This Row],[Days]]),$G$5,"")),"")</f>
        <v/>
      </c>
      <c r="BL53" s="37" t="str">
        <f ca="1">IFERROR(+IF(BL$29=ProposalToGnatt[[#This Row],[Start Date]],Milestone_Marker,IF(AND(BL$29&gt;ProposalToGnatt[[#This Row],[Start Date]],BL$29&lt;ProposalToGnatt[[#This Row],[Start Date]]+ProposalToGnatt[[#This Row],[Days]]),$G$5,"")),"")</f>
        <v/>
      </c>
      <c r="BM53" s="37" t="str">
        <f ca="1">IFERROR(+IF(BM$29=ProposalToGnatt[[#This Row],[Start Date]],Milestone_Marker,IF(AND(BM$29&gt;ProposalToGnatt[[#This Row],[Start Date]],BM$29&lt;ProposalToGnatt[[#This Row],[Start Date]]+ProposalToGnatt[[#This Row],[Days]]),$G$5,"")),"")</f>
        <v/>
      </c>
      <c r="BN53" s="37" t="str">
        <f ca="1">IFERROR(+IF(BN$29=ProposalToGnatt[[#This Row],[Start Date]],Milestone_Marker,IF(AND(BN$29&gt;ProposalToGnatt[[#This Row],[Start Date]],BN$29&lt;ProposalToGnatt[[#This Row],[Start Date]]+ProposalToGnatt[[#This Row],[Days]]),$G$5,"")),"")</f>
        <v/>
      </c>
      <c r="BO53" s="37" t="str">
        <f ca="1">IFERROR(+IF(BO$29=ProposalToGnatt[[#This Row],[Start Date]],Milestone_Marker,IF(AND(BO$29&gt;ProposalToGnatt[[#This Row],[Start Date]],BO$29&lt;ProposalToGnatt[[#This Row],[Start Date]]+ProposalToGnatt[[#This Row],[Days]]),$G$5,"")),"")</f>
        <v/>
      </c>
      <c r="BP53" s="37" t="str">
        <f ca="1">IFERROR(+IF(BP$29=ProposalToGnatt[[#This Row],[Start Date]],Milestone_Marker,IF(AND(BP$29&gt;ProposalToGnatt[[#This Row],[Start Date]],BP$29&lt;ProposalToGnatt[[#This Row],[Start Date]]+ProposalToGnatt[[#This Row],[Days]]),$G$5,"")),"")</f>
        <v/>
      </c>
      <c r="BQ53" s="37" t="str">
        <f ca="1">IFERROR(+IF(BQ$29=ProposalToGnatt[[#This Row],[Start Date]],Milestone_Marker,IF(AND(BQ$29&gt;ProposalToGnatt[[#This Row],[Start Date]],BQ$29&lt;ProposalToGnatt[[#This Row],[Start Date]]+ProposalToGnatt[[#This Row],[Days]]),$G$5,"")),"")</f>
        <v/>
      </c>
      <c r="BR53" s="37" t="str">
        <f ca="1">IFERROR(+IF(BR$29=ProposalToGnatt[[#This Row],[Start Date]],Milestone_Marker,IF(AND(BR$29&gt;ProposalToGnatt[[#This Row],[Start Date]],BR$29&lt;ProposalToGnatt[[#This Row],[Start Date]]+ProposalToGnatt[[#This Row],[Days]]),$G$5,"")),"")</f>
        <v/>
      </c>
      <c r="BS53" s="37" t="str">
        <f ca="1">IFERROR(+IF(BS$29=ProposalToGnatt[[#This Row],[Start Date]],Milestone_Marker,IF(AND(BS$29&gt;ProposalToGnatt[[#This Row],[Start Date]],BS$29&lt;ProposalToGnatt[[#This Row],[Start Date]]+ProposalToGnatt[[#This Row],[Days]]),$G$5,"")),"")</f>
        <v/>
      </c>
      <c r="BT53" s="37" t="str">
        <f ca="1">IFERROR(+IF(BT$29=ProposalToGnatt[[#This Row],[Start Date]],Milestone_Marker,IF(AND(BT$29&gt;ProposalToGnatt[[#This Row],[Start Date]],BT$29&lt;ProposalToGnatt[[#This Row],[Start Date]]+ProposalToGnatt[[#This Row],[Days]]),$G$5,"")),"")</f>
        <v/>
      </c>
      <c r="BU53" s="37" t="str">
        <f ca="1">IFERROR(+IF(BU$29=ProposalToGnatt[[#This Row],[Start Date]],Milestone_Marker,IF(AND(BU$29&gt;ProposalToGnatt[[#This Row],[Start Date]],BU$29&lt;ProposalToGnatt[[#This Row],[Start Date]]+ProposalToGnatt[[#This Row],[Days]]),$G$5,"")),"")</f>
        <v/>
      </c>
      <c r="BV53" s="37" t="str">
        <f ca="1">IFERROR(+IF(BV$29=ProposalToGnatt[[#This Row],[Start Date]],Milestone_Marker,IF(AND(BV$29&gt;ProposalToGnatt[[#This Row],[Start Date]],BV$29&lt;ProposalToGnatt[[#This Row],[Start Date]]+ProposalToGnatt[[#This Row],[Days]]),$G$5,"")),"")</f>
        <v/>
      </c>
      <c r="BW53" s="37" t="str">
        <f ca="1">IFERROR(+IF(BW$29=ProposalToGnatt[[#This Row],[Start Date]],Milestone_Marker,IF(AND(BW$29&gt;ProposalToGnatt[[#This Row],[Start Date]],BW$29&lt;ProposalToGnatt[[#This Row],[Start Date]]+ProposalToGnatt[[#This Row],[Days]]),$G$5,"")),"")</f>
        <v/>
      </c>
      <c r="BX53" s="37" t="str">
        <f ca="1">IFERROR(+IF(BX$29=ProposalToGnatt[[#This Row],[Start Date]],Milestone_Marker,IF(AND(BX$29&gt;ProposalToGnatt[[#This Row],[Start Date]],BX$29&lt;ProposalToGnatt[[#This Row],[Start Date]]+ProposalToGnatt[[#This Row],[Days]]),$G$5,"")),"")</f>
        <v/>
      </c>
      <c r="BY53" s="37" t="str">
        <f ca="1">IFERROR(+IF(BY$29=ProposalToGnatt[[#This Row],[Start Date]],Milestone_Marker,IF(AND(BY$29&gt;ProposalToGnatt[[#This Row],[Start Date]],BY$29&lt;ProposalToGnatt[[#This Row],[Start Date]]+ProposalToGnatt[[#This Row],[Days]]),$G$5,"")),"")</f>
        <v/>
      </c>
      <c r="BZ53" s="37" t="str">
        <f ca="1">IFERROR(+IF(BZ$29=ProposalToGnatt[[#This Row],[Start Date]],Milestone_Marker,IF(AND(BZ$29&gt;ProposalToGnatt[[#This Row],[Start Date]],BZ$29&lt;ProposalToGnatt[[#This Row],[Start Date]]+ProposalToGnatt[[#This Row],[Days]]),$G$5,"")),"")</f>
        <v/>
      </c>
      <c r="CA53" s="37" t="str">
        <f ca="1">IFERROR(+IF(CA$29=ProposalToGnatt[[#This Row],[Start Date]],Milestone_Marker,IF(AND(CA$29&gt;ProposalToGnatt[[#This Row],[Start Date]],CA$29&lt;ProposalToGnatt[[#This Row],[Start Date]]+ProposalToGnatt[[#This Row],[Days]]),$G$5,"")),"")</f>
        <v/>
      </c>
      <c r="CB53" s="37" t="str">
        <f ca="1">IFERROR(+IF(CB$29=ProposalToGnatt[[#This Row],[Start Date]],Milestone_Marker,IF(AND(CB$29&gt;ProposalToGnatt[[#This Row],[Start Date]],CB$29&lt;ProposalToGnatt[[#This Row],[Start Date]]+ProposalToGnatt[[#This Row],[Days]]),$G$5,"")),"")</f>
        <v/>
      </c>
      <c r="CC53" s="37" t="str">
        <f ca="1">IFERROR(+IF(CC$29=ProposalToGnatt[[#This Row],[Start Date]],Milestone_Marker,IF(AND(CC$29&gt;ProposalToGnatt[[#This Row],[Start Date]],CC$29&lt;ProposalToGnatt[[#This Row],[Start Date]]+ProposalToGnatt[[#This Row],[Days]]),$G$5,"")),"")</f>
        <v/>
      </c>
      <c r="CD53" s="37" t="str">
        <f ca="1">IFERROR(+IF(CD$29=ProposalToGnatt[[#This Row],[Start Date]],Milestone_Marker,IF(AND(CD$29&gt;ProposalToGnatt[[#This Row],[Start Date]],CD$29&lt;ProposalToGnatt[[#This Row],[Start Date]]+ProposalToGnatt[[#This Row],[Days]]),$G$5,"")),"")</f>
        <v/>
      </c>
      <c r="CE53" s="37" t="str">
        <f ca="1">IFERROR(+IF(CE$29=ProposalToGnatt[[#This Row],[Start Date]],Milestone_Marker,IF(AND(CE$29&gt;ProposalToGnatt[[#This Row],[Start Date]],CE$29&lt;ProposalToGnatt[[#This Row],[Start Date]]+ProposalToGnatt[[#This Row],[Days]]),$G$5,"")),"")</f>
        <v/>
      </c>
      <c r="CF53" s="37" t="str">
        <f ca="1">IFERROR(+IF(CF$29=ProposalToGnatt[[#This Row],[Start Date]],Milestone_Marker,IF(AND(CF$29&gt;ProposalToGnatt[[#This Row],[Start Date]],CF$29&lt;ProposalToGnatt[[#This Row],[Start Date]]+ProposalToGnatt[[#This Row],[Days]]),$G$5,"")),"")</f>
        <v/>
      </c>
      <c r="CG53" s="37" t="str">
        <f ca="1">IFERROR(+IF(CG$29=ProposalToGnatt[[#This Row],[Start Date]],Milestone_Marker,IF(AND(CG$29&gt;ProposalToGnatt[[#This Row],[Start Date]],CG$29&lt;ProposalToGnatt[[#This Row],[Start Date]]+ProposalToGnatt[[#This Row],[Days]]),$G$5,"")),"")</f>
        <v/>
      </c>
      <c r="CH53" s="37" t="str">
        <f ca="1">IFERROR(+IF(CH$29=ProposalToGnatt[[#This Row],[Start Date]],Milestone_Marker,IF(AND(CH$29&gt;ProposalToGnatt[[#This Row],[Start Date]],CH$29&lt;ProposalToGnatt[[#This Row],[Start Date]]+ProposalToGnatt[[#This Row],[Days]]),$G$5,"")),"")</f>
        <v/>
      </c>
      <c r="CI53" s="37" t="str">
        <f ca="1">IFERROR(+IF(CI$29=ProposalToGnatt[[#This Row],[Start Date]],Milestone_Marker,IF(AND(CI$29&gt;ProposalToGnatt[[#This Row],[Start Date]],CI$29&lt;ProposalToGnatt[[#This Row],[Start Date]]+ProposalToGnatt[[#This Row],[Days]]),$G$5,"")),"")</f>
        <v/>
      </c>
      <c r="CJ53" s="37" t="str">
        <f ca="1">IFERROR(+IF(CJ$29=ProposalToGnatt[[#This Row],[Start Date]],Milestone_Marker,IF(AND(CJ$29&gt;ProposalToGnatt[[#This Row],[Start Date]],CJ$29&lt;ProposalToGnatt[[#This Row],[Start Date]]+ProposalToGnatt[[#This Row],[Days]]),$G$5,"")),"")</f>
        <v/>
      </c>
      <c r="CK53" s="37" t="str">
        <f ca="1">IFERROR(+IF(CK$29=ProposalToGnatt[[#This Row],[Start Date]],Milestone_Marker,IF(AND(CK$29&gt;ProposalToGnatt[[#This Row],[Start Date]],CK$29&lt;ProposalToGnatt[[#This Row],[Start Date]]+ProposalToGnatt[[#This Row],[Days]]),$G$5,"")),"")</f>
        <v/>
      </c>
      <c r="CL53" s="37" t="str">
        <f ca="1">IFERROR(+IF(CL$29=ProposalToGnatt[[#This Row],[Start Date]],Milestone_Marker,IF(AND(CL$29&gt;ProposalToGnatt[[#This Row],[Start Date]],CL$29&lt;ProposalToGnatt[[#This Row],[Start Date]]+ProposalToGnatt[[#This Row],[Days]]),$G$5,"")),"")</f>
        <v/>
      </c>
      <c r="CM53" s="37" t="str">
        <f ca="1">IFERROR(+IF(CM$29=ProposalToGnatt[[#This Row],[Start Date]],Milestone_Marker,IF(AND(CM$29&gt;ProposalToGnatt[[#This Row],[Start Date]],CM$29&lt;ProposalToGnatt[[#This Row],[Start Date]]+ProposalToGnatt[[#This Row],[Days]]),$G$5,"")),"")</f>
        <v/>
      </c>
      <c r="CN53" s="37" t="str">
        <f ca="1">IFERROR(+IF(CN$29=ProposalToGnatt[[#This Row],[Start Date]],Milestone_Marker,IF(AND(CN$29&gt;ProposalToGnatt[[#This Row],[Start Date]],CN$29&lt;ProposalToGnatt[[#This Row],[Start Date]]+ProposalToGnatt[[#This Row],[Days]]),$G$5,"")),"")</f>
        <v/>
      </c>
      <c r="CO53" s="37" t="str">
        <f ca="1">IFERROR(+IF(CO$29=ProposalToGnatt[[#This Row],[Start Date]],Milestone_Marker,IF(AND(CO$29&gt;ProposalToGnatt[[#This Row],[Start Date]],CO$29&lt;ProposalToGnatt[[#This Row],[Start Date]]+ProposalToGnatt[[#This Row],[Days]]),$G$5,"")),"")</f>
        <v/>
      </c>
      <c r="CP53" s="37" t="str">
        <f ca="1">IFERROR(+IF(CP$29=ProposalToGnatt[[#This Row],[Start Date]],Milestone_Marker,IF(AND(CP$29&gt;ProposalToGnatt[[#This Row],[Start Date]],CP$29&lt;ProposalToGnatt[[#This Row],[Start Date]]+ProposalToGnatt[[#This Row],[Days]]),$G$5,"")),"")</f>
        <v/>
      </c>
      <c r="CQ53" s="37" t="str">
        <f ca="1">IFERROR(+IF(CQ$29=ProposalToGnatt[[#This Row],[Start Date]],Milestone_Marker,IF(AND(CQ$29&gt;ProposalToGnatt[[#This Row],[Start Date]],CQ$29&lt;ProposalToGnatt[[#This Row],[Start Date]]+ProposalToGnatt[[#This Row],[Days]]),$G$5,"")),"")</f>
        <v/>
      </c>
      <c r="CR53" s="37" t="str">
        <f ca="1">IFERROR(+IF(CR$29=ProposalToGnatt[[#This Row],[Start Date]],Milestone_Marker,IF(AND(CR$29&gt;ProposalToGnatt[[#This Row],[Start Date]],CR$29&lt;ProposalToGnatt[[#This Row],[Start Date]]+ProposalToGnatt[[#This Row],[Days]]),$G$5,"")),"")</f>
        <v/>
      </c>
      <c r="CS53" s="37" t="str">
        <f ca="1">IFERROR(+IF(CS$29=ProposalToGnatt[[#This Row],[Start Date]],Milestone_Marker,IF(AND(CS$29&gt;ProposalToGnatt[[#This Row],[Start Date]],CS$29&lt;ProposalToGnatt[[#This Row],[Start Date]]+ProposalToGnatt[[#This Row],[Days]]),$G$5,"")),"")</f>
        <v/>
      </c>
      <c r="CT53" s="37" t="str">
        <f ca="1">IFERROR(+IF(CT$29=ProposalToGnatt[[#This Row],[Start Date]],Milestone_Marker,IF(AND(CT$29&gt;ProposalToGnatt[[#This Row],[Start Date]],CT$29&lt;ProposalToGnatt[[#This Row],[Start Date]]+ProposalToGnatt[[#This Row],[Days]]),$G$5,"")),"")</f>
        <v/>
      </c>
      <c r="CU53" s="37" t="str">
        <f ca="1">IFERROR(+IF(CU$29=ProposalToGnatt[[#This Row],[Start Date]],Milestone_Marker,IF(AND(CU$29&gt;ProposalToGnatt[[#This Row],[Start Date]],CU$29&lt;ProposalToGnatt[[#This Row],[Start Date]]+ProposalToGnatt[[#This Row],[Days]]),$G$5,"")),"")</f>
        <v/>
      </c>
      <c r="CV53" s="37"/>
      <c r="CW53" s="37"/>
      <c r="CX53" s="37"/>
      <c r="CY53" s="37"/>
      <c r="CZ53" s="37"/>
      <c r="DA53" s="37"/>
      <c r="DB53" s="37"/>
      <c r="DC53" s="37"/>
      <c r="DD53" s="37"/>
      <c r="DE53" s="37"/>
      <c r="DF53" s="37"/>
      <c r="DG53" s="37"/>
      <c r="DH53" s="37"/>
      <c r="DI53" s="37"/>
      <c r="DJ53" s="37"/>
      <c r="DK53" s="37"/>
      <c r="DL53" s="37"/>
      <c r="DM53" s="37"/>
      <c r="DN53" s="37"/>
      <c r="DO53" s="37"/>
      <c r="DP53" s="37"/>
      <c r="DQ53" s="37"/>
      <c r="DR53" s="37"/>
      <c r="DS53" s="37"/>
      <c r="DT53" s="37"/>
      <c r="DU53" s="37"/>
    </row>
    <row r="54" spans="1:125" s="42" customFormat="1" ht="15" x14ac:dyDescent="0.25">
      <c r="A54" t="s">
        <v>428</v>
      </c>
      <c r="B54">
        <v>33</v>
      </c>
      <c r="C54" t="s">
        <v>339</v>
      </c>
      <c r="D54" t="s">
        <v>340</v>
      </c>
      <c r="E54" t="s">
        <v>351</v>
      </c>
      <c r="F54">
        <v>1</v>
      </c>
      <c r="G54" s="14"/>
      <c r="H54" s="14"/>
      <c r="I54"/>
      <c r="J54">
        <v>1</v>
      </c>
      <c r="K54" s="303">
        <v>45229</v>
      </c>
      <c r="L54"/>
      <c r="M54" s="14"/>
      <c r="N54" s="352"/>
      <c r="O54" s="340"/>
      <c r="P54" s="37" t="str">
        <f ca="1">IFERROR(+IF(P$29=ProposalToGnatt[[#This Row],[Start Date]],Milestone_Marker,IF(AND(P$29&gt;ProposalToGnatt[[#This Row],[Start Date]],P$29&lt;ProposalToGnatt[[#This Row],[Start Date]]+ProposalToGnatt[[#This Row],[Days]]),$G$5,"")),"")</f>
        <v/>
      </c>
      <c r="Q54" s="37" t="str">
        <f ca="1">IFERROR(+IF(Q$29=ProposalToGnatt[[#This Row],[Start Date]],Milestone_Marker,IF(AND(Q$29&gt;ProposalToGnatt[[#This Row],[Start Date]],Q$29&lt;ProposalToGnatt[[#This Row],[Start Date]]+ProposalToGnatt[[#This Row],[Days]]),$G$5,"")),"")</f>
        <v/>
      </c>
      <c r="R54" s="37" t="str">
        <f ca="1">IFERROR(+IF(R$29=ProposalToGnatt[[#This Row],[Start Date]],Milestone_Marker,IF(AND(R$29&gt;ProposalToGnatt[[#This Row],[Start Date]],R$29&lt;ProposalToGnatt[[#This Row],[Start Date]]+ProposalToGnatt[[#This Row],[Days]]),$G$5,"")),"")</f>
        <v/>
      </c>
      <c r="S54" s="37" t="str">
        <f ca="1">IFERROR(+IF(S$29=ProposalToGnatt[[#This Row],[Start Date]],Milestone_Marker,IF(AND(S$29&gt;ProposalToGnatt[[#This Row],[Start Date]],S$29&lt;ProposalToGnatt[[#This Row],[Start Date]]+ProposalToGnatt[[#This Row],[Days]]),$G$5,"")),"")</f>
        <v/>
      </c>
      <c r="T54" s="37" t="str">
        <f ca="1">IFERROR(+IF(T$29=ProposalToGnatt[[#This Row],[Start Date]],Milestone_Marker,IF(AND(T$29&gt;ProposalToGnatt[[#This Row],[Start Date]],T$29&lt;ProposalToGnatt[[#This Row],[Start Date]]+ProposalToGnatt[[#This Row],[Days]]),$G$5,"")),"")</f>
        <v/>
      </c>
      <c r="U54" s="37" t="str">
        <f ca="1">IFERROR(+IF(U$29=ProposalToGnatt[[#This Row],[Start Date]],Milestone_Marker,IF(AND(U$29&gt;ProposalToGnatt[[#This Row],[Start Date]],U$29&lt;ProposalToGnatt[[#This Row],[Start Date]]+ProposalToGnatt[[#This Row],[Days]]),$G$5,"")),"")</f>
        <v/>
      </c>
      <c r="V54" s="37" t="str">
        <f ca="1">IFERROR(+IF(V$29=ProposalToGnatt[[#This Row],[Start Date]],Milestone_Marker,IF(AND(V$29&gt;ProposalToGnatt[[#This Row],[Start Date]],V$29&lt;ProposalToGnatt[[#This Row],[Start Date]]+ProposalToGnatt[[#This Row],[Days]]),$G$5,"")),"")</f>
        <v/>
      </c>
      <c r="W54" s="37" t="str">
        <f ca="1">IFERROR(+IF(W$29=ProposalToGnatt[[#This Row],[Start Date]],Milestone_Marker,IF(AND(W$29&gt;ProposalToGnatt[[#This Row],[Start Date]],W$29&lt;ProposalToGnatt[[#This Row],[Start Date]]+ProposalToGnatt[[#This Row],[Days]]),$G$5,"")),"")</f>
        <v/>
      </c>
      <c r="X54" s="37" t="str">
        <f ca="1">IFERROR(+IF(X$29=ProposalToGnatt[[#This Row],[Start Date]],Milestone_Marker,IF(AND(X$29&gt;ProposalToGnatt[[#This Row],[Start Date]],X$29&lt;ProposalToGnatt[[#This Row],[Start Date]]+ProposalToGnatt[[#This Row],[Days]]),$G$5,"")),"")</f>
        <v/>
      </c>
      <c r="Y54" s="37" t="str">
        <f ca="1">IFERROR(+IF(Y$29=ProposalToGnatt[[#This Row],[Start Date]],Milestone_Marker,IF(AND(Y$29&gt;ProposalToGnatt[[#This Row],[Start Date]],Y$29&lt;ProposalToGnatt[[#This Row],[Start Date]]+ProposalToGnatt[[#This Row],[Days]]),$G$5,"")),"")</f>
        <v/>
      </c>
      <c r="Z54" s="37" t="str">
        <f ca="1">IFERROR(+IF(Z$29=ProposalToGnatt[[#This Row],[Start Date]],Milestone_Marker,IF(AND(Z$29&gt;ProposalToGnatt[[#This Row],[Start Date]],Z$29&lt;ProposalToGnatt[[#This Row],[Start Date]]+ProposalToGnatt[[#This Row],[Days]]),$G$5,"")),"")</f>
        <v/>
      </c>
      <c r="AA54" s="37" t="str">
        <f ca="1">IFERROR(+IF(AA$29=ProposalToGnatt[[#This Row],[Start Date]],Milestone_Marker,IF(AND(AA$29&gt;ProposalToGnatt[[#This Row],[Start Date]],AA$29&lt;ProposalToGnatt[[#This Row],[Start Date]]+ProposalToGnatt[[#This Row],[Days]]),$G$5,"")),"")</f>
        <v/>
      </c>
      <c r="AB54" s="37" t="str">
        <f ca="1">IFERROR(+IF(AB$29=ProposalToGnatt[[#This Row],[Start Date]],Milestone_Marker,IF(AND(AB$29&gt;ProposalToGnatt[[#This Row],[Start Date]],AB$29&lt;ProposalToGnatt[[#This Row],[Start Date]]+ProposalToGnatt[[#This Row],[Days]]),$G$5,"")),"")</f>
        <v/>
      </c>
      <c r="AC54" s="37" t="str">
        <f ca="1">IFERROR(+IF(AC$29=ProposalToGnatt[[#This Row],[Start Date]],Milestone_Marker,IF(AND(AC$29&gt;ProposalToGnatt[[#This Row],[Start Date]],AC$29&lt;ProposalToGnatt[[#This Row],[Start Date]]+ProposalToGnatt[[#This Row],[Days]]),$G$5,"")),"")</f>
        <v/>
      </c>
      <c r="AD54" s="37" t="str">
        <f ca="1">IFERROR(+IF(AD$29=ProposalToGnatt[[#This Row],[Start Date]],Milestone_Marker,IF(AND(AD$29&gt;ProposalToGnatt[[#This Row],[Start Date]],AD$29&lt;ProposalToGnatt[[#This Row],[Start Date]]+ProposalToGnatt[[#This Row],[Days]]),$G$5,"")),"")</f>
        <v/>
      </c>
      <c r="AE54" s="37" t="str">
        <f ca="1">IFERROR(+IF(AE$29=ProposalToGnatt[[#This Row],[Start Date]],Milestone_Marker,IF(AND(AE$29&gt;ProposalToGnatt[[#This Row],[Start Date]],AE$29&lt;ProposalToGnatt[[#This Row],[Start Date]]+ProposalToGnatt[[#This Row],[Days]]),$G$5,"")),"")</f>
        <v/>
      </c>
      <c r="AF54" s="37" t="str">
        <f ca="1">IFERROR(+IF(AF$29=ProposalToGnatt[[#This Row],[Start Date]],Milestone_Marker,IF(AND(AF$29&gt;ProposalToGnatt[[#This Row],[Start Date]],AF$29&lt;ProposalToGnatt[[#This Row],[Start Date]]+ProposalToGnatt[[#This Row],[Days]]),$G$5,"")),"")</f>
        <v/>
      </c>
      <c r="AG54" s="37">
        <f ca="1">IFERROR(+IF(AG$29=ProposalToGnatt[[#This Row],[Start Date]],Milestone_Marker,IF(AND(AG$29&gt;ProposalToGnatt[[#This Row],[Start Date]],AG$29&lt;ProposalToGnatt[[#This Row],[Start Date]]+ProposalToGnatt[[#This Row],[Days]]),$G$5,"")),"")</f>
        <v>1</v>
      </c>
      <c r="AH54" s="37" t="str">
        <f ca="1">IFERROR(+IF(AH$29=ProposalToGnatt[[#This Row],[Start Date]],Milestone_Marker,IF(AND(AH$29&gt;ProposalToGnatt[[#This Row],[Start Date]],AH$29&lt;ProposalToGnatt[[#This Row],[Start Date]]+ProposalToGnatt[[#This Row],[Days]]),$G$5,"")),"")</f>
        <v/>
      </c>
      <c r="AI54" s="37" t="str">
        <f ca="1">IFERROR(+IF(AI$29=ProposalToGnatt[[#This Row],[Start Date]],Milestone_Marker,IF(AND(AI$29&gt;ProposalToGnatt[[#This Row],[Start Date]],AI$29&lt;ProposalToGnatt[[#This Row],[Start Date]]+ProposalToGnatt[[#This Row],[Days]]),$G$5,"")),"")</f>
        <v/>
      </c>
      <c r="AJ54" s="37" t="str">
        <f ca="1">IFERROR(+IF(AJ$29=ProposalToGnatt[[#This Row],[Start Date]],Milestone_Marker,IF(AND(AJ$29&gt;ProposalToGnatt[[#This Row],[Start Date]],AJ$29&lt;ProposalToGnatt[[#This Row],[Start Date]]+ProposalToGnatt[[#This Row],[Days]]),$G$5,"")),"")</f>
        <v/>
      </c>
      <c r="AK54" s="37" t="str">
        <f ca="1">IFERROR(+IF(AK$29=ProposalToGnatt[[#This Row],[Start Date]],Milestone_Marker,IF(AND(AK$29&gt;ProposalToGnatt[[#This Row],[Start Date]],AK$29&lt;ProposalToGnatt[[#This Row],[Start Date]]+ProposalToGnatt[[#This Row],[Days]]),$G$5,"")),"")</f>
        <v/>
      </c>
      <c r="AL54" s="37" t="str">
        <f ca="1">IFERROR(+IF(AL$29=ProposalToGnatt[[#This Row],[Start Date]],Milestone_Marker,IF(AND(AL$29&gt;ProposalToGnatt[[#This Row],[Start Date]],AL$29&lt;ProposalToGnatt[[#This Row],[Start Date]]+ProposalToGnatt[[#This Row],[Days]]),$G$5,"")),"")</f>
        <v/>
      </c>
      <c r="AM54" s="37" t="str">
        <f ca="1">IFERROR(+IF(AM$29=ProposalToGnatt[[#This Row],[Start Date]],Milestone_Marker,IF(AND(AM$29&gt;ProposalToGnatt[[#This Row],[Start Date]],AM$29&lt;ProposalToGnatt[[#This Row],[Start Date]]+ProposalToGnatt[[#This Row],[Days]]),$G$5,"")),"")</f>
        <v/>
      </c>
      <c r="AN54" s="37" t="str">
        <f ca="1">IFERROR(+IF(AN$29=ProposalToGnatt[[#This Row],[Start Date]],Milestone_Marker,IF(AND(AN$29&gt;ProposalToGnatt[[#This Row],[Start Date]],AN$29&lt;ProposalToGnatt[[#This Row],[Start Date]]+ProposalToGnatt[[#This Row],[Days]]),$G$5,"")),"")</f>
        <v/>
      </c>
      <c r="AO54" s="37" t="str">
        <f ca="1">IFERROR(+IF(AO$29=ProposalToGnatt[[#This Row],[Start Date]],Milestone_Marker,IF(AND(AO$29&gt;ProposalToGnatt[[#This Row],[Start Date]],AO$29&lt;ProposalToGnatt[[#This Row],[Start Date]]+ProposalToGnatt[[#This Row],[Days]]),$G$5,"")),"")</f>
        <v/>
      </c>
      <c r="AP54" s="37" t="str">
        <f ca="1">IFERROR(+IF(AP$29=ProposalToGnatt[[#This Row],[Start Date]],Milestone_Marker,IF(AND(AP$29&gt;ProposalToGnatt[[#This Row],[Start Date]],AP$29&lt;ProposalToGnatt[[#This Row],[Start Date]]+ProposalToGnatt[[#This Row],[Days]]),$G$5,"")),"")</f>
        <v/>
      </c>
      <c r="AQ54" s="37" t="str">
        <f ca="1">IFERROR(+IF(AQ$29=ProposalToGnatt[[#This Row],[Start Date]],Milestone_Marker,IF(AND(AQ$29&gt;ProposalToGnatt[[#This Row],[Start Date]],AQ$29&lt;ProposalToGnatt[[#This Row],[Start Date]]+ProposalToGnatt[[#This Row],[Days]]),$G$5,"")),"")</f>
        <v/>
      </c>
      <c r="AR54" s="37" t="str">
        <f ca="1">IFERROR(+IF(AR$29=ProposalToGnatt[[#This Row],[Start Date]],Milestone_Marker,IF(AND(AR$29&gt;ProposalToGnatt[[#This Row],[Start Date]],AR$29&lt;ProposalToGnatt[[#This Row],[Start Date]]+ProposalToGnatt[[#This Row],[Days]]),$G$5,"")),"")</f>
        <v/>
      </c>
      <c r="AS54" s="37" t="str">
        <f ca="1">IFERROR(+IF(AS$29=ProposalToGnatt[[#This Row],[Start Date]],Milestone_Marker,IF(AND(AS$29&gt;ProposalToGnatt[[#This Row],[Start Date]],AS$29&lt;ProposalToGnatt[[#This Row],[Start Date]]+ProposalToGnatt[[#This Row],[Days]]),$G$5,"")),"")</f>
        <v/>
      </c>
      <c r="AT54" s="37" t="str">
        <f ca="1">IFERROR(+IF(AT$29=ProposalToGnatt[[#This Row],[Start Date]],Milestone_Marker,IF(AND(AT$29&gt;ProposalToGnatt[[#This Row],[Start Date]],AT$29&lt;ProposalToGnatt[[#This Row],[Start Date]]+ProposalToGnatt[[#This Row],[Days]]),$G$5,"")),"")</f>
        <v/>
      </c>
      <c r="AU54" s="37" t="str">
        <f ca="1">IFERROR(+IF(AU$29=ProposalToGnatt[[#This Row],[Start Date]],Milestone_Marker,IF(AND(AU$29&gt;ProposalToGnatt[[#This Row],[Start Date]],AU$29&lt;ProposalToGnatt[[#This Row],[Start Date]]+ProposalToGnatt[[#This Row],[Days]]),$G$5,"")),"")</f>
        <v/>
      </c>
      <c r="AV54" s="37" t="str">
        <f ca="1">IFERROR(+IF(AV$29=ProposalToGnatt[[#This Row],[Start Date]],Milestone_Marker,IF(AND(AV$29&gt;ProposalToGnatt[[#This Row],[Start Date]],AV$29&lt;ProposalToGnatt[[#This Row],[Start Date]]+ProposalToGnatt[[#This Row],[Days]]),$G$5,"")),"")</f>
        <v/>
      </c>
      <c r="AW54" s="37" t="str">
        <f ca="1">IFERROR(+IF(AW$29=ProposalToGnatt[[#This Row],[Start Date]],Milestone_Marker,IF(AND(AW$29&gt;ProposalToGnatt[[#This Row],[Start Date]],AW$29&lt;ProposalToGnatt[[#This Row],[Start Date]]+ProposalToGnatt[[#This Row],[Days]]),$G$5,"")),"")</f>
        <v/>
      </c>
      <c r="AX54" s="37" t="str">
        <f ca="1">IFERROR(+IF(AX$29=ProposalToGnatt[[#This Row],[Start Date]],Milestone_Marker,IF(AND(AX$29&gt;ProposalToGnatt[[#This Row],[Start Date]],AX$29&lt;ProposalToGnatt[[#This Row],[Start Date]]+ProposalToGnatt[[#This Row],[Days]]),$G$5,"")),"")</f>
        <v/>
      </c>
      <c r="AY54" s="37" t="str">
        <f ca="1">IFERROR(+IF(AY$29=ProposalToGnatt[[#This Row],[Start Date]],Milestone_Marker,IF(AND(AY$29&gt;ProposalToGnatt[[#This Row],[Start Date]],AY$29&lt;ProposalToGnatt[[#This Row],[Start Date]]+ProposalToGnatt[[#This Row],[Days]]),$G$5,"")),"")</f>
        <v/>
      </c>
      <c r="AZ54" s="37" t="str">
        <f ca="1">IFERROR(+IF(AZ$29=ProposalToGnatt[[#This Row],[Start Date]],Milestone_Marker,IF(AND(AZ$29&gt;ProposalToGnatt[[#This Row],[Start Date]],AZ$29&lt;ProposalToGnatt[[#This Row],[Start Date]]+ProposalToGnatt[[#This Row],[Days]]),$G$5,"")),"")</f>
        <v/>
      </c>
      <c r="BA54" s="37" t="str">
        <f ca="1">IFERROR(+IF(BA$29=ProposalToGnatt[[#This Row],[Start Date]],Milestone_Marker,IF(AND(BA$29&gt;ProposalToGnatt[[#This Row],[Start Date]],BA$29&lt;ProposalToGnatt[[#This Row],[Start Date]]+ProposalToGnatt[[#This Row],[Days]]),$G$5,"")),"")</f>
        <v/>
      </c>
      <c r="BB54" s="37" t="str">
        <f ca="1">IFERROR(+IF(BB$29=ProposalToGnatt[[#This Row],[Start Date]],Milestone_Marker,IF(AND(BB$29&gt;ProposalToGnatt[[#This Row],[Start Date]],BB$29&lt;ProposalToGnatt[[#This Row],[Start Date]]+ProposalToGnatt[[#This Row],[Days]]),$G$5,"")),"")</f>
        <v/>
      </c>
      <c r="BC54" s="37" t="str">
        <f ca="1">IFERROR(+IF(BC$29=ProposalToGnatt[[#This Row],[Start Date]],Milestone_Marker,IF(AND(BC$29&gt;ProposalToGnatt[[#This Row],[Start Date]],BC$29&lt;ProposalToGnatt[[#This Row],[Start Date]]+ProposalToGnatt[[#This Row],[Days]]),$G$5,"")),"")</f>
        <v/>
      </c>
      <c r="BD54" s="37" t="str">
        <f ca="1">IFERROR(+IF(BD$29=ProposalToGnatt[[#This Row],[Start Date]],Milestone_Marker,IF(AND(BD$29&gt;ProposalToGnatt[[#This Row],[Start Date]],BD$29&lt;ProposalToGnatt[[#This Row],[Start Date]]+ProposalToGnatt[[#This Row],[Days]]),$G$5,"")),"")</f>
        <v/>
      </c>
      <c r="BE54" s="37" t="str">
        <f ca="1">IFERROR(+IF(BE$29=ProposalToGnatt[[#This Row],[Start Date]],Milestone_Marker,IF(AND(BE$29&gt;ProposalToGnatt[[#This Row],[Start Date]],BE$29&lt;ProposalToGnatt[[#This Row],[Start Date]]+ProposalToGnatt[[#This Row],[Days]]),$G$5,"")),"")</f>
        <v/>
      </c>
      <c r="BF54" s="37" t="str">
        <f ca="1">IFERROR(+IF(BF$29=ProposalToGnatt[[#This Row],[Start Date]],Milestone_Marker,IF(AND(BF$29&gt;ProposalToGnatt[[#This Row],[Start Date]],BF$29&lt;ProposalToGnatt[[#This Row],[Start Date]]+ProposalToGnatt[[#This Row],[Days]]),$G$5,"")),"")</f>
        <v/>
      </c>
      <c r="BG54" s="37" t="str">
        <f ca="1">IFERROR(+IF(BG$29=ProposalToGnatt[[#This Row],[Start Date]],Milestone_Marker,IF(AND(BG$29&gt;ProposalToGnatt[[#This Row],[Start Date]],BG$29&lt;ProposalToGnatt[[#This Row],[Start Date]]+ProposalToGnatt[[#This Row],[Days]]),$G$5,"")),"")</f>
        <v/>
      </c>
      <c r="BH54" s="37" t="str">
        <f ca="1">IFERROR(+IF(BH$29=ProposalToGnatt[[#This Row],[Start Date]],Milestone_Marker,IF(AND(BH$29&gt;ProposalToGnatt[[#This Row],[Start Date]],BH$29&lt;ProposalToGnatt[[#This Row],[Start Date]]+ProposalToGnatt[[#This Row],[Days]]),$G$5,"")),"")</f>
        <v/>
      </c>
      <c r="BI54" s="37" t="str">
        <f ca="1">IFERROR(+IF(BI$29=ProposalToGnatt[[#This Row],[Start Date]],Milestone_Marker,IF(AND(BI$29&gt;ProposalToGnatt[[#This Row],[Start Date]],BI$29&lt;ProposalToGnatt[[#This Row],[Start Date]]+ProposalToGnatt[[#This Row],[Days]]),$G$5,"")),"")</f>
        <v/>
      </c>
      <c r="BJ54" s="37" t="str">
        <f ca="1">IFERROR(+IF(BJ$29=ProposalToGnatt[[#This Row],[Start Date]],Milestone_Marker,IF(AND(BJ$29&gt;ProposalToGnatt[[#This Row],[Start Date]],BJ$29&lt;ProposalToGnatt[[#This Row],[Start Date]]+ProposalToGnatt[[#This Row],[Days]]),$G$5,"")),"")</f>
        <v/>
      </c>
      <c r="BK54" s="37" t="str">
        <f ca="1">IFERROR(+IF(BK$29=ProposalToGnatt[[#This Row],[Start Date]],Milestone_Marker,IF(AND(BK$29&gt;ProposalToGnatt[[#This Row],[Start Date]],BK$29&lt;ProposalToGnatt[[#This Row],[Start Date]]+ProposalToGnatt[[#This Row],[Days]]),$G$5,"")),"")</f>
        <v/>
      </c>
      <c r="BL54" s="37" t="str">
        <f ca="1">IFERROR(+IF(BL$29=ProposalToGnatt[[#This Row],[Start Date]],Milestone_Marker,IF(AND(BL$29&gt;ProposalToGnatt[[#This Row],[Start Date]],BL$29&lt;ProposalToGnatt[[#This Row],[Start Date]]+ProposalToGnatt[[#This Row],[Days]]),$G$5,"")),"")</f>
        <v/>
      </c>
      <c r="BM54" s="37" t="str">
        <f ca="1">IFERROR(+IF(BM$29=ProposalToGnatt[[#This Row],[Start Date]],Milestone_Marker,IF(AND(BM$29&gt;ProposalToGnatt[[#This Row],[Start Date]],BM$29&lt;ProposalToGnatt[[#This Row],[Start Date]]+ProposalToGnatt[[#This Row],[Days]]),$G$5,"")),"")</f>
        <v/>
      </c>
      <c r="BN54" s="37" t="str">
        <f ca="1">IFERROR(+IF(BN$29=ProposalToGnatt[[#This Row],[Start Date]],Milestone_Marker,IF(AND(BN$29&gt;ProposalToGnatt[[#This Row],[Start Date]],BN$29&lt;ProposalToGnatt[[#This Row],[Start Date]]+ProposalToGnatt[[#This Row],[Days]]),$G$5,"")),"")</f>
        <v/>
      </c>
      <c r="BO54" s="37" t="str">
        <f ca="1">IFERROR(+IF(BO$29=ProposalToGnatt[[#This Row],[Start Date]],Milestone_Marker,IF(AND(BO$29&gt;ProposalToGnatt[[#This Row],[Start Date]],BO$29&lt;ProposalToGnatt[[#This Row],[Start Date]]+ProposalToGnatt[[#This Row],[Days]]),$G$5,"")),"")</f>
        <v/>
      </c>
      <c r="BP54" s="37" t="str">
        <f ca="1">IFERROR(+IF(BP$29=ProposalToGnatt[[#This Row],[Start Date]],Milestone_Marker,IF(AND(BP$29&gt;ProposalToGnatt[[#This Row],[Start Date]],BP$29&lt;ProposalToGnatt[[#This Row],[Start Date]]+ProposalToGnatt[[#This Row],[Days]]),$G$5,"")),"")</f>
        <v/>
      </c>
      <c r="BQ54" s="37" t="str">
        <f ca="1">IFERROR(+IF(BQ$29=ProposalToGnatt[[#This Row],[Start Date]],Milestone_Marker,IF(AND(BQ$29&gt;ProposalToGnatt[[#This Row],[Start Date]],BQ$29&lt;ProposalToGnatt[[#This Row],[Start Date]]+ProposalToGnatt[[#This Row],[Days]]),$G$5,"")),"")</f>
        <v/>
      </c>
      <c r="BR54" s="37" t="str">
        <f ca="1">IFERROR(+IF(BR$29=ProposalToGnatt[[#This Row],[Start Date]],Milestone_Marker,IF(AND(BR$29&gt;ProposalToGnatt[[#This Row],[Start Date]],BR$29&lt;ProposalToGnatt[[#This Row],[Start Date]]+ProposalToGnatt[[#This Row],[Days]]),$G$5,"")),"")</f>
        <v/>
      </c>
      <c r="BS54" s="37" t="str">
        <f ca="1">IFERROR(+IF(BS$29=ProposalToGnatt[[#This Row],[Start Date]],Milestone_Marker,IF(AND(BS$29&gt;ProposalToGnatt[[#This Row],[Start Date]],BS$29&lt;ProposalToGnatt[[#This Row],[Start Date]]+ProposalToGnatt[[#This Row],[Days]]),$G$5,"")),"")</f>
        <v/>
      </c>
      <c r="BT54" s="37" t="str">
        <f ca="1">IFERROR(+IF(BT$29=ProposalToGnatt[[#This Row],[Start Date]],Milestone_Marker,IF(AND(BT$29&gt;ProposalToGnatt[[#This Row],[Start Date]],BT$29&lt;ProposalToGnatt[[#This Row],[Start Date]]+ProposalToGnatt[[#This Row],[Days]]),$G$5,"")),"")</f>
        <v/>
      </c>
      <c r="BU54" s="37" t="str">
        <f ca="1">IFERROR(+IF(BU$29=ProposalToGnatt[[#This Row],[Start Date]],Milestone_Marker,IF(AND(BU$29&gt;ProposalToGnatt[[#This Row],[Start Date]],BU$29&lt;ProposalToGnatt[[#This Row],[Start Date]]+ProposalToGnatt[[#This Row],[Days]]),$G$5,"")),"")</f>
        <v/>
      </c>
      <c r="BV54" s="37" t="str">
        <f ca="1">IFERROR(+IF(BV$29=ProposalToGnatt[[#This Row],[Start Date]],Milestone_Marker,IF(AND(BV$29&gt;ProposalToGnatt[[#This Row],[Start Date]],BV$29&lt;ProposalToGnatt[[#This Row],[Start Date]]+ProposalToGnatt[[#This Row],[Days]]),$G$5,"")),"")</f>
        <v/>
      </c>
      <c r="BW54" s="37" t="str">
        <f ca="1">IFERROR(+IF(BW$29=ProposalToGnatt[[#This Row],[Start Date]],Milestone_Marker,IF(AND(BW$29&gt;ProposalToGnatt[[#This Row],[Start Date]],BW$29&lt;ProposalToGnatt[[#This Row],[Start Date]]+ProposalToGnatt[[#This Row],[Days]]),$G$5,"")),"")</f>
        <v/>
      </c>
      <c r="BX54" s="37" t="str">
        <f ca="1">IFERROR(+IF(BX$29=ProposalToGnatt[[#This Row],[Start Date]],Milestone_Marker,IF(AND(BX$29&gt;ProposalToGnatt[[#This Row],[Start Date]],BX$29&lt;ProposalToGnatt[[#This Row],[Start Date]]+ProposalToGnatt[[#This Row],[Days]]),$G$5,"")),"")</f>
        <v/>
      </c>
      <c r="BY54" s="37" t="str">
        <f ca="1">IFERROR(+IF(BY$29=ProposalToGnatt[[#This Row],[Start Date]],Milestone_Marker,IF(AND(BY$29&gt;ProposalToGnatt[[#This Row],[Start Date]],BY$29&lt;ProposalToGnatt[[#This Row],[Start Date]]+ProposalToGnatt[[#This Row],[Days]]),$G$5,"")),"")</f>
        <v/>
      </c>
      <c r="BZ54" s="37" t="str">
        <f ca="1">IFERROR(+IF(BZ$29=ProposalToGnatt[[#This Row],[Start Date]],Milestone_Marker,IF(AND(BZ$29&gt;ProposalToGnatt[[#This Row],[Start Date]],BZ$29&lt;ProposalToGnatt[[#This Row],[Start Date]]+ProposalToGnatt[[#This Row],[Days]]),$G$5,"")),"")</f>
        <v/>
      </c>
      <c r="CA54" s="37" t="str">
        <f ca="1">IFERROR(+IF(CA$29=ProposalToGnatt[[#This Row],[Start Date]],Milestone_Marker,IF(AND(CA$29&gt;ProposalToGnatt[[#This Row],[Start Date]],CA$29&lt;ProposalToGnatt[[#This Row],[Start Date]]+ProposalToGnatt[[#This Row],[Days]]),$G$5,"")),"")</f>
        <v/>
      </c>
      <c r="CB54" s="37" t="str">
        <f ca="1">IFERROR(+IF(CB$29=ProposalToGnatt[[#This Row],[Start Date]],Milestone_Marker,IF(AND(CB$29&gt;ProposalToGnatt[[#This Row],[Start Date]],CB$29&lt;ProposalToGnatt[[#This Row],[Start Date]]+ProposalToGnatt[[#This Row],[Days]]),$G$5,"")),"")</f>
        <v/>
      </c>
      <c r="CC54" s="37" t="str">
        <f ca="1">IFERROR(+IF(CC$29=ProposalToGnatt[[#This Row],[Start Date]],Milestone_Marker,IF(AND(CC$29&gt;ProposalToGnatt[[#This Row],[Start Date]],CC$29&lt;ProposalToGnatt[[#This Row],[Start Date]]+ProposalToGnatt[[#This Row],[Days]]),$G$5,"")),"")</f>
        <v/>
      </c>
      <c r="CD54" s="37" t="str">
        <f ca="1">IFERROR(+IF(CD$29=ProposalToGnatt[[#This Row],[Start Date]],Milestone_Marker,IF(AND(CD$29&gt;ProposalToGnatt[[#This Row],[Start Date]],CD$29&lt;ProposalToGnatt[[#This Row],[Start Date]]+ProposalToGnatt[[#This Row],[Days]]),$G$5,"")),"")</f>
        <v/>
      </c>
      <c r="CE54" s="37" t="str">
        <f ca="1">IFERROR(+IF(CE$29=ProposalToGnatt[[#This Row],[Start Date]],Milestone_Marker,IF(AND(CE$29&gt;ProposalToGnatt[[#This Row],[Start Date]],CE$29&lt;ProposalToGnatt[[#This Row],[Start Date]]+ProposalToGnatt[[#This Row],[Days]]),$G$5,"")),"")</f>
        <v/>
      </c>
      <c r="CF54" s="37" t="str">
        <f ca="1">IFERROR(+IF(CF$29=ProposalToGnatt[[#This Row],[Start Date]],Milestone_Marker,IF(AND(CF$29&gt;ProposalToGnatt[[#This Row],[Start Date]],CF$29&lt;ProposalToGnatt[[#This Row],[Start Date]]+ProposalToGnatt[[#This Row],[Days]]),$G$5,"")),"")</f>
        <v/>
      </c>
      <c r="CG54" s="37" t="str">
        <f ca="1">IFERROR(+IF(CG$29=ProposalToGnatt[[#This Row],[Start Date]],Milestone_Marker,IF(AND(CG$29&gt;ProposalToGnatt[[#This Row],[Start Date]],CG$29&lt;ProposalToGnatt[[#This Row],[Start Date]]+ProposalToGnatt[[#This Row],[Days]]),$G$5,"")),"")</f>
        <v/>
      </c>
      <c r="CH54" s="37" t="str">
        <f ca="1">IFERROR(+IF(CH$29=ProposalToGnatt[[#This Row],[Start Date]],Milestone_Marker,IF(AND(CH$29&gt;ProposalToGnatt[[#This Row],[Start Date]],CH$29&lt;ProposalToGnatt[[#This Row],[Start Date]]+ProposalToGnatt[[#This Row],[Days]]),$G$5,"")),"")</f>
        <v/>
      </c>
      <c r="CI54" s="37" t="str">
        <f ca="1">IFERROR(+IF(CI$29=ProposalToGnatt[[#This Row],[Start Date]],Milestone_Marker,IF(AND(CI$29&gt;ProposalToGnatt[[#This Row],[Start Date]],CI$29&lt;ProposalToGnatt[[#This Row],[Start Date]]+ProposalToGnatt[[#This Row],[Days]]),$G$5,"")),"")</f>
        <v/>
      </c>
      <c r="CJ54" s="37" t="str">
        <f ca="1">IFERROR(+IF(CJ$29=ProposalToGnatt[[#This Row],[Start Date]],Milestone_Marker,IF(AND(CJ$29&gt;ProposalToGnatt[[#This Row],[Start Date]],CJ$29&lt;ProposalToGnatt[[#This Row],[Start Date]]+ProposalToGnatt[[#This Row],[Days]]),$G$5,"")),"")</f>
        <v/>
      </c>
      <c r="CK54" s="37" t="str">
        <f ca="1">IFERROR(+IF(CK$29=ProposalToGnatt[[#This Row],[Start Date]],Milestone_Marker,IF(AND(CK$29&gt;ProposalToGnatt[[#This Row],[Start Date]],CK$29&lt;ProposalToGnatt[[#This Row],[Start Date]]+ProposalToGnatt[[#This Row],[Days]]),$G$5,"")),"")</f>
        <v/>
      </c>
      <c r="CL54" s="37" t="str">
        <f ca="1">IFERROR(+IF(CL$29=ProposalToGnatt[[#This Row],[Start Date]],Milestone_Marker,IF(AND(CL$29&gt;ProposalToGnatt[[#This Row],[Start Date]],CL$29&lt;ProposalToGnatt[[#This Row],[Start Date]]+ProposalToGnatt[[#This Row],[Days]]),$G$5,"")),"")</f>
        <v/>
      </c>
      <c r="CM54" s="37" t="str">
        <f ca="1">IFERROR(+IF(CM$29=ProposalToGnatt[[#This Row],[Start Date]],Milestone_Marker,IF(AND(CM$29&gt;ProposalToGnatt[[#This Row],[Start Date]],CM$29&lt;ProposalToGnatt[[#This Row],[Start Date]]+ProposalToGnatt[[#This Row],[Days]]),$G$5,"")),"")</f>
        <v/>
      </c>
      <c r="CN54" s="37" t="str">
        <f ca="1">IFERROR(+IF(CN$29=ProposalToGnatt[[#This Row],[Start Date]],Milestone_Marker,IF(AND(CN$29&gt;ProposalToGnatt[[#This Row],[Start Date]],CN$29&lt;ProposalToGnatt[[#This Row],[Start Date]]+ProposalToGnatt[[#This Row],[Days]]),$G$5,"")),"")</f>
        <v/>
      </c>
      <c r="CO54" s="37" t="str">
        <f ca="1">IFERROR(+IF(CO$29=ProposalToGnatt[[#This Row],[Start Date]],Milestone_Marker,IF(AND(CO$29&gt;ProposalToGnatt[[#This Row],[Start Date]],CO$29&lt;ProposalToGnatt[[#This Row],[Start Date]]+ProposalToGnatt[[#This Row],[Days]]),$G$5,"")),"")</f>
        <v/>
      </c>
      <c r="CP54" s="37" t="str">
        <f ca="1">IFERROR(+IF(CP$29=ProposalToGnatt[[#This Row],[Start Date]],Milestone_Marker,IF(AND(CP$29&gt;ProposalToGnatt[[#This Row],[Start Date]],CP$29&lt;ProposalToGnatt[[#This Row],[Start Date]]+ProposalToGnatt[[#This Row],[Days]]),$G$5,"")),"")</f>
        <v/>
      </c>
      <c r="CQ54" s="37" t="str">
        <f ca="1">IFERROR(+IF(CQ$29=ProposalToGnatt[[#This Row],[Start Date]],Milestone_Marker,IF(AND(CQ$29&gt;ProposalToGnatt[[#This Row],[Start Date]],CQ$29&lt;ProposalToGnatt[[#This Row],[Start Date]]+ProposalToGnatt[[#This Row],[Days]]),$G$5,"")),"")</f>
        <v/>
      </c>
      <c r="CR54" s="37" t="str">
        <f ca="1">IFERROR(+IF(CR$29=ProposalToGnatt[[#This Row],[Start Date]],Milestone_Marker,IF(AND(CR$29&gt;ProposalToGnatt[[#This Row],[Start Date]],CR$29&lt;ProposalToGnatt[[#This Row],[Start Date]]+ProposalToGnatt[[#This Row],[Days]]),$G$5,"")),"")</f>
        <v/>
      </c>
      <c r="CS54" s="37" t="str">
        <f ca="1">IFERROR(+IF(CS$29=ProposalToGnatt[[#This Row],[Start Date]],Milestone_Marker,IF(AND(CS$29&gt;ProposalToGnatt[[#This Row],[Start Date]],CS$29&lt;ProposalToGnatt[[#This Row],[Start Date]]+ProposalToGnatt[[#This Row],[Days]]),$G$5,"")),"")</f>
        <v/>
      </c>
      <c r="CT54" s="37" t="str">
        <f ca="1">IFERROR(+IF(CT$29=ProposalToGnatt[[#This Row],[Start Date]],Milestone_Marker,IF(AND(CT$29&gt;ProposalToGnatt[[#This Row],[Start Date]],CT$29&lt;ProposalToGnatt[[#This Row],[Start Date]]+ProposalToGnatt[[#This Row],[Days]]),$G$5,"")),"")</f>
        <v/>
      </c>
      <c r="CU54" s="37" t="str">
        <f ca="1">IFERROR(+IF(CU$29=ProposalToGnatt[[#This Row],[Start Date]],Milestone_Marker,IF(AND(CU$29&gt;ProposalToGnatt[[#This Row],[Start Date]],CU$29&lt;ProposalToGnatt[[#This Row],[Start Date]]+ProposalToGnatt[[#This Row],[Days]]),$G$5,"")),"")</f>
        <v/>
      </c>
      <c r="CV54" s="37"/>
      <c r="CW54" s="37"/>
      <c r="CX54" s="37"/>
      <c r="CY54" s="37"/>
      <c r="CZ54" s="37"/>
      <c r="DA54" s="37"/>
      <c r="DB54" s="37"/>
      <c r="DC54" s="37"/>
      <c r="DD54" s="37"/>
      <c r="DE54" s="37"/>
      <c r="DF54" s="37"/>
      <c r="DG54" s="37"/>
      <c r="DH54" s="37"/>
      <c r="DI54" s="37"/>
      <c r="DJ54" s="37"/>
      <c r="DK54" s="37"/>
      <c r="DL54" s="37"/>
      <c r="DM54" s="37"/>
      <c r="DN54" s="37"/>
      <c r="DO54" s="37"/>
      <c r="DP54" s="37"/>
      <c r="DQ54" s="37"/>
      <c r="DR54" s="37"/>
      <c r="DS54" s="37"/>
      <c r="DT54" s="37"/>
      <c r="DU54" s="37"/>
    </row>
    <row r="55" spans="1:125" s="42" customFormat="1" ht="15" x14ac:dyDescent="0.25">
      <c r="A55" t="s">
        <v>428</v>
      </c>
      <c r="B55">
        <v>34</v>
      </c>
      <c r="C55" t="s">
        <v>339</v>
      </c>
      <c r="D55" t="s">
        <v>340</v>
      </c>
      <c r="E55" t="s">
        <v>352</v>
      </c>
      <c r="F55">
        <v>1</v>
      </c>
      <c r="G55" s="14"/>
      <c r="H55" s="14"/>
      <c r="I55"/>
      <c r="J55">
        <v>1</v>
      </c>
      <c r="K55" s="303">
        <v>45229</v>
      </c>
      <c r="L55"/>
      <c r="M55" s="14"/>
      <c r="N55" s="352"/>
      <c r="O55" s="340"/>
      <c r="P55" s="37" t="str">
        <f ca="1">IFERROR(+IF(P$29=ProposalToGnatt[[#This Row],[Start Date]],Milestone_Marker,IF(AND(P$29&gt;ProposalToGnatt[[#This Row],[Start Date]],P$29&lt;ProposalToGnatt[[#This Row],[Start Date]]+ProposalToGnatt[[#This Row],[Days]]),$G$5,"")),"")</f>
        <v/>
      </c>
      <c r="Q55" s="37" t="str">
        <f ca="1">IFERROR(+IF(Q$29=ProposalToGnatt[[#This Row],[Start Date]],Milestone_Marker,IF(AND(Q$29&gt;ProposalToGnatt[[#This Row],[Start Date]],Q$29&lt;ProposalToGnatt[[#This Row],[Start Date]]+ProposalToGnatt[[#This Row],[Days]]),$G$5,"")),"")</f>
        <v/>
      </c>
      <c r="R55" s="37" t="str">
        <f ca="1">IFERROR(+IF(R$29=ProposalToGnatt[[#This Row],[Start Date]],Milestone_Marker,IF(AND(R$29&gt;ProposalToGnatt[[#This Row],[Start Date]],R$29&lt;ProposalToGnatt[[#This Row],[Start Date]]+ProposalToGnatt[[#This Row],[Days]]),$G$5,"")),"")</f>
        <v/>
      </c>
      <c r="S55" s="37" t="str">
        <f ca="1">IFERROR(+IF(S$29=ProposalToGnatt[[#This Row],[Start Date]],Milestone_Marker,IF(AND(S$29&gt;ProposalToGnatt[[#This Row],[Start Date]],S$29&lt;ProposalToGnatt[[#This Row],[Start Date]]+ProposalToGnatt[[#This Row],[Days]]),$G$5,"")),"")</f>
        <v/>
      </c>
      <c r="T55" s="37" t="str">
        <f ca="1">IFERROR(+IF(T$29=ProposalToGnatt[[#This Row],[Start Date]],Milestone_Marker,IF(AND(T$29&gt;ProposalToGnatt[[#This Row],[Start Date]],T$29&lt;ProposalToGnatt[[#This Row],[Start Date]]+ProposalToGnatt[[#This Row],[Days]]),$G$5,"")),"")</f>
        <v/>
      </c>
      <c r="U55" s="37" t="str">
        <f ca="1">IFERROR(+IF(U$29=ProposalToGnatt[[#This Row],[Start Date]],Milestone_Marker,IF(AND(U$29&gt;ProposalToGnatt[[#This Row],[Start Date]],U$29&lt;ProposalToGnatt[[#This Row],[Start Date]]+ProposalToGnatt[[#This Row],[Days]]),$G$5,"")),"")</f>
        <v/>
      </c>
      <c r="V55" s="37" t="str">
        <f ca="1">IFERROR(+IF(V$29=ProposalToGnatt[[#This Row],[Start Date]],Milestone_Marker,IF(AND(V$29&gt;ProposalToGnatt[[#This Row],[Start Date]],V$29&lt;ProposalToGnatt[[#This Row],[Start Date]]+ProposalToGnatt[[#This Row],[Days]]),$G$5,"")),"")</f>
        <v/>
      </c>
      <c r="W55" s="37" t="str">
        <f ca="1">IFERROR(+IF(W$29=ProposalToGnatt[[#This Row],[Start Date]],Milestone_Marker,IF(AND(W$29&gt;ProposalToGnatt[[#This Row],[Start Date]],W$29&lt;ProposalToGnatt[[#This Row],[Start Date]]+ProposalToGnatt[[#This Row],[Days]]),$G$5,"")),"")</f>
        <v/>
      </c>
      <c r="X55" s="37" t="str">
        <f ca="1">IFERROR(+IF(X$29=ProposalToGnatt[[#This Row],[Start Date]],Milestone_Marker,IF(AND(X$29&gt;ProposalToGnatt[[#This Row],[Start Date]],X$29&lt;ProposalToGnatt[[#This Row],[Start Date]]+ProposalToGnatt[[#This Row],[Days]]),$G$5,"")),"")</f>
        <v/>
      </c>
      <c r="Y55" s="37" t="str">
        <f ca="1">IFERROR(+IF(Y$29=ProposalToGnatt[[#This Row],[Start Date]],Milestone_Marker,IF(AND(Y$29&gt;ProposalToGnatt[[#This Row],[Start Date]],Y$29&lt;ProposalToGnatt[[#This Row],[Start Date]]+ProposalToGnatt[[#This Row],[Days]]),$G$5,"")),"")</f>
        <v/>
      </c>
      <c r="Z55" s="37" t="str">
        <f ca="1">IFERROR(+IF(Z$29=ProposalToGnatt[[#This Row],[Start Date]],Milestone_Marker,IF(AND(Z$29&gt;ProposalToGnatt[[#This Row],[Start Date]],Z$29&lt;ProposalToGnatt[[#This Row],[Start Date]]+ProposalToGnatt[[#This Row],[Days]]),$G$5,"")),"")</f>
        <v/>
      </c>
      <c r="AA55" s="37" t="str">
        <f ca="1">IFERROR(+IF(AA$29=ProposalToGnatt[[#This Row],[Start Date]],Milestone_Marker,IF(AND(AA$29&gt;ProposalToGnatt[[#This Row],[Start Date]],AA$29&lt;ProposalToGnatt[[#This Row],[Start Date]]+ProposalToGnatt[[#This Row],[Days]]),$G$5,"")),"")</f>
        <v/>
      </c>
      <c r="AB55" s="37" t="str">
        <f ca="1">IFERROR(+IF(AB$29=ProposalToGnatt[[#This Row],[Start Date]],Milestone_Marker,IF(AND(AB$29&gt;ProposalToGnatt[[#This Row],[Start Date]],AB$29&lt;ProposalToGnatt[[#This Row],[Start Date]]+ProposalToGnatt[[#This Row],[Days]]),$G$5,"")),"")</f>
        <v/>
      </c>
      <c r="AC55" s="37" t="str">
        <f ca="1">IFERROR(+IF(AC$29=ProposalToGnatt[[#This Row],[Start Date]],Milestone_Marker,IF(AND(AC$29&gt;ProposalToGnatt[[#This Row],[Start Date]],AC$29&lt;ProposalToGnatt[[#This Row],[Start Date]]+ProposalToGnatt[[#This Row],[Days]]),$G$5,"")),"")</f>
        <v/>
      </c>
      <c r="AD55" s="37" t="str">
        <f ca="1">IFERROR(+IF(AD$29=ProposalToGnatt[[#This Row],[Start Date]],Milestone_Marker,IF(AND(AD$29&gt;ProposalToGnatt[[#This Row],[Start Date]],AD$29&lt;ProposalToGnatt[[#This Row],[Start Date]]+ProposalToGnatt[[#This Row],[Days]]),$G$5,"")),"")</f>
        <v/>
      </c>
      <c r="AE55" s="37" t="str">
        <f ca="1">IFERROR(+IF(AE$29=ProposalToGnatt[[#This Row],[Start Date]],Milestone_Marker,IF(AND(AE$29&gt;ProposalToGnatt[[#This Row],[Start Date]],AE$29&lt;ProposalToGnatt[[#This Row],[Start Date]]+ProposalToGnatt[[#This Row],[Days]]),$G$5,"")),"")</f>
        <v/>
      </c>
      <c r="AF55" s="37" t="str">
        <f ca="1">IFERROR(+IF(AF$29=ProposalToGnatt[[#This Row],[Start Date]],Milestone_Marker,IF(AND(AF$29&gt;ProposalToGnatt[[#This Row],[Start Date]],AF$29&lt;ProposalToGnatt[[#This Row],[Start Date]]+ProposalToGnatt[[#This Row],[Days]]),$G$5,"")),"")</f>
        <v/>
      </c>
      <c r="AG55" s="37">
        <f ca="1">IFERROR(+IF(AG$29=ProposalToGnatt[[#This Row],[Start Date]],Milestone_Marker,IF(AND(AG$29&gt;ProposalToGnatt[[#This Row],[Start Date]],AG$29&lt;ProposalToGnatt[[#This Row],[Start Date]]+ProposalToGnatt[[#This Row],[Days]]),$G$5,"")),"")</f>
        <v>1</v>
      </c>
      <c r="AH55" s="37" t="str">
        <f ca="1">IFERROR(+IF(AH$29=ProposalToGnatt[[#This Row],[Start Date]],Milestone_Marker,IF(AND(AH$29&gt;ProposalToGnatt[[#This Row],[Start Date]],AH$29&lt;ProposalToGnatt[[#This Row],[Start Date]]+ProposalToGnatt[[#This Row],[Days]]),$G$5,"")),"")</f>
        <v/>
      </c>
      <c r="AI55" s="37" t="str">
        <f ca="1">IFERROR(+IF(AI$29=ProposalToGnatt[[#This Row],[Start Date]],Milestone_Marker,IF(AND(AI$29&gt;ProposalToGnatt[[#This Row],[Start Date]],AI$29&lt;ProposalToGnatt[[#This Row],[Start Date]]+ProposalToGnatt[[#This Row],[Days]]),$G$5,"")),"")</f>
        <v/>
      </c>
      <c r="AJ55" s="37" t="str">
        <f ca="1">IFERROR(+IF(AJ$29=ProposalToGnatt[[#This Row],[Start Date]],Milestone_Marker,IF(AND(AJ$29&gt;ProposalToGnatt[[#This Row],[Start Date]],AJ$29&lt;ProposalToGnatt[[#This Row],[Start Date]]+ProposalToGnatt[[#This Row],[Days]]),$G$5,"")),"")</f>
        <v/>
      </c>
      <c r="AK55" s="37" t="str">
        <f ca="1">IFERROR(+IF(AK$29=ProposalToGnatt[[#This Row],[Start Date]],Milestone_Marker,IF(AND(AK$29&gt;ProposalToGnatt[[#This Row],[Start Date]],AK$29&lt;ProposalToGnatt[[#This Row],[Start Date]]+ProposalToGnatt[[#This Row],[Days]]),$G$5,"")),"")</f>
        <v/>
      </c>
      <c r="AL55" s="37" t="str">
        <f ca="1">IFERROR(+IF(AL$29=ProposalToGnatt[[#This Row],[Start Date]],Milestone_Marker,IF(AND(AL$29&gt;ProposalToGnatt[[#This Row],[Start Date]],AL$29&lt;ProposalToGnatt[[#This Row],[Start Date]]+ProposalToGnatt[[#This Row],[Days]]),$G$5,"")),"")</f>
        <v/>
      </c>
      <c r="AM55" s="37" t="str">
        <f ca="1">IFERROR(+IF(AM$29=ProposalToGnatt[[#This Row],[Start Date]],Milestone_Marker,IF(AND(AM$29&gt;ProposalToGnatt[[#This Row],[Start Date]],AM$29&lt;ProposalToGnatt[[#This Row],[Start Date]]+ProposalToGnatt[[#This Row],[Days]]),$G$5,"")),"")</f>
        <v/>
      </c>
      <c r="AN55" s="37" t="str">
        <f ca="1">IFERROR(+IF(AN$29=ProposalToGnatt[[#This Row],[Start Date]],Milestone_Marker,IF(AND(AN$29&gt;ProposalToGnatt[[#This Row],[Start Date]],AN$29&lt;ProposalToGnatt[[#This Row],[Start Date]]+ProposalToGnatt[[#This Row],[Days]]),$G$5,"")),"")</f>
        <v/>
      </c>
      <c r="AO55" s="37" t="str">
        <f ca="1">IFERROR(+IF(AO$29=ProposalToGnatt[[#This Row],[Start Date]],Milestone_Marker,IF(AND(AO$29&gt;ProposalToGnatt[[#This Row],[Start Date]],AO$29&lt;ProposalToGnatt[[#This Row],[Start Date]]+ProposalToGnatt[[#This Row],[Days]]),$G$5,"")),"")</f>
        <v/>
      </c>
      <c r="AP55" s="37" t="str">
        <f ca="1">IFERROR(+IF(AP$29=ProposalToGnatt[[#This Row],[Start Date]],Milestone_Marker,IF(AND(AP$29&gt;ProposalToGnatt[[#This Row],[Start Date]],AP$29&lt;ProposalToGnatt[[#This Row],[Start Date]]+ProposalToGnatt[[#This Row],[Days]]),$G$5,"")),"")</f>
        <v/>
      </c>
      <c r="AQ55" s="37" t="str">
        <f ca="1">IFERROR(+IF(AQ$29=ProposalToGnatt[[#This Row],[Start Date]],Milestone_Marker,IF(AND(AQ$29&gt;ProposalToGnatt[[#This Row],[Start Date]],AQ$29&lt;ProposalToGnatt[[#This Row],[Start Date]]+ProposalToGnatt[[#This Row],[Days]]),$G$5,"")),"")</f>
        <v/>
      </c>
      <c r="AR55" s="37" t="str">
        <f ca="1">IFERROR(+IF(AR$29=ProposalToGnatt[[#This Row],[Start Date]],Milestone_Marker,IF(AND(AR$29&gt;ProposalToGnatt[[#This Row],[Start Date]],AR$29&lt;ProposalToGnatt[[#This Row],[Start Date]]+ProposalToGnatt[[#This Row],[Days]]),$G$5,"")),"")</f>
        <v/>
      </c>
      <c r="AS55" s="37" t="str">
        <f ca="1">IFERROR(+IF(AS$29=ProposalToGnatt[[#This Row],[Start Date]],Milestone_Marker,IF(AND(AS$29&gt;ProposalToGnatt[[#This Row],[Start Date]],AS$29&lt;ProposalToGnatt[[#This Row],[Start Date]]+ProposalToGnatt[[#This Row],[Days]]),$G$5,"")),"")</f>
        <v/>
      </c>
      <c r="AT55" s="37" t="str">
        <f ca="1">IFERROR(+IF(AT$29=ProposalToGnatt[[#This Row],[Start Date]],Milestone_Marker,IF(AND(AT$29&gt;ProposalToGnatt[[#This Row],[Start Date]],AT$29&lt;ProposalToGnatt[[#This Row],[Start Date]]+ProposalToGnatt[[#This Row],[Days]]),$G$5,"")),"")</f>
        <v/>
      </c>
      <c r="AU55" s="37" t="str">
        <f ca="1">IFERROR(+IF(AU$29=ProposalToGnatt[[#This Row],[Start Date]],Milestone_Marker,IF(AND(AU$29&gt;ProposalToGnatt[[#This Row],[Start Date]],AU$29&lt;ProposalToGnatt[[#This Row],[Start Date]]+ProposalToGnatt[[#This Row],[Days]]),$G$5,"")),"")</f>
        <v/>
      </c>
      <c r="AV55" s="37" t="str">
        <f ca="1">IFERROR(+IF(AV$29=ProposalToGnatt[[#This Row],[Start Date]],Milestone_Marker,IF(AND(AV$29&gt;ProposalToGnatt[[#This Row],[Start Date]],AV$29&lt;ProposalToGnatt[[#This Row],[Start Date]]+ProposalToGnatt[[#This Row],[Days]]),$G$5,"")),"")</f>
        <v/>
      </c>
      <c r="AW55" s="37" t="str">
        <f ca="1">IFERROR(+IF(AW$29=ProposalToGnatt[[#This Row],[Start Date]],Milestone_Marker,IF(AND(AW$29&gt;ProposalToGnatt[[#This Row],[Start Date]],AW$29&lt;ProposalToGnatt[[#This Row],[Start Date]]+ProposalToGnatt[[#This Row],[Days]]),$G$5,"")),"")</f>
        <v/>
      </c>
      <c r="AX55" s="37" t="str">
        <f ca="1">IFERROR(+IF(AX$29=ProposalToGnatt[[#This Row],[Start Date]],Milestone_Marker,IF(AND(AX$29&gt;ProposalToGnatt[[#This Row],[Start Date]],AX$29&lt;ProposalToGnatt[[#This Row],[Start Date]]+ProposalToGnatt[[#This Row],[Days]]),$G$5,"")),"")</f>
        <v/>
      </c>
      <c r="AY55" s="37" t="str">
        <f ca="1">IFERROR(+IF(AY$29=ProposalToGnatt[[#This Row],[Start Date]],Milestone_Marker,IF(AND(AY$29&gt;ProposalToGnatt[[#This Row],[Start Date]],AY$29&lt;ProposalToGnatt[[#This Row],[Start Date]]+ProposalToGnatt[[#This Row],[Days]]),$G$5,"")),"")</f>
        <v/>
      </c>
      <c r="AZ55" s="37" t="str">
        <f ca="1">IFERROR(+IF(AZ$29=ProposalToGnatt[[#This Row],[Start Date]],Milestone_Marker,IF(AND(AZ$29&gt;ProposalToGnatt[[#This Row],[Start Date]],AZ$29&lt;ProposalToGnatt[[#This Row],[Start Date]]+ProposalToGnatt[[#This Row],[Days]]),$G$5,"")),"")</f>
        <v/>
      </c>
      <c r="BA55" s="37" t="str">
        <f ca="1">IFERROR(+IF(BA$29=ProposalToGnatt[[#This Row],[Start Date]],Milestone_Marker,IF(AND(BA$29&gt;ProposalToGnatt[[#This Row],[Start Date]],BA$29&lt;ProposalToGnatt[[#This Row],[Start Date]]+ProposalToGnatt[[#This Row],[Days]]),$G$5,"")),"")</f>
        <v/>
      </c>
      <c r="BB55" s="37" t="str">
        <f ca="1">IFERROR(+IF(BB$29=ProposalToGnatt[[#This Row],[Start Date]],Milestone_Marker,IF(AND(BB$29&gt;ProposalToGnatt[[#This Row],[Start Date]],BB$29&lt;ProposalToGnatt[[#This Row],[Start Date]]+ProposalToGnatt[[#This Row],[Days]]),$G$5,"")),"")</f>
        <v/>
      </c>
      <c r="BC55" s="37" t="str">
        <f ca="1">IFERROR(+IF(BC$29=ProposalToGnatt[[#This Row],[Start Date]],Milestone_Marker,IF(AND(BC$29&gt;ProposalToGnatt[[#This Row],[Start Date]],BC$29&lt;ProposalToGnatt[[#This Row],[Start Date]]+ProposalToGnatt[[#This Row],[Days]]),$G$5,"")),"")</f>
        <v/>
      </c>
      <c r="BD55" s="37" t="str">
        <f ca="1">IFERROR(+IF(BD$29=ProposalToGnatt[[#This Row],[Start Date]],Milestone_Marker,IF(AND(BD$29&gt;ProposalToGnatt[[#This Row],[Start Date]],BD$29&lt;ProposalToGnatt[[#This Row],[Start Date]]+ProposalToGnatt[[#This Row],[Days]]),$G$5,"")),"")</f>
        <v/>
      </c>
      <c r="BE55" s="37" t="str">
        <f ca="1">IFERROR(+IF(BE$29=ProposalToGnatt[[#This Row],[Start Date]],Milestone_Marker,IF(AND(BE$29&gt;ProposalToGnatt[[#This Row],[Start Date]],BE$29&lt;ProposalToGnatt[[#This Row],[Start Date]]+ProposalToGnatt[[#This Row],[Days]]),$G$5,"")),"")</f>
        <v/>
      </c>
      <c r="BF55" s="37" t="str">
        <f ca="1">IFERROR(+IF(BF$29=ProposalToGnatt[[#This Row],[Start Date]],Milestone_Marker,IF(AND(BF$29&gt;ProposalToGnatt[[#This Row],[Start Date]],BF$29&lt;ProposalToGnatt[[#This Row],[Start Date]]+ProposalToGnatt[[#This Row],[Days]]),$G$5,"")),"")</f>
        <v/>
      </c>
      <c r="BG55" s="37" t="str">
        <f ca="1">IFERROR(+IF(BG$29=ProposalToGnatt[[#This Row],[Start Date]],Milestone_Marker,IF(AND(BG$29&gt;ProposalToGnatt[[#This Row],[Start Date]],BG$29&lt;ProposalToGnatt[[#This Row],[Start Date]]+ProposalToGnatt[[#This Row],[Days]]),$G$5,"")),"")</f>
        <v/>
      </c>
      <c r="BH55" s="37" t="str">
        <f ca="1">IFERROR(+IF(BH$29=ProposalToGnatt[[#This Row],[Start Date]],Milestone_Marker,IF(AND(BH$29&gt;ProposalToGnatt[[#This Row],[Start Date]],BH$29&lt;ProposalToGnatt[[#This Row],[Start Date]]+ProposalToGnatt[[#This Row],[Days]]),$G$5,"")),"")</f>
        <v/>
      </c>
      <c r="BI55" s="37" t="str">
        <f ca="1">IFERROR(+IF(BI$29=ProposalToGnatt[[#This Row],[Start Date]],Milestone_Marker,IF(AND(BI$29&gt;ProposalToGnatt[[#This Row],[Start Date]],BI$29&lt;ProposalToGnatt[[#This Row],[Start Date]]+ProposalToGnatt[[#This Row],[Days]]),$G$5,"")),"")</f>
        <v/>
      </c>
      <c r="BJ55" s="37" t="str">
        <f ca="1">IFERROR(+IF(BJ$29=ProposalToGnatt[[#This Row],[Start Date]],Milestone_Marker,IF(AND(BJ$29&gt;ProposalToGnatt[[#This Row],[Start Date]],BJ$29&lt;ProposalToGnatt[[#This Row],[Start Date]]+ProposalToGnatt[[#This Row],[Days]]),$G$5,"")),"")</f>
        <v/>
      </c>
      <c r="BK55" s="37" t="str">
        <f ca="1">IFERROR(+IF(BK$29=ProposalToGnatt[[#This Row],[Start Date]],Milestone_Marker,IF(AND(BK$29&gt;ProposalToGnatt[[#This Row],[Start Date]],BK$29&lt;ProposalToGnatt[[#This Row],[Start Date]]+ProposalToGnatt[[#This Row],[Days]]),$G$5,"")),"")</f>
        <v/>
      </c>
      <c r="BL55" s="37" t="str">
        <f ca="1">IFERROR(+IF(BL$29=ProposalToGnatt[[#This Row],[Start Date]],Milestone_Marker,IF(AND(BL$29&gt;ProposalToGnatt[[#This Row],[Start Date]],BL$29&lt;ProposalToGnatt[[#This Row],[Start Date]]+ProposalToGnatt[[#This Row],[Days]]),$G$5,"")),"")</f>
        <v/>
      </c>
      <c r="BM55" s="37" t="str">
        <f ca="1">IFERROR(+IF(BM$29=ProposalToGnatt[[#This Row],[Start Date]],Milestone_Marker,IF(AND(BM$29&gt;ProposalToGnatt[[#This Row],[Start Date]],BM$29&lt;ProposalToGnatt[[#This Row],[Start Date]]+ProposalToGnatt[[#This Row],[Days]]),$G$5,"")),"")</f>
        <v/>
      </c>
      <c r="BN55" s="37" t="str">
        <f ca="1">IFERROR(+IF(BN$29=ProposalToGnatt[[#This Row],[Start Date]],Milestone_Marker,IF(AND(BN$29&gt;ProposalToGnatt[[#This Row],[Start Date]],BN$29&lt;ProposalToGnatt[[#This Row],[Start Date]]+ProposalToGnatt[[#This Row],[Days]]),$G$5,"")),"")</f>
        <v/>
      </c>
      <c r="BO55" s="37" t="str">
        <f ca="1">IFERROR(+IF(BO$29=ProposalToGnatt[[#This Row],[Start Date]],Milestone_Marker,IF(AND(BO$29&gt;ProposalToGnatt[[#This Row],[Start Date]],BO$29&lt;ProposalToGnatt[[#This Row],[Start Date]]+ProposalToGnatt[[#This Row],[Days]]),$G$5,"")),"")</f>
        <v/>
      </c>
      <c r="BP55" s="37" t="str">
        <f ca="1">IFERROR(+IF(BP$29=ProposalToGnatt[[#This Row],[Start Date]],Milestone_Marker,IF(AND(BP$29&gt;ProposalToGnatt[[#This Row],[Start Date]],BP$29&lt;ProposalToGnatt[[#This Row],[Start Date]]+ProposalToGnatt[[#This Row],[Days]]),$G$5,"")),"")</f>
        <v/>
      </c>
      <c r="BQ55" s="37" t="str">
        <f ca="1">IFERROR(+IF(BQ$29=ProposalToGnatt[[#This Row],[Start Date]],Milestone_Marker,IF(AND(BQ$29&gt;ProposalToGnatt[[#This Row],[Start Date]],BQ$29&lt;ProposalToGnatt[[#This Row],[Start Date]]+ProposalToGnatt[[#This Row],[Days]]),$G$5,"")),"")</f>
        <v/>
      </c>
      <c r="BR55" s="37" t="str">
        <f ca="1">IFERROR(+IF(BR$29=ProposalToGnatt[[#This Row],[Start Date]],Milestone_Marker,IF(AND(BR$29&gt;ProposalToGnatt[[#This Row],[Start Date]],BR$29&lt;ProposalToGnatt[[#This Row],[Start Date]]+ProposalToGnatt[[#This Row],[Days]]),$G$5,"")),"")</f>
        <v/>
      </c>
      <c r="BS55" s="37" t="str">
        <f ca="1">IFERROR(+IF(BS$29=ProposalToGnatt[[#This Row],[Start Date]],Milestone_Marker,IF(AND(BS$29&gt;ProposalToGnatt[[#This Row],[Start Date]],BS$29&lt;ProposalToGnatt[[#This Row],[Start Date]]+ProposalToGnatt[[#This Row],[Days]]),$G$5,"")),"")</f>
        <v/>
      </c>
      <c r="BT55" s="37" t="str">
        <f ca="1">IFERROR(+IF(BT$29=ProposalToGnatt[[#This Row],[Start Date]],Milestone_Marker,IF(AND(BT$29&gt;ProposalToGnatt[[#This Row],[Start Date]],BT$29&lt;ProposalToGnatt[[#This Row],[Start Date]]+ProposalToGnatt[[#This Row],[Days]]),$G$5,"")),"")</f>
        <v/>
      </c>
      <c r="BU55" s="37" t="str">
        <f ca="1">IFERROR(+IF(BU$29=ProposalToGnatt[[#This Row],[Start Date]],Milestone_Marker,IF(AND(BU$29&gt;ProposalToGnatt[[#This Row],[Start Date]],BU$29&lt;ProposalToGnatt[[#This Row],[Start Date]]+ProposalToGnatt[[#This Row],[Days]]),$G$5,"")),"")</f>
        <v/>
      </c>
      <c r="BV55" s="37" t="str">
        <f ca="1">IFERROR(+IF(BV$29=ProposalToGnatt[[#This Row],[Start Date]],Milestone_Marker,IF(AND(BV$29&gt;ProposalToGnatt[[#This Row],[Start Date]],BV$29&lt;ProposalToGnatt[[#This Row],[Start Date]]+ProposalToGnatt[[#This Row],[Days]]),$G$5,"")),"")</f>
        <v/>
      </c>
      <c r="BW55" s="37" t="str">
        <f ca="1">IFERROR(+IF(BW$29=ProposalToGnatt[[#This Row],[Start Date]],Milestone_Marker,IF(AND(BW$29&gt;ProposalToGnatt[[#This Row],[Start Date]],BW$29&lt;ProposalToGnatt[[#This Row],[Start Date]]+ProposalToGnatt[[#This Row],[Days]]),$G$5,"")),"")</f>
        <v/>
      </c>
      <c r="BX55" s="37" t="str">
        <f ca="1">IFERROR(+IF(BX$29=ProposalToGnatt[[#This Row],[Start Date]],Milestone_Marker,IF(AND(BX$29&gt;ProposalToGnatt[[#This Row],[Start Date]],BX$29&lt;ProposalToGnatt[[#This Row],[Start Date]]+ProposalToGnatt[[#This Row],[Days]]),$G$5,"")),"")</f>
        <v/>
      </c>
      <c r="BY55" s="37" t="str">
        <f ca="1">IFERROR(+IF(BY$29=ProposalToGnatt[[#This Row],[Start Date]],Milestone_Marker,IF(AND(BY$29&gt;ProposalToGnatt[[#This Row],[Start Date]],BY$29&lt;ProposalToGnatt[[#This Row],[Start Date]]+ProposalToGnatt[[#This Row],[Days]]),$G$5,"")),"")</f>
        <v/>
      </c>
      <c r="BZ55" s="37" t="str">
        <f ca="1">IFERROR(+IF(BZ$29=ProposalToGnatt[[#This Row],[Start Date]],Milestone_Marker,IF(AND(BZ$29&gt;ProposalToGnatt[[#This Row],[Start Date]],BZ$29&lt;ProposalToGnatt[[#This Row],[Start Date]]+ProposalToGnatt[[#This Row],[Days]]),$G$5,"")),"")</f>
        <v/>
      </c>
      <c r="CA55" s="37" t="str">
        <f ca="1">IFERROR(+IF(CA$29=ProposalToGnatt[[#This Row],[Start Date]],Milestone_Marker,IF(AND(CA$29&gt;ProposalToGnatt[[#This Row],[Start Date]],CA$29&lt;ProposalToGnatt[[#This Row],[Start Date]]+ProposalToGnatt[[#This Row],[Days]]),$G$5,"")),"")</f>
        <v/>
      </c>
      <c r="CB55" s="37" t="str">
        <f ca="1">IFERROR(+IF(CB$29=ProposalToGnatt[[#This Row],[Start Date]],Milestone_Marker,IF(AND(CB$29&gt;ProposalToGnatt[[#This Row],[Start Date]],CB$29&lt;ProposalToGnatt[[#This Row],[Start Date]]+ProposalToGnatt[[#This Row],[Days]]),$G$5,"")),"")</f>
        <v/>
      </c>
      <c r="CC55" s="37" t="str">
        <f ca="1">IFERROR(+IF(CC$29=ProposalToGnatt[[#This Row],[Start Date]],Milestone_Marker,IF(AND(CC$29&gt;ProposalToGnatt[[#This Row],[Start Date]],CC$29&lt;ProposalToGnatt[[#This Row],[Start Date]]+ProposalToGnatt[[#This Row],[Days]]),$G$5,"")),"")</f>
        <v/>
      </c>
      <c r="CD55" s="37" t="str">
        <f ca="1">IFERROR(+IF(CD$29=ProposalToGnatt[[#This Row],[Start Date]],Milestone_Marker,IF(AND(CD$29&gt;ProposalToGnatt[[#This Row],[Start Date]],CD$29&lt;ProposalToGnatt[[#This Row],[Start Date]]+ProposalToGnatt[[#This Row],[Days]]),$G$5,"")),"")</f>
        <v/>
      </c>
      <c r="CE55" s="37" t="str">
        <f ca="1">IFERROR(+IF(CE$29=ProposalToGnatt[[#This Row],[Start Date]],Milestone_Marker,IF(AND(CE$29&gt;ProposalToGnatt[[#This Row],[Start Date]],CE$29&lt;ProposalToGnatt[[#This Row],[Start Date]]+ProposalToGnatt[[#This Row],[Days]]),$G$5,"")),"")</f>
        <v/>
      </c>
      <c r="CF55" s="37" t="str">
        <f ca="1">IFERROR(+IF(CF$29=ProposalToGnatt[[#This Row],[Start Date]],Milestone_Marker,IF(AND(CF$29&gt;ProposalToGnatt[[#This Row],[Start Date]],CF$29&lt;ProposalToGnatt[[#This Row],[Start Date]]+ProposalToGnatt[[#This Row],[Days]]),$G$5,"")),"")</f>
        <v/>
      </c>
      <c r="CG55" s="37" t="str">
        <f ca="1">IFERROR(+IF(CG$29=ProposalToGnatt[[#This Row],[Start Date]],Milestone_Marker,IF(AND(CG$29&gt;ProposalToGnatt[[#This Row],[Start Date]],CG$29&lt;ProposalToGnatt[[#This Row],[Start Date]]+ProposalToGnatt[[#This Row],[Days]]),$G$5,"")),"")</f>
        <v/>
      </c>
      <c r="CH55" s="37" t="str">
        <f ca="1">IFERROR(+IF(CH$29=ProposalToGnatt[[#This Row],[Start Date]],Milestone_Marker,IF(AND(CH$29&gt;ProposalToGnatt[[#This Row],[Start Date]],CH$29&lt;ProposalToGnatt[[#This Row],[Start Date]]+ProposalToGnatt[[#This Row],[Days]]),$G$5,"")),"")</f>
        <v/>
      </c>
      <c r="CI55" s="37" t="str">
        <f ca="1">IFERROR(+IF(CI$29=ProposalToGnatt[[#This Row],[Start Date]],Milestone_Marker,IF(AND(CI$29&gt;ProposalToGnatt[[#This Row],[Start Date]],CI$29&lt;ProposalToGnatt[[#This Row],[Start Date]]+ProposalToGnatt[[#This Row],[Days]]),$G$5,"")),"")</f>
        <v/>
      </c>
      <c r="CJ55" s="37" t="str">
        <f ca="1">IFERROR(+IF(CJ$29=ProposalToGnatt[[#This Row],[Start Date]],Milestone_Marker,IF(AND(CJ$29&gt;ProposalToGnatt[[#This Row],[Start Date]],CJ$29&lt;ProposalToGnatt[[#This Row],[Start Date]]+ProposalToGnatt[[#This Row],[Days]]),$G$5,"")),"")</f>
        <v/>
      </c>
      <c r="CK55" s="37" t="str">
        <f ca="1">IFERROR(+IF(CK$29=ProposalToGnatt[[#This Row],[Start Date]],Milestone_Marker,IF(AND(CK$29&gt;ProposalToGnatt[[#This Row],[Start Date]],CK$29&lt;ProposalToGnatt[[#This Row],[Start Date]]+ProposalToGnatt[[#This Row],[Days]]),$G$5,"")),"")</f>
        <v/>
      </c>
      <c r="CL55" s="37" t="str">
        <f ca="1">IFERROR(+IF(CL$29=ProposalToGnatt[[#This Row],[Start Date]],Milestone_Marker,IF(AND(CL$29&gt;ProposalToGnatt[[#This Row],[Start Date]],CL$29&lt;ProposalToGnatt[[#This Row],[Start Date]]+ProposalToGnatt[[#This Row],[Days]]),$G$5,"")),"")</f>
        <v/>
      </c>
      <c r="CM55" s="37" t="str">
        <f ca="1">IFERROR(+IF(CM$29=ProposalToGnatt[[#This Row],[Start Date]],Milestone_Marker,IF(AND(CM$29&gt;ProposalToGnatt[[#This Row],[Start Date]],CM$29&lt;ProposalToGnatt[[#This Row],[Start Date]]+ProposalToGnatt[[#This Row],[Days]]),$G$5,"")),"")</f>
        <v/>
      </c>
      <c r="CN55" s="37" t="str">
        <f ca="1">IFERROR(+IF(CN$29=ProposalToGnatt[[#This Row],[Start Date]],Milestone_Marker,IF(AND(CN$29&gt;ProposalToGnatt[[#This Row],[Start Date]],CN$29&lt;ProposalToGnatt[[#This Row],[Start Date]]+ProposalToGnatt[[#This Row],[Days]]),$G$5,"")),"")</f>
        <v/>
      </c>
      <c r="CO55" s="37" t="str">
        <f ca="1">IFERROR(+IF(CO$29=ProposalToGnatt[[#This Row],[Start Date]],Milestone_Marker,IF(AND(CO$29&gt;ProposalToGnatt[[#This Row],[Start Date]],CO$29&lt;ProposalToGnatt[[#This Row],[Start Date]]+ProposalToGnatt[[#This Row],[Days]]),$G$5,"")),"")</f>
        <v/>
      </c>
      <c r="CP55" s="37" t="str">
        <f ca="1">IFERROR(+IF(CP$29=ProposalToGnatt[[#This Row],[Start Date]],Milestone_Marker,IF(AND(CP$29&gt;ProposalToGnatt[[#This Row],[Start Date]],CP$29&lt;ProposalToGnatt[[#This Row],[Start Date]]+ProposalToGnatt[[#This Row],[Days]]),$G$5,"")),"")</f>
        <v/>
      </c>
      <c r="CQ55" s="37" t="str">
        <f ca="1">IFERROR(+IF(CQ$29=ProposalToGnatt[[#This Row],[Start Date]],Milestone_Marker,IF(AND(CQ$29&gt;ProposalToGnatt[[#This Row],[Start Date]],CQ$29&lt;ProposalToGnatt[[#This Row],[Start Date]]+ProposalToGnatt[[#This Row],[Days]]),$G$5,"")),"")</f>
        <v/>
      </c>
      <c r="CR55" s="37" t="str">
        <f ca="1">IFERROR(+IF(CR$29=ProposalToGnatt[[#This Row],[Start Date]],Milestone_Marker,IF(AND(CR$29&gt;ProposalToGnatt[[#This Row],[Start Date]],CR$29&lt;ProposalToGnatt[[#This Row],[Start Date]]+ProposalToGnatt[[#This Row],[Days]]),$G$5,"")),"")</f>
        <v/>
      </c>
      <c r="CS55" s="37" t="str">
        <f ca="1">IFERROR(+IF(CS$29=ProposalToGnatt[[#This Row],[Start Date]],Milestone_Marker,IF(AND(CS$29&gt;ProposalToGnatt[[#This Row],[Start Date]],CS$29&lt;ProposalToGnatt[[#This Row],[Start Date]]+ProposalToGnatt[[#This Row],[Days]]),$G$5,"")),"")</f>
        <v/>
      </c>
      <c r="CT55" s="37" t="str">
        <f ca="1">IFERROR(+IF(CT$29=ProposalToGnatt[[#This Row],[Start Date]],Milestone_Marker,IF(AND(CT$29&gt;ProposalToGnatt[[#This Row],[Start Date]],CT$29&lt;ProposalToGnatt[[#This Row],[Start Date]]+ProposalToGnatt[[#This Row],[Days]]),$G$5,"")),"")</f>
        <v/>
      </c>
      <c r="CU55" s="37" t="str">
        <f ca="1">IFERROR(+IF(CU$29=ProposalToGnatt[[#This Row],[Start Date]],Milestone_Marker,IF(AND(CU$29&gt;ProposalToGnatt[[#This Row],[Start Date]],CU$29&lt;ProposalToGnatt[[#This Row],[Start Date]]+ProposalToGnatt[[#This Row],[Days]]),$G$5,"")),"")</f>
        <v/>
      </c>
      <c r="CV55" s="37"/>
      <c r="CW55" s="37"/>
      <c r="CX55" s="37"/>
      <c r="CY55" s="37"/>
      <c r="CZ55" s="37"/>
      <c r="DA55" s="37"/>
      <c r="DB55" s="37"/>
      <c r="DC55" s="37"/>
      <c r="DD55" s="37"/>
      <c r="DE55" s="37"/>
      <c r="DF55" s="37"/>
      <c r="DG55" s="37"/>
      <c r="DH55" s="37"/>
      <c r="DI55" s="37"/>
      <c r="DJ55" s="37"/>
      <c r="DK55" s="37"/>
      <c r="DL55" s="37"/>
      <c r="DM55" s="37"/>
      <c r="DN55" s="37"/>
      <c r="DO55" s="37"/>
      <c r="DP55" s="37"/>
      <c r="DQ55" s="37"/>
      <c r="DR55" s="37"/>
      <c r="DS55" s="37"/>
      <c r="DT55" s="37"/>
      <c r="DU55" s="37"/>
    </row>
    <row r="56" spans="1:125" s="42" customFormat="1" ht="15" x14ac:dyDescent="0.25">
      <c r="A56" t="s">
        <v>428</v>
      </c>
      <c r="B56">
        <v>14</v>
      </c>
      <c r="C56" t="s">
        <v>326</v>
      </c>
      <c r="D56"/>
      <c r="E56" t="s">
        <v>327</v>
      </c>
      <c r="F56">
        <v>1</v>
      </c>
      <c r="G56" s="14">
        <v>590</v>
      </c>
      <c r="H56" s="14">
        <v>590</v>
      </c>
      <c r="I56"/>
      <c r="J56">
        <v>1</v>
      </c>
      <c r="K56" s="303"/>
      <c r="L56">
        <v>1</v>
      </c>
      <c r="M56" s="14"/>
      <c r="N56" s="352"/>
      <c r="O56" s="340"/>
      <c r="P56" s="37" t="str">
        <f ca="1">IFERROR(+IF(P$29=ProposalToGnatt[[#This Row],[Start Date]],Milestone_Marker,IF(AND(P$29&gt;ProposalToGnatt[[#This Row],[Start Date]],P$29&lt;ProposalToGnatt[[#This Row],[Start Date]]+ProposalToGnatt[[#This Row],[Days]]),$G$5,"")),"")</f>
        <v/>
      </c>
      <c r="Q56" s="37" t="str">
        <f ca="1">IFERROR(+IF(Q$29=ProposalToGnatt[[#This Row],[Start Date]],Milestone_Marker,IF(AND(Q$29&gt;ProposalToGnatt[[#This Row],[Start Date]],Q$29&lt;ProposalToGnatt[[#This Row],[Start Date]]+ProposalToGnatt[[#This Row],[Days]]),$G$5,"")),"")</f>
        <v/>
      </c>
      <c r="R56" s="37" t="str">
        <f ca="1">IFERROR(+IF(R$29=ProposalToGnatt[[#This Row],[Start Date]],Milestone_Marker,IF(AND(R$29&gt;ProposalToGnatt[[#This Row],[Start Date]],R$29&lt;ProposalToGnatt[[#This Row],[Start Date]]+ProposalToGnatt[[#This Row],[Days]]),$G$5,"")),"")</f>
        <v/>
      </c>
      <c r="S56" s="37" t="str">
        <f ca="1">IFERROR(+IF(S$29=ProposalToGnatt[[#This Row],[Start Date]],Milestone_Marker,IF(AND(S$29&gt;ProposalToGnatt[[#This Row],[Start Date]],S$29&lt;ProposalToGnatt[[#This Row],[Start Date]]+ProposalToGnatt[[#This Row],[Days]]),$G$5,"")),"")</f>
        <v/>
      </c>
      <c r="T56" s="37" t="str">
        <f ca="1">IFERROR(+IF(T$29=ProposalToGnatt[[#This Row],[Start Date]],Milestone_Marker,IF(AND(T$29&gt;ProposalToGnatt[[#This Row],[Start Date]],T$29&lt;ProposalToGnatt[[#This Row],[Start Date]]+ProposalToGnatt[[#This Row],[Days]]),$G$5,"")),"")</f>
        <v/>
      </c>
      <c r="U56" s="37" t="str">
        <f ca="1">IFERROR(+IF(U$29=ProposalToGnatt[[#This Row],[Start Date]],Milestone_Marker,IF(AND(U$29&gt;ProposalToGnatt[[#This Row],[Start Date]],U$29&lt;ProposalToGnatt[[#This Row],[Start Date]]+ProposalToGnatt[[#This Row],[Days]]),$G$5,"")),"")</f>
        <v/>
      </c>
      <c r="V56" s="37" t="str">
        <f ca="1">IFERROR(+IF(V$29=ProposalToGnatt[[#This Row],[Start Date]],Milestone_Marker,IF(AND(V$29&gt;ProposalToGnatt[[#This Row],[Start Date]],V$29&lt;ProposalToGnatt[[#This Row],[Start Date]]+ProposalToGnatt[[#This Row],[Days]]),$G$5,"")),"")</f>
        <v/>
      </c>
      <c r="W56" s="37" t="str">
        <f ca="1">IFERROR(+IF(W$29=ProposalToGnatt[[#This Row],[Start Date]],Milestone_Marker,IF(AND(W$29&gt;ProposalToGnatt[[#This Row],[Start Date]],W$29&lt;ProposalToGnatt[[#This Row],[Start Date]]+ProposalToGnatt[[#This Row],[Days]]),$G$5,"")),"")</f>
        <v/>
      </c>
      <c r="X56" s="37" t="str">
        <f ca="1">IFERROR(+IF(X$29=ProposalToGnatt[[#This Row],[Start Date]],Milestone_Marker,IF(AND(X$29&gt;ProposalToGnatt[[#This Row],[Start Date]],X$29&lt;ProposalToGnatt[[#This Row],[Start Date]]+ProposalToGnatt[[#This Row],[Days]]),$G$5,"")),"")</f>
        <v/>
      </c>
      <c r="Y56" s="37" t="str">
        <f ca="1">IFERROR(+IF(Y$29=ProposalToGnatt[[#This Row],[Start Date]],Milestone_Marker,IF(AND(Y$29&gt;ProposalToGnatt[[#This Row],[Start Date]],Y$29&lt;ProposalToGnatt[[#This Row],[Start Date]]+ProposalToGnatt[[#This Row],[Days]]),$G$5,"")),"")</f>
        <v/>
      </c>
      <c r="Z56" s="37" t="str">
        <f ca="1">IFERROR(+IF(Z$29=ProposalToGnatt[[#This Row],[Start Date]],Milestone_Marker,IF(AND(Z$29&gt;ProposalToGnatt[[#This Row],[Start Date]],Z$29&lt;ProposalToGnatt[[#This Row],[Start Date]]+ProposalToGnatt[[#This Row],[Days]]),$G$5,"")),"")</f>
        <v/>
      </c>
      <c r="AA56" s="37" t="str">
        <f ca="1">IFERROR(+IF(AA$29=ProposalToGnatt[[#This Row],[Start Date]],Milestone_Marker,IF(AND(AA$29&gt;ProposalToGnatt[[#This Row],[Start Date]],AA$29&lt;ProposalToGnatt[[#This Row],[Start Date]]+ProposalToGnatt[[#This Row],[Days]]),$G$5,"")),"")</f>
        <v/>
      </c>
      <c r="AB56" s="37" t="str">
        <f ca="1">IFERROR(+IF(AB$29=ProposalToGnatt[[#This Row],[Start Date]],Milestone_Marker,IF(AND(AB$29&gt;ProposalToGnatt[[#This Row],[Start Date]],AB$29&lt;ProposalToGnatt[[#This Row],[Start Date]]+ProposalToGnatt[[#This Row],[Days]]),$G$5,"")),"")</f>
        <v/>
      </c>
      <c r="AC56" s="37" t="str">
        <f ca="1">IFERROR(+IF(AC$29=ProposalToGnatt[[#This Row],[Start Date]],Milestone_Marker,IF(AND(AC$29&gt;ProposalToGnatt[[#This Row],[Start Date]],AC$29&lt;ProposalToGnatt[[#This Row],[Start Date]]+ProposalToGnatt[[#This Row],[Days]]),$G$5,"")),"")</f>
        <v/>
      </c>
      <c r="AD56" s="37" t="str">
        <f ca="1">IFERROR(+IF(AD$29=ProposalToGnatt[[#This Row],[Start Date]],Milestone_Marker,IF(AND(AD$29&gt;ProposalToGnatt[[#This Row],[Start Date]],AD$29&lt;ProposalToGnatt[[#This Row],[Start Date]]+ProposalToGnatt[[#This Row],[Days]]),$G$5,"")),"")</f>
        <v/>
      </c>
      <c r="AE56" s="37" t="str">
        <f ca="1">IFERROR(+IF(AE$29=ProposalToGnatt[[#This Row],[Start Date]],Milestone_Marker,IF(AND(AE$29&gt;ProposalToGnatt[[#This Row],[Start Date]],AE$29&lt;ProposalToGnatt[[#This Row],[Start Date]]+ProposalToGnatt[[#This Row],[Days]]),$G$5,"")),"")</f>
        <v/>
      </c>
      <c r="AF56" s="37" t="str">
        <f ca="1">IFERROR(+IF(AF$29=ProposalToGnatt[[#This Row],[Start Date]],Milestone_Marker,IF(AND(AF$29&gt;ProposalToGnatt[[#This Row],[Start Date]],AF$29&lt;ProposalToGnatt[[#This Row],[Start Date]]+ProposalToGnatt[[#This Row],[Days]]),$G$5,"")),"")</f>
        <v/>
      </c>
      <c r="AG56" s="37" t="str">
        <f ca="1">IFERROR(+IF(AG$29=ProposalToGnatt[[#This Row],[Start Date]],Milestone_Marker,IF(AND(AG$29&gt;ProposalToGnatt[[#This Row],[Start Date]],AG$29&lt;ProposalToGnatt[[#This Row],[Start Date]]+ProposalToGnatt[[#This Row],[Days]]),$G$5,"")),"")</f>
        <v/>
      </c>
      <c r="AH56" s="37" t="str">
        <f ca="1">IFERROR(+IF(AH$29=ProposalToGnatt[[#This Row],[Start Date]],Milestone_Marker,IF(AND(AH$29&gt;ProposalToGnatt[[#This Row],[Start Date]],AH$29&lt;ProposalToGnatt[[#This Row],[Start Date]]+ProposalToGnatt[[#This Row],[Days]]),$G$5,"")),"")</f>
        <v/>
      </c>
      <c r="AI56" s="37" t="str">
        <f ca="1">IFERROR(+IF(AI$29=ProposalToGnatt[[#This Row],[Start Date]],Milestone_Marker,IF(AND(AI$29&gt;ProposalToGnatt[[#This Row],[Start Date]],AI$29&lt;ProposalToGnatt[[#This Row],[Start Date]]+ProposalToGnatt[[#This Row],[Days]]),$G$5,"")),"")</f>
        <v/>
      </c>
      <c r="AJ56" s="37" t="str">
        <f ca="1">IFERROR(+IF(AJ$29=ProposalToGnatt[[#This Row],[Start Date]],Milestone_Marker,IF(AND(AJ$29&gt;ProposalToGnatt[[#This Row],[Start Date]],AJ$29&lt;ProposalToGnatt[[#This Row],[Start Date]]+ProposalToGnatt[[#This Row],[Days]]),$G$5,"")),"")</f>
        <v/>
      </c>
      <c r="AK56" s="37" t="str">
        <f ca="1">IFERROR(+IF(AK$29=ProposalToGnatt[[#This Row],[Start Date]],Milestone_Marker,IF(AND(AK$29&gt;ProposalToGnatt[[#This Row],[Start Date]],AK$29&lt;ProposalToGnatt[[#This Row],[Start Date]]+ProposalToGnatt[[#This Row],[Days]]),$G$5,"")),"")</f>
        <v/>
      </c>
      <c r="AL56" s="37" t="str">
        <f ca="1">IFERROR(+IF(AL$29=ProposalToGnatt[[#This Row],[Start Date]],Milestone_Marker,IF(AND(AL$29&gt;ProposalToGnatt[[#This Row],[Start Date]],AL$29&lt;ProposalToGnatt[[#This Row],[Start Date]]+ProposalToGnatt[[#This Row],[Days]]),$G$5,"")),"")</f>
        <v/>
      </c>
      <c r="AM56" s="37" t="str">
        <f ca="1">IFERROR(+IF(AM$29=ProposalToGnatt[[#This Row],[Start Date]],Milestone_Marker,IF(AND(AM$29&gt;ProposalToGnatt[[#This Row],[Start Date]],AM$29&lt;ProposalToGnatt[[#This Row],[Start Date]]+ProposalToGnatt[[#This Row],[Days]]),$G$5,"")),"")</f>
        <v/>
      </c>
      <c r="AN56" s="37" t="str">
        <f ca="1">IFERROR(+IF(AN$29=ProposalToGnatt[[#This Row],[Start Date]],Milestone_Marker,IF(AND(AN$29&gt;ProposalToGnatt[[#This Row],[Start Date]],AN$29&lt;ProposalToGnatt[[#This Row],[Start Date]]+ProposalToGnatt[[#This Row],[Days]]),$G$5,"")),"")</f>
        <v/>
      </c>
      <c r="AO56" s="37" t="str">
        <f ca="1">IFERROR(+IF(AO$29=ProposalToGnatt[[#This Row],[Start Date]],Milestone_Marker,IF(AND(AO$29&gt;ProposalToGnatt[[#This Row],[Start Date]],AO$29&lt;ProposalToGnatt[[#This Row],[Start Date]]+ProposalToGnatt[[#This Row],[Days]]),$G$5,"")),"")</f>
        <v/>
      </c>
      <c r="AP56" s="37" t="str">
        <f ca="1">IFERROR(+IF(AP$29=ProposalToGnatt[[#This Row],[Start Date]],Milestone_Marker,IF(AND(AP$29&gt;ProposalToGnatt[[#This Row],[Start Date]],AP$29&lt;ProposalToGnatt[[#This Row],[Start Date]]+ProposalToGnatt[[#This Row],[Days]]),$G$5,"")),"")</f>
        <v/>
      </c>
      <c r="AQ56" s="37" t="str">
        <f ca="1">IFERROR(+IF(AQ$29=ProposalToGnatt[[#This Row],[Start Date]],Milestone_Marker,IF(AND(AQ$29&gt;ProposalToGnatt[[#This Row],[Start Date]],AQ$29&lt;ProposalToGnatt[[#This Row],[Start Date]]+ProposalToGnatt[[#This Row],[Days]]),$G$5,"")),"")</f>
        <v/>
      </c>
      <c r="AR56" s="37" t="str">
        <f ca="1">IFERROR(+IF(AR$29=ProposalToGnatt[[#This Row],[Start Date]],Milestone_Marker,IF(AND(AR$29&gt;ProposalToGnatt[[#This Row],[Start Date]],AR$29&lt;ProposalToGnatt[[#This Row],[Start Date]]+ProposalToGnatt[[#This Row],[Days]]),$G$5,"")),"")</f>
        <v/>
      </c>
      <c r="AS56" s="37" t="str">
        <f ca="1">IFERROR(+IF(AS$29=ProposalToGnatt[[#This Row],[Start Date]],Milestone_Marker,IF(AND(AS$29&gt;ProposalToGnatt[[#This Row],[Start Date]],AS$29&lt;ProposalToGnatt[[#This Row],[Start Date]]+ProposalToGnatt[[#This Row],[Days]]),$G$5,"")),"")</f>
        <v/>
      </c>
      <c r="AT56" s="37" t="str">
        <f ca="1">IFERROR(+IF(AT$29=ProposalToGnatt[[#This Row],[Start Date]],Milestone_Marker,IF(AND(AT$29&gt;ProposalToGnatt[[#This Row],[Start Date]],AT$29&lt;ProposalToGnatt[[#This Row],[Start Date]]+ProposalToGnatt[[#This Row],[Days]]),$G$5,"")),"")</f>
        <v/>
      </c>
      <c r="AU56" s="37" t="str">
        <f ca="1">IFERROR(+IF(AU$29=ProposalToGnatt[[#This Row],[Start Date]],Milestone_Marker,IF(AND(AU$29&gt;ProposalToGnatt[[#This Row],[Start Date]],AU$29&lt;ProposalToGnatt[[#This Row],[Start Date]]+ProposalToGnatt[[#This Row],[Days]]),$G$5,"")),"")</f>
        <v/>
      </c>
      <c r="AV56" s="37" t="str">
        <f ca="1">IFERROR(+IF(AV$29=ProposalToGnatt[[#This Row],[Start Date]],Milestone_Marker,IF(AND(AV$29&gt;ProposalToGnatt[[#This Row],[Start Date]],AV$29&lt;ProposalToGnatt[[#This Row],[Start Date]]+ProposalToGnatt[[#This Row],[Days]]),$G$5,"")),"")</f>
        <v/>
      </c>
      <c r="AW56" s="37" t="str">
        <f ca="1">IFERROR(+IF(AW$29=ProposalToGnatt[[#This Row],[Start Date]],Milestone_Marker,IF(AND(AW$29&gt;ProposalToGnatt[[#This Row],[Start Date]],AW$29&lt;ProposalToGnatt[[#This Row],[Start Date]]+ProposalToGnatt[[#This Row],[Days]]),$G$5,"")),"")</f>
        <v/>
      </c>
      <c r="AX56" s="37" t="str">
        <f ca="1">IFERROR(+IF(AX$29=ProposalToGnatt[[#This Row],[Start Date]],Milestone_Marker,IF(AND(AX$29&gt;ProposalToGnatt[[#This Row],[Start Date]],AX$29&lt;ProposalToGnatt[[#This Row],[Start Date]]+ProposalToGnatt[[#This Row],[Days]]),$G$5,"")),"")</f>
        <v/>
      </c>
      <c r="AY56" s="37" t="str">
        <f ca="1">IFERROR(+IF(AY$29=ProposalToGnatt[[#This Row],[Start Date]],Milestone_Marker,IF(AND(AY$29&gt;ProposalToGnatt[[#This Row],[Start Date]],AY$29&lt;ProposalToGnatt[[#This Row],[Start Date]]+ProposalToGnatt[[#This Row],[Days]]),$G$5,"")),"")</f>
        <v/>
      </c>
      <c r="AZ56" s="37" t="str">
        <f ca="1">IFERROR(+IF(AZ$29=ProposalToGnatt[[#This Row],[Start Date]],Milestone_Marker,IF(AND(AZ$29&gt;ProposalToGnatt[[#This Row],[Start Date]],AZ$29&lt;ProposalToGnatt[[#This Row],[Start Date]]+ProposalToGnatt[[#This Row],[Days]]),$G$5,"")),"")</f>
        <v/>
      </c>
      <c r="BA56" s="37" t="str">
        <f ca="1">IFERROR(+IF(BA$29=ProposalToGnatt[[#This Row],[Start Date]],Milestone_Marker,IF(AND(BA$29&gt;ProposalToGnatt[[#This Row],[Start Date]],BA$29&lt;ProposalToGnatt[[#This Row],[Start Date]]+ProposalToGnatt[[#This Row],[Days]]),$G$5,"")),"")</f>
        <v/>
      </c>
      <c r="BB56" s="37" t="str">
        <f ca="1">IFERROR(+IF(BB$29=ProposalToGnatt[[#This Row],[Start Date]],Milestone_Marker,IF(AND(BB$29&gt;ProposalToGnatt[[#This Row],[Start Date]],BB$29&lt;ProposalToGnatt[[#This Row],[Start Date]]+ProposalToGnatt[[#This Row],[Days]]),$G$5,"")),"")</f>
        <v/>
      </c>
      <c r="BC56" s="37" t="str">
        <f ca="1">IFERROR(+IF(BC$29=ProposalToGnatt[[#This Row],[Start Date]],Milestone_Marker,IF(AND(BC$29&gt;ProposalToGnatt[[#This Row],[Start Date]],BC$29&lt;ProposalToGnatt[[#This Row],[Start Date]]+ProposalToGnatt[[#This Row],[Days]]),$G$5,"")),"")</f>
        <v/>
      </c>
      <c r="BD56" s="37" t="str">
        <f ca="1">IFERROR(+IF(BD$29=ProposalToGnatt[[#This Row],[Start Date]],Milestone_Marker,IF(AND(BD$29&gt;ProposalToGnatt[[#This Row],[Start Date]],BD$29&lt;ProposalToGnatt[[#This Row],[Start Date]]+ProposalToGnatt[[#This Row],[Days]]),$G$5,"")),"")</f>
        <v/>
      </c>
      <c r="BE56" s="37" t="str">
        <f ca="1">IFERROR(+IF(BE$29=ProposalToGnatt[[#This Row],[Start Date]],Milestone_Marker,IF(AND(BE$29&gt;ProposalToGnatt[[#This Row],[Start Date]],BE$29&lt;ProposalToGnatt[[#This Row],[Start Date]]+ProposalToGnatt[[#This Row],[Days]]),$G$5,"")),"")</f>
        <v/>
      </c>
      <c r="BF56" s="37" t="str">
        <f ca="1">IFERROR(+IF(BF$29=ProposalToGnatt[[#This Row],[Start Date]],Milestone_Marker,IF(AND(BF$29&gt;ProposalToGnatt[[#This Row],[Start Date]],BF$29&lt;ProposalToGnatt[[#This Row],[Start Date]]+ProposalToGnatt[[#This Row],[Days]]),$G$5,"")),"")</f>
        <v/>
      </c>
      <c r="BG56" s="37" t="str">
        <f ca="1">IFERROR(+IF(BG$29=ProposalToGnatt[[#This Row],[Start Date]],Milestone_Marker,IF(AND(BG$29&gt;ProposalToGnatt[[#This Row],[Start Date]],BG$29&lt;ProposalToGnatt[[#This Row],[Start Date]]+ProposalToGnatt[[#This Row],[Days]]),$G$5,"")),"")</f>
        <v/>
      </c>
      <c r="BH56" s="37" t="str">
        <f ca="1">IFERROR(+IF(BH$29=ProposalToGnatt[[#This Row],[Start Date]],Milestone_Marker,IF(AND(BH$29&gt;ProposalToGnatt[[#This Row],[Start Date]],BH$29&lt;ProposalToGnatt[[#This Row],[Start Date]]+ProposalToGnatt[[#This Row],[Days]]),$G$5,"")),"")</f>
        <v/>
      </c>
      <c r="BI56" s="37" t="str">
        <f ca="1">IFERROR(+IF(BI$29=ProposalToGnatt[[#This Row],[Start Date]],Milestone_Marker,IF(AND(BI$29&gt;ProposalToGnatt[[#This Row],[Start Date]],BI$29&lt;ProposalToGnatt[[#This Row],[Start Date]]+ProposalToGnatt[[#This Row],[Days]]),$G$5,"")),"")</f>
        <v/>
      </c>
      <c r="BJ56" s="37" t="str">
        <f ca="1">IFERROR(+IF(BJ$29=ProposalToGnatt[[#This Row],[Start Date]],Milestone_Marker,IF(AND(BJ$29&gt;ProposalToGnatt[[#This Row],[Start Date]],BJ$29&lt;ProposalToGnatt[[#This Row],[Start Date]]+ProposalToGnatt[[#This Row],[Days]]),$G$5,"")),"")</f>
        <v/>
      </c>
      <c r="BK56" s="37" t="str">
        <f ca="1">IFERROR(+IF(BK$29=ProposalToGnatt[[#This Row],[Start Date]],Milestone_Marker,IF(AND(BK$29&gt;ProposalToGnatt[[#This Row],[Start Date]],BK$29&lt;ProposalToGnatt[[#This Row],[Start Date]]+ProposalToGnatt[[#This Row],[Days]]),$G$5,"")),"")</f>
        <v/>
      </c>
      <c r="BL56" s="37" t="str">
        <f ca="1">IFERROR(+IF(BL$29=ProposalToGnatt[[#This Row],[Start Date]],Milestone_Marker,IF(AND(BL$29&gt;ProposalToGnatt[[#This Row],[Start Date]],BL$29&lt;ProposalToGnatt[[#This Row],[Start Date]]+ProposalToGnatt[[#This Row],[Days]]),$G$5,"")),"")</f>
        <v/>
      </c>
      <c r="BM56" s="37" t="str">
        <f ca="1">IFERROR(+IF(BM$29=ProposalToGnatt[[#This Row],[Start Date]],Milestone_Marker,IF(AND(BM$29&gt;ProposalToGnatt[[#This Row],[Start Date]],BM$29&lt;ProposalToGnatt[[#This Row],[Start Date]]+ProposalToGnatt[[#This Row],[Days]]),$G$5,"")),"")</f>
        <v/>
      </c>
      <c r="BN56" s="37" t="str">
        <f ca="1">IFERROR(+IF(BN$29=ProposalToGnatt[[#This Row],[Start Date]],Milestone_Marker,IF(AND(BN$29&gt;ProposalToGnatt[[#This Row],[Start Date]],BN$29&lt;ProposalToGnatt[[#This Row],[Start Date]]+ProposalToGnatt[[#This Row],[Days]]),$G$5,"")),"")</f>
        <v/>
      </c>
      <c r="BO56" s="37" t="str">
        <f ca="1">IFERROR(+IF(BO$29=ProposalToGnatt[[#This Row],[Start Date]],Milestone_Marker,IF(AND(BO$29&gt;ProposalToGnatt[[#This Row],[Start Date]],BO$29&lt;ProposalToGnatt[[#This Row],[Start Date]]+ProposalToGnatt[[#This Row],[Days]]),$G$5,"")),"")</f>
        <v/>
      </c>
      <c r="BP56" s="37" t="str">
        <f ca="1">IFERROR(+IF(BP$29=ProposalToGnatt[[#This Row],[Start Date]],Milestone_Marker,IF(AND(BP$29&gt;ProposalToGnatt[[#This Row],[Start Date]],BP$29&lt;ProposalToGnatt[[#This Row],[Start Date]]+ProposalToGnatt[[#This Row],[Days]]),$G$5,"")),"")</f>
        <v/>
      </c>
      <c r="BQ56" s="37" t="str">
        <f ca="1">IFERROR(+IF(BQ$29=ProposalToGnatt[[#This Row],[Start Date]],Milestone_Marker,IF(AND(BQ$29&gt;ProposalToGnatt[[#This Row],[Start Date]],BQ$29&lt;ProposalToGnatt[[#This Row],[Start Date]]+ProposalToGnatt[[#This Row],[Days]]),$G$5,"")),"")</f>
        <v/>
      </c>
      <c r="BR56" s="37" t="str">
        <f ca="1">IFERROR(+IF(BR$29=ProposalToGnatt[[#This Row],[Start Date]],Milestone_Marker,IF(AND(BR$29&gt;ProposalToGnatt[[#This Row],[Start Date]],BR$29&lt;ProposalToGnatt[[#This Row],[Start Date]]+ProposalToGnatt[[#This Row],[Days]]),$G$5,"")),"")</f>
        <v/>
      </c>
      <c r="BS56" s="37" t="str">
        <f ca="1">IFERROR(+IF(BS$29=ProposalToGnatt[[#This Row],[Start Date]],Milestone_Marker,IF(AND(BS$29&gt;ProposalToGnatt[[#This Row],[Start Date]],BS$29&lt;ProposalToGnatt[[#This Row],[Start Date]]+ProposalToGnatt[[#This Row],[Days]]),$G$5,"")),"")</f>
        <v/>
      </c>
      <c r="BT56" s="37" t="str">
        <f ca="1">IFERROR(+IF(BT$29=ProposalToGnatt[[#This Row],[Start Date]],Milestone_Marker,IF(AND(BT$29&gt;ProposalToGnatt[[#This Row],[Start Date]],BT$29&lt;ProposalToGnatt[[#This Row],[Start Date]]+ProposalToGnatt[[#This Row],[Days]]),$G$5,"")),"")</f>
        <v/>
      </c>
      <c r="BU56" s="37" t="str">
        <f ca="1">IFERROR(+IF(BU$29=ProposalToGnatt[[#This Row],[Start Date]],Milestone_Marker,IF(AND(BU$29&gt;ProposalToGnatt[[#This Row],[Start Date]],BU$29&lt;ProposalToGnatt[[#This Row],[Start Date]]+ProposalToGnatt[[#This Row],[Days]]),$G$5,"")),"")</f>
        <v/>
      </c>
      <c r="BV56" s="37" t="str">
        <f ca="1">IFERROR(+IF(BV$29=ProposalToGnatt[[#This Row],[Start Date]],Milestone_Marker,IF(AND(BV$29&gt;ProposalToGnatt[[#This Row],[Start Date]],BV$29&lt;ProposalToGnatt[[#This Row],[Start Date]]+ProposalToGnatt[[#This Row],[Days]]),$G$5,"")),"")</f>
        <v/>
      </c>
      <c r="BW56" s="37" t="str">
        <f ca="1">IFERROR(+IF(BW$29=ProposalToGnatt[[#This Row],[Start Date]],Milestone_Marker,IF(AND(BW$29&gt;ProposalToGnatt[[#This Row],[Start Date]],BW$29&lt;ProposalToGnatt[[#This Row],[Start Date]]+ProposalToGnatt[[#This Row],[Days]]),$G$5,"")),"")</f>
        <v/>
      </c>
      <c r="BX56" s="37" t="str">
        <f ca="1">IFERROR(+IF(BX$29=ProposalToGnatt[[#This Row],[Start Date]],Milestone_Marker,IF(AND(BX$29&gt;ProposalToGnatt[[#This Row],[Start Date]],BX$29&lt;ProposalToGnatt[[#This Row],[Start Date]]+ProposalToGnatt[[#This Row],[Days]]),$G$5,"")),"")</f>
        <v/>
      </c>
      <c r="BY56" s="37" t="str">
        <f ca="1">IFERROR(+IF(BY$29=ProposalToGnatt[[#This Row],[Start Date]],Milestone_Marker,IF(AND(BY$29&gt;ProposalToGnatt[[#This Row],[Start Date]],BY$29&lt;ProposalToGnatt[[#This Row],[Start Date]]+ProposalToGnatt[[#This Row],[Days]]),$G$5,"")),"")</f>
        <v/>
      </c>
      <c r="BZ56" s="37" t="str">
        <f ca="1">IFERROR(+IF(BZ$29=ProposalToGnatt[[#This Row],[Start Date]],Milestone_Marker,IF(AND(BZ$29&gt;ProposalToGnatt[[#This Row],[Start Date]],BZ$29&lt;ProposalToGnatt[[#This Row],[Start Date]]+ProposalToGnatt[[#This Row],[Days]]),$G$5,"")),"")</f>
        <v/>
      </c>
      <c r="CA56" s="37" t="str">
        <f ca="1">IFERROR(+IF(CA$29=ProposalToGnatt[[#This Row],[Start Date]],Milestone_Marker,IF(AND(CA$29&gt;ProposalToGnatt[[#This Row],[Start Date]],CA$29&lt;ProposalToGnatt[[#This Row],[Start Date]]+ProposalToGnatt[[#This Row],[Days]]),$G$5,"")),"")</f>
        <v/>
      </c>
      <c r="CB56" s="37" t="str">
        <f ca="1">IFERROR(+IF(CB$29=ProposalToGnatt[[#This Row],[Start Date]],Milestone_Marker,IF(AND(CB$29&gt;ProposalToGnatt[[#This Row],[Start Date]],CB$29&lt;ProposalToGnatt[[#This Row],[Start Date]]+ProposalToGnatt[[#This Row],[Days]]),$G$5,"")),"")</f>
        <v/>
      </c>
      <c r="CC56" s="37" t="str">
        <f ca="1">IFERROR(+IF(CC$29=ProposalToGnatt[[#This Row],[Start Date]],Milestone_Marker,IF(AND(CC$29&gt;ProposalToGnatt[[#This Row],[Start Date]],CC$29&lt;ProposalToGnatt[[#This Row],[Start Date]]+ProposalToGnatt[[#This Row],[Days]]),$G$5,"")),"")</f>
        <v/>
      </c>
      <c r="CD56" s="37" t="str">
        <f ca="1">IFERROR(+IF(CD$29=ProposalToGnatt[[#This Row],[Start Date]],Milestone_Marker,IF(AND(CD$29&gt;ProposalToGnatt[[#This Row],[Start Date]],CD$29&lt;ProposalToGnatt[[#This Row],[Start Date]]+ProposalToGnatt[[#This Row],[Days]]),$G$5,"")),"")</f>
        <v/>
      </c>
      <c r="CE56" s="37" t="str">
        <f ca="1">IFERROR(+IF(CE$29=ProposalToGnatt[[#This Row],[Start Date]],Milestone_Marker,IF(AND(CE$29&gt;ProposalToGnatt[[#This Row],[Start Date]],CE$29&lt;ProposalToGnatt[[#This Row],[Start Date]]+ProposalToGnatt[[#This Row],[Days]]),$G$5,"")),"")</f>
        <v/>
      </c>
      <c r="CF56" s="37" t="str">
        <f ca="1">IFERROR(+IF(CF$29=ProposalToGnatt[[#This Row],[Start Date]],Milestone_Marker,IF(AND(CF$29&gt;ProposalToGnatt[[#This Row],[Start Date]],CF$29&lt;ProposalToGnatt[[#This Row],[Start Date]]+ProposalToGnatt[[#This Row],[Days]]),$G$5,"")),"")</f>
        <v/>
      </c>
      <c r="CG56" s="37" t="str">
        <f ca="1">IFERROR(+IF(CG$29=ProposalToGnatt[[#This Row],[Start Date]],Milestone_Marker,IF(AND(CG$29&gt;ProposalToGnatt[[#This Row],[Start Date]],CG$29&lt;ProposalToGnatt[[#This Row],[Start Date]]+ProposalToGnatt[[#This Row],[Days]]),$G$5,"")),"")</f>
        <v/>
      </c>
      <c r="CH56" s="37" t="str">
        <f ca="1">IFERROR(+IF(CH$29=ProposalToGnatt[[#This Row],[Start Date]],Milestone_Marker,IF(AND(CH$29&gt;ProposalToGnatt[[#This Row],[Start Date]],CH$29&lt;ProposalToGnatt[[#This Row],[Start Date]]+ProposalToGnatt[[#This Row],[Days]]),$G$5,"")),"")</f>
        <v/>
      </c>
      <c r="CI56" s="37" t="str">
        <f ca="1">IFERROR(+IF(CI$29=ProposalToGnatt[[#This Row],[Start Date]],Milestone_Marker,IF(AND(CI$29&gt;ProposalToGnatt[[#This Row],[Start Date]],CI$29&lt;ProposalToGnatt[[#This Row],[Start Date]]+ProposalToGnatt[[#This Row],[Days]]),$G$5,"")),"")</f>
        <v/>
      </c>
      <c r="CJ56" s="37" t="str">
        <f ca="1">IFERROR(+IF(CJ$29=ProposalToGnatt[[#This Row],[Start Date]],Milestone_Marker,IF(AND(CJ$29&gt;ProposalToGnatt[[#This Row],[Start Date]],CJ$29&lt;ProposalToGnatt[[#This Row],[Start Date]]+ProposalToGnatt[[#This Row],[Days]]),$G$5,"")),"")</f>
        <v/>
      </c>
      <c r="CK56" s="37" t="str">
        <f ca="1">IFERROR(+IF(CK$29=ProposalToGnatt[[#This Row],[Start Date]],Milestone_Marker,IF(AND(CK$29&gt;ProposalToGnatt[[#This Row],[Start Date]],CK$29&lt;ProposalToGnatt[[#This Row],[Start Date]]+ProposalToGnatt[[#This Row],[Days]]),$G$5,"")),"")</f>
        <v/>
      </c>
      <c r="CL56" s="37" t="str">
        <f ca="1">IFERROR(+IF(CL$29=ProposalToGnatt[[#This Row],[Start Date]],Milestone_Marker,IF(AND(CL$29&gt;ProposalToGnatt[[#This Row],[Start Date]],CL$29&lt;ProposalToGnatt[[#This Row],[Start Date]]+ProposalToGnatt[[#This Row],[Days]]),$G$5,"")),"")</f>
        <v/>
      </c>
      <c r="CM56" s="37" t="str">
        <f ca="1">IFERROR(+IF(CM$29=ProposalToGnatt[[#This Row],[Start Date]],Milestone_Marker,IF(AND(CM$29&gt;ProposalToGnatt[[#This Row],[Start Date]],CM$29&lt;ProposalToGnatt[[#This Row],[Start Date]]+ProposalToGnatt[[#This Row],[Days]]),$G$5,"")),"")</f>
        <v/>
      </c>
      <c r="CN56" s="37" t="str">
        <f ca="1">IFERROR(+IF(CN$29=ProposalToGnatt[[#This Row],[Start Date]],Milestone_Marker,IF(AND(CN$29&gt;ProposalToGnatt[[#This Row],[Start Date]],CN$29&lt;ProposalToGnatt[[#This Row],[Start Date]]+ProposalToGnatt[[#This Row],[Days]]),$G$5,"")),"")</f>
        <v/>
      </c>
      <c r="CO56" s="37" t="str">
        <f ca="1">IFERROR(+IF(CO$29=ProposalToGnatt[[#This Row],[Start Date]],Milestone_Marker,IF(AND(CO$29&gt;ProposalToGnatt[[#This Row],[Start Date]],CO$29&lt;ProposalToGnatt[[#This Row],[Start Date]]+ProposalToGnatt[[#This Row],[Days]]),$G$5,"")),"")</f>
        <v/>
      </c>
      <c r="CP56" s="37" t="str">
        <f ca="1">IFERROR(+IF(CP$29=ProposalToGnatt[[#This Row],[Start Date]],Milestone_Marker,IF(AND(CP$29&gt;ProposalToGnatt[[#This Row],[Start Date]],CP$29&lt;ProposalToGnatt[[#This Row],[Start Date]]+ProposalToGnatt[[#This Row],[Days]]),$G$5,"")),"")</f>
        <v/>
      </c>
      <c r="CQ56" s="37" t="str">
        <f ca="1">IFERROR(+IF(CQ$29=ProposalToGnatt[[#This Row],[Start Date]],Milestone_Marker,IF(AND(CQ$29&gt;ProposalToGnatt[[#This Row],[Start Date]],CQ$29&lt;ProposalToGnatt[[#This Row],[Start Date]]+ProposalToGnatt[[#This Row],[Days]]),$G$5,"")),"")</f>
        <v/>
      </c>
      <c r="CR56" s="37" t="str">
        <f ca="1">IFERROR(+IF(CR$29=ProposalToGnatt[[#This Row],[Start Date]],Milestone_Marker,IF(AND(CR$29&gt;ProposalToGnatt[[#This Row],[Start Date]],CR$29&lt;ProposalToGnatt[[#This Row],[Start Date]]+ProposalToGnatt[[#This Row],[Days]]),$G$5,"")),"")</f>
        <v/>
      </c>
      <c r="CS56" s="37" t="str">
        <f ca="1">IFERROR(+IF(CS$29=ProposalToGnatt[[#This Row],[Start Date]],Milestone_Marker,IF(AND(CS$29&gt;ProposalToGnatt[[#This Row],[Start Date]],CS$29&lt;ProposalToGnatt[[#This Row],[Start Date]]+ProposalToGnatt[[#This Row],[Days]]),$G$5,"")),"")</f>
        <v/>
      </c>
      <c r="CT56" s="37" t="str">
        <f ca="1">IFERROR(+IF(CT$29=ProposalToGnatt[[#This Row],[Start Date]],Milestone_Marker,IF(AND(CT$29&gt;ProposalToGnatt[[#This Row],[Start Date]],CT$29&lt;ProposalToGnatt[[#This Row],[Start Date]]+ProposalToGnatt[[#This Row],[Days]]),$G$5,"")),"")</f>
        <v/>
      </c>
      <c r="CU56" s="37" t="str">
        <f ca="1">IFERROR(+IF(CU$29=ProposalToGnatt[[#This Row],[Start Date]],Milestone_Marker,IF(AND(CU$29&gt;ProposalToGnatt[[#This Row],[Start Date]],CU$29&lt;ProposalToGnatt[[#This Row],[Start Date]]+ProposalToGnatt[[#This Row],[Days]]),$G$5,"")),"")</f>
        <v/>
      </c>
      <c r="CV56" s="37"/>
      <c r="CW56" s="37"/>
      <c r="CX56" s="37"/>
      <c r="CY56" s="37"/>
      <c r="CZ56" s="37"/>
      <c r="DA56" s="37"/>
      <c r="DB56" s="37"/>
      <c r="DC56" s="37"/>
      <c r="DD56" s="37"/>
      <c r="DE56" s="37"/>
      <c r="DF56" s="37"/>
      <c r="DG56" s="37"/>
      <c r="DH56" s="37"/>
      <c r="DI56" s="37"/>
      <c r="DJ56" s="37"/>
      <c r="DK56" s="37"/>
      <c r="DL56" s="37"/>
      <c r="DM56" s="37"/>
      <c r="DN56" s="37"/>
      <c r="DO56" s="37"/>
      <c r="DP56" s="37"/>
      <c r="DQ56" s="37"/>
      <c r="DR56" s="37"/>
      <c r="DS56" s="37"/>
      <c r="DT56" s="37"/>
      <c r="DU56" s="37"/>
    </row>
    <row r="57" spans="1:125" s="42" customFormat="1" ht="15" x14ac:dyDescent="0.25">
      <c r="A57" t="s">
        <v>428</v>
      </c>
      <c r="B57">
        <v>16</v>
      </c>
      <c r="C57" t="s">
        <v>311</v>
      </c>
      <c r="D57"/>
      <c r="E57" t="s">
        <v>330</v>
      </c>
      <c r="F57"/>
      <c r="G57" s="14"/>
      <c r="H57" s="14"/>
      <c r="I57"/>
      <c r="J57">
        <v>1</v>
      </c>
      <c r="K57" s="303"/>
      <c r="L57"/>
      <c r="M57" s="14"/>
      <c r="N57" s="352"/>
      <c r="O57" s="340"/>
      <c r="P57" s="37" t="str">
        <f ca="1">IFERROR(+IF(P$29=ProposalToGnatt[[#This Row],[Start Date]],Milestone_Marker,IF(AND(P$29&gt;ProposalToGnatt[[#This Row],[Start Date]],P$29&lt;ProposalToGnatt[[#This Row],[Start Date]]+ProposalToGnatt[[#This Row],[Days]]),$G$5,"")),"")</f>
        <v/>
      </c>
      <c r="Q57" s="37" t="str">
        <f ca="1">IFERROR(+IF(Q$29=ProposalToGnatt[[#This Row],[Start Date]],Milestone_Marker,IF(AND(Q$29&gt;ProposalToGnatt[[#This Row],[Start Date]],Q$29&lt;ProposalToGnatt[[#This Row],[Start Date]]+ProposalToGnatt[[#This Row],[Days]]),$G$5,"")),"")</f>
        <v/>
      </c>
      <c r="R57" s="37" t="str">
        <f ca="1">IFERROR(+IF(R$29=ProposalToGnatt[[#This Row],[Start Date]],Milestone_Marker,IF(AND(R$29&gt;ProposalToGnatt[[#This Row],[Start Date]],R$29&lt;ProposalToGnatt[[#This Row],[Start Date]]+ProposalToGnatt[[#This Row],[Days]]),$G$5,"")),"")</f>
        <v/>
      </c>
      <c r="S57" s="37" t="str">
        <f ca="1">IFERROR(+IF(S$29=ProposalToGnatt[[#This Row],[Start Date]],Milestone_Marker,IF(AND(S$29&gt;ProposalToGnatt[[#This Row],[Start Date]],S$29&lt;ProposalToGnatt[[#This Row],[Start Date]]+ProposalToGnatt[[#This Row],[Days]]),$G$5,"")),"")</f>
        <v/>
      </c>
      <c r="T57" s="37" t="str">
        <f ca="1">IFERROR(+IF(T$29=ProposalToGnatt[[#This Row],[Start Date]],Milestone_Marker,IF(AND(T$29&gt;ProposalToGnatt[[#This Row],[Start Date]],T$29&lt;ProposalToGnatt[[#This Row],[Start Date]]+ProposalToGnatt[[#This Row],[Days]]),$G$5,"")),"")</f>
        <v/>
      </c>
      <c r="U57" s="37" t="str">
        <f ca="1">IFERROR(+IF(U$29=ProposalToGnatt[[#This Row],[Start Date]],Milestone_Marker,IF(AND(U$29&gt;ProposalToGnatt[[#This Row],[Start Date]],U$29&lt;ProposalToGnatt[[#This Row],[Start Date]]+ProposalToGnatt[[#This Row],[Days]]),$G$5,"")),"")</f>
        <v/>
      </c>
      <c r="V57" s="37" t="str">
        <f ca="1">IFERROR(+IF(V$29=ProposalToGnatt[[#This Row],[Start Date]],Milestone_Marker,IF(AND(V$29&gt;ProposalToGnatt[[#This Row],[Start Date]],V$29&lt;ProposalToGnatt[[#This Row],[Start Date]]+ProposalToGnatt[[#This Row],[Days]]),$G$5,"")),"")</f>
        <v/>
      </c>
      <c r="W57" s="37" t="str">
        <f ca="1">IFERROR(+IF(W$29=ProposalToGnatt[[#This Row],[Start Date]],Milestone_Marker,IF(AND(W$29&gt;ProposalToGnatt[[#This Row],[Start Date]],W$29&lt;ProposalToGnatt[[#This Row],[Start Date]]+ProposalToGnatt[[#This Row],[Days]]),$G$5,"")),"")</f>
        <v/>
      </c>
      <c r="X57" s="37" t="str">
        <f ca="1">IFERROR(+IF(X$29=ProposalToGnatt[[#This Row],[Start Date]],Milestone_Marker,IF(AND(X$29&gt;ProposalToGnatt[[#This Row],[Start Date]],X$29&lt;ProposalToGnatt[[#This Row],[Start Date]]+ProposalToGnatt[[#This Row],[Days]]),$G$5,"")),"")</f>
        <v/>
      </c>
      <c r="Y57" s="37" t="str">
        <f ca="1">IFERROR(+IF(Y$29=ProposalToGnatt[[#This Row],[Start Date]],Milestone_Marker,IF(AND(Y$29&gt;ProposalToGnatt[[#This Row],[Start Date]],Y$29&lt;ProposalToGnatt[[#This Row],[Start Date]]+ProposalToGnatt[[#This Row],[Days]]),$G$5,"")),"")</f>
        <v/>
      </c>
      <c r="Z57" s="37" t="str">
        <f ca="1">IFERROR(+IF(Z$29=ProposalToGnatt[[#This Row],[Start Date]],Milestone_Marker,IF(AND(Z$29&gt;ProposalToGnatt[[#This Row],[Start Date]],Z$29&lt;ProposalToGnatt[[#This Row],[Start Date]]+ProposalToGnatt[[#This Row],[Days]]),$G$5,"")),"")</f>
        <v/>
      </c>
      <c r="AA57" s="37" t="str">
        <f ca="1">IFERROR(+IF(AA$29=ProposalToGnatt[[#This Row],[Start Date]],Milestone_Marker,IF(AND(AA$29&gt;ProposalToGnatt[[#This Row],[Start Date]],AA$29&lt;ProposalToGnatt[[#This Row],[Start Date]]+ProposalToGnatt[[#This Row],[Days]]),$G$5,"")),"")</f>
        <v/>
      </c>
      <c r="AB57" s="37" t="str">
        <f ca="1">IFERROR(+IF(AB$29=ProposalToGnatt[[#This Row],[Start Date]],Milestone_Marker,IF(AND(AB$29&gt;ProposalToGnatt[[#This Row],[Start Date]],AB$29&lt;ProposalToGnatt[[#This Row],[Start Date]]+ProposalToGnatt[[#This Row],[Days]]),$G$5,"")),"")</f>
        <v/>
      </c>
      <c r="AC57" s="37" t="str">
        <f ca="1">IFERROR(+IF(AC$29=ProposalToGnatt[[#This Row],[Start Date]],Milestone_Marker,IF(AND(AC$29&gt;ProposalToGnatt[[#This Row],[Start Date]],AC$29&lt;ProposalToGnatt[[#This Row],[Start Date]]+ProposalToGnatt[[#This Row],[Days]]),$G$5,"")),"")</f>
        <v/>
      </c>
      <c r="AD57" s="37" t="str">
        <f ca="1">IFERROR(+IF(AD$29=ProposalToGnatt[[#This Row],[Start Date]],Milestone_Marker,IF(AND(AD$29&gt;ProposalToGnatt[[#This Row],[Start Date]],AD$29&lt;ProposalToGnatt[[#This Row],[Start Date]]+ProposalToGnatt[[#This Row],[Days]]),$G$5,"")),"")</f>
        <v/>
      </c>
      <c r="AE57" s="37" t="str">
        <f ca="1">IFERROR(+IF(AE$29=ProposalToGnatt[[#This Row],[Start Date]],Milestone_Marker,IF(AND(AE$29&gt;ProposalToGnatt[[#This Row],[Start Date]],AE$29&lt;ProposalToGnatt[[#This Row],[Start Date]]+ProposalToGnatt[[#This Row],[Days]]),$G$5,"")),"")</f>
        <v/>
      </c>
      <c r="AF57" s="37" t="str">
        <f ca="1">IFERROR(+IF(AF$29=ProposalToGnatt[[#This Row],[Start Date]],Milestone_Marker,IF(AND(AF$29&gt;ProposalToGnatt[[#This Row],[Start Date]],AF$29&lt;ProposalToGnatt[[#This Row],[Start Date]]+ProposalToGnatt[[#This Row],[Days]]),$G$5,"")),"")</f>
        <v/>
      </c>
      <c r="AG57" s="37" t="str">
        <f ca="1">IFERROR(+IF(AG$29=ProposalToGnatt[[#This Row],[Start Date]],Milestone_Marker,IF(AND(AG$29&gt;ProposalToGnatt[[#This Row],[Start Date]],AG$29&lt;ProposalToGnatt[[#This Row],[Start Date]]+ProposalToGnatt[[#This Row],[Days]]),$G$5,"")),"")</f>
        <v/>
      </c>
      <c r="AH57" s="37" t="str">
        <f ca="1">IFERROR(+IF(AH$29=ProposalToGnatt[[#This Row],[Start Date]],Milestone_Marker,IF(AND(AH$29&gt;ProposalToGnatt[[#This Row],[Start Date]],AH$29&lt;ProposalToGnatt[[#This Row],[Start Date]]+ProposalToGnatt[[#This Row],[Days]]),$G$5,"")),"")</f>
        <v/>
      </c>
      <c r="AI57" s="37" t="str">
        <f ca="1">IFERROR(+IF(AI$29=ProposalToGnatt[[#This Row],[Start Date]],Milestone_Marker,IF(AND(AI$29&gt;ProposalToGnatt[[#This Row],[Start Date]],AI$29&lt;ProposalToGnatt[[#This Row],[Start Date]]+ProposalToGnatt[[#This Row],[Days]]),$G$5,"")),"")</f>
        <v/>
      </c>
      <c r="AJ57" s="37" t="str">
        <f ca="1">IFERROR(+IF(AJ$29=ProposalToGnatt[[#This Row],[Start Date]],Milestone_Marker,IF(AND(AJ$29&gt;ProposalToGnatt[[#This Row],[Start Date]],AJ$29&lt;ProposalToGnatt[[#This Row],[Start Date]]+ProposalToGnatt[[#This Row],[Days]]),$G$5,"")),"")</f>
        <v/>
      </c>
      <c r="AK57" s="37" t="str">
        <f ca="1">IFERROR(+IF(AK$29=ProposalToGnatt[[#This Row],[Start Date]],Milestone_Marker,IF(AND(AK$29&gt;ProposalToGnatt[[#This Row],[Start Date]],AK$29&lt;ProposalToGnatt[[#This Row],[Start Date]]+ProposalToGnatt[[#This Row],[Days]]),$G$5,"")),"")</f>
        <v/>
      </c>
      <c r="AL57" s="37" t="str">
        <f ca="1">IFERROR(+IF(AL$29=ProposalToGnatt[[#This Row],[Start Date]],Milestone_Marker,IF(AND(AL$29&gt;ProposalToGnatt[[#This Row],[Start Date]],AL$29&lt;ProposalToGnatt[[#This Row],[Start Date]]+ProposalToGnatt[[#This Row],[Days]]),$G$5,"")),"")</f>
        <v/>
      </c>
      <c r="AM57" s="37" t="str">
        <f ca="1">IFERROR(+IF(AM$29=ProposalToGnatt[[#This Row],[Start Date]],Milestone_Marker,IF(AND(AM$29&gt;ProposalToGnatt[[#This Row],[Start Date]],AM$29&lt;ProposalToGnatt[[#This Row],[Start Date]]+ProposalToGnatt[[#This Row],[Days]]),$G$5,"")),"")</f>
        <v/>
      </c>
      <c r="AN57" s="37" t="str">
        <f ca="1">IFERROR(+IF(AN$29=ProposalToGnatt[[#This Row],[Start Date]],Milestone_Marker,IF(AND(AN$29&gt;ProposalToGnatt[[#This Row],[Start Date]],AN$29&lt;ProposalToGnatt[[#This Row],[Start Date]]+ProposalToGnatt[[#This Row],[Days]]),$G$5,"")),"")</f>
        <v/>
      </c>
      <c r="AO57" s="37" t="str">
        <f ca="1">IFERROR(+IF(AO$29=ProposalToGnatt[[#This Row],[Start Date]],Milestone_Marker,IF(AND(AO$29&gt;ProposalToGnatt[[#This Row],[Start Date]],AO$29&lt;ProposalToGnatt[[#This Row],[Start Date]]+ProposalToGnatt[[#This Row],[Days]]),$G$5,"")),"")</f>
        <v/>
      </c>
      <c r="AP57" s="37" t="str">
        <f ca="1">IFERROR(+IF(AP$29=ProposalToGnatt[[#This Row],[Start Date]],Milestone_Marker,IF(AND(AP$29&gt;ProposalToGnatt[[#This Row],[Start Date]],AP$29&lt;ProposalToGnatt[[#This Row],[Start Date]]+ProposalToGnatt[[#This Row],[Days]]),$G$5,"")),"")</f>
        <v/>
      </c>
      <c r="AQ57" s="37" t="str">
        <f ca="1">IFERROR(+IF(AQ$29=ProposalToGnatt[[#This Row],[Start Date]],Milestone_Marker,IF(AND(AQ$29&gt;ProposalToGnatt[[#This Row],[Start Date]],AQ$29&lt;ProposalToGnatt[[#This Row],[Start Date]]+ProposalToGnatt[[#This Row],[Days]]),$G$5,"")),"")</f>
        <v/>
      </c>
      <c r="AR57" s="37" t="str">
        <f ca="1">IFERROR(+IF(AR$29=ProposalToGnatt[[#This Row],[Start Date]],Milestone_Marker,IF(AND(AR$29&gt;ProposalToGnatt[[#This Row],[Start Date]],AR$29&lt;ProposalToGnatt[[#This Row],[Start Date]]+ProposalToGnatt[[#This Row],[Days]]),$G$5,"")),"")</f>
        <v/>
      </c>
      <c r="AS57" s="37" t="str">
        <f ca="1">IFERROR(+IF(AS$29=ProposalToGnatt[[#This Row],[Start Date]],Milestone_Marker,IF(AND(AS$29&gt;ProposalToGnatt[[#This Row],[Start Date]],AS$29&lt;ProposalToGnatt[[#This Row],[Start Date]]+ProposalToGnatt[[#This Row],[Days]]),$G$5,"")),"")</f>
        <v/>
      </c>
      <c r="AT57" s="37" t="str">
        <f ca="1">IFERROR(+IF(AT$29=ProposalToGnatt[[#This Row],[Start Date]],Milestone_Marker,IF(AND(AT$29&gt;ProposalToGnatt[[#This Row],[Start Date]],AT$29&lt;ProposalToGnatt[[#This Row],[Start Date]]+ProposalToGnatt[[#This Row],[Days]]),$G$5,"")),"")</f>
        <v/>
      </c>
      <c r="AU57" s="37" t="str">
        <f ca="1">IFERROR(+IF(AU$29=ProposalToGnatt[[#This Row],[Start Date]],Milestone_Marker,IF(AND(AU$29&gt;ProposalToGnatt[[#This Row],[Start Date]],AU$29&lt;ProposalToGnatt[[#This Row],[Start Date]]+ProposalToGnatt[[#This Row],[Days]]),$G$5,"")),"")</f>
        <v/>
      </c>
      <c r="AV57" s="37" t="str">
        <f ca="1">IFERROR(+IF(AV$29=ProposalToGnatt[[#This Row],[Start Date]],Milestone_Marker,IF(AND(AV$29&gt;ProposalToGnatt[[#This Row],[Start Date]],AV$29&lt;ProposalToGnatt[[#This Row],[Start Date]]+ProposalToGnatt[[#This Row],[Days]]),$G$5,"")),"")</f>
        <v/>
      </c>
      <c r="AW57" s="37" t="str">
        <f ca="1">IFERROR(+IF(AW$29=ProposalToGnatt[[#This Row],[Start Date]],Milestone_Marker,IF(AND(AW$29&gt;ProposalToGnatt[[#This Row],[Start Date]],AW$29&lt;ProposalToGnatt[[#This Row],[Start Date]]+ProposalToGnatt[[#This Row],[Days]]),$G$5,"")),"")</f>
        <v/>
      </c>
      <c r="AX57" s="37" t="str">
        <f ca="1">IFERROR(+IF(AX$29=ProposalToGnatt[[#This Row],[Start Date]],Milestone_Marker,IF(AND(AX$29&gt;ProposalToGnatt[[#This Row],[Start Date]],AX$29&lt;ProposalToGnatt[[#This Row],[Start Date]]+ProposalToGnatt[[#This Row],[Days]]),$G$5,"")),"")</f>
        <v/>
      </c>
      <c r="AY57" s="37" t="str">
        <f ca="1">IFERROR(+IF(AY$29=ProposalToGnatt[[#This Row],[Start Date]],Milestone_Marker,IF(AND(AY$29&gt;ProposalToGnatt[[#This Row],[Start Date]],AY$29&lt;ProposalToGnatt[[#This Row],[Start Date]]+ProposalToGnatt[[#This Row],[Days]]),$G$5,"")),"")</f>
        <v/>
      </c>
      <c r="AZ57" s="37" t="str">
        <f ca="1">IFERROR(+IF(AZ$29=ProposalToGnatt[[#This Row],[Start Date]],Milestone_Marker,IF(AND(AZ$29&gt;ProposalToGnatt[[#This Row],[Start Date]],AZ$29&lt;ProposalToGnatt[[#This Row],[Start Date]]+ProposalToGnatt[[#This Row],[Days]]),$G$5,"")),"")</f>
        <v/>
      </c>
      <c r="BA57" s="37" t="str">
        <f ca="1">IFERROR(+IF(BA$29=ProposalToGnatt[[#This Row],[Start Date]],Milestone_Marker,IF(AND(BA$29&gt;ProposalToGnatt[[#This Row],[Start Date]],BA$29&lt;ProposalToGnatt[[#This Row],[Start Date]]+ProposalToGnatt[[#This Row],[Days]]),$G$5,"")),"")</f>
        <v/>
      </c>
      <c r="BB57" s="37" t="str">
        <f ca="1">IFERROR(+IF(BB$29=ProposalToGnatt[[#This Row],[Start Date]],Milestone_Marker,IF(AND(BB$29&gt;ProposalToGnatt[[#This Row],[Start Date]],BB$29&lt;ProposalToGnatt[[#This Row],[Start Date]]+ProposalToGnatt[[#This Row],[Days]]),$G$5,"")),"")</f>
        <v/>
      </c>
      <c r="BC57" s="37" t="str">
        <f ca="1">IFERROR(+IF(BC$29=ProposalToGnatt[[#This Row],[Start Date]],Milestone_Marker,IF(AND(BC$29&gt;ProposalToGnatt[[#This Row],[Start Date]],BC$29&lt;ProposalToGnatt[[#This Row],[Start Date]]+ProposalToGnatt[[#This Row],[Days]]),$G$5,"")),"")</f>
        <v/>
      </c>
      <c r="BD57" s="37" t="str">
        <f ca="1">IFERROR(+IF(BD$29=ProposalToGnatt[[#This Row],[Start Date]],Milestone_Marker,IF(AND(BD$29&gt;ProposalToGnatt[[#This Row],[Start Date]],BD$29&lt;ProposalToGnatt[[#This Row],[Start Date]]+ProposalToGnatt[[#This Row],[Days]]),$G$5,"")),"")</f>
        <v/>
      </c>
      <c r="BE57" s="37" t="str">
        <f ca="1">IFERROR(+IF(BE$29=ProposalToGnatt[[#This Row],[Start Date]],Milestone_Marker,IF(AND(BE$29&gt;ProposalToGnatt[[#This Row],[Start Date]],BE$29&lt;ProposalToGnatt[[#This Row],[Start Date]]+ProposalToGnatt[[#This Row],[Days]]),$G$5,"")),"")</f>
        <v/>
      </c>
      <c r="BF57" s="37" t="str">
        <f ca="1">IFERROR(+IF(BF$29=ProposalToGnatt[[#This Row],[Start Date]],Milestone_Marker,IF(AND(BF$29&gt;ProposalToGnatt[[#This Row],[Start Date]],BF$29&lt;ProposalToGnatt[[#This Row],[Start Date]]+ProposalToGnatt[[#This Row],[Days]]),$G$5,"")),"")</f>
        <v/>
      </c>
      <c r="BG57" s="37" t="str">
        <f ca="1">IFERROR(+IF(BG$29=ProposalToGnatt[[#This Row],[Start Date]],Milestone_Marker,IF(AND(BG$29&gt;ProposalToGnatt[[#This Row],[Start Date]],BG$29&lt;ProposalToGnatt[[#This Row],[Start Date]]+ProposalToGnatt[[#This Row],[Days]]),$G$5,"")),"")</f>
        <v/>
      </c>
      <c r="BH57" s="37" t="str">
        <f ca="1">IFERROR(+IF(BH$29=ProposalToGnatt[[#This Row],[Start Date]],Milestone_Marker,IF(AND(BH$29&gt;ProposalToGnatt[[#This Row],[Start Date]],BH$29&lt;ProposalToGnatt[[#This Row],[Start Date]]+ProposalToGnatt[[#This Row],[Days]]),$G$5,"")),"")</f>
        <v/>
      </c>
      <c r="BI57" s="37" t="str">
        <f ca="1">IFERROR(+IF(BI$29=ProposalToGnatt[[#This Row],[Start Date]],Milestone_Marker,IF(AND(BI$29&gt;ProposalToGnatt[[#This Row],[Start Date]],BI$29&lt;ProposalToGnatt[[#This Row],[Start Date]]+ProposalToGnatt[[#This Row],[Days]]),$G$5,"")),"")</f>
        <v/>
      </c>
      <c r="BJ57" s="37" t="str">
        <f ca="1">IFERROR(+IF(BJ$29=ProposalToGnatt[[#This Row],[Start Date]],Milestone_Marker,IF(AND(BJ$29&gt;ProposalToGnatt[[#This Row],[Start Date]],BJ$29&lt;ProposalToGnatt[[#This Row],[Start Date]]+ProposalToGnatt[[#This Row],[Days]]),$G$5,"")),"")</f>
        <v/>
      </c>
      <c r="BK57" s="37" t="str">
        <f ca="1">IFERROR(+IF(BK$29=ProposalToGnatt[[#This Row],[Start Date]],Milestone_Marker,IF(AND(BK$29&gt;ProposalToGnatt[[#This Row],[Start Date]],BK$29&lt;ProposalToGnatt[[#This Row],[Start Date]]+ProposalToGnatt[[#This Row],[Days]]),$G$5,"")),"")</f>
        <v/>
      </c>
      <c r="BL57" s="37" t="str">
        <f ca="1">IFERROR(+IF(BL$29=ProposalToGnatt[[#This Row],[Start Date]],Milestone_Marker,IF(AND(BL$29&gt;ProposalToGnatt[[#This Row],[Start Date]],BL$29&lt;ProposalToGnatt[[#This Row],[Start Date]]+ProposalToGnatt[[#This Row],[Days]]),$G$5,"")),"")</f>
        <v/>
      </c>
      <c r="BM57" s="37" t="str">
        <f ca="1">IFERROR(+IF(BM$29=ProposalToGnatt[[#This Row],[Start Date]],Milestone_Marker,IF(AND(BM$29&gt;ProposalToGnatt[[#This Row],[Start Date]],BM$29&lt;ProposalToGnatt[[#This Row],[Start Date]]+ProposalToGnatt[[#This Row],[Days]]),$G$5,"")),"")</f>
        <v/>
      </c>
      <c r="BN57" s="37" t="str">
        <f ca="1">IFERROR(+IF(BN$29=ProposalToGnatt[[#This Row],[Start Date]],Milestone_Marker,IF(AND(BN$29&gt;ProposalToGnatt[[#This Row],[Start Date]],BN$29&lt;ProposalToGnatt[[#This Row],[Start Date]]+ProposalToGnatt[[#This Row],[Days]]),$G$5,"")),"")</f>
        <v/>
      </c>
      <c r="BO57" s="37" t="str">
        <f ca="1">IFERROR(+IF(BO$29=ProposalToGnatt[[#This Row],[Start Date]],Milestone_Marker,IF(AND(BO$29&gt;ProposalToGnatt[[#This Row],[Start Date]],BO$29&lt;ProposalToGnatt[[#This Row],[Start Date]]+ProposalToGnatt[[#This Row],[Days]]),$G$5,"")),"")</f>
        <v/>
      </c>
      <c r="BP57" s="37" t="str">
        <f ca="1">IFERROR(+IF(BP$29=ProposalToGnatt[[#This Row],[Start Date]],Milestone_Marker,IF(AND(BP$29&gt;ProposalToGnatt[[#This Row],[Start Date]],BP$29&lt;ProposalToGnatt[[#This Row],[Start Date]]+ProposalToGnatt[[#This Row],[Days]]),$G$5,"")),"")</f>
        <v/>
      </c>
      <c r="BQ57" s="37" t="str">
        <f ca="1">IFERROR(+IF(BQ$29=ProposalToGnatt[[#This Row],[Start Date]],Milestone_Marker,IF(AND(BQ$29&gt;ProposalToGnatt[[#This Row],[Start Date]],BQ$29&lt;ProposalToGnatt[[#This Row],[Start Date]]+ProposalToGnatt[[#This Row],[Days]]),$G$5,"")),"")</f>
        <v/>
      </c>
      <c r="BR57" s="37" t="str">
        <f ca="1">IFERROR(+IF(BR$29=ProposalToGnatt[[#This Row],[Start Date]],Milestone_Marker,IF(AND(BR$29&gt;ProposalToGnatt[[#This Row],[Start Date]],BR$29&lt;ProposalToGnatt[[#This Row],[Start Date]]+ProposalToGnatt[[#This Row],[Days]]),$G$5,"")),"")</f>
        <v/>
      </c>
      <c r="BS57" s="37" t="str">
        <f ca="1">IFERROR(+IF(BS$29=ProposalToGnatt[[#This Row],[Start Date]],Milestone_Marker,IF(AND(BS$29&gt;ProposalToGnatt[[#This Row],[Start Date]],BS$29&lt;ProposalToGnatt[[#This Row],[Start Date]]+ProposalToGnatt[[#This Row],[Days]]),$G$5,"")),"")</f>
        <v/>
      </c>
      <c r="BT57" s="37" t="str">
        <f ca="1">IFERROR(+IF(BT$29=ProposalToGnatt[[#This Row],[Start Date]],Milestone_Marker,IF(AND(BT$29&gt;ProposalToGnatt[[#This Row],[Start Date]],BT$29&lt;ProposalToGnatt[[#This Row],[Start Date]]+ProposalToGnatt[[#This Row],[Days]]),$G$5,"")),"")</f>
        <v/>
      </c>
      <c r="BU57" s="37" t="str">
        <f ca="1">IFERROR(+IF(BU$29=ProposalToGnatt[[#This Row],[Start Date]],Milestone_Marker,IF(AND(BU$29&gt;ProposalToGnatt[[#This Row],[Start Date]],BU$29&lt;ProposalToGnatt[[#This Row],[Start Date]]+ProposalToGnatt[[#This Row],[Days]]),$G$5,"")),"")</f>
        <v/>
      </c>
      <c r="BV57" s="37" t="str">
        <f ca="1">IFERROR(+IF(BV$29=ProposalToGnatt[[#This Row],[Start Date]],Milestone_Marker,IF(AND(BV$29&gt;ProposalToGnatt[[#This Row],[Start Date]],BV$29&lt;ProposalToGnatt[[#This Row],[Start Date]]+ProposalToGnatt[[#This Row],[Days]]),$G$5,"")),"")</f>
        <v/>
      </c>
      <c r="BW57" s="37" t="str">
        <f ca="1">IFERROR(+IF(BW$29=ProposalToGnatt[[#This Row],[Start Date]],Milestone_Marker,IF(AND(BW$29&gt;ProposalToGnatt[[#This Row],[Start Date]],BW$29&lt;ProposalToGnatt[[#This Row],[Start Date]]+ProposalToGnatt[[#This Row],[Days]]),$G$5,"")),"")</f>
        <v/>
      </c>
      <c r="BX57" s="37" t="str">
        <f ca="1">IFERROR(+IF(BX$29=ProposalToGnatt[[#This Row],[Start Date]],Milestone_Marker,IF(AND(BX$29&gt;ProposalToGnatt[[#This Row],[Start Date]],BX$29&lt;ProposalToGnatt[[#This Row],[Start Date]]+ProposalToGnatt[[#This Row],[Days]]),$G$5,"")),"")</f>
        <v/>
      </c>
      <c r="BY57" s="37" t="str">
        <f ca="1">IFERROR(+IF(BY$29=ProposalToGnatt[[#This Row],[Start Date]],Milestone_Marker,IF(AND(BY$29&gt;ProposalToGnatt[[#This Row],[Start Date]],BY$29&lt;ProposalToGnatt[[#This Row],[Start Date]]+ProposalToGnatt[[#This Row],[Days]]),$G$5,"")),"")</f>
        <v/>
      </c>
      <c r="BZ57" s="37" t="str">
        <f ca="1">IFERROR(+IF(BZ$29=ProposalToGnatt[[#This Row],[Start Date]],Milestone_Marker,IF(AND(BZ$29&gt;ProposalToGnatt[[#This Row],[Start Date]],BZ$29&lt;ProposalToGnatt[[#This Row],[Start Date]]+ProposalToGnatt[[#This Row],[Days]]),$G$5,"")),"")</f>
        <v/>
      </c>
      <c r="CA57" s="37" t="str">
        <f ca="1">IFERROR(+IF(CA$29=ProposalToGnatt[[#This Row],[Start Date]],Milestone_Marker,IF(AND(CA$29&gt;ProposalToGnatt[[#This Row],[Start Date]],CA$29&lt;ProposalToGnatt[[#This Row],[Start Date]]+ProposalToGnatt[[#This Row],[Days]]),$G$5,"")),"")</f>
        <v/>
      </c>
      <c r="CB57" s="37" t="str">
        <f ca="1">IFERROR(+IF(CB$29=ProposalToGnatt[[#This Row],[Start Date]],Milestone_Marker,IF(AND(CB$29&gt;ProposalToGnatt[[#This Row],[Start Date]],CB$29&lt;ProposalToGnatt[[#This Row],[Start Date]]+ProposalToGnatt[[#This Row],[Days]]),$G$5,"")),"")</f>
        <v/>
      </c>
      <c r="CC57" s="37" t="str">
        <f ca="1">IFERROR(+IF(CC$29=ProposalToGnatt[[#This Row],[Start Date]],Milestone_Marker,IF(AND(CC$29&gt;ProposalToGnatt[[#This Row],[Start Date]],CC$29&lt;ProposalToGnatt[[#This Row],[Start Date]]+ProposalToGnatt[[#This Row],[Days]]),$G$5,"")),"")</f>
        <v/>
      </c>
      <c r="CD57" s="37" t="str">
        <f ca="1">IFERROR(+IF(CD$29=ProposalToGnatt[[#This Row],[Start Date]],Milestone_Marker,IF(AND(CD$29&gt;ProposalToGnatt[[#This Row],[Start Date]],CD$29&lt;ProposalToGnatt[[#This Row],[Start Date]]+ProposalToGnatt[[#This Row],[Days]]),$G$5,"")),"")</f>
        <v/>
      </c>
      <c r="CE57" s="37" t="str">
        <f ca="1">IFERROR(+IF(CE$29=ProposalToGnatt[[#This Row],[Start Date]],Milestone_Marker,IF(AND(CE$29&gt;ProposalToGnatt[[#This Row],[Start Date]],CE$29&lt;ProposalToGnatt[[#This Row],[Start Date]]+ProposalToGnatt[[#This Row],[Days]]),$G$5,"")),"")</f>
        <v/>
      </c>
      <c r="CF57" s="37" t="str">
        <f ca="1">IFERROR(+IF(CF$29=ProposalToGnatt[[#This Row],[Start Date]],Milestone_Marker,IF(AND(CF$29&gt;ProposalToGnatt[[#This Row],[Start Date]],CF$29&lt;ProposalToGnatt[[#This Row],[Start Date]]+ProposalToGnatt[[#This Row],[Days]]),$G$5,"")),"")</f>
        <v/>
      </c>
      <c r="CG57" s="37" t="str">
        <f ca="1">IFERROR(+IF(CG$29=ProposalToGnatt[[#This Row],[Start Date]],Milestone_Marker,IF(AND(CG$29&gt;ProposalToGnatt[[#This Row],[Start Date]],CG$29&lt;ProposalToGnatt[[#This Row],[Start Date]]+ProposalToGnatt[[#This Row],[Days]]),$G$5,"")),"")</f>
        <v/>
      </c>
      <c r="CH57" s="37" t="str">
        <f ca="1">IFERROR(+IF(CH$29=ProposalToGnatt[[#This Row],[Start Date]],Milestone_Marker,IF(AND(CH$29&gt;ProposalToGnatt[[#This Row],[Start Date]],CH$29&lt;ProposalToGnatt[[#This Row],[Start Date]]+ProposalToGnatt[[#This Row],[Days]]),$G$5,"")),"")</f>
        <v/>
      </c>
      <c r="CI57" s="37" t="str">
        <f ca="1">IFERROR(+IF(CI$29=ProposalToGnatt[[#This Row],[Start Date]],Milestone_Marker,IF(AND(CI$29&gt;ProposalToGnatt[[#This Row],[Start Date]],CI$29&lt;ProposalToGnatt[[#This Row],[Start Date]]+ProposalToGnatt[[#This Row],[Days]]),$G$5,"")),"")</f>
        <v/>
      </c>
      <c r="CJ57" s="37" t="str">
        <f ca="1">IFERROR(+IF(CJ$29=ProposalToGnatt[[#This Row],[Start Date]],Milestone_Marker,IF(AND(CJ$29&gt;ProposalToGnatt[[#This Row],[Start Date]],CJ$29&lt;ProposalToGnatt[[#This Row],[Start Date]]+ProposalToGnatt[[#This Row],[Days]]),$G$5,"")),"")</f>
        <v/>
      </c>
      <c r="CK57" s="37" t="str">
        <f ca="1">IFERROR(+IF(CK$29=ProposalToGnatt[[#This Row],[Start Date]],Milestone_Marker,IF(AND(CK$29&gt;ProposalToGnatt[[#This Row],[Start Date]],CK$29&lt;ProposalToGnatt[[#This Row],[Start Date]]+ProposalToGnatt[[#This Row],[Days]]),$G$5,"")),"")</f>
        <v/>
      </c>
      <c r="CL57" s="37" t="str">
        <f ca="1">IFERROR(+IF(CL$29=ProposalToGnatt[[#This Row],[Start Date]],Milestone_Marker,IF(AND(CL$29&gt;ProposalToGnatt[[#This Row],[Start Date]],CL$29&lt;ProposalToGnatt[[#This Row],[Start Date]]+ProposalToGnatt[[#This Row],[Days]]),$G$5,"")),"")</f>
        <v/>
      </c>
      <c r="CM57" s="37" t="str">
        <f ca="1">IFERROR(+IF(CM$29=ProposalToGnatt[[#This Row],[Start Date]],Milestone_Marker,IF(AND(CM$29&gt;ProposalToGnatt[[#This Row],[Start Date]],CM$29&lt;ProposalToGnatt[[#This Row],[Start Date]]+ProposalToGnatt[[#This Row],[Days]]),$G$5,"")),"")</f>
        <v/>
      </c>
      <c r="CN57" s="37" t="str">
        <f ca="1">IFERROR(+IF(CN$29=ProposalToGnatt[[#This Row],[Start Date]],Milestone_Marker,IF(AND(CN$29&gt;ProposalToGnatt[[#This Row],[Start Date]],CN$29&lt;ProposalToGnatt[[#This Row],[Start Date]]+ProposalToGnatt[[#This Row],[Days]]),$G$5,"")),"")</f>
        <v/>
      </c>
      <c r="CO57" s="37" t="str">
        <f ca="1">IFERROR(+IF(CO$29=ProposalToGnatt[[#This Row],[Start Date]],Milestone_Marker,IF(AND(CO$29&gt;ProposalToGnatt[[#This Row],[Start Date]],CO$29&lt;ProposalToGnatt[[#This Row],[Start Date]]+ProposalToGnatt[[#This Row],[Days]]),$G$5,"")),"")</f>
        <v/>
      </c>
      <c r="CP57" s="37" t="str">
        <f ca="1">IFERROR(+IF(CP$29=ProposalToGnatt[[#This Row],[Start Date]],Milestone_Marker,IF(AND(CP$29&gt;ProposalToGnatt[[#This Row],[Start Date]],CP$29&lt;ProposalToGnatt[[#This Row],[Start Date]]+ProposalToGnatt[[#This Row],[Days]]),$G$5,"")),"")</f>
        <v/>
      </c>
      <c r="CQ57" s="37" t="str">
        <f ca="1">IFERROR(+IF(CQ$29=ProposalToGnatt[[#This Row],[Start Date]],Milestone_Marker,IF(AND(CQ$29&gt;ProposalToGnatt[[#This Row],[Start Date]],CQ$29&lt;ProposalToGnatt[[#This Row],[Start Date]]+ProposalToGnatt[[#This Row],[Days]]),$G$5,"")),"")</f>
        <v/>
      </c>
      <c r="CR57" s="37" t="str">
        <f ca="1">IFERROR(+IF(CR$29=ProposalToGnatt[[#This Row],[Start Date]],Milestone_Marker,IF(AND(CR$29&gt;ProposalToGnatt[[#This Row],[Start Date]],CR$29&lt;ProposalToGnatt[[#This Row],[Start Date]]+ProposalToGnatt[[#This Row],[Days]]),$G$5,"")),"")</f>
        <v/>
      </c>
      <c r="CS57" s="37" t="str">
        <f ca="1">IFERROR(+IF(CS$29=ProposalToGnatt[[#This Row],[Start Date]],Milestone_Marker,IF(AND(CS$29&gt;ProposalToGnatt[[#This Row],[Start Date]],CS$29&lt;ProposalToGnatt[[#This Row],[Start Date]]+ProposalToGnatt[[#This Row],[Days]]),$G$5,"")),"")</f>
        <v/>
      </c>
      <c r="CT57" s="37" t="str">
        <f ca="1">IFERROR(+IF(CT$29=ProposalToGnatt[[#This Row],[Start Date]],Milestone_Marker,IF(AND(CT$29&gt;ProposalToGnatt[[#This Row],[Start Date]],CT$29&lt;ProposalToGnatt[[#This Row],[Start Date]]+ProposalToGnatt[[#This Row],[Days]]),$G$5,"")),"")</f>
        <v/>
      </c>
      <c r="CU57" s="37" t="str">
        <f ca="1">IFERROR(+IF(CU$29=ProposalToGnatt[[#This Row],[Start Date]],Milestone_Marker,IF(AND(CU$29&gt;ProposalToGnatt[[#This Row],[Start Date]],CU$29&lt;ProposalToGnatt[[#This Row],[Start Date]]+ProposalToGnatt[[#This Row],[Days]]),$G$5,"")),"")</f>
        <v/>
      </c>
      <c r="CV57" s="37"/>
      <c r="CW57" s="37"/>
      <c r="CX57" s="37"/>
      <c r="CY57" s="37"/>
      <c r="CZ57" s="37"/>
      <c r="DA57" s="37"/>
      <c r="DB57" s="37"/>
      <c r="DC57" s="37"/>
      <c r="DD57" s="37"/>
      <c r="DE57" s="37"/>
      <c r="DF57" s="37"/>
      <c r="DG57" s="37"/>
      <c r="DH57" s="37"/>
      <c r="DI57" s="37"/>
      <c r="DJ57" s="37"/>
      <c r="DK57" s="37"/>
      <c r="DL57" s="37"/>
      <c r="DM57" s="37"/>
      <c r="DN57" s="37"/>
      <c r="DO57" s="37"/>
      <c r="DP57" s="37"/>
      <c r="DQ57" s="37"/>
      <c r="DR57" s="37"/>
      <c r="DS57" s="37"/>
      <c r="DT57" s="37"/>
      <c r="DU57" s="37"/>
    </row>
    <row r="58" spans="1:125" s="42" customFormat="1" ht="15" x14ac:dyDescent="0.25">
      <c r="A58" t="s">
        <v>428</v>
      </c>
      <c r="B58">
        <v>17</v>
      </c>
      <c r="C58" t="s">
        <v>311</v>
      </c>
      <c r="D58"/>
      <c r="E58" t="s">
        <v>331</v>
      </c>
      <c r="F58"/>
      <c r="G58" s="14"/>
      <c r="H58" s="14"/>
      <c r="I58"/>
      <c r="J58">
        <v>1</v>
      </c>
      <c r="K58" s="303"/>
      <c r="L58"/>
      <c r="M58" s="14"/>
      <c r="N58" s="352"/>
      <c r="O58" s="340"/>
      <c r="P58" s="37" t="str">
        <f ca="1">IFERROR(+IF(P$29=ProposalToGnatt[[#This Row],[Start Date]],Milestone_Marker,IF(AND(P$29&gt;ProposalToGnatt[[#This Row],[Start Date]],P$29&lt;ProposalToGnatt[[#This Row],[Start Date]]+ProposalToGnatt[[#This Row],[Days]]),$G$5,"")),"")</f>
        <v/>
      </c>
      <c r="Q58" s="37" t="str">
        <f ca="1">IFERROR(+IF(Q$29=ProposalToGnatt[[#This Row],[Start Date]],Milestone_Marker,IF(AND(Q$29&gt;ProposalToGnatt[[#This Row],[Start Date]],Q$29&lt;ProposalToGnatt[[#This Row],[Start Date]]+ProposalToGnatt[[#This Row],[Days]]),$G$5,"")),"")</f>
        <v/>
      </c>
      <c r="R58" s="37" t="str">
        <f ca="1">IFERROR(+IF(R$29=ProposalToGnatt[[#This Row],[Start Date]],Milestone_Marker,IF(AND(R$29&gt;ProposalToGnatt[[#This Row],[Start Date]],R$29&lt;ProposalToGnatt[[#This Row],[Start Date]]+ProposalToGnatt[[#This Row],[Days]]),$G$5,"")),"")</f>
        <v/>
      </c>
      <c r="S58" s="37" t="str">
        <f ca="1">IFERROR(+IF(S$29=ProposalToGnatt[[#This Row],[Start Date]],Milestone_Marker,IF(AND(S$29&gt;ProposalToGnatt[[#This Row],[Start Date]],S$29&lt;ProposalToGnatt[[#This Row],[Start Date]]+ProposalToGnatt[[#This Row],[Days]]),$G$5,"")),"")</f>
        <v/>
      </c>
      <c r="T58" s="37" t="str">
        <f ca="1">IFERROR(+IF(T$29=ProposalToGnatt[[#This Row],[Start Date]],Milestone_Marker,IF(AND(T$29&gt;ProposalToGnatt[[#This Row],[Start Date]],T$29&lt;ProposalToGnatt[[#This Row],[Start Date]]+ProposalToGnatt[[#This Row],[Days]]),$G$5,"")),"")</f>
        <v/>
      </c>
      <c r="U58" s="37" t="str">
        <f ca="1">IFERROR(+IF(U$29=ProposalToGnatt[[#This Row],[Start Date]],Milestone_Marker,IF(AND(U$29&gt;ProposalToGnatt[[#This Row],[Start Date]],U$29&lt;ProposalToGnatt[[#This Row],[Start Date]]+ProposalToGnatt[[#This Row],[Days]]),$G$5,"")),"")</f>
        <v/>
      </c>
      <c r="V58" s="37" t="str">
        <f ca="1">IFERROR(+IF(V$29=ProposalToGnatt[[#This Row],[Start Date]],Milestone_Marker,IF(AND(V$29&gt;ProposalToGnatt[[#This Row],[Start Date]],V$29&lt;ProposalToGnatt[[#This Row],[Start Date]]+ProposalToGnatt[[#This Row],[Days]]),$G$5,"")),"")</f>
        <v/>
      </c>
      <c r="W58" s="37" t="str">
        <f ca="1">IFERROR(+IF(W$29=ProposalToGnatt[[#This Row],[Start Date]],Milestone_Marker,IF(AND(W$29&gt;ProposalToGnatt[[#This Row],[Start Date]],W$29&lt;ProposalToGnatt[[#This Row],[Start Date]]+ProposalToGnatt[[#This Row],[Days]]),$G$5,"")),"")</f>
        <v/>
      </c>
      <c r="X58" s="37" t="str">
        <f ca="1">IFERROR(+IF(X$29=ProposalToGnatt[[#This Row],[Start Date]],Milestone_Marker,IF(AND(X$29&gt;ProposalToGnatt[[#This Row],[Start Date]],X$29&lt;ProposalToGnatt[[#This Row],[Start Date]]+ProposalToGnatt[[#This Row],[Days]]),$G$5,"")),"")</f>
        <v/>
      </c>
      <c r="Y58" s="37" t="str">
        <f ca="1">IFERROR(+IF(Y$29=ProposalToGnatt[[#This Row],[Start Date]],Milestone_Marker,IF(AND(Y$29&gt;ProposalToGnatt[[#This Row],[Start Date]],Y$29&lt;ProposalToGnatt[[#This Row],[Start Date]]+ProposalToGnatt[[#This Row],[Days]]),$G$5,"")),"")</f>
        <v/>
      </c>
      <c r="Z58" s="37" t="str">
        <f ca="1">IFERROR(+IF(Z$29=ProposalToGnatt[[#This Row],[Start Date]],Milestone_Marker,IF(AND(Z$29&gt;ProposalToGnatt[[#This Row],[Start Date]],Z$29&lt;ProposalToGnatt[[#This Row],[Start Date]]+ProposalToGnatt[[#This Row],[Days]]),$G$5,"")),"")</f>
        <v/>
      </c>
      <c r="AA58" s="37" t="str">
        <f ca="1">IFERROR(+IF(AA$29=ProposalToGnatt[[#This Row],[Start Date]],Milestone_Marker,IF(AND(AA$29&gt;ProposalToGnatt[[#This Row],[Start Date]],AA$29&lt;ProposalToGnatt[[#This Row],[Start Date]]+ProposalToGnatt[[#This Row],[Days]]),$G$5,"")),"")</f>
        <v/>
      </c>
      <c r="AB58" s="37" t="str">
        <f ca="1">IFERROR(+IF(AB$29=ProposalToGnatt[[#This Row],[Start Date]],Milestone_Marker,IF(AND(AB$29&gt;ProposalToGnatt[[#This Row],[Start Date]],AB$29&lt;ProposalToGnatt[[#This Row],[Start Date]]+ProposalToGnatt[[#This Row],[Days]]),$G$5,"")),"")</f>
        <v/>
      </c>
      <c r="AC58" s="37" t="str">
        <f ca="1">IFERROR(+IF(AC$29=ProposalToGnatt[[#This Row],[Start Date]],Milestone_Marker,IF(AND(AC$29&gt;ProposalToGnatt[[#This Row],[Start Date]],AC$29&lt;ProposalToGnatt[[#This Row],[Start Date]]+ProposalToGnatt[[#This Row],[Days]]),$G$5,"")),"")</f>
        <v/>
      </c>
      <c r="AD58" s="37" t="str">
        <f ca="1">IFERROR(+IF(AD$29=ProposalToGnatt[[#This Row],[Start Date]],Milestone_Marker,IF(AND(AD$29&gt;ProposalToGnatt[[#This Row],[Start Date]],AD$29&lt;ProposalToGnatt[[#This Row],[Start Date]]+ProposalToGnatt[[#This Row],[Days]]),$G$5,"")),"")</f>
        <v/>
      </c>
      <c r="AE58" s="37" t="str">
        <f ca="1">IFERROR(+IF(AE$29=ProposalToGnatt[[#This Row],[Start Date]],Milestone_Marker,IF(AND(AE$29&gt;ProposalToGnatt[[#This Row],[Start Date]],AE$29&lt;ProposalToGnatt[[#This Row],[Start Date]]+ProposalToGnatt[[#This Row],[Days]]),$G$5,"")),"")</f>
        <v/>
      </c>
      <c r="AF58" s="37" t="str">
        <f ca="1">IFERROR(+IF(AF$29=ProposalToGnatt[[#This Row],[Start Date]],Milestone_Marker,IF(AND(AF$29&gt;ProposalToGnatt[[#This Row],[Start Date]],AF$29&lt;ProposalToGnatt[[#This Row],[Start Date]]+ProposalToGnatt[[#This Row],[Days]]),$G$5,"")),"")</f>
        <v/>
      </c>
      <c r="AG58" s="37" t="str">
        <f ca="1">IFERROR(+IF(AG$29=ProposalToGnatt[[#This Row],[Start Date]],Milestone_Marker,IF(AND(AG$29&gt;ProposalToGnatt[[#This Row],[Start Date]],AG$29&lt;ProposalToGnatt[[#This Row],[Start Date]]+ProposalToGnatt[[#This Row],[Days]]),$G$5,"")),"")</f>
        <v/>
      </c>
      <c r="AH58" s="37" t="str">
        <f ca="1">IFERROR(+IF(AH$29=ProposalToGnatt[[#This Row],[Start Date]],Milestone_Marker,IF(AND(AH$29&gt;ProposalToGnatt[[#This Row],[Start Date]],AH$29&lt;ProposalToGnatt[[#This Row],[Start Date]]+ProposalToGnatt[[#This Row],[Days]]),$G$5,"")),"")</f>
        <v/>
      </c>
      <c r="AI58" s="37" t="str">
        <f ca="1">IFERROR(+IF(AI$29=ProposalToGnatt[[#This Row],[Start Date]],Milestone_Marker,IF(AND(AI$29&gt;ProposalToGnatt[[#This Row],[Start Date]],AI$29&lt;ProposalToGnatt[[#This Row],[Start Date]]+ProposalToGnatt[[#This Row],[Days]]),$G$5,"")),"")</f>
        <v/>
      </c>
      <c r="AJ58" s="37" t="str">
        <f ca="1">IFERROR(+IF(AJ$29=ProposalToGnatt[[#This Row],[Start Date]],Milestone_Marker,IF(AND(AJ$29&gt;ProposalToGnatt[[#This Row],[Start Date]],AJ$29&lt;ProposalToGnatt[[#This Row],[Start Date]]+ProposalToGnatt[[#This Row],[Days]]),$G$5,"")),"")</f>
        <v/>
      </c>
      <c r="AK58" s="37" t="str">
        <f ca="1">IFERROR(+IF(AK$29=ProposalToGnatt[[#This Row],[Start Date]],Milestone_Marker,IF(AND(AK$29&gt;ProposalToGnatt[[#This Row],[Start Date]],AK$29&lt;ProposalToGnatt[[#This Row],[Start Date]]+ProposalToGnatt[[#This Row],[Days]]),$G$5,"")),"")</f>
        <v/>
      </c>
      <c r="AL58" s="37" t="str">
        <f ca="1">IFERROR(+IF(AL$29=ProposalToGnatt[[#This Row],[Start Date]],Milestone_Marker,IF(AND(AL$29&gt;ProposalToGnatt[[#This Row],[Start Date]],AL$29&lt;ProposalToGnatt[[#This Row],[Start Date]]+ProposalToGnatt[[#This Row],[Days]]),$G$5,"")),"")</f>
        <v/>
      </c>
      <c r="AM58" s="37" t="str">
        <f ca="1">IFERROR(+IF(AM$29=ProposalToGnatt[[#This Row],[Start Date]],Milestone_Marker,IF(AND(AM$29&gt;ProposalToGnatt[[#This Row],[Start Date]],AM$29&lt;ProposalToGnatt[[#This Row],[Start Date]]+ProposalToGnatt[[#This Row],[Days]]),$G$5,"")),"")</f>
        <v/>
      </c>
      <c r="AN58" s="37" t="str">
        <f ca="1">IFERROR(+IF(AN$29=ProposalToGnatt[[#This Row],[Start Date]],Milestone_Marker,IF(AND(AN$29&gt;ProposalToGnatt[[#This Row],[Start Date]],AN$29&lt;ProposalToGnatt[[#This Row],[Start Date]]+ProposalToGnatt[[#This Row],[Days]]),$G$5,"")),"")</f>
        <v/>
      </c>
      <c r="AO58" s="37" t="str">
        <f ca="1">IFERROR(+IF(AO$29=ProposalToGnatt[[#This Row],[Start Date]],Milestone_Marker,IF(AND(AO$29&gt;ProposalToGnatt[[#This Row],[Start Date]],AO$29&lt;ProposalToGnatt[[#This Row],[Start Date]]+ProposalToGnatt[[#This Row],[Days]]),$G$5,"")),"")</f>
        <v/>
      </c>
      <c r="AP58" s="37" t="str">
        <f ca="1">IFERROR(+IF(AP$29=ProposalToGnatt[[#This Row],[Start Date]],Milestone_Marker,IF(AND(AP$29&gt;ProposalToGnatt[[#This Row],[Start Date]],AP$29&lt;ProposalToGnatt[[#This Row],[Start Date]]+ProposalToGnatt[[#This Row],[Days]]),$G$5,"")),"")</f>
        <v/>
      </c>
      <c r="AQ58" s="37" t="str">
        <f ca="1">IFERROR(+IF(AQ$29=ProposalToGnatt[[#This Row],[Start Date]],Milestone_Marker,IF(AND(AQ$29&gt;ProposalToGnatt[[#This Row],[Start Date]],AQ$29&lt;ProposalToGnatt[[#This Row],[Start Date]]+ProposalToGnatt[[#This Row],[Days]]),$G$5,"")),"")</f>
        <v/>
      </c>
      <c r="AR58" s="37" t="str">
        <f ca="1">IFERROR(+IF(AR$29=ProposalToGnatt[[#This Row],[Start Date]],Milestone_Marker,IF(AND(AR$29&gt;ProposalToGnatt[[#This Row],[Start Date]],AR$29&lt;ProposalToGnatt[[#This Row],[Start Date]]+ProposalToGnatt[[#This Row],[Days]]),$G$5,"")),"")</f>
        <v/>
      </c>
      <c r="AS58" s="37" t="str">
        <f ca="1">IFERROR(+IF(AS$29=ProposalToGnatt[[#This Row],[Start Date]],Milestone_Marker,IF(AND(AS$29&gt;ProposalToGnatt[[#This Row],[Start Date]],AS$29&lt;ProposalToGnatt[[#This Row],[Start Date]]+ProposalToGnatt[[#This Row],[Days]]),$G$5,"")),"")</f>
        <v/>
      </c>
      <c r="AT58" s="37" t="str">
        <f ca="1">IFERROR(+IF(AT$29=ProposalToGnatt[[#This Row],[Start Date]],Milestone_Marker,IF(AND(AT$29&gt;ProposalToGnatt[[#This Row],[Start Date]],AT$29&lt;ProposalToGnatt[[#This Row],[Start Date]]+ProposalToGnatt[[#This Row],[Days]]),$G$5,"")),"")</f>
        <v/>
      </c>
      <c r="AU58" s="37" t="str">
        <f ca="1">IFERROR(+IF(AU$29=ProposalToGnatt[[#This Row],[Start Date]],Milestone_Marker,IF(AND(AU$29&gt;ProposalToGnatt[[#This Row],[Start Date]],AU$29&lt;ProposalToGnatt[[#This Row],[Start Date]]+ProposalToGnatt[[#This Row],[Days]]),$G$5,"")),"")</f>
        <v/>
      </c>
      <c r="AV58" s="37" t="str">
        <f ca="1">IFERROR(+IF(AV$29=ProposalToGnatt[[#This Row],[Start Date]],Milestone_Marker,IF(AND(AV$29&gt;ProposalToGnatt[[#This Row],[Start Date]],AV$29&lt;ProposalToGnatt[[#This Row],[Start Date]]+ProposalToGnatt[[#This Row],[Days]]),$G$5,"")),"")</f>
        <v/>
      </c>
      <c r="AW58" s="37" t="str">
        <f ca="1">IFERROR(+IF(AW$29=ProposalToGnatt[[#This Row],[Start Date]],Milestone_Marker,IF(AND(AW$29&gt;ProposalToGnatt[[#This Row],[Start Date]],AW$29&lt;ProposalToGnatt[[#This Row],[Start Date]]+ProposalToGnatt[[#This Row],[Days]]),$G$5,"")),"")</f>
        <v/>
      </c>
      <c r="AX58" s="37" t="str">
        <f ca="1">IFERROR(+IF(AX$29=ProposalToGnatt[[#This Row],[Start Date]],Milestone_Marker,IF(AND(AX$29&gt;ProposalToGnatt[[#This Row],[Start Date]],AX$29&lt;ProposalToGnatt[[#This Row],[Start Date]]+ProposalToGnatt[[#This Row],[Days]]),$G$5,"")),"")</f>
        <v/>
      </c>
      <c r="AY58" s="37" t="str">
        <f ca="1">IFERROR(+IF(AY$29=ProposalToGnatt[[#This Row],[Start Date]],Milestone_Marker,IF(AND(AY$29&gt;ProposalToGnatt[[#This Row],[Start Date]],AY$29&lt;ProposalToGnatt[[#This Row],[Start Date]]+ProposalToGnatt[[#This Row],[Days]]),$G$5,"")),"")</f>
        <v/>
      </c>
      <c r="AZ58" s="37" t="str">
        <f ca="1">IFERROR(+IF(AZ$29=ProposalToGnatt[[#This Row],[Start Date]],Milestone_Marker,IF(AND(AZ$29&gt;ProposalToGnatt[[#This Row],[Start Date]],AZ$29&lt;ProposalToGnatt[[#This Row],[Start Date]]+ProposalToGnatt[[#This Row],[Days]]),$G$5,"")),"")</f>
        <v/>
      </c>
      <c r="BA58" s="37" t="str">
        <f ca="1">IFERROR(+IF(BA$29=ProposalToGnatt[[#This Row],[Start Date]],Milestone_Marker,IF(AND(BA$29&gt;ProposalToGnatt[[#This Row],[Start Date]],BA$29&lt;ProposalToGnatt[[#This Row],[Start Date]]+ProposalToGnatt[[#This Row],[Days]]),$G$5,"")),"")</f>
        <v/>
      </c>
      <c r="BB58" s="37" t="str">
        <f ca="1">IFERROR(+IF(BB$29=ProposalToGnatt[[#This Row],[Start Date]],Milestone_Marker,IF(AND(BB$29&gt;ProposalToGnatt[[#This Row],[Start Date]],BB$29&lt;ProposalToGnatt[[#This Row],[Start Date]]+ProposalToGnatt[[#This Row],[Days]]),$G$5,"")),"")</f>
        <v/>
      </c>
      <c r="BC58" s="37" t="str">
        <f ca="1">IFERROR(+IF(BC$29=ProposalToGnatt[[#This Row],[Start Date]],Milestone_Marker,IF(AND(BC$29&gt;ProposalToGnatt[[#This Row],[Start Date]],BC$29&lt;ProposalToGnatt[[#This Row],[Start Date]]+ProposalToGnatt[[#This Row],[Days]]),$G$5,"")),"")</f>
        <v/>
      </c>
      <c r="BD58" s="37" t="str">
        <f ca="1">IFERROR(+IF(BD$29=ProposalToGnatt[[#This Row],[Start Date]],Milestone_Marker,IF(AND(BD$29&gt;ProposalToGnatt[[#This Row],[Start Date]],BD$29&lt;ProposalToGnatt[[#This Row],[Start Date]]+ProposalToGnatt[[#This Row],[Days]]),$G$5,"")),"")</f>
        <v/>
      </c>
      <c r="BE58" s="37" t="str">
        <f ca="1">IFERROR(+IF(BE$29=ProposalToGnatt[[#This Row],[Start Date]],Milestone_Marker,IF(AND(BE$29&gt;ProposalToGnatt[[#This Row],[Start Date]],BE$29&lt;ProposalToGnatt[[#This Row],[Start Date]]+ProposalToGnatt[[#This Row],[Days]]),$G$5,"")),"")</f>
        <v/>
      </c>
      <c r="BF58" s="37" t="str">
        <f ca="1">IFERROR(+IF(BF$29=ProposalToGnatt[[#This Row],[Start Date]],Milestone_Marker,IF(AND(BF$29&gt;ProposalToGnatt[[#This Row],[Start Date]],BF$29&lt;ProposalToGnatt[[#This Row],[Start Date]]+ProposalToGnatt[[#This Row],[Days]]),$G$5,"")),"")</f>
        <v/>
      </c>
      <c r="BG58" s="37" t="str">
        <f ca="1">IFERROR(+IF(BG$29=ProposalToGnatt[[#This Row],[Start Date]],Milestone_Marker,IF(AND(BG$29&gt;ProposalToGnatt[[#This Row],[Start Date]],BG$29&lt;ProposalToGnatt[[#This Row],[Start Date]]+ProposalToGnatt[[#This Row],[Days]]),$G$5,"")),"")</f>
        <v/>
      </c>
      <c r="BH58" s="37" t="str">
        <f ca="1">IFERROR(+IF(BH$29=ProposalToGnatt[[#This Row],[Start Date]],Milestone_Marker,IF(AND(BH$29&gt;ProposalToGnatt[[#This Row],[Start Date]],BH$29&lt;ProposalToGnatt[[#This Row],[Start Date]]+ProposalToGnatt[[#This Row],[Days]]),$G$5,"")),"")</f>
        <v/>
      </c>
      <c r="BI58" s="37" t="str">
        <f ca="1">IFERROR(+IF(BI$29=ProposalToGnatt[[#This Row],[Start Date]],Milestone_Marker,IF(AND(BI$29&gt;ProposalToGnatt[[#This Row],[Start Date]],BI$29&lt;ProposalToGnatt[[#This Row],[Start Date]]+ProposalToGnatt[[#This Row],[Days]]),$G$5,"")),"")</f>
        <v/>
      </c>
      <c r="BJ58" s="37" t="str">
        <f ca="1">IFERROR(+IF(BJ$29=ProposalToGnatt[[#This Row],[Start Date]],Milestone_Marker,IF(AND(BJ$29&gt;ProposalToGnatt[[#This Row],[Start Date]],BJ$29&lt;ProposalToGnatt[[#This Row],[Start Date]]+ProposalToGnatt[[#This Row],[Days]]),$G$5,"")),"")</f>
        <v/>
      </c>
      <c r="BK58" s="37" t="str">
        <f ca="1">IFERROR(+IF(BK$29=ProposalToGnatt[[#This Row],[Start Date]],Milestone_Marker,IF(AND(BK$29&gt;ProposalToGnatt[[#This Row],[Start Date]],BK$29&lt;ProposalToGnatt[[#This Row],[Start Date]]+ProposalToGnatt[[#This Row],[Days]]),$G$5,"")),"")</f>
        <v/>
      </c>
      <c r="BL58" s="37" t="str">
        <f ca="1">IFERROR(+IF(BL$29=ProposalToGnatt[[#This Row],[Start Date]],Milestone_Marker,IF(AND(BL$29&gt;ProposalToGnatt[[#This Row],[Start Date]],BL$29&lt;ProposalToGnatt[[#This Row],[Start Date]]+ProposalToGnatt[[#This Row],[Days]]),$G$5,"")),"")</f>
        <v/>
      </c>
      <c r="BM58" s="37" t="str">
        <f ca="1">IFERROR(+IF(BM$29=ProposalToGnatt[[#This Row],[Start Date]],Milestone_Marker,IF(AND(BM$29&gt;ProposalToGnatt[[#This Row],[Start Date]],BM$29&lt;ProposalToGnatt[[#This Row],[Start Date]]+ProposalToGnatt[[#This Row],[Days]]),$G$5,"")),"")</f>
        <v/>
      </c>
      <c r="BN58" s="37" t="str">
        <f ca="1">IFERROR(+IF(BN$29=ProposalToGnatt[[#This Row],[Start Date]],Milestone_Marker,IF(AND(BN$29&gt;ProposalToGnatt[[#This Row],[Start Date]],BN$29&lt;ProposalToGnatt[[#This Row],[Start Date]]+ProposalToGnatt[[#This Row],[Days]]),$G$5,"")),"")</f>
        <v/>
      </c>
      <c r="BO58" s="37" t="str">
        <f ca="1">IFERROR(+IF(BO$29=ProposalToGnatt[[#This Row],[Start Date]],Milestone_Marker,IF(AND(BO$29&gt;ProposalToGnatt[[#This Row],[Start Date]],BO$29&lt;ProposalToGnatt[[#This Row],[Start Date]]+ProposalToGnatt[[#This Row],[Days]]),$G$5,"")),"")</f>
        <v/>
      </c>
      <c r="BP58" s="37" t="str">
        <f ca="1">IFERROR(+IF(BP$29=ProposalToGnatt[[#This Row],[Start Date]],Milestone_Marker,IF(AND(BP$29&gt;ProposalToGnatt[[#This Row],[Start Date]],BP$29&lt;ProposalToGnatt[[#This Row],[Start Date]]+ProposalToGnatt[[#This Row],[Days]]),$G$5,"")),"")</f>
        <v/>
      </c>
      <c r="BQ58" s="37" t="str">
        <f ca="1">IFERROR(+IF(BQ$29=ProposalToGnatt[[#This Row],[Start Date]],Milestone_Marker,IF(AND(BQ$29&gt;ProposalToGnatt[[#This Row],[Start Date]],BQ$29&lt;ProposalToGnatt[[#This Row],[Start Date]]+ProposalToGnatt[[#This Row],[Days]]),$G$5,"")),"")</f>
        <v/>
      </c>
      <c r="BR58" s="37" t="str">
        <f ca="1">IFERROR(+IF(BR$29=ProposalToGnatt[[#This Row],[Start Date]],Milestone_Marker,IF(AND(BR$29&gt;ProposalToGnatt[[#This Row],[Start Date]],BR$29&lt;ProposalToGnatt[[#This Row],[Start Date]]+ProposalToGnatt[[#This Row],[Days]]),$G$5,"")),"")</f>
        <v/>
      </c>
      <c r="BS58" s="37" t="str">
        <f ca="1">IFERROR(+IF(BS$29=ProposalToGnatt[[#This Row],[Start Date]],Milestone_Marker,IF(AND(BS$29&gt;ProposalToGnatt[[#This Row],[Start Date]],BS$29&lt;ProposalToGnatt[[#This Row],[Start Date]]+ProposalToGnatt[[#This Row],[Days]]),$G$5,"")),"")</f>
        <v/>
      </c>
      <c r="BT58" s="37" t="str">
        <f ca="1">IFERROR(+IF(BT$29=ProposalToGnatt[[#This Row],[Start Date]],Milestone_Marker,IF(AND(BT$29&gt;ProposalToGnatt[[#This Row],[Start Date]],BT$29&lt;ProposalToGnatt[[#This Row],[Start Date]]+ProposalToGnatt[[#This Row],[Days]]),$G$5,"")),"")</f>
        <v/>
      </c>
      <c r="BU58" s="37" t="str">
        <f ca="1">IFERROR(+IF(BU$29=ProposalToGnatt[[#This Row],[Start Date]],Milestone_Marker,IF(AND(BU$29&gt;ProposalToGnatt[[#This Row],[Start Date]],BU$29&lt;ProposalToGnatt[[#This Row],[Start Date]]+ProposalToGnatt[[#This Row],[Days]]),$G$5,"")),"")</f>
        <v/>
      </c>
      <c r="BV58" s="37" t="str">
        <f ca="1">IFERROR(+IF(BV$29=ProposalToGnatt[[#This Row],[Start Date]],Milestone_Marker,IF(AND(BV$29&gt;ProposalToGnatt[[#This Row],[Start Date]],BV$29&lt;ProposalToGnatt[[#This Row],[Start Date]]+ProposalToGnatt[[#This Row],[Days]]),$G$5,"")),"")</f>
        <v/>
      </c>
      <c r="BW58" s="37" t="str">
        <f ca="1">IFERROR(+IF(BW$29=ProposalToGnatt[[#This Row],[Start Date]],Milestone_Marker,IF(AND(BW$29&gt;ProposalToGnatt[[#This Row],[Start Date]],BW$29&lt;ProposalToGnatt[[#This Row],[Start Date]]+ProposalToGnatt[[#This Row],[Days]]),$G$5,"")),"")</f>
        <v/>
      </c>
      <c r="BX58" s="37" t="str">
        <f ca="1">IFERROR(+IF(BX$29=ProposalToGnatt[[#This Row],[Start Date]],Milestone_Marker,IF(AND(BX$29&gt;ProposalToGnatt[[#This Row],[Start Date]],BX$29&lt;ProposalToGnatt[[#This Row],[Start Date]]+ProposalToGnatt[[#This Row],[Days]]),$G$5,"")),"")</f>
        <v/>
      </c>
      <c r="BY58" s="37" t="str">
        <f ca="1">IFERROR(+IF(BY$29=ProposalToGnatt[[#This Row],[Start Date]],Milestone_Marker,IF(AND(BY$29&gt;ProposalToGnatt[[#This Row],[Start Date]],BY$29&lt;ProposalToGnatt[[#This Row],[Start Date]]+ProposalToGnatt[[#This Row],[Days]]),$G$5,"")),"")</f>
        <v/>
      </c>
      <c r="BZ58" s="37" t="str">
        <f ca="1">IFERROR(+IF(BZ$29=ProposalToGnatt[[#This Row],[Start Date]],Milestone_Marker,IF(AND(BZ$29&gt;ProposalToGnatt[[#This Row],[Start Date]],BZ$29&lt;ProposalToGnatt[[#This Row],[Start Date]]+ProposalToGnatt[[#This Row],[Days]]),$G$5,"")),"")</f>
        <v/>
      </c>
      <c r="CA58" s="37" t="str">
        <f ca="1">IFERROR(+IF(CA$29=ProposalToGnatt[[#This Row],[Start Date]],Milestone_Marker,IF(AND(CA$29&gt;ProposalToGnatt[[#This Row],[Start Date]],CA$29&lt;ProposalToGnatt[[#This Row],[Start Date]]+ProposalToGnatt[[#This Row],[Days]]),$G$5,"")),"")</f>
        <v/>
      </c>
      <c r="CB58" s="37" t="str">
        <f ca="1">IFERROR(+IF(CB$29=ProposalToGnatt[[#This Row],[Start Date]],Milestone_Marker,IF(AND(CB$29&gt;ProposalToGnatt[[#This Row],[Start Date]],CB$29&lt;ProposalToGnatt[[#This Row],[Start Date]]+ProposalToGnatt[[#This Row],[Days]]),$G$5,"")),"")</f>
        <v/>
      </c>
      <c r="CC58" s="37" t="str">
        <f ca="1">IFERROR(+IF(CC$29=ProposalToGnatt[[#This Row],[Start Date]],Milestone_Marker,IF(AND(CC$29&gt;ProposalToGnatt[[#This Row],[Start Date]],CC$29&lt;ProposalToGnatt[[#This Row],[Start Date]]+ProposalToGnatt[[#This Row],[Days]]),$G$5,"")),"")</f>
        <v/>
      </c>
      <c r="CD58" s="37" t="str">
        <f ca="1">IFERROR(+IF(CD$29=ProposalToGnatt[[#This Row],[Start Date]],Milestone_Marker,IF(AND(CD$29&gt;ProposalToGnatt[[#This Row],[Start Date]],CD$29&lt;ProposalToGnatt[[#This Row],[Start Date]]+ProposalToGnatt[[#This Row],[Days]]),$G$5,"")),"")</f>
        <v/>
      </c>
      <c r="CE58" s="37" t="str">
        <f ca="1">IFERROR(+IF(CE$29=ProposalToGnatt[[#This Row],[Start Date]],Milestone_Marker,IF(AND(CE$29&gt;ProposalToGnatt[[#This Row],[Start Date]],CE$29&lt;ProposalToGnatt[[#This Row],[Start Date]]+ProposalToGnatt[[#This Row],[Days]]),$G$5,"")),"")</f>
        <v/>
      </c>
      <c r="CF58" s="37" t="str">
        <f ca="1">IFERROR(+IF(CF$29=ProposalToGnatt[[#This Row],[Start Date]],Milestone_Marker,IF(AND(CF$29&gt;ProposalToGnatt[[#This Row],[Start Date]],CF$29&lt;ProposalToGnatt[[#This Row],[Start Date]]+ProposalToGnatt[[#This Row],[Days]]),$G$5,"")),"")</f>
        <v/>
      </c>
      <c r="CG58" s="37" t="str">
        <f ca="1">IFERROR(+IF(CG$29=ProposalToGnatt[[#This Row],[Start Date]],Milestone_Marker,IF(AND(CG$29&gt;ProposalToGnatt[[#This Row],[Start Date]],CG$29&lt;ProposalToGnatt[[#This Row],[Start Date]]+ProposalToGnatt[[#This Row],[Days]]),$G$5,"")),"")</f>
        <v/>
      </c>
      <c r="CH58" s="37" t="str">
        <f ca="1">IFERROR(+IF(CH$29=ProposalToGnatt[[#This Row],[Start Date]],Milestone_Marker,IF(AND(CH$29&gt;ProposalToGnatt[[#This Row],[Start Date]],CH$29&lt;ProposalToGnatt[[#This Row],[Start Date]]+ProposalToGnatt[[#This Row],[Days]]),$G$5,"")),"")</f>
        <v/>
      </c>
      <c r="CI58" s="37" t="str">
        <f ca="1">IFERROR(+IF(CI$29=ProposalToGnatt[[#This Row],[Start Date]],Milestone_Marker,IF(AND(CI$29&gt;ProposalToGnatt[[#This Row],[Start Date]],CI$29&lt;ProposalToGnatt[[#This Row],[Start Date]]+ProposalToGnatt[[#This Row],[Days]]),$G$5,"")),"")</f>
        <v/>
      </c>
      <c r="CJ58" s="37" t="str">
        <f ca="1">IFERROR(+IF(CJ$29=ProposalToGnatt[[#This Row],[Start Date]],Milestone_Marker,IF(AND(CJ$29&gt;ProposalToGnatt[[#This Row],[Start Date]],CJ$29&lt;ProposalToGnatt[[#This Row],[Start Date]]+ProposalToGnatt[[#This Row],[Days]]),$G$5,"")),"")</f>
        <v/>
      </c>
      <c r="CK58" s="37" t="str">
        <f ca="1">IFERROR(+IF(CK$29=ProposalToGnatt[[#This Row],[Start Date]],Milestone_Marker,IF(AND(CK$29&gt;ProposalToGnatt[[#This Row],[Start Date]],CK$29&lt;ProposalToGnatt[[#This Row],[Start Date]]+ProposalToGnatt[[#This Row],[Days]]),$G$5,"")),"")</f>
        <v/>
      </c>
      <c r="CL58" s="37" t="str">
        <f ca="1">IFERROR(+IF(CL$29=ProposalToGnatt[[#This Row],[Start Date]],Milestone_Marker,IF(AND(CL$29&gt;ProposalToGnatt[[#This Row],[Start Date]],CL$29&lt;ProposalToGnatt[[#This Row],[Start Date]]+ProposalToGnatt[[#This Row],[Days]]),$G$5,"")),"")</f>
        <v/>
      </c>
      <c r="CM58" s="37" t="str">
        <f ca="1">IFERROR(+IF(CM$29=ProposalToGnatt[[#This Row],[Start Date]],Milestone_Marker,IF(AND(CM$29&gt;ProposalToGnatt[[#This Row],[Start Date]],CM$29&lt;ProposalToGnatt[[#This Row],[Start Date]]+ProposalToGnatt[[#This Row],[Days]]),$G$5,"")),"")</f>
        <v/>
      </c>
      <c r="CN58" s="37" t="str">
        <f ca="1">IFERROR(+IF(CN$29=ProposalToGnatt[[#This Row],[Start Date]],Milestone_Marker,IF(AND(CN$29&gt;ProposalToGnatt[[#This Row],[Start Date]],CN$29&lt;ProposalToGnatt[[#This Row],[Start Date]]+ProposalToGnatt[[#This Row],[Days]]),$G$5,"")),"")</f>
        <v/>
      </c>
      <c r="CO58" s="37" t="str">
        <f ca="1">IFERROR(+IF(CO$29=ProposalToGnatt[[#This Row],[Start Date]],Milestone_Marker,IF(AND(CO$29&gt;ProposalToGnatt[[#This Row],[Start Date]],CO$29&lt;ProposalToGnatt[[#This Row],[Start Date]]+ProposalToGnatt[[#This Row],[Days]]),$G$5,"")),"")</f>
        <v/>
      </c>
      <c r="CP58" s="37" t="str">
        <f ca="1">IFERROR(+IF(CP$29=ProposalToGnatt[[#This Row],[Start Date]],Milestone_Marker,IF(AND(CP$29&gt;ProposalToGnatt[[#This Row],[Start Date]],CP$29&lt;ProposalToGnatt[[#This Row],[Start Date]]+ProposalToGnatt[[#This Row],[Days]]),$G$5,"")),"")</f>
        <v/>
      </c>
      <c r="CQ58" s="37" t="str">
        <f ca="1">IFERROR(+IF(CQ$29=ProposalToGnatt[[#This Row],[Start Date]],Milestone_Marker,IF(AND(CQ$29&gt;ProposalToGnatt[[#This Row],[Start Date]],CQ$29&lt;ProposalToGnatt[[#This Row],[Start Date]]+ProposalToGnatt[[#This Row],[Days]]),$G$5,"")),"")</f>
        <v/>
      </c>
      <c r="CR58" s="37" t="str">
        <f ca="1">IFERROR(+IF(CR$29=ProposalToGnatt[[#This Row],[Start Date]],Milestone_Marker,IF(AND(CR$29&gt;ProposalToGnatt[[#This Row],[Start Date]],CR$29&lt;ProposalToGnatt[[#This Row],[Start Date]]+ProposalToGnatt[[#This Row],[Days]]),$G$5,"")),"")</f>
        <v/>
      </c>
      <c r="CS58" s="37" t="str">
        <f ca="1">IFERROR(+IF(CS$29=ProposalToGnatt[[#This Row],[Start Date]],Milestone_Marker,IF(AND(CS$29&gt;ProposalToGnatt[[#This Row],[Start Date]],CS$29&lt;ProposalToGnatt[[#This Row],[Start Date]]+ProposalToGnatt[[#This Row],[Days]]),$G$5,"")),"")</f>
        <v/>
      </c>
      <c r="CT58" s="37" t="str">
        <f ca="1">IFERROR(+IF(CT$29=ProposalToGnatt[[#This Row],[Start Date]],Milestone_Marker,IF(AND(CT$29&gt;ProposalToGnatt[[#This Row],[Start Date]],CT$29&lt;ProposalToGnatt[[#This Row],[Start Date]]+ProposalToGnatt[[#This Row],[Days]]),$G$5,"")),"")</f>
        <v/>
      </c>
      <c r="CU58" s="37" t="str">
        <f ca="1">IFERROR(+IF(CU$29=ProposalToGnatt[[#This Row],[Start Date]],Milestone_Marker,IF(AND(CU$29&gt;ProposalToGnatt[[#This Row],[Start Date]],CU$29&lt;ProposalToGnatt[[#This Row],[Start Date]]+ProposalToGnatt[[#This Row],[Days]]),$G$5,"")),"")</f>
        <v/>
      </c>
      <c r="CV58" s="37"/>
      <c r="CW58" s="37"/>
      <c r="CX58" s="37"/>
      <c r="CY58" s="37"/>
      <c r="CZ58" s="37"/>
      <c r="DA58" s="37"/>
      <c r="DB58" s="37"/>
      <c r="DC58" s="37"/>
      <c r="DD58" s="37"/>
      <c r="DE58" s="37"/>
      <c r="DF58" s="37"/>
      <c r="DG58" s="37"/>
      <c r="DH58" s="37"/>
      <c r="DI58" s="37"/>
      <c r="DJ58" s="37"/>
      <c r="DK58" s="37"/>
      <c r="DL58" s="37"/>
      <c r="DM58" s="37"/>
      <c r="DN58" s="37"/>
      <c r="DO58" s="37"/>
      <c r="DP58" s="37"/>
      <c r="DQ58" s="37"/>
      <c r="DR58" s="37"/>
      <c r="DS58" s="37"/>
      <c r="DT58" s="37"/>
      <c r="DU58" s="37"/>
    </row>
    <row r="59" spans="1:125" s="42" customFormat="1" ht="15" x14ac:dyDescent="0.25">
      <c r="A59" t="s">
        <v>428</v>
      </c>
      <c r="B59">
        <v>20</v>
      </c>
      <c r="C59" t="s">
        <v>317</v>
      </c>
      <c r="D59" t="s">
        <v>334</v>
      </c>
      <c r="E59" t="s">
        <v>336</v>
      </c>
      <c r="F59">
        <v>0</v>
      </c>
      <c r="G59" s="14"/>
      <c r="H59" s="14"/>
      <c r="I59"/>
      <c r="J59">
        <v>1</v>
      </c>
      <c r="K59" s="303"/>
      <c r="L59"/>
      <c r="M59" s="14"/>
      <c r="N59" s="352"/>
      <c r="O59" s="340"/>
      <c r="P59" s="37" t="str">
        <f ca="1">IFERROR(+IF(P$29=ProposalToGnatt[[#This Row],[Start Date]],Milestone_Marker,IF(AND(P$29&gt;ProposalToGnatt[[#This Row],[Start Date]],P$29&lt;ProposalToGnatt[[#This Row],[Start Date]]+ProposalToGnatt[[#This Row],[Days]]),$G$5,"")),"")</f>
        <v/>
      </c>
      <c r="Q59" s="37" t="str">
        <f ca="1">IFERROR(+IF(Q$29=ProposalToGnatt[[#This Row],[Start Date]],Milestone_Marker,IF(AND(Q$29&gt;ProposalToGnatt[[#This Row],[Start Date]],Q$29&lt;ProposalToGnatt[[#This Row],[Start Date]]+ProposalToGnatt[[#This Row],[Days]]),$G$5,"")),"")</f>
        <v/>
      </c>
      <c r="R59" s="37" t="str">
        <f ca="1">IFERROR(+IF(R$29=ProposalToGnatt[[#This Row],[Start Date]],Milestone_Marker,IF(AND(R$29&gt;ProposalToGnatt[[#This Row],[Start Date]],R$29&lt;ProposalToGnatt[[#This Row],[Start Date]]+ProposalToGnatt[[#This Row],[Days]]),$G$5,"")),"")</f>
        <v/>
      </c>
      <c r="S59" s="37" t="str">
        <f ca="1">IFERROR(+IF(S$29=ProposalToGnatt[[#This Row],[Start Date]],Milestone_Marker,IF(AND(S$29&gt;ProposalToGnatt[[#This Row],[Start Date]],S$29&lt;ProposalToGnatt[[#This Row],[Start Date]]+ProposalToGnatt[[#This Row],[Days]]),$G$5,"")),"")</f>
        <v/>
      </c>
      <c r="T59" s="37" t="str">
        <f ca="1">IFERROR(+IF(T$29=ProposalToGnatt[[#This Row],[Start Date]],Milestone_Marker,IF(AND(T$29&gt;ProposalToGnatt[[#This Row],[Start Date]],T$29&lt;ProposalToGnatt[[#This Row],[Start Date]]+ProposalToGnatt[[#This Row],[Days]]),$G$5,"")),"")</f>
        <v/>
      </c>
      <c r="U59" s="37" t="str">
        <f ca="1">IFERROR(+IF(U$29=ProposalToGnatt[[#This Row],[Start Date]],Milestone_Marker,IF(AND(U$29&gt;ProposalToGnatt[[#This Row],[Start Date]],U$29&lt;ProposalToGnatt[[#This Row],[Start Date]]+ProposalToGnatt[[#This Row],[Days]]),$G$5,"")),"")</f>
        <v/>
      </c>
      <c r="V59" s="37" t="str">
        <f ca="1">IFERROR(+IF(V$29=ProposalToGnatt[[#This Row],[Start Date]],Milestone_Marker,IF(AND(V$29&gt;ProposalToGnatt[[#This Row],[Start Date]],V$29&lt;ProposalToGnatt[[#This Row],[Start Date]]+ProposalToGnatt[[#This Row],[Days]]),$G$5,"")),"")</f>
        <v/>
      </c>
      <c r="W59" s="37" t="str">
        <f ca="1">IFERROR(+IF(W$29=ProposalToGnatt[[#This Row],[Start Date]],Milestone_Marker,IF(AND(W$29&gt;ProposalToGnatt[[#This Row],[Start Date]],W$29&lt;ProposalToGnatt[[#This Row],[Start Date]]+ProposalToGnatt[[#This Row],[Days]]),$G$5,"")),"")</f>
        <v/>
      </c>
      <c r="X59" s="37" t="str">
        <f ca="1">IFERROR(+IF(X$29=ProposalToGnatt[[#This Row],[Start Date]],Milestone_Marker,IF(AND(X$29&gt;ProposalToGnatt[[#This Row],[Start Date]],X$29&lt;ProposalToGnatt[[#This Row],[Start Date]]+ProposalToGnatt[[#This Row],[Days]]),$G$5,"")),"")</f>
        <v/>
      </c>
      <c r="Y59" s="37" t="str">
        <f ca="1">IFERROR(+IF(Y$29=ProposalToGnatt[[#This Row],[Start Date]],Milestone_Marker,IF(AND(Y$29&gt;ProposalToGnatt[[#This Row],[Start Date]],Y$29&lt;ProposalToGnatt[[#This Row],[Start Date]]+ProposalToGnatt[[#This Row],[Days]]),$G$5,"")),"")</f>
        <v/>
      </c>
      <c r="Z59" s="37" t="str">
        <f ca="1">IFERROR(+IF(Z$29=ProposalToGnatt[[#This Row],[Start Date]],Milestone_Marker,IF(AND(Z$29&gt;ProposalToGnatt[[#This Row],[Start Date]],Z$29&lt;ProposalToGnatt[[#This Row],[Start Date]]+ProposalToGnatt[[#This Row],[Days]]),$G$5,"")),"")</f>
        <v/>
      </c>
      <c r="AA59" s="37" t="str">
        <f ca="1">IFERROR(+IF(AA$29=ProposalToGnatt[[#This Row],[Start Date]],Milestone_Marker,IF(AND(AA$29&gt;ProposalToGnatt[[#This Row],[Start Date]],AA$29&lt;ProposalToGnatt[[#This Row],[Start Date]]+ProposalToGnatt[[#This Row],[Days]]),$G$5,"")),"")</f>
        <v/>
      </c>
      <c r="AB59" s="37" t="str">
        <f ca="1">IFERROR(+IF(AB$29=ProposalToGnatt[[#This Row],[Start Date]],Milestone_Marker,IF(AND(AB$29&gt;ProposalToGnatt[[#This Row],[Start Date]],AB$29&lt;ProposalToGnatt[[#This Row],[Start Date]]+ProposalToGnatt[[#This Row],[Days]]),$G$5,"")),"")</f>
        <v/>
      </c>
      <c r="AC59" s="37" t="str">
        <f ca="1">IFERROR(+IF(AC$29=ProposalToGnatt[[#This Row],[Start Date]],Milestone_Marker,IF(AND(AC$29&gt;ProposalToGnatt[[#This Row],[Start Date]],AC$29&lt;ProposalToGnatt[[#This Row],[Start Date]]+ProposalToGnatt[[#This Row],[Days]]),$G$5,"")),"")</f>
        <v/>
      </c>
      <c r="AD59" s="37" t="str">
        <f ca="1">IFERROR(+IF(AD$29=ProposalToGnatt[[#This Row],[Start Date]],Milestone_Marker,IF(AND(AD$29&gt;ProposalToGnatt[[#This Row],[Start Date]],AD$29&lt;ProposalToGnatt[[#This Row],[Start Date]]+ProposalToGnatt[[#This Row],[Days]]),$G$5,"")),"")</f>
        <v/>
      </c>
      <c r="AE59" s="37" t="str">
        <f ca="1">IFERROR(+IF(AE$29=ProposalToGnatt[[#This Row],[Start Date]],Milestone_Marker,IF(AND(AE$29&gt;ProposalToGnatt[[#This Row],[Start Date]],AE$29&lt;ProposalToGnatt[[#This Row],[Start Date]]+ProposalToGnatt[[#This Row],[Days]]),$G$5,"")),"")</f>
        <v/>
      </c>
      <c r="AF59" s="37" t="str">
        <f ca="1">IFERROR(+IF(AF$29=ProposalToGnatt[[#This Row],[Start Date]],Milestone_Marker,IF(AND(AF$29&gt;ProposalToGnatt[[#This Row],[Start Date]],AF$29&lt;ProposalToGnatt[[#This Row],[Start Date]]+ProposalToGnatt[[#This Row],[Days]]),$G$5,"")),"")</f>
        <v/>
      </c>
      <c r="AG59" s="37" t="str">
        <f ca="1">IFERROR(+IF(AG$29=ProposalToGnatt[[#This Row],[Start Date]],Milestone_Marker,IF(AND(AG$29&gt;ProposalToGnatt[[#This Row],[Start Date]],AG$29&lt;ProposalToGnatt[[#This Row],[Start Date]]+ProposalToGnatt[[#This Row],[Days]]),$G$5,"")),"")</f>
        <v/>
      </c>
      <c r="AH59" s="37" t="str">
        <f ca="1">IFERROR(+IF(AH$29=ProposalToGnatt[[#This Row],[Start Date]],Milestone_Marker,IF(AND(AH$29&gt;ProposalToGnatt[[#This Row],[Start Date]],AH$29&lt;ProposalToGnatt[[#This Row],[Start Date]]+ProposalToGnatt[[#This Row],[Days]]),$G$5,"")),"")</f>
        <v/>
      </c>
      <c r="AI59" s="37" t="str">
        <f ca="1">IFERROR(+IF(AI$29=ProposalToGnatt[[#This Row],[Start Date]],Milestone_Marker,IF(AND(AI$29&gt;ProposalToGnatt[[#This Row],[Start Date]],AI$29&lt;ProposalToGnatt[[#This Row],[Start Date]]+ProposalToGnatt[[#This Row],[Days]]),$G$5,"")),"")</f>
        <v/>
      </c>
      <c r="AJ59" s="37" t="str">
        <f ca="1">IFERROR(+IF(AJ$29=ProposalToGnatt[[#This Row],[Start Date]],Milestone_Marker,IF(AND(AJ$29&gt;ProposalToGnatt[[#This Row],[Start Date]],AJ$29&lt;ProposalToGnatt[[#This Row],[Start Date]]+ProposalToGnatt[[#This Row],[Days]]),$G$5,"")),"")</f>
        <v/>
      </c>
      <c r="AK59" s="37" t="str">
        <f ca="1">IFERROR(+IF(AK$29=ProposalToGnatt[[#This Row],[Start Date]],Milestone_Marker,IF(AND(AK$29&gt;ProposalToGnatt[[#This Row],[Start Date]],AK$29&lt;ProposalToGnatt[[#This Row],[Start Date]]+ProposalToGnatt[[#This Row],[Days]]),$G$5,"")),"")</f>
        <v/>
      </c>
      <c r="AL59" s="37" t="str">
        <f ca="1">IFERROR(+IF(AL$29=ProposalToGnatt[[#This Row],[Start Date]],Milestone_Marker,IF(AND(AL$29&gt;ProposalToGnatt[[#This Row],[Start Date]],AL$29&lt;ProposalToGnatt[[#This Row],[Start Date]]+ProposalToGnatt[[#This Row],[Days]]),$G$5,"")),"")</f>
        <v/>
      </c>
      <c r="AM59" s="37" t="str">
        <f ca="1">IFERROR(+IF(AM$29=ProposalToGnatt[[#This Row],[Start Date]],Milestone_Marker,IF(AND(AM$29&gt;ProposalToGnatt[[#This Row],[Start Date]],AM$29&lt;ProposalToGnatt[[#This Row],[Start Date]]+ProposalToGnatt[[#This Row],[Days]]),$G$5,"")),"")</f>
        <v/>
      </c>
      <c r="AN59" s="37" t="str">
        <f ca="1">IFERROR(+IF(AN$29=ProposalToGnatt[[#This Row],[Start Date]],Milestone_Marker,IF(AND(AN$29&gt;ProposalToGnatt[[#This Row],[Start Date]],AN$29&lt;ProposalToGnatt[[#This Row],[Start Date]]+ProposalToGnatt[[#This Row],[Days]]),$G$5,"")),"")</f>
        <v/>
      </c>
      <c r="AO59" s="37" t="str">
        <f ca="1">IFERROR(+IF(AO$29=ProposalToGnatt[[#This Row],[Start Date]],Milestone_Marker,IF(AND(AO$29&gt;ProposalToGnatt[[#This Row],[Start Date]],AO$29&lt;ProposalToGnatt[[#This Row],[Start Date]]+ProposalToGnatt[[#This Row],[Days]]),$G$5,"")),"")</f>
        <v/>
      </c>
      <c r="AP59" s="37" t="str">
        <f ca="1">IFERROR(+IF(AP$29=ProposalToGnatt[[#This Row],[Start Date]],Milestone_Marker,IF(AND(AP$29&gt;ProposalToGnatt[[#This Row],[Start Date]],AP$29&lt;ProposalToGnatt[[#This Row],[Start Date]]+ProposalToGnatt[[#This Row],[Days]]),$G$5,"")),"")</f>
        <v/>
      </c>
      <c r="AQ59" s="37" t="str">
        <f ca="1">IFERROR(+IF(AQ$29=ProposalToGnatt[[#This Row],[Start Date]],Milestone_Marker,IF(AND(AQ$29&gt;ProposalToGnatt[[#This Row],[Start Date]],AQ$29&lt;ProposalToGnatt[[#This Row],[Start Date]]+ProposalToGnatt[[#This Row],[Days]]),$G$5,"")),"")</f>
        <v/>
      </c>
      <c r="AR59" s="37" t="str">
        <f ca="1">IFERROR(+IF(AR$29=ProposalToGnatt[[#This Row],[Start Date]],Milestone_Marker,IF(AND(AR$29&gt;ProposalToGnatt[[#This Row],[Start Date]],AR$29&lt;ProposalToGnatt[[#This Row],[Start Date]]+ProposalToGnatt[[#This Row],[Days]]),$G$5,"")),"")</f>
        <v/>
      </c>
      <c r="AS59" s="37" t="str">
        <f ca="1">IFERROR(+IF(AS$29=ProposalToGnatt[[#This Row],[Start Date]],Milestone_Marker,IF(AND(AS$29&gt;ProposalToGnatt[[#This Row],[Start Date]],AS$29&lt;ProposalToGnatt[[#This Row],[Start Date]]+ProposalToGnatt[[#This Row],[Days]]),$G$5,"")),"")</f>
        <v/>
      </c>
      <c r="AT59" s="37" t="str">
        <f ca="1">IFERROR(+IF(AT$29=ProposalToGnatt[[#This Row],[Start Date]],Milestone_Marker,IF(AND(AT$29&gt;ProposalToGnatt[[#This Row],[Start Date]],AT$29&lt;ProposalToGnatt[[#This Row],[Start Date]]+ProposalToGnatt[[#This Row],[Days]]),$G$5,"")),"")</f>
        <v/>
      </c>
      <c r="AU59" s="37" t="str">
        <f ca="1">IFERROR(+IF(AU$29=ProposalToGnatt[[#This Row],[Start Date]],Milestone_Marker,IF(AND(AU$29&gt;ProposalToGnatt[[#This Row],[Start Date]],AU$29&lt;ProposalToGnatt[[#This Row],[Start Date]]+ProposalToGnatt[[#This Row],[Days]]),$G$5,"")),"")</f>
        <v/>
      </c>
      <c r="AV59" s="37" t="str">
        <f ca="1">IFERROR(+IF(AV$29=ProposalToGnatt[[#This Row],[Start Date]],Milestone_Marker,IF(AND(AV$29&gt;ProposalToGnatt[[#This Row],[Start Date]],AV$29&lt;ProposalToGnatt[[#This Row],[Start Date]]+ProposalToGnatt[[#This Row],[Days]]),$G$5,"")),"")</f>
        <v/>
      </c>
      <c r="AW59" s="37" t="str">
        <f ca="1">IFERROR(+IF(AW$29=ProposalToGnatt[[#This Row],[Start Date]],Milestone_Marker,IF(AND(AW$29&gt;ProposalToGnatt[[#This Row],[Start Date]],AW$29&lt;ProposalToGnatt[[#This Row],[Start Date]]+ProposalToGnatt[[#This Row],[Days]]),$G$5,"")),"")</f>
        <v/>
      </c>
      <c r="AX59" s="37" t="str">
        <f ca="1">IFERROR(+IF(AX$29=ProposalToGnatt[[#This Row],[Start Date]],Milestone_Marker,IF(AND(AX$29&gt;ProposalToGnatt[[#This Row],[Start Date]],AX$29&lt;ProposalToGnatt[[#This Row],[Start Date]]+ProposalToGnatt[[#This Row],[Days]]),$G$5,"")),"")</f>
        <v/>
      </c>
      <c r="AY59" s="37" t="str">
        <f ca="1">IFERROR(+IF(AY$29=ProposalToGnatt[[#This Row],[Start Date]],Milestone_Marker,IF(AND(AY$29&gt;ProposalToGnatt[[#This Row],[Start Date]],AY$29&lt;ProposalToGnatt[[#This Row],[Start Date]]+ProposalToGnatt[[#This Row],[Days]]),$G$5,"")),"")</f>
        <v/>
      </c>
      <c r="AZ59" s="37" t="str">
        <f ca="1">IFERROR(+IF(AZ$29=ProposalToGnatt[[#This Row],[Start Date]],Milestone_Marker,IF(AND(AZ$29&gt;ProposalToGnatt[[#This Row],[Start Date]],AZ$29&lt;ProposalToGnatt[[#This Row],[Start Date]]+ProposalToGnatt[[#This Row],[Days]]),$G$5,"")),"")</f>
        <v/>
      </c>
      <c r="BA59" s="37" t="str">
        <f ca="1">IFERROR(+IF(BA$29=ProposalToGnatt[[#This Row],[Start Date]],Milestone_Marker,IF(AND(BA$29&gt;ProposalToGnatt[[#This Row],[Start Date]],BA$29&lt;ProposalToGnatt[[#This Row],[Start Date]]+ProposalToGnatt[[#This Row],[Days]]),$G$5,"")),"")</f>
        <v/>
      </c>
      <c r="BB59" s="37" t="str">
        <f ca="1">IFERROR(+IF(BB$29=ProposalToGnatt[[#This Row],[Start Date]],Milestone_Marker,IF(AND(BB$29&gt;ProposalToGnatt[[#This Row],[Start Date]],BB$29&lt;ProposalToGnatt[[#This Row],[Start Date]]+ProposalToGnatt[[#This Row],[Days]]),$G$5,"")),"")</f>
        <v/>
      </c>
      <c r="BC59" s="37" t="str">
        <f ca="1">IFERROR(+IF(BC$29=ProposalToGnatt[[#This Row],[Start Date]],Milestone_Marker,IF(AND(BC$29&gt;ProposalToGnatt[[#This Row],[Start Date]],BC$29&lt;ProposalToGnatt[[#This Row],[Start Date]]+ProposalToGnatt[[#This Row],[Days]]),$G$5,"")),"")</f>
        <v/>
      </c>
      <c r="BD59" s="37" t="str">
        <f ca="1">IFERROR(+IF(BD$29=ProposalToGnatt[[#This Row],[Start Date]],Milestone_Marker,IF(AND(BD$29&gt;ProposalToGnatt[[#This Row],[Start Date]],BD$29&lt;ProposalToGnatt[[#This Row],[Start Date]]+ProposalToGnatt[[#This Row],[Days]]),$G$5,"")),"")</f>
        <v/>
      </c>
      <c r="BE59" s="37" t="str">
        <f ca="1">IFERROR(+IF(BE$29=ProposalToGnatt[[#This Row],[Start Date]],Milestone_Marker,IF(AND(BE$29&gt;ProposalToGnatt[[#This Row],[Start Date]],BE$29&lt;ProposalToGnatt[[#This Row],[Start Date]]+ProposalToGnatt[[#This Row],[Days]]),$G$5,"")),"")</f>
        <v/>
      </c>
      <c r="BF59" s="37" t="str">
        <f ca="1">IFERROR(+IF(BF$29=ProposalToGnatt[[#This Row],[Start Date]],Milestone_Marker,IF(AND(BF$29&gt;ProposalToGnatt[[#This Row],[Start Date]],BF$29&lt;ProposalToGnatt[[#This Row],[Start Date]]+ProposalToGnatt[[#This Row],[Days]]),$G$5,"")),"")</f>
        <v/>
      </c>
      <c r="BG59" s="37" t="str">
        <f ca="1">IFERROR(+IF(BG$29=ProposalToGnatt[[#This Row],[Start Date]],Milestone_Marker,IF(AND(BG$29&gt;ProposalToGnatt[[#This Row],[Start Date]],BG$29&lt;ProposalToGnatt[[#This Row],[Start Date]]+ProposalToGnatt[[#This Row],[Days]]),$G$5,"")),"")</f>
        <v/>
      </c>
      <c r="BH59" s="37" t="str">
        <f ca="1">IFERROR(+IF(BH$29=ProposalToGnatt[[#This Row],[Start Date]],Milestone_Marker,IF(AND(BH$29&gt;ProposalToGnatt[[#This Row],[Start Date]],BH$29&lt;ProposalToGnatt[[#This Row],[Start Date]]+ProposalToGnatt[[#This Row],[Days]]),$G$5,"")),"")</f>
        <v/>
      </c>
      <c r="BI59" s="37" t="str">
        <f ca="1">IFERROR(+IF(BI$29=ProposalToGnatt[[#This Row],[Start Date]],Milestone_Marker,IF(AND(BI$29&gt;ProposalToGnatt[[#This Row],[Start Date]],BI$29&lt;ProposalToGnatt[[#This Row],[Start Date]]+ProposalToGnatt[[#This Row],[Days]]),$G$5,"")),"")</f>
        <v/>
      </c>
      <c r="BJ59" s="37" t="str">
        <f ca="1">IFERROR(+IF(BJ$29=ProposalToGnatt[[#This Row],[Start Date]],Milestone_Marker,IF(AND(BJ$29&gt;ProposalToGnatt[[#This Row],[Start Date]],BJ$29&lt;ProposalToGnatt[[#This Row],[Start Date]]+ProposalToGnatt[[#This Row],[Days]]),$G$5,"")),"")</f>
        <v/>
      </c>
      <c r="BK59" s="37" t="str">
        <f ca="1">IFERROR(+IF(BK$29=ProposalToGnatt[[#This Row],[Start Date]],Milestone_Marker,IF(AND(BK$29&gt;ProposalToGnatt[[#This Row],[Start Date]],BK$29&lt;ProposalToGnatt[[#This Row],[Start Date]]+ProposalToGnatt[[#This Row],[Days]]),$G$5,"")),"")</f>
        <v/>
      </c>
      <c r="BL59" s="37" t="str">
        <f ca="1">IFERROR(+IF(BL$29=ProposalToGnatt[[#This Row],[Start Date]],Milestone_Marker,IF(AND(BL$29&gt;ProposalToGnatt[[#This Row],[Start Date]],BL$29&lt;ProposalToGnatt[[#This Row],[Start Date]]+ProposalToGnatt[[#This Row],[Days]]),$G$5,"")),"")</f>
        <v/>
      </c>
      <c r="BM59" s="37" t="str">
        <f ca="1">IFERROR(+IF(BM$29=ProposalToGnatt[[#This Row],[Start Date]],Milestone_Marker,IF(AND(BM$29&gt;ProposalToGnatt[[#This Row],[Start Date]],BM$29&lt;ProposalToGnatt[[#This Row],[Start Date]]+ProposalToGnatt[[#This Row],[Days]]),$G$5,"")),"")</f>
        <v/>
      </c>
      <c r="BN59" s="37" t="str">
        <f ca="1">IFERROR(+IF(BN$29=ProposalToGnatt[[#This Row],[Start Date]],Milestone_Marker,IF(AND(BN$29&gt;ProposalToGnatt[[#This Row],[Start Date]],BN$29&lt;ProposalToGnatt[[#This Row],[Start Date]]+ProposalToGnatt[[#This Row],[Days]]),$G$5,"")),"")</f>
        <v/>
      </c>
      <c r="BO59" s="37" t="str">
        <f ca="1">IFERROR(+IF(BO$29=ProposalToGnatt[[#This Row],[Start Date]],Milestone_Marker,IF(AND(BO$29&gt;ProposalToGnatt[[#This Row],[Start Date]],BO$29&lt;ProposalToGnatt[[#This Row],[Start Date]]+ProposalToGnatt[[#This Row],[Days]]),$G$5,"")),"")</f>
        <v/>
      </c>
      <c r="BP59" s="37" t="str">
        <f ca="1">IFERROR(+IF(BP$29=ProposalToGnatt[[#This Row],[Start Date]],Milestone_Marker,IF(AND(BP$29&gt;ProposalToGnatt[[#This Row],[Start Date]],BP$29&lt;ProposalToGnatt[[#This Row],[Start Date]]+ProposalToGnatt[[#This Row],[Days]]),$G$5,"")),"")</f>
        <v/>
      </c>
      <c r="BQ59" s="37" t="str">
        <f ca="1">IFERROR(+IF(BQ$29=ProposalToGnatt[[#This Row],[Start Date]],Milestone_Marker,IF(AND(BQ$29&gt;ProposalToGnatt[[#This Row],[Start Date]],BQ$29&lt;ProposalToGnatt[[#This Row],[Start Date]]+ProposalToGnatt[[#This Row],[Days]]),$G$5,"")),"")</f>
        <v/>
      </c>
      <c r="BR59" s="37" t="str">
        <f ca="1">IFERROR(+IF(BR$29=ProposalToGnatt[[#This Row],[Start Date]],Milestone_Marker,IF(AND(BR$29&gt;ProposalToGnatt[[#This Row],[Start Date]],BR$29&lt;ProposalToGnatt[[#This Row],[Start Date]]+ProposalToGnatt[[#This Row],[Days]]),$G$5,"")),"")</f>
        <v/>
      </c>
      <c r="BS59" s="37" t="str">
        <f ca="1">IFERROR(+IF(BS$29=ProposalToGnatt[[#This Row],[Start Date]],Milestone_Marker,IF(AND(BS$29&gt;ProposalToGnatt[[#This Row],[Start Date]],BS$29&lt;ProposalToGnatt[[#This Row],[Start Date]]+ProposalToGnatt[[#This Row],[Days]]),$G$5,"")),"")</f>
        <v/>
      </c>
      <c r="BT59" s="37" t="str">
        <f ca="1">IFERROR(+IF(BT$29=ProposalToGnatt[[#This Row],[Start Date]],Milestone_Marker,IF(AND(BT$29&gt;ProposalToGnatt[[#This Row],[Start Date]],BT$29&lt;ProposalToGnatt[[#This Row],[Start Date]]+ProposalToGnatt[[#This Row],[Days]]),$G$5,"")),"")</f>
        <v/>
      </c>
      <c r="BU59" s="37" t="str">
        <f ca="1">IFERROR(+IF(BU$29=ProposalToGnatt[[#This Row],[Start Date]],Milestone_Marker,IF(AND(BU$29&gt;ProposalToGnatt[[#This Row],[Start Date]],BU$29&lt;ProposalToGnatt[[#This Row],[Start Date]]+ProposalToGnatt[[#This Row],[Days]]),$G$5,"")),"")</f>
        <v/>
      </c>
      <c r="BV59" s="37" t="str">
        <f ca="1">IFERROR(+IF(BV$29=ProposalToGnatt[[#This Row],[Start Date]],Milestone_Marker,IF(AND(BV$29&gt;ProposalToGnatt[[#This Row],[Start Date]],BV$29&lt;ProposalToGnatt[[#This Row],[Start Date]]+ProposalToGnatt[[#This Row],[Days]]),$G$5,"")),"")</f>
        <v/>
      </c>
      <c r="BW59" s="37" t="str">
        <f ca="1">IFERROR(+IF(BW$29=ProposalToGnatt[[#This Row],[Start Date]],Milestone_Marker,IF(AND(BW$29&gt;ProposalToGnatt[[#This Row],[Start Date]],BW$29&lt;ProposalToGnatt[[#This Row],[Start Date]]+ProposalToGnatt[[#This Row],[Days]]),$G$5,"")),"")</f>
        <v/>
      </c>
      <c r="BX59" s="37" t="str">
        <f ca="1">IFERROR(+IF(BX$29=ProposalToGnatt[[#This Row],[Start Date]],Milestone_Marker,IF(AND(BX$29&gt;ProposalToGnatt[[#This Row],[Start Date]],BX$29&lt;ProposalToGnatt[[#This Row],[Start Date]]+ProposalToGnatt[[#This Row],[Days]]),$G$5,"")),"")</f>
        <v/>
      </c>
      <c r="BY59" s="37" t="str">
        <f ca="1">IFERROR(+IF(BY$29=ProposalToGnatt[[#This Row],[Start Date]],Milestone_Marker,IF(AND(BY$29&gt;ProposalToGnatt[[#This Row],[Start Date]],BY$29&lt;ProposalToGnatt[[#This Row],[Start Date]]+ProposalToGnatt[[#This Row],[Days]]),$G$5,"")),"")</f>
        <v/>
      </c>
      <c r="BZ59" s="37" t="str">
        <f ca="1">IFERROR(+IF(BZ$29=ProposalToGnatt[[#This Row],[Start Date]],Milestone_Marker,IF(AND(BZ$29&gt;ProposalToGnatt[[#This Row],[Start Date]],BZ$29&lt;ProposalToGnatt[[#This Row],[Start Date]]+ProposalToGnatt[[#This Row],[Days]]),$G$5,"")),"")</f>
        <v/>
      </c>
      <c r="CA59" s="37" t="str">
        <f ca="1">IFERROR(+IF(CA$29=ProposalToGnatt[[#This Row],[Start Date]],Milestone_Marker,IF(AND(CA$29&gt;ProposalToGnatt[[#This Row],[Start Date]],CA$29&lt;ProposalToGnatt[[#This Row],[Start Date]]+ProposalToGnatt[[#This Row],[Days]]),$G$5,"")),"")</f>
        <v/>
      </c>
      <c r="CB59" s="37" t="str">
        <f ca="1">IFERROR(+IF(CB$29=ProposalToGnatt[[#This Row],[Start Date]],Milestone_Marker,IF(AND(CB$29&gt;ProposalToGnatt[[#This Row],[Start Date]],CB$29&lt;ProposalToGnatt[[#This Row],[Start Date]]+ProposalToGnatt[[#This Row],[Days]]),$G$5,"")),"")</f>
        <v/>
      </c>
      <c r="CC59" s="37" t="str">
        <f ca="1">IFERROR(+IF(CC$29=ProposalToGnatt[[#This Row],[Start Date]],Milestone_Marker,IF(AND(CC$29&gt;ProposalToGnatt[[#This Row],[Start Date]],CC$29&lt;ProposalToGnatt[[#This Row],[Start Date]]+ProposalToGnatt[[#This Row],[Days]]),$G$5,"")),"")</f>
        <v/>
      </c>
      <c r="CD59" s="37" t="str">
        <f ca="1">IFERROR(+IF(CD$29=ProposalToGnatt[[#This Row],[Start Date]],Milestone_Marker,IF(AND(CD$29&gt;ProposalToGnatt[[#This Row],[Start Date]],CD$29&lt;ProposalToGnatt[[#This Row],[Start Date]]+ProposalToGnatt[[#This Row],[Days]]),$G$5,"")),"")</f>
        <v/>
      </c>
      <c r="CE59" s="37" t="str">
        <f ca="1">IFERROR(+IF(CE$29=ProposalToGnatt[[#This Row],[Start Date]],Milestone_Marker,IF(AND(CE$29&gt;ProposalToGnatt[[#This Row],[Start Date]],CE$29&lt;ProposalToGnatt[[#This Row],[Start Date]]+ProposalToGnatt[[#This Row],[Days]]),$G$5,"")),"")</f>
        <v/>
      </c>
      <c r="CF59" s="37" t="str">
        <f ca="1">IFERROR(+IF(CF$29=ProposalToGnatt[[#This Row],[Start Date]],Milestone_Marker,IF(AND(CF$29&gt;ProposalToGnatt[[#This Row],[Start Date]],CF$29&lt;ProposalToGnatt[[#This Row],[Start Date]]+ProposalToGnatt[[#This Row],[Days]]),$G$5,"")),"")</f>
        <v/>
      </c>
      <c r="CG59" s="37" t="str">
        <f ca="1">IFERROR(+IF(CG$29=ProposalToGnatt[[#This Row],[Start Date]],Milestone_Marker,IF(AND(CG$29&gt;ProposalToGnatt[[#This Row],[Start Date]],CG$29&lt;ProposalToGnatt[[#This Row],[Start Date]]+ProposalToGnatt[[#This Row],[Days]]),$G$5,"")),"")</f>
        <v/>
      </c>
      <c r="CH59" s="37" t="str">
        <f ca="1">IFERROR(+IF(CH$29=ProposalToGnatt[[#This Row],[Start Date]],Milestone_Marker,IF(AND(CH$29&gt;ProposalToGnatt[[#This Row],[Start Date]],CH$29&lt;ProposalToGnatt[[#This Row],[Start Date]]+ProposalToGnatt[[#This Row],[Days]]),$G$5,"")),"")</f>
        <v/>
      </c>
      <c r="CI59" s="37" t="str">
        <f ca="1">IFERROR(+IF(CI$29=ProposalToGnatt[[#This Row],[Start Date]],Milestone_Marker,IF(AND(CI$29&gt;ProposalToGnatt[[#This Row],[Start Date]],CI$29&lt;ProposalToGnatt[[#This Row],[Start Date]]+ProposalToGnatt[[#This Row],[Days]]),$G$5,"")),"")</f>
        <v/>
      </c>
      <c r="CJ59" s="37" t="str">
        <f ca="1">IFERROR(+IF(CJ$29=ProposalToGnatt[[#This Row],[Start Date]],Milestone_Marker,IF(AND(CJ$29&gt;ProposalToGnatt[[#This Row],[Start Date]],CJ$29&lt;ProposalToGnatt[[#This Row],[Start Date]]+ProposalToGnatt[[#This Row],[Days]]),$G$5,"")),"")</f>
        <v/>
      </c>
      <c r="CK59" s="37" t="str">
        <f ca="1">IFERROR(+IF(CK$29=ProposalToGnatt[[#This Row],[Start Date]],Milestone_Marker,IF(AND(CK$29&gt;ProposalToGnatt[[#This Row],[Start Date]],CK$29&lt;ProposalToGnatt[[#This Row],[Start Date]]+ProposalToGnatt[[#This Row],[Days]]),$G$5,"")),"")</f>
        <v/>
      </c>
      <c r="CL59" s="37" t="str">
        <f ca="1">IFERROR(+IF(CL$29=ProposalToGnatt[[#This Row],[Start Date]],Milestone_Marker,IF(AND(CL$29&gt;ProposalToGnatt[[#This Row],[Start Date]],CL$29&lt;ProposalToGnatt[[#This Row],[Start Date]]+ProposalToGnatt[[#This Row],[Days]]),$G$5,"")),"")</f>
        <v/>
      </c>
      <c r="CM59" s="37" t="str">
        <f ca="1">IFERROR(+IF(CM$29=ProposalToGnatt[[#This Row],[Start Date]],Milestone_Marker,IF(AND(CM$29&gt;ProposalToGnatt[[#This Row],[Start Date]],CM$29&lt;ProposalToGnatt[[#This Row],[Start Date]]+ProposalToGnatt[[#This Row],[Days]]),$G$5,"")),"")</f>
        <v/>
      </c>
      <c r="CN59" s="37" t="str">
        <f ca="1">IFERROR(+IF(CN$29=ProposalToGnatt[[#This Row],[Start Date]],Milestone_Marker,IF(AND(CN$29&gt;ProposalToGnatt[[#This Row],[Start Date]],CN$29&lt;ProposalToGnatt[[#This Row],[Start Date]]+ProposalToGnatt[[#This Row],[Days]]),$G$5,"")),"")</f>
        <v/>
      </c>
      <c r="CO59" s="37" t="str">
        <f ca="1">IFERROR(+IF(CO$29=ProposalToGnatt[[#This Row],[Start Date]],Milestone_Marker,IF(AND(CO$29&gt;ProposalToGnatt[[#This Row],[Start Date]],CO$29&lt;ProposalToGnatt[[#This Row],[Start Date]]+ProposalToGnatt[[#This Row],[Days]]),$G$5,"")),"")</f>
        <v/>
      </c>
      <c r="CP59" s="37" t="str">
        <f ca="1">IFERROR(+IF(CP$29=ProposalToGnatt[[#This Row],[Start Date]],Milestone_Marker,IF(AND(CP$29&gt;ProposalToGnatt[[#This Row],[Start Date]],CP$29&lt;ProposalToGnatt[[#This Row],[Start Date]]+ProposalToGnatt[[#This Row],[Days]]),$G$5,"")),"")</f>
        <v/>
      </c>
      <c r="CQ59" s="37" t="str">
        <f ca="1">IFERROR(+IF(CQ$29=ProposalToGnatt[[#This Row],[Start Date]],Milestone_Marker,IF(AND(CQ$29&gt;ProposalToGnatt[[#This Row],[Start Date]],CQ$29&lt;ProposalToGnatt[[#This Row],[Start Date]]+ProposalToGnatt[[#This Row],[Days]]),$G$5,"")),"")</f>
        <v/>
      </c>
      <c r="CR59" s="37" t="str">
        <f ca="1">IFERROR(+IF(CR$29=ProposalToGnatt[[#This Row],[Start Date]],Milestone_Marker,IF(AND(CR$29&gt;ProposalToGnatt[[#This Row],[Start Date]],CR$29&lt;ProposalToGnatt[[#This Row],[Start Date]]+ProposalToGnatt[[#This Row],[Days]]),$G$5,"")),"")</f>
        <v/>
      </c>
      <c r="CS59" s="37" t="str">
        <f ca="1">IFERROR(+IF(CS$29=ProposalToGnatt[[#This Row],[Start Date]],Milestone_Marker,IF(AND(CS$29&gt;ProposalToGnatt[[#This Row],[Start Date]],CS$29&lt;ProposalToGnatt[[#This Row],[Start Date]]+ProposalToGnatt[[#This Row],[Days]]),$G$5,"")),"")</f>
        <v/>
      </c>
      <c r="CT59" s="37" t="str">
        <f ca="1">IFERROR(+IF(CT$29=ProposalToGnatt[[#This Row],[Start Date]],Milestone_Marker,IF(AND(CT$29&gt;ProposalToGnatt[[#This Row],[Start Date]],CT$29&lt;ProposalToGnatt[[#This Row],[Start Date]]+ProposalToGnatt[[#This Row],[Days]]),$G$5,"")),"")</f>
        <v/>
      </c>
      <c r="CU59" s="37" t="str">
        <f ca="1">IFERROR(+IF(CU$29=ProposalToGnatt[[#This Row],[Start Date]],Milestone_Marker,IF(AND(CU$29&gt;ProposalToGnatt[[#This Row],[Start Date]],CU$29&lt;ProposalToGnatt[[#This Row],[Start Date]]+ProposalToGnatt[[#This Row],[Days]]),$G$5,"")),"")</f>
        <v/>
      </c>
      <c r="CV59" s="37"/>
      <c r="CW59" s="37"/>
      <c r="CX59" s="37"/>
      <c r="CY59" s="37"/>
      <c r="CZ59" s="37"/>
      <c r="DA59" s="37"/>
      <c r="DB59" s="37"/>
      <c r="DC59" s="37"/>
      <c r="DD59" s="37"/>
      <c r="DE59" s="37"/>
      <c r="DF59" s="37"/>
      <c r="DG59" s="37"/>
      <c r="DH59" s="37"/>
      <c r="DI59" s="37"/>
      <c r="DJ59" s="37"/>
      <c r="DK59" s="37"/>
      <c r="DL59" s="37"/>
      <c r="DM59" s="37"/>
      <c r="DN59" s="37"/>
      <c r="DO59" s="37"/>
      <c r="DP59" s="37"/>
      <c r="DQ59" s="37"/>
      <c r="DR59" s="37"/>
      <c r="DS59" s="37"/>
      <c r="DT59" s="37"/>
      <c r="DU59" s="37"/>
    </row>
    <row r="60" spans="1:125" s="42" customFormat="1" ht="15" x14ac:dyDescent="0.25">
      <c r="A60" t="s">
        <v>428</v>
      </c>
      <c r="B60">
        <v>21</v>
      </c>
      <c r="C60" t="s">
        <v>317</v>
      </c>
      <c r="D60" t="s">
        <v>337</v>
      </c>
      <c r="E60" t="s">
        <v>338</v>
      </c>
      <c r="F60">
        <v>1</v>
      </c>
      <c r="G60" s="14">
        <v>4345</v>
      </c>
      <c r="H60" s="14">
        <v>4345</v>
      </c>
      <c r="I60" t="s">
        <v>45</v>
      </c>
      <c r="J60">
        <v>2</v>
      </c>
      <c r="K60" s="303">
        <v>45219</v>
      </c>
      <c r="L60"/>
      <c r="M60" s="14"/>
      <c r="N60" s="352">
        <v>4345</v>
      </c>
      <c r="O60" s="340"/>
      <c r="P60" s="37" t="str">
        <f ca="1">IFERROR(+IF(P$29=ProposalToGnatt[[#This Row],[Start Date]],Milestone_Marker,IF(AND(P$29&gt;ProposalToGnatt[[#This Row],[Start Date]],P$29&lt;ProposalToGnatt[[#This Row],[Start Date]]+ProposalToGnatt[[#This Row],[Days]]),$G$5,"")),"")</f>
        <v/>
      </c>
      <c r="Q60" s="37" t="str">
        <f ca="1">IFERROR(+IF(Q$29=ProposalToGnatt[[#This Row],[Start Date]],Milestone_Marker,IF(AND(Q$29&gt;ProposalToGnatt[[#This Row],[Start Date]],Q$29&lt;ProposalToGnatt[[#This Row],[Start Date]]+ProposalToGnatt[[#This Row],[Days]]),$G$5,"")),"")</f>
        <v/>
      </c>
      <c r="R60" s="37" t="str">
        <f ca="1">IFERROR(+IF(R$29=ProposalToGnatt[[#This Row],[Start Date]],Milestone_Marker,IF(AND(R$29&gt;ProposalToGnatt[[#This Row],[Start Date]],R$29&lt;ProposalToGnatt[[#This Row],[Start Date]]+ProposalToGnatt[[#This Row],[Days]]),$G$5,"")),"")</f>
        <v/>
      </c>
      <c r="S60" s="37" t="str">
        <f ca="1">IFERROR(+IF(S$29=ProposalToGnatt[[#This Row],[Start Date]],Milestone_Marker,IF(AND(S$29&gt;ProposalToGnatt[[#This Row],[Start Date]],S$29&lt;ProposalToGnatt[[#This Row],[Start Date]]+ProposalToGnatt[[#This Row],[Days]]),$G$5,"")),"")</f>
        <v/>
      </c>
      <c r="T60" s="37" t="str">
        <f ca="1">IFERROR(+IF(T$29=ProposalToGnatt[[#This Row],[Start Date]],Milestone_Marker,IF(AND(T$29&gt;ProposalToGnatt[[#This Row],[Start Date]],T$29&lt;ProposalToGnatt[[#This Row],[Start Date]]+ProposalToGnatt[[#This Row],[Days]]),$G$5,"")),"")</f>
        <v/>
      </c>
      <c r="U60" s="37" t="str">
        <f ca="1">IFERROR(+IF(U$29=ProposalToGnatt[[#This Row],[Start Date]],Milestone_Marker,IF(AND(U$29&gt;ProposalToGnatt[[#This Row],[Start Date]],U$29&lt;ProposalToGnatt[[#This Row],[Start Date]]+ProposalToGnatt[[#This Row],[Days]]),$G$5,"")),"")</f>
        <v/>
      </c>
      <c r="V60" s="37" t="str">
        <f ca="1">IFERROR(+IF(V$29=ProposalToGnatt[[#This Row],[Start Date]],Milestone_Marker,IF(AND(V$29&gt;ProposalToGnatt[[#This Row],[Start Date]],V$29&lt;ProposalToGnatt[[#This Row],[Start Date]]+ProposalToGnatt[[#This Row],[Days]]),$G$5,"")),"")</f>
        <v/>
      </c>
      <c r="W60" s="37">
        <f ca="1">IFERROR(+IF(W$29=ProposalToGnatt[[#This Row],[Start Date]],Milestone_Marker,IF(AND(W$29&gt;ProposalToGnatt[[#This Row],[Start Date]],W$29&lt;ProposalToGnatt[[#This Row],[Start Date]]+ProposalToGnatt[[#This Row],[Days]]),$G$5,"")),"")</f>
        <v>1</v>
      </c>
      <c r="X60" s="37" t="str">
        <f ca="1">IFERROR(+IF(X$29=ProposalToGnatt[[#This Row],[Start Date]],Milestone_Marker,IF(AND(X$29&gt;ProposalToGnatt[[#This Row],[Start Date]],X$29&lt;ProposalToGnatt[[#This Row],[Start Date]]+ProposalToGnatt[[#This Row],[Days]]),$G$5,"")),"")</f>
        <v/>
      </c>
      <c r="Y60" s="37" t="str">
        <f ca="1">IFERROR(+IF(Y$29=ProposalToGnatt[[#This Row],[Start Date]],Milestone_Marker,IF(AND(Y$29&gt;ProposalToGnatt[[#This Row],[Start Date]],Y$29&lt;ProposalToGnatt[[#This Row],[Start Date]]+ProposalToGnatt[[#This Row],[Days]]),$G$5,"")),"")</f>
        <v/>
      </c>
      <c r="Z60" s="37" t="str">
        <f ca="1">IFERROR(+IF(Z$29=ProposalToGnatt[[#This Row],[Start Date]],Milestone_Marker,IF(AND(Z$29&gt;ProposalToGnatt[[#This Row],[Start Date]],Z$29&lt;ProposalToGnatt[[#This Row],[Start Date]]+ProposalToGnatt[[#This Row],[Days]]),$G$5,"")),"")</f>
        <v/>
      </c>
      <c r="AA60" s="37" t="str">
        <f ca="1">IFERROR(+IF(AA$29=ProposalToGnatt[[#This Row],[Start Date]],Milestone_Marker,IF(AND(AA$29&gt;ProposalToGnatt[[#This Row],[Start Date]],AA$29&lt;ProposalToGnatt[[#This Row],[Start Date]]+ProposalToGnatt[[#This Row],[Days]]),$G$5,"")),"")</f>
        <v/>
      </c>
      <c r="AB60" s="37" t="str">
        <f ca="1">IFERROR(+IF(AB$29=ProposalToGnatt[[#This Row],[Start Date]],Milestone_Marker,IF(AND(AB$29&gt;ProposalToGnatt[[#This Row],[Start Date]],AB$29&lt;ProposalToGnatt[[#This Row],[Start Date]]+ProposalToGnatt[[#This Row],[Days]]),$G$5,"")),"")</f>
        <v/>
      </c>
      <c r="AC60" s="37" t="str">
        <f ca="1">IFERROR(+IF(AC$29=ProposalToGnatt[[#This Row],[Start Date]],Milestone_Marker,IF(AND(AC$29&gt;ProposalToGnatt[[#This Row],[Start Date]],AC$29&lt;ProposalToGnatt[[#This Row],[Start Date]]+ProposalToGnatt[[#This Row],[Days]]),$G$5,"")),"")</f>
        <v/>
      </c>
      <c r="AD60" s="37" t="str">
        <f ca="1">IFERROR(+IF(AD$29=ProposalToGnatt[[#This Row],[Start Date]],Milestone_Marker,IF(AND(AD$29&gt;ProposalToGnatt[[#This Row],[Start Date]],AD$29&lt;ProposalToGnatt[[#This Row],[Start Date]]+ProposalToGnatt[[#This Row],[Days]]),$G$5,"")),"")</f>
        <v/>
      </c>
      <c r="AE60" s="37" t="str">
        <f ca="1">IFERROR(+IF(AE$29=ProposalToGnatt[[#This Row],[Start Date]],Milestone_Marker,IF(AND(AE$29&gt;ProposalToGnatt[[#This Row],[Start Date]],AE$29&lt;ProposalToGnatt[[#This Row],[Start Date]]+ProposalToGnatt[[#This Row],[Days]]),$G$5,"")),"")</f>
        <v/>
      </c>
      <c r="AF60" s="37" t="str">
        <f ca="1">IFERROR(+IF(AF$29=ProposalToGnatt[[#This Row],[Start Date]],Milestone_Marker,IF(AND(AF$29&gt;ProposalToGnatt[[#This Row],[Start Date]],AF$29&lt;ProposalToGnatt[[#This Row],[Start Date]]+ProposalToGnatt[[#This Row],[Days]]),$G$5,"")),"")</f>
        <v/>
      </c>
      <c r="AG60" s="37" t="str">
        <f ca="1">IFERROR(+IF(AG$29=ProposalToGnatt[[#This Row],[Start Date]],Milestone_Marker,IF(AND(AG$29&gt;ProposalToGnatt[[#This Row],[Start Date]],AG$29&lt;ProposalToGnatt[[#This Row],[Start Date]]+ProposalToGnatt[[#This Row],[Days]]),$G$5,"")),"")</f>
        <v/>
      </c>
      <c r="AH60" s="37" t="str">
        <f ca="1">IFERROR(+IF(AH$29=ProposalToGnatt[[#This Row],[Start Date]],Milestone_Marker,IF(AND(AH$29&gt;ProposalToGnatt[[#This Row],[Start Date]],AH$29&lt;ProposalToGnatt[[#This Row],[Start Date]]+ProposalToGnatt[[#This Row],[Days]]),$G$5,"")),"")</f>
        <v/>
      </c>
      <c r="AI60" s="37" t="str">
        <f ca="1">IFERROR(+IF(AI$29=ProposalToGnatt[[#This Row],[Start Date]],Milestone_Marker,IF(AND(AI$29&gt;ProposalToGnatt[[#This Row],[Start Date]],AI$29&lt;ProposalToGnatt[[#This Row],[Start Date]]+ProposalToGnatt[[#This Row],[Days]]),$G$5,"")),"")</f>
        <v/>
      </c>
      <c r="AJ60" s="37" t="str">
        <f ca="1">IFERROR(+IF(AJ$29=ProposalToGnatt[[#This Row],[Start Date]],Milestone_Marker,IF(AND(AJ$29&gt;ProposalToGnatt[[#This Row],[Start Date]],AJ$29&lt;ProposalToGnatt[[#This Row],[Start Date]]+ProposalToGnatt[[#This Row],[Days]]),$G$5,"")),"")</f>
        <v/>
      </c>
      <c r="AK60" s="37" t="str">
        <f ca="1">IFERROR(+IF(AK$29=ProposalToGnatt[[#This Row],[Start Date]],Milestone_Marker,IF(AND(AK$29&gt;ProposalToGnatt[[#This Row],[Start Date]],AK$29&lt;ProposalToGnatt[[#This Row],[Start Date]]+ProposalToGnatt[[#This Row],[Days]]),$G$5,"")),"")</f>
        <v/>
      </c>
      <c r="AL60" s="37" t="str">
        <f ca="1">IFERROR(+IF(AL$29=ProposalToGnatt[[#This Row],[Start Date]],Milestone_Marker,IF(AND(AL$29&gt;ProposalToGnatt[[#This Row],[Start Date]],AL$29&lt;ProposalToGnatt[[#This Row],[Start Date]]+ProposalToGnatt[[#This Row],[Days]]),$G$5,"")),"")</f>
        <v/>
      </c>
      <c r="AM60" s="37" t="str">
        <f ca="1">IFERROR(+IF(AM$29=ProposalToGnatt[[#This Row],[Start Date]],Milestone_Marker,IF(AND(AM$29&gt;ProposalToGnatt[[#This Row],[Start Date]],AM$29&lt;ProposalToGnatt[[#This Row],[Start Date]]+ProposalToGnatt[[#This Row],[Days]]),$G$5,"")),"")</f>
        <v/>
      </c>
      <c r="AN60" s="37" t="str">
        <f ca="1">IFERROR(+IF(AN$29=ProposalToGnatt[[#This Row],[Start Date]],Milestone_Marker,IF(AND(AN$29&gt;ProposalToGnatt[[#This Row],[Start Date]],AN$29&lt;ProposalToGnatt[[#This Row],[Start Date]]+ProposalToGnatt[[#This Row],[Days]]),$G$5,"")),"")</f>
        <v/>
      </c>
      <c r="AO60" s="37" t="str">
        <f ca="1">IFERROR(+IF(AO$29=ProposalToGnatt[[#This Row],[Start Date]],Milestone_Marker,IF(AND(AO$29&gt;ProposalToGnatt[[#This Row],[Start Date]],AO$29&lt;ProposalToGnatt[[#This Row],[Start Date]]+ProposalToGnatt[[#This Row],[Days]]),$G$5,"")),"")</f>
        <v/>
      </c>
      <c r="AP60" s="37" t="str">
        <f ca="1">IFERROR(+IF(AP$29=ProposalToGnatt[[#This Row],[Start Date]],Milestone_Marker,IF(AND(AP$29&gt;ProposalToGnatt[[#This Row],[Start Date]],AP$29&lt;ProposalToGnatt[[#This Row],[Start Date]]+ProposalToGnatt[[#This Row],[Days]]),$G$5,"")),"")</f>
        <v/>
      </c>
      <c r="AQ60" s="37" t="str">
        <f ca="1">IFERROR(+IF(AQ$29=ProposalToGnatt[[#This Row],[Start Date]],Milestone_Marker,IF(AND(AQ$29&gt;ProposalToGnatt[[#This Row],[Start Date]],AQ$29&lt;ProposalToGnatt[[#This Row],[Start Date]]+ProposalToGnatt[[#This Row],[Days]]),$G$5,"")),"")</f>
        <v/>
      </c>
      <c r="AR60" s="37" t="str">
        <f ca="1">IFERROR(+IF(AR$29=ProposalToGnatt[[#This Row],[Start Date]],Milestone_Marker,IF(AND(AR$29&gt;ProposalToGnatt[[#This Row],[Start Date]],AR$29&lt;ProposalToGnatt[[#This Row],[Start Date]]+ProposalToGnatt[[#This Row],[Days]]),$G$5,"")),"")</f>
        <v/>
      </c>
      <c r="AS60" s="37" t="str">
        <f ca="1">IFERROR(+IF(AS$29=ProposalToGnatt[[#This Row],[Start Date]],Milestone_Marker,IF(AND(AS$29&gt;ProposalToGnatt[[#This Row],[Start Date]],AS$29&lt;ProposalToGnatt[[#This Row],[Start Date]]+ProposalToGnatt[[#This Row],[Days]]),$G$5,"")),"")</f>
        <v/>
      </c>
      <c r="AT60" s="37" t="str">
        <f ca="1">IFERROR(+IF(AT$29=ProposalToGnatt[[#This Row],[Start Date]],Milestone_Marker,IF(AND(AT$29&gt;ProposalToGnatt[[#This Row],[Start Date]],AT$29&lt;ProposalToGnatt[[#This Row],[Start Date]]+ProposalToGnatt[[#This Row],[Days]]),$G$5,"")),"")</f>
        <v/>
      </c>
      <c r="AU60" s="37" t="str">
        <f ca="1">IFERROR(+IF(AU$29=ProposalToGnatt[[#This Row],[Start Date]],Milestone_Marker,IF(AND(AU$29&gt;ProposalToGnatt[[#This Row],[Start Date]],AU$29&lt;ProposalToGnatt[[#This Row],[Start Date]]+ProposalToGnatt[[#This Row],[Days]]),$G$5,"")),"")</f>
        <v/>
      </c>
      <c r="AV60" s="37" t="str">
        <f ca="1">IFERROR(+IF(AV$29=ProposalToGnatt[[#This Row],[Start Date]],Milestone_Marker,IF(AND(AV$29&gt;ProposalToGnatt[[#This Row],[Start Date]],AV$29&lt;ProposalToGnatt[[#This Row],[Start Date]]+ProposalToGnatt[[#This Row],[Days]]),$G$5,"")),"")</f>
        <v/>
      </c>
      <c r="AW60" s="37" t="str">
        <f ca="1">IFERROR(+IF(AW$29=ProposalToGnatt[[#This Row],[Start Date]],Milestone_Marker,IF(AND(AW$29&gt;ProposalToGnatt[[#This Row],[Start Date]],AW$29&lt;ProposalToGnatt[[#This Row],[Start Date]]+ProposalToGnatt[[#This Row],[Days]]),$G$5,"")),"")</f>
        <v/>
      </c>
      <c r="AX60" s="37" t="str">
        <f ca="1">IFERROR(+IF(AX$29=ProposalToGnatt[[#This Row],[Start Date]],Milestone_Marker,IF(AND(AX$29&gt;ProposalToGnatt[[#This Row],[Start Date]],AX$29&lt;ProposalToGnatt[[#This Row],[Start Date]]+ProposalToGnatt[[#This Row],[Days]]),$G$5,"")),"")</f>
        <v/>
      </c>
      <c r="AY60" s="37" t="str">
        <f ca="1">IFERROR(+IF(AY$29=ProposalToGnatt[[#This Row],[Start Date]],Milestone_Marker,IF(AND(AY$29&gt;ProposalToGnatt[[#This Row],[Start Date]],AY$29&lt;ProposalToGnatt[[#This Row],[Start Date]]+ProposalToGnatt[[#This Row],[Days]]),$G$5,"")),"")</f>
        <v/>
      </c>
      <c r="AZ60" s="37" t="str">
        <f ca="1">IFERROR(+IF(AZ$29=ProposalToGnatt[[#This Row],[Start Date]],Milestone_Marker,IF(AND(AZ$29&gt;ProposalToGnatt[[#This Row],[Start Date]],AZ$29&lt;ProposalToGnatt[[#This Row],[Start Date]]+ProposalToGnatt[[#This Row],[Days]]),$G$5,"")),"")</f>
        <v/>
      </c>
      <c r="BA60" s="37" t="str">
        <f ca="1">IFERROR(+IF(BA$29=ProposalToGnatt[[#This Row],[Start Date]],Milestone_Marker,IF(AND(BA$29&gt;ProposalToGnatt[[#This Row],[Start Date]],BA$29&lt;ProposalToGnatt[[#This Row],[Start Date]]+ProposalToGnatt[[#This Row],[Days]]),$G$5,"")),"")</f>
        <v/>
      </c>
      <c r="BB60" s="37" t="str">
        <f ca="1">IFERROR(+IF(BB$29=ProposalToGnatt[[#This Row],[Start Date]],Milestone_Marker,IF(AND(BB$29&gt;ProposalToGnatt[[#This Row],[Start Date]],BB$29&lt;ProposalToGnatt[[#This Row],[Start Date]]+ProposalToGnatt[[#This Row],[Days]]),$G$5,"")),"")</f>
        <v/>
      </c>
      <c r="BC60" s="37" t="str">
        <f ca="1">IFERROR(+IF(BC$29=ProposalToGnatt[[#This Row],[Start Date]],Milestone_Marker,IF(AND(BC$29&gt;ProposalToGnatt[[#This Row],[Start Date]],BC$29&lt;ProposalToGnatt[[#This Row],[Start Date]]+ProposalToGnatt[[#This Row],[Days]]),$G$5,"")),"")</f>
        <v/>
      </c>
      <c r="BD60" s="37" t="str">
        <f ca="1">IFERROR(+IF(BD$29=ProposalToGnatt[[#This Row],[Start Date]],Milestone_Marker,IF(AND(BD$29&gt;ProposalToGnatt[[#This Row],[Start Date]],BD$29&lt;ProposalToGnatt[[#This Row],[Start Date]]+ProposalToGnatt[[#This Row],[Days]]),$G$5,"")),"")</f>
        <v/>
      </c>
      <c r="BE60" s="37" t="str">
        <f ca="1">IFERROR(+IF(BE$29=ProposalToGnatt[[#This Row],[Start Date]],Milestone_Marker,IF(AND(BE$29&gt;ProposalToGnatt[[#This Row],[Start Date]],BE$29&lt;ProposalToGnatt[[#This Row],[Start Date]]+ProposalToGnatt[[#This Row],[Days]]),$G$5,"")),"")</f>
        <v/>
      </c>
      <c r="BF60" s="37" t="str">
        <f ca="1">IFERROR(+IF(BF$29=ProposalToGnatt[[#This Row],[Start Date]],Milestone_Marker,IF(AND(BF$29&gt;ProposalToGnatt[[#This Row],[Start Date]],BF$29&lt;ProposalToGnatt[[#This Row],[Start Date]]+ProposalToGnatt[[#This Row],[Days]]),$G$5,"")),"")</f>
        <v/>
      </c>
      <c r="BG60" s="37" t="str">
        <f ca="1">IFERROR(+IF(BG$29=ProposalToGnatt[[#This Row],[Start Date]],Milestone_Marker,IF(AND(BG$29&gt;ProposalToGnatt[[#This Row],[Start Date]],BG$29&lt;ProposalToGnatt[[#This Row],[Start Date]]+ProposalToGnatt[[#This Row],[Days]]),$G$5,"")),"")</f>
        <v/>
      </c>
      <c r="BH60" s="37" t="str">
        <f ca="1">IFERROR(+IF(BH$29=ProposalToGnatt[[#This Row],[Start Date]],Milestone_Marker,IF(AND(BH$29&gt;ProposalToGnatt[[#This Row],[Start Date]],BH$29&lt;ProposalToGnatt[[#This Row],[Start Date]]+ProposalToGnatt[[#This Row],[Days]]),$G$5,"")),"")</f>
        <v/>
      </c>
      <c r="BI60" s="37" t="str">
        <f ca="1">IFERROR(+IF(BI$29=ProposalToGnatt[[#This Row],[Start Date]],Milestone_Marker,IF(AND(BI$29&gt;ProposalToGnatt[[#This Row],[Start Date]],BI$29&lt;ProposalToGnatt[[#This Row],[Start Date]]+ProposalToGnatt[[#This Row],[Days]]),$G$5,"")),"")</f>
        <v/>
      </c>
      <c r="BJ60" s="37" t="str">
        <f ca="1">IFERROR(+IF(BJ$29=ProposalToGnatt[[#This Row],[Start Date]],Milestone_Marker,IF(AND(BJ$29&gt;ProposalToGnatt[[#This Row],[Start Date]],BJ$29&lt;ProposalToGnatt[[#This Row],[Start Date]]+ProposalToGnatt[[#This Row],[Days]]),$G$5,"")),"")</f>
        <v/>
      </c>
      <c r="BK60" s="37" t="str">
        <f ca="1">IFERROR(+IF(BK$29=ProposalToGnatt[[#This Row],[Start Date]],Milestone_Marker,IF(AND(BK$29&gt;ProposalToGnatt[[#This Row],[Start Date]],BK$29&lt;ProposalToGnatt[[#This Row],[Start Date]]+ProposalToGnatt[[#This Row],[Days]]),$G$5,"")),"")</f>
        <v/>
      </c>
      <c r="BL60" s="37" t="str">
        <f ca="1">IFERROR(+IF(BL$29=ProposalToGnatt[[#This Row],[Start Date]],Milestone_Marker,IF(AND(BL$29&gt;ProposalToGnatt[[#This Row],[Start Date]],BL$29&lt;ProposalToGnatt[[#This Row],[Start Date]]+ProposalToGnatt[[#This Row],[Days]]),$G$5,"")),"")</f>
        <v/>
      </c>
      <c r="BM60" s="37" t="str">
        <f ca="1">IFERROR(+IF(BM$29=ProposalToGnatt[[#This Row],[Start Date]],Milestone_Marker,IF(AND(BM$29&gt;ProposalToGnatt[[#This Row],[Start Date]],BM$29&lt;ProposalToGnatt[[#This Row],[Start Date]]+ProposalToGnatt[[#This Row],[Days]]),$G$5,"")),"")</f>
        <v/>
      </c>
      <c r="BN60" s="37" t="str">
        <f ca="1">IFERROR(+IF(BN$29=ProposalToGnatt[[#This Row],[Start Date]],Milestone_Marker,IF(AND(BN$29&gt;ProposalToGnatt[[#This Row],[Start Date]],BN$29&lt;ProposalToGnatt[[#This Row],[Start Date]]+ProposalToGnatt[[#This Row],[Days]]),$G$5,"")),"")</f>
        <v/>
      </c>
      <c r="BO60" s="37" t="str">
        <f ca="1">IFERROR(+IF(BO$29=ProposalToGnatt[[#This Row],[Start Date]],Milestone_Marker,IF(AND(BO$29&gt;ProposalToGnatt[[#This Row],[Start Date]],BO$29&lt;ProposalToGnatt[[#This Row],[Start Date]]+ProposalToGnatt[[#This Row],[Days]]),$G$5,"")),"")</f>
        <v/>
      </c>
      <c r="BP60" s="37" t="str">
        <f ca="1">IFERROR(+IF(BP$29=ProposalToGnatt[[#This Row],[Start Date]],Milestone_Marker,IF(AND(BP$29&gt;ProposalToGnatt[[#This Row],[Start Date]],BP$29&lt;ProposalToGnatt[[#This Row],[Start Date]]+ProposalToGnatt[[#This Row],[Days]]),$G$5,"")),"")</f>
        <v/>
      </c>
      <c r="BQ60" s="37" t="str">
        <f ca="1">IFERROR(+IF(BQ$29=ProposalToGnatt[[#This Row],[Start Date]],Milestone_Marker,IF(AND(BQ$29&gt;ProposalToGnatt[[#This Row],[Start Date]],BQ$29&lt;ProposalToGnatt[[#This Row],[Start Date]]+ProposalToGnatt[[#This Row],[Days]]),$G$5,"")),"")</f>
        <v/>
      </c>
      <c r="BR60" s="37" t="str">
        <f ca="1">IFERROR(+IF(BR$29=ProposalToGnatt[[#This Row],[Start Date]],Milestone_Marker,IF(AND(BR$29&gt;ProposalToGnatt[[#This Row],[Start Date]],BR$29&lt;ProposalToGnatt[[#This Row],[Start Date]]+ProposalToGnatt[[#This Row],[Days]]),$G$5,"")),"")</f>
        <v/>
      </c>
      <c r="BS60" s="37" t="str">
        <f ca="1">IFERROR(+IF(BS$29=ProposalToGnatt[[#This Row],[Start Date]],Milestone_Marker,IF(AND(BS$29&gt;ProposalToGnatt[[#This Row],[Start Date]],BS$29&lt;ProposalToGnatt[[#This Row],[Start Date]]+ProposalToGnatt[[#This Row],[Days]]),$G$5,"")),"")</f>
        <v/>
      </c>
      <c r="BT60" s="37" t="str">
        <f ca="1">IFERROR(+IF(BT$29=ProposalToGnatt[[#This Row],[Start Date]],Milestone_Marker,IF(AND(BT$29&gt;ProposalToGnatt[[#This Row],[Start Date]],BT$29&lt;ProposalToGnatt[[#This Row],[Start Date]]+ProposalToGnatt[[#This Row],[Days]]),$G$5,"")),"")</f>
        <v/>
      </c>
      <c r="BU60" s="37" t="str">
        <f ca="1">IFERROR(+IF(BU$29=ProposalToGnatt[[#This Row],[Start Date]],Milestone_Marker,IF(AND(BU$29&gt;ProposalToGnatt[[#This Row],[Start Date]],BU$29&lt;ProposalToGnatt[[#This Row],[Start Date]]+ProposalToGnatt[[#This Row],[Days]]),$G$5,"")),"")</f>
        <v/>
      </c>
      <c r="BV60" s="37" t="str">
        <f ca="1">IFERROR(+IF(BV$29=ProposalToGnatt[[#This Row],[Start Date]],Milestone_Marker,IF(AND(BV$29&gt;ProposalToGnatt[[#This Row],[Start Date]],BV$29&lt;ProposalToGnatt[[#This Row],[Start Date]]+ProposalToGnatt[[#This Row],[Days]]),$G$5,"")),"")</f>
        <v/>
      </c>
      <c r="BW60" s="37" t="str">
        <f ca="1">IFERROR(+IF(BW$29=ProposalToGnatt[[#This Row],[Start Date]],Milestone_Marker,IF(AND(BW$29&gt;ProposalToGnatt[[#This Row],[Start Date]],BW$29&lt;ProposalToGnatt[[#This Row],[Start Date]]+ProposalToGnatt[[#This Row],[Days]]),$G$5,"")),"")</f>
        <v/>
      </c>
      <c r="BX60" s="37" t="str">
        <f ca="1">IFERROR(+IF(BX$29=ProposalToGnatt[[#This Row],[Start Date]],Milestone_Marker,IF(AND(BX$29&gt;ProposalToGnatt[[#This Row],[Start Date]],BX$29&lt;ProposalToGnatt[[#This Row],[Start Date]]+ProposalToGnatt[[#This Row],[Days]]),$G$5,"")),"")</f>
        <v/>
      </c>
      <c r="BY60" s="37" t="str">
        <f ca="1">IFERROR(+IF(BY$29=ProposalToGnatt[[#This Row],[Start Date]],Milestone_Marker,IF(AND(BY$29&gt;ProposalToGnatt[[#This Row],[Start Date]],BY$29&lt;ProposalToGnatt[[#This Row],[Start Date]]+ProposalToGnatt[[#This Row],[Days]]),$G$5,"")),"")</f>
        <v/>
      </c>
      <c r="BZ60" s="37" t="str">
        <f ca="1">IFERROR(+IF(BZ$29=ProposalToGnatt[[#This Row],[Start Date]],Milestone_Marker,IF(AND(BZ$29&gt;ProposalToGnatt[[#This Row],[Start Date]],BZ$29&lt;ProposalToGnatt[[#This Row],[Start Date]]+ProposalToGnatt[[#This Row],[Days]]),$G$5,"")),"")</f>
        <v/>
      </c>
      <c r="CA60" s="37" t="str">
        <f ca="1">IFERROR(+IF(CA$29=ProposalToGnatt[[#This Row],[Start Date]],Milestone_Marker,IF(AND(CA$29&gt;ProposalToGnatt[[#This Row],[Start Date]],CA$29&lt;ProposalToGnatt[[#This Row],[Start Date]]+ProposalToGnatt[[#This Row],[Days]]),$G$5,"")),"")</f>
        <v/>
      </c>
      <c r="CB60" s="37" t="str">
        <f ca="1">IFERROR(+IF(CB$29=ProposalToGnatt[[#This Row],[Start Date]],Milestone_Marker,IF(AND(CB$29&gt;ProposalToGnatt[[#This Row],[Start Date]],CB$29&lt;ProposalToGnatt[[#This Row],[Start Date]]+ProposalToGnatt[[#This Row],[Days]]),$G$5,"")),"")</f>
        <v/>
      </c>
      <c r="CC60" s="37" t="str">
        <f ca="1">IFERROR(+IF(CC$29=ProposalToGnatt[[#This Row],[Start Date]],Milestone_Marker,IF(AND(CC$29&gt;ProposalToGnatt[[#This Row],[Start Date]],CC$29&lt;ProposalToGnatt[[#This Row],[Start Date]]+ProposalToGnatt[[#This Row],[Days]]),$G$5,"")),"")</f>
        <v/>
      </c>
      <c r="CD60" s="37" t="str">
        <f ca="1">IFERROR(+IF(CD$29=ProposalToGnatt[[#This Row],[Start Date]],Milestone_Marker,IF(AND(CD$29&gt;ProposalToGnatt[[#This Row],[Start Date]],CD$29&lt;ProposalToGnatt[[#This Row],[Start Date]]+ProposalToGnatt[[#This Row],[Days]]),$G$5,"")),"")</f>
        <v/>
      </c>
      <c r="CE60" s="37" t="str">
        <f ca="1">IFERROR(+IF(CE$29=ProposalToGnatt[[#This Row],[Start Date]],Milestone_Marker,IF(AND(CE$29&gt;ProposalToGnatt[[#This Row],[Start Date]],CE$29&lt;ProposalToGnatt[[#This Row],[Start Date]]+ProposalToGnatt[[#This Row],[Days]]),$G$5,"")),"")</f>
        <v/>
      </c>
      <c r="CF60" s="37" t="str">
        <f ca="1">IFERROR(+IF(CF$29=ProposalToGnatt[[#This Row],[Start Date]],Milestone_Marker,IF(AND(CF$29&gt;ProposalToGnatt[[#This Row],[Start Date]],CF$29&lt;ProposalToGnatt[[#This Row],[Start Date]]+ProposalToGnatt[[#This Row],[Days]]),$G$5,"")),"")</f>
        <v/>
      </c>
      <c r="CG60" s="37" t="str">
        <f ca="1">IFERROR(+IF(CG$29=ProposalToGnatt[[#This Row],[Start Date]],Milestone_Marker,IF(AND(CG$29&gt;ProposalToGnatt[[#This Row],[Start Date]],CG$29&lt;ProposalToGnatt[[#This Row],[Start Date]]+ProposalToGnatt[[#This Row],[Days]]),$G$5,"")),"")</f>
        <v/>
      </c>
      <c r="CH60" s="37" t="str">
        <f ca="1">IFERROR(+IF(CH$29=ProposalToGnatt[[#This Row],[Start Date]],Milestone_Marker,IF(AND(CH$29&gt;ProposalToGnatt[[#This Row],[Start Date]],CH$29&lt;ProposalToGnatt[[#This Row],[Start Date]]+ProposalToGnatt[[#This Row],[Days]]),$G$5,"")),"")</f>
        <v/>
      </c>
      <c r="CI60" s="37" t="str">
        <f ca="1">IFERROR(+IF(CI$29=ProposalToGnatt[[#This Row],[Start Date]],Milestone_Marker,IF(AND(CI$29&gt;ProposalToGnatt[[#This Row],[Start Date]],CI$29&lt;ProposalToGnatt[[#This Row],[Start Date]]+ProposalToGnatt[[#This Row],[Days]]),$G$5,"")),"")</f>
        <v/>
      </c>
      <c r="CJ60" s="37" t="str">
        <f ca="1">IFERROR(+IF(CJ$29=ProposalToGnatt[[#This Row],[Start Date]],Milestone_Marker,IF(AND(CJ$29&gt;ProposalToGnatt[[#This Row],[Start Date]],CJ$29&lt;ProposalToGnatt[[#This Row],[Start Date]]+ProposalToGnatt[[#This Row],[Days]]),$G$5,"")),"")</f>
        <v/>
      </c>
      <c r="CK60" s="37" t="str">
        <f ca="1">IFERROR(+IF(CK$29=ProposalToGnatt[[#This Row],[Start Date]],Milestone_Marker,IF(AND(CK$29&gt;ProposalToGnatt[[#This Row],[Start Date]],CK$29&lt;ProposalToGnatt[[#This Row],[Start Date]]+ProposalToGnatt[[#This Row],[Days]]),$G$5,"")),"")</f>
        <v/>
      </c>
      <c r="CL60" s="37" t="str">
        <f ca="1">IFERROR(+IF(CL$29=ProposalToGnatt[[#This Row],[Start Date]],Milestone_Marker,IF(AND(CL$29&gt;ProposalToGnatt[[#This Row],[Start Date]],CL$29&lt;ProposalToGnatt[[#This Row],[Start Date]]+ProposalToGnatt[[#This Row],[Days]]),$G$5,"")),"")</f>
        <v/>
      </c>
      <c r="CM60" s="37" t="str">
        <f ca="1">IFERROR(+IF(CM$29=ProposalToGnatt[[#This Row],[Start Date]],Milestone_Marker,IF(AND(CM$29&gt;ProposalToGnatt[[#This Row],[Start Date]],CM$29&lt;ProposalToGnatt[[#This Row],[Start Date]]+ProposalToGnatt[[#This Row],[Days]]),$G$5,"")),"")</f>
        <v/>
      </c>
      <c r="CN60" s="37" t="str">
        <f ca="1">IFERROR(+IF(CN$29=ProposalToGnatt[[#This Row],[Start Date]],Milestone_Marker,IF(AND(CN$29&gt;ProposalToGnatt[[#This Row],[Start Date]],CN$29&lt;ProposalToGnatt[[#This Row],[Start Date]]+ProposalToGnatt[[#This Row],[Days]]),$G$5,"")),"")</f>
        <v/>
      </c>
      <c r="CO60" s="37" t="str">
        <f ca="1">IFERROR(+IF(CO$29=ProposalToGnatt[[#This Row],[Start Date]],Milestone_Marker,IF(AND(CO$29&gt;ProposalToGnatt[[#This Row],[Start Date]],CO$29&lt;ProposalToGnatt[[#This Row],[Start Date]]+ProposalToGnatt[[#This Row],[Days]]),$G$5,"")),"")</f>
        <v/>
      </c>
      <c r="CP60" s="37" t="str">
        <f ca="1">IFERROR(+IF(CP$29=ProposalToGnatt[[#This Row],[Start Date]],Milestone_Marker,IF(AND(CP$29&gt;ProposalToGnatt[[#This Row],[Start Date]],CP$29&lt;ProposalToGnatt[[#This Row],[Start Date]]+ProposalToGnatt[[#This Row],[Days]]),$G$5,"")),"")</f>
        <v/>
      </c>
      <c r="CQ60" s="37" t="str">
        <f ca="1">IFERROR(+IF(CQ$29=ProposalToGnatt[[#This Row],[Start Date]],Milestone_Marker,IF(AND(CQ$29&gt;ProposalToGnatt[[#This Row],[Start Date]],CQ$29&lt;ProposalToGnatt[[#This Row],[Start Date]]+ProposalToGnatt[[#This Row],[Days]]),$G$5,"")),"")</f>
        <v/>
      </c>
      <c r="CR60" s="37" t="str">
        <f ca="1">IFERROR(+IF(CR$29=ProposalToGnatt[[#This Row],[Start Date]],Milestone_Marker,IF(AND(CR$29&gt;ProposalToGnatt[[#This Row],[Start Date]],CR$29&lt;ProposalToGnatt[[#This Row],[Start Date]]+ProposalToGnatt[[#This Row],[Days]]),$G$5,"")),"")</f>
        <v/>
      </c>
      <c r="CS60" s="37" t="str">
        <f ca="1">IFERROR(+IF(CS$29=ProposalToGnatt[[#This Row],[Start Date]],Milestone_Marker,IF(AND(CS$29&gt;ProposalToGnatt[[#This Row],[Start Date]],CS$29&lt;ProposalToGnatt[[#This Row],[Start Date]]+ProposalToGnatt[[#This Row],[Days]]),$G$5,"")),"")</f>
        <v/>
      </c>
      <c r="CT60" s="37" t="str">
        <f ca="1">IFERROR(+IF(CT$29=ProposalToGnatt[[#This Row],[Start Date]],Milestone_Marker,IF(AND(CT$29&gt;ProposalToGnatt[[#This Row],[Start Date]],CT$29&lt;ProposalToGnatt[[#This Row],[Start Date]]+ProposalToGnatt[[#This Row],[Days]]),$G$5,"")),"")</f>
        <v/>
      </c>
      <c r="CU60" s="37" t="str">
        <f ca="1">IFERROR(+IF(CU$29=ProposalToGnatt[[#This Row],[Start Date]],Milestone_Marker,IF(AND(CU$29&gt;ProposalToGnatt[[#This Row],[Start Date]],CU$29&lt;ProposalToGnatt[[#This Row],[Start Date]]+ProposalToGnatt[[#This Row],[Days]]),$G$5,"")),"")</f>
        <v/>
      </c>
      <c r="CV60" s="37"/>
      <c r="CW60" s="37"/>
      <c r="CX60" s="37"/>
      <c r="CY60" s="37"/>
      <c r="CZ60" s="37"/>
      <c r="DA60" s="37"/>
      <c r="DB60" s="37"/>
      <c r="DC60" s="37"/>
      <c r="DD60" s="37"/>
      <c r="DE60" s="37"/>
      <c r="DF60" s="37"/>
      <c r="DG60" s="37"/>
      <c r="DH60" s="37"/>
      <c r="DI60" s="37"/>
      <c r="DJ60" s="37"/>
      <c r="DK60" s="37"/>
      <c r="DL60" s="37"/>
      <c r="DM60" s="37"/>
      <c r="DN60" s="37"/>
      <c r="DO60" s="37"/>
      <c r="DP60" s="37"/>
      <c r="DQ60" s="37"/>
      <c r="DR60" s="37"/>
      <c r="DS60" s="37"/>
      <c r="DT60" s="37"/>
      <c r="DU60" s="37"/>
    </row>
    <row r="61" spans="1:125" s="42" customFormat="1" ht="15" x14ac:dyDescent="0.25">
      <c r="A61" t="s">
        <v>428</v>
      </c>
      <c r="B61">
        <v>44</v>
      </c>
      <c r="C61" t="s">
        <v>317</v>
      </c>
      <c r="D61" t="s">
        <v>337</v>
      </c>
      <c r="E61" t="s">
        <v>370</v>
      </c>
      <c r="F61">
        <v>1</v>
      </c>
      <c r="G61" s="14">
        <v>-3190</v>
      </c>
      <c r="H61" s="14">
        <v>-3190</v>
      </c>
      <c r="I61" t="s">
        <v>45</v>
      </c>
      <c r="J61">
        <v>2</v>
      </c>
      <c r="K61" s="303">
        <v>45219</v>
      </c>
      <c r="L61"/>
      <c r="M61" s="14"/>
      <c r="N61" s="352">
        <v>-3190</v>
      </c>
      <c r="O61" s="340"/>
      <c r="P61" s="37" t="str">
        <f ca="1">IFERROR(+IF(P$29=ProposalToGnatt[[#This Row],[Start Date]],Milestone_Marker,IF(AND(P$29&gt;ProposalToGnatt[[#This Row],[Start Date]],P$29&lt;ProposalToGnatt[[#This Row],[Start Date]]+ProposalToGnatt[[#This Row],[Days]]),$G$5,"")),"")</f>
        <v/>
      </c>
      <c r="Q61" s="37" t="str">
        <f ca="1">IFERROR(+IF(Q$29=ProposalToGnatt[[#This Row],[Start Date]],Milestone_Marker,IF(AND(Q$29&gt;ProposalToGnatt[[#This Row],[Start Date]],Q$29&lt;ProposalToGnatt[[#This Row],[Start Date]]+ProposalToGnatt[[#This Row],[Days]]),$G$5,"")),"")</f>
        <v/>
      </c>
      <c r="R61" s="37" t="str">
        <f ca="1">IFERROR(+IF(R$29=ProposalToGnatt[[#This Row],[Start Date]],Milestone_Marker,IF(AND(R$29&gt;ProposalToGnatt[[#This Row],[Start Date]],R$29&lt;ProposalToGnatt[[#This Row],[Start Date]]+ProposalToGnatt[[#This Row],[Days]]),$G$5,"")),"")</f>
        <v/>
      </c>
      <c r="S61" s="37" t="str">
        <f ca="1">IFERROR(+IF(S$29=ProposalToGnatt[[#This Row],[Start Date]],Milestone_Marker,IF(AND(S$29&gt;ProposalToGnatt[[#This Row],[Start Date]],S$29&lt;ProposalToGnatt[[#This Row],[Start Date]]+ProposalToGnatt[[#This Row],[Days]]),$G$5,"")),"")</f>
        <v/>
      </c>
      <c r="T61" s="37" t="str">
        <f ca="1">IFERROR(+IF(T$29=ProposalToGnatt[[#This Row],[Start Date]],Milestone_Marker,IF(AND(T$29&gt;ProposalToGnatt[[#This Row],[Start Date]],T$29&lt;ProposalToGnatt[[#This Row],[Start Date]]+ProposalToGnatt[[#This Row],[Days]]),$G$5,"")),"")</f>
        <v/>
      </c>
      <c r="U61" s="37" t="str">
        <f ca="1">IFERROR(+IF(U$29=ProposalToGnatt[[#This Row],[Start Date]],Milestone_Marker,IF(AND(U$29&gt;ProposalToGnatt[[#This Row],[Start Date]],U$29&lt;ProposalToGnatt[[#This Row],[Start Date]]+ProposalToGnatt[[#This Row],[Days]]),$G$5,"")),"")</f>
        <v/>
      </c>
      <c r="V61" s="37" t="str">
        <f ca="1">IFERROR(+IF(V$29=ProposalToGnatt[[#This Row],[Start Date]],Milestone_Marker,IF(AND(V$29&gt;ProposalToGnatt[[#This Row],[Start Date]],V$29&lt;ProposalToGnatt[[#This Row],[Start Date]]+ProposalToGnatt[[#This Row],[Days]]),$G$5,"")),"")</f>
        <v/>
      </c>
      <c r="W61" s="37">
        <f ca="1">IFERROR(+IF(W$29=ProposalToGnatt[[#This Row],[Start Date]],Milestone_Marker,IF(AND(W$29&gt;ProposalToGnatt[[#This Row],[Start Date]],W$29&lt;ProposalToGnatt[[#This Row],[Start Date]]+ProposalToGnatt[[#This Row],[Days]]),$G$5,"")),"")</f>
        <v>1</v>
      </c>
      <c r="X61" s="37" t="str">
        <f ca="1">IFERROR(+IF(X$29=ProposalToGnatt[[#This Row],[Start Date]],Milestone_Marker,IF(AND(X$29&gt;ProposalToGnatt[[#This Row],[Start Date]],X$29&lt;ProposalToGnatt[[#This Row],[Start Date]]+ProposalToGnatt[[#This Row],[Days]]),$G$5,"")),"")</f>
        <v/>
      </c>
      <c r="Y61" s="37" t="str">
        <f ca="1">IFERROR(+IF(Y$29=ProposalToGnatt[[#This Row],[Start Date]],Milestone_Marker,IF(AND(Y$29&gt;ProposalToGnatt[[#This Row],[Start Date]],Y$29&lt;ProposalToGnatt[[#This Row],[Start Date]]+ProposalToGnatt[[#This Row],[Days]]),$G$5,"")),"")</f>
        <v/>
      </c>
      <c r="Z61" s="37" t="str">
        <f ca="1">IFERROR(+IF(Z$29=ProposalToGnatt[[#This Row],[Start Date]],Milestone_Marker,IF(AND(Z$29&gt;ProposalToGnatt[[#This Row],[Start Date]],Z$29&lt;ProposalToGnatt[[#This Row],[Start Date]]+ProposalToGnatt[[#This Row],[Days]]),$G$5,"")),"")</f>
        <v/>
      </c>
      <c r="AA61" s="37" t="str">
        <f ca="1">IFERROR(+IF(AA$29=ProposalToGnatt[[#This Row],[Start Date]],Milestone_Marker,IF(AND(AA$29&gt;ProposalToGnatt[[#This Row],[Start Date]],AA$29&lt;ProposalToGnatt[[#This Row],[Start Date]]+ProposalToGnatt[[#This Row],[Days]]),$G$5,"")),"")</f>
        <v/>
      </c>
      <c r="AB61" s="37" t="str">
        <f ca="1">IFERROR(+IF(AB$29=ProposalToGnatt[[#This Row],[Start Date]],Milestone_Marker,IF(AND(AB$29&gt;ProposalToGnatt[[#This Row],[Start Date]],AB$29&lt;ProposalToGnatt[[#This Row],[Start Date]]+ProposalToGnatt[[#This Row],[Days]]),$G$5,"")),"")</f>
        <v/>
      </c>
      <c r="AC61" s="37" t="str">
        <f ca="1">IFERROR(+IF(AC$29=ProposalToGnatt[[#This Row],[Start Date]],Milestone_Marker,IF(AND(AC$29&gt;ProposalToGnatt[[#This Row],[Start Date]],AC$29&lt;ProposalToGnatt[[#This Row],[Start Date]]+ProposalToGnatt[[#This Row],[Days]]),$G$5,"")),"")</f>
        <v/>
      </c>
      <c r="AD61" s="37" t="str">
        <f ca="1">IFERROR(+IF(AD$29=ProposalToGnatt[[#This Row],[Start Date]],Milestone_Marker,IF(AND(AD$29&gt;ProposalToGnatt[[#This Row],[Start Date]],AD$29&lt;ProposalToGnatt[[#This Row],[Start Date]]+ProposalToGnatt[[#This Row],[Days]]),$G$5,"")),"")</f>
        <v/>
      </c>
      <c r="AE61" s="37" t="str">
        <f ca="1">IFERROR(+IF(AE$29=ProposalToGnatt[[#This Row],[Start Date]],Milestone_Marker,IF(AND(AE$29&gt;ProposalToGnatt[[#This Row],[Start Date]],AE$29&lt;ProposalToGnatt[[#This Row],[Start Date]]+ProposalToGnatt[[#This Row],[Days]]),$G$5,"")),"")</f>
        <v/>
      </c>
      <c r="AF61" s="37" t="str">
        <f ca="1">IFERROR(+IF(AF$29=ProposalToGnatt[[#This Row],[Start Date]],Milestone_Marker,IF(AND(AF$29&gt;ProposalToGnatt[[#This Row],[Start Date]],AF$29&lt;ProposalToGnatt[[#This Row],[Start Date]]+ProposalToGnatt[[#This Row],[Days]]),$G$5,"")),"")</f>
        <v/>
      </c>
      <c r="AG61" s="37" t="str">
        <f ca="1">IFERROR(+IF(AG$29=ProposalToGnatt[[#This Row],[Start Date]],Milestone_Marker,IF(AND(AG$29&gt;ProposalToGnatt[[#This Row],[Start Date]],AG$29&lt;ProposalToGnatt[[#This Row],[Start Date]]+ProposalToGnatt[[#This Row],[Days]]),$G$5,"")),"")</f>
        <v/>
      </c>
      <c r="AH61" s="37" t="str">
        <f ca="1">IFERROR(+IF(AH$29=ProposalToGnatt[[#This Row],[Start Date]],Milestone_Marker,IF(AND(AH$29&gt;ProposalToGnatt[[#This Row],[Start Date]],AH$29&lt;ProposalToGnatt[[#This Row],[Start Date]]+ProposalToGnatt[[#This Row],[Days]]),$G$5,"")),"")</f>
        <v/>
      </c>
      <c r="AI61" s="37" t="str">
        <f ca="1">IFERROR(+IF(AI$29=ProposalToGnatt[[#This Row],[Start Date]],Milestone_Marker,IF(AND(AI$29&gt;ProposalToGnatt[[#This Row],[Start Date]],AI$29&lt;ProposalToGnatt[[#This Row],[Start Date]]+ProposalToGnatt[[#This Row],[Days]]),$G$5,"")),"")</f>
        <v/>
      </c>
      <c r="AJ61" s="37" t="str">
        <f ca="1">IFERROR(+IF(AJ$29=ProposalToGnatt[[#This Row],[Start Date]],Milestone_Marker,IF(AND(AJ$29&gt;ProposalToGnatt[[#This Row],[Start Date]],AJ$29&lt;ProposalToGnatt[[#This Row],[Start Date]]+ProposalToGnatt[[#This Row],[Days]]),$G$5,"")),"")</f>
        <v/>
      </c>
      <c r="AK61" s="37" t="str">
        <f ca="1">IFERROR(+IF(AK$29=ProposalToGnatt[[#This Row],[Start Date]],Milestone_Marker,IF(AND(AK$29&gt;ProposalToGnatt[[#This Row],[Start Date]],AK$29&lt;ProposalToGnatt[[#This Row],[Start Date]]+ProposalToGnatt[[#This Row],[Days]]),$G$5,"")),"")</f>
        <v/>
      </c>
      <c r="AL61" s="37" t="str">
        <f ca="1">IFERROR(+IF(AL$29=ProposalToGnatt[[#This Row],[Start Date]],Milestone_Marker,IF(AND(AL$29&gt;ProposalToGnatt[[#This Row],[Start Date]],AL$29&lt;ProposalToGnatt[[#This Row],[Start Date]]+ProposalToGnatt[[#This Row],[Days]]),$G$5,"")),"")</f>
        <v/>
      </c>
      <c r="AM61" s="37" t="str">
        <f ca="1">IFERROR(+IF(AM$29=ProposalToGnatt[[#This Row],[Start Date]],Milestone_Marker,IF(AND(AM$29&gt;ProposalToGnatt[[#This Row],[Start Date]],AM$29&lt;ProposalToGnatt[[#This Row],[Start Date]]+ProposalToGnatt[[#This Row],[Days]]),$G$5,"")),"")</f>
        <v/>
      </c>
      <c r="AN61" s="37" t="str">
        <f ca="1">IFERROR(+IF(AN$29=ProposalToGnatt[[#This Row],[Start Date]],Milestone_Marker,IF(AND(AN$29&gt;ProposalToGnatt[[#This Row],[Start Date]],AN$29&lt;ProposalToGnatt[[#This Row],[Start Date]]+ProposalToGnatt[[#This Row],[Days]]),$G$5,"")),"")</f>
        <v/>
      </c>
      <c r="AO61" s="37" t="str">
        <f ca="1">IFERROR(+IF(AO$29=ProposalToGnatt[[#This Row],[Start Date]],Milestone_Marker,IF(AND(AO$29&gt;ProposalToGnatt[[#This Row],[Start Date]],AO$29&lt;ProposalToGnatt[[#This Row],[Start Date]]+ProposalToGnatt[[#This Row],[Days]]),$G$5,"")),"")</f>
        <v/>
      </c>
      <c r="AP61" s="37" t="str">
        <f ca="1">IFERROR(+IF(AP$29=ProposalToGnatt[[#This Row],[Start Date]],Milestone_Marker,IF(AND(AP$29&gt;ProposalToGnatt[[#This Row],[Start Date]],AP$29&lt;ProposalToGnatt[[#This Row],[Start Date]]+ProposalToGnatt[[#This Row],[Days]]),$G$5,"")),"")</f>
        <v/>
      </c>
      <c r="AQ61" s="37" t="str">
        <f ca="1">IFERROR(+IF(AQ$29=ProposalToGnatt[[#This Row],[Start Date]],Milestone_Marker,IF(AND(AQ$29&gt;ProposalToGnatt[[#This Row],[Start Date]],AQ$29&lt;ProposalToGnatt[[#This Row],[Start Date]]+ProposalToGnatt[[#This Row],[Days]]),$G$5,"")),"")</f>
        <v/>
      </c>
      <c r="AR61" s="37" t="str">
        <f ca="1">IFERROR(+IF(AR$29=ProposalToGnatt[[#This Row],[Start Date]],Milestone_Marker,IF(AND(AR$29&gt;ProposalToGnatt[[#This Row],[Start Date]],AR$29&lt;ProposalToGnatt[[#This Row],[Start Date]]+ProposalToGnatt[[#This Row],[Days]]),$G$5,"")),"")</f>
        <v/>
      </c>
      <c r="AS61" s="37" t="str">
        <f ca="1">IFERROR(+IF(AS$29=ProposalToGnatt[[#This Row],[Start Date]],Milestone_Marker,IF(AND(AS$29&gt;ProposalToGnatt[[#This Row],[Start Date]],AS$29&lt;ProposalToGnatt[[#This Row],[Start Date]]+ProposalToGnatt[[#This Row],[Days]]),$G$5,"")),"")</f>
        <v/>
      </c>
      <c r="AT61" s="37" t="str">
        <f ca="1">IFERROR(+IF(AT$29=ProposalToGnatt[[#This Row],[Start Date]],Milestone_Marker,IF(AND(AT$29&gt;ProposalToGnatt[[#This Row],[Start Date]],AT$29&lt;ProposalToGnatt[[#This Row],[Start Date]]+ProposalToGnatt[[#This Row],[Days]]),$G$5,"")),"")</f>
        <v/>
      </c>
      <c r="AU61" s="37" t="str">
        <f ca="1">IFERROR(+IF(AU$29=ProposalToGnatt[[#This Row],[Start Date]],Milestone_Marker,IF(AND(AU$29&gt;ProposalToGnatt[[#This Row],[Start Date]],AU$29&lt;ProposalToGnatt[[#This Row],[Start Date]]+ProposalToGnatt[[#This Row],[Days]]),$G$5,"")),"")</f>
        <v/>
      </c>
      <c r="AV61" s="37" t="str">
        <f ca="1">IFERROR(+IF(AV$29=ProposalToGnatt[[#This Row],[Start Date]],Milestone_Marker,IF(AND(AV$29&gt;ProposalToGnatt[[#This Row],[Start Date]],AV$29&lt;ProposalToGnatt[[#This Row],[Start Date]]+ProposalToGnatt[[#This Row],[Days]]),$G$5,"")),"")</f>
        <v/>
      </c>
      <c r="AW61" s="37" t="str">
        <f ca="1">IFERROR(+IF(AW$29=ProposalToGnatt[[#This Row],[Start Date]],Milestone_Marker,IF(AND(AW$29&gt;ProposalToGnatt[[#This Row],[Start Date]],AW$29&lt;ProposalToGnatt[[#This Row],[Start Date]]+ProposalToGnatt[[#This Row],[Days]]),$G$5,"")),"")</f>
        <v/>
      </c>
      <c r="AX61" s="37" t="str">
        <f ca="1">IFERROR(+IF(AX$29=ProposalToGnatt[[#This Row],[Start Date]],Milestone_Marker,IF(AND(AX$29&gt;ProposalToGnatt[[#This Row],[Start Date]],AX$29&lt;ProposalToGnatt[[#This Row],[Start Date]]+ProposalToGnatt[[#This Row],[Days]]),$G$5,"")),"")</f>
        <v/>
      </c>
      <c r="AY61" s="37" t="str">
        <f ca="1">IFERROR(+IF(AY$29=ProposalToGnatt[[#This Row],[Start Date]],Milestone_Marker,IF(AND(AY$29&gt;ProposalToGnatt[[#This Row],[Start Date]],AY$29&lt;ProposalToGnatt[[#This Row],[Start Date]]+ProposalToGnatt[[#This Row],[Days]]),$G$5,"")),"")</f>
        <v/>
      </c>
      <c r="AZ61" s="37" t="str">
        <f ca="1">IFERROR(+IF(AZ$29=ProposalToGnatt[[#This Row],[Start Date]],Milestone_Marker,IF(AND(AZ$29&gt;ProposalToGnatt[[#This Row],[Start Date]],AZ$29&lt;ProposalToGnatt[[#This Row],[Start Date]]+ProposalToGnatt[[#This Row],[Days]]),$G$5,"")),"")</f>
        <v/>
      </c>
      <c r="BA61" s="37" t="str">
        <f ca="1">IFERROR(+IF(BA$29=ProposalToGnatt[[#This Row],[Start Date]],Milestone_Marker,IF(AND(BA$29&gt;ProposalToGnatt[[#This Row],[Start Date]],BA$29&lt;ProposalToGnatt[[#This Row],[Start Date]]+ProposalToGnatt[[#This Row],[Days]]),$G$5,"")),"")</f>
        <v/>
      </c>
      <c r="BB61" s="37" t="str">
        <f ca="1">IFERROR(+IF(BB$29=ProposalToGnatt[[#This Row],[Start Date]],Milestone_Marker,IF(AND(BB$29&gt;ProposalToGnatt[[#This Row],[Start Date]],BB$29&lt;ProposalToGnatt[[#This Row],[Start Date]]+ProposalToGnatt[[#This Row],[Days]]),$G$5,"")),"")</f>
        <v/>
      </c>
      <c r="BC61" s="37" t="str">
        <f ca="1">IFERROR(+IF(BC$29=ProposalToGnatt[[#This Row],[Start Date]],Milestone_Marker,IF(AND(BC$29&gt;ProposalToGnatt[[#This Row],[Start Date]],BC$29&lt;ProposalToGnatt[[#This Row],[Start Date]]+ProposalToGnatt[[#This Row],[Days]]),$G$5,"")),"")</f>
        <v/>
      </c>
      <c r="BD61" s="37" t="str">
        <f ca="1">IFERROR(+IF(BD$29=ProposalToGnatt[[#This Row],[Start Date]],Milestone_Marker,IF(AND(BD$29&gt;ProposalToGnatt[[#This Row],[Start Date]],BD$29&lt;ProposalToGnatt[[#This Row],[Start Date]]+ProposalToGnatt[[#This Row],[Days]]),$G$5,"")),"")</f>
        <v/>
      </c>
      <c r="BE61" s="37" t="str">
        <f ca="1">IFERROR(+IF(BE$29=ProposalToGnatt[[#This Row],[Start Date]],Milestone_Marker,IF(AND(BE$29&gt;ProposalToGnatt[[#This Row],[Start Date]],BE$29&lt;ProposalToGnatt[[#This Row],[Start Date]]+ProposalToGnatt[[#This Row],[Days]]),$G$5,"")),"")</f>
        <v/>
      </c>
      <c r="BF61" s="37" t="str">
        <f ca="1">IFERROR(+IF(BF$29=ProposalToGnatt[[#This Row],[Start Date]],Milestone_Marker,IF(AND(BF$29&gt;ProposalToGnatt[[#This Row],[Start Date]],BF$29&lt;ProposalToGnatt[[#This Row],[Start Date]]+ProposalToGnatt[[#This Row],[Days]]),$G$5,"")),"")</f>
        <v/>
      </c>
      <c r="BG61" s="37" t="str">
        <f ca="1">IFERROR(+IF(BG$29=ProposalToGnatt[[#This Row],[Start Date]],Milestone_Marker,IF(AND(BG$29&gt;ProposalToGnatt[[#This Row],[Start Date]],BG$29&lt;ProposalToGnatt[[#This Row],[Start Date]]+ProposalToGnatt[[#This Row],[Days]]),$G$5,"")),"")</f>
        <v/>
      </c>
      <c r="BH61" s="37" t="str">
        <f ca="1">IFERROR(+IF(BH$29=ProposalToGnatt[[#This Row],[Start Date]],Milestone_Marker,IF(AND(BH$29&gt;ProposalToGnatt[[#This Row],[Start Date]],BH$29&lt;ProposalToGnatt[[#This Row],[Start Date]]+ProposalToGnatt[[#This Row],[Days]]),$G$5,"")),"")</f>
        <v/>
      </c>
      <c r="BI61" s="37" t="str">
        <f ca="1">IFERROR(+IF(BI$29=ProposalToGnatt[[#This Row],[Start Date]],Milestone_Marker,IF(AND(BI$29&gt;ProposalToGnatt[[#This Row],[Start Date]],BI$29&lt;ProposalToGnatt[[#This Row],[Start Date]]+ProposalToGnatt[[#This Row],[Days]]),$G$5,"")),"")</f>
        <v/>
      </c>
      <c r="BJ61" s="37" t="str">
        <f ca="1">IFERROR(+IF(BJ$29=ProposalToGnatt[[#This Row],[Start Date]],Milestone_Marker,IF(AND(BJ$29&gt;ProposalToGnatt[[#This Row],[Start Date]],BJ$29&lt;ProposalToGnatt[[#This Row],[Start Date]]+ProposalToGnatt[[#This Row],[Days]]),$G$5,"")),"")</f>
        <v/>
      </c>
      <c r="BK61" s="37" t="str">
        <f ca="1">IFERROR(+IF(BK$29=ProposalToGnatt[[#This Row],[Start Date]],Milestone_Marker,IF(AND(BK$29&gt;ProposalToGnatt[[#This Row],[Start Date]],BK$29&lt;ProposalToGnatt[[#This Row],[Start Date]]+ProposalToGnatt[[#This Row],[Days]]),$G$5,"")),"")</f>
        <v/>
      </c>
      <c r="BL61" s="37" t="str">
        <f ca="1">IFERROR(+IF(BL$29=ProposalToGnatt[[#This Row],[Start Date]],Milestone_Marker,IF(AND(BL$29&gt;ProposalToGnatt[[#This Row],[Start Date]],BL$29&lt;ProposalToGnatt[[#This Row],[Start Date]]+ProposalToGnatt[[#This Row],[Days]]),$G$5,"")),"")</f>
        <v/>
      </c>
      <c r="BM61" s="37" t="str">
        <f ca="1">IFERROR(+IF(BM$29=ProposalToGnatt[[#This Row],[Start Date]],Milestone_Marker,IF(AND(BM$29&gt;ProposalToGnatt[[#This Row],[Start Date]],BM$29&lt;ProposalToGnatt[[#This Row],[Start Date]]+ProposalToGnatt[[#This Row],[Days]]),$G$5,"")),"")</f>
        <v/>
      </c>
      <c r="BN61" s="37" t="str">
        <f ca="1">IFERROR(+IF(BN$29=ProposalToGnatt[[#This Row],[Start Date]],Milestone_Marker,IF(AND(BN$29&gt;ProposalToGnatt[[#This Row],[Start Date]],BN$29&lt;ProposalToGnatt[[#This Row],[Start Date]]+ProposalToGnatt[[#This Row],[Days]]),$G$5,"")),"")</f>
        <v/>
      </c>
      <c r="BO61" s="37" t="str">
        <f ca="1">IFERROR(+IF(BO$29=ProposalToGnatt[[#This Row],[Start Date]],Milestone_Marker,IF(AND(BO$29&gt;ProposalToGnatt[[#This Row],[Start Date]],BO$29&lt;ProposalToGnatt[[#This Row],[Start Date]]+ProposalToGnatt[[#This Row],[Days]]),$G$5,"")),"")</f>
        <v/>
      </c>
      <c r="BP61" s="37" t="str">
        <f ca="1">IFERROR(+IF(BP$29=ProposalToGnatt[[#This Row],[Start Date]],Milestone_Marker,IF(AND(BP$29&gt;ProposalToGnatt[[#This Row],[Start Date]],BP$29&lt;ProposalToGnatt[[#This Row],[Start Date]]+ProposalToGnatt[[#This Row],[Days]]),$G$5,"")),"")</f>
        <v/>
      </c>
      <c r="BQ61" s="37" t="str">
        <f ca="1">IFERROR(+IF(BQ$29=ProposalToGnatt[[#This Row],[Start Date]],Milestone_Marker,IF(AND(BQ$29&gt;ProposalToGnatt[[#This Row],[Start Date]],BQ$29&lt;ProposalToGnatt[[#This Row],[Start Date]]+ProposalToGnatt[[#This Row],[Days]]),$G$5,"")),"")</f>
        <v/>
      </c>
      <c r="BR61" s="37" t="str">
        <f ca="1">IFERROR(+IF(BR$29=ProposalToGnatt[[#This Row],[Start Date]],Milestone_Marker,IF(AND(BR$29&gt;ProposalToGnatt[[#This Row],[Start Date]],BR$29&lt;ProposalToGnatt[[#This Row],[Start Date]]+ProposalToGnatt[[#This Row],[Days]]),$G$5,"")),"")</f>
        <v/>
      </c>
      <c r="BS61" s="37" t="str">
        <f ca="1">IFERROR(+IF(BS$29=ProposalToGnatt[[#This Row],[Start Date]],Milestone_Marker,IF(AND(BS$29&gt;ProposalToGnatt[[#This Row],[Start Date]],BS$29&lt;ProposalToGnatt[[#This Row],[Start Date]]+ProposalToGnatt[[#This Row],[Days]]),$G$5,"")),"")</f>
        <v/>
      </c>
      <c r="BT61" s="37" t="str">
        <f ca="1">IFERROR(+IF(BT$29=ProposalToGnatt[[#This Row],[Start Date]],Milestone_Marker,IF(AND(BT$29&gt;ProposalToGnatt[[#This Row],[Start Date]],BT$29&lt;ProposalToGnatt[[#This Row],[Start Date]]+ProposalToGnatt[[#This Row],[Days]]),$G$5,"")),"")</f>
        <v/>
      </c>
      <c r="BU61" s="37" t="str">
        <f ca="1">IFERROR(+IF(BU$29=ProposalToGnatt[[#This Row],[Start Date]],Milestone_Marker,IF(AND(BU$29&gt;ProposalToGnatt[[#This Row],[Start Date]],BU$29&lt;ProposalToGnatt[[#This Row],[Start Date]]+ProposalToGnatt[[#This Row],[Days]]),$G$5,"")),"")</f>
        <v/>
      </c>
      <c r="BV61" s="37" t="str">
        <f ca="1">IFERROR(+IF(BV$29=ProposalToGnatt[[#This Row],[Start Date]],Milestone_Marker,IF(AND(BV$29&gt;ProposalToGnatt[[#This Row],[Start Date]],BV$29&lt;ProposalToGnatt[[#This Row],[Start Date]]+ProposalToGnatt[[#This Row],[Days]]),$G$5,"")),"")</f>
        <v/>
      </c>
      <c r="BW61" s="37" t="str">
        <f ca="1">IFERROR(+IF(BW$29=ProposalToGnatt[[#This Row],[Start Date]],Milestone_Marker,IF(AND(BW$29&gt;ProposalToGnatt[[#This Row],[Start Date]],BW$29&lt;ProposalToGnatt[[#This Row],[Start Date]]+ProposalToGnatt[[#This Row],[Days]]),$G$5,"")),"")</f>
        <v/>
      </c>
      <c r="BX61" s="37" t="str">
        <f ca="1">IFERROR(+IF(BX$29=ProposalToGnatt[[#This Row],[Start Date]],Milestone_Marker,IF(AND(BX$29&gt;ProposalToGnatt[[#This Row],[Start Date]],BX$29&lt;ProposalToGnatt[[#This Row],[Start Date]]+ProposalToGnatt[[#This Row],[Days]]),$G$5,"")),"")</f>
        <v/>
      </c>
      <c r="BY61" s="37" t="str">
        <f ca="1">IFERROR(+IF(BY$29=ProposalToGnatt[[#This Row],[Start Date]],Milestone_Marker,IF(AND(BY$29&gt;ProposalToGnatt[[#This Row],[Start Date]],BY$29&lt;ProposalToGnatt[[#This Row],[Start Date]]+ProposalToGnatt[[#This Row],[Days]]),$G$5,"")),"")</f>
        <v/>
      </c>
      <c r="BZ61" s="37" t="str">
        <f ca="1">IFERROR(+IF(BZ$29=ProposalToGnatt[[#This Row],[Start Date]],Milestone_Marker,IF(AND(BZ$29&gt;ProposalToGnatt[[#This Row],[Start Date]],BZ$29&lt;ProposalToGnatt[[#This Row],[Start Date]]+ProposalToGnatt[[#This Row],[Days]]),$G$5,"")),"")</f>
        <v/>
      </c>
      <c r="CA61" s="37" t="str">
        <f ca="1">IFERROR(+IF(CA$29=ProposalToGnatt[[#This Row],[Start Date]],Milestone_Marker,IF(AND(CA$29&gt;ProposalToGnatt[[#This Row],[Start Date]],CA$29&lt;ProposalToGnatt[[#This Row],[Start Date]]+ProposalToGnatt[[#This Row],[Days]]),$G$5,"")),"")</f>
        <v/>
      </c>
      <c r="CB61" s="37" t="str">
        <f ca="1">IFERROR(+IF(CB$29=ProposalToGnatt[[#This Row],[Start Date]],Milestone_Marker,IF(AND(CB$29&gt;ProposalToGnatt[[#This Row],[Start Date]],CB$29&lt;ProposalToGnatt[[#This Row],[Start Date]]+ProposalToGnatt[[#This Row],[Days]]),$G$5,"")),"")</f>
        <v/>
      </c>
      <c r="CC61" s="37" t="str">
        <f ca="1">IFERROR(+IF(CC$29=ProposalToGnatt[[#This Row],[Start Date]],Milestone_Marker,IF(AND(CC$29&gt;ProposalToGnatt[[#This Row],[Start Date]],CC$29&lt;ProposalToGnatt[[#This Row],[Start Date]]+ProposalToGnatt[[#This Row],[Days]]),$G$5,"")),"")</f>
        <v/>
      </c>
      <c r="CD61" s="37" t="str">
        <f ca="1">IFERROR(+IF(CD$29=ProposalToGnatt[[#This Row],[Start Date]],Milestone_Marker,IF(AND(CD$29&gt;ProposalToGnatt[[#This Row],[Start Date]],CD$29&lt;ProposalToGnatt[[#This Row],[Start Date]]+ProposalToGnatt[[#This Row],[Days]]),$G$5,"")),"")</f>
        <v/>
      </c>
      <c r="CE61" s="37" t="str">
        <f ca="1">IFERROR(+IF(CE$29=ProposalToGnatt[[#This Row],[Start Date]],Milestone_Marker,IF(AND(CE$29&gt;ProposalToGnatt[[#This Row],[Start Date]],CE$29&lt;ProposalToGnatt[[#This Row],[Start Date]]+ProposalToGnatt[[#This Row],[Days]]),$G$5,"")),"")</f>
        <v/>
      </c>
      <c r="CF61" s="37" t="str">
        <f ca="1">IFERROR(+IF(CF$29=ProposalToGnatt[[#This Row],[Start Date]],Milestone_Marker,IF(AND(CF$29&gt;ProposalToGnatt[[#This Row],[Start Date]],CF$29&lt;ProposalToGnatt[[#This Row],[Start Date]]+ProposalToGnatt[[#This Row],[Days]]),$G$5,"")),"")</f>
        <v/>
      </c>
      <c r="CG61" s="37" t="str">
        <f ca="1">IFERROR(+IF(CG$29=ProposalToGnatt[[#This Row],[Start Date]],Milestone_Marker,IF(AND(CG$29&gt;ProposalToGnatt[[#This Row],[Start Date]],CG$29&lt;ProposalToGnatt[[#This Row],[Start Date]]+ProposalToGnatt[[#This Row],[Days]]),$G$5,"")),"")</f>
        <v/>
      </c>
      <c r="CH61" s="37" t="str">
        <f ca="1">IFERROR(+IF(CH$29=ProposalToGnatt[[#This Row],[Start Date]],Milestone_Marker,IF(AND(CH$29&gt;ProposalToGnatt[[#This Row],[Start Date]],CH$29&lt;ProposalToGnatt[[#This Row],[Start Date]]+ProposalToGnatt[[#This Row],[Days]]),$G$5,"")),"")</f>
        <v/>
      </c>
      <c r="CI61" s="37" t="str">
        <f ca="1">IFERROR(+IF(CI$29=ProposalToGnatt[[#This Row],[Start Date]],Milestone_Marker,IF(AND(CI$29&gt;ProposalToGnatt[[#This Row],[Start Date]],CI$29&lt;ProposalToGnatt[[#This Row],[Start Date]]+ProposalToGnatt[[#This Row],[Days]]),$G$5,"")),"")</f>
        <v/>
      </c>
      <c r="CJ61" s="37" t="str">
        <f ca="1">IFERROR(+IF(CJ$29=ProposalToGnatt[[#This Row],[Start Date]],Milestone_Marker,IF(AND(CJ$29&gt;ProposalToGnatt[[#This Row],[Start Date]],CJ$29&lt;ProposalToGnatt[[#This Row],[Start Date]]+ProposalToGnatt[[#This Row],[Days]]),$G$5,"")),"")</f>
        <v/>
      </c>
      <c r="CK61" s="37" t="str">
        <f ca="1">IFERROR(+IF(CK$29=ProposalToGnatt[[#This Row],[Start Date]],Milestone_Marker,IF(AND(CK$29&gt;ProposalToGnatt[[#This Row],[Start Date]],CK$29&lt;ProposalToGnatt[[#This Row],[Start Date]]+ProposalToGnatt[[#This Row],[Days]]),$G$5,"")),"")</f>
        <v/>
      </c>
      <c r="CL61" s="37" t="str">
        <f ca="1">IFERROR(+IF(CL$29=ProposalToGnatt[[#This Row],[Start Date]],Milestone_Marker,IF(AND(CL$29&gt;ProposalToGnatt[[#This Row],[Start Date]],CL$29&lt;ProposalToGnatt[[#This Row],[Start Date]]+ProposalToGnatt[[#This Row],[Days]]),$G$5,"")),"")</f>
        <v/>
      </c>
      <c r="CM61" s="37" t="str">
        <f ca="1">IFERROR(+IF(CM$29=ProposalToGnatt[[#This Row],[Start Date]],Milestone_Marker,IF(AND(CM$29&gt;ProposalToGnatt[[#This Row],[Start Date]],CM$29&lt;ProposalToGnatt[[#This Row],[Start Date]]+ProposalToGnatt[[#This Row],[Days]]),$G$5,"")),"")</f>
        <v/>
      </c>
      <c r="CN61" s="37" t="str">
        <f ca="1">IFERROR(+IF(CN$29=ProposalToGnatt[[#This Row],[Start Date]],Milestone_Marker,IF(AND(CN$29&gt;ProposalToGnatt[[#This Row],[Start Date]],CN$29&lt;ProposalToGnatt[[#This Row],[Start Date]]+ProposalToGnatt[[#This Row],[Days]]),$G$5,"")),"")</f>
        <v/>
      </c>
      <c r="CO61" s="37" t="str">
        <f ca="1">IFERROR(+IF(CO$29=ProposalToGnatt[[#This Row],[Start Date]],Milestone_Marker,IF(AND(CO$29&gt;ProposalToGnatt[[#This Row],[Start Date]],CO$29&lt;ProposalToGnatt[[#This Row],[Start Date]]+ProposalToGnatt[[#This Row],[Days]]),$G$5,"")),"")</f>
        <v/>
      </c>
      <c r="CP61" s="37" t="str">
        <f ca="1">IFERROR(+IF(CP$29=ProposalToGnatt[[#This Row],[Start Date]],Milestone_Marker,IF(AND(CP$29&gt;ProposalToGnatt[[#This Row],[Start Date]],CP$29&lt;ProposalToGnatt[[#This Row],[Start Date]]+ProposalToGnatt[[#This Row],[Days]]),$G$5,"")),"")</f>
        <v/>
      </c>
      <c r="CQ61" s="37" t="str">
        <f ca="1">IFERROR(+IF(CQ$29=ProposalToGnatt[[#This Row],[Start Date]],Milestone_Marker,IF(AND(CQ$29&gt;ProposalToGnatt[[#This Row],[Start Date]],CQ$29&lt;ProposalToGnatt[[#This Row],[Start Date]]+ProposalToGnatt[[#This Row],[Days]]),$G$5,"")),"")</f>
        <v/>
      </c>
      <c r="CR61" s="37" t="str">
        <f ca="1">IFERROR(+IF(CR$29=ProposalToGnatt[[#This Row],[Start Date]],Milestone_Marker,IF(AND(CR$29&gt;ProposalToGnatt[[#This Row],[Start Date]],CR$29&lt;ProposalToGnatt[[#This Row],[Start Date]]+ProposalToGnatt[[#This Row],[Days]]),$G$5,"")),"")</f>
        <v/>
      </c>
      <c r="CS61" s="37" t="str">
        <f ca="1">IFERROR(+IF(CS$29=ProposalToGnatt[[#This Row],[Start Date]],Milestone_Marker,IF(AND(CS$29&gt;ProposalToGnatt[[#This Row],[Start Date]],CS$29&lt;ProposalToGnatt[[#This Row],[Start Date]]+ProposalToGnatt[[#This Row],[Days]]),$G$5,"")),"")</f>
        <v/>
      </c>
      <c r="CT61" s="37" t="str">
        <f ca="1">IFERROR(+IF(CT$29=ProposalToGnatt[[#This Row],[Start Date]],Milestone_Marker,IF(AND(CT$29&gt;ProposalToGnatt[[#This Row],[Start Date]],CT$29&lt;ProposalToGnatt[[#This Row],[Start Date]]+ProposalToGnatt[[#This Row],[Days]]),$G$5,"")),"")</f>
        <v/>
      </c>
      <c r="CU61" s="37" t="str">
        <f ca="1">IFERROR(+IF(CU$29=ProposalToGnatt[[#This Row],[Start Date]],Milestone_Marker,IF(AND(CU$29&gt;ProposalToGnatt[[#This Row],[Start Date]],CU$29&lt;ProposalToGnatt[[#This Row],[Start Date]]+ProposalToGnatt[[#This Row],[Days]]),$G$5,"")),"")</f>
        <v/>
      </c>
      <c r="CV61" s="37"/>
      <c r="CW61" s="37"/>
      <c r="CX61" s="37"/>
      <c r="CY61" s="37"/>
      <c r="CZ61" s="37"/>
      <c r="DA61" s="37"/>
      <c r="DB61" s="37"/>
      <c r="DC61" s="37"/>
      <c r="DD61" s="37"/>
      <c r="DE61" s="37"/>
      <c r="DF61" s="37"/>
      <c r="DG61" s="37"/>
      <c r="DH61" s="37"/>
      <c r="DI61" s="37"/>
      <c r="DJ61" s="37"/>
      <c r="DK61" s="37"/>
      <c r="DL61" s="37"/>
      <c r="DM61" s="37"/>
      <c r="DN61" s="37"/>
      <c r="DO61" s="37"/>
      <c r="DP61" s="37"/>
      <c r="DQ61" s="37"/>
      <c r="DR61" s="37"/>
      <c r="DS61" s="37"/>
      <c r="DT61" s="37"/>
      <c r="DU61" s="37"/>
    </row>
    <row r="62" spans="1:125" s="42" customFormat="1" ht="15" x14ac:dyDescent="0.25">
      <c r="A62" t="s">
        <v>428</v>
      </c>
      <c r="B62">
        <v>36</v>
      </c>
      <c r="C62" t="s">
        <v>339</v>
      </c>
      <c r="D62" t="s">
        <v>354</v>
      </c>
      <c r="E62" t="s">
        <v>355</v>
      </c>
      <c r="F62">
        <v>1</v>
      </c>
      <c r="G62" s="14">
        <v>600</v>
      </c>
      <c r="H62" s="14">
        <v>600</v>
      </c>
      <c r="I62"/>
      <c r="J62">
        <v>2</v>
      </c>
      <c r="K62" s="303"/>
      <c r="L62"/>
      <c r="M62" s="14"/>
      <c r="N62" s="352"/>
      <c r="O62" s="340"/>
      <c r="P62" s="37" t="str">
        <f ca="1">IFERROR(+IF(P$29=ProposalToGnatt[[#This Row],[Start Date]],Milestone_Marker,IF(AND(P$29&gt;ProposalToGnatt[[#This Row],[Start Date]],P$29&lt;ProposalToGnatt[[#This Row],[Start Date]]+ProposalToGnatt[[#This Row],[Days]]),$G$5,"")),"")</f>
        <v/>
      </c>
      <c r="Q62" s="37" t="str">
        <f ca="1">IFERROR(+IF(Q$29=ProposalToGnatt[[#This Row],[Start Date]],Milestone_Marker,IF(AND(Q$29&gt;ProposalToGnatt[[#This Row],[Start Date]],Q$29&lt;ProposalToGnatt[[#This Row],[Start Date]]+ProposalToGnatt[[#This Row],[Days]]),$G$5,"")),"")</f>
        <v/>
      </c>
      <c r="R62" s="37" t="str">
        <f ca="1">IFERROR(+IF(R$29=ProposalToGnatt[[#This Row],[Start Date]],Milestone_Marker,IF(AND(R$29&gt;ProposalToGnatt[[#This Row],[Start Date]],R$29&lt;ProposalToGnatt[[#This Row],[Start Date]]+ProposalToGnatt[[#This Row],[Days]]),$G$5,"")),"")</f>
        <v/>
      </c>
      <c r="S62" s="37" t="str">
        <f ca="1">IFERROR(+IF(S$29=ProposalToGnatt[[#This Row],[Start Date]],Milestone_Marker,IF(AND(S$29&gt;ProposalToGnatt[[#This Row],[Start Date]],S$29&lt;ProposalToGnatt[[#This Row],[Start Date]]+ProposalToGnatt[[#This Row],[Days]]),$G$5,"")),"")</f>
        <v/>
      </c>
      <c r="T62" s="37" t="str">
        <f ca="1">IFERROR(+IF(T$29=ProposalToGnatt[[#This Row],[Start Date]],Milestone_Marker,IF(AND(T$29&gt;ProposalToGnatt[[#This Row],[Start Date]],T$29&lt;ProposalToGnatt[[#This Row],[Start Date]]+ProposalToGnatt[[#This Row],[Days]]),$G$5,"")),"")</f>
        <v/>
      </c>
      <c r="U62" s="37" t="str">
        <f ca="1">IFERROR(+IF(U$29=ProposalToGnatt[[#This Row],[Start Date]],Milestone_Marker,IF(AND(U$29&gt;ProposalToGnatt[[#This Row],[Start Date]],U$29&lt;ProposalToGnatt[[#This Row],[Start Date]]+ProposalToGnatt[[#This Row],[Days]]),$G$5,"")),"")</f>
        <v/>
      </c>
      <c r="V62" s="37" t="str">
        <f ca="1">IFERROR(+IF(V$29=ProposalToGnatt[[#This Row],[Start Date]],Milestone_Marker,IF(AND(V$29&gt;ProposalToGnatt[[#This Row],[Start Date]],V$29&lt;ProposalToGnatt[[#This Row],[Start Date]]+ProposalToGnatt[[#This Row],[Days]]),$G$5,"")),"")</f>
        <v/>
      </c>
      <c r="W62" s="37" t="str">
        <f ca="1">IFERROR(+IF(W$29=ProposalToGnatt[[#This Row],[Start Date]],Milestone_Marker,IF(AND(W$29&gt;ProposalToGnatt[[#This Row],[Start Date]],W$29&lt;ProposalToGnatt[[#This Row],[Start Date]]+ProposalToGnatt[[#This Row],[Days]]),$G$5,"")),"")</f>
        <v/>
      </c>
      <c r="X62" s="37" t="str">
        <f ca="1">IFERROR(+IF(X$29=ProposalToGnatt[[#This Row],[Start Date]],Milestone_Marker,IF(AND(X$29&gt;ProposalToGnatt[[#This Row],[Start Date]],X$29&lt;ProposalToGnatt[[#This Row],[Start Date]]+ProposalToGnatt[[#This Row],[Days]]),$G$5,"")),"")</f>
        <v/>
      </c>
      <c r="Y62" s="37" t="str">
        <f ca="1">IFERROR(+IF(Y$29=ProposalToGnatt[[#This Row],[Start Date]],Milestone_Marker,IF(AND(Y$29&gt;ProposalToGnatt[[#This Row],[Start Date]],Y$29&lt;ProposalToGnatt[[#This Row],[Start Date]]+ProposalToGnatt[[#This Row],[Days]]),$G$5,"")),"")</f>
        <v/>
      </c>
      <c r="Z62" s="37" t="str">
        <f ca="1">IFERROR(+IF(Z$29=ProposalToGnatt[[#This Row],[Start Date]],Milestone_Marker,IF(AND(Z$29&gt;ProposalToGnatt[[#This Row],[Start Date]],Z$29&lt;ProposalToGnatt[[#This Row],[Start Date]]+ProposalToGnatt[[#This Row],[Days]]),$G$5,"")),"")</f>
        <v/>
      </c>
      <c r="AA62" s="37" t="str">
        <f ca="1">IFERROR(+IF(AA$29=ProposalToGnatt[[#This Row],[Start Date]],Milestone_Marker,IF(AND(AA$29&gt;ProposalToGnatt[[#This Row],[Start Date]],AA$29&lt;ProposalToGnatt[[#This Row],[Start Date]]+ProposalToGnatt[[#This Row],[Days]]),$G$5,"")),"")</f>
        <v/>
      </c>
      <c r="AB62" s="37" t="str">
        <f ca="1">IFERROR(+IF(AB$29=ProposalToGnatt[[#This Row],[Start Date]],Milestone_Marker,IF(AND(AB$29&gt;ProposalToGnatt[[#This Row],[Start Date]],AB$29&lt;ProposalToGnatt[[#This Row],[Start Date]]+ProposalToGnatt[[#This Row],[Days]]),$G$5,"")),"")</f>
        <v/>
      </c>
      <c r="AC62" s="37" t="str">
        <f ca="1">IFERROR(+IF(AC$29=ProposalToGnatt[[#This Row],[Start Date]],Milestone_Marker,IF(AND(AC$29&gt;ProposalToGnatt[[#This Row],[Start Date]],AC$29&lt;ProposalToGnatt[[#This Row],[Start Date]]+ProposalToGnatt[[#This Row],[Days]]),$G$5,"")),"")</f>
        <v/>
      </c>
      <c r="AD62" s="37" t="str">
        <f ca="1">IFERROR(+IF(AD$29=ProposalToGnatt[[#This Row],[Start Date]],Milestone_Marker,IF(AND(AD$29&gt;ProposalToGnatt[[#This Row],[Start Date]],AD$29&lt;ProposalToGnatt[[#This Row],[Start Date]]+ProposalToGnatt[[#This Row],[Days]]),$G$5,"")),"")</f>
        <v/>
      </c>
      <c r="AE62" s="37" t="str">
        <f ca="1">IFERROR(+IF(AE$29=ProposalToGnatt[[#This Row],[Start Date]],Milestone_Marker,IF(AND(AE$29&gt;ProposalToGnatt[[#This Row],[Start Date]],AE$29&lt;ProposalToGnatt[[#This Row],[Start Date]]+ProposalToGnatt[[#This Row],[Days]]),$G$5,"")),"")</f>
        <v/>
      </c>
      <c r="AF62" s="37" t="str">
        <f ca="1">IFERROR(+IF(AF$29=ProposalToGnatt[[#This Row],[Start Date]],Milestone_Marker,IF(AND(AF$29&gt;ProposalToGnatt[[#This Row],[Start Date]],AF$29&lt;ProposalToGnatt[[#This Row],[Start Date]]+ProposalToGnatt[[#This Row],[Days]]),$G$5,"")),"")</f>
        <v/>
      </c>
      <c r="AG62" s="37" t="str">
        <f ca="1">IFERROR(+IF(AG$29=ProposalToGnatt[[#This Row],[Start Date]],Milestone_Marker,IF(AND(AG$29&gt;ProposalToGnatt[[#This Row],[Start Date]],AG$29&lt;ProposalToGnatt[[#This Row],[Start Date]]+ProposalToGnatt[[#This Row],[Days]]),$G$5,"")),"")</f>
        <v/>
      </c>
      <c r="AH62" s="37" t="str">
        <f ca="1">IFERROR(+IF(AH$29=ProposalToGnatt[[#This Row],[Start Date]],Milestone_Marker,IF(AND(AH$29&gt;ProposalToGnatt[[#This Row],[Start Date]],AH$29&lt;ProposalToGnatt[[#This Row],[Start Date]]+ProposalToGnatt[[#This Row],[Days]]),$G$5,"")),"")</f>
        <v/>
      </c>
      <c r="AI62" s="37" t="str">
        <f ca="1">IFERROR(+IF(AI$29=ProposalToGnatt[[#This Row],[Start Date]],Milestone_Marker,IF(AND(AI$29&gt;ProposalToGnatt[[#This Row],[Start Date]],AI$29&lt;ProposalToGnatt[[#This Row],[Start Date]]+ProposalToGnatt[[#This Row],[Days]]),$G$5,"")),"")</f>
        <v/>
      </c>
      <c r="AJ62" s="37" t="str">
        <f ca="1">IFERROR(+IF(AJ$29=ProposalToGnatt[[#This Row],[Start Date]],Milestone_Marker,IF(AND(AJ$29&gt;ProposalToGnatt[[#This Row],[Start Date]],AJ$29&lt;ProposalToGnatt[[#This Row],[Start Date]]+ProposalToGnatt[[#This Row],[Days]]),$G$5,"")),"")</f>
        <v/>
      </c>
      <c r="AK62" s="37" t="str">
        <f ca="1">IFERROR(+IF(AK$29=ProposalToGnatt[[#This Row],[Start Date]],Milestone_Marker,IF(AND(AK$29&gt;ProposalToGnatt[[#This Row],[Start Date]],AK$29&lt;ProposalToGnatt[[#This Row],[Start Date]]+ProposalToGnatt[[#This Row],[Days]]),$G$5,"")),"")</f>
        <v/>
      </c>
      <c r="AL62" s="37" t="str">
        <f ca="1">IFERROR(+IF(AL$29=ProposalToGnatt[[#This Row],[Start Date]],Milestone_Marker,IF(AND(AL$29&gt;ProposalToGnatt[[#This Row],[Start Date]],AL$29&lt;ProposalToGnatt[[#This Row],[Start Date]]+ProposalToGnatt[[#This Row],[Days]]),$G$5,"")),"")</f>
        <v/>
      </c>
      <c r="AM62" s="37" t="str">
        <f ca="1">IFERROR(+IF(AM$29=ProposalToGnatt[[#This Row],[Start Date]],Milestone_Marker,IF(AND(AM$29&gt;ProposalToGnatt[[#This Row],[Start Date]],AM$29&lt;ProposalToGnatt[[#This Row],[Start Date]]+ProposalToGnatt[[#This Row],[Days]]),$G$5,"")),"")</f>
        <v/>
      </c>
      <c r="AN62" s="37" t="str">
        <f ca="1">IFERROR(+IF(AN$29=ProposalToGnatt[[#This Row],[Start Date]],Milestone_Marker,IF(AND(AN$29&gt;ProposalToGnatt[[#This Row],[Start Date]],AN$29&lt;ProposalToGnatt[[#This Row],[Start Date]]+ProposalToGnatt[[#This Row],[Days]]),$G$5,"")),"")</f>
        <v/>
      </c>
      <c r="AO62" s="37" t="str">
        <f ca="1">IFERROR(+IF(AO$29=ProposalToGnatt[[#This Row],[Start Date]],Milestone_Marker,IF(AND(AO$29&gt;ProposalToGnatt[[#This Row],[Start Date]],AO$29&lt;ProposalToGnatt[[#This Row],[Start Date]]+ProposalToGnatt[[#This Row],[Days]]),$G$5,"")),"")</f>
        <v/>
      </c>
      <c r="AP62" s="37" t="str">
        <f ca="1">IFERROR(+IF(AP$29=ProposalToGnatt[[#This Row],[Start Date]],Milestone_Marker,IF(AND(AP$29&gt;ProposalToGnatt[[#This Row],[Start Date]],AP$29&lt;ProposalToGnatt[[#This Row],[Start Date]]+ProposalToGnatt[[#This Row],[Days]]),$G$5,"")),"")</f>
        <v/>
      </c>
      <c r="AQ62" s="37" t="str">
        <f ca="1">IFERROR(+IF(AQ$29=ProposalToGnatt[[#This Row],[Start Date]],Milestone_Marker,IF(AND(AQ$29&gt;ProposalToGnatt[[#This Row],[Start Date]],AQ$29&lt;ProposalToGnatt[[#This Row],[Start Date]]+ProposalToGnatt[[#This Row],[Days]]),$G$5,"")),"")</f>
        <v/>
      </c>
      <c r="AR62" s="37" t="str">
        <f ca="1">IFERROR(+IF(AR$29=ProposalToGnatt[[#This Row],[Start Date]],Milestone_Marker,IF(AND(AR$29&gt;ProposalToGnatt[[#This Row],[Start Date]],AR$29&lt;ProposalToGnatt[[#This Row],[Start Date]]+ProposalToGnatt[[#This Row],[Days]]),$G$5,"")),"")</f>
        <v/>
      </c>
      <c r="AS62" s="37" t="str">
        <f ca="1">IFERROR(+IF(AS$29=ProposalToGnatt[[#This Row],[Start Date]],Milestone_Marker,IF(AND(AS$29&gt;ProposalToGnatt[[#This Row],[Start Date]],AS$29&lt;ProposalToGnatt[[#This Row],[Start Date]]+ProposalToGnatt[[#This Row],[Days]]),$G$5,"")),"")</f>
        <v/>
      </c>
      <c r="AT62" s="37" t="str">
        <f ca="1">IFERROR(+IF(AT$29=ProposalToGnatt[[#This Row],[Start Date]],Milestone_Marker,IF(AND(AT$29&gt;ProposalToGnatt[[#This Row],[Start Date]],AT$29&lt;ProposalToGnatt[[#This Row],[Start Date]]+ProposalToGnatt[[#This Row],[Days]]),$G$5,"")),"")</f>
        <v/>
      </c>
      <c r="AU62" s="37" t="str">
        <f ca="1">IFERROR(+IF(AU$29=ProposalToGnatt[[#This Row],[Start Date]],Milestone_Marker,IF(AND(AU$29&gt;ProposalToGnatt[[#This Row],[Start Date]],AU$29&lt;ProposalToGnatt[[#This Row],[Start Date]]+ProposalToGnatt[[#This Row],[Days]]),$G$5,"")),"")</f>
        <v/>
      </c>
      <c r="AV62" s="37" t="str">
        <f ca="1">IFERROR(+IF(AV$29=ProposalToGnatt[[#This Row],[Start Date]],Milestone_Marker,IF(AND(AV$29&gt;ProposalToGnatt[[#This Row],[Start Date]],AV$29&lt;ProposalToGnatt[[#This Row],[Start Date]]+ProposalToGnatt[[#This Row],[Days]]),$G$5,"")),"")</f>
        <v/>
      </c>
      <c r="AW62" s="37" t="str">
        <f ca="1">IFERROR(+IF(AW$29=ProposalToGnatt[[#This Row],[Start Date]],Milestone_Marker,IF(AND(AW$29&gt;ProposalToGnatt[[#This Row],[Start Date]],AW$29&lt;ProposalToGnatt[[#This Row],[Start Date]]+ProposalToGnatt[[#This Row],[Days]]),$G$5,"")),"")</f>
        <v/>
      </c>
      <c r="AX62" s="37" t="str">
        <f ca="1">IFERROR(+IF(AX$29=ProposalToGnatt[[#This Row],[Start Date]],Milestone_Marker,IF(AND(AX$29&gt;ProposalToGnatt[[#This Row],[Start Date]],AX$29&lt;ProposalToGnatt[[#This Row],[Start Date]]+ProposalToGnatt[[#This Row],[Days]]),$G$5,"")),"")</f>
        <v/>
      </c>
      <c r="AY62" s="37" t="str">
        <f ca="1">IFERROR(+IF(AY$29=ProposalToGnatt[[#This Row],[Start Date]],Milestone_Marker,IF(AND(AY$29&gt;ProposalToGnatt[[#This Row],[Start Date]],AY$29&lt;ProposalToGnatt[[#This Row],[Start Date]]+ProposalToGnatt[[#This Row],[Days]]),$G$5,"")),"")</f>
        <v/>
      </c>
      <c r="AZ62" s="37" t="str">
        <f ca="1">IFERROR(+IF(AZ$29=ProposalToGnatt[[#This Row],[Start Date]],Milestone_Marker,IF(AND(AZ$29&gt;ProposalToGnatt[[#This Row],[Start Date]],AZ$29&lt;ProposalToGnatt[[#This Row],[Start Date]]+ProposalToGnatt[[#This Row],[Days]]),$G$5,"")),"")</f>
        <v/>
      </c>
      <c r="BA62" s="37" t="str">
        <f ca="1">IFERROR(+IF(BA$29=ProposalToGnatt[[#This Row],[Start Date]],Milestone_Marker,IF(AND(BA$29&gt;ProposalToGnatt[[#This Row],[Start Date]],BA$29&lt;ProposalToGnatt[[#This Row],[Start Date]]+ProposalToGnatt[[#This Row],[Days]]),$G$5,"")),"")</f>
        <v/>
      </c>
      <c r="BB62" s="37" t="str">
        <f ca="1">IFERROR(+IF(BB$29=ProposalToGnatt[[#This Row],[Start Date]],Milestone_Marker,IF(AND(BB$29&gt;ProposalToGnatt[[#This Row],[Start Date]],BB$29&lt;ProposalToGnatt[[#This Row],[Start Date]]+ProposalToGnatt[[#This Row],[Days]]),$G$5,"")),"")</f>
        <v/>
      </c>
      <c r="BC62" s="37" t="str">
        <f ca="1">IFERROR(+IF(BC$29=ProposalToGnatt[[#This Row],[Start Date]],Milestone_Marker,IF(AND(BC$29&gt;ProposalToGnatt[[#This Row],[Start Date]],BC$29&lt;ProposalToGnatt[[#This Row],[Start Date]]+ProposalToGnatt[[#This Row],[Days]]),$G$5,"")),"")</f>
        <v/>
      </c>
      <c r="BD62" s="37" t="str">
        <f ca="1">IFERROR(+IF(BD$29=ProposalToGnatt[[#This Row],[Start Date]],Milestone_Marker,IF(AND(BD$29&gt;ProposalToGnatt[[#This Row],[Start Date]],BD$29&lt;ProposalToGnatt[[#This Row],[Start Date]]+ProposalToGnatt[[#This Row],[Days]]),$G$5,"")),"")</f>
        <v/>
      </c>
      <c r="BE62" s="37" t="str">
        <f ca="1">IFERROR(+IF(BE$29=ProposalToGnatt[[#This Row],[Start Date]],Milestone_Marker,IF(AND(BE$29&gt;ProposalToGnatt[[#This Row],[Start Date]],BE$29&lt;ProposalToGnatt[[#This Row],[Start Date]]+ProposalToGnatt[[#This Row],[Days]]),$G$5,"")),"")</f>
        <v/>
      </c>
      <c r="BF62" s="37" t="str">
        <f ca="1">IFERROR(+IF(BF$29=ProposalToGnatt[[#This Row],[Start Date]],Milestone_Marker,IF(AND(BF$29&gt;ProposalToGnatt[[#This Row],[Start Date]],BF$29&lt;ProposalToGnatt[[#This Row],[Start Date]]+ProposalToGnatt[[#This Row],[Days]]),$G$5,"")),"")</f>
        <v/>
      </c>
      <c r="BG62" s="37" t="str">
        <f ca="1">IFERROR(+IF(BG$29=ProposalToGnatt[[#This Row],[Start Date]],Milestone_Marker,IF(AND(BG$29&gt;ProposalToGnatt[[#This Row],[Start Date]],BG$29&lt;ProposalToGnatt[[#This Row],[Start Date]]+ProposalToGnatt[[#This Row],[Days]]),$G$5,"")),"")</f>
        <v/>
      </c>
      <c r="BH62" s="37" t="str">
        <f ca="1">IFERROR(+IF(BH$29=ProposalToGnatt[[#This Row],[Start Date]],Milestone_Marker,IF(AND(BH$29&gt;ProposalToGnatt[[#This Row],[Start Date]],BH$29&lt;ProposalToGnatt[[#This Row],[Start Date]]+ProposalToGnatt[[#This Row],[Days]]),$G$5,"")),"")</f>
        <v/>
      </c>
      <c r="BI62" s="37" t="str">
        <f ca="1">IFERROR(+IF(BI$29=ProposalToGnatt[[#This Row],[Start Date]],Milestone_Marker,IF(AND(BI$29&gt;ProposalToGnatt[[#This Row],[Start Date]],BI$29&lt;ProposalToGnatt[[#This Row],[Start Date]]+ProposalToGnatt[[#This Row],[Days]]),$G$5,"")),"")</f>
        <v/>
      </c>
      <c r="BJ62" s="37" t="str">
        <f ca="1">IFERROR(+IF(BJ$29=ProposalToGnatt[[#This Row],[Start Date]],Milestone_Marker,IF(AND(BJ$29&gt;ProposalToGnatt[[#This Row],[Start Date]],BJ$29&lt;ProposalToGnatt[[#This Row],[Start Date]]+ProposalToGnatt[[#This Row],[Days]]),$G$5,"")),"")</f>
        <v/>
      </c>
      <c r="BK62" s="37" t="str">
        <f ca="1">IFERROR(+IF(BK$29=ProposalToGnatt[[#This Row],[Start Date]],Milestone_Marker,IF(AND(BK$29&gt;ProposalToGnatt[[#This Row],[Start Date]],BK$29&lt;ProposalToGnatt[[#This Row],[Start Date]]+ProposalToGnatt[[#This Row],[Days]]),$G$5,"")),"")</f>
        <v/>
      </c>
      <c r="BL62" s="37" t="str">
        <f ca="1">IFERROR(+IF(BL$29=ProposalToGnatt[[#This Row],[Start Date]],Milestone_Marker,IF(AND(BL$29&gt;ProposalToGnatt[[#This Row],[Start Date]],BL$29&lt;ProposalToGnatt[[#This Row],[Start Date]]+ProposalToGnatt[[#This Row],[Days]]),$G$5,"")),"")</f>
        <v/>
      </c>
      <c r="BM62" s="37" t="str">
        <f ca="1">IFERROR(+IF(BM$29=ProposalToGnatt[[#This Row],[Start Date]],Milestone_Marker,IF(AND(BM$29&gt;ProposalToGnatt[[#This Row],[Start Date]],BM$29&lt;ProposalToGnatt[[#This Row],[Start Date]]+ProposalToGnatt[[#This Row],[Days]]),$G$5,"")),"")</f>
        <v/>
      </c>
      <c r="BN62" s="37" t="str">
        <f ca="1">IFERROR(+IF(BN$29=ProposalToGnatt[[#This Row],[Start Date]],Milestone_Marker,IF(AND(BN$29&gt;ProposalToGnatt[[#This Row],[Start Date]],BN$29&lt;ProposalToGnatt[[#This Row],[Start Date]]+ProposalToGnatt[[#This Row],[Days]]),$G$5,"")),"")</f>
        <v/>
      </c>
      <c r="BO62" s="37" t="str">
        <f ca="1">IFERROR(+IF(BO$29=ProposalToGnatt[[#This Row],[Start Date]],Milestone_Marker,IF(AND(BO$29&gt;ProposalToGnatt[[#This Row],[Start Date]],BO$29&lt;ProposalToGnatt[[#This Row],[Start Date]]+ProposalToGnatt[[#This Row],[Days]]),$G$5,"")),"")</f>
        <v/>
      </c>
      <c r="BP62" s="37" t="str">
        <f ca="1">IFERROR(+IF(BP$29=ProposalToGnatt[[#This Row],[Start Date]],Milestone_Marker,IF(AND(BP$29&gt;ProposalToGnatt[[#This Row],[Start Date]],BP$29&lt;ProposalToGnatt[[#This Row],[Start Date]]+ProposalToGnatt[[#This Row],[Days]]),$G$5,"")),"")</f>
        <v/>
      </c>
      <c r="BQ62" s="37" t="str">
        <f ca="1">IFERROR(+IF(BQ$29=ProposalToGnatt[[#This Row],[Start Date]],Milestone_Marker,IF(AND(BQ$29&gt;ProposalToGnatt[[#This Row],[Start Date]],BQ$29&lt;ProposalToGnatt[[#This Row],[Start Date]]+ProposalToGnatt[[#This Row],[Days]]),$G$5,"")),"")</f>
        <v/>
      </c>
      <c r="BR62" s="37" t="str">
        <f ca="1">IFERROR(+IF(BR$29=ProposalToGnatt[[#This Row],[Start Date]],Milestone_Marker,IF(AND(BR$29&gt;ProposalToGnatt[[#This Row],[Start Date]],BR$29&lt;ProposalToGnatt[[#This Row],[Start Date]]+ProposalToGnatt[[#This Row],[Days]]),$G$5,"")),"")</f>
        <v/>
      </c>
      <c r="BS62" s="37" t="str">
        <f ca="1">IFERROR(+IF(BS$29=ProposalToGnatt[[#This Row],[Start Date]],Milestone_Marker,IF(AND(BS$29&gt;ProposalToGnatt[[#This Row],[Start Date]],BS$29&lt;ProposalToGnatt[[#This Row],[Start Date]]+ProposalToGnatt[[#This Row],[Days]]),$G$5,"")),"")</f>
        <v/>
      </c>
      <c r="BT62" s="37" t="str">
        <f ca="1">IFERROR(+IF(BT$29=ProposalToGnatt[[#This Row],[Start Date]],Milestone_Marker,IF(AND(BT$29&gt;ProposalToGnatt[[#This Row],[Start Date]],BT$29&lt;ProposalToGnatt[[#This Row],[Start Date]]+ProposalToGnatt[[#This Row],[Days]]),$G$5,"")),"")</f>
        <v/>
      </c>
      <c r="BU62" s="37" t="str">
        <f ca="1">IFERROR(+IF(BU$29=ProposalToGnatt[[#This Row],[Start Date]],Milestone_Marker,IF(AND(BU$29&gt;ProposalToGnatt[[#This Row],[Start Date]],BU$29&lt;ProposalToGnatt[[#This Row],[Start Date]]+ProposalToGnatt[[#This Row],[Days]]),$G$5,"")),"")</f>
        <v/>
      </c>
      <c r="BV62" s="37" t="str">
        <f ca="1">IFERROR(+IF(BV$29=ProposalToGnatt[[#This Row],[Start Date]],Milestone_Marker,IF(AND(BV$29&gt;ProposalToGnatt[[#This Row],[Start Date]],BV$29&lt;ProposalToGnatt[[#This Row],[Start Date]]+ProposalToGnatt[[#This Row],[Days]]),$G$5,"")),"")</f>
        <v/>
      </c>
      <c r="BW62" s="37" t="str">
        <f ca="1">IFERROR(+IF(BW$29=ProposalToGnatt[[#This Row],[Start Date]],Milestone_Marker,IF(AND(BW$29&gt;ProposalToGnatt[[#This Row],[Start Date]],BW$29&lt;ProposalToGnatt[[#This Row],[Start Date]]+ProposalToGnatt[[#This Row],[Days]]),$G$5,"")),"")</f>
        <v/>
      </c>
      <c r="BX62" s="37" t="str">
        <f ca="1">IFERROR(+IF(BX$29=ProposalToGnatt[[#This Row],[Start Date]],Milestone_Marker,IF(AND(BX$29&gt;ProposalToGnatt[[#This Row],[Start Date]],BX$29&lt;ProposalToGnatt[[#This Row],[Start Date]]+ProposalToGnatt[[#This Row],[Days]]),$G$5,"")),"")</f>
        <v/>
      </c>
      <c r="BY62" s="37" t="str">
        <f ca="1">IFERROR(+IF(BY$29=ProposalToGnatt[[#This Row],[Start Date]],Milestone_Marker,IF(AND(BY$29&gt;ProposalToGnatt[[#This Row],[Start Date]],BY$29&lt;ProposalToGnatt[[#This Row],[Start Date]]+ProposalToGnatt[[#This Row],[Days]]),$G$5,"")),"")</f>
        <v/>
      </c>
      <c r="BZ62" s="37" t="str">
        <f ca="1">IFERROR(+IF(BZ$29=ProposalToGnatt[[#This Row],[Start Date]],Milestone_Marker,IF(AND(BZ$29&gt;ProposalToGnatt[[#This Row],[Start Date]],BZ$29&lt;ProposalToGnatt[[#This Row],[Start Date]]+ProposalToGnatt[[#This Row],[Days]]),$G$5,"")),"")</f>
        <v/>
      </c>
      <c r="CA62" s="37" t="str">
        <f ca="1">IFERROR(+IF(CA$29=ProposalToGnatt[[#This Row],[Start Date]],Milestone_Marker,IF(AND(CA$29&gt;ProposalToGnatt[[#This Row],[Start Date]],CA$29&lt;ProposalToGnatt[[#This Row],[Start Date]]+ProposalToGnatt[[#This Row],[Days]]),$G$5,"")),"")</f>
        <v/>
      </c>
      <c r="CB62" s="37" t="str">
        <f ca="1">IFERROR(+IF(CB$29=ProposalToGnatt[[#This Row],[Start Date]],Milestone_Marker,IF(AND(CB$29&gt;ProposalToGnatt[[#This Row],[Start Date]],CB$29&lt;ProposalToGnatt[[#This Row],[Start Date]]+ProposalToGnatt[[#This Row],[Days]]),$G$5,"")),"")</f>
        <v/>
      </c>
      <c r="CC62" s="37" t="str">
        <f ca="1">IFERROR(+IF(CC$29=ProposalToGnatt[[#This Row],[Start Date]],Milestone_Marker,IF(AND(CC$29&gt;ProposalToGnatt[[#This Row],[Start Date]],CC$29&lt;ProposalToGnatt[[#This Row],[Start Date]]+ProposalToGnatt[[#This Row],[Days]]),$G$5,"")),"")</f>
        <v/>
      </c>
      <c r="CD62" s="37" t="str">
        <f ca="1">IFERROR(+IF(CD$29=ProposalToGnatt[[#This Row],[Start Date]],Milestone_Marker,IF(AND(CD$29&gt;ProposalToGnatt[[#This Row],[Start Date]],CD$29&lt;ProposalToGnatt[[#This Row],[Start Date]]+ProposalToGnatt[[#This Row],[Days]]),$G$5,"")),"")</f>
        <v/>
      </c>
      <c r="CE62" s="37" t="str">
        <f ca="1">IFERROR(+IF(CE$29=ProposalToGnatt[[#This Row],[Start Date]],Milestone_Marker,IF(AND(CE$29&gt;ProposalToGnatt[[#This Row],[Start Date]],CE$29&lt;ProposalToGnatt[[#This Row],[Start Date]]+ProposalToGnatt[[#This Row],[Days]]),$G$5,"")),"")</f>
        <v/>
      </c>
      <c r="CF62" s="37" t="str">
        <f ca="1">IFERROR(+IF(CF$29=ProposalToGnatt[[#This Row],[Start Date]],Milestone_Marker,IF(AND(CF$29&gt;ProposalToGnatt[[#This Row],[Start Date]],CF$29&lt;ProposalToGnatt[[#This Row],[Start Date]]+ProposalToGnatt[[#This Row],[Days]]),$G$5,"")),"")</f>
        <v/>
      </c>
      <c r="CG62" s="37" t="str">
        <f ca="1">IFERROR(+IF(CG$29=ProposalToGnatt[[#This Row],[Start Date]],Milestone_Marker,IF(AND(CG$29&gt;ProposalToGnatt[[#This Row],[Start Date]],CG$29&lt;ProposalToGnatt[[#This Row],[Start Date]]+ProposalToGnatt[[#This Row],[Days]]),$G$5,"")),"")</f>
        <v/>
      </c>
      <c r="CH62" s="37" t="str">
        <f ca="1">IFERROR(+IF(CH$29=ProposalToGnatt[[#This Row],[Start Date]],Milestone_Marker,IF(AND(CH$29&gt;ProposalToGnatt[[#This Row],[Start Date]],CH$29&lt;ProposalToGnatt[[#This Row],[Start Date]]+ProposalToGnatt[[#This Row],[Days]]),$G$5,"")),"")</f>
        <v/>
      </c>
      <c r="CI62" s="37" t="str">
        <f ca="1">IFERROR(+IF(CI$29=ProposalToGnatt[[#This Row],[Start Date]],Milestone_Marker,IF(AND(CI$29&gt;ProposalToGnatt[[#This Row],[Start Date]],CI$29&lt;ProposalToGnatt[[#This Row],[Start Date]]+ProposalToGnatt[[#This Row],[Days]]),$G$5,"")),"")</f>
        <v/>
      </c>
      <c r="CJ62" s="37" t="str">
        <f ca="1">IFERROR(+IF(CJ$29=ProposalToGnatt[[#This Row],[Start Date]],Milestone_Marker,IF(AND(CJ$29&gt;ProposalToGnatt[[#This Row],[Start Date]],CJ$29&lt;ProposalToGnatt[[#This Row],[Start Date]]+ProposalToGnatt[[#This Row],[Days]]),$G$5,"")),"")</f>
        <v/>
      </c>
      <c r="CK62" s="37" t="str">
        <f ca="1">IFERROR(+IF(CK$29=ProposalToGnatt[[#This Row],[Start Date]],Milestone_Marker,IF(AND(CK$29&gt;ProposalToGnatt[[#This Row],[Start Date]],CK$29&lt;ProposalToGnatt[[#This Row],[Start Date]]+ProposalToGnatt[[#This Row],[Days]]),$G$5,"")),"")</f>
        <v/>
      </c>
      <c r="CL62" s="37" t="str">
        <f ca="1">IFERROR(+IF(CL$29=ProposalToGnatt[[#This Row],[Start Date]],Milestone_Marker,IF(AND(CL$29&gt;ProposalToGnatt[[#This Row],[Start Date]],CL$29&lt;ProposalToGnatt[[#This Row],[Start Date]]+ProposalToGnatt[[#This Row],[Days]]),$G$5,"")),"")</f>
        <v/>
      </c>
      <c r="CM62" s="37" t="str">
        <f ca="1">IFERROR(+IF(CM$29=ProposalToGnatt[[#This Row],[Start Date]],Milestone_Marker,IF(AND(CM$29&gt;ProposalToGnatt[[#This Row],[Start Date]],CM$29&lt;ProposalToGnatt[[#This Row],[Start Date]]+ProposalToGnatt[[#This Row],[Days]]),$G$5,"")),"")</f>
        <v/>
      </c>
      <c r="CN62" s="37" t="str">
        <f ca="1">IFERROR(+IF(CN$29=ProposalToGnatt[[#This Row],[Start Date]],Milestone_Marker,IF(AND(CN$29&gt;ProposalToGnatt[[#This Row],[Start Date]],CN$29&lt;ProposalToGnatt[[#This Row],[Start Date]]+ProposalToGnatt[[#This Row],[Days]]),$G$5,"")),"")</f>
        <v/>
      </c>
      <c r="CO62" s="37" t="str">
        <f ca="1">IFERROR(+IF(CO$29=ProposalToGnatt[[#This Row],[Start Date]],Milestone_Marker,IF(AND(CO$29&gt;ProposalToGnatt[[#This Row],[Start Date]],CO$29&lt;ProposalToGnatt[[#This Row],[Start Date]]+ProposalToGnatt[[#This Row],[Days]]),$G$5,"")),"")</f>
        <v/>
      </c>
      <c r="CP62" s="37" t="str">
        <f ca="1">IFERROR(+IF(CP$29=ProposalToGnatt[[#This Row],[Start Date]],Milestone_Marker,IF(AND(CP$29&gt;ProposalToGnatt[[#This Row],[Start Date]],CP$29&lt;ProposalToGnatt[[#This Row],[Start Date]]+ProposalToGnatt[[#This Row],[Days]]),$G$5,"")),"")</f>
        <v/>
      </c>
      <c r="CQ62" s="37" t="str">
        <f ca="1">IFERROR(+IF(CQ$29=ProposalToGnatt[[#This Row],[Start Date]],Milestone_Marker,IF(AND(CQ$29&gt;ProposalToGnatt[[#This Row],[Start Date]],CQ$29&lt;ProposalToGnatt[[#This Row],[Start Date]]+ProposalToGnatt[[#This Row],[Days]]),$G$5,"")),"")</f>
        <v/>
      </c>
      <c r="CR62" s="37" t="str">
        <f ca="1">IFERROR(+IF(CR$29=ProposalToGnatt[[#This Row],[Start Date]],Milestone_Marker,IF(AND(CR$29&gt;ProposalToGnatt[[#This Row],[Start Date]],CR$29&lt;ProposalToGnatt[[#This Row],[Start Date]]+ProposalToGnatt[[#This Row],[Days]]),$G$5,"")),"")</f>
        <v/>
      </c>
      <c r="CS62" s="37" t="str">
        <f ca="1">IFERROR(+IF(CS$29=ProposalToGnatt[[#This Row],[Start Date]],Milestone_Marker,IF(AND(CS$29&gt;ProposalToGnatt[[#This Row],[Start Date]],CS$29&lt;ProposalToGnatt[[#This Row],[Start Date]]+ProposalToGnatt[[#This Row],[Days]]),$G$5,"")),"")</f>
        <v/>
      </c>
      <c r="CT62" s="37" t="str">
        <f ca="1">IFERROR(+IF(CT$29=ProposalToGnatt[[#This Row],[Start Date]],Milestone_Marker,IF(AND(CT$29&gt;ProposalToGnatt[[#This Row],[Start Date]],CT$29&lt;ProposalToGnatt[[#This Row],[Start Date]]+ProposalToGnatt[[#This Row],[Days]]),$G$5,"")),"")</f>
        <v/>
      </c>
      <c r="CU62" s="37" t="str">
        <f ca="1">IFERROR(+IF(CU$29=ProposalToGnatt[[#This Row],[Start Date]],Milestone_Marker,IF(AND(CU$29&gt;ProposalToGnatt[[#This Row],[Start Date]],CU$29&lt;ProposalToGnatt[[#This Row],[Start Date]]+ProposalToGnatt[[#This Row],[Days]]),$G$5,"")),"")</f>
        <v/>
      </c>
      <c r="CV62" s="37"/>
      <c r="CW62" s="37"/>
      <c r="CX62" s="37"/>
      <c r="CY62" s="37"/>
      <c r="CZ62" s="37"/>
      <c r="DA62" s="37"/>
      <c r="DB62" s="37"/>
      <c r="DC62" s="37"/>
      <c r="DD62" s="37"/>
      <c r="DE62" s="37"/>
      <c r="DF62" s="37"/>
      <c r="DG62" s="37"/>
      <c r="DH62" s="37"/>
      <c r="DI62" s="37"/>
      <c r="DJ62" s="37"/>
      <c r="DK62" s="37"/>
      <c r="DL62" s="37"/>
      <c r="DM62" s="37"/>
      <c r="DN62" s="37"/>
      <c r="DO62" s="37"/>
      <c r="DP62" s="37"/>
      <c r="DQ62" s="37"/>
      <c r="DR62" s="37"/>
      <c r="DS62" s="37"/>
      <c r="DT62" s="37"/>
      <c r="DU62" s="37"/>
    </row>
    <row r="63" spans="1:125" s="42" customFormat="1" ht="15" x14ac:dyDescent="0.25">
      <c r="A63" t="s">
        <v>428</v>
      </c>
      <c r="B63">
        <v>37</v>
      </c>
      <c r="C63" t="s">
        <v>311</v>
      </c>
      <c r="D63" t="s">
        <v>356</v>
      </c>
      <c r="E63" t="s">
        <v>357</v>
      </c>
      <c r="F63">
        <v>1</v>
      </c>
      <c r="G63" s="14">
        <v>1800</v>
      </c>
      <c r="H63" s="14">
        <v>1800</v>
      </c>
      <c r="I63" t="s">
        <v>45</v>
      </c>
      <c r="J63">
        <v>2</v>
      </c>
      <c r="K63" s="303"/>
      <c r="L63"/>
      <c r="M63" s="14"/>
      <c r="N63" s="352">
        <v>1800</v>
      </c>
      <c r="O63" s="340"/>
      <c r="P63" s="37" t="str">
        <f ca="1">IFERROR(+IF(P$29=ProposalToGnatt[[#This Row],[Start Date]],Milestone_Marker,IF(AND(P$29&gt;ProposalToGnatt[[#This Row],[Start Date]],P$29&lt;ProposalToGnatt[[#This Row],[Start Date]]+ProposalToGnatt[[#This Row],[Days]]),$G$5,"")),"")</f>
        <v/>
      </c>
      <c r="Q63" s="37" t="str">
        <f ca="1">IFERROR(+IF(Q$29=ProposalToGnatt[[#This Row],[Start Date]],Milestone_Marker,IF(AND(Q$29&gt;ProposalToGnatt[[#This Row],[Start Date]],Q$29&lt;ProposalToGnatt[[#This Row],[Start Date]]+ProposalToGnatt[[#This Row],[Days]]),$G$5,"")),"")</f>
        <v/>
      </c>
      <c r="R63" s="37" t="str">
        <f ca="1">IFERROR(+IF(R$29=ProposalToGnatt[[#This Row],[Start Date]],Milestone_Marker,IF(AND(R$29&gt;ProposalToGnatt[[#This Row],[Start Date]],R$29&lt;ProposalToGnatt[[#This Row],[Start Date]]+ProposalToGnatt[[#This Row],[Days]]),$G$5,"")),"")</f>
        <v/>
      </c>
      <c r="S63" s="37" t="str">
        <f ca="1">IFERROR(+IF(S$29=ProposalToGnatt[[#This Row],[Start Date]],Milestone_Marker,IF(AND(S$29&gt;ProposalToGnatt[[#This Row],[Start Date]],S$29&lt;ProposalToGnatt[[#This Row],[Start Date]]+ProposalToGnatt[[#This Row],[Days]]),$G$5,"")),"")</f>
        <v/>
      </c>
      <c r="T63" s="37" t="str">
        <f ca="1">IFERROR(+IF(T$29=ProposalToGnatt[[#This Row],[Start Date]],Milestone_Marker,IF(AND(T$29&gt;ProposalToGnatt[[#This Row],[Start Date]],T$29&lt;ProposalToGnatt[[#This Row],[Start Date]]+ProposalToGnatt[[#This Row],[Days]]),$G$5,"")),"")</f>
        <v/>
      </c>
      <c r="U63" s="37" t="str">
        <f ca="1">IFERROR(+IF(U$29=ProposalToGnatt[[#This Row],[Start Date]],Milestone_Marker,IF(AND(U$29&gt;ProposalToGnatt[[#This Row],[Start Date]],U$29&lt;ProposalToGnatt[[#This Row],[Start Date]]+ProposalToGnatt[[#This Row],[Days]]),$G$5,"")),"")</f>
        <v/>
      </c>
      <c r="V63" s="37" t="str">
        <f ca="1">IFERROR(+IF(V$29=ProposalToGnatt[[#This Row],[Start Date]],Milestone_Marker,IF(AND(V$29&gt;ProposalToGnatt[[#This Row],[Start Date]],V$29&lt;ProposalToGnatt[[#This Row],[Start Date]]+ProposalToGnatt[[#This Row],[Days]]),$G$5,"")),"")</f>
        <v/>
      </c>
      <c r="W63" s="37" t="str">
        <f ca="1">IFERROR(+IF(W$29=ProposalToGnatt[[#This Row],[Start Date]],Milestone_Marker,IF(AND(W$29&gt;ProposalToGnatt[[#This Row],[Start Date]],W$29&lt;ProposalToGnatt[[#This Row],[Start Date]]+ProposalToGnatt[[#This Row],[Days]]),$G$5,"")),"")</f>
        <v/>
      </c>
      <c r="X63" s="37" t="str">
        <f ca="1">IFERROR(+IF(X$29=ProposalToGnatt[[#This Row],[Start Date]],Milestone_Marker,IF(AND(X$29&gt;ProposalToGnatt[[#This Row],[Start Date]],X$29&lt;ProposalToGnatt[[#This Row],[Start Date]]+ProposalToGnatt[[#This Row],[Days]]),$G$5,"")),"")</f>
        <v/>
      </c>
      <c r="Y63" s="37" t="str">
        <f ca="1">IFERROR(+IF(Y$29=ProposalToGnatt[[#This Row],[Start Date]],Milestone_Marker,IF(AND(Y$29&gt;ProposalToGnatt[[#This Row],[Start Date]],Y$29&lt;ProposalToGnatt[[#This Row],[Start Date]]+ProposalToGnatt[[#This Row],[Days]]),$G$5,"")),"")</f>
        <v/>
      </c>
      <c r="Z63" s="37" t="str">
        <f ca="1">IFERROR(+IF(Z$29=ProposalToGnatt[[#This Row],[Start Date]],Milestone_Marker,IF(AND(Z$29&gt;ProposalToGnatt[[#This Row],[Start Date]],Z$29&lt;ProposalToGnatt[[#This Row],[Start Date]]+ProposalToGnatt[[#This Row],[Days]]),$G$5,"")),"")</f>
        <v/>
      </c>
      <c r="AA63" s="37" t="str">
        <f ca="1">IFERROR(+IF(AA$29=ProposalToGnatt[[#This Row],[Start Date]],Milestone_Marker,IF(AND(AA$29&gt;ProposalToGnatt[[#This Row],[Start Date]],AA$29&lt;ProposalToGnatt[[#This Row],[Start Date]]+ProposalToGnatt[[#This Row],[Days]]),$G$5,"")),"")</f>
        <v/>
      </c>
      <c r="AB63" s="37" t="str">
        <f ca="1">IFERROR(+IF(AB$29=ProposalToGnatt[[#This Row],[Start Date]],Milestone_Marker,IF(AND(AB$29&gt;ProposalToGnatt[[#This Row],[Start Date]],AB$29&lt;ProposalToGnatt[[#This Row],[Start Date]]+ProposalToGnatt[[#This Row],[Days]]),$G$5,"")),"")</f>
        <v/>
      </c>
      <c r="AC63" s="37" t="str">
        <f ca="1">IFERROR(+IF(AC$29=ProposalToGnatt[[#This Row],[Start Date]],Milestone_Marker,IF(AND(AC$29&gt;ProposalToGnatt[[#This Row],[Start Date]],AC$29&lt;ProposalToGnatt[[#This Row],[Start Date]]+ProposalToGnatt[[#This Row],[Days]]),$G$5,"")),"")</f>
        <v/>
      </c>
      <c r="AD63" s="37" t="str">
        <f ca="1">IFERROR(+IF(AD$29=ProposalToGnatt[[#This Row],[Start Date]],Milestone_Marker,IF(AND(AD$29&gt;ProposalToGnatt[[#This Row],[Start Date]],AD$29&lt;ProposalToGnatt[[#This Row],[Start Date]]+ProposalToGnatt[[#This Row],[Days]]),$G$5,"")),"")</f>
        <v/>
      </c>
      <c r="AE63" s="37" t="str">
        <f ca="1">IFERROR(+IF(AE$29=ProposalToGnatt[[#This Row],[Start Date]],Milestone_Marker,IF(AND(AE$29&gt;ProposalToGnatt[[#This Row],[Start Date]],AE$29&lt;ProposalToGnatt[[#This Row],[Start Date]]+ProposalToGnatt[[#This Row],[Days]]),$G$5,"")),"")</f>
        <v/>
      </c>
      <c r="AF63" s="37" t="str">
        <f ca="1">IFERROR(+IF(AF$29=ProposalToGnatt[[#This Row],[Start Date]],Milestone_Marker,IF(AND(AF$29&gt;ProposalToGnatt[[#This Row],[Start Date]],AF$29&lt;ProposalToGnatt[[#This Row],[Start Date]]+ProposalToGnatt[[#This Row],[Days]]),$G$5,"")),"")</f>
        <v/>
      </c>
      <c r="AG63" s="37" t="str">
        <f ca="1">IFERROR(+IF(AG$29=ProposalToGnatt[[#This Row],[Start Date]],Milestone_Marker,IF(AND(AG$29&gt;ProposalToGnatt[[#This Row],[Start Date]],AG$29&lt;ProposalToGnatt[[#This Row],[Start Date]]+ProposalToGnatt[[#This Row],[Days]]),$G$5,"")),"")</f>
        <v/>
      </c>
      <c r="AH63" s="37" t="str">
        <f ca="1">IFERROR(+IF(AH$29=ProposalToGnatt[[#This Row],[Start Date]],Milestone_Marker,IF(AND(AH$29&gt;ProposalToGnatt[[#This Row],[Start Date]],AH$29&lt;ProposalToGnatt[[#This Row],[Start Date]]+ProposalToGnatt[[#This Row],[Days]]),$G$5,"")),"")</f>
        <v/>
      </c>
      <c r="AI63" s="37" t="str">
        <f ca="1">IFERROR(+IF(AI$29=ProposalToGnatt[[#This Row],[Start Date]],Milestone_Marker,IF(AND(AI$29&gt;ProposalToGnatt[[#This Row],[Start Date]],AI$29&lt;ProposalToGnatt[[#This Row],[Start Date]]+ProposalToGnatt[[#This Row],[Days]]),$G$5,"")),"")</f>
        <v/>
      </c>
      <c r="AJ63" s="37" t="str">
        <f ca="1">IFERROR(+IF(AJ$29=ProposalToGnatt[[#This Row],[Start Date]],Milestone_Marker,IF(AND(AJ$29&gt;ProposalToGnatt[[#This Row],[Start Date]],AJ$29&lt;ProposalToGnatt[[#This Row],[Start Date]]+ProposalToGnatt[[#This Row],[Days]]),$G$5,"")),"")</f>
        <v/>
      </c>
      <c r="AK63" s="37" t="str">
        <f ca="1">IFERROR(+IF(AK$29=ProposalToGnatt[[#This Row],[Start Date]],Milestone_Marker,IF(AND(AK$29&gt;ProposalToGnatt[[#This Row],[Start Date]],AK$29&lt;ProposalToGnatt[[#This Row],[Start Date]]+ProposalToGnatt[[#This Row],[Days]]),$G$5,"")),"")</f>
        <v/>
      </c>
      <c r="AL63" s="37" t="str">
        <f ca="1">IFERROR(+IF(AL$29=ProposalToGnatt[[#This Row],[Start Date]],Milestone_Marker,IF(AND(AL$29&gt;ProposalToGnatt[[#This Row],[Start Date]],AL$29&lt;ProposalToGnatt[[#This Row],[Start Date]]+ProposalToGnatt[[#This Row],[Days]]),$G$5,"")),"")</f>
        <v/>
      </c>
      <c r="AM63" s="37" t="str">
        <f ca="1">IFERROR(+IF(AM$29=ProposalToGnatt[[#This Row],[Start Date]],Milestone_Marker,IF(AND(AM$29&gt;ProposalToGnatt[[#This Row],[Start Date]],AM$29&lt;ProposalToGnatt[[#This Row],[Start Date]]+ProposalToGnatt[[#This Row],[Days]]),$G$5,"")),"")</f>
        <v/>
      </c>
      <c r="AN63" s="37" t="str">
        <f ca="1">IFERROR(+IF(AN$29=ProposalToGnatt[[#This Row],[Start Date]],Milestone_Marker,IF(AND(AN$29&gt;ProposalToGnatt[[#This Row],[Start Date]],AN$29&lt;ProposalToGnatt[[#This Row],[Start Date]]+ProposalToGnatt[[#This Row],[Days]]),$G$5,"")),"")</f>
        <v/>
      </c>
      <c r="AO63" s="37" t="str">
        <f ca="1">IFERROR(+IF(AO$29=ProposalToGnatt[[#This Row],[Start Date]],Milestone_Marker,IF(AND(AO$29&gt;ProposalToGnatt[[#This Row],[Start Date]],AO$29&lt;ProposalToGnatt[[#This Row],[Start Date]]+ProposalToGnatt[[#This Row],[Days]]),$G$5,"")),"")</f>
        <v/>
      </c>
      <c r="AP63" s="37" t="str">
        <f ca="1">IFERROR(+IF(AP$29=ProposalToGnatt[[#This Row],[Start Date]],Milestone_Marker,IF(AND(AP$29&gt;ProposalToGnatt[[#This Row],[Start Date]],AP$29&lt;ProposalToGnatt[[#This Row],[Start Date]]+ProposalToGnatt[[#This Row],[Days]]),$G$5,"")),"")</f>
        <v/>
      </c>
      <c r="AQ63" s="37" t="str">
        <f ca="1">IFERROR(+IF(AQ$29=ProposalToGnatt[[#This Row],[Start Date]],Milestone_Marker,IF(AND(AQ$29&gt;ProposalToGnatt[[#This Row],[Start Date]],AQ$29&lt;ProposalToGnatt[[#This Row],[Start Date]]+ProposalToGnatt[[#This Row],[Days]]),$G$5,"")),"")</f>
        <v/>
      </c>
      <c r="AR63" s="37" t="str">
        <f ca="1">IFERROR(+IF(AR$29=ProposalToGnatt[[#This Row],[Start Date]],Milestone_Marker,IF(AND(AR$29&gt;ProposalToGnatt[[#This Row],[Start Date]],AR$29&lt;ProposalToGnatt[[#This Row],[Start Date]]+ProposalToGnatt[[#This Row],[Days]]),$G$5,"")),"")</f>
        <v/>
      </c>
      <c r="AS63" s="37" t="str">
        <f ca="1">IFERROR(+IF(AS$29=ProposalToGnatt[[#This Row],[Start Date]],Milestone_Marker,IF(AND(AS$29&gt;ProposalToGnatt[[#This Row],[Start Date]],AS$29&lt;ProposalToGnatt[[#This Row],[Start Date]]+ProposalToGnatt[[#This Row],[Days]]),$G$5,"")),"")</f>
        <v/>
      </c>
      <c r="AT63" s="37" t="str">
        <f ca="1">IFERROR(+IF(AT$29=ProposalToGnatt[[#This Row],[Start Date]],Milestone_Marker,IF(AND(AT$29&gt;ProposalToGnatt[[#This Row],[Start Date]],AT$29&lt;ProposalToGnatt[[#This Row],[Start Date]]+ProposalToGnatt[[#This Row],[Days]]),$G$5,"")),"")</f>
        <v/>
      </c>
      <c r="AU63" s="37" t="str">
        <f ca="1">IFERROR(+IF(AU$29=ProposalToGnatt[[#This Row],[Start Date]],Milestone_Marker,IF(AND(AU$29&gt;ProposalToGnatt[[#This Row],[Start Date]],AU$29&lt;ProposalToGnatt[[#This Row],[Start Date]]+ProposalToGnatt[[#This Row],[Days]]),$G$5,"")),"")</f>
        <v/>
      </c>
      <c r="AV63" s="37" t="str">
        <f ca="1">IFERROR(+IF(AV$29=ProposalToGnatt[[#This Row],[Start Date]],Milestone_Marker,IF(AND(AV$29&gt;ProposalToGnatt[[#This Row],[Start Date]],AV$29&lt;ProposalToGnatt[[#This Row],[Start Date]]+ProposalToGnatt[[#This Row],[Days]]),$G$5,"")),"")</f>
        <v/>
      </c>
      <c r="AW63" s="37" t="str">
        <f ca="1">IFERROR(+IF(AW$29=ProposalToGnatt[[#This Row],[Start Date]],Milestone_Marker,IF(AND(AW$29&gt;ProposalToGnatt[[#This Row],[Start Date]],AW$29&lt;ProposalToGnatt[[#This Row],[Start Date]]+ProposalToGnatt[[#This Row],[Days]]),$G$5,"")),"")</f>
        <v/>
      </c>
      <c r="AX63" s="37" t="str">
        <f ca="1">IFERROR(+IF(AX$29=ProposalToGnatt[[#This Row],[Start Date]],Milestone_Marker,IF(AND(AX$29&gt;ProposalToGnatt[[#This Row],[Start Date]],AX$29&lt;ProposalToGnatt[[#This Row],[Start Date]]+ProposalToGnatt[[#This Row],[Days]]),$G$5,"")),"")</f>
        <v/>
      </c>
      <c r="AY63" s="37" t="str">
        <f ca="1">IFERROR(+IF(AY$29=ProposalToGnatt[[#This Row],[Start Date]],Milestone_Marker,IF(AND(AY$29&gt;ProposalToGnatt[[#This Row],[Start Date]],AY$29&lt;ProposalToGnatt[[#This Row],[Start Date]]+ProposalToGnatt[[#This Row],[Days]]),$G$5,"")),"")</f>
        <v/>
      </c>
      <c r="AZ63" s="37" t="str">
        <f ca="1">IFERROR(+IF(AZ$29=ProposalToGnatt[[#This Row],[Start Date]],Milestone_Marker,IF(AND(AZ$29&gt;ProposalToGnatt[[#This Row],[Start Date]],AZ$29&lt;ProposalToGnatt[[#This Row],[Start Date]]+ProposalToGnatt[[#This Row],[Days]]),$G$5,"")),"")</f>
        <v/>
      </c>
      <c r="BA63" s="37" t="str">
        <f ca="1">IFERROR(+IF(BA$29=ProposalToGnatt[[#This Row],[Start Date]],Milestone_Marker,IF(AND(BA$29&gt;ProposalToGnatt[[#This Row],[Start Date]],BA$29&lt;ProposalToGnatt[[#This Row],[Start Date]]+ProposalToGnatt[[#This Row],[Days]]),$G$5,"")),"")</f>
        <v/>
      </c>
      <c r="BB63" s="37" t="str">
        <f ca="1">IFERROR(+IF(BB$29=ProposalToGnatt[[#This Row],[Start Date]],Milestone_Marker,IF(AND(BB$29&gt;ProposalToGnatt[[#This Row],[Start Date]],BB$29&lt;ProposalToGnatt[[#This Row],[Start Date]]+ProposalToGnatt[[#This Row],[Days]]),$G$5,"")),"")</f>
        <v/>
      </c>
      <c r="BC63" s="37" t="str">
        <f ca="1">IFERROR(+IF(BC$29=ProposalToGnatt[[#This Row],[Start Date]],Milestone_Marker,IF(AND(BC$29&gt;ProposalToGnatt[[#This Row],[Start Date]],BC$29&lt;ProposalToGnatt[[#This Row],[Start Date]]+ProposalToGnatt[[#This Row],[Days]]),$G$5,"")),"")</f>
        <v/>
      </c>
      <c r="BD63" s="37" t="str">
        <f ca="1">IFERROR(+IF(BD$29=ProposalToGnatt[[#This Row],[Start Date]],Milestone_Marker,IF(AND(BD$29&gt;ProposalToGnatt[[#This Row],[Start Date]],BD$29&lt;ProposalToGnatt[[#This Row],[Start Date]]+ProposalToGnatt[[#This Row],[Days]]),$G$5,"")),"")</f>
        <v/>
      </c>
      <c r="BE63" s="37" t="str">
        <f ca="1">IFERROR(+IF(BE$29=ProposalToGnatt[[#This Row],[Start Date]],Milestone_Marker,IF(AND(BE$29&gt;ProposalToGnatt[[#This Row],[Start Date]],BE$29&lt;ProposalToGnatt[[#This Row],[Start Date]]+ProposalToGnatt[[#This Row],[Days]]),$G$5,"")),"")</f>
        <v/>
      </c>
      <c r="BF63" s="37" t="str">
        <f ca="1">IFERROR(+IF(BF$29=ProposalToGnatt[[#This Row],[Start Date]],Milestone_Marker,IF(AND(BF$29&gt;ProposalToGnatt[[#This Row],[Start Date]],BF$29&lt;ProposalToGnatt[[#This Row],[Start Date]]+ProposalToGnatt[[#This Row],[Days]]),$G$5,"")),"")</f>
        <v/>
      </c>
      <c r="BG63" s="37" t="str">
        <f ca="1">IFERROR(+IF(BG$29=ProposalToGnatt[[#This Row],[Start Date]],Milestone_Marker,IF(AND(BG$29&gt;ProposalToGnatt[[#This Row],[Start Date]],BG$29&lt;ProposalToGnatt[[#This Row],[Start Date]]+ProposalToGnatt[[#This Row],[Days]]),$G$5,"")),"")</f>
        <v/>
      </c>
      <c r="BH63" s="37" t="str">
        <f ca="1">IFERROR(+IF(BH$29=ProposalToGnatt[[#This Row],[Start Date]],Milestone_Marker,IF(AND(BH$29&gt;ProposalToGnatt[[#This Row],[Start Date]],BH$29&lt;ProposalToGnatt[[#This Row],[Start Date]]+ProposalToGnatt[[#This Row],[Days]]),$G$5,"")),"")</f>
        <v/>
      </c>
      <c r="BI63" s="37" t="str">
        <f ca="1">IFERROR(+IF(BI$29=ProposalToGnatt[[#This Row],[Start Date]],Milestone_Marker,IF(AND(BI$29&gt;ProposalToGnatt[[#This Row],[Start Date]],BI$29&lt;ProposalToGnatt[[#This Row],[Start Date]]+ProposalToGnatt[[#This Row],[Days]]),$G$5,"")),"")</f>
        <v/>
      </c>
      <c r="BJ63" s="37" t="str">
        <f ca="1">IFERROR(+IF(BJ$29=ProposalToGnatt[[#This Row],[Start Date]],Milestone_Marker,IF(AND(BJ$29&gt;ProposalToGnatt[[#This Row],[Start Date]],BJ$29&lt;ProposalToGnatt[[#This Row],[Start Date]]+ProposalToGnatt[[#This Row],[Days]]),$G$5,"")),"")</f>
        <v/>
      </c>
      <c r="BK63" s="37" t="str">
        <f ca="1">IFERROR(+IF(BK$29=ProposalToGnatt[[#This Row],[Start Date]],Milestone_Marker,IF(AND(BK$29&gt;ProposalToGnatt[[#This Row],[Start Date]],BK$29&lt;ProposalToGnatt[[#This Row],[Start Date]]+ProposalToGnatt[[#This Row],[Days]]),$G$5,"")),"")</f>
        <v/>
      </c>
      <c r="BL63" s="37" t="str">
        <f ca="1">IFERROR(+IF(BL$29=ProposalToGnatt[[#This Row],[Start Date]],Milestone_Marker,IF(AND(BL$29&gt;ProposalToGnatt[[#This Row],[Start Date]],BL$29&lt;ProposalToGnatt[[#This Row],[Start Date]]+ProposalToGnatt[[#This Row],[Days]]),$G$5,"")),"")</f>
        <v/>
      </c>
      <c r="BM63" s="37" t="str">
        <f ca="1">IFERROR(+IF(BM$29=ProposalToGnatt[[#This Row],[Start Date]],Milestone_Marker,IF(AND(BM$29&gt;ProposalToGnatt[[#This Row],[Start Date]],BM$29&lt;ProposalToGnatt[[#This Row],[Start Date]]+ProposalToGnatt[[#This Row],[Days]]),$G$5,"")),"")</f>
        <v/>
      </c>
      <c r="BN63" s="37" t="str">
        <f ca="1">IFERROR(+IF(BN$29=ProposalToGnatt[[#This Row],[Start Date]],Milestone_Marker,IF(AND(BN$29&gt;ProposalToGnatt[[#This Row],[Start Date]],BN$29&lt;ProposalToGnatt[[#This Row],[Start Date]]+ProposalToGnatt[[#This Row],[Days]]),$G$5,"")),"")</f>
        <v/>
      </c>
      <c r="BO63" s="37" t="str">
        <f ca="1">IFERROR(+IF(BO$29=ProposalToGnatt[[#This Row],[Start Date]],Milestone_Marker,IF(AND(BO$29&gt;ProposalToGnatt[[#This Row],[Start Date]],BO$29&lt;ProposalToGnatt[[#This Row],[Start Date]]+ProposalToGnatt[[#This Row],[Days]]),$G$5,"")),"")</f>
        <v/>
      </c>
      <c r="BP63" s="37" t="str">
        <f ca="1">IFERROR(+IF(BP$29=ProposalToGnatt[[#This Row],[Start Date]],Milestone_Marker,IF(AND(BP$29&gt;ProposalToGnatt[[#This Row],[Start Date]],BP$29&lt;ProposalToGnatt[[#This Row],[Start Date]]+ProposalToGnatt[[#This Row],[Days]]),$G$5,"")),"")</f>
        <v/>
      </c>
      <c r="BQ63" s="37" t="str">
        <f ca="1">IFERROR(+IF(BQ$29=ProposalToGnatt[[#This Row],[Start Date]],Milestone_Marker,IF(AND(BQ$29&gt;ProposalToGnatt[[#This Row],[Start Date]],BQ$29&lt;ProposalToGnatt[[#This Row],[Start Date]]+ProposalToGnatt[[#This Row],[Days]]),$G$5,"")),"")</f>
        <v/>
      </c>
      <c r="BR63" s="37" t="str">
        <f ca="1">IFERROR(+IF(BR$29=ProposalToGnatt[[#This Row],[Start Date]],Milestone_Marker,IF(AND(BR$29&gt;ProposalToGnatt[[#This Row],[Start Date]],BR$29&lt;ProposalToGnatt[[#This Row],[Start Date]]+ProposalToGnatt[[#This Row],[Days]]),$G$5,"")),"")</f>
        <v/>
      </c>
      <c r="BS63" s="37" t="str">
        <f ca="1">IFERROR(+IF(BS$29=ProposalToGnatt[[#This Row],[Start Date]],Milestone_Marker,IF(AND(BS$29&gt;ProposalToGnatt[[#This Row],[Start Date]],BS$29&lt;ProposalToGnatt[[#This Row],[Start Date]]+ProposalToGnatt[[#This Row],[Days]]),$G$5,"")),"")</f>
        <v/>
      </c>
      <c r="BT63" s="37" t="str">
        <f ca="1">IFERROR(+IF(BT$29=ProposalToGnatt[[#This Row],[Start Date]],Milestone_Marker,IF(AND(BT$29&gt;ProposalToGnatt[[#This Row],[Start Date]],BT$29&lt;ProposalToGnatt[[#This Row],[Start Date]]+ProposalToGnatt[[#This Row],[Days]]),$G$5,"")),"")</f>
        <v/>
      </c>
      <c r="BU63" s="37" t="str">
        <f ca="1">IFERROR(+IF(BU$29=ProposalToGnatt[[#This Row],[Start Date]],Milestone_Marker,IF(AND(BU$29&gt;ProposalToGnatt[[#This Row],[Start Date]],BU$29&lt;ProposalToGnatt[[#This Row],[Start Date]]+ProposalToGnatt[[#This Row],[Days]]),$G$5,"")),"")</f>
        <v/>
      </c>
      <c r="BV63" s="37" t="str">
        <f ca="1">IFERROR(+IF(BV$29=ProposalToGnatt[[#This Row],[Start Date]],Milestone_Marker,IF(AND(BV$29&gt;ProposalToGnatt[[#This Row],[Start Date]],BV$29&lt;ProposalToGnatt[[#This Row],[Start Date]]+ProposalToGnatt[[#This Row],[Days]]),$G$5,"")),"")</f>
        <v/>
      </c>
      <c r="BW63" s="37" t="str">
        <f ca="1">IFERROR(+IF(BW$29=ProposalToGnatt[[#This Row],[Start Date]],Milestone_Marker,IF(AND(BW$29&gt;ProposalToGnatt[[#This Row],[Start Date]],BW$29&lt;ProposalToGnatt[[#This Row],[Start Date]]+ProposalToGnatt[[#This Row],[Days]]),$G$5,"")),"")</f>
        <v/>
      </c>
      <c r="BX63" s="37" t="str">
        <f ca="1">IFERROR(+IF(BX$29=ProposalToGnatt[[#This Row],[Start Date]],Milestone_Marker,IF(AND(BX$29&gt;ProposalToGnatt[[#This Row],[Start Date]],BX$29&lt;ProposalToGnatt[[#This Row],[Start Date]]+ProposalToGnatt[[#This Row],[Days]]),$G$5,"")),"")</f>
        <v/>
      </c>
      <c r="BY63" s="37" t="str">
        <f ca="1">IFERROR(+IF(BY$29=ProposalToGnatt[[#This Row],[Start Date]],Milestone_Marker,IF(AND(BY$29&gt;ProposalToGnatt[[#This Row],[Start Date]],BY$29&lt;ProposalToGnatt[[#This Row],[Start Date]]+ProposalToGnatt[[#This Row],[Days]]),$G$5,"")),"")</f>
        <v/>
      </c>
      <c r="BZ63" s="37" t="str">
        <f ca="1">IFERROR(+IF(BZ$29=ProposalToGnatt[[#This Row],[Start Date]],Milestone_Marker,IF(AND(BZ$29&gt;ProposalToGnatt[[#This Row],[Start Date]],BZ$29&lt;ProposalToGnatt[[#This Row],[Start Date]]+ProposalToGnatt[[#This Row],[Days]]),$G$5,"")),"")</f>
        <v/>
      </c>
      <c r="CA63" s="37" t="str">
        <f ca="1">IFERROR(+IF(CA$29=ProposalToGnatt[[#This Row],[Start Date]],Milestone_Marker,IF(AND(CA$29&gt;ProposalToGnatt[[#This Row],[Start Date]],CA$29&lt;ProposalToGnatt[[#This Row],[Start Date]]+ProposalToGnatt[[#This Row],[Days]]),$G$5,"")),"")</f>
        <v/>
      </c>
      <c r="CB63" s="37" t="str">
        <f ca="1">IFERROR(+IF(CB$29=ProposalToGnatt[[#This Row],[Start Date]],Milestone_Marker,IF(AND(CB$29&gt;ProposalToGnatt[[#This Row],[Start Date]],CB$29&lt;ProposalToGnatt[[#This Row],[Start Date]]+ProposalToGnatt[[#This Row],[Days]]),$G$5,"")),"")</f>
        <v/>
      </c>
      <c r="CC63" s="37" t="str">
        <f ca="1">IFERROR(+IF(CC$29=ProposalToGnatt[[#This Row],[Start Date]],Milestone_Marker,IF(AND(CC$29&gt;ProposalToGnatt[[#This Row],[Start Date]],CC$29&lt;ProposalToGnatt[[#This Row],[Start Date]]+ProposalToGnatt[[#This Row],[Days]]),$G$5,"")),"")</f>
        <v/>
      </c>
      <c r="CD63" s="37" t="str">
        <f ca="1">IFERROR(+IF(CD$29=ProposalToGnatt[[#This Row],[Start Date]],Milestone_Marker,IF(AND(CD$29&gt;ProposalToGnatt[[#This Row],[Start Date]],CD$29&lt;ProposalToGnatt[[#This Row],[Start Date]]+ProposalToGnatt[[#This Row],[Days]]),$G$5,"")),"")</f>
        <v/>
      </c>
      <c r="CE63" s="37" t="str">
        <f ca="1">IFERROR(+IF(CE$29=ProposalToGnatt[[#This Row],[Start Date]],Milestone_Marker,IF(AND(CE$29&gt;ProposalToGnatt[[#This Row],[Start Date]],CE$29&lt;ProposalToGnatt[[#This Row],[Start Date]]+ProposalToGnatt[[#This Row],[Days]]),$G$5,"")),"")</f>
        <v/>
      </c>
      <c r="CF63" s="37" t="str">
        <f ca="1">IFERROR(+IF(CF$29=ProposalToGnatt[[#This Row],[Start Date]],Milestone_Marker,IF(AND(CF$29&gt;ProposalToGnatt[[#This Row],[Start Date]],CF$29&lt;ProposalToGnatt[[#This Row],[Start Date]]+ProposalToGnatt[[#This Row],[Days]]),$G$5,"")),"")</f>
        <v/>
      </c>
      <c r="CG63" s="37" t="str">
        <f ca="1">IFERROR(+IF(CG$29=ProposalToGnatt[[#This Row],[Start Date]],Milestone_Marker,IF(AND(CG$29&gt;ProposalToGnatt[[#This Row],[Start Date]],CG$29&lt;ProposalToGnatt[[#This Row],[Start Date]]+ProposalToGnatt[[#This Row],[Days]]),$G$5,"")),"")</f>
        <v/>
      </c>
      <c r="CH63" s="37" t="str">
        <f ca="1">IFERROR(+IF(CH$29=ProposalToGnatt[[#This Row],[Start Date]],Milestone_Marker,IF(AND(CH$29&gt;ProposalToGnatt[[#This Row],[Start Date]],CH$29&lt;ProposalToGnatt[[#This Row],[Start Date]]+ProposalToGnatt[[#This Row],[Days]]),$G$5,"")),"")</f>
        <v/>
      </c>
      <c r="CI63" s="37" t="str">
        <f ca="1">IFERROR(+IF(CI$29=ProposalToGnatt[[#This Row],[Start Date]],Milestone_Marker,IF(AND(CI$29&gt;ProposalToGnatt[[#This Row],[Start Date]],CI$29&lt;ProposalToGnatt[[#This Row],[Start Date]]+ProposalToGnatt[[#This Row],[Days]]),$G$5,"")),"")</f>
        <v/>
      </c>
      <c r="CJ63" s="37" t="str">
        <f ca="1">IFERROR(+IF(CJ$29=ProposalToGnatt[[#This Row],[Start Date]],Milestone_Marker,IF(AND(CJ$29&gt;ProposalToGnatt[[#This Row],[Start Date]],CJ$29&lt;ProposalToGnatt[[#This Row],[Start Date]]+ProposalToGnatt[[#This Row],[Days]]),$G$5,"")),"")</f>
        <v/>
      </c>
      <c r="CK63" s="37" t="str">
        <f ca="1">IFERROR(+IF(CK$29=ProposalToGnatt[[#This Row],[Start Date]],Milestone_Marker,IF(AND(CK$29&gt;ProposalToGnatt[[#This Row],[Start Date]],CK$29&lt;ProposalToGnatt[[#This Row],[Start Date]]+ProposalToGnatt[[#This Row],[Days]]),$G$5,"")),"")</f>
        <v/>
      </c>
      <c r="CL63" s="37" t="str">
        <f ca="1">IFERROR(+IF(CL$29=ProposalToGnatt[[#This Row],[Start Date]],Milestone_Marker,IF(AND(CL$29&gt;ProposalToGnatt[[#This Row],[Start Date]],CL$29&lt;ProposalToGnatt[[#This Row],[Start Date]]+ProposalToGnatt[[#This Row],[Days]]),$G$5,"")),"")</f>
        <v/>
      </c>
      <c r="CM63" s="37" t="str">
        <f ca="1">IFERROR(+IF(CM$29=ProposalToGnatt[[#This Row],[Start Date]],Milestone_Marker,IF(AND(CM$29&gt;ProposalToGnatt[[#This Row],[Start Date]],CM$29&lt;ProposalToGnatt[[#This Row],[Start Date]]+ProposalToGnatt[[#This Row],[Days]]),$G$5,"")),"")</f>
        <v/>
      </c>
      <c r="CN63" s="37" t="str">
        <f ca="1">IFERROR(+IF(CN$29=ProposalToGnatt[[#This Row],[Start Date]],Milestone_Marker,IF(AND(CN$29&gt;ProposalToGnatt[[#This Row],[Start Date]],CN$29&lt;ProposalToGnatt[[#This Row],[Start Date]]+ProposalToGnatt[[#This Row],[Days]]),$G$5,"")),"")</f>
        <v/>
      </c>
      <c r="CO63" s="37" t="str">
        <f ca="1">IFERROR(+IF(CO$29=ProposalToGnatt[[#This Row],[Start Date]],Milestone_Marker,IF(AND(CO$29&gt;ProposalToGnatt[[#This Row],[Start Date]],CO$29&lt;ProposalToGnatt[[#This Row],[Start Date]]+ProposalToGnatt[[#This Row],[Days]]),$G$5,"")),"")</f>
        <v/>
      </c>
      <c r="CP63" s="37" t="str">
        <f ca="1">IFERROR(+IF(CP$29=ProposalToGnatt[[#This Row],[Start Date]],Milestone_Marker,IF(AND(CP$29&gt;ProposalToGnatt[[#This Row],[Start Date]],CP$29&lt;ProposalToGnatt[[#This Row],[Start Date]]+ProposalToGnatt[[#This Row],[Days]]),$G$5,"")),"")</f>
        <v/>
      </c>
      <c r="CQ63" s="37" t="str">
        <f ca="1">IFERROR(+IF(CQ$29=ProposalToGnatt[[#This Row],[Start Date]],Milestone_Marker,IF(AND(CQ$29&gt;ProposalToGnatt[[#This Row],[Start Date]],CQ$29&lt;ProposalToGnatt[[#This Row],[Start Date]]+ProposalToGnatt[[#This Row],[Days]]),$G$5,"")),"")</f>
        <v/>
      </c>
      <c r="CR63" s="37" t="str">
        <f ca="1">IFERROR(+IF(CR$29=ProposalToGnatt[[#This Row],[Start Date]],Milestone_Marker,IF(AND(CR$29&gt;ProposalToGnatt[[#This Row],[Start Date]],CR$29&lt;ProposalToGnatt[[#This Row],[Start Date]]+ProposalToGnatt[[#This Row],[Days]]),$G$5,"")),"")</f>
        <v/>
      </c>
      <c r="CS63" s="37" t="str">
        <f ca="1">IFERROR(+IF(CS$29=ProposalToGnatt[[#This Row],[Start Date]],Milestone_Marker,IF(AND(CS$29&gt;ProposalToGnatt[[#This Row],[Start Date]],CS$29&lt;ProposalToGnatt[[#This Row],[Start Date]]+ProposalToGnatt[[#This Row],[Days]]),$G$5,"")),"")</f>
        <v/>
      </c>
      <c r="CT63" s="37" t="str">
        <f ca="1">IFERROR(+IF(CT$29=ProposalToGnatt[[#This Row],[Start Date]],Milestone_Marker,IF(AND(CT$29&gt;ProposalToGnatt[[#This Row],[Start Date]],CT$29&lt;ProposalToGnatt[[#This Row],[Start Date]]+ProposalToGnatt[[#This Row],[Days]]),$G$5,"")),"")</f>
        <v/>
      </c>
      <c r="CU63" s="37" t="str">
        <f ca="1">IFERROR(+IF(CU$29=ProposalToGnatt[[#This Row],[Start Date]],Milestone_Marker,IF(AND(CU$29&gt;ProposalToGnatt[[#This Row],[Start Date]],CU$29&lt;ProposalToGnatt[[#This Row],[Start Date]]+ProposalToGnatt[[#This Row],[Days]]),$G$5,"")),"")</f>
        <v/>
      </c>
      <c r="CV63" s="37"/>
      <c r="CW63" s="37"/>
      <c r="CX63" s="37"/>
      <c r="CY63" s="37"/>
      <c r="CZ63" s="37"/>
      <c r="DA63" s="37"/>
      <c r="DB63" s="37"/>
      <c r="DC63" s="37"/>
      <c r="DD63" s="37"/>
      <c r="DE63" s="37"/>
      <c r="DF63" s="37"/>
      <c r="DG63" s="37"/>
      <c r="DH63" s="37"/>
      <c r="DI63" s="37"/>
      <c r="DJ63" s="37"/>
      <c r="DK63" s="37"/>
      <c r="DL63" s="37"/>
      <c r="DM63" s="37"/>
      <c r="DN63" s="37"/>
      <c r="DO63" s="37"/>
      <c r="DP63" s="37"/>
      <c r="DQ63" s="37"/>
      <c r="DR63" s="37"/>
      <c r="DS63" s="37"/>
      <c r="DT63" s="37"/>
      <c r="DU63" s="37"/>
    </row>
    <row r="64" spans="1:125" s="42" customFormat="1" ht="15" x14ac:dyDescent="0.25">
      <c r="A64" t="s">
        <v>428</v>
      </c>
      <c r="B64">
        <v>38</v>
      </c>
      <c r="C64" t="s">
        <v>311</v>
      </c>
      <c r="D64" t="s">
        <v>358</v>
      </c>
      <c r="E64" t="s">
        <v>359</v>
      </c>
      <c r="F64">
        <v>1</v>
      </c>
      <c r="G64" s="14">
        <v>50</v>
      </c>
      <c r="H64" s="14">
        <v>50</v>
      </c>
      <c r="I64"/>
      <c r="J64">
        <v>2</v>
      </c>
      <c r="K64" s="303"/>
      <c r="L64"/>
      <c r="M64" s="14"/>
      <c r="N64" s="352"/>
      <c r="O64" s="340"/>
      <c r="P64" s="37" t="str">
        <f ca="1">IFERROR(+IF(P$29=ProposalToGnatt[[#This Row],[Start Date]],Milestone_Marker,IF(AND(P$29&gt;ProposalToGnatt[[#This Row],[Start Date]],P$29&lt;ProposalToGnatt[[#This Row],[Start Date]]+ProposalToGnatt[[#This Row],[Days]]),$G$5,"")),"")</f>
        <v/>
      </c>
      <c r="Q64" s="37" t="str">
        <f ca="1">IFERROR(+IF(Q$29=ProposalToGnatt[[#This Row],[Start Date]],Milestone_Marker,IF(AND(Q$29&gt;ProposalToGnatt[[#This Row],[Start Date]],Q$29&lt;ProposalToGnatt[[#This Row],[Start Date]]+ProposalToGnatt[[#This Row],[Days]]),$G$5,"")),"")</f>
        <v/>
      </c>
      <c r="R64" s="37" t="str">
        <f ca="1">IFERROR(+IF(R$29=ProposalToGnatt[[#This Row],[Start Date]],Milestone_Marker,IF(AND(R$29&gt;ProposalToGnatt[[#This Row],[Start Date]],R$29&lt;ProposalToGnatt[[#This Row],[Start Date]]+ProposalToGnatt[[#This Row],[Days]]),$G$5,"")),"")</f>
        <v/>
      </c>
      <c r="S64" s="37" t="str">
        <f ca="1">IFERROR(+IF(S$29=ProposalToGnatt[[#This Row],[Start Date]],Milestone_Marker,IF(AND(S$29&gt;ProposalToGnatt[[#This Row],[Start Date]],S$29&lt;ProposalToGnatt[[#This Row],[Start Date]]+ProposalToGnatt[[#This Row],[Days]]),$G$5,"")),"")</f>
        <v/>
      </c>
      <c r="T64" s="37" t="str">
        <f ca="1">IFERROR(+IF(T$29=ProposalToGnatt[[#This Row],[Start Date]],Milestone_Marker,IF(AND(T$29&gt;ProposalToGnatt[[#This Row],[Start Date]],T$29&lt;ProposalToGnatt[[#This Row],[Start Date]]+ProposalToGnatt[[#This Row],[Days]]),$G$5,"")),"")</f>
        <v/>
      </c>
      <c r="U64" s="37" t="str">
        <f ca="1">IFERROR(+IF(U$29=ProposalToGnatt[[#This Row],[Start Date]],Milestone_Marker,IF(AND(U$29&gt;ProposalToGnatt[[#This Row],[Start Date]],U$29&lt;ProposalToGnatt[[#This Row],[Start Date]]+ProposalToGnatt[[#This Row],[Days]]),$G$5,"")),"")</f>
        <v/>
      </c>
      <c r="V64" s="37" t="str">
        <f ca="1">IFERROR(+IF(V$29=ProposalToGnatt[[#This Row],[Start Date]],Milestone_Marker,IF(AND(V$29&gt;ProposalToGnatt[[#This Row],[Start Date]],V$29&lt;ProposalToGnatt[[#This Row],[Start Date]]+ProposalToGnatt[[#This Row],[Days]]),$G$5,"")),"")</f>
        <v/>
      </c>
      <c r="W64" s="37" t="str">
        <f ca="1">IFERROR(+IF(W$29=ProposalToGnatt[[#This Row],[Start Date]],Milestone_Marker,IF(AND(W$29&gt;ProposalToGnatt[[#This Row],[Start Date]],W$29&lt;ProposalToGnatt[[#This Row],[Start Date]]+ProposalToGnatt[[#This Row],[Days]]),$G$5,"")),"")</f>
        <v/>
      </c>
      <c r="X64" s="37" t="str">
        <f ca="1">IFERROR(+IF(X$29=ProposalToGnatt[[#This Row],[Start Date]],Milestone_Marker,IF(AND(X$29&gt;ProposalToGnatt[[#This Row],[Start Date]],X$29&lt;ProposalToGnatt[[#This Row],[Start Date]]+ProposalToGnatt[[#This Row],[Days]]),$G$5,"")),"")</f>
        <v/>
      </c>
      <c r="Y64" s="37" t="str">
        <f ca="1">IFERROR(+IF(Y$29=ProposalToGnatt[[#This Row],[Start Date]],Milestone_Marker,IF(AND(Y$29&gt;ProposalToGnatt[[#This Row],[Start Date]],Y$29&lt;ProposalToGnatt[[#This Row],[Start Date]]+ProposalToGnatt[[#This Row],[Days]]),$G$5,"")),"")</f>
        <v/>
      </c>
      <c r="Z64" s="37" t="str">
        <f ca="1">IFERROR(+IF(Z$29=ProposalToGnatt[[#This Row],[Start Date]],Milestone_Marker,IF(AND(Z$29&gt;ProposalToGnatt[[#This Row],[Start Date]],Z$29&lt;ProposalToGnatt[[#This Row],[Start Date]]+ProposalToGnatt[[#This Row],[Days]]),$G$5,"")),"")</f>
        <v/>
      </c>
      <c r="AA64" s="37" t="str">
        <f ca="1">IFERROR(+IF(AA$29=ProposalToGnatt[[#This Row],[Start Date]],Milestone_Marker,IF(AND(AA$29&gt;ProposalToGnatt[[#This Row],[Start Date]],AA$29&lt;ProposalToGnatt[[#This Row],[Start Date]]+ProposalToGnatt[[#This Row],[Days]]),$G$5,"")),"")</f>
        <v/>
      </c>
      <c r="AB64" s="37" t="str">
        <f ca="1">IFERROR(+IF(AB$29=ProposalToGnatt[[#This Row],[Start Date]],Milestone_Marker,IF(AND(AB$29&gt;ProposalToGnatt[[#This Row],[Start Date]],AB$29&lt;ProposalToGnatt[[#This Row],[Start Date]]+ProposalToGnatt[[#This Row],[Days]]),$G$5,"")),"")</f>
        <v/>
      </c>
      <c r="AC64" s="37" t="str">
        <f ca="1">IFERROR(+IF(AC$29=ProposalToGnatt[[#This Row],[Start Date]],Milestone_Marker,IF(AND(AC$29&gt;ProposalToGnatt[[#This Row],[Start Date]],AC$29&lt;ProposalToGnatt[[#This Row],[Start Date]]+ProposalToGnatt[[#This Row],[Days]]),$G$5,"")),"")</f>
        <v/>
      </c>
      <c r="AD64" s="37" t="str">
        <f ca="1">IFERROR(+IF(AD$29=ProposalToGnatt[[#This Row],[Start Date]],Milestone_Marker,IF(AND(AD$29&gt;ProposalToGnatt[[#This Row],[Start Date]],AD$29&lt;ProposalToGnatt[[#This Row],[Start Date]]+ProposalToGnatt[[#This Row],[Days]]),$G$5,"")),"")</f>
        <v/>
      </c>
      <c r="AE64" s="37" t="str">
        <f ca="1">IFERROR(+IF(AE$29=ProposalToGnatt[[#This Row],[Start Date]],Milestone_Marker,IF(AND(AE$29&gt;ProposalToGnatt[[#This Row],[Start Date]],AE$29&lt;ProposalToGnatt[[#This Row],[Start Date]]+ProposalToGnatt[[#This Row],[Days]]),$G$5,"")),"")</f>
        <v/>
      </c>
      <c r="AF64" s="37" t="str">
        <f ca="1">IFERROR(+IF(AF$29=ProposalToGnatt[[#This Row],[Start Date]],Milestone_Marker,IF(AND(AF$29&gt;ProposalToGnatt[[#This Row],[Start Date]],AF$29&lt;ProposalToGnatt[[#This Row],[Start Date]]+ProposalToGnatt[[#This Row],[Days]]),$G$5,"")),"")</f>
        <v/>
      </c>
      <c r="AG64" s="37" t="str">
        <f ca="1">IFERROR(+IF(AG$29=ProposalToGnatt[[#This Row],[Start Date]],Milestone_Marker,IF(AND(AG$29&gt;ProposalToGnatt[[#This Row],[Start Date]],AG$29&lt;ProposalToGnatt[[#This Row],[Start Date]]+ProposalToGnatt[[#This Row],[Days]]),$G$5,"")),"")</f>
        <v/>
      </c>
      <c r="AH64" s="37" t="str">
        <f ca="1">IFERROR(+IF(AH$29=ProposalToGnatt[[#This Row],[Start Date]],Milestone_Marker,IF(AND(AH$29&gt;ProposalToGnatt[[#This Row],[Start Date]],AH$29&lt;ProposalToGnatt[[#This Row],[Start Date]]+ProposalToGnatt[[#This Row],[Days]]),$G$5,"")),"")</f>
        <v/>
      </c>
      <c r="AI64" s="37" t="str">
        <f ca="1">IFERROR(+IF(AI$29=ProposalToGnatt[[#This Row],[Start Date]],Milestone_Marker,IF(AND(AI$29&gt;ProposalToGnatt[[#This Row],[Start Date]],AI$29&lt;ProposalToGnatt[[#This Row],[Start Date]]+ProposalToGnatt[[#This Row],[Days]]),$G$5,"")),"")</f>
        <v/>
      </c>
      <c r="AJ64" s="37" t="str">
        <f ca="1">IFERROR(+IF(AJ$29=ProposalToGnatt[[#This Row],[Start Date]],Milestone_Marker,IF(AND(AJ$29&gt;ProposalToGnatt[[#This Row],[Start Date]],AJ$29&lt;ProposalToGnatt[[#This Row],[Start Date]]+ProposalToGnatt[[#This Row],[Days]]),$G$5,"")),"")</f>
        <v/>
      </c>
      <c r="AK64" s="37" t="str">
        <f ca="1">IFERROR(+IF(AK$29=ProposalToGnatt[[#This Row],[Start Date]],Milestone_Marker,IF(AND(AK$29&gt;ProposalToGnatt[[#This Row],[Start Date]],AK$29&lt;ProposalToGnatt[[#This Row],[Start Date]]+ProposalToGnatt[[#This Row],[Days]]),$G$5,"")),"")</f>
        <v/>
      </c>
      <c r="AL64" s="37" t="str">
        <f ca="1">IFERROR(+IF(AL$29=ProposalToGnatt[[#This Row],[Start Date]],Milestone_Marker,IF(AND(AL$29&gt;ProposalToGnatt[[#This Row],[Start Date]],AL$29&lt;ProposalToGnatt[[#This Row],[Start Date]]+ProposalToGnatt[[#This Row],[Days]]),$G$5,"")),"")</f>
        <v/>
      </c>
      <c r="AM64" s="37" t="str">
        <f ca="1">IFERROR(+IF(AM$29=ProposalToGnatt[[#This Row],[Start Date]],Milestone_Marker,IF(AND(AM$29&gt;ProposalToGnatt[[#This Row],[Start Date]],AM$29&lt;ProposalToGnatt[[#This Row],[Start Date]]+ProposalToGnatt[[#This Row],[Days]]),$G$5,"")),"")</f>
        <v/>
      </c>
      <c r="AN64" s="37" t="str">
        <f ca="1">IFERROR(+IF(AN$29=ProposalToGnatt[[#This Row],[Start Date]],Milestone_Marker,IF(AND(AN$29&gt;ProposalToGnatt[[#This Row],[Start Date]],AN$29&lt;ProposalToGnatt[[#This Row],[Start Date]]+ProposalToGnatt[[#This Row],[Days]]),$G$5,"")),"")</f>
        <v/>
      </c>
      <c r="AO64" s="37" t="str">
        <f ca="1">IFERROR(+IF(AO$29=ProposalToGnatt[[#This Row],[Start Date]],Milestone_Marker,IF(AND(AO$29&gt;ProposalToGnatt[[#This Row],[Start Date]],AO$29&lt;ProposalToGnatt[[#This Row],[Start Date]]+ProposalToGnatt[[#This Row],[Days]]),$G$5,"")),"")</f>
        <v/>
      </c>
      <c r="AP64" s="37" t="str">
        <f ca="1">IFERROR(+IF(AP$29=ProposalToGnatt[[#This Row],[Start Date]],Milestone_Marker,IF(AND(AP$29&gt;ProposalToGnatt[[#This Row],[Start Date]],AP$29&lt;ProposalToGnatt[[#This Row],[Start Date]]+ProposalToGnatt[[#This Row],[Days]]),$G$5,"")),"")</f>
        <v/>
      </c>
      <c r="AQ64" s="37" t="str">
        <f ca="1">IFERROR(+IF(AQ$29=ProposalToGnatt[[#This Row],[Start Date]],Milestone_Marker,IF(AND(AQ$29&gt;ProposalToGnatt[[#This Row],[Start Date]],AQ$29&lt;ProposalToGnatt[[#This Row],[Start Date]]+ProposalToGnatt[[#This Row],[Days]]),$G$5,"")),"")</f>
        <v/>
      </c>
      <c r="AR64" s="37" t="str">
        <f ca="1">IFERROR(+IF(AR$29=ProposalToGnatt[[#This Row],[Start Date]],Milestone_Marker,IF(AND(AR$29&gt;ProposalToGnatt[[#This Row],[Start Date]],AR$29&lt;ProposalToGnatt[[#This Row],[Start Date]]+ProposalToGnatt[[#This Row],[Days]]),$G$5,"")),"")</f>
        <v/>
      </c>
      <c r="AS64" s="37" t="str">
        <f ca="1">IFERROR(+IF(AS$29=ProposalToGnatt[[#This Row],[Start Date]],Milestone_Marker,IF(AND(AS$29&gt;ProposalToGnatt[[#This Row],[Start Date]],AS$29&lt;ProposalToGnatt[[#This Row],[Start Date]]+ProposalToGnatt[[#This Row],[Days]]),$G$5,"")),"")</f>
        <v/>
      </c>
      <c r="AT64" s="37" t="str">
        <f ca="1">IFERROR(+IF(AT$29=ProposalToGnatt[[#This Row],[Start Date]],Milestone_Marker,IF(AND(AT$29&gt;ProposalToGnatt[[#This Row],[Start Date]],AT$29&lt;ProposalToGnatt[[#This Row],[Start Date]]+ProposalToGnatt[[#This Row],[Days]]),$G$5,"")),"")</f>
        <v/>
      </c>
      <c r="AU64" s="37" t="str">
        <f ca="1">IFERROR(+IF(AU$29=ProposalToGnatt[[#This Row],[Start Date]],Milestone_Marker,IF(AND(AU$29&gt;ProposalToGnatt[[#This Row],[Start Date]],AU$29&lt;ProposalToGnatt[[#This Row],[Start Date]]+ProposalToGnatt[[#This Row],[Days]]),$G$5,"")),"")</f>
        <v/>
      </c>
      <c r="AV64" s="37" t="str">
        <f ca="1">IFERROR(+IF(AV$29=ProposalToGnatt[[#This Row],[Start Date]],Milestone_Marker,IF(AND(AV$29&gt;ProposalToGnatt[[#This Row],[Start Date]],AV$29&lt;ProposalToGnatt[[#This Row],[Start Date]]+ProposalToGnatt[[#This Row],[Days]]),$G$5,"")),"")</f>
        <v/>
      </c>
      <c r="AW64" s="37" t="str">
        <f ca="1">IFERROR(+IF(AW$29=ProposalToGnatt[[#This Row],[Start Date]],Milestone_Marker,IF(AND(AW$29&gt;ProposalToGnatt[[#This Row],[Start Date]],AW$29&lt;ProposalToGnatt[[#This Row],[Start Date]]+ProposalToGnatt[[#This Row],[Days]]),$G$5,"")),"")</f>
        <v/>
      </c>
      <c r="AX64" s="37" t="str">
        <f ca="1">IFERROR(+IF(AX$29=ProposalToGnatt[[#This Row],[Start Date]],Milestone_Marker,IF(AND(AX$29&gt;ProposalToGnatt[[#This Row],[Start Date]],AX$29&lt;ProposalToGnatt[[#This Row],[Start Date]]+ProposalToGnatt[[#This Row],[Days]]),$G$5,"")),"")</f>
        <v/>
      </c>
      <c r="AY64" s="37" t="str">
        <f ca="1">IFERROR(+IF(AY$29=ProposalToGnatt[[#This Row],[Start Date]],Milestone_Marker,IF(AND(AY$29&gt;ProposalToGnatt[[#This Row],[Start Date]],AY$29&lt;ProposalToGnatt[[#This Row],[Start Date]]+ProposalToGnatt[[#This Row],[Days]]),$G$5,"")),"")</f>
        <v/>
      </c>
      <c r="AZ64" s="37" t="str">
        <f ca="1">IFERROR(+IF(AZ$29=ProposalToGnatt[[#This Row],[Start Date]],Milestone_Marker,IF(AND(AZ$29&gt;ProposalToGnatt[[#This Row],[Start Date]],AZ$29&lt;ProposalToGnatt[[#This Row],[Start Date]]+ProposalToGnatt[[#This Row],[Days]]),$G$5,"")),"")</f>
        <v/>
      </c>
      <c r="BA64" s="37" t="str">
        <f ca="1">IFERROR(+IF(BA$29=ProposalToGnatt[[#This Row],[Start Date]],Milestone_Marker,IF(AND(BA$29&gt;ProposalToGnatt[[#This Row],[Start Date]],BA$29&lt;ProposalToGnatt[[#This Row],[Start Date]]+ProposalToGnatt[[#This Row],[Days]]),$G$5,"")),"")</f>
        <v/>
      </c>
      <c r="BB64" s="37" t="str">
        <f ca="1">IFERROR(+IF(BB$29=ProposalToGnatt[[#This Row],[Start Date]],Milestone_Marker,IF(AND(BB$29&gt;ProposalToGnatt[[#This Row],[Start Date]],BB$29&lt;ProposalToGnatt[[#This Row],[Start Date]]+ProposalToGnatt[[#This Row],[Days]]),$G$5,"")),"")</f>
        <v/>
      </c>
      <c r="BC64" s="37" t="str">
        <f ca="1">IFERROR(+IF(BC$29=ProposalToGnatt[[#This Row],[Start Date]],Milestone_Marker,IF(AND(BC$29&gt;ProposalToGnatt[[#This Row],[Start Date]],BC$29&lt;ProposalToGnatt[[#This Row],[Start Date]]+ProposalToGnatt[[#This Row],[Days]]),$G$5,"")),"")</f>
        <v/>
      </c>
      <c r="BD64" s="37" t="str">
        <f ca="1">IFERROR(+IF(BD$29=ProposalToGnatt[[#This Row],[Start Date]],Milestone_Marker,IF(AND(BD$29&gt;ProposalToGnatt[[#This Row],[Start Date]],BD$29&lt;ProposalToGnatt[[#This Row],[Start Date]]+ProposalToGnatt[[#This Row],[Days]]),$G$5,"")),"")</f>
        <v/>
      </c>
      <c r="BE64" s="37" t="str">
        <f ca="1">IFERROR(+IF(BE$29=ProposalToGnatt[[#This Row],[Start Date]],Milestone_Marker,IF(AND(BE$29&gt;ProposalToGnatt[[#This Row],[Start Date]],BE$29&lt;ProposalToGnatt[[#This Row],[Start Date]]+ProposalToGnatt[[#This Row],[Days]]),$G$5,"")),"")</f>
        <v/>
      </c>
      <c r="BF64" s="37" t="str">
        <f ca="1">IFERROR(+IF(BF$29=ProposalToGnatt[[#This Row],[Start Date]],Milestone_Marker,IF(AND(BF$29&gt;ProposalToGnatt[[#This Row],[Start Date]],BF$29&lt;ProposalToGnatt[[#This Row],[Start Date]]+ProposalToGnatt[[#This Row],[Days]]),$G$5,"")),"")</f>
        <v/>
      </c>
      <c r="BG64" s="37" t="str">
        <f ca="1">IFERROR(+IF(BG$29=ProposalToGnatt[[#This Row],[Start Date]],Milestone_Marker,IF(AND(BG$29&gt;ProposalToGnatt[[#This Row],[Start Date]],BG$29&lt;ProposalToGnatt[[#This Row],[Start Date]]+ProposalToGnatt[[#This Row],[Days]]),$G$5,"")),"")</f>
        <v/>
      </c>
      <c r="BH64" s="37" t="str">
        <f ca="1">IFERROR(+IF(BH$29=ProposalToGnatt[[#This Row],[Start Date]],Milestone_Marker,IF(AND(BH$29&gt;ProposalToGnatt[[#This Row],[Start Date]],BH$29&lt;ProposalToGnatt[[#This Row],[Start Date]]+ProposalToGnatt[[#This Row],[Days]]),$G$5,"")),"")</f>
        <v/>
      </c>
      <c r="BI64" s="37" t="str">
        <f ca="1">IFERROR(+IF(BI$29=ProposalToGnatt[[#This Row],[Start Date]],Milestone_Marker,IF(AND(BI$29&gt;ProposalToGnatt[[#This Row],[Start Date]],BI$29&lt;ProposalToGnatt[[#This Row],[Start Date]]+ProposalToGnatt[[#This Row],[Days]]),$G$5,"")),"")</f>
        <v/>
      </c>
      <c r="BJ64" s="37" t="str">
        <f ca="1">IFERROR(+IF(BJ$29=ProposalToGnatt[[#This Row],[Start Date]],Milestone_Marker,IF(AND(BJ$29&gt;ProposalToGnatt[[#This Row],[Start Date]],BJ$29&lt;ProposalToGnatt[[#This Row],[Start Date]]+ProposalToGnatt[[#This Row],[Days]]),$G$5,"")),"")</f>
        <v/>
      </c>
      <c r="BK64" s="37" t="str">
        <f ca="1">IFERROR(+IF(BK$29=ProposalToGnatt[[#This Row],[Start Date]],Milestone_Marker,IF(AND(BK$29&gt;ProposalToGnatt[[#This Row],[Start Date]],BK$29&lt;ProposalToGnatt[[#This Row],[Start Date]]+ProposalToGnatt[[#This Row],[Days]]),$G$5,"")),"")</f>
        <v/>
      </c>
      <c r="BL64" s="37" t="str">
        <f ca="1">IFERROR(+IF(BL$29=ProposalToGnatt[[#This Row],[Start Date]],Milestone_Marker,IF(AND(BL$29&gt;ProposalToGnatt[[#This Row],[Start Date]],BL$29&lt;ProposalToGnatt[[#This Row],[Start Date]]+ProposalToGnatt[[#This Row],[Days]]),$G$5,"")),"")</f>
        <v/>
      </c>
      <c r="BM64" s="37" t="str">
        <f ca="1">IFERROR(+IF(BM$29=ProposalToGnatt[[#This Row],[Start Date]],Milestone_Marker,IF(AND(BM$29&gt;ProposalToGnatt[[#This Row],[Start Date]],BM$29&lt;ProposalToGnatt[[#This Row],[Start Date]]+ProposalToGnatt[[#This Row],[Days]]),$G$5,"")),"")</f>
        <v/>
      </c>
      <c r="BN64" s="37" t="str">
        <f ca="1">IFERROR(+IF(BN$29=ProposalToGnatt[[#This Row],[Start Date]],Milestone_Marker,IF(AND(BN$29&gt;ProposalToGnatt[[#This Row],[Start Date]],BN$29&lt;ProposalToGnatt[[#This Row],[Start Date]]+ProposalToGnatt[[#This Row],[Days]]),$G$5,"")),"")</f>
        <v/>
      </c>
      <c r="BO64" s="37" t="str">
        <f ca="1">IFERROR(+IF(BO$29=ProposalToGnatt[[#This Row],[Start Date]],Milestone_Marker,IF(AND(BO$29&gt;ProposalToGnatt[[#This Row],[Start Date]],BO$29&lt;ProposalToGnatt[[#This Row],[Start Date]]+ProposalToGnatt[[#This Row],[Days]]),$G$5,"")),"")</f>
        <v/>
      </c>
      <c r="BP64" s="37" t="str">
        <f ca="1">IFERROR(+IF(BP$29=ProposalToGnatt[[#This Row],[Start Date]],Milestone_Marker,IF(AND(BP$29&gt;ProposalToGnatt[[#This Row],[Start Date]],BP$29&lt;ProposalToGnatt[[#This Row],[Start Date]]+ProposalToGnatt[[#This Row],[Days]]),$G$5,"")),"")</f>
        <v/>
      </c>
      <c r="BQ64" s="37" t="str">
        <f ca="1">IFERROR(+IF(BQ$29=ProposalToGnatt[[#This Row],[Start Date]],Milestone_Marker,IF(AND(BQ$29&gt;ProposalToGnatt[[#This Row],[Start Date]],BQ$29&lt;ProposalToGnatt[[#This Row],[Start Date]]+ProposalToGnatt[[#This Row],[Days]]),$G$5,"")),"")</f>
        <v/>
      </c>
      <c r="BR64" s="37" t="str">
        <f ca="1">IFERROR(+IF(BR$29=ProposalToGnatt[[#This Row],[Start Date]],Milestone_Marker,IF(AND(BR$29&gt;ProposalToGnatt[[#This Row],[Start Date]],BR$29&lt;ProposalToGnatt[[#This Row],[Start Date]]+ProposalToGnatt[[#This Row],[Days]]),$G$5,"")),"")</f>
        <v/>
      </c>
      <c r="BS64" s="37" t="str">
        <f ca="1">IFERROR(+IF(BS$29=ProposalToGnatt[[#This Row],[Start Date]],Milestone_Marker,IF(AND(BS$29&gt;ProposalToGnatt[[#This Row],[Start Date]],BS$29&lt;ProposalToGnatt[[#This Row],[Start Date]]+ProposalToGnatt[[#This Row],[Days]]),$G$5,"")),"")</f>
        <v/>
      </c>
      <c r="BT64" s="37" t="str">
        <f ca="1">IFERROR(+IF(BT$29=ProposalToGnatt[[#This Row],[Start Date]],Milestone_Marker,IF(AND(BT$29&gt;ProposalToGnatt[[#This Row],[Start Date]],BT$29&lt;ProposalToGnatt[[#This Row],[Start Date]]+ProposalToGnatt[[#This Row],[Days]]),$G$5,"")),"")</f>
        <v/>
      </c>
      <c r="BU64" s="37" t="str">
        <f ca="1">IFERROR(+IF(BU$29=ProposalToGnatt[[#This Row],[Start Date]],Milestone_Marker,IF(AND(BU$29&gt;ProposalToGnatt[[#This Row],[Start Date]],BU$29&lt;ProposalToGnatt[[#This Row],[Start Date]]+ProposalToGnatt[[#This Row],[Days]]),$G$5,"")),"")</f>
        <v/>
      </c>
      <c r="BV64" s="37" t="str">
        <f ca="1">IFERROR(+IF(BV$29=ProposalToGnatt[[#This Row],[Start Date]],Milestone_Marker,IF(AND(BV$29&gt;ProposalToGnatt[[#This Row],[Start Date]],BV$29&lt;ProposalToGnatt[[#This Row],[Start Date]]+ProposalToGnatt[[#This Row],[Days]]),$G$5,"")),"")</f>
        <v/>
      </c>
      <c r="BW64" s="37" t="str">
        <f ca="1">IFERROR(+IF(BW$29=ProposalToGnatt[[#This Row],[Start Date]],Milestone_Marker,IF(AND(BW$29&gt;ProposalToGnatt[[#This Row],[Start Date]],BW$29&lt;ProposalToGnatt[[#This Row],[Start Date]]+ProposalToGnatt[[#This Row],[Days]]),$G$5,"")),"")</f>
        <v/>
      </c>
      <c r="BX64" s="37" t="str">
        <f ca="1">IFERROR(+IF(BX$29=ProposalToGnatt[[#This Row],[Start Date]],Milestone_Marker,IF(AND(BX$29&gt;ProposalToGnatt[[#This Row],[Start Date]],BX$29&lt;ProposalToGnatt[[#This Row],[Start Date]]+ProposalToGnatt[[#This Row],[Days]]),$G$5,"")),"")</f>
        <v/>
      </c>
      <c r="BY64" s="37" t="str">
        <f ca="1">IFERROR(+IF(BY$29=ProposalToGnatt[[#This Row],[Start Date]],Milestone_Marker,IF(AND(BY$29&gt;ProposalToGnatt[[#This Row],[Start Date]],BY$29&lt;ProposalToGnatt[[#This Row],[Start Date]]+ProposalToGnatt[[#This Row],[Days]]),$G$5,"")),"")</f>
        <v/>
      </c>
      <c r="BZ64" s="37" t="str">
        <f ca="1">IFERROR(+IF(BZ$29=ProposalToGnatt[[#This Row],[Start Date]],Milestone_Marker,IF(AND(BZ$29&gt;ProposalToGnatt[[#This Row],[Start Date]],BZ$29&lt;ProposalToGnatt[[#This Row],[Start Date]]+ProposalToGnatt[[#This Row],[Days]]),$G$5,"")),"")</f>
        <v/>
      </c>
      <c r="CA64" s="37" t="str">
        <f ca="1">IFERROR(+IF(CA$29=ProposalToGnatt[[#This Row],[Start Date]],Milestone_Marker,IF(AND(CA$29&gt;ProposalToGnatt[[#This Row],[Start Date]],CA$29&lt;ProposalToGnatt[[#This Row],[Start Date]]+ProposalToGnatt[[#This Row],[Days]]),$G$5,"")),"")</f>
        <v/>
      </c>
      <c r="CB64" s="37" t="str">
        <f ca="1">IFERROR(+IF(CB$29=ProposalToGnatt[[#This Row],[Start Date]],Milestone_Marker,IF(AND(CB$29&gt;ProposalToGnatt[[#This Row],[Start Date]],CB$29&lt;ProposalToGnatt[[#This Row],[Start Date]]+ProposalToGnatt[[#This Row],[Days]]),$G$5,"")),"")</f>
        <v/>
      </c>
      <c r="CC64" s="37" t="str">
        <f ca="1">IFERROR(+IF(CC$29=ProposalToGnatt[[#This Row],[Start Date]],Milestone_Marker,IF(AND(CC$29&gt;ProposalToGnatt[[#This Row],[Start Date]],CC$29&lt;ProposalToGnatt[[#This Row],[Start Date]]+ProposalToGnatt[[#This Row],[Days]]),$G$5,"")),"")</f>
        <v/>
      </c>
      <c r="CD64" s="37" t="str">
        <f ca="1">IFERROR(+IF(CD$29=ProposalToGnatt[[#This Row],[Start Date]],Milestone_Marker,IF(AND(CD$29&gt;ProposalToGnatt[[#This Row],[Start Date]],CD$29&lt;ProposalToGnatt[[#This Row],[Start Date]]+ProposalToGnatt[[#This Row],[Days]]),$G$5,"")),"")</f>
        <v/>
      </c>
      <c r="CE64" s="37" t="str">
        <f ca="1">IFERROR(+IF(CE$29=ProposalToGnatt[[#This Row],[Start Date]],Milestone_Marker,IF(AND(CE$29&gt;ProposalToGnatt[[#This Row],[Start Date]],CE$29&lt;ProposalToGnatt[[#This Row],[Start Date]]+ProposalToGnatt[[#This Row],[Days]]),$G$5,"")),"")</f>
        <v/>
      </c>
      <c r="CF64" s="37" t="str">
        <f ca="1">IFERROR(+IF(CF$29=ProposalToGnatt[[#This Row],[Start Date]],Milestone_Marker,IF(AND(CF$29&gt;ProposalToGnatt[[#This Row],[Start Date]],CF$29&lt;ProposalToGnatt[[#This Row],[Start Date]]+ProposalToGnatt[[#This Row],[Days]]),$G$5,"")),"")</f>
        <v/>
      </c>
      <c r="CG64" s="37" t="str">
        <f ca="1">IFERROR(+IF(CG$29=ProposalToGnatt[[#This Row],[Start Date]],Milestone_Marker,IF(AND(CG$29&gt;ProposalToGnatt[[#This Row],[Start Date]],CG$29&lt;ProposalToGnatt[[#This Row],[Start Date]]+ProposalToGnatt[[#This Row],[Days]]),$G$5,"")),"")</f>
        <v/>
      </c>
      <c r="CH64" s="37" t="str">
        <f ca="1">IFERROR(+IF(CH$29=ProposalToGnatt[[#This Row],[Start Date]],Milestone_Marker,IF(AND(CH$29&gt;ProposalToGnatt[[#This Row],[Start Date]],CH$29&lt;ProposalToGnatt[[#This Row],[Start Date]]+ProposalToGnatt[[#This Row],[Days]]),$G$5,"")),"")</f>
        <v/>
      </c>
      <c r="CI64" s="37" t="str">
        <f ca="1">IFERROR(+IF(CI$29=ProposalToGnatt[[#This Row],[Start Date]],Milestone_Marker,IF(AND(CI$29&gt;ProposalToGnatt[[#This Row],[Start Date]],CI$29&lt;ProposalToGnatt[[#This Row],[Start Date]]+ProposalToGnatt[[#This Row],[Days]]),$G$5,"")),"")</f>
        <v/>
      </c>
      <c r="CJ64" s="37" t="str">
        <f ca="1">IFERROR(+IF(CJ$29=ProposalToGnatt[[#This Row],[Start Date]],Milestone_Marker,IF(AND(CJ$29&gt;ProposalToGnatt[[#This Row],[Start Date]],CJ$29&lt;ProposalToGnatt[[#This Row],[Start Date]]+ProposalToGnatt[[#This Row],[Days]]),$G$5,"")),"")</f>
        <v/>
      </c>
      <c r="CK64" s="37" t="str">
        <f ca="1">IFERROR(+IF(CK$29=ProposalToGnatt[[#This Row],[Start Date]],Milestone_Marker,IF(AND(CK$29&gt;ProposalToGnatt[[#This Row],[Start Date]],CK$29&lt;ProposalToGnatt[[#This Row],[Start Date]]+ProposalToGnatt[[#This Row],[Days]]),$G$5,"")),"")</f>
        <v/>
      </c>
      <c r="CL64" s="37" t="str">
        <f ca="1">IFERROR(+IF(CL$29=ProposalToGnatt[[#This Row],[Start Date]],Milestone_Marker,IF(AND(CL$29&gt;ProposalToGnatt[[#This Row],[Start Date]],CL$29&lt;ProposalToGnatt[[#This Row],[Start Date]]+ProposalToGnatt[[#This Row],[Days]]),$G$5,"")),"")</f>
        <v/>
      </c>
      <c r="CM64" s="37" t="str">
        <f ca="1">IFERROR(+IF(CM$29=ProposalToGnatt[[#This Row],[Start Date]],Milestone_Marker,IF(AND(CM$29&gt;ProposalToGnatt[[#This Row],[Start Date]],CM$29&lt;ProposalToGnatt[[#This Row],[Start Date]]+ProposalToGnatt[[#This Row],[Days]]),$G$5,"")),"")</f>
        <v/>
      </c>
      <c r="CN64" s="37" t="str">
        <f ca="1">IFERROR(+IF(CN$29=ProposalToGnatt[[#This Row],[Start Date]],Milestone_Marker,IF(AND(CN$29&gt;ProposalToGnatt[[#This Row],[Start Date]],CN$29&lt;ProposalToGnatt[[#This Row],[Start Date]]+ProposalToGnatt[[#This Row],[Days]]),$G$5,"")),"")</f>
        <v/>
      </c>
      <c r="CO64" s="37" t="str">
        <f ca="1">IFERROR(+IF(CO$29=ProposalToGnatt[[#This Row],[Start Date]],Milestone_Marker,IF(AND(CO$29&gt;ProposalToGnatt[[#This Row],[Start Date]],CO$29&lt;ProposalToGnatt[[#This Row],[Start Date]]+ProposalToGnatt[[#This Row],[Days]]),$G$5,"")),"")</f>
        <v/>
      </c>
      <c r="CP64" s="37" t="str">
        <f ca="1">IFERROR(+IF(CP$29=ProposalToGnatt[[#This Row],[Start Date]],Milestone_Marker,IF(AND(CP$29&gt;ProposalToGnatt[[#This Row],[Start Date]],CP$29&lt;ProposalToGnatt[[#This Row],[Start Date]]+ProposalToGnatt[[#This Row],[Days]]),$G$5,"")),"")</f>
        <v/>
      </c>
      <c r="CQ64" s="37" t="str">
        <f ca="1">IFERROR(+IF(CQ$29=ProposalToGnatt[[#This Row],[Start Date]],Milestone_Marker,IF(AND(CQ$29&gt;ProposalToGnatt[[#This Row],[Start Date]],CQ$29&lt;ProposalToGnatt[[#This Row],[Start Date]]+ProposalToGnatt[[#This Row],[Days]]),$G$5,"")),"")</f>
        <v/>
      </c>
      <c r="CR64" s="37" t="str">
        <f ca="1">IFERROR(+IF(CR$29=ProposalToGnatt[[#This Row],[Start Date]],Milestone_Marker,IF(AND(CR$29&gt;ProposalToGnatt[[#This Row],[Start Date]],CR$29&lt;ProposalToGnatt[[#This Row],[Start Date]]+ProposalToGnatt[[#This Row],[Days]]),$G$5,"")),"")</f>
        <v/>
      </c>
      <c r="CS64" s="37" t="str">
        <f ca="1">IFERROR(+IF(CS$29=ProposalToGnatt[[#This Row],[Start Date]],Milestone_Marker,IF(AND(CS$29&gt;ProposalToGnatt[[#This Row],[Start Date]],CS$29&lt;ProposalToGnatt[[#This Row],[Start Date]]+ProposalToGnatt[[#This Row],[Days]]),$G$5,"")),"")</f>
        <v/>
      </c>
      <c r="CT64" s="37" t="str">
        <f ca="1">IFERROR(+IF(CT$29=ProposalToGnatt[[#This Row],[Start Date]],Milestone_Marker,IF(AND(CT$29&gt;ProposalToGnatt[[#This Row],[Start Date]],CT$29&lt;ProposalToGnatt[[#This Row],[Start Date]]+ProposalToGnatt[[#This Row],[Days]]),$G$5,"")),"")</f>
        <v/>
      </c>
      <c r="CU64" s="37" t="str">
        <f ca="1">IFERROR(+IF(CU$29=ProposalToGnatt[[#This Row],[Start Date]],Milestone_Marker,IF(AND(CU$29&gt;ProposalToGnatt[[#This Row],[Start Date]],CU$29&lt;ProposalToGnatt[[#This Row],[Start Date]]+ProposalToGnatt[[#This Row],[Days]]),$G$5,"")),"")</f>
        <v/>
      </c>
      <c r="CV64" s="37"/>
      <c r="CW64" s="37"/>
      <c r="CX64" s="37"/>
      <c r="CY64" s="37"/>
      <c r="CZ64" s="37"/>
      <c r="DA64" s="37"/>
      <c r="DB64" s="37"/>
      <c r="DC64" s="37"/>
      <c r="DD64" s="37"/>
      <c r="DE64" s="37"/>
      <c r="DF64" s="37"/>
      <c r="DG64" s="37"/>
      <c r="DH64" s="37"/>
      <c r="DI64" s="37"/>
      <c r="DJ64" s="37"/>
      <c r="DK64" s="37"/>
      <c r="DL64" s="37"/>
      <c r="DM64" s="37"/>
      <c r="DN64" s="37"/>
      <c r="DO64" s="37"/>
      <c r="DP64" s="37"/>
      <c r="DQ64" s="37"/>
      <c r="DR64" s="37"/>
      <c r="DS64" s="37"/>
      <c r="DT64" s="37"/>
      <c r="DU64" s="37"/>
    </row>
    <row r="65" spans="1:125" s="42" customFormat="1" ht="15" x14ac:dyDescent="0.25">
      <c r="A65" t="s">
        <v>428</v>
      </c>
      <c r="B65">
        <v>39</v>
      </c>
      <c r="C65" t="s">
        <v>339</v>
      </c>
      <c r="D65" t="s">
        <v>360</v>
      </c>
      <c r="E65" t="s">
        <v>361</v>
      </c>
      <c r="F65">
        <v>1</v>
      </c>
      <c r="G65" s="14">
        <v>50</v>
      </c>
      <c r="H65" s="14">
        <v>50</v>
      </c>
      <c r="I65"/>
      <c r="J65">
        <v>2</v>
      </c>
      <c r="K65" s="303"/>
      <c r="L65"/>
      <c r="M65" s="14"/>
      <c r="N65" s="352"/>
      <c r="O65" s="340"/>
      <c r="P65" s="37" t="str">
        <f ca="1">IFERROR(+IF(P$29=ProposalToGnatt[[#This Row],[Start Date]],Milestone_Marker,IF(AND(P$29&gt;ProposalToGnatt[[#This Row],[Start Date]],P$29&lt;ProposalToGnatt[[#This Row],[Start Date]]+ProposalToGnatt[[#This Row],[Days]]),$G$5,"")),"")</f>
        <v/>
      </c>
      <c r="Q65" s="37" t="str">
        <f ca="1">IFERROR(+IF(Q$29=ProposalToGnatt[[#This Row],[Start Date]],Milestone_Marker,IF(AND(Q$29&gt;ProposalToGnatt[[#This Row],[Start Date]],Q$29&lt;ProposalToGnatt[[#This Row],[Start Date]]+ProposalToGnatt[[#This Row],[Days]]),$G$5,"")),"")</f>
        <v/>
      </c>
      <c r="R65" s="37" t="str">
        <f ca="1">IFERROR(+IF(R$29=ProposalToGnatt[[#This Row],[Start Date]],Milestone_Marker,IF(AND(R$29&gt;ProposalToGnatt[[#This Row],[Start Date]],R$29&lt;ProposalToGnatt[[#This Row],[Start Date]]+ProposalToGnatt[[#This Row],[Days]]),$G$5,"")),"")</f>
        <v/>
      </c>
      <c r="S65" s="37" t="str">
        <f ca="1">IFERROR(+IF(S$29=ProposalToGnatt[[#This Row],[Start Date]],Milestone_Marker,IF(AND(S$29&gt;ProposalToGnatt[[#This Row],[Start Date]],S$29&lt;ProposalToGnatt[[#This Row],[Start Date]]+ProposalToGnatt[[#This Row],[Days]]),$G$5,"")),"")</f>
        <v/>
      </c>
      <c r="T65" s="37" t="str">
        <f ca="1">IFERROR(+IF(T$29=ProposalToGnatt[[#This Row],[Start Date]],Milestone_Marker,IF(AND(T$29&gt;ProposalToGnatt[[#This Row],[Start Date]],T$29&lt;ProposalToGnatt[[#This Row],[Start Date]]+ProposalToGnatt[[#This Row],[Days]]),$G$5,"")),"")</f>
        <v/>
      </c>
      <c r="U65" s="37" t="str">
        <f ca="1">IFERROR(+IF(U$29=ProposalToGnatt[[#This Row],[Start Date]],Milestone_Marker,IF(AND(U$29&gt;ProposalToGnatt[[#This Row],[Start Date]],U$29&lt;ProposalToGnatt[[#This Row],[Start Date]]+ProposalToGnatt[[#This Row],[Days]]),$G$5,"")),"")</f>
        <v/>
      </c>
      <c r="V65" s="37" t="str">
        <f ca="1">IFERROR(+IF(V$29=ProposalToGnatt[[#This Row],[Start Date]],Milestone_Marker,IF(AND(V$29&gt;ProposalToGnatt[[#This Row],[Start Date]],V$29&lt;ProposalToGnatt[[#This Row],[Start Date]]+ProposalToGnatt[[#This Row],[Days]]),$G$5,"")),"")</f>
        <v/>
      </c>
      <c r="W65" s="37" t="str">
        <f ca="1">IFERROR(+IF(W$29=ProposalToGnatt[[#This Row],[Start Date]],Milestone_Marker,IF(AND(W$29&gt;ProposalToGnatt[[#This Row],[Start Date]],W$29&lt;ProposalToGnatt[[#This Row],[Start Date]]+ProposalToGnatt[[#This Row],[Days]]),$G$5,"")),"")</f>
        <v/>
      </c>
      <c r="X65" s="37" t="str">
        <f ca="1">IFERROR(+IF(X$29=ProposalToGnatt[[#This Row],[Start Date]],Milestone_Marker,IF(AND(X$29&gt;ProposalToGnatt[[#This Row],[Start Date]],X$29&lt;ProposalToGnatt[[#This Row],[Start Date]]+ProposalToGnatt[[#This Row],[Days]]),$G$5,"")),"")</f>
        <v/>
      </c>
      <c r="Y65" s="37" t="str">
        <f ca="1">IFERROR(+IF(Y$29=ProposalToGnatt[[#This Row],[Start Date]],Milestone_Marker,IF(AND(Y$29&gt;ProposalToGnatt[[#This Row],[Start Date]],Y$29&lt;ProposalToGnatt[[#This Row],[Start Date]]+ProposalToGnatt[[#This Row],[Days]]),$G$5,"")),"")</f>
        <v/>
      </c>
      <c r="Z65" s="37" t="str">
        <f ca="1">IFERROR(+IF(Z$29=ProposalToGnatt[[#This Row],[Start Date]],Milestone_Marker,IF(AND(Z$29&gt;ProposalToGnatt[[#This Row],[Start Date]],Z$29&lt;ProposalToGnatt[[#This Row],[Start Date]]+ProposalToGnatt[[#This Row],[Days]]),$G$5,"")),"")</f>
        <v/>
      </c>
      <c r="AA65" s="37" t="str">
        <f ca="1">IFERROR(+IF(AA$29=ProposalToGnatt[[#This Row],[Start Date]],Milestone_Marker,IF(AND(AA$29&gt;ProposalToGnatt[[#This Row],[Start Date]],AA$29&lt;ProposalToGnatt[[#This Row],[Start Date]]+ProposalToGnatt[[#This Row],[Days]]),$G$5,"")),"")</f>
        <v/>
      </c>
      <c r="AB65" s="37" t="str">
        <f ca="1">IFERROR(+IF(AB$29=ProposalToGnatt[[#This Row],[Start Date]],Milestone_Marker,IF(AND(AB$29&gt;ProposalToGnatt[[#This Row],[Start Date]],AB$29&lt;ProposalToGnatt[[#This Row],[Start Date]]+ProposalToGnatt[[#This Row],[Days]]),$G$5,"")),"")</f>
        <v/>
      </c>
      <c r="AC65" s="37" t="str">
        <f ca="1">IFERROR(+IF(AC$29=ProposalToGnatt[[#This Row],[Start Date]],Milestone_Marker,IF(AND(AC$29&gt;ProposalToGnatt[[#This Row],[Start Date]],AC$29&lt;ProposalToGnatt[[#This Row],[Start Date]]+ProposalToGnatt[[#This Row],[Days]]),$G$5,"")),"")</f>
        <v/>
      </c>
      <c r="AD65" s="37" t="str">
        <f ca="1">IFERROR(+IF(AD$29=ProposalToGnatt[[#This Row],[Start Date]],Milestone_Marker,IF(AND(AD$29&gt;ProposalToGnatt[[#This Row],[Start Date]],AD$29&lt;ProposalToGnatt[[#This Row],[Start Date]]+ProposalToGnatt[[#This Row],[Days]]),$G$5,"")),"")</f>
        <v/>
      </c>
      <c r="AE65" s="37" t="str">
        <f ca="1">IFERROR(+IF(AE$29=ProposalToGnatt[[#This Row],[Start Date]],Milestone_Marker,IF(AND(AE$29&gt;ProposalToGnatt[[#This Row],[Start Date]],AE$29&lt;ProposalToGnatt[[#This Row],[Start Date]]+ProposalToGnatt[[#This Row],[Days]]),$G$5,"")),"")</f>
        <v/>
      </c>
      <c r="AF65" s="37" t="str">
        <f ca="1">IFERROR(+IF(AF$29=ProposalToGnatt[[#This Row],[Start Date]],Milestone_Marker,IF(AND(AF$29&gt;ProposalToGnatt[[#This Row],[Start Date]],AF$29&lt;ProposalToGnatt[[#This Row],[Start Date]]+ProposalToGnatt[[#This Row],[Days]]),$G$5,"")),"")</f>
        <v/>
      </c>
      <c r="AG65" s="37" t="str">
        <f ca="1">IFERROR(+IF(AG$29=ProposalToGnatt[[#This Row],[Start Date]],Milestone_Marker,IF(AND(AG$29&gt;ProposalToGnatt[[#This Row],[Start Date]],AG$29&lt;ProposalToGnatt[[#This Row],[Start Date]]+ProposalToGnatt[[#This Row],[Days]]),$G$5,"")),"")</f>
        <v/>
      </c>
      <c r="AH65" s="37" t="str">
        <f ca="1">IFERROR(+IF(AH$29=ProposalToGnatt[[#This Row],[Start Date]],Milestone_Marker,IF(AND(AH$29&gt;ProposalToGnatt[[#This Row],[Start Date]],AH$29&lt;ProposalToGnatt[[#This Row],[Start Date]]+ProposalToGnatt[[#This Row],[Days]]),$G$5,"")),"")</f>
        <v/>
      </c>
      <c r="AI65" s="37" t="str">
        <f ca="1">IFERROR(+IF(AI$29=ProposalToGnatt[[#This Row],[Start Date]],Milestone_Marker,IF(AND(AI$29&gt;ProposalToGnatt[[#This Row],[Start Date]],AI$29&lt;ProposalToGnatt[[#This Row],[Start Date]]+ProposalToGnatt[[#This Row],[Days]]),$G$5,"")),"")</f>
        <v/>
      </c>
      <c r="AJ65" s="37" t="str">
        <f ca="1">IFERROR(+IF(AJ$29=ProposalToGnatt[[#This Row],[Start Date]],Milestone_Marker,IF(AND(AJ$29&gt;ProposalToGnatt[[#This Row],[Start Date]],AJ$29&lt;ProposalToGnatt[[#This Row],[Start Date]]+ProposalToGnatt[[#This Row],[Days]]),$G$5,"")),"")</f>
        <v/>
      </c>
      <c r="AK65" s="37" t="str">
        <f ca="1">IFERROR(+IF(AK$29=ProposalToGnatt[[#This Row],[Start Date]],Milestone_Marker,IF(AND(AK$29&gt;ProposalToGnatt[[#This Row],[Start Date]],AK$29&lt;ProposalToGnatt[[#This Row],[Start Date]]+ProposalToGnatt[[#This Row],[Days]]),$G$5,"")),"")</f>
        <v/>
      </c>
      <c r="AL65" s="37" t="str">
        <f ca="1">IFERROR(+IF(AL$29=ProposalToGnatt[[#This Row],[Start Date]],Milestone_Marker,IF(AND(AL$29&gt;ProposalToGnatt[[#This Row],[Start Date]],AL$29&lt;ProposalToGnatt[[#This Row],[Start Date]]+ProposalToGnatt[[#This Row],[Days]]),$G$5,"")),"")</f>
        <v/>
      </c>
      <c r="AM65" s="37" t="str">
        <f ca="1">IFERROR(+IF(AM$29=ProposalToGnatt[[#This Row],[Start Date]],Milestone_Marker,IF(AND(AM$29&gt;ProposalToGnatt[[#This Row],[Start Date]],AM$29&lt;ProposalToGnatt[[#This Row],[Start Date]]+ProposalToGnatt[[#This Row],[Days]]),$G$5,"")),"")</f>
        <v/>
      </c>
      <c r="AN65" s="37" t="str">
        <f ca="1">IFERROR(+IF(AN$29=ProposalToGnatt[[#This Row],[Start Date]],Milestone_Marker,IF(AND(AN$29&gt;ProposalToGnatt[[#This Row],[Start Date]],AN$29&lt;ProposalToGnatt[[#This Row],[Start Date]]+ProposalToGnatt[[#This Row],[Days]]),$G$5,"")),"")</f>
        <v/>
      </c>
      <c r="AO65" s="37" t="str">
        <f ca="1">IFERROR(+IF(AO$29=ProposalToGnatt[[#This Row],[Start Date]],Milestone_Marker,IF(AND(AO$29&gt;ProposalToGnatt[[#This Row],[Start Date]],AO$29&lt;ProposalToGnatt[[#This Row],[Start Date]]+ProposalToGnatt[[#This Row],[Days]]),$G$5,"")),"")</f>
        <v/>
      </c>
      <c r="AP65" s="37" t="str">
        <f ca="1">IFERROR(+IF(AP$29=ProposalToGnatt[[#This Row],[Start Date]],Milestone_Marker,IF(AND(AP$29&gt;ProposalToGnatt[[#This Row],[Start Date]],AP$29&lt;ProposalToGnatt[[#This Row],[Start Date]]+ProposalToGnatt[[#This Row],[Days]]),$G$5,"")),"")</f>
        <v/>
      </c>
      <c r="AQ65" s="37" t="str">
        <f ca="1">IFERROR(+IF(AQ$29=ProposalToGnatt[[#This Row],[Start Date]],Milestone_Marker,IF(AND(AQ$29&gt;ProposalToGnatt[[#This Row],[Start Date]],AQ$29&lt;ProposalToGnatt[[#This Row],[Start Date]]+ProposalToGnatt[[#This Row],[Days]]),$G$5,"")),"")</f>
        <v/>
      </c>
      <c r="AR65" s="37" t="str">
        <f ca="1">IFERROR(+IF(AR$29=ProposalToGnatt[[#This Row],[Start Date]],Milestone_Marker,IF(AND(AR$29&gt;ProposalToGnatt[[#This Row],[Start Date]],AR$29&lt;ProposalToGnatt[[#This Row],[Start Date]]+ProposalToGnatt[[#This Row],[Days]]),$G$5,"")),"")</f>
        <v/>
      </c>
      <c r="AS65" s="37" t="str">
        <f ca="1">IFERROR(+IF(AS$29=ProposalToGnatt[[#This Row],[Start Date]],Milestone_Marker,IF(AND(AS$29&gt;ProposalToGnatt[[#This Row],[Start Date]],AS$29&lt;ProposalToGnatt[[#This Row],[Start Date]]+ProposalToGnatt[[#This Row],[Days]]),$G$5,"")),"")</f>
        <v/>
      </c>
      <c r="AT65" s="37" t="str">
        <f ca="1">IFERROR(+IF(AT$29=ProposalToGnatt[[#This Row],[Start Date]],Milestone_Marker,IF(AND(AT$29&gt;ProposalToGnatt[[#This Row],[Start Date]],AT$29&lt;ProposalToGnatt[[#This Row],[Start Date]]+ProposalToGnatt[[#This Row],[Days]]),$G$5,"")),"")</f>
        <v/>
      </c>
      <c r="AU65" s="37" t="str">
        <f ca="1">IFERROR(+IF(AU$29=ProposalToGnatt[[#This Row],[Start Date]],Milestone_Marker,IF(AND(AU$29&gt;ProposalToGnatt[[#This Row],[Start Date]],AU$29&lt;ProposalToGnatt[[#This Row],[Start Date]]+ProposalToGnatt[[#This Row],[Days]]),$G$5,"")),"")</f>
        <v/>
      </c>
      <c r="AV65" s="37" t="str">
        <f ca="1">IFERROR(+IF(AV$29=ProposalToGnatt[[#This Row],[Start Date]],Milestone_Marker,IF(AND(AV$29&gt;ProposalToGnatt[[#This Row],[Start Date]],AV$29&lt;ProposalToGnatt[[#This Row],[Start Date]]+ProposalToGnatt[[#This Row],[Days]]),$G$5,"")),"")</f>
        <v/>
      </c>
      <c r="AW65" s="37" t="str">
        <f ca="1">IFERROR(+IF(AW$29=ProposalToGnatt[[#This Row],[Start Date]],Milestone_Marker,IF(AND(AW$29&gt;ProposalToGnatt[[#This Row],[Start Date]],AW$29&lt;ProposalToGnatt[[#This Row],[Start Date]]+ProposalToGnatt[[#This Row],[Days]]),$G$5,"")),"")</f>
        <v/>
      </c>
      <c r="AX65" s="37" t="str">
        <f ca="1">IFERROR(+IF(AX$29=ProposalToGnatt[[#This Row],[Start Date]],Milestone_Marker,IF(AND(AX$29&gt;ProposalToGnatt[[#This Row],[Start Date]],AX$29&lt;ProposalToGnatt[[#This Row],[Start Date]]+ProposalToGnatt[[#This Row],[Days]]),$G$5,"")),"")</f>
        <v/>
      </c>
      <c r="AY65" s="37" t="str">
        <f ca="1">IFERROR(+IF(AY$29=ProposalToGnatt[[#This Row],[Start Date]],Milestone_Marker,IF(AND(AY$29&gt;ProposalToGnatt[[#This Row],[Start Date]],AY$29&lt;ProposalToGnatt[[#This Row],[Start Date]]+ProposalToGnatt[[#This Row],[Days]]),$G$5,"")),"")</f>
        <v/>
      </c>
      <c r="AZ65" s="37" t="str">
        <f ca="1">IFERROR(+IF(AZ$29=ProposalToGnatt[[#This Row],[Start Date]],Milestone_Marker,IF(AND(AZ$29&gt;ProposalToGnatt[[#This Row],[Start Date]],AZ$29&lt;ProposalToGnatt[[#This Row],[Start Date]]+ProposalToGnatt[[#This Row],[Days]]),$G$5,"")),"")</f>
        <v/>
      </c>
      <c r="BA65" s="37" t="str">
        <f ca="1">IFERROR(+IF(BA$29=ProposalToGnatt[[#This Row],[Start Date]],Milestone_Marker,IF(AND(BA$29&gt;ProposalToGnatt[[#This Row],[Start Date]],BA$29&lt;ProposalToGnatt[[#This Row],[Start Date]]+ProposalToGnatt[[#This Row],[Days]]),$G$5,"")),"")</f>
        <v/>
      </c>
      <c r="BB65" s="37" t="str">
        <f ca="1">IFERROR(+IF(BB$29=ProposalToGnatt[[#This Row],[Start Date]],Milestone_Marker,IF(AND(BB$29&gt;ProposalToGnatt[[#This Row],[Start Date]],BB$29&lt;ProposalToGnatt[[#This Row],[Start Date]]+ProposalToGnatt[[#This Row],[Days]]),$G$5,"")),"")</f>
        <v/>
      </c>
      <c r="BC65" s="37" t="str">
        <f ca="1">IFERROR(+IF(BC$29=ProposalToGnatt[[#This Row],[Start Date]],Milestone_Marker,IF(AND(BC$29&gt;ProposalToGnatt[[#This Row],[Start Date]],BC$29&lt;ProposalToGnatt[[#This Row],[Start Date]]+ProposalToGnatt[[#This Row],[Days]]),$G$5,"")),"")</f>
        <v/>
      </c>
      <c r="BD65" s="37" t="str">
        <f ca="1">IFERROR(+IF(BD$29=ProposalToGnatt[[#This Row],[Start Date]],Milestone_Marker,IF(AND(BD$29&gt;ProposalToGnatt[[#This Row],[Start Date]],BD$29&lt;ProposalToGnatt[[#This Row],[Start Date]]+ProposalToGnatt[[#This Row],[Days]]),$G$5,"")),"")</f>
        <v/>
      </c>
      <c r="BE65" s="37" t="str">
        <f ca="1">IFERROR(+IF(BE$29=ProposalToGnatt[[#This Row],[Start Date]],Milestone_Marker,IF(AND(BE$29&gt;ProposalToGnatt[[#This Row],[Start Date]],BE$29&lt;ProposalToGnatt[[#This Row],[Start Date]]+ProposalToGnatt[[#This Row],[Days]]),$G$5,"")),"")</f>
        <v/>
      </c>
      <c r="BF65" s="37" t="str">
        <f ca="1">IFERROR(+IF(BF$29=ProposalToGnatt[[#This Row],[Start Date]],Milestone_Marker,IF(AND(BF$29&gt;ProposalToGnatt[[#This Row],[Start Date]],BF$29&lt;ProposalToGnatt[[#This Row],[Start Date]]+ProposalToGnatt[[#This Row],[Days]]),$G$5,"")),"")</f>
        <v/>
      </c>
      <c r="BG65" s="37" t="str">
        <f ca="1">IFERROR(+IF(BG$29=ProposalToGnatt[[#This Row],[Start Date]],Milestone_Marker,IF(AND(BG$29&gt;ProposalToGnatt[[#This Row],[Start Date]],BG$29&lt;ProposalToGnatt[[#This Row],[Start Date]]+ProposalToGnatt[[#This Row],[Days]]),$G$5,"")),"")</f>
        <v/>
      </c>
      <c r="BH65" s="37" t="str">
        <f ca="1">IFERROR(+IF(BH$29=ProposalToGnatt[[#This Row],[Start Date]],Milestone_Marker,IF(AND(BH$29&gt;ProposalToGnatt[[#This Row],[Start Date]],BH$29&lt;ProposalToGnatt[[#This Row],[Start Date]]+ProposalToGnatt[[#This Row],[Days]]),$G$5,"")),"")</f>
        <v/>
      </c>
      <c r="BI65" s="37" t="str">
        <f ca="1">IFERROR(+IF(BI$29=ProposalToGnatt[[#This Row],[Start Date]],Milestone_Marker,IF(AND(BI$29&gt;ProposalToGnatt[[#This Row],[Start Date]],BI$29&lt;ProposalToGnatt[[#This Row],[Start Date]]+ProposalToGnatt[[#This Row],[Days]]),$G$5,"")),"")</f>
        <v/>
      </c>
      <c r="BJ65" s="37" t="str">
        <f ca="1">IFERROR(+IF(BJ$29=ProposalToGnatt[[#This Row],[Start Date]],Milestone_Marker,IF(AND(BJ$29&gt;ProposalToGnatt[[#This Row],[Start Date]],BJ$29&lt;ProposalToGnatt[[#This Row],[Start Date]]+ProposalToGnatt[[#This Row],[Days]]),$G$5,"")),"")</f>
        <v/>
      </c>
      <c r="BK65" s="37" t="str">
        <f ca="1">IFERROR(+IF(BK$29=ProposalToGnatt[[#This Row],[Start Date]],Milestone_Marker,IF(AND(BK$29&gt;ProposalToGnatt[[#This Row],[Start Date]],BK$29&lt;ProposalToGnatt[[#This Row],[Start Date]]+ProposalToGnatt[[#This Row],[Days]]),$G$5,"")),"")</f>
        <v/>
      </c>
      <c r="BL65" s="37" t="str">
        <f ca="1">IFERROR(+IF(BL$29=ProposalToGnatt[[#This Row],[Start Date]],Milestone_Marker,IF(AND(BL$29&gt;ProposalToGnatt[[#This Row],[Start Date]],BL$29&lt;ProposalToGnatt[[#This Row],[Start Date]]+ProposalToGnatt[[#This Row],[Days]]),$G$5,"")),"")</f>
        <v/>
      </c>
      <c r="BM65" s="37" t="str">
        <f ca="1">IFERROR(+IF(BM$29=ProposalToGnatt[[#This Row],[Start Date]],Milestone_Marker,IF(AND(BM$29&gt;ProposalToGnatt[[#This Row],[Start Date]],BM$29&lt;ProposalToGnatt[[#This Row],[Start Date]]+ProposalToGnatt[[#This Row],[Days]]),$G$5,"")),"")</f>
        <v/>
      </c>
      <c r="BN65" s="37" t="str">
        <f ca="1">IFERROR(+IF(BN$29=ProposalToGnatt[[#This Row],[Start Date]],Milestone_Marker,IF(AND(BN$29&gt;ProposalToGnatt[[#This Row],[Start Date]],BN$29&lt;ProposalToGnatt[[#This Row],[Start Date]]+ProposalToGnatt[[#This Row],[Days]]),$G$5,"")),"")</f>
        <v/>
      </c>
      <c r="BO65" s="37" t="str">
        <f ca="1">IFERROR(+IF(BO$29=ProposalToGnatt[[#This Row],[Start Date]],Milestone_Marker,IF(AND(BO$29&gt;ProposalToGnatt[[#This Row],[Start Date]],BO$29&lt;ProposalToGnatt[[#This Row],[Start Date]]+ProposalToGnatt[[#This Row],[Days]]),$G$5,"")),"")</f>
        <v/>
      </c>
      <c r="BP65" s="37" t="str">
        <f ca="1">IFERROR(+IF(BP$29=ProposalToGnatt[[#This Row],[Start Date]],Milestone_Marker,IF(AND(BP$29&gt;ProposalToGnatt[[#This Row],[Start Date]],BP$29&lt;ProposalToGnatt[[#This Row],[Start Date]]+ProposalToGnatt[[#This Row],[Days]]),$G$5,"")),"")</f>
        <v/>
      </c>
      <c r="BQ65" s="37" t="str">
        <f ca="1">IFERROR(+IF(BQ$29=ProposalToGnatt[[#This Row],[Start Date]],Milestone_Marker,IF(AND(BQ$29&gt;ProposalToGnatt[[#This Row],[Start Date]],BQ$29&lt;ProposalToGnatt[[#This Row],[Start Date]]+ProposalToGnatt[[#This Row],[Days]]),$G$5,"")),"")</f>
        <v/>
      </c>
      <c r="BR65" s="37" t="str">
        <f ca="1">IFERROR(+IF(BR$29=ProposalToGnatt[[#This Row],[Start Date]],Milestone_Marker,IF(AND(BR$29&gt;ProposalToGnatt[[#This Row],[Start Date]],BR$29&lt;ProposalToGnatt[[#This Row],[Start Date]]+ProposalToGnatt[[#This Row],[Days]]),$G$5,"")),"")</f>
        <v/>
      </c>
      <c r="BS65" s="37" t="str">
        <f ca="1">IFERROR(+IF(BS$29=ProposalToGnatt[[#This Row],[Start Date]],Milestone_Marker,IF(AND(BS$29&gt;ProposalToGnatt[[#This Row],[Start Date]],BS$29&lt;ProposalToGnatt[[#This Row],[Start Date]]+ProposalToGnatt[[#This Row],[Days]]),$G$5,"")),"")</f>
        <v/>
      </c>
      <c r="BT65" s="37" t="str">
        <f ca="1">IFERROR(+IF(BT$29=ProposalToGnatt[[#This Row],[Start Date]],Milestone_Marker,IF(AND(BT$29&gt;ProposalToGnatt[[#This Row],[Start Date]],BT$29&lt;ProposalToGnatt[[#This Row],[Start Date]]+ProposalToGnatt[[#This Row],[Days]]),$G$5,"")),"")</f>
        <v/>
      </c>
      <c r="BU65" s="37" t="str">
        <f ca="1">IFERROR(+IF(BU$29=ProposalToGnatt[[#This Row],[Start Date]],Milestone_Marker,IF(AND(BU$29&gt;ProposalToGnatt[[#This Row],[Start Date]],BU$29&lt;ProposalToGnatt[[#This Row],[Start Date]]+ProposalToGnatt[[#This Row],[Days]]),$G$5,"")),"")</f>
        <v/>
      </c>
      <c r="BV65" s="37" t="str">
        <f ca="1">IFERROR(+IF(BV$29=ProposalToGnatt[[#This Row],[Start Date]],Milestone_Marker,IF(AND(BV$29&gt;ProposalToGnatt[[#This Row],[Start Date]],BV$29&lt;ProposalToGnatt[[#This Row],[Start Date]]+ProposalToGnatt[[#This Row],[Days]]),$G$5,"")),"")</f>
        <v/>
      </c>
      <c r="BW65" s="37" t="str">
        <f ca="1">IFERROR(+IF(BW$29=ProposalToGnatt[[#This Row],[Start Date]],Milestone_Marker,IF(AND(BW$29&gt;ProposalToGnatt[[#This Row],[Start Date]],BW$29&lt;ProposalToGnatt[[#This Row],[Start Date]]+ProposalToGnatt[[#This Row],[Days]]),$G$5,"")),"")</f>
        <v/>
      </c>
      <c r="BX65" s="37" t="str">
        <f ca="1">IFERROR(+IF(BX$29=ProposalToGnatt[[#This Row],[Start Date]],Milestone_Marker,IF(AND(BX$29&gt;ProposalToGnatt[[#This Row],[Start Date]],BX$29&lt;ProposalToGnatt[[#This Row],[Start Date]]+ProposalToGnatt[[#This Row],[Days]]),$G$5,"")),"")</f>
        <v/>
      </c>
      <c r="BY65" s="37" t="str">
        <f ca="1">IFERROR(+IF(BY$29=ProposalToGnatt[[#This Row],[Start Date]],Milestone_Marker,IF(AND(BY$29&gt;ProposalToGnatt[[#This Row],[Start Date]],BY$29&lt;ProposalToGnatt[[#This Row],[Start Date]]+ProposalToGnatt[[#This Row],[Days]]),$G$5,"")),"")</f>
        <v/>
      </c>
      <c r="BZ65" s="37" t="str">
        <f ca="1">IFERROR(+IF(BZ$29=ProposalToGnatt[[#This Row],[Start Date]],Milestone_Marker,IF(AND(BZ$29&gt;ProposalToGnatt[[#This Row],[Start Date]],BZ$29&lt;ProposalToGnatt[[#This Row],[Start Date]]+ProposalToGnatt[[#This Row],[Days]]),$G$5,"")),"")</f>
        <v/>
      </c>
      <c r="CA65" s="37" t="str">
        <f ca="1">IFERROR(+IF(CA$29=ProposalToGnatt[[#This Row],[Start Date]],Milestone_Marker,IF(AND(CA$29&gt;ProposalToGnatt[[#This Row],[Start Date]],CA$29&lt;ProposalToGnatt[[#This Row],[Start Date]]+ProposalToGnatt[[#This Row],[Days]]),$G$5,"")),"")</f>
        <v/>
      </c>
      <c r="CB65" s="37" t="str">
        <f ca="1">IFERROR(+IF(CB$29=ProposalToGnatt[[#This Row],[Start Date]],Milestone_Marker,IF(AND(CB$29&gt;ProposalToGnatt[[#This Row],[Start Date]],CB$29&lt;ProposalToGnatt[[#This Row],[Start Date]]+ProposalToGnatt[[#This Row],[Days]]),$G$5,"")),"")</f>
        <v/>
      </c>
      <c r="CC65" s="37" t="str">
        <f ca="1">IFERROR(+IF(CC$29=ProposalToGnatt[[#This Row],[Start Date]],Milestone_Marker,IF(AND(CC$29&gt;ProposalToGnatt[[#This Row],[Start Date]],CC$29&lt;ProposalToGnatt[[#This Row],[Start Date]]+ProposalToGnatt[[#This Row],[Days]]),$G$5,"")),"")</f>
        <v/>
      </c>
      <c r="CD65" s="37" t="str">
        <f ca="1">IFERROR(+IF(CD$29=ProposalToGnatt[[#This Row],[Start Date]],Milestone_Marker,IF(AND(CD$29&gt;ProposalToGnatt[[#This Row],[Start Date]],CD$29&lt;ProposalToGnatt[[#This Row],[Start Date]]+ProposalToGnatt[[#This Row],[Days]]),$G$5,"")),"")</f>
        <v/>
      </c>
      <c r="CE65" s="37" t="str">
        <f ca="1">IFERROR(+IF(CE$29=ProposalToGnatt[[#This Row],[Start Date]],Milestone_Marker,IF(AND(CE$29&gt;ProposalToGnatt[[#This Row],[Start Date]],CE$29&lt;ProposalToGnatt[[#This Row],[Start Date]]+ProposalToGnatt[[#This Row],[Days]]),$G$5,"")),"")</f>
        <v/>
      </c>
      <c r="CF65" s="37" t="str">
        <f ca="1">IFERROR(+IF(CF$29=ProposalToGnatt[[#This Row],[Start Date]],Milestone_Marker,IF(AND(CF$29&gt;ProposalToGnatt[[#This Row],[Start Date]],CF$29&lt;ProposalToGnatt[[#This Row],[Start Date]]+ProposalToGnatt[[#This Row],[Days]]),$G$5,"")),"")</f>
        <v/>
      </c>
      <c r="CG65" s="37" t="str">
        <f ca="1">IFERROR(+IF(CG$29=ProposalToGnatt[[#This Row],[Start Date]],Milestone_Marker,IF(AND(CG$29&gt;ProposalToGnatt[[#This Row],[Start Date]],CG$29&lt;ProposalToGnatt[[#This Row],[Start Date]]+ProposalToGnatt[[#This Row],[Days]]),$G$5,"")),"")</f>
        <v/>
      </c>
      <c r="CH65" s="37" t="str">
        <f ca="1">IFERROR(+IF(CH$29=ProposalToGnatt[[#This Row],[Start Date]],Milestone_Marker,IF(AND(CH$29&gt;ProposalToGnatt[[#This Row],[Start Date]],CH$29&lt;ProposalToGnatt[[#This Row],[Start Date]]+ProposalToGnatt[[#This Row],[Days]]),$G$5,"")),"")</f>
        <v/>
      </c>
      <c r="CI65" s="37" t="str">
        <f ca="1">IFERROR(+IF(CI$29=ProposalToGnatt[[#This Row],[Start Date]],Milestone_Marker,IF(AND(CI$29&gt;ProposalToGnatt[[#This Row],[Start Date]],CI$29&lt;ProposalToGnatt[[#This Row],[Start Date]]+ProposalToGnatt[[#This Row],[Days]]),$G$5,"")),"")</f>
        <v/>
      </c>
      <c r="CJ65" s="37" t="str">
        <f ca="1">IFERROR(+IF(CJ$29=ProposalToGnatt[[#This Row],[Start Date]],Milestone_Marker,IF(AND(CJ$29&gt;ProposalToGnatt[[#This Row],[Start Date]],CJ$29&lt;ProposalToGnatt[[#This Row],[Start Date]]+ProposalToGnatt[[#This Row],[Days]]),$G$5,"")),"")</f>
        <v/>
      </c>
      <c r="CK65" s="37" t="str">
        <f ca="1">IFERROR(+IF(CK$29=ProposalToGnatt[[#This Row],[Start Date]],Milestone_Marker,IF(AND(CK$29&gt;ProposalToGnatt[[#This Row],[Start Date]],CK$29&lt;ProposalToGnatt[[#This Row],[Start Date]]+ProposalToGnatt[[#This Row],[Days]]),$G$5,"")),"")</f>
        <v/>
      </c>
      <c r="CL65" s="37" t="str">
        <f ca="1">IFERROR(+IF(CL$29=ProposalToGnatt[[#This Row],[Start Date]],Milestone_Marker,IF(AND(CL$29&gt;ProposalToGnatt[[#This Row],[Start Date]],CL$29&lt;ProposalToGnatt[[#This Row],[Start Date]]+ProposalToGnatt[[#This Row],[Days]]),$G$5,"")),"")</f>
        <v/>
      </c>
      <c r="CM65" s="37" t="str">
        <f ca="1">IFERROR(+IF(CM$29=ProposalToGnatt[[#This Row],[Start Date]],Milestone_Marker,IF(AND(CM$29&gt;ProposalToGnatt[[#This Row],[Start Date]],CM$29&lt;ProposalToGnatt[[#This Row],[Start Date]]+ProposalToGnatt[[#This Row],[Days]]),$G$5,"")),"")</f>
        <v/>
      </c>
      <c r="CN65" s="37" t="str">
        <f ca="1">IFERROR(+IF(CN$29=ProposalToGnatt[[#This Row],[Start Date]],Milestone_Marker,IF(AND(CN$29&gt;ProposalToGnatt[[#This Row],[Start Date]],CN$29&lt;ProposalToGnatt[[#This Row],[Start Date]]+ProposalToGnatt[[#This Row],[Days]]),$G$5,"")),"")</f>
        <v/>
      </c>
      <c r="CO65" s="37" t="str">
        <f ca="1">IFERROR(+IF(CO$29=ProposalToGnatt[[#This Row],[Start Date]],Milestone_Marker,IF(AND(CO$29&gt;ProposalToGnatt[[#This Row],[Start Date]],CO$29&lt;ProposalToGnatt[[#This Row],[Start Date]]+ProposalToGnatt[[#This Row],[Days]]),$G$5,"")),"")</f>
        <v/>
      </c>
      <c r="CP65" s="37" t="str">
        <f ca="1">IFERROR(+IF(CP$29=ProposalToGnatt[[#This Row],[Start Date]],Milestone_Marker,IF(AND(CP$29&gt;ProposalToGnatt[[#This Row],[Start Date]],CP$29&lt;ProposalToGnatt[[#This Row],[Start Date]]+ProposalToGnatt[[#This Row],[Days]]),$G$5,"")),"")</f>
        <v/>
      </c>
      <c r="CQ65" s="37" t="str">
        <f ca="1">IFERROR(+IF(CQ$29=ProposalToGnatt[[#This Row],[Start Date]],Milestone_Marker,IF(AND(CQ$29&gt;ProposalToGnatt[[#This Row],[Start Date]],CQ$29&lt;ProposalToGnatt[[#This Row],[Start Date]]+ProposalToGnatt[[#This Row],[Days]]),$G$5,"")),"")</f>
        <v/>
      </c>
      <c r="CR65" s="37" t="str">
        <f ca="1">IFERROR(+IF(CR$29=ProposalToGnatt[[#This Row],[Start Date]],Milestone_Marker,IF(AND(CR$29&gt;ProposalToGnatt[[#This Row],[Start Date]],CR$29&lt;ProposalToGnatt[[#This Row],[Start Date]]+ProposalToGnatt[[#This Row],[Days]]),$G$5,"")),"")</f>
        <v/>
      </c>
      <c r="CS65" s="37" t="str">
        <f ca="1">IFERROR(+IF(CS$29=ProposalToGnatt[[#This Row],[Start Date]],Milestone_Marker,IF(AND(CS$29&gt;ProposalToGnatt[[#This Row],[Start Date]],CS$29&lt;ProposalToGnatt[[#This Row],[Start Date]]+ProposalToGnatt[[#This Row],[Days]]),$G$5,"")),"")</f>
        <v/>
      </c>
      <c r="CT65" s="37" t="str">
        <f ca="1">IFERROR(+IF(CT$29=ProposalToGnatt[[#This Row],[Start Date]],Milestone_Marker,IF(AND(CT$29&gt;ProposalToGnatt[[#This Row],[Start Date]],CT$29&lt;ProposalToGnatt[[#This Row],[Start Date]]+ProposalToGnatt[[#This Row],[Days]]),$G$5,"")),"")</f>
        <v/>
      </c>
      <c r="CU65" s="37" t="str">
        <f ca="1">IFERROR(+IF(CU$29=ProposalToGnatt[[#This Row],[Start Date]],Milestone_Marker,IF(AND(CU$29&gt;ProposalToGnatt[[#This Row],[Start Date]],CU$29&lt;ProposalToGnatt[[#This Row],[Start Date]]+ProposalToGnatt[[#This Row],[Days]]),$G$5,"")),"")</f>
        <v/>
      </c>
      <c r="CV65" s="37"/>
      <c r="CW65" s="37"/>
      <c r="CX65" s="37"/>
      <c r="CY65" s="37"/>
      <c r="CZ65" s="37"/>
      <c r="DA65" s="37"/>
      <c r="DB65" s="37"/>
      <c r="DC65" s="37"/>
      <c r="DD65" s="37"/>
      <c r="DE65" s="37"/>
      <c r="DF65" s="37"/>
      <c r="DG65" s="37"/>
      <c r="DH65" s="37"/>
      <c r="DI65" s="37"/>
      <c r="DJ65" s="37"/>
      <c r="DK65" s="37"/>
      <c r="DL65" s="37"/>
      <c r="DM65" s="37"/>
      <c r="DN65" s="37"/>
      <c r="DO65" s="37"/>
      <c r="DP65" s="37"/>
      <c r="DQ65" s="37"/>
      <c r="DR65" s="37"/>
      <c r="DS65" s="37"/>
      <c r="DT65" s="37"/>
      <c r="DU65" s="37"/>
    </row>
    <row r="66" spans="1:125" s="42" customFormat="1" ht="15" x14ac:dyDescent="0.25">
      <c r="A66" t="s">
        <v>428</v>
      </c>
      <c r="B66">
        <v>40</v>
      </c>
      <c r="C66" t="s">
        <v>339</v>
      </c>
      <c r="D66" t="s">
        <v>362</v>
      </c>
      <c r="E66" t="s">
        <v>363</v>
      </c>
      <c r="F66">
        <v>1</v>
      </c>
      <c r="G66" s="14">
        <v>50</v>
      </c>
      <c r="H66" s="14">
        <v>50</v>
      </c>
      <c r="I66" t="s">
        <v>8</v>
      </c>
      <c r="J66">
        <v>2</v>
      </c>
      <c r="K66" s="303"/>
      <c r="L66"/>
      <c r="M66" s="14"/>
      <c r="N66" s="352">
        <v>50</v>
      </c>
      <c r="O66" s="340"/>
      <c r="P66" s="37" t="str">
        <f ca="1">IFERROR(+IF(P$29=ProposalToGnatt[[#This Row],[Start Date]],Milestone_Marker,IF(AND(P$29&gt;ProposalToGnatt[[#This Row],[Start Date]],P$29&lt;ProposalToGnatt[[#This Row],[Start Date]]+ProposalToGnatt[[#This Row],[Days]]),$G$5,"")),"")</f>
        <v/>
      </c>
      <c r="Q66" s="37" t="str">
        <f ca="1">IFERROR(+IF(Q$29=ProposalToGnatt[[#This Row],[Start Date]],Milestone_Marker,IF(AND(Q$29&gt;ProposalToGnatt[[#This Row],[Start Date]],Q$29&lt;ProposalToGnatt[[#This Row],[Start Date]]+ProposalToGnatt[[#This Row],[Days]]),$G$5,"")),"")</f>
        <v/>
      </c>
      <c r="R66" s="37" t="str">
        <f ca="1">IFERROR(+IF(R$29=ProposalToGnatt[[#This Row],[Start Date]],Milestone_Marker,IF(AND(R$29&gt;ProposalToGnatt[[#This Row],[Start Date]],R$29&lt;ProposalToGnatt[[#This Row],[Start Date]]+ProposalToGnatt[[#This Row],[Days]]),$G$5,"")),"")</f>
        <v/>
      </c>
      <c r="S66" s="37" t="str">
        <f ca="1">IFERROR(+IF(S$29=ProposalToGnatt[[#This Row],[Start Date]],Milestone_Marker,IF(AND(S$29&gt;ProposalToGnatt[[#This Row],[Start Date]],S$29&lt;ProposalToGnatt[[#This Row],[Start Date]]+ProposalToGnatt[[#This Row],[Days]]),$G$5,"")),"")</f>
        <v/>
      </c>
      <c r="T66" s="37" t="str">
        <f ca="1">IFERROR(+IF(T$29=ProposalToGnatt[[#This Row],[Start Date]],Milestone_Marker,IF(AND(T$29&gt;ProposalToGnatt[[#This Row],[Start Date]],T$29&lt;ProposalToGnatt[[#This Row],[Start Date]]+ProposalToGnatt[[#This Row],[Days]]),$G$5,"")),"")</f>
        <v/>
      </c>
      <c r="U66" s="37" t="str">
        <f ca="1">IFERROR(+IF(U$29=ProposalToGnatt[[#This Row],[Start Date]],Milestone_Marker,IF(AND(U$29&gt;ProposalToGnatt[[#This Row],[Start Date]],U$29&lt;ProposalToGnatt[[#This Row],[Start Date]]+ProposalToGnatt[[#This Row],[Days]]),$G$5,"")),"")</f>
        <v/>
      </c>
      <c r="V66" s="37" t="str">
        <f ca="1">IFERROR(+IF(V$29=ProposalToGnatt[[#This Row],[Start Date]],Milestone_Marker,IF(AND(V$29&gt;ProposalToGnatt[[#This Row],[Start Date]],V$29&lt;ProposalToGnatt[[#This Row],[Start Date]]+ProposalToGnatt[[#This Row],[Days]]),$G$5,"")),"")</f>
        <v/>
      </c>
      <c r="W66" s="37" t="str">
        <f ca="1">IFERROR(+IF(W$29=ProposalToGnatt[[#This Row],[Start Date]],Milestone_Marker,IF(AND(W$29&gt;ProposalToGnatt[[#This Row],[Start Date]],W$29&lt;ProposalToGnatt[[#This Row],[Start Date]]+ProposalToGnatt[[#This Row],[Days]]),$G$5,"")),"")</f>
        <v/>
      </c>
      <c r="X66" s="37" t="str">
        <f ca="1">IFERROR(+IF(X$29=ProposalToGnatt[[#This Row],[Start Date]],Milestone_Marker,IF(AND(X$29&gt;ProposalToGnatt[[#This Row],[Start Date]],X$29&lt;ProposalToGnatt[[#This Row],[Start Date]]+ProposalToGnatt[[#This Row],[Days]]),$G$5,"")),"")</f>
        <v/>
      </c>
      <c r="Y66" s="37" t="str">
        <f ca="1">IFERROR(+IF(Y$29=ProposalToGnatt[[#This Row],[Start Date]],Milestone_Marker,IF(AND(Y$29&gt;ProposalToGnatt[[#This Row],[Start Date]],Y$29&lt;ProposalToGnatt[[#This Row],[Start Date]]+ProposalToGnatt[[#This Row],[Days]]),$G$5,"")),"")</f>
        <v/>
      </c>
      <c r="Z66" s="37" t="str">
        <f ca="1">IFERROR(+IF(Z$29=ProposalToGnatt[[#This Row],[Start Date]],Milestone_Marker,IF(AND(Z$29&gt;ProposalToGnatt[[#This Row],[Start Date]],Z$29&lt;ProposalToGnatt[[#This Row],[Start Date]]+ProposalToGnatt[[#This Row],[Days]]),$G$5,"")),"")</f>
        <v/>
      </c>
      <c r="AA66" s="37" t="str">
        <f ca="1">IFERROR(+IF(AA$29=ProposalToGnatt[[#This Row],[Start Date]],Milestone_Marker,IF(AND(AA$29&gt;ProposalToGnatt[[#This Row],[Start Date]],AA$29&lt;ProposalToGnatt[[#This Row],[Start Date]]+ProposalToGnatt[[#This Row],[Days]]),$G$5,"")),"")</f>
        <v/>
      </c>
      <c r="AB66" s="37" t="str">
        <f ca="1">IFERROR(+IF(AB$29=ProposalToGnatt[[#This Row],[Start Date]],Milestone_Marker,IF(AND(AB$29&gt;ProposalToGnatt[[#This Row],[Start Date]],AB$29&lt;ProposalToGnatt[[#This Row],[Start Date]]+ProposalToGnatt[[#This Row],[Days]]),$G$5,"")),"")</f>
        <v/>
      </c>
      <c r="AC66" s="37" t="str">
        <f ca="1">IFERROR(+IF(AC$29=ProposalToGnatt[[#This Row],[Start Date]],Milestone_Marker,IF(AND(AC$29&gt;ProposalToGnatt[[#This Row],[Start Date]],AC$29&lt;ProposalToGnatt[[#This Row],[Start Date]]+ProposalToGnatt[[#This Row],[Days]]),$G$5,"")),"")</f>
        <v/>
      </c>
      <c r="AD66" s="37" t="str">
        <f ca="1">IFERROR(+IF(AD$29=ProposalToGnatt[[#This Row],[Start Date]],Milestone_Marker,IF(AND(AD$29&gt;ProposalToGnatt[[#This Row],[Start Date]],AD$29&lt;ProposalToGnatt[[#This Row],[Start Date]]+ProposalToGnatt[[#This Row],[Days]]),$G$5,"")),"")</f>
        <v/>
      </c>
      <c r="AE66" s="37" t="str">
        <f ca="1">IFERROR(+IF(AE$29=ProposalToGnatt[[#This Row],[Start Date]],Milestone_Marker,IF(AND(AE$29&gt;ProposalToGnatt[[#This Row],[Start Date]],AE$29&lt;ProposalToGnatt[[#This Row],[Start Date]]+ProposalToGnatt[[#This Row],[Days]]),$G$5,"")),"")</f>
        <v/>
      </c>
      <c r="AF66" s="37" t="str">
        <f ca="1">IFERROR(+IF(AF$29=ProposalToGnatt[[#This Row],[Start Date]],Milestone_Marker,IF(AND(AF$29&gt;ProposalToGnatt[[#This Row],[Start Date]],AF$29&lt;ProposalToGnatt[[#This Row],[Start Date]]+ProposalToGnatt[[#This Row],[Days]]),$G$5,"")),"")</f>
        <v/>
      </c>
      <c r="AG66" s="37" t="str">
        <f ca="1">IFERROR(+IF(AG$29=ProposalToGnatt[[#This Row],[Start Date]],Milestone_Marker,IF(AND(AG$29&gt;ProposalToGnatt[[#This Row],[Start Date]],AG$29&lt;ProposalToGnatt[[#This Row],[Start Date]]+ProposalToGnatt[[#This Row],[Days]]),$G$5,"")),"")</f>
        <v/>
      </c>
      <c r="AH66" s="37" t="str">
        <f ca="1">IFERROR(+IF(AH$29=ProposalToGnatt[[#This Row],[Start Date]],Milestone_Marker,IF(AND(AH$29&gt;ProposalToGnatt[[#This Row],[Start Date]],AH$29&lt;ProposalToGnatt[[#This Row],[Start Date]]+ProposalToGnatt[[#This Row],[Days]]),$G$5,"")),"")</f>
        <v/>
      </c>
      <c r="AI66" s="37" t="str">
        <f ca="1">IFERROR(+IF(AI$29=ProposalToGnatt[[#This Row],[Start Date]],Milestone_Marker,IF(AND(AI$29&gt;ProposalToGnatt[[#This Row],[Start Date]],AI$29&lt;ProposalToGnatt[[#This Row],[Start Date]]+ProposalToGnatt[[#This Row],[Days]]),$G$5,"")),"")</f>
        <v/>
      </c>
      <c r="AJ66" s="37" t="str">
        <f ca="1">IFERROR(+IF(AJ$29=ProposalToGnatt[[#This Row],[Start Date]],Milestone_Marker,IF(AND(AJ$29&gt;ProposalToGnatt[[#This Row],[Start Date]],AJ$29&lt;ProposalToGnatt[[#This Row],[Start Date]]+ProposalToGnatt[[#This Row],[Days]]),$G$5,"")),"")</f>
        <v/>
      </c>
      <c r="AK66" s="37" t="str">
        <f ca="1">IFERROR(+IF(AK$29=ProposalToGnatt[[#This Row],[Start Date]],Milestone_Marker,IF(AND(AK$29&gt;ProposalToGnatt[[#This Row],[Start Date]],AK$29&lt;ProposalToGnatt[[#This Row],[Start Date]]+ProposalToGnatt[[#This Row],[Days]]),$G$5,"")),"")</f>
        <v/>
      </c>
      <c r="AL66" s="37" t="str">
        <f ca="1">IFERROR(+IF(AL$29=ProposalToGnatt[[#This Row],[Start Date]],Milestone_Marker,IF(AND(AL$29&gt;ProposalToGnatt[[#This Row],[Start Date]],AL$29&lt;ProposalToGnatt[[#This Row],[Start Date]]+ProposalToGnatt[[#This Row],[Days]]),$G$5,"")),"")</f>
        <v/>
      </c>
      <c r="AM66" s="37" t="str">
        <f ca="1">IFERROR(+IF(AM$29=ProposalToGnatt[[#This Row],[Start Date]],Milestone_Marker,IF(AND(AM$29&gt;ProposalToGnatt[[#This Row],[Start Date]],AM$29&lt;ProposalToGnatt[[#This Row],[Start Date]]+ProposalToGnatt[[#This Row],[Days]]),$G$5,"")),"")</f>
        <v/>
      </c>
      <c r="AN66" s="37" t="str">
        <f ca="1">IFERROR(+IF(AN$29=ProposalToGnatt[[#This Row],[Start Date]],Milestone_Marker,IF(AND(AN$29&gt;ProposalToGnatt[[#This Row],[Start Date]],AN$29&lt;ProposalToGnatt[[#This Row],[Start Date]]+ProposalToGnatt[[#This Row],[Days]]),$G$5,"")),"")</f>
        <v/>
      </c>
      <c r="AO66" s="37" t="str">
        <f ca="1">IFERROR(+IF(AO$29=ProposalToGnatt[[#This Row],[Start Date]],Milestone_Marker,IF(AND(AO$29&gt;ProposalToGnatt[[#This Row],[Start Date]],AO$29&lt;ProposalToGnatt[[#This Row],[Start Date]]+ProposalToGnatt[[#This Row],[Days]]),$G$5,"")),"")</f>
        <v/>
      </c>
      <c r="AP66" s="37" t="str">
        <f ca="1">IFERROR(+IF(AP$29=ProposalToGnatt[[#This Row],[Start Date]],Milestone_Marker,IF(AND(AP$29&gt;ProposalToGnatt[[#This Row],[Start Date]],AP$29&lt;ProposalToGnatt[[#This Row],[Start Date]]+ProposalToGnatt[[#This Row],[Days]]),$G$5,"")),"")</f>
        <v/>
      </c>
      <c r="AQ66" s="37" t="str">
        <f ca="1">IFERROR(+IF(AQ$29=ProposalToGnatt[[#This Row],[Start Date]],Milestone_Marker,IF(AND(AQ$29&gt;ProposalToGnatt[[#This Row],[Start Date]],AQ$29&lt;ProposalToGnatt[[#This Row],[Start Date]]+ProposalToGnatt[[#This Row],[Days]]),$G$5,"")),"")</f>
        <v/>
      </c>
      <c r="AR66" s="37" t="str">
        <f ca="1">IFERROR(+IF(AR$29=ProposalToGnatt[[#This Row],[Start Date]],Milestone_Marker,IF(AND(AR$29&gt;ProposalToGnatt[[#This Row],[Start Date]],AR$29&lt;ProposalToGnatt[[#This Row],[Start Date]]+ProposalToGnatt[[#This Row],[Days]]),$G$5,"")),"")</f>
        <v/>
      </c>
      <c r="AS66" s="37" t="str">
        <f ca="1">IFERROR(+IF(AS$29=ProposalToGnatt[[#This Row],[Start Date]],Milestone_Marker,IF(AND(AS$29&gt;ProposalToGnatt[[#This Row],[Start Date]],AS$29&lt;ProposalToGnatt[[#This Row],[Start Date]]+ProposalToGnatt[[#This Row],[Days]]),$G$5,"")),"")</f>
        <v/>
      </c>
      <c r="AT66" s="37" t="str">
        <f ca="1">IFERROR(+IF(AT$29=ProposalToGnatt[[#This Row],[Start Date]],Milestone_Marker,IF(AND(AT$29&gt;ProposalToGnatt[[#This Row],[Start Date]],AT$29&lt;ProposalToGnatt[[#This Row],[Start Date]]+ProposalToGnatt[[#This Row],[Days]]),$G$5,"")),"")</f>
        <v/>
      </c>
      <c r="AU66" s="37" t="str">
        <f ca="1">IFERROR(+IF(AU$29=ProposalToGnatt[[#This Row],[Start Date]],Milestone_Marker,IF(AND(AU$29&gt;ProposalToGnatt[[#This Row],[Start Date]],AU$29&lt;ProposalToGnatt[[#This Row],[Start Date]]+ProposalToGnatt[[#This Row],[Days]]),$G$5,"")),"")</f>
        <v/>
      </c>
      <c r="AV66" s="37" t="str">
        <f ca="1">IFERROR(+IF(AV$29=ProposalToGnatt[[#This Row],[Start Date]],Milestone_Marker,IF(AND(AV$29&gt;ProposalToGnatt[[#This Row],[Start Date]],AV$29&lt;ProposalToGnatt[[#This Row],[Start Date]]+ProposalToGnatt[[#This Row],[Days]]),$G$5,"")),"")</f>
        <v/>
      </c>
      <c r="AW66" s="37" t="str">
        <f ca="1">IFERROR(+IF(AW$29=ProposalToGnatt[[#This Row],[Start Date]],Milestone_Marker,IF(AND(AW$29&gt;ProposalToGnatt[[#This Row],[Start Date]],AW$29&lt;ProposalToGnatt[[#This Row],[Start Date]]+ProposalToGnatt[[#This Row],[Days]]),$G$5,"")),"")</f>
        <v/>
      </c>
      <c r="AX66" s="37" t="str">
        <f ca="1">IFERROR(+IF(AX$29=ProposalToGnatt[[#This Row],[Start Date]],Milestone_Marker,IF(AND(AX$29&gt;ProposalToGnatt[[#This Row],[Start Date]],AX$29&lt;ProposalToGnatt[[#This Row],[Start Date]]+ProposalToGnatt[[#This Row],[Days]]),$G$5,"")),"")</f>
        <v/>
      </c>
      <c r="AY66" s="37" t="str">
        <f ca="1">IFERROR(+IF(AY$29=ProposalToGnatt[[#This Row],[Start Date]],Milestone_Marker,IF(AND(AY$29&gt;ProposalToGnatt[[#This Row],[Start Date]],AY$29&lt;ProposalToGnatt[[#This Row],[Start Date]]+ProposalToGnatt[[#This Row],[Days]]),$G$5,"")),"")</f>
        <v/>
      </c>
      <c r="AZ66" s="37" t="str">
        <f ca="1">IFERROR(+IF(AZ$29=ProposalToGnatt[[#This Row],[Start Date]],Milestone_Marker,IF(AND(AZ$29&gt;ProposalToGnatt[[#This Row],[Start Date]],AZ$29&lt;ProposalToGnatt[[#This Row],[Start Date]]+ProposalToGnatt[[#This Row],[Days]]),$G$5,"")),"")</f>
        <v/>
      </c>
      <c r="BA66" s="37" t="str">
        <f ca="1">IFERROR(+IF(BA$29=ProposalToGnatt[[#This Row],[Start Date]],Milestone_Marker,IF(AND(BA$29&gt;ProposalToGnatt[[#This Row],[Start Date]],BA$29&lt;ProposalToGnatt[[#This Row],[Start Date]]+ProposalToGnatt[[#This Row],[Days]]),$G$5,"")),"")</f>
        <v/>
      </c>
      <c r="BB66" s="37" t="str">
        <f ca="1">IFERROR(+IF(BB$29=ProposalToGnatt[[#This Row],[Start Date]],Milestone_Marker,IF(AND(BB$29&gt;ProposalToGnatt[[#This Row],[Start Date]],BB$29&lt;ProposalToGnatt[[#This Row],[Start Date]]+ProposalToGnatt[[#This Row],[Days]]),$G$5,"")),"")</f>
        <v/>
      </c>
      <c r="BC66" s="37" t="str">
        <f ca="1">IFERROR(+IF(BC$29=ProposalToGnatt[[#This Row],[Start Date]],Milestone_Marker,IF(AND(BC$29&gt;ProposalToGnatt[[#This Row],[Start Date]],BC$29&lt;ProposalToGnatt[[#This Row],[Start Date]]+ProposalToGnatt[[#This Row],[Days]]),$G$5,"")),"")</f>
        <v/>
      </c>
      <c r="BD66" s="37" t="str">
        <f ca="1">IFERROR(+IF(BD$29=ProposalToGnatt[[#This Row],[Start Date]],Milestone_Marker,IF(AND(BD$29&gt;ProposalToGnatt[[#This Row],[Start Date]],BD$29&lt;ProposalToGnatt[[#This Row],[Start Date]]+ProposalToGnatt[[#This Row],[Days]]),$G$5,"")),"")</f>
        <v/>
      </c>
      <c r="BE66" s="37" t="str">
        <f ca="1">IFERROR(+IF(BE$29=ProposalToGnatt[[#This Row],[Start Date]],Milestone_Marker,IF(AND(BE$29&gt;ProposalToGnatt[[#This Row],[Start Date]],BE$29&lt;ProposalToGnatt[[#This Row],[Start Date]]+ProposalToGnatt[[#This Row],[Days]]),$G$5,"")),"")</f>
        <v/>
      </c>
      <c r="BF66" s="37" t="str">
        <f ca="1">IFERROR(+IF(BF$29=ProposalToGnatt[[#This Row],[Start Date]],Milestone_Marker,IF(AND(BF$29&gt;ProposalToGnatt[[#This Row],[Start Date]],BF$29&lt;ProposalToGnatt[[#This Row],[Start Date]]+ProposalToGnatt[[#This Row],[Days]]),$G$5,"")),"")</f>
        <v/>
      </c>
      <c r="BG66" s="37" t="str">
        <f ca="1">IFERROR(+IF(BG$29=ProposalToGnatt[[#This Row],[Start Date]],Milestone_Marker,IF(AND(BG$29&gt;ProposalToGnatt[[#This Row],[Start Date]],BG$29&lt;ProposalToGnatt[[#This Row],[Start Date]]+ProposalToGnatt[[#This Row],[Days]]),$G$5,"")),"")</f>
        <v/>
      </c>
      <c r="BH66" s="37" t="str">
        <f ca="1">IFERROR(+IF(BH$29=ProposalToGnatt[[#This Row],[Start Date]],Milestone_Marker,IF(AND(BH$29&gt;ProposalToGnatt[[#This Row],[Start Date]],BH$29&lt;ProposalToGnatt[[#This Row],[Start Date]]+ProposalToGnatt[[#This Row],[Days]]),$G$5,"")),"")</f>
        <v/>
      </c>
      <c r="BI66" s="37" t="str">
        <f ca="1">IFERROR(+IF(BI$29=ProposalToGnatt[[#This Row],[Start Date]],Milestone_Marker,IF(AND(BI$29&gt;ProposalToGnatt[[#This Row],[Start Date]],BI$29&lt;ProposalToGnatt[[#This Row],[Start Date]]+ProposalToGnatt[[#This Row],[Days]]),$G$5,"")),"")</f>
        <v/>
      </c>
      <c r="BJ66" s="37" t="str">
        <f ca="1">IFERROR(+IF(BJ$29=ProposalToGnatt[[#This Row],[Start Date]],Milestone_Marker,IF(AND(BJ$29&gt;ProposalToGnatt[[#This Row],[Start Date]],BJ$29&lt;ProposalToGnatt[[#This Row],[Start Date]]+ProposalToGnatt[[#This Row],[Days]]),$G$5,"")),"")</f>
        <v/>
      </c>
      <c r="BK66" s="37" t="str">
        <f ca="1">IFERROR(+IF(BK$29=ProposalToGnatt[[#This Row],[Start Date]],Milestone_Marker,IF(AND(BK$29&gt;ProposalToGnatt[[#This Row],[Start Date]],BK$29&lt;ProposalToGnatt[[#This Row],[Start Date]]+ProposalToGnatt[[#This Row],[Days]]),$G$5,"")),"")</f>
        <v/>
      </c>
      <c r="BL66" s="37" t="str">
        <f ca="1">IFERROR(+IF(BL$29=ProposalToGnatt[[#This Row],[Start Date]],Milestone_Marker,IF(AND(BL$29&gt;ProposalToGnatt[[#This Row],[Start Date]],BL$29&lt;ProposalToGnatt[[#This Row],[Start Date]]+ProposalToGnatt[[#This Row],[Days]]),$G$5,"")),"")</f>
        <v/>
      </c>
      <c r="BM66" s="37" t="str">
        <f ca="1">IFERROR(+IF(BM$29=ProposalToGnatt[[#This Row],[Start Date]],Milestone_Marker,IF(AND(BM$29&gt;ProposalToGnatt[[#This Row],[Start Date]],BM$29&lt;ProposalToGnatt[[#This Row],[Start Date]]+ProposalToGnatt[[#This Row],[Days]]),$G$5,"")),"")</f>
        <v/>
      </c>
      <c r="BN66" s="37" t="str">
        <f ca="1">IFERROR(+IF(BN$29=ProposalToGnatt[[#This Row],[Start Date]],Milestone_Marker,IF(AND(BN$29&gt;ProposalToGnatt[[#This Row],[Start Date]],BN$29&lt;ProposalToGnatt[[#This Row],[Start Date]]+ProposalToGnatt[[#This Row],[Days]]),$G$5,"")),"")</f>
        <v/>
      </c>
      <c r="BO66" s="37" t="str">
        <f ca="1">IFERROR(+IF(BO$29=ProposalToGnatt[[#This Row],[Start Date]],Milestone_Marker,IF(AND(BO$29&gt;ProposalToGnatt[[#This Row],[Start Date]],BO$29&lt;ProposalToGnatt[[#This Row],[Start Date]]+ProposalToGnatt[[#This Row],[Days]]),$G$5,"")),"")</f>
        <v/>
      </c>
      <c r="BP66" s="37" t="str">
        <f ca="1">IFERROR(+IF(BP$29=ProposalToGnatt[[#This Row],[Start Date]],Milestone_Marker,IF(AND(BP$29&gt;ProposalToGnatt[[#This Row],[Start Date]],BP$29&lt;ProposalToGnatt[[#This Row],[Start Date]]+ProposalToGnatt[[#This Row],[Days]]),$G$5,"")),"")</f>
        <v/>
      </c>
      <c r="BQ66" s="37" t="str">
        <f ca="1">IFERROR(+IF(BQ$29=ProposalToGnatt[[#This Row],[Start Date]],Milestone_Marker,IF(AND(BQ$29&gt;ProposalToGnatt[[#This Row],[Start Date]],BQ$29&lt;ProposalToGnatt[[#This Row],[Start Date]]+ProposalToGnatt[[#This Row],[Days]]),$G$5,"")),"")</f>
        <v/>
      </c>
      <c r="BR66" s="37" t="str">
        <f ca="1">IFERROR(+IF(BR$29=ProposalToGnatt[[#This Row],[Start Date]],Milestone_Marker,IF(AND(BR$29&gt;ProposalToGnatt[[#This Row],[Start Date]],BR$29&lt;ProposalToGnatt[[#This Row],[Start Date]]+ProposalToGnatt[[#This Row],[Days]]),$G$5,"")),"")</f>
        <v/>
      </c>
      <c r="BS66" s="37" t="str">
        <f ca="1">IFERROR(+IF(BS$29=ProposalToGnatt[[#This Row],[Start Date]],Milestone_Marker,IF(AND(BS$29&gt;ProposalToGnatt[[#This Row],[Start Date]],BS$29&lt;ProposalToGnatt[[#This Row],[Start Date]]+ProposalToGnatt[[#This Row],[Days]]),$G$5,"")),"")</f>
        <v/>
      </c>
      <c r="BT66" s="37" t="str">
        <f ca="1">IFERROR(+IF(BT$29=ProposalToGnatt[[#This Row],[Start Date]],Milestone_Marker,IF(AND(BT$29&gt;ProposalToGnatt[[#This Row],[Start Date]],BT$29&lt;ProposalToGnatt[[#This Row],[Start Date]]+ProposalToGnatt[[#This Row],[Days]]),$G$5,"")),"")</f>
        <v/>
      </c>
      <c r="BU66" s="37" t="str">
        <f ca="1">IFERROR(+IF(BU$29=ProposalToGnatt[[#This Row],[Start Date]],Milestone_Marker,IF(AND(BU$29&gt;ProposalToGnatt[[#This Row],[Start Date]],BU$29&lt;ProposalToGnatt[[#This Row],[Start Date]]+ProposalToGnatt[[#This Row],[Days]]),$G$5,"")),"")</f>
        <v/>
      </c>
      <c r="BV66" s="37" t="str">
        <f ca="1">IFERROR(+IF(BV$29=ProposalToGnatt[[#This Row],[Start Date]],Milestone_Marker,IF(AND(BV$29&gt;ProposalToGnatt[[#This Row],[Start Date]],BV$29&lt;ProposalToGnatt[[#This Row],[Start Date]]+ProposalToGnatt[[#This Row],[Days]]),$G$5,"")),"")</f>
        <v/>
      </c>
      <c r="BW66" s="37" t="str">
        <f ca="1">IFERROR(+IF(BW$29=ProposalToGnatt[[#This Row],[Start Date]],Milestone_Marker,IF(AND(BW$29&gt;ProposalToGnatt[[#This Row],[Start Date]],BW$29&lt;ProposalToGnatt[[#This Row],[Start Date]]+ProposalToGnatt[[#This Row],[Days]]),$G$5,"")),"")</f>
        <v/>
      </c>
      <c r="BX66" s="37" t="str">
        <f ca="1">IFERROR(+IF(BX$29=ProposalToGnatt[[#This Row],[Start Date]],Milestone_Marker,IF(AND(BX$29&gt;ProposalToGnatt[[#This Row],[Start Date]],BX$29&lt;ProposalToGnatt[[#This Row],[Start Date]]+ProposalToGnatt[[#This Row],[Days]]),$G$5,"")),"")</f>
        <v/>
      </c>
      <c r="BY66" s="37" t="str">
        <f ca="1">IFERROR(+IF(BY$29=ProposalToGnatt[[#This Row],[Start Date]],Milestone_Marker,IF(AND(BY$29&gt;ProposalToGnatt[[#This Row],[Start Date]],BY$29&lt;ProposalToGnatt[[#This Row],[Start Date]]+ProposalToGnatt[[#This Row],[Days]]),$G$5,"")),"")</f>
        <v/>
      </c>
      <c r="BZ66" s="37" t="str">
        <f ca="1">IFERROR(+IF(BZ$29=ProposalToGnatt[[#This Row],[Start Date]],Milestone_Marker,IF(AND(BZ$29&gt;ProposalToGnatt[[#This Row],[Start Date]],BZ$29&lt;ProposalToGnatt[[#This Row],[Start Date]]+ProposalToGnatt[[#This Row],[Days]]),$G$5,"")),"")</f>
        <v/>
      </c>
      <c r="CA66" s="37" t="str">
        <f ca="1">IFERROR(+IF(CA$29=ProposalToGnatt[[#This Row],[Start Date]],Milestone_Marker,IF(AND(CA$29&gt;ProposalToGnatt[[#This Row],[Start Date]],CA$29&lt;ProposalToGnatt[[#This Row],[Start Date]]+ProposalToGnatt[[#This Row],[Days]]),$G$5,"")),"")</f>
        <v/>
      </c>
      <c r="CB66" s="37" t="str">
        <f ca="1">IFERROR(+IF(CB$29=ProposalToGnatt[[#This Row],[Start Date]],Milestone_Marker,IF(AND(CB$29&gt;ProposalToGnatt[[#This Row],[Start Date]],CB$29&lt;ProposalToGnatt[[#This Row],[Start Date]]+ProposalToGnatt[[#This Row],[Days]]),$G$5,"")),"")</f>
        <v/>
      </c>
      <c r="CC66" s="37" t="str">
        <f ca="1">IFERROR(+IF(CC$29=ProposalToGnatt[[#This Row],[Start Date]],Milestone_Marker,IF(AND(CC$29&gt;ProposalToGnatt[[#This Row],[Start Date]],CC$29&lt;ProposalToGnatt[[#This Row],[Start Date]]+ProposalToGnatt[[#This Row],[Days]]),$G$5,"")),"")</f>
        <v/>
      </c>
      <c r="CD66" s="37" t="str">
        <f ca="1">IFERROR(+IF(CD$29=ProposalToGnatt[[#This Row],[Start Date]],Milestone_Marker,IF(AND(CD$29&gt;ProposalToGnatt[[#This Row],[Start Date]],CD$29&lt;ProposalToGnatt[[#This Row],[Start Date]]+ProposalToGnatt[[#This Row],[Days]]),$G$5,"")),"")</f>
        <v/>
      </c>
      <c r="CE66" s="37" t="str">
        <f ca="1">IFERROR(+IF(CE$29=ProposalToGnatt[[#This Row],[Start Date]],Milestone_Marker,IF(AND(CE$29&gt;ProposalToGnatt[[#This Row],[Start Date]],CE$29&lt;ProposalToGnatt[[#This Row],[Start Date]]+ProposalToGnatt[[#This Row],[Days]]),$G$5,"")),"")</f>
        <v/>
      </c>
      <c r="CF66" s="37" t="str">
        <f ca="1">IFERROR(+IF(CF$29=ProposalToGnatt[[#This Row],[Start Date]],Milestone_Marker,IF(AND(CF$29&gt;ProposalToGnatt[[#This Row],[Start Date]],CF$29&lt;ProposalToGnatt[[#This Row],[Start Date]]+ProposalToGnatt[[#This Row],[Days]]),$G$5,"")),"")</f>
        <v/>
      </c>
      <c r="CG66" s="37" t="str">
        <f ca="1">IFERROR(+IF(CG$29=ProposalToGnatt[[#This Row],[Start Date]],Milestone_Marker,IF(AND(CG$29&gt;ProposalToGnatt[[#This Row],[Start Date]],CG$29&lt;ProposalToGnatt[[#This Row],[Start Date]]+ProposalToGnatt[[#This Row],[Days]]),$G$5,"")),"")</f>
        <v/>
      </c>
      <c r="CH66" s="37" t="str">
        <f ca="1">IFERROR(+IF(CH$29=ProposalToGnatt[[#This Row],[Start Date]],Milestone_Marker,IF(AND(CH$29&gt;ProposalToGnatt[[#This Row],[Start Date]],CH$29&lt;ProposalToGnatt[[#This Row],[Start Date]]+ProposalToGnatt[[#This Row],[Days]]),$G$5,"")),"")</f>
        <v/>
      </c>
      <c r="CI66" s="37" t="str">
        <f ca="1">IFERROR(+IF(CI$29=ProposalToGnatt[[#This Row],[Start Date]],Milestone_Marker,IF(AND(CI$29&gt;ProposalToGnatt[[#This Row],[Start Date]],CI$29&lt;ProposalToGnatt[[#This Row],[Start Date]]+ProposalToGnatt[[#This Row],[Days]]),$G$5,"")),"")</f>
        <v/>
      </c>
      <c r="CJ66" s="37" t="str">
        <f ca="1">IFERROR(+IF(CJ$29=ProposalToGnatt[[#This Row],[Start Date]],Milestone_Marker,IF(AND(CJ$29&gt;ProposalToGnatt[[#This Row],[Start Date]],CJ$29&lt;ProposalToGnatt[[#This Row],[Start Date]]+ProposalToGnatt[[#This Row],[Days]]),$G$5,"")),"")</f>
        <v/>
      </c>
      <c r="CK66" s="37" t="str">
        <f ca="1">IFERROR(+IF(CK$29=ProposalToGnatt[[#This Row],[Start Date]],Milestone_Marker,IF(AND(CK$29&gt;ProposalToGnatt[[#This Row],[Start Date]],CK$29&lt;ProposalToGnatt[[#This Row],[Start Date]]+ProposalToGnatt[[#This Row],[Days]]),$G$5,"")),"")</f>
        <v/>
      </c>
      <c r="CL66" s="37" t="str">
        <f ca="1">IFERROR(+IF(CL$29=ProposalToGnatt[[#This Row],[Start Date]],Milestone_Marker,IF(AND(CL$29&gt;ProposalToGnatt[[#This Row],[Start Date]],CL$29&lt;ProposalToGnatt[[#This Row],[Start Date]]+ProposalToGnatt[[#This Row],[Days]]),$G$5,"")),"")</f>
        <v/>
      </c>
      <c r="CM66" s="37" t="str">
        <f ca="1">IFERROR(+IF(CM$29=ProposalToGnatt[[#This Row],[Start Date]],Milestone_Marker,IF(AND(CM$29&gt;ProposalToGnatt[[#This Row],[Start Date]],CM$29&lt;ProposalToGnatt[[#This Row],[Start Date]]+ProposalToGnatt[[#This Row],[Days]]),$G$5,"")),"")</f>
        <v/>
      </c>
      <c r="CN66" s="37" t="str">
        <f ca="1">IFERROR(+IF(CN$29=ProposalToGnatt[[#This Row],[Start Date]],Milestone_Marker,IF(AND(CN$29&gt;ProposalToGnatt[[#This Row],[Start Date]],CN$29&lt;ProposalToGnatt[[#This Row],[Start Date]]+ProposalToGnatt[[#This Row],[Days]]),$G$5,"")),"")</f>
        <v/>
      </c>
      <c r="CO66" s="37" t="str">
        <f ca="1">IFERROR(+IF(CO$29=ProposalToGnatt[[#This Row],[Start Date]],Milestone_Marker,IF(AND(CO$29&gt;ProposalToGnatt[[#This Row],[Start Date]],CO$29&lt;ProposalToGnatt[[#This Row],[Start Date]]+ProposalToGnatt[[#This Row],[Days]]),$G$5,"")),"")</f>
        <v/>
      </c>
      <c r="CP66" s="37" t="str">
        <f ca="1">IFERROR(+IF(CP$29=ProposalToGnatt[[#This Row],[Start Date]],Milestone_Marker,IF(AND(CP$29&gt;ProposalToGnatt[[#This Row],[Start Date]],CP$29&lt;ProposalToGnatt[[#This Row],[Start Date]]+ProposalToGnatt[[#This Row],[Days]]),$G$5,"")),"")</f>
        <v/>
      </c>
      <c r="CQ66" s="37" t="str">
        <f ca="1">IFERROR(+IF(CQ$29=ProposalToGnatt[[#This Row],[Start Date]],Milestone_Marker,IF(AND(CQ$29&gt;ProposalToGnatt[[#This Row],[Start Date]],CQ$29&lt;ProposalToGnatt[[#This Row],[Start Date]]+ProposalToGnatt[[#This Row],[Days]]),$G$5,"")),"")</f>
        <v/>
      </c>
      <c r="CR66" s="37" t="str">
        <f ca="1">IFERROR(+IF(CR$29=ProposalToGnatt[[#This Row],[Start Date]],Milestone_Marker,IF(AND(CR$29&gt;ProposalToGnatt[[#This Row],[Start Date]],CR$29&lt;ProposalToGnatt[[#This Row],[Start Date]]+ProposalToGnatt[[#This Row],[Days]]),$G$5,"")),"")</f>
        <v/>
      </c>
      <c r="CS66" s="37" t="str">
        <f ca="1">IFERROR(+IF(CS$29=ProposalToGnatt[[#This Row],[Start Date]],Milestone_Marker,IF(AND(CS$29&gt;ProposalToGnatt[[#This Row],[Start Date]],CS$29&lt;ProposalToGnatt[[#This Row],[Start Date]]+ProposalToGnatt[[#This Row],[Days]]),$G$5,"")),"")</f>
        <v/>
      </c>
      <c r="CT66" s="37" t="str">
        <f ca="1">IFERROR(+IF(CT$29=ProposalToGnatt[[#This Row],[Start Date]],Milestone_Marker,IF(AND(CT$29&gt;ProposalToGnatt[[#This Row],[Start Date]],CT$29&lt;ProposalToGnatt[[#This Row],[Start Date]]+ProposalToGnatt[[#This Row],[Days]]),$G$5,"")),"")</f>
        <v/>
      </c>
      <c r="CU66" s="37" t="str">
        <f ca="1">IFERROR(+IF(CU$29=ProposalToGnatt[[#This Row],[Start Date]],Milestone_Marker,IF(AND(CU$29&gt;ProposalToGnatt[[#This Row],[Start Date]],CU$29&lt;ProposalToGnatt[[#This Row],[Start Date]]+ProposalToGnatt[[#This Row],[Days]]),$G$5,"")),"")</f>
        <v/>
      </c>
      <c r="CV66" s="37"/>
      <c r="CW66" s="37"/>
      <c r="CX66" s="37"/>
      <c r="CY66" s="37"/>
      <c r="CZ66" s="37"/>
      <c r="DA66" s="37"/>
      <c r="DB66" s="37"/>
      <c r="DC66" s="37"/>
      <c r="DD66" s="37"/>
      <c r="DE66" s="37"/>
      <c r="DF66" s="37"/>
      <c r="DG66" s="37"/>
      <c r="DH66" s="37"/>
      <c r="DI66" s="37"/>
      <c r="DJ66" s="37"/>
      <c r="DK66" s="37"/>
      <c r="DL66" s="37"/>
      <c r="DM66" s="37"/>
      <c r="DN66" s="37"/>
      <c r="DO66" s="37"/>
      <c r="DP66" s="37"/>
      <c r="DQ66" s="37"/>
      <c r="DR66" s="37"/>
      <c r="DS66" s="37"/>
      <c r="DT66" s="37"/>
      <c r="DU66" s="37"/>
    </row>
    <row r="67" spans="1:125" s="42" customFormat="1" ht="15" customHeight="1" x14ac:dyDescent="0.25">
      <c r="A67" t="s">
        <v>428</v>
      </c>
      <c r="B67">
        <v>41</v>
      </c>
      <c r="C67" t="s">
        <v>311</v>
      </c>
      <c r="D67" t="s">
        <v>364</v>
      </c>
      <c r="E67" t="s">
        <v>365</v>
      </c>
      <c r="F67">
        <v>1</v>
      </c>
      <c r="G67" s="14">
        <v>2980.24</v>
      </c>
      <c r="H67" s="14">
        <v>2980.24</v>
      </c>
      <c r="I67" t="s">
        <v>45</v>
      </c>
      <c r="J67">
        <v>2</v>
      </c>
      <c r="K67" s="303"/>
      <c r="L67"/>
      <c r="M67" s="14"/>
      <c r="N67" s="352">
        <v>2980.24</v>
      </c>
      <c r="O67" s="340"/>
      <c r="P67" s="37" t="str">
        <f ca="1">IFERROR(+IF(P$29=ProposalToGnatt[[#This Row],[Start Date]],Milestone_Marker,IF(AND(P$29&gt;ProposalToGnatt[[#This Row],[Start Date]],P$29&lt;ProposalToGnatt[[#This Row],[Start Date]]+ProposalToGnatt[[#This Row],[Days]]),$G$5,"")),"")</f>
        <v/>
      </c>
      <c r="Q67" s="37" t="str">
        <f ca="1">IFERROR(+IF(Q$29=ProposalToGnatt[[#This Row],[Start Date]],Milestone_Marker,IF(AND(Q$29&gt;ProposalToGnatt[[#This Row],[Start Date]],Q$29&lt;ProposalToGnatt[[#This Row],[Start Date]]+ProposalToGnatt[[#This Row],[Days]]),$G$5,"")),"")</f>
        <v/>
      </c>
      <c r="R67" s="37" t="str">
        <f ca="1">IFERROR(+IF(R$29=ProposalToGnatt[[#This Row],[Start Date]],Milestone_Marker,IF(AND(R$29&gt;ProposalToGnatt[[#This Row],[Start Date]],R$29&lt;ProposalToGnatt[[#This Row],[Start Date]]+ProposalToGnatt[[#This Row],[Days]]),$G$5,"")),"")</f>
        <v/>
      </c>
      <c r="S67" s="37" t="str">
        <f ca="1">IFERROR(+IF(S$29=ProposalToGnatt[[#This Row],[Start Date]],Milestone_Marker,IF(AND(S$29&gt;ProposalToGnatt[[#This Row],[Start Date]],S$29&lt;ProposalToGnatt[[#This Row],[Start Date]]+ProposalToGnatt[[#This Row],[Days]]),$G$5,"")),"")</f>
        <v/>
      </c>
      <c r="T67" s="37" t="str">
        <f ca="1">IFERROR(+IF(T$29=ProposalToGnatt[[#This Row],[Start Date]],Milestone_Marker,IF(AND(T$29&gt;ProposalToGnatt[[#This Row],[Start Date]],T$29&lt;ProposalToGnatt[[#This Row],[Start Date]]+ProposalToGnatt[[#This Row],[Days]]),$G$5,"")),"")</f>
        <v/>
      </c>
      <c r="U67" s="37" t="str">
        <f ca="1">IFERROR(+IF(U$29=ProposalToGnatt[[#This Row],[Start Date]],Milestone_Marker,IF(AND(U$29&gt;ProposalToGnatt[[#This Row],[Start Date]],U$29&lt;ProposalToGnatt[[#This Row],[Start Date]]+ProposalToGnatt[[#This Row],[Days]]),$G$5,"")),"")</f>
        <v/>
      </c>
      <c r="V67" s="37" t="str">
        <f ca="1">IFERROR(+IF(V$29=ProposalToGnatt[[#This Row],[Start Date]],Milestone_Marker,IF(AND(V$29&gt;ProposalToGnatt[[#This Row],[Start Date]],V$29&lt;ProposalToGnatt[[#This Row],[Start Date]]+ProposalToGnatt[[#This Row],[Days]]),$G$5,"")),"")</f>
        <v/>
      </c>
      <c r="W67" s="37" t="str">
        <f ca="1">IFERROR(+IF(W$29=ProposalToGnatt[[#This Row],[Start Date]],Milestone_Marker,IF(AND(W$29&gt;ProposalToGnatt[[#This Row],[Start Date]],W$29&lt;ProposalToGnatt[[#This Row],[Start Date]]+ProposalToGnatt[[#This Row],[Days]]),$G$5,"")),"")</f>
        <v/>
      </c>
      <c r="X67" s="37" t="str">
        <f ca="1">IFERROR(+IF(X$29=ProposalToGnatt[[#This Row],[Start Date]],Milestone_Marker,IF(AND(X$29&gt;ProposalToGnatt[[#This Row],[Start Date]],X$29&lt;ProposalToGnatt[[#This Row],[Start Date]]+ProposalToGnatt[[#This Row],[Days]]),$G$5,"")),"")</f>
        <v/>
      </c>
      <c r="Y67" s="37" t="str">
        <f ca="1">IFERROR(+IF(Y$29=ProposalToGnatt[[#This Row],[Start Date]],Milestone_Marker,IF(AND(Y$29&gt;ProposalToGnatt[[#This Row],[Start Date]],Y$29&lt;ProposalToGnatt[[#This Row],[Start Date]]+ProposalToGnatt[[#This Row],[Days]]),$G$5,"")),"")</f>
        <v/>
      </c>
      <c r="Z67" s="37" t="str">
        <f ca="1">IFERROR(+IF(Z$29=ProposalToGnatt[[#This Row],[Start Date]],Milestone_Marker,IF(AND(Z$29&gt;ProposalToGnatt[[#This Row],[Start Date]],Z$29&lt;ProposalToGnatt[[#This Row],[Start Date]]+ProposalToGnatt[[#This Row],[Days]]),$G$5,"")),"")</f>
        <v/>
      </c>
      <c r="AA67" s="37" t="str">
        <f ca="1">IFERROR(+IF(AA$29=ProposalToGnatt[[#This Row],[Start Date]],Milestone_Marker,IF(AND(AA$29&gt;ProposalToGnatt[[#This Row],[Start Date]],AA$29&lt;ProposalToGnatt[[#This Row],[Start Date]]+ProposalToGnatt[[#This Row],[Days]]),$G$5,"")),"")</f>
        <v/>
      </c>
      <c r="AB67" s="37" t="str">
        <f ca="1">IFERROR(+IF(AB$29=ProposalToGnatt[[#This Row],[Start Date]],Milestone_Marker,IF(AND(AB$29&gt;ProposalToGnatt[[#This Row],[Start Date]],AB$29&lt;ProposalToGnatt[[#This Row],[Start Date]]+ProposalToGnatt[[#This Row],[Days]]),$G$5,"")),"")</f>
        <v/>
      </c>
      <c r="AC67" s="37" t="str">
        <f ca="1">IFERROR(+IF(AC$29=ProposalToGnatt[[#This Row],[Start Date]],Milestone_Marker,IF(AND(AC$29&gt;ProposalToGnatt[[#This Row],[Start Date]],AC$29&lt;ProposalToGnatt[[#This Row],[Start Date]]+ProposalToGnatt[[#This Row],[Days]]),$G$5,"")),"")</f>
        <v/>
      </c>
      <c r="AD67" s="37" t="str">
        <f ca="1">IFERROR(+IF(AD$29=ProposalToGnatt[[#This Row],[Start Date]],Milestone_Marker,IF(AND(AD$29&gt;ProposalToGnatt[[#This Row],[Start Date]],AD$29&lt;ProposalToGnatt[[#This Row],[Start Date]]+ProposalToGnatt[[#This Row],[Days]]),$G$5,"")),"")</f>
        <v/>
      </c>
      <c r="AE67" s="37" t="str">
        <f ca="1">IFERROR(+IF(AE$29=ProposalToGnatt[[#This Row],[Start Date]],Milestone_Marker,IF(AND(AE$29&gt;ProposalToGnatt[[#This Row],[Start Date]],AE$29&lt;ProposalToGnatt[[#This Row],[Start Date]]+ProposalToGnatt[[#This Row],[Days]]),$G$5,"")),"")</f>
        <v/>
      </c>
      <c r="AF67" s="37" t="str">
        <f ca="1">IFERROR(+IF(AF$29=ProposalToGnatt[[#This Row],[Start Date]],Milestone_Marker,IF(AND(AF$29&gt;ProposalToGnatt[[#This Row],[Start Date]],AF$29&lt;ProposalToGnatt[[#This Row],[Start Date]]+ProposalToGnatt[[#This Row],[Days]]),$G$5,"")),"")</f>
        <v/>
      </c>
      <c r="AG67" s="37" t="str">
        <f ca="1">IFERROR(+IF(AG$29=ProposalToGnatt[[#This Row],[Start Date]],Milestone_Marker,IF(AND(AG$29&gt;ProposalToGnatt[[#This Row],[Start Date]],AG$29&lt;ProposalToGnatt[[#This Row],[Start Date]]+ProposalToGnatt[[#This Row],[Days]]),$G$5,"")),"")</f>
        <v/>
      </c>
      <c r="AH67" s="37" t="str">
        <f ca="1">IFERROR(+IF(AH$29=ProposalToGnatt[[#This Row],[Start Date]],Milestone_Marker,IF(AND(AH$29&gt;ProposalToGnatt[[#This Row],[Start Date]],AH$29&lt;ProposalToGnatt[[#This Row],[Start Date]]+ProposalToGnatt[[#This Row],[Days]]),$G$5,"")),"")</f>
        <v/>
      </c>
      <c r="AI67" s="37" t="str">
        <f ca="1">IFERROR(+IF(AI$29=ProposalToGnatt[[#This Row],[Start Date]],Milestone_Marker,IF(AND(AI$29&gt;ProposalToGnatt[[#This Row],[Start Date]],AI$29&lt;ProposalToGnatt[[#This Row],[Start Date]]+ProposalToGnatt[[#This Row],[Days]]),$G$5,"")),"")</f>
        <v/>
      </c>
      <c r="AJ67" s="37" t="str">
        <f ca="1">IFERROR(+IF(AJ$29=ProposalToGnatt[[#This Row],[Start Date]],Milestone_Marker,IF(AND(AJ$29&gt;ProposalToGnatt[[#This Row],[Start Date]],AJ$29&lt;ProposalToGnatt[[#This Row],[Start Date]]+ProposalToGnatt[[#This Row],[Days]]),$G$5,"")),"")</f>
        <v/>
      </c>
      <c r="AK67" s="37" t="str">
        <f ca="1">IFERROR(+IF(AK$29=ProposalToGnatt[[#This Row],[Start Date]],Milestone_Marker,IF(AND(AK$29&gt;ProposalToGnatt[[#This Row],[Start Date]],AK$29&lt;ProposalToGnatt[[#This Row],[Start Date]]+ProposalToGnatt[[#This Row],[Days]]),$G$5,"")),"")</f>
        <v/>
      </c>
      <c r="AL67" s="37" t="str">
        <f ca="1">IFERROR(+IF(AL$29=ProposalToGnatt[[#This Row],[Start Date]],Milestone_Marker,IF(AND(AL$29&gt;ProposalToGnatt[[#This Row],[Start Date]],AL$29&lt;ProposalToGnatt[[#This Row],[Start Date]]+ProposalToGnatt[[#This Row],[Days]]),$G$5,"")),"")</f>
        <v/>
      </c>
      <c r="AM67" s="37" t="str">
        <f ca="1">IFERROR(+IF(AM$29=ProposalToGnatt[[#This Row],[Start Date]],Milestone_Marker,IF(AND(AM$29&gt;ProposalToGnatt[[#This Row],[Start Date]],AM$29&lt;ProposalToGnatt[[#This Row],[Start Date]]+ProposalToGnatt[[#This Row],[Days]]),$G$5,"")),"")</f>
        <v/>
      </c>
      <c r="AN67" s="37" t="str">
        <f ca="1">IFERROR(+IF(AN$29=ProposalToGnatt[[#This Row],[Start Date]],Milestone_Marker,IF(AND(AN$29&gt;ProposalToGnatt[[#This Row],[Start Date]],AN$29&lt;ProposalToGnatt[[#This Row],[Start Date]]+ProposalToGnatt[[#This Row],[Days]]),$G$5,"")),"")</f>
        <v/>
      </c>
      <c r="AO67" s="37" t="str">
        <f ca="1">IFERROR(+IF(AO$29=ProposalToGnatt[[#This Row],[Start Date]],Milestone_Marker,IF(AND(AO$29&gt;ProposalToGnatt[[#This Row],[Start Date]],AO$29&lt;ProposalToGnatt[[#This Row],[Start Date]]+ProposalToGnatt[[#This Row],[Days]]),$G$5,"")),"")</f>
        <v/>
      </c>
      <c r="AP67" s="37" t="str">
        <f ca="1">IFERROR(+IF(AP$29=ProposalToGnatt[[#This Row],[Start Date]],Milestone_Marker,IF(AND(AP$29&gt;ProposalToGnatt[[#This Row],[Start Date]],AP$29&lt;ProposalToGnatt[[#This Row],[Start Date]]+ProposalToGnatt[[#This Row],[Days]]),$G$5,"")),"")</f>
        <v/>
      </c>
      <c r="AQ67" s="37" t="str">
        <f ca="1">IFERROR(+IF(AQ$29=ProposalToGnatt[[#This Row],[Start Date]],Milestone_Marker,IF(AND(AQ$29&gt;ProposalToGnatt[[#This Row],[Start Date]],AQ$29&lt;ProposalToGnatt[[#This Row],[Start Date]]+ProposalToGnatt[[#This Row],[Days]]),$G$5,"")),"")</f>
        <v/>
      </c>
      <c r="AR67" s="37" t="str">
        <f ca="1">IFERROR(+IF(AR$29=ProposalToGnatt[[#This Row],[Start Date]],Milestone_Marker,IF(AND(AR$29&gt;ProposalToGnatt[[#This Row],[Start Date]],AR$29&lt;ProposalToGnatt[[#This Row],[Start Date]]+ProposalToGnatt[[#This Row],[Days]]),$G$5,"")),"")</f>
        <v/>
      </c>
      <c r="AS67" s="37" t="str">
        <f ca="1">IFERROR(+IF(AS$29=ProposalToGnatt[[#This Row],[Start Date]],Milestone_Marker,IF(AND(AS$29&gt;ProposalToGnatt[[#This Row],[Start Date]],AS$29&lt;ProposalToGnatt[[#This Row],[Start Date]]+ProposalToGnatt[[#This Row],[Days]]),$G$5,"")),"")</f>
        <v/>
      </c>
      <c r="AT67" s="37" t="str">
        <f ca="1">IFERROR(+IF(AT$29=ProposalToGnatt[[#This Row],[Start Date]],Milestone_Marker,IF(AND(AT$29&gt;ProposalToGnatt[[#This Row],[Start Date]],AT$29&lt;ProposalToGnatt[[#This Row],[Start Date]]+ProposalToGnatt[[#This Row],[Days]]),$G$5,"")),"")</f>
        <v/>
      </c>
      <c r="AU67" s="37" t="str">
        <f ca="1">IFERROR(+IF(AU$29=ProposalToGnatt[[#This Row],[Start Date]],Milestone_Marker,IF(AND(AU$29&gt;ProposalToGnatt[[#This Row],[Start Date]],AU$29&lt;ProposalToGnatt[[#This Row],[Start Date]]+ProposalToGnatt[[#This Row],[Days]]),$G$5,"")),"")</f>
        <v/>
      </c>
      <c r="AV67" s="37" t="str">
        <f ca="1">IFERROR(+IF(AV$29=ProposalToGnatt[[#This Row],[Start Date]],Milestone_Marker,IF(AND(AV$29&gt;ProposalToGnatt[[#This Row],[Start Date]],AV$29&lt;ProposalToGnatt[[#This Row],[Start Date]]+ProposalToGnatt[[#This Row],[Days]]),$G$5,"")),"")</f>
        <v/>
      </c>
      <c r="AW67" s="37" t="str">
        <f ca="1">IFERROR(+IF(AW$29=ProposalToGnatt[[#This Row],[Start Date]],Milestone_Marker,IF(AND(AW$29&gt;ProposalToGnatt[[#This Row],[Start Date]],AW$29&lt;ProposalToGnatt[[#This Row],[Start Date]]+ProposalToGnatt[[#This Row],[Days]]),$G$5,"")),"")</f>
        <v/>
      </c>
      <c r="AX67" s="37" t="str">
        <f ca="1">IFERROR(+IF(AX$29=ProposalToGnatt[[#This Row],[Start Date]],Milestone_Marker,IF(AND(AX$29&gt;ProposalToGnatt[[#This Row],[Start Date]],AX$29&lt;ProposalToGnatt[[#This Row],[Start Date]]+ProposalToGnatt[[#This Row],[Days]]),$G$5,"")),"")</f>
        <v/>
      </c>
      <c r="AY67" s="37" t="str">
        <f ca="1">IFERROR(+IF(AY$29=ProposalToGnatt[[#This Row],[Start Date]],Milestone_Marker,IF(AND(AY$29&gt;ProposalToGnatt[[#This Row],[Start Date]],AY$29&lt;ProposalToGnatt[[#This Row],[Start Date]]+ProposalToGnatt[[#This Row],[Days]]),$G$5,"")),"")</f>
        <v/>
      </c>
      <c r="AZ67" s="37" t="str">
        <f ca="1">IFERROR(+IF(AZ$29=ProposalToGnatt[[#This Row],[Start Date]],Milestone_Marker,IF(AND(AZ$29&gt;ProposalToGnatt[[#This Row],[Start Date]],AZ$29&lt;ProposalToGnatt[[#This Row],[Start Date]]+ProposalToGnatt[[#This Row],[Days]]),$G$5,"")),"")</f>
        <v/>
      </c>
      <c r="BA67" s="37" t="str">
        <f ca="1">IFERROR(+IF(BA$29=ProposalToGnatt[[#This Row],[Start Date]],Milestone_Marker,IF(AND(BA$29&gt;ProposalToGnatt[[#This Row],[Start Date]],BA$29&lt;ProposalToGnatt[[#This Row],[Start Date]]+ProposalToGnatt[[#This Row],[Days]]),$G$5,"")),"")</f>
        <v/>
      </c>
      <c r="BB67" s="37" t="str">
        <f ca="1">IFERROR(+IF(BB$29=ProposalToGnatt[[#This Row],[Start Date]],Milestone_Marker,IF(AND(BB$29&gt;ProposalToGnatt[[#This Row],[Start Date]],BB$29&lt;ProposalToGnatt[[#This Row],[Start Date]]+ProposalToGnatt[[#This Row],[Days]]),$G$5,"")),"")</f>
        <v/>
      </c>
      <c r="BC67" s="37" t="str">
        <f ca="1">IFERROR(+IF(BC$29=ProposalToGnatt[[#This Row],[Start Date]],Milestone_Marker,IF(AND(BC$29&gt;ProposalToGnatt[[#This Row],[Start Date]],BC$29&lt;ProposalToGnatt[[#This Row],[Start Date]]+ProposalToGnatt[[#This Row],[Days]]),$G$5,"")),"")</f>
        <v/>
      </c>
      <c r="BD67" s="37" t="str">
        <f ca="1">IFERROR(+IF(BD$29=ProposalToGnatt[[#This Row],[Start Date]],Milestone_Marker,IF(AND(BD$29&gt;ProposalToGnatt[[#This Row],[Start Date]],BD$29&lt;ProposalToGnatt[[#This Row],[Start Date]]+ProposalToGnatt[[#This Row],[Days]]),$G$5,"")),"")</f>
        <v/>
      </c>
      <c r="BE67" s="37" t="str">
        <f ca="1">IFERROR(+IF(BE$29=ProposalToGnatt[[#This Row],[Start Date]],Milestone_Marker,IF(AND(BE$29&gt;ProposalToGnatt[[#This Row],[Start Date]],BE$29&lt;ProposalToGnatt[[#This Row],[Start Date]]+ProposalToGnatt[[#This Row],[Days]]),$G$5,"")),"")</f>
        <v/>
      </c>
      <c r="BF67" s="37" t="str">
        <f ca="1">IFERROR(+IF(BF$29=ProposalToGnatt[[#This Row],[Start Date]],Milestone_Marker,IF(AND(BF$29&gt;ProposalToGnatt[[#This Row],[Start Date]],BF$29&lt;ProposalToGnatt[[#This Row],[Start Date]]+ProposalToGnatt[[#This Row],[Days]]),$G$5,"")),"")</f>
        <v/>
      </c>
      <c r="BG67" s="37" t="str">
        <f ca="1">IFERROR(+IF(BG$29=ProposalToGnatt[[#This Row],[Start Date]],Milestone_Marker,IF(AND(BG$29&gt;ProposalToGnatt[[#This Row],[Start Date]],BG$29&lt;ProposalToGnatt[[#This Row],[Start Date]]+ProposalToGnatt[[#This Row],[Days]]),$G$5,"")),"")</f>
        <v/>
      </c>
      <c r="BH67" s="37" t="str">
        <f ca="1">IFERROR(+IF(BH$29=ProposalToGnatt[[#This Row],[Start Date]],Milestone_Marker,IF(AND(BH$29&gt;ProposalToGnatt[[#This Row],[Start Date]],BH$29&lt;ProposalToGnatt[[#This Row],[Start Date]]+ProposalToGnatt[[#This Row],[Days]]),$G$5,"")),"")</f>
        <v/>
      </c>
      <c r="BI67" s="37" t="str">
        <f ca="1">IFERROR(+IF(BI$29=ProposalToGnatt[[#This Row],[Start Date]],Milestone_Marker,IF(AND(BI$29&gt;ProposalToGnatt[[#This Row],[Start Date]],BI$29&lt;ProposalToGnatt[[#This Row],[Start Date]]+ProposalToGnatt[[#This Row],[Days]]),$G$5,"")),"")</f>
        <v/>
      </c>
      <c r="BJ67" s="37" t="str">
        <f ca="1">IFERROR(+IF(BJ$29=ProposalToGnatt[[#This Row],[Start Date]],Milestone_Marker,IF(AND(BJ$29&gt;ProposalToGnatt[[#This Row],[Start Date]],BJ$29&lt;ProposalToGnatt[[#This Row],[Start Date]]+ProposalToGnatt[[#This Row],[Days]]),$G$5,"")),"")</f>
        <v/>
      </c>
      <c r="BK67" s="37" t="str">
        <f ca="1">IFERROR(+IF(BK$29=ProposalToGnatt[[#This Row],[Start Date]],Milestone_Marker,IF(AND(BK$29&gt;ProposalToGnatt[[#This Row],[Start Date]],BK$29&lt;ProposalToGnatt[[#This Row],[Start Date]]+ProposalToGnatt[[#This Row],[Days]]),$G$5,"")),"")</f>
        <v/>
      </c>
      <c r="BL67" s="37" t="str">
        <f ca="1">IFERROR(+IF(BL$29=ProposalToGnatt[[#This Row],[Start Date]],Milestone_Marker,IF(AND(BL$29&gt;ProposalToGnatt[[#This Row],[Start Date]],BL$29&lt;ProposalToGnatt[[#This Row],[Start Date]]+ProposalToGnatt[[#This Row],[Days]]),$G$5,"")),"")</f>
        <v/>
      </c>
      <c r="BM67" s="37" t="str">
        <f ca="1">IFERROR(+IF(BM$29=ProposalToGnatt[[#This Row],[Start Date]],Milestone_Marker,IF(AND(BM$29&gt;ProposalToGnatt[[#This Row],[Start Date]],BM$29&lt;ProposalToGnatt[[#This Row],[Start Date]]+ProposalToGnatt[[#This Row],[Days]]),$G$5,"")),"")</f>
        <v/>
      </c>
      <c r="BN67" s="37" t="str">
        <f ca="1">IFERROR(+IF(BN$29=ProposalToGnatt[[#This Row],[Start Date]],Milestone_Marker,IF(AND(BN$29&gt;ProposalToGnatt[[#This Row],[Start Date]],BN$29&lt;ProposalToGnatt[[#This Row],[Start Date]]+ProposalToGnatt[[#This Row],[Days]]),$G$5,"")),"")</f>
        <v/>
      </c>
      <c r="BO67" s="37" t="str">
        <f ca="1">IFERROR(+IF(BO$29=ProposalToGnatt[[#This Row],[Start Date]],Milestone_Marker,IF(AND(BO$29&gt;ProposalToGnatt[[#This Row],[Start Date]],BO$29&lt;ProposalToGnatt[[#This Row],[Start Date]]+ProposalToGnatt[[#This Row],[Days]]),$G$5,"")),"")</f>
        <v/>
      </c>
      <c r="BP67" s="37" t="str">
        <f ca="1">IFERROR(+IF(BP$29=ProposalToGnatt[[#This Row],[Start Date]],Milestone_Marker,IF(AND(BP$29&gt;ProposalToGnatt[[#This Row],[Start Date]],BP$29&lt;ProposalToGnatt[[#This Row],[Start Date]]+ProposalToGnatt[[#This Row],[Days]]),$G$5,"")),"")</f>
        <v/>
      </c>
      <c r="BQ67" s="37" t="str">
        <f ca="1">IFERROR(+IF(BQ$29=ProposalToGnatt[[#This Row],[Start Date]],Milestone_Marker,IF(AND(BQ$29&gt;ProposalToGnatt[[#This Row],[Start Date]],BQ$29&lt;ProposalToGnatt[[#This Row],[Start Date]]+ProposalToGnatt[[#This Row],[Days]]),$G$5,"")),"")</f>
        <v/>
      </c>
      <c r="BR67" s="37" t="str">
        <f ca="1">IFERROR(+IF(BR$29=ProposalToGnatt[[#This Row],[Start Date]],Milestone_Marker,IF(AND(BR$29&gt;ProposalToGnatt[[#This Row],[Start Date]],BR$29&lt;ProposalToGnatt[[#This Row],[Start Date]]+ProposalToGnatt[[#This Row],[Days]]),$G$5,"")),"")</f>
        <v/>
      </c>
      <c r="BS67" s="37" t="str">
        <f ca="1">IFERROR(+IF(BS$29=ProposalToGnatt[[#This Row],[Start Date]],Milestone_Marker,IF(AND(BS$29&gt;ProposalToGnatt[[#This Row],[Start Date]],BS$29&lt;ProposalToGnatt[[#This Row],[Start Date]]+ProposalToGnatt[[#This Row],[Days]]),$G$5,"")),"")</f>
        <v/>
      </c>
      <c r="BT67" s="37" t="str">
        <f ca="1">IFERROR(+IF(BT$29=ProposalToGnatt[[#This Row],[Start Date]],Milestone_Marker,IF(AND(BT$29&gt;ProposalToGnatt[[#This Row],[Start Date]],BT$29&lt;ProposalToGnatt[[#This Row],[Start Date]]+ProposalToGnatt[[#This Row],[Days]]),$G$5,"")),"")</f>
        <v/>
      </c>
      <c r="BU67" s="37" t="str">
        <f ca="1">IFERROR(+IF(BU$29=ProposalToGnatt[[#This Row],[Start Date]],Milestone_Marker,IF(AND(BU$29&gt;ProposalToGnatt[[#This Row],[Start Date]],BU$29&lt;ProposalToGnatt[[#This Row],[Start Date]]+ProposalToGnatt[[#This Row],[Days]]),$G$5,"")),"")</f>
        <v/>
      </c>
      <c r="BV67" s="37" t="str">
        <f ca="1">IFERROR(+IF(BV$29=ProposalToGnatt[[#This Row],[Start Date]],Milestone_Marker,IF(AND(BV$29&gt;ProposalToGnatt[[#This Row],[Start Date]],BV$29&lt;ProposalToGnatt[[#This Row],[Start Date]]+ProposalToGnatt[[#This Row],[Days]]),$G$5,"")),"")</f>
        <v/>
      </c>
      <c r="BW67" s="37" t="str">
        <f ca="1">IFERROR(+IF(BW$29=ProposalToGnatt[[#This Row],[Start Date]],Milestone_Marker,IF(AND(BW$29&gt;ProposalToGnatt[[#This Row],[Start Date]],BW$29&lt;ProposalToGnatt[[#This Row],[Start Date]]+ProposalToGnatt[[#This Row],[Days]]),$G$5,"")),"")</f>
        <v/>
      </c>
      <c r="BX67" s="37" t="str">
        <f ca="1">IFERROR(+IF(BX$29=ProposalToGnatt[[#This Row],[Start Date]],Milestone_Marker,IF(AND(BX$29&gt;ProposalToGnatt[[#This Row],[Start Date]],BX$29&lt;ProposalToGnatt[[#This Row],[Start Date]]+ProposalToGnatt[[#This Row],[Days]]),$G$5,"")),"")</f>
        <v/>
      </c>
      <c r="BY67" s="37" t="str">
        <f ca="1">IFERROR(+IF(BY$29=ProposalToGnatt[[#This Row],[Start Date]],Milestone_Marker,IF(AND(BY$29&gt;ProposalToGnatt[[#This Row],[Start Date]],BY$29&lt;ProposalToGnatt[[#This Row],[Start Date]]+ProposalToGnatt[[#This Row],[Days]]),$G$5,"")),"")</f>
        <v/>
      </c>
      <c r="BZ67" s="37" t="str">
        <f ca="1">IFERROR(+IF(BZ$29=ProposalToGnatt[[#This Row],[Start Date]],Milestone_Marker,IF(AND(BZ$29&gt;ProposalToGnatt[[#This Row],[Start Date]],BZ$29&lt;ProposalToGnatt[[#This Row],[Start Date]]+ProposalToGnatt[[#This Row],[Days]]),$G$5,"")),"")</f>
        <v/>
      </c>
      <c r="CA67" s="37" t="str">
        <f ca="1">IFERROR(+IF(CA$29=ProposalToGnatt[[#This Row],[Start Date]],Milestone_Marker,IF(AND(CA$29&gt;ProposalToGnatt[[#This Row],[Start Date]],CA$29&lt;ProposalToGnatt[[#This Row],[Start Date]]+ProposalToGnatt[[#This Row],[Days]]),$G$5,"")),"")</f>
        <v/>
      </c>
      <c r="CB67" s="37" t="str">
        <f ca="1">IFERROR(+IF(CB$29=ProposalToGnatt[[#This Row],[Start Date]],Milestone_Marker,IF(AND(CB$29&gt;ProposalToGnatt[[#This Row],[Start Date]],CB$29&lt;ProposalToGnatt[[#This Row],[Start Date]]+ProposalToGnatt[[#This Row],[Days]]),$G$5,"")),"")</f>
        <v/>
      </c>
      <c r="CC67" s="37" t="str">
        <f ca="1">IFERROR(+IF(CC$29=ProposalToGnatt[[#This Row],[Start Date]],Milestone_Marker,IF(AND(CC$29&gt;ProposalToGnatt[[#This Row],[Start Date]],CC$29&lt;ProposalToGnatt[[#This Row],[Start Date]]+ProposalToGnatt[[#This Row],[Days]]),$G$5,"")),"")</f>
        <v/>
      </c>
      <c r="CD67" s="37" t="str">
        <f ca="1">IFERROR(+IF(CD$29=ProposalToGnatt[[#This Row],[Start Date]],Milestone_Marker,IF(AND(CD$29&gt;ProposalToGnatt[[#This Row],[Start Date]],CD$29&lt;ProposalToGnatt[[#This Row],[Start Date]]+ProposalToGnatt[[#This Row],[Days]]),$G$5,"")),"")</f>
        <v/>
      </c>
      <c r="CE67" s="37" t="str">
        <f ca="1">IFERROR(+IF(CE$29=ProposalToGnatt[[#This Row],[Start Date]],Milestone_Marker,IF(AND(CE$29&gt;ProposalToGnatt[[#This Row],[Start Date]],CE$29&lt;ProposalToGnatt[[#This Row],[Start Date]]+ProposalToGnatt[[#This Row],[Days]]),$G$5,"")),"")</f>
        <v/>
      </c>
      <c r="CF67" s="37" t="str">
        <f ca="1">IFERROR(+IF(CF$29=ProposalToGnatt[[#This Row],[Start Date]],Milestone_Marker,IF(AND(CF$29&gt;ProposalToGnatt[[#This Row],[Start Date]],CF$29&lt;ProposalToGnatt[[#This Row],[Start Date]]+ProposalToGnatt[[#This Row],[Days]]),$G$5,"")),"")</f>
        <v/>
      </c>
      <c r="CG67" s="37" t="str">
        <f ca="1">IFERROR(+IF(CG$29=ProposalToGnatt[[#This Row],[Start Date]],Milestone_Marker,IF(AND(CG$29&gt;ProposalToGnatt[[#This Row],[Start Date]],CG$29&lt;ProposalToGnatt[[#This Row],[Start Date]]+ProposalToGnatt[[#This Row],[Days]]),$G$5,"")),"")</f>
        <v/>
      </c>
      <c r="CH67" s="37" t="str">
        <f ca="1">IFERROR(+IF(CH$29=ProposalToGnatt[[#This Row],[Start Date]],Milestone_Marker,IF(AND(CH$29&gt;ProposalToGnatt[[#This Row],[Start Date]],CH$29&lt;ProposalToGnatt[[#This Row],[Start Date]]+ProposalToGnatt[[#This Row],[Days]]),$G$5,"")),"")</f>
        <v/>
      </c>
      <c r="CI67" s="37" t="str">
        <f ca="1">IFERROR(+IF(CI$29=ProposalToGnatt[[#This Row],[Start Date]],Milestone_Marker,IF(AND(CI$29&gt;ProposalToGnatt[[#This Row],[Start Date]],CI$29&lt;ProposalToGnatt[[#This Row],[Start Date]]+ProposalToGnatt[[#This Row],[Days]]),$G$5,"")),"")</f>
        <v/>
      </c>
      <c r="CJ67" s="37" t="str">
        <f ca="1">IFERROR(+IF(CJ$29=ProposalToGnatt[[#This Row],[Start Date]],Milestone_Marker,IF(AND(CJ$29&gt;ProposalToGnatt[[#This Row],[Start Date]],CJ$29&lt;ProposalToGnatt[[#This Row],[Start Date]]+ProposalToGnatt[[#This Row],[Days]]),$G$5,"")),"")</f>
        <v/>
      </c>
      <c r="CK67" s="37" t="str">
        <f ca="1">IFERROR(+IF(CK$29=ProposalToGnatt[[#This Row],[Start Date]],Milestone_Marker,IF(AND(CK$29&gt;ProposalToGnatt[[#This Row],[Start Date]],CK$29&lt;ProposalToGnatt[[#This Row],[Start Date]]+ProposalToGnatt[[#This Row],[Days]]),$G$5,"")),"")</f>
        <v/>
      </c>
      <c r="CL67" s="37" t="str">
        <f ca="1">IFERROR(+IF(CL$29=ProposalToGnatt[[#This Row],[Start Date]],Milestone_Marker,IF(AND(CL$29&gt;ProposalToGnatt[[#This Row],[Start Date]],CL$29&lt;ProposalToGnatt[[#This Row],[Start Date]]+ProposalToGnatt[[#This Row],[Days]]),$G$5,"")),"")</f>
        <v/>
      </c>
      <c r="CM67" s="37" t="str">
        <f ca="1">IFERROR(+IF(CM$29=ProposalToGnatt[[#This Row],[Start Date]],Milestone_Marker,IF(AND(CM$29&gt;ProposalToGnatt[[#This Row],[Start Date]],CM$29&lt;ProposalToGnatt[[#This Row],[Start Date]]+ProposalToGnatt[[#This Row],[Days]]),$G$5,"")),"")</f>
        <v/>
      </c>
      <c r="CN67" s="37" t="str">
        <f ca="1">IFERROR(+IF(CN$29=ProposalToGnatt[[#This Row],[Start Date]],Milestone_Marker,IF(AND(CN$29&gt;ProposalToGnatt[[#This Row],[Start Date]],CN$29&lt;ProposalToGnatt[[#This Row],[Start Date]]+ProposalToGnatt[[#This Row],[Days]]),$G$5,"")),"")</f>
        <v/>
      </c>
      <c r="CO67" s="37" t="str">
        <f ca="1">IFERROR(+IF(CO$29=ProposalToGnatt[[#This Row],[Start Date]],Milestone_Marker,IF(AND(CO$29&gt;ProposalToGnatt[[#This Row],[Start Date]],CO$29&lt;ProposalToGnatt[[#This Row],[Start Date]]+ProposalToGnatt[[#This Row],[Days]]),$G$5,"")),"")</f>
        <v/>
      </c>
      <c r="CP67" s="37" t="str">
        <f ca="1">IFERROR(+IF(CP$29=ProposalToGnatt[[#This Row],[Start Date]],Milestone_Marker,IF(AND(CP$29&gt;ProposalToGnatt[[#This Row],[Start Date]],CP$29&lt;ProposalToGnatt[[#This Row],[Start Date]]+ProposalToGnatt[[#This Row],[Days]]),$G$5,"")),"")</f>
        <v/>
      </c>
      <c r="CQ67" s="37" t="str">
        <f ca="1">IFERROR(+IF(CQ$29=ProposalToGnatt[[#This Row],[Start Date]],Milestone_Marker,IF(AND(CQ$29&gt;ProposalToGnatt[[#This Row],[Start Date]],CQ$29&lt;ProposalToGnatt[[#This Row],[Start Date]]+ProposalToGnatt[[#This Row],[Days]]),$G$5,"")),"")</f>
        <v/>
      </c>
      <c r="CR67" s="37" t="str">
        <f ca="1">IFERROR(+IF(CR$29=ProposalToGnatt[[#This Row],[Start Date]],Milestone_Marker,IF(AND(CR$29&gt;ProposalToGnatt[[#This Row],[Start Date]],CR$29&lt;ProposalToGnatt[[#This Row],[Start Date]]+ProposalToGnatt[[#This Row],[Days]]),$G$5,"")),"")</f>
        <v/>
      </c>
      <c r="CS67" s="37" t="str">
        <f ca="1">IFERROR(+IF(CS$29=ProposalToGnatt[[#This Row],[Start Date]],Milestone_Marker,IF(AND(CS$29&gt;ProposalToGnatt[[#This Row],[Start Date]],CS$29&lt;ProposalToGnatt[[#This Row],[Start Date]]+ProposalToGnatt[[#This Row],[Days]]),$G$5,"")),"")</f>
        <v/>
      </c>
      <c r="CT67" s="37" t="str">
        <f ca="1">IFERROR(+IF(CT$29=ProposalToGnatt[[#This Row],[Start Date]],Milestone_Marker,IF(AND(CT$29&gt;ProposalToGnatt[[#This Row],[Start Date]],CT$29&lt;ProposalToGnatt[[#This Row],[Start Date]]+ProposalToGnatt[[#This Row],[Days]]),$G$5,"")),"")</f>
        <v/>
      </c>
      <c r="CU67" s="37" t="str">
        <f ca="1">IFERROR(+IF(CU$29=ProposalToGnatt[[#This Row],[Start Date]],Milestone_Marker,IF(AND(CU$29&gt;ProposalToGnatt[[#This Row],[Start Date]],CU$29&lt;ProposalToGnatt[[#This Row],[Start Date]]+ProposalToGnatt[[#This Row],[Days]]),$G$5,"")),"")</f>
        <v/>
      </c>
      <c r="CV67" s="37"/>
      <c r="CW67" s="37"/>
      <c r="CX67" s="37"/>
      <c r="CY67" s="37"/>
      <c r="CZ67" s="37"/>
      <c r="DA67" s="37"/>
      <c r="DB67" s="37"/>
      <c r="DC67" s="37"/>
      <c r="DD67" s="37"/>
      <c r="DE67" s="37"/>
      <c r="DF67" s="37"/>
      <c r="DG67" s="37"/>
      <c r="DH67" s="37"/>
      <c r="DI67" s="37"/>
      <c r="DJ67" s="37"/>
      <c r="DK67" s="37"/>
      <c r="DL67" s="37"/>
      <c r="DM67" s="37"/>
      <c r="DN67" s="37"/>
      <c r="DO67" s="37"/>
      <c r="DP67" s="37"/>
      <c r="DQ67" s="37"/>
      <c r="DR67" s="37"/>
      <c r="DS67" s="37"/>
      <c r="DT67" s="37"/>
      <c r="DU67" s="37"/>
    </row>
    <row r="68" spans="1:125" s="42" customFormat="1" ht="15" x14ac:dyDescent="0.25">
      <c r="A68" t="s">
        <v>428</v>
      </c>
      <c r="B68">
        <v>42</v>
      </c>
      <c r="C68" t="s">
        <v>324</v>
      </c>
      <c r="D68" t="s">
        <v>366</v>
      </c>
      <c r="E68" t="s">
        <v>367</v>
      </c>
      <c r="F68">
        <v>1</v>
      </c>
      <c r="G68" s="14">
        <v>294</v>
      </c>
      <c r="H68" s="14">
        <v>294</v>
      </c>
      <c r="I68" t="s">
        <v>8</v>
      </c>
      <c r="J68">
        <v>2</v>
      </c>
      <c r="K68" s="303"/>
      <c r="L68"/>
      <c r="M68" s="14"/>
      <c r="N68" s="352">
        <v>294</v>
      </c>
      <c r="O68" s="340"/>
      <c r="P68" s="37" t="str">
        <f ca="1">IFERROR(+IF(P$29=ProposalToGnatt[[#This Row],[Start Date]],Milestone_Marker,IF(AND(P$29&gt;ProposalToGnatt[[#This Row],[Start Date]],P$29&lt;ProposalToGnatt[[#This Row],[Start Date]]+ProposalToGnatt[[#This Row],[Days]]),$G$5,"")),"")</f>
        <v/>
      </c>
      <c r="Q68" s="37" t="str">
        <f ca="1">IFERROR(+IF(Q$29=ProposalToGnatt[[#This Row],[Start Date]],Milestone_Marker,IF(AND(Q$29&gt;ProposalToGnatt[[#This Row],[Start Date]],Q$29&lt;ProposalToGnatt[[#This Row],[Start Date]]+ProposalToGnatt[[#This Row],[Days]]),$G$5,"")),"")</f>
        <v/>
      </c>
      <c r="R68" s="37" t="str">
        <f ca="1">IFERROR(+IF(R$29=ProposalToGnatt[[#This Row],[Start Date]],Milestone_Marker,IF(AND(R$29&gt;ProposalToGnatt[[#This Row],[Start Date]],R$29&lt;ProposalToGnatt[[#This Row],[Start Date]]+ProposalToGnatt[[#This Row],[Days]]),$G$5,"")),"")</f>
        <v/>
      </c>
      <c r="S68" s="37" t="str">
        <f ca="1">IFERROR(+IF(S$29=ProposalToGnatt[[#This Row],[Start Date]],Milestone_Marker,IF(AND(S$29&gt;ProposalToGnatt[[#This Row],[Start Date]],S$29&lt;ProposalToGnatt[[#This Row],[Start Date]]+ProposalToGnatt[[#This Row],[Days]]),$G$5,"")),"")</f>
        <v/>
      </c>
      <c r="T68" s="37" t="str">
        <f ca="1">IFERROR(+IF(T$29=ProposalToGnatt[[#This Row],[Start Date]],Milestone_Marker,IF(AND(T$29&gt;ProposalToGnatt[[#This Row],[Start Date]],T$29&lt;ProposalToGnatt[[#This Row],[Start Date]]+ProposalToGnatt[[#This Row],[Days]]),$G$5,"")),"")</f>
        <v/>
      </c>
      <c r="U68" s="37" t="str">
        <f ca="1">IFERROR(+IF(U$29=ProposalToGnatt[[#This Row],[Start Date]],Milestone_Marker,IF(AND(U$29&gt;ProposalToGnatt[[#This Row],[Start Date]],U$29&lt;ProposalToGnatt[[#This Row],[Start Date]]+ProposalToGnatt[[#This Row],[Days]]),$G$5,"")),"")</f>
        <v/>
      </c>
      <c r="V68" s="37" t="str">
        <f ca="1">IFERROR(+IF(V$29=ProposalToGnatt[[#This Row],[Start Date]],Milestone_Marker,IF(AND(V$29&gt;ProposalToGnatt[[#This Row],[Start Date]],V$29&lt;ProposalToGnatt[[#This Row],[Start Date]]+ProposalToGnatt[[#This Row],[Days]]),$G$5,"")),"")</f>
        <v/>
      </c>
      <c r="W68" s="37" t="str">
        <f ca="1">IFERROR(+IF(W$29=ProposalToGnatt[[#This Row],[Start Date]],Milestone_Marker,IF(AND(W$29&gt;ProposalToGnatt[[#This Row],[Start Date]],W$29&lt;ProposalToGnatt[[#This Row],[Start Date]]+ProposalToGnatt[[#This Row],[Days]]),$G$5,"")),"")</f>
        <v/>
      </c>
      <c r="X68" s="37" t="str">
        <f ca="1">IFERROR(+IF(X$29=ProposalToGnatt[[#This Row],[Start Date]],Milestone_Marker,IF(AND(X$29&gt;ProposalToGnatt[[#This Row],[Start Date]],X$29&lt;ProposalToGnatt[[#This Row],[Start Date]]+ProposalToGnatt[[#This Row],[Days]]),$G$5,"")),"")</f>
        <v/>
      </c>
      <c r="Y68" s="37" t="str">
        <f ca="1">IFERROR(+IF(Y$29=ProposalToGnatt[[#This Row],[Start Date]],Milestone_Marker,IF(AND(Y$29&gt;ProposalToGnatt[[#This Row],[Start Date]],Y$29&lt;ProposalToGnatt[[#This Row],[Start Date]]+ProposalToGnatt[[#This Row],[Days]]),$G$5,"")),"")</f>
        <v/>
      </c>
      <c r="Z68" s="37" t="str">
        <f ca="1">IFERROR(+IF(Z$29=ProposalToGnatt[[#This Row],[Start Date]],Milestone_Marker,IF(AND(Z$29&gt;ProposalToGnatt[[#This Row],[Start Date]],Z$29&lt;ProposalToGnatt[[#This Row],[Start Date]]+ProposalToGnatt[[#This Row],[Days]]),$G$5,"")),"")</f>
        <v/>
      </c>
      <c r="AA68" s="37" t="str">
        <f ca="1">IFERROR(+IF(AA$29=ProposalToGnatt[[#This Row],[Start Date]],Milestone_Marker,IF(AND(AA$29&gt;ProposalToGnatt[[#This Row],[Start Date]],AA$29&lt;ProposalToGnatt[[#This Row],[Start Date]]+ProposalToGnatt[[#This Row],[Days]]),$G$5,"")),"")</f>
        <v/>
      </c>
      <c r="AB68" s="37" t="str">
        <f ca="1">IFERROR(+IF(AB$29=ProposalToGnatt[[#This Row],[Start Date]],Milestone_Marker,IF(AND(AB$29&gt;ProposalToGnatt[[#This Row],[Start Date]],AB$29&lt;ProposalToGnatt[[#This Row],[Start Date]]+ProposalToGnatt[[#This Row],[Days]]),$G$5,"")),"")</f>
        <v/>
      </c>
      <c r="AC68" s="37" t="str">
        <f ca="1">IFERROR(+IF(AC$29=ProposalToGnatt[[#This Row],[Start Date]],Milestone_Marker,IF(AND(AC$29&gt;ProposalToGnatt[[#This Row],[Start Date]],AC$29&lt;ProposalToGnatt[[#This Row],[Start Date]]+ProposalToGnatt[[#This Row],[Days]]),$G$5,"")),"")</f>
        <v/>
      </c>
      <c r="AD68" s="37" t="str">
        <f ca="1">IFERROR(+IF(AD$29=ProposalToGnatt[[#This Row],[Start Date]],Milestone_Marker,IF(AND(AD$29&gt;ProposalToGnatt[[#This Row],[Start Date]],AD$29&lt;ProposalToGnatt[[#This Row],[Start Date]]+ProposalToGnatt[[#This Row],[Days]]),$G$5,"")),"")</f>
        <v/>
      </c>
      <c r="AE68" s="37" t="str">
        <f ca="1">IFERROR(+IF(AE$29=ProposalToGnatt[[#This Row],[Start Date]],Milestone_Marker,IF(AND(AE$29&gt;ProposalToGnatt[[#This Row],[Start Date]],AE$29&lt;ProposalToGnatt[[#This Row],[Start Date]]+ProposalToGnatt[[#This Row],[Days]]),$G$5,"")),"")</f>
        <v/>
      </c>
      <c r="AF68" s="37" t="str">
        <f ca="1">IFERROR(+IF(AF$29=ProposalToGnatt[[#This Row],[Start Date]],Milestone_Marker,IF(AND(AF$29&gt;ProposalToGnatt[[#This Row],[Start Date]],AF$29&lt;ProposalToGnatt[[#This Row],[Start Date]]+ProposalToGnatt[[#This Row],[Days]]),$G$5,"")),"")</f>
        <v/>
      </c>
      <c r="AG68" s="37" t="str">
        <f ca="1">IFERROR(+IF(AG$29=ProposalToGnatt[[#This Row],[Start Date]],Milestone_Marker,IF(AND(AG$29&gt;ProposalToGnatt[[#This Row],[Start Date]],AG$29&lt;ProposalToGnatt[[#This Row],[Start Date]]+ProposalToGnatt[[#This Row],[Days]]),$G$5,"")),"")</f>
        <v/>
      </c>
      <c r="AH68" s="37" t="str">
        <f ca="1">IFERROR(+IF(AH$29=ProposalToGnatt[[#This Row],[Start Date]],Milestone_Marker,IF(AND(AH$29&gt;ProposalToGnatt[[#This Row],[Start Date]],AH$29&lt;ProposalToGnatt[[#This Row],[Start Date]]+ProposalToGnatt[[#This Row],[Days]]),$G$5,"")),"")</f>
        <v/>
      </c>
      <c r="AI68" s="37" t="str">
        <f ca="1">IFERROR(+IF(AI$29=ProposalToGnatt[[#This Row],[Start Date]],Milestone_Marker,IF(AND(AI$29&gt;ProposalToGnatt[[#This Row],[Start Date]],AI$29&lt;ProposalToGnatt[[#This Row],[Start Date]]+ProposalToGnatt[[#This Row],[Days]]),$G$5,"")),"")</f>
        <v/>
      </c>
      <c r="AJ68" s="37" t="str">
        <f ca="1">IFERROR(+IF(AJ$29=ProposalToGnatt[[#This Row],[Start Date]],Milestone_Marker,IF(AND(AJ$29&gt;ProposalToGnatt[[#This Row],[Start Date]],AJ$29&lt;ProposalToGnatt[[#This Row],[Start Date]]+ProposalToGnatt[[#This Row],[Days]]),$G$5,"")),"")</f>
        <v/>
      </c>
      <c r="AK68" s="37" t="str">
        <f ca="1">IFERROR(+IF(AK$29=ProposalToGnatt[[#This Row],[Start Date]],Milestone_Marker,IF(AND(AK$29&gt;ProposalToGnatt[[#This Row],[Start Date]],AK$29&lt;ProposalToGnatt[[#This Row],[Start Date]]+ProposalToGnatt[[#This Row],[Days]]),$G$5,"")),"")</f>
        <v/>
      </c>
      <c r="AL68" s="37" t="str">
        <f ca="1">IFERROR(+IF(AL$29=ProposalToGnatt[[#This Row],[Start Date]],Milestone_Marker,IF(AND(AL$29&gt;ProposalToGnatt[[#This Row],[Start Date]],AL$29&lt;ProposalToGnatt[[#This Row],[Start Date]]+ProposalToGnatt[[#This Row],[Days]]),$G$5,"")),"")</f>
        <v/>
      </c>
      <c r="AM68" s="37" t="str">
        <f ca="1">IFERROR(+IF(AM$29=ProposalToGnatt[[#This Row],[Start Date]],Milestone_Marker,IF(AND(AM$29&gt;ProposalToGnatt[[#This Row],[Start Date]],AM$29&lt;ProposalToGnatt[[#This Row],[Start Date]]+ProposalToGnatt[[#This Row],[Days]]),$G$5,"")),"")</f>
        <v/>
      </c>
      <c r="AN68" s="37" t="str">
        <f ca="1">IFERROR(+IF(AN$29=ProposalToGnatt[[#This Row],[Start Date]],Milestone_Marker,IF(AND(AN$29&gt;ProposalToGnatt[[#This Row],[Start Date]],AN$29&lt;ProposalToGnatt[[#This Row],[Start Date]]+ProposalToGnatt[[#This Row],[Days]]),$G$5,"")),"")</f>
        <v/>
      </c>
      <c r="AO68" s="37" t="str">
        <f ca="1">IFERROR(+IF(AO$29=ProposalToGnatt[[#This Row],[Start Date]],Milestone_Marker,IF(AND(AO$29&gt;ProposalToGnatt[[#This Row],[Start Date]],AO$29&lt;ProposalToGnatt[[#This Row],[Start Date]]+ProposalToGnatt[[#This Row],[Days]]),$G$5,"")),"")</f>
        <v/>
      </c>
      <c r="AP68" s="37" t="str">
        <f ca="1">IFERROR(+IF(AP$29=ProposalToGnatt[[#This Row],[Start Date]],Milestone_Marker,IF(AND(AP$29&gt;ProposalToGnatt[[#This Row],[Start Date]],AP$29&lt;ProposalToGnatt[[#This Row],[Start Date]]+ProposalToGnatt[[#This Row],[Days]]),$G$5,"")),"")</f>
        <v/>
      </c>
      <c r="AQ68" s="37" t="str">
        <f ca="1">IFERROR(+IF(AQ$29=ProposalToGnatt[[#This Row],[Start Date]],Milestone_Marker,IF(AND(AQ$29&gt;ProposalToGnatt[[#This Row],[Start Date]],AQ$29&lt;ProposalToGnatt[[#This Row],[Start Date]]+ProposalToGnatt[[#This Row],[Days]]),$G$5,"")),"")</f>
        <v/>
      </c>
      <c r="AR68" s="37" t="str">
        <f ca="1">IFERROR(+IF(AR$29=ProposalToGnatt[[#This Row],[Start Date]],Milestone_Marker,IF(AND(AR$29&gt;ProposalToGnatt[[#This Row],[Start Date]],AR$29&lt;ProposalToGnatt[[#This Row],[Start Date]]+ProposalToGnatt[[#This Row],[Days]]),$G$5,"")),"")</f>
        <v/>
      </c>
      <c r="AS68" s="37" t="str">
        <f ca="1">IFERROR(+IF(AS$29=ProposalToGnatt[[#This Row],[Start Date]],Milestone_Marker,IF(AND(AS$29&gt;ProposalToGnatt[[#This Row],[Start Date]],AS$29&lt;ProposalToGnatt[[#This Row],[Start Date]]+ProposalToGnatt[[#This Row],[Days]]),$G$5,"")),"")</f>
        <v/>
      </c>
      <c r="AT68" s="37" t="str">
        <f ca="1">IFERROR(+IF(AT$29=ProposalToGnatt[[#This Row],[Start Date]],Milestone_Marker,IF(AND(AT$29&gt;ProposalToGnatt[[#This Row],[Start Date]],AT$29&lt;ProposalToGnatt[[#This Row],[Start Date]]+ProposalToGnatt[[#This Row],[Days]]),$G$5,"")),"")</f>
        <v/>
      </c>
      <c r="AU68" s="37" t="str">
        <f ca="1">IFERROR(+IF(AU$29=ProposalToGnatt[[#This Row],[Start Date]],Milestone_Marker,IF(AND(AU$29&gt;ProposalToGnatt[[#This Row],[Start Date]],AU$29&lt;ProposalToGnatt[[#This Row],[Start Date]]+ProposalToGnatt[[#This Row],[Days]]),$G$5,"")),"")</f>
        <v/>
      </c>
      <c r="AV68" s="37" t="str">
        <f ca="1">IFERROR(+IF(AV$29=ProposalToGnatt[[#This Row],[Start Date]],Milestone_Marker,IF(AND(AV$29&gt;ProposalToGnatt[[#This Row],[Start Date]],AV$29&lt;ProposalToGnatt[[#This Row],[Start Date]]+ProposalToGnatt[[#This Row],[Days]]),$G$5,"")),"")</f>
        <v/>
      </c>
      <c r="AW68" s="37" t="str">
        <f ca="1">IFERROR(+IF(AW$29=ProposalToGnatt[[#This Row],[Start Date]],Milestone_Marker,IF(AND(AW$29&gt;ProposalToGnatt[[#This Row],[Start Date]],AW$29&lt;ProposalToGnatt[[#This Row],[Start Date]]+ProposalToGnatt[[#This Row],[Days]]),$G$5,"")),"")</f>
        <v/>
      </c>
      <c r="AX68" s="37" t="str">
        <f ca="1">IFERROR(+IF(AX$29=ProposalToGnatt[[#This Row],[Start Date]],Milestone_Marker,IF(AND(AX$29&gt;ProposalToGnatt[[#This Row],[Start Date]],AX$29&lt;ProposalToGnatt[[#This Row],[Start Date]]+ProposalToGnatt[[#This Row],[Days]]),$G$5,"")),"")</f>
        <v/>
      </c>
      <c r="AY68" s="37" t="str">
        <f ca="1">IFERROR(+IF(AY$29=ProposalToGnatt[[#This Row],[Start Date]],Milestone_Marker,IF(AND(AY$29&gt;ProposalToGnatt[[#This Row],[Start Date]],AY$29&lt;ProposalToGnatt[[#This Row],[Start Date]]+ProposalToGnatt[[#This Row],[Days]]),$G$5,"")),"")</f>
        <v/>
      </c>
      <c r="AZ68" s="37" t="str">
        <f ca="1">IFERROR(+IF(AZ$29=ProposalToGnatt[[#This Row],[Start Date]],Milestone_Marker,IF(AND(AZ$29&gt;ProposalToGnatt[[#This Row],[Start Date]],AZ$29&lt;ProposalToGnatt[[#This Row],[Start Date]]+ProposalToGnatt[[#This Row],[Days]]),$G$5,"")),"")</f>
        <v/>
      </c>
      <c r="BA68" s="37" t="str">
        <f ca="1">IFERROR(+IF(BA$29=ProposalToGnatt[[#This Row],[Start Date]],Milestone_Marker,IF(AND(BA$29&gt;ProposalToGnatt[[#This Row],[Start Date]],BA$29&lt;ProposalToGnatt[[#This Row],[Start Date]]+ProposalToGnatt[[#This Row],[Days]]),$G$5,"")),"")</f>
        <v/>
      </c>
      <c r="BB68" s="37" t="str">
        <f ca="1">IFERROR(+IF(BB$29=ProposalToGnatt[[#This Row],[Start Date]],Milestone_Marker,IF(AND(BB$29&gt;ProposalToGnatt[[#This Row],[Start Date]],BB$29&lt;ProposalToGnatt[[#This Row],[Start Date]]+ProposalToGnatt[[#This Row],[Days]]),$G$5,"")),"")</f>
        <v/>
      </c>
      <c r="BC68" s="37" t="str">
        <f ca="1">IFERROR(+IF(BC$29=ProposalToGnatt[[#This Row],[Start Date]],Milestone_Marker,IF(AND(BC$29&gt;ProposalToGnatt[[#This Row],[Start Date]],BC$29&lt;ProposalToGnatt[[#This Row],[Start Date]]+ProposalToGnatt[[#This Row],[Days]]),$G$5,"")),"")</f>
        <v/>
      </c>
      <c r="BD68" s="37" t="str">
        <f ca="1">IFERROR(+IF(BD$29=ProposalToGnatt[[#This Row],[Start Date]],Milestone_Marker,IF(AND(BD$29&gt;ProposalToGnatt[[#This Row],[Start Date]],BD$29&lt;ProposalToGnatt[[#This Row],[Start Date]]+ProposalToGnatt[[#This Row],[Days]]),$G$5,"")),"")</f>
        <v/>
      </c>
      <c r="BE68" s="37" t="str">
        <f ca="1">IFERROR(+IF(BE$29=ProposalToGnatt[[#This Row],[Start Date]],Milestone_Marker,IF(AND(BE$29&gt;ProposalToGnatt[[#This Row],[Start Date]],BE$29&lt;ProposalToGnatt[[#This Row],[Start Date]]+ProposalToGnatt[[#This Row],[Days]]),$G$5,"")),"")</f>
        <v/>
      </c>
      <c r="BF68" s="37" t="str">
        <f ca="1">IFERROR(+IF(BF$29=ProposalToGnatt[[#This Row],[Start Date]],Milestone_Marker,IF(AND(BF$29&gt;ProposalToGnatt[[#This Row],[Start Date]],BF$29&lt;ProposalToGnatt[[#This Row],[Start Date]]+ProposalToGnatt[[#This Row],[Days]]),$G$5,"")),"")</f>
        <v/>
      </c>
      <c r="BG68" s="37" t="str">
        <f ca="1">IFERROR(+IF(BG$29=ProposalToGnatt[[#This Row],[Start Date]],Milestone_Marker,IF(AND(BG$29&gt;ProposalToGnatt[[#This Row],[Start Date]],BG$29&lt;ProposalToGnatt[[#This Row],[Start Date]]+ProposalToGnatt[[#This Row],[Days]]),$G$5,"")),"")</f>
        <v/>
      </c>
      <c r="BH68" s="37" t="str">
        <f ca="1">IFERROR(+IF(BH$29=ProposalToGnatt[[#This Row],[Start Date]],Milestone_Marker,IF(AND(BH$29&gt;ProposalToGnatt[[#This Row],[Start Date]],BH$29&lt;ProposalToGnatt[[#This Row],[Start Date]]+ProposalToGnatt[[#This Row],[Days]]),$G$5,"")),"")</f>
        <v/>
      </c>
      <c r="BI68" s="37" t="str">
        <f ca="1">IFERROR(+IF(BI$29=ProposalToGnatt[[#This Row],[Start Date]],Milestone_Marker,IF(AND(BI$29&gt;ProposalToGnatt[[#This Row],[Start Date]],BI$29&lt;ProposalToGnatt[[#This Row],[Start Date]]+ProposalToGnatt[[#This Row],[Days]]),$G$5,"")),"")</f>
        <v/>
      </c>
      <c r="BJ68" s="37" t="str">
        <f ca="1">IFERROR(+IF(BJ$29=ProposalToGnatt[[#This Row],[Start Date]],Milestone_Marker,IF(AND(BJ$29&gt;ProposalToGnatt[[#This Row],[Start Date]],BJ$29&lt;ProposalToGnatt[[#This Row],[Start Date]]+ProposalToGnatt[[#This Row],[Days]]),$G$5,"")),"")</f>
        <v/>
      </c>
      <c r="BK68" s="37" t="str">
        <f ca="1">IFERROR(+IF(BK$29=ProposalToGnatt[[#This Row],[Start Date]],Milestone_Marker,IF(AND(BK$29&gt;ProposalToGnatt[[#This Row],[Start Date]],BK$29&lt;ProposalToGnatt[[#This Row],[Start Date]]+ProposalToGnatt[[#This Row],[Days]]),$G$5,"")),"")</f>
        <v/>
      </c>
      <c r="BL68" s="37" t="str">
        <f ca="1">IFERROR(+IF(BL$29=ProposalToGnatt[[#This Row],[Start Date]],Milestone_Marker,IF(AND(BL$29&gt;ProposalToGnatt[[#This Row],[Start Date]],BL$29&lt;ProposalToGnatt[[#This Row],[Start Date]]+ProposalToGnatt[[#This Row],[Days]]),$G$5,"")),"")</f>
        <v/>
      </c>
      <c r="BM68" s="37" t="str">
        <f ca="1">IFERROR(+IF(BM$29=ProposalToGnatt[[#This Row],[Start Date]],Milestone_Marker,IF(AND(BM$29&gt;ProposalToGnatt[[#This Row],[Start Date]],BM$29&lt;ProposalToGnatt[[#This Row],[Start Date]]+ProposalToGnatt[[#This Row],[Days]]),$G$5,"")),"")</f>
        <v/>
      </c>
      <c r="BN68" s="37" t="str">
        <f ca="1">IFERROR(+IF(BN$29=ProposalToGnatt[[#This Row],[Start Date]],Milestone_Marker,IF(AND(BN$29&gt;ProposalToGnatt[[#This Row],[Start Date]],BN$29&lt;ProposalToGnatt[[#This Row],[Start Date]]+ProposalToGnatt[[#This Row],[Days]]),$G$5,"")),"")</f>
        <v/>
      </c>
      <c r="BO68" s="37" t="str">
        <f ca="1">IFERROR(+IF(BO$29=ProposalToGnatt[[#This Row],[Start Date]],Milestone_Marker,IF(AND(BO$29&gt;ProposalToGnatt[[#This Row],[Start Date]],BO$29&lt;ProposalToGnatt[[#This Row],[Start Date]]+ProposalToGnatt[[#This Row],[Days]]),$G$5,"")),"")</f>
        <v/>
      </c>
      <c r="BP68" s="37" t="str">
        <f ca="1">IFERROR(+IF(BP$29=ProposalToGnatt[[#This Row],[Start Date]],Milestone_Marker,IF(AND(BP$29&gt;ProposalToGnatt[[#This Row],[Start Date]],BP$29&lt;ProposalToGnatt[[#This Row],[Start Date]]+ProposalToGnatt[[#This Row],[Days]]),$G$5,"")),"")</f>
        <v/>
      </c>
      <c r="BQ68" s="37" t="str">
        <f ca="1">IFERROR(+IF(BQ$29=ProposalToGnatt[[#This Row],[Start Date]],Milestone_Marker,IF(AND(BQ$29&gt;ProposalToGnatt[[#This Row],[Start Date]],BQ$29&lt;ProposalToGnatt[[#This Row],[Start Date]]+ProposalToGnatt[[#This Row],[Days]]),$G$5,"")),"")</f>
        <v/>
      </c>
      <c r="BR68" s="37" t="str">
        <f ca="1">IFERROR(+IF(BR$29=ProposalToGnatt[[#This Row],[Start Date]],Milestone_Marker,IF(AND(BR$29&gt;ProposalToGnatt[[#This Row],[Start Date]],BR$29&lt;ProposalToGnatt[[#This Row],[Start Date]]+ProposalToGnatt[[#This Row],[Days]]),$G$5,"")),"")</f>
        <v/>
      </c>
      <c r="BS68" s="37" t="str">
        <f ca="1">IFERROR(+IF(BS$29=ProposalToGnatt[[#This Row],[Start Date]],Milestone_Marker,IF(AND(BS$29&gt;ProposalToGnatt[[#This Row],[Start Date]],BS$29&lt;ProposalToGnatt[[#This Row],[Start Date]]+ProposalToGnatt[[#This Row],[Days]]),$G$5,"")),"")</f>
        <v/>
      </c>
      <c r="BT68" s="37" t="str">
        <f ca="1">IFERROR(+IF(BT$29=ProposalToGnatt[[#This Row],[Start Date]],Milestone_Marker,IF(AND(BT$29&gt;ProposalToGnatt[[#This Row],[Start Date]],BT$29&lt;ProposalToGnatt[[#This Row],[Start Date]]+ProposalToGnatt[[#This Row],[Days]]),$G$5,"")),"")</f>
        <v/>
      </c>
      <c r="BU68" s="37" t="str">
        <f ca="1">IFERROR(+IF(BU$29=ProposalToGnatt[[#This Row],[Start Date]],Milestone_Marker,IF(AND(BU$29&gt;ProposalToGnatt[[#This Row],[Start Date]],BU$29&lt;ProposalToGnatt[[#This Row],[Start Date]]+ProposalToGnatt[[#This Row],[Days]]),$G$5,"")),"")</f>
        <v/>
      </c>
      <c r="BV68" s="37" t="str">
        <f ca="1">IFERROR(+IF(BV$29=ProposalToGnatt[[#This Row],[Start Date]],Milestone_Marker,IF(AND(BV$29&gt;ProposalToGnatt[[#This Row],[Start Date]],BV$29&lt;ProposalToGnatt[[#This Row],[Start Date]]+ProposalToGnatt[[#This Row],[Days]]),$G$5,"")),"")</f>
        <v/>
      </c>
      <c r="BW68" s="37" t="str">
        <f ca="1">IFERROR(+IF(BW$29=ProposalToGnatt[[#This Row],[Start Date]],Milestone_Marker,IF(AND(BW$29&gt;ProposalToGnatt[[#This Row],[Start Date]],BW$29&lt;ProposalToGnatt[[#This Row],[Start Date]]+ProposalToGnatt[[#This Row],[Days]]),$G$5,"")),"")</f>
        <v/>
      </c>
      <c r="BX68" s="37" t="str">
        <f ca="1">IFERROR(+IF(BX$29=ProposalToGnatt[[#This Row],[Start Date]],Milestone_Marker,IF(AND(BX$29&gt;ProposalToGnatt[[#This Row],[Start Date]],BX$29&lt;ProposalToGnatt[[#This Row],[Start Date]]+ProposalToGnatt[[#This Row],[Days]]),$G$5,"")),"")</f>
        <v/>
      </c>
      <c r="BY68" s="37" t="str">
        <f ca="1">IFERROR(+IF(BY$29=ProposalToGnatt[[#This Row],[Start Date]],Milestone_Marker,IF(AND(BY$29&gt;ProposalToGnatt[[#This Row],[Start Date]],BY$29&lt;ProposalToGnatt[[#This Row],[Start Date]]+ProposalToGnatt[[#This Row],[Days]]),$G$5,"")),"")</f>
        <v/>
      </c>
      <c r="BZ68" s="37" t="str">
        <f ca="1">IFERROR(+IF(BZ$29=ProposalToGnatt[[#This Row],[Start Date]],Milestone_Marker,IF(AND(BZ$29&gt;ProposalToGnatt[[#This Row],[Start Date]],BZ$29&lt;ProposalToGnatt[[#This Row],[Start Date]]+ProposalToGnatt[[#This Row],[Days]]),$G$5,"")),"")</f>
        <v/>
      </c>
      <c r="CA68" s="37" t="str">
        <f ca="1">IFERROR(+IF(CA$29=ProposalToGnatt[[#This Row],[Start Date]],Milestone_Marker,IF(AND(CA$29&gt;ProposalToGnatt[[#This Row],[Start Date]],CA$29&lt;ProposalToGnatt[[#This Row],[Start Date]]+ProposalToGnatt[[#This Row],[Days]]),$G$5,"")),"")</f>
        <v/>
      </c>
      <c r="CB68" s="37" t="str">
        <f ca="1">IFERROR(+IF(CB$29=ProposalToGnatt[[#This Row],[Start Date]],Milestone_Marker,IF(AND(CB$29&gt;ProposalToGnatt[[#This Row],[Start Date]],CB$29&lt;ProposalToGnatt[[#This Row],[Start Date]]+ProposalToGnatt[[#This Row],[Days]]),$G$5,"")),"")</f>
        <v/>
      </c>
      <c r="CC68" s="37" t="str">
        <f ca="1">IFERROR(+IF(CC$29=ProposalToGnatt[[#This Row],[Start Date]],Milestone_Marker,IF(AND(CC$29&gt;ProposalToGnatt[[#This Row],[Start Date]],CC$29&lt;ProposalToGnatt[[#This Row],[Start Date]]+ProposalToGnatt[[#This Row],[Days]]),$G$5,"")),"")</f>
        <v/>
      </c>
      <c r="CD68" s="37" t="str">
        <f ca="1">IFERROR(+IF(CD$29=ProposalToGnatt[[#This Row],[Start Date]],Milestone_Marker,IF(AND(CD$29&gt;ProposalToGnatt[[#This Row],[Start Date]],CD$29&lt;ProposalToGnatt[[#This Row],[Start Date]]+ProposalToGnatt[[#This Row],[Days]]),$G$5,"")),"")</f>
        <v/>
      </c>
      <c r="CE68" s="37" t="str">
        <f ca="1">IFERROR(+IF(CE$29=ProposalToGnatt[[#This Row],[Start Date]],Milestone_Marker,IF(AND(CE$29&gt;ProposalToGnatt[[#This Row],[Start Date]],CE$29&lt;ProposalToGnatt[[#This Row],[Start Date]]+ProposalToGnatt[[#This Row],[Days]]),$G$5,"")),"")</f>
        <v/>
      </c>
      <c r="CF68" s="37" t="str">
        <f ca="1">IFERROR(+IF(CF$29=ProposalToGnatt[[#This Row],[Start Date]],Milestone_Marker,IF(AND(CF$29&gt;ProposalToGnatt[[#This Row],[Start Date]],CF$29&lt;ProposalToGnatt[[#This Row],[Start Date]]+ProposalToGnatt[[#This Row],[Days]]),$G$5,"")),"")</f>
        <v/>
      </c>
      <c r="CG68" s="37" t="str">
        <f ca="1">IFERROR(+IF(CG$29=ProposalToGnatt[[#This Row],[Start Date]],Milestone_Marker,IF(AND(CG$29&gt;ProposalToGnatt[[#This Row],[Start Date]],CG$29&lt;ProposalToGnatt[[#This Row],[Start Date]]+ProposalToGnatt[[#This Row],[Days]]),$G$5,"")),"")</f>
        <v/>
      </c>
      <c r="CH68" s="37" t="str">
        <f ca="1">IFERROR(+IF(CH$29=ProposalToGnatt[[#This Row],[Start Date]],Milestone_Marker,IF(AND(CH$29&gt;ProposalToGnatt[[#This Row],[Start Date]],CH$29&lt;ProposalToGnatt[[#This Row],[Start Date]]+ProposalToGnatt[[#This Row],[Days]]),$G$5,"")),"")</f>
        <v/>
      </c>
      <c r="CI68" s="37" t="str">
        <f ca="1">IFERROR(+IF(CI$29=ProposalToGnatt[[#This Row],[Start Date]],Milestone_Marker,IF(AND(CI$29&gt;ProposalToGnatt[[#This Row],[Start Date]],CI$29&lt;ProposalToGnatt[[#This Row],[Start Date]]+ProposalToGnatt[[#This Row],[Days]]),$G$5,"")),"")</f>
        <v/>
      </c>
      <c r="CJ68" s="37" t="str">
        <f ca="1">IFERROR(+IF(CJ$29=ProposalToGnatt[[#This Row],[Start Date]],Milestone_Marker,IF(AND(CJ$29&gt;ProposalToGnatt[[#This Row],[Start Date]],CJ$29&lt;ProposalToGnatt[[#This Row],[Start Date]]+ProposalToGnatt[[#This Row],[Days]]),$G$5,"")),"")</f>
        <v/>
      </c>
      <c r="CK68" s="37" t="str">
        <f ca="1">IFERROR(+IF(CK$29=ProposalToGnatt[[#This Row],[Start Date]],Milestone_Marker,IF(AND(CK$29&gt;ProposalToGnatt[[#This Row],[Start Date]],CK$29&lt;ProposalToGnatt[[#This Row],[Start Date]]+ProposalToGnatt[[#This Row],[Days]]),$G$5,"")),"")</f>
        <v/>
      </c>
      <c r="CL68" s="37" t="str">
        <f ca="1">IFERROR(+IF(CL$29=ProposalToGnatt[[#This Row],[Start Date]],Milestone_Marker,IF(AND(CL$29&gt;ProposalToGnatt[[#This Row],[Start Date]],CL$29&lt;ProposalToGnatt[[#This Row],[Start Date]]+ProposalToGnatt[[#This Row],[Days]]),$G$5,"")),"")</f>
        <v/>
      </c>
      <c r="CM68" s="37" t="str">
        <f ca="1">IFERROR(+IF(CM$29=ProposalToGnatt[[#This Row],[Start Date]],Milestone_Marker,IF(AND(CM$29&gt;ProposalToGnatt[[#This Row],[Start Date]],CM$29&lt;ProposalToGnatt[[#This Row],[Start Date]]+ProposalToGnatt[[#This Row],[Days]]),$G$5,"")),"")</f>
        <v/>
      </c>
      <c r="CN68" s="37" t="str">
        <f ca="1">IFERROR(+IF(CN$29=ProposalToGnatt[[#This Row],[Start Date]],Milestone_Marker,IF(AND(CN$29&gt;ProposalToGnatt[[#This Row],[Start Date]],CN$29&lt;ProposalToGnatt[[#This Row],[Start Date]]+ProposalToGnatt[[#This Row],[Days]]),$G$5,"")),"")</f>
        <v/>
      </c>
      <c r="CO68" s="37" t="str">
        <f ca="1">IFERROR(+IF(CO$29=ProposalToGnatt[[#This Row],[Start Date]],Milestone_Marker,IF(AND(CO$29&gt;ProposalToGnatt[[#This Row],[Start Date]],CO$29&lt;ProposalToGnatt[[#This Row],[Start Date]]+ProposalToGnatt[[#This Row],[Days]]),$G$5,"")),"")</f>
        <v/>
      </c>
      <c r="CP68" s="37" t="str">
        <f ca="1">IFERROR(+IF(CP$29=ProposalToGnatt[[#This Row],[Start Date]],Milestone_Marker,IF(AND(CP$29&gt;ProposalToGnatt[[#This Row],[Start Date]],CP$29&lt;ProposalToGnatt[[#This Row],[Start Date]]+ProposalToGnatt[[#This Row],[Days]]),$G$5,"")),"")</f>
        <v/>
      </c>
      <c r="CQ68" s="37" t="str">
        <f ca="1">IFERROR(+IF(CQ$29=ProposalToGnatt[[#This Row],[Start Date]],Milestone_Marker,IF(AND(CQ$29&gt;ProposalToGnatt[[#This Row],[Start Date]],CQ$29&lt;ProposalToGnatt[[#This Row],[Start Date]]+ProposalToGnatt[[#This Row],[Days]]),$G$5,"")),"")</f>
        <v/>
      </c>
      <c r="CR68" s="37" t="str">
        <f ca="1">IFERROR(+IF(CR$29=ProposalToGnatt[[#This Row],[Start Date]],Milestone_Marker,IF(AND(CR$29&gt;ProposalToGnatt[[#This Row],[Start Date]],CR$29&lt;ProposalToGnatt[[#This Row],[Start Date]]+ProposalToGnatt[[#This Row],[Days]]),$G$5,"")),"")</f>
        <v/>
      </c>
      <c r="CS68" s="37" t="str">
        <f ca="1">IFERROR(+IF(CS$29=ProposalToGnatt[[#This Row],[Start Date]],Milestone_Marker,IF(AND(CS$29&gt;ProposalToGnatt[[#This Row],[Start Date]],CS$29&lt;ProposalToGnatt[[#This Row],[Start Date]]+ProposalToGnatt[[#This Row],[Days]]),$G$5,"")),"")</f>
        <v/>
      </c>
      <c r="CT68" s="37" t="str">
        <f ca="1">IFERROR(+IF(CT$29=ProposalToGnatt[[#This Row],[Start Date]],Milestone_Marker,IF(AND(CT$29&gt;ProposalToGnatt[[#This Row],[Start Date]],CT$29&lt;ProposalToGnatt[[#This Row],[Start Date]]+ProposalToGnatt[[#This Row],[Days]]),$G$5,"")),"")</f>
        <v/>
      </c>
      <c r="CU68" s="37" t="str">
        <f ca="1">IFERROR(+IF(CU$29=ProposalToGnatt[[#This Row],[Start Date]],Milestone_Marker,IF(AND(CU$29&gt;ProposalToGnatt[[#This Row],[Start Date]],CU$29&lt;ProposalToGnatt[[#This Row],[Start Date]]+ProposalToGnatt[[#This Row],[Days]]),$G$5,"")),"")</f>
        <v/>
      </c>
      <c r="CV68" s="37"/>
      <c r="CW68" s="37"/>
      <c r="CX68" s="37"/>
      <c r="CY68" s="37"/>
      <c r="CZ68" s="37"/>
      <c r="DA68" s="37"/>
      <c r="DB68" s="37"/>
      <c r="DC68" s="37"/>
      <c r="DD68" s="37"/>
      <c r="DE68" s="37"/>
      <c r="DF68" s="37"/>
      <c r="DG68" s="37"/>
      <c r="DH68" s="37"/>
      <c r="DI68" s="37"/>
      <c r="DJ68" s="37"/>
      <c r="DK68" s="37"/>
      <c r="DL68" s="37"/>
      <c r="DM68" s="37"/>
      <c r="DN68" s="37"/>
      <c r="DO68" s="37"/>
      <c r="DP68" s="37"/>
      <c r="DQ68" s="37"/>
      <c r="DR68" s="37"/>
      <c r="DS68" s="37"/>
      <c r="DT68" s="37"/>
      <c r="DU68" s="37"/>
    </row>
    <row r="69" spans="1:125" s="42" customFormat="1" ht="15" x14ac:dyDescent="0.25">
      <c r="A69" t="s">
        <v>428</v>
      </c>
      <c r="B69">
        <v>43</v>
      </c>
      <c r="C69" t="s">
        <v>339</v>
      </c>
      <c r="D69" t="s">
        <v>368</v>
      </c>
      <c r="E69" t="s">
        <v>369</v>
      </c>
      <c r="F69">
        <v>1</v>
      </c>
      <c r="G69" s="14"/>
      <c r="H69" s="14"/>
      <c r="I69"/>
      <c r="J69">
        <v>2</v>
      </c>
      <c r="K69" s="303"/>
      <c r="L69"/>
      <c r="M69" s="14"/>
      <c r="N69" s="352"/>
      <c r="O69" s="340"/>
      <c r="P69" s="37" t="str">
        <f ca="1">IFERROR(+IF(P$29=ProposalToGnatt[[#This Row],[Start Date]],Milestone_Marker,IF(AND(P$29&gt;ProposalToGnatt[[#This Row],[Start Date]],P$29&lt;ProposalToGnatt[[#This Row],[Start Date]]+ProposalToGnatt[[#This Row],[Days]]),$G$5,"")),"")</f>
        <v/>
      </c>
      <c r="Q69" s="37" t="str">
        <f ca="1">IFERROR(+IF(Q$29=ProposalToGnatt[[#This Row],[Start Date]],Milestone_Marker,IF(AND(Q$29&gt;ProposalToGnatt[[#This Row],[Start Date]],Q$29&lt;ProposalToGnatt[[#This Row],[Start Date]]+ProposalToGnatt[[#This Row],[Days]]),$G$5,"")),"")</f>
        <v/>
      </c>
      <c r="R69" s="37" t="str">
        <f ca="1">IFERROR(+IF(R$29=ProposalToGnatt[[#This Row],[Start Date]],Milestone_Marker,IF(AND(R$29&gt;ProposalToGnatt[[#This Row],[Start Date]],R$29&lt;ProposalToGnatt[[#This Row],[Start Date]]+ProposalToGnatt[[#This Row],[Days]]),$G$5,"")),"")</f>
        <v/>
      </c>
      <c r="S69" s="37" t="str">
        <f ca="1">IFERROR(+IF(S$29=ProposalToGnatt[[#This Row],[Start Date]],Milestone_Marker,IF(AND(S$29&gt;ProposalToGnatt[[#This Row],[Start Date]],S$29&lt;ProposalToGnatt[[#This Row],[Start Date]]+ProposalToGnatt[[#This Row],[Days]]),$G$5,"")),"")</f>
        <v/>
      </c>
      <c r="T69" s="37" t="str">
        <f ca="1">IFERROR(+IF(T$29=ProposalToGnatt[[#This Row],[Start Date]],Milestone_Marker,IF(AND(T$29&gt;ProposalToGnatt[[#This Row],[Start Date]],T$29&lt;ProposalToGnatt[[#This Row],[Start Date]]+ProposalToGnatt[[#This Row],[Days]]),$G$5,"")),"")</f>
        <v/>
      </c>
      <c r="U69" s="37" t="str">
        <f ca="1">IFERROR(+IF(U$29=ProposalToGnatt[[#This Row],[Start Date]],Milestone_Marker,IF(AND(U$29&gt;ProposalToGnatt[[#This Row],[Start Date]],U$29&lt;ProposalToGnatt[[#This Row],[Start Date]]+ProposalToGnatt[[#This Row],[Days]]),$G$5,"")),"")</f>
        <v/>
      </c>
      <c r="V69" s="37" t="str">
        <f ca="1">IFERROR(+IF(V$29=ProposalToGnatt[[#This Row],[Start Date]],Milestone_Marker,IF(AND(V$29&gt;ProposalToGnatt[[#This Row],[Start Date]],V$29&lt;ProposalToGnatt[[#This Row],[Start Date]]+ProposalToGnatt[[#This Row],[Days]]),$G$5,"")),"")</f>
        <v/>
      </c>
      <c r="W69" s="37" t="str">
        <f ca="1">IFERROR(+IF(W$29=ProposalToGnatt[[#This Row],[Start Date]],Milestone_Marker,IF(AND(W$29&gt;ProposalToGnatt[[#This Row],[Start Date]],W$29&lt;ProposalToGnatt[[#This Row],[Start Date]]+ProposalToGnatt[[#This Row],[Days]]),$G$5,"")),"")</f>
        <v/>
      </c>
      <c r="X69" s="37" t="str">
        <f ca="1">IFERROR(+IF(X$29=ProposalToGnatt[[#This Row],[Start Date]],Milestone_Marker,IF(AND(X$29&gt;ProposalToGnatt[[#This Row],[Start Date]],X$29&lt;ProposalToGnatt[[#This Row],[Start Date]]+ProposalToGnatt[[#This Row],[Days]]),$G$5,"")),"")</f>
        <v/>
      </c>
      <c r="Y69" s="37" t="str">
        <f ca="1">IFERROR(+IF(Y$29=ProposalToGnatt[[#This Row],[Start Date]],Milestone_Marker,IF(AND(Y$29&gt;ProposalToGnatt[[#This Row],[Start Date]],Y$29&lt;ProposalToGnatt[[#This Row],[Start Date]]+ProposalToGnatt[[#This Row],[Days]]),$G$5,"")),"")</f>
        <v/>
      </c>
      <c r="Z69" s="37" t="str">
        <f ca="1">IFERROR(+IF(Z$29=ProposalToGnatt[[#This Row],[Start Date]],Milestone_Marker,IF(AND(Z$29&gt;ProposalToGnatt[[#This Row],[Start Date]],Z$29&lt;ProposalToGnatt[[#This Row],[Start Date]]+ProposalToGnatt[[#This Row],[Days]]),$G$5,"")),"")</f>
        <v/>
      </c>
      <c r="AA69" s="37" t="str">
        <f ca="1">IFERROR(+IF(AA$29=ProposalToGnatt[[#This Row],[Start Date]],Milestone_Marker,IF(AND(AA$29&gt;ProposalToGnatt[[#This Row],[Start Date]],AA$29&lt;ProposalToGnatt[[#This Row],[Start Date]]+ProposalToGnatt[[#This Row],[Days]]),$G$5,"")),"")</f>
        <v/>
      </c>
      <c r="AB69" s="37" t="str">
        <f ca="1">IFERROR(+IF(AB$29=ProposalToGnatt[[#This Row],[Start Date]],Milestone_Marker,IF(AND(AB$29&gt;ProposalToGnatt[[#This Row],[Start Date]],AB$29&lt;ProposalToGnatt[[#This Row],[Start Date]]+ProposalToGnatt[[#This Row],[Days]]),$G$5,"")),"")</f>
        <v/>
      </c>
      <c r="AC69" s="37" t="str">
        <f ca="1">IFERROR(+IF(AC$29=ProposalToGnatt[[#This Row],[Start Date]],Milestone_Marker,IF(AND(AC$29&gt;ProposalToGnatt[[#This Row],[Start Date]],AC$29&lt;ProposalToGnatt[[#This Row],[Start Date]]+ProposalToGnatt[[#This Row],[Days]]),$G$5,"")),"")</f>
        <v/>
      </c>
      <c r="AD69" s="37" t="str">
        <f ca="1">IFERROR(+IF(AD$29=ProposalToGnatt[[#This Row],[Start Date]],Milestone_Marker,IF(AND(AD$29&gt;ProposalToGnatt[[#This Row],[Start Date]],AD$29&lt;ProposalToGnatt[[#This Row],[Start Date]]+ProposalToGnatt[[#This Row],[Days]]),$G$5,"")),"")</f>
        <v/>
      </c>
      <c r="AE69" s="37" t="str">
        <f ca="1">IFERROR(+IF(AE$29=ProposalToGnatt[[#This Row],[Start Date]],Milestone_Marker,IF(AND(AE$29&gt;ProposalToGnatt[[#This Row],[Start Date]],AE$29&lt;ProposalToGnatt[[#This Row],[Start Date]]+ProposalToGnatt[[#This Row],[Days]]),$G$5,"")),"")</f>
        <v/>
      </c>
      <c r="AF69" s="37" t="str">
        <f ca="1">IFERROR(+IF(AF$29=ProposalToGnatt[[#This Row],[Start Date]],Milestone_Marker,IF(AND(AF$29&gt;ProposalToGnatt[[#This Row],[Start Date]],AF$29&lt;ProposalToGnatt[[#This Row],[Start Date]]+ProposalToGnatt[[#This Row],[Days]]),$G$5,"")),"")</f>
        <v/>
      </c>
      <c r="AG69" s="37" t="str">
        <f ca="1">IFERROR(+IF(AG$29=ProposalToGnatt[[#This Row],[Start Date]],Milestone_Marker,IF(AND(AG$29&gt;ProposalToGnatt[[#This Row],[Start Date]],AG$29&lt;ProposalToGnatt[[#This Row],[Start Date]]+ProposalToGnatt[[#This Row],[Days]]),$G$5,"")),"")</f>
        <v/>
      </c>
      <c r="AH69" s="37" t="str">
        <f ca="1">IFERROR(+IF(AH$29=ProposalToGnatt[[#This Row],[Start Date]],Milestone_Marker,IF(AND(AH$29&gt;ProposalToGnatt[[#This Row],[Start Date]],AH$29&lt;ProposalToGnatt[[#This Row],[Start Date]]+ProposalToGnatt[[#This Row],[Days]]),$G$5,"")),"")</f>
        <v/>
      </c>
      <c r="AI69" s="37" t="str">
        <f ca="1">IFERROR(+IF(AI$29=ProposalToGnatt[[#This Row],[Start Date]],Milestone_Marker,IF(AND(AI$29&gt;ProposalToGnatt[[#This Row],[Start Date]],AI$29&lt;ProposalToGnatt[[#This Row],[Start Date]]+ProposalToGnatt[[#This Row],[Days]]),$G$5,"")),"")</f>
        <v/>
      </c>
      <c r="AJ69" s="37" t="str">
        <f ca="1">IFERROR(+IF(AJ$29=ProposalToGnatt[[#This Row],[Start Date]],Milestone_Marker,IF(AND(AJ$29&gt;ProposalToGnatt[[#This Row],[Start Date]],AJ$29&lt;ProposalToGnatt[[#This Row],[Start Date]]+ProposalToGnatt[[#This Row],[Days]]),$G$5,"")),"")</f>
        <v/>
      </c>
      <c r="AK69" s="37" t="str">
        <f ca="1">IFERROR(+IF(AK$29=ProposalToGnatt[[#This Row],[Start Date]],Milestone_Marker,IF(AND(AK$29&gt;ProposalToGnatt[[#This Row],[Start Date]],AK$29&lt;ProposalToGnatt[[#This Row],[Start Date]]+ProposalToGnatt[[#This Row],[Days]]),$G$5,"")),"")</f>
        <v/>
      </c>
      <c r="AL69" s="37" t="str">
        <f ca="1">IFERROR(+IF(AL$29=ProposalToGnatt[[#This Row],[Start Date]],Milestone_Marker,IF(AND(AL$29&gt;ProposalToGnatt[[#This Row],[Start Date]],AL$29&lt;ProposalToGnatt[[#This Row],[Start Date]]+ProposalToGnatt[[#This Row],[Days]]),$G$5,"")),"")</f>
        <v/>
      </c>
      <c r="AM69" s="37" t="str">
        <f ca="1">IFERROR(+IF(AM$29=ProposalToGnatt[[#This Row],[Start Date]],Milestone_Marker,IF(AND(AM$29&gt;ProposalToGnatt[[#This Row],[Start Date]],AM$29&lt;ProposalToGnatt[[#This Row],[Start Date]]+ProposalToGnatt[[#This Row],[Days]]),$G$5,"")),"")</f>
        <v/>
      </c>
      <c r="AN69" s="37" t="str">
        <f ca="1">IFERROR(+IF(AN$29=ProposalToGnatt[[#This Row],[Start Date]],Milestone_Marker,IF(AND(AN$29&gt;ProposalToGnatt[[#This Row],[Start Date]],AN$29&lt;ProposalToGnatt[[#This Row],[Start Date]]+ProposalToGnatt[[#This Row],[Days]]),$G$5,"")),"")</f>
        <v/>
      </c>
      <c r="AO69" s="37" t="str">
        <f ca="1">IFERROR(+IF(AO$29=ProposalToGnatt[[#This Row],[Start Date]],Milestone_Marker,IF(AND(AO$29&gt;ProposalToGnatt[[#This Row],[Start Date]],AO$29&lt;ProposalToGnatt[[#This Row],[Start Date]]+ProposalToGnatt[[#This Row],[Days]]),$G$5,"")),"")</f>
        <v/>
      </c>
      <c r="AP69" s="37" t="str">
        <f ca="1">IFERROR(+IF(AP$29=ProposalToGnatt[[#This Row],[Start Date]],Milestone_Marker,IF(AND(AP$29&gt;ProposalToGnatt[[#This Row],[Start Date]],AP$29&lt;ProposalToGnatt[[#This Row],[Start Date]]+ProposalToGnatt[[#This Row],[Days]]),$G$5,"")),"")</f>
        <v/>
      </c>
      <c r="AQ69" s="37" t="str">
        <f ca="1">IFERROR(+IF(AQ$29=ProposalToGnatt[[#This Row],[Start Date]],Milestone_Marker,IF(AND(AQ$29&gt;ProposalToGnatt[[#This Row],[Start Date]],AQ$29&lt;ProposalToGnatt[[#This Row],[Start Date]]+ProposalToGnatt[[#This Row],[Days]]),$G$5,"")),"")</f>
        <v/>
      </c>
      <c r="AR69" s="37" t="str">
        <f ca="1">IFERROR(+IF(AR$29=ProposalToGnatt[[#This Row],[Start Date]],Milestone_Marker,IF(AND(AR$29&gt;ProposalToGnatt[[#This Row],[Start Date]],AR$29&lt;ProposalToGnatt[[#This Row],[Start Date]]+ProposalToGnatt[[#This Row],[Days]]),$G$5,"")),"")</f>
        <v/>
      </c>
      <c r="AS69" s="37" t="str">
        <f ca="1">IFERROR(+IF(AS$29=ProposalToGnatt[[#This Row],[Start Date]],Milestone_Marker,IF(AND(AS$29&gt;ProposalToGnatt[[#This Row],[Start Date]],AS$29&lt;ProposalToGnatt[[#This Row],[Start Date]]+ProposalToGnatt[[#This Row],[Days]]),$G$5,"")),"")</f>
        <v/>
      </c>
      <c r="AT69" s="37" t="str">
        <f ca="1">IFERROR(+IF(AT$29=ProposalToGnatt[[#This Row],[Start Date]],Milestone_Marker,IF(AND(AT$29&gt;ProposalToGnatt[[#This Row],[Start Date]],AT$29&lt;ProposalToGnatt[[#This Row],[Start Date]]+ProposalToGnatt[[#This Row],[Days]]),$G$5,"")),"")</f>
        <v/>
      </c>
      <c r="AU69" s="37" t="str">
        <f ca="1">IFERROR(+IF(AU$29=ProposalToGnatt[[#This Row],[Start Date]],Milestone_Marker,IF(AND(AU$29&gt;ProposalToGnatt[[#This Row],[Start Date]],AU$29&lt;ProposalToGnatt[[#This Row],[Start Date]]+ProposalToGnatt[[#This Row],[Days]]),$G$5,"")),"")</f>
        <v/>
      </c>
      <c r="AV69" s="37" t="str">
        <f ca="1">IFERROR(+IF(AV$29=ProposalToGnatt[[#This Row],[Start Date]],Milestone_Marker,IF(AND(AV$29&gt;ProposalToGnatt[[#This Row],[Start Date]],AV$29&lt;ProposalToGnatt[[#This Row],[Start Date]]+ProposalToGnatt[[#This Row],[Days]]),$G$5,"")),"")</f>
        <v/>
      </c>
      <c r="AW69" s="37" t="str">
        <f ca="1">IFERROR(+IF(AW$29=ProposalToGnatt[[#This Row],[Start Date]],Milestone_Marker,IF(AND(AW$29&gt;ProposalToGnatt[[#This Row],[Start Date]],AW$29&lt;ProposalToGnatt[[#This Row],[Start Date]]+ProposalToGnatt[[#This Row],[Days]]),$G$5,"")),"")</f>
        <v/>
      </c>
      <c r="AX69" s="37" t="str">
        <f ca="1">IFERROR(+IF(AX$29=ProposalToGnatt[[#This Row],[Start Date]],Milestone_Marker,IF(AND(AX$29&gt;ProposalToGnatt[[#This Row],[Start Date]],AX$29&lt;ProposalToGnatt[[#This Row],[Start Date]]+ProposalToGnatt[[#This Row],[Days]]),$G$5,"")),"")</f>
        <v/>
      </c>
      <c r="AY69" s="37" t="str">
        <f ca="1">IFERROR(+IF(AY$29=ProposalToGnatt[[#This Row],[Start Date]],Milestone_Marker,IF(AND(AY$29&gt;ProposalToGnatt[[#This Row],[Start Date]],AY$29&lt;ProposalToGnatt[[#This Row],[Start Date]]+ProposalToGnatt[[#This Row],[Days]]),$G$5,"")),"")</f>
        <v/>
      </c>
      <c r="AZ69" s="37" t="str">
        <f ca="1">IFERROR(+IF(AZ$29=ProposalToGnatt[[#This Row],[Start Date]],Milestone_Marker,IF(AND(AZ$29&gt;ProposalToGnatt[[#This Row],[Start Date]],AZ$29&lt;ProposalToGnatt[[#This Row],[Start Date]]+ProposalToGnatt[[#This Row],[Days]]),$G$5,"")),"")</f>
        <v/>
      </c>
      <c r="BA69" s="37" t="str">
        <f ca="1">IFERROR(+IF(BA$29=ProposalToGnatt[[#This Row],[Start Date]],Milestone_Marker,IF(AND(BA$29&gt;ProposalToGnatt[[#This Row],[Start Date]],BA$29&lt;ProposalToGnatt[[#This Row],[Start Date]]+ProposalToGnatt[[#This Row],[Days]]),$G$5,"")),"")</f>
        <v/>
      </c>
      <c r="BB69" s="37" t="str">
        <f ca="1">IFERROR(+IF(BB$29=ProposalToGnatt[[#This Row],[Start Date]],Milestone_Marker,IF(AND(BB$29&gt;ProposalToGnatt[[#This Row],[Start Date]],BB$29&lt;ProposalToGnatt[[#This Row],[Start Date]]+ProposalToGnatt[[#This Row],[Days]]),$G$5,"")),"")</f>
        <v/>
      </c>
      <c r="BC69" s="37" t="str">
        <f ca="1">IFERROR(+IF(BC$29=ProposalToGnatt[[#This Row],[Start Date]],Milestone_Marker,IF(AND(BC$29&gt;ProposalToGnatt[[#This Row],[Start Date]],BC$29&lt;ProposalToGnatt[[#This Row],[Start Date]]+ProposalToGnatt[[#This Row],[Days]]),$G$5,"")),"")</f>
        <v/>
      </c>
      <c r="BD69" s="37" t="str">
        <f ca="1">IFERROR(+IF(BD$29=ProposalToGnatt[[#This Row],[Start Date]],Milestone_Marker,IF(AND(BD$29&gt;ProposalToGnatt[[#This Row],[Start Date]],BD$29&lt;ProposalToGnatt[[#This Row],[Start Date]]+ProposalToGnatt[[#This Row],[Days]]),$G$5,"")),"")</f>
        <v/>
      </c>
      <c r="BE69" s="37" t="str">
        <f ca="1">IFERROR(+IF(BE$29=ProposalToGnatt[[#This Row],[Start Date]],Milestone_Marker,IF(AND(BE$29&gt;ProposalToGnatt[[#This Row],[Start Date]],BE$29&lt;ProposalToGnatt[[#This Row],[Start Date]]+ProposalToGnatt[[#This Row],[Days]]),$G$5,"")),"")</f>
        <v/>
      </c>
      <c r="BF69" s="37" t="str">
        <f ca="1">IFERROR(+IF(BF$29=ProposalToGnatt[[#This Row],[Start Date]],Milestone_Marker,IF(AND(BF$29&gt;ProposalToGnatt[[#This Row],[Start Date]],BF$29&lt;ProposalToGnatt[[#This Row],[Start Date]]+ProposalToGnatt[[#This Row],[Days]]),$G$5,"")),"")</f>
        <v/>
      </c>
      <c r="BG69" s="37" t="str">
        <f ca="1">IFERROR(+IF(BG$29=ProposalToGnatt[[#This Row],[Start Date]],Milestone_Marker,IF(AND(BG$29&gt;ProposalToGnatt[[#This Row],[Start Date]],BG$29&lt;ProposalToGnatt[[#This Row],[Start Date]]+ProposalToGnatt[[#This Row],[Days]]),$G$5,"")),"")</f>
        <v/>
      </c>
      <c r="BH69" s="37" t="str">
        <f ca="1">IFERROR(+IF(BH$29=ProposalToGnatt[[#This Row],[Start Date]],Milestone_Marker,IF(AND(BH$29&gt;ProposalToGnatt[[#This Row],[Start Date]],BH$29&lt;ProposalToGnatt[[#This Row],[Start Date]]+ProposalToGnatt[[#This Row],[Days]]),$G$5,"")),"")</f>
        <v/>
      </c>
      <c r="BI69" s="37" t="str">
        <f ca="1">IFERROR(+IF(BI$29=ProposalToGnatt[[#This Row],[Start Date]],Milestone_Marker,IF(AND(BI$29&gt;ProposalToGnatt[[#This Row],[Start Date]],BI$29&lt;ProposalToGnatt[[#This Row],[Start Date]]+ProposalToGnatt[[#This Row],[Days]]),$G$5,"")),"")</f>
        <v/>
      </c>
      <c r="BJ69" s="37" t="str">
        <f ca="1">IFERROR(+IF(BJ$29=ProposalToGnatt[[#This Row],[Start Date]],Milestone_Marker,IF(AND(BJ$29&gt;ProposalToGnatt[[#This Row],[Start Date]],BJ$29&lt;ProposalToGnatt[[#This Row],[Start Date]]+ProposalToGnatt[[#This Row],[Days]]),$G$5,"")),"")</f>
        <v/>
      </c>
      <c r="BK69" s="37" t="str">
        <f ca="1">IFERROR(+IF(BK$29=ProposalToGnatt[[#This Row],[Start Date]],Milestone_Marker,IF(AND(BK$29&gt;ProposalToGnatt[[#This Row],[Start Date]],BK$29&lt;ProposalToGnatt[[#This Row],[Start Date]]+ProposalToGnatt[[#This Row],[Days]]),$G$5,"")),"")</f>
        <v/>
      </c>
      <c r="BL69" s="37" t="str">
        <f ca="1">IFERROR(+IF(BL$29=ProposalToGnatt[[#This Row],[Start Date]],Milestone_Marker,IF(AND(BL$29&gt;ProposalToGnatt[[#This Row],[Start Date]],BL$29&lt;ProposalToGnatt[[#This Row],[Start Date]]+ProposalToGnatt[[#This Row],[Days]]),$G$5,"")),"")</f>
        <v/>
      </c>
      <c r="BM69" s="37" t="str">
        <f ca="1">IFERROR(+IF(BM$29=ProposalToGnatt[[#This Row],[Start Date]],Milestone_Marker,IF(AND(BM$29&gt;ProposalToGnatt[[#This Row],[Start Date]],BM$29&lt;ProposalToGnatt[[#This Row],[Start Date]]+ProposalToGnatt[[#This Row],[Days]]),$G$5,"")),"")</f>
        <v/>
      </c>
      <c r="BN69" s="37" t="str">
        <f ca="1">IFERROR(+IF(BN$29=ProposalToGnatt[[#This Row],[Start Date]],Milestone_Marker,IF(AND(BN$29&gt;ProposalToGnatt[[#This Row],[Start Date]],BN$29&lt;ProposalToGnatt[[#This Row],[Start Date]]+ProposalToGnatt[[#This Row],[Days]]),$G$5,"")),"")</f>
        <v/>
      </c>
      <c r="BO69" s="37" t="str">
        <f ca="1">IFERROR(+IF(BO$29=ProposalToGnatt[[#This Row],[Start Date]],Milestone_Marker,IF(AND(BO$29&gt;ProposalToGnatt[[#This Row],[Start Date]],BO$29&lt;ProposalToGnatt[[#This Row],[Start Date]]+ProposalToGnatt[[#This Row],[Days]]),$G$5,"")),"")</f>
        <v/>
      </c>
      <c r="BP69" s="37" t="str">
        <f ca="1">IFERROR(+IF(BP$29=ProposalToGnatt[[#This Row],[Start Date]],Milestone_Marker,IF(AND(BP$29&gt;ProposalToGnatt[[#This Row],[Start Date]],BP$29&lt;ProposalToGnatt[[#This Row],[Start Date]]+ProposalToGnatt[[#This Row],[Days]]),$G$5,"")),"")</f>
        <v/>
      </c>
      <c r="BQ69" s="37" t="str">
        <f ca="1">IFERROR(+IF(BQ$29=ProposalToGnatt[[#This Row],[Start Date]],Milestone_Marker,IF(AND(BQ$29&gt;ProposalToGnatt[[#This Row],[Start Date]],BQ$29&lt;ProposalToGnatt[[#This Row],[Start Date]]+ProposalToGnatt[[#This Row],[Days]]),$G$5,"")),"")</f>
        <v/>
      </c>
      <c r="BR69" s="37" t="str">
        <f ca="1">IFERROR(+IF(BR$29=ProposalToGnatt[[#This Row],[Start Date]],Milestone_Marker,IF(AND(BR$29&gt;ProposalToGnatt[[#This Row],[Start Date]],BR$29&lt;ProposalToGnatt[[#This Row],[Start Date]]+ProposalToGnatt[[#This Row],[Days]]),$G$5,"")),"")</f>
        <v/>
      </c>
      <c r="BS69" s="37" t="str">
        <f ca="1">IFERROR(+IF(BS$29=ProposalToGnatt[[#This Row],[Start Date]],Milestone_Marker,IF(AND(BS$29&gt;ProposalToGnatt[[#This Row],[Start Date]],BS$29&lt;ProposalToGnatt[[#This Row],[Start Date]]+ProposalToGnatt[[#This Row],[Days]]),$G$5,"")),"")</f>
        <v/>
      </c>
      <c r="BT69" s="37" t="str">
        <f ca="1">IFERROR(+IF(BT$29=ProposalToGnatt[[#This Row],[Start Date]],Milestone_Marker,IF(AND(BT$29&gt;ProposalToGnatt[[#This Row],[Start Date]],BT$29&lt;ProposalToGnatt[[#This Row],[Start Date]]+ProposalToGnatt[[#This Row],[Days]]),$G$5,"")),"")</f>
        <v/>
      </c>
      <c r="BU69" s="37" t="str">
        <f ca="1">IFERROR(+IF(BU$29=ProposalToGnatt[[#This Row],[Start Date]],Milestone_Marker,IF(AND(BU$29&gt;ProposalToGnatt[[#This Row],[Start Date]],BU$29&lt;ProposalToGnatt[[#This Row],[Start Date]]+ProposalToGnatt[[#This Row],[Days]]),$G$5,"")),"")</f>
        <v/>
      </c>
      <c r="BV69" s="37" t="str">
        <f ca="1">IFERROR(+IF(BV$29=ProposalToGnatt[[#This Row],[Start Date]],Milestone_Marker,IF(AND(BV$29&gt;ProposalToGnatt[[#This Row],[Start Date]],BV$29&lt;ProposalToGnatt[[#This Row],[Start Date]]+ProposalToGnatt[[#This Row],[Days]]),$G$5,"")),"")</f>
        <v/>
      </c>
      <c r="BW69" s="37" t="str">
        <f ca="1">IFERROR(+IF(BW$29=ProposalToGnatt[[#This Row],[Start Date]],Milestone_Marker,IF(AND(BW$29&gt;ProposalToGnatt[[#This Row],[Start Date]],BW$29&lt;ProposalToGnatt[[#This Row],[Start Date]]+ProposalToGnatt[[#This Row],[Days]]),$G$5,"")),"")</f>
        <v/>
      </c>
      <c r="BX69" s="37" t="str">
        <f ca="1">IFERROR(+IF(BX$29=ProposalToGnatt[[#This Row],[Start Date]],Milestone_Marker,IF(AND(BX$29&gt;ProposalToGnatt[[#This Row],[Start Date]],BX$29&lt;ProposalToGnatt[[#This Row],[Start Date]]+ProposalToGnatt[[#This Row],[Days]]),$G$5,"")),"")</f>
        <v/>
      </c>
      <c r="BY69" s="37" t="str">
        <f ca="1">IFERROR(+IF(BY$29=ProposalToGnatt[[#This Row],[Start Date]],Milestone_Marker,IF(AND(BY$29&gt;ProposalToGnatt[[#This Row],[Start Date]],BY$29&lt;ProposalToGnatt[[#This Row],[Start Date]]+ProposalToGnatt[[#This Row],[Days]]),$G$5,"")),"")</f>
        <v/>
      </c>
      <c r="BZ69" s="37" t="str">
        <f ca="1">IFERROR(+IF(BZ$29=ProposalToGnatt[[#This Row],[Start Date]],Milestone_Marker,IF(AND(BZ$29&gt;ProposalToGnatt[[#This Row],[Start Date]],BZ$29&lt;ProposalToGnatt[[#This Row],[Start Date]]+ProposalToGnatt[[#This Row],[Days]]),$G$5,"")),"")</f>
        <v/>
      </c>
      <c r="CA69" s="37" t="str">
        <f ca="1">IFERROR(+IF(CA$29=ProposalToGnatt[[#This Row],[Start Date]],Milestone_Marker,IF(AND(CA$29&gt;ProposalToGnatt[[#This Row],[Start Date]],CA$29&lt;ProposalToGnatt[[#This Row],[Start Date]]+ProposalToGnatt[[#This Row],[Days]]),$G$5,"")),"")</f>
        <v/>
      </c>
      <c r="CB69" s="37" t="str">
        <f ca="1">IFERROR(+IF(CB$29=ProposalToGnatt[[#This Row],[Start Date]],Milestone_Marker,IF(AND(CB$29&gt;ProposalToGnatt[[#This Row],[Start Date]],CB$29&lt;ProposalToGnatt[[#This Row],[Start Date]]+ProposalToGnatt[[#This Row],[Days]]),$G$5,"")),"")</f>
        <v/>
      </c>
      <c r="CC69" s="37" t="str">
        <f ca="1">IFERROR(+IF(CC$29=ProposalToGnatt[[#This Row],[Start Date]],Milestone_Marker,IF(AND(CC$29&gt;ProposalToGnatt[[#This Row],[Start Date]],CC$29&lt;ProposalToGnatt[[#This Row],[Start Date]]+ProposalToGnatt[[#This Row],[Days]]),$G$5,"")),"")</f>
        <v/>
      </c>
      <c r="CD69" s="37" t="str">
        <f ca="1">IFERROR(+IF(CD$29=ProposalToGnatt[[#This Row],[Start Date]],Milestone_Marker,IF(AND(CD$29&gt;ProposalToGnatt[[#This Row],[Start Date]],CD$29&lt;ProposalToGnatt[[#This Row],[Start Date]]+ProposalToGnatt[[#This Row],[Days]]),$G$5,"")),"")</f>
        <v/>
      </c>
      <c r="CE69" s="37" t="str">
        <f ca="1">IFERROR(+IF(CE$29=ProposalToGnatt[[#This Row],[Start Date]],Milestone_Marker,IF(AND(CE$29&gt;ProposalToGnatt[[#This Row],[Start Date]],CE$29&lt;ProposalToGnatt[[#This Row],[Start Date]]+ProposalToGnatt[[#This Row],[Days]]),$G$5,"")),"")</f>
        <v/>
      </c>
      <c r="CF69" s="37" t="str">
        <f ca="1">IFERROR(+IF(CF$29=ProposalToGnatt[[#This Row],[Start Date]],Milestone_Marker,IF(AND(CF$29&gt;ProposalToGnatt[[#This Row],[Start Date]],CF$29&lt;ProposalToGnatt[[#This Row],[Start Date]]+ProposalToGnatt[[#This Row],[Days]]),$G$5,"")),"")</f>
        <v/>
      </c>
      <c r="CG69" s="37" t="str">
        <f ca="1">IFERROR(+IF(CG$29=ProposalToGnatt[[#This Row],[Start Date]],Milestone_Marker,IF(AND(CG$29&gt;ProposalToGnatt[[#This Row],[Start Date]],CG$29&lt;ProposalToGnatt[[#This Row],[Start Date]]+ProposalToGnatt[[#This Row],[Days]]),$G$5,"")),"")</f>
        <v/>
      </c>
      <c r="CH69" s="37" t="str">
        <f ca="1">IFERROR(+IF(CH$29=ProposalToGnatt[[#This Row],[Start Date]],Milestone_Marker,IF(AND(CH$29&gt;ProposalToGnatt[[#This Row],[Start Date]],CH$29&lt;ProposalToGnatt[[#This Row],[Start Date]]+ProposalToGnatt[[#This Row],[Days]]),$G$5,"")),"")</f>
        <v/>
      </c>
      <c r="CI69" s="37" t="str">
        <f ca="1">IFERROR(+IF(CI$29=ProposalToGnatt[[#This Row],[Start Date]],Milestone_Marker,IF(AND(CI$29&gt;ProposalToGnatt[[#This Row],[Start Date]],CI$29&lt;ProposalToGnatt[[#This Row],[Start Date]]+ProposalToGnatt[[#This Row],[Days]]),$G$5,"")),"")</f>
        <v/>
      </c>
      <c r="CJ69" s="37" t="str">
        <f ca="1">IFERROR(+IF(CJ$29=ProposalToGnatt[[#This Row],[Start Date]],Milestone_Marker,IF(AND(CJ$29&gt;ProposalToGnatt[[#This Row],[Start Date]],CJ$29&lt;ProposalToGnatt[[#This Row],[Start Date]]+ProposalToGnatt[[#This Row],[Days]]),$G$5,"")),"")</f>
        <v/>
      </c>
      <c r="CK69" s="37" t="str">
        <f ca="1">IFERROR(+IF(CK$29=ProposalToGnatt[[#This Row],[Start Date]],Milestone_Marker,IF(AND(CK$29&gt;ProposalToGnatt[[#This Row],[Start Date]],CK$29&lt;ProposalToGnatt[[#This Row],[Start Date]]+ProposalToGnatt[[#This Row],[Days]]),$G$5,"")),"")</f>
        <v/>
      </c>
      <c r="CL69" s="37" t="str">
        <f ca="1">IFERROR(+IF(CL$29=ProposalToGnatt[[#This Row],[Start Date]],Milestone_Marker,IF(AND(CL$29&gt;ProposalToGnatt[[#This Row],[Start Date]],CL$29&lt;ProposalToGnatt[[#This Row],[Start Date]]+ProposalToGnatt[[#This Row],[Days]]),$G$5,"")),"")</f>
        <v/>
      </c>
      <c r="CM69" s="37" t="str">
        <f ca="1">IFERROR(+IF(CM$29=ProposalToGnatt[[#This Row],[Start Date]],Milestone_Marker,IF(AND(CM$29&gt;ProposalToGnatt[[#This Row],[Start Date]],CM$29&lt;ProposalToGnatt[[#This Row],[Start Date]]+ProposalToGnatt[[#This Row],[Days]]),$G$5,"")),"")</f>
        <v/>
      </c>
      <c r="CN69" s="37" t="str">
        <f ca="1">IFERROR(+IF(CN$29=ProposalToGnatt[[#This Row],[Start Date]],Milestone_Marker,IF(AND(CN$29&gt;ProposalToGnatt[[#This Row],[Start Date]],CN$29&lt;ProposalToGnatt[[#This Row],[Start Date]]+ProposalToGnatt[[#This Row],[Days]]),$G$5,"")),"")</f>
        <v/>
      </c>
      <c r="CO69" s="37" t="str">
        <f ca="1">IFERROR(+IF(CO$29=ProposalToGnatt[[#This Row],[Start Date]],Milestone_Marker,IF(AND(CO$29&gt;ProposalToGnatt[[#This Row],[Start Date]],CO$29&lt;ProposalToGnatt[[#This Row],[Start Date]]+ProposalToGnatt[[#This Row],[Days]]),$G$5,"")),"")</f>
        <v/>
      </c>
      <c r="CP69" s="37" t="str">
        <f ca="1">IFERROR(+IF(CP$29=ProposalToGnatt[[#This Row],[Start Date]],Milestone_Marker,IF(AND(CP$29&gt;ProposalToGnatt[[#This Row],[Start Date]],CP$29&lt;ProposalToGnatt[[#This Row],[Start Date]]+ProposalToGnatt[[#This Row],[Days]]),$G$5,"")),"")</f>
        <v/>
      </c>
      <c r="CQ69" s="37" t="str">
        <f ca="1">IFERROR(+IF(CQ$29=ProposalToGnatt[[#This Row],[Start Date]],Milestone_Marker,IF(AND(CQ$29&gt;ProposalToGnatt[[#This Row],[Start Date]],CQ$29&lt;ProposalToGnatt[[#This Row],[Start Date]]+ProposalToGnatt[[#This Row],[Days]]),$G$5,"")),"")</f>
        <v/>
      </c>
      <c r="CR69" s="37" t="str">
        <f ca="1">IFERROR(+IF(CR$29=ProposalToGnatt[[#This Row],[Start Date]],Milestone_Marker,IF(AND(CR$29&gt;ProposalToGnatt[[#This Row],[Start Date]],CR$29&lt;ProposalToGnatt[[#This Row],[Start Date]]+ProposalToGnatt[[#This Row],[Days]]),$G$5,"")),"")</f>
        <v/>
      </c>
      <c r="CS69" s="37" t="str">
        <f ca="1">IFERROR(+IF(CS$29=ProposalToGnatt[[#This Row],[Start Date]],Milestone_Marker,IF(AND(CS$29&gt;ProposalToGnatt[[#This Row],[Start Date]],CS$29&lt;ProposalToGnatt[[#This Row],[Start Date]]+ProposalToGnatt[[#This Row],[Days]]),$G$5,"")),"")</f>
        <v/>
      </c>
      <c r="CT69" s="37" t="str">
        <f ca="1">IFERROR(+IF(CT$29=ProposalToGnatt[[#This Row],[Start Date]],Milestone_Marker,IF(AND(CT$29&gt;ProposalToGnatt[[#This Row],[Start Date]],CT$29&lt;ProposalToGnatt[[#This Row],[Start Date]]+ProposalToGnatt[[#This Row],[Days]]),$G$5,"")),"")</f>
        <v/>
      </c>
      <c r="CU69" s="37" t="str">
        <f ca="1">IFERROR(+IF(CU$29=ProposalToGnatt[[#This Row],[Start Date]],Milestone_Marker,IF(AND(CU$29&gt;ProposalToGnatt[[#This Row],[Start Date]],CU$29&lt;ProposalToGnatt[[#This Row],[Start Date]]+ProposalToGnatt[[#This Row],[Days]]),$G$5,"")),"")</f>
        <v/>
      </c>
      <c r="CV69" s="37"/>
      <c r="CW69" s="37"/>
      <c r="CX69" s="37"/>
      <c r="CY69" s="37"/>
      <c r="CZ69" s="37"/>
      <c r="DA69" s="37"/>
      <c r="DB69" s="37"/>
      <c r="DC69" s="37"/>
      <c r="DD69" s="37"/>
      <c r="DE69" s="37"/>
      <c r="DF69" s="37"/>
      <c r="DG69" s="37"/>
      <c r="DH69" s="37"/>
      <c r="DI69" s="37"/>
      <c r="DJ69" s="37"/>
      <c r="DK69" s="37"/>
      <c r="DL69" s="37"/>
      <c r="DM69" s="37"/>
      <c r="DN69" s="37"/>
      <c r="DO69" s="37"/>
      <c r="DP69" s="37"/>
      <c r="DQ69" s="37"/>
      <c r="DR69" s="37"/>
      <c r="DS69" s="37"/>
      <c r="DT69" s="37"/>
      <c r="DU69" s="37"/>
    </row>
    <row r="70" spans="1:125" s="42" customFormat="1" ht="15" customHeight="1" x14ac:dyDescent="0.25">
      <c r="A70" t="s">
        <v>428</v>
      </c>
      <c r="B70">
        <v>45</v>
      </c>
      <c r="C70" t="s">
        <v>339</v>
      </c>
      <c r="D70" t="s">
        <v>371</v>
      </c>
      <c r="E70" t="s">
        <v>372</v>
      </c>
      <c r="F70">
        <v>1</v>
      </c>
      <c r="G70" s="14"/>
      <c r="H70" s="14"/>
      <c r="I70"/>
      <c r="J70">
        <v>2</v>
      </c>
      <c r="K70" s="303"/>
      <c r="L70"/>
      <c r="M70" s="14"/>
      <c r="N70" s="352"/>
      <c r="O70" s="340"/>
      <c r="P70" s="37" t="str">
        <f ca="1">IFERROR(+IF(P$29=ProposalToGnatt[[#This Row],[Start Date]],Milestone_Marker,IF(AND(P$29&gt;ProposalToGnatt[[#This Row],[Start Date]],P$29&lt;ProposalToGnatt[[#This Row],[Start Date]]+ProposalToGnatt[[#This Row],[Days]]),$G$5,"")),"")</f>
        <v/>
      </c>
      <c r="Q70" s="37" t="str">
        <f ca="1">IFERROR(+IF(Q$29=ProposalToGnatt[[#This Row],[Start Date]],Milestone_Marker,IF(AND(Q$29&gt;ProposalToGnatt[[#This Row],[Start Date]],Q$29&lt;ProposalToGnatt[[#This Row],[Start Date]]+ProposalToGnatt[[#This Row],[Days]]),$G$5,"")),"")</f>
        <v/>
      </c>
      <c r="R70" s="37" t="str">
        <f ca="1">IFERROR(+IF(R$29=ProposalToGnatt[[#This Row],[Start Date]],Milestone_Marker,IF(AND(R$29&gt;ProposalToGnatt[[#This Row],[Start Date]],R$29&lt;ProposalToGnatt[[#This Row],[Start Date]]+ProposalToGnatt[[#This Row],[Days]]),$G$5,"")),"")</f>
        <v/>
      </c>
      <c r="S70" s="37" t="str">
        <f ca="1">IFERROR(+IF(S$29=ProposalToGnatt[[#This Row],[Start Date]],Milestone_Marker,IF(AND(S$29&gt;ProposalToGnatt[[#This Row],[Start Date]],S$29&lt;ProposalToGnatt[[#This Row],[Start Date]]+ProposalToGnatt[[#This Row],[Days]]),$G$5,"")),"")</f>
        <v/>
      </c>
      <c r="T70" s="37" t="str">
        <f ca="1">IFERROR(+IF(T$29=ProposalToGnatt[[#This Row],[Start Date]],Milestone_Marker,IF(AND(T$29&gt;ProposalToGnatt[[#This Row],[Start Date]],T$29&lt;ProposalToGnatt[[#This Row],[Start Date]]+ProposalToGnatt[[#This Row],[Days]]),$G$5,"")),"")</f>
        <v/>
      </c>
      <c r="U70" s="37" t="str">
        <f ca="1">IFERROR(+IF(U$29=ProposalToGnatt[[#This Row],[Start Date]],Milestone_Marker,IF(AND(U$29&gt;ProposalToGnatt[[#This Row],[Start Date]],U$29&lt;ProposalToGnatt[[#This Row],[Start Date]]+ProposalToGnatt[[#This Row],[Days]]),$G$5,"")),"")</f>
        <v/>
      </c>
      <c r="V70" s="37" t="str">
        <f ca="1">IFERROR(+IF(V$29=ProposalToGnatt[[#This Row],[Start Date]],Milestone_Marker,IF(AND(V$29&gt;ProposalToGnatt[[#This Row],[Start Date]],V$29&lt;ProposalToGnatt[[#This Row],[Start Date]]+ProposalToGnatt[[#This Row],[Days]]),$G$5,"")),"")</f>
        <v/>
      </c>
      <c r="W70" s="37" t="str">
        <f ca="1">IFERROR(+IF(W$29=ProposalToGnatt[[#This Row],[Start Date]],Milestone_Marker,IF(AND(W$29&gt;ProposalToGnatt[[#This Row],[Start Date]],W$29&lt;ProposalToGnatt[[#This Row],[Start Date]]+ProposalToGnatt[[#This Row],[Days]]),$G$5,"")),"")</f>
        <v/>
      </c>
      <c r="X70" s="37" t="str">
        <f ca="1">IFERROR(+IF(X$29=ProposalToGnatt[[#This Row],[Start Date]],Milestone_Marker,IF(AND(X$29&gt;ProposalToGnatt[[#This Row],[Start Date]],X$29&lt;ProposalToGnatt[[#This Row],[Start Date]]+ProposalToGnatt[[#This Row],[Days]]),$G$5,"")),"")</f>
        <v/>
      </c>
      <c r="Y70" s="37" t="str">
        <f ca="1">IFERROR(+IF(Y$29=ProposalToGnatt[[#This Row],[Start Date]],Milestone_Marker,IF(AND(Y$29&gt;ProposalToGnatt[[#This Row],[Start Date]],Y$29&lt;ProposalToGnatt[[#This Row],[Start Date]]+ProposalToGnatt[[#This Row],[Days]]),$G$5,"")),"")</f>
        <v/>
      </c>
      <c r="Z70" s="37" t="str">
        <f ca="1">IFERROR(+IF(Z$29=ProposalToGnatt[[#This Row],[Start Date]],Milestone_Marker,IF(AND(Z$29&gt;ProposalToGnatt[[#This Row],[Start Date]],Z$29&lt;ProposalToGnatt[[#This Row],[Start Date]]+ProposalToGnatt[[#This Row],[Days]]),$G$5,"")),"")</f>
        <v/>
      </c>
      <c r="AA70" s="37" t="str">
        <f ca="1">IFERROR(+IF(AA$29=ProposalToGnatt[[#This Row],[Start Date]],Milestone_Marker,IF(AND(AA$29&gt;ProposalToGnatt[[#This Row],[Start Date]],AA$29&lt;ProposalToGnatt[[#This Row],[Start Date]]+ProposalToGnatt[[#This Row],[Days]]),$G$5,"")),"")</f>
        <v/>
      </c>
      <c r="AB70" s="37" t="str">
        <f ca="1">IFERROR(+IF(AB$29=ProposalToGnatt[[#This Row],[Start Date]],Milestone_Marker,IF(AND(AB$29&gt;ProposalToGnatt[[#This Row],[Start Date]],AB$29&lt;ProposalToGnatt[[#This Row],[Start Date]]+ProposalToGnatt[[#This Row],[Days]]),$G$5,"")),"")</f>
        <v/>
      </c>
      <c r="AC70" s="37" t="str">
        <f ca="1">IFERROR(+IF(AC$29=ProposalToGnatt[[#This Row],[Start Date]],Milestone_Marker,IF(AND(AC$29&gt;ProposalToGnatt[[#This Row],[Start Date]],AC$29&lt;ProposalToGnatt[[#This Row],[Start Date]]+ProposalToGnatt[[#This Row],[Days]]),$G$5,"")),"")</f>
        <v/>
      </c>
      <c r="AD70" s="37" t="str">
        <f ca="1">IFERROR(+IF(AD$29=ProposalToGnatt[[#This Row],[Start Date]],Milestone_Marker,IF(AND(AD$29&gt;ProposalToGnatt[[#This Row],[Start Date]],AD$29&lt;ProposalToGnatt[[#This Row],[Start Date]]+ProposalToGnatt[[#This Row],[Days]]),$G$5,"")),"")</f>
        <v/>
      </c>
      <c r="AE70" s="37" t="str">
        <f ca="1">IFERROR(+IF(AE$29=ProposalToGnatt[[#This Row],[Start Date]],Milestone_Marker,IF(AND(AE$29&gt;ProposalToGnatt[[#This Row],[Start Date]],AE$29&lt;ProposalToGnatt[[#This Row],[Start Date]]+ProposalToGnatt[[#This Row],[Days]]),$G$5,"")),"")</f>
        <v/>
      </c>
      <c r="AF70" s="37" t="str">
        <f ca="1">IFERROR(+IF(AF$29=ProposalToGnatt[[#This Row],[Start Date]],Milestone_Marker,IF(AND(AF$29&gt;ProposalToGnatt[[#This Row],[Start Date]],AF$29&lt;ProposalToGnatt[[#This Row],[Start Date]]+ProposalToGnatt[[#This Row],[Days]]),$G$5,"")),"")</f>
        <v/>
      </c>
      <c r="AG70" s="37" t="str">
        <f ca="1">IFERROR(+IF(AG$29=ProposalToGnatt[[#This Row],[Start Date]],Milestone_Marker,IF(AND(AG$29&gt;ProposalToGnatt[[#This Row],[Start Date]],AG$29&lt;ProposalToGnatt[[#This Row],[Start Date]]+ProposalToGnatt[[#This Row],[Days]]),$G$5,"")),"")</f>
        <v/>
      </c>
      <c r="AH70" s="37" t="str">
        <f ca="1">IFERROR(+IF(AH$29=ProposalToGnatt[[#This Row],[Start Date]],Milestone_Marker,IF(AND(AH$29&gt;ProposalToGnatt[[#This Row],[Start Date]],AH$29&lt;ProposalToGnatt[[#This Row],[Start Date]]+ProposalToGnatt[[#This Row],[Days]]),$G$5,"")),"")</f>
        <v/>
      </c>
      <c r="AI70" s="37" t="str">
        <f ca="1">IFERROR(+IF(AI$29=ProposalToGnatt[[#This Row],[Start Date]],Milestone_Marker,IF(AND(AI$29&gt;ProposalToGnatt[[#This Row],[Start Date]],AI$29&lt;ProposalToGnatt[[#This Row],[Start Date]]+ProposalToGnatt[[#This Row],[Days]]),$G$5,"")),"")</f>
        <v/>
      </c>
      <c r="AJ70" s="37" t="str">
        <f ca="1">IFERROR(+IF(AJ$29=ProposalToGnatt[[#This Row],[Start Date]],Milestone_Marker,IF(AND(AJ$29&gt;ProposalToGnatt[[#This Row],[Start Date]],AJ$29&lt;ProposalToGnatt[[#This Row],[Start Date]]+ProposalToGnatt[[#This Row],[Days]]),$G$5,"")),"")</f>
        <v/>
      </c>
      <c r="AK70" s="37" t="str">
        <f ca="1">IFERROR(+IF(AK$29=ProposalToGnatt[[#This Row],[Start Date]],Milestone_Marker,IF(AND(AK$29&gt;ProposalToGnatt[[#This Row],[Start Date]],AK$29&lt;ProposalToGnatt[[#This Row],[Start Date]]+ProposalToGnatt[[#This Row],[Days]]),$G$5,"")),"")</f>
        <v/>
      </c>
      <c r="AL70" s="37" t="str">
        <f ca="1">IFERROR(+IF(AL$29=ProposalToGnatt[[#This Row],[Start Date]],Milestone_Marker,IF(AND(AL$29&gt;ProposalToGnatt[[#This Row],[Start Date]],AL$29&lt;ProposalToGnatt[[#This Row],[Start Date]]+ProposalToGnatt[[#This Row],[Days]]),$G$5,"")),"")</f>
        <v/>
      </c>
      <c r="AM70" s="37" t="str">
        <f ca="1">IFERROR(+IF(AM$29=ProposalToGnatt[[#This Row],[Start Date]],Milestone_Marker,IF(AND(AM$29&gt;ProposalToGnatt[[#This Row],[Start Date]],AM$29&lt;ProposalToGnatt[[#This Row],[Start Date]]+ProposalToGnatt[[#This Row],[Days]]),$G$5,"")),"")</f>
        <v/>
      </c>
      <c r="AN70" s="37" t="str">
        <f ca="1">IFERROR(+IF(AN$29=ProposalToGnatt[[#This Row],[Start Date]],Milestone_Marker,IF(AND(AN$29&gt;ProposalToGnatt[[#This Row],[Start Date]],AN$29&lt;ProposalToGnatt[[#This Row],[Start Date]]+ProposalToGnatt[[#This Row],[Days]]),$G$5,"")),"")</f>
        <v/>
      </c>
      <c r="AO70" s="37" t="str">
        <f ca="1">IFERROR(+IF(AO$29=ProposalToGnatt[[#This Row],[Start Date]],Milestone_Marker,IF(AND(AO$29&gt;ProposalToGnatt[[#This Row],[Start Date]],AO$29&lt;ProposalToGnatt[[#This Row],[Start Date]]+ProposalToGnatt[[#This Row],[Days]]),$G$5,"")),"")</f>
        <v/>
      </c>
      <c r="AP70" s="37" t="str">
        <f ca="1">IFERROR(+IF(AP$29=ProposalToGnatt[[#This Row],[Start Date]],Milestone_Marker,IF(AND(AP$29&gt;ProposalToGnatt[[#This Row],[Start Date]],AP$29&lt;ProposalToGnatt[[#This Row],[Start Date]]+ProposalToGnatt[[#This Row],[Days]]),$G$5,"")),"")</f>
        <v/>
      </c>
      <c r="AQ70" s="37" t="str">
        <f ca="1">IFERROR(+IF(AQ$29=ProposalToGnatt[[#This Row],[Start Date]],Milestone_Marker,IF(AND(AQ$29&gt;ProposalToGnatt[[#This Row],[Start Date]],AQ$29&lt;ProposalToGnatt[[#This Row],[Start Date]]+ProposalToGnatt[[#This Row],[Days]]),$G$5,"")),"")</f>
        <v/>
      </c>
      <c r="AR70" s="37" t="str">
        <f ca="1">IFERROR(+IF(AR$29=ProposalToGnatt[[#This Row],[Start Date]],Milestone_Marker,IF(AND(AR$29&gt;ProposalToGnatt[[#This Row],[Start Date]],AR$29&lt;ProposalToGnatt[[#This Row],[Start Date]]+ProposalToGnatt[[#This Row],[Days]]),$G$5,"")),"")</f>
        <v/>
      </c>
      <c r="AS70" s="37" t="str">
        <f ca="1">IFERROR(+IF(AS$29=ProposalToGnatt[[#This Row],[Start Date]],Milestone_Marker,IF(AND(AS$29&gt;ProposalToGnatt[[#This Row],[Start Date]],AS$29&lt;ProposalToGnatt[[#This Row],[Start Date]]+ProposalToGnatt[[#This Row],[Days]]),$G$5,"")),"")</f>
        <v/>
      </c>
      <c r="AT70" s="37" t="str">
        <f ca="1">IFERROR(+IF(AT$29=ProposalToGnatt[[#This Row],[Start Date]],Milestone_Marker,IF(AND(AT$29&gt;ProposalToGnatt[[#This Row],[Start Date]],AT$29&lt;ProposalToGnatt[[#This Row],[Start Date]]+ProposalToGnatt[[#This Row],[Days]]),$G$5,"")),"")</f>
        <v/>
      </c>
      <c r="AU70" s="37" t="str">
        <f ca="1">IFERROR(+IF(AU$29=ProposalToGnatt[[#This Row],[Start Date]],Milestone_Marker,IF(AND(AU$29&gt;ProposalToGnatt[[#This Row],[Start Date]],AU$29&lt;ProposalToGnatt[[#This Row],[Start Date]]+ProposalToGnatt[[#This Row],[Days]]),$G$5,"")),"")</f>
        <v/>
      </c>
      <c r="AV70" s="37" t="str">
        <f ca="1">IFERROR(+IF(AV$29=ProposalToGnatt[[#This Row],[Start Date]],Milestone_Marker,IF(AND(AV$29&gt;ProposalToGnatt[[#This Row],[Start Date]],AV$29&lt;ProposalToGnatt[[#This Row],[Start Date]]+ProposalToGnatt[[#This Row],[Days]]),$G$5,"")),"")</f>
        <v/>
      </c>
      <c r="AW70" s="37" t="str">
        <f ca="1">IFERROR(+IF(AW$29=ProposalToGnatt[[#This Row],[Start Date]],Milestone_Marker,IF(AND(AW$29&gt;ProposalToGnatt[[#This Row],[Start Date]],AW$29&lt;ProposalToGnatt[[#This Row],[Start Date]]+ProposalToGnatt[[#This Row],[Days]]),$G$5,"")),"")</f>
        <v/>
      </c>
      <c r="AX70" s="37" t="str">
        <f ca="1">IFERROR(+IF(AX$29=ProposalToGnatt[[#This Row],[Start Date]],Milestone_Marker,IF(AND(AX$29&gt;ProposalToGnatt[[#This Row],[Start Date]],AX$29&lt;ProposalToGnatt[[#This Row],[Start Date]]+ProposalToGnatt[[#This Row],[Days]]),$G$5,"")),"")</f>
        <v/>
      </c>
      <c r="AY70" s="37" t="str">
        <f ca="1">IFERROR(+IF(AY$29=ProposalToGnatt[[#This Row],[Start Date]],Milestone_Marker,IF(AND(AY$29&gt;ProposalToGnatt[[#This Row],[Start Date]],AY$29&lt;ProposalToGnatt[[#This Row],[Start Date]]+ProposalToGnatt[[#This Row],[Days]]),$G$5,"")),"")</f>
        <v/>
      </c>
      <c r="AZ70" s="37" t="str">
        <f ca="1">IFERROR(+IF(AZ$29=ProposalToGnatt[[#This Row],[Start Date]],Milestone_Marker,IF(AND(AZ$29&gt;ProposalToGnatt[[#This Row],[Start Date]],AZ$29&lt;ProposalToGnatt[[#This Row],[Start Date]]+ProposalToGnatt[[#This Row],[Days]]),$G$5,"")),"")</f>
        <v/>
      </c>
      <c r="BA70" s="37" t="str">
        <f ca="1">IFERROR(+IF(BA$29=ProposalToGnatt[[#This Row],[Start Date]],Milestone_Marker,IF(AND(BA$29&gt;ProposalToGnatt[[#This Row],[Start Date]],BA$29&lt;ProposalToGnatt[[#This Row],[Start Date]]+ProposalToGnatt[[#This Row],[Days]]),$G$5,"")),"")</f>
        <v/>
      </c>
      <c r="BB70" s="37" t="str">
        <f ca="1">IFERROR(+IF(BB$29=ProposalToGnatt[[#This Row],[Start Date]],Milestone_Marker,IF(AND(BB$29&gt;ProposalToGnatt[[#This Row],[Start Date]],BB$29&lt;ProposalToGnatt[[#This Row],[Start Date]]+ProposalToGnatt[[#This Row],[Days]]),$G$5,"")),"")</f>
        <v/>
      </c>
      <c r="BC70" s="37" t="str">
        <f ca="1">IFERROR(+IF(BC$29=ProposalToGnatt[[#This Row],[Start Date]],Milestone_Marker,IF(AND(BC$29&gt;ProposalToGnatt[[#This Row],[Start Date]],BC$29&lt;ProposalToGnatt[[#This Row],[Start Date]]+ProposalToGnatt[[#This Row],[Days]]),$G$5,"")),"")</f>
        <v/>
      </c>
      <c r="BD70" s="37" t="str">
        <f ca="1">IFERROR(+IF(BD$29=ProposalToGnatt[[#This Row],[Start Date]],Milestone_Marker,IF(AND(BD$29&gt;ProposalToGnatt[[#This Row],[Start Date]],BD$29&lt;ProposalToGnatt[[#This Row],[Start Date]]+ProposalToGnatt[[#This Row],[Days]]),$G$5,"")),"")</f>
        <v/>
      </c>
      <c r="BE70" s="37" t="str">
        <f ca="1">IFERROR(+IF(BE$29=ProposalToGnatt[[#This Row],[Start Date]],Milestone_Marker,IF(AND(BE$29&gt;ProposalToGnatt[[#This Row],[Start Date]],BE$29&lt;ProposalToGnatt[[#This Row],[Start Date]]+ProposalToGnatt[[#This Row],[Days]]),$G$5,"")),"")</f>
        <v/>
      </c>
      <c r="BF70" s="37" t="str">
        <f ca="1">IFERROR(+IF(BF$29=ProposalToGnatt[[#This Row],[Start Date]],Milestone_Marker,IF(AND(BF$29&gt;ProposalToGnatt[[#This Row],[Start Date]],BF$29&lt;ProposalToGnatt[[#This Row],[Start Date]]+ProposalToGnatt[[#This Row],[Days]]),$G$5,"")),"")</f>
        <v/>
      </c>
      <c r="BG70" s="37" t="str">
        <f ca="1">IFERROR(+IF(BG$29=ProposalToGnatt[[#This Row],[Start Date]],Milestone_Marker,IF(AND(BG$29&gt;ProposalToGnatt[[#This Row],[Start Date]],BG$29&lt;ProposalToGnatt[[#This Row],[Start Date]]+ProposalToGnatt[[#This Row],[Days]]),$G$5,"")),"")</f>
        <v/>
      </c>
      <c r="BH70" s="37" t="str">
        <f ca="1">IFERROR(+IF(BH$29=ProposalToGnatt[[#This Row],[Start Date]],Milestone_Marker,IF(AND(BH$29&gt;ProposalToGnatt[[#This Row],[Start Date]],BH$29&lt;ProposalToGnatt[[#This Row],[Start Date]]+ProposalToGnatt[[#This Row],[Days]]),$G$5,"")),"")</f>
        <v/>
      </c>
      <c r="BI70" s="37" t="str">
        <f ca="1">IFERROR(+IF(BI$29=ProposalToGnatt[[#This Row],[Start Date]],Milestone_Marker,IF(AND(BI$29&gt;ProposalToGnatt[[#This Row],[Start Date]],BI$29&lt;ProposalToGnatt[[#This Row],[Start Date]]+ProposalToGnatt[[#This Row],[Days]]),$G$5,"")),"")</f>
        <v/>
      </c>
      <c r="BJ70" s="37" t="str">
        <f ca="1">IFERROR(+IF(BJ$29=ProposalToGnatt[[#This Row],[Start Date]],Milestone_Marker,IF(AND(BJ$29&gt;ProposalToGnatt[[#This Row],[Start Date]],BJ$29&lt;ProposalToGnatt[[#This Row],[Start Date]]+ProposalToGnatt[[#This Row],[Days]]),$G$5,"")),"")</f>
        <v/>
      </c>
      <c r="BK70" s="37" t="str">
        <f ca="1">IFERROR(+IF(BK$29=ProposalToGnatt[[#This Row],[Start Date]],Milestone_Marker,IF(AND(BK$29&gt;ProposalToGnatt[[#This Row],[Start Date]],BK$29&lt;ProposalToGnatt[[#This Row],[Start Date]]+ProposalToGnatt[[#This Row],[Days]]),$G$5,"")),"")</f>
        <v/>
      </c>
      <c r="BL70" s="37" t="str">
        <f ca="1">IFERROR(+IF(BL$29=ProposalToGnatt[[#This Row],[Start Date]],Milestone_Marker,IF(AND(BL$29&gt;ProposalToGnatt[[#This Row],[Start Date]],BL$29&lt;ProposalToGnatt[[#This Row],[Start Date]]+ProposalToGnatt[[#This Row],[Days]]),$G$5,"")),"")</f>
        <v/>
      </c>
      <c r="BM70" s="37" t="str">
        <f ca="1">IFERROR(+IF(BM$29=ProposalToGnatt[[#This Row],[Start Date]],Milestone_Marker,IF(AND(BM$29&gt;ProposalToGnatt[[#This Row],[Start Date]],BM$29&lt;ProposalToGnatt[[#This Row],[Start Date]]+ProposalToGnatt[[#This Row],[Days]]),$G$5,"")),"")</f>
        <v/>
      </c>
      <c r="BN70" s="37" t="str">
        <f ca="1">IFERROR(+IF(BN$29=ProposalToGnatt[[#This Row],[Start Date]],Milestone_Marker,IF(AND(BN$29&gt;ProposalToGnatt[[#This Row],[Start Date]],BN$29&lt;ProposalToGnatt[[#This Row],[Start Date]]+ProposalToGnatt[[#This Row],[Days]]),$G$5,"")),"")</f>
        <v/>
      </c>
      <c r="BO70" s="37" t="str">
        <f ca="1">IFERROR(+IF(BO$29=ProposalToGnatt[[#This Row],[Start Date]],Milestone_Marker,IF(AND(BO$29&gt;ProposalToGnatt[[#This Row],[Start Date]],BO$29&lt;ProposalToGnatt[[#This Row],[Start Date]]+ProposalToGnatt[[#This Row],[Days]]),$G$5,"")),"")</f>
        <v/>
      </c>
      <c r="BP70" s="37" t="str">
        <f ca="1">IFERROR(+IF(BP$29=ProposalToGnatt[[#This Row],[Start Date]],Milestone_Marker,IF(AND(BP$29&gt;ProposalToGnatt[[#This Row],[Start Date]],BP$29&lt;ProposalToGnatt[[#This Row],[Start Date]]+ProposalToGnatt[[#This Row],[Days]]),$G$5,"")),"")</f>
        <v/>
      </c>
      <c r="BQ70" s="37" t="str">
        <f ca="1">IFERROR(+IF(BQ$29=ProposalToGnatt[[#This Row],[Start Date]],Milestone_Marker,IF(AND(BQ$29&gt;ProposalToGnatt[[#This Row],[Start Date]],BQ$29&lt;ProposalToGnatt[[#This Row],[Start Date]]+ProposalToGnatt[[#This Row],[Days]]),$G$5,"")),"")</f>
        <v/>
      </c>
      <c r="BR70" s="37" t="str">
        <f ca="1">IFERROR(+IF(BR$29=ProposalToGnatt[[#This Row],[Start Date]],Milestone_Marker,IF(AND(BR$29&gt;ProposalToGnatt[[#This Row],[Start Date]],BR$29&lt;ProposalToGnatt[[#This Row],[Start Date]]+ProposalToGnatt[[#This Row],[Days]]),$G$5,"")),"")</f>
        <v/>
      </c>
      <c r="BS70" s="37" t="str">
        <f ca="1">IFERROR(+IF(BS$29=ProposalToGnatt[[#This Row],[Start Date]],Milestone_Marker,IF(AND(BS$29&gt;ProposalToGnatt[[#This Row],[Start Date]],BS$29&lt;ProposalToGnatt[[#This Row],[Start Date]]+ProposalToGnatt[[#This Row],[Days]]),$G$5,"")),"")</f>
        <v/>
      </c>
      <c r="BT70" s="37" t="str">
        <f ca="1">IFERROR(+IF(BT$29=ProposalToGnatt[[#This Row],[Start Date]],Milestone_Marker,IF(AND(BT$29&gt;ProposalToGnatt[[#This Row],[Start Date]],BT$29&lt;ProposalToGnatt[[#This Row],[Start Date]]+ProposalToGnatt[[#This Row],[Days]]),$G$5,"")),"")</f>
        <v/>
      </c>
      <c r="BU70" s="37" t="str">
        <f ca="1">IFERROR(+IF(BU$29=ProposalToGnatt[[#This Row],[Start Date]],Milestone_Marker,IF(AND(BU$29&gt;ProposalToGnatt[[#This Row],[Start Date]],BU$29&lt;ProposalToGnatt[[#This Row],[Start Date]]+ProposalToGnatt[[#This Row],[Days]]),$G$5,"")),"")</f>
        <v/>
      </c>
      <c r="BV70" s="37" t="str">
        <f ca="1">IFERROR(+IF(BV$29=ProposalToGnatt[[#This Row],[Start Date]],Milestone_Marker,IF(AND(BV$29&gt;ProposalToGnatt[[#This Row],[Start Date]],BV$29&lt;ProposalToGnatt[[#This Row],[Start Date]]+ProposalToGnatt[[#This Row],[Days]]),$G$5,"")),"")</f>
        <v/>
      </c>
      <c r="BW70" s="37" t="str">
        <f ca="1">IFERROR(+IF(BW$29=ProposalToGnatt[[#This Row],[Start Date]],Milestone_Marker,IF(AND(BW$29&gt;ProposalToGnatt[[#This Row],[Start Date]],BW$29&lt;ProposalToGnatt[[#This Row],[Start Date]]+ProposalToGnatt[[#This Row],[Days]]),$G$5,"")),"")</f>
        <v/>
      </c>
      <c r="BX70" s="37" t="str">
        <f ca="1">IFERROR(+IF(BX$29=ProposalToGnatt[[#This Row],[Start Date]],Milestone_Marker,IF(AND(BX$29&gt;ProposalToGnatt[[#This Row],[Start Date]],BX$29&lt;ProposalToGnatt[[#This Row],[Start Date]]+ProposalToGnatt[[#This Row],[Days]]),$G$5,"")),"")</f>
        <v/>
      </c>
      <c r="BY70" s="37" t="str">
        <f ca="1">IFERROR(+IF(BY$29=ProposalToGnatt[[#This Row],[Start Date]],Milestone_Marker,IF(AND(BY$29&gt;ProposalToGnatt[[#This Row],[Start Date]],BY$29&lt;ProposalToGnatt[[#This Row],[Start Date]]+ProposalToGnatt[[#This Row],[Days]]),$G$5,"")),"")</f>
        <v/>
      </c>
      <c r="BZ70" s="37" t="str">
        <f ca="1">IFERROR(+IF(BZ$29=ProposalToGnatt[[#This Row],[Start Date]],Milestone_Marker,IF(AND(BZ$29&gt;ProposalToGnatt[[#This Row],[Start Date]],BZ$29&lt;ProposalToGnatt[[#This Row],[Start Date]]+ProposalToGnatt[[#This Row],[Days]]),$G$5,"")),"")</f>
        <v/>
      </c>
      <c r="CA70" s="37" t="str">
        <f ca="1">IFERROR(+IF(CA$29=ProposalToGnatt[[#This Row],[Start Date]],Milestone_Marker,IF(AND(CA$29&gt;ProposalToGnatt[[#This Row],[Start Date]],CA$29&lt;ProposalToGnatt[[#This Row],[Start Date]]+ProposalToGnatt[[#This Row],[Days]]),$G$5,"")),"")</f>
        <v/>
      </c>
      <c r="CB70" s="37" t="str">
        <f ca="1">IFERROR(+IF(CB$29=ProposalToGnatt[[#This Row],[Start Date]],Milestone_Marker,IF(AND(CB$29&gt;ProposalToGnatt[[#This Row],[Start Date]],CB$29&lt;ProposalToGnatt[[#This Row],[Start Date]]+ProposalToGnatt[[#This Row],[Days]]),$G$5,"")),"")</f>
        <v/>
      </c>
      <c r="CC70" s="37" t="str">
        <f ca="1">IFERROR(+IF(CC$29=ProposalToGnatt[[#This Row],[Start Date]],Milestone_Marker,IF(AND(CC$29&gt;ProposalToGnatt[[#This Row],[Start Date]],CC$29&lt;ProposalToGnatt[[#This Row],[Start Date]]+ProposalToGnatt[[#This Row],[Days]]),$G$5,"")),"")</f>
        <v/>
      </c>
      <c r="CD70" s="37" t="str">
        <f ca="1">IFERROR(+IF(CD$29=ProposalToGnatt[[#This Row],[Start Date]],Milestone_Marker,IF(AND(CD$29&gt;ProposalToGnatt[[#This Row],[Start Date]],CD$29&lt;ProposalToGnatt[[#This Row],[Start Date]]+ProposalToGnatt[[#This Row],[Days]]),$G$5,"")),"")</f>
        <v/>
      </c>
      <c r="CE70" s="37" t="str">
        <f ca="1">IFERROR(+IF(CE$29=ProposalToGnatt[[#This Row],[Start Date]],Milestone_Marker,IF(AND(CE$29&gt;ProposalToGnatt[[#This Row],[Start Date]],CE$29&lt;ProposalToGnatt[[#This Row],[Start Date]]+ProposalToGnatt[[#This Row],[Days]]),$G$5,"")),"")</f>
        <v/>
      </c>
      <c r="CF70" s="37" t="str">
        <f ca="1">IFERROR(+IF(CF$29=ProposalToGnatt[[#This Row],[Start Date]],Milestone_Marker,IF(AND(CF$29&gt;ProposalToGnatt[[#This Row],[Start Date]],CF$29&lt;ProposalToGnatt[[#This Row],[Start Date]]+ProposalToGnatt[[#This Row],[Days]]),$G$5,"")),"")</f>
        <v/>
      </c>
      <c r="CG70" s="37" t="str">
        <f ca="1">IFERROR(+IF(CG$29=ProposalToGnatt[[#This Row],[Start Date]],Milestone_Marker,IF(AND(CG$29&gt;ProposalToGnatt[[#This Row],[Start Date]],CG$29&lt;ProposalToGnatt[[#This Row],[Start Date]]+ProposalToGnatt[[#This Row],[Days]]),$G$5,"")),"")</f>
        <v/>
      </c>
      <c r="CH70" s="37" t="str">
        <f ca="1">IFERROR(+IF(CH$29=ProposalToGnatt[[#This Row],[Start Date]],Milestone_Marker,IF(AND(CH$29&gt;ProposalToGnatt[[#This Row],[Start Date]],CH$29&lt;ProposalToGnatt[[#This Row],[Start Date]]+ProposalToGnatt[[#This Row],[Days]]),$G$5,"")),"")</f>
        <v/>
      </c>
      <c r="CI70" s="37" t="str">
        <f ca="1">IFERROR(+IF(CI$29=ProposalToGnatt[[#This Row],[Start Date]],Milestone_Marker,IF(AND(CI$29&gt;ProposalToGnatt[[#This Row],[Start Date]],CI$29&lt;ProposalToGnatt[[#This Row],[Start Date]]+ProposalToGnatt[[#This Row],[Days]]),$G$5,"")),"")</f>
        <v/>
      </c>
      <c r="CJ70" s="37" t="str">
        <f ca="1">IFERROR(+IF(CJ$29=ProposalToGnatt[[#This Row],[Start Date]],Milestone_Marker,IF(AND(CJ$29&gt;ProposalToGnatt[[#This Row],[Start Date]],CJ$29&lt;ProposalToGnatt[[#This Row],[Start Date]]+ProposalToGnatt[[#This Row],[Days]]),$G$5,"")),"")</f>
        <v/>
      </c>
      <c r="CK70" s="37" t="str">
        <f ca="1">IFERROR(+IF(CK$29=ProposalToGnatt[[#This Row],[Start Date]],Milestone_Marker,IF(AND(CK$29&gt;ProposalToGnatt[[#This Row],[Start Date]],CK$29&lt;ProposalToGnatt[[#This Row],[Start Date]]+ProposalToGnatt[[#This Row],[Days]]),$G$5,"")),"")</f>
        <v/>
      </c>
      <c r="CL70" s="37" t="str">
        <f ca="1">IFERROR(+IF(CL$29=ProposalToGnatt[[#This Row],[Start Date]],Milestone_Marker,IF(AND(CL$29&gt;ProposalToGnatt[[#This Row],[Start Date]],CL$29&lt;ProposalToGnatt[[#This Row],[Start Date]]+ProposalToGnatt[[#This Row],[Days]]),$G$5,"")),"")</f>
        <v/>
      </c>
      <c r="CM70" s="37" t="str">
        <f ca="1">IFERROR(+IF(CM$29=ProposalToGnatt[[#This Row],[Start Date]],Milestone_Marker,IF(AND(CM$29&gt;ProposalToGnatt[[#This Row],[Start Date]],CM$29&lt;ProposalToGnatt[[#This Row],[Start Date]]+ProposalToGnatt[[#This Row],[Days]]),$G$5,"")),"")</f>
        <v/>
      </c>
      <c r="CN70" s="37" t="str">
        <f ca="1">IFERROR(+IF(CN$29=ProposalToGnatt[[#This Row],[Start Date]],Milestone_Marker,IF(AND(CN$29&gt;ProposalToGnatt[[#This Row],[Start Date]],CN$29&lt;ProposalToGnatt[[#This Row],[Start Date]]+ProposalToGnatt[[#This Row],[Days]]),$G$5,"")),"")</f>
        <v/>
      </c>
      <c r="CO70" s="37" t="str">
        <f ca="1">IFERROR(+IF(CO$29=ProposalToGnatt[[#This Row],[Start Date]],Milestone_Marker,IF(AND(CO$29&gt;ProposalToGnatt[[#This Row],[Start Date]],CO$29&lt;ProposalToGnatt[[#This Row],[Start Date]]+ProposalToGnatt[[#This Row],[Days]]),$G$5,"")),"")</f>
        <v/>
      </c>
      <c r="CP70" s="37" t="str">
        <f ca="1">IFERROR(+IF(CP$29=ProposalToGnatt[[#This Row],[Start Date]],Milestone_Marker,IF(AND(CP$29&gt;ProposalToGnatt[[#This Row],[Start Date]],CP$29&lt;ProposalToGnatt[[#This Row],[Start Date]]+ProposalToGnatt[[#This Row],[Days]]),$G$5,"")),"")</f>
        <v/>
      </c>
      <c r="CQ70" s="37" t="str">
        <f ca="1">IFERROR(+IF(CQ$29=ProposalToGnatt[[#This Row],[Start Date]],Milestone_Marker,IF(AND(CQ$29&gt;ProposalToGnatt[[#This Row],[Start Date]],CQ$29&lt;ProposalToGnatt[[#This Row],[Start Date]]+ProposalToGnatt[[#This Row],[Days]]),$G$5,"")),"")</f>
        <v/>
      </c>
      <c r="CR70" s="37" t="str">
        <f ca="1">IFERROR(+IF(CR$29=ProposalToGnatt[[#This Row],[Start Date]],Milestone_Marker,IF(AND(CR$29&gt;ProposalToGnatt[[#This Row],[Start Date]],CR$29&lt;ProposalToGnatt[[#This Row],[Start Date]]+ProposalToGnatt[[#This Row],[Days]]),$G$5,"")),"")</f>
        <v/>
      </c>
      <c r="CS70" s="37" t="str">
        <f ca="1">IFERROR(+IF(CS$29=ProposalToGnatt[[#This Row],[Start Date]],Milestone_Marker,IF(AND(CS$29&gt;ProposalToGnatt[[#This Row],[Start Date]],CS$29&lt;ProposalToGnatt[[#This Row],[Start Date]]+ProposalToGnatt[[#This Row],[Days]]),$G$5,"")),"")</f>
        <v/>
      </c>
      <c r="CT70" s="37" t="str">
        <f ca="1">IFERROR(+IF(CT$29=ProposalToGnatt[[#This Row],[Start Date]],Milestone_Marker,IF(AND(CT$29&gt;ProposalToGnatt[[#This Row],[Start Date]],CT$29&lt;ProposalToGnatt[[#This Row],[Start Date]]+ProposalToGnatt[[#This Row],[Days]]),$G$5,"")),"")</f>
        <v/>
      </c>
      <c r="CU70" s="37" t="str">
        <f ca="1">IFERROR(+IF(CU$29=ProposalToGnatt[[#This Row],[Start Date]],Milestone_Marker,IF(AND(CU$29&gt;ProposalToGnatt[[#This Row],[Start Date]],CU$29&lt;ProposalToGnatt[[#This Row],[Start Date]]+ProposalToGnatt[[#This Row],[Days]]),$G$5,"")),"")</f>
        <v/>
      </c>
      <c r="CV70" s="37"/>
      <c r="CW70" s="37"/>
      <c r="CX70" s="37"/>
      <c r="CY70" s="37"/>
      <c r="CZ70" s="37"/>
      <c r="DA70" s="37"/>
      <c r="DB70" s="37"/>
      <c r="DC70" s="37"/>
      <c r="DD70" s="37"/>
      <c r="DE70" s="37"/>
      <c r="DF70" s="37"/>
      <c r="DG70" s="37"/>
      <c r="DH70" s="37"/>
      <c r="DI70" s="37"/>
      <c r="DJ70" s="37"/>
      <c r="DK70" s="37"/>
      <c r="DL70" s="37"/>
      <c r="DM70" s="37"/>
      <c r="DN70" s="37"/>
      <c r="DO70" s="37"/>
      <c r="DP70" s="37"/>
      <c r="DQ70" s="37"/>
      <c r="DR70" s="37"/>
      <c r="DS70" s="37"/>
      <c r="DT70" s="37"/>
      <c r="DU70" s="37"/>
    </row>
    <row r="71" spans="1:125" s="42" customFormat="1" ht="15" x14ac:dyDescent="0.25">
      <c r="A71" t="s">
        <v>428</v>
      </c>
      <c r="B71">
        <v>46</v>
      </c>
      <c r="C71" t="s">
        <v>339</v>
      </c>
      <c r="D71" t="s">
        <v>373</v>
      </c>
      <c r="E71" t="s">
        <v>374</v>
      </c>
      <c r="F71">
        <v>1</v>
      </c>
      <c r="G71" s="14"/>
      <c r="H71" s="14"/>
      <c r="I71"/>
      <c r="J71">
        <v>2</v>
      </c>
      <c r="K71" s="303"/>
      <c r="L71"/>
      <c r="M71" s="14"/>
      <c r="N71" s="352"/>
      <c r="O71" s="340"/>
      <c r="P71" s="37" t="str">
        <f ca="1">IFERROR(+IF(P$29=ProposalToGnatt[[#This Row],[Start Date]],Milestone_Marker,IF(AND(P$29&gt;ProposalToGnatt[[#This Row],[Start Date]],P$29&lt;ProposalToGnatt[[#This Row],[Start Date]]+ProposalToGnatt[[#This Row],[Days]]),$G$5,"")),"")</f>
        <v/>
      </c>
      <c r="Q71" s="37" t="str">
        <f ca="1">IFERROR(+IF(Q$29=ProposalToGnatt[[#This Row],[Start Date]],Milestone_Marker,IF(AND(Q$29&gt;ProposalToGnatt[[#This Row],[Start Date]],Q$29&lt;ProposalToGnatt[[#This Row],[Start Date]]+ProposalToGnatt[[#This Row],[Days]]),$G$5,"")),"")</f>
        <v/>
      </c>
      <c r="R71" s="37" t="str">
        <f ca="1">IFERROR(+IF(R$29=ProposalToGnatt[[#This Row],[Start Date]],Milestone_Marker,IF(AND(R$29&gt;ProposalToGnatt[[#This Row],[Start Date]],R$29&lt;ProposalToGnatt[[#This Row],[Start Date]]+ProposalToGnatt[[#This Row],[Days]]),$G$5,"")),"")</f>
        <v/>
      </c>
      <c r="S71" s="37" t="str">
        <f ca="1">IFERROR(+IF(S$29=ProposalToGnatt[[#This Row],[Start Date]],Milestone_Marker,IF(AND(S$29&gt;ProposalToGnatt[[#This Row],[Start Date]],S$29&lt;ProposalToGnatt[[#This Row],[Start Date]]+ProposalToGnatt[[#This Row],[Days]]),$G$5,"")),"")</f>
        <v/>
      </c>
      <c r="T71" s="37" t="str">
        <f ca="1">IFERROR(+IF(T$29=ProposalToGnatt[[#This Row],[Start Date]],Milestone_Marker,IF(AND(T$29&gt;ProposalToGnatt[[#This Row],[Start Date]],T$29&lt;ProposalToGnatt[[#This Row],[Start Date]]+ProposalToGnatt[[#This Row],[Days]]),$G$5,"")),"")</f>
        <v/>
      </c>
      <c r="U71" s="37" t="str">
        <f ca="1">IFERROR(+IF(U$29=ProposalToGnatt[[#This Row],[Start Date]],Milestone_Marker,IF(AND(U$29&gt;ProposalToGnatt[[#This Row],[Start Date]],U$29&lt;ProposalToGnatt[[#This Row],[Start Date]]+ProposalToGnatt[[#This Row],[Days]]),$G$5,"")),"")</f>
        <v/>
      </c>
      <c r="V71" s="37" t="str">
        <f ca="1">IFERROR(+IF(V$29=ProposalToGnatt[[#This Row],[Start Date]],Milestone_Marker,IF(AND(V$29&gt;ProposalToGnatt[[#This Row],[Start Date]],V$29&lt;ProposalToGnatt[[#This Row],[Start Date]]+ProposalToGnatt[[#This Row],[Days]]),$G$5,"")),"")</f>
        <v/>
      </c>
      <c r="W71" s="37" t="str">
        <f ca="1">IFERROR(+IF(W$29=ProposalToGnatt[[#This Row],[Start Date]],Milestone_Marker,IF(AND(W$29&gt;ProposalToGnatt[[#This Row],[Start Date]],W$29&lt;ProposalToGnatt[[#This Row],[Start Date]]+ProposalToGnatt[[#This Row],[Days]]),$G$5,"")),"")</f>
        <v/>
      </c>
      <c r="X71" s="37" t="str">
        <f ca="1">IFERROR(+IF(X$29=ProposalToGnatt[[#This Row],[Start Date]],Milestone_Marker,IF(AND(X$29&gt;ProposalToGnatt[[#This Row],[Start Date]],X$29&lt;ProposalToGnatt[[#This Row],[Start Date]]+ProposalToGnatt[[#This Row],[Days]]),$G$5,"")),"")</f>
        <v/>
      </c>
      <c r="Y71" s="37" t="str">
        <f ca="1">IFERROR(+IF(Y$29=ProposalToGnatt[[#This Row],[Start Date]],Milestone_Marker,IF(AND(Y$29&gt;ProposalToGnatt[[#This Row],[Start Date]],Y$29&lt;ProposalToGnatt[[#This Row],[Start Date]]+ProposalToGnatt[[#This Row],[Days]]),$G$5,"")),"")</f>
        <v/>
      </c>
      <c r="Z71" s="37" t="str">
        <f ca="1">IFERROR(+IF(Z$29=ProposalToGnatt[[#This Row],[Start Date]],Milestone_Marker,IF(AND(Z$29&gt;ProposalToGnatt[[#This Row],[Start Date]],Z$29&lt;ProposalToGnatt[[#This Row],[Start Date]]+ProposalToGnatt[[#This Row],[Days]]),$G$5,"")),"")</f>
        <v/>
      </c>
      <c r="AA71" s="37" t="str">
        <f ca="1">IFERROR(+IF(AA$29=ProposalToGnatt[[#This Row],[Start Date]],Milestone_Marker,IF(AND(AA$29&gt;ProposalToGnatt[[#This Row],[Start Date]],AA$29&lt;ProposalToGnatt[[#This Row],[Start Date]]+ProposalToGnatt[[#This Row],[Days]]),$G$5,"")),"")</f>
        <v/>
      </c>
      <c r="AB71" s="37" t="str">
        <f ca="1">IFERROR(+IF(AB$29=ProposalToGnatt[[#This Row],[Start Date]],Milestone_Marker,IF(AND(AB$29&gt;ProposalToGnatt[[#This Row],[Start Date]],AB$29&lt;ProposalToGnatt[[#This Row],[Start Date]]+ProposalToGnatt[[#This Row],[Days]]),$G$5,"")),"")</f>
        <v/>
      </c>
      <c r="AC71" s="37" t="str">
        <f ca="1">IFERROR(+IF(AC$29=ProposalToGnatt[[#This Row],[Start Date]],Milestone_Marker,IF(AND(AC$29&gt;ProposalToGnatt[[#This Row],[Start Date]],AC$29&lt;ProposalToGnatt[[#This Row],[Start Date]]+ProposalToGnatt[[#This Row],[Days]]),$G$5,"")),"")</f>
        <v/>
      </c>
      <c r="AD71" s="37" t="str">
        <f ca="1">IFERROR(+IF(AD$29=ProposalToGnatt[[#This Row],[Start Date]],Milestone_Marker,IF(AND(AD$29&gt;ProposalToGnatt[[#This Row],[Start Date]],AD$29&lt;ProposalToGnatt[[#This Row],[Start Date]]+ProposalToGnatt[[#This Row],[Days]]),$G$5,"")),"")</f>
        <v/>
      </c>
      <c r="AE71" s="37" t="str">
        <f ca="1">IFERROR(+IF(AE$29=ProposalToGnatt[[#This Row],[Start Date]],Milestone_Marker,IF(AND(AE$29&gt;ProposalToGnatt[[#This Row],[Start Date]],AE$29&lt;ProposalToGnatt[[#This Row],[Start Date]]+ProposalToGnatt[[#This Row],[Days]]),$G$5,"")),"")</f>
        <v/>
      </c>
      <c r="AF71" s="37" t="str">
        <f ca="1">IFERROR(+IF(AF$29=ProposalToGnatt[[#This Row],[Start Date]],Milestone_Marker,IF(AND(AF$29&gt;ProposalToGnatt[[#This Row],[Start Date]],AF$29&lt;ProposalToGnatt[[#This Row],[Start Date]]+ProposalToGnatt[[#This Row],[Days]]),$G$5,"")),"")</f>
        <v/>
      </c>
      <c r="AG71" s="37" t="str">
        <f ca="1">IFERROR(+IF(AG$29=ProposalToGnatt[[#This Row],[Start Date]],Milestone_Marker,IF(AND(AG$29&gt;ProposalToGnatt[[#This Row],[Start Date]],AG$29&lt;ProposalToGnatt[[#This Row],[Start Date]]+ProposalToGnatt[[#This Row],[Days]]),$G$5,"")),"")</f>
        <v/>
      </c>
      <c r="AH71" s="37" t="str">
        <f ca="1">IFERROR(+IF(AH$29=ProposalToGnatt[[#This Row],[Start Date]],Milestone_Marker,IF(AND(AH$29&gt;ProposalToGnatt[[#This Row],[Start Date]],AH$29&lt;ProposalToGnatt[[#This Row],[Start Date]]+ProposalToGnatt[[#This Row],[Days]]),$G$5,"")),"")</f>
        <v/>
      </c>
      <c r="AI71" s="37" t="str">
        <f ca="1">IFERROR(+IF(AI$29=ProposalToGnatt[[#This Row],[Start Date]],Milestone_Marker,IF(AND(AI$29&gt;ProposalToGnatt[[#This Row],[Start Date]],AI$29&lt;ProposalToGnatt[[#This Row],[Start Date]]+ProposalToGnatt[[#This Row],[Days]]),$G$5,"")),"")</f>
        <v/>
      </c>
      <c r="AJ71" s="37" t="str">
        <f ca="1">IFERROR(+IF(AJ$29=ProposalToGnatt[[#This Row],[Start Date]],Milestone_Marker,IF(AND(AJ$29&gt;ProposalToGnatt[[#This Row],[Start Date]],AJ$29&lt;ProposalToGnatt[[#This Row],[Start Date]]+ProposalToGnatt[[#This Row],[Days]]),$G$5,"")),"")</f>
        <v/>
      </c>
      <c r="AK71" s="37" t="str">
        <f ca="1">IFERROR(+IF(AK$29=ProposalToGnatt[[#This Row],[Start Date]],Milestone_Marker,IF(AND(AK$29&gt;ProposalToGnatt[[#This Row],[Start Date]],AK$29&lt;ProposalToGnatt[[#This Row],[Start Date]]+ProposalToGnatt[[#This Row],[Days]]),$G$5,"")),"")</f>
        <v/>
      </c>
      <c r="AL71" s="37" t="str">
        <f ca="1">IFERROR(+IF(AL$29=ProposalToGnatt[[#This Row],[Start Date]],Milestone_Marker,IF(AND(AL$29&gt;ProposalToGnatt[[#This Row],[Start Date]],AL$29&lt;ProposalToGnatt[[#This Row],[Start Date]]+ProposalToGnatt[[#This Row],[Days]]),$G$5,"")),"")</f>
        <v/>
      </c>
      <c r="AM71" s="37" t="str">
        <f ca="1">IFERROR(+IF(AM$29=ProposalToGnatt[[#This Row],[Start Date]],Milestone_Marker,IF(AND(AM$29&gt;ProposalToGnatt[[#This Row],[Start Date]],AM$29&lt;ProposalToGnatt[[#This Row],[Start Date]]+ProposalToGnatt[[#This Row],[Days]]),$G$5,"")),"")</f>
        <v/>
      </c>
      <c r="AN71" s="37" t="str">
        <f ca="1">IFERROR(+IF(AN$29=ProposalToGnatt[[#This Row],[Start Date]],Milestone_Marker,IF(AND(AN$29&gt;ProposalToGnatt[[#This Row],[Start Date]],AN$29&lt;ProposalToGnatt[[#This Row],[Start Date]]+ProposalToGnatt[[#This Row],[Days]]),$G$5,"")),"")</f>
        <v/>
      </c>
      <c r="AO71" s="37" t="str">
        <f ca="1">IFERROR(+IF(AO$29=ProposalToGnatt[[#This Row],[Start Date]],Milestone_Marker,IF(AND(AO$29&gt;ProposalToGnatt[[#This Row],[Start Date]],AO$29&lt;ProposalToGnatt[[#This Row],[Start Date]]+ProposalToGnatt[[#This Row],[Days]]),$G$5,"")),"")</f>
        <v/>
      </c>
      <c r="AP71" s="37" t="str">
        <f ca="1">IFERROR(+IF(AP$29=ProposalToGnatt[[#This Row],[Start Date]],Milestone_Marker,IF(AND(AP$29&gt;ProposalToGnatt[[#This Row],[Start Date]],AP$29&lt;ProposalToGnatt[[#This Row],[Start Date]]+ProposalToGnatt[[#This Row],[Days]]),$G$5,"")),"")</f>
        <v/>
      </c>
      <c r="AQ71" s="37" t="str">
        <f ca="1">IFERROR(+IF(AQ$29=ProposalToGnatt[[#This Row],[Start Date]],Milestone_Marker,IF(AND(AQ$29&gt;ProposalToGnatt[[#This Row],[Start Date]],AQ$29&lt;ProposalToGnatt[[#This Row],[Start Date]]+ProposalToGnatt[[#This Row],[Days]]),$G$5,"")),"")</f>
        <v/>
      </c>
      <c r="AR71" s="37" t="str">
        <f ca="1">IFERROR(+IF(AR$29=ProposalToGnatt[[#This Row],[Start Date]],Milestone_Marker,IF(AND(AR$29&gt;ProposalToGnatt[[#This Row],[Start Date]],AR$29&lt;ProposalToGnatt[[#This Row],[Start Date]]+ProposalToGnatt[[#This Row],[Days]]),$G$5,"")),"")</f>
        <v/>
      </c>
      <c r="AS71" s="37" t="str">
        <f ca="1">IFERROR(+IF(AS$29=ProposalToGnatt[[#This Row],[Start Date]],Milestone_Marker,IF(AND(AS$29&gt;ProposalToGnatt[[#This Row],[Start Date]],AS$29&lt;ProposalToGnatt[[#This Row],[Start Date]]+ProposalToGnatt[[#This Row],[Days]]),$G$5,"")),"")</f>
        <v/>
      </c>
      <c r="AT71" s="37" t="str">
        <f ca="1">IFERROR(+IF(AT$29=ProposalToGnatt[[#This Row],[Start Date]],Milestone_Marker,IF(AND(AT$29&gt;ProposalToGnatt[[#This Row],[Start Date]],AT$29&lt;ProposalToGnatt[[#This Row],[Start Date]]+ProposalToGnatt[[#This Row],[Days]]),$G$5,"")),"")</f>
        <v/>
      </c>
      <c r="AU71" s="37" t="str">
        <f ca="1">IFERROR(+IF(AU$29=ProposalToGnatt[[#This Row],[Start Date]],Milestone_Marker,IF(AND(AU$29&gt;ProposalToGnatt[[#This Row],[Start Date]],AU$29&lt;ProposalToGnatt[[#This Row],[Start Date]]+ProposalToGnatt[[#This Row],[Days]]),$G$5,"")),"")</f>
        <v/>
      </c>
      <c r="AV71" s="37" t="str">
        <f ca="1">IFERROR(+IF(AV$29=ProposalToGnatt[[#This Row],[Start Date]],Milestone_Marker,IF(AND(AV$29&gt;ProposalToGnatt[[#This Row],[Start Date]],AV$29&lt;ProposalToGnatt[[#This Row],[Start Date]]+ProposalToGnatt[[#This Row],[Days]]),$G$5,"")),"")</f>
        <v/>
      </c>
      <c r="AW71" s="37" t="str">
        <f ca="1">IFERROR(+IF(AW$29=ProposalToGnatt[[#This Row],[Start Date]],Milestone_Marker,IF(AND(AW$29&gt;ProposalToGnatt[[#This Row],[Start Date]],AW$29&lt;ProposalToGnatt[[#This Row],[Start Date]]+ProposalToGnatt[[#This Row],[Days]]),$G$5,"")),"")</f>
        <v/>
      </c>
      <c r="AX71" s="37" t="str">
        <f ca="1">IFERROR(+IF(AX$29=ProposalToGnatt[[#This Row],[Start Date]],Milestone_Marker,IF(AND(AX$29&gt;ProposalToGnatt[[#This Row],[Start Date]],AX$29&lt;ProposalToGnatt[[#This Row],[Start Date]]+ProposalToGnatt[[#This Row],[Days]]),$G$5,"")),"")</f>
        <v/>
      </c>
      <c r="AY71" s="37" t="str">
        <f ca="1">IFERROR(+IF(AY$29=ProposalToGnatt[[#This Row],[Start Date]],Milestone_Marker,IF(AND(AY$29&gt;ProposalToGnatt[[#This Row],[Start Date]],AY$29&lt;ProposalToGnatt[[#This Row],[Start Date]]+ProposalToGnatt[[#This Row],[Days]]),$G$5,"")),"")</f>
        <v/>
      </c>
      <c r="AZ71" s="37" t="str">
        <f ca="1">IFERROR(+IF(AZ$29=ProposalToGnatt[[#This Row],[Start Date]],Milestone_Marker,IF(AND(AZ$29&gt;ProposalToGnatt[[#This Row],[Start Date]],AZ$29&lt;ProposalToGnatt[[#This Row],[Start Date]]+ProposalToGnatt[[#This Row],[Days]]),$G$5,"")),"")</f>
        <v/>
      </c>
      <c r="BA71" s="37" t="str">
        <f ca="1">IFERROR(+IF(BA$29=ProposalToGnatt[[#This Row],[Start Date]],Milestone_Marker,IF(AND(BA$29&gt;ProposalToGnatt[[#This Row],[Start Date]],BA$29&lt;ProposalToGnatt[[#This Row],[Start Date]]+ProposalToGnatt[[#This Row],[Days]]),$G$5,"")),"")</f>
        <v/>
      </c>
      <c r="BB71" s="37" t="str">
        <f ca="1">IFERROR(+IF(BB$29=ProposalToGnatt[[#This Row],[Start Date]],Milestone_Marker,IF(AND(BB$29&gt;ProposalToGnatt[[#This Row],[Start Date]],BB$29&lt;ProposalToGnatt[[#This Row],[Start Date]]+ProposalToGnatt[[#This Row],[Days]]),$G$5,"")),"")</f>
        <v/>
      </c>
      <c r="BC71" s="37" t="str">
        <f ca="1">IFERROR(+IF(BC$29=ProposalToGnatt[[#This Row],[Start Date]],Milestone_Marker,IF(AND(BC$29&gt;ProposalToGnatt[[#This Row],[Start Date]],BC$29&lt;ProposalToGnatt[[#This Row],[Start Date]]+ProposalToGnatt[[#This Row],[Days]]),$G$5,"")),"")</f>
        <v/>
      </c>
      <c r="BD71" s="37" t="str">
        <f ca="1">IFERROR(+IF(BD$29=ProposalToGnatt[[#This Row],[Start Date]],Milestone_Marker,IF(AND(BD$29&gt;ProposalToGnatt[[#This Row],[Start Date]],BD$29&lt;ProposalToGnatt[[#This Row],[Start Date]]+ProposalToGnatt[[#This Row],[Days]]),$G$5,"")),"")</f>
        <v/>
      </c>
      <c r="BE71" s="37" t="str">
        <f ca="1">IFERROR(+IF(BE$29=ProposalToGnatt[[#This Row],[Start Date]],Milestone_Marker,IF(AND(BE$29&gt;ProposalToGnatt[[#This Row],[Start Date]],BE$29&lt;ProposalToGnatt[[#This Row],[Start Date]]+ProposalToGnatt[[#This Row],[Days]]),$G$5,"")),"")</f>
        <v/>
      </c>
      <c r="BF71" s="37" t="str">
        <f ca="1">IFERROR(+IF(BF$29=ProposalToGnatt[[#This Row],[Start Date]],Milestone_Marker,IF(AND(BF$29&gt;ProposalToGnatt[[#This Row],[Start Date]],BF$29&lt;ProposalToGnatt[[#This Row],[Start Date]]+ProposalToGnatt[[#This Row],[Days]]),$G$5,"")),"")</f>
        <v/>
      </c>
      <c r="BG71" s="37" t="str">
        <f ca="1">IFERROR(+IF(BG$29=ProposalToGnatt[[#This Row],[Start Date]],Milestone_Marker,IF(AND(BG$29&gt;ProposalToGnatt[[#This Row],[Start Date]],BG$29&lt;ProposalToGnatt[[#This Row],[Start Date]]+ProposalToGnatt[[#This Row],[Days]]),$G$5,"")),"")</f>
        <v/>
      </c>
      <c r="BH71" s="37" t="str">
        <f ca="1">IFERROR(+IF(BH$29=ProposalToGnatt[[#This Row],[Start Date]],Milestone_Marker,IF(AND(BH$29&gt;ProposalToGnatt[[#This Row],[Start Date]],BH$29&lt;ProposalToGnatt[[#This Row],[Start Date]]+ProposalToGnatt[[#This Row],[Days]]),$G$5,"")),"")</f>
        <v/>
      </c>
      <c r="BI71" s="37" t="str">
        <f ca="1">IFERROR(+IF(BI$29=ProposalToGnatt[[#This Row],[Start Date]],Milestone_Marker,IF(AND(BI$29&gt;ProposalToGnatt[[#This Row],[Start Date]],BI$29&lt;ProposalToGnatt[[#This Row],[Start Date]]+ProposalToGnatt[[#This Row],[Days]]),$G$5,"")),"")</f>
        <v/>
      </c>
      <c r="BJ71" s="37" t="str">
        <f ca="1">IFERROR(+IF(BJ$29=ProposalToGnatt[[#This Row],[Start Date]],Milestone_Marker,IF(AND(BJ$29&gt;ProposalToGnatt[[#This Row],[Start Date]],BJ$29&lt;ProposalToGnatt[[#This Row],[Start Date]]+ProposalToGnatt[[#This Row],[Days]]),$G$5,"")),"")</f>
        <v/>
      </c>
      <c r="BK71" s="37" t="str">
        <f ca="1">IFERROR(+IF(BK$29=ProposalToGnatt[[#This Row],[Start Date]],Milestone_Marker,IF(AND(BK$29&gt;ProposalToGnatt[[#This Row],[Start Date]],BK$29&lt;ProposalToGnatt[[#This Row],[Start Date]]+ProposalToGnatt[[#This Row],[Days]]),$G$5,"")),"")</f>
        <v/>
      </c>
      <c r="BL71" s="37" t="str">
        <f ca="1">IFERROR(+IF(BL$29=ProposalToGnatt[[#This Row],[Start Date]],Milestone_Marker,IF(AND(BL$29&gt;ProposalToGnatt[[#This Row],[Start Date]],BL$29&lt;ProposalToGnatt[[#This Row],[Start Date]]+ProposalToGnatt[[#This Row],[Days]]),$G$5,"")),"")</f>
        <v/>
      </c>
      <c r="BM71" s="37" t="str">
        <f ca="1">IFERROR(+IF(BM$29=ProposalToGnatt[[#This Row],[Start Date]],Milestone_Marker,IF(AND(BM$29&gt;ProposalToGnatt[[#This Row],[Start Date]],BM$29&lt;ProposalToGnatt[[#This Row],[Start Date]]+ProposalToGnatt[[#This Row],[Days]]),$G$5,"")),"")</f>
        <v/>
      </c>
      <c r="BN71" s="37" t="str">
        <f ca="1">IFERROR(+IF(BN$29=ProposalToGnatt[[#This Row],[Start Date]],Milestone_Marker,IF(AND(BN$29&gt;ProposalToGnatt[[#This Row],[Start Date]],BN$29&lt;ProposalToGnatt[[#This Row],[Start Date]]+ProposalToGnatt[[#This Row],[Days]]),$G$5,"")),"")</f>
        <v/>
      </c>
      <c r="BO71" s="37" t="str">
        <f ca="1">IFERROR(+IF(BO$29=ProposalToGnatt[[#This Row],[Start Date]],Milestone_Marker,IF(AND(BO$29&gt;ProposalToGnatt[[#This Row],[Start Date]],BO$29&lt;ProposalToGnatt[[#This Row],[Start Date]]+ProposalToGnatt[[#This Row],[Days]]),$G$5,"")),"")</f>
        <v/>
      </c>
      <c r="BP71" s="37" t="str">
        <f ca="1">IFERROR(+IF(BP$29=ProposalToGnatt[[#This Row],[Start Date]],Milestone_Marker,IF(AND(BP$29&gt;ProposalToGnatt[[#This Row],[Start Date]],BP$29&lt;ProposalToGnatt[[#This Row],[Start Date]]+ProposalToGnatt[[#This Row],[Days]]),$G$5,"")),"")</f>
        <v/>
      </c>
      <c r="BQ71" s="37" t="str">
        <f ca="1">IFERROR(+IF(BQ$29=ProposalToGnatt[[#This Row],[Start Date]],Milestone_Marker,IF(AND(BQ$29&gt;ProposalToGnatt[[#This Row],[Start Date]],BQ$29&lt;ProposalToGnatt[[#This Row],[Start Date]]+ProposalToGnatt[[#This Row],[Days]]),$G$5,"")),"")</f>
        <v/>
      </c>
      <c r="BR71" s="37" t="str">
        <f ca="1">IFERROR(+IF(BR$29=ProposalToGnatt[[#This Row],[Start Date]],Milestone_Marker,IF(AND(BR$29&gt;ProposalToGnatt[[#This Row],[Start Date]],BR$29&lt;ProposalToGnatt[[#This Row],[Start Date]]+ProposalToGnatt[[#This Row],[Days]]),$G$5,"")),"")</f>
        <v/>
      </c>
      <c r="BS71" s="37" t="str">
        <f ca="1">IFERROR(+IF(BS$29=ProposalToGnatt[[#This Row],[Start Date]],Milestone_Marker,IF(AND(BS$29&gt;ProposalToGnatt[[#This Row],[Start Date]],BS$29&lt;ProposalToGnatt[[#This Row],[Start Date]]+ProposalToGnatt[[#This Row],[Days]]),$G$5,"")),"")</f>
        <v/>
      </c>
      <c r="BT71" s="37" t="str">
        <f ca="1">IFERROR(+IF(BT$29=ProposalToGnatt[[#This Row],[Start Date]],Milestone_Marker,IF(AND(BT$29&gt;ProposalToGnatt[[#This Row],[Start Date]],BT$29&lt;ProposalToGnatt[[#This Row],[Start Date]]+ProposalToGnatt[[#This Row],[Days]]),$G$5,"")),"")</f>
        <v/>
      </c>
      <c r="BU71" s="37" t="str">
        <f ca="1">IFERROR(+IF(BU$29=ProposalToGnatt[[#This Row],[Start Date]],Milestone_Marker,IF(AND(BU$29&gt;ProposalToGnatt[[#This Row],[Start Date]],BU$29&lt;ProposalToGnatt[[#This Row],[Start Date]]+ProposalToGnatt[[#This Row],[Days]]),$G$5,"")),"")</f>
        <v/>
      </c>
      <c r="BV71" s="37" t="str">
        <f ca="1">IFERROR(+IF(BV$29=ProposalToGnatt[[#This Row],[Start Date]],Milestone_Marker,IF(AND(BV$29&gt;ProposalToGnatt[[#This Row],[Start Date]],BV$29&lt;ProposalToGnatt[[#This Row],[Start Date]]+ProposalToGnatt[[#This Row],[Days]]),$G$5,"")),"")</f>
        <v/>
      </c>
      <c r="BW71" s="37" t="str">
        <f ca="1">IFERROR(+IF(BW$29=ProposalToGnatt[[#This Row],[Start Date]],Milestone_Marker,IF(AND(BW$29&gt;ProposalToGnatt[[#This Row],[Start Date]],BW$29&lt;ProposalToGnatt[[#This Row],[Start Date]]+ProposalToGnatt[[#This Row],[Days]]),$G$5,"")),"")</f>
        <v/>
      </c>
      <c r="BX71" s="37" t="str">
        <f ca="1">IFERROR(+IF(BX$29=ProposalToGnatt[[#This Row],[Start Date]],Milestone_Marker,IF(AND(BX$29&gt;ProposalToGnatt[[#This Row],[Start Date]],BX$29&lt;ProposalToGnatt[[#This Row],[Start Date]]+ProposalToGnatt[[#This Row],[Days]]),$G$5,"")),"")</f>
        <v/>
      </c>
      <c r="BY71" s="37" t="str">
        <f ca="1">IFERROR(+IF(BY$29=ProposalToGnatt[[#This Row],[Start Date]],Milestone_Marker,IF(AND(BY$29&gt;ProposalToGnatt[[#This Row],[Start Date]],BY$29&lt;ProposalToGnatt[[#This Row],[Start Date]]+ProposalToGnatt[[#This Row],[Days]]),$G$5,"")),"")</f>
        <v/>
      </c>
      <c r="BZ71" s="37" t="str">
        <f ca="1">IFERROR(+IF(BZ$29=ProposalToGnatt[[#This Row],[Start Date]],Milestone_Marker,IF(AND(BZ$29&gt;ProposalToGnatt[[#This Row],[Start Date]],BZ$29&lt;ProposalToGnatt[[#This Row],[Start Date]]+ProposalToGnatt[[#This Row],[Days]]),$G$5,"")),"")</f>
        <v/>
      </c>
      <c r="CA71" s="37" t="str">
        <f ca="1">IFERROR(+IF(CA$29=ProposalToGnatt[[#This Row],[Start Date]],Milestone_Marker,IF(AND(CA$29&gt;ProposalToGnatt[[#This Row],[Start Date]],CA$29&lt;ProposalToGnatt[[#This Row],[Start Date]]+ProposalToGnatt[[#This Row],[Days]]),$G$5,"")),"")</f>
        <v/>
      </c>
      <c r="CB71" s="37" t="str">
        <f ca="1">IFERROR(+IF(CB$29=ProposalToGnatt[[#This Row],[Start Date]],Milestone_Marker,IF(AND(CB$29&gt;ProposalToGnatt[[#This Row],[Start Date]],CB$29&lt;ProposalToGnatt[[#This Row],[Start Date]]+ProposalToGnatt[[#This Row],[Days]]),$G$5,"")),"")</f>
        <v/>
      </c>
      <c r="CC71" s="37" t="str">
        <f ca="1">IFERROR(+IF(CC$29=ProposalToGnatt[[#This Row],[Start Date]],Milestone_Marker,IF(AND(CC$29&gt;ProposalToGnatt[[#This Row],[Start Date]],CC$29&lt;ProposalToGnatt[[#This Row],[Start Date]]+ProposalToGnatt[[#This Row],[Days]]),$G$5,"")),"")</f>
        <v/>
      </c>
      <c r="CD71" s="37" t="str">
        <f ca="1">IFERROR(+IF(CD$29=ProposalToGnatt[[#This Row],[Start Date]],Milestone_Marker,IF(AND(CD$29&gt;ProposalToGnatt[[#This Row],[Start Date]],CD$29&lt;ProposalToGnatt[[#This Row],[Start Date]]+ProposalToGnatt[[#This Row],[Days]]),$G$5,"")),"")</f>
        <v/>
      </c>
      <c r="CE71" s="37" t="str">
        <f ca="1">IFERROR(+IF(CE$29=ProposalToGnatt[[#This Row],[Start Date]],Milestone_Marker,IF(AND(CE$29&gt;ProposalToGnatt[[#This Row],[Start Date]],CE$29&lt;ProposalToGnatt[[#This Row],[Start Date]]+ProposalToGnatt[[#This Row],[Days]]),$G$5,"")),"")</f>
        <v/>
      </c>
      <c r="CF71" s="37" t="str">
        <f ca="1">IFERROR(+IF(CF$29=ProposalToGnatt[[#This Row],[Start Date]],Milestone_Marker,IF(AND(CF$29&gt;ProposalToGnatt[[#This Row],[Start Date]],CF$29&lt;ProposalToGnatt[[#This Row],[Start Date]]+ProposalToGnatt[[#This Row],[Days]]),$G$5,"")),"")</f>
        <v/>
      </c>
      <c r="CG71" s="37" t="str">
        <f ca="1">IFERROR(+IF(CG$29=ProposalToGnatt[[#This Row],[Start Date]],Milestone_Marker,IF(AND(CG$29&gt;ProposalToGnatt[[#This Row],[Start Date]],CG$29&lt;ProposalToGnatt[[#This Row],[Start Date]]+ProposalToGnatt[[#This Row],[Days]]),$G$5,"")),"")</f>
        <v/>
      </c>
      <c r="CH71" s="37" t="str">
        <f ca="1">IFERROR(+IF(CH$29=ProposalToGnatt[[#This Row],[Start Date]],Milestone_Marker,IF(AND(CH$29&gt;ProposalToGnatt[[#This Row],[Start Date]],CH$29&lt;ProposalToGnatt[[#This Row],[Start Date]]+ProposalToGnatt[[#This Row],[Days]]),$G$5,"")),"")</f>
        <v/>
      </c>
      <c r="CI71" s="37" t="str">
        <f ca="1">IFERROR(+IF(CI$29=ProposalToGnatt[[#This Row],[Start Date]],Milestone_Marker,IF(AND(CI$29&gt;ProposalToGnatt[[#This Row],[Start Date]],CI$29&lt;ProposalToGnatt[[#This Row],[Start Date]]+ProposalToGnatt[[#This Row],[Days]]),$G$5,"")),"")</f>
        <v/>
      </c>
      <c r="CJ71" s="37" t="str">
        <f ca="1">IFERROR(+IF(CJ$29=ProposalToGnatt[[#This Row],[Start Date]],Milestone_Marker,IF(AND(CJ$29&gt;ProposalToGnatt[[#This Row],[Start Date]],CJ$29&lt;ProposalToGnatt[[#This Row],[Start Date]]+ProposalToGnatt[[#This Row],[Days]]),$G$5,"")),"")</f>
        <v/>
      </c>
      <c r="CK71" s="37" t="str">
        <f ca="1">IFERROR(+IF(CK$29=ProposalToGnatt[[#This Row],[Start Date]],Milestone_Marker,IF(AND(CK$29&gt;ProposalToGnatt[[#This Row],[Start Date]],CK$29&lt;ProposalToGnatt[[#This Row],[Start Date]]+ProposalToGnatt[[#This Row],[Days]]),$G$5,"")),"")</f>
        <v/>
      </c>
      <c r="CL71" s="37" t="str">
        <f ca="1">IFERROR(+IF(CL$29=ProposalToGnatt[[#This Row],[Start Date]],Milestone_Marker,IF(AND(CL$29&gt;ProposalToGnatt[[#This Row],[Start Date]],CL$29&lt;ProposalToGnatt[[#This Row],[Start Date]]+ProposalToGnatt[[#This Row],[Days]]),$G$5,"")),"")</f>
        <v/>
      </c>
      <c r="CM71" s="37" t="str">
        <f ca="1">IFERROR(+IF(CM$29=ProposalToGnatt[[#This Row],[Start Date]],Milestone_Marker,IF(AND(CM$29&gt;ProposalToGnatt[[#This Row],[Start Date]],CM$29&lt;ProposalToGnatt[[#This Row],[Start Date]]+ProposalToGnatt[[#This Row],[Days]]),$G$5,"")),"")</f>
        <v/>
      </c>
      <c r="CN71" s="37" t="str">
        <f ca="1">IFERROR(+IF(CN$29=ProposalToGnatt[[#This Row],[Start Date]],Milestone_Marker,IF(AND(CN$29&gt;ProposalToGnatt[[#This Row],[Start Date]],CN$29&lt;ProposalToGnatt[[#This Row],[Start Date]]+ProposalToGnatt[[#This Row],[Days]]),$G$5,"")),"")</f>
        <v/>
      </c>
      <c r="CO71" s="37" t="str">
        <f ca="1">IFERROR(+IF(CO$29=ProposalToGnatt[[#This Row],[Start Date]],Milestone_Marker,IF(AND(CO$29&gt;ProposalToGnatt[[#This Row],[Start Date]],CO$29&lt;ProposalToGnatt[[#This Row],[Start Date]]+ProposalToGnatt[[#This Row],[Days]]),$G$5,"")),"")</f>
        <v/>
      </c>
      <c r="CP71" s="37" t="str">
        <f ca="1">IFERROR(+IF(CP$29=ProposalToGnatt[[#This Row],[Start Date]],Milestone_Marker,IF(AND(CP$29&gt;ProposalToGnatt[[#This Row],[Start Date]],CP$29&lt;ProposalToGnatt[[#This Row],[Start Date]]+ProposalToGnatt[[#This Row],[Days]]),$G$5,"")),"")</f>
        <v/>
      </c>
      <c r="CQ71" s="37" t="str">
        <f ca="1">IFERROR(+IF(CQ$29=ProposalToGnatt[[#This Row],[Start Date]],Milestone_Marker,IF(AND(CQ$29&gt;ProposalToGnatt[[#This Row],[Start Date]],CQ$29&lt;ProposalToGnatt[[#This Row],[Start Date]]+ProposalToGnatt[[#This Row],[Days]]),$G$5,"")),"")</f>
        <v/>
      </c>
      <c r="CR71" s="37" t="str">
        <f ca="1">IFERROR(+IF(CR$29=ProposalToGnatt[[#This Row],[Start Date]],Milestone_Marker,IF(AND(CR$29&gt;ProposalToGnatt[[#This Row],[Start Date]],CR$29&lt;ProposalToGnatt[[#This Row],[Start Date]]+ProposalToGnatt[[#This Row],[Days]]),$G$5,"")),"")</f>
        <v/>
      </c>
      <c r="CS71" s="37" t="str">
        <f ca="1">IFERROR(+IF(CS$29=ProposalToGnatt[[#This Row],[Start Date]],Milestone_Marker,IF(AND(CS$29&gt;ProposalToGnatt[[#This Row],[Start Date]],CS$29&lt;ProposalToGnatt[[#This Row],[Start Date]]+ProposalToGnatt[[#This Row],[Days]]),$G$5,"")),"")</f>
        <v/>
      </c>
      <c r="CT71" s="37" t="str">
        <f ca="1">IFERROR(+IF(CT$29=ProposalToGnatt[[#This Row],[Start Date]],Milestone_Marker,IF(AND(CT$29&gt;ProposalToGnatt[[#This Row],[Start Date]],CT$29&lt;ProposalToGnatt[[#This Row],[Start Date]]+ProposalToGnatt[[#This Row],[Days]]),$G$5,"")),"")</f>
        <v/>
      </c>
      <c r="CU71" s="37" t="str">
        <f ca="1">IFERROR(+IF(CU$29=ProposalToGnatt[[#This Row],[Start Date]],Milestone_Marker,IF(AND(CU$29&gt;ProposalToGnatt[[#This Row],[Start Date]],CU$29&lt;ProposalToGnatt[[#This Row],[Start Date]]+ProposalToGnatt[[#This Row],[Days]]),$G$5,"")),"")</f>
        <v/>
      </c>
      <c r="CV71" s="37"/>
      <c r="CW71" s="37"/>
      <c r="CX71" s="37"/>
      <c r="CY71" s="37"/>
      <c r="CZ71" s="37"/>
      <c r="DA71" s="37"/>
      <c r="DB71" s="37"/>
      <c r="DC71" s="37"/>
      <c r="DD71" s="37"/>
      <c r="DE71" s="37"/>
      <c r="DF71" s="37"/>
      <c r="DG71" s="37"/>
      <c r="DH71" s="37"/>
      <c r="DI71" s="37"/>
      <c r="DJ71" s="37"/>
      <c r="DK71" s="37"/>
      <c r="DL71" s="37"/>
      <c r="DM71" s="37"/>
      <c r="DN71" s="37"/>
      <c r="DO71" s="37"/>
      <c r="DP71" s="37"/>
      <c r="DQ71" s="37"/>
      <c r="DR71" s="37"/>
      <c r="DS71" s="37"/>
      <c r="DT71" s="37"/>
      <c r="DU71" s="37"/>
    </row>
    <row r="72" spans="1:125" s="42" customFormat="1" ht="15" x14ac:dyDescent="0.25">
      <c r="A72" t="s">
        <v>428</v>
      </c>
      <c r="B72">
        <v>47</v>
      </c>
      <c r="C72" t="s">
        <v>339</v>
      </c>
      <c r="D72" t="s">
        <v>375</v>
      </c>
      <c r="E72" t="s">
        <v>376</v>
      </c>
      <c r="F72">
        <v>1</v>
      </c>
      <c r="G72" s="14"/>
      <c r="H72" s="14"/>
      <c r="I72"/>
      <c r="J72">
        <v>2</v>
      </c>
      <c r="K72" s="303"/>
      <c r="L72"/>
      <c r="M72" s="14"/>
      <c r="N72" s="352"/>
      <c r="O72" s="340"/>
      <c r="P72" s="37" t="str">
        <f ca="1">IFERROR(+IF(P$29=ProposalToGnatt[[#This Row],[Start Date]],Milestone_Marker,IF(AND(P$29&gt;ProposalToGnatt[[#This Row],[Start Date]],P$29&lt;ProposalToGnatt[[#This Row],[Start Date]]+ProposalToGnatt[[#This Row],[Days]]),$G$5,"")),"")</f>
        <v/>
      </c>
      <c r="Q72" s="37" t="str">
        <f ca="1">IFERROR(+IF(Q$29=ProposalToGnatt[[#This Row],[Start Date]],Milestone_Marker,IF(AND(Q$29&gt;ProposalToGnatt[[#This Row],[Start Date]],Q$29&lt;ProposalToGnatt[[#This Row],[Start Date]]+ProposalToGnatt[[#This Row],[Days]]),$G$5,"")),"")</f>
        <v/>
      </c>
      <c r="R72" s="37" t="str">
        <f ca="1">IFERROR(+IF(R$29=ProposalToGnatt[[#This Row],[Start Date]],Milestone_Marker,IF(AND(R$29&gt;ProposalToGnatt[[#This Row],[Start Date]],R$29&lt;ProposalToGnatt[[#This Row],[Start Date]]+ProposalToGnatt[[#This Row],[Days]]),$G$5,"")),"")</f>
        <v/>
      </c>
      <c r="S72" s="37" t="str">
        <f ca="1">IFERROR(+IF(S$29=ProposalToGnatt[[#This Row],[Start Date]],Milestone_Marker,IF(AND(S$29&gt;ProposalToGnatt[[#This Row],[Start Date]],S$29&lt;ProposalToGnatt[[#This Row],[Start Date]]+ProposalToGnatt[[#This Row],[Days]]),$G$5,"")),"")</f>
        <v/>
      </c>
      <c r="T72" s="37" t="str">
        <f ca="1">IFERROR(+IF(T$29=ProposalToGnatt[[#This Row],[Start Date]],Milestone_Marker,IF(AND(T$29&gt;ProposalToGnatt[[#This Row],[Start Date]],T$29&lt;ProposalToGnatt[[#This Row],[Start Date]]+ProposalToGnatt[[#This Row],[Days]]),$G$5,"")),"")</f>
        <v/>
      </c>
      <c r="U72" s="37" t="str">
        <f ca="1">IFERROR(+IF(U$29=ProposalToGnatt[[#This Row],[Start Date]],Milestone_Marker,IF(AND(U$29&gt;ProposalToGnatt[[#This Row],[Start Date]],U$29&lt;ProposalToGnatt[[#This Row],[Start Date]]+ProposalToGnatt[[#This Row],[Days]]),$G$5,"")),"")</f>
        <v/>
      </c>
      <c r="V72" s="37" t="str">
        <f ca="1">IFERROR(+IF(V$29=ProposalToGnatt[[#This Row],[Start Date]],Milestone_Marker,IF(AND(V$29&gt;ProposalToGnatt[[#This Row],[Start Date]],V$29&lt;ProposalToGnatt[[#This Row],[Start Date]]+ProposalToGnatt[[#This Row],[Days]]),$G$5,"")),"")</f>
        <v/>
      </c>
      <c r="W72" s="37" t="str">
        <f ca="1">IFERROR(+IF(W$29=ProposalToGnatt[[#This Row],[Start Date]],Milestone_Marker,IF(AND(W$29&gt;ProposalToGnatt[[#This Row],[Start Date]],W$29&lt;ProposalToGnatt[[#This Row],[Start Date]]+ProposalToGnatt[[#This Row],[Days]]),$G$5,"")),"")</f>
        <v/>
      </c>
      <c r="X72" s="37" t="str">
        <f ca="1">IFERROR(+IF(X$29=ProposalToGnatt[[#This Row],[Start Date]],Milestone_Marker,IF(AND(X$29&gt;ProposalToGnatt[[#This Row],[Start Date]],X$29&lt;ProposalToGnatt[[#This Row],[Start Date]]+ProposalToGnatt[[#This Row],[Days]]),$G$5,"")),"")</f>
        <v/>
      </c>
      <c r="Y72" s="37" t="str">
        <f ca="1">IFERROR(+IF(Y$29=ProposalToGnatt[[#This Row],[Start Date]],Milestone_Marker,IF(AND(Y$29&gt;ProposalToGnatt[[#This Row],[Start Date]],Y$29&lt;ProposalToGnatt[[#This Row],[Start Date]]+ProposalToGnatt[[#This Row],[Days]]),$G$5,"")),"")</f>
        <v/>
      </c>
      <c r="Z72" s="37" t="str">
        <f ca="1">IFERROR(+IF(Z$29=ProposalToGnatt[[#This Row],[Start Date]],Milestone_Marker,IF(AND(Z$29&gt;ProposalToGnatt[[#This Row],[Start Date]],Z$29&lt;ProposalToGnatt[[#This Row],[Start Date]]+ProposalToGnatt[[#This Row],[Days]]),$G$5,"")),"")</f>
        <v/>
      </c>
      <c r="AA72" s="37" t="str">
        <f ca="1">IFERROR(+IF(AA$29=ProposalToGnatt[[#This Row],[Start Date]],Milestone_Marker,IF(AND(AA$29&gt;ProposalToGnatt[[#This Row],[Start Date]],AA$29&lt;ProposalToGnatt[[#This Row],[Start Date]]+ProposalToGnatt[[#This Row],[Days]]),$G$5,"")),"")</f>
        <v/>
      </c>
      <c r="AB72" s="37" t="str">
        <f ca="1">IFERROR(+IF(AB$29=ProposalToGnatt[[#This Row],[Start Date]],Milestone_Marker,IF(AND(AB$29&gt;ProposalToGnatt[[#This Row],[Start Date]],AB$29&lt;ProposalToGnatt[[#This Row],[Start Date]]+ProposalToGnatt[[#This Row],[Days]]),$G$5,"")),"")</f>
        <v/>
      </c>
      <c r="AC72" s="37" t="str">
        <f ca="1">IFERROR(+IF(AC$29=ProposalToGnatt[[#This Row],[Start Date]],Milestone_Marker,IF(AND(AC$29&gt;ProposalToGnatt[[#This Row],[Start Date]],AC$29&lt;ProposalToGnatt[[#This Row],[Start Date]]+ProposalToGnatt[[#This Row],[Days]]),$G$5,"")),"")</f>
        <v/>
      </c>
      <c r="AD72" s="37" t="str">
        <f ca="1">IFERROR(+IF(AD$29=ProposalToGnatt[[#This Row],[Start Date]],Milestone_Marker,IF(AND(AD$29&gt;ProposalToGnatt[[#This Row],[Start Date]],AD$29&lt;ProposalToGnatt[[#This Row],[Start Date]]+ProposalToGnatt[[#This Row],[Days]]),$G$5,"")),"")</f>
        <v/>
      </c>
      <c r="AE72" s="37" t="str">
        <f ca="1">IFERROR(+IF(AE$29=ProposalToGnatt[[#This Row],[Start Date]],Milestone_Marker,IF(AND(AE$29&gt;ProposalToGnatt[[#This Row],[Start Date]],AE$29&lt;ProposalToGnatt[[#This Row],[Start Date]]+ProposalToGnatt[[#This Row],[Days]]),$G$5,"")),"")</f>
        <v/>
      </c>
      <c r="AF72" s="37" t="str">
        <f ca="1">IFERROR(+IF(AF$29=ProposalToGnatt[[#This Row],[Start Date]],Milestone_Marker,IF(AND(AF$29&gt;ProposalToGnatt[[#This Row],[Start Date]],AF$29&lt;ProposalToGnatt[[#This Row],[Start Date]]+ProposalToGnatt[[#This Row],[Days]]),$G$5,"")),"")</f>
        <v/>
      </c>
      <c r="AG72" s="37" t="str">
        <f ca="1">IFERROR(+IF(AG$29=ProposalToGnatt[[#This Row],[Start Date]],Milestone_Marker,IF(AND(AG$29&gt;ProposalToGnatt[[#This Row],[Start Date]],AG$29&lt;ProposalToGnatt[[#This Row],[Start Date]]+ProposalToGnatt[[#This Row],[Days]]),$G$5,"")),"")</f>
        <v/>
      </c>
      <c r="AH72" s="37" t="str">
        <f ca="1">IFERROR(+IF(AH$29=ProposalToGnatt[[#This Row],[Start Date]],Milestone_Marker,IF(AND(AH$29&gt;ProposalToGnatt[[#This Row],[Start Date]],AH$29&lt;ProposalToGnatt[[#This Row],[Start Date]]+ProposalToGnatt[[#This Row],[Days]]),$G$5,"")),"")</f>
        <v/>
      </c>
      <c r="AI72" s="37" t="str">
        <f ca="1">IFERROR(+IF(AI$29=ProposalToGnatt[[#This Row],[Start Date]],Milestone_Marker,IF(AND(AI$29&gt;ProposalToGnatt[[#This Row],[Start Date]],AI$29&lt;ProposalToGnatt[[#This Row],[Start Date]]+ProposalToGnatt[[#This Row],[Days]]),$G$5,"")),"")</f>
        <v/>
      </c>
      <c r="AJ72" s="37" t="str">
        <f ca="1">IFERROR(+IF(AJ$29=ProposalToGnatt[[#This Row],[Start Date]],Milestone_Marker,IF(AND(AJ$29&gt;ProposalToGnatt[[#This Row],[Start Date]],AJ$29&lt;ProposalToGnatt[[#This Row],[Start Date]]+ProposalToGnatt[[#This Row],[Days]]),$G$5,"")),"")</f>
        <v/>
      </c>
      <c r="AK72" s="37" t="str">
        <f ca="1">IFERROR(+IF(AK$29=ProposalToGnatt[[#This Row],[Start Date]],Milestone_Marker,IF(AND(AK$29&gt;ProposalToGnatt[[#This Row],[Start Date]],AK$29&lt;ProposalToGnatt[[#This Row],[Start Date]]+ProposalToGnatt[[#This Row],[Days]]),$G$5,"")),"")</f>
        <v/>
      </c>
      <c r="AL72" s="37" t="str">
        <f ca="1">IFERROR(+IF(AL$29=ProposalToGnatt[[#This Row],[Start Date]],Milestone_Marker,IF(AND(AL$29&gt;ProposalToGnatt[[#This Row],[Start Date]],AL$29&lt;ProposalToGnatt[[#This Row],[Start Date]]+ProposalToGnatt[[#This Row],[Days]]),$G$5,"")),"")</f>
        <v/>
      </c>
      <c r="AM72" s="37" t="str">
        <f ca="1">IFERROR(+IF(AM$29=ProposalToGnatt[[#This Row],[Start Date]],Milestone_Marker,IF(AND(AM$29&gt;ProposalToGnatt[[#This Row],[Start Date]],AM$29&lt;ProposalToGnatt[[#This Row],[Start Date]]+ProposalToGnatt[[#This Row],[Days]]),$G$5,"")),"")</f>
        <v/>
      </c>
      <c r="AN72" s="37" t="str">
        <f ca="1">IFERROR(+IF(AN$29=ProposalToGnatt[[#This Row],[Start Date]],Milestone_Marker,IF(AND(AN$29&gt;ProposalToGnatt[[#This Row],[Start Date]],AN$29&lt;ProposalToGnatt[[#This Row],[Start Date]]+ProposalToGnatt[[#This Row],[Days]]),$G$5,"")),"")</f>
        <v/>
      </c>
      <c r="AO72" s="37" t="str">
        <f ca="1">IFERROR(+IF(AO$29=ProposalToGnatt[[#This Row],[Start Date]],Milestone_Marker,IF(AND(AO$29&gt;ProposalToGnatt[[#This Row],[Start Date]],AO$29&lt;ProposalToGnatt[[#This Row],[Start Date]]+ProposalToGnatt[[#This Row],[Days]]),$G$5,"")),"")</f>
        <v/>
      </c>
      <c r="AP72" s="37" t="str">
        <f ca="1">IFERROR(+IF(AP$29=ProposalToGnatt[[#This Row],[Start Date]],Milestone_Marker,IF(AND(AP$29&gt;ProposalToGnatt[[#This Row],[Start Date]],AP$29&lt;ProposalToGnatt[[#This Row],[Start Date]]+ProposalToGnatt[[#This Row],[Days]]),$G$5,"")),"")</f>
        <v/>
      </c>
      <c r="AQ72" s="37" t="str">
        <f ca="1">IFERROR(+IF(AQ$29=ProposalToGnatt[[#This Row],[Start Date]],Milestone_Marker,IF(AND(AQ$29&gt;ProposalToGnatt[[#This Row],[Start Date]],AQ$29&lt;ProposalToGnatt[[#This Row],[Start Date]]+ProposalToGnatt[[#This Row],[Days]]),$G$5,"")),"")</f>
        <v/>
      </c>
      <c r="AR72" s="37" t="str">
        <f ca="1">IFERROR(+IF(AR$29=ProposalToGnatt[[#This Row],[Start Date]],Milestone_Marker,IF(AND(AR$29&gt;ProposalToGnatt[[#This Row],[Start Date]],AR$29&lt;ProposalToGnatt[[#This Row],[Start Date]]+ProposalToGnatt[[#This Row],[Days]]),$G$5,"")),"")</f>
        <v/>
      </c>
      <c r="AS72" s="37" t="str">
        <f ca="1">IFERROR(+IF(AS$29=ProposalToGnatt[[#This Row],[Start Date]],Milestone_Marker,IF(AND(AS$29&gt;ProposalToGnatt[[#This Row],[Start Date]],AS$29&lt;ProposalToGnatt[[#This Row],[Start Date]]+ProposalToGnatt[[#This Row],[Days]]),$G$5,"")),"")</f>
        <v/>
      </c>
      <c r="AT72" s="37" t="str">
        <f ca="1">IFERROR(+IF(AT$29=ProposalToGnatt[[#This Row],[Start Date]],Milestone_Marker,IF(AND(AT$29&gt;ProposalToGnatt[[#This Row],[Start Date]],AT$29&lt;ProposalToGnatt[[#This Row],[Start Date]]+ProposalToGnatt[[#This Row],[Days]]),$G$5,"")),"")</f>
        <v/>
      </c>
      <c r="AU72" s="37" t="str">
        <f ca="1">IFERROR(+IF(AU$29=ProposalToGnatt[[#This Row],[Start Date]],Milestone_Marker,IF(AND(AU$29&gt;ProposalToGnatt[[#This Row],[Start Date]],AU$29&lt;ProposalToGnatt[[#This Row],[Start Date]]+ProposalToGnatt[[#This Row],[Days]]),$G$5,"")),"")</f>
        <v/>
      </c>
      <c r="AV72" s="37" t="str">
        <f ca="1">IFERROR(+IF(AV$29=ProposalToGnatt[[#This Row],[Start Date]],Milestone_Marker,IF(AND(AV$29&gt;ProposalToGnatt[[#This Row],[Start Date]],AV$29&lt;ProposalToGnatt[[#This Row],[Start Date]]+ProposalToGnatt[[#This Row],[Days]]),$G$5,"")),"")</f>
        <v/>
      </c>
      <c r="AW72" s="37" t="str">
        <f ca="1">IFERROR(+IF(AW$29=ProposalToGnatt[[#This Row],[Start Date]],Milestone_Marker,IF(AND(AW$29&gt;ProposalToGnatt[[#This Row],[Start Date]],AW$29&lt;ProposalToGnatt[[#This Row],[Start Date]]+ProposalToGnatt[[#This Row],[Days]]),$G$5,"")),"")</f>
        <v/>
      </c>
      <c r="AX72" s="37" t="str">
        <f ca="1">IFERROR(+IF(AX$29=ProposalToGnatt[[#This Row],[Start Date]],Milestone_Marker,IF(AND(AX$29&gt;ProposalToGnatt[[#This Row],[Start Date]],AX$29&lt;ProposalToGnatt[[#This Row],[Start Date]]+ProposalToGnatt[[#This Row],[Days]]),$G$5,"")),"")</f>
        <v/>
      </c>
      <c r="AY72" s="37" t="str">
        <f ca="1">IFERROR(+IF(AY$29=ProposalToGnatt[[#This Row],[Start Date]],Milestone_Marker,IF(AND(AY$29&gt;ProposalToGnatt[[#This Row],[Start Date]],AY$29&lt;ProposalToGnatt[[#This Row],[Start Date]]+ProposalToGnatt[[#This Row],[Days]]),$G$5,"")),"")</f>
        <v/>
      </c>
      <c r="AZ72" s="37" t="str">
        <f ca="1">IFERROR(+IF(AZ$29=ProposalToGnatt[[#This Row],[Start Date]],Milestone_Marker,IF(AND(AZ$29&gt;ProposalToGnatt[[#This Row],[Start Date]],AZ$29&lt;ProposalToGnatt[[#This Row],[Start Date]]+ProposalToGnatt[[#This Row],[Days]]),$G$5,"")),"")</f>
        <v/>
      </c>
      <c r="BA72" s="37" t="str">
        <f ca="1">IFERROR(+IF(BA$29=ProposalToGnatt[[#This Row],[Start Date]],Milestone_Marker,IF(AND(BA$29&gt;ProposalToGnatt[[#This Row],[Start Date]],BA$29&lt;ProposalToGnatt[[#This Row],[Start Date]]+ProposalToGnatt[[#This Row],[Days]]),$G$5,"")),"")</f>
        <v/>
      </c>
      <c r="BB72" s="37" t="str">
        <f ca="1">IFERROR(+IF(BB$29=ProposalToGnatt[[#This Row],[Start Date]],Milestone_Marker,IF(AND(BB$29&gt;ProposalToGnatt[[#This Row],[Start Date]],BB$29&lt;ProposalToGnatt[[#This Row],[Start Date]]+ProposalToGnatt[[#This Row],[Days]]),$G$5,"")),"")</f>
        <v/>
      </c>
      <c r="BC72" s="37" t="str">
        <f ca="1">IFERROR(+IF(BC$29=ProposalToGnatt[[#This Row],[Start Date]],Milestone_Marker,IF(AND(BC$29&gt;ProposalToGnatt[[#This Row],[Start Date]],BC$29&lt;ProposalToGnatt[[#This Row],[Start Date]]+ProposalToGnatt[[#This Row],[Days]]),$G$5,"")),"")</f>
        <v/>
      </c>
      <c r="BD72" s="37" t="str">
        <f ca="1">IFERROR(+IF(BD$29=ProposalToGnatt[[#This Row],[Start Date]],Milestone_Marker,IF(AND(BD$29&gt;ProposalToGnatt[[#This Row],[Start Date]],BD$29&lt;ProposalToGnatt[[#This Row],[Start Date]]+ProposalToGnatt[[#This Row],[Days]]),$G$5,"")),"")</f>
        <v/>
      </c>
      <c r="BE72" s="37" t="str">
        <f ca="1">IFERROR(+IF(BE$29=ProposalToGnatt[[#This Row],[Start Date]],Milestone_Marker,IF(AND(BE$29&gt;ProposalToGnatt[[#This Row],[Start Date]],BE$29&lt;ProposalToGnatt[[#This Row],[Start Date]]+ProposalToGnatt[[#This Row],[Days]]),$G$5,"")),"")</f>
        <v/>
      </c>
      <c r="BF72" s="37" t="str">
        <f ca="1">IFERROR(+IF(BF$29=ProposalToGnatt[[#This Row],[Start Date]],Milestone_Marker,IF(AND(BF$29&gt;ProposalToGnatt[[#This Row],[Start Date]],BF$29&lt;ProposalToGnatt[[#This Row],[Start Date]]+ProposalToGnatt[[#This Row],[Days]]),$G$5,"")),"")</f>
        <v/>
      </c>
      <c r="BG72" s="37" t="str">
        <f ca="1">IFERROR(+IF(BG$29=ProposalToGnatt[[#This Row],[Start Date]],Milestone_Marker,IF(AND(BG$29&gt;ProposalToGnatt[[#This Row],[Start Date]],BG$29&lt;ProposalToGnatt[[#This Row],[Start Date]]+ProposalToGnatt[[#This Row],[Days]]),$G$5,"")),"")</f>
        <v/>
      </c>
      <c r="BH72" s="37" t="str">
        <f ca="1">IFERROR(+IF(BH$29=ProposalToGnatt[[#This Row],[Start Date]],Milestone_Marker,IF(AND(BH$29&gt;ProposalToGnatt[[#This Row],[Start Date]],BH$29&lt;ProposalToGnatt[[#This Row],[Start Date]]+ProposalToGnatt[[#This Row],[Days]]),$G$5,"")),"")</f>
        <v/>
      </c>
      <c r="BI72" s="37" t="str">
        <f ca="1">IFERROR(+IF(BI$29=ProposalToGnatt[[#This Row],[Start Date]],Milestone_Marker,IF(AND(BI$29&gt;ProposalToGnatt[[#This Row],[Start Date]],BI$29&lt;ProposalToGnatt[[#This Row],[Start Date]]+ProposalToGnatt[[#This Row],[Days]]),$G$5,"")),"")</f>
        <v/>
      </c>
      <c r="BJ72" s="37" t="str">
        <f ca="1">IFERROR(+IF(BJ$29=ProposalToGnatt[[#This Row],[Start Date]],Milestone_Marker,IF(AND(BJ$29&gt;ProposalToGnatt[[#This Row],[Start Date]],BJ$29&lt;ProposalToGnatt[[#This Row],[Start Date]]+ProposalToGnatt[[#This Row],[Days]]),$G$5,"")),"")</f>
        <v/>
      </c>
      <c r="BK72" s="37" t="str">
        <f ca="1">IFERROR(+IF(BK$29=ProposalToGnatt[[#This Row],[Start Date]],Milestone_Marker,IF(AND(BK$29&gt;ProposalToGnatt[[#This Row],[Start Date]],BK$29&lt;ProposalToGnatt[[#This Row],[Start Date]]+ProposalToGnatt[[#This Row],[Days]]),$G$5,"")),"")</f>
        <v/>
      </c>
      <c r="BL72" s="37" t="str">
        <f ca="1">IFERROR(+IF(BL$29=ProposalToGnatt[[#This Row],[Start Date]],Milestone_Marker,IF(AND(BL$29&gt;ProposalToGnatt[[#This Row],[Start Date]],BL$29&lt;ProposalToGnatt[[#This Row],[Start Date]]+ProposalToGnatt[[#This Row],[Days]]),$G$5,"")),"")</f>
        <v/>
      </c>
      <c r="BM72" s="37" t="str">
        <f ca="1">IFERROR(+IF(BM$29=ProposalToGnatt[[#This Row],[Start Date]],Milestone_Marker,IF(AND(BM$29&gt;ProposalToGnatt[[#This Row],[Start Date]],BM$29&lt;ProposalToGnatt[[#This Row],[Start Date]]+ProposalToGnatt[[#This Row],[Days]]),$G$5,"")),"")</f>
        <v/>
      </c>
      <c r="BN72" s="37" t="str">
        <f ca="1">IFERROR(+IF(BN$29=ProposalToGnatt[[#This Row],[Start Date]],Milestone_Marker,IF(AND(BN$29&gt;ProposalToGnatt[[#This Row],[Start Date]],BN$29&lt;ProposalToGnatt[[#This Row],[Start Date]]+ProposalToGnatt[[#This Row],[Days]]),$G$5,"")),"")</f>
        <v/>
      </c>
      <c r="BO72" s="37" t="str">
        <f ca="1">IFERROR(+IF(BO$29=ProposalToGnatt[[#This Row],[Start Date]],Milestone_Marker,IF(AND(BO$29&gt;ProposalToGnatt[[#This Row],[Start Date]],BO$29&lt;ProposalToGnatt[[#This Row],[Start Date]]+ProposalToGnatt[[#This Row],[Days]]),$G$5,"")),"")</f>
        <v/>
      </c>
      <c r="BP72" s="37" t="str">
        <f ca="1">IFERROR(+IF(BP$29=ProposalToGnatt[[#This Row],[Start Date]],Milestone_Marker,IF(AND(BP$29&gt;ProposalToGnatt[[#This Row],[Start Date]],BP$29&lt;ProposalToGnatt[[#This Row],[Start Date]]+ProposalToGnatt[[#This Row],[Days]]),$G$5,"")),"")</f>
        <v/>
      </c>
      <c r="BQ72" s="37" t="str">
        <f ca="1">IFERROR(+IF(BQ$29=ProposalToGnatt[[#This Row],[Start Date]],Milestone_Marker,IF(AND(BQ$29&gt;ProposalToGnatt[[#This Row],[Start Date]],BQ$29&lt;ProposalToGnatt[[#This Row],[Start Date]]+ProposalToGnatt[[#This Row],[Days]]),$G$5,"")),"")</f>
        <v/>
      </c>
      <c r="BR72" s="37" t="str">
        <f ca="1">IFERROR(+IF(BR$29=ProposalToGnatt[[#This Row],[Start Date]],Milestone_Marker,IF(AND(BR$29&gt;ProposalToGnatt[[#This Row],[Start Date]],BR$29&lt;ProposalToGnatt[[#This Row],[Start Date]]+ProposalToGnatt[[#This Row],[Days]]),$G$5,"")),"")</f>
        <v/>
      </c>
      <c r="BS72" s="37" t="str">
        <f ca="1">IFERROR(+IF(BS$29=ProposalToGnatt[[#This Row],[Start Date]],Milestone_Marker,IF(AND(BS$29&gt;ProposalToGnatt[[#This Row],[Start Date]],BS$29&lt;ProposalToGnatt[[#This Row],[Start Date]]+ProposalToGnatt[[#This Row],[Days]]),$G$5,"")),"")</f>
        <v/>
      </c>
      <c r="BT72" s="37" t="str">
        <f ca="1">IFERROR(+IF(BT$29=ProposalToGnatt[[#This Row],[Start Date]],Milestone_Marker,IF(AND(BT$29&gt;ProposalToGnatt[[#This Row],[Start Date]],BT$29&lt;ProposalToGnatt[[#This Row],[Start Date]]+ProposalToGnatt[[#This Row],[Days]]),$G$5,"")),"")</f>
        <v/>
      </c>
      <c r="BU72" s="37" t="str">
        <f ca="1">IFERROR(+IF(BU$29=ProposalToGnatt[[#This Row],[Start Date]],Milestone_Marker,IF(AND(BU$29&gt;ProposalToGnatt[[#This Row],[Start Date]],BU$29&lt;ProposalToGnatt[[#This Row],[Start Date]]+ProposalToGnatt[[#This Row],[Days]]),$G$5,"")),"")</f>
        <v/>
      </c>
      <c r="BV72" s="37" t="str">
        <f ca="1">IFERROR(+IF(BV$29=ProposalToGnatt[[#This Row],[Start Date]],Milestone_Marker,IF(AND(BV$29&gt;ProposalToGnatt[[#This Row],[Start Date]],BV$29&lt;ProposalToGnatt[[#This Row],[Start Date]]+ProposalToGnatt[[#This Row],[Days]]),$G$5,"")),"")</f>
        <v/>
      </c>
      <c r="BW72" s="37" t="str">
        <f ca="1">IFERROR(+IF(BW$29=ProposalToGnatt[[#This Row],[Start Date]],Milestone_Marker,IF(AND(BW$29&gt;ProposalToGnatt[[#This Row],[Start Date]],BW$29&lt;ProposalToGnatt[[#This Row],[Start Date]]+ProposalToGnatt[[#This Row],[Days]]),$G$5,"")),"")</f>
        <v/>
      </c>
      <c r="BX72" s="37" t="str">
        <f ca="1">IFERROR(+IF(BX$29=ProposalToGnatt[[#This Row],[Start Date]],Milestone_Marker,IF(AND(BX$29&gt;ProposalToGnatt[[#This Row],[Start Date]],BX$29&lt;ProposalToGnatt[[#This Row],[Start Date]]+ProposalToGnatt[[#This Row],[Days]]),$G$5,"")),"")</f>
        <v/>
      </c>
      <c r="BY72" s="37" t="str">
        <f ca="1">IFERROR(+IF(BY$29=ProposalToGnatt[[#This Row],[Start Date]],Milestone_Marker,IF(AND(BY$29&gt;ProposalToGnatt[[#This Row],[Start Date]],BY$29&lt;ProposalToGnatt[[#This Row],[Start Date]]+ProposalToGnatt[[#This Row],[Days]]),$G$5,"")),"")</f>
        <v/>
      </c>
      <c r="BZ72" s="37" t="str">
        <f ca="1">IFERROR(+IF(BZ$29=ProposalToGnatt[[#This Row],[Start Date]],Milestone_Marker,IF(AND(BZ$29&gt;ProposalToGnatt[[#This Row],[Start Date]],BZ$29&lt;ProposalToGnatt[[#This Row],[Start Date]]+ProposalToGnatt[[#This Row],[Days]]),$G$5,"")),"")</f>
        <v/>
      </c>
      <c r="CA72" s="37" t="str">
        <f ca="1">IFERROR(+IF(CA$29=ProposalToGnatt[[#This Row],[Start Date]],Milestone_Marker,IF(AND(CA$29&gt;ProposalToGnatt[[#This Row],[Start Date]],CA$29&lt;ProposalToGnatt[[#This Row],[Start Date]]+ProposalToGnatt[[#This Row],[Days]]),$G$5,"")),"")</f>
        <v/>
      </c>
      <c r="CB72" s="37" t="str">
        <f ca="1">IFERROR(+IF(CB$29=ProposalToGnatt[[#This Row],[Start Date]],Milestone_Marker,IF(AND(CB$29&gt;ProposalToGnatt[[#This Row],[Start Date]],CB$29&lt;ProposalToGnatt[[#This Row],[Start Date]]+ProposalToGnatt[[#This Row],[Days]]),$G$5,"")),"")</f>
        <v/>
      </c>
      <c r="CC72" s="37" t="str">
        <f ca="1">IFERROR(+IF(CC$29=ProposalToGnatt[[#This Row],[Start Date]],Milestone_Marker,IF(AND(CC$29&gt;ProposalToGnatt[[#This Row],[Start Date]],CC$29&lt;ProposalToGnatt[[#This Row],[Start Date]]+ProposalToGnatt[[#This Row],[Days]]),$G$5,"")),"")</f>
        <v/>
      </c>
      <c r="CD72" s="37" t="str">
        <f ca="1">IFERROR(+IF(CD$29=ProposalToGnatt[[#This Row],[Start Date]],Milestone_Marker,IF(AND(CD$29&gt;ProposalToGnatt[[#This Row],[Start Date]],CD$29&lt;ProposalToGnatt[[#This Row],[Start Date]]+ProposalToGnatt[[#This Row],[Days]]),$G$5,"")),"")</f>
        <v/>
      </c>
      <c r="CE72" s="37" t="str">
        <f ca="1">IFERROR(+IF(CE$29=ProposalToGnatt[[#This Row],[Start Date]],Milestone_Marker,IF(AND(CE$29&gt;ProposalToGnatt[[#This Row],[Start Date]],CE$29&lt;ProposalToGnatt[[#This Row],[Start Date]]+ProposalToGnatt[[#This Row],[Days]]),$G$5,"")),"")</f>
        <v/>
      </c>
      <c r="CF72" s="37" t="str">
        <f ca="1">IFERROR(+IF(CF$29=ProposalToGnatt[[#This Row],[Start Date]],Milestone_Marker,IF(AND(CF$29&gt;ProposalToGnatt[[#This Row],[Start Date]],CF$29&lt;ProposalToGnatt[[#This Row],[Start Date]]+ProposalToGnatt[[#This Row],[Days]]),$G$5,"")),"")</f>
        <v/>
      </c>
      <c r="CG72" s="37" t="str">
        <f ca="1">IFERROR(+IF(CG$29=ProposalToGnatt[[#This Row],[Start Date]],Milestone_Marker,IF(AND(CG$29&gt;ProposalToGnatt[[#This Row],[Start Date]],CG$29&lt;ProposalToGnatt[[#This Row],[Start Date]]+ProposalToGnatt[[#This Row],[Days]]),$G$5,"")),"")</f>
        <v/>
      </c>
      <c r="CH72" s="37" t="str">
        <f ca="1">IFERROR(+IF(CH$29=ProposalToGnatt[[#This Row],[Start Date]],Milestone_Marker,IF(AND(CH$29&gt;ProposalToGnatt[[#This Row],[Start Date]],CH$29&lt;ProposalToGnatt[[#This Row],[Start Date]]+ProposalToGnatt[[#This Row],[Days]]),$G$5,"")),"")</f>
        <v/>
      </c>
      <c r="CI72" s="37" t="str">
        <f ca="1">IFERROR(+IF(CI$29=ProposalToGnatt[[#This Row],[Start Date]],Milestone_Marker,IF(AND(CI$29&gt;ProposalToGnatt[[#This Row],[Start Date]],CI$29&lt;ProposalToGnatt[[#This Row],[Start Date]]+ProposalToGnatt[[#This Row],[Days]]),$G$5,"")),"")</f>
        <v/>
      </c>
      <c r="CJ72" s="37" t="str">
        <f ca="1">IFERROR(+IF(CJ$29=ProposalToGnatt[[#This Row],[Start Date]],Milestone_Marker,IF(AND(CJ$29&gt;ProposalToGnatt[[#This Row],[Start Date]],CJ$29&lt;ProposalToGnatt[[#This Row],[Start Date]]+ProposalToGnatt[[#This Row],[Days]]),$G$5,"")),"")</f>
        <v/>
      </c>
      <c r="CK72" s="37" t="str">
        <f ca="1">IFERROR(+IF(CK$29=ProposalToGnatt[[#This Row],[Start Date]],Milestone_Marker,IF(AND(CK$29&gt;ProposalToGnatt[[#This Row],[Start Date]],CK$29&lt;ProposalToGnatt[[#This Row],[Start Date]]+ProposalToGnatt[[#This Row],[Days]]),$G$5,"")),"")</f>
        <v/>
      </c>
      <c r="CL72" s="37" t="str">
        <f ca="1">IFERROR(+IF(CL$29=ProposalToGnatt[[#This Row],[Start Date]],Milestone_Marker,IF(AND(CL$29&gt;ProposalToGnatt[[#This Row],[Start Date]],CL$29&lt;ProposalToGnatt[[#This Row],[Start Date]]+ProposalToGnatt[[#This Row],[Days]]),$G$5,"")),"")</f>
        <v/>
      </c>
      <c r="CM72" s="37" t="str">
        <f ca="1">IFERROR(+IF(CM$29=ProposalToGnatt[[#This Row],[Start Date]],Milestone_Marker,IF(AND(CM$29&gt;ProposalToGnatt[[#This Row],[Start Date]],CM$29&lt;ProposalToGnatt[[#This Row],[Start Date]]+ProposalToGnatt[[#This Row],[Days]]),$G$5,"")),"")</f>
        <v/>
      </c>
      <c r="CN72" s="37" t="str">
        <f ca="1">IFERROR(+IF(CN$29=ProposalToGnatt[[#This Row],[Start Date]],Milestone_Marker,IF(AND(CN$29&gt;ProposalToGnatt[[#This Row],[Start Date]],CN$29&lt;ProposalToGnatt[[#This Row],[Start Date]]+ProposalToGnatt[[#This Row],[Days]]),$G$5,"")),"")</f>
        <v/>
      </c>
      <c r="CO72" s="37" t="str">
        <f ca="1">IFERROR(+IF(CO$29=ProposalToGnatt[[#This Row],[Start Date]],Milestone_Marker,IF(AND(CO$29&gt;ProposalToGnatt[[#This Row],[Start Date]],CO$29&lt;ProposalToGnatt[[#This Row],[Start Date]]+ProposalToGnatt[[#This Row],[Days]]),$G$5,"")),"")</f>
        <v/>
      </c>
      <c r="CP72" s="37" t="str">
        <f ca="1">IFERROR(+IF(CP$29=ProposalToGnatt[[#This Row],[Start Date]],Milestone_Marker,IF(AND(CP$29&gt;ProposalToGnatt[[#This Row],[Start Date]],CP$29&lt;ProposalToGnatt[[#This Row],[Start Date]]+ProposalToGnatt[[#This Row],[Days]]),$G$5,"")),"")</f>
        <v/>
      </c>
      <c r="CQ72" s="37" t="str">
        <f ca="1">IFERROR(+IF(CQ$29=ProposalToGnatt[[#This Row],[Start Date]],Milestone_Marker,IF(AND(CQ$29&gt;ProposalToGnatt[[#This Row],[Start Date]],CQ$29&lt;ProposalToGnatt[[#This Row],[Start Date]]+ProposalToGnatt[[#This Row],[Days]]),$G$5,"")),"")</f>
        <v/>
      </c>
      <c r="CR72" s="37" t="str">
        <f ca="1">IFERROR(+IF(CR$29=ProposalToGnatt[[#This Row],[Start Date]],Milestone_Marker,IF(AND(CR$29&gt;ProposalToGnatt[[#This Row],[Start Date]],CR$29&lt;ProposalToGnatt[[#This Row],[Start Date]]+ProposalToGnatt[[#This Row],[Days]]),$G$5,"")),"")</f>
        <v/>
      </c>
      <c r="CS72" s="37" t="str">
        <f ca="1">IFERROR(+IF(CS$29=ProposalToGnatt[[#This Row],[Start Date]],Milestone_Marker,IF(AND(CS$29&gt;ProposalToGnatt[[#This Row],[Start Date]],CS$29&lt;ProposalToGnatt[[#This Row],[Start Date]]+ProposalToGnatt[[#This Row],[Days]]),$G$5,"")),"")</f>
        <v/>
      </c>
      <c r="CT72" s="37" t="str">
        <f ca="1">IFERROR(+IF(CT$29=ProposalToGnatt[[#This Row],[Start Date]],Milestone_Marker,IF(AND(CT$29&gt;ProposalToGnatt[[#This Row],[Start Date]],CT$29&lt;ProposalToGnatt[[#This Row],[Start Date]]+ProposalToGnatt[[#This Row],[Days]]),$G$5,"")),"")</f>
        <v/>
      </c>
      <c r="CU72" s="37" t="str">
        <f ca="1">IFERROR(+IF(CU$29=ProposalToGnatt[[#This Row],[Start Date]],Milestone_Marker,IF(AND(CU$29&gt;ProposalToGnatt[[#This Row],[Start Date]],CU$29&lt;ProposalToGnatt[[#This Row],[Start Date]]+ProposalToGnatt[[#This Row],[Days]]),$G$5,"")),"")</f>
        <v/>
      </c>
      <c r="CV72" s="37"/>
      <c r="CW72" s="37"/>
      <c r="CX72" s="37"/>
      <c r="CY72" s="37"/>
      <c r="CZ72" s="37"/>
      <c r="DA72" s="37"/>
      <c r="DB72" s="37"/>
      <c r="DC72" s="37"/>
      <c r="DD72" s="37"/>
      <c r="DE72" s="37"/>
      <c r="DF72" s="37"/>
      <c r="DG72" s="37"/>
      <c r="DH72" s="37"/>
      <c r="DI72" s="37"/>
      <c r="DJ72" s="37"/>
      <c r="DK72" s="37"/>
      <c r="DL72" s="37"/>
      <c r="DM72" s="37"/>
      <c r="DN72" s="37"/>
      <c r="DO72" s="37"/>
      <c r="DP72" s="37"/>
      <c r="DQ72" s="37"/>
      <c r="DR72" s="37"/>
      <c r="DS72" s="37"/>
      <c r="DT72" s="37"/>
      <c r="DU72" s="37"/>
    </row>
    <row r="73" spans="1:125" s="42" customFormat="1" ht="15" x14ac:dyDescent="0.25">
      <c r="A73" t="s">
        <v>428</v>
      </c>
      <c r="B73">
        <v>48</v>
      </c>
      <c r="C73" t="s">
        <v>339</v>
      </c>
      <c r="D73" t="s">
        <v>377</v>
      </c>
      <c r="E73" t="s">
        <v>378</v>
      </c>
      <c r="F73">
        <v>1</v>
      </c>
      <c r="G73" s="14"/>
      <c r="H73" s="14"/>
      <c r="I73"/>
      <c r="J73">
        <v>2</v>
      </c>
      <c r="K73" s="303"/>
      <c r="L73"/>
      <c r="M73" s="14"/>
      <c r="N73" s="352"/>
      <c r="O73" s="340"/>
      <c r="P73" s="37" t="str">
        <f ca="1">IFERROR(+IF(P$29=ProposalToGnatt[[#This Row],[Start Date]],Milestone_Marker,IF(AND(P$29&gt;ProposalToGnatt[[#This Row],[Start Date]],P$29&lt;ProposalToGnatt[[#This Row],[Start Date]]+ProposalToGnatt[[#This Row],[Days]]),$G$5,"")),"")</f>
        <v/>
      </c>
      <c r="Q73" s="37" t="str">
        <f ca="1">IFERROR(+IF(Q$29=ProposalToGnatt[[#This Row],[Start Date]],Milestone_Marker,IF(AND(Q$29&gt;ProposalToGnatt[[#This Row],[Start Date]],Q$29&lt;ProposalToGnatt[[#This Row],[Start Date]]+ProposalToGnatt[[#This Row],[Days]]),$G$5,"")),"")</f>
        <v/>
      </c>
      <c r="R73" s="37" t="str">
        <f ca="1">IFERROR(+IF(R$29=ProposalToGnatt[[#This Row],[Start Date]],Milestone_Marker,IF(AND(R$29&gt;ProposalToGnatt[[#This Row],[Start Date]],R$29&lt;ProposalToGnatt[[#This Row],[Start Date]]+ProposalToGnatt[[#This Row],[Days]]),$G$5,"")),"")</f>
        <v/>
      </c>
      <c r="S73" s="37" t="str">
        <f ca="1">IFERROR(+IF(S$29=ProposalToGnatt[[#This Row],[Start Date]],Milestone_Marker,IF(AND(S$29&gt;ProposalToGnatt[[#This Row],[Start Date]],S$29&lt;ProposalToGnatt[[#This Row],[Start Date]]+ProposalToGnatt[[#This Row],[Days]]),$G$5,"")),"")</f>
        <v/>
      </c>
      <c r="T73" s="37" t="str">
        <f ca="1">IFERROR(+IF(T$29=ProposalToGnatt[[#This Row],[Start Date]],Milestone_Marker,IF(AND(T$29&gt;ProposalToGnatt[[#This Row],[Start Date]],T$29&lt;ProposalToGnatt[[#This Row],[Start Date]]+ProposalToGnatt[[#This Row],[Days]]),$G$5,"")),"")</f>
        <v/>
      </c>
      <c r="U73" s="37" t="str">
        <f ca="1">IFERROR(+IF(U$29=ProposalToGnatt[[#This Row],[Start Date]],Milestone_Marker,IF(AND(U$29&gt;ProposalToGnatt[[#This Row],[Start Date]],U$29&lt;ProposalToGnatt[[#This Row],[Start Date]]+ProposalToGnatt[[#This Row],[Days]]),$G$5,"")),"")</f>
        <v/>
      </c>
      <c r="V73" s="37" t="str">
        <f ca="1">IFERROR(+IF(V$29=ProposalToGnatt[[#This Row],[Start Date]],Milestone_Marker,IF(AND(V$29&gt;ProposalToGnatt[[#This Row],[Start Date]],V$29&lt;ProposalToGnatt[[#This Row],[Start Date]]+ProposalToGnatt[[#This Row],[Days]]),$G$5,"")),"")</f>
        <v/>
      </c>
      <c r="W73" s="37" t="str">
        <f ca="1">IFERROR(+IF(W$29=ProposalToGnatt[[#This Row],[Start Date]],Milestone_Marker,IF(AND(W$29&gt;ProposalToGnatt[[#This Row],[Start Date]],W$29&lt;ProposalToGnatt[[#This Row],[Start Date]]+ProposalToGnatt[[#This Row],[Days]]),$G$5,"")),"")</f>
        <v/>
      </c>
      <c r="X73" s="37" t="str">
        <f ca="1">IFERROR(+IF(X$29=ProposalToGnatt[[#This Row],[Start Date]],Milestone_Marker,IF(AND(X$29&gt;ProposalToGnatt[[#This Row],[Start Date]],X$29&lt;ProposalToGnatt[[#This Row],[Start Date]]+ProposalToGnatt[[#This Row],[Days]]),$G$5,"")),"")</f>
        <v/>
      </c>
      <c r="Y73" s="37" t="str">
        <f ca="1">IFERROR(+IF(Y$29=ProposalToGnatt[[#This Row],[Start Date]],Milestone_Marker,IF(AND(Y$29&gt;ProposalToGnatt[[#This Row],[Start Date]],Y$29&lt;ProposalToGnatt[[#This Row],[Start Date]]+ProposalToGnatt[[#This Row],[Days]]),$G$5,"")),"")</f>
        <v/>
      </c>
      <c r="Z73" s="37" t="str">
        <f ca="1">IFERROR(+IF(Z$29=ProposalToGnatt[[#This Row],[Start Date]],Milestone_Marker,IF(AND(Z$29&gt;ProposalToGnatt[[#This Row],[Start Date]],Z$29&lt;ProposalToGnatt[[#This Row],[Start Date]]+ProposalToGnatt[[#This Row],[Days]]),$G$5,"")),"")</f>
        <v/>
      </c>
      <c r="AA73" s="37" t="str">
        <f ca="1">IFERROR(+IF(AA$29=ProposalToGnatt[[#This Row],[Start Date]],Milestone_Marker,IF(AND(AA$29&gt;ProposalToGnatt[[#This Row],[Start Date]],AA$29&lt;ProposalToGnatt[[#This Row],[Start Date]]+ProposalToGnatt[[#This Row],[Days]]),$G$5,"")),"")</f>
        <v/>
      </c>
      <c r="AB73" s="37" t="str">
        <f ca="1">IFERROR(+IF(AB$29=ProposalToGnatt[[#This Row],[Start Date]],Milestone_Marker,IF(AND(AB$29&gt;ProposalToGnatt[[#This Row],[Start Date]],AB$29&lt;ProposalToGnatt[[#This Row],[Start Date]]+ProposalToGnatt[[#This Row],[Days]]),$G$5,"")),"")</f>
        <v/>
      </c>
      <c r="AC73" s="37" t="str">
        <f ca="1">IFERROR(+IF(AC$29=ProposalToGnatt[[#This Row],[Start Date]],Milestone_Marker,IF(AND(AC$29&gt;ProposalToGnatt[[#This Row],[Start Date]],AC$29&lt;ProposalToGnatt[[#This Row],[Start Date]]+ProposalToGnatt[[#This Row],[Days]]),$G$5,"")),"")</f>
        <v/>
      </c>
      <c r="AD73" s="37" t="str">
        <f ca="1">IFERROR(+IF(AD$29=ProposalToGnatt[[#This Row],[Start Date]],Milestone_Marker,IF(AND(AD$29&gt;ProposalToGnatt[[#This Row],[Start Date]],AD$29&lt;ProposalToGnatt[[#This Row],[Start Date]]+ProposalToGnatt[[#This Row],[Days]]),$G$5,"")),"")</f>
        <v/>
      </c>
      <c r="AE73" s="37" t="str">
        <f ca="1">IFERROR(+IF(AE$29=ProposalToGnatt[[#This Row],[Start Date]],Milestone_Marker,IF(AND(AE$29&gt;ProposalToGnatt[[#This Row],[Start Date]],AE$29&lt;ProposalToGnatt[[#This Row],[Start Date]]+ProposalToGnatt[[#This Row],[Days]]),$G$5,"")),"")</f>
        <v/>
      </c>
      <c r="AF73" s="37" t="str">
        <f ca="1">IFERROR(+IF(AF$29=ProposalToGnatt[[#This Row],[Start Date]],Milestone_Marker,IF(AND(AF$29&gt;ProposalToGnatt[[#This Row],[Start Date]],AF$29&lt;ProposalToGnatt[[#This Row],[Start Date]]+ProposalToGnatt[[#This Row],[Days]]),$G$5,"")),"")</f>
        <v/>
      </c>
      <c r="AG73" s="37" t="str">
        <f ca="1">IFERROR(+IF(AG$29=ProposalToGnatt[[#This Row],[Start Date]],Milestone_Marker,IF(AND(AG$29&gt;ProposalToGnatt[[#This Row],[Start Date]],AG$29&lt;ProposalToGnatt[[#This Row],[Start Date]]+ProposalToGnatt[[#This Row],[Days]]),$G$5,"")),"")</f>
        <v/>
      </c>
      <c r="AH73" s="37" t="str">
        <f ca="1">IFERROR(+IF(AH$29=ProposalToGnatt[[#This Row],[Start Date]],Milestone_Marker,IF(AND(AH$29&gt;ProposalToGnatt[[#This Row],[Start Date]],AH$29&lt;ProposalToGnatt[[#This Row],[Start Date]]+ProposalToGnatt[[#This Row],[Days]]),$G$5,"")),"")</f>
        <v/>
      </c>
      <c r="AI73" s="37" t="str">
        <f ca="1">IFERROR(+IF(AI$29=ProposalToGnatt[[#This Row],[Start Date]],Milestone_Marker,IF(AND(AI$29&gt;ProposalToGnatt[[#This Row],[Start Date]],AI$29&lt;ProposalToGnatt[[#This Row],[Start Date]]+ProposalToGnatt[[#This Row],[Days]]),$G$5,"")),"")</f>
        <v/>
      </c>
      <c r="AJ73" s="37" t="str">
        <f ca="1">IFERROR(+IF(AJ$29=ProposalToGnatt[[#This Row],[Start Date]],Milestone_Marker,IF(AND(AJ$29&gt;ProposalToGnatt[[#This Row],[Start Date]],AJ$29&lt;ProposalToGnatt[[#This Row],[Start Date]]+ProposalToGnatt[[#This Row],[Days]]),$G$5,"")),"")</f>
        <v/>
      </c>
      <c r="AK73" s="37" t="str">
        <f ca="1">IFERROR(+IF(AK$29=ProposalToGnatt[[#This Row],[Start Date]],Milestone_Marker,IF(AND(AK$29&gt;ProposalToGnatt[[#This Row],[Start Date]],AK$29&lt;ProposalToGnatt[[#This Row],[Start Date]]+ProposalToGnatt[[#This Row],[Days]]),$G$5,"")),"")</f>
        <v/>
      </c>
      <c r="AL73" s="37" t="str">
        <f ca="1">IFERROR(+IF(AL$29=ProposalToGnatt[[#This Row],[Start Date]],Milestone_Marker,IF(AND(AL$29&gt;ProposalToGnatt[[#This Row],[Start Date]],AL$29&lt;ProposalToGnatt[[#This Row],[Start Date]]+ProposalToGnatt[[#This Row],[Days]]),$G$5,"")),"")</f>
        <v/>
      </c>
      <c r="AM73" s="37" t="str">
        <f ca="1">IFERROR(+IF(AM$29=ProposalToGnatt[[#This Row],[Start Date]],Milestone_Marker,IF(AND(AM$29&gt;ProposalToGnatt[[#This Row],[Start Date]],AM$29&lt;ProposalToGnatt[[#This Row],[Start Date]]+ProposalToGnatt[[#This Row],[Days]]),$G$5,"")),"")</f>
        <v/>
      </c>
      <c r="AN73" s="37" t="str">
        <f ca="1">IFERROR(+IF(AN$29=ProposalToGnatt[[#This Row],[Start Date]],Milestone_Marker,IF(AND(AN$29&gt;ProposalToGnatt[[#This Row],[Start Date]],AN$29&lt;ProposalToGnatt[[#This Row],[Start Date]]+ProposalToGnatt[[#This Row],[Days]]),$G$5,"")),"")</f>
        <v/>
      </c>
      <c r="AO73" s="37" t="str">
        <f ca="1">IFERROR(+IF(AO$29=ProposalToGnatt[[#This Row],[Start Date]],Milestone_Marker,IF(AND(AO$29&gt;ProposalToGnatt[[#This Row],[Start Date]],AO$29&lt;ProposalToGnatt[[#This Row],[Start Date]]+ProposalToGnatt[[#This Row],[Days]]),$G$5,"")),"")</f>
        <v/>
      </c>
      <c r="AP73" s="37" t="str">
        <f ca="1">IFERROR(+IF(AP$29=ProposalToGnatt[[#This Row],[Start Date]],Milestone_Marker,IF(AND(AP$29&gt;ProposalToGnatt[[#This Row],[Start Date]],AP$29&lt;ProposalToGnatt[[#This Row],[Start Date]]+ProposalToGnatt[[#This Row],[Days]]),$G$5,"")),"")</f>
        <v/>
      </c>
      <c r="AQ73" s="37" t="str">
        <f ca="1">IFERROR(+IF(AQ$29=ProposalToGnatt[[#This Row],[Start Date]],Milestone_Marker,IF(AND(AQ$29&gt;ProposalToGnatt[[#This Row],[Start Date]],AQ$29&lt;ProposalToGnatt[[#This Row],[Start Date]]+ProposalToGnatt[[#This Row],[Days]]),$G$5,"")),"")</f>
        <v/>
      </c>
      <c r="AR73" s="37" t="str">
        <f ca="1">IFERROR(+IF(AR$29=ProposalToGnatt[[#This Row],[Start Date]],Milestone_Marker,IF(AND(AR$29&gt;ProposalToGnatt[[#This Row],[Start Date]],AR$29&lt;ProposalToGnatt[[#This Row],[Start Date]]+ProposalToGnatt[[#This Row],[Days]]),$G$5,"")),"")</f>
        <v/>
      </c>
      <c r="AS73" s="37" t="str">
        <f ca="1">IFERROR(+IF(AS$29=ProposalToGnatt[[#This Row],[Start Date]],Milestone_Marker,IF(AND(AS$29&gt;ProposalToGnatt[[#This Row],[Start Date]],AS$29&lt;ProposalToGnatt[[#This Row],[Start Date]]+ProposalToGnatt[[#This Row],[Days]]),$G$5,"")),"")</f>
        <v/>
      </c>
      <c r="AT73" s="37" t="str">
        <f ca="1">IFERROR(+IF(AT$29=ProposalToGnatt[[#This Row],[Start Date]],Milestone_Marker,IF(AND(AT$29&gt;ProposalToGnatt[[#This Row],[Start Date]],AT$29&lt;ProposalToGnatt[[#This Row],[Start Date]]+ProposalToGnatt[[#This Row],[Days]]),$G$5,"")),"")</f>
        <v/>
      </c>
      <c r="AU73" s="37" t="str">
        <f ca="1">IFERROR(+IF(AU$29=ProposalToGnatt[[#This Row],[Start Date]],Milestone_Marker,IF(AND(AU$29&gt;ProposalToGnatt[[#This Row],[Start Date]],AU$29&lt;ProposalToGnatt[[#This Row],[Start Date]]+ProposalToGnatt[[#This Row],[Days]]),$G$5,"")),"")</f>
        <v/>
      </c>
      <c r="AV73" s="37" t="str">
        <f ca="1">IFERROR(+IF(AV$29=ProposalToGnatt[[#This Row],[Start Date]],Milestone_Marker,IF(AND(AV$29&gt;ProposalToGnatt[[#This Row],[Start Date]],AV$29&lt;ProposalToGnatt[[#This Row],[Start Date]]+ProposalToGnatt[[#This Row],[Days]]),$G$5,"")),"")</f>
        <v/>
      </c>
      <c r="AW73" s="37" t="str">
        <f ca="1">IFERROR(+IF(AW$29=ProposalToGnatt[[#This Row],[Start Date]],Milestone_Marker,IF(AND(AW$29&gt;ProposalToGnatt[[#This Row],[Start Date]],AW$29&lt;ProposalToGnatt[[#This Row],[Start Date]]+ProposalToGnatt[[#This Row],[Days]]),$G$5,"")),"")</f>
        <v/>
      </c>
      <c r="AX73" s="37" t="str">
        <f ca="1">IFERROR(+IF(AX$29=ProposalToGnatt[[#This Row],[Start Date]],Milestone_Marker,IF(AND(AX$29&gt;ProposalToGnatt[[#This Row],[Start Date]],AX$29&lt;ProposalToGnatt[[#This Row],[Start Date]]+ProposalToGnatt[[#This Row],[Days]]),$G$5,"")),"")</f>
        <v/>
      </c>
      <c r="AY73" s="37" t="str">
        <f ca="1">IFERROR(+IF(AY$29=ProposalToGnatt[[#This Row],[Start Date]],Milestone_Marker,IF(AND(AY$29&gt;ProposalToGnatt[[#This Row],[Start Date]],AY$29&lt;ProposalToGnatt[[#This Row],[Start Date]]+ProposalToGnatt[[#This Row],[Days]]),$G$5,"")),"")</f>
        <v/>
      </c>
      <c r="AZ73" s="37" t="str">
        <f ca="1">IFERROR(+IF(AZ$29=ProposalToGnatt[[#This Row],[Start Date]],Milestone_Marker,IF(AND(AZ$29&gt;ProposalToGnatt[[#This Row],[Start Date]],AZ$29&lt;ProposalToGnatt[[#This Row],[Start Date]]+ProposalToGnatt[[#This Row],[Days]]),$G$5,"")),"")</f>
        <v/>
      </c>
      <c r="BA73" s="37" t="str">
        <f ca="1">IFERROR(+IF(BA$29=ProposalToGnatt[[#This Row],[Start Date]],Milestone_Marker,IF(AND(BA$29&gt;ProposalToGnatt[[#This Row],[Start Date]],BA$29&lt;ProposalToGnatt[[#This Row],[Start Date]]+ProposalToGnatt[[#This Row],[Days]]),$G$5,"")),"")</f>
        <v/>
      </c>
      <c r="BB73" s="37" t="str">
        <f ca="1">IFERROR(+IF(BB$29=ProposalToGnatt[[#This Row],[Start Date]],Milestone_Marker,IF(AND(BB$29&gt;ProposalToGnatt[[#This Row],[Start Date]],BB$29&lt;ProposalToGnatt[[#This Row],[Start Date]]+ProposalToGnatt[[#This Row],[Days]]),$G$5,"")),"")</f>
        <v/>
      </c>
      <c r="BC73" s="37" t="str">
        <f ca="1">IFERROR(+IF(BC$29=ProposalToGnatt[[#This Row],[Start Date]],Milestone_Marker,IF(AND(BC$29&gt;ProposalToGnatt[[#This Row],[Start Date]],BC$29&lt;ProposalToGnatt[[#This Row],[Start Date]]+ProposalToGnatt[[#This Row],[Days]]),$G$5,"")),"")</f>
        <v/>
      </c>
      <c r="BD73" s="37" t="str">
        <f ca="1">IFERROR(+IF(BD$29=ProposalToGnatt[[#This Row],[Start Date]],Milestone_Marker,IF(AND(BD$29&gt;ProposalToGnatt[[#This Row],[Start Date]],BD$29&lt;ProposalToGnatt[[#This Row],[Start Date]]+ProposalToGnatt[[#This Row],[Days]]),$G$5,"")),"")</f>
        <v/>
      </c>
      <c r="BE73" s="37" t="str">
        <f ca="1">IFERROR(+IF(BE$29=ProposalToGnatt[[#This Row],[Start Date]],Milestone_Marker,IF(AND(BE$29&gt;ProposalToGnatt[[#This Row],[Start Date]],BE$29&lt;ProposalToGnatt[[#This Row],[Start Date]]+ProposalToGnatt[[#This Row],[Days]]),$G$5,"")),"")</f>
        <v/>
      </c>
      <c r="BF73" s="37" t="str">
        <f ca="1">IFERROR(+IF(BF$29=ProposalToGnatt[[#This Row],[Start Date]],Milestone_Marker,IF(AND(BF$29&gt;ProposalToGnatt[[#This Row],[Start Date]],BF$29&lt;ProposalToGnatt[[#This Row],[Start Date]]+ProposalToGnatt[[#This Row],[Days]]),$G$5,"")),"")</f>
        <v/>
      </c>
      <c r="BG73" s="37" t="str">
        <f ca="1">IFERROR(+IF(BG$29=ProposalToGnatt[[#This Row],[Start Date]],Milestone_Marker,IF(AND(BG$29&gt;ProposalToGnatt[[#This Row],[Start Date]],BG$29&lt;ProposalToGnatt[[#This Row],[Start Date]]+ProposalToGnatt[[#This Row],[Days]]),$G$5,"")),"")</f>
        <v/>
      </c>
      <c r="BH73" s="37" t="str">
        <f ca="1">IFERROR(+IF(BH$29=ProposalToGnatt[[#This Row],[Start Date]],Milestone_Marker,IF(AND(BH$29&gt;ProposalToGnatt[[#This Row],[Start Date]],BH$29&lt;ProposalToGnatt[[#This Row],[Start Date]]+ProposalToGnatt[[#This Row],[Days]]),$G$5,"")),"")</f>
        <v/>
      </c>
      <c r="BI73" s="37" t="str">
        <f ca="1">IFERROR(+IF(BI$29=ProposalToGnatt[[#This Row],[Start Date]],Milestone_Marker,IF(AND(BI$29&gt;ProposalToGnatt[[#This Row],[Start Date]],BI$29&lt;ProposalToGnatt[[#This Row],[Start Date]]+ProposalToGnatt[[#This Row],[Days]]),$G$5,"")),"")</f>
        <v/>
      </c>
      <c r="BJ73" s="37" t="str">
        <f ca="1">IFERROR(+IF(BJ$29=ProposalToGnatt[[#This Row],[Start Date]],Milestone_Marker,IF(AND(BJ$29&gt;ProposalToGnatt[[#This Row],[Start Date]],BJ$29&lt;ProposalToGnatt[[#This Row],[Start Date]]+ProposalToGnatt[[#This Row],[Days]]),$G$5,"")),"")</f>
        <v/>
      </c>
      <c r="BK73" s="37" t="str">
        <f ca="1">IFERROR(+IF(BK$29=ProposalToGnatt[[#This Row],[Start Date]],Milestone_Marker,IF(AND(BK$29&gt;ProposalToGnatt[[#This Row],[Start Date]],BK$29&lt;ProposalToGnatt[[#This Row],[Start Date]]+ProposalToGnatt[[#This Row],[Days]]),$G$5,"")),"")</f>
        <v/>
      </c>
      <c r="BL73" s="37" t="str">
        <f ca="1">IFERROR(+IF(BL$29=ProposalToGnatt[[#This Row],[Start Date]],Milestone_Marker,IF(AND(BL$29&gt;ProposalToGnatt[[#This Row],[Start Date]],BL$29&lt;ProposalToGnatt[[#This Row],[Start Date]]+ProposalToGnatt[[#This Row],[Days]]),$G$5,"")),"")</f>
        <v/>
      </c>
      <c r="BM73" s="37" t="str">
        <f ca="1">IFERROR(+IF(BM$29=ProposalToGnatt[[#This Row],[Start Date]],Milestone_Marker,IF(AND(BM$29&gt;ProposalToGnatt[[#This Row],[Start Date]],BM$29&lt;ProposalToGnatt[[#This Row],[Start Date]]+ProposalToGnatt[[#This Row],[Days]]),$G$5,"")),"")</f>
        <v/>
      </c>
      <c r="BN73" s="37" t="str">
        <f ca="1">IFERROR(+IF(BN$29=ProposalToGnatt[[#This Row],[Start Date]],Milestone_Marker,IF(AND(BN$29&gt;ProposalToGnatt[[#This Row],[Start Date]],BN$29&lt;ProposalToGnatt[[#This Row],[Start Date]]+ProposalToGnatt[[#This Row],[Days]]),$G$5,"")),"")</f>
        <v/>
      </c>
      <c r="BO73" s="37" t="str">
        <f ca="1">IFERROR(+IF(BO$29=ProposalToGnatt[[#This Row],[Start Date]],Milestone_Marker,IF(AND(BO$29&gt;ProposalToGnatt[[#This Row],[Start Date]],BO$29&lt;ProposalToGnatt[[#This Row],[Start Date]]+ProposalToGnatt[[#This Row],[Days]]),$G$5,"")),"")</f>
        <v/>
      </c>
      <c r="BP73" s="37" t="str">
        <f ca="1">IFERROR(+IF(BP$29=ProposalToGnatt[[#This Row],[Start Date]],Milestone_Marker,IF(AND(BP$29&gt;ProposalToGnatt[[#This Row],[Start Date]],BP$29&lt;ProposalToGnatt[[#This Row],[Start Date]]+ProposalToGnatt[[#This Row],[Days]]),$G$5,"")),"")</f>
        <v/>
      </c>
      <c r="BQ73" s="37" t="str">
        <f ca="1">IFERROR(+IF(BQ$29=ProposalToGnatt[[#This Row],[Start Date]],Milestone_Marker,IF(AND(BQ$29&gt;ProposalToGnatt[[#This Row],[Start Date]],BQ$29&lt;ProposalToGnatt[[#This Row],[Start Date]]+ProposalToGnatt[[#This Row],[Days]]),$G$5,"")),"")</f>
        <v/>
      </c>
      <c r="BR73" s="37" t="str">
        <f ca="1">IFERROR(+IF(BR$29=ProposalToGnatt[[#This Row],[Start Date]],Milestone_Marker,IF(AND(BR$29&gt;ProposalToGnatt[[#This Row],[Start Date]],BR$29&lt;ProposalToGnatt[[#This Row],[Start Date]]+ProposalToGnatt[[#This Row],[Days]]),$G$5,"")),"")</f>
        <v/>
      </c>
      <c r="BS73" s="37" t="str">
        <f ca="1">IFERROR(+IF(BS$29=ProposalToGnatt[[#This Row],[Start Date]],Milestone_Marker,IF(AND(BS$29&gt;ProposalToGnatt[[#This Row],[Start Date]],BS$29&lt;ProposalToGnatt[[#This Row],[Start Date]]+ProposalToGnatt[[#This Row],[Days]]),$G$5,"")),"")</f>
        <v/>
      </c>
      <c r="BT73" s="37" t="str">
        <f ca="1">IFERROR(+IF(BT$29=ProposalToGnatt[[#This Row],[Start Date]],Milestone_Marker,IF(AND(BT$29&gt;ProposalToGnatt[[#This Row],[Start Date]],BT$29&lt;ProposalToGnatt[[#This Row],[Start Date]]+ProposalToGnatt[[#This Row],[Days]]),$G$5,"")),"")</f>
        <v/>
      </c>
      <c r="BU73" s="37" t="str">
        <f ca="1">IFERROR(+IF(BU$29=ProposalToGnatt[[#This Row],[Start Date]],Milestone_Marker,IF(AND(BU$29&gt;ProposalToGnatt[[#This Row],[Start Date]],BU$29&lt;ProposalToGnatt[[#This Row],[Start Date]]+ProposalToGnatt[[#This Row],[Days]]),$G$5,"")),"")</f>
        <v/>
      </c>
      <c r="BV73" s="37" t="str">
        <f ca="1">IFERROR(+IF(BV$29=ProposalToGnatt[[#This Row],[Start Date]],Milestone_Marker,IF(AND(BV$29&gt;ProposalToGnatt[[#This Row],[Start Date]],BV$29&lt;ProposalToGnatt[[#This Row],[Start Date]]+ProposalToGnatt[[#This Row],[Days]]),$G$5,"")),"")</f>
        <v/>
      </c>
      <c r="BW73" s="37" t="str">
        <f ca="1">IFERROR(+IF(BW$29=ProposalToGnatt[[#This Row],[Start Date]],Milestone_Marker,IF(AND(BW$29&gt;ProposalToGnatt[[#This Row],[Start Date]],BW$29&lt;ProposalToGnatt[[#This Row],[Start Date]]+ProposalToGnatt[[#This Row],[Days]]),$G$5,"")),"")</f>
        <v/>
      </c>
      <c r="BX73" s="37" t="str">
        <f ca="1">IFERROR(+IF(BX$29=ProposalToGnatt[[#This Row],[Start Date]],Milestone_Marker,IF(AND(BX$29&gt;ProposalToGnatt[[#This Row],[Start Date]],BX$29&lt;ProposalToGnatt[[#This Row],[Start Date]]+ProposalToGnatt[[#This Row],[Days]]),$G$5,"")),"")</f>
        <v/>
      </c>
      <c r="BY73" s="37" t="str">
        <f ca="1">IFERROR(+IF(BY$29=ProposalToGnatt[[#This Row],[Start Date]],Milestone_Marker,IF(AND(BY$29&gt;ProposalToGnatt[[#This Row],[Start Date]],BY$29&lt;ProposalToGnatt[[#This Row],[Start Date]]+ProposalToGnatt[[#This Row],[Days]]),$G$5,"")),"")</f>
        <v/>
      </c>
      <c r="BZ73" s="37" t="str">
        <f ca="1">IFERROR(+IF(BZ$29=ProposalToGnatt[[#This Row],[Start Date]],Milestone_Marker,IF(AND(BZ$29&gt;ProposalToGnatt[[#This Row],[Start Date]],BZ$29&lt;ProposalToGnatt[[#This Row],[Start Date]]+ProposalToGnatt[[#This Row],[Days]]),$G$5,"")),"")</f>
        <v/>
      </c>
      <c r="CA73" s="37" t="str">
        <f ca="1">IFERROR(+IF(CA$29=ProposalToGnatt[[#This Row],[Start Date]],Milestone_Marker,IF(AND(CA$29&gt;ProposalToGnatt[[#This Row],[Start Date]],CA$29&lt;ProposalToGnatt[[#This Row],[Start Date]]+ProposalToGnatt[[#This Row],[Days]]),$G$5,"")),"")</f>
        <v/>
      </c>
      <c r="CB73" s="37" t="str">
        <f ca="1">IFERROR(+IF(CB$29=ProposalToGnatt[[#This Row],[Start Date]],Milestone_Marker,IF(AND(CB$29&gt;ProposalToGnatt[[#This Row],[Start Date]],CB$29&lt;ProposalToGnatt[[#This Row],[Start Date]]+ProposalToGnatt[[#This Row],[Days]]),$G$5,"")),"")</f>
        <v/>
      </c>
      <c r="CC73" s="37" t="str">
        <f ca="1">IFERROR(+IF(CC$29=ProposalToGnatt[[#This Row],[Start Date]],Milestone_Marker,IF(AND(CC$29&gt;ProposalToGnatt[[#This Row],[Start Date]],CC$29&lt;ProposalToGnatt[[#This Row],[Start Date]]+ProposalToGnatt[[#This Row],[Days]]),$G$5,"")),"")</f>
        <v/>
      </c>
      <c r="CD73" s="37" t="str">
        <f ca="1">IFERROR(+IF(CD$29=ProposalToGnatt[[#This Row],[Start Date]],Milestone_Marker,IF(AND(CD$29&gt;ProposalToGnatt[[#This Row],[Start Date]],CD$29&lt;ProposalToGnatt[[#This Row],[Start Date]]+ProposalToGnatt[[#This Row],[Days]]),$G$5,"")),"")</f>
        <v/>
      </c>
      <c r="CE73" s="37" t="str">
        <f ca="1">IFERROR(+IF(CE$29=ProposalToGnatt[[#This Row],[Start Date]],Milestone_Marker,IF(AND(CE$29&gt;ProposalToGnatt[[#This Row],[Start Date]],CE$29&lt;ProposalToGnatt[[#This Row],[Start Date]]+ProposalToGnatt[[#This Row],[Days]]),$G$5,"")),"")</f>
        <v/>
      </c>
      <c r="CF73" s="37" t="str">
        <f ca="1">IFERROR(+IF(CF$29=ProposalToGnatt[[#This Row],[Start Date]],Milestone_Marker,IF(AND(CF$29&gt;ProposalToGnatt[[#This Row],[Start Date]],CF$29&lt;ProposalToGnatt[[#This Row],[Start Date]]+ProposalToGnatt[[#This Row],[Days]]),$G$5,"")),"")</f>
        <v/>
      </c>
      <c r="CG73" s="37" t="str">
        <f ca="1">IFERROR(+IF(CG$29=ProposalToGnatt[[#This Row],[Start Date]],Milestone_Marker,IF(AND(CG$29&gt;ProposalToGnatt[[#This Row],[Start Date]],CG$29&lt;ProposalToGnatt[[#This Row],[Start Date]]+ProposalToGnatt[[#This Row],[Days]]),$G$5,"")),"")</f>
        <v/>
      </c>
      <c r="CH73" s="37" t="str">
        <f ca="1">IFERROR(+IF(CH$29=ProposalToGnatt[[#This Row],[Start Date]],Milestone_Marker,IF(AND(CH$29&gt;ProposalToGnatt[[#This Row],[Start Date]],CH$29&lt;ProposalToGnatt[[#This Row],[Start Date]]+ProposalToGnatt[[#This Row],[Days]]),$G$5,"")),"")</f>
        <v/>
      </c>
      <c r="CI73" s="37" t="str">
        <f ca="1">IFERROR(+IF(CI$29=ProposalToGnatt[[#This Row],[Start Date]],Milestone_Marker,IF(AND(CI$29&gt;ProposalToGnatt[[#This Row],[Start Date]],CI$29&lt;ProposalToGnatt[[#This Row],[Start Date]]+ProposalToGnatt[[#This Row],[Days]]),$G$5,"")),"")</f>
        <v/>
      </c>
      <c r="CJ73" s="37" t="str">
        <f ca="1">IFERROR(+IF(CJ$29=ProposalToGnatt[[#This Row],[Start Date]],Milestone_Marker,IF(AND(CJ$29&gt;ProposalToGnatt[[#This Row],[Start Date]],CJ$29&lt;ProposalToGnatt[[#This Row],[Start Date]]+ProposalToGnatt[[#This Row],[Days]]),$G$5,"")),"")</f>
        <v/>
      </c>
      <c r="CK73" s="37" t="str">
        <f ca="1">IFERROR(+IF(CK$29=ProposalToGnatt[[#This Row],[Start Date]],Milestone_Marker,IF(AND(CK$29&gt;ProposalToGnatt[[#This Row],[Start Date]],CK$29&lt;ProposalToGnatt[[#This Row],[Start Date]]+ProposalToGnatt[[#This Row],[Days]]),$G$5,"")),"")</f>
        <v/>
      </c>
      <c r="CL73" s="37" t="str">
        <f ca="1">IFERROR(+IF(CL$29=ProposalToGnatt[[#This Row],[Start Date]],Milestone_Marker,IF(AND(CL$29&gt;ProposalToGnatt[[#This Row],[Start Date]],CL$29&lt;ProposalToGnatt[[#This Row],[Start Date]]+ProposalToGnatt[[#This Row],[Days]]),$G$5,"")),"")</f>
        <v/>
      </c>
      <c r="CM73" s="37" t="str">
        <f ca="1">IFERROR(+IF(CM$29=ProposalToGnatt[[#This Row],[Start Date]],Milestone_Marker,IF(AND(CM$29&gt;ProposalToGnatt[[#This Row],[Start Date]],CM$29&lt;ProposalToGnatt[[#This Row],[Start Date]]+ProposalToGnatt[[#This Row],[Days]]),$G$5,"")),"")</f>
        <v/>
      </c>
      <c r="CN73" s="37" t="str">
        <f ca="1">IFERROR(+IF(CN$29=ProposalToGnatt[[#This Row],[Start Date]],Milestone_Marker,IF(AND(CN$29&gt;ProposalToGnatt[[#This Row],[Start Date]],CN$29&lt;ProposalToGnatt[[#This Row],[Start Date]]+ProposalToGnatt[[#This Row],[Days]]),$G$5,"")),"")</f>
        <v/>
      </c>
      <c r="CO73" s="37" t="str">
        <f ca="1">IFERROR(+IF(CO$29=ProposalToGnatt[[#This Row],[Start Date]],Milestone_Marker,IF(AND(CO$29&gt;ProposalToGnatt[[#This Row],[Start Date]],CO$29&lt;ProposalToGnatt[[#This Row],[Start Date]]+ProposalToGnatt[[#This Row],[Days]]),$G$5,"")),"")</f>
        <v/>
      </c>
      <c r="CP73" s="37" t="str">
        <f ca="1">IFERROR(+IF(CP$29=ProposalToGnatt[[#This Row],[Start Date]],Milestone_Marker,IF(AND(CP$29&gt;ProposalToGnatt[[#This Row],[Start Date]],CP$29&lt;ProposalToGnatt[[#This Row],[Start Date]]+ProposalToGnatt[[#This Row],[Days]]),$G$5,"")),"")</f>
        <v/>
      </c>
      <c r="CQ73" s="37" t="str">
        <f ca="1">IFERROR(+IF(CQ$29=ProposalToGnatt[[#This Row],[Start Date]],Milestone_Marker,IF(AND(CQ$29&gt;ProposalToGnatt[[#This Row],[Start Date]],CQ$29&lt;ProposalToGnatt[[#This Row],[Start Date]]+ProposalToGnatt[[#This Row],[Days]]),$G$5,"")),"")</f>
        <v/>
      </c>
      <c r="CR73" s="37" t="str">
        <f ca="1">IFERROR(+IF(CR$29=ProposalToGnatt[[#This Row],[Start Date]],Milestone_Marker,IF(AND(CR$29&gt;ProposalToGnatt[[#This Row],[Start Date]],CR$29&lt;ProposalToGnatt[[#This Row],[Start Date]]+ProposalToGnatt[[#This Row],[Days]]),$G$5,"")),"")</f>
        <v/>
      </c>
      <c r="CS73" s="37" t="str">
        <f ca="1">IFERROR(+IF(CS$29=ProposalToGnatt[[#This Row],[Start Date]],Milestone_Marker,IF(AND(CS$29&gt;ProposalToGnatt[[#This Row],[Start Date]],CS$29&lt;ProposalToGnatt[[#This Row],[Start Date]]+ProposalToGnatt[[#This Row],[Days]]),$G$5,"")),"")</f>
        <v/>
      </c>
      <c r="CT73" s="37" t="str">
        <f ca="1">IFERROR(+IF(CT$29=ProposalToGnatt[[#This Row],[Start Date]],Milestone_Marker,IF(AND(CT$29&gt;ProposalToGnatt[[#This Row],[Start Date]],CT$29&lt;ProposalToGnatt[[#This Row],[Start Date]]+ProposalToGnatt[[#This Row],[Days]]),$G$5,"")),"")</f>
        <v/>
      </c>
      <c r="CU73" s="37" t="str">
        <f ca="1">IFERROR(+IF(CU$29=ProposalToGnatt[[#This Row],[Start Date]],Milestone_Marker,IF(AND(CU$29&gt;ProposalToGnatt[[#This Row],[Start Date]],CU$29&lt;ProposalToGnatt[[#This Row],[Start Date]]+ProposalToGnatt[[#This Row],[Days]]),$G$5,"")),"")</f>
        <v/>
      </c>
      <c r="CV73" s="37"/>
      <c r="CW73" s="37"/>
      <c r="CX73" s="37"/>
      <c r="CY73" s="37"/>
      <c r="CZ73" s="37"/>
      <c r="DA73" s="37"/>
      <c r="DB73" s="37"/>
      <c r="DC73" s="37"/>
      <c r="DD73" s="37"/>
      <c r="DE73" s="37"/>
      <c r="DF73" s="37"/>
      <c r="DG73" s="37"/>
      <c r="DH73" s="37"/>
      <c r="DI73" s="37"/>
      <c r="DJ73" s="37"/>
      <c r="DK73" s="37"/>
      <c r="DL73" s="37"/>
      <c r="DM73" s="37"/>
      <c r="DN73" s="37"/>
      <c r="DO73" s="37"/>
      <c r="DP73" s="37"/>
      <c r="DQ73" s="37"/>
      <c r="DR73" s="37"/>
      <c r="DS73" s="37"/>
      <c r="DT73" s="37"/>
      <c r="DU73" s="37"/>
    </row>
    <row r="74" spans="1:125" ht="15" x14ac:dyDescent="0.25">
      <c r="A74" t="s">
        <v>428</v>
      </c>
      <c r="B74">
        <v>49</v>
      </c>
      <c r="C74" t="s">
        <v>339</v>
      </c>
      <c r="D74" t="s">
        <v>379</v>
      </c>
      <c r="E74" t="s">
        <v>380</v>
      </c>
      <c r="F74">
        <v>1</v>
      </c>
      <c r="G74" s="14"/>
      <c r="H74" s="14"/>
      <c r="I74"/>
      <c r="J74">
        <v>2</v>
      </c>
      <c r="K74" s="303"/>
      <c r="L74"/>
      <c r="M74" s="14"/>
      <c r="N74" s="352"/>
      <c r="O74" s="340"/>
      <c r="P74" s="37" t="str">
        <f ca="1">IFERROR(+IF(P$29=ProposalToGnatt[[#This Row],[Start Date]],Milestone_Marker,IF(AND(P$29&gt;ProposalToGnatt[[#This Row],[Start Date]],P$29&lt;ProposalToGnatt[[#This Row],[Start Date]]+ProposalToGnatt[[#This Row],[Days]]),$G$5,"")),"")</f>
        <v/>
      </c>
      <c r="Q74" s="37" t="str">
        <f ca="1">IFERROR(+IF(Q$29=ProposalToGnatt[[#This Row],[Start Date]],Milestone_Marker,IF(AND(Q$29&gt;ProposalToGnatt[[#This Row],[Start Date]],Q$29&lt;ProposalToGnatt[[#This Row],[Start Date]]+ProposalToGnatt[[#This Row],[Days]]),$G$5,"")),"")</f>
        <v/>
      </c>
      <c r="R74" s="37" t="str">
        <f ca="1">IFERROR(+IF(R$29=ProposalToGnatt[[#This Row],[Start Date]],Milestone_Marker,IF(AND(R$29&gt;ProposalToGnatt[[#This Row],[Start Date]],R$29&lt;ProposalToGnatt[[#This Row],[Start Date]]+ProposalToGnatt[[#This Row],[Days]]),$G$5,"")),"")</f>
        <v/>
      </c>
      <c r="S74" s="37" t="str">
        <f ca="1">IFERROR(+IF(S$29=ProposalToGnatt[[#This Row],[Start Date]],Milestone_Marker,IF(AND(S$29&gt;ProposalToGnatt[[#This Row],[Start Date]],S$29&lt;ProposalToGnatt[[#This Row],[Start Date]]+ProposalToGnatt[[#This Row],[Days]]),$G$5,"")),"")</f>
        <v/>
      </c>
      <c r="T74" s="37" t="str">
        <f ca="1">IFERROR(+IF(T$29=ProposalToGnatt[[#This Row],[Start Date]],Milestone_Marker,IF(AND(T$29&gt;ProposalToGnatt[[#This Row],[Start Date]],T$29&lt;ProposalToGnatt[[#This Row],[Start Date]]+ProposalToGnatt[[#This Row],[Days]]),$G$5,"")),"")</f>
        <v/>
      </c>
      <c r="U74" s="37" t="str">
        <f ca="1">IFERROR(+IF(U$29=ProposalToGnatt[[#This Row],[Start Date]],Milestone_Marker,IF(AND(U$29&gt;ProposalToGnatt[[#This Row],[Start Date]],U$29&lt;ProposalToGnatt[[#This Row],[Start Date]]+ProposalToGnatt[[#This Row],[Days]]),$G$5,"")),"")</f>
        <v/>
      </c>
      <c r="V74" s="37" t="str">
        <f ca="1">IFERROR(+IF(V$29=ProposalToGnatt[[#This Row],[Start Date]],Milestone_Marker,IF(AND(V$29&gt;ProposalToGnatt[[#This Row],[Start Date]],V$29&lt;ProposalToGnatt[[#This Row],[Start Date]]+ProposalToGnatt[[#This Row],[Days]]),$G$5,"")),"")</f>
        <v/>
      </c>
      <c r="W74" s="37" t="str">
        <f ca="1">IFERROR(+IF(W$29=ProposalToGnatt[[#This Row],[Start Date]],Milestone_Marker,IF(AND(W$29&gt;ProposalToGnatt[[#This Row],[Start Date]],W$29&lt;ProposalToGnatt[[#This Row],[Start Date]]+ProposalToGnatt[[#This Row],[Days]]),$G$5,"")),"")</f>
        <v/>
      </c>
      <c r="X74" s="37" t="str">
        <f ca="1">IFERROR(+IF(X$29=ProposalToGnatt[[#This Row],[Start Date]],Milestone_Marker,IF(AND(X$29&gt;ProposalToGnatt[[#This Row],[Start Date]],X$29&lt;ProposalToGnatt[[#This Row],[Start Date]]+ProposalToGnatt[[#This Row],[Days]]),$G$5,"")),"")</f>
        <v/>
      </c>
      <c r="Y74" s="37" t="str">
        <f ca="1">IFERROR(+IF(Y$29=ProposalToGnatt[[#This Row],[Start Date]],Milestone_Marker,IF(AND(Y$29&gt;ProposalToGnatt[[#This Row],[Start Date]],Y$29&lt;ProposalToGnatt[[#This Row],[Start Date]]+ProposalToGnatt[[#This Row],[Days]]),$G$5,"")),"")</f>
        <v/>
      </c>
      <c r="Z74" s="37" t="str">
        <f ca="1">IFERROR(+IF(Z$29=ProposalToGnatt[[#This Row],[Start Date]],Milestone_Marker,IF(AND(Z$29&gt;ProposalToGnatt[[#This Row],[Start Date]],Z$29&lt;ProposalToGnatt[[#This Row],[Start Date]]+ProposalToGnatt[[#This Row],[Days]]),$G$5,"")),"")</f>
        <v/>
      </c>
      <c r="AA74" s="37" t="str">
        <f ca="1">IFERROR(+IF(AA$29=ProposalToGnatt[[#This Row],[Start Date]],Milestone_Marker,IF(AND(AA$29&gt;ProposalToGnatt[[#This Row],[Start Date]],AA$29&lt;ProposalToGnatt[[#This Row],[Start Date]]+ProposalToGnatt[[#This Row],[Days]]),$G$5,"")),"")</f>
        <v/>
      </c>
      <c r="AB74" s="37" t="str">
        <f ca="1">IFERROR(+IF(AB$29=ProposalToGnatt[[#This Row],[Start Date]],Milestone_Marker,IF(AND(AB$29&gt;ProposalToGnatt[[#This Row],[Start Date]],AB$29&lt;ProposalToGnatt[[#This Row],[Start Date]]+ProposalToGnatt[[#This Row],[Days]]),$G$5,"")),"")</f>
        <v/>
      </c>
      <c r="AC74" s="37" t="str">
        <f ca="1">IFERROR(+IF(AC$29=ProposalToGnatt[[#This Row],[Start Date]],Milestone_Marker,IF(AND(AC$29&gt;ProposalToGnatt[[#This Row],[Start Date]],AC$29&lt;ProposalToGnatt[[#This Row],[Start Date]]+ProposalToGnatt[[#This Row],[Days]]),$G$5,"")),"")</f>
        <v/>
      </c>
      <c r="AD74" s="37" t="str">
        <f ca="1">IFERROR(+IF(AD$29=ProposalToGnatt[[#This Row],[Start Date]],Milestone_Marker,IF(AND(AD$29&gt;ProposalToGnatt[[#This Row],[Start Date]],AD$29&lt;ProposalToGnatt[[#This Row],[Start Date]]+ProposalToGnatt[[#This Row],[Days]]),$G$5,"")),"")</f>
        <v/>
      </c>
      <c r="AE74" s="37" t="str">
        <f ca="1">IFERROR(+IF(AE$29=ProposalToGnatt[[#This Row],[Start Date]],Milestone_Marker,IF(AND(AE$29&gt;ProposalToGnatt[[#This Row],[Start Date]],AE$29&lt;ProposalToGnatt[[#This Row],[Start Date]]+ProposalToGnatt[[#This Row],[Days]]),$G$5,"")),"")</f>
        <v/>
      </c>
      <c r="AF74" s="37" t="str">
        <f ca="1">IFERROR(+IF(AF$29=ProposalToGnatt[[#This Row],[Start Date]],Milestone_Marker,IF(AND(AF$29&gt;ProposalToGnatt[[#This Row],[Start Date]],AF$29&lt;ProposalToGnatt[[#This Row],[Start Date]]+ProposalToGnatt[[#This Row],[Days]]),$G$5,"")),"")</f>
        <v/>
      </c>
      <c r="AG74" s="37" t="str">
        <f ca="1">IFERROR(+IF(AG$29=ProposalToGnatt[[#This Row],[Start Date]],Milestone_Marker,IF(AND(AG$29&gt;ProposalToGnatt[[#This Row],[Start Date]],AG$29&lt;ProposalToGnatt[[#This Row],[Start Date]]+ProposalToGnatt[[#This Row],[Days]]),$G$5,"")),"")</f>
        <v/>
      </c>
      <c r="AH74" s="37" t="str">
        <f ca="1">IFERROR(+IF(AH$29=ProposalToGnatt[[#This Row],[Start Date]],Milestone_Marker,IF(AND(AH$29&gt;ProposalToGnatt[[#This Row],[Start Date]],AH$29&lt;ProposalToGnatt[[#This Row],[Start Date]]+ProposalToGnatt[[#This Row],[Days]]),$G$5,"")),"")</f>
        <v/>
      </c>
      <c r="AI74" s="37" t="str">
        <f ca="1">IFERROR(+IF(AI$29=ProposalToGnatt[[#This Row],[Start Date]],Milestone_Marker,IF(AND(AI$29&gt;ProposalToGnatt[[#This Row],[Start Date]],AI$29&lt;ProposalToGnatt[[#This Row],[Start Date]]+ProposalToGnatt[[#This Row],[Days]]),$G$5,"")),"")</f>
        <v/>
      </c>
      <c r="AJ74" s="37" t="str">
        <f ca="1">IFERROR(+IF(AJ$29=ProposalToGnatt[[#This Row],[Start Date]],Milestone_Marker,IF(AND(AJ$29&gt;ProposalToGnatt[[#This Row],[Start Date]],AJ$29&lt;ProposalToGnatt[[#This Row],[Start Date]]+ProposalToGnatt[[#This Row],[Days]]),$G$5,"")),"")</f>
        <v/>
      </c>
      <c r="AK74" s="37" t="str">
        <f ca="1">IFERROR(+IF(AK$29=ProposalToGnatt[[#This Row],[Start Date]],Milestone_Marker,IF(AND(AK$29&gt;ProposalToGnatt[[#This Row],[Start Date]],AK$29&lt;ProposalToGnatt[[#This Row],[Start Date]]+ProposalToGnatt[[#This Row],[Days]]),$G$5,"")),"")</f>
        <v/>
      </c>
      <c r="AL74" s="37" t="str">
        <f ca="1">IFERROR(+IF(AL$29=ProposalToGnatt[[#This Row],[Start Date]],Milestone_Marker,IF(AND(AL$29&gt;ProposalToGnatt[[#This Row],[Start Date]],AL$29&lt;ProposalToGnatt[[#This Row],[Start Date]]+ProposalToGnatt[[#This Row],[Days]]),$G$5,"")),"")</f>
        <v/>
      </c>
      <c r="AM74" s="37" t="str">
        <f ca="1">IFERROR(+IF(AM$29=ProposalToGnatt[[#This Row],[Start Date]],Milestone_Marker,IF(AND(AM$29&gt;ProposalToGnatt[[#This Row],[Start Date]],AM$29&lt;ProposalToGnatt[[#This Row],[Start Date]]+ProposalToGnatt[[#This Row],[Days]]),$G$5,"")),"")</f>
        <v/>
      </c>
      <c r="AN74" s="37" t="str">
        <f ca="1">IFERROR(+IF(AN$29=ProposalToGnatt[[#This Row],[Start Date]],Milestone_Marker,IF(AND(AN$29&gt;ProposalToGnatt[[#This Row],[Start Date]],AN$29&lt;ProposalToGnatt[[#This Row],[Start Date]]+ProposalToGnatt[[#This Row],[Days]]),$G$5,"")),"")</f>
        <v/>
      </c>
      <c r="AO74" s="37" t="str">
        <f ca="1">IFERROR(+IF(AO$29=ProposalToGnatt[[#This Row],[Start Date]],Milestone_Marker,IF(AND(AO$29&gt;ProposalToGnatt[[#This Row],[Start Date]],AO$29&lt;ProposalToGnatt[[#This Row],[Start Date]]+ProposalToGnatt[[#This Row],[Days]]),$G$5,"")),"")</f>
        <v/>
      </c>
      <c r="AP74" s="37" t="str">
        <f ca="1">IFERROR(+IF(AP$29=ProposalToGnatt[[#This Row],[Start Date]],Milestone_Marker,IF(AND(AP$29&gt;ProposalToGnatt[[#This Row],[Start Date]],AP$29&lt;ProposalToGnatt[[#This Row],[Start Date]]+ProposalToGnatt[[#This Row],[Days]]),$G$5,"")),"")</f>
        <v/>
      </c>
      <c r="AQ74" s="37" t="str">
        <f ca="1">IFERROR(+IF(AQ$29=ProposalToGnatt[[#This Row],[Start Date]],Milestone_Marker,IF(AND(AQ$29&gt;ProposalToGnatt[[#This Row],[Start Date]],AQ$29&lt;ProposalToGnatt[[#This Row],[Start Date]]+ProposalToGnatt[[#This Row],[Days]]),$G$5,"")),"")</f>
        <v/>
      </c>
      <c r="AR74" s="37" t="str">
        <f ca="1">IFERROR(+IF(AR$29=ProposalToGnatt[[#This Row],[Start Date]],Milestone_Marker,IF(AND(AR$29&gt;ProposalToGnatt[[#This Row],[Start Date]],AR$29&lt;ProposalToGnatt[[#This Row],[Start Date]]+ProposalToGnatt[[#This Row],[Days]]),$G$5,"")),"")</f>
        <v/>
      </c>
      <c r="AS74" s="37" t="str">
        <f ca="1">IFERROR(+IF(AS$29=ProposalToGnatt[[#This Row],[Start Date]],Milestone_Marker,IF(AND(AS$29&gt;ProposalToGnatt[[#This Row],[Start Date]],AS$29&lt;ProposalToGnatt[[#This Row],[Start Date]]+ProposalToGnatt[[#This Row],[Days]]),$G$5,"")),"")</f>
        <v/>
      </c>
      <c r="AT74" s="37" t="str">
        <f ca="1">IFERROR(+IF(AT$29=ProposalToGnatt[[#This Row],[Start Date]],Milestone_Marker,IF(AND(AT$29&gt;ProposalToGnatt[[#This Row],[Start Date]],AT$29&lt;ProposalToGnatt[[#This Row],[Start Date]]+ProposalToGnatt[[#This Row],[Days]]),$G$5,"")),"")</f>
        <v/>
      </c>
      <c r="AU74" s="37" t="str">
        <f ca="1">IFERROR(+IF(AU$29=ProposalToGnatt[[#This Row],[Start Date]],Milestone_Marker,IF(AND(AU$29&gt;ProposalToGnatt[[#This Row],[Start Date]],AU$29&lt;ProposalToGnatt[[#This Row],[Start Date]]+ProposalToGnatt[[#This Row],[Days]]),$G$5,"")),"")</f>
        <v/>
      </c>
      <c r="AV74" s="37" t="str">
        <f ca="1">IFERROR(+IF(AV$29=ProposalToGnatt[[#This Row],[Start Date]],Milestone_Marker,IF(AND(AV$29&gt;ProposalToGnatt[[#This Row],[Start Date]],AV$29&lt;ProposalToGnatt[[#This Row],[Start Date]]+ProposalToGnatt[[#This Row],[Days]]),$G$5,"")),"")</f>
        <v/>
      </c>
      <c r="AW74" s="37" t="str">
        <f ca="1">IFERROR(+IF(AW$29=ProposalToGnatt[[#This Row],[Start Date]],Milestone_Marker,IF(AND(AW$29&gt;ProposalToGnatt[[#This Row],[Start Date]],AW$29&lt;ProposalToGnatt[[#This Row],[Start Date]]+ProposalToGnatt[[#This Row],[Days]]),$G$5,"")),"")</f>
        <v/>
      </c>
      <c r="AX74" s="37" t="str">
        <f ca="1">IFERROR(+IF(AX$29=ProposalToGnatt[[#This Row],[Start Date]],Milestone_Marker,IF(AND(AX$29&gt;ProposalToGnatt[[#This Row],[Start Date]],AX$29&lt;ProposalToGnatt[[#This Row],[Start Date]]+ProposalToGnatt[[#This Row],[Days]]),$G$5,"")),"")</f>
        <v/>
      </c>
      <c r="AY74" s="37" t="str">
        <f ca="1">IFERROR(+IF(AY$29=ProposalToGnatt[[#This Row],[Start Date]],Milestone_Marker,IF(AND(AY$29&gt;ProposalToGnatt[[#This Row],[Start Date]],AY$29&lt;ProposalToGnatt[[#This Row],[Start Date]]+ProposalToGnatt[[#This Row],[Days]]),$G$5,"")),"")</f>
        <v/>
      </c>
      <c r="AZ74" s="37" t="str">
        <f ca="1">IFERROR(+IF(AZ$29=ProposalToGnatt[[#This Row],[Start Date]],Milestone_Marker,IF(AND(AZ$29&gt;ProposalToGnatt[[#This Row],[Start Date]],AZ$29&lt;ProposalToGnatt[[#This Row],[Start Date]]+ProposalToGnatt[[#This Row],[Days]]),$G$5,"")),"")</f>
        <v/>
      </c>
      <c r="BA74" s="37" t="str">
        <f ca="1">IFERROR(+IF(BA$29=ProposalToGnatt[[#This Row],[Start Date]],Milestone_Marker,IF(AND(BA$29&gt;ProposalToGnatt[[#This Row],[Start Date]],BA$29&lt;ProposalToGnatt[[#This Row],[Start Date]]+ProposalToGnatt[[#This Row],[Days]]),$G$5,"")),"")</f>
        <v/>
      </c>
      <c r="BB74" s="37" t="str">
        <f ca="1">IFERROR(+IF(BB$29=ProposalToGnatt[[#This Row],[Start Date]],Milestone_Marker,IF(AND(BB$29&gt;ProposalToGnatt[[#This Row],[Start Date]],BB$29&lt;ProposalToGnatt[[#This Row],[Start Date]]+ProposalToGnatt[[#This Row],[Days]]),$G$5,"")),"")</f>
        <v/>
      </c>
      <c r="BC74" s="37" t="str">
        <f ca="1">IFERROR(+IF(BC$29=ProposalToGnatt[[#This Row],[Start Date]],Milestone_Marker,IF(AND(BC$29&gt;ProposalToGnatt[[#This Row],[Start Date]],BC$29&lt;ProposalToGnatt[[#This Row],[Start Date]]+ProposalToGnatt[[#This Row],[Days]]),$G$5,"")),"")</f>
        <v/>
      </c>
      <c r="BD74" s="37" t="str">
        <f ca="1">IFERROR(+IF(BD$29=ProposalToGnatt[[#This Row],[Start Date]],Milestone_Marker,IF(AND(BD$29&gt;ProposalToGnatt[[#This Row],[Start Date]],BD$29&lt;ProposalToGnatt[[#This Row],[Start Date]]+ProposalToGnatt[[#This Row],[Days]]),$G$5,"")),"")</f>
        <v/>
      </c>
      <c r="BE74" s="37" t="str">
        <f ca="1">IFERROR(+IF(BE$29=ProposalToGnatt[[#This Row],[Start Date]],Milestone_Marker,IF(AND(BE$29&gt;ProposalToGnatt[[#This Row],[Start Date]],BE$29&lt;ProposalToGnatt[[#This Row],[Start Date]]+ProposalToGnatt[[#This Row],[Days]]),$G$5,"")),"")</f>
        <v/>
      </c>
      <c r="BF74" s="37" t="str">
        <f ca="1">IFERROR(+IF(BF$29=ProposalToGnatt[[#This Row],[Start Date]],Milestone_Marker,IF(AND(BF$29&gt;ProposalToGnatt[[#This Row],[Start Date]],BF$29&lt;ProposalToGnatt[[#This Row],[Start Date]]+ProposalToGnatt[[#This Row],[Days]]),$G$5,"")),"")</f>
        <v/>
      </c>
      <c r="BG74" s="37" t="str">
        <f ca="1">IFERROR(+IF(BG$29=ProposalToGnatt[[#This Row],[Start Date]],Milestone_Marker,IF(AND(BG$29&gt;ProposalToGnatt[[#This Row],[Start Date]],BG$29&lt;ProposalToGnatt[[#This Row],[Start Date]]+ProposalToGnatt[[#This Row],[Days]]),$G$5,"")),"")</f>
        <v/>
      </c>
      <c r="BH74" s="37" t="str">
        <f ca="1">IFERROR(+IF(BH$29=ProposalToGnatt[[#This Row],[Start Date]],Milestone_Marker,IF(AND(BH$29&gt;ProposalToGnatt[[#This Row],[Start Date]],BH$29&lt;ProposalToGnatt[[#This Row],[Start Date]]+ProposalToGnatt[[#This Row],[Days]]),$G$5,"")),"")</f>
        <v/>
      </c>
      <c r="BI74" s="37" t="str">
        <f ca="1">IFERROR(+IF(BI$29=ProposalToGnatt[[#This Row],[Start Date]],Milestone_Marker,IF(AND(BI$29&gt;ProposalToGnatt[[#This Row],[Start Date]],BI$29&lt;ProposalToGnatt[[#This Row],[Start Date]]+ProposalToGnatt[[#This Row],[Days]]),$G$5,"")),"")</f>
        <v/>
      </c>
      <c r="BJ74" s="37" t="str">
        <f ca="1">IFERROR(+IF(BJ$29=ProposalToGnatt[[#This Row],[Start Date]],Milestone_Marker,IF(AND(BJ$29&gt;ProposalToGnatt[[#This Row],[Start Date]],BJ$29&lt;ProposalToGnatt[[#This Row],[Start Date]]+ProposalToGnatt[[#This Row],[Days]]),$G$5,"")),"")</f>
        <v/>
      </c>
      <c r="BK74" s="37" t="str">
        <f ca="1">IFERROR(+IF(BK$29=ProposalToGnatt[[#This Row],[Start Date]],Milestone_Marker,IF(AND(BK$29&gt;ProposalToGnatt[[#This Row],[Start Date]],BK$29&lt;ProposalToGnatt[[#This Row],[Start Date]]+ProposalToGnatt[[#This Row],[Days]]),$G$5,"")),"")</f>
        <v/>
      </c>
      <c r="BL74" s="37" t="str">
        <f ca="1">IFERROR(+IF(BL$29=ProposalToGnatt[[#This Row],[Start Date]],Milestone_Marker,IF(AND(BL$29&gt;ProposalToGnatt[[#This Row],[Start Date]],BL$29&lt;ProposalToGnatt[[#This Row],[Start Date]]+ProposalToGnatt[[#This Row],[Days]]),$G$5,"")),"")</f>
        <v/>
      </c>
      <c r="BM74" s="37" t="str">
        <f ca="1">IFERROR(+IF(BM$29=ProposalToGnatt[[#This Row],[Start Date]],Milestone_Marker,IF(AND(BM$29&gt;ProposalToGnatt[[#This Row],[Start Date]],BM$29&lt;ProposalToGnatt[[#This Row],[Start Date]]+ProposalToGnatt[[#This Row],[Days]]),$G$5,"")),"")</f>
        <v/>
      </c>
      <c r="BN74" s="37" t="str">
        <f ca="1">IFERROR(+IF(BN$29=ProposalToGnatt[[#This Row],[Start Date]],Milestone_Marker,IF(AND(BN$29&gt;ProposalToGnatt[[#This Row],[Start Date]],BN$29&lt;ProposalToGnatt[[#This Row],[Start Date]]+ProposalToGnatt[[#This Row],[Days]]),$G$5,"")),"")</f>
        <v/>
      </c>
      <c r="BO74" s="37" t="str">
        <f ca="1">IFERROR(+IF(BO$29=ProposalToGnatt[[#This Row],[Start Date]],Milestone_Marker,IF(AND(BO$29&gt;ProposalToGnatt[[#This Row],[Start Date]],BO$29&lt;ProposalToGnatt[[#This Row],[Start Date]]+ProposalToGnatt[[#This Row],[Days]]),$G$5,"")),"")</f>
        <v/>
      </c>
      <c r="BP74" s="37" t="str">
        <f ca="1">IFERROR(+IF(BP$29=ProposalToGnatt[[#This Row],[Start Date]],Milestone_Marker,IF(AND(BP$29&gt;ProposalToGnatt[[#This Row],[Start Date]],BP$29&lt;ProposalToGnatt[[#This Row],[Start Date]]+ProposalToGnatt[[#This Row],[Days]]),$G$5,"")),"")</f>
        <v/>
      </c>
      <c r="BQ74" s="37" t="str">
        <f ca="1">IFERROR(+IF(BQ$29=ProposalToGnatt[[#This Row],[Start Date]],Milestone_Marker,IF(AND(BQ$29&gt;ProposalToGnatt[[#This Row],[Start Date]],BQ$29&lt;ProposalToGnatt[[#This Row],[Start Date]]+ProposalToGnatt[[#This Row],[Days]]),$G$5,"")),"")</f>
        <v/>
      </c>
      <c r="BR74" s="37" t="str">
        <f ca="1">IFERROR(+IF(BR$29=ProposalToGnatt[[#This Row],[Start Date]],Milestone_Marker,IF(AND(BR$29&gt;ProposalToGnatt[[#This Row],[Start Date]],BR$29&lt;ProposalToGnatt[[#This Row],[Start Date]]+ProposalToGnatt[[#This Row],[Days]]),$G$5,"")),"")</f>
        <v/>
      </c>
      <c r="BS74" s="37" t="str">
        <f ca="1">IFERROR(+IF(BS$29=ProposalToGnatt[[#This Row],[Start Date]],Milestone_Marker,IF(AND(BS$29&gt;ProposalToGnatt[[#This Row],[Start Date]],BS$29&lt;ProposalToGnatt[[#This Row],[Start Date]]+ProposalToGnatt[[#This Row],[Days]]),$G$5,"")),"")</f>
        <v/>
      </c>
      <c r="BT74" s="37" t="str">
        <f ca="1">IFERROR(+IF(BT$29=ProposalToGnatt[[#This Row],[Start Date]],Milestone_Marker,IF(AND(BT$29&gt;ProposalToGnatt[[#This Row],[Start Date]],BT$29&lt;ProposalToGnatt[[#This Row],[Start Date]]+ProposalToGnatt[[#This Row],[Days]]),$G$5,"")),"")</f>
        <v/>
      </c>
      <c r="BU74" s="37" t="str">
        <f ca="1">IFERROR(+IF(BU$29=ProposalToGnatt[[#This Row],[Start Date]],Milestone_Marker,IF(AND(BU$29&gt;ProposalToGnatt[[#This Row],[Start Date]],BU$29&lt;ProposalToGnatt[[#This Row],[Start Date]]+ProposalToGnatt[[#This Row],[Days]]),$G$5,"")),"")</f>
        <v/>
      </c>
      <c r="BV74" s="37" t="str">
        <f ca="1">IFERROR(+IF(BV$29=ProposalToGnatt[[#This Row],[Start Date]],Milestone_Marker,IF(AND(BV$29&gt;ProposalToGnatt[[#This Row],[Start Date]],BV$29&lt;ProposalToGnatt[[#This Row],[Start Date]]+ProposalToGnatt[[#This Row],[Days]]),$G$5,"")),"")</f>
        <v/>
      </c>
      <c r="BW74" s="37" t="str">
        <f ca="1">IFERROR(+IF(BW$29=ProposalToGnatt[[#This Row],[Start Date]],Milestone_Marker,IF(AND(BW$29&gt;ProposalToGnatt[[#This Row],[Start Date]],BW$29&lt;ProposalToGnatt[[#This Row],[Start Date]]+ProposalToGnatt[[#This Row],[Days]]),$G$5,"")),"")</f>
        <v/>
      </c>
      <c r="BX74" s="37" t="str">
        <f ca="1">IFERROR(+IF(BX$29=ProposalToGnatt[[#This Row],[Start Date]],Milestone_Marker,IF(AND(BX$29&gt;ProposalToGnatt[[#This Row],[Start Date]],BX$29&lt;ProposalToGnatt[[#This Row],[Start Date]]+ProposalToGnatt[[#This Row],[Days]]),$G$5,"")),"")</f>
        <v/>
      </c>
      <c r="BY74" s="37" t="str">
        <f ca="1">IFERROR(+IF(BY$29=ProposalToGnatt[[#This Row],[Start Date]],Milestone_Marker,IF(AND(BY$29&gt;ProposalToGnatt[[#This Row],[Start Date]],BY$29&lt;ProposalToGnatt[[#This Row],[Start Date]]+ProposalToGnatt[[#This Row],[Days]]),$G$5,"")),"")</f>
        <v/>
      </c>
      <c r="BZ74" s="37" t="str">
        <f ca="1">IFERROR(+IF(BZ$29=ProposalToGnatt[[#This Row],[Start Date]],Milestone_Marker,IF(AND(BZ$29&gt;ProposalToGnatt[[#This Row],[Start Date]],BZ$29&lt;ProposalToGnatt[[#This Row],[Start Date]]+ProposalToGnatt[[#This Row],[Days]]),$G$5,"")),"")</f>
        <v/>
      </c>
      <c r="CA74" s="37" t="str">
        <f ca="1">IFERROR(+IF(CA$29=ProposalToGnatt[[#This Row],[Start Date]],Milestone_Marker,IF(AND(CA$29&gt;ProposalToGnatt[[#This Row],[Start Date]],CA$29&lt;ProposalToGnatt[[#This Row],[Start Date]]+ProposalToGnatt[[#This Row],[Days]]),$G$5,"")),"")</f>
        <v/>
      </c>
      <c r="CB74" s="37" t="str">
        <f ca="1">IFERROR(+IF(CB$29=ProposalToGnatt[[#This Row],[Start Date]],Milestone_Marker,IF(AND(CB$29&gt;ProposalToGnatt[[#This Row],[Start Date]],CB$29&lt;ProposalToGnatt[[#This Row],[Start Date]]+ProposalToGnatt[[#This Row],[Days]]),$G$5,"")),"")</f>
        <v/>
      </c>
      <c r="CC74" s="37" t="str">
        <f ca="1">IFERROR(+IF(CC$29=ProposalToGnatt[[#This Row],[Start Date]],Milestone_Marker,IF(AND(CC$29&gt;ProposalToGnatt[[#This Row],[Start Date]],CC$29&lt;ProposalToGnatt[[#This Row],[Start Date]]+ProposalToGnatt[[#This Row],[Days]]),$G$5,"")),"")</f>
        <v/>
      </c>
      <c r="CD74" s="37" t="str">
        <f ca="1">IFERROR(+IF(CD$29=ProposalToGnatt[[#This Row],[Start Date]],Milestone_Marker,IF(AND(CD$29&gt;ProposalToGnatt[[#This Row],[Start Date]],CD$29&lt;ProposalToGnatt[[#This Row],[Start Date]]+ProposalToGnatt[[#This Row],[Days]]),$G$5,"")),"")</f>
        <v/>
      </c>
      <c r="CE74" s="37" t="str">
        <f ca="1">IFERROR(+IF(CE$29=ProposalToGnatt[[#This Row],[Start Date]],Milestone_Marker,IF(AND(CE$29&gt;ProposalToGnatt[[#This Row],[Start Date]],CE$29&lt;ProposalToGnatt[[#This Row],[Start Date]]+ProposalToGnatt[[#This Row],[Days]]),$G$5,"")),"")</f>
        <v/>
      </c>
      <c r="CF74" s="37" t="str">
        <f ca="1">IFERROR(+IF(CF$29=ProposalToGnatt[[#This Row],[Start Date]],Milestone_Marker,IF(AND(CF$29&gt;ProposalToGnatt[[#This Row],[Start Date]],CF$29&lt;ProposalToGnatt[[#This Row],[Start Date]]+ProposalToGnatt[[#This Row],[Days]]),$G$5,"")),"")</f>
        <v/>
      </c>
      <c r="CG74" s="37" t="str">
        <f ca="1">IFERROR(+IF(CG$29=ProposalToGnatt[[#This Row],[Start Date]],Milestone_Marker,IF(AND(CG$29&gt;ProposalToGnatt[[#This Row],[Start Date]],CG$29&lt;ProposalToGnatt[[#This Row],[Start Date]]+ProposalToGnatt[[#This Row],[Days]]),$G$5,"")),"")</f>
        <v/>
      </c>
      <c r="CH74" s="37" t="str">
        <f ca="1">IFERROR(+IF(CH$29=ProposalToGnatt[[#This Row],[Start Date]],Milestone_Marker,IF(AND(CH$29&gt;ProposalToGnatt[[#This Row],[Start Date]],CH$29&lt;ProposalToGnatt[[#This Row],[Start Date]]+ProposalToGnatt[[#This Row],[Days]]),$G$5,"")),"")</f>
        <v/>
      </c>
      <c r="CI74" s="37" t="str">
        <f ca="1">IFERROR(+IF(CI$29=ProposalToGnatt[[#This Row],[Start Date]],Milestone_Marker,IF(AND(CI$29&gt;ProposalToGnatt[[#This Row],[Start Date]],CI$29&lt;ProposalToGnatt[[#This Row],[Start Date]]+ProposalToGnatt[[#This Row],[Days]]),$G$5,"")),"")</f>
        <v/>
      </c>
      <c r="CJ74" s="37" t="str">
        <f ca="1">IFERROR(+IF(CJ$29=ProposalToGnatt[[#This Row],[Start Date]],Milestone_Marker,IF(AND(CJ$29&gt;ProposalToGnatt[[#This Row],[Start Date]],CJ$29&lt;ProposalToGnatt[[#This Row],[Start Date]]+ProposalToGnatt[[#This Row],[Days]]),$G$5,"")),"")</f>
        <v/>
      </c>
      <c r="CK74" s="37" t="str">
        <f ca="1">IFERROR(+IF(CK$29=ProposalToGnatt[[#This Row],[Start Date]],Milestone_Marker,IF(AND(CK$29&gt;ProposalToGnatt[[#This Row],[Start Date]],CK$29&lt;ProposalToGnatt[[#This Row],[Start Date]]+ProposalToGnatt[[#This Row],[Days]]),$G$5,"")),"")</f>
        <v/>
      </c>
      <c r="CL74" s="37" t="str">
        <f ca="1">IFERROR(+IF(CL$29=ProposalToGnatt[[#This Row],[Start Date]],Milestone_Marker,IF(AND(CL$29&gt;ProposalToGnatt[[#This Row],[Start Date]],CL$29&lt;ProposalToGnatt[[#This Row],[Start Date]]+ProposalToGnatt[[#This Row],[Days]]),$G$5,"")),"")</f>
        <v/>
      </c>
      <c r="CM74" s="37" t="str">
        <f ca="1">IFERROR(+IF(CM$29=ProposalToGnatt[[#This Row],[Start Date]],Milestone_Marker,IF(AND(CM$29&gt;ProposalToGnatt[[#This Row],[Start Date]],CM$29&lt;ProposalToGnatt[[#This Row],[Start Date]]+ProposalToGnatt[[#This Row],[Days]]),$G$5,"")),"")</f>
        <v/>
      </c>
      <c r="CN74" s="37" t="str">
        <f ca="1">IFERROR(+IF(CN$29=ProposalToGnatt[[#This Row],[Start Date]],Milestone_Marker,IF(AND(CN$29&gt;ProposalToGnatt[[#This Row],[Start Date]],CN$29&lt;ProposalToGnatt[[#This Row],[Start Date]]+ProposalToGnatt[[#This Row],[Days]]),$G$5,"")),"")</f>
        <v/>
      </c>
      <c r="CO74" s="37" t="str">
        <f ca="1">IFERROR(+IF(CO$29=ProposalToGnatt[[#This Row],[Start Date]],Milestone_Marker,IF(AND(CO$29&gt;ProposalToGnatt[[#This Row],[Start Date]],CO$29&lt;ProposalToGnatt[[#This Row],[Start Date]]+ProposalToGnatt[[#This Row],[Days]]),$G$5,"")),"")</f>
        <v/>
      </c>
      <c r="CP74" s="37" t="str">
        <f ca="1">IFERROR(+IF(CP$29=ProposalToGnatt[[#This Row],[Start Date]],Milestone_Marker,IF(AND(CP$29&gt;ProposalToGnatt[[#This Row],[Start Date]],CP$29&lt;ProposalToGnatt[[#This Row],[Start Date]]+ProposalToGnatt[[#This Row],[Days]]),$G$5,"")),"")</f>
        <v/>
      </c>
      <c r="CQ74" s="37" t="str">
        <f ca="1">IFERROR(+IF(CQ$29=ProposalToGnatt[[#This Row],[Start Date]],Milestone_Marker,IF(AND(CQ$29&gt;ProposalToGnatt[[#This Row],[Start Date]],CQ$29&lt;ProposalToGnatt[[#This Row],[Start Date]]+ProposalToGnatt[[#This Row],[Days]]),$G$5,"")),"")</f>
        <v/>
      </c>
      <c r="CR74" s="37" t="str">
        <f ca="1">IFERROR(+IF(CR$29=ProposalToGnatt[[#This Row],[Start Date]],Milestone_Marker,IF(AND(CR$29&gt;ProposalToGnatt[[#This Row],[Start Date]],CR$29&lt;ProposalToGnatt[[#This Row],[Start Date]]+ProposalToGnatt[[#This Row],[Days]]),$G$5,"")),"")</f>
        <v/>
      </c>
      <c r="CS74" s="37" t="str">
        <f ca="1">IFERROR(+IF(CS$29=ProposalToGnatt[[#This Row],[Start Date]],Milestone_Marker,IF(AND(CS$29&gt;ProposalToGnatt[[#This Row],[Start Date]],CS$29&lt;ProposalToGnatt[[#This Row],[Start Date]]+ProposalToGnatt[[#This Row],[Days]]),$G$5,"")),"")</f>
        <v/>
      </c>
      <c r="CT74" s="37" t="str">
        <f ca="1">IFERROR(+IF(CT$29=ProposalToGnatt[[#This Row],[Start Date]],Milestone_Marker,IF(AND(CT$29&gt;ProposalToGnatt[[#This Row],[Start Date]],CT$29&lt;ProposalToGnatt[[#This Row],[Start Date]]+ProposalToGnatt[[#This Row],[Days]]),$G$5,"")),"")</f>
        <v/>
      </c>
      <c r="CU74" s="37" t="str">
        <f ca="1">IFERROR(+IF(CU$29=ProposalToGnatt[[#This Row],[Start Date]],Milestone_Marker,IF(AND(CU$29&gt;ProposalToGnatt[[#This Row],[Start Date]],CU$29&lt;ProposalToGnatt[[#This Row],[Start Date]]+ProposalToGnatt[[#This Row],[Days]]),$G$5,"")),"")</f>
        <v/>
      </c>
      <c r="CV74" s="37"/>
      <c r="CW74" s="37"/>
      <c r="CX74" s="37"/>
      <c r="CY74" s="37"/>
      <c r="CZ74" s="37"/>
      <c r="DA74" s="37"/>
      <c r="DB74" s="37"/>
      <c r="DC74" s="37"/>
      <c r="DD74" s="37"/>
      <c r="DE74" s="37"/>
      <c r="DF74" s="37"/>
      <c r="DG74" s="37"/>
      <c r="DH74" s="37"/>
      <c r="DI74" s="37"/>
      <c r="DJ74" s="37"/>
      <c r="DK74" s="37"/>
      <c r="DL74" s="37"/>
      <c r="DM74" s="37"/>
      <c r="DN74" s="37"/>
      <c r="DO74" s="37"/>
      <c r="DP74" s="37"/>
      <c r="DQ74" s="37"/>
      <c r="DR74" s="37"/>
      <c r="DS74" s="37"/>
      <c r="DT74" s="37"/>
      <c r="DU74" s="37"/>
    </row>
    <row r="75" spans="1:125" ht="15" x14ac:dyDescent="0.25">
      <c r="A75" t="s">
        <v>428</v>
      </c>
      <c r="B75">
        <v>50</v>
      </c>
      <c r="C75" t="s">
        <v>339</v>
      </c>
      <c r="D75" t="s">
        <v>381</v>
      </c>
      <c r="E75" t="s">
        <v>382</v>
      </c>
      <c r="F75">
        <v>1</v>
      </c>
      <c r="G75" s="14"/>
      <c r="H75" s="14"/>
      <c r="I75"/>
      <c r="J75">
        <v>2</v>
      </c>
      <c r="K75" s="303"/>
      <c r="L75"/>
      <c r="M75" s="14"/>
      <c r="N75" s="352"/>
      <c r="O75" s="340"/>
      <c r="P75" s="37" t="str">
        <f ca="1">IFERROR(+IF(P$29=ProposalToGnatt[[#This Row],[Start Date]],Milestone_Marker,IF(AND(P$29&gt;ProposalToGnatt[[#This Row],[Start Date]],P$29&lt;ProposalToGnatt[[#This Row],[Start Date]]+ProposalToGnatt[[#This Row],[Days]]),$G$5,"")),"")</f>
        <v/>
      </c>
      <c r="Q75" s="37" t="str">
        <f ca="1">IFERROR(+IF(Q$29=ProposalToGnatt[[#This Row],[Start Date]],Milestone_Marker,IF(AND(Q$29&gt;ProposalToGnatt[[#This Row],[Start Date]],Q$29&lt;ProposalToGnatt[[#This Row],[Start Date]]+ProposalToGnatt[[#This Row],[Days]]),$G$5,"")),"")</f>
        <v/>
      </c>
      <c r="R75" s="37" t="str">
        <f ca="1">IFERROR(+IF(R$29=ProposalToGnatt[[#This Row],[Start Date]],Milestone_Marker,IF(AND(R$29&gt;ProposalToGnatt[[#This Row],[Start Date]],R$29&lt;ProposalToGnatt[[#This Row],[Start Date]]+ProposalToGnatt[[#This Row],[Days]]),$G$5,"")),"")</f>
        <v/>
      </c>
      <c r="S75" s="37" t="str">
        <f ca="1">IFERROR(+IF(S$29=ProposalToGnatt[[#This Row],[Start Date]],Milestone_Marker,IF(AND(S$29&gt;ProposalToGnatt[[#This Row],[Start Date]],S$29&lt;ProposalToGnatt[[#This Row],[Start Date]]+ProposalToGnatt[[#This Row],[Days]]),$G$5,"")),"")</f>
        <v/>
      </c>
      <c r="T75" s="37" t="str">
        <f ca="1">IFERROR(+IF(T$29=ProposalToGnatt[[#This Row],[Start Date]],Milestone_Marker,IF(AND(T$29&gt;ProposalToGnatt[[#This Row],[Start Date]],T$29&lt;ProposalToGnatt[[#This Row],[Start Date]]+ProposalToGnatt[[#This Row],[Days]]),$G$5,"")),"")</f>
        <v/>
      </c>
      <c r="U75" s="37" t="str">
        <f ca="1">IFERROR(+IF(U$29=ProposalToGnatt[[#This Row],[Start Date]],Milestone_Marker,IF(AND(U$29&gt;ProposalToGnatt[[#This Row],[Start Date]],U$29&lt;ProposalToGnatt[[#This Row],[Start Date]]+ProposalToGnatt[[#This Row],[Days]]),$G$5,"")),"")</f>
        <v/>
      </c>
      <c r="V75" s="37" t="str">
        <f ca="1">IFERROR(+IF(V$29=ProposalToGnatt[[#This Row],[Start Date]],Milestone_Marker,IF(AND(V$29&gt;ProposalToGnatt[[#This Row],[Start Date]],V$29&lt;ProposalToGnatt[[#This Row],[Start Date]]+ProposalToGnatt[[#This Row],[Days]]),$G$5,"")),"")</f>
        <v/>
      </c>
      <c r="W75" s="37" t="str">
        <f ca="1">IFERROR(+IF(W$29=ProposalToGnatt[[#This Row],[Start Date]],Milestone_Marker,IF(AND(W$29&gt;ProposalToGnatt[[#This Row],[Start Date]],W$29&lt;ProposalToGnatt[[#This Row],[Start Date]]+ProposalToGnatt[[#This Row],[Days]]),$G$5,"")),"")</f>
        <v/>
      </c>
      <c r="X75" s="37" t="str">
        <f ca="1">IFERROR(+IF(X$29=ProposalToGnatt[[#This Row],[Start Date]],Milestone_Marker,IF(AND(X$29&gt;ProposalToGnatt[[#This Row],[Start Date]],X$29&lt;ProposalToGnatt[[#This Row],[Start Date]]+ProposalToGnatt[[#This Row],[Days]]),$G$5,"")),"")</f>
        <v/>
      </c>
      <c r="Y75" s="37" t="str">
        <f ca="1">IFERROR(+IF(Y$29=ProposalToGnatt[[#This Row],[Start Date]],Milestone_Marker,IF(AND(Y$29&gt;ProposalToGnatt[[#This Row],[Start Date]],Y$29&lt;ProposalToGnatt[[#This Row],[Start Date]]+ProposalToGnatt[[#This Row],[Days]]),$G$5,"")),"")</f>
        <v/>
      </c>
      <c r="Z75" s="37" t="str">
        <f ca="1">IFERROR(+IF(Z$29=ProposalToGnatt[[#This Row],[Start Date]],Milestone_Marker,IF(AND(Z$29&gt;ProposalToGnatt[[#This Row],[Start Date]],Z$29&lt;ProposalToGnatt[[#This Row],[Start Date]]+ProposalToGnatt[[#This Row],[Days]]),$G$5,"")),"")</f>
        <v/>
      </c>
      <c r="AA75" s="37" t="str">
        <f ca="1">IFERROR(+IF(AA$29=ProposalToGnatt[[#This Row],[Start Date]],Milestone_Marker,IF(AND(AA$29&gt;ProposalToGnatt[[#This Row],[Start Date]],AA$29&lt;ProposalToGnatt[[#This Row],[Start Date]]+ProposalToGnatt[[#This Row],[Days]]),$G$5,"")),"")</f>
        <v/>
      </c>
      <c r="AB75" s="37" t="str">
        <f ca="1">IFERROR(+IF(AB$29=ProposalToGnatt[[#This Row],[Start Date]],Milestone_Marker,IF(AND(AB$29&gt;ProposalToGnatt[[#This Row],[Start Date]],AB$29&lt;ProposalToGnatt[[#This Row],[Start Date]]+ProposalToGnatt[[#This Row],[Days]]),$G$5,"")),"")</f>
        <v/>
      </c>
      <c r="AC75" s="37" t="str">
        <f ca="1">IFERROR(+IF(AC$29=ProposalToGnatt[[#This Row],[Start Date]],Milestone_Marker,IF(AND(AC$29&gt;ProposalToGnatt[[#This Row],[Start Date]],AC$29&lt;ProposalToGnatt[[#This Row],[Start Date]]+ProposalToGnatt[[#This Row],[Days]]),$G$5,"")),"")</f>
        <v/>
      </c>
      <c r="AD75" s="37" t="str">
        <f ca="1">IFERROR(+IF(AD$29=ProposalToGnatt[[#This Row],[Start Date]],Milestone_Marker,IF(AND(AD$29&gt;ProposalToGnatt[[#This Row],[Start Date]],AD$29&lt;ProposalToGnatt[[#This Row],[Start Date]]+ProposalToGnatt[[#This Row],[Days]]),$G$5,"")),"")</f>
        <v/>
      </c>
      <c r="AE75" s="37" t="str">
        <f ca="1">IFERROR(+IF(AE$29=ProposalToGnatt[[#This Row],[Start Date]],Milestone_Marker,IF(AND(AE$29&gt;ProposalToGnatt[[#This Row],[Start Date]],AE$29&lt;ProposalToGnatt[[#This Row],[Start Date]]+ProposalToGnatt[[#This Row],[Days]]),$G$5,"")),"")</f>
        <v/>
      </c>
      <c r="AF75" s="37" t="str">
        <f ca="1">IFERROR(+IF(AF$29=ProposalToGnatt[[#This Row],[Start Date]],Milestone_Marker,IF(AND(AF$29&gt;ProposalToGnatt[[#This Row],[Start Date]],AF$29&lt;ProposalToGnatt[[#This Row],[Start Date]]+ProposalToGnatt[[#This Row],[Days]]),$G$5,"")),"")</f>
        <v/>
      </c>
      <c r="AG75" s="37" t="str">
        <f ca="1">IFERROR(+IF(AG$29=ProposalToGnatt[[#This Row],[Start Date]],Milestone_Marker,IF(AND(AG$29&gt;ProposalToGnatt[[#This Row],[Start Date]],AG$29&lt;ProposalToGnatt[[#This Row],[Start Date]]+ProposalToGnatt[[#This Row],[Days]]),$G$5,"")),"")</f>
        <v/>
      </c>
      <c r="AH75" s="37" t="str">
        <f ca="1">IFERROR(+IF(AH$29=ProposalToGnatt[[#This Row],[Start Date]],Milestone_Marker,IF(AND(AH$29&gt;ProposalToGnatt[[#This Row],[Start Date]],AH$29&lt;ProposalToGnatt[[#This Row],[Start Date]]+ProposalToGnatt[[#This Row],[Days]]),$G$5,"")),"")</f>
        <v/>
      </c>
      <c r="AI75" s="37" t="str">
        <f ca="1">IFERROR(+IF(AI$29=ProposalToGnatt[[#This Row],[Start Date]],Milestone_Marker,IF(AND(AI$29&gt;ProposalToGnatt[[#This Row],[Start Date]],AI$29&lt;ProposalToGnatt[[#This Row],[Start Date]]+ProposalToGnatt[[#This Row],[Days]]),$G$5,"")),"")</f>
        <v/>
      </c>
      <c r="AJ75" s="37" t="str">
        <f ca="1">IFERROR(+IF(AJ$29=ProposalToGnatt[[#This Row],[Start Date]],Milestone_Marker,IF(AND(AJ$29&gt;ProposalToGnatt[[#This Row],[Start Date]],AJ$29&lt;ProposalToGnatt[[#This Row],[Start Date]]+ProposalToGnatt[[#This Row],[Days]]),$G$5,"")),"")</f>
        <v/>
      </c>
      <c r="AK75" s="37" t="str">
        <f ca="1">IFERROR(+IF(AK$29=ProposalToGnatt[[#This Row],[Start Date]],Milestone_Marker,IF(AND(AK$29&gt;ProposalToGnatt[[#This Row],[Start Date]],AK$29&lt;ProposalToGnatt[[#This Row],[Start Date]]+ProposalToGnatt[[#This Row],[Days]]),$G$5,"")),"")</f>
        <v/>
      </c>
      <c r="AL75" s="37" t="str">
        <f ca="1">IFERROR(+IF(AL$29=ProposalToGnatt[[#This Row],[Start Date]],Milestone_Marker,IF(AND(AL$29&gt;ProposalToGnatt[[#This Row],[Start Date]],AL$29&lt;ProposalToGnatt[[#This Row],[Start Date]]+ProposalToGnatt[[#This Row],[Days]]),$G$5,"")),"")</f>
        <v/>
      </c>
      <c r="AM75" s="37" t="str">
        <f ca="1">IFERROR(+IF(AM$29=ProposalToGnatt[[#This Row],[Start Date]],Milestone_Marker,IF(AND(AM$29&gt;ProposalToGnatt[[#This Row],[Start Date]],AM$29&lt;ProposalToGnatt[[#This Row],[Start Date]]+ProposalToGnatt[[#This Row],[Days]]),$G$5,"")),"")</f>
        <v/>
      </c>
      <c r="AN75" s="37" t="str">
        <f ca="1">IFERROR(+IF(AN$29=ProposalToGnatt[[#This Row],[Start Date]],Milestone_Marker,IF(AND(AN$29&gt;ProposalToGnatt[[#This Row],[Start Date]],AN$29&lt;ProposalToGnatt[[#This Row],[Start Date]]+ProposalToGnatt[[#This Row],[Days]]),$G$5,"")),"")</f>
        <v/>
      </c>
      <c r="AO75" s="37" t="str">
        <f ca="1">IFERROR(+IF(AO$29=ProposalToGnatt[[#This Row],[Start Date]],Milestone_Marker,IF(AND(AO$29&gt;ProposalToGnatt[[#This Row],[Start Date]],AO$29&lt;ProposalToGnatt[[#This Row],[Start Date]]+ProposalToGnatt[[#This Row],[Days]]),$G$5,"")),"")</f>
        <v/>
      </c>
      <c r="AP75" s="37" t="str">
        <f ca="1">IFERROR(+IF(AP$29=ProposalToGnatt[[#This Row],[Start Date]],Milestone_Marker,IF(AND(AP$29&gt;ProposalToGnatt[[#This Row],[Start Date]],AP$29&lt;ProposalToGnatt[[#This Row],[Start Date]]+ProposalToGnatt[[#This Row],[Days]]),$G$5,"")),"")</f>
        <v/>
      </c>
      <c r="AQ75" s="37" t="str">
        <f ca="1">IFERROR(+IF(AQ$29=ProposalToGnatt[[#This Row],[Start Date]],Milestone_Marker,IF(AND(AQ$29&gt;ProposalToGnatt[[#This Row],[Start Date]],AQ$29&lt;ProposalToGnatt[[#This Row],[Start Date]]+ProposalToGnatt[[#This Row],[Days]]),$G$5,"")),"")</f>
        <v/>
      </c>
      <c r="AR75" s="37" t="str">
        <f ca="1">IFERROR(+IF(AR$29=ProposalToGnatt[[#This Row],[Start Date]],Milestone_Marker,IF(AND(AR$29&gt;ProposalToGnatt[[#This Row],[Start Date]],AR$29&lt;ProposalToGnatt[[#This Row],[Start Date]]+ProposalToGnatt[[#This Row],[Days]]),$G$5,"")),"")</f>
        <v/>
      </c>
      <c r="AS75" s="37" t="str">
        <f ca="1">IFERROR(+IF(AS$29=ProposalToGnatt[[#This Row],[Start Date]],Milestone_Marker,IF(AND(AS$29&gt;ProposalToGnatt[[#This Row],[Start Date]],AS$29&lt;ProposalToGnatt[[#This Row],[Start Date]]+ProposalToGnatt[[#This Row],[Days]]),$G$5,"")),"")</f>
        <v/>
      </c>
      <c r="AT75" s="37" t="str">
        <f ca="1">IFERROR(+IF(AT$29=ProposalToGnatt[[#This Row],[Start Date]],Milestone_Marker,IF(AND(AT$29&gt;ProposalToGnatt[[#This Row],[Start Date]],AT$29&lt;ProposalToGnatt[[#This Row],[Start Date]]+ProposalToGnatt[[#This Row],[Days]]),$G$5,"")),"")</f>
        <v/>
      </c>
      <c r="AU75" s="37" t="str">
        <f ca="1">IFERROR(+IF(AU$29=ProposalToGnatt[[#This Row],[Start Date]],Milestone_Marker,IF(AND(AU$29&gt;ProposalToGnatt[[#This Row],[Start Date]],AU$29&lt;ProposalToGnatt[[#This Row],[Start Date]]+ProposalToGnatt[[#This Row],[Days]]),$G$5,"")),"")</f>
        <v/>
      </c>
      <c r="AV75" s="37" t="str">
        <f ca="1">IFERROR(+IF(AV$29=ProposalToGnatt[[#This Row],[Start Date]],Milestone_Marker,IF(AND(AV$29&gt;ProposalToGnatt[[#This Row],[Start Date]],AV$29&lt;ProposalToGnatt[[#This Row],[Start Date]]+ProposalToGnatt[[#This Row],[Days]]),$G$5,"")),"")</f>
        <v/>
      </c>
      <c r="AW75" s="37" t="str">
        <f ca="1">IFERROR(+IF(AW$29=ProposalToGnatt[[#This Row],[Start Date]],Milestone_Marker,IF(AND(AW$29&gt;ProposalToGnatt[[#This Row],[Start Date]],AW$29&lt;ProposalToGnatt[[#This Row],[Start Date]]+ProposalToGnatt[[#This Row],[Days]]),$G$5,"")),"")</f>
        <v/>
      </c>
      <c r="AX75" s="37" t="str">
        <f ca="1">IFERROR(+IF(AX$29=ProposalToGnatt[[#This Row],[Start Date]],Milestone_Marker,IF(AND(AX$29&gt;ProposalToGnatt[[#This Row],[Start Date]],AX$29&lt;ProposalToGnatt[[#This Row],[Start Date]]+ProposalToGnatt[[#This Row],[Days]]),$G$5,"")),"")</f>
        <v/>
      </c>
      <c r="AY75" s="37" t="str">
        <f ca="1">IFERROR(+IF(AY$29=ProposalToGnatt[[#This Row],[Start Date]],Milestone_Marker,IF(AND(AY$29&gt;ProposalToGnatt[[#This Row],[Start Date]],AY$29&lt;ProposalToGnatt[[#This Row],[Start Date]]+ProposalToGnatt[[#This Row],[Days]]),$G$5,"")),"")</f>
        <v/>
      </c>
      <c r="AZ75" s="37" t="str">
        <f ca="1">IFERROR(+IF(AZ$29=ProposalToGnatt[[#This Row],[Start Date]],Milestone_Marker,IF(AND(AZ$29&gt;ProposalToGnatt[[#This Row],[Start Date]],AZ$29&lt;ProposalToGnatt[[#This Row],[Start Date]]+ProposalToGnatt[[#This Row],[Days]]),$G$5,"")),"")</f>
        <v/>
      </c>
      <c r="BA75" s="37" t="str">
        <f ca="1">IFERROR(+IF(BA$29=ProposalToGnatt[[#This Row],[Start Date]],Milestone_Marker,IF(AND(BA$29&gt;ProposalToGnatt[[#This Row],[Start Date]],BA$29&lt;ProposalToGnatt[[#This Row],[Start Date]]+ProposalToGnatt[[#This Row],[Days]]),$G$5,"")),"")</f>
        <v/>
      </c>
      <c r="BB75" s="37" t="str">
        <f ca="1">IFERROR(+IF(BB$29=ProposalToGnatt[[#This Row],[Start Date]],Milestone_Marker,IF(AND(BB$29&gt;ProposalToGnatt[[#This Row],[Start Date]],BB$29&lt;ProposalToGnatt[[#This Row],[Start Date]]+ProposalToGnatt[[#This Row],[Days]]),$G$5,"")),"")</f>
        <v/>
      </c>
      <c r="BC75" s="37" t="str">
        <f ca="1">IFERROR(+IF(BC$29=ProposalToGnatt[[#This Row],[Start Date]],Milestone_Marker,IF(AND(BC$29&gt;ProposalToGnatt[[#This Row],[Start Date]],BC$29&lt;ProposalToGnatt[[#This Row],[Start Date]]+ProposalToGnatt[[#This Row],[Days]]),$G$5,"")),"")</f>
        <v/>
      </c>
      <c r="BD75" s="37" t="str">
        <f ca="1">IFERROR(+IF(BD$29=ProposalToGnatt[[#This Row],[Start Date]],Milestone_Marker,IF(AND(BD$29&gt;ProposalToGnatt[[#This Row],[Start Date]],BD$29&lt;ProposalToGnatt[[#This Row],[Start Date]]+ProposalToGnatt[[#This Row],[Days]]),$G$5,"")),"")</f>
        <v/>
      </c>
      <c r="BE75" s="37" t="str">
        <f ca="1">IFERROR(+IF(BE$29=ProposalToGnatt[[#This Row],[Start Date]],Milestone_Marker,IF(AND(BE$29&gt;ProposalToGnatt[[#This Row],[Start Date]],BE$29&lt;ProposalToGnatt[[#This Row],[Start Date]]+ProposalToGnatt[[#This Row],[Days]]),$G$5,"")),"")</f>
        <v/>
      </c>
      <c r="BF75" s="37" t="str">
        <f ca="1">IFERROR(+IF(BF$29=ProposalToGnatt[[#This Row],[Start Date]],Milestone_Marker,IF(AND(BF$29&gt;ProposalToGnatt[[#This Row],[Start Date]],BF$29&lt;ProposalToGnatt[[#This Row],[Start Date]]+ProposalToGnatt[[#This Row],[Days]]),$G$5,"")),"")</f>
        <v/>
      </c>
      <c r="BG75" s="37" t="str">
        <f ca="1">IFERROR(+IF(BG$29=ProposalToGnatt[[#This Row],[Start Date]],Milestone_Marker,IF(AND(BG$29&gt;ProposalToGnatt[[#This Row],[Start Date]],BG$29&lt;ProposalToGnatt[[#This Row],[Start Date]]+ProposalToGnatt[[#This Row],[Days]]),$G$5,"")),"")</f>
        <v/>
      </c>
      <c r="BH75" s="37" t="str">
        <f ca="1">IFERROR(+IF(BH$29=ProposalToGnatt[[#This Row],[Start Date]],Milestone_Marker,IF(AND(BH$29&gt;ProposalToGnatt[[#This Row],[Start Date]],BH$29&lt;ProposalToGnatt[[#This Row],[Start Date]]+ProposalToGnatt[[#This Row],[Days]]),$G$5,"")),"")</f>
        <v/>
      </c>
      <c r="BI75" s="37" t="str">
        <f ca="1">IFERROR(+IF(BI$29=ProposalToGnatt[[#This Row],[Start Date]],Milestone_Marker,IF(AND(BI$29&gt;ProposalToGnatt[[#This Row],[Start Date]],BI$29&lt;ProposalToGnatt[[#This Row],[Start Date]]+ProposalToGnatt[[#This Row],[Days]]),$G$5,"")),"")</f>
        <v/>
      </c>
      <c r="BJ75" s="37" t="str">
        <f ca="1">IFERROR(+IF(BJ$29=ProposalToGnatt[[#This Row],[Start Date]],Milestone_Marker,IF(AND(BJ$29&gt;ProposalToGnatt[[#This Row],[Start Date]],BJ$29&lt;ProposalToGnatt[[#This Row],[Start Date]]+ProposalToGnatt[[#This Row],[Days]]),$G$5,"")),"")</f>
        <v/>
      </c>
      <c r="BK75" s="37" t="str">
        <f ca="1">IFERROR(+IF(BK$29=ProposalToGnatt[[#This Row],[Start Date]],Milestone_Marker,IF(AND(BK$29&gt;ProposalToGnatt[[#This Row],[Start Date]],BK$29&lt;ProposalToGnatt[[#This Row],[Start Date]]+ProposalToGnatt[[#This Row],[Days]]),$G$5,"")),"")</f>
        <v/>
      </c>
      <c r="BL75" s="37" t="str">
        <f ca="1">IFERROR(+IF(BL$29=ProposalToGnatt[[#This Row],[Start Date]],Milestone_Marker,IF(AND(BL$29&gt;ProposalToGnatt[[#This Row],[Start Date]],BL$29&lt;ProposalToGnatt[[#This Row],[Start Date]]+ProposalToGnatt[[#This Row],[Days]]),$G$5,"")),"")</f>
        <v/>
      </c>
      <c r="BM75" s="37" t="str">
        <f ca="1">IFERROR(+IF(BM$29=ProposalToGnatt[[#This Row],[Start Date]],Milestone_Marker,IF(AND(BM$29&gt;ProposalToGnatt[[#This Row],[Start Date]],BM$29&lt;ProposalToGnatt[[#This Row],[Start Date]]+ProposalToGnatt[[#This Row],[Days]]),$G$5,"")),"")</f>
        <v/>
      </c>
      <c r="BN75" s="37" t="str">
        <f ca="1">IFERROR(+IF(BN$29=ProposalToGnatt[[#This Row],[Start Date]],Milestone_Marker,IF(AND(BN$29&gt;ProposalToGnatt[[#This Row],[Start Date]],BN$29&lt;ProposalToGnatt[[#This Row],[Start Date]]+ProposalToGnatt[[#This Row],[Days]]),$G$5,"")),"")</f>
        <v/>
      </c>
      <c r="BO75" s="37" t="str">
        <f ca="1">IFERROR(+IF(BO$29=ProposalToGnatt[[#This Row],[Start Date]],Milestone_Marker,IF(AND(BO$29&gt;ProposalToGnatt[[#This Row],[Start Date]],BO$29&lt;ProposalToGnatt[[#This Row],[Start Date]]+ProposalToGnatt[[#This Row],[Days]]),$G$5,"")),"")</f>
        <v/>
      </c>
      <c r="BP75" s="37" t="str">
        <f ca="1">IFERROR(+IF(BP$29=ProposalToGnatt[[#This Row],[Start Date]],Milestone_Marker,IF(AND(BP$29&gt;ProposalToGnatt[[#This Row],[Start Date]],BP$29&lt;ProposalToGnatt[[#This Row],[Start Date]]+ProposalToGnatt[[#This Row],[Days]]),$G$5,"")),"")</f>
        <v/>
      </c>
      <c r="BQ75" s="37" t="str">
        <f ca="1">IFERROR(+IF(BQ$29=ProposalToGnatt[[#This Row],[Start Date]],Milestone_Marker,IF(AND(BQ$29&gt;ProposalToGnatt[[#This Row],[Start Date]],BQ$29&lt;ProposalToGnatt[[#This Row],[Start Date]]+ProposalToGnatt[[#This Row],[Days]]),$G$5,"")),"")</f>
        <v/>
      </c>
      <c r="BR75" s="37" t="str">
        <f ca="1">IFERROR(+IF(BR$29=ProposalToGnatt[[#This Row],[Start Date]],Milestone_Marker,IF(AND(BR$29&gt;ProposalToGnatt[[#This Row],[Start Date]],BR$29&lt;ProposalToGnatt[[#This Row],[Start Date]]+ProposalToGnatt[[#This Row],[Days]]),$G$5,"")),"")</f>
        <v/>
      </c>
      <c r="BS75" s="37" t="str">
        <f ca="1">IFERROR(+IF(BS$29=ProposalToGnatt[[#This Row],[Start Date]],Milestone_Marker,IF(AND(BS$29&gt;ProposalToGnatt[[#This Row],[Start Date]],BS$29&lt;ProposalToGnatt[[#This Row],[Start Date]]+ProposalToGnatt[[#This Row],[Days]]),$G$5,"")),"")</f>
        <v/>
      </c>
      <c r="BT75" s="37" t="str">
        <f ca="1">IFERROR(+IF(BT$29=ProposalToGnatt[[#This Row],[Start Date]],Milestone_Marker,IF(AND(BT$29&gt;ProposalToGnatt[[#This Row],[Start Date]],BT$29&lt;ProposalToGnatt[[#This Row],[Start Date]]+ProposalToGnatt[[#This Row],[Days]]),$G$5,"")),"")</f>
        <v/>
      </c>
      <c r="BU75" s="37" t="str">
        <f ca="1">IFERROR(+IF(BU$29=ProposalToGnatt[[#This Row],[Start Date]],Milestone_Marker,IF(AND(BU$29&gt;ProposalToGnatt[[#This Row],[Start Date]],BU$29&lt;ProposalToGnatt[[#This Row],[Start Date]]+ProposalToGnatt[[#This Row],[Days]]),$G$5,"")),"")</f>
        <v/>
      </c>
      <c r="BV75" s="37" t="str">
        <f ca="1">IFERROR(+IF(BV$29=ProposalToGnatt[[#This Row],[Start Date]],Milestone_Marker,IF(AND(BV$29&gt;ProposalToGnatt[[#This Row],[Start Date]],BV$29&lt;ProposalToGnatt[[#This Row],[Start Date]]+ProposalToGnatt[[#This Row],[Days]]),$G$5,"")),"")</f>
        <v/>
      </c>
      <c r="BW75" s="37" t="str">
        <f ca="1">IFERROR(+IF(BW$29=ProposalToGnatt[[#This Row],[Start Date]],Milestone_Marker,IF(AND(BW$29&gt;ProposalToGnatt[[#This Row],[Start Date]],BW$29&lt;ProposalToGnatt[[#This Row],[Start Date]]+ProposalToGnatt[[#This Row],[Days]]),$G$5,"")),"")</f>
        <v/>
      </c>
      <c r="BX75" s="37" t="str">
        <f ca="1">IFERROR(+IF(BX$29=ProposalToGnatt[[#This Row],[Start Date]],Milestone_Marker,IF(AND(BX$29&gt;ProposalToGnatt[[#This Row],[Start Date]],BX$29&lt;ProposalToGnatt[[#This Row],[Start Date]]+ProposalToGnatt[[#This Row],[Days]]),$G$5,"")),"")</f>
        <v/>
      </c>
      <c r="BY75" s="37" t="str">
        <f ca="1">IFERROR(+IF(BY$29=ProposalToGnatt[[#This Row],[Start Date]],Milestone_Marker,IF(AND(BY$29&gt;ProposalToGnatt[[#This Row],[Start Date]],BY$29&lt;ProposalToGnatt[[#This Row],[Start Date]]+ProposalToGnatt[[#This Row],[Days]]),$G$5,"")),"")</f>
        <v/>
      </c>
      <c r="BZ75" s="37" t="str">
        <f ca="1">IFERROR(+IF(BZ$29=ProposalToGnatt[[#This Row],[Start Date]],Milestone_Marker,IF(AND(BZ$29&gt;ProposalToGnatt[[#This Row],[Start Date]],BZ$29&lt;ProposalToGnatt[[#This Row],[Start Date]]+ProposalToGnatt[[#This Row],[Days]]),$G$5,"")),"")</f>
        <v/>
      </c>
      <c r="CA75" s="37" t="str">
        <f ca="1">IFERROR(+IF(CA$29=ProposalToGnatt[[#This Row],[Start Date]],Milestone_Marker,IF(AND(CA$29&gt;ProposalToGnatt[[#This Row],[Start Date]],CA$29&lt;ProposalToGnatt[[#This Row],[Start Date]]+ProposalToGnatt[[#This Row],[Days]]),$G$5,"")),"")</f>
        <v/>
      </c>
      <c r="CB75" s="37" t="str">
        <f ca="1">IFERROR(+IF(CB$29=ProposalToGnatt[[#This Row],[Start Date]],Milestone_Marker,IF(AND(CB$29&gt;ProposalToGnatt[[#This Row],[Start Date]],CB$29&lt;ProposalToGnatt[[#This Row],[Start Date]]+ProposalToGnatt[[#This Row],[Days]]),$G$5,"")),"")</f>
        <v/>
      </c>
      <c r="CC75" s="37" t="str">
        <f ca="1">IFERROR(+IF(CC$29=ProposalToGnatt[[#This Row],[Start Date]],Milestone_Marker,IF(AND(CC$29&gt;ProposalToGnatt[[#This Row],[Start Date]],CC$29&lt;ProposalToGnatt[[#This Row],[Start Date]]+ProposalToGnatt[[#This Row],[Days]]),$G$5,"")),"")</f>
        <v/>
      </c>
      <c r="CD75" s="37" t="str">
        <f ca="1">IFERROR(+IF(CD$29=ProposalToGnatt[[#This Row],[Start Date]],Milestone_Marker,IF(AND(CD$29&gt;ProposalToGnatt[[#This Row],[Start Date]],CD$29&lt;ProposalToGnatt[[#This Row],[Start Date]]+ProposalToGnatt[[#This Row],[Days]]),$G$5,"")),"")</f>
        <v/>
      </c>
      <c r="CE75" s="37" t="str">
        <f ca="1">IFERROR(+IF(CE$29=ProposalToGnatt[[#This Row],[Start Date]],Milestone_Marker,IF(AND(CE$29&gt;ProposalToGnatt[[#This Row],[Start Date]],CE$29&lt;ProposalToGnatt[[#This Row],[Start Date]]+ProposalToGnatt[[#This Row],[Days]]),$G$5,"")),"")</f>
        <v/>
      </c>
      <c r="CF75" s="37" t="str">
        <f ca="1">IFERROR(+IF(CF$29=ProposalToGnatt[[#This Row],[Start Date]],Milestone_Marker,IF(AND(CF$29&gt;ProposalToGnatt[[#This Row],[Start Date]],CF$29&lt;ProposalToGnatt[[#This Row],[Start Date]]+ProposalToGnatt[[#This Row],[Days]]),$G$5,"")),"")</f>
        <v/>
      </c>
      <c r="CG75" s="37" t="str">
        <f ca="1">IFERROR(+IF(CG$29=ProposalToGnatt[[#This Row],[Start Date]],Milestone_Marker,IF(AND(CG$29&gt;ProposalToGnatt[[#This Row],[Start Date]],CG$29&lt;ProposalToGnatt[[#This Row],[Start Date]]+ProposalToGnatt[[#This Row],[Days]]),$G$5,"")),"")</f>
        <v/>
      </c>
      <c r="CH75" s="37" t="str">
        <f ca="1">IFERROR(+IF(CH$29=ProposalToGnatt[[#This Row],[Start Date]],Milestone_Marker,IF(AND(CH$29&gt;ProposalToGnatt[[#This Row],[Start Date]],CH$29&lt;ProposalToGnatt[[#This Row],[Start Date]]+ProposalToGnatt[[#This Row],[Days]]),$G$5,"")),"")</f>
        <v/>
      </c>
      <c r="CI75" s="37" t="str">
        <f ca="1">IFERROR(+IF(CI$29=ProposalToGnatt[[#This Row],[Start Date]],Milestone_Marker,IF(AND(CI$29&gt;ProposalToGnatt[[#This Row],[Start Date]],CI$29&lt;ProposalToGnatt[[#This Row],[Start Date]]+ProposalToGnatt[[#This Row],[Days]]),$G$5,"")),"")</f>
        <v/>
      </c>
      <c r="CJ75" s="37" t="str">
        <f ca="1">IFERROR(+IF(CJ$29=ProposalToGnatt[[#This Row],[Start Date]],Milestone_Marker,IF(AND(CJ$29&gt;ProposalToGnatt[[#This Row],[Start Date]],CJ$29&lt;ProposalToGnatt[[#This Row],[Start Date]]+ProposalToGnatt[[#This Row],[Days]]),$G$5,"")),"")</f>
        <v/>
      </c>
      <c r="CK75" s="37" t="str">
        <f ca="1">IFERROR(+IF(CK$29=ProposalToGnatt[[#This Row],[Start Date]],Milestone_Marker,IF(AND(CK$29&gt;ProposalToGnatt[[#This Row],[Start Date]],CK$29&lt;ProposalToGnatt[[#This Row],[Start Date]]+ProposalToGnatt[[#This Row],[Days]]),$G$5,"")),"")</f>
        <v/>
      </c>
      <c r="CL75" s="37" t="str">
        <f ca="1">IFERROR(+IF(CL$29=ProposalToGnatt[[#This Row],[Start Date]],Milestone_Marker,IF(AND(CL$29&gt;ProposalToGnatt[[#This Row],[Start Date]],CL$29&lt;ProposalToGnatt[[#This Row],[Start Date]]+ProposalToGnatt[[#This Row],[Days]]),$G$5,"")),"")</f>
        <v/>
      </c>
      <c r="CM75" s="37" t="str">
        <f ca="1">IFERROR(+IF(CM$29=ProposalToGnatt[[#This Row],[Start Date]],Milestone_Marker,IF(AND(CM$29&gt;ProposalToGnatt[[#This Row],[Start Date]],CM$29&lt;ProposalToGnatt[[#This Row],[Start Date]]+ProposalToGnatt[[#This Row],[Days]]),$G$5,"")),"")</f>
        <v/>
      </c>
      <c r="CN75" s="37" t="str">
        <f ca="1">IFERROR(+IF(CN$29=ProposalToGnatt[[#This Row],[Start Date]],Milestone_Marker,IF(AND(CN$29&gt;ProposalToGnatt[[#This Row],[Start Date]],CN$29&lt;ProposalToGnatt[[#This Row],[Start Date]]+ProposalToGnatt[[#This Row],[Days]]),$G$5,"")),"")</f>
        <v/>
      </c>
      <c r="CO75" s="37" t="str">
        <f ca="1">IFERROR(+IF(CO$29=ProposalToGnatt[[#This Row],[Start Date]],Milestone_Marker,IF(AND(CO$29&gt;ProposalToGnatt[[#This Row],[Start Date]],CO$29&lt;ProposalToGnatt[[#This Row],[Start Date]]+ProposalToGnatt[[#This Row],[Days]]),$G$5,"")),"")</f>
        <v/>
      </c>
      <c r="CP75" s="37" t="str">
        <f ca="1">IFERROR(+IF(CP$29=ProposalToGnatt[[#This Row],[Start Date]],Milestone_Marker,IF(AND(CP$29&gt;ProposalToGnatt[[#This Row],[Start Date]],CP$29&lt;ProposalToGnatt[[#This Row],[Start Date]]+ProposalToGnatt[[#This Row],[Days]]),$G$5,"")),"")</f>
        <v/>
      </c>
      <c r="CQ75" s="37" t="str">
        <f ca="1">IFERROR(+IF(CQ$29=ProposalToGnatt[[#This Row],[Start Date]],Milestone_Marker,IF(AND(CQ$29&gt;ProposalToGnatt[[#This Row],[Start Date]],CQ$29&lt;ProposalToGnatt[[#This Row],[Start Date]]+ProposalToGnatt[[#This Row],[Days]]),$G$5,"")),"")</f>
        <v/>
      </c>
      <c r="CR75" s="37" t="str">
        <f ca="1">IFERROR(+IF(CR$29=ProposalToGnatt[[#This Row],[Start Date]],Milestone_Marker,IF(AND(CR$29&gt;ProposalToGnatt[[#This Row],[Start Date]],CR$29&lt;ProposalToGnatt[[#This Row],[Start Date]]+ProposalToGnatt[[#This Row],[Days]]),$G$5,"")),"")</f>
        <v/>
      </c>
      <c r="CS75" s="37" t="str">
        <f ca="1">IFERROR(+IF(CS$29=ProposalToGnatt[[#This Row],[Start Date]],Milestone_Marker,IF(AND(CS$29&gt;ProposalToGnatt[[#This Row],[Start Date]],CS$29&lt;ProposalToGnatt[[#This Row],[Start Date]]+ProposalToGnatt[[#This Row],[Days]]),$G$5,"")),"")</f>
        <v/>
      </c>
      <c r="CT75" s="37" t="str">
        <f ca="1">IFERROR(+IF(CT$29=ProposalToGnatt[[#This Row],[Start Date]],Milestone_Marker,IF(AND(CT$29&gt;ProposalToGnatt[[#This Row],[Start Date]],CT$29&lt;ProposalToGnatt[[#This Row],[Start Date]]+ProposalToGnatt[[#This Row],[Days]]),$G$5,"")),"")</f>
        <v/>
      </c>
      <c r="CU75" s="37" t="str">
        <f ca="1">IFERROR(+IF(CU$29=ProposalToGnatt[[#This Row],[Start Date]],Milestone_Marker,IF(AND(CU$29&gt;ProposalToGnatt[[#This Row],[Start Date]],CU$29&lt;ProposalToGnatt[[#This Row],[Start Date]]+ProposalToGnatt[[#This Row],[Days]]),$G$5,"")),"")</f>
        <v/>
      </c>
      <c r="CV75" s="37"/>
      <c r="CW75" s="37"/>
      <c r="CX75" s="37"/>
      <c r="CY75" s="37"/>
      <c r="CZ75" s="37"/>
      <c r="DA75" s="37"/>
      <c r="DB75" s="37"/>
      <c r="DC75" s="37"/>
      <c r="DD75" s="37"/>
      <c r="DE75" s="37"/>
      <c r="DF75" s="37"/>
      <c r="DG75" s="37"/>
      <c r="DH75" s="37"/>
      <c r="DI75" s="37"/>
      <c r="DJ75" s="37"/>
      <c r="DK75" s="37"/>
      <c r="DL75" s="37"/>
      <c r="DM75" s="37"/>
      <c r="DN75" s="37"/>
      <c r="DO75" s="37"/>
      <c r="DP75" s="37"/>
      <c r="DQ75" s="37"/>
      <c r="DR75" s="37"/>
      <c r="DS75" s="37"/>
      <c r="DT75" s="37"/>
      <c r="DU75" s="37"/>
    </row>
    <row r="76" spans="1:125" ht="15" x14ac:dyDescent="0.25">
      <c r="A76" t="s">
        <v>428</v>
      </c>
      <c r="B76">
        <v>51</v>
      </c>
      <c r="C76" t="s">
        <v>339</v>
      </c>
      <c r="D76" t="s">
        <v>383</v>
      </c>
      <c r="E76" t="s">
        <v>384</v>
      </c>
      <c r="F76">
        <v>1</v>
      </c>
      <c r="G76" s="14"/>
      <c r="H76" s="14"/>
      <c r="I76"/>
      <c r="J76">
        <v>2</v>
      </c>
      <c r="K76" s="303"/>
      <c r="L76"/>
      <c r="M76" s="14"/>
      <c r="N76" s="352"/>
      <c r="O76" s="340"/>
      <c r="P76" s="37" t="str">
        <f ca="1">IFERROR(+IF(P$29=ProposalToGnatt[[#This Row],[Start Date]],Milestone_Marker,IF(AND(P$29&gt;ProposalToGnatt[[#This Row],[Start Date]],P$29&lt;ProposalToGnatt[[#This Row],[Start Date]]+ProposalToGnatt[[#This Row],[Days]]),$G$5,"")),"")</f>
        <v/>
      </c>
      <c r="Q76" s="37" t="str">
        <f ca="1">IFERROR(+IF(Q$29=ProposalToGnatt[[#This Row],[Start Date]],Milestone_Marker,IF(AND(Q$29&gt;ProposalToGnatt[[#This Row],[Start Date]],Q$29&lt;ProposalToGnatt[[#This Row],[Start Date]]+ProposalToGnatt[[#This Row],[Days]]),$G$5,"")),"")</f>
        <v/>
      </c>
      <c r="R76" s="37" t="str">
        <f ca="1">IFERROR(+IF(R$29=ProposalToGnatt[[#This Row],[Start Date]],Milestone_Marker,IF(AND(R$29&gt;ProposalToGnatt[[#This Row],[Start Date]],R$29&lt;ProposalToGnatt[[#This Row],[Start Date]]+ProposalToGnatt[[#This Row],[Days]]),$G$5,"")),"")</f>
        <v/>
      </c>
      <c r="S76" s="37" t="str">
        <f ca="1">IFERROR(+IF(S$29=ProposalToGnatt[[#This Row],[Start Date]],Milestone_Marker,IF(AND(S$29&gt;ProposalToGnatt[[#This Row],[Start Date]],S$29&lt;ProposalToGnatt[[#This Row],[Start Date]]+ProposalToGnatt[[#This Row],[Days]]),$G$5,"")),"")</f>
        <v/>
      </c>
      <c r="T76" s="37" t="str">
        <f ca="1">IFERROR(+IF(T$29=ProposalToGnatt[[#This Row],[Start Date]],Milestone_Marker,IF(AND(T$29&gt;ProposalToGnatt[[#This Row],[Start Date]],T$29&lt;ProposalToGnatt[[#This Row],[Start Date]]+ProposalToGnatt[[#This Row],[Days]]),$G$5,"")),"")</f>
        <v/>
      </c>
      <c r="U76" s="37" t="str">
        <f ca="1">IFERROR(+IF(U$29=ProposalToGnatt[[#This Row],[Start Date]],Milestone_Marker,IF(AND(U$29&gt;ProposalToGnatt[[#This Row],[Start Date]],U$29&lt;ProposalToGnatt[[#This Row],[Start Date]]+ProposalToGnatt[[#This Row],[Days]]),$G$5,"")),"")</f>
        <v/>
      </c>
      <c r="V76" s="37" t="str">
        <f ca="1">IFERROR(+IF(V$29=ProposalToGnatt[[#This Row],[Start Date]],Milestone_Marker,IF(AND(V$29&gt;ProposalToGnatt[[#This Row],[Start Date]],V$29&lt;ProposalToGnatt[[#This Row],[Start Date]]+ProposalToGnatt[[#This Row],[Days]]),$G$5,"")),"")</f>
        <v/>
      </c>
      <c r="W76" s="37" t="str">
        <f ca="1">IFERROR(+IF(W$29=ProposalToGnatt[[#This Row],[Start Date]],Milestone_Marker,IF(AND(W$29&gt;ProposalToGnatt[[#This Row],[Start Date]],W$29&lt;ProposalToGnatt[[#This Row],[Start Date]]+ProposalToGnatt[[#This Row],[Days]]),$G$5,"")),"")</f>
        <v/>
      </c>
      <c r="X76" s="37" t="str">
        <f ca="1">IFERROR(+IF(X$29=ProposalToGnatt[[#This Row],[Start Date]],Milestone_Marker,IF(AND(X$29&gt;ProposalToGnatt[[#This Row],[Start Date]],X$29&lt;ProposalToGnatt[[#This Row],[Start Date]]+ProposalToGnatt[[#This Row],[Days]]),$G$5,"")),"")</f>
        <v/>
      </c>
      <c r="Y76" s="37" t="str">
        <f ca="1">IFERROR(+IF(Y$29=ProposalToGnatt[[#This Row],[Start Date]],Milestone_Marker,IF(AND(Y$29&gt;ProposalToGnatt[[#This Row],[Start Date]],Y$29&lt;ProposalToGnatt[[#This Row],[Start Date]]+ProposalToGnatt[[#This Row],[Days]]),$G$5,"")),"")</f>
        <v/>
      </c>
      <c r="Z76" s="37" t="str">
        <f ca="1">IFERROR(+IF(Z$29=ProposalToGnatt[[#This Row],[Start Date]],Milestone_Marker,IF(AND(Z$29&gt;ProposalToGnatt[[#This Row],[Start Date]],Z$29&lt;ProposalToGnatt[[#This Row],[Start Date]]+ProposalToGnatt[[#This Row],[Days]]),$G$5,"")),"")</f>
        <v/>
      </c>
      <c r="AA76" s="37" t="str">
        <f ca="1">IFERROR(+IF(AA$29=ProposalToGnatt[[#This Row],[Start Date]],Milestone_Marker,IF(AND(AA$29&gt;ProposalToGnatt[[#This Row],[Start Date]],AA$29&lt;ProposalToGnatt[[#This Row],[Start Date]]+ProposalToGnatt[[#This Row],[Days]]),$G$5,"")),"")</f>
        <v/>
      </c>
      <c r="AB76" s="37" t="str">
        <f ca="1">IFERROR(+IF(AB$29=ProposalToGnatt[[#This Row],[Start Date]],Milestone_Marker,IF(AND(AB$29&gt;ProposalToGnatt[[#This Row],[Start Date]],AB$29&lt;ProposalToGnatt[[#This Row],[Start Date]]+ProposalToGnatt[[#This Row],[Days]]),$G$5,"")),"")</f>
        <v/>
      </c>
      <c r="AC76" s="37" t="str">
        <f ca="1">IFERROR(+IF(AC$29=ProposalToGnatt[[#This Row],[Start Date]],Milestone_Marker,IF(AND(AC$29&gt;ProposalToGnatt[[#This Row],[Start Date]],AC$29&lt;ProposalToGnatt[[#This Row],[Start Date]]+ProposalToGnatt[[#This Row],[Days]]),$G$5,"")),"")</f>
        <v/>
      </c>
      <c r="AD76" s="37" t="str">
        <f ca="1">IFERROR(+IF(AD$29=ProposalToGnatt[[#This Row],[Start Date]],Milestone_Marker,IF(AND(AD$29&gt;ProposalToGnatt[[#This Row],[Start Date]],AD$29&lt;ProposalToGnatt[[#This Row],[Start Date]]+ProposalToGnatt[[#This Row],[Days]]),$G$5,"")),"")</f>
        <v/>
      </c>
      <c r="AE76" s="37" t="str">
        <f ca="1">IFERROR(+IF(AE$29=ProposalToGnatt[[#This Row],[Start Date]],Milestone_Marker,IF(AND(AE$29&gt;ProposalToGnatt[[#This Row],[Start Date]],AE$29&lt;ProposalToGnatt[[#This Row],[Start Date]]+ProposalToGnatt[[#This Row],[Days]]),$G$5,"")),"")</f>
        <v/>
      </c>
      <c r="AF76" s="37" t="str">
        <f ca="1">IFERROR(+IF(AF$29=ProposalToGnatt[[#This Row],[Start Date]],Milestone_Marker,IF(AND(AF$29&gt;ProposalToGnatt[[#This Row],[Start Date]],AF$29&lt;ProposalToGnatt[[#This Row],[Start Date]]+ProposalToGnatt[[#This Row],[Days]]),$G$5,"")),"")</f>
        <v/>
      </c>
      <c r="AG76" s="37" t="str">
        <f ca="1">IFERROR(+IF(AG$29=ProposalToGnatt[[#This Row],[Start Date]],Milestone_Marker,IF(AND(AG$29&gt;ProposalToGnatt[[#This Row],[Start Date]],AG$29&lt;ProposalToGnatt[[#This Row],[Start Date]]+ProposalToGnatt[[#This Row],[Days]]),$G$5,"")),"")</f>
        <v/>
      </c>
      <c r="AH76" s="37" t="str">
        <f ca="1">IFERROR(+IF(AH$29=ProposalToGnatt[[#This Row],[Start Date]],Milestone_Marker,IF(AND(AH$29&gt;ProposalToGnatt[[#This Row],[Start Date]],AH$29&lt;ProposalToGnatt[[#This Row],[Start Date]]+ProposalToGnatt[[#This Row],[Days]]),$G$5,"")),"")</f>
        <v/>
      </c>
      <c r="AI76" s="37" t="str">
        <f ca="1">IFERROR(+IF(AI$29=ProposalToGnatt[[#This Row],[Start Date]],Milestone_Marker,IF(AND(AI$29&gt;ProposalToGnatt[[#This Row],[Start Date]],AI$29&lt;ProposalToGnatt[[#This Row],[Start Date]]+ProposalToGnatt[[#This Row],[Days]]),$G$5,"")),"")</f>
        <v/>
      </c>
      <c r="AJ76" s="37" t="str">
        <f ca="1">IFERROR(+IF(AJ$29=ProposalToGnatt[[#This Row],[Start Date]],Milestone_Marker,IF(AND(AJ$29&gt;ProposalToGnatt[[#This Row],[Start Date]],AJ$29&lt;ProposalToGnatt[[#This Row],[Start Date]]+ProposalToGnatt[[#This Row],[Days]]),$G$5,"")),"")</f>
        <v/>
      </c>
      <c r="AK76" s="37" t="str">
        <f ca="1">IFERROR(+IF(AK$29=ProposalToGnatt[[#This Row],[Start Date]],Milestone_Marker,IF(AND(AK$29&gt;ProposalToGnatt[[#This Row],[Start Date]],AK$29&lt;ProposalToGnatt[[#This Row],[Start Date]]+ProposalToGnatt[[#This Row],[Days]]),$G$5,"")),"")</f>
        <v/>
      </c>
      <c r="AL76" s="37" t="str">
        <f ca="1">IFERROR(+IF(AL$29=ProposalToGnatt[[#This Row],[Start Date]],Milestone_Marker,IF(AND(AL$29&gt;ProposalToGnatt[[#This Row],[Start Date]],AL$29&lt;ProposalToGnatt[[#This Row],[Start Date]]+ProposalToGnatt[[#This Row],[Days]]),$G$5,"")),"")</f>
        <v/>
      </c>
      <c r="AM76" s="37" t="str">
        <f ca="1">IFERROR(+IF(AM$29=ProposalToGnatt[[#This Row],[Start Date]],Milestone_Marker,IF(AND(AM$29&gt;ProposalToGnatt[[#This Row],[Start Date]],AM$29&lt;ProposalToGnatt[[#This Row],[Start Date]]+ProposalToGnatt[[#This Row],[Days]]),$G$5,"")),"")</f>
        <v/>
      </c>
      <c r="AN76" s="37" t="str">
        <f ca="1">IFERROR(+IF(AN$29=ProposalToGnatt[[#This Row],[Start Date]],Milestone_Marker,IF(AND(AN$29&gt;ProposalToGnatt[[#This Row],[Start Date]],AN$29&lt;ProposalToGnatt[[#This Row],[Start Date]]+ProposalToGnatt[[#This Row],[Days]]),$G$5,"")),"")</f>
        <v/>
      </c>
      <c r="AO76" s="37" t="str">
        <f ca="1">IFERROR(+IF(AO$29=ProposalToGnatt[[#This Row],[Start Date]],Milestone_Marker,IF(AND(AO$29&gt;ProposalToGnatt[[#This Row],[Start Date]],AO$29&lt;ProposalToGnatt[[#This Row],[Start Date]]+ProposalToGnatt[[#This Row],[Days]]),$G$5,"")),"")</f>
        <v/>
      </c>
      <c r="AP76" s="37" t="str">
        <f ca="1">IFERROR(+IF(AP$29=ProposalToGnatt[[#This Row],[Start Date]],Milestone_Marker,IF(AND(AP$29&gt;ProposalToGnatt[[#This Row],[Start Date]],AP$29&lt;ProposalToGnatt[[#This Row],[Start Date]]+ProposalToGnatt[[#This Row],[Days]]),$G$5,"")),"")</f>
        <v/>
      </c>
      <c r="AQ76" s="37" t="str">
        <f ca="1">IFERROR(+IF(AQ$29=ProposalToGnatt[[#This Row],[Start Date]],Milestone_Marker,IF(AND(AQ$29&gt;ProposalToGnatt[[#This Row],[Start Date]],AQ$29&lt;ProposalToGnatt[[#This Row],[Start Date]]+ProposalToGnatt[[#This Row],[Days]]),$G$5,"")),"")</f>
        <v/>
      </c>
      <c r="AR76" s="37" t="str">
        <f ca="1">IFERROR(+IF(AR$29=ProposalToGnatt[[#This Row],[Start Date]],Milestone_Marker,IF(AND(AR$29&gt;ProposalToGnatt[[#This Row],[Start Date]],AR$29&lt;ProposalToGnatt[[#This Row],[Start Date]]+ProposalToGnatt[[#This Row],[Days]]),$G$5,"")),"")</f>
        <v/>
      </c>
      <c r="AS76" s="37" t="str">
        <f ca="1">IFERROR(+IF(AS$29=ProposalToGnatt[[#This Row],[Start Date]],Milestone_Marker,IF(AND(AS$29&gt;ProposalToGnatt[[#This Row],[Start Date]],AS$29&lt;ProposalToGnatt[[#This Row],[Start Date]]+ProposalToGnatt[[#This Row],[Days]]),$G$5,"")),"")</f>
        <v/>
      </c>
      <c r="AT76" s="37" t="str">
        <f ca="1">IFERROR(+IF(AT$29=ProposalToGnatt[[#This Row],[Start Date]],Milestone_Marker,IF(AND(AT$29&gt;ProposalToGnatt[[#This Row],[Start Date]],AT$29&lt;ProposalToGnatt[[#This Row],[Start Date]]+ProposalToGnatt[[#This Row],[Days]]),$G$5,"")),"")</f>
        <v/>
      </c>
      <c r="AU76" s="37" t="str">
        <f ca="1">IFERROR(+IF(AU$29=ProposalToGnatt[[#This Row],[Start Date]],Milestone_Marker,IF(AND(AU$29&gt;ProposalToGnatt[[#This Row],[Start Date]],AU$29&lt;ProposalToGnatt[[#This Row],[Start Date]]+ProposalToGnatt[[#This Row],[Days]]),$G$5,"")),"")</f>
        <v/>
      </c>
      <c r="AV76" s="37" t="str">
        <f ca="1">IFERROR(+IF(AV$29=ProposalToGnatt[[#This Row],[Start Date]],Milestone_Marker,IF(AND(AV$29&gt;ProposalToGnatt[[#This Row],[Start Date]],AV$29&lt;ProposalToGnatt[[#This Row],[Start Date]]+ProposalToGnatt[[#This Row],[Days]]),$G$5,"")),"")</f>
        <v/>
      </c>
      <c r="AW76" s="37" t="str">
        <f ca="1">IFERROR(+IF(AW$29=ProposalToGnatt[[#This Row],[Start Date]],Milestone_Marker,IF(AND(AW$29&gt;ProposalToGnatt[[#This Row],[Start Date]],AW$29&lt;ProposalToGnatt[[#This Row],[Start Date]]+ProposalToGnatt[[#This Row],[Days]]),$G$5,"")),"")</f>
        <v/>
      </c>
      <c r="AX76" s="37" t="str">
        <f ca="1">IFERROR(+IF(AX$29=ProposalToGnatt[[#This Row],[Start Date]],Milestone_Marker,IF(AND(AX$29&gt;ProposalToGnatt[[#This Row],[Start Date]],AX$29&lt;ProposalToGnatt[[#This Row],[Start Date]]+ProposalToGnatt[[#This Row],[Days]]),$G$5,"")),"")</f>
        <v/>
      </c>
      <c r="AY76" s="37" t="str">
        <f ca="1">IFERROR(+IF(AY$29=ProposalToGnatt[[#This Row],[Start Date]],Milestone_Marker,IF(AND(AY$29&gt;ProposalToGnatt[[#This Row],[Start Date]],AY$29&lt;ProposalToGnatt[[#This Row],[Start Date]]+ProposalToGnatt[[#This Row],[Days]]),$G$5,"")),"")</f>
        <v/>
      </c>
      <c r="AZ76" s="37" t="str">
        <f ca="1">IFERROR(+IF(AZ$29=ProposalToGnatt[[#This Row],[Start Date]],Milestone_Marker,IF(AND(AZ$29&gt;ProposalToGnatt[[#This Row],[Start Date]],AZ$29&lt;ProposalToGnatt[[#This Row],[Start Date]]+ProposalToGnatt[[#This Row],[Days]]),$G$5,"")),"")</f>
        <v/>
      </c>
      <c r="BA76" s="37" t="str">
        <f ca="1">IFERROR(+IF(BA$29=ProposalToGnatt[[#This Row],[Start Date]],Milestone_Marker,IF(AND(BA$29&gt;ProposalToGnatt[[#This Row],[Start Date]],BA$29&lt;ProposalToGnatt[[#This Row],[Start Date]]+ProposalToGnatt[[#This Row],[Days]]),$G$5,"")),"")</f>
        <v/>
      </c>
      <c r="BB76" s="37" t="str">
        <f ca="1">IFERROR(+IF(BB$29=ProposalToGnatt[[#This Row],[Start Date]],Milestone_Marker,IF(AND(BB$29&gt;ProposalToGnatt[[#This Row],[Start Date]],BB$29&lt;ProposalToGnatt[[#This Row],[Start Date]]+ProposalToGnatt[[#This Row],[Days]]),$G$5,"")),"")</f>
        <v/>
      </c>
      <c r="BC76" s="37" t="str">
        <f ca="1">IFERROR(+IF(BC$29=ProposalToGnatt[[#This Row],[Start Date]],Milestone_Marker,IF(AND(BC$29&gt;ProposalToGnatt[[#This Row],[Start Date]],BC$29&lt;ProposalToGnatt[[#This Row],[Start Date]]+ProposalToGnatt[[#This Row],[Days]]),$G$5,"")),"")</f>
        <v/>
      </c>
      <c r="BD76" s="37" t="str">
        <f ca="1">IFERROR(+IF(BD$29=ProposalToGnatt[[#This Row],[Start Date]],Milestone_Marker,IF(AND(BD$29&gt;ProposalToGnatt[[#This Row],[Start Date]],BD$29&lt;ProposalToGnatt[[#This Row],[Start Date]]+ProposalToGnatt[[#This Row],[Days]]),$G$5,"")),"")</f>
        <v/>
      </c>
      <c r="BE76" s="37" t="str">
        <f ca="1">IFERROR(+IF(BE$29=ProposalToGnatt[[#This Row],[Start Date]],Milestone_Marker,IF(AND(BE$29&gt;ProposalToGnatt[[#This Row],[Start Date]],BE$29&lt;ProposalToGnatt[[#This Row],[Start Date]]+ProposalToGnatt[[#This Row],[Days]]),$G$5,"")),"")</f>
        <v/>
      </c>
      <c r="BF76" s="37" t="str">
        <f ca="1">IFERROR(+IF(BF$29=ProposalToGnatt[[#This Row],[Start Date]],Milestone_Marker,IF(AND(BF$29&gt;ProposalToGnatt[[#This Row],[Start Date]],BF$29&lt;ProposalToGnatt[[#This Row],[Start Date]]+ProposalToGnatt[[#This Row],[Days]]),$G$5,"")),"")</f>
        <v/>
      </c>
      <c r="BG76" s="37" t="str">
        <f ca="1">IFERROR(+IF(BG$29=ProposalToGnatt[[#This Row],[Start Date]],Milestone_Marker,IF(AND(BG$29&gt;ProposalToGnatt[[#This Row],[Start Date]],BG$29&lt;ProposalToGnatt[[#This Row],[Start Date]]+ProposalToGnatt[[#This Row],[Days]]),$G$5,"")),"")</f>
        <v/>
      </c>
      <c r="BH76" s="37" t="str">
        <f ca="1">IFERROR(+IF(BH$29=ProposalToGnatt[[#This Row],[Start Date]],Milestone_Marker,IF(AND(BH$29&gt;ProposalToGnatt[[#This Row],[Start Date]],BH$29&lt;ProposalToGnatt[[#This Row],[Start Date]]+ProposalToGnatt[[#This Row],[Days]]),$G$5,"")),"")</f>
        <v/>
      </c>
      <c r="BI76" s="37" t="str">
        <f ca="1">IFERROR(+IF(BI$29=ProposalToGnatt[[#This Row],[Start Date]],Milestone_Marker,IF(AND(BI$29&gt;ProposalToGnatt[[#This Row],[Start Date]],BI$29&lt;ProposalToGnatt[[#This Row],[Start Date]]+ProposalToGnatt[[#This Row],[Days]]),$G$5,"")),"")</f>
        <v/>
      </c>
      <c r="BJ76" s="37" t="str">
        <f ca="1">IFERROR(+IF(BJ$29=ProposalToGnatt[[#This Row],[Start Date]],Milestone_Marker,IF(AND(BJ$29&gt;ProposalToGnatt[[#This Row],[Start Date]],BJ$29&lt;ProposalToGnatt[[#This Row],[Start Date]]+ProposalToGnatt[[#This Row],[Days]]),$G$5,"")),"")</f>
        <v/>
      </c>
      <c r="BK76" s="37" t="str">
        <f ca="1">IFERROR(+IF(BK$29=ProposalToGnatt[[#This Row],[Start Date]],Milestone_Marker,IF(AND(BK$29&gt;ProposalToGnatt[[#This Row],[Start Date]],BK$29&lt;ProposalToGnatt[[#This Row],[Start Date]]+ProposalToGnatt[[#This Row],[Days]]),$G$5,"")),"")</f>
        <v/>
      </c>
      <c r="BL76" s="37" t="str">
        <f ca="1">IFERROR(+IF(BL$29=ProposalToGnatt[[#This Row],[Start Date]],Milestone_Marker,IF(AND(BL$29&gt;ProposalToGnatt[[#This Row],[Start Date]],BL$29&lt;ProposalToGnatt[[#This Row],[Start Date]]+ProposalToGnatt[[#This Row],[Days]]),$G$5,"")),"")</f>
        <v/>
      </c>
      <c r="BM76" s="37" t="str">
        <f ca="1">IFERROR(+IF(BM$29=ProposalToGnatt[[#This Row],[Start Date]],Milestone_Marker,IF(AND(BM$29&gt;ProposalToGnatt[[#This Row],[Start Date]],BM$29&lt;ProposalToGnatt[[#This Row],[Start Date]]+ProposalToGnatt[[#This Row],[Days]]),$G$5,"")),"")</f>
        <v/>
      </c>
      <c r="BN76" s="37" t="str">
        <f ca="1">IFERROR(+IF(BN$29=ProposalToGnatt[[#This Row],[Start Date]],Milestone_Marker,IF(AND(BN$29&gt;ProposalToGnatt[[#This Row],[Start Date]],BN$29&lt;ProposalToGnatt[[#This Row],[Start Date]]+ProposalToGnatt[[#This Row],[Days]]),$G$5,"")),"")</f>
        <v/>
      </c>
      <c r="BO76" s="37" t="str">
        <f ca="1">IFERROR(+IF(BO$29=ProposalToGnatt[[#This Row],[Start Date]],Milestone_Marker,IF(AND(BO$29&gt;ProposalToGnatt[[#This Row],[Start Date]],BO$29&lt;ProposalToGnatt[[#This Row],[Start Date]]+ProposalToGnatt[[#This Row],[Days]]),$G$5,"")),"")</f>
        <v/>
      </c>
      <c r="BP76" s="37" t="str">
        <f ca="1">IFERROR(+IF(BP$29=ProposalToGnatt[[#This Row],[Start Date]],Milestone_Marker,IF(AND(BP$29&gt;ProposalToGnatt[[#This Row],[Start Date]],BP$29&lt;ProposalToGnatt[[#This Row],[Start Date]]+ProposalToGnatt[[#This Row],[Days]]),$G$5,"")),"")</f>
        <v/>
      </c>
      <c r="BQ76" s="37" t="str">
        <f ca="1">IFERROR(+IF(BQ$29=ProposalToGnatt[[#This Row],[Start Date]],Milestone_Marker,IF(AND(BQ$29&gt;ProposalToGnatt[[#This Row],[Start Date]],BQ$29&lt;ProposalToGnatt[[#This Row],[Start Date]]+ProposalToGnatt[[#This Row],[Days]]),$G$5,"")),"")</f>
        <v/>
      </c>
      <c r="BR76" s="37" t="str">
        <f ca="1">IFERROR(+IF(BR$29=ProposalToGnatt[[#This Row],[Start Date]],Milestone_Marker,IF(AND(BR$29&gt;ProposalToGnatt[[#This Row],[Start Date]],BR$29&lt;ProposalToGnatt[[#This Row],[Start Date]]+ProposalToGnatt[[#This Row],[Days]]),$G$5,"")),"")</f>
        <v/>
      </c>
      <c r="BS76" s="37" t="str">
        <f ca="1">IFERROR(+IF(BS$29=ProposalToGnatt[[#This Row],[Start Date]],Milestone_Marker,IF(AND(BS$29&gt;ProposalToGnatt[[#This Row],[Start Date]],BS$29&lt;ProposalToGnatt[[#This Row],[Start Date]]+ProposalToGnatt[[#This Row],[Days]]),$G$5,"")),"")</f>
        <v/>
      </c>
      <c r="BT76" s="37" t="str">
        <f ca="1">IFERROR(+IF(BT$29=ProposalToGnatt[[#This Row],[Start Date]],Milestone_Marker,IF(AND(BT$29&gt;ProposalToGnatt[[#This Row],[Start Date]],BT$29&lt;ProposalToGnatt[[#This Row],[Start Date]]+ProposalToGnatt[[#This Row],[Days]]),$G$5,"")),"")</f>
        <v/>
      </c>
      <c r="BU76" s="37" t="str">
        <f ca="1">IFERROR(+IF(BU$29=ProposalToGnatt[[#This Row],[Start Date]],Milestone_Marker,IF(AND(BU$29&gt;ProposalToGnatt[[#This Row],[Start Date]],BU$29&lt;ProposalToGnatt[[#This Row],[Start Date]]+ProposalToGnatt[[#This Row],[Days]]),$G$5,"")),"")</f>
        <v/>
      </c>
      <c r="BV76" s="37" t="str">
        <f ca="1">IFERROR(+IF(BV$29=ProposalToGnatt[[#This Row],[Start Date]],Milestone_Marker,IF(AND(BV$29&gt;ProposalToGnatt[[#This Row],[Start Date]],BV$29&lt;ProposalToGnatt[[#This Row],[Start Date]]+ProposalToGnatt[[#This Row],[Days]]),$G$5,"")),"")</f>
        <v/>
      </c>
      <c r="BW76" s="37" t="str">
        <f ca="1">IFERROR(+IF(BW$29=ProposalToGnatt[[#This Row],[Start Date]],Milestone_Marker,IF(AND(BW$29&gt;ProposalToGnatt[[#This Row],[Start Date]],BW$29&lt;ProposalToGnatt[[#This Row],[Start Date]]+ProposalToGnatt[[#This Row],[Days]]),$G$5,"")),"")</f>
        <v/>
      </c>
      <c r="BX76" s="37" t="str">
        <f ca="1">IFERROR(+IF(BX$29=ProposalToGnatt[[#This Row],[Start Date]],Milestone_Marker,IF(AND(BX$29&gt;ProposalToGnatt[[#This Row],[Start Date]],BX$29&lt;ProposalToGnatt[[#This Row],[Start Date]]+ProposalToGnatt[[#This Row],[Days]]),$G$5,"")),"")</f>
        <v/>
      </c>
      <c r="BY76" s="37" t="str">
        <f ca="1">IFERROR(+IF(BY$29=ProposalToGnatt[[#This Row],[Start Date]],Milestone_Marker,IF(AND(BY$29&gt;ProposalToGnatt[[#This Row],[Start Date]],BY$29&lt;ProposalToGnatt[[#This Row],[Start Date]]+ProposalToGnatt[[#This Row],[Days]]),$G$5,"")),"")</f>
        <v/>
      </c>
      <c r="BZ76" s="37" t="str">
        <f ca="1">IFERROR(+IF(BZ$29=ProposalToGnatt[[#This Row],[Start Date]],Milestone_Marker,IF(AND(BZ$29&gt;ProposalToGnatt[[#This Row],[Start Date]],BZ$29&lt;ProposalToGnatt[[#This Row],[Start Date]]+ProposalToGnatt[[#This Row],[Days]]),$G$5,"")),"")</f>
        <v/>
      </c>
      <c r="CA76" s="37" t="str">
        <f ca="1">IFERROR(+IF(CA$29=ProposalToGnatt[[#This Row],[Start Date]],Milestone_Marker,IF(AND(CA$29&gt;ProposalToGnatt[[#This Row],[Start Date]],CA$29&lt;ProposalToGnatt[[#This Row],[Start Date]]+ProposalToGnatt[[#This Row],[Days]]),$G$5,"")),"")</f>
        <v/>
      </c>
      <c r="CB76" s="37" t="str">
        <f ca="1">IFERROR(+IF(CB$29=ProposalToGnatt[[#This Row],[Start Date]],Milestone_Marker,IF(AND(CB$29&gt;ProposalToGnatt[[#This Row],[Start Date]],CB$29&lt;ProposalToGnatt[[#This Row],[Start Date]]+ProposalToGnatt[[#This Row],[Days]]),$G$5,"")),"")</f>
        <v/>
      </c>
      <c r="CC76" s="37" t="str">
        <f ca="1">IFERROR(+IF(CC$29=ProposalToGnatt[[#This Row],[Start Date]],Milestone_Marker,IF(AND(CC$29&gt;ProposalToGnatt[[#This Row],[Start Date]],CC$29&lt;ProposalToGnatt[[#This Row],[Start Date]]+ProposalToGnatt[[#This Row],[Days]]),$G$5,"")),"")</f>
        <v/>
      </c>
      <c r="CD76" s="37" t="str">
        <f ca="1">IFERROR(+IF(CD$29=ProposalToGnatt[[#This Row],[Start Date]],Milestone_Marker,IF(AND(CD$29&gt;ProposalToGnatt[[#This Row],[Start Date]],CD$29&lt;ProposalToGnatt[[#This Row],[Start Date]]+ProposalToGnatt[[#This Row],[Days]]),$G$5,"")),"")</f>
        <v/>
      </c>
      <c r="CE76" s="37" t="str">
        <f ca="1">IFERROR(+IF(CE$29=ProposalToGnatt[[#This Row],[Start Date]],Milestone_Marker,IF(AND(CE$29&gt;ProposalToGnatt[[#This Row],[Start Date]],CE$29&lt;ProposalToGnatt[[#This Row],[Start Date]]+ProposalToGnatt[[#This Row],[Days]]),$G$5,"")),"")</f>
        <v/>
      </c>
      <c r="CF76" s="37" t="str">
        <f ca="1">IFERROR(+IF(CF$29=ProposalToGnatt[[#This Row],[Start Date]],Milestone_Marker,IF(AND(CF$29&gt;ProposalToGnatt[[#This Row],[Start Date]],CF$29&lt;ProposalToGnatt[[#This Row],[Start Date]]+ProposalToGnatt[[#This Row],[Days]]),$G$5,"")),"")</f>
        <v/>
      </c>
      <c r="CG76" s="37" t="str">
        <f ca="1">IFERROR(+IF(CG$29=ProposalToGnatt[[#This Row],[Start Date]],Milestone_Marker,IF(AND(CG$29&gt;ProposalToGnatt[[#This Row],[Start Date]],CG$29&lt;ProposalToGnatt[[#This Row],[Start Date]]+ProposalToGnatt[[#This Row],[Days]]),$G$5,"")),"")</f>
        <v/>
      </c>
      <c r="CH76" s="37" t="str">
        <f ca="1">IFERROR(+IF(CH$29=ProposalToGnatt[[#This Row],[Start Date]],Milestone_Marker,IF(AND(CH$29&gt;ProposalToGnatt[[#This Row],[Start Date]],CH$29&lt;ProposalToGnatt[[#This Row],[Start Date]]+ProposalToGnatt[[#This Row],[Days]]),$G$5,"")),"")</f>
        <v/>
      </c>
      <c r="CI76" s="37" t="str">
        <f ca="1">IFERROR(+IF(CI$29=ProposalToGnatt[[#This Row],[Start Date]],Milestone_Marker,IF(AND(CI$29&gt;ProposalToGnatt[[#This Row],[Start Date]],CI$29&lt;ProposalToGnatt[[#This Row],[Start Date]]+ProposalToGnatt[[#This Row],[Days]]),$G$5,"")),"")</f>
        <v/>
      </c>
      <c r="CJ76" s="37" t="str">
        <f ca="1">IFERROR(+IF(CJ$29=ProposalToGnatt[[#This Row],[Start Date]],Milestone_Marker,IF(AND(CJ$29&gt;ProposalToGnatt[[#This Row],[Start Date]],CJ$29&lt;ProposalToGnatt[[#This Row],[Start Date]]+ProposalToGnatt[[#This Row],[Days]]),$G$5,"")),"")</f>
        <v/>
      </c>
      <c r="CK76" s="37" t="str">
        <f ca="1">IFERROR(+IF(CK$29=ProposalToGnatt[[#This Row],[Start Date]],Milestone_Marker,IF(AND(CK$29&gt;ProposalToGnatt[[#This Row],[Start Date]],CK$29&lt;ProposalToGnatt[[#This Row],[Start Date]]+ProposalToGnatt[[#This Row],[Days]]),$G$5,"")),"")</f>
        <v/>
      </c>
      <c r="CL76" s="37" t="str">
        <f ca="1">IFERROR(+IF(CL$29=ProposalToGnatt[[#This Row],[Start Date]],Milestone_Marker,IF(AND(CL$29&gt;ProposalToGnatt[[#This Row],[Start Date]],CL$29&lt;ProposalToGnatt[[#This Row],[Start Date]]+ProposalToGnatt[[#This Row],[Days]]),$G$5,"")),"")</f>
        <v/>
      </c>
      <c r="CM76" s="37" t="str">
        <f ca="1">IFERROR(+IF(CM$29=ProposalToGnatt[[#This Row],[Start Date]],Milestone_Marker,IF(AND(CM$29&gt;ProposalToGnatt[[#This Row],[Start Date]],CM$29&lt;ProposalToGnatt[[#This Row],[Start Date]]+ProposalToGnatt[[#This Row],[Days]]),$G$5,"")),"")</f>
        <v/>
      </c>
      <c r="CN76" s="37" t="str">
        <f ca="1">IFERROR(+IF(CN$29=ProposalToGnatt[[#This Row],[Start Date]],Milestone_Marker,IF(AND(CN$29&gt;ProposalToGnatt[[#This Row],[Start Date]],CN$29&lt;ProposalToGnatt[[#This Row],[Start Date]]+ProposalToGnatt[[#This Row],[Days]]),$G$5,"")),"")</f>
        <v/>
      </c>
      <c r="CO76" s="37" t="str">
        <f ca="1">IFERROR(+IF(CO$29=ProposalToGnatt[[#This Row],[Start Date]],Milestone_Marker,IF(AND(CO$29&gt;ProposalToGnatt[[#This Row],[Start Date]],CO$29&lt;ProposalToGnatt[[#This Row],[Start Date]]+ProposalToGnatt[[#This Row],[Days]]),$G$5,"")),"")</f>
        <v/>
      </c>
      <c r="CP76" s="37" t="str">
        <f ca="1">IFERROR(+IF(CP$29=ProposalToGnatt[[#This Row],[Start Date]],Milestone_Marker,IF(AND(CP$29&gt;ProposalToGnatt[[#This Row],[Start Date]],CP$29&lt;ProposalToGnatt[[#This Row],[Start Date]]+ProposalToGnatt[[#This Row],[Days]]),$G$5,"")),"")</f>
        <v/>
      </c>
      <c r="CQ76" s="37" t="str">
        <f ca="1">IFERROR(+IF(CQ$29=ProposalToGnatt[[#This Row],[Start Date]],Milestone_Marker,IF(AND(CQ$29&gt;ProposalToGnatt[[#This Row],[Start Date]],CQ$29&lt;ProposalToGnatt[[#This Row],[Start Date]]+ProposalToGnatt[[#This Row],[Days]]),$G$5,"")),"")</f>
        <v/>
      </c>
      <c r="CR76" s="37" t="str">
        <f ca="1">IFERROR(+IF(CR$29=ProposalToGnatt[[#This Row],[Start Date]],Milestone_Marker,IF(AND(CR$29&gt;ProposalToGnatt[[#This Row],[Start Date]],CR$29&lt;ProposalToGnatt[[#This Row],[Start Date]]+ProposalToGnatt[[#This Row],[Days]]),$G$5,"")),"")</f>
        <v/>
      </c>
      <c r="CS76" s="37" t="str">
        <f ca="1">IFERROR(+IF(CS$29=ProposalToGnatt[[#This Row],[Start Date]],Milestone_Marker,IF(AND(CS$29&gt;ProposalToGnatt[[#This Row],[Start Date]],CS$29&lt;ProposalToGnatt[[#This Row],[Start Date]]+ProposalToGnatt[[#This Row],[Days]]),$G$5,"")),"")</f>
        <v/>
      </c>
      <c r="CT76" s="37" t="str">
        <f ca="1">IFERROR(+IF(CT$29=ProposalToGnatt[[#This Row],[Start Date]],Milestone_Marker,IF(AND(CT$29&gt;ProposalToGnatt[[#This Row],[Start Date]],CT$29&lt;ProposalToGnatt[[#This Row],[Start Date]]+ProposalToGnatt[[#This Row],[Days]]),$G$5,"")),"")</f>
        <v/>
      </c>
      <c r="CU76" s="37" t="str">
        <f ca="1">IFERROR(+IF(CU$29=ProposalToGnatt[[#This Row],[Start Date]],Milestone_Marker,IF(AND(CU$29&gt;ProposalToGnatt[[#This Row],[Start Date]],CU$29&lt;ProposalToGnatt[[#This Row],[Start Date]]+ProposalToGnatt[[#This Row],[Days]]),$G$5,"")),"")</f>
        <v/>
      </c>
      <c r="CV76" s="37"/>
      <c r="CW76" s="37"/>
      <c r="CX76" s="37"/>
      <c r="CY76" s="37"/>
      <c r="CZ76" s="37"/>
      <c r="DA76" s="37"/>
      <c r="DB76" s="37"/>
      <c r="DC76" s="37"/>
      <c r="DD76" s="37"/>
      <c r="DE76" s="37"/>
      <c r="DF76" s="37"/>
      <c r="DG76" s="37"/>
      <c r="DH76" s="37"/>
      <c r="DI76" s="37"/>
      <c r="DJ76" s="37"/>
      <c r="DK76" s="37"/>
      <c r="DL76" s="37"/>
      <c r="DM76" s="37"/>
      <c r="DN76" s="37"/>
      <c r="DO76" s="37"/>
      <c r="DP76" s="37"/>
      <c r="DQ76" s="37"/>
      <c r="DR76" s="37"/>
      <c r="DS76" s="37"/>
      <c r="DT76" s="37"/>
      <c r="DU76" s="37"/>
    </row>
    <row r="77" spans="1:125" ht="15" x14ac:dyDescent="0.25">
      <c r="A77" t="s">
        <v>428</v>
      </c>
      <c r="B77">
        <v>52</v>
      </c>
      <c r="C77" t="s">
        <v>339</v>
      </c>
      <c r="D77" t="s">
        <v>385</v>
      </c>
      <c r="E77" t="s">
        <v>386</v>
      </c>
      <c r="F77">
        <v>1</v>
      </c>
      <c r="G77" s="14"/>
      <c r="H77" s="14"/>
      <c r="I77"/>
      <c r="J77">
        <v>2</v>
      </c>
      <c r="K77" s="303"/>
      <c r="L77"/>
      <c r="M77" s="14"/>
      <c r="N77" s="352"/>
      <c r="O77" s="340"/>
      <c r="P77" s="37" t="str">
        <f ca="1">IFERROR(+IF(P$29=ProposalToGnatt[[#This Row],[Start Date]],Milestone_Marker,IF(AND(P$29&gt;ProposalToGnatt[[#This Row],[Start Date]],P$29&lt;ProposalToGnatt[[#This Row],[Start Date]]+ProposalToGnatt[[#This Row],[Days]]),$G$5,"")),"")</f>
        <v/>
      </c>
      <c r="Q77" s="37" t="str">
        <f ca="1">IFERROR(+IF(Q$29=ProposalToGnatt[[#This Row],[Start Date]],Milestone_Marker,IF(AND(Q$29&gt;ProposalToGnatt[[#This Row],[Start Date]],Q$29&lt;ProposalToGnatt[[#This Row],[Start Date]]+ProposalToGnatt[[#This Row],[Days]]),$G$5,"")),"")</f>
        <v/>
      </c>
      <c r="R77" s="37" t="str">
        <f ca="1">IFERROR(+IF(R$29=ProposalToGnatt[[#This Row],[Start Date]],Milestone_Marker,IF(AND(R$29&gt;ProposalToGnatt[[#This Row],[Start Date]],R$29&lt;ProposalToGnatt[[#This Row],[Start Date]]+ProposalToGnatt[[#This Row],[Days]]),$G$5,"")),"")</f>
        <v/>
      </c>
      <c r="S77" s="37" t="str">
        <f ca="1">IFERROR(+IF(S$29=ProposalToGnatt[[#This Row],[Start Date]],Milestone_Marker,IF(AND(S$29&gt;ProposalToGnatt[[#This Row],[Start Date]],S$29&lt;ProposalToGnatt[[#This Row],[Start Date]]+ProposalToGnatt[[#This Row],[Days]]),$G$5,"")),"")</f>
        <v/>
      </c>
      <c r="T77" s="37" t="str">
        <f ca="1">IFERROR(+IF(T$29=ProposalToGnatt[[#This Row],[Start Date]],Milestone_Marker,IF(AND(T$29&gt;ProposalToGnatt[[#This Row],[Start Date]],T$29&lt;ProposalToGnatt[[#This Row],[Start Date]]+ProposalToGnatt[[#This Row],[Days]]),$G$5,"")),"")</f>
        <v/>
      </c>
      <c r="U77" s="37" t="str">
        <f ca="1">IFERROR(+IF(U$29=ProposalToGnatt[[#This Row],[Start Date]],Milestone_Marker,IF(AND(U$29&gt;ProposalToGnatt[[#This Row],[Start Date]],U$29&lt;ProposalToGnatt[[#This Row],[Start Date]]+ProposalToGnatt[[#This Row],[Days]]),$G$5,"")),"")</f>
        <v/>
      </c>
      <c r="V77" s="37" t="str">
        <f ca="1">IFERROR(+IF(V$29=ProposalToGnatt[[#This Row],[Start Date]],Milestone_Marker,IF(AND(V$29&gt;ProposalToGnatt[[#This Row],[Start Date]],V$29&lt;ProposalToGnatt[[#This Row],[Start Date]]+ProposalToGnatt[[#This Row],[Days]]),$G$5,"")),"")</f>
        <v/>
      </c>
      <c r="W77" s="37" t="str">
        <f ca="1">IFERROR(+IF(W$29=ProposalToGnatt[[#This Row],[Start Date]],Milestone_Marker,IF(AND(W$29&gt;ProposalToGnatt[[#This Row],[Start Date]],W$29&lt;ProposalToGnatt[[#This Row],[Start Date]]+ProposalToGnatt[[#This Row],[Days]]),$G$5,"")),"")</f>
        <v/>
      </c>
      <c r="X77" s="37" t="str">
        <f ca="1">IFERROR(+IF(X$29=ProposalToGnatt[[#This Row],[Start Date]],Milestone_Marker,IF(AND(X$29&gt;ProposalToGnatt[[#This Row],[Start Date]],X$29&lt;ProposalToGnatt[[#This Row],[Start Date]]+ProposalToGnatt[[#This Row],[Days]]),$G$5,"")),"")</f>
        <v/>
      </c>
      <c r="Y77" s="37" t="str">
        <f ca="1">IFERROR(+IF(Y$29=ProposalToGnatt[[#This Row],[Start Date]],Milestone_Marker,IF(AND(Y$29&gt;ProposalToGnatt[[#This Row],[Start Date]],Y$29&lt;ProposalToGnatt[[#This Row],[Start Date]]+ProposalToGnatt[[#This Row],[Days]]),$G$5,"")),"")</f>
        <v/>
      </c>
      <c r="Z77" s="37" t="str">
        <f ca="1">IFERROR(+IF(Z$29=ProposalToGnatt[[#This Row],[Start Date]],Milestone_Marker,IF(AND(Z$29&gt;ProposalToGnatt[[#This Row],[Start Date]],Z$29&lt;ProposalToGnatt[[#This Row],[Start Date]]+ProposalToGnatt[[#This Row],[Days]]),$G$5,"")),"")</f>
        <v/>
      </c>
      <c r="AA77" s="37" t="str">
        <f ca="1">IFERROR(+IF(AA$29=ProposalToGnatt[[#This Row],[Start Date]],Milestone_Marker,IF(AND(AA$29&gt;ProposalToGnatt[[#This Row],[Start Date]],AA$29&lt;ProposalToGnatt[[#This Row],[Start Date]]+ProposalToGnatt[[#This Row],[Days]]),$G$5,"")),"")</f>
        <v/>
      </c>
      <c r="AB77" s="37" t="str">
        <f ca="1">IFERROR(+IF(AB$29=ProposalToGnatt[[#This Row],[Start Date]],Milestone_Marker,IF(AND(AB$29&gt;ProposalToGnatt[[#This Row],[Start Date]],AB$29&lt;ProposalToGnatt[[#This Row],[Start Date]]+ProposalToGnatt[[#This Row],[Days]]),$G$5,"")),"")</f>
        <v/>
      </c>
      <c r="AC77" s="37" t="str">
        <f ca="1">IFERROR(+IF(AC$29=ProposalToGnatt[[#This Row],[Start Date]],Milestone_Marker,IF(AND(AC$29&gt;ProposalToGnatt[[#This Row],[Start Date]],AC$29&lt;ProposalToGnatt[[#This Row],[Start Date]]+ProposalToGnatt[[#This Row],[Days]]),$G$5,"")),"")</f>
        <v/>
      </c>
      <c r="AD77" s="37" t="str">
        <f ca="1">IFERROR(+IF(AD$29=ProposalToGnatt[[#This Row],[Start Date]],Milestone_Marker,IF(AND(AD$29&gt;ProposalToGnatt[[#This Row],[Start Date]],AD$29&lt;ProposalToGnatt[[#This Row],[Start Date]]+ProposalToGnatt[[#This Row],[Days]]),$G$5,"")),"")</f>
        <v/>
      </c>
      <c r="AE77" s="37" t="str">
        <f ca="1">IFERROR(+IF(AE$29=ProposalToGnatt[[#This Row],[Start Date]],Milestone_Marker,IF(AND(AE$29&gt;ProposalToGnatt[[#This Row],[Start Date]],AE$29&lt;ProposalToGnatt[[#This Row],[Start Date]]+ProposalToGnatt[[#This Row],[Days]]),$G$5,"")),"")</f>
        <v/>
      </c>
      <c r="AF77" s="37" t="str">
        <f ca="1">IFERROR(+IF(AF$29=ProposalToGnatt[[#This Row],[Start Date]],Milestone_Marker,IF(AND(AF$29&gt;ProposalToGnatt[[#This Row],[Start Date]],AF$29&lt;ProposalToGnatt[[#This Row],[Start Date]]+ProposalToGnatt[[#This Row],[Days]]),$G$5,"")),"")</f>
        <v/>
      </c>
      <c r="AG77" s="37" t="str">
        <f ca="1">IFERROR(+IF(AG$29=ProposalToGnatt[[#This Row],[Start Date]],Milestone_Marker,IF(AND(AG$29&gt;ProposalToGnatt[[#This Row],[Start Date]],AG$29&lt;ProposalToGnatt[[#This Row],[Start Date]]+ProposalToGnatt[[#This Row],[Days]]),$G$5,"")),"")</f>
        <v/>
      </c>
      <c r="AH77" s="37" t="str">
        <f ca="1">IFERROR(+IF(AH$29=ProposalToGnatt[[#This Row],[Start Date]],Milestone_Marker,IF(AND(AH$29&gt;ProposalToGnatt[[#This Row],[Start Date]],AH$29&lt;ProposalToGnatt[[#This Row],[Start Date]]+ProposalToGnatt[[#This Row],[Days]]),$G$5,"")),"")</f>
        <v/>
      </c>
      <c r="AI77" s="37" t="str">
        <f ca="1">IFERROR(+IF(AI$29=ProposalToGnatt[[#This Row],[Start Date]],Milestone_Marker,IF(AND(AI$29&gt;ProposalToGnatt[[#This Row],[Start Date]],AI$29&lt;ProposalToGnatt[[#This Row],[Start Date]]+ProposalToGnatt[[#This Row],[Days]]),$G$5,"")),"")</f>
        <v/>
      </c>
      <c r="AJ77" s="37" t="str">
        <f ca="1">IFERROR(+IF(AJ$29=ProposalToGnatt[[#This Row],[Start Date]],Milestone_Marker,IF(AND(AJ$29&gt;ProposalToGnatt[[#This Row],[Start Date]],AJ$29&lt;ProposalToGnatt[[#This Row],[Start Date]]+ProposalToGnatt[[#This Row],[Days]]),$G$5,"")),"")</f>
        <v/>
      </c>
      <c r="AK77" s="37" t="str">
        <f ca="1">IFERROR(+IF(AK$29=ProposalToGnatt[[#This Row],[Start Date]],Milestone_Marker,IF(AND(AK$29&gt;ProposalToGnatt[[#This Row],[Start Date]],AK$29&lt;ProposalToGnatt[[#This Row],[Start Date]]+ProposalToGnatt[[#This Row],[Days]]),$G$5,"")),"")</f>
        <v/>
      </c>
      <c r="AL77" s="37" t="str">
        <f ca="1">IFERROR(+IF(AL$29=ProposalToGnatt[[#This Row],[Start Date]],Milestone_Marker,IF(AND(AL$29&gt;ProposalToGnatt[[#This Row],[Start Date]],AL$29&lt;ProposalToGnatt[[#This Row],[Start Date]]+ProposalToGnatt[[#This Row],[Days]]),$G$5,"")),"")</f>
        <v/>
      </c>
      <c r="AM77" s="37" t="str">
        <f ca="1">IFERROR(+IF(AM$29=ProposalToGnatt[[#This Row],[Start Date]],Milestone_Marker,IF(AND(AM$29&gt;ProposalToGnatt[[#This Row],[Start Date]],AM$29&lt;ProposalToGnatt[[#This Row],[Start Date]]+ProposalToGnatt[[#This Row],[Days]]),$G$5,"")),"")</f>
        <v/>
      </c>
      <c r="AN77" s="37" t="str">
        <f ca="1">IFERROR(+IF(AN$29=ProposalToGnatt[[#This Row],[Start Date]],Milestone_Marker,IF(AND(AN$29&gt;ProposalToGnatt[[#This Row],[Start Date]],AN$29&lt;ProposalToGnatt[[#This Row],[Start Date]]+ProposalToGnatt[[#This Row],[Days]]),$G$5,"")),"")</f>
        <v/>
      </c>
      <c r="AO77" s="37" t="str">
        <f ca="1">IFERROR(+IF(AO$29=ProposalToGnatt[[#This Row],[Start Date]],Milestone_Marker,IF(AND(AO$29&gt;ProposalToGnatt[[#This Row],[Start Date]],AO$29&lt;ProposalToGnatt[[#This Row],[Start Date]]+ProposalToGnatt[[#This Row],[Days]]),$G$5,"")),"")</f>
        <v/>
      </c>
      <c r="AP77" s="37" t="str">
        <f ca="1">IFERROR(+IF(AP$29=ProposalToGnatt[[#This Row],[Start Date]],Milestone_Marker,IF(AND(AP$29&gt;ProposalToGnatt[[#This Row],[Start Date]],AP$29&lt;ProposalToGnatt[[#This Row],[Start Date]]+ProposalToGnatt[[#This Row],[Days]]),$G$5,"")),"")</f>
        <v/>
      </c>
      <c r="AQ77" s="37" t="str">
        <f ca="1">IFERROR(+IF(AQ$29=ProposalToGnatt[[#This Row],[Start Date]],Milestone_Marker,IF(AND(AQ$29&gt;ProposalToGnatt[[#This Row],[Start Date]],AQ$29&lt;ProposalToGnatt[[#This Row],[Start Date]]+ProposalToGnatt[[#This Row],[Days]]),$G$5,"")),"")</f>
        <v/>
      </c>
      <c r="AR77" s="37" t="str">
        <f ca="1">IFERROR(+IF(AR$29=ProposalToGnatt[[#This Row],[Start Date]],Milestone_Marker,IF(AND(AR$29&gt;ProposalToGnatt[[#This Row],[Start Date]],AR$29&lt;ProposalToGnatt[[#This Row],[Start Date]]+ProposalToGnatt[[#This Row],[Days]]),$G$5,"")),"")</f>
        <v/>
      </c>
      <c r="AS77" s="37" t="str">
        <f ca="1">IFERROR(+IF(AS$29=ProposalToGnatt[[#This Row],[Start Date]],Milestone_Marker,IF(AND(AS$29&gt;ProposalToGnatt[[#This Row],[Start Date]],AS$29&lt;ProposalToGnatt[[#This Row],[Start Date]]+ProposalToGnatt[[#This Row],[Days]]),$G$5,"")),"")</f>
        <v/>
      </c>
      <c r="AT77" s="37" t="str">
        <f ca="1">IFERROR(+IF(AT$29=ProposalToGnatt[[#This Row],[Start Date]],Milestone_Marker,IF(AND(AT$29&gt;ProposalToGnatt[[#This Row],[Start Date]],AT$29&lt;ProposalToGnatt[[#This Row],[Start Date]]+ProposalToGnatt[[#This Row],[Days]]),$G$5,"")),"")</f>
        <v/>
      </c>
      <c r="AU77" s="37" t="str">
        <f ca="1">IFERROR(+IF(AU$29=ProposalToGnatt[[#This Row],[Start Date]],Milestone_Marker,IF(AND(AU$29&gt;ProposalToGnatt[[#This Row],[Start Date]],AU$29&lt;ProposalToGnatt[[#This Row],[Start Date]]+ProposalToGnatt[[#This Row],[Days]]),$G$5,"")),"")</f>
        <v/>
      </c>
      <c r="AV77" s="37" t="str">
        <f ca="1">IFERROR(+IF(AV$29=ProposalToGnatt[[#This Row],[Start Date]],Milestone_Marker,IF(AND(AV$29&gt;ProposalToGnatt[[#This Row],[Start Date]],AV$29&lt;ProposalToGnatt[[#This Row],[Start Date]]+ProposalToGnatt[[#This Row],[Days]]),$G$5,"")),"")</f>
        <v/>
      </c>
      <c r="AW77" s="37" t="str">
        <f ca="1">IFERROR(+IF(AW$29=ProposalToGnatt[[#This Row],[Start Date]],Milestone_Marker,IF(AND(AW$29&gt;ProposalToGnatt[[#This Row],[Start Date]],AW$29&lt;ProposalToGnatt[[#This Row],[Start Date]]+ProposalToGnatt[[#This Row],[Days]]),$G$5,"")),"")</f>
        <v/>
      </c>
      <c r="AX77" s="37" t="str">
        <f ca="1">IFERROR(+IF(AX$29=ProposalToGnatt[[#This Row],[Start Date]],Milestone_Marker,IF(AND(AX$29&gt;ProposalToGnatt[[#This Row],[Start Date]],AX$29&lt;ProposalToGnatt[[#This Row],[Start Date]]+ProposalToGnatt[[#This Row],[Days]]),$G$5,"")),"")</f>
        <v/>
      </c>
      <c r="AY77" s="37" t="str">
        <f ca="1">IFERROR(+IF(AY$29=ProposalToGnatt[[#This Row],[Start Date]],Milestone_Marker,IF(AND(AY$29&gt;ProposalToGnatt[[#This Row],[Start Date]],AY$29&lt;ProposalToGnatt[[#This Row],[Start Date]]+ProposalToGnatt[[#This Row],[Days]]),$G$5,"")),"")</f>
        <v/>
      </c>
      <c r="AZ77" s="37" t="str">
        <f ca="1">IFERROR(+IF(AZ$29=ProposalToGnatt[[#This Row],[Start Date]],Milestone_Marker,IF(AND(AZ$29&gt;ProposalToGnatt[[#This Row],[Start Date]],AZ$29&lt;ProposalToGnatt[[#This Row],[Start Date]]+ProposalToGnatt[[#This Row],[Days]]),$G$5,"")),"")</f>
        <v/>
      </c>
      <c r="BA77" s="37" t="str">
        <f ca="1">IFERROR(+IF(BA$29=ProposalToGnatt[[#This Row],[Start Date]],Milestone_Marker,IF(AND(BA$29&gt;ProposalToGnatt[[#This Row],[Start Date]],BA$29&lt;ProposalToGnatt[[#This Row],[Start Date]]+ProposalToGnatt[[#This Row],[Days]]),$G$5,"")),"")</f>
        <v/>
      </c>
      <c r="BB77" s="37" t="str">
        <f ca="1">IFERROR(+IF(BB$29=ProposalToGnatt[[#This Row],[Start Date]],Milestone_Marker,IF(AND(BB$29&gt;ProposalToGnatt[[#This Row],[Start Date]],BB$29&lt;ProposalToGnatt[[#This Row],[Start Date]]+ProposalToGnatt[[#This Row],[Days]]),$G$5,"")),"")</f>
        <v/>
      </c>
      <c r="BC77" s="37" t="str">
        <f ca="1">IFERROR(+IF(BC$29=ProposalToGnatt[[#This Row],[Start Date]],Milestone_Marker,IF(AND(BC$29&gt;ProposalToGnatt[[#This Row],[Start Date]],BC$29&lt;ProposalToGnatt[[#This Row],[Start Date]]+ProposalToGnatt[[#This Row],[Days]]),$G$5,"")),"")</f>
        <v/>
      </c>
      <c r="BD77" s="37" t="str">
        <f ca="1">IFERROR(+IF(BD$29=ProposalToGnatt[[#This Row],[Start Date]],Milestone_Marker,IF(AND(BD$29&gt;ProposalToGnatt[[#This Row],[Start Date]],BD$29&lt;ProposalToGnatt[[#This Row],[Start Date]]+ProposalToGnatt[[#This Row],[Days]]),$G$5,"")),"")</f>
        <v/>
      </c>
      <c r="BE77" s="37" t="str">
        <f ca="1">IFERROR(+IF(BE$29=ProposalToGnatt[[#This Row],[Start Date]],Milestone_Marker,IF(AND(BE$29&gt;ProposalToGnatt[[#This Row],[Start Date]],BE$29&lt;ProposalToGnatt[[#This Row],[Start Date]]+ProposalToGnatt[[#This Row],[Days]]),$G$5,"")),"")</f>
        <v/>
      </c>
      <c r="BF77" s="37" t="str">
        <f ca="1">IFERROR(+IF(BF$29=ProposalToGnatt[[#This Row],[Start Date]],Milestone_Marker,IF(AND(BF$29&gt;ProposalToGnatt[[#This Row],[Start Date]],BF$29&lt;ProposalToGnatt[[#This Row],[Start Date]]+ProposalToGnatt[[#This Row],[Days]]),$G$5,"")),"")</f>
        <v/>
      </c>
      <c r="BG77" s="37" t="str">
        <f ca="1">IFERROR(+IF(BG$29=ProposalToGnatt[[#This Row],[Start Date]],Milestone_Marker,IF(AND(BG$29&gt;ProposalToGnatt[[#This Row],[Start Date]],BG$29&lt;ProposalToGnatt[[#This Row],[Start Date]]+ProposalToGnatt[[#This Row],[Days]]),$G$5,"")),"")</f>
        <v/>
      </c>
      <c r="BH77" s="37" t="str">
        <f ca="1">IFERROR(+IF(BH$29=ProposalToGnatt[[#This Row],[Start Date]],Milestone_Marker,IF(AND(BH$29&gt;ProposalToGnatt[[#This Row],[Start Date]],BH$29&lt;ProposalToGnatt[[#This Row],[Start Date]]+ProposalToGnatt[[#This Row],[Days]]),$G$5,"")),"")</f>
        <v/>
      </c>
      <c r="BI77" s="37" t="str">
        <f ca="1">IFERROR(+IF(BI$29=ProposalToGnatt[[#This Row],[Start Date]],Milestone_Marker,IF(AND(BI$29&gt;ProposalToGnatt[[#This Row],[Start Date]],BI$29&lt;ProposalToGnatt[[#This Row],[Start Date]]+ProposalToGnatt[[#This Row],[Days]]),$G$5,"")),"")</f>
        <v/>
      </c>
      <c r="BJ77" s="37" t="str">
        <f ca="1">IFERROR(+IF(BJ$29=ProposalToGnatt[[#This Row],[Start Date]],Milestone_Marker,IF(AND(BJ$29&gt;ProposalToGnatt[[#This Row],[Start Date]],BJ$29&lt;ProposalToGnatt[[#This Row],[Start Date]]+ProposalToGnatt[[#This Row],[Days]]),$G$5,"")),"")</f>
        <v/>
      </c>
      <c r="BK77" s="37" t="str">
        <f ca="1">IFERROR(+IF(BK$29=ProposalToGnatt[[#This Row],[Start Date]],Milestone_Marker,IF(AND(BK$29&gt;ProposalToGnatt[[#This Row],[Start Date]],BK$29&lt;ProposalToGnatt[[#This Row],[Start Date]]+ProposalToGnatt[[#This Row],[Days]]),$G$5,"")),"")</f>
        <v/>
      </c>
      <c r="BL77" s="37" t="str">
        <f ca="1">IFERROR(+IF(BL$29=ProposalToGnatt[[#This Row],[Start Date]],Milestone_Marker,IF(AND(BL$29&gt;ProposalToGnatt[[#This Row],[Start Date]],BL$29&lt;ProposalToGnatt[[#This Row],[Start Date]]+ProposalToGnatt[[#This Row],[Days]]),$G$5,"")),"")</f>
        <v/>
      </c>
      <c r="BM77" s="37" t="str">
        <f ca="1">IFERROR(+IF(BM$29=ProposalToGnatt[[#This Row],[Start Date]],Milestone_Marker,IF(AND(BM$29&gt;ProposalToGnatt[[#This Row],[Start Date]],BM$29&lt;ProposalToGnatt[[#This Row],[Start Date]]+ProposalToGnatt[[#This Row],[Days]]),$G$5,"")),"")</f>
        <v/>
      </c>
      <c r="BN77" s="37" t="str">
        <f ca="1">IFERROR(+IF(BN$29=ProposalToGnatt[[#This Row],[Start Date]],Milestone_Marker,IF(AND(BN$29&gt;ProposalToGnatt[[#This Row],[Start Date]],BN$29&lt;ProposalToGnatt[[#This Row],[Start Date]]+ProposalToGnatt[[#This Row],[Days]]),$G$5,"")),"")</f>
        <v/>
      </c>
      <c r="BO77" s="37" t="str">
        <f ca="1">IFERROR(+IF(BO$29=ProposalToGnatt[[#This Row],[Start Date]],Milestone_Marker,IF(AND(BO$29&gt;ProposalToGnatt[[#This Row],[Start Date]],BO$29&lt;ProposalToGnatt[[#This Row],[Start Date]]+ProposalToGnatt[[#This Row],[Days]]),$G$5,"")),"")</f>
        <v/>
      </c>
      <c r="BP77" s="37" t="str">
        <f ca="1">IFERROR(+IF(BP$29=ProposalToGnatt[[#This Row],[Start Date]],Milestone_Marker,IF(AND(BP$29&gt;ProposalToGnatt[[#This Row],[Start Date]],BP$29&lt;ProposalToGnatt[[#This Row],[Start Date]]+ProposalToGnatt[[#This Row],[Days]]),$G$5,"")),"")</f>
        <v/>
      </c>
      <c r="BQ77" s="37" t="str">
        <f ca="1">IFERROR(+IF(BQ$29=ProposalToGnatt[[#This Row],[Start Date]],Milestone_Marker,IF(AND(BQ$29&gt;ProposalToGnatt[[#This Row],[Start Date]],BQ$29&lt;ProposalToGnatt[[#This Row],[Start Date]]+ProposalToGnatt[[#This Row],[Days]]),$G$5,"")),"")</f>
        <v/>
      </c>
      <c r="BR77" s="37" t="str">
        <f ca="1">IFERROR(+IF(BR$29=ProposalToGnatt[[#This Row],[Start Date]],Milestone_Marker,IF(AND(BR$29&gt;ProposalToGnatt[[#This Row],[Start Date]],BR$29&lt;ProposalToGnatt[[#This Row],[Start Date]]+ProposalToGnatt[[#This Row],[Days]]),$G$5,"")),"")</f>
        <v/>
      </c>
      <c r="BS77" s="37" t="str">
        <f ca="1">IFERROR(+IF(BS$29=ProposalToGnatt[[#This Row],[Start Date]],Milestone_Marker,IF(AND(BS$29&gt;ProposalToGnatt[[#This Row],[Start Date]],BS$29&lt;ProposalToGnatt[[#This Row],[Start Date]]+ProposalToGnatt[[#This Row],[Days]]),$G$5,"")),"")</f>
        <v/>
      </c>
      <c r="BT77" s="37" t="str">
        <f ca="1">IFERROR(+IF(BT$29=ProposalToGnatt[[#This Row],[Start Date]],Milestone_Marker,IF(AND(BT$29&gt;ProposalToGnatt[[#This Row],[Start Date]],BT$29&lt;ProposalToGnatt[[#This Row],[Start Date]]+ProposalToGnatt[[#This Row],[Days]]),$G$5,"")),"")</f>
        <v/>
      </c>
      <c r="BU77" s="37" t="str">
        <f ca="1">IFERROR(+IF(BU$29=ProposalToGnatt[[#This Row],[Start Date]],Milestone_Marker,IF(AND(BU$29&gt;ProposalToGnatt[[#This Row],[Start Date]],BU$29&lt;ProposalToGnatt[[#This Row],[Start Date]]+ProposalToGnatt[[#This Row],[Days]]),$G$5,"")),"")</f>
        <v/>
      </c>
      <c r="BV77" s="37" t="str">
        <f ca="1">IFERROR(+IF(BV$29=ProposalToGnatt[[#This Row],[Start Date]],Milestone_Marker,IF(AND(BV$29&gt;ProposalToGnatt[[#This Row],[Start Date]],BV$29&lt;ProposalToGnatt[[#This Row],[Start Date]]+ProposalToGnatt[[#This Row],[Days]]),$G$5,"")),"")</f>
        <v/>
      </c>
      <c r="BW77" s="37" t="str">
        <f ca="1">IFERROR(+IF(BW$29=ProposalToGnatt[[#This Row],[Start Date]],Milestone_Marker,IF(AND(BW$29&gt;ProposalToGnatt[[#This Row],[Start Date]],BW$29&lt;ProposalToGnatt[[#This Row],[Start Date]]+ProposalToGnatt[[#This Row],[Days]]),$G$5,"")),"")</f>
        <v/>
      </c>
      <c r="BX77" s="37" t="str">
        <f ca="1">IFERROR(+IF(BX$29=ProposalToGnatt[[#This Row],[Start Date]],Milestone_Marker,IF(AND(BX$29&gt;ProposalToGnatt[[#This Row],[Start Date]],BX$29&lt;ProposalToGnatt[[#This Row],[Start Date]]+ProposalToGnatt[[#This Row],[Days]]),$G$5,"")),"")</f>
        <v/>
      </c>
      <c r="BY77" s="37" t="str">
        <f ca="1">IFERROR(+IF(BY$29=ProposalToGnatt[[#This Row],[Start Date]],Milestone_Marker,IF(AND(BY$29&gt;ProposalToGnatt[[#This Row],[Start Date]],BY$29&lt;ProposalToGnatt[[#This Row],[Start Date]]+ProposalToGnatt[[#This Row],[Days]]),$G$5,"")),"")</f>
        <v/>
      </c>
      <c r="BZ77" s="37" t="str">
        <f ca="1">IFERROR(+IF(BZ$29=ProposalToGnatt[[#This Row],[Start Date]],Milestone_Marker,IF(AND(BZ$29&gt;ProposalToGnatt[[#This Row],[Start Date]],BZ$29&lt;ProposalToGnatt[[#This Row],[Start Date]]+ProposalToGnatt[[#This Row],[Days]]),$G$5,"")),"")</f>
        <v/>
      </c>
      <c r="CA77" s="37" t="str">
        <f ca="1">IFERROR(+IF(CA$29=ProposalToGnatt[[#This Row],[Start Date]],Milestone_Marker,IF(AND(CA$29&gt;ProposalToGnatt[[#This Row],[Start Date]],CA$29&lt;ProposalToGnatt[[#This Row],[Start Date]]+ProposalToGnatt[[#This Row],[Days]]),$G$5,"")),"")</f>
        <v/>
      </c>
      <c r="CB77" s="37" t="str">
        <f ca="1">IFERROR(+IF(CB$29=ProposalToGnatt[[#This Row],[Start Date]],Milestone_Marker,IF(AND(CB$29&gt;ProposalToGnatt[[#This Row],[Start Date]],CB$29&lt;ProposalToGnatt[[#This Row],[Start Date]]+ProposalToGnatt[[#This Row],[Days]]),$G$5,"")),"")</f>
        <v/>
      </c>
      <c r="CC77" s="37" t="str">
        <f ca="1">IFERROR(+IF(CC$29=ProposalToGnatt[[#This Row],[Start Date]],Milestone_Marker,IF(AND(CC$29&gt;ProposalToGnatt[[#This Row],[Start Date]],CC$29&lt;ProposalToGnatt[[#This Row],[Start Date]]+ProposalToGnatt[[#This Row],[Days]]),$G$5,"")),"")</f>
        <v/>
      </c>
      <c r="CD77" s="37" t="str">
        <f ca="1">IFERROR(+IF(CD$29=ProposalToGnatt[[#This Row],[Start Date]],Milestone_Marker,IF(AND(CD$29&gt;ProposalToGnatt[[#This Row],[Start Date]],CD$29&lt;ProposalToGnatt[[#This Row],[Start Date]]+ProposalToGnatt[[#This Row],[Days]]),$G$5,"")),"")</f>
        <v/>
      </c>
      <c r="CE77" s="37" t="str">
        <f ca="1">IFERROR(+IF(CE$29=ProposalToGnatt[[#This Row],[Start Date]],Milestone_Marker,IF(AND(CE$29&gt;ProposalToGnatt[[#This Row],[Start Date]],CE$29&lt;ProposalToGnatt[[#This Row],[Start Date]]+ProposalToGnatt[[#This Row],[Days]]),$G$5,"")),"")</f>
        <v/>
      </c>
      <c r="CF77" s="37" t="str">
        <f ca="1">IFERROR(+IF(CF$29=ProposalToGnatt[[#This Row],[Start Date]],Milestone_Marker,IF(AND(CF$29&gt;ProposalToGnatt[[#This Row],[Start Date]],CF$29&lt;ProposalToGnatt[[#This Row],[Start Date]]+ProposalToGnatt[[#This Row],[Days]]),$G$5,"")),"")</f>
        <v/>
      </c>
      <c r="CG77" s="37" t="str">
        <f ca="1">IFERROR(+IF(CG$29=ProposalToGnatt[[#This Row],[Start Date]],Milestone_Marker,IF(AND(CG$29&gt;ProposalToGnatt[[#This Row],[Start Date]],CG$29&lt;ProposalToGnatt[[#This Row],[Start Date]]+ProposalToGnatt[[#This Row],[Days]]),$G$5,"")),"")</f>
        <v/>
      </c>
      <c r="CH77" s="37" t="str">
        <f ca="1">IFERROR(+IF(CH$29=ProposalToGnatt[[#This Row],[Start Date]],Milestone_Marker,IF(AND(CH$29&gt;ProposalToGnatt[[#This Row],[Start Date]],CH$29&lt;ProposalToGnatt[[#This Row],[Start Date]]+ProposalToGnatt[[#This Row],[Days]]),$G$5,"")),"")</f>
        <v/>
      </c>
      <c r="CI77" s="37" t="str">
        <f ca="1">IFERROR(+IF(CI$29=ProposalToGnatt[[#This Row],[Start Date]],Milestone_Marker,IF(AND(CI$29&gt;ProposalToGnatt[[#This Row],[Start Date]],CI$29&lt;ProposalToGnatt[[#This Row],[Start Date]]+ProposalToGnatt[[#This Row],[Days]]),$G$5,"")),"")</f>
        <v/>
      </c>
      <c r="CJ77" s="37" t="str">
        <f ca="1">IFERROR(+IF(CJ$29=ProposalToGnatt[[#This Row],[Start Date]],Milestone_Marker,IF(AND(CJ$29&gt;ProposalToGnatt[[#This Row],[Start Date]],CJ$29&lt;ProposalToGnatt[[#This Row],[Start Date]]+ProposalToGnatt[[#This Row],[Days]]),$G$5,"")),"")</f>
        <v/>
      </c>
      <c r="CK77" s="37" t="str">
        <f ca="1">IFERROR(+IF(CK$29=ProposalToGnatt[[#This Row],[Start Date]],Milestone_Marker,IF(AND(CK$29&gt;ProposalToGnatt[[#This Row],[Start Date]],CK$29&lt;ProposalToGnatt[[#This Row],[Start Date]]+ProposalToGnatt[[#This Row],[Days]]),$G$5,"")),"")</f>
        <v/>
      </c>
      <c r="CL77" s="37" t="str">
        <f ca="1">IFERROR(+IF(CL$29=ProposalToGnatt[[#This Row],[Start Date]],Milestone_Marker,IF(AND(CL$29&gt;ProposalToGnatt[[#This Row],[Start Date]],CL$29&lt;ProposalToGnatt[[#This Row],[Start Date]]+ProposalToGnatt[[#This Row],[Days]]),$G$5,"")),"")</f>
        <v/>
      </c>
      <c r="CM77" s="37" t="str">
        <f ca="1">IFERROR(+IF(CM$29=ProposalToGnatt[[#This Row],[Start Date]],Milestone_Marker,IF(AND(CM$29&gt;ProposalToGnatt[[#This Row],[Start Date]],CM$29&lt;ProposalToGnatt[[#This Row],[Start Date]]+ProposalToGnatt[[#This Row],[Days]]),$G$5,"")),"")</f>
        <v/>
      </c>
      <c r="CN77" s="37" t="str">
        <f ca="1">IFERROR(+IF(CN$29=ProposalToGnatt[[#This Row],[Start Date]],Milestone_Marker,IF(AND(CN$29&gt;ProposalToGnatt[[#This Row],[Start Date]],CN$29&lt;ProposalToGnatt[[#This Row],[Start Date]]+ProposalToGnatt[[#This Row],[Days]]),$G$5,"")),"")</f>
        <v/>
      </c>
      <c r="CO77" s="37" t="str">
        <f ca="1">IFERROR(+IF(CO$29=ProposalToGnatt[[#This Row],[Start Date]],Milestone_Marker,IF(AND(CO$29&gt;ProposalToGnatt[[#This Row],[Start Date]],CO$29&lt;ProposalToGnatt[[#This Row],[Start Date]]+ProposalToGnatt[[#This Row],[Days]]),$G$5,"")),"")</f>
        <v/>
      </c>
      <c r="CP77" s="37" t="str">
        <f ca="1">IFERROR(+IF(CP$29=ProposalToGnatt[[#This Row],[Start Date]],Milestone_Marker,IF(AND(CP$29&gt;ProposalToGnatt[[#This Row],[Start Date]],CP$29&lt;ProposalToGnatt[[#This Row],[Start Date]]+ProposalToGnatt[[#This Row],[Days]]),$G$5,"")),"")</f>
        <v/>
      </c>
      <c r="CQ77" s="37" t="str">
        <f ca="1">IFERROR(+IF(CQ$29=ProposalToGnatt[[#This Row],[Start Date]],Milestone_Marker,IF(AND(CQ$29&gt;ProposalToGnatt[[#This Row],[Start Date]],CQ$29&lt;ProposalToGnatt[[#This Row],[Start Date]]+ProposalToGnatt[[#This Row],[Days]]),$G$5,"")),"")</f>
        <v/>
      </c>
      <c r="CR77" s="37" t="str">
        <f ca="1">IFERROR(+IF(CR$29=ProposalToGnatt[[#This Row],[Start Date]],Milestone_Marker,IF(AND(CR$29&gt;ProposalToGnatt[[#This Row],[Start Date]],CR$29&lt;ProposalToGnatt[[#This Row],[Start Date]]+ProposalToGnatt[[#This Row],[Days]]),$G$5,"")),"")</f>
        <v/>
      </c>
      <c r="CS77" s="37" t="str">
        <f ca="1">IFERROR(+IF(CS$29=ProposalToGnatt[[#This Row],[Start Date]],Milestone_Marker,IF(AND(CS$29&gt;ProposalToGnatt[[#This Row],[Start Date]],CS$29&lt;ProposalToGnatt[[#This Row],[Start Date]]+ProposalToGnatt[[#This Row],[Days]]),$G$5,"")),"")</f>
        <v/>
      </c>
      <c r="CT77" s="37" t="str">
        <f ca="1">IFERROR(+IF(CT$29=ProposalToGnatt[[#This Row],[Start Date]],Milestone_Marker,IF(AND(CT$29&gt;ProposalToGnatt[[#This Row],[Start Date]],CT$29&lt;ProposalToGnatt[[#This Row],[Start Date]]+ProposalToGnatt[[#This Row],[Days]]),$G$5,"")),"")</f>
        <v/>
      </c>
      <c r="CU77" s="37" t="str">
        <f ca="1">IFERROR(+IF(CU$29=ProposalToGnatt[[#This Row],[Start Date]],Milestone_Marker,IF(AND(CU$29&gt;ProposalToGnatt[[#This Row],[Start Date]],CU$29&lt;ProposalToGnatt[[#This Row],[Start Date]]+ProposalToGnatt[[#This Row],[Days]]),$G$5,"")),"")</f>
        <v/>
      </c>
      <c r="CV77" s="37"/>
      <c r="CW77" s="37"/>
      <c r="CX77" s="37"/>
      <c r="CY77" s="37"/>
      <c r="CZ77" s="37"/>
      <c r="DA77" s="37"/>
      <c r="DB77" s="37"/>
      <c r="DC77" s="37"/>
      <c r="DD77" s="37"/>
      <c r="DE77" s="37"/>
      <c r="DF77" s="37"/>
      <c r="DG77" s="37"/>
      <c r="DH77" s="37"/>
      <c r="DI77" s="37"/>
      <c r="DJ77" s="37"/>
      <c r="DK77" s="37"/>
      <c r="DL77" s="37"/>
      <c r="DM77" s="37"/>
      <c r="DN77" s="37"/>
      <c r="DO77" s="37"/>
      <c r="DP77" s="37"/>
      <c r="DQ77" s="37"/>
      <c r="DR77" s="37"/>
      <c r="DS77" s="37"/>
      <c r="DT77" s="37"/>
      <c r="DU77" s="37"/>
    </row>
    <row r="78" spans="1:125" ht="15" x14ac:dyDescent="0.25">
      <c r="A78" t="s">
        <v>428</v>
      </c>
      <c r="B78">
        <v>53</v>
      </c>
      <c r="C78" t="s">
        <v>339</v>
      </c>
      <c r="D78" t="s">
        <v>387</v>
      </c>
      <c r="E78" t="s">
        <v>388</v>
      </c>
      <c r="F78">
        <v>1</v>
      </c>
      <c r="G78" s="14"/>
      <c r="H78" s="14"/>
      <c r="I78"/>
      <c r="J78">
        <v>2</v>
      </c>
      <c r="K78" s="303"/>
      <c r="L78"/>
      <c r="M78" s="14"/>
      <c r="N78" s="352"/>
      <c r="O78" s="340"/>
      <c r="P78" s="37" t="str">
        <f ca="1">IFERROR(+IF(P$29=ProposalToGnatt[[#This Row],[Start Date]],Milestone_Marker,IF(AND(P$29&gt;ProposalToGnatt[[#This Row],[Start Date]],P$29&lt;ProposalToGnatt[[#This Row],[Start Date]]+ProposalToGnatt[[#This Row],[Days]]),$G$5,"")),"")</f>
        <v/>
      </c>
      <c r="Q78" s="37" t="str">
        <f ca="1">IFERROR(+IF(Q$29=ProposalToGnatt[[#This Row],[Start Date]],Milestone_Marker,IF(AND(Q$29&gt;ProposalToGnatt[[#This Row],[Start Date]],Q$29&lt;ProposalToGnatt[[#This Row],[Start Date]]+ProposalToGnatt[[#This Row],[Days]]),$G$5,"")),"")</f>
        <v/>
      </c>
      <c r="R78" s="37" t="str">
        <f ca="1">IFERROR(+IF(R$29=ProposalToGnatt[[#This Row],[Start Date]],Milestone_Marker,IF(AND(R$29&gt;ProposalToGnatt[[#This Row],[Start Date]],R$29&lt;ProposalToGnatt[[#This Row],[Start Date]]+ProposalToGnatt[[#This Row],[Days]]),$G$5,"")),"")</f>
        <v/>
      </c>
      <c r="S78" s="37" t="str">
        <f ca="1">IFERROR(+IF(S$29=ProposalToGnatt[[#This Row],[Start Date]],Milestone_Marker,IF(AND(S$29&gt;ProposalToGnatt[[#This Row],[Start Date]],S$29&lt;ProposalToGnatt[[#This Row],[Start Date]]+ProposalToGnatt[[#This Row],[Days]]),$G$5,"")),"")</f>
        <v/>
      </c>
      <c r="T78" s="37" t="str">
        <f ca="1">IFERROR(+IF(T$29=ProposalToGnatt[[#This Row],[Start Date]],Milestone_Marker,IF(AND(T$29&gt;ProposalToGnatt[[#This Row],[Start Date]],T$29&lt;ProposalToGnatt[[#This Row],[Start Date]]+ProposalToGnatt[[#This Row],[Days]]),$G$5,"")),"")</f>
        <v/>
      </c>
      <c r="U78" s="37" t="str">
        <f ca="1">IFERROR(+IF(U$29=ProposalToGnatt[[#This Row],[Start Date]],Milestone_Marker,IF(AND(U$29&gt;ProposalToGnatt[[#This Row],[Start Date]],U$29&lt;ProposalToGnatt[[#This Row],[Start Date]]+ProposalToGnatt[[#This Row],[Days]]),$G$5,"")),"")</f>
        <v/>
      </c>
      <c r="V78" s="37" t="str">
        <f ca="1">IFERROR(+IF(V$29=ProposalToGnatt[[#This Row],[Start Date]],Milestone_Marker,IF(AND(V$29&gt;ProposalToGnatt[[#This Row],[Start Date]],V$29&lt;ProposalToGnatt[[#This Row],[Start Date]]+ProposalToGnatt[[#This Row],[Days]]),$G$5,"")),"")</f>
        <v/>
      </c>
      <c r="W78" s="37" t="str">
        <f ca="1">IFERROR(+IF(W$29=ProposalToGnatt[[#This Row],[Start Date]],Milestone_Marker,IF(AND(W$29&gt;ProposalToGnatt[[#This Row],[Start Date]],W$29&lt;ProposalToGnatt[[#This Row],[Start Date]]+ProposalToGnatt[[#This Row],[Days]]),$G$5,"")),"")</f>
        <v/>
      </c>
      <c r="X78" s="37" t="str">
        <f ca="1">IFERROR(+IF(X$29=ProposalToGnatt[[#This Row],[Start Date]],Milestone_Marker,IF(AND(X$29&gt;ProposalToGnatt[[#This Row],[Start Date]],X$29&lt;ProposalToGnatt[[#This Row],[Start Date]]+ProposalToGnatt[[#This Row],[Days]]),$G$5,"")),"")</f>
        <v/>
      </c>
      <c r="Y78" s="37" t="str">
        <f ca="1">IFERROR(+IF(Y$29=ProposalToGnatt[[#This Row],[Start Date]],Milestone_Marker,IF(AND(Y$29&gt;ProposalToGnatt[[#This Row],[Start Date]],Y$29&lt;ProposalToGnatt[[#This Row],[Start Date]]+ProposalToGnatt[[#This Row],[Days]]),$G$5,"")),"")</f>
        <v/>
      </c>
      <c r="Z78" s="37" t="str">
        <f ca="1">IFERROR(+IF(Z$29=ProposalToGnatt[[#This Row],[Start Date]],Milestone_Marker,IF(AND(Z$29&gt;ProposalToGnatt[[#This Row],[Start Date]],Z$29&lt;ProposalToGnatt[[#This Row],[Start Date]]+ProposalToGnatt[[#This Row],[Days]]),$G$5,"")),"")</f>
        <v/>
      </c>
      <c r="AA78" s="37" t="str">
        <f ca="1">IFERROR(+IF(AA$29=ProposalToGnatt[[#This Row],[Start Date]],Milestone_Marker,IF(AND(AA$29&gt;ProposalToGnatt[[#This Row],[Start Date]],AA$29&lt;ProposalToGnatt[[#This Row],[Start Date]]+ProposalToGnatt[[#This Row],[Days]]),$G$5,"")),"")</f>
        <v/>
      </c>
      <c r="AB78" s="37" t="str">
        <f ca="1">IFERROR(+IF(AB$29=ProposalToGnatt[[#This Row],[Start Date]],Milestone_Marker,IF(AND(AB$29&gt;ProposalToGnatt[[#This Row],[Start Date]],AB$29&lt;ProposalToGnatt[[#This Row],[Start Date]]+ProposalToGnatt[[#This Row],[Days]]),$G$5,"")),"")</f>
        <v/>
      </c>
      <c r="AC78" s="37" t="str">
        <f ca="1">IFERROR(+IF(AC$29=ProposalToGnatt[[#This Row],[Start Date]],Milestone_Marker,IF(AND(AC$29&gt;ProposalToGnatt[[#This Row],[Start Date]],AC$29&lt;ProposalToGnatt[[#This Row],[Start Date]]+ProposalToGnatt[[#This Row],[Days]]),$G$5,"")),"")</f>
        <v/>
      </c>
      <c r="AD78" s="37" t="str">
        <f ca="1">IFERROR(+IF(AD$29=ProposalToGnatt[[#This Row],[Start Date]],Milestone_Marker,IF(AND(AD$29&gt;ProposalToGnatt[[#This Row],[Start Date]],AD$29&lt;ProposalToGnatt[[#This Row],[Start Date]]+ProposalToGnatt[[#This Row],[Days]]),$G$5,"")),"")</f>
        <v/>
      </c>
      <c r="AE78" s="37" t="str">
        <f ca="1">IFERROR(+IF(AE$29=ProposalToGnatt[[#This Row],[Start Date]],Milestone_Marker,IF(AND(AE$29&gt;ProposalToGnatt[[#This Row],[Start Date]],AE$29&lt;ProposalToGnatt[[#This Row],[Start Date]]+ProposalToGnatt[[#This Row],[Days]]),$G$5,"")),"")</f>
        <v/>
      </c>
      <c r="AF78" s="37" t="str">
        <f ca="1">IFERROR(+IF(AF$29=ProposalToGnatt[[#This Row],[Start Date]],Milestone_Marker,IF(AND(AF$29&gt;ProposalToGnatt[[#This Row],[Start Date]],AF$29&lt;ProposalToGnatt[[#This Row],[Start Date]]+ProposalToGnatt[[#This Row],[Days]]),$G$5,"")),"")</f>
        <v/>
      </c>
      <c r="AG78" s="37" t="str">
        <f ca="1">IFERROR(+IF(AG$29=ProposalToGnatt[[#This Row],[Start Date]],Milestone_Marker,IF(AND(AG$29&gt;ProposalToGnatt[[#This Row],[Start Date]],AG$29&lt;ProposalToGnatt[[#This Row],[Start Date]]+ProposalToGnatt[[#This Row],[Days]]),$G$5,"")),"")</f>
        <v/>
      </c>
      <c r="AH78" s="37" t="str">
        <f ca="1">IFERROR(+IF(AH$29=ProposalToGnatt[[#This Row],[Start Date]],Milestone_Marker,IF(AND(AH$29&gt;ProposalToGnatt[[#This Row],[Start Date]],AH$29&lt;ProposalToGnatt[[#This Row],[Start Date]]+ProposalToGnatt[[#This Row],[Days]]),$G$5,"")),"")</f>
        <v/>
      </c>
      <c r="AI78" s="37" t="str">
        <f ca="1">IFERROR(+IF(AI$29=ProposalToGnatt[[#This Row],[Start Date]],Milestone_Marker,IF(AND(AI$29&gt;ProposalToGnatt[[#This Row],[Start Date]],AI$29&lt;ProposalToGnatt[[#This Row],[Start Date]]+ProposalToGnatt[[#This Row],[Days]]),$G$5,"")),"")</f>
        <v/>
      </c>
      <c r="AJ78" s="37" t="str">
        <f ca="1">IFERROR(+IF(AJ$29=ProposalToGnatt[[#This Row],[Start Date]],Milestone_Marker,IF(AND(AJ$29&gt;ProposalToGnatt[[#This Row],[Start Date]],AJ$29&lt;ProposalToGnatt[[#This Row],[Start Date]]+ProposalToGnatt[[#This Row],[Days]]),$G$5,"")),"")</f>
        <v/>
      </c>
      <c r="AK78" s="37" t="str">
        <f ca="1">IFERROR(+IF(AK$29=ProposalToGnatt[[#This Row],[Start Date]],Milestone_Marker,IF(AND(AK$29&gt;ProposalToGnatt[[#This Row],[Start Date]],AK$29&lt;ProposalToGnatt[[#This Row],[Start Date]]+ProposalToGnatt[[#This Row],[Days]]),$G$5,"")),"")</f>
        <v/>
      </c>
      <c r="AL78" s="37" t="str">
        <f ca="1">IFERROR(+IF(AL$29=ProposalToGnatt[[#This Row],[Start Date]],Milestone_Marker,IF(AND(AL$29&gt;ProposalToGnatt[[#This Row],[Start Date]],AL$29&lt;ProposalToGnatt[[#This Row],[Start Date]]+ProposalToGnatt[[#This Row],[Days]]),$G$5,"")),"")</f>
        <v/>
      </c>
      <c r="AM78" s="37" t="str">
        <f ca="1">IFERROR(+IF(AM$29=ProposalToGnatt[[#This Row],[Start Date]],Milestone_Marker,IF(AND(AM$29&gt;ProposalToGnatt[[#This Row],[Start Date]],AM$29&lt;ProposalToGnatt[[#This Row],[Start Date]]+ProposalToGnatt[[#This Row],[Days]]),$G$5,"")),"")</f>
        <v/>
      </c>
      <c r="AN78" s="37" t="str">
        <f ca="1">IFERROR(+IF(AN$29=ProposalToGnatt[[#This Row],[Start Date]],Milestone_Marker,IF(AND(AN$29&gt;ProposalToGnatt[[#This Row],[Start Date]],AN$29&lt;ProposalToGnatt[[#This Row],[Start Date]]+ProposalToGnatt[[#This Row],[Days]]),$G$5,"")),"")</f>
        <v/>
      </c>
      <c r="AO78" s="37" t="str">
        <f ca="1">IFERROR(+IF(AO$29=ProposalToGnatt[[#This Row],[Start Date]],Milestone_Marker,IF(AND(AO$29&gt;ProposalToGnatt[[#This Row],[Start Date]],AO$29&lt;ProposalToGnatt[[#This Row],[Start Date]]+ProposalToGnatt[[#This Row],[Days]]),$G$5,"")),"")</f>
        <v/>
      </c>
      <c r="AP78" s="37" t="str">
        <f ca="1">IFERROR(+IF(AP$29=ProposalToGnatt[[#This Row],[Start Date]],Milestone_Marker,IF(AND(AP$29&gt;ProposalToGnatt[[#This Row],[Start Date]],AP$29&lt;ProposalToGnatt[[#This Row],[Start Date]]+ProposalToGnatt[[#This Row],[Days]]),$G$5,"")),"")</f>
        <v/>
      </c>
      <c r="AQ78" s="37" t="str">
        <f ca="1">IFERROR(+IF(AQ$29=ProposalToGnatt[[#This Row],[Start Date]],Milestone_Marker,IF(AND(AQ$29&gt;ProposalToGnatt[[#This Row],[Start Date]],AQ$29&lt;ProposalToGnatt[[#This Row],[Start Date]]+ProposalToGnatt[[#This Row],[Days]]),$G$5,"")),"")</f>
        <v/>
      </c>
      <c r="AR78" s="37" t="str">
        <f ca="1">IFERROR(+IF(AR$29=ProposalToGnatt[[#This Row],[Start Date]],Milestone_Marker,IF(AND(AR$29&gt;ProposalToGnatt[[#This Row],[Start Date]],AR$29&lt;ProposalToGnatt[[#This Row],[Start Date]]+ProposalToGnatt[[#This Row],[Days]]),$G$5,"")),"")</f>
        <v/>
      </c>
      <c r="AS78" s="37" t="str">
        <f ca="1">IFERROR(+IF(AS$29=ProposalToGnatt[[#This Row],[Start Date]],Milestone_Marker,IF(AND(AS$29&gt;ProposalToGnatt[[#This Row],[Start Date]],AS$29&lt;ProposalToGnatt[[#This Row],[Start Date]]+ProposalToGnatt[[#This Row],[Days]]),$G$5,"")),"")</f>
        <v/>
      </c>
      <c r="AT78" s="37" t="str">
        <f ca="1">IFERROR(+IF(AT$29=ProposalToGnatt[[#This Row],[Start Date]],Milestone_Marker,IF(AND(AT$29&gt;ProposalToGnatt[[#This Row],[Start Date]],AT$29&lt;ProposalToGnatt[[#This Row],[Start Date]]+ProposalToGnatt[[#This Row],[Days]]),$G$5,"")),"")</f>
        <v/>
      </c>
      <c r="AU78" s="37" t="str">
        <f ca="1">IFERROR(+IF(AU$29=ProposalToGnatt[[#This Row],[Start Date]],Milestone_Marker,IF(AND(AU$29&gt;ProposalToGnatt[[#This Row],[Start Date]],AU$29&lt;ProposalToGnatt[[#This Row],[Start Date]]+ProposalToGnatt[[#This Row],[Days]]),$G$5,"")),"")</f>
        <v/>
      </c>
      <c r="AV78" s="37" t="str">
        <f ca="1">IFERROR(+IF(AV$29=ProposalToGnatt[[#This Row],[Start Date]],Milestone_Marker,IF(AND(AV$29&gt;ProposalToGnatt[[#This Row],[Start Date]],AV$29&lt;ProposalToGnatt[[#This Row],[Start Date]]+ProposalToGnatt[[#This Row],[Days]]),$G$5,"")),"")</f>
        <v/>
      </c>
      <c r="AW78" s="37" t="str">
        <f ca="1">IFERROR(+IF(AW$29=ProposalToGnatt[[#This Row],[Start Date]],Milestone_Marker,IF(AND(AW$29&gt;ProposalToGnatt[[#This Row],[Start Date]],AW$29&lt;ProposalToGnatt[[#This Row],[Start Date]]+ProposalToGnatt[[#This Row],[Days]]),$G$5,"")),"")</f>
        <v/>
      </c>
      <c r="AX78" s="37" t="str">
        <f ca="1">IFERROR(+IF(AX$29=ProposalToGnatt[[#This Row],[Start Date]],Milestone_Marker,IF(AND(AX$29&gt;ProposalToGnatt[[#This Row],[Start Date]],AX$29&lt;ProposalToGnatt[[#This Row],[Start Date]]+ProposalToGnatt[[#This Row],[Days]]),$G$5,"")),"")</f>
        <v/>
      </c>
      <c r="AY78" s="37" t="str">
        <f ca="1">IFERROR(+IF(AY$29=ProposalToGnatt[[#This Row],[Start Date]],Milestone_Marker,IF(AND(AY$29&gt;ProposalToGnatt[[#This Row],[Start Date]],AY$29&lt;ProposalToGnatt[[#This Row],[Start Date]]+ProposalToGnatt[[#This Row],[Days]]),$G$5,"")),"")</f>
        <v/>
      </c>
      <c r="AZ78" s="37" t="str">
        <f ca="1">IFERROR(+IF(AZ$29=ProposalToGnatt[[#This Row],[Start Date]],Milestone_Marker,IF(AND(AZ$29&gt;ProposalToGnatt[[#This Row],[Start Date]],AZ$29&lt;ProposalToGnatt[[#This Row],[Start Date]]+ProposalToGnatt[[#This Row],[Days]]),$G$5,"")),"")</f>
        <v/>
      </c>
      <c r="BA78" s="37" t="str">
        <f ca="1">IFERROR(+IF(BA$29=ProposalToGnatt[[#This Row],[Start Date]],Milestone_Marker,IF(AND(BA$29&gt;ProposalToGnatt[[#This Row],[Start Date]],BA$29&lt;ProposalToGnatt[[#This Row],[Start Date]]+ProposalToGnatt[[#This Row],[Days]]),$G$5,"")),"")</f>
        <v/>
      </c>
      <c r="BB78" s="37" t="str">
        <f ca="1">IFERROR(+IF(BB$29=ProposalToGnatt[[#This Row],[Start Date]],Milestone_Marker,IF(AND(BB$29&gt;ProposalToGnatt[[#This Row],[Start Date]],BB$29&lt;ProposalToGnatt[[#This Row],[Start Date]]+ProposalToGnatt[[#This Row],[Days]]),$G$5,"")),"")</f>
        <v/>
      </c>
      <c r="BC78" s="37" t="str">
        <f ca="1">IFERROR(+IF(BC$29=ProposalToGnatt[[#This Row],[Start Date]],Milestone_Marker,IF(AND(BC$29&gt;ProposalToGnatt[[#This Row],[Start Date]],BC$29&lt;ProposalToGnatt[[#This Row],[Start Date]]+ProposalToGnatt[[#This Row],[Days]]),$G$5,"")),"")</f>
        <v/>
      </c>
      <c r="BD78" s="37" t="str">
        <f ca="1">IFERROR(+IF(BD$29=ProposalToGnatt[[#This Row],[Start Date]],Milestone_Marker,IF(AND(BD$29&gt;ProposalToGnatt[[#This Row],[Start Date]],BD$29&lt;ProposalToGnatt[[#This Row],[Start Date]]+ProposalToGnatt[[#This Row],[Days]]),$G$5,"")),"")</f>
        <v/>
      </c>
      <c r="BE78" s="37" t="str">
        <f ca="1">IFERROR(+IF(BE$29=ProposalToGnatt[[#This Row],[Start Date]],Milestone_Marker,IF(AND(BE$29&gt;ProposalToGnatt[[#This Row],[Start Date]],BE$29&lt;ProposalToGnatt[[#This Row],[Start Date]]+ProposalToGnatt[[#This Row],[Days]]),$G$5,"")),"")</f>
        <v/>
      </c>
      <c r="BF78" s="37" t="str">
        <f ca="1">IFERROR(+IF(BF$29=ProposalToGnatt[[#This Row],[Start Date]],Milestone_Marker,IF(AND(BF$29&gt;ProposalToGnatt[[#This Row],[Start Date]],BF$29&lt;ProposalToGnatt[[#This Row],[Start Date]]+ProposalToGnatt[[#This Row],[Days]]),$G$5,"")),"")</f>
        <v/>
      </c>
      <c r="BG78" s="37" t="str">
        <f ca="1">IFERROR(+IF(BG$29=ProposalToGnatt[[#This Row],[Start Date]],Milestone_Marker,IF(AND(BG$29&gt;ProposalToGnatt[[#This Row],[Start Date]],BG$29&lt;ProposalToGnatt[[#This Row],[Start Date]]+ProposalToGnatt[[#This Row],[Days]]),$G$5,"")),"")</f>
        <v/>
      </c>
      <c r="BH78" s="37" t="str">
        <f ca="1">IFERROR(+IF(BH$29=ProposalToGnatt[[#This Row],[Start Date]],Milestone_Marker,IF(AND(BH$29&gt;ProposalToGnatt[[#This Row],[Start Date]],BH$29&lt;ProposalToGnatt[[#This Row],[Start Date]]+ProposalToGnatt[[#This Row],[Days]]),$G$5,"")),"")</f>
        <v/>
      </c>
      <c r="BI78" s="37" t="str">
        <f ca="1">IFERROR(+IF(BI$29=ProposalToGnatt[[#This Row],[Start Date]],Milestone_Marker,IF(AND(BI$29&gt;ProposalToGnatt[[#This Row],[Start Date]],BI$29&lt;ProposalToGnatt[[#This Row],[Start Date]]+ProposalToGnatt[[#This Row],[Days]]),$G$5,"")),"")</f>
        <v/>
      </c>
      <c r="BJ78" s="37" t="str">
        <f ca="1">IFERROR(+IF(BJ$29=ProposalToGnatt[[#This Row],[Start Date]],Milestone_Marker,IF(AND(BJ$29&gt;ProposalToGnatt[[#This Row],[Start Date]],BJ$29&lt;ProposalToGnatt[[#This Row],[Start Date]]+ProposalToGnatt[[#This Row],[Days]]),$G$5,"")),"")</f>
        <v/>
      </c>
      <c r="BK78" s="37" t="str">
        <f ca="1">IFERROR(+IF(BK$29=ProposalToGnatt[[#This Row],[Start Date]],Milestone_Marker,IF(AND(BK$29&gt;ProposalToGnatt[[#This Row],[Start Date]],BK$29&lt;ProposalToGnatt[[#This Row],[Start Date]]+ProposalToGnatt[[#This Row],[Days]]),$G$5,"")),"")</f>
        <v/>
      </c>
      <c r="BL78" s="37" t="str">
        <f ca="1">IFERROR(+IF(BL$29=ProposalToGnatt[[#This Row],[Start Date]],Milestone_Marker,IF(AND(BL$29&gt;ProposalToGnatt[[#This Row],[Start Date]],BL$29&lt;ProposalToGnatt[[#This Row],[Start Date]]+ProposalToGnatt[[#This Row],[Days]]),$G$5,"")),"")</f>
        <v/>
      </c>
      <c r="BM78" s="37" t="str">
        <f ca="1">IFERROR(+IF(BM$29=ProposalToGnatt[[#This Row],[Start Date]],Milestone_Marker,IF(AND(BM$29&gt;ProposalToGnatt[[#This Row],[Start Date]],BM$29&lt;ProposalToGnatt[[#This Row],[Start Date]]+ProposalToGnatt[[#This Row],[Days]]),$G$5,"")),"")</f>
        <v/>
      </c>
      <c r="BN78" s="37" t="str">
        <f ca="1">IFERROR(+IF(BN$29=ProposalToGnatt[[#This Row],[Start Date]],Milestone_Marker,IF(AND(BN$29&gt;ProposalToGnatt[[#This Row],[Start Date]],BN$29&lt;ProposalToGnatt[[#This Row],[Start Date]]+ProposalToGnatt[[#This Row],[Days]]),$G$5,"")),"")</f>
        <v/>
      </c>
      <c r="BO78" s="37" t="str">
        <f ca="1">IFERROR(+IF(BO$29=ProposalToGnatt[[#This Row],[Start Date]],Milestone_Marker,IF(AND(BO$29&gt;ProposalToGnatt[[#This Row],[Start Date]],BO$29&lt;ProposalToGnatt[[#This Row],[Start Date]]+ProposalToGnatt[[#This Row],[Days]]),$G$5,"")),"")</f>
        <v/>
      </c>
      <c r="BP78" s="37" t="str">
        <f ca="1">IFERROR(+IF(BP$29=ProposalToGnatt[[#This Row],[Start Date]],Milestone_Marker,IF(AND(BP$29&gt;ProposalToGnatt[[#This Row],[Start Date]],BP$29&lt;ProposalToGnatt[[#This Row],[Start Date]]+ProposalToGnatt[[#This Row],[Days]]),$G$5,"")),"")</f>
        <v/>
      </c>
      <c r="BQ78" s="37" t="str">
        <f ca="1">IFERROR(+IF(BQ$29=ProposalToGnatt[[#This Row],[Start Date]],Milestone_Marker,IF(AND(BQ$29&gt;ProposalToGnatt[[#This Row],[Start Date]],BQ$29&lt;ProposalToGnatt[[#This Row],[Start Date]]+ProposalToGnatt[[#This Row],[Days]]),$G$5,"")),"")</f>
        <v/>
      </c>
      <c r="BR78" s="37" t="str">
        <f ca="1">IFERROR(+IF(BR$29=ProposalToGnatt[[#This Row],[Start Date]],Milestone_Marker,IF(AND(BR$29&gt;ProposalToGnatt[[#This Row],[Start Date]],BR$29&lt;ProposalToGnatt[[#This Row],[Start Date]]+ProposalToGnatt[[#This Row],[Days]]),$G$5,"")),"")</f>
        <v/>
      </c>
      <c r="BS78" s="37" t="str">
        <f ca="1">IFERROR(+IF(BS$29=ProposalToGnatt[[#This Row],[Start Date]],Milestone_Marker,IF(AND(BS$29&gt;ProposalToGnatt[[#This Row],[Start Date]],BS$29&lt;ProposalToGnatt[[#This Row],[Start Date]]+ProposalToGnatt[[#This Row],[Days]]),$G$5,"")),"")</f>
        <v/>
      </c>
      <c r="BT78" s="37" t="str">
        <f ca="1">IFERROR(+IF(BT$29=ProposalToGnatt[[#This Row],[Start Date]],Milestone_Marker,IF(AND(BT$29&gt;ProposalToGnatt[[#This Row],[Start Date]],BT$29&lt;ProposalToGnatt[[#This Row],[Start Date]]+ProposalToGnatt[[#This Row],[Days]]),$G$5,"")),"")</f>
        <v/>
      </c>
      <c r="BU78" s="37" t="str">
        <f ca="1">IFERROR(+IF(BU$29=ProposalToGnatt[[#This Row],[Start Date]],Milestone_Marker,IF(AND(BU$29&gt;ProposalToGnatt[[#This Row],[Start Date]],BU$29&lt;ProposalToGnatt[[#This Row],[Start Date]]+ProposalToGnatt[[#This Row],[Days]]),$G$5,"")),"")</f>
        <v/>
      </c>
      <c r="BV78" s="37" t="str">
        <f ca="1">IFERROR(+IF(BV$29=ProposalToGnatt[[#This Row],[Start Date]],Milestone_Marker,IF(AND(BV$29&gt;ProposalToGnatt[[#This Row],[Start Date]],BV$29&lt;ProposalToGnatt[[#This Row],[Start Date]]+ProposalToGnatt[[#This Row],[Days]]),$G$5,"")),"")</f>
        <v/>
      </c>
      <c r="BW78" s="37" t="str">
        <f ca="1">IFERROR(+IF(BW$29=ProposalToGnatt[[#This Row],[Start Date]],Milestone_Marker,IF(AND(BW$29&gt;ProposalToGnatt[[#This Row],[Start Date]],BW$29&lt;ProposalToGnatt[[#This Row],[Start Date]]+ProposalToGnatt[[#This Row],[Days]]),$G$5,"")),"")</f>
        <v/>
      </c>
      <c r="BX78" s="37" t="str">
        <f ca="1">IFERROR(+IF(BX$29=ProposalToGnatt[[#This Row],[Start Date]],Milestone_Marker,IF(AND(BX$29&gt;ProposalToGnatt[[#This Row],[Start Date]],BX$29&lt;ProposalToGnatt[[#This Row],[Start Date]]+ProposalToGnatt[[#This Row],[Days]]),$G$5,"")),"")</f>
        <v/>
      </c>
      <c r="BY78" s="37" t="str">
        <f ca="1">IFERROR(+IF(BY$29=ProposalToGnatt[[#This Row],[Start Date]],Milestone_Marker,IF(AND(BY$29&gt;ProposalToGnatt[[#This Row],[Start Date]],BY$29&lt;ProposalToGnatt[[#This Row],[Start Date]]+ProposalToGnatt[[#This Row],[Days]]),$G$5,"")),"")</f>
        <v/>
      </c>
      <c r="BZ78" s="37" t="str">
        <f ca="1">IFERROR(+IF(BZ$29=ProposalToGnatt[[#This Row],[Start Date]],Milestone_Marker,IF(AND(BZ$29&gt;ProposalToGnatt[[#This Row],[Start Date]],BZ$29&lt;ProposalToGnatt[[#This Row],[Start Date]]+ProposalToGnatt[[#This Row],[Days]]),$G$5,"")),"")</f>
        <v/>
      </c>
      <c r="CA78" s="37" t="str">
        <f ca="1">IFERROR(+IF(CA$29=ProposalToGnatt[[#This Row],[Start Date]],Milestone_Marker,IF(AND(CA$29&gt;ProposalToGnatt[[#This Row],[Start Date]],CA$29&lt;ProposalToGnatt[[#This Row],[Start Date]]+ProposalToGnatt[[#This Row],[Days]]),$G$5,"")),"")</f>
        <v/>
      </c>
      <c r="CB78" s="37" t="str">
        <f ca="1">IFERROR(+IF(CB$29=ProposalToGnatt[[#This Row],[Start Date]],Milestone_Marker,IF(AND(CB$29&gt;ProposalToGnatt[[#This Row],[Start Date]],CB$29&lt;ProposalToGnatt[[#This Row],[Start Date]]+ProposalToGnatt[[#This Row],[Days]]),$G$5,"")),"")</f>
        <v/>
      </c>
      <c r="CC78" s="37" t="str">
        <f ca="1">IFERROR(+IF(CC$29=ProposalToGnatt[[#This Row],[Start Date]],Milestone_Marker,IF(AND(CC$29&gt;ProposalToGnatt[[#This Row],[Start Date]],CC$29&lt;ProposalToGnatt[[#This Row],[Start Date]]+ProposalToGnatt[[#This Row],[Days]]),$G$5,"")),"")</f>
        <v/>
      </c>
      <c r="CD78" s="37" t="str">
        <f ca="1">IFERROR(+IF(CD$29=ProposalToGnatt[[#This Row],[Start Date]],Milestone_Marker,IF(AND(CD$29&gt;ProposalToGnatt[[#This Row],[Start Date]],CD$29&lt;ProposalToGnatt[[#This Row],[Start Date]]+ProposalToGnatt[[#This Row],[Days]]),$G$5,"")),"")</f>
        <v/>
      </c>
      <c r="CE78" s="37" t="str">
        <f ca="1">IFERROR(+IF(CE$29=ProposalToGnatt[[#This Row],[Start Date]],Milestone_Marker,IF(AND(CE$29&gt;ProposalToGnatt[[#This Row],[Start Date]],CE$29&lt;ProposalToGnatt[[#This Row],[Start Date]]+ProposalToGnatt[[#This Row],[Days]]),$G$5,"")),"")</f>
        <v/>
      </c>
      <c r="CF78" s="37" t="str">
        <f ca="1">IFERROR(+IF(CF$29=ProposalToGnatt[[#This Row],[Start Date]],Milestone_Marker,IF(AND(CF$29&gt;ProposalToGnatt[[#This Row],[Start Date]],CF$29&lt;ProposalToGnatt[[#This Row],[Start Date]]+ProposalToGnatt[[#This Row],[Days]]),$G$5,"")),"")</f>
        <v/>
      </c>
      <c r="CG78" s="37" t="str">
        <f ca="1">IFERROR(+IF(CG$29=ProposalToGnatt[[#This Row],[Start Date]],Milestone_Marker,IF(AND(CG$29&gt;ProposalToGnatt[[#This Row],[Start Date]],CG$29&lt;ProposalToGnatt[[#This Row],[Start Date]]+ProposalToGnatt[[#This Row],[Days]]),$G$5,"")),"")</f>
        <v/>
      </c>
      <c r="CH78" s="37" t="str">
        <f ca="1">IFERROR(+IF(CH$29=ProposalToGnatt[[#This Row],[Start Date]],Milestone_Marker,IF(AND(CH$29&gt;ProposalToGnatt[[#This Row],[Start Date]],CH$29&lt;ProposalToGnatt[[#This Row],[Start Date]]+ProposalToGnatt[[#This Row],[Days]]),$G$5,"")),"")</f>
        <v/>
      </c>
      <c r="CI78" s="37" t="str">
        <f ca="1">IFERROR(+IF(CI$29=ProposalToGnatt[[#This Row],[Start Date]],Milestone_Marker,IF(AND(CI$29&gt;ProposalToGnatt[[#This Row],[Start Date]],CI$29&lt;ProposalToGnatt[[#This Row],[Start Date]]+ProposalToGnatt[[#This Row],[Days]]),$G$5,"")),"")</f>
        <v/>
      </c>
      <c r="CJ78" s="37" t="str">
        <f ca="1">IFERROR(+IF(CJ$29=ProposalToGnatt[[#This Row],[Start Date]],Milestone_Marker,IF(AND(CJ$29&gt;ProposalToGnatt[[#This Row],[Start Date]],CJ$29&lt;ProposalToGnatt[[#This Row],[Start Date]]+ProposalToGnatt[[#This Row],[Days]]),$G$5,"")),"")</f>
        <v/>
      </c>
      <c r="CK78" s="37" t="str">
        <f ca="1">IFERROR(+IF(CK$29=ProposalToGnatt[[#This Row],[Start Date]],Milestone_Marker,IF(AND(CK$29&gt;ProposalToGnatt[[#This Row],[Start Date]],CK$29&lt;ProposalToGnatt[[#This Row],[Start Date]]+ProposalToGnatt[[#This Row],[Days]]),$G$5,"")),"")</f>
        <v/>
      </c>
      <c r="CL78" s="37" t="str">
        <f ca="1">IFERROR(+IF(CL$29=ProposalToGnatt[[#This Row],[Start Date]],Milestone_Marker,IF(AND(CL$29&gt;ProposalToGnatt[[#This Row],[Start Date]],CL$29&lt;ProposalToGnatt[[#This Row],[Start Date]]+ProposalToGnatt[[#This Row],[Days]]),$G$5,"")),"")</f>
        <v/>
      </c>
      <c r="CM78" s="37" t="str">
        <f ca="1">IFERROR(+IF(CM$29=ProposalToGnatt[[#This Row],[Start Date]],Milestone_Marker,IF(AND(CM$29&gt;ProposalToGnatt[[#This Row],[Start Date]],CM$29&lt;ProposalToGnatt[[#This Row],[Start Date]]+ProposalToGnatt[[#This Row],[Days]]),$G$5,"")),"")</f>
        <v/>
      </c>
      <c r="CN78" s="37" t="str">
        <f ca="1">IFERROR(+IF(CN$29=ProposalToGnatt[[#This Row],[Start Date]],Milestone_Marker,IF(AND(CN$29&gt;ProposalToGnatt[[#This Row],[Start Date]],CN$29&lt;ProposalToGnatt[[#This Row],[Start Date]]+ProposalToGnatt[[#This Row],[Days]]),$G$5,"")),"")</f>
        <v/>
      </c>
      <c r="CO78" s="37" t="str">
        <f ca="1">IFERROR(+IF(CO$29=ProposalToGnatt[[#This Row],[Start Date]],Milestone_Marker,IF(AND(CO$29&gt;ProposalToGnatt[[#This Row],[Start Date]],CO$29&lt;ProposalToGnatt[[#This Row],[Start Date]]+ProposalToGnatt[[#This Row],[Days]]),$G$5,"")),"")</f>
        <v/>
      </c>
      <c r="CP78" s="37" t="str">
        <f ca="1">IFERROR(+IF(CP$29=ProposalToGnatt[[#This Row],[Start Date]],Milestone_Marker,IF(AND(CP$29&gt;ProposalToGnatt[[#This Row],[Start Date]],CP$29&lt;ProposalToGnatt[[#This Row],[Start Date]]+ProposalToGnatt[[#This Row],[Days]]),$G$5,"")),"")</f>
        <v/>
      </c>
      <c r="CQ78" s="37" t="str">
        <f ca="1">IFERROR(+IF(CQ$29=ProposalToGnatt[[#This Row],[Start Date]],Milestone_Marker,IF(AND(CQ$29&gt;ProposalToGnatt[[#This Row],[Start Date]],CQ$29&lt;ProposalToGnatt[[#This Row],[Start Date]]+ProposalToGnatt[[#This Row],[Days]]),$G$5,"")),"")</f>
        <v/>
      </c>
      <c r="CR78" s="37" t="str">
        <f ca="1">IFERROR(+IF(CR$29=ProposalToGnatt[[#This Row],[Start Date]],Milestone_Marker,IF(AND(CR$29&gt;ProposalToGnatt[[#This Row],[Start Date]],CR$29&lt;ProposalToGnatt[[#This Row],[Start Date]]+ProposalToGnatt[[#This Row],[Days]]),$G$5,"")),"")</f>
        <v/>
      </c>
      <c r="CS78" s="37" t="str">
        <f ca="1">IFERROR(+IF(CS$29=ProposalToGnatt[[#This Row],[Start Date]],Milestone_Marker,IF(AND(CS$29&gt;ProposalToGnatt[[#This Row],[Start Date]],CS$29&lt;ProposalToGnatt[[#This Row],[Start Date]]+ProposalToGnatt[[#This Row],[Days]]),$G$5,"")),"")</f>
        <v/>
      </c>
      <c r="CT78" s="37" t="str">
        <f ca="1">IFERROR(+IF(CT$29=ProposalToGnatt[[#This Row],[Start Date]],Milestone_Marker,IF(AND(CT$29&gt;ProposalToGnatt[[#This Row],[Start Date]],CT$29&lt;ProposalToGnatt[[#This Row],[Start Date]]+ProposalToGnatt[[#This Row],[Days]]),$G$5,"")),"")</f>
        <v/>
      </c>
      <c r="CU78" s="37" t="str">
        <f ca="1">IFERROR(+IF(CU$29=ProposalToGnatt[[#This Row],[Start Date]],Milestone_Marker,IF(AND(CU$29&gt;ProposalToGnatt[[#This Row],[Start Date]],CU$29&lt;ProposalToGnatt[[#This Row],[Start Date]]+ProposalToGnatt[[#This Row],[Days]]),$G$5,"")),"")</f>
        <v/>
      </c>
      <c r="CV78" s="37"/>
      <c r="CW78" s="37"/>
      <c r="CX78" s="37"/>
      <c r="CY78" s="37"/>
      <c r="CZ78" s="37"/>
      <c r="DA78" s="37"/>
      <c r="DB78" s="37"/>
      <c r="DC78" s="37"/>
      <c r="DD78" s="37"/>
      <c r="DE78" s="37"/>
      <c r="DF78" s="37"/>
      <c r="DG78" s="37"/>
      <c r="DH78" s="37"/>
      <c r="DI78" s="37"/>
      <c r="DJ78" s="37"/>
      <c r="DK78" s="37"/>
      <c r="DL78" s="37"/>
      <c r="DM78" s="37"/>
      <c r="DN78" s="37"/>
      <c r="DO78" s="37"/>
      <c r="DP78" s="37"/>
      <c r="DQ78" s="37"/>
      <c r="DR78" s="37"/>
      <c r="DS78" s="37"/>
      <c r="DT78" s="37"/>
      <c r="DU78" s="37"/>
    </row>
    <row r="79" spans="1:125" ht="15" x14ac:dyDescent="0.25">
      <c r="A79" t="s">
        <v>428</v>
      </c>
      <c r="B79">
        <v>54</v>
      </c>
      <c r="C79" t="s">
        <v>339</v>
      </c>
      <c r="D79" t="s">
        <v>389</v>
      </c>
      <c r="E79" t="s">
        <v>390</v>
      </c>
      <c r="F79">
        <v>1</v>
      </c>
      <c r="G79" s="14"/>
      <c r="H79" s="14"/>
      <c r="I79"/>
      <c r="J79">
        <v>2</v>
      </c>
      <c r="K79" s="303"/>
      <c r="L79"/>
      <c r="M79" s="14"/>
      <c r="N79" s="352"/>
      <c r="O79" s="340"/>
      <c r="P79" s="37" t="str">
        <f ca="1">IFERROR(+IF(P$29=ProposalToGnatt[[#This Row],[Start Date]],Milestone_Marker,IF(AND(P$29&gt;ProposalToGnatt[[#This Row],[Start Date]],P$29&lt;ProposalToGnatt[[#This Row],[Start Date]]+ProposalToGnatt[[#This Row],[Days]]),$G$5,"")),"")</f>
        <v/>
      </c>
      <c r="Q79" s="37" t="str">
        <f ca="1">IFERROR(+IF(Q$29=ProposalToGnatt[[#This Row],[Start Date]],Milestone_Marker,IF(AND(Q$29&gt;ProposalToGnatt[[#This Row],[Start Date]],Q$29&lt;ProposalToGnatt[[#This Row],[Start Date]]+ProposalToGnatt[[#This Row],[Days]]),$G$5,"")),"")</f>
        <v/>
      </c>
      <c r="R79" s="37" t="str">
        <f ca="1">IFERROR(+IF(R$29=ProposalToGnatt[[#This Row],[Start Date]],Milestone_Marker,IF(AND(R$29&gt;ProposalToGnatt[[#This Row],[Start Date]],R$29&lt;ProposalToGnatt[[#This Row],[Start Date]]+ProposalToGnatt[[#This Row],[Days]]),$G$5,"")),"")</f>
        <v/>
      </c>
      <c r="S79" s="37" t="str">
        <f ca="1">IFERROR(+IF(S$29=ProposalToGnatt[[#This Row],[Start Date]],Milestone_Marker,IF(AND(S$29&gt;ProposalToGnatt[[#This Row],[Start Date]],S$29&lt;ProposalToGnatt[[#This Row],[Start Date]]+ProposalToGnatt[[#This Row],[Days]]),$G$5,"")),"")</f>
        <v/>
      </c>
      <c r="T79" s="37" t="str">
        <f ca="1">IFERROR(+IF(T$29=ProposalToGnatt[[#This Row],[Start Date]],Milestone_Marker,IF(AND(T$29&gt;ProposalToGnatt[[#This Row],[Start Date]],T$29&lt;ProposalToGnatt[[#This Row],[Start Date]]+ProposalToGnatt[[#This Row],[Days]]),$G$5,"")),"")</f>
        <v/>
      </c>
      <c r="U79" s="37" t="str">
        <f ca="1">IFERROR(+IF(U$29=ProposalToGnatt[[#This Row],[Start Date]],Milestone_Marker,IF(AND(U$29&gt;ProposalToGnatt[[#This Row],[Start Date]],U$29&lt;ProposalToGnatt[[#This Row],[Start Date]]+ProposalToGnatt[[#This Row],[Days]]),$G$5,"")),"")</f>
        <v/>
      </c>
      <c r="V79" s="37" t="str">
        <f ca="1">IFERROR(+IF(V$29=ProposalToGnatt[[#This Row],[Start Date]],Milestone_Marker,IF(AND(V$29&gt;ProposalToGnatt[[#This Row],[Start Date]],V$29&lt;ProposalToGnatt[[#This Row],[Start Date]]+ProposalToGnatt[[#This Row],[Days]]),$G$5,"")),"")</f>
        <v/>
      </c>
      <c r="W79" s="37" t="str">
        <f ca="1">IFERROR(+IF(W$29=ProposalToGnatt[[#This Row],[Start Date]],Milestone_Marker,IF(AND(W$29&gt;ProposalToGnatt[[#This Row],[Start Date]],W$29&lt;ProposalToGnatt[[#This Row],[Start Date]]+ProposalToGnatt[[#This Row],[Days]]),$G$5,"")),"")</f>
        <v/>
      </c>
      <c r="X79" s="37" t="str">
        <f ca="1">IFERROR(+IF(X$29=ProposalToGnatt[[#This Row],[Start Date]],Milestone_Marker,IF(AND(X$29&gt;ProposalToGnatt[[#This Row],[Start Date]],X$29&lt;ProposalToGnatt[[#This Row],[Start Date]]+ProposalToGnatt[[#This Row],[Days]]),$G$5,"")),"")</f>
        <v/>
      </c>
      <c r="Y79" s="37" t="str">
        <f ca="1">IFERROR(+IF(Y$29=ProposalToGnatt[[#This Row],[Start Date]],Milestone_Marker,IF(AND(Y$29&gt;ProposalToGnatt[[#This Row],[Start Date]],Y$29&lt;ProposalToGnatt[[#This Row],[Start Date]]+ProposalToGnatt[[#This Row],[Days]]),$G$5,"")),"")</f>
        <v/>
      </c>
      <c r="Z79" s="37" t="str">
        <f ca="1">IFERROR(+IF(Z$29=ProposalToGnatt[[#This Row],[Start Date]],Milestone_Marker,IF(AND(Z$29&gt;ProposalToGnatt[[#This Row],[Start Date]],Z$29&lt;ProposalToGnatt[[#This Row],[Start Date]]+ProposalToGnatt[[#This Row],[Days]]),$G$5,"")),"")</f>
        <v/>
      </c>
      <c r="AA79" s="37" t="str">
        <f ca="1">IFERROR(+IF(AA$29=ProposalToGnatt[[#This Row],[Start Date]],Milestone_Marker,IF(AND(AA$29&gt;ProposalToGnatt[[#This Row],[Start Date]],AA$29&lt;ProposalToGnatt[[#This Row],[Start Date]]+ProposalToGnatt[[#This Row],[Days]]),$G$5,"")),"")</f>
        <v/>
      </c>
      <c r="AB79" s="37" t="str">
        <f ca="1">IFERROR(+IF(AB$29=ProposalToGnatt[[#This Row],[Start Date]],Milestone_Marker,IF(AND(AB$29&gt;ProposalToGnatt[[#This Row],[Start Date]],AB$29&lt;ProposalToGnatt[[#This Row],[Start Date]]+ProposalToGnatt[[#This Row],[Days]]),$G$5,"")),"")</f>
        <v/>
      </c>
      <c r="AC79" s="37" t="str">
        <f ca="1">IFERROR(+IF(AC$29=ProposalToGnatt[[#This Row],[Start Date]],Milestone_Marker,IF(AND(AC$29&gt;ProposalToGnatt[[#This Row],[Start Date]],AC$29&lt;ProposalToGnatt[[#This Row],[Start Date]]+ProposalToGnatt[[#This Row],[Days]]),$G$5,"")),"")</f>
        <v/>
      </c>
      <c r="AD79" s="37" t="str">
        <f ca="1">IFERROR(+IF(AD$29=ProposalToGnatt[[#This Row],[Start Date]],Milestone_Marker,IF(AND(AD$29&gt;ProposalToGnatt[[#This Row],[Start Date]],AD$29&lt;ProposalToGnatt[[#This Row],[Start Date]]+ProposalToGnatt[[#This Row],[Days]]),$G$5,"")),"")</f>
        <v/>
      </c>
      <c r="AE79" s="37" t="str">
        <f ca="1">IFERROR(+IF(AE$29=ProposalToGnatt[[#This Row],[Start Date]],Milestone_Marker,IF(AND(AE$29&gt;ProposalToGnatt[[#This Row],[Start Date]],AE$29&lt;ProposalToGnatt[[#This Row],[Start Date]]+ProposalToGnatt[[#This Row],[Days]]),$G$5,"")),"")</f>
        <v/>
      </c>
      <c r="AF79" s="37" t="str">
        <f ca="1">IFERROR(+IF(AF$29=ProposalToGnatt[[#This Row],[Start Date]],Milestone_Marker,IF(AND(AF$29&gt;ProposalToGnatt[[#This Row],[Start Date]],AF$29&lt;ProposalToGnatt[[#This Row],[Start Date]]+ProposalToGnatt[[#This Row],[Days]]),$G$5,"")),"")</f>
        <v/>
      </c>
      <c r="AG79" s="37" t="str">
        <f ca="1">IFERROR(+IF(AG$29=ProposalToGnatt[[#This Row],[Start Date]],Milestone_Marker,IF(AND(AG$29&gt;ProposalToGnatt[[#This Row],[Start Date]],AG$29&lt;ProposalToGnatt[[#This Row],[Start Date]]+ProposalToGnatt[[#This Row],[Days]]),$G$5,"")),"")</f>
        <v/>
      </c>
      <c r="AH79" s="37" t="str">
        <f ca="1">IFERROR(+IF(AH$29=ProposalToGnatt[[#This Row],[Start Date]],Milestone_Marker,IF(AND(AH$29&gt;ProposalToGnatt[[#This Row],[Start Date]],AH$29&lt;ProposalToGnatt[[#This Row],[Start Date]]+ProposalToGnatt[[#This Row],[Days]]),$G$5,"")),"")</f>
        <v/>
      </c>
      <c r="AI79" s="37" t="str">
        <f ca="1">IFERROR(+IF(AI$29=ProposalToGnatt[[#This Row],[Start Date]],Milestone_Marker,IF(AND(AI$29&gt;ProposalToGnatt[[#This Row],[Start Date]],AI$29&lt;ProposalToGnatt[[#This Row],[Start Date]]+ProposalToGnatt[[#This Row],[Days]]),$G$5,"")),"")</f>
        <v/>
      </c>
      <c r="AJ79" s="37" t="str">
        <f ca="1">IFERROR(+IF(AJ$29=ProposalToGnatt[[#This Row],[Start Date]],Milestone_Marker,IF(AND(AJ$29&gt;ProposalToGnatt[[#This Row],[Start Date]],AJ$29&lt;ProposalToGnatt[[#This Row],[Start Date]]+ProposalToGnatt[[#This Row],[Days]]),$G$5,"")),"")</f>
        <v/>
      </c>
      <c r="AK79" s="37" t="str">
        <f ca="1">IFERROR(+IF(AK$29=ProposalToGnatt[[#This Row],[Start Date]],Milestone_Marker,IF(AND(AK$29&gt;ProposalToGnatt[[#This Row],[Start Date]],AK$29&lt;ProposalToGnatt[[#This Row],[Start Date]]+ProposalToGnatt[[#This Row],[Days]]),$G$5,"")),"")</f>
        <v/>
      </c>
      <c r="AL79" s="37" t="str">
        <f ca="1">IFERROR(+IF(AL$29=ProposalToGnatt[[#This Row],[Start Date]],Milestone_Marker,IF(AND(AL$29&gt;ProposalToGnatt[[#This Row],[Start Date]],AL$29&lt;ProposalToGnatt[[#This Row],[Start Date]]+ProposalToGnatt[[#This Row],[Days]]),$G$5,"")),"")</f>
        <v/>
      </c>
      <c r="AM79" s="37" t="str">
        <f ca="1">IFERROR(+IF(AM$29=ProposalToGnatt[[#This Row],[Start Date]],Milestone_Marker,IF(AND(AM$29&gt;ProposalToGnatt[[#This Row],[Start Date]],AM$29&lt;ProposalToGnatt[[#This Row],[Start Date]]+ProposalToGnatt[[#This Row],[Days]]),$G$5,"")),"")</f>
        <v/>
      </c>
      <c r="AN79" s="37" t="str">
        <f ca="1">IFERROR(+IF(AN$29=ProposalToGnatt[[#This Row],[Start Date]],Milestone_Marker,IF(AND(AN$29&gt;ProposalToGnatt[[#This Row],[Start Date]],AN$29&lt;ProposalToGnatt[[#This Row],[Start Date]]+ProposalToGnatt[[#This Row],[Days]]),$G$5,"")),"")</f>
        <v/>
      </c>
      <c r="AO79" s="37" t="str">
        <f ca="1">IFERROR(+IF(AO$29=ProposalToGnatt[[#This Row],[Start Date]],Milestone_Marker,IF(AND(AO$29&gt;ProposalToGnatt[[#This Row],[Start Date]],AO$29&lt;ProposalToGnatt[[#This Row],[Start Date]]+ProposalToGnatt[[#This Row],[Days]]),$G$5,"")),"")</f>
        <v/>
      </c>
      <c r="AP79" s="37" t="str">
        <f ca="1">IFERROR(+IF(AP$29=ProposalToGnatt[[#This Row],[Start Date]],Milestone_Marker,IF(AND(AP$29&gt;ProposalToGnatt[[#This Row],[Start Date]],AP$29&lt;ProposalToGnatt[[#This Row],[Start Date]]+ProposalToGnatt[[#This Row],[Days]]),$G$5,"")),"")</f>
        <v/>
      </c>
      <c r="AQ79" s="37" t="str">
        <f ca="1">IFERROR(+IF(AQ$29=ProposalToGnatt[[#This Row],[Start Date]],Milestone_Marker,IF(AND(AQ$29&gt;ProposalToGnatt[[#This Row],[Start Date]],AQ$29&lt;ProposalToGnatt[[#This Row],[Start Date]]+ProposalToGnatt[[#This Row],[Days]]),$G$5,"")),"")</f>
        <v/>
      </c>
      <c r="AR79" s="37" t="str">
        <f ca="1">IFERROR(+IF(AR$29=ProposalToGnatt[[#This Row],[Start Date]],Milestone_Marker,IF(AND(AR$29&gt;ProposalToGnatt[[#This Row],[Start Date]],AR$29&lt;ProposalToGnatt[[#This Row],[Start Date]]+ProposalToGnatt[[#This Row],[Days]]),$G$5,"")),"")</f>
        <v/>
      </c>
      <c r="AS79" s="37" t="str">
        <f ca="1">IFERROR(+IF(AS$29=ProposalToGnatt[[#This Row],[Start Date]],Milestone_Marker,IF(AND(AS$29&gt;ProposalToGnatt[[#This Row],[Start Date]],AS$29&lt;ProposalToGnatt[[#This Row],[Start Date]]+ProposalToGnatt[[#This Row],[Days]]),$G$5,"")),"")</f>
        <v/>
      </c>
      <c r="AT79" s="37" t="str">
        <f ca="1">IFERROR(+IF(AT$29=ProposalToGnatt[[#This Row],[Start Date]],Milestone_Marker,IF(AND(AT$29&gt;ProposalToGnatt[[#This Row],[Start Date]],AT$29&lt;ProposalToGnatt[[#This Row],[Start Date]]+ProposalToGnatt[[#This Row],[Days]]),$G$5,"")),"")</f>
        <v/>
      </c>
      <c r="AU79" s="37" t="str">
        <f ca="1">IFERROR(+IF(AU$29=ProposalToGnatt[[#This Row],[Start Date]],Milestone_Marker,IF(AND(AU$29&gt;ProposalToGnatt[[#This Row],[Start Date]],AU$29&lt;ProposalToGnatt[[#This Row],[Start Date]]+ProposalToGnatt[[#This Row],[Days]]),$G$5,"")),"")</f>
        <v/>
      </c>
      <c r="AV79" s="37" t="str">
        <f ca="1">IFERROR(+IF(AV$29=ProposalToGnatt[[#This Row],[Start Date]],Milestone_Marker,IF(AND(AV$29&gt;ProposalToGnatt[[#This Row],[Start Date]],AV$29&lt;ProposalToGnatt[[#This Row],[Start Date]]+ProposalToGnatt[[#This Row],[Days]]),$G$5,"")),"")</f>
        <v/>
      </c>
      <c r="AW79" s="37" t="str">
        <f ca="1">IFERROR(+IF(AW$29=ProposalToGnatt[[#This Row],[Start Date]],Milestone_Marker,IF(AND(AW$29&gt;ProposalToGnatt[[#This Row],[Start Date]],AW$29&lt;ProposalToGnatt[[#This Row],[Start Date]]+ProposalToGnatt[[#This Row],[Days]]),$G$5,"")),"")</f>
        <v/>
      </c>
      <c r="AX79" s="37" t="str">
        <f ca="1">IFERROR(+IF(AX$29=ProposalToGnatt[[#This Row],[Start Date]],Milestone_Marker,IF(AND(AX$29&gt;ProposalToGnatt[[#This Row],[Start Date]],AX$29&lt;ProposalToGnatt[[#This Row],[Start Date]]+ProposalToGnatt[[#This Row],[Days]]),$G$5,"")),"")</f>
        <v/>
      </c>
      <c r="AY79" s="37" t="str">
        <f ca="1">IFERROR(+IF(AY$29=ProposalToGnatt[[#This Row],[Start Date]],Milestone_Marker,IF(AND(AY$29&gt;ProposalToGnatt[[#This Row],[Start Date]],AY$29&lt;ProposalToGnatt[[#This Row],[Start Date]]+ProposalToGnatt[[#This Row],[Days]]),$G$5,"")),"")</f>
        <v/>
      </c>
      <c r="AZ79" s="37" t="str">
        <f ca="1">IFERROR(+IF(AZ$29=ProposalToGnatt[[#This Row],[Start Date]],Milestone_Marker,IF(AND(AZ$29&gt;ProposalToGnatt[[#This Row],[Start Date]],AZ$29&lt;ProposalToGnatt[[#This Row],[Start Date]]+ProposalToGnatt[[#This Row],[Days]]),$G$5,"")),"")</f>
        <v/>
      </c>
      <c r="BA79" s="37" t="str">
        <f ca="1">IFERROR(+IF(BA$29=ProposalToGnatt[[#This Row],[Start Date]],Milestone_Marker,IF(AND(BA$29&gt;ProposalToGnatt[[#This Row],[Start Date]],BA$29&lt;ProposalToGnatt[[#This Row],[Start Date]]+ProposalToGnatt[[#This Row],[Days]]),$G$5,"")),"")</f>
        <v/>
      </c>
      <c r="BB79" s="37" t="str">
        <f ca="1">IFERROR(+IF(BB$29=ProposalToGnatt[[#This Row],[Start Date]],Milestone_Marker,IF(AND(BB$29&gt;ProposalToGnatt[[#This Row],[Start Date]],BB$29&lt;ProposalToGnatt[[#This Row],[Start Date]]+ProposalToGnatt[[#This Row],[Days]]),$G$5,"")),"")</f>
        <v/>
      </c>
      <c r="BC79" s="37" t="str">
        <f ca="1">IFERROR(+IF(BC$29=ProposalToGnatt[[#This Row],[Start Date]],Milestone_Marker,IF(AND(BC$29&gt;ProposalToGnatt[[#This Row],[Start Date]],BC$29&lt;ProposalToGnatt[[#This Row],[Start Date]]+ProposalToGnatt[[#This Row],[Days]]),$G$5,"")),"")</f>
        <v/>
      </c>
      <c r="BD79" s="37" t="str">
        <f ca="1">IFERROR(+IF(BD$29=ProposalToGnatt[[#This Row],[Start Date]],Milestone_Marker,IF(AND(BD$29&gt;ProposalToGnatt[[#This Row],[Start Date]],BD$29&lt;ProposalToGnatt[[#This Row],[Start Date]]+ProposalToGnatt[[#This Row],[Days]]),$G$5,"")),"")</f>
        <v/>
      </c>
      <c r="BE79" s="37" t="str">
        <f ca="1">IFERROR(+IF(BE$29=ProposalToGnatt[[#This Row],[Start Date]],Milestone_Marker,IF(AND(BE$29&gt;ProposalToGnatt[[#This Row],[Start Date]],BE$29&lt;ProposalToGnatt[[#This Row],[Start Date]]+ProposalToGnatt[[#This Row],[Days]]),$G$5,"")),"")</f>
        <v/>
      </c>
      <c r="BF79" s="37" t="str">
        <f ca="1">IFERROR(+IF(BF$29=ProposalToGnatt[[#This Row],[Start Date]],Milestone_Marker,IF(AND(BF$29&gt;ProposalToGnatt[[#This Row],[Start Date]],BF$29&lt;ProposalToGnatt[[#This Row],[Start Date]]+ProposalToGnatt[[#This Row],[Days]]),$G$5,"")),"")</f>
        <v/>
      </c>
      <c r="BG79" s="37" t="str">
        <f ca="1">IFERROR(+IF(BG$29=ProposalToGnatt[[#This Row],[Start Date]],Milestone_Marker,IF(AND(BG$29&gt;ProposalToGnatt[[#This Row],[Start Date]],BG$29&lt;ProposalToGnatt[[#This Row],[Start Date]]+ProposalToGnatt[[#This Row],[Days]]),$G$5,"")),"")</f>
        <v/>
      </c>
      <c r="BH79" s="37" t="str">
        <f ca="1">IFERROR(+IF(BH$29=ProposalToGnatt[[#This Row],[Start Date]],Milestone_Marker,IF(AND(BH$29&gt;ProposalToGnatt[[#This Row],[Start Date]],BH$29&lt;ProposalToGnatt[[#This Row],[Start Date]]+ProposalToGnatt[[#This Row],[Days]]),$G$5,"")),"")</f>
        <v/>
      </c>
      <c r="BI79" s="37" t="str">
        <f ca="1">IFERROR(+IF(BI$29=ProposalToGnatt[[#This Row],[Start Date]],Milestone_Marker,IF(AND(BI$29&gt;ProposalToGnatt[[#This Row],[Start Date]],BI$29&lt;ProposalToGnatt[[#This Row],[Start Date]]+ProposalToGnatt[[#This Row],[Days]]),$G$5,"")),"")</f>
        <v/>
      </c>
      <c r="BJ79" s="37" t="str">
        <f ca="1">IFERROR(+IF(BJ$29=ProposalToGnatt[[#This Row],[Start Date]],Milestone_Marker,IF(AND(BJ$29&gt;ProposalToGnatt[[#This Row],[Start Date]],BJ$29&lt;ProposalToGnatt[[#This Row],[Start Date]]+ProposalToGnatt[[#This Row],[Days]]),$G$5,"")),"")</f>
        <v/>
      </c>
      <c r="BK79" s="37" t="str">
        <f ca="1">IFERROR(+IF(BK$29=ProposalToGnatt[[#This Row],[Start Date]],Milestone_Marker,IF(AND(BK$29&gt;ProposalToGnatt[[#This Row],[Start Date]],BK$29&lt;ProposalToGnatt[[#This Row],[Start Date]]+ProposalToGnatt[[#This Row],[Days]]),$G$5,"")),"")</f>
        <v/>
      </c>
      <c r="BL79" s="37" t="str">
        <f ca="1">IFERROR(+IF(BL$29=ProposalToGnatt[[#This Row],[Start Date]],Milestone_Marker,IF(AND(BL$29&gt;ProposalToGnatt[[#This Row],[Start Date]],BL$29&lt;ProposalToGnatt[[#This Row],[Start Date]]+ProposalToGnatt[[#This Row],[Days]]),$G$5,"")),"")</f>
        <v/>
      </c>
      <c r="BM79" s="37" t="str">
        <f ca="1">IFERROR(+IF(BM$29=ProposalToGnatt[[#This Row],[Start Date]],Milestone_Marker,IF(AND(BM$29&gt;ProposalToGnatt[[#This Row],[Start Date]],BM$29&lt;ProposalToGnatt[[#This Row],[Start Date]]+ProposalToGnatt[[#This Row],[Days]]),$G$5,"")),"")</f>
        <v/>
      </c>
      <c r="BN79" s="37" t="str">
        <f ca="1">IFERROR(+IF(BN$29=ProposalToGnatt[[#This Row],[Start Date]],Milestone_Marker,IF(AND(BN$29&gt;ProposalToGnatt[[#This Row],[Start Date]],BN$29&lt;ProposalToGnatt[[#This Row],[Start Date]]+ProposalToGnatt[[#This Row],[Days]]),$G$5,"")),"")</f>
        <v/>
      </c>
      <c r="BO79" s="37" t="str">
        <f ca="1">IFERROR(+IF(BO$29=ProposalToGnatt[[#This Row],[Start Date]],Milestone_Marker,IF(AND(BO$29&gt;ProposalToGnatt[[#This Row],[Start Date]],BO$29&lt;ProposalToGnatt[[#This Row],[Start Date]]+ProposalToGnatt[[#This Row],[Days]]),$G$5,"")),"")</f>
        <v/>
      </c>
      <c r="BP79" s="37" t="str">
        <f ca="1">IFERROR(+IF(BP$29=ProposalToGnatt[[#This Row],[Start Date]],Milestone_Marker,IF(AND(BP$29&gt;ProposalToGnatt[[#This Row],[Start Date]],BP$29&lt;ProposalToGnatt[[#This Row],[Start Date]]+ProposalToGnatt[[#This Row],[Days]]),$G$5,"")),"")</f>
        <v/>
      </c>
      <c r="BQ79" s="37" t="str">
        <f ca="1">IFERROR(+IF(BQ$29=ProposalToGnatt[[#This Row],[Start Date]],Milestone_Marker,IF(AND(BQ$29&gt;ProposalToGnatt[[#This Row],[Start Date]],BQ$29&lt;ProposalToGnatt[[#This Row],[Start Date]]+ProposalToGnatt[[#This Row],[Days]]),$G$5,"")),"")</f>
        <v/>
      </c>
      <c r="BR79" s="37" t="str">
        <f ca="1">IFERROR(+IF(BR$29=ProposalToGnatt[[#This Row],[Start Date]],Milestone_Marker,IF(AND(BR$29&gt;ProposalToGnatt[[#This Row],[Start Date]],BR$29&lt;ProposalToGnatt[[#This Row],[Start Date]]+ProposalToGnatt[[#This Row],[Days]]),$G$5,"")),"")</f>
        <v/>
      </c>
      <c r="BS79" s="37" t="str">
        <f ca="1">IFERROR(+IF(BS$29=ProposalToGnatt[[#This Row],[Start Date]],Milestone_Marker,IF(AND(BS$29&gt;ProposalToGnatt[[#This Row],[Start Date]],BS$29&lt;ProposalToGnatt[[#This Row],[Start Date]]+ProposalToGnatt[[#This Row],[Days]]),$G$5,"")),"")</f>
        <v/>
      </c>
      <c r="BT79" s="37" t="str">
        <f ca="1">IFERROR(+IF(BT$29=ProposalToGnatt[[#This Row],[Start Date]],Milestone_Marker,IF(AND(BT$29&gt;ProposalToGnatt[[#This Row],[Start Date]],BT$29&lt;ProposalToGnatt[[#This Row],[Start Date]]+ProposalToGnatt[[#This Row],[Days]]),$G$5,"")),"")</f>
        <v/>
      </c>
      <c r="BU79" s="37" t="str">
        <f ca="1">IFERROR(+IF(BU$29=ProposalToGnatt[[#This Row],[Start Date]],Milestone_Marker,IF(AND(BU$29&gt;ProposalToGnatt[[#This Row],[Start Date]],BU$29&lt;ProposalToGnatt[[#This Row],[Start Date]]+ProposalToGnatt[[#This Row],[Days]]),$G$5,"")),"")</f>
        <v/>
      </c>
      <c r="BV79" s="37" t="str">
        <f ca="1">IFERROR(+IF(BV$29=ProposalToGnatt[[#This Row],[Start Date]],Milestone_Marker,IF(AND(BV$29&gt;ProposalToGnatt[[#This Row],[Start Date]],BV$29&lt;ProposalToGnatt[[#This Row],[Start Date]]+ProposalToGnatt[[#This Row],[Days]]),$G$5,"")),"")</f>
        <v/>
      </c>
      <c r="BW79" s="37" t="str">
        <f ca="1">IFERROR(+IF(BW$29=ProposalToGnatt[[#This Row],[Start Date]],Milestone_Marker,IF(AND(BW$29&gt;ProposalToGnatt[[#This Row],[Start Date]],BW$29&lt;ProposalToGnatt[[#This Row],[Start Date]]+ProposalToGnatt[[#This Row],[Days]]),$G$5,"")),"")</f>
        <v/>
      </c>
      <c r="BX79" s="37" t="str">
        <f ca="1">IFERROR(+IF(BX$29=ProposalToGnatt[[#This Row],[Start Date]],Milestone_Marker,IF(AND(BX$29&gt;ProposalToGnatt[[#This Row],[Start Date]],BX$29&lt;ProposalToGnatt[[#This Row],[Start Date]]+ProposalToGnatt[[#This Row],[Days]]),$G$5,"")),"")</f>
        <v/>
      </c>
      <c r="BY79" s="37" t="str">
        <f ca="1">IFERROR(+IF(BY$29=ProposalToGnatt[[#This Row],[Start Date]],Milestone_Marker,IF(AND(BY$29&gt;ProposalToGnatt[[#This Row],[Start Date]],BY$29&lt;ProposalToGnatt[[#This Row],[Start Date]]+ProposalToGnatt[[#This Row],[Days]]),$G$5,"")),"")</f>
        <v/>
      </c>
      <c r="BZ79" s="37" t="str">
        <f ca="1">IFERROR(+IF(BZ$29=ProposalToGnatt[[#This Row],[Start Date]],Milestone_Marker,IF(AND(BZ$29&gt;ProposalToGnatt[[#This Row],[Start Date]],BZ$29&lt;ProposalToGnatt[[#This Row],[Start Date]]+ProposalToGnatt[[#This Row],[Days]]),$G$5,"")),"")</f>
        <v/>
      </c>
      <c r="CA79" s="37" t="str">
        <f ca="1">IFERROR(+IF(CA$29=ProposalToGnatt[[#This Row],[Start Date]],Milestone_Marker,IF(AND(CA$29&gt;ProposalToGnatt[[#This Row],[Start Date]],CA$29&lt;ProposalToGnatt[[#This Row],[Start Date]]+ProposalToGnatt[[#This Row],[Days]]),$G$5,"")),"")</f>
        <v/>
      </c>
      <c r="CB79" s="37" t="str">
        <f ca="1">IFERROR(+IF(CB$29=ProposalToGnatt[[#This Row],[Start Date]],Milestone_Marker,IF(AND(CB$29&gt;ProposalToGnatt[[#This Row],[Start Date]],CB$29&lt;ProposalToGnatt[[#This Row],[Start Date]]+ProposalToGnatt[[#This Row],[Days]]),$G$5,"")),"")</f>
        <v/>
      </c>
      <c r="CC79" s="37" t="str">
        <f ca="1">IFERROR(+IF(CC$29=ProposalToGnatt[[#This Row],[Start Date]],Milestone_Marker,IF(AND(CC$29&gt;ProposalToGnatt[[#This Row],[Start Date]],CC$29&lt;ProposalToGnatt[[#This Row],[Start Date]]+ProposalToGnatt[[#This Row],[Days]]),$G$5,"")),"")</f>
        <v/>
      </c>
      <c r="CD79" s="37" t="str">
        <f ca="1">IFERROR(+IF(CD$29=ProposalToGnatt[[#This Row],[Start Date]],Milestone_Marker,IF(AND(CD$29&gt;ProposalToGnatt[[#This Row],[Start Date]],CD$29&lt;ProposalToGnatt[[#This Row],[Start Date]]+ProposalToGnatt[[#This Row],[Days]]),$G$5,"")),"")</f>
        <v/>
      </c>
      <c r="CE79" s="37" t="str">
        <f ca="1">IFERROR(+IF(CE$29=ProposalToGnatt[[#This Row],[Start Date]],Milestone_Marker,IF(AND(CE$29&gt;ProposalToGnatt[[#This Row],[Start Date]],CE$29&lt;ProposalToGnatt[[#This Row],[Start Date]]+ProposalToGnatt[[#This Row],[Days]]),$G$5,"")),"")</f>
        <v/>
      </c>
      <c r="CF79" s="37" t="str">
        <f ca="1">IFERROR(+IF(CF$29=ProposalToGnatt[[#This Row],[Start Date]],Milestone_Marker,IF(AND(CF$29&gt;ProposalToGnatt[[#This Row],[Start Date]],CF$29&lt;ProposalToGnatt[[#This Row],[Start Date]]+ProposalToGnatt[[#This Row],[Days]]),$G$5,"")),"")</f>
        <v/>
      </c>
      <c r="CG79" s="37" t="str">
        <f ca="1">IFERROR(+IF(CG$29=ProposalToGnatt[[#This Row],[Start Date]],Milestone_Marker,IF(AND(CG$29&gt;ProposalToGnatt[[#This Row],[Start Date]],CG$29&lt;ProposalToGnatt[[#This Row],[Start Date]]+ProposalToGnatt[[#This Row],[Days]]),$G$5,"")),"")</f>
        <v/>
      </c>
      <c r="CH79" s="37" t="str">
        <f ca="1">IFERROR(+IF(CH$29=ProposalToGnatt[[#This Row],[Start Date]],Milestone_Marker,IF(AND(CH$29&gt;ProposalToGnatt[[#This Row],[Start Date]],CH$29&lt;ProposalToGnatt[[#This Row],[Start Date]]+ProposalToGnatt[[#This Row],[Days]]),$G$5,"")),"")</f>
        <v/>
      </c>
      <c r="CI79" s="37" t="str">
        <f ca="1">IFERROR(+IF(CI$29=ProposalToGnatt[[#This Row],[Start Date]],Milestone_Marker,IF(AND(CI$29&gt;ProposalToGnatt[[#This Row],[Start Date]],CI$29&lt;ProposalToGnatt[[#This Row],[Start Date]]+ProposalToGnatt[[#This Row],[Days]]),$G$5,"")),"")</f>
        <v/>
      </c>
      <c r="CJ79" s="37" t="str">
        <f ca="1">IFERROR(+IF(CJ$29=ProposalToGnatt[[#This Row],[Start Date]],Milestone_Marker,IF(AND(CJ$29&gt;ProposalToGnatt[[#This Row],[Start Date]],CJ$29&lt;ProposalToGnatt[[#This Row],[Start Date]]+ProposalToGnatt[[#This Row],[Days]]),$G$5,"")),"")</f>
        <v/>
      </c>
      <c r="CK79" s="37" t="str">
        <f ca="1">IFERROR(+IF(CK$29=ProposalToGnatt[[#This Row],[Start Date]],Milestone_Marker,IF(AND(CK$29&gt;ProposalToGnatt[[#This Row],[Start Date]],CK$29&lt;ProposalToGnatt[[#This Row],[Start Date]]+ProposalToGnatt[[#This Row],[Days]]),$G$5,"")),"")</f>
        <v/>
      </c>
      <c r="CL79" s="37" t="str">
        <f ca="1">IFERROR(+IF(CL$29=ProposalToGnatt[[#This Row],[Start Date]],Milestone_Marker,IF(AND(CL$29&gt;ProposalToGnatt[[#This Row],[Start Date]],CL$29&lt;ProposalToGnatt[[#This Row],[Start Date]]+ProposalToGnatt[[#This Row],[Days]]),$G$5,"")),"")</f>
        <v/>
      </c>
      <c r="CM79" s="37" t="str">
        <f ca="1">IFERROR(+IF(CM$29=ProposalToGnatt[[#This Row],[Start Date]],Milestone_Marker,IF(AND(CM$29&gt;ProposalToGnatt[[#This Row],[Start Date]],CM$29&lt;ProposalToGnatt[[#This Row],[Start Date]]+ProposalToGnatt[[#This Row],[Days]]),$G$5,"")),"")</f>
        <v/>
      </c>
      <c r="CN79" s="37" t="str">
        <f ca="1">IFERROR(+IF(CN$29=ProposalToGnatt[[#This Row],[Start Date]],Milestone_Marker,IF(AND(CN$29&gt;ProposalToGnatt[[#This Row],[Start Date]],CN$29&lt;ProposalToGnatt[[#This Row],[Start Date]]+ProposalToGnatt[[#This Row],[Days]]),$G$5,"")),"")</f>
        <v/>
      </c>
      <c r="CO79" s="37" t="str">
        <f ca="1">IFERROR(+IF(CO$29=ProposalToGnatt[[#This Row],[Start Date]],Milestone_Marker,IF(AND(CO$29&gt;ProposalToGnatt[[#This Row],[Start Date]],CO$29&lt;ProposalToGnatt[[#This Row],[Start Date]]+ProposalToGnatt[[#This Row],[Days]]),$G$5,"")),"")</f>
        <v/>
      </c>
      <c r="CP79" s="37" t="str">
        <f ca="1">IFERROR(+IF(CP$29=ProposalToGnatt[[#This Row],[Start Date]],Milestone_Marker,IF(AND(CP$29&gt;ProposalToGnatt[[#This Row],[Start Date]],CP$29&lt;ProposalToGnatt[[#This Row],[Start Date]]+ProposalToGnatt[[#This Row],[Days]]),$G$5,"")),"")</f>
        <v/>
      </c>
      <c r="CQ79" s="37" t="str">
        <f ca="1">IFERROR(+IF(CQ$29=ProposalToGnatt[[#This Row],[Start Date]],Milestone_Marker,IF(AND(CQ$29&gt;ProposalToGnatt[[#This Row],[Start Date]],CQ$29&lt;ProposalToGnatt[[#This Row],[Start Date]]+ProposalToGnatt[[#This Row],[Days]]),$G$5,"")),"")</f>
        <v/>
      </c>
      <c r="CR79" s="37" t="str">
        <f ca="1">IFERROR(+IF(CR$29=ProposalToGnatt[[#This Row],[Start Date]],Milestone_Marker,IF(AND(CR$29&gt;ProposalToGnatt[[#This Row],[Start Date]],CR$29&lt;ProposalToGnatt[[#This Row],[Start Date]]+ProposalToGnatt[[#This Row],[Days]]),$G$5,"")),"")</f>
        <v/>
      </c>
      <c r="CS79" s="37" t="str">
        <f ca="1">IFERROR(+IF(CS$29=ProposalToGnatt[[#This Row],[Start Date]],Milestone_Marker,IF(AND(CS$29&gt;ProposalToGnatt[[#This Row],[Start Date]],CS$29&lt;ProposalToGnatt[[#This Row],[Start Date]]+ProposalToGnatt[[#This Row],[Days]]),$G$5,"")),"")</f>
        <v/>
      </c>
      <c r="CT79" s="37" t="str">
        <f ca="1">IFERROR(+IF(CT$29=ProposalToGnatt[[#This Row],[Start Date]],Milestone_Marker,IF(AND(CT$29&gt;ProposalToGnatt[[#This Row],[Start Date]],CT$29&lt;ProposalToGnatt[[#This Row],[Start Date]]+ProposalToGnatt[[#This Row],[Days]]),$G$5,"")),"")</f>
        <v/>
      </c>
      <c r="CU79" s="37" t="str">
        <f ca="1">IFERROR(+IF(CU$29=ProposalToGnatt[[#This Row],[Start Date]],Milestone_Marker,IF(AND(CU$29&gt;ProposalToGnatt[[#This Row],[Start Date]],CU$29&lt;ProposalToGnatt[[#This Row],[Start Date]]+ProposalToGnatt[[#This Row],[Days]]),$G$5,"")),"")</f>
        <v/>
      </c>
      <c r="CV79" s="37"/>
      <c r="CW79" s="37"/>
      <c r="CX79" s="37"/>
      <c r="CY79" s="37"/>
      <c r="CZ79" s="37"/>
      <c r="DA79" s="37"/>
      <c r="DB79" s="37"/>
      <c r="DC79" s="37"/>
      <c r="DD79" s="37"/>
      <c r="DE79" s="37"/>
      <c r="DF79" s="37"/>
      <c r="DG79" s="37"/>
      <c r="DH79" s="37"/>
      <c r="DI79" s="37"/>
      <c r="DJ79" s="37"/>
      <c r="DK79" s="37"/>
      <c r="DL79" s="37"/>
      <c r="DM79" s="37"/>
      <c r="DN79" s="37"/>
      <c r="DO79" s="37"/>
      <c r="DP79" s="37"/>
      <c r="DQ79" s="37"/>
      <c r="DR79" s="37"/>
      <c r="DS79" s="37"/>
      <c r="DT79" s="37"/>
      <c r="DU79" s="37"/>
    </row>
    <row r="80" spans="1:125" ht="15" x14ac:dyDescent="0.25">
      <c r="A80" t="s">
        <v>428</v>
      </c>
      <c r="B80">
        <v>55</v>
      </c>
      <c r="C80" t="s">
        <v>391</v>
      </c>
      <c r="D80" t="s">
        <v>392</v>
      </c>
      <c r="E80" t="s">
        <v>393</v>
      </c>
      <c r="F80">
        <v>1</v>
      </c>
      <c r="G80" s="14"/>
      <c r="H80" s="14"/>
      <c r="I80"/>
      <c r="J80">
        <v>2</v>
      </c>
      <c r="K80" s="303"/>
      <c r="L80"/>
      <c r="M80" s="14"/>
      <c r="N80" s="352"/>
      <c r="O80" s="340"/>
      <c r="P80" s="37" t="str">
        <f ca="1">IFERROR(+IF(P$29=ProposalToGnatt[[#This Row],[Start Date]],Milestone_Marker,IF(AND(P$29&gt;ProposalToGnatt[[#This Row],[Start Date]],P$29&lt;ProposalToGnatt[[#This Row],[Start Date]]+ProposalToGnatt[[#This Row],[Days]]),$G$5,"")),"")</f>
        <v/>
      </c>
      <c r="Q80" s="37" t="str">
        <f ca="1">IFERROR(+IF(Q$29=ProposalToGnatt[[#This Row],[Start Date]],Milestone_Marker,IF(AND(Q$29&gt;ProposalToGnatt[[#This Row],[Start Date]],Q$29&lt;ProposalToGnatt[[#This Row],[Start Date]]+ProposalToGnatt[[#This Row],[Days]]),$G$5,"")),"")</f>
        <v/>
      </c>
      <c r="R80" s="37" t="str">
        <f ca="1">IFERROR(+IF(R$29=ProposalToGnatt[[#This Row],[Start Date]],Milestone_Marker,IF(AND(R$29&gt;ProposalToGnatt[[#This Row],[Start Date]],R$29&lt;ProposalToGnatt[[#This Row],[Start Date]]+ProposalToGnatt[[#This Row],[Days]]),$G$5,"")),"")</f>
        <v/>
      </c>
      <c r="S80" s="37" t="str">
        <f ca="1">IFERROR(+IF(S$29=ProposalToGnatt[[#This Row],[Start Date]],Milestone_Marker,IF(AND(S$29&gt;ProposalToGnatt[[#This Row],[Start Date]],S$29&lt;ProposalToGnatt[[#This Row],[Start Date]]+ProposalToGnatt[[#This Row],[Days]]),$G$5,"")),"")</f>
        <v/>
      </c>
      <c r="T80" s="37" t="str">
        <f ca="1">IFERROR(+IF(T$29=ProposalToGnatt[[#This Row],[Start Date]],Milestone_Marker,IF(AND(T$29&gt;ProposalToGnatt[[#This Row],[Start Date]],T$29&lt;ProposalToGnatt[[#This Row],[Start Date]]+ProposalToGnatt[[#This Row],[Days]]),$G$5,"")),"")</f>
        <v/>
      </c>
      <c r="U80" s="37" t="str">
        <f ca="1">IFERROR(+IF(U$29=ProposalToGnatt[[#This Row],[Start Date]],Milestone_Marker,IF(AND(U$29&gt;ProposalToGnatt[[#This Row],[Start Date]],U$29&lt;ProposalToGnatt[[#This Row],[Start Date]]+ProposalToGnatt[[#This Row],[Days]]),$G$5,"")),"")</f>
        <v/>
      </c>
      <c r="V80" s="37" t="str">
        <f ca="1">IFERROR(+IF(V$29=ProposalToGnatt[[#This Row],[Start Date]],Milestone_Marker,IF(AND(V$29&gt;ProposalToGnatt[[#This Row],[Start Date]],V$29&lt;ProposalToGnatt[[#This Row],[Start Date]]+ProposalToGnatt[[#This Row],[Days]]),$G$5,"")),"")</f>
        <v/>
      </c>
      <c r="W80" s="37" t="str">
        <f ca="1">IFERROR(+IF(W$29=ProposalToGnatt[[#This Row],[Start Date]],Milestone_Marker,IF(AND(W$29&gt;ProposalToGnatt[[#This Row],[Start Date]],W$29&lt;ProposalToGnatt[[#This Row],[Start Date]]+ProposalToGnatt[[#This Row],[Days]]),$G$5,"")),"")</f>
        <v/>
      </c>
      <c r="X80" s="37" t="str">
        <f ca="1">IFERROR(+IF(X$29=ProposalToGnatt[[#This Row],[Start Date]],Milestone_Marker,IF(AND(X$29&gt;ProposalToGnatt[[#This Row],[Start Date]],X$29&lt;ProposalToGnatt[[#This Row],[Start Date]]+ProposalToGnatt[[#This Row],[Days]]),$G$5,"")),"")</f>
        <v/>
      </c>
      <c r="Y80" s="37" t="str">
        <f ca="1">IFERROR(+IF(Y$29=ProposalToGnatt[[#This Row],[Start Date]],Milestone_Marker,IF(AND(Y$29&gt;ProposalToGnatt[[#This Row],[Start Date]],Y$29&lt;ProposalToGnatt[[#This Row],[Start Date]]+ProposalToGnatt[[#This Row],[Days]]),$G$5,"")),"")</f>
        <v/>
      </c>
      <c r="Z80" s="37" t="str">
        <f ca="1">IFERROR(+IF(Z$29=ProposalToGnatt[[#This Row],[Start Date]],Milestone_Marker,IF(AND(Z$29&gt;ProposalToGnatt[[#This Row],[Start Date]],Z$29&lt;ProposalToGnatt[[#This Row],[Start Date]]+ProposalToGnatt[[#This Row],[Days]]),$G$5,"")),"")</f>
        <v/>
      </c>
      <c r="AA80" s="37" t="str">
        <f ca="1">IFERROR(+IF(AA$29=ProposalToGnatt[[#This Row],[Start Date]],Milestone_Marker,IF(AND(AA$29&gt;ProposalToGnatt[[#This Row],[Start Date]],AA$29&lt;ProposalToGnatt[[#This Row],[Start Date]]+ProposalToGnatt[[#This Row],[Days]]),$G$5,"")),"")</f>
        <v/>
      </c>
      <c r="AB80" s="37" t="str">
        <f ca="1">IFERROR(+IF(AB$29=ProposalToGnatt[[#This Row],[Start Date]],Milestone_Marker,IF(AND(AB$29&gt;ProposalToGnatt[[#This Row],[Start Date]],AB$29&lt;ProposalToGnatt[[#This Row],[Start Date]]+ProposalToGnatt[[#This Row],[Days]]),$G$5,"")),"")</f>
        <v/>
      </c>
      <c r="AC80" s="37" t="str">
        <f ca="1">IFERROR(+IF(AC$29=ProposalToGnatt[[#This Row],[Start Date]],Milestone_Marker,IF(AND(AC$29&gt;ProposalToGnatt[[#This Row],[Start Date]],AC$29&lt;ProposalToGnatt[[#This Row],[Start Date]]+ProposalToGnatt[[#This Row],[Days]]),$G$5,"")),"")</f>
        <v/>
      </c>
      <c r="AD80" s="37" t="str">
        <f ca="1">IFERROR(+IF(AD$29=ProposalToGnatt[[#This Row],[Start Date]],Milestone_Marker,IF(AND(AD$29&gt;ProposalToGnatt[[#This Row],[Start Date]],AD$29&lt;ProposalToGnatt[[#This Row],[Start Date]]+ProposalToGnatt[[#This Row],[Days]]),$G$5,"")),"")</f>
        <v/>
      </c>
      <c r="AE80" s="37" t="str">
        <f ca="1">IFERROR(+IF(AE$29=ProposalToGnatt[[#This Row],[Start Date]],Milestone_Marker,IF(AND(AE$29&gt;ProposalToGnatt[[#This Row],[Start Date]],AE$29&lt;ProposalToGnatt[[#This Row],[Start Date]]+ProposalToGnatt[[#This Row],[Days]]),$G$5,"")),"")</f>
        <v/>
      </c>
      <c r="AF80" s="37" t="str">
        <f ca="1">IFERROR(+IF(AF$29=ProposalToGnatt[[#This Row],[Start Date]],Milestone_Marker,IF(AND(AF$29&gt;ProposalToGnatt[[#This Row],[Start Date]],AF$29&lt;ProposalToGnatt[[#This Row],[Start Date]]+ProposalToGnatt[[#This Row],[Days]]),$G$5,"")),"")</f>
        <v/>
      </c>
      <c r="AG80" s="37" t="str">
        <f ca="1">IFERROR(+IF(AG$29=ProposalToGnatt[[#This Row],[Start Date]],Milestone_Marker,IF(AND(AG$29&gt;ProposalToGnatt[[#This Row],[Start Date]],AG$29&lt;ProposalToGnatt[[#This Row],[Start Date]]+ProposalToGnatt[[#This Row],[Days]]),$G$5,"")),"")</f>
        <v/>
      </c>
      <c r="AH80" s="37" t="str">
        <f ca="1">IFERROR(+IF(AH$29=ProposalToGnatt[[#This Row],[Start Date]],Milestone_Marker,IF(AND(AH$29&gt;ProposalToGnatt[[#This Row],[Start Date]],AH$29&lt;ProposalToGnatt[[#This Row],[Start Date]]+ProposalToGnatt[[#This Row],[Days]]),$G$5,"")),"")</f>
        <v/>
      </c>
      <c r="AI80" s="37" t="str">
        <f ca="1">IFERROR(+IF(AI$29=ProposalToGnatt[[#This Row],[Start Date]],Milestone_Marker,IF(AND(AI$29&gt;ProposalToGnatt[[#This Row],[Start Date]],AI$29&lt;ProposalToGnatt[[#This Row],[Start Date]]+ProposalToGnatt[[#This Row],[Days]]),$G$5,"")),"")</f>
        <v/>
      </c>
      <c r="AJ80" s="37" t="str">
        <f ca="1">IFERROR(+IF(AJ$29=ProposalToGnatt[[#This Row],[Start Date]],Milestone_Marker,IF(AND(AJ$29&gt;ProposalToGnatt[[#This Row],[Start Date]],AJ$29&lt;ProposalToGnatt[[#This Row],[Start Date]]+ProposalToGnatt[[#This Row],[Days]]),$G$5,"")),"")</f>
        <v/>
      </c>
      <c r="AK80" s="37" t="str">
        <f ca="1">IFERROR(+IF(AK$29=ProposalToGnatt[[#This Row],[Start Date]],Milestone_Marker,IF(AND(AK$29&gt;ProposalToGnatt[[#This Row],[Start Date]],AK$29&lt;ProposalToGnatt[[#This Row],[Start Date]]+ProposalToGnatt[[#This Row],[Days]]),$G$5,"")),"")</f>
        <v/>
      </c>
      <c r="AL80" s="37" t="str">
        <f ca="1">IFERROR(+IF(AL$29=ProposalToGnatt[[#This Row],[Start Date]],Milestone_Marker,IF(AND(AL$29&gt;ProposalToGnatt[[#This Row],[Start Date]],AL$29&lt;ProposalToGnatt[[#This Row],[Start Date]]+ProposalToGnatt[[#This Row],[Days]]),$G$5,"")),"")</f>
        <v/>
      </c>
      <c r="AM80" s="37" t="str">
        <f ca="1">IFERROR(+IF(AM$29=ProposalToGnatt[[#This Row],[Start Date]],Milestone_Marker,IF(AND(AM$29&gt;ProposalToGnatt[[#This Row],[Start Date]],AM$29&lt;ProposalToGnatt[[#This Row],[Start Date]]+ProposalToGnatt[[#This Row],[Days]]),$G$5,"")),"")</f>
        <v/>
      </c>
      <c r="AN80" s="37" t="str">
        <f ca="1">IFERROR(+IF(AN$29=ProposalToGnatt[[#This Row],[Start Date]],Milestone_Marker,IF(AND(AN$29&gt;ProposalToGnatt[[#This Row],[Start Date]],AN$29&lt;ProposalToGnatt[[#This Row],[Start Date]]+ProposalToGnatt[[#This Row],[Days]]),$G$5,"")),"")</f>
        <v/>
      </c>
      <c r="AO80" s="37" t="str">
        <f ca="1">IFERROR(+IF(AO$29=ProposalToGnatt[[#This Row],[Start Date]],Milestone_Marker,IF(AND(AO$29&gt;ProposalToGnatt[[#This Row],[Start Date]],AO$29&lt;ProposalToGnatt[[#This Row],[Start Date]]+ProposalToGnatt[[#This Row],[Days]]),$G$5,"")),"")</f>
        <v/>
      </c>
      <c r="AP80" s="37" t="str">
        <f ca="1">IFERROR(+IF(AP$29=ProposalToGnatt[[#This Row],[Start Date]],Milestone_Marker,IF(AND(AP$29&gt;ProposalToGnatt[[#This Row],[Start Date]],AP$29&lt;ProposalToGnatt[[#This Row],[Start Date]]+ProposalToGnatt[[#This Row],[Days]]),$G$5,"")),"")</f>
        <v/>
      </c>
      <c r="AQ80" s="37" t="str">
        <f ca="1">IFERROR(+IF(AQ$29=ProposalToGnatt[[#This Row],[Start Date]],Milestone_Marker,IF(AND(AQ$29&gt;ProposalToGnatt[[#This Row],[Start Date]],AQ$29&lt;ProposalToGnatt[[#This Row],[Start Date]]+ProposalToGnatt[[#This Row],[Days]]),$G$5,"")),"")</f>
        <v/>
      </c>
      <c r="AR80" s="37" t="str">
        <f ca="1">IFERROR(+IF(AR$29=ProposalToGnatt[[#This Row],[Start Date]],Milestone_Marker,IF(AND(AR$29&gt;ProposalToGnatt[[#This Row],[Start Date]],AR$29&lt;ProposalToGnatt[[#This Row],[Start Date]]+ProposalToGnatt[[#This Row],[Days]]),$G$5,"")),"")</f>
        <v/>
      </c>
      <c r="AS80" s="37" t="str">
        <f ca="1">IFERROR(+IF(AS$29=ProposalToGnatt[[#This Row],[Start Date]],Milestone_Marker,IF(AND(AS$29&gt;ProposalToGnatt[[#This Row],[Start Date]],AS$29&lt;ProposalToGnatt[[#This Row],[Start Date]]+ProposalToGnatt[[#This Row],[Days]]),$G$5,"")),"")</f>
        <v/>
      </c>
      <c r="AT80" s="37" t="str">
        <f ca="1">IFERROR(+IF(AT$29=ProposalToGnatt[[#This Row],[Start Date]],Milestone_Marker,IF(AND(AT$29&gt;ProposalToGnatt[[#This Row],[Start Date]],AT$29&lt;ProposalToGnatt[[#This Row],[Start Date]]+ProposalToGnatt[[#This Row],[Days]]),$G$5,"")),"")</f>
        <v/>
      </c>
      <c r="AU80" s="37" t="str">
        <f ca="1">IFERROR(+IF(AU$29=ProposalToGnatt[[#This Row],[Start Date]],Milestone_Marker,IF(AND(AU$29&gt;ProposalToGnatt[[#This Row],[Start Date]],AU$29&lt;ProposalToGnatt[[#This Row],[Start Date]]+ProposalToGnatt[[#This Row],[Days]]),$G$5,"")),"")</f>
        <v/>
      </c>
      <c r="AV80" s="37" t="str">
        <f ca="1">IFERROR(+IF(AV$29=ProposalToGnatt[[#This Row],[Start Date]],Milestone_Marker,IF(AND(AV$29&gt;ProposalToGnatt[[#This Row],[Start Date]],AV$29&lt;ProposalToGnatt[[#This Row],[Start Date]]+ProposalToGnatt[[#This Row],[Days]]),$G$5,"")),"")</f>
        <v/>
      </c>
      <c r="AW80" s="37" t="str">
        <f ca="1">IFERROR(+IF(AW$29=ProposalToGnatt[[#This Row],[Start Date]],Milestone_Marker,IF(AND(AW$29&gt;ProposalToGnatt[[#This Row],[Start Date]],AW$29&lt;ProposalToGnatt[[#This Row],[Start Date]]+ProposalToGnatt[[#This Row],[Days]]),$G$5,"")),"")</f>
        <v/>
      </c>
      <c r="AX80" s="37" t="str">
        <f ca="1">IFERROR(+IF(AX$29=ProposalToGnatt[[#This Row],[Start Date]],Milestone_Marker,IF(AND(AX$29&gt;ProposalToGnatt[[#This Row],[Start Date]],AX$29&lt;ProposalToGnatt[[#This Row],[Start Date]]+ProposalToGnatt[[#This Row],[Days]]),$G$5,"")),"")</f>
        <v/>
      </c>
      <c r="AY80" s="37" t="str">
        <f ca="1">IFERROR(+IF(AY$29=ProposalToGnatt[[#This Row],[Start Date]],Milestone_Marker,IF(AND(AY$29&gt;ProposalToGnatt[[#This Row],[Start Date]],AY$29&lt;ProposalToGnatt[[#This Row],[Start Date]]+ProposalToGnatt[[#This Row],[Days]]),$G$5,"")),"")</f>
        <v/>
      </c>
      <c r="AZ80" s="37" t="str">
        <f ca="1">IFERROR(+IF(AZ$29=ProposalToGnatt[[#This Row],[Start Date]],Milestone_Marker,IF(AND(AZ$29&gt;ProposalToGnatt[[#This Row],[Start Date]],AZ$29&lt;ProposalToGnatt[[#This Row],[Start Date]]+ProposalToGnatt[[#This Row],[Days]]),$G$5,"")),"")</f>
        <v/>
      </c>
      <c r="BA80" s="37" t="str">
        <f ca="1">IFERROR(+IF(BA$29=ProposalToGnatt[[#This Row],[Start Date]],Milestone_Marker,IF(AND(BA$29&gt;ProposalToGnatt[[#This Row],[Start Date]],BA$29&lt;ProposalToGnatt[[#This Row],[Start Date]]+ProposalToGnatt[[#This Row],[Days]]),$G$5,"")),"")</f>
        <v/>
      </c>
      <c r="BB80" s="37" t="str">
        <f ca="1">IFERROR(+IF(BB$29=ProposalToGnatt[[#This Row],[Start Date]],Milestone_Marker,IF(AND(BB$29&gt;ProposalToGnatt[[#This Row],[Start Date]],BB$29&lt;ProposalToGnatt[[#This Row],[Start Date]]+ProposalToGnatt[[#This Row],[Days]]),$G$5,"")),"")</f>
        <v/>
      </c>
      <c r="BC80" s="37" t="str">
        <f ca="1">IFERROR(+IF(BC$29=ProposalToGnatt[[#This Row],[Start Date]],Milestone_Marker,IF(AND(BC$29&gt;ProposalToGnatt[[#This Row],[Start Date]],BC$29&lt;ProposalToGnatt[[#This Row],[Start Date]]+ProposalToGnatt[[#This Row],[Days]]),$G$5,"")),"")</f>
        <v/>
      </c>
      <c r="BD80" s="37" t="str">
        <f ca="1">IFERROR(+IF(BD$29=ProposalToGnatt[[#This Row],[Start Date]],Milestone_Marker,IF(AND(BD$29&gt;ProposalToGnatt[[#This Row],[Start Date]],BD$29&lt;ProposalToGnatt[[#This Row],[Start Date]]+ProposalToGnatt[[#This Row],[Days]]),$G$5,"")),"")</f>
        <v/>
      </c>
      <c r="BE80" s="37" t="str">
        <f ca="1">IFERROR(+IF(BE$29=ProposalToGnatt[[#This Row],[Start Date]],Milestone_Marker,IF(AND(BE$29&gt;ProposalToGnatt[[#This Row],[Start Date]],BE$29&lt;ProposalToGnatt[[#This Row],[Start Date]]+ProposalToGnatt[[#This Row],[Days]]),$G$5,"")),"")</f>
        <v/>
      </c>
      <c r="BF80" s="37" t="str">
        <f ca="1">IFERROR(+IF(BF$29=ProposalToGnatt[[#This Row],[Start Date]],Milestone_Marker,IF(AND(BF$29&gt;ProposalToGnatt[[#This Row],[Start Date]],BF$29&lt;ProposalToGnatt[[#This Row],[Start Date]]+ProposalToGnatt[[#This Row],[Days]]),$G$5,"")),"")</f>
        <v/>
      </c>
      <c r="BG80" s="37" t="str">
        <f ca="1">IFERROR(+IF(BG$29=ProposalToGnatt[[#This Row],[Start Date]],Milestone_Marker,IF(AND(BG$29&gt;ProposalToGnatt[[#This Row],[Start Date]],BG$29&lt;ProposalToGnatt[[#This Row],[Start Date]]+ProposalToGnatt[[#This Row],[Days]]),$G$5,"")),"")</f>
        <v/>
      </c>
      <c r="BH80" s="37" t="str">
        <f ca="1">IFERROR(+IF(BH$29=ProposalToGnatt[[#This Row],[Start Date]],Milestone_Marker,IF(AND(BH$29&gt;ProposalToGnatt[[#This Row],[Start Date]],BH$29&lt;ProposalToGnatt[[#This Row],[Start Date]]+ProposalToGnatt[[#This Row],[Days]]),$G$5,"")),"")</f>
        <v/>
      </c>
      <c r="BI80" s="37" t="str">
        <f ca="1">IFERROR(+IF(BI$29=ProposalToGnatt[[#This Row],[Start Date]],Milestone_Marker,IF(AND(BI$29&gt;ProposalToGnatt[[#This Row],[Start Date]],BI$29&lt;ProposalToGnatt[[#This Row],[Start Date]]+ProposalToGnatt[[#This Row],[Days]]),$G$5,"")),"")</f>
        <v/>
      </c>
      <c r="BJ80" s="37" t="str">
        <f ca="1">IFERROR(+IF(BJ$29=ProposalToGnatt[[#This Row],[Start Date]],Milestone_Marker,IF(AND(BJ$29&gt;ProposalToGnatt[[#This Row],[Start Date]],BJ$29&lt;ProposalToGnatt[[#This Row],[Start Date]]+ProposalToGnatt[[#This Row],[Days]]),$G$5,"")),"")</f>
        <v/>
      </c>
      <c r="BK80" s="37" t="str">
        <f ca="1">IFERROR(+IF(BK$29=ProposalToGnatt[[#This Row],[Start Date]],Milestone_Marker,IF(AND(BK$29&gt;ProposalToGnatt[[#This Row],[Start Date]],BK$29&lt;ProposalToGnatt[[#This Row],[Start Date]]+ProposalToGnatt[[#This Row],[Days]]),$G$5,"")),"")</f>
        <v/>
      </c>
      <c r="BL80" s="37" t="str">
        <f ca="1">IFERROR(+IF(BL$29=ProposalToGnatt[[#This Row],[Start Date]],Milestone_Marker,IF(AND(BL$29&gt;ProposalToGnatt[[#This Row],[Start Date]],BL$29&lt;ProposalToGnatt[[#This Row],[Start Date]]+ProposalToGnatt[[#This Row],[Days]]),$G$5,"")),"")</f>
        <v/>
      </c>
      <c r="BM80" s="37" t="str">
        <f ca="1">IFERROR(+IF(BM$29=ProposalToGnatt[[#This Row],[Start Date]],Milestone_Marker,IF(AND(BM$29&gt;ProposalToGnatt[[#This Row],[Start Date]],BM$29&lt;ProposalToGnatt[[#This Row],[Start Date]]+ProposalToGnatt[[#This Row],[Days]]),$G$5,"")),"")</f>
        <v/>
      </c>
      <c r="BN80" s="37" t="str">
        <f ca="1">IFERROR(+IF(BN$29=ProposalToGnatt[[#This Row],[Start Date]],Milestone_Marker,IF(AND(BN$29&gt;ProposalToGnatt[[#This Row],[Start Date]],BN$29&lt;ProposalToGnatt[[#This Row],[Start Date]]+ProposalToGnatt[[#This Row],[Days]]),$G$5,"")),"")</f>
        <v/>
      </c>
      <c r="BO80" s="37" t="str">
        <f ca="1">IFERROR(+IF(BO$29=ProposalToGnatt[[#This Row],[Start Date]],Milestone_Marker,IF(AND(BO$29&gt;ProposalToGnatt[[#This Row],[Start Date]],BO$29&lt;ProposalToGnatt[[#This Row],[Start Date]]+ProposalToGnatt[[#This Row],[Days]]),$G$5,"")),"")</f>
        <v/>
      </c>
      <c r="BP80" s="37" t="str">
        <f ca="1">IFERROR(+IF(BP$29=ProposalToGnatt[[#This Row],[Start Date]],Milestone_Marker,IF(AND(BP$29&gt;ProposalToGnatt[[#This Row],[Start Date]],BP$29&lt;ProposalToGnatt[[#This Row],[Start Date]]+ProposalToGnatt[[#This Row],[Days]]),$G$5,"")),"")</f>
        <v/>
      </c>
      <c r="BQ80" s="37" t="str">
        <f ca="1">IFERROR(+IF(BQ$29=ProposalToGnatt[[#This Row],[Start Date]],Milestone_Marker,IF(AND(BQ$29&gt;ProposalToGnatt[[#This Row],[Start Date]],BQ$29&lt;ProposalToGnatt[[#This Row],[Start Date]]+ProposalToGnatt[[#This Row],[Days]]),$G$5,"")),"")</f>
        <v/>
      </c>
      <c r="BR80" s="37" t="str">
        <f ca="1">IFERROR(+IF(BR$29=ProposalToGnatt[[#This Row],[Start Date]],Milestone_Marker,IF(AND(BR$29&gt;ProposalToGnatt[[#This Row],[Start Date]],BR$29&lt;ProposalToGnatt[[#This Row],[Start Date]]+ProposalToGnatt[[#This Row],[Days]]),$G$5,"")),"")</f>
        <v/>
      </c>
      <c r="BS80" s="37" t="str">
        <f ca="1">IFERROR(+IF(BS$29=ProposalToGnatt[[#This Row],[Start Date]],Milestone_Marker,IF(AND(BS$29&gt;ProposalToGnatt[[#This Row],[Start Date]],BS$29&lt;ProposalToGnatt[[#This Row],[Start Date]]+ProposalToGnatt[[#This Row],[Days]]),$G$5,"")),"")</f>
        <v/>
      </c>
      <c r="BT80" s="37" t="str">
        <f ca="1">IFERROR(+IF(BT$29=ProposalToGnatt[[#This Row],[Start Date]],Milestone_Marker,IF(AND(BT$29&gt;ProposalToGnatt[[#This Row],[Start Date]],BT$29&lt;ProposalToGnatt[[#This Row],[Start Date]]+ProposalToGnatt[[#This Row],[Days]]),$G$5,"")),"")</f>
        <v/>
      </c>
      <c r="BU80" s="37" t="str">
        <f ca="1">IFERROR(+IF(BU$29=ProposalToGnatt[[#This Row],[Start Date]],Milestone_Marker,IF(AND(BU$29&gt;ProposalToGnatt[[#This Row],[Start Date]],BU$29&lt;ProposalToGnatt[[#This Row],[Start Date]]+ProposalToGnatt[[#This Row],[Days]]),$G$5,"")),"")</f>
        <v/>
      </c>
      <c r="BV80" s="37" t="str">
        <f ca="1">IFERROR(+IF(BV$29=ProposalToGnatt[[#This Row],[Start Date]],Milestone_Marker,IF(AND(BV$29&gt;ProposalToGnatt[[#This Row],[Start Date]],BV$29&lt;ProposalToGnatt[[#This Row],[Start Date]]+ProposalToGnatt[[#This Row],[Days]]),$G$5,"")),"")</f>
        <v/>
      </c>
      <c r="BW80" s="37" t="str">
        <f ca="1">IFERROR(+IF(BW$29=ProposalToGnatt[[#This Row],[Start Date]],Milestone_Marker,IF(AND(BW$29&gt;ProposalToGnatt[[#This Row],[Start Date]],BW$29&lt;ProposalToGnatt[[#This Row],[Start Date]]+ProposalToGnatt[[#This Row],[Days]]),$G$5,"")),"")</f>
        <v/>
      </c>
      <c r="BX80" s="37" t="str">
        <f ca="1">IFERROR(+IF(BX$29=ProposalToGnatt[[#This Row],[Start Date]],Milestone_Marker,IF(AND(BX$29&gt;ProposalToGnatt[[#This Row],[Start Date]],BX$29&lt;ProposalToGnatt[[#This Row],[Start Date]]+ProposalToGnatt[[#This Row],[Days]]),$G$5,"")),"")</f>
        <v/>
      </c>
      <c r="BY80" s="37" t="str">
        <f ca="1">IFERROR(+IF(BY$29=ProposalToGnatt[[#This Row],[Start Date]],Milestone_Marker,IF(AND(BY$29&gt;ProposalToGnatt[[#This Row],[Start Date]],BY$29&lt;ProposalToGnatt[[#This Row],[Start Date]]+ProposalToGnatt[[#This Row],[Days]]),$G$5,"")),"")</f>
        <v/>
      </c>
      <c r="BZ80" s="37" t="str">
        <f ca="1">IFERROR(+IF(BZ$29=ProposalToGnatt[[#This Row],[Start Date]],Milestone_Marker,IF(AND(BZ$29&gt;ProposalToGnatt[[#This Row],[Start Date]],BZ$29&lt;ProposalToGnatt[[#This Row],[Start Date]]+ProposalToGnatt[[#This Row],[Days]]),$G$5,"")),"")</f>
        <v/>
      </c>
      <c r="CA80" s="37" t="str">
        <f ca="1">IFERROR(+IF(CA$29=ProposalToGnatt[[#This Row],[Start Date]],Milestone_Marker,IF(AND(CA$29&gt;ProposalToGnatt[[#This Row],[Start Date]],CA$29&lt;ProposalToGnatt[[#This Row],[Start Date]]+ProposalToGnatt[[#This Row],[Days]]),$G$5,"")),"")</f>
        <v/>
      </c>
      <c r="CB80" s="37" t="str">
        <f ca="1">IFERROR(+IF(CB$29=ProposalToGnatt[[#This Row],[Start Date]],Milestone_Marker,IF(AND(CB$29&gt;ProposalToGnatt[[#This Row],[Start Date]],CB$29&lt;ProposalToGnatt[[#This Row],[Start Date]]+ProposalToGnatt[[#This Row],[Days]]),$G$5,"")),"")</f>
        <v/>
      </c>
      <c r="CC80" s="37" t="str">
        <f ca="1">IFERROR(+IF(CC$29=ProposalToGnatt[[#This Row],[Start Date]],Milestone_Marker,IF(AND(CC$29&gt;ProposalToGnatt[[#This Row],[Start Date]],CC$29&lt;ProposalToGnatt[[#This Row],[Start Date]]+ProposalToGnatt[[#This Row],[Days]]),$G$5,"")),"")</f>
        <v/>
      </c>
      <c r="CD80" s="37" t="str">
        <f ca="1">IFERROR(+IF(CD$29=ProposalToGnatt[[#This Row],[Start Date]],Milestone_Marker,IF(AND(CD$29&gt;ProposalToGnatt[[#This Row],[Start Date]],CD$29&lt;ProposalToGnatt[[#This Row],[Start Date]]+ProposalToGnatt[[#This Row],[Days]]),$G$5,"")),"")</f>
        <v/>
      </c>
      <c r="CE80" s="37" t="str">
        <f ca="1">IFERROR(+IF(CE$29=ProposalToGnatt[[#This Row],[Start Date]],Milestone_Marker,IF(AND(CE$29&gt;ProposalToGnatt[[#This Row],[Start Date]],CE$29&lt;ProposalToGnatt[[#This Row],[Start Date]]+ProposalToGnatt[[#This Row],[Days]]),$G$5,"")),"")</f>
        <v/>
      </c>
      <c r="CF80" s="37" t="str">
        <f ca="1">IFERROR(+IF(CF$29=ProposalToGnatt[[#This Row],[Start Date]],Milestone_Marker,IF(AND(CF$29&gt;ProposalToGnatt[[#This Row],[Start Date]],CF$29&lt;ProposalToGnatt[[#This Row],[Start Date]]+ProposalToGnatt[[#This Row],[Days]]),$G$5,"")),"")</f>
        <v/>
      </c>
      <c r="CG80" s="37" t="str">
        <f ca="1">IFERROR(+IF(CG$29=ProposalToGnatt[[#This Row],[Start Date]],Milestone_Marker,IF(AND(CG$29&gt;ProposalToGnatt[[#This Row],[Start Date]],CG$29&lt;ProposalToGnatt[[#This Row],[Start Date]]+ProposalToGnatt[[#This Row],[Days]]),$G$5,"")),"")</f>
        <v/>
      </c>
      <c r="CH80" s="37" t="str">
        <f ca="1">IFERROR(+IF(CH$29=ProposalToGnatt[[#This Row],[Start Date]],Milestone_Marker,IF(AND(CH$29&gt;ProposalToGnatt[[#This Row],[Start Date]],CH$29&lt;ProposalToGnatt[[#This Row],[Start Date]]+ProposalToGnatt[[#This Row],[Days]]),$G$5,"")),"")</f>
        <v/>
      </c>
      <c r="CI80" s="37" t="str">
        <f ca="1">IFERROR(+IF(CI$29=ProposalToGnatt[[#This Row],[Start Date]],Milestone_Marker,IF(AND(CI$29&gt;ProposalToGnatt[[#This Row],[Start Date]],CI$29&lt;ProposalToGnatt[[#This Row],[Start Date]]+ProposalToGnatt[[#This Row],[Days]]),$G$5,"")),"")</f>
        <v/>
      </c>
      <c r="CJ80" s="37" t="str">
        <f ca="1">IFERROR(+IF(CJ$29=ProposalToGnatt[[#This Row],[Start Date]],Milestone_Marker,IF(AND(CJ$29&gt;ProposalToGnatt[[#This Row],[Start Date]],CJ$29&lt;ProposalToGnatt[[#This Row],[Start Date]]+ProposalToGnatt[[#This Row],[Days]]),$G$5,"")),"")</f>
        <v/>
      </c>
      <c r="CK80" s="37" t="str">
        <f ca="1">IFERROR(+IF(CK$29=ProposalToGnatt[[#This Row],[Start Date]],Milestone_Marker,IF(AND(CK$29&gt;ProposalToGnatt[[#This Row],[Start Date]],CK$29&lt;ProposalToGnatt[[#This Row],[Start Date]]+ProposalToGnatt[[#This Row],[Days]]),$G$5,"")),"")</f>
        <v/>
      </c>
      <c r="CL80" s="37" t="str">
        <f ca="1">IFERROR(+IF(CL$29=ProposalToGnatt[[#This Row],[Start Date]],Milestone_Marker,IF(AND(CL$29&gt;ProposalToGnatt[[#This Row],[Start Date]],CL$29&lt;ProposalToGnatt[[#This Row],[Start Date]]+ProposalToGnatt[[#This Row],[Days]]),$G$5,"")),"")</f>
        <v/>
      </c>
      <c r="CM80" s="37" t="str">
        <f ca="1">IFERROR(+IF(CM$29=ProposalToGnatt[[#This Row],[Start Date]],Milestone_Marker,IF(AND(CM$29&gt;ProposalToGnatt[[#This Row],[Start Date]],CM$29&lt;ProposalToGnatt[[#This Row],[Start Date]]+ProposalToGnatt[[#This Row],[Days]]),$G$5,"")),"")</f>
        <v/>
      </c>
      <c r="CN80" s="37" t="str">
        <f ca="1">IFERROR(+IF(CN$29=ProposalToGnatt[[#This Row],[Start Date]],Milestone_Marker,IF(AND(CN$29&gt;ProposalToGnatt[[#This Row],[Start Date]],CN$29&lt;ProposalToGnatt[[#This Row],[Start Date]]+ProposalToGnatt[[#This Row],[Days]]),$G$5,"")),"")</f>
        <v/>
      </c>
      <c r="CO80" s="37" t="str">
        <f ca="1">IFERROR(+IF(CO$29=ProposalToGnatt[[#This Row],[Start Date]],Milestone_Marker,IF(AND(CO$29&gt;ProposalToGnatt[[#This Row],[Start Date]],CO$29&lt;ProposalToGnatt[[#This Row],[Start Date]]+ProposalToGnatt[[#This Row],[Days]]),$G$5,"")),"")</f>
        <v/>
      </c>
      <c r="CP80" s="37" t="str">
        <f ca="1">IFERROR(+IF(CP$29=ProposalToGnatt[[#This Row],[Start Date]],Milestone_Marker,IF(AND(CP$29&gt;ProposalToGnatt[[#This Row],[Start Date]],CP$29&lt;ProposalToGnatt[[#This Row],[Start Date]]+ProposalToGnatt[[#This Row],[Days]]),$G$5,"")),"")</f>
        <v/>
      </c>
      <c r="CQ80" s="37" t="str">
        <f ca="1">IFERROR(+IF(CQ$29=ProposalToGnatt[[#This Row],[Start Date]],Milestone_Marker,IF(AND(CQ$29&gt;ProposalToGnatt[[#This Row],[Start Date]],CQ$29&lt;ProposalToGnatt[[#This Row],[Start Date]]+ProposalToGnatt[[#This Row],[Days]]),$G$5,"")),"")</f>
        <v/>
      </c>
      <c r="CR80" s="37" t="str">
        <f ca="1">IFERROR(+IF(CR$29=ProposalToGnatt[[#This Row],[Start Date]],Milestone_Marker,IF(AND(CR$29&gt;ProposalToGnatt[[#This Row],[Start Date]],CR$29&lt;ProposalToGnatt[[#This Row],[Start Date]]+ProposalToGnatt[[#This Row],[Days]]),$G$5,"")),"")</f>
        <v/>
      </c>
      <c r="CS80" s="37" t="str">
        <f ca="1">IFERROR(+IF(CS$29=ProposalToGnatt[[#This Row],[Start Date]],Milestone_Marker,IF(AND(CS$29&gt;ProposalToGnatt[[#This Row],[Start Date]],CS$29&lt;ProposalToGnatt[[#This Row],[Start Date]]+ProposalToGnatt[[#This Row],[Days]]),$G$5,"")),"")</f>
        <v/>
      </c>
      <c r="CT80" s="37" t="str">
        <f ca="1">IFERROR(+IF(CT$29=ProposalToGnatt[[#This Row],[Start Date]],Milestone_Marker,IF(AND(CT$29&gt;ProposalToGnatt[[#This Row],[Start Date]],CT$29&lt;ProposalToGnatt[[#This Row],[Start Date]]+ProposalToGnatt[[#This Row],[Days]]),$G$5,"")),"")</f>
        <v/>
      </c>
      <c r="CU80" s="37" t="str">
        <f ca="1">IFERROR(+IF(CU$29=ProposalToGnatt[[#This Row],[Start Date]],Milestone_Marker,IF(AND(CU$29&gt;ProposalToGnatt[[#This Row],[Start Date]],CU$29&lt;ProposalToGnatt[[#This Row],[Start Date]]+ProposalToGnatt[[#This Row],[Days]]),$G$5,"")),"")</f>
        <v/>
      </c>
      <c r="CV80" s="37" t="str">
        <f ca="1">IFERROR(+IF(CT$29=#REF!,Milestone_Marker,IF(AND(CT$29&gt;#REF!,CT$29&lt;=#REF!+#REF!),$G$5,"")),"")</f>
        <v/>
      </c>
      <c r="CW80" s="37" t="str">
        <f ca="1">IFERROR(+IF(CU$29=#REF!,Milestone_Marker,IF(AND(CU$29&gt;#REF!,CU$29&lt;=#REF!+#REF!),$G$5,"")),"")</f>
        <v/>
      </c>
      <c r="CX80" s="37"/>
      <c r="CY80" s="37"/>
      <c r="CZ80" s="37"/>
      <c r="DA80" s="37"/>
      <c r="DB80" s="37"/>
      <c r="DC80" s="37"/>
      <c r="DD80" s="37"/>
      <c r="DE80" s="37"/>
      <c r="DF80" s="37"/>
      <c r="DG80" s="37"/>
      <c r="DH80" s="37"/>
      <c r="DI80" s="37"/>
      <c r="DJ80" s="37"/>
      <c r="DK80" s="37"/>
      <c r="DL80" s="37"/>
      <c r="DM80" s="37"/>
      <c r="DN80" s="37"/>
      <c r="DO80" s="37"/>
      <c r="DP80" s="37"/>
      <c r="DQ80" s="37"/>
      <c r="DR80" s="37"/>
      <c r="DS80" s="37"/>
      <c r="DT80" s="37"/>
      <c r="DU80" s="37"/>
    </row>
    <row r="81" spans="1:125" ht="15" x14ac:dyDescent="0.25">
      <c r="A81" t="s">
        <v>428</v>
      </c>
      <c r="B81">
        <v>56</v>
      </c>
      <c r="C81" t="s">
        <v>339</v>
      </c>
      <c r="D81" t="s">
        <v>394</v>
      </c>
      <c r="E81" t="s">
        <v>395</v>
      </c>
      <c r="F81">
        <v>1</v>
      </c>
      <c r="G81" s="14"/>
      <c r="H81" s="14"/>
      <c r="I81"/>
      <c r="J81">
        <v>2</v>
      </c>
      <c r="K81" s="303"/>
      <c r="L81"/>
      <c r="M81" s="14"/>
      <c r="N81" s="352"/>
      <c r="O81" s="340"/>
      <c r="P81" s="37" t="str">
        <f ca="1">IFERROR(+IF(P$29=ProposalToGnatt[[#This Row],[Start Date]],Milestone_Marker,IF(AND(P$29&gt;ProposalToGnatt[[#This Row],[Start Date]],P$29&lt;ProposalToGnatt[[#This Row],[Start Date]]+ProposalToGnatt[[#This Row],[Days]]),$G$5,"")),"")</f>
        <v/>
      </c>
      <c r="Q81" s="37" t="str">
        <f ca="1">IFERROR(+IF(Q$29=ProposalToGnatt[[#This Row],[Start Date]],Milestone_Marker,IF(AND(Q$29&gt;ProposalToGnatt[[#This Row],[Start Date]],Q$29&lt;ProposalToGnatt[[#This Row],[Start Date]]+ProposalToGnatt[[#This Row],[Days]]),$G$5,"")),"")</f>
        <v/>
      </c>
      <c r="R81" s="37" t="str">
        <f ca="1">IFERROR(+IF(R$29=ProposalToGnatt[[#This Row],[Start Date]],Milestone_Marker,IF(AND(R$29&gt;ProposalToGnatt[[#This Row],[Start Date]],R$29&lt;ProposalToGnatt[[#This Row],[Start Date]]+ProposalToGnatt[[#This Row],[Days]]),$G$5,"")),"")</f>
        <v/>
      </c>
      <c r="S81" s="37" t="str">
        <f ca="1">IFERROR(+IF(S$29=ProposalToGnatt[[#This Row],[Start Date]],Milestone_Marker,IF(AND(S$29&gt;ProposalToGnatt[[#This Row],[Start Date]],S$29&lt;ProposalToGnatt[[#This Row],[Start Date]]+ProposalToGnatt[[#This Row],[Days]]),$G$5,"")),"")</f>
        <v/>
      </c>
      <c r="T81" s="37" t="str">
        <f ca="1">IFERROR(+IF(T$29=ProposalToGnatt[[#This Row],[Start Date]],Milestone_Marker,IF(AND(T$29&gt;ProposalToGnatt[[#This Row],[Start Date]],T$29&lt;ProposalToGnatt[[#This Row],[Start Date]]+ProposalToGnatt[[#This Row],[Days]]),$G$5,"")),"")</f>
        <v/>
      </c>
      <c r="U81" s="37" t="str">
        <f ca="1">IFERROR(+IF(U$29=ProposalToGnatt[[#This Row],[Start Date]],Milestone_Marker,IF(AND(U$29&gt;ProposalToGnatt[[#This Row],[Start Date]],U$29&lt;ProposalToGnatt[[#This Row],[Start Date]]+ProposalToGnatt[[#This Row],[Days]]),$G$5,"")),"")</f>
        <v/>
      </c>
      <c r="V81" s="37" t="str">
        <f ca="1">IFERROR(+IF(V$29=ProposalToGnatt[[#This Row],[Start Date]],Milestone_Marker,IF(AND(V$29&gt;ProposalToGnatt[[#This Row],[Start Date]],V$29&lt;ProposalToGnatt[[#This Row],[Start Date]]+ProposalToGnatt[[#This Row],[Days]]),$G$5,"")),"")</f>
        <v/>
      </c>
      <c r="W81" s="37" t="str">
        <f ca="1">IFERROR(+IF(W$29=ProposalToGnatt[[#This Row],[Start Date]],Milestone_Marker,IF(AND(W$29&gt;ProposalToGnatt[[#This Row],[Start Date]],W$29&lt;ProposalToGnatt[[#This Row],[Start Date]]+ProposalToGnatt[[#This Row],[Days]]),$G$5,"")),"")</f>
        <v/>
      </c>
      <c r="X81" s="37" t="str">
        <f ca="1">IFERROR(+IF(X$29=ProposalToGnatt[[#This Row],[Start Date]],Milestone_Marker,IF(AND(X$29&gt;ProposalToGnatt[[#This Row],[Start Date]],X$29&lt;ProposalToGnatt[[#This Row],[Start Date]]+ProposalToGnatt[[#This Row],[Days]]),$G$5,"")),"")</f>
        <v/>
      </c>
      <c r="Y81" s="37" t="str">
        <f ca="1">IFERROR(+IF(Y$29=ProposalToGnatt[[#This Row],[Start Date]],Milestone_Marker,IF(AND(Y$29&gt;ProposalToGnatt[[#This Row],[Start Date]],Y$29&lt;ProposalToGnatt[[#This Row],[Start Date]]+ProposalToGnatt[[#This Row],[Days]]),$G$5,"")),"")</f>
        <v/>
      </c>
      <c r="Z81" s="37" t="str">
        <f ca="1">IFERROR(+IF(Z$29=ProposalToGnatt[[#This Row],[Start Date]],Milestone_Marker,IF(AND(Z$29&gt;ProposalToGnatt[[#This Row],[Start Date]],Z$29&lt;ProposalToGnatt[[#This Row],[Start Date]]+ProposalToGnatt[[#This Row],[Days]]),$G$5,"")),"")</f>
        <v/>
      </c>
      <c r="AA81" s="37" t="str">
        <f ca="1">IFERROR(+IF(AA$29=ProposalToGnatt[[#This Row],[Start Date]],Milestone_Marker,IF(AND(AA$29&gt;ProposalToGnatt[[#This Row],[Start Date]],AA$29&lt;ProposalToGnatt[[#This Row],[Start Date]]+ProposalToGnatt[[#This Row],[Days]]),$G$5,"")),"")</f>
        <v/>
      </c>
      <c r="AB81" s="37" t="str">
        <f ca="1">IFERROR(+IF(AB$29=ProposalToGnatt[[#This Row],[Start Date]],Milestone_Marker,IF(AND(AB$29&gt;ProposalToGnatt[[#This Row],[Start Date]],AB$29&lt;ProposalToGnatt[[#This Row],[Start Date]]+ProposalToGnatt[[#This Row],[Days]]),$G$5,"")),"")</f>
        <v/>
      </c>
      <c r="AC81" s="37" t="str">
        <f ca="1">IFERROR(+IF(AC$29=ProposalToGnatt[[#This Row],[Start Date]],Milestone_Marker,IF(AND(AC$29&gt;ProposalToGnatt[[#This Row],[Start Date]],AC$29&lt;ProposalToGnatt[[#This Row],[Start Date]]+ProposalToGnatt[[#This Row],[Days]]),$G$5,"")),"")</f>
        <v/>
      </c>
      <c r="AD81" s="37" t="str">
        <f ca="1">IFERROR(+IF(AD$29=ProposalToGnatt[[#This Row],[Start Date]],Milestone_Marker,IF(AND(AD$29&gt;ProposalToGnatt[[#This Row],[Start Date]],AD$29&lt;ProposalToGnatt[[#This Row],[Start Date]]+ProposalToGnatt[[#This Row],[Days]]),$G$5,"")),"")</f>
        <v/>
      </c>
      <c r="AE81" s="37" t="str">
        <f ca="1">IFERROR(+IF(AE$29=ProposalToGnatt[[#This Row],[Start Date]],Milestone_Marker,IF(AND(AE$29&gt;ProposalToGnatt[[#This Row],[Start Date]],AE$29&lt;ProposalToGnatt[[#This Row],[Start Date]]+ProposalToGnatt[[#This Row],[Days]]),$G$5,"")),"")</f>
        <v/>
      </c>
      <c r="AF81" s="37" t="str">
        <f ca="1">IFERROR(+IF(AF$29=ProposalToGnatt[[#This Row],[Start Date]],Milestone_Marker,IF(AND(AF$29&gt;ProposalToGnatt[[#This Row],[Start Date]],AF$29&lt;ProposalToGnatt[[#This Row],[Start Date]]+ProposalToGnatt[[#This Row],[Days]]),$G$5,"")),"")</f>
        <v/>
      </c>
      <c r="AG81" s="37" t="str">
        <f ca="1">IFERROR(+IF(AG$29=ProposalToGnatt[[#This Row],[Start Date]],Milestone_Marker,IF(AND(AG$29&gt;ProposalToGnatt[[#This Row],[Start Date]],AG$29&lt;ProposalToGnatt[[#This Row],[Start Date]]+ProposalToGnatt[[#This Row],[Days]]),$G$5,"")),"")</f>
        <v/>
      </c>
      <c r="AH81" s="37" t="str">
        <f ca="1">IFERROR(+IF(AH$29=ProposalToGnatt[[#This Row],[Start Date]],Milestone_Marker,IF(AND(AH$29&gt;ProposalToGnatt[[#This Row],[Start Date]],AH$29&lt;ProposalToGnatt[[#This Row],[Start Date]]+ProposalToGnatt[[#This Row],[Days]]),$G$5,"")),"")</f>
        <v/>
      </c>
      <c r="AI81" s="37" t="str">
        <f ca="1">IFERROR(+IF(AI$29=ProposalToGnatt[[#This Row],[Start Date]],Milestone_Marker,IF(AND(AI$29&gt;ProposalToGnatt[[#This Row],[Start Date]],AI$29&lt;ProposalToGnatt[[#This Row],[Start Date]]+ProposalToGnatt[[#This Row],[Days]]),$G$5,"")),"")</f>
        <v/>
      </c>
      <c r="AJ81" s="37" t="str">
        <f ca="1">IFERROR(+IF(AJ$29=ProposalToGnatt[[#This Row],[Start Date]],Milestone_Marker,IF(AND(AJ$29&gt;ProposalToGnatt[[#This Row],[Start Date]],AJ$29&lt;ProposalToGnatt[[#This Row],[Start Date]]+ProposalToGnatt[[#This Row],[Days]]),$G$5,"")),"")</f>
        <v/>
      </c>
      <c r="AK81" s="37" t="str">
        <f ca="1">IFERROR(+IF(AK$29=ProposalToGnatt[[#This Row],[Start Date]],Milestone_Marker,IF(AND(AK$29&gt;ProposalToGnatt[[#This Row],[Start Date]],AK$29&lt;ProposalToGnatt[[#This Row],[Start Date]]+ProposalToGnatt[[#This Row],[Days]]),$G$5,"")),"")</f>
        <v/>
      </c>
      <c r="AL81" s="37" t="str">
        <f ca="1">IFERROR(+IF(AL$29=ProposalToGnatt[[#This Row],[Start Date]],Milestone_Marker,IF(AND(AL$29&gt;ProposalToGnatt[[#This Row],[Start Date]],AL$29&lt;ProposalToGnatt[[#This Row],[Start Date]]+ProposalToGnatt[[#This Row],[Days]]),$G$5,"")),"")</f>
        <v/>
      </c>
      <c r="AM81" s="37" t="str">
        <f ca="1">IFERROR(+IF(AM$29=ProposalToGnatt[[#This Row],[Start Date]],Milestone_Marker,IF(AND(AM$29&gt;ProposalToGnatt[[#This Row],[Start Date]],AM$29&lt;ProposalToGnatt[[#This Row],[Start Date]]+ProposalToGnatt[[#This Row],[Days]]),$G$5,"")),"")</f>
        <v/>
      </c>
      <c r="AN81" s="37" t="str">
        <f ca="1">IFERROR(+IF(AN$29=ProposalToGnatt[[#This Row],[Start Date]],Milestone_Marker,IF(AND(AN$29&gt;ProposalToGnatt[[#This Row],[Start Date]],AN$29&lt;ProposalToGnatt[[#This Row],[Start Date]]+ProposalToGnatt[[#This Row],[Days]]),$G$5,"")),"")</f>
        <v/>
      </c>
      <c r="AO81" s="37" t="str">
        <f ca="1">IFERROR(+IF(AO$29=ProposalToGnatt[[#This Row],[Start Date]],Milestone_Marker,IF(AND(AO$29&gt;ProposalToGnatt[[#This Row],[Start Date]],AO$29&lt;ProposalToGnatt[[#This Row],[Start Date]]+ProposalToGnatt[[#This Row],[Days]]),$G$5,"")),"")</f>
        <v/>
      </c>
      <c r="AP81" s="37" t="str">
        <f ca="1">IFERROR(+IF(AP$29=ProposalToGnatt[[#This Row],[Start Date]],Milestone_Marker,IF(AND(AP$29&gt;ProposalToGnatt[[#This Row],[Start Date]],AP$29&lt;ProposalToGnatt[[#This Row],[Start Date]]+ProposalToGnatt[[#This Row],[Days]]),$G$5,"")),"")</f>
        <v/>
      </c>
      <c r="AQ81" s="37" t="str">
        <f ca="1">IFERROR(+IF(AQ$29=ProposalToGnatt[[#This Row],[Start Date]],Milestone_Marker,IF(AND(AQ$29&gt;ProposalToGnatt[[#This Row],[Start Date]],AQ$29&lt;ProposalToGnatt[[#This Row],[Start Date]]+ProposalToGnatt[[#This Row],[Days]]),$G$5,"")),"")</f>
        <v/>
      </c>
      <c r="AR81" s="37" t="str">
        <f ca="1">IFERROR(+IF(AR$29=ProposalToGnatt[[#This Row],[Start Date]],Milestone_Marker,IF(AND(AR$29&gt;ProposalToGnatt[[#This Row],[Start Date]],AR$29&lt;ProposalToGnatt[[#This Row],[Start Date]]+ProposalToGnatt[[#This Row],[Days]]),$G$5,"")),"")</f>
        <v/>
      </c>
      <c r="AS81" s="37" t="str">
        <f ca="1">IFERROR(+IF(AS$29=ProposalToGnatt[[#This Row],[Start Date]],Milestone_Marker,IF(AND(AS$29&gt;ProposalToGnatt[[#This Row],[Start Date]],AS$29&lt;ProposalToGnatt[[#This Row],[Start Date]]+ProposalToGnatt[[#This Row],[Days]]),$G$5,"")),"")</f>
        <v/>
      </c>
      <c r="AT81" s="37" t="str">
        <f ca="1">IFERROR(+IF(AT$29=ProposalToGnatt[[#This Row],[Start Date]],Milestone_Marker,IF(AND(AT$29&gt;ProposalToGnatt[[#This Row],[Start Date]],AT$29&lt;ProposalToGnatt[[#This Row],[Start Date]]+ProposalToGnatt[[#This Row],[Days]]),$G$5,"")),"")</f>
        <v/>
      </c>
      <c r="AU81" s="37" t="str">
        <f ca="1">IFERROR(+IF(AU$29=ProposalToGnatt[[#This Row],[Start Date]],Milestone_Marker,IF(AND(AU$29&gt;ProposalToGnatt[[#This Row],[Start Date]],AU$29&lt;ProposalToGnatt[[#This Row],[Start Date]]+ProposalToGnatt[[#This Row],[Days]]),$G$5,"")),"")</f>
        <v/>
      </c>
      <c r="AV81" s="37" t="str">
        <f ca="1">IFERROR(+IF(AV$29=ProposalToGnatt[[#This Row],[Start Date]],Milestone_Marker,IF(AND(AV$29&gt;ProposalToGnatt[[#This Row],[Start Date]],AV$29&lt;ProposalToGnatt[[#This Row],[Start Date]]+ProposalToGnatt[[#This Row],[Days]]),$G$5,"")),"")</f>
        <v/>
      </c>
      <c r="AW81" s="37" t="str">
        <f ca="1">IFERROR(+IF(AW$29=ProposalToGnatt[[#This Row],[Start Date]],Milestone_Marker,IF(AND(AW$29&gt;ProposalToGnatt[[#This Row],[Start Date]],AW$29&lt;ProposalToGnatt[[#This Row],[Start Date]]+ProposalToGnatt[[#This Row],[Days]]),$G$5,"")),"")</f>
        <v/>
      </c>
      <c r="AX81" s="37" t="str">
        <f ca="1">IFERROR(+IF(AX$29=ProposalToGnatt[[#This Row],[Start Date]],Milestone_Marker,IF(AND(AX$29&gt;ProposalToGnatt[[#This Row],[Start Date]],AX$29&lt;ProposalToGnatt[[#This Row],[Start Date]]+ProposalToGnatt[[#This Row],[Days]]),$G$5,"")),"")</f>
        <v/>
      </c>
      <c r="AY81" s="37" t="str">
        <f ca="1">IFERROR(+IF(AY$29=ProposalToGnatt[[#This Row],[Start Date]],Milestone_Marker,IF(AND(AY$29&gt;ProposalToGnatt[[#This Row],[Start Date]],AY$29&lt;ProposalToGnatt[[#This Row],[Start Date]]+ProposalToGnatt[[#This Row],[Days]]),$G$5,"")),"")</f>
        <v/>
      </c>
      <c r="AZ81" s="37" t="str">
        <f ca="1">IFERROR(+IF(AZ$29=ProposalToGnatt[[#This Row],[Start Date]],Milestone_Marker,IF(AND(AZ$29&gt;ProposalToGnatt[[#This Row],[Start Date]],AZ$29&lt;ProposalToGnatt[[#This Row],[Start Date]]+ProposalToGnatt[[#This Row],[Days]]),$G$5,"")),"")</f>
        <v/>
      </c>
      <c r="BA81" s="37" t="str">
        <f ca="1">IFERROR(+IF(BA$29=ProposalToGnatt[[#This Row],[Start Date]],Milestone_Marker,IF(AND(BA$29&gt;ProposalToGnatt[[#This Row],[Start Date]],BA$29&lt;ProposalToGnatt[[#This Row],[Start Date]]+ProposalToGnatt[[#This Row],[Days]]),$G$5,"")),"")</f>
        <v/>
      </c>
      <c r="BB81" s="37" t="str">
        <f ca="1">IFERROR(+IF(BB$29=ProposalToGnatt[[#This Row],[Start Date]],Milestone_Marker,IF(AND(BB$29&gt;ProposalToGnatt[[#This Row],[Start Date]],BB$29&lt;ProposalToGnatt[[#This Row],[Start Date]]+ProposalToGnatt[[#This Row],[Days]]),$G$5,"")),"")</f>
        <v/>
      </c>
      <c r="BC81" s="37" t="str">
        <f ca="1">IFERROR(+IF(BC$29=ProposalToGnatt[[#This Row],[Start Date]],Milestone_Marker,IF(AND(BC$29&gt;ProposalToGnatt[[#This Row],[Start Date]],BC$29&lt;ProposalToGnatt[[#This Row],[Start Date]]+ProposalToGnatt[[#This Row],[Days]]),$G$5,"")),"")</f>
        <v/>
      </c>
      <c r="BD81" s="37" t="str">
        <f ca="1">IFERROR(+IF(BD$29=ProposalToGnatt[[#This Row],[Start Date]],Milestone_Marker,IF(AND(BD$29&gt;ProposalToGnatt[[#This Row],[Start Date]],BD$29&lt;ProposalToGnatt[[#This Row],[Start Date]]+ProposalToGnatt[[#This Row],[Days]]),$G$5,"")),"")</f>
        <v/>
      </c>
      <c r="BE81" s="37" t="str">
        <f ca="1">IFERROR(+IF(BE$29=ProposalToGnatt[[#This Row],[Start Date]],Milestone_Marker,IF(AND(BE$29&gt;ProposalToGnatt[[#This Row],[Start Date]],BE$29&lt;ProposalToGnatt[[#This Row],[Start Date]]+ProposalToGnatt[[#This Row],[Days]]),$G$5,"")),"")</f>
        <v/>
      </c>
      <c r="BF81" s="37" t="str">
        <f ca="1">IFERROR(+IF(BF$29=ProposalToGnatt[[#This Row],[Start Date]],Milestone_Marker,IF(AND(BF$29&gt;ProposalToGnatt[[#This Row],[Start Date]],BF$29&lt;ProposalToGnatt[[#This Row],[Start Date]]+ProposalToGnatt[[#This Row],[Days]]),$G$5,"")),"")</f>
        <v/>
      </c>
      <c r="BG81" s="37" t="str">
        <f ca="1">IFERROR(+IF(BG$29=ProposalToGnatt[[#This Row],[Start Date]],Milestone_Marker,IF(AND(BG$29&gt;ProposalToGnatt[[#This Row],[Start Date]],BG$29&lt;ProposalToGnatt[[#This Row],[Start Date]]+ProposalToGnatt[[#This Row],[Days]]),$G$5,"")),"")</f>
        <v/>
      </c>
      <c r="BH81" s="37" t="str">
        <f ca="1">IFERROR(+IF(BH$29=ProposalToGnatt[[#This Row],[Start Date]],Milestone_Marker,IF(AND(BH$29&gt;ProposalToGnatt[[#This Row],[Start Date]],BH$29&lt;ProposalToGnatt[[#This Row],[Start Date]]+ProposalToGnatt[[#This Row],[Days]]),$G$5,"")),"")</f>
        <v/>
      </c>
      <c r="BI81" s="37" t="str">
        <f ca="1">IFERROR(+IF(BI$29=ProposalToGnatt[[#This Row],[Start Date]],Milestone_Marker,IF(AND(BI$29&gt;ProposalToGnatt[[#This Row],[Start Date]],BI$29&lt;ProposalToGnatt[[#This Row],[Start Date]]+ProposalToGnatt[[#This Row],[Days]]),$G$5,"")),"")</f>
        <v/>
      </c>
      <c r="BJ81" s="37" t="str">
        <f ca="1">IFERROR(+IF(BJ$29=ProposalToGnatt[[#This Row],[Start Date]],Milestone_Marker,IF(AND(BJ$29&gt;ProposalToGnatt[[#This Row],[Start Date]],BJ$29&lt;ProposalToGnatt[[#This Row],[Start Date]]+ProposalToGnatt[[#This Row],[Days]]),$G$5,"")),"")</f>
        <v/>
      </c>
      <c r="BK81" s="37" t="str">
        <f ca="1">IFERROR(+IF(BK$29=ProposalToGnatt[[#This Row],[Start Date]],Milestone_Marker,IF(AND(BK$29&gt;ProposalToGnatt[[#This Row],[Start Date]],BK$29&lt;ProposalToGnatt[[#This Row],[Start Date]]+ProposalToGnatt[[#This Row],[Days]]),$G$5,"")),"")</f>
        <v/>
      </c>
      <c r="BL81" s="37" t="str">
        <f ca="1">IFERROR(+IF(BL$29=ProposalToGnatt[[#This Row],[Start Date]],Milestone_Marker,IF(AND(BL$29&gt;ProposalToGnatt[[#This Row],[Start Date]],BL$29&lt;ProposalToGnatt[[#This Row],[Start Date]]+ProposalToGnatt[[#This Row],[Days]]),$G$5,"")),"")</f>
        <v/>
      </c>
      <c r="BM81" s="37" t="str">
        <f ca="1">IFERROR(+IF(BM$29=ProposalToGnatt[[#This Row],[Start Date]],Milestone_Marker,IF(AND(BM$29&gt;ProposalToGnatt[[#This Row],[Start Date]],BM$29&lt;ProposalToGnatt[[#This Row],[Start Date]]+ProposalToGnatt[[#This Row],[Days]]),$G$5,"")),"")</f>
        <v/>
      </c>
      <c r="BN81" s="37" t="str">
        <f ca="1">IFERROR(+IF(BN$29=ProposalToGnatt[[#This Row],[Start Date]],Milestone_Marker,IF(AND(BN$29&gt;ProposalToGnatt[[#This Row],[Start Date]],BN$29&lt;ProposalToGnatt[[#This Row],[Start Date]]+ProposalToGnatt[[#This Row],[Days]]),$G$5,"")),"")</f>
        <v/>
      </c>
      <c r="BO81" s="37" t="str">
        <f ca="1">IFERROR(+IF(BO$29=ProposalToGnatt[[#This Row],[Start Date]],Milestone_Marker,IF(AND(BO$29&gt;ProposalToGnatt[[#This Row],[Start Date]],BO$29&lt;ProposalToGnatt[[#This Row],[Start Date]]+ProposalToGnatt[[#This Row],[Days]]),$G$5,"")),"")</f>
        <v/>
      </c>
      <c r="BP81" s="37" t="str">
        <f ca="1">IFERROR(+IF(BP$29=ProposalToGnatt[[#This Row],[Start Date]],Milestone_Marker,IF(AND(BP$29&gt;ProposalToGnatt[[#This Row],[Start Date]],BP$29&lt;ProposalToGnatt[[#This Row],[Start Date]]+ProposalToGnatt[[#This Row],[Days]]),$G$5,"")),"")</f>
        <v/>
      </c>
      <c r="BQ81" s="37" t="str">
        <f ca="1">IFERROR(+IF(BQ$29=ProposalToGnatt[[#This Row],[Start Date]],Milestone_Marker,IF(AND(BQ$29&gt;ProposalToGnatt[[#This Row],[Start Date]],BQ$29&lt;ProposalToGnatt[[#This Row],[Start Date]]+ProposalToGnatt[[#This Row],[Days]]),$G$5,"")),"")</f>
        <v/>
      </c>
      <c r="BR81" s="37" t="str">
        <f ca="1">IFERROR(+IF(BR$29=ProposalToGnatt[[#This Row],[Start Date]],Milestone_Marker,IF(AND(BR$29&gt;ProposalToGnatt[[#This Row],[Start Date]],BR$29&lt;ProposalToGnatt[[#This Row],[Start Date]]+ProposalToGnatt[[#This Row],[Days]]),$G$5,"")),"")</f>
        <v/>
      </c>
      <c r="BS81" s="37" t="str">
        <f ca="1">IFERROR(+IF(BS$29=ProposalToGnatt[[#This Row],[Start Date]],Milestone_Marker,IF(AND(BS$29&gt;ProposalToGnatt[[#This Row],[Start Date]],BS$29&lt;ProposalToGnatt[[#This Row],[Start Date]]+ProposalToGnatt[[#This Row],[Days]]),$G$5,"")),"")</f>
        <v/>
      </c>
      <c r="BT81" s="37" t="str">
        <f ca="1">IFERROR(+IF(BT$29=ProposalToGnatt[[#This Row],[Start Date]],Milestone_Marker,IF(AND(BT$29&gt;ProposalToGnatt[[#This Row],[Start Date]],BT$29&lt;ProposalToGnatt[[#This Row],[Start Date]]+ProposalToGnatt[[#This Row],[Days]]),$G$5,"")),"")</f>
        <v/>
      </c>
      <c r="BU81" s="37" t="str">
        <f ca="1">IFERROR(+IF(BU$29=ProposalToGnatt[[#This Row],[Start Date]],Milestone_Marker,IF(AND(BU$29&gt;ProposalToGnatt[[#This Row],[Start Date]],BU$29&lt;ProposalToGnatt[[#This Row],[Start Date]]+ProposalToGnatt[[#This Row],[Days]]),$G$5,"")),"")</f>
        <v/>
      </c>
      <c r="BV81" s="37" t="str">
        <f ca="1">IFERROR(+IF(BV$29=ProposalToGnatt[[#This Row],[Start Date]],Milestone_Marker,IF(AND(BV$29&gt;ProposalToGnatt[[#This Row],[Start Date]],BV$29&lt;ProposalToGnatt[[#This Row],[Start Date]]+ProposalToGnatt[[#This Row],[Days]]),$G$5,"")),"")</f>
        <v/>
      </c>
      <c r="BW81" s="37" t="str">
        <f ca="1">IFERROR(+IF(BW$29=ProposalToGnatt[[#This Row],[Start Date]],Milestone_Marker,IF(AND(BW$29&gt;ProposalToGnatt[[#This Row],[Start Date]],BW$29&lt;ProposalToGnatt[[#This Row],[Start Date]]+ProposalToGnatt[[#This Row],[Days]]),$G$5,"")),"")</f>
        <v/>
      </c>
      <c r="BX81" s="37" t="str">
        <f ca="1">IFERROR(+IF(BX$29=ProposalToGnatt[[#This Row],[Start Date]],Milestone_Marker,IF(AND(BX$29&gt;ProposalToGnatt[[#This Row],[Start Date]],BX$29&lt;ProposalToGnatt[[#This Row],[Start Date]]+ProposalToGnatt[[#This Row],[Days]]),$G$5,"")),"")</f>
        <v/>
      </c>
      <c r="BY81" s="37" t="str">
        <f ca="1">IFERROR(+IF(BY$29=ProposalToGnatt[[#This Row],[Start Date]],Milestone_Marker,IF(AND(BY$29&gt;ProposalToGnatt[[#This Row],[Start Date]],BY$29&lt;ProposalToGnatt[[#This Row],[Start Date]]+ProposalToGnatt[[#This Row],[Days]]),$G$5,"")),"")</f>
        <v/>
      </c>
      <c r="BZ81" s="37" t="str">
        <f ca="1">IFERROR(+IF(BZ$29=ProposalToGnatt[[#This Row],[Start Date]],Milestone_Marker,IF(AND(BZ$29&gt;ProposalToGnatt[[#This Row],[Start Date]],BZ$29&lt;ProposalToGnatt[[#This Row],[Start Date]]+ProposalToGnatt[[#This Row],[Days]]),$G$5,"")),"")</f>
        <v/>
      </c>
      <c r="CA81" s="37" t="str">
        <f ca="1">IFERROR(+IF(CA$29=ProposalToGnatt[[#This Row],[Start Date]],Milestone_Marker,IF(AND(CA$29&gt;ProposalToGnatt[[#This Row],[Start Date]],CA$29&lt;ProposalToGnatt[[#This Row],[Start Date]]+ProposalToGnatt[[#This Row],[Days]]),$G$5,"")),"")</f>
        <v/>
      </c>
      <c r="CB81" s="37" t="str">
        <f ca="1">IFERROR(+IF(CB$29=ProposalToGnatt[[#This Row],[Start Date]],Milestone_Marker,IF(AND(CB$29&gt;ProposalToGnatt[[#This Row],[Start Date]],CB$29&lt;ProposalToGnatt[[#This Row],[Start Date]]+ProposalToGnatt[[#This Row],[Days]]),$G$5,"")),"")</f>
        <v/>
      </c>
      <c r="CC81" s="37" t="str">
        <f ca="1">IFERROR(+IF(CC$29=ProposalToGnatt[[#This Row],[Start Date]],Milestone_Marker,IF(AND(CC$29&gt;ProposalToGnatt[[#This Row],[Start Date]],CC$29&lt;ProposalToGnatt[[#This Row],[Start Date]]+ProposalToGnatt[[#This Row],[Days]]),$G$5,"")),"")</f>
        <v/>
      </c>
      <c r="CD81" s="37" t="str">
        <f ca="1">IFERROR(+IF(CD$29=ProposalToGnatt[[#This Row],[Start Date]],Milestone_Marker,IF(AND(CD$29&gt;ProposalToGnatt[[#This Row],[Start Date]],CD$29&lt;ProposalToGnatt[[#This Row],[Start Date]]+ProposalToGnatt[[#This Row],[Days]]),$G$5,"")),"")</f>
        <v/>
      </c>
      <c r="CE81" s="37" t="str">
        <f ca="1">IFERROR(+IF(CE$29=ProposalToGnatt[[#This Row],[Start Date]],Milestone_Marker,IF(AND(CE$29&gt;ProposalToGnatt[[#This Row],[Start Date]],CE$29&lt;ProposalToGnatt[[#This Row],[Start Date]]+ProposalToGnatt[[#This Row],[Days]]),$G$5,"")),"")</f>
        <v/>
      </c>
      <c r="CF81" s="37" t="str">
        <f ca="1">IFERROR(+IF(CF$29=ProposalToGnatt[[#This Row],[Start Date]],Milestone_Marker,IF(AND(CF$29&gt;ProposalToGnatt[[#This Row],[Start Date]],CF$29&lt;ProposalToGnatt[[#This Row],[Start Date]]+ProposalToGnatt[[#This Row],[Days]]),$G$5,"")),"")</f>
        <v/>
      </c>
      <c r="CG81" s="37" t="str">
        <f ca="1">IFERROR(+IF(CG$29=ProposalToGnatt[[#This Row],[Start Date]],Milestone_Marker,IF(AND(CG$29&gt;ProposalToGnatt[[#This Row],[Start Date]],CG$29&lt;ProposalToGnatt[[#This Row],[Start Date]]+ProposalToGnatt[[#This Row],[Days]]),$G$5,"")),"")</f>
        <v/>
      </c>
      <c r="CH81" s="37" t="str">
        <f ca="1">IFERROR(+IF(CH$29=ProposalToGnatt[[#This Row],[Start Date]],Milestone_Marker,IF(AND(CH$29&gt;ProposalToGnatt[[#This Row],[Start Date]],CH$29&lt;ProposalToGnatt[[#This Row],[Start Date]]+ProposalToGnatt[[#This Row],[Days]]),$G$5,"")),"")</f>
        <v/>
      </c>
      <c r="CI81" s="37" t="str">
        <f ca="1">IFERROR(+IF(CI$29=ProposalToGnatt[[#This Row],[Start Date]],Milestone_Marker,IF(AND(CI$29&gt;ProposalToGnatt[[#This Row],[Start Date]],CI$29&lt;ProposalToGnatt[[#This Row],[Start Date]]+ProposalToGnatt[[#This Row],[Days]]),$G$5,"")),"")</f>
        <v/>
      </c>
      <c r="CJ81" s="37" t="str">
        <f ca="1">IFERROR(+IF(CJ$29=ProposalToGnatt[[#This Row],[Start Date]],Milestone_Marker,IF(AND(CJ$29&gt;ProposalToGnatt[[#This Row],[Start Date]],CJ$29&lt;ProposalToGnatt[[#This Row],[Start Date]]+ProposalToGnatt[[#This Row],[Days]]),$G$5,"")),"")</f>
        <v/>
      </c>
      <c r="CK81" s="37" t="str">
        <f ca="1">IFERROR(+IF(CK$29=ProposalToGnatt[[#This Row],[Start Date]],Milestone_Marker,IF(AND(CK$29&gt;ProposalToGnatt[[#This Row],[Start Date]],CK$29&lt;ProposalToGnatt[[#This Row],[Start Date]]+ProposalToGnatt[[#This Row],[Days]]),$G$5,"")),"")</f>
        <v/>
      </c>
      <c r="CL81" s="37" t="str">
        <f ca="1">IFERROR(+IF(CL$29=ProposalToGnatt[[#This Row],[Start Date]],Milestone_Marker,IF(AND(CL$29&gt;ProposalToGnatt[[#This Row],[Start Date]],CL$29&lt;ProposalToGnatt[[#This Row],[Start Date]]+ProposalToGnatt[[#This Row],[Days]]),$G$5,"")),"")</f>
        <v/>
      </c>
      <c r="CM81" s="37" t="str">
        <f ca="1">IFERROR(+IF(CM$29=ProposalToGnatt[[#This Row],[Start Date]],Milestone_Marker,IF(AND(CM$29&gt;ProposalToGnatt[[#This Row],[Start Date]],CM$29&lt;ProposalToGnatt[[#This Row],[Start Date]]+ProposalToGnatt[[#This Row],[Days]]),$G$5,"")),"")</f>
        <v/>
      </c>
      <c r="CN81" s="37" t="str">
        <f ca="1">IFERROR(+IF(CN$29=ProposalToGnatt[[#This Row],[Start Date]],Milestone_Marker,IF(AND(CN$29&gt;ProposalToGnatt[[#This Row],[Start Date]],CN$29&lt;ProposalToGnatt[[#This Row],[Start Date]]+ProposalToGnatt[[#This Row],[Days]]),$G$5,"")),"")</f>
        <v/>
      </c>
      <c r="CO81" s="37" t="str">
        <f ca="1">IFERROR(+IF(CO$29=ProposalToGnatt[[#This Row],[Start Date]],Milestone_Marker,IF(AND(CO$29&gt;ProposalToGnatt[[#This Row],[Start Date]],CO$29&lt;ProposalToGnatt[[#This Row],[Start Date]]+ProposalToGnatt[[#This Row],[Days]]),$G$5,"")),"")</f>
        <v/>
      </c>
      <c r="CP81" s="37" t="str">
        <f ca="1">IFERROR(+IF(CP$29=ProposalToGnatt[[#This Row],[Start Date]],Milestone_Marker,IF(AND(CP$29&gt;ProposalToGnatt[[#This Row],[Start Date]],CP$29&lt;ProposalToGnatt[[#This Row],[Start Date]]+ProposalToGnatt[[#This Row],[Days]]),$G$5,"")),"")</f>
        <v/>
      </c>
      <c r="CQ81" s="37" t="str">
        <f ca="1">IFERROR(+IF(CQ$29=ProposalToGnatt[[#This Row],[Start Date]],Milestone_Marker,IF(AND(CQ$29&gt;ProposalToGnatt[[#This Row],[Start Date]],CQ$29&lt;ProposalToGnatt[[#This Row],[Start Date]]+ProposalToGnatt[[#This Row],[Days]]),$G$5,"")),"")</f>
        <v/>
      </c>
      <c r="CR81" s="37" t="str">
        <f ca="1">IFERROR(+IF(CR$29=ProposalToGnatt[[#This Row],[Start Date]],Milestone_Marker,IF(AND(CR$29&gt;ProposalToGnatt[[#This Row],[Start Date]],CR$29&lt;ProposalToGnatt[[#This Row],[Start Date]]+ProposalToGnatt[[#This Row],[Days]]),$G$5,"")),"")</f>
        <v/>
      </c>
      <c r="CS81" s="37" t="str">
        <f ca="1">IFERROR(+IF(CS$29=ProposalToGnatt[[#This Row],[Start Date]],Milestone_Marker,IF(AND(CS$29&gt;ProposalToGnatt[[#This Row],[Start Date]],CS$29&lt;ProposalToGnatt[[#This Row],[Start Date]]+ProposalToGnatt[[#This Row],[Days]]),$G$5,"")),"")</f>
        <v/>
      </c>
      <c r="CT81" s="37" t="str">
        <f ca="1">IFERROR(+IF(CT$29=ProposalToGnatt[[#This Row],[Start Date]],Milestone_Marker,IF(AND(CT$29&gt;ProposalToGnatt[[#This Row],[Start Date]],CT$29&lt;ProposalToGnatt[[#This Row],[Start Date]]+ProposalToGnatt[[#This Row],[Days]]),$G$5,"")),"")</f>
        <v/>
      </c>
      <c r="CU81" s="37" t="str">
        <f ca="1">IFERROR(+IF(CU$29=ProposalToGnatt[[#This Row],[Start Date]],Milestone_Marker,IF(AND(CU$29&gt;ProposalToGnatt[[#This Row],[Start Date]],CU$29&lt;ProposalToGnatt[[#This Row],[Start Date]]+ProposalToGnatt[[#This Row],[Days]]),$G$5,"")),"")</f>
        <v/>
      </c>
      <c r="CV81" s="37" t="str">
        <f ca="1">IFERROR(+IF(CT$29=#REF!,Milestone_Marker,IF(AND(CT$29&gt;#REF!,CT$29&lt;=#REF!+#REF!),$G$5,"")),"")</f>
        <v/>
      </c>
      <c r="CW81" s="37" t="str">
        <f ca="1">IFERROR(+IF(CU$29=#REF!,Milestone_Marker,IF(AND(CU$29&gt;#REF!,CU$29&lt;=#REF!+#REF!),$G$5,"")),"")</f>
        <v/>
      </c>
      <c r="CX81" s="37"/>
      <c r="CY81" s="37"/>
      <c r="CZ81" s="37"/>
      <c r="DA81" s="37"/>
      <c r="DB81" s="37"/>
      <c r="DC81" s="37"/>
      <c r="DD81" s="37"/>
      <c r="DE81" s="37"/>
      <c r="DF81" s="37"/>
      <c r="DG81" s="37"/>
      <c r="DH81" s="37"/>
      <c r="DI81" s="37"/>
      <c r="DJ81" s="37"/>
      <c r="DK81" s="37"/>
      <c r="DL81" s="37"/>
      <c r="DM81" s="37"/>
      <c r="DN81" s="37"/>
      <c r="DO81" s="37"/>
      <c r="DP81" s="37"/>
      <c r="DQ81" s="37"/>
      <c r="DR81" s="37"/>
      <c r="DS81" s="37"/>
      <c r="DT81" s="37"/>
      <c r="DU81" s="37"/>
    </row>
    <row r="82" spans="1:125" ht="15" x14ac:dyDescent="0.25">
      <c r="A82" t="s">
        <v>428</v>
      </c>
      <c r="B82">
        <v>57</v>
      </c>
      <c r="C82" t="s">
        <v>391</v>
      </c>
      <c r="D82" t="s">
        <v>396</v>
      </c>
      <c r="E82" t="s">
        <v>397</v>
      </c>
      <c r="F82">
        <v>1</v>
      </c>
      <c r="G82" s="14"/>
      <c r="H82" s="14"/>
      <c r="I82"/>
      <c r="J82">
        <v>2</v>
      </c>
      <c r="K82" s="303"/>
      <c r="L82"/>
      <c r="M82" s="14"/>
      <c r="N82" s="352"/>
      <c r="O82" s="340"/>
      <c r="P82" s="37" t="str">
        <f ca="1">IFERROR(+IF(P$29=ProposalToGnatt[[#This Row],[Start Date]],Milestone_Marker,IF(AND(P$29&gt;ProposalToGnatt[[#This Row],[Start Date]],P$29&lt;ProposalToGnatt[[#This Row],[Start Date]]+ProposalToGnatt[[#This Row],[Days]]),$G$5,"")),"")</f>
        <v/>
      </c>
      <c r="Q82" s="37" t="str">
        <f ca="1">IFERROR(+IF(Q$29=ProposalToGnatt[[#This Row],[Start Date]],Milestone_Marker,IF(AND(Q$29&gt;ProposalToGnatt[[#This Row],[Start Date]],Q$29&lt;ProposalToGnatt[[#This Row],[Start Date]]+ProposalToGnatt[[#This Row],[Days]]),$G$5,"")),"")</f>
        <v/>
      </c>
      <c r="R82" s="37" t="str">
        <f ca="1">IFERROR(+IF(R$29=ProposalToGnatt[[#This Row],[Start Date]],Milestone_Marker,IF(AND(R$29&gt;ProposalToGnatt[[#This Row],[Start Date]],R$29&lt;ProposalToGnatt[[#This Row],[Start Date]]+ProposalToGnatt[[#This Row],[Days]]),$G$5,"")),"")</f>
        <v/>
      </c>
      <c r="S82" s="37" t="str">
        <f ca="1">IFERROR(+IF(S$29=ProposalToGnatt[[#This Row],[Start Date]],Milestone_Marker,IF(AND(S$29&gt;ProposalToGnatt[[#This Row],[Start Date]],S$29&lt;ProposalToGnatt[[#This Row],[Start Date]]+ProposalToGnatt[[#This Row],[Days]]),$G$5,"")),"")</f>
        <v/>
      </c>
      <c r="T82" s="37" t="str">
        <f ca="1">IFERROR(+IF(T$29=ProposalToGnatt[[#This Row],[Start Date]],Milestone_Marker,IF(AND(T$29&gt;ProposalToGnatt[[#This Row],[Start Date]],T$29&lt;ProposalToGnatt[[#This Row],[Start Date]]+ProposalToGnatt[[#This Row],[Days]]),$G$5,"")),"")</f>
        <v/>
      </c>
      <c r="U82" s="37" t="str">
        <f ca="1">IFERROR(+IF(U$29=ProposalToGnatt[[#This Row],[Start Date]],Milestone_Marker,IF(AND(U$29&gt;ProposalToGnatt[[#This Row],[Start Date]],U$29&lt;ProposalToGnatt[[#This Row],[Start Date]]+ProposalToGnatt[[#This Row],[Days]]),$G$5,"")),"")</f>
        <v/>
      </c>
      <c r="V82" s="37" t="str">
        <f ca="1">IFERROR(+IF(V$29=ProposalToGnatt[[#This Row],[Start Date]],Milestone_Marker,IF(AND(V$29&gt;ProposalToGnatt[[#This Row],[Start Date]],V$29&lt;ProposalToGnatt[[#This Row],[Start Date]]+ProposalToGnatt[[#This Row],[Days]]),$G$5,"")),"")</f>
        <v/>
      </c>
      <c r="W82" s="37" t="str">
        <f ca="1">IFERROR(+IF(W$29=ProposalToGnatt[[#This Row],[Start Date]],Milestone_Marker,IF(AND(W$29&gt;ProposalToGnatt[[#This Row],[Start Date]],W$29&lt;ProposalToGnatt[[#This Row],[Start Date]]+ProposalToGnatt[[#This Row],[Days]]),$G$5,"")),"")</f>
        <v/>
      </c>
      <c r="X82" s="37" t="str">
        <f ca="1">IFERROR(+IF(X$29=ProposalToGnatt[[#This Row],[Start Date]],Milestone_Marker,IF(AND(X$29&gt;ProposalToGnatt[[#This Row],[Start Date]],X$29&lt;ProposalToGnatt[[#This Row],[Start Date]]+ProposalToGnatt[[#This Row],[Days]]),$G$5,"")),"")</f>
        <v/>
      </c>
      <c r="Y82" s="37" t="str">
        <f ca="1">IFERROR(+IF(Y$29=ProposalToGnatt[[#This Row],[Start Date]],Milestone_Marker,IF(AND(Y$29&gt;ProposalToGnatt[[#This Row],[Start Date]],Y$29&lt;ProposalToGnatt[[#This Row],[Start Date]]+ProposalToGnatt[[#This Row],[Days]]),$G$5,"")),"")</f>
        <v/>
      </c>
      <c r="Z82" s="37" t="str">
        <f ca="1">IFERROR(+IF(Z$29=ProposalToGnatt[[#This Row],[Start Date]],Milestone_Marker,IF(AND(Z$29&gt;ProposalToGnatt[[#This Row],[Start Date]],Z$29&lt;ProposalToGnatt[[#This Row],[Start Date]]+ProposalToGnatt[[#This Row],[Days]]),$G$5,"")),"")</f>
        <v/>
      </c>
      <c r="AA82" s="37" t="str">
        <f ca="1">IFERROR(+IF(AA$29=ProposalToGnatt[[#This Row],[Start Date]],Milestone_Marker,IF(AND(AA$29&gt;ProposalToGnatt[[#This Row],[Start Date]],AA$29&lt;ProposalToGnatt[[#This Row],[Start Date]]+ProposalToGnatt[[#This Row],[Days]]),$G$5,"")),"")</f>
        <v/>
      </c>
      <c r="AB82" s="37" t="str">
        <f ca="1">IFERROR(+IF(AB$29=ProposalToGnatt[[#This Row],[Start Date]],Milestone_Marker,IF(AND(AB$29&gt;ProposalToGnatt[[#This Row],[Start Date]],AB$29&lt;ProposalToGnatt[[#This Row],[Start Date]]+ProposalToGnatt[[#This Row],[Days]]),$G$5,"")),"")</f>
        <v/>
      </c>
      <c r="AC82" s="37" t="str">
        <f ca="1">IFERROR(+IF(AC$29=ProposalToGnatt[[#This Row],[Start Date]],Milestone_Marker,IF(AND(AC$29&gt;ProposalToGnatt[[#This Row],[Start Date]],AC$29&lt;ProposalToGnatt[[#This Row],[Start Date]]+ProposalToGnatt[[#This Row],[Days]]),$G$5,"")),"")</f>
        <v/>
      </c>
      <c r="AD82" s="37" t="str">
        <f ca="1">IFERROR(+IF(AD$29=ProposalToGnatt[[#This Row],[Start Date]],Milestone_Marker,IF(AND(AD$29&gt;ProposalToGnatt[[#This Row],[Start Date]],AD$29&lt;ProposalToGnatt[[#This Row],[Start Date]]+ProposalToGnatt[[#This Row],[Days]]),$G$5,"")),"")</f>
        <v/>
      </c>
      <c r="AE82" s="37" t="str">
        <f ca="1">IFERROR(+IF(AE$29=ProposalToGnatt[[#This Row],[Start Date]],Milestone_Marker,IF(AND(AE$29&gt;ProposalToGnatt[[#This Row],[Start Date]],AE$29&lt;ProposalToGnatt[[#This Row],[Start Date]]+ProposalToGnatt[[#This Row],[Days]]),$G$5,"")),"")</f>
        <v/>
      </c>
      <c r="AF82" s="37" t="str">
        <f ca="1">IFERROR(+IF(AF$29=ProposalToGnatt[[#This Row],[Start Date]],Milestone_Marker,IF(AND(AF$29&gt;ProposalToGnatt[[#This Row],[Start Date]],AF$29&lt;ProposalToGnatt[[#This Row],[Start Date]]+ProposalToGnatt[[#This Row],[Days]]),$G$5,"")),"")</f>
        <v/>
      </c>
      <c r="AG82" s="37" t="str">
        <f ca="1">IFERROR(+IF(AG$29=ProposalToGnatt[[#This Row],[Start Date]],Milestone_Marker,IF(AND(AG$29&gt;ProposalToGnatt[[#This Row],[Start Date]],AG$29&lt;ProposalToGnatt[[#This Row],[Start Date]]+ProposalToGnatt[[#This Row],[Days]]),$G$5,"")),"")</f>
        <v/>
      </c>
      <c r="AH82" s="37" t="str">
        <f ca="1">IFERROR(+IF(AH$29=ProposalToGnatt[[#This Row],[Start Date]],Milestone_Marker,IF(AND(AH$29&gt;ProposalToGnatt[[#This Row],[Start Date]],AH$29&lt;ProposalToGnatt[[#This Row],[Start Date]]+ProposalToGnatt[[#This Row],[Days]]),$G$5,"")),"")</f>
        <v/>
      </c>
      <c r="AI82" s="37" t="str">
        <f ca="1">IFERROR(+IF(AI$29=ProposalToGnatt[[#This Row],[Start Date]],Milestone_Marker,IF(AND(AI$29&gt;ProposalToGnatt[[#This Row],[Start Date]],AI$29&lt;ProposalToGnatt[[#This Row],[Start Date]]+ProposalToGnatt[[#This Row],[Days]]),$G$5,"")),"")</f>
        <v/>
      </c>
      <c r="AJ82" s="37" t="str">
        <f ca="1">IFERROR(+IF(AJ$29=ProposalToGnatt[[#This Row],[Start Date]],Milestone_Marker,IF(AND(AJ$29&gt;ProposalToGnatt[[#This Row],[Start Date]],AJ$29&lt;ProposalToGnatt[[#This Row],[Start Date]]+ProposalToGnatt[[#This Row],[Days]]),$G$5,"")),"")</f>
        <v/>
      </c>
      <c r="AK82" s="37" t="str">
        <f ca="1">IFERROR(+IF(AK$29=ProposalToGnatt[[#This Row],[Start Date]],Milestone_Marker,IF(AND(AK$29&gt;ProposalToGnatt[[#This Row],[Start Date]],AK$29&lt;ProposalToGnatt[[#This Row],[Start Date]]+ProposalToGnatt[[#This Row],[Days]]),$G$5,"")),"")</f>
        <v/>
      </c>
      <c r="AL82" s="37" t="str">
        <f ca="1">IFERROR(+IF(AL$29=ProposalToGnatt[[#This Row],[Start Date]],Milestone_Marker,IF(AND(AL$29&gt;ProposalToGnatt[[#This Row],[Start Date]],AL$29&lt;ProposalToGnatt[[#This Row],[Start Date]]+ProposalToGnatt[[#This Row],[Days]]),$G$5,"")),"")</f>
        <v/>
      </c>
      <c r="AM82" s="37" t="str">
        <f ca="1">IFERROR(+IF(AM$29=ProposalToGnatt[[#This Row],[Start Date]],Milestone_Marker,IF(AND(AM$29&gt;ProposalToGnatt[[#This Row],[Start Date]],AM$29&lt;ProposalToGnatt[[#This Row],[Start Date]]+ProposalToGnatt[[#This Row],[Days]]),$G$5,"")),"")</f>
        <v/>
      </c>
      <c r="AN82" s="37" t="str">
        <f ca="1">IFERROR(+IF(AN$29=ProposalToGnatt[[#This Row],[Start Date]],Milestone_Marker,IF(AND(AN$29&gt;ProposalToGnatt[[#This Row],[Start Date]],AN$29&lt;ProposalToGnatt[[#This Row],[Start Date]]+ProposalToGnatt[[#This Row],[Days]]),$G$5,"")),"")</f>
        <v/>
      </c>
      <c r="AO82" s="37" t="str">
        <f ca="1">IFERROR(+IF(AO$29=ProposalToGnatt[[#This Row],[Start Date]],Milestone_Marker,IF(AND(AO$29&gt;ProposalToGnatt[[#This Row],[Start Date]],AO$29&lt;ProposalToGnatt[[#This Row],[Start Date]]+ProposalToGnatt[[#This Row],[Days]]),$G$5,"")),"")</f>
        <v/>
      </c>
      <c r="AP82" s="37" t="str">
        <f ca="1">IFERROR(+IF(AP$29=ProposalToGnatt[[#This Row],[Start Date]],Milestone_Marker,IF(AND(AP$29&gt;ProposalToGnatt[[#This Row],[Start Date]],AP$29&lt;ProposalToGnatt[[#This Row],[Start Date]]+ProposalToGnatt[[#This Row],[Days]]),$G$5,"")),"")</f>
        <v/>
      </c>
      <c r="AQ82" s="37" t="str">
        <f ca="1">IFERROR(+IF(AQ$29=ProposalToGnatt[[#This Row],[Start Date]],Milestone_Marker,IF(AND(AQ$29&gt;ProposalToGnatt[[#This Row],[Start Date]],AQ$29&lt;ProposalToGnatt[[#This Row],[Start Date]]+ProposalToGnatt[[#This Row],[Days]]),$G$5,"")),"")</f>
        <v/>
      </c>
      <c r="AR82" s="37" t="str">
        <f ca="1">IFERROR(+IF(AR$29=ProposalToGnatt[[#This Row],[Start Date]],Milestone_Marker,IF(AND(AR$29&gt;ProposalToGnatt[[#This Row],[Start Date]],AR$29&lt;ProposalToGnatt[[#This Row],[Start Date]]+ProposalToGnatt[[#This Row],[Days]]),$G$5,"")),"")</f>
        <v/>
      </c>
      <c r="AS82" s="37" t="str">
        <f ca="1">IFERROR(+IF(AS$29=ProposalToGnatt[[#This Row],[Start Date]],Milestone_Marker,IF(AND(AS$29&gt;ProposalToGnatt[[#This Row],[Start Date]],AS$29&lt;ProposalToGnatt[[#This Row],[Start Date]]+ProposalToGnatt[[#This Row],[Days]]),$G$5,"")),"")</f>
        <v/>
      </c>
      <c r="AT82" s="37" t="str">
        <f ca="1">IFERROR(+IF(AT$29=ProposalToGnatt[[#This Row],[Start Date]],Milestone_Marker,IF(AND(AT$29&gt;ProposalToGnatt[[#This Row],[Start Date]],AT$29&lt;ProposalToGnatt[[#This Row],[Start Date]]+ProposalToGnatt[[#This Row],[Days]]),$G$5,"")),"")</f>
        <v/>
      </c>
      <c r="AU82" s="37" t="str">
        <f ca="1">IFERROR(+IF(AU$29=ProposalToGnatt[[#This Row],[Start Date]],Milestone_Marker,IF(AND(AU$29&gt;ProposalToGnatt[[#This Row],[Start Date]],AU$29&lt;ProposalToGnatt[[#This Row],[Start Date]]+ProposalToGnatt[[#This Row],[Days]]),$G$5,"")),"")</f>
        <v/>
      </c>
      <c r="AV82" s="37" t="str">
        <f ca="1">IFERROR(+IF(AV$29=ProposalToGnatt[[#This Row],[Start Date]],Milestone_Marker,IF(AND(AV$29&gt;ProposalToGnatt[[#This Row],[Start Date]],AV$29&lt;ProposalToGnatt[[#This Row],[Start Date]]+ProposalToGnatt[[#This Row],[Days]]),$G$5,"")),"")</f>
        <v/>
      </c>
      <c r="AW82" s="37" t="str">
        <f ca="1">IFERROR(+IF(AW$29=ProposalToGnatt[[#This Row],[Start Date]],Milestone_Marker,IF(AND(AW$29&gt;ProposalToGnatt[[#This Row],[Start Date]],AW$29&lt;ProposalToGnatt[[#This Row],[Start Date]]+ProposalToGnatt[[#This Row],[Days]]),$G$5,"")),"")</f>
        <v/>
      </c>
      <c r="AX82" s="37" t="str">
        <f ca="1">IFERROR(+IF(AX$29=ProposalToGnatt[[#This Row],[Start Date]],Milestone_Marker,IF(AND(AX$29&gt;ProposalToGnatt[[#This Row],[Start Date]],AX$29&lt;ProposalToGnatt[[#This Row],[Start Date]]+ProposalToGnatt[[#This Row],[Days]]),$G$5,"")),"")</f>
        <v/>
      </c>
      <c r="AY82" s="37" t="str">
        <f ca="1">IFERROR(+IF(AY$29=ProposalToGnatt[[#This Row],[Start Date]],Milestone_Marker,IF(AND(AY$29&gt;ProposalToGnatt[[#This Row],[Start Date]],AY$29&lt;ProposalToGnatt[[#This Row],[Start Date]]+ProposalToGnatt[[#This Row],[Days]]),$G$5,"")),"")</f>
        <v/>
      </c>
      <c r="AZ82" s="37" t="str">
        <f ca="1">IFERROR(+IF(AZ$29=ProposalToGnatt[[#This Row],[Start Date]],Milestone_Marker,IF(AND(AZ$29&gt;ProposalToGnatt[[#This Row],[Start Date]],AZ$29&lt;ProposalToGnatt[[#This Row],[Start Date]]+ProposalToGnatt[[#This Row],[Days]]),$G$5,"")),"")</f>
        <v/>
      </c>
      <c r="BA82" s="37" t="str">
        <f ca="1">IFERROR(+IF(BA$29=ProposalToGnatt[[#This Row],[Start Date]],Milestone_Marker,IF(AND(BA$29&gt;ProposalToGnatt[[#This Row],[Start Date]],BA$29&lt;ProposalToGnatt[[#This Row],[Start Date]]+ProposalToGnatt[[#This Row],[Days]]),$G$5,"")),"")</f>
        <v/>
      </c>
      <c r="BB82" s="37" t="str">
        <f ca="1">IFERROR(+IF(BB$29=ProposalToGnatt[[#This Row],[Start Date]],Milestone_Marker,IF(AND(BB$29&gt;ProposalToGnatt[[#This Row],[Start Date]],BB$29&lt;ProposalToGnatt[[#This Row],[Start Date]]+ProposalToGnatt[[#This Row],[Days]]),$G$5,"")),"")</f>
        <v/>
      </c>
      <c r="BC82" s="37" t="str">
        <f ca="1">IFERROR(+IF(BC$29=ProposalToGnatt[[#This Row],[Start Date]],Milestone_Marker,IF(AND(BC$29&gt;ProposalToGnatt[[#This Row],[Start Date]],BC$29&lt;ProposalToGnatt[[#This Row],[Start Date]]+ProposalToGnatt[[#This Row],[Days]]),$G$5,"")),"")</f>
        <v/>
      </c>
      <c r="BD82" s="37" t="str">
        <f ca="1">IFERROR(+IF(BD$29=ProposalToGnatt[[#This Row],[Start Date]],Milestone_Marker,IF(AND(BD$29&gt;ProposalToGnatt[[#This Row],[Start Date]],BD$29&lt;ProposalToGnatt[[#This Row],[Start Date]]+ProposalToGnatt[[#This Row],[Days]]),$G$5,"")),"")</f>
        <v/>
      </c>
      <c r="BE82" s="37" t="str">
        <f ca="1">IFERROR(+IF(BE$29=ProposalToGnatt[[#This Row],[Start Date]],Milestone_Marker,IF(AND(BE$29&gt;ProposalToGnatt[[#This Row],[Start Date]],BE$29&lt;ProposalToGnatt[[#This Row],[Start Date]]+ProposalToGnatt[[#This Row],[Days]]),$G$5,"")),"")</f>
        <v/>
      </c>
      <c r="BF82" s="37" t="str">
        <f ca="1">IFERROR(+IF(BF$29=ProposalToGnatt[[#This Row],[Start Date]],Milestone_Marker,IF(AND(BF$29&gt;ProposalToGnatt[[#This Row],[Start Date]],BF$29&lt;ProposalToGnatt[[#This Row],[Start Date]]+ProposalToGnatt[[#This Row],[Days]]),$G$5,"")),"")</f>
        <v/>
      </c>
      <c r="BG82" s="37" t="str">
        <f ca="1">IFERROR(+IF(BG$29=ProposalToGnatt[[#This Row],[Start Date]],Milestone_Marker,IF(AND(BG$29&gt;ProposalToGnatt[[#This Row],[Start Date]],BG$29&lt;ProposalToGnatt[[#This Row],[Start Date]]+ProposalToGnatt[[#This Row],[Days]]),$G$5,"")),"")</f>
        <v/>
      </c>
      <c r="BH82" s="37" t="str">
        <f ca="1">IFERROR(+IF(BH$29=ProposalToGnatt[[#This Row],[Start Date]],Milestone_Marker,IF(AND(BH$29&gt;ProposalToGnatt[[#This Row],[Start Date]],BH$29&lt;ProposalToGnatt[[#This Row],[Start Date]]+ProposalToGnatt[[#This Row],[Days]]),$G$5,"")),"")</f>
        <v/>
      </c>
      <c r="BI82" s="37" t="str">
        <f ca="1">IFERROR(+IF(BI$29=ProposalToGnatt[[#This Row],[Start Date]],Milestone_Marker,IF(AND(BI$29&gt;ProposalToGnatt[[#This Row],[Start Date]],BI$29&lt;ProposalToGnatt[[#This Row],[Start Date]]+ProposalToGnatt[[#This Row],[Days]]),$G$5,"")),"")</f>
        <v/>
      </c>
      <c r="BJ82" s="37" t="str">
        <f ca="1">IFERROR(+IF(BJ$29=ProposalToGnatt[[#This Row],[Start Date]],Milestone_Marker,IF(AND(BJ$29&gt;ProposalToGnatt[[#This Row],[Start Date]],BJ$29&lt;ProposalToGnatt[[#This Row],[Start Date]]+ProposalToGnatt[[#This Row],[Days]]),$G$5,"")),"")</f>
        <v/>
      </c>
      <c r="BK82" s="37" t="str">
        <f ca="1">IFERROR(+IF(BK$29=ProposalToGnatt[[#This Row],[Start Date]],Milestone_Marker,IF(AND(BK$29&gt;ProposalToGnatt[[#This Row],[Start Date]],BK$29&lt;ProposalToGnatt[[#This Row],[Start Date]]+ProposalToGnatt[[#This Row],[Days]]),$G$5,"")),"")</f>
        <v/>
      </c>
      <c r="BL82" s="37" t="str">
        <f ca="1">IFERROR(+IF(BL$29=ProposalToGnatt[[#This Row],[Start Date]],Milestone_Marker,IF(AND(BL$29&gt;ProposalToGnatt[[#This Row],[Start Date]],BL$29&lt;ProposalToGnatt[[#This Row],[Start Date]]+ProposalToGnatt[[#This Row],[Days]]),$G$5,"")),"")</f>
        <v/>
      </c>
      <c r="BM82" s="37" t="str">
        <f ca="1">IFERROR(+IF(BM$29=ProposalToGnatt[[#This Row],[Start Date]],Milestone_Marker,IF(AND(BM$29&gt;ProposalToGnatt[[#This Row],[Start Date]],BM$29&lt;ProposalToGnatt[[#This Row],[Start Date]]+ProposalToGnatt[[#This Row],[Days]]),$G$5,"")),"")</f>
        <v/>
      </c>
      <c r="BN82" s="37" t="str">
        <f ca="1">IFERROR(+IF(BN$29=ProposalToGnatt[[#This Row],[Start Date]],Milestone_Marker,IF(AND(BN$29&gt;ProposalToGnatt[[#This Row],[Start Date]],BN$29&lt;ProposalToGnatt[[#This Row],[Start Date]]+ProposalToGnatt[[#This Row],[Days]]),$G$5,"")),"")</f>
        <v/>
      </c>
      <c r="BO82" s="37" t="str">
        <f ca="1">IFERROR(+IF(BO$29=ProposalToGnatt[[#This Row],[Start Date]],Milestone_Marker,IF(AND(BO$29&gt;ProposalToGnatt[[#This Row],[Start Date]],BO$29&lt;ProposalToGnatt[[#This Row],[Start Date]]+ProposalToGnatt[[#This Row],[Days]]),$G$5,"")),"")</f>
        <v/>
      </c>
      <c r="BP82" s="37" t="str">
        <f ca="1">IFERROR(+IF(BP$29=ProposalToGnatt[[#This Row],[Start Date]],Milestone_Marker,IF(AND(BP$29&gt;ProposalToGnatt[[#This Row],[Start Date]],BP$29&lt;ProposalToGnatt[[#This Row],[Start Date]]+ProposalToGnatt[[#This Row],[Days]]),$G$5,"")),"")</f>
        <v/>
      </c>
      <c r="BQ82" s="37" t="str">
        <f ca="1">IFERROR(+IF(BQ$29=ProposalToGnatt[[#This Row],[Start Date]],Milestone_Marker,IF(AND(BQ$29&gt;ProposalToGnatt[[#This Row],[Start Date]],BQ$29&lt;ProposalToGnatt[[#This Row],[Start Date]]+ProposalToGnatt[[#This Row],[Days]]),$G$5,"")),"")</f>
        <v/>
      </c>
      <c r="BR82" s="37" t="str">
        <f ca="1">IFERROR(+IF(BR$29=ProposalToGnatt[[#This Row],[Start Date]],Milestone_Marker,IF(AND(BR$29&gt;ProposalToGnatt[[#This Row],[Start Date]],BR$29&lt;ProposalToGnatt[[#This Row],[Start Date]]+ProposalToGnatt[[#This Row],[Days]]),$G$5,"")),"")</f>
        <v/>
      </c>
      <c r="BS82" s="37" t="str">
        <f ca="1">IFERROR(+IF(BS$29=ProposalToGnatt[[#This Row],[Start Date]],Milestone_Marker,IF(AND(BS$29&gt;ProposalToGnatt[[#This Row],[Start Date]],BS$29&lt;ProposalToGnatt[[#This Row],[Start Date]]+ProposalToGnatt[[#This Row],[Days]]),$G$5,"")),"")</f>
        <v/>
      </c>
      <c r="BT82" s="37" t="str">
        <f ca="1">IFERROR(+IF(BT$29=ProposalToGnatt[[#This Row],[Start Date]],Milestone_Marker,IF(AND(BT$29&gt;ProposalToGnatt[[#This Row],[Start Date]],BT$29&lt;ProposalToGnatt[[#This Row],[Start Date]]+ProposalToGnatt[[#This Row],[Days]]),$G$5,"")),"")</f>
        <v/>
      </c>
      <c r="BU82" s="37" t="str">
        <f ca="1">IFERROR(+IF(BU$29=ProposalToGnatt[[#This Row],[Start Date]],Milestone_Marker,IF(AND(BU$29&gt;ProposalToGnatt[[#This Row],[Start Date]],BU$29&lt;ProposalToGnatt[[#This Row],[Start Date]]+ProposalToGnatt[[#This Row],[Days]]),$G$5,"")),"")</f>
        <v/>
      </c>
      <c r="BV82" s="37" t="str">
        <f ca="1">IFERROR(+IF(BV$29=ProposalToGnatt[[#This Row],[Start Date]],Milestone_Marker,IF(AND(BV$29&gt;ProposalToGnatt[[#This Row],[Start Date]],BV$29&lt;ProposalToGnatt[[#This Row],[Start Date]]+ProposalToGnatt[[#This Row],[Days]]),$G$5,"")),"")</f>
        <v/>
      </c>
      <c r="BW82" s="37" t="str">
        <f ca="1">IFERROR(+IF(BW$29=ProposalToGnatt[[#This Row],[Start Date]],Milestone_Marker,IF(AND(BW$29&gt;ProposalToGnatt[[#This Row],[Start Date]],BW$29&lt;ProposalToGnatt[[#This Row],[Start Date]]+ProposalToGnatt[[#This Row],[Days]]),$G$5,"")),"")</f>
        <v/>
      </c>
      <c r="BX82" s="37" t="str">
        <f ca="1">IFERROR(+IF(BX$29=ProposalToGnatt[[#This Row],[Start Date]],Milestone_Marker,IF(AND(BX$29&gt;ProposalToGnatt[[#This Row],[Start Date]],BX$29&lt;ProposalToGnatt[[#This Row],[Start Date]]+ProposalToGnatt[[#This Row],[Days]]),$G$5,"")),"")</f>
        <v/>
      </c>
      <c r="BY82" s="37" t="str">
        <f ca="1">IFERROR(+IF(BY$29=ProposalToGnatt[[#This Row],[Start Date]],Milestone_Marker,IF(AND(BY$29&gt;ProposalToGnatt[[#This Row],[Start Date]],BY$29&lt;ProposalToGnatt[[#This Row],[Start Date]]+ProposalToGnatt[[#This Row],[Days]]),$G$5,"")),"")</f>
        <v/>
      </c>
      <c r="BZ82" s="37" t="str">
        <f ca="1">IFERROR(+IF(BZ$29=ProposalToGnatt[[#This Row],[Start Date]],Milestone_Marker,IF(AND(BZ$29&gt;ProposalToGnatt[[#This Row],[Start Date]],BZ$29&lt;ProposalToGnatt[[#This Row],[Start Date]]+ProposalToGnatt[[#This Row],[Days]]),$G$5,"")),"")</f>
        <v/>
      </c>
      <c r="CA82" s="37" t="str">
        <f ca="1">IFERROR(+IF(CA$29=ProposalToGnatt[[#This Row],[Start Date]],Milestone_Marker,IF(AND(CA$29&gt;ProposalToGnatt[[#This Row],[Start Date]],CA$29&lt;ProposalToGnatt[[#This Row],[Start Date]]+ProposalToGnatt[[#This Row],[Days]]),$G$5,"")),"")</f>
        <v/>
      </c>
      <c r="CB82" s="37" t="str">
        <f ca="1">IFERROR(+IF(CB$29=ProposalToGnatt[[#This Row],[Start Date]],Milestone_Marker,IF(AND(CB$29&gt;ProposalToGnatt[[#This Row],[Start Date]],CB$29&lt;ProposalToGnatt[[#This Row],[Start Date]]+ProposalToGnatt[[#This Row],[Days]]),$G$5,"")),"")</f>
        <v/>
      </c>
      <c r="CC82" s="37" t="str">
        <f ca="1">IFERROR(+IF(CC$29=ProposalToGnatt[[#This Row],[Start Date]],Milestone_Marker,IF(AND(CC$29&gt;ProposalToGnatt[[#This Row],[Start Date]],CC$29&lt;ProposalToGnatt[[#This Row],[Start Date]]+ProposalToGnatt[[#This Row],[Days]]),$G$5,"")),"")</f>
        <v/>
      </c>
      <c r="CD82" s="37" t="str">
        <f ca="1">IFERROR(+IF(CD$29=ProposalToGnatt[[#This Row],[Start Date]],Milestone_Marker,IF(AND(CD$29&gt;ProposalToGnatt[[#This Row],[Start Date]],CD$29&lt;ProposalToGnatt[[#This Row],[Start Date]]+ProposalToGnatt[[#This Row],[Days]]),$G$5,"")),"")</f>
        <v/>
      </c>
      <c r="CE82" s="37" t="str">
        <f ca="1">IFERROR(+IF(CE$29=ProposalToGnatt[[#This Row],[Start Date]],Milestone_Marker,IF(AND(CE$29&gt;ProposalToGnatt[[#This Row],[Start Date]],CE$29&lt;ProposalToGnatt[[#This Row],[Start Date]]+ProposalToGnatt[[#This Row],[Days]]),$G$5,"")),"")</f>
        <v/>
      </c>
      <c r="CF82" s="37" t="str">
        <f ca="1">IFERROR(+IF(CF$29=ProposalToGnatt[[#This Row],[Start Date]],Milestone_Marker,IF(AND(CF$29&gt;ProposalToGnatt[[#This Row],[Start Date]],CF$29&lt;ProposalToGnatt[[#This Row],[Start Date]]+ProposalToGnatt[[#This Row],[Days]]),$G$5,"")),"")</f>
        <v/>
      </c>
      <c r="CG82" s="37" t="str">
        <f ca="1">IFERROR(+IF(CG$29=ProposalToGnatt[[#This Row],[Start Date]],Milestone_Marker,IF(AND(CG$29&gt;ProposalToGnatt[[#This Row],[Start Date]],CG$29&lt;ProposalToGnatt[[#This Row],[Start Date]]+ProposalToGnatt[[#This Row],[Days]]),$G$5,"")),"")</f>
        <v/>
      </c>
      <c r="CH82" s="37" t="str">
        <f ca="1">IFERROR(+IF(CH$29=ProposalToGnatt[[#This Row],[Start Date]],Milestone_Marker,IF(AND(CH$29&gt;ProposalToGnatt[[#This Row],[Start Date]],CH$29&lt;ProposalToGnatt[[#This Row],[Start Date]]+ProposalToGnatt[[#This Row],[Days]]),$G$5,"")),"")</f>
        <v/>
      </c>
      <c r="CI82" s="37" t="str">
        <f ca="1">IFERROR(+IF(CI$29=ProposalToGnatt[[#This Row],[Start Date]],Milestone_Marker,IF(AND(CI$29&gt;ProposalToGnatt[[#This Row],[Start Date]],CI$29&lt;ProposalToGnatt[[#This Row],[Start Date]]+ProposalToGnatt[[#This Row],[Days]]),$G$5,"")),"")</f>
        <v/>
      </c>
      <c r="CJ82" s="37" t="str">
        <f ca="1">IFERROR(+IF(CJ$29=ProposalToGnatt[[#This Row],[Start Date]],Milestone_Marker,IF(AND(CJ$29&gt;ProposalToGnatt[[#This Row],[Start Date]],CJ$29&lt;ProposalToGnatt[[#This Row],[Start Date]]+ProposalToGnatt[[#This Row],[Days]]),$G$5,"")),"")</f>
        <v/>
      </c>
      <c r="CK82" s="37" t="str">
        <f ca="1">IFERROR(+IF(CK$29=ProposalToGnatt[[#This Row],[Start Date]],Milestone_Marker,IF(AND(CK$29&gt;ProposalToGnatt[[#This Row],[Start Date]],CK$29&lt;ProposalToGnatt[[#This Row],[Start Date]]+ProposalToGnatt[[#This Row],[Days]]),$G$5,"")),"")</f>
        <v/>
      </c>
      <c r="CL82" s="37" t="str">
        <f ca="1">IFERROR(+IF(CL$29=ProposalToGnatt[[#This Row],[Start Date]],Milestone_Marker,IF(AND(CL$29&gt;ProposalToGnatt[[#This Row],[Start Date]],CL$29&lt;ProposalToGnatt[[#This Row],[Start Date]]+ProposalToGnatt[[#This Row],[Days]]),$G$5,"")),"")</f>
        <v/>
      </c>
      <c r="CM82" s="37" t="str">
        <f ca="1">IFERROR(+IF(CM$29=ProposalToGnatt[[#This Row],[Start Date]],Milestone_Marker,IF(AND(CM$29&gt;ProposalToGnatt[[#This Row],[Start Date]],CM$29&lt;ProposalToGnatt[[#This Row],[Start Date]]+ProposalToGnatt[[#This Row],[Days]]),$G$5,"")),"")</f>
        <v/>
      </c>
      <c r="CN82" s="37" t="str">
        <f ca="1">IFERROR(+IF(CN$29=ProposalToGnatt[[#This Row],[Start Date]],Milestone_Marker,IF(AND(CN$29&gt;ProposalToGnatt[[#This Row],[Start Date]],CN$29&lt;ProposalToGnatt[[#This Row],[Start Date]]+ProposalToGnatt[[#This Row],[Days]]),$G$5,"")),"")</f>
        <v/>
      </c>
      <c r="CO82" s="37" t="str">
        <f ca="1">IFERROR(+IF(CO$29=ProposalToGnatt[[#This Row],[Start Date]],Milestone_Marker,IF(AND(CO$29&gt;ProposalToGnatt[[#This Row],[Start Date]],CO$29&lt;ProposalToGnatt[[#This Row],[Start Date]]+ProposalToGnatt[[#This Row],[Days]]),$G$5,"")),"")</f>
        <v/>
      </c>
      <c r="CP82" s="37" t="str">
        <f ca="1">IFERROR(+IF(CP$29=ProposalToGnatt[[#This Row],[Start Date]],Milestone_Marker,IF(AND(CP$29&gt;ProposalToGnatt[[#This Row],[Start Date]],CP$29&lt;ProposalToGnatt[[#This Row],[Start Date]]+ProposalToGnatt[[#This Row],[Days]]),$G$5,"")),"")</f>
        <v/>
      </c>
      <c r="CQ82" s="37" t="str">
        <f ca="1">IFERROR(+IF(CQ$29=ProposalToGnatt[[#This Row],[Start Date]],Milestone_Marker,IF(AND(CQ$29&gt;ProposalToGnatt[[#This Row],[Start Date]],CQ$29&lt;ProposalToGnatt[[#This Row],[Start Date]]+ProposalToGnatt[[#This Row],[Days]]),$G$5,"")),"")</f>
        <v/>
      </c>
      <c r="CR82" s="37" t="str">
        <f ca="1">IFERROR(+IF(CR$29=ProposalToGnatt[[#This Row],[Start Date]],Milestone_Marker,IF(AND(CR$29&gt;ProposalToGnatt[[#This Row],[Start Date]],CR$29&lt;ProposalToGnatt[[#This Row],[Start Date]]+ProposalToGnatt[[#This Row],[Days]]),$G$5,"")),"")</f>
        <v/>
      </c>
      <c r="CS82" s="37" t="str">
        <f ca="1">IFERROR(+IF(CS$29=ProposalToGnatt[[#This Row],[Start Date]],Milestone_Marker,IF(AND(CS$29&gt;ProposalToGnatt[[#This Row],[Start Date]],CS$29&lt;ProposalToGnatt[[#This Row],[Start Date]]+ProposalToGnatt[[#This Row],[Days]]),$G$5,"")),"")</f>
        <v/>
      </c>
      <c r="CT82" s="37" t="str">
        <f ca="1">IFERROR(+IF(CT$29=ProposalToGnatt[[#This Row],[Start Date]],Milestone_Marker,IF(AND(CT$29&gt;ProposalToGnatt[[#This Row],[Start Date]],CT$29&lt;ProposalToGnatt[[#This Row],[Start Date]]+ProposalToGnatt[[#This Row],[Days]]),$G$5,"")),"")</f>
        <v/>
      </c>
      <c r="CU82" s="37" t="str">
        <f ca="1">IFERROR(+IF(CU$29=ProposalToGnatt[[#This Row],[Start Date]],Milestone_Marker,IF(AND(CU$29&gt;ProposalToGnatt[[#This Row],[Start Date]],CU$29&lt;ProposalToGnatt[[#This Row],[Start Date]]+ProposalToGnatt[[#This Row],[Days]]),$G$5,"")),"")</f>
        <v/>
      </c>
      <c r="CV82" s="37" t="str">
        <f ca="1">IFERROR(+IF(CT$29=#REF!,Milestone_Marker,IF(AND(CT$29&gt;#REF!,CT$29&lt;=#REF!+#REF!),$G$5,"")),"")</f>
        <v/>
      </c>
      <c r="CW82" s="37" t="str">
        <f ca="1">IFERROR(+IF(CU$29=#REF!,Milestone_Marker,IF(AND(CU$29&gt;#REF!,CU$29&lt;=#REF!+#REF!),$G$5,"")),"")</f>
        <v/>
      </c>
      <c r="CX82" s="37"/>
      <c r="CY82" s="37"/>
      <c r="CZ82" s="37"/>
      <c r="DA82" s="37"/>
      <c r="DB82" s="37"/>
      <c r="DC82" s="37"/>
      <c r="DD82" s="37"/>
      <c r="DE82" s="37"/>
      <c r="DF82" s="37"/>
      <c r="DG82" s="37"/>
      <c r="DH82" s="37"/>
      <c r="DI82" s="37"/>
      <c r="DJ82" s="37"/>
      <c r="DK82" s="37"/>
      <c r="DL82" s="37"/>
      <c r="DM82" s="37"/>
      <c r="DN82" s="37"/>
      <c r="DO82" s="37"/>
      <c r="DP82" s="37"/>
      <c r="DQ82" s="37"/>
      <c r="DR82" s="37"/>
      <c r="DS82" s="37"/>
      <c r="DT82" s="37"/>
      <c r="DU82" s="37"/>
    </row>
    <row r="83" spans="1:125" ht="15" x14ac:dyDescent="0.25">
      <c r="A83" t="s">
        <v>428</v>
      </c>
      <c r="B83">
        <v>58</v>
      </c>
      <c r="C83" t="s">
        <v>398</v>
      </c>
      <c r="D83" t="s">
        <v>399</v>
      </c>
      <c r="E83" t="s">
        <v>400</v>
      </c>
      <c r="F83">
        <v>1</v>
      </c>
      <c r="G83" s="14"/>
      <c r="H83" s="14"/>
      <c r="I83"/>
      <c r="J83">
        <v>2</v>
      </c>
      <c r="K83" s="303"/>
      <c r="L83"/>
      <c r="M83" s="14"/>
      <c r="N83" s="352"/>
      <c r="O83" s="340"/>
      <c r="P83" s="37" t="str">
        <f ca="1">IFERROR(+IF(P$29=ProposalToGnatt[[#This Row],[Start Date]],Milestone_Marker,IF(AND(P$29&gt;ProposalToGnatt[[#This Row],[Start Date]],P$29&lt;ProposalToGnatt[[#This Row],[Start Date]]+ProposalToGnatt[[#This Row],[Days]]),$G$5,"")),"")</f>
        <v/>
      </c>
      <c r="Q83" s="37" t="str">
        <f ca="1">IFERROR(+IF(Q$29=ProposalToGnatt[[#This Row],[Start Date]],Milestone_Marker,IF(AND(Q$29&gt;ProposalToGnatt[[#This Row],[Start Date]],Q$29&lt;ProposalToGnatt[[#This Row],[Start Date]]+ProposalToGnatt[[#This Row],[Days]]),$G$5,"")),"")</f>
        <v/>
      </c>
      <c r="R83" s="37" t="str">
        <f ca="1">IFERROR(+IF(R$29=ProposalToGnatt[[#This Row],[Start Date]],Milestone_Marker,IF(AND(R$29&gt;ProposalToGnatt[[#This Row],[Start Date]],R$29&lt;ProposalToGnatt[[#This Row],[Start Date]]+ProposalToGnatt[[#This Row],[Days]]),$G$5,"")),"")</f>
        <v/>
      </c>
      <c r="S83" s="37" t="str">
        <f ca="1">IFERROR(+IF(S$29=ProposalToGnatt[[#This Row],[Start Date]],Milestone_Marker,IF(AND(S$29&gt;ProposalToGnatt[[#This Row],[Start Date]],S$29&lt;ProposalToGnatt[[#This Row],[Start Date]]+ProposalToGnatt[[#This Row],[Days]]),$G$5,"")),"")</f>
        <v/>
      </c>
      <c r="T83" s="37" t="str">
        <f ca="1">IFERROR(+IF(T$29=ProposalToGnatt[[#This Row],[Start Date]],Milestone_Marker,IF(AND(T$29&gt;ProposalToGnatt[[#This Row],[Start Date]],T$29&lt;ProposalToGnatt[[#This Row],[Start Date]]+ProposalToGnatt[[#This Row],[Days]]),$G$5,"")),"")</f>
        <v/>
      </c>
      <c r="U83" s="37" t="str">
        <f ca="1">IFERROR(+IF(U$29=ProposalToGnatt[[#This Row],[Start Date]],Milestone_Marker,IF(AND(U$29&gt;ProposalToGnatt[[#This Row],[Start Date]],U$29&lt;ProposalToGnatt[[#This Row],[Start Date]]+ProposalToGnatt[[#This Row],[Days]]),$G$5,"")),"")</f>
        <v/>
      </c>
      <c r="V83" s="37" t="str">
        <f ca="1">IFERROR(+IF(V$29=ProposalToGnatt[[#This Row],[Start Date]],Milestone_Marker,IF(AND(V$29&gt;ProposalToGnatt[[#This Row],[Start Date]],V$29&lt;ProposalToGnatt[[#This Row],[Start Date]]+ProposalToGnatt[[#This Row],[Days]]),$G$5,"")),"")</f>
        <v/>
      </c>
      <c r="W83" s="37" t="str">
        <f ca="1">IFERROR(+IF(W$29=ProposalToGnatt[[#This Row],[Start Date]],Milestone_Marker,IF(AND(W$29&gt;ProposalToGnatt[[#This Row],[Start Date]],W$29&lt;ProposalToGnatt[[#This Row],[Start Date]]+ProposalToGnatt[[#This Row],[Days]]),$G$5,"")),"")</f>
        <v/>
      </c>
      <c r="X83" s="37" t="str">
        <f ca="1">IFERROR(+IF(X$29=ProposalToGnatt[[#This Row],[Start Date]],Milestone_Marker,IF(AND(X$29&gt;ProposalToGnatt[[#This Row],[Start Date]],X$29&lt;ProposalToGnatt[[#This Row],[Start Date]]+ProposalToGnatt[[#This Row],[Days]]),$G$5,"")),"")</f>
        <v/>
      </c>
      <c r="Y83" s="37" t="str">
        <f ca="1">IFERROR(+IF(Y$29=ProposalToGnatt[[#This Row],[Start Date]],Milestone_Marker,IF(AND(Y$29&gt;ProposalToGnatt[[#This Row],[Start Date]],Y$29&lt;ProposalToGnatt[[#This Row],[Start Date]]+ProposalToGnatt[[#This Row],[Days]]),$G$5,"")),"")</f>
        <v/>
      </c>
      <c r="Z83" s="37" t="str">
        <f ca="1">IFERROR(+IF(Z$29=ProposalToGnatt[[#This Row],[Start Date]],Milestone_Marker,IF(AND(Z$29&gt;ProposalToGnatt[[#This Row],[Start Date]],Z$29&lt;ProposalToGnatt[[#This Row],[Start Date]]+ProposalToGnatt[[#This Row],[Days]]),$G$5,"")),"")</f>
        <v/>
      </c>
      <c r="AA83" s="37" t="str">
        <f ca="1">IFERROR(+IF(AA$29=ProposalToGnatt[[#This Row],[Start Date]],Milestone_Marker,IF(AND(AA$29&gt;ProposalToGnatt[[#This Row],[Start Date]],AA$29&lt;ProposalToGnatt[[#This Row],[Start Date]]+ProposalToGnatt[[#This Row],[Days]]),$G$5,"")),"")</f>
        <v/>
      </c>
      <c r="AB83" s="37" t="str">
        <f ca="1">IFERROR(+IF(AB$29=ProposalToGnatt[[#This Row],[Start Date]],Milestone_Marker,IF(AND(AB$29&gt;ProposalToGnatt[[#This Row],[Start Date]],AB$29&lt;ProposalToGnatt[[#This Row],[Start Date]]+ProposalToGnatt[[#This Row],[Days]]),$G$5,"")),"")</f>
        <v/>
      </c>
      <c r="AC83" s="37" t="str">
        <f ca="1">IFERROR(+IF(AC$29=ProposalToGnatt[[#This Row],[Start Date]],Milestone_Marker,IF(AND(AC$29&gt;ProposalToGnatt[[#This Row],[Start Date]],AC$29&lt;ProposalToGnatt[[#This Row],[Start Date]]+ProposalToGnatt[[#This Row],[Days]]),$G$5,"")),"")</f>
        <v/>
      </c>
      <c r="AD83" s="37" t="str">
        <f ca="1">IFERROR(+IF(AD$29=ProposalToGnatt[[#This Row],[Start Date]],Milestone_Marker,IF(AND(AD$29&gt;ProposalToGnatt[[#This Row],[Start Date]],AD$29&lt;ProposalToGnatt[[#This Row],[Start Date]]+ProposalToGnatt[[#This Row],[Days]]),$G$5,"")),"")</f>
        <v/>
      </c>
      <c r="AE83" s="37" t="str">
        <f ca="1">IFERROR(+IF(AE$29=ProposalToGnatt[[#This Row],[Start Date]],Milestone_Marker,IF(AND(AE$29&gt;ProposalToGnatt[[#This Row],[Start Date]],AE$29&lt;ProposalToGnatt[[#This Row],[Start Date]]+ProposalToGnatt[[#This Row],[Days]]),$G$5,"")),"")</f>
        <v/>
      </c>
      <c r="AF83" s="37" t="str">
        <f ca="1">IFERROR(+IF(AF$29=ProposalToGnatt[[#This Row],[Start Date]],Milestone_Marker,IF(AND(AF$29&gt;ProposalToGnatt[[#This Row],[Start Date]],AF$29&lt;ProposalToGnatt[[#This Row],[Start Date]]+ProposalToGnatt[[#This Row],[Days]]),$G$5,"")),"")</f>
        <v/>
      </c>
      <c r="AG83" s="37" t="str">
        <f ca="1">IFERROR(+IF(AG$29=ProposalToGnatt[[#This Row],[Start Date]],Milestone_Marker,IF(AND(AG$29&gt;ProposalToGnatt[[#This Row],[Start Date]],AG$29&lt;ProposalToGnatt[[#This Row],[Start Date]]+ProposalToGnatt[[#This Row],[Days]]),$G$5,"")),"")</f>
        <v/>
      </c>
      <c r="AH83" s="37" t="str">
        <f ca="1">IFERROR(+IF(AH$29=ProposalToGnatt[[#This Row],[Start Date]],Milestone_Marker,IF(AND(AH$29&gt;ProposalToGnatt[[#This Row],[Start Date]],AH$29&lt;ProposalToGnatt[[#This Row],[Start Date]]+ProposalToGnatt[[#This Row],[Days]]),$G$5,"")),"")</f>
        <v/>
      </c>
      <c r="AI83" s="37" t="str">
        <f ca="1">IFERROR(+IF(AI$29=ProposalToGnatt[[#This Row],[Start Date]],Milestone_Marker,IF(AND(AI$29&gt;ProposalToGnatt[[#This Row],[Start Date]],AI$29&lt;ProposalToGnatt[[#This Row],[Start Date]]+ProposalToGnatt[[#This Row],[Days]]),$G$5,"")),"")</f>
        <v/>
      </c>
      <c r="AJ83" s="37" t="str">
        <f ca="1">IFERROR(+IF(AJ$29=ProposalToGnatt[[#This Row],[Start Date]],Milestone_Marker,IF(AND(AJ$29&gt;ProposalToGnatt[[#This Row],[Start Date]],AJ$29&lt;ProposalToGnatt[[#This Row],[Start Date]]+ProposalToGnatt[[#This Row],[Days]]),$G$5,"")),"")</f>
        <v/>
      </c>
      <c r="AK83" s="37" t="str">
        <f ca="1">IFERROR(+IF(AK$29=ProposalToGnatt[[#This Row],[Start Date]],Milestone_Marker,IF(AND(AK$29&gt;ProposalToGnatt[[#This Row],[Start Date]],AK$29&lt;ProposalToGnatt[[#This Row],[Start Date]]+ProposalToGnatt[[#This Row],[Days]]),$G$5,"")),"")</f>
        <v/>
      </c>
      <c r="AL83" s="37" t="str">
        <f ca="1">IFERROR(+IF(AL$29=ProposalToGnatt[[#This Row],[Start Date]],Milestone_Marker,IF(AND(AL$29&gt;ProposalToGnatt[[#This Row],[Start Date]],AL$29&lt;ProposalToGnatt[[#This Row],[Start Date]]+ProposalToGnatt[[#This Row],[Days]]),$G$5,"")),"")</f>
        <v/>
      </c>
      <c r="AM83" s="37" t="str">
        <f ca="1">IFERROR(+IF(AM$29=ProposalToGnatt[[#This Row],[Start Date]],Milestone_Marker,IF(AND(AM$29&gt;ProposalToGnatt[[#This Row],[Start Date]],AM$29&lt;ProposalToGnatt[[#This Row],[Start Date]]+ProposalToGnatt[[#This Row],[Days]]),$G$5,"")),"")</f>
        <v/>
      </c>
      <c r="AN83" s="37" t="str">
        <f ca="1">IFERROR(+IF(AN$29=ProposalToGnatt[[#This Row],[Start Date]],Milestone_Marker,IF(AND(AN$29&gt;ProposalToGnatt[[#This Row],[Start Date]],AN$29&lt;ProposalToGnatt[[#This Row],[Start Date]]+ProposalToGnatt[[#This Row],[Days]]),$G$5,"")),"")</f>
        <v/>
      </c>
      <c r="AO83" s="37" t="str">
        <f ca="1">IFERROR(+IF(AO$29=ProposalToGnatt[[#This Row],[Start Date]],Milestone_Marker,IF(AND(AO$29&gt;ProposalToGnatt[[#This Row],[Start Date]],AO$29&lt;ProposalToGnatt[[#This Row],[Start Date]]+ProposalToGnatt[[#This Row],[Days]]),$G$5,"")),"")</f>
        <v/>
      </c>
      <c r="AP83" s="37" t="str">
        <f ca="1">IFERROR(+IF(AP$29=ProposalToGnatt[[#This Row],[Start Date]],Milestone_Marker,IF(AND(AP$29&gt;ProposalToGnatt[[#This Row],[Start Date]],AP$29&lt;ProposalToGnatt[[#This Row],[Start Date]]+ProposalToGnatt[[#This Row],[Days]]),$G$5,"")),"")</f>
        <v/>
      </c>
      <c r="AQ83" s="37" t="str">
        <f ca="1">IFERROR(+IF(AQ$29=ProposalToGnatt[[#This Row],[Start Date]],Milestone_Marker,IF(AND(AQ$29&gt;ProposalToGnatt[[#This Row],[Start Date]],AQ$29&lt;ProposalToGnatt[[#This Row],[Start Date]]+ProposalToGnatt[[#This Row],[Days]]),$G$5,"")),"")</f>
        <v/>
      </c>
      <c r="AR83" s="37" t="str">
        <f ca="1">IFERROR(+IF(AR$29=ProposalToGnatt[[#This Row],[Start Date]],Milestone_Marker,IF(AND(AR$29&gt;ProposalToGnatt[[#This Row],[Start Date]],AR$29&lt;ProposalToGnatt[[#This Row],[Start Date]]+ProposalToGnatt[[#This Row],[Days]]),$G$5,"")),"")</f>
        <v/>
      </c>
      <c r="AS83" s="37" t="str">
        <f ca="1">IFERROR(+IF(AS$29=ProposalToGnatt[[#This Row],[Start Date]],Milestone_Marker,IF(AND(AS$29&gt;ProposalToGnatt[[#This Row],[Start Date]],AS$29&lt;ProposalToGnatt[[#This Row],[Start Date]]+ProposalToGnatt[[#This Row],[Days]]),$G$5,"")),"")</f>
        <v/>
      </c>
      <c r="AT83" s="37" t="str">
        <f ca="1">IFERROR(+IF(AT$29=ProposalToGnatt[[#This Row],[Start Date]],Milestone_Marker,IF(AND(AT$29&gt;ProposalToGnatt[[#This Row],[Start Date]],AT$29&lt;ProposalToGnatt[[#This Row],[Start Date]]+ProposalToGnatt[[#This Row],[Days]]),$G$5,"")),"")</f>
        <v/>
      </c>
      <c r="AU83" s="37" t="str">
        <f ca="1">IFERROR(+IF(AU$29=ProposalToGnatt[[#This Row],[Start Date]],Milestone_Marker,IF(AND(AU$29&gt;ProposalToGnatt[[#This Row],[Start Date]],AU$29&lt;ProposalToGnatt[[#This Row],[Start Date]]+ProposalToGnatt[[#This Row],[Days]]),$G$5,"")),"")</f>
        <v/>
      </c>
      <c r="AV83" s="37" t="str">
        <f ca="1">IFERROR(+IF(AV$29=ProposalToGnatt[[#This Row],[Start Date]],Milestone_Marker,IF(AND(AV$29&gt;ProposalToGnatt[[#This Row],[Start Date]],AV$29&lt;ProposalToGnatt[[#This Row],[Start Date]]+ProposalToGnatt[[#This Row],[Days]]),$G$5,"")),"")</f>
        <v/>
      </c>
      <c r="AW83" s="37" t="str">
        <f ca="1">IFERROR(+IF(AW$29=ProposalToGnatt[[#This Row],[Start Date]],Milestone_Marker,IF(AND(AW$29&gt;ProposalToGnatt[[#This Row],[Start Date]],AW$29&lt;ProposalToGnatt[[#This Row],[Start Date]]+ProposalToGnatt[[#This Row],[Days]]),$G$5,"")),"")</f>
        <v/>
      </c>
      <c r="AX83" s="37" t="str">
        <f ca="1">IFERROR(+IF(AX$29=ProposalToGnatt[[#This Row],[Start Date]],Milestone_Marker,IF(AND(AX$29&gt;ProposalToGnatt[[#This Row],[Start Date]],AX$29&lt;ProposalToGnatt[[#This Row],[Start Date]]+ProposalToGnatt[[#This Row],[Days]]),$G$5,"")),"")</f>
        <v/>
      </c>
      <c r="AY83" s="37" t="str">
        <f ca="1">IFERROR(+IF(AY$29=ProposalToGnatt[[#This Row],[Start Date]],Milestone_Marker,IF(AND(AY$29&gt;ProposalToGnatt[[#This Row],[Start Date]],AY$29&lt;ProposalToGnatt[[#This Row],[Start Date]]+ProposalToGnatt[[#This Row],[Days]]),$G$5,"")),"")</f>
        <v/>
      </c>
      <c r="AZ83" s="37" t="str">
        <f ca="1">IFERROR(+IF(AZ$29=ProposalToGnatt[[#This Row],[Start Date]],Milestone_Marker,IF(AND(AZ$29&gt;ProposalToGnatt[[#This Row],[Start Date]],AZ$29&lt;ProposalToGnatt[[#This Row],[Start Date]]+ProposalToGnatt[[#This Row],[Days]]),$G$5,"")),"")</f>
        <v/>
      </c>
      <c r="BA83" s="37" t="str">
        <f ca="1">IFERROR(+IF(BA$29=ProposalToGnatt[[#This Row],[Start Date]],Milestone_Marker,IF(AND(BA$29&gt;ProposalToGnatt[[#This Row],[Start Date]],BA$29&lt;ProposalToGnatt[[#This Row],[Start Date]]+ProposalToGnatt[[#This Row],[Days]]),$G$5,"")),"")</f>
        <v/>
      </c>
      <c r="BB83" s="37" t="str">
        <f ca="1">IFERROR(+IF(BB$29=ProposalToGnatt[[#This Row],[Start Date]],Milestone_Marker,IF(AND(BB$29&gt;ProposalToGnatt[[#This Row],[Start Date]],BB$29&lt;ProposalToGnatt[[#This Row],[Start Date]]+ProposalToGnatt[[#This Row],[Days]]),$G$5,"")),"")</f>
        <v/>
      </c>
      <c r="BC83" s="37" t="str">
        <f ca="1">IFERROR(+IF(BC$29=ProposalToGnatt[[#This Row],[Start Date]],Milestone_Marker,IF(AND(BC$29&gt;ProposalToGnatt[[#This Row],[Start Date]],BC$29&lt;ProposalToGnatt[[#This Row],[Start Date]]+ProposalToGnatt[[#This Row],[Days]]),$G$5,"")),"")</f>
        <v/>
      </c>
      <c r="BD83" s="37" t="str">
        <f ca="1">IFERROR(+IF(BD$29=ProposalToGnatt[[#This Row],[Start Date]],Milestone_Marker,IF(AND(BD$29&gt;ProposalToGnatt[[#This Row],[Start Date]],BD$29&lt;ProposalToGnatt[[#This Row],[Start Date]]+ProposalToGnatt[[#This Row],[Days]]),$G$5,"")),"")</f>
        <v/>
      </c>
      <c r="BE83" s="37" t="str">
        <f ca="1">IFERROR(+IF(BE$29=ProposalToGnatt[[#This Row],[Start Date]],Milestone_Marker,IF(AND(BE$29&gt;ProposalToGnatt[[#This Row],[Start Date]],BE$29&lt;ProposalToGnatt[[#This Row],[Start Date]]+ProposalToGnatt[[#This Row],[Days]]),$G$5,"")),"")</f>
        <v/>
      </c>
      <c r="BF83" s="37" t="str">
        <f ca="1">IFERROR(+IF(BF$29=ProposalToGnatt[[#This Row],[Start Date]],Milestone_Marker,IF(AND(BF$29&gt;ProposalToGnatt[[#This Row],[Start Date]],BF$29&lt;ProposalToGnatt[[#This Row],[Start Date]]+ProposalToGnatt[[#This Row],[Days]]),$G$5,"")),"")</f>
        <v/>
      </c>
      <c r="BG83" s="37" t="str">
        <f ca="1">IFERROR(+IF(BG$29=ProposalToGnatt[[#This Row],[Start Date]],Milestone_Marker,IF(AND(BG$29&gt;ProposalToGnatt[[#This Row],[Start Date]],BG$29&lt;ProposalToGnatt[[#This Row],[Start Date]]+ProposalToGnatt[[#This Row],[Days]]),$G$5,"")),"")</f>
        <v/>
      </c>
      <c r="BH83" s="37" t="str">
        <f ca="1">IFERROR(+IF(BH$29=ProposalToGnatt[[#This Row],[Start Date]],Milestone_Marker,IF(AND(BH$29&gt;ProposalToGnatt[[#This Row],[Start Date]],BH$29&lt;ProposalToGnatt[[#This Row],[Start Date]]+ProposalToGnatt[[#This Row],[Days]]),$G$5,"")),"")</f>
        <v/>
      </c>
      <c r="BI83" s="37" t="str">
        <f ca="1">IFERROR(+IF(BI$29=ProposalToGnatt[[#This Row],[Start Date]],Milestone_Marker,IF(AND(BI$29&gt;ProposalToGnatt[[#This Row],[Start Date]],BI$29&lt;ProposalToGnatt[[#This Row],[Start Date]]+ProposalToGnatt[[#This Row],[Days]]),$G$5,"")),"")</f>
        <v/>
      </c>
      <c r="BJ83" s="37" t="str">
        <f ca="1">IFERROR(+IF(BJ$29=ProposalToGnatt[[#This Row],[Start Date]],Milestone_Marker,IF(AND(BJ$29&gt;ProposalToGnatt[[#This Row],[Start Date]],BJ$29&lt;ProposalToGnatt[[#This Row],[Start Date]]+ProposalToGnatt[[#This Row],[Days]]),$G$5,"")),"")</f>
        <v/>
      </c>
      <c r="BK83" s="37" t="str">
        <f ca="1">IFERROR(+IF(BK$29=ProposalToGnatt[[#This Row],[Start Date]],Milestone_Marker,IF(AND(BK$29&gt;ProposalToGnatt[[#This Row],[Start Date]],BK$29&lt;ProposalToGnatt[[#This Row],[Start Date]]+ProposalToGnatt[[#This Row],[Days]]),$G$5,"")),"")</f>
        <v/>
      </c>
      <c r="BL83" s="37" t="str">
        <f ca="1">IFERROR(+IF(BL$29=ProposalToGnatt[[#This Row],[Start Date]],Milestone_Marker,IF(AND(BL$29&gt;ProposalToGnatt[[#This Row],[Start Date]],BL$29&lt;ProposalToGnatt[[#This Row],[Start Date]]+ProposalToGnatt[[#This Row],[Days]]),$G$5,"")),"")</f>
        <v/>
      </c>
      <c r="BM83" s="37" t="str">
        <f ca="1">IFERROR(+IF(BM$29=ProposalToGnatt[[#This Row],[Start Date]],Milestone_Marker,IF(AND(BM$29&gt;ProposalToGnatt[[#This Row],[Start Date]],BM$29&lt;ProposalToGnatt[[#This Row],[Start Date]]+ProposalToGnatt[[#This Row],[Days]]),$G$5,"")),"")</f>
        <v/>
      </c>
      <c r="BN83" s="37" t="str">
        <f ca="1">IFERROR(+IF(BN$29=ProposalToGnatt[[#This Row],[Start Date]],Milestone_Marker,IF(AND(BN$29&gt;ProposalToGnatt[[#This Row],[Start Date]],BN$29&lt;ProposalToGnatt[[#This Row],[Start Date]]+ProposalToGnatt[[#This Row],[Days]]),$G$5,"")),"")</f>
        <v/>
      </c>
      <c r="BO83" s="37" t="str">
        <f ca="1">IFERROR(+IF(BO$29=ProposalToGnatt[[#This Row],[Start Date]],Milestone_Marker,IF(AND(BO$29&gt;ProposalToGnatt[[#This Row],[Start Date]],BO$29&lt;ProposalToGnatt[[#This Row],[Start Date]]+ProposalToGnatt[[#This Row],[Days]]),$G$5,"")),"")</f>
        <v/>
      </c>
      <c r="BP83" s="37" t="str">
        <f ca="1">IFERROR(+IF(BP$29=ProposalToGnatt[[#This Row],[Start Date]],Milestone_Marker,IF(AND(BP$29&gt;ProposalToGnatt[[#This Row],[Start Date]],BP$29&lt;ProposalToGnatt[[#This Row],[Start Date]]+ProposalToGnatt[[#This Row],[Days]]),$G$5,"")),"")</f>
        <v/>
      </c>
      <c r="BQ83" s="37" t="str">
        <f ca="1">IFERROR(+IF(BQ$29=ProposalToGnatt[[#This Row],[Start Date]],Milestone_Marker,IF(AND(BQ$29&gt;ProposalToGnatt[[#This Row],[Start Date]],BQ$29&lt;ProposalToGnatt[[#This Row],[Start Date]]+ProposalToGnatt[[#This Row],[Days]]),$G$5,"")),"")</f>
        <v/>
      </c>
      <c r="BR83" s="37" t="str">
        <f ca="1">IFERROR(+IF(BR$29=ProposalToGnatt[[#This Row],[Start Date]],Milestone_Marker,IF(AND(BR$29&gt;ProposalToGnatt[[#This Row],[Start Date]],BR$29&lt;ProposalToGnatt[[#This Row],[Start Date]]+ProposalToGnatt[[#This Row],[Days]]),$G$5,"")),"")</f>
        <v/>
      </c>
      <c r="BS83" s="37" t="str">
        <f ca="1">IFERROR(+IF(BS$29=ProposalToGnatt[[#This Row],[Start Date]],Milestone_Marker,IF(AND(BS$29&gt;ProposalToGnatt[[#This Row],[Start Date]],BS$29&lt;ProposalToGnatt[[#This Row],[Start Date]]+ProposalToGnatt[[#This Row],[Days]]),$G$5,"")),"")</f>
        <v/>
      </c>
      <c r="BT83" s="37" t="str">
        <f ca="1">IFERROR(+IF(BT$29=ProposalToGnatt[[#This Row],[Start Date]],Milestone_Marker,IF(AND(BT$29&gt;ProposalToGnatt[[#This Row],[Start Date]],BT$29&lt;ProposalToGnatt[[#This Row],[Start Date]]+ProposalToGnatt[[#This Row],[Days]]),$G$5,"")),"")</f>
        <v/>
      </c>
      <c r="BU83" s="37" t="str">
        <f ca="1">IFERROR(+IF(BU$29=ProposalToGnatt[[#This Row],[Start Date]],Milestone_Marker,IF(AND(BU$29&gt;ProposalToGnatt[[#This Row],[Start Date]],BU$29&lt;ProposalToGnatt[[#This Row],[Start Date]]+ProposalToGnatt[[#This Row],[Days]]),$G$5,"")),"")</f>
        <v/>
      </c>
      <c r="BV83" s="37" t="str">
        <f ca="1">IFERROR(+IF(BV$29=ProposalToGnatt[[#This Row],[Start Date]],Milestone_Marker,IF(AND(BV$29&gt;ProposalToGnatt[[#This Row],[Start Date]],BV$29&lt;ProposalToGnatt[[#This Row],[Start Date]]+ProposalToGnatt[[#This Row],[Days]]),$G$5,"")),"")</f>
        <v/>
      </c>
      <c r="BW83" s="37" t="str">
        <f ca="1">IFERROR(+IF(BW$29=ProposalToGnatt[[#This Row],[Start Date]],Milestone_Marker,IF(AND(BW$29&gt;ProposalToGnatt[[#This Row],[Start Date]],BW$29&lt;ProposalToGnatt[[#This Row],[Start Date]]+ProposalToGnatt[[#This Row],[Days]]),$G$5,"")),"")</f>
        <v/>
      </c>
      <c r="BX83" s="37" t="str">
        <f ca="1">IFERROR(+IF(BX$29=ProposalToGnatt[[#This Row],[Start Date]],Milestone_Marker,IF(AND(BX$29&gt;ProposalToGnatt[[#This Row],[Start Date]],BX$29&lt;ProposalToGnatt[[#This Row],[Start Date]]+ProposalToGnatt[[#This Row],[Days]]),$G$5,"")),"")</f>
        <v/>
      </c>
      <c r="BY83" s="37" t="str">
        <f ca="1">IFERROR(+IF(BY$29=ProposalToGnatt[[#This Row],[Start Date]],Milestone_Marker,IF(AND(BY$29&gt;ProposalToGnatt[[#This Row],[Start Date]],BY$29&lt;ProposalToGnatt[[#This Row],[Start Date]]+ProposalToGnatt[[#This Row],[Days]]),$G$5,"")),"")</f>
        <v/>
      </c>
      <c r="BZ83" s="37" t="str">
        <f ca="1">IFERROR(+IF(BZ$29=ProposalToGnatt[[#This Row],[Start Date]],Milestone_Marker,IF(AND(BZ$29&gt;ProposalToGnatt[[#This Row],[Start Date]],BZ$29&lt;ProposalToGnatt[[#This Row],[Start Date]]+ProposalToGnatt[[#This Row],[Days]]),$G$5,"")),"")</f>
        <v/>
      </c>
      <c r="CA83" s="37" t="str">
        <f ca="1">IFERROR(+IF(CA$29=ProposalToGnatt[[#This Row],[Start Date]],Milestone_Marker,IF(AND(CA$29&gt;ProposalToGnatt[[#This Row],[Start Date]],CA$29&lt;ProposalToGnatt[[#This Row],[Start Date]]+ProposalToGnatt[[#This Row],[Days]]),$G$5,"")),"")</f>
        <v/>
      </c>
      <c r="CB83" s="37" t="str">
        <f ca="1">IFERROR(+IF(CB$29=ProposalToGnatt[[#This Row],[Start Date]],Milestone_Marker,IF(AND(CB$29&gt;ProposalToGnatt[[#This Row],[Start Date]],CB$29&lt;ProposalToGnatt[[#This Row],[Start Date]]+ProposalToGnatt[[#This Row],[Days]]),$G$5,"")),"")</f>
        <v/>
      </c>
      <c r="CC83" s="37" t="str">
        <f ca="1">IFERROR(+IF(CC$29=ProposalToGnatt[[#This Row],[Start Date]],Milestone_Marker,IF(AND(CC$29&gt;ProposalToGnatt[[#This Row],[Start Date]],CC$29&lt;ProposalToGnatt[[#This Row],[Start Date]]+ProposalToGnatt[[#This Row],[Days]]),$G$5,"")),"")</f>
        <v/>
      </c>
      <c r="CD83" s="37" t="str">
        <f ca="1">IFERROR(+IF(CD$29=ProposalToGnatt[[#This Row],[Start Date]],Milestone_Marker,IF(AND(CD$29&gt;ProposalToGnatt[[#This Row],[Start Date]],CD$29&lt;ProposalToGnatt[[#This Row],[Start Date]]+ProposalToGnatt[[#This Row],[Days]]),$G$5,"")),"")</f>
        <v/>
      </c>
      <c r="CE83" s="37" t="str">
        <f ca="1">IFERROR(+IF(CE$29=ProposalToGnatt[[#This Row],[Start Date]],Milestone_Marker,IF(AND(CE$29&gt;ProposalToGnatt[[#This Row],[Start Date]],CE$29&lt;ProposalToGnatt[[#This Row],[Start Date]]+ProposalToGnatt[[#This Row],[Days]]),$G$5,"")),"")</f>
        <v/>
      </c>
      <c r="CF83" s="37" t="str">
        <f ca="1">IFERROR(+IF(CF$29=ProposalToGnatt[[#This Row],[Start Date]],Milestone_Marker,IF(AND(CF$29&gt;ProposalToGnatt[[#This Row],[Start Date]],CF$29&lt;ProposalToGnatt[[#This Row],[Start Date]]+ProposalToGnatt[[#This Row],[Days]]),$G$5,"")),"")</f>
        <v/>
      </c>
      <c r="CG83" s="37" t="str">
        <f ca="1">IFERROR(+IF(CG$29=ProposalToGnatt[[#This Row],[Start Date]],Milestone_Marker,IF(AND(CG$29&gt;ProposalToGnatt[[#This Row],[Start Date]],CG$29&lt;ProposalToGnatt[[#This Row],[Start Date]]+ProposalToGnatt[[#This Row],[Days]]),$G$5,"")),"")</f>
        <v/>
      </c>
      <c r="CH83" s="37" t="str">
        <f ca="1">IFERROR(+IF(CH$29=ProposalToGnatt[[#This Row],[Start Date]],Milestone_Marker,IF(AND(CH$29&gt;ProposalToGnatt[[#This Row],[Start Date]],CH$29&lt;ProposalToGnatt[[#This Row],[Start Date]]+ProposalToGnatt[[#This Row],[Days]]),$G$5,"")),"")</f>
        <v/>
      </c>
      <c r="CI83" s="37" t="str">
        <f ca="1">IFERROR(+IF(CI$29=ProposalToGnatt[[#This Row],[Start Date]],Milestone_Marker,IF(AND(CI$29&gt;ProposalToGnatt[[#This Row],[Start Date]],CI$29&lt;ProposalToGnatt[[#This Row],[Start Date]]+ProposalToGnatt[[#This Row],[Days]]),$G$5,"")),"")</f>
        <v/>
      </c>
      <c r="CJ83" s="37" t="str">
        <f ca="1">IFERROR(+IF(CJ$29=ProposalToGnatt[[#This Row],[Start Date]],Milestone_Marker,IF(AND(CJ$29&gt;ProposalToGnatt[[#This Row],[Start Date]],CJ$29&lt;ProposalToGnatt[[#This Row],[Start Date]]+ProposalToGnatt[[#This Row],[Days]]),$G$5,"")),"")</f>
        <v/>
      </c>
      <c r="CK83" s="37" t="str">
        <f ca="1">IFERROR(+IF(CK$29=ProposalToGnatt[[#This Row],[Start Date]],Milestone_Marker,IF(AND(CK$29&gt;ProposalToGnatt[[#This Row],[Start Date]],CK$29&lt;ProposalToGnatt[[#This Row],[Start Date]]+ProposalToGnatt[[#This Row],[Days]]),$G$5,"")),"")</f>
        <v/>
      </c>
      <c r="CL83" s="37" t="str">
        <f ca="1">IFERROR(+IF(CL$29=ProposalToGnatt[[#This Row],[Start Date]],Milestone_Marker,IF(AND(CL$29&gt;ProposalToGnatt[[#This Row],[Start Date]],CL$29&lt;ProposalToGnatt[[#This Row],[Start Date]]+ProposalToGnatt[[#This Row],[Days]]),$G$5,"")),"")</f>
        <v/>
      </c>
      <c r="CM83" s="37" t="str">
        <f ca="1">IFERROR(+IF(CM$29=ProposalToGnatt[[#This Row],[Start Date]],Milestone_Marker,IF(AND(CM$29&gt;ProposalToGnatt[[#This Row],[Start Date]],CM$29&lt;ProposalToGnatt[[#This Row],[Start Date]]+ProposalToGnatt[[#This Row],[Days]]),$G$5,"")),"")</f>
        <v/>
      </c>
      <c r="CN83" s="37" t="str">
        <f ca="1">IFERROR(+IF(CN$29=ProposalToGnatt[[#This Row],[Start Date]],Milestone_Marker,IF(AND(CN$29&gt;ProposalToGnatt[[#This Row],[Start Date]],CN$29&lt;ProposalToGnatt[[#This Row],[Start Date]]+ProposalToGnatt[[#This Row],[Days]]),$G$5,"")),"")</f>
        <v/>
      </c>
      <c r="CO83" s="37" t="str">
        <f ca="1">IFERROR(+IF(CO$29=ProposalToGnatt[[#This Row],[Start Date]],Milestone_Marker,IF(AND(CO$29&gt;ProposalToGnatt[[#This Row],[Start Date]],CO$29&lt;ProposalToGnatt[[#This Row],[Start Date]]+ProposalToGnatt[[#This Row],[Days]]),$G$5,"")),"")</f>
        <v/>
      </c>
      <c r="CP83" s="37" t="str">
        <f ca="1">IFERROR(+IF(CP$29=ProposalToGnatt[[#This Row],[Start Date]],Milestone_Marker,IF(AND(CP$29&gt;ProposalToGnatt[[#This Row],[Start Date]],CP$29&lt;ProposalToGnatt[[#This Row],[Start Date]]+ProposalToGnatt[[#This Row],[Days]]),$G$5,"")),"")</f>
        <v/>
      </c>
      <c r="CQ83" s="37" t="str">
        <f ca="1">IFERROR(+IF(CQ$29=ProposalToGnatt[[#This Row],[Start Date]],Milestone_Marker,IF(AND(CQ$29&gt;ProposalToGnatt[[#This Row],[Start Date]],CQ$29&lt;ProposalToGnatt[[#This Row],[Start Date]]+ProposalToGnatt[[#This Row],[Days]]),$G$5,"")),"")</f>
        <v/>
      </c>
      <c r="CR83" s="37" t="str">
        <f ca="1">IFERROR(+IF(CR$29=ProposalToGnatt[[#This Row],[Start Date]],Milestone_Marker,IF(AND(CR$29&gt;ProposalToGnatt[[#This Row],[Start Date]],CR$29&lt;ProposalToGnatt[[#This Row],[Start Date]]+ProposalToGnatt[[#This Row],[Days]]),$G$5,"")),"")</f>
        <v/>
      </c>
      <c r="CS83" s="37" t="str">
        <f ca="1">IFERROR(+IF(CS$29=ProposalToGnatt[[#This Row],[Start Date]],Milestone_Marker,IF(AND(CS$29&gt;ProposalToGnatt[[#This Row],[Start Date]],CS$29&lt;ProposalToGnatt[[#This Row],[Start Date]]+ProposalToGnatt[[#This Row],[Days]]),$G$5,"")),"")</f>
        <v/>
      </c>
      <c r="CT83" s="37" t="str">
        <f ca="1">IFERROR(+IF(CT$29=ProposalToGnatt[[#This Row],[Start Date]],Milestone_Marker,IF(AND(CT$29&gt;ProposalToGnatt[[#This Row],[Start Date]],CT$29&lt;ProposalToGnatt[[#This Row],[Start Date]]+ProposalToGnatt[[#This Row],[Days]]),$G$5,"")),"")</f>
        <v/>
      </c>
      <c r="CU83" s="37" t="str">
        <f ca="1">IFERROR(+IF(CU$29=ProposalToGnatt[[#This Row],[Start Date]],Milestone_Marker,IF(AND(CU$29&gt;ProposalToGnatt[[#This Row],[Start Date]],CU$29&lt;ProposalToGnatt[[#This Row],[Start Date]]+ProposalToGnatt[[#This Row],[Days]]),$G$5,"")),"")</f>
        <v/>
      </c>
      <c r="CV83" s="37" t="str">
        <f ca="1">IFERROR(+IF(CT$29=#REF!,Milestone_Marker,IF(AND(CT$29&gt;#REF!,CT$29&lt;=#REF!+#REF!),$G$5,"")),"")</f>
        <v/>
      </c>
      <c r="CW83" s="37" t="str">
        <f ca="1">IFERROR(+IF(CU$29=#REF!,Milestone_Marker,IF(AND(CU$29&gt;#REF!,CU$29&lt;=#REF!+#REF!),$G$5,"")),"")</f>
        <v/>
      </c>
      <c r="CX83" s="37"/>
      <c r="CY83" s="37"/>
      <c r="CZ83" s="37"/>
      <c r="DA83" s="37"/>
      <c r="DB83" s="37"/>
      <c r="DC83" s="37"/>
      <c r="DD83" s="37"/>
      <c r="DE83" s="37"/>
      <c r="DF83" s="37"/>
      <c r="DG83" s="37"/>
      <c r="DH83" s="37"/>
      <c r="DI83" s="37"/>
      <c r="DJ83" s="37"/>
      <c r="DK83" s="37"/>
      <c r="DL83" s="37"/>
      <c r="DM83" s="37"/>
      <c r="DN83" s="37"/>
      <c r="DO83" s="37"/>
      <c r="DP83" s="37"/>
      <c r="DQ83" s="37"/>
      <c r="DR83" s="37"/>
      <c r="DS83" s="37"/>
      <c r="DT83" s="37"/>
      <c r="DU83" s="37"/>
    </row>
    <row r="84" spans="1:125" ht="15" x14ac:dyDescent="0.25">
      <c r="A84" t="s">
        <v>428</v>
      </c>
      <c r="B84">
        <v>59</v>
      </c>
      <c r="C84" t="s">
        <v>391</v>
      </c>
      <c r="D84" t="s">
        <v>401</v>
      </c>
      <c r="E84" t="s">
        <v>402</v>
      </c>
      <c r="F84">
        <v>1</v>
      </c>
      <c r="G84" s="14"/>
      <c r="H84" s="14"/>
      <c r="I84"/>
      <c r="J84">
        <v>2</v>
      </c>
      <c r="K84" s="303"/>
      <c r="L84"/>
      <c r="M84" s="14"/>
      <c r="N84" s="352"/>
      <c r="O84" s="340"/>
      <c r="P84" s="37" t="str">
        <f ca="1">IFERROR(+IF(P$29=ProposalToGnatt[[#This Row],[Start Date]],Milestone_Marker,IF(AND(P$29&gt;ProposalToGnatt[[#This Row],[Start Date]],P$29&lt;ProposalToGnatt[[#This Row],[Start Date]]+ProposalToGnatt[[#This Row],[Days]]),$G$5,"")),"")</f>
        <v/>
      </c>
      <c r="Q84" s="37" t="str">
        <f ca="1">IFERROR(+IF(Q$29=ProposalToGnatt[[#This Row],[Start Date]],Milestone_Marker,IF(AND(Q$29&gt;ProposalToGnatt[[#This Row],[Start Date]],Q$29&lt;ProposalToGnatt[[#This Row],[Start Date]]+ProposalToGnatt[[#This Row],[Days]]),$G$5,"")),"")</f>
        <v/>
      </c>
      <c r="R84" s="37" t="str">
        <f ca="1">IFERROR(+IF(R$29=ProposalToGnatt[[#This Row],[Start Date]],Milestone_Marker,IF(AND(R$29&gt;ProposalToGnatt[[#This Row],[Start Date]],R$29&lt;ProposalToGnatt[[#This Row],[Start Date]]+ProposalToGnatt[[#This Row],[Days]]),$G$5,"")),"")</f>
        <v/>
      </c>
      <c r="S84" s="37" t="str">
        <f ca="1">IFERROR(+IF(S$29=ProposalToGnatt[[#This Row],[Start Date]],Milestone_Marker,IF(AND(S$29&gt;ProposalToGnatt[[#This Row],[Start Date]],S$29&lt;ProposalToGnatt[[#This Row],[Start Date]]+ProposalToGnatt[[#This Row],[Days]]),$G$5,"")),"")</f>
        <v/>
      </c>
      <c r="T84" s="37" t="str">
        <f ca="1">IFERROR(+IF(T$29=ProposalToGnatt[[#This Row],[Start Date]],Milestone_Marker,IF(AND(T$29&gt;ProposalToGnatt[[#This Row],[Start Date]],T$29&lt;ProposalToGnatt[[#This Row],[Start Date]]+ProposalToGnatt[[#This Row],[Days]]),$G$5,"")),"")</f>
        <v/>
      </c>
      <c r="U84" s="37" t="str">
        <f ca="1">IFERROR(+IF(U$29=ProposalToGnatt[[#This Row],[Start Date]],Milestone_Marker,IF(AND(U$29&gt;ProposalToGnatt[[#This Row],[Start Date]],U$29&lt;ProposalToGnatt[[#This Row],[Start Date]]+ProposalToGnatt[[#This Row],[Days]]),$G$5,"")),"")</f>
        <v/>
      </c>
      <c r="V84" s="37" t="str">
        <f ca="1">IFERROR(+IF(V$29=ProposalToGnatt[[#This Row],[Start Date]],Milestone_Marker,IF(AND(V$29&gt;ProposalToGnatt[[#This Row],[Start Date]],V$29&lt;ProposalToGnatt[[#This Row],[Start Date]]+ProposalToGnatt[[#This Row],[Days]]),$G$5,"")),"")</f>
        <v/>
      </c>
      <c r="W84" s="37" t="str">
        <f ca="1">IFERROR(+IF(W$29=ProposalToGnatt[[#This Row],[Start Date]],Milestone_Marker,IF(AND(W$29&gt;ProposalToGnatt[[#This Row],[Start Date]],W$29&lt;ProposalToGnatt[[#This Row],[Start Date]]+ProposalToGnatt[[#This Row],[Days]]),$G$5,"")),"")</f>
        <v/>
      </c>
      <c r="X84" s="37" t="str">
        <f ca="1">IFERROR(+IF(X$29=ProposalToGnatt[[#This Row],[Start Date]],Milestone_Marker,IF(AND(X$29&gt;ProposalToGnatt[[#This Row],[Start Date]],X$29&lt;ProposalToGnatt[[#This Row],[Start Date]]+ProposalToGnatt[[#This Row],[Days]]),$G$5,"")),"")</f>
        <v/>
      </c>
      <c r="Y84" s="37" t="str">
        <f ca="1">IFERROR(+IF(Y$29=ProposalToGnatt[[#This Row],[Start Date]],Milestone_Marker,IF(AND(Y$29&gt;ProposalToGnatt[[#This Row],[Start Date]],Y$29&lt;ProposalToGnatt[[#This Row],[Start Date]]+ProposalToGnatt[[#This Row],[Days]]),$G$5,"")),"")</f>
        <v/>
      </c>
      <c r="Z84" s="37" t="str">
        <f ca="1">IFERROR(+IF(Z$29=ProposalToGnatt[[#This Row],[Start Date]],Milestone_Marker,IF(AND(Z$29&gt;ProposalToGnatt[[#This Row],[Start Date]],Z$29&lt;ProposalToGnatt[[#This Row],[Start Date]]+ProposalToGnatt[[#This Row],[Days]]),$G$5,"")),"")</f>
        <v/>
      </c>
      <c r="AA84" s="37" t="str">
        <f ca="1">IFERROR(+IF(AA$29=ProposalToGnatt[[#This Row],[Start Date]],Milestone_Marker,IF(AND(AA$29&gt;ProposalToGnatt[[#This Row],[Start Date]],AA$29&lt;ProposalToGnatt[[#This Row],[Start Date]]+ProposalToGnatt[[#This Row],[Days]]),$G$5,"")),"")</f>
        <v/>
      </c>
      <c r="AB84" s="37" t="str">
        <f ca="1">IFERROR(+IF(AB$29=ProposalToGnatt[[#This Row],[Start Date]],Milestone_Marker,IF(AND(AB$29&gt;ProposalToGnatt[[#This Row],[Start Date]],AB$29&lt;ProposalToGnatt[[#This Row],[Start Date]]+ProposalToGnatt[[#This Row],[Days]]),$G$5,"")),"")</f>
        <v/>
      </c>
      <c r="AC84" s="37" t="str">
        <f ca="1">IFERROR(+IF(AC$29=ProposalToGnatt[[#This Row],[Start Date]],Milestone_Marker,IF(AND(AC$29&gt;ProposalToGnatt[[#This Row],[Start Date]],AC$29&lt;ProposalToGnatt[[#This Row],[Start Date]]+ProposalToGnatt[[#This Row],[Days]]),$G$5,"")),"")</f>
        <v/>
      </c>
      <c r="AD84" s="37" t="str">
        <f ca="1">IFERROR(+IF(AD$29=ProposalToGnatt[[#This Row],[Start Date]],Milestone_Marker,IF(AND(AD$29&gt;ProposalToGnatt[[#This Row],[Start Date]],AD$29&lt;ProposalToGnatt[[#This Row],[Start Date]]+ProposalToGnatt[[#This Row],[Days]]),$G$5,"")),"")</f>
        <v/>
      </c>
      <c r="AE84" s="37" t="str">
        <f ca="1">IFERROR(+IF(AE$29=ProposalToGnatt[[#This Row],[Start Date]],Milestone_Marker,IF(AND(AE$29&gt;ProposalToGnatt[[#This Row],[Start Date]],AE$29&lt;ProposalToGnatt[[#This Row],[Start Date]]+ProposalToGnatt[[#This Row],[Days]]),$G$5,"")),"")</f>
        <v/>
      </c>
      <c r="AF84" s="37" t="str">
        <f ca="1">IFERROR(+IF(AF$29=ProposalToGnatt[[#This Row],[Start Date]],Milestone_Marker,IF(AND(AF$29&gt;ProposalToGnatt[[#This Row],[Start Date]],AF$29&lt;ProposalToGnatt[[#This Row],[Start Date]]+ProposalToGnatt[[#This Row],[Days]]),$G$5,"")),"")</f>
        <v/>
      </c>
      <c r="AG84" s="37" t="str">
        <f ca="1">IFERROR(+IF(AG$29=ProposalToGnatt[[#This Row],[Start Date]],Milestone_Marker,IF(AND(AG$29&gt;ProposalToGnatt[[#This Row],[Start Date]],AG$29&lt;ProposalToGnatt[[#This Row],[Start Date]]+ProposalToGnatt[[#This Row],[Days]]),$G$5,"")),"")</f>
        <v/>
      </c>
      <c r="AH84" s="37" t="str">
        <f ca="1">IFERROR(+IF(AH$29=ProposalToGnatt[[#This Row],[Start Date]],Milestone_Marker,IF(AND(AH$29&gt;ProposalToGnatt[[#This Row],[Start Date]],AH$29&lt;ProposalToGnatt[[#This Row],[Start Date]]+ProposalToGnatt[[#This Row],[Days]]),$G$5,"")),"")</f>
        <v/>
      </c>
      <c r="AI84" s="37" t="str">
        <f ca="1">IFERROR(+IF(AI$29=ProposalToGnatt[[#This Row],[Start Date]],Milestone_Marker,IF(AND(AI$29&gt;ProposalToGnatt[[#This Row],[Start Date]],AI$29&lt;ProposalToGnatt[[#This Row],[Start Date]]+ProposalToGnatt[[#This Row],[Days]]),$G$5,"")),"")</f>
        <v/>
      </c>
      <c r="AJ84" s="37" t="str">
        <f ca="1">IFERROR(+IF(AJ$29=ProposalToGnatt[[#This Row],[Start Date]],Milestone_Marker,IF(AND(AJ$29&gt;ProposalToGnatt[[#This Row],[Start Date]],AJ$29&lt;ProposalToGnatt[[#This Row],[Start Date]]+ProposalToGnatt[[#This Row],[Days]]),$G$5,"")),"")</f>
        <v/>
      </c>
      <c r="AK84" s="37" t="str">
        <f ca="1">IFERROR(+IF(AK$29=ProposalToGnatt[[#This Row],[Start Date]],Milestone_Marker,IF(AND(AK$29&gt;ProposalToGnatt[[#This Row],[Start Date]],AK$29&lt;ProposalToGnatt[[#This Row],[Start Date]]+ProposalToGnatt[[#This Row],[Days]]),$G$5,"")),"")</f>
        <v/>
      </c>
      <c r="AL84" s="37" t="str">
        <f ca="1">IFERROR(+IF(AL$29=ProposalToGnatt[[#This Row],[Start Date]],Milestone_Marker,IF(AND(AL$29&gt;ProposalToGnatt[[#This Row],[Start Date]],AL$29&lt;ProposalToGnatt[[#This Row],[Start Date]]+ProposalToGnatt[[#This Row],[Days]]),$G$5,"")),"")</f>
        <v/>
      </c>
      <c r="AM84" s="37" t="str">
        <f ca="1">IFERROR(+IF(AM$29=ProposalToGnatt[[#This Row],[Start Date]],Milestone_Marker,IF(AND(AM$29&gt;ProposalToGnatt[[#This Row],[Start Date]],AM$29&lt;ProposalToGnatt[[#This Row],[Start Date]]+ProposalToGnatt[[#This Row],[Days]]),$G$5,"")),"")</f>
        <v/>
      </c>
      <c r="AN84" s="37" t="str">
        <f ca="1">IFERROR(+IF(AN$29=ProposalToGnatt[[#This Row],[Start Date]],Milestone_Marker,IF(AND(AN$29&gt;ProposalToGnatt[[#This Row],[Start Date]],AN$29&lt;ProposalToGnatt[[#This Row],[Start Date]]+ProposalToGnatt[[#This Row],[Days]]),$G$5,"")),"")</f>
        <v/>
      </c>
      <c r="AO84" s="37" t="str">
        <f ca="1">IFERROR(+IF(AO$29=ProposalToGnatt[[#This Row],[Start Date]],Milestone_Marker,IF(AND(AO$29&gt;ProposalToGnatt[[#This Row],[Start Date]],AO$29&lt;ProposalToGnatt[[#This Row],[Start Date]]+ProposalToGnatt[[#This Row],[Days]]),$G$5,"")),"")</f>
        <v/>
      </c>
      <c r="AP84" s="37" t="str">
        <f ca="1">IFERROR(+IF(AP$29=ProposalToGnatt[[#This Row],[Start Date]],Milestone_Marker,IF(AND(AP$29&gt;ProposalToGnatt[[#This Row],[Start Date]],AP$29&lt;ProposalToGnatt[[#This Row],[Start Date]]+ProposalToGnatt[[#This Row],[Days]]),$G$5,"")),"")</f>
        <v/>
      </c>
      <c r="AQ84" s="37" t="str">
        <f ca="1">IFERROR(+IF(AQ$29=ProposalToGnatt[[#This Row],[Start Date]],Milestone_Marker,IF(AND(AQ$29&gt;ProposalToGnatt[[#This Row],[Start Date]],AQ$29&lt;ProposalToGnatt[[#This Row],[Start Date]]+ProposalToGnatt[[#This Row],[Days]]),$G$5,"")),"")</f>
        <v/>
      </c>
      <c r="AR84" s="37" t="str">
        <f ca="1">IFERROR(+IF(AR$29=ProposalToGnatt[[#This Row],[Start Date]],Milestone_Marker,IF(AND(AR$29&gt;ProposalToGnatt[[#This Row],[Start Date]],AR$29&lt;ProposalToGnatt[[#This Row],[Start Date]]+ProposalToGnatt[[#This Row],[Days]]),$G$5,"")),"")</f>
        <v/>
      </c>
      <c r="AS84" s="37" t="str">
        <f ca="1">IFERROR(+IF(AS$29=ProposalToGnatt[[#This Row],[Start Date]],Milestone_Marker,IF(AND(AS$29&gt;ProposalToGnatt[[#This Row],[Start Date]],AS$29&lt;ProposalToGnatt[[#This Row],[Start Date]]+ProposalToGnatt[[#This Row],[Days]]),$G$5,"")),"")</f>
        <v/>
      </c>
      <c r="AT84" s="37" t="str">
        <f ca="1">IFERROR(+IF(AT$29=ProposalToGnatt[[#This Row],[Start Date]],Milestone_Marker,IF(AND(AT$29&gt;ProposalToGnatt[[#This Row],[Start Date]],AT$29&lt;ProposalToGnatt[[#This Row],[Start Date]]+ProposalToGnatt[[#This Row],[Days]]),$G$5,"")),"")</f>
        <v/>
      </c>
      <c r="AU84" s="37" t="str">
        <f ca="1">IFERROR(+IF(AU$29=ProposalToGnatt[[#This Row],[Start Date]],Milestone_Marker,IF(AND(AU$29&gt;ProposalToGnatt[[#This Row],[Start Date]],AU$29&lt;ProposalToGnatt[[#This Row],[Start Date]]+ProposalToGnatt[[#This Row],[Days]]),$G$5,"")),"")</f>
        <v/>
      </c>
      <c r="AV84" s="37" t="str">
        <f ca="1">IFERROR(+IF(AV$29=ProposalToGnatt[[#This Row],[Start Date]],Milestone_Marker,IF(AND(AV$29&gt;ProposalToGnatt[[#This Row],[Start Date]],AV$29&lt;ProposalToGnatt[[#This Row],[Start Date]]+ProposalToGnatt[[#This Row],[Days]]),$G$5,"")),"")</f>
        <v/>
      </c>
      <c r="AW84" s="37" t="str">
        <f ca="1">IFERROR(+IF(AW$29=ProposalToGnatt[[#This Row],[Start Date]],Milestone_Marker,IF(AND(AW$29&gt;ProposalToGnatt[[#This Row],[Start Date]],AW$29&lt;ProposalToGnatt[[#This Row],[Start Date]]+ProposalToGnatt[[#This Row],[Days]]),$G$5,"")),"")</f>
        <v/>
      </c>
      <c r="AX84" s="37" t="str">
        <f ca="1">IFERROR(+IF(AX$29=ProposalToGnatt[[#This Row],[Start Date]],Milestone_Marker,IF(AND(AX$29&gt;ProposalToGnatt[[#This Row],[Start Date]],AX$29&lt;ProposalToGnatt[[#This Row],[Start Date]]+ProposalToGnatt[[#This Row],[Days]]),$G$5,"")),"")</f>
        <v/>
      </c>
      <c r="AY84" s="37" t="str">
        <f ca="1">IFERROR(+IF(AY$29=ProposalToGnatt[[#This Row],[Start Date]],Milestone_Marker,IF(AND(AY$29&gt;ProposalToGnatt[[#This Row],[Start Date]],AY$29&lt;ProposalToGnatt[[#This Row],[Start Date]]+ProposalToGnatt[[#This Row],[Days]]),$G$5,"")),"")</f>
        <v/>
      </c>
      <c r="AZ84" s="37" t="str">
        <f ca="1">IFERROR(+IF(AZ$29=ProposalToGnatt[[#This Row],[Start Date]],Milestone_Marker,IF(AND(AZ$29&gt;ProposalToGnatt[[#This Row],[Start Date]],AZ$29&lt;ProposalToGnatt[[#This Row],[Start Date]]+ProposalToGnatt[[#This Row],[Days]]),$G$5,"")),"")</f>
        <v/>
      </c>
      <c r="BA84" s="37" t="str">
        <f ca="1">IFERROR(+IF(BA$29=ProposalToGnatt[[#This Row],[Start Date]],Milestone_Marker,IF(AND(BA$29&gt;ProposalToGnatt[[#This Row],[Start Date]],BA$29&lt;ProposalToGnatt[[#This Row],[Start Date]]+ProposalToGnatt[[#This Row],[Days]]),$G$5,"")),"")</f>
        <v/>
      </c>
      <c r="BB84" s="37" t="str">
        <f ca="1">IFERROR(+IF(BB$29=ProposalToGnatt[[#This Row],[Start Date]],Milestone_Marker,IF(AND(BB$29&gt;ProposalToGnatt[[#This Row],[Start Date]],BB$29&lt;ProposalToGnatt[[#This Row],[Start Date]]+ProposalToGnatt[[#This Row],[Days]]),$G$5,"")),"")</f>
        <v/>
      </c>
      <c r="BC84" s="37" t="str">
        <f ca="1">IFERROR(+IF(BC$29=ProposalToGnatt[[#This Row],[Start Date]],Milestone_Marker,IF(AND(BC$29&gt;ProposalToGnatt[[#This Row],[Start Date]],BC$29&lt;ProposalToGnatt[[#This Row],[Start Date]]+ProposalToGnatt[[#This Row],[Days]]),$G$5,"")),"")</f>
        <v/>
      </c>
      <c r="BD84" s="37" t="str">
        <f ca="1">IFERROR(+IF(BD$29=ProposalToGnatt[[#This Row],[Start Date]],Milestone_Marker,IF(AND(BD$29&gt;ProposalToGnatt[[#This Row],[Start Date]],BD$29&lt;ProposalToGnatt[[#This Row],[Start Date]]+ProposalToGnatt[[#This Row],[Days]]),$G$5,"")),"")</f>
        <v/>
      </c>
      <c r="BE84" s="37" t="str">
        <f ca="1">IFERROR(+IF(BE$29=ProposalToGnatt[[#This Row],[Start Date]],Milestone_Marker,IF(AND(BE$29&gt;ProposalToGnatt[[#This Row],[Start Date]],BE$29&lt;ProposalToGnatt[[#This Row],[Start Date]]+ProposalToGnatt[[#This Row],[Days]]),$G$5,"")),"")</f>
        <v/>
      </c>
      <c r="BF84" s="37" t="str">
        <f ca="1">IFERROR(+IF(BF$29=ProposalToGnatt[[#This Row],[Start Date]],Milestone_Marker,IF(AND(BF$29&gt;ProposalToGnatt[[#This Row],[Start Date]],BF$29&lt;ProposalToGnatt[[#This Row],[Start Date]]+ProposalToGnatt[[#This Row],[Days]]),$G$5,"")),"")</f>
        <v/>
      </c>
      <c r="BG84" s="37" t="str">
        <f ca="1">IFERROR(+IF(BG$29=ProposalToGnatt[[#This Row],[Start Date]],Milestone_Marker,IF(AND(BG$29&gt;ProposalToGnatt[[#This Row],[Start Date]],BG$29&lt;ProposalToGnatt[[#This Row],[Start Date]]+ProposalToGnatt[[#This Row],[Days]]),$G$5,"")),"")</f>
        <v/>
      </c>
      <c r="BH84" s="37" t="str">
        <f ca="1">IFERROR(+IF(BH$29=ProposalToGnatt[[#This Row],[Start Date]],Milestone_Marker,IF(AND(BH$29&gt;ProposalToGnatt[[#This Row],[Start Date]],BH$29&lt;ProposalToGnatt[[#This Row],[Start Date]]+ProposalToGnatt[[#This Row],[Days]]),$G$5,"")),"")</f>
        <v/>
      </c>
      <c r="BI84" s="37" t="str">
        <f ca="1">IFERROR(+IF(BI$29=ProposalToGnatt[[#This Row],[Start Date]],Milestone_Marker,IF(AND(BI$29&gt;ProposalToGnatt[[#This Row],[Start Date]],BI$29&lt;ProposalToGnatt[[#This Row],[Start Date]]+ProposalToGnatt[[#This Row],[Days]]),$G$5,"")),"")</f>
        <v/>
      </c>
      <c r="BJ84" s="37" t="str">
        <f ca="1">IFERROR(+IF(BJ$29=ProposalToGnatt[[#This Row],[Start Date]],Milestone_Marker,IF(AND(BJ$29&gt;ProposalToGnatt[[#This Row],[Start Date]],BJ$29&lt;ProposalToGnatt[[#This Row],[Start Date]]+ProposalToGnatt[[#This Row],[Days]]),$G$5,"")),"")</f>
        <v/>
      </c>
      <c r="BK84" s="37" t="str">
        <f ca="1">IFERROR(+IF(BK$29=ProposalToGnatt[[#This Row],[Start Date]],Milestone_Marker,IF(AND(BK$29&gt;ProposalToGnatt[[#This Row],[Start Date]],BK$29&lt;ProposalToGnatt[[#This Row],[Start Date]]+ProposalToGnatt[[#This Row],[Days]]),$G$5,"")),"")</f>
        <v/>
      </c>
      <c r="BL84" s="37" t="str">
        <f ca="1">IFERROR(+IF(BL$29=ProposalToGnatt[[#This Row],[Start Date]],Milestone_Marker,IF(AND(BL$29&gt;ProposalToGnatt[[#This Row],[Start Date]],BL$29&lt;ProposalToGnatt[[#This Row],[Start Date]]+ProposalToGnatt[[#This Row],[Days]]),$G$5,"")),"")</f>
        <v/>
      </c>
      <c r="BM84" s="37" t="str">
        <f ca="1">IFERROR(+IF(BM$29=ProposalToGnatt[[#This Row],[Start Date]],Milestone_Marker,IF(AND(BM$29&gt;ProposalToGnatt[[#This Row],[Start Date]],BM$29&lt;ProposalToGnatt[[#This Row],[Start Date]]+ProposalToGnatt[[#This Row],[Days]]),$G$5,"")),"")</f>
        <v/>
      </c>
      <c r="BN84" s="37" t="str">
        <f ca="1">IFERROR(+IF(BN$29=ProposalToGnatt[[#This Row],[Start Date]],Milestone_Marker,IF(AND(BN$29&gt;ProposalToGnatt[[#This Row],[Start Date]],BN$29&lt;ProposalToGnatt[[#This Row],[Start Date]]+ProposalToGnatt[[#This Row],[Days]]),$G$5,"")),"")</f>
        <v/>
      </c>
      <c r="BO84" s="37" t="str">
        <f ca="1">IFERROR(+IF(BO$29=ProposalToGnatt[[#This Row],[Start Date]],Milestone_Marker,IF(AND(BO$29&gt;ProposalToGnatt[[#This Row],[Start Date]],BO$29&lt;ProposalToGnatt[[#This Row],[Start Date]]+ProposalToGnatt[[#This Row],[Days]]),$G$5,"")),"")</f>
        <v/>
      </c>
      <c r="BP84" s="37" t="str">
        <f ca="1">IFERROR(+IF(BP$29=ProposalToGnatt[[#This Row],[Start Date]],Milestone_Marker,IF(AND(BP$29&gt;ProposalToGnatt[[#This Row],[Start Date]],BP$29&lt;ProposalToGnatt[[#This Row],[Start Date]]+ProposalToGnatt[[#This Row],[Days]]),$G$5,"")),"")</f>
        <v/>
      </c>
      <c r="BQ84" s="37" t="str">
        <f ca="1">IFERROR(+IF(BQ$29=ProposalToGnatt[[#This Row],[Start Date]],Milestone_Marker,IF(AND(BQ$29&gt;ProposalToGnatt[[#This Row],[Start Date]],BQ$29&lt;ProposalToGnatt[[#This Row],[Start Date]]+ProposalToGnatt[[#This Row],[Days]]),$G$5,"")),"")</f>
        <v/>
      </c>
      <c r="BR84" s="37" t="str">
        <f ca="1">IFERROR(+IF(BR$29=ProposalToGnatt[[#This Row],[Start Date]],Milestone_Marker,IF(AND(BR$29&gt;ProposalToGnatt[[#This Row],[Start Date]],BR$29&lt;ProposalToGnatt[[#This Row],[Start Date]]+ProposalToGnatt[[#This Row],[Days]]),$G$5,"")),"")</f>
        <v/>
      </c>
      <c r="BS84" s="37" t="str">
        <f ca="1">IFERROR(+IF(BS$29=ProposalToGnatt[[#This Row],[Start Date]],Milestone_Marker,IF(AND(BS$29&gt;ProposalToGnatt[[#This Row],[Start Date]],BS$29&lt;ProposalToGnatt[[#This Row],[Start Date]]+ProposalToGnatt[[#This Row],[Days]]),$G$5,"")),"")</f>
        <v/>
      </c>
      <c r="BT84" s="37" t="str">
        <f ca="1">IFERROR(+IF(BT$29=ProposalToGnatt[[#This Row],[Start Date]],Milestone_Marker,IF(AND(BT$29&gt;ProposalToGnatt[[#This Row],[Start Date]],BT$29&lt;ProposalToGnatt[[#This Row],[Start Date]]+ProposalToGnatt[[#This Row],[Days]]),$G$5,"")),"")</f>
        <v/>
      </c>
      <c r="BU84" s="37" t="str">
        <f ca="1">IFERROR(+IF(BU$29=ProposalToGnatt[[#This Row],[Start Date]],Milestone_Marker,IF(AND(BU$29&gt;ProposalToGnatt[[#This Row],[Start Date]],BU$29&lt;ProposalToGnatt[[#This Row],[Start Date]]+ProposalToGnatt[[#This Row],[Days]]),$G$5,"")),"")</f>
        <v/>
      </c>
      <c r="BV84" s="37" t="str">
        <f ca="1">IFERROR(+IF(BV$29=ProposalToGnatt[[#This Row],[Start Date]],Milestone_Marker,IF(AND(BV$29&gt;ProposalToGnatt[[#This Row],[Start Date]],BV$29&lt;ProposalToGnatt[[#This Row],[Start Date]]+ProposalToGnatt[[#This Row],[Days]]),$G$5,"")),"")</f>
        <v/>
      </c>
      <c r="BW84" s="37" t="str">
        <f ca="1">IFERROR(+IF(BW$29=ProposalToGnatt[[#This Row],[Start Date]],Milestone_Marker,IF(AND(BW$29&gt;ProposalToGnatt[[#This Row],[Start Date]],BW$29&lt;ProposalToGnatt[[#This Row],[Start Date]]+ProposalToGnatt[[#This Row],[Days]]),$G$5,"")),"")</f>
        <v/>
      </c>
      <c r="BX84" s="37" t="str">
        <f ca="1">IFERROR(+IF(BX$29=ProposalToGnatt[[#This Row],[Start Date]],Milestone_Marker,IF(AND(BX$29&gt;ProposalToGnatt[[#This Row],[Start Date]],BX$29&lt;ProposalToGnatt[[#This Row],[Start Date]]+ProposalToGnatt[[#This Row],[Days]]),$G$5,"")),"")</f>
        <v/>
      </c>
      <c r="BY84" s="37" t="str">
        <f ca="1">IFERROR(+IF(BY$29=ProposalToGnatt[[#This Row],[Start Date]],Milestone_Marker,IF(AND(BY$29&gt;ProposalToGnatt[[#This Row],[Start Date]],BY$29&lt;ProposalToGnatt[[#This Row],[Start Date]]+ProposalToGnatt[[#This Row],[Days]]),$G$5,"")),"")</f>
        <v/>
      </c>
      <c r="BZ84" s="37" t="str">
        <f ca="1">IFERROR(+IF(BZ$29=ProposalToGnatt[[#This Row],[Start Date]],Milestone_Marker,IF(AND(BZ$29&gt;ProposalToGnatt[[#This Row],[Start Date]],BZ$29&lt;ProposalToGnatt[[#This Row],[Start Date]]+ProposalToGnatt[[#This Row],[Days]]),$G$5,"")),"")</f>
        <v/>
      </c>
      <c r="CA84" s="37" t="str">
        <f ca="1">IFERROR(+IF(CA$29=ProposalToGnatt[[#This Row],[Start Date]],Milestone_Marker,IF(AND(CA$29&gt;ProposalToGnatt[[#This Row],[Start Date]],CA$29&lt;ProposalToGnatt[[#This Row],[Start Date]]+ProposalToGnatt[[#This Row],[Days]]),$G$5,"")),"")</f>
        <v/>
      </c>
      <c r="CB84" s="37" t="str">
        <f ca="1">IFERROR(+IF(CB$29=ProposalToGnatt[[#This Row],[Start Date]],Milestone_Marker,IF(AND(CB$29&gt;ProposalToGnatt[[#This Row],[Start Date]],CB$29&lt;ProposalToGnatt[[#This Row],[Start Date]]+ProposalToGnatt[[#This Row],[Days]]),$G$5,"")),"")</f>
        <v/>
      </c>
      <c r="CC84" s="37" t="str">
        <f ca="1">IFERROR(+IF(CC$29=ProposalToGnatt[[#This Row],[Start Date]],Milestone_Marker,IF(AND(CC$29&gt;ProposalToGnatt[[#This Row],[Start Date]],CC$29&lt;ProposalToGnatt[[#This Row],[Start Date]]+ProposalToGnatt[[#This Row],[Days]]),$G$5,"")),"")</f>
        <v/>
      </c>
      <c r="CD84" s="37" t="str">
        <f ca="1">IFERROR(+IF(CD$29=ProposalToGnatt[[#This Row],[Start Date]],Milestone_Marker,IF(AND(CD$29&gt;ProposalToGnatt[[#This Row],[Start Date]],CD$29&lt;ProposalToGnatt[[#This Row],[Start Date]]+ProposalToGnatt[[#This Row],[Days]]),$G$5,"")),"")</f>
        <v/>
      </c>
      <c r="CE84" s="37" t="str">
        <f ca="1">IFERROR(+IF(CE$29=ProposalToGnatt[[#This Row],[Start Date]],Milestone_Marker,IF(AND(CE$29&gt;ProposalToGnatt[[#This Row],[Start Date]],CE$29&lt;ProposalToGnatt[[#This Row],[Start Date]]+ProposalToGnatt[[#This Row],[Days]]),$G$5,"")),"")</f>
        <v/>
      </c>
      <c r="CF84" s="37" t="str">
        <f ca="1">IFERROR(+IF(CF$29=ProposalToGnatt[[#This Row],[Start Date]],Milestone_Marker,IF(AND(CF$29&gt;ProposalToGnatt[[#This Row],[Start Date]],CF$29&lt;ProposalToGnatt[[#This Row],[Start Date]]+ProposalToGnatt[[#This Row],[Days]]),$G$5,"")),"")</f>
        <v/>
      </c>
      <c r="CG84" s="37" t="str">
        <f ca="1">IFERROR(+IF(CG$29=ProposalToGnatt[[#This Row],[Start Date]],Milestone_Marker,IF(AND(CG$29&gt;ProposalToGnatt[[#This Row],[Start Date]],CG$29&lt;ProposalToGnatt[[#This Row],[Start Date]]+ProposalToGnatt[[#This Row],[Days]]),$G$5,"")),"")</f>
        <v/>
      </c>
      <c r="CH84" s="37" t="str">
        <f ca="1">IFERROR(+IF(CH$29=ProposalToGnatt[[#This Row],[Start Date]],Milestone_Marker,IF(AND(CH$29&gt;ProposalToGnatt[[#This Row],[Start Date]],CH$29&lt;ProposalToGnatt[[#This Row],[Start Date]]+ProposalToGnatt[[#This Row],[Days]]),$G$5,"")),"")</f>
        <v/>
      </c>
      <c r="CI84" s="37" t="str">
        <f ca="1">IFERROR(+IF(CI$29=ProposalToGnatt[[#This Row],[Start Date]],Milestone_Marker,IF(AND(CI$29&gt;ProposalToGnatt[[#This Row],[Start Date]],CI$29&lt;ProposalToGnatt[[#This Row],[Start Date]]+ProposalToGnatt[[#This Row],[Days]]),$G$5,"")),"")</f>
        <v/>
      </c>
      <c r="CJ84" s="37" t="str">
        <f ca="1">IFERROR(+IF(CJ$29=ProposalToGnatt[[#This Row],[Start Date]],Milestone_Marker,IF(AND(CJ$29&gt;ProposalToGnatt[[#This Row],[Start Date]],CJ$29&lt;ProposalToGnatt[[#This Row],[Start Date]]+ProposalToGnatt[[#This Row],[Days]]),$G$5,"")),"")</f>
        <v/>
      </c>
      <c r="CK84" s="37" t="str">
        <f ca="1">IFERROR(+IF(CK$29=ProposalToGnatt[[#This Row],[Start Date]],Milestone_Marker,IF(AND(CK$29&gt;ProposalToGnatt[[#This Row],[Start Date]],CK$29&lt;ProposalToGnatt[[#This Row],[Start Date]]+ProposalToGnatt[[#This Row],[Days]]),$G$5,"")),"")</f>
        <v/>
      </c>
      <c r="CL84" s="37" t="str">
        <f ca="1">IFERROR(+IF(CL$29=ProposalToGnatt[[#This Row],[Start Date]],Milestone_Marker,IF(AND(CL$29&gt;ProposalToGnatt[[#This Row],[Start Date]],CL$29&lt;ProposalToGnatt[[#This Row],[Start Date]]+ProposalToGnatt[[#This Row],[Days]]),$G$5,"")),"")</f>
        <v/>
      </c>
      <c r="CM84" s="37" t="str">
        <f ca="1">IFERROR(+IF(CM$29=ProposalToGnatt[[#This Row],[Start Date]],Milestone_Marker,IF(AND(CM$29&gt;ProposalToGnatt[[#This Row],[Start Date]],CM$29&lt;ProposalToGnatt[[#This Row],[Start Date]]+ProposalToGnatt[[#This Row],[Days]]),$G$5,"")),"")</f>
        <v/>
      </c>
      <c r="CN84" s="37" t="str">
        <f ca="1">IFERROR(+IF(CN$29=ProposalToGnatt[[#This Row],[Start Date]],Milestone_Marker,IF(AND(CN$29&gt;ProposalToGnatt[[#This Row],[Start Date]],CN$29&lt;ProposalToGnatt[[#This Row],[Start Date]]+ProposalToGnatt[[#This Row],[Days]]),$G$5,"")),"")</f>
        <v/>
      </c>
      <c r="CO84" s="37" t="str">
        <f ca="1">IFERROR(+IF(CO$29=ProposalToGnatt[[#This Row],[Start Date]],Milestone_Marker,IF(AND(CO$29&gt;ProposalToGnatt[[#This Row],[Start Date]],CO$29&lt;ProposalToGnatt[[#This Row],[Start Date]]+ProposalToGnatt[[#This Row],[Days]]),$G$5,"")),"")</f>
        <v/>
      </c>
      <c r="CP84" s="37" t="str">
        <f ca="1">IFERROR(+IF(CP$29=ProposalToGnatt[[#This Row],[Start Date]],Milestone_Marker,IF(AND(CP$29&gt;ProposalToGnatt[[#This Row],[Start Date]],CP$29&lt;ProposalToGnatt[[#This Row],[Start Date]]+ProposalToGnatt[[#This Row],[Days]]),$G$5,"")),"")</f>
        <v/>
      </c>
      <c r="CQ84" s="37" t="str">
        <f ca="1">IFERROR(+IF(CQ$29=ProposalToGnatt[[#This Row],[Start Date]],Milestone_Marker,IF(AND(CQ$29&gt;ProposalToGnatt[[#This Row],[Start Date]],CQ$29&lt;ProposalToGnatt[[#This Row],[Start Date]]+ProposalToGnatt[[#This Row],[Days]]),$G$5,"")),"")</f>
        <v/>
      </c>
      <c r="CR84" s="37" t="str">
        <f ca="1">IFERROR(+IF(CR$29=ProposalToGnatt[[#This Row],[Start Date]],Milestone_Marker,IF(AND(CR$29&gt;ProposalToGnatt[[#This Row],[Start Date]],CR$29&lt;ProposalToGnatt[[#This Row],[Start Date]]+ProposalToGnatt[[#This Row],[Days]]),$G$5,"")),"")</f>
        <v/>
      </c>
      <c r="CS84" s="37" t="str">
        <f ca="1">IFERROR(+IF(CS$29=ProposalToGnatt[[#This Row],[Start Date]],Milestone_Marker,IF(AND(CS$29&gt;ProposalToGnatt[[#This Row],[Start Date]],CS$29&lt;ProposalToGnatt[[#This Row],[Start Date]]+ProposalToGnatt[[#This Row],[Days]]),$G$5,"")),"")</f>
        <v/>
      </c>
      <c r="CT84" s="37" t="str">
        <f ca="1">IFERROR(+IF(CT$29=ProposalToGnatt[[#This Row],[Start Date]],Milestone_Marker,IF(AND(CT$29&gt;ProposalToGnatt[[#This Row],[Start Date]],CT$29&lt;ProposalToGnatt[[#This Row],[Start Date]]+ProposalToGnatt[[#This Row],[Days]]),$G$5,"")),"")</f>
        <v/>
      </c>
      <c r="CU84" s="37" t="str">
        <f ca="1">IFERROR(+IF(CU$29=ProposalToGnatt[[#This Row],[Start Date]],Milestone_Marker,IF(AND(CU$29&gt;ProposalToGnatt[[#This Row],[Start Date]],CU$29&lt;ProposalToGnatt[[#This Row],[Start Date]]+ProposalToGnatt[[#This Row],[Days]]),$G$5,"")),"")</f>
        <v/>
      </c>
      <c r="CV84" s="37" t="str">
        <f ca="1">IFERROR(+IF(CT$29=#REF!,Milestone_Marker,IF(AND(CT$29&gt;#REF!,CT$29&lt;=#REF!+#REF!),$G$5,"")),"")</f>
        <v/>
      </c>
      <c r="CW84" s="37" t="str">
        <f ca="1">IFERROR(+IF(CU$29=#REF!,Milestone_Marker,IF(AND(CU$29&gt;#REF!,CU$29&lt;=#REF!+#REF!),$G$5,"")),"")</f>
        <v/>
      </c>
    </row>
    <row r="85" spans="1:125" ht="15" x14ac:dyDescent="0.25">
      <c r="A85" t="s">
        <v>459</v>
      </c>
      <c r="B85">
        <v>60</v>
      </c>
      <c r="C85"/>
      <c r="D85" t="s">
        <v>403</v>
      </c>
      <c r="E85" t="s">
        <v>404</v>
      </c>
      <c r="F85">
        <v>1</v>
      </c>
      <c r="G85" s="14"/>
      <c r="H85" s="14"/>
      <c r="I85" t="s">
        <v>173</v>
      </c>
      <c r="J85">
        <v>2</v>
      </c>
      <c r="K85" s="303"/>
      <c r="L85"/>
      <c r="M85" s="14"/>
      <c r="N85" s="352"/>
      <c r="O85" s="340"/>
      <c r="P85" s="37" t="str">
        <f ca="1">IFERROR(+IF(Q$29=#REF!,Milestone_Marker,IF(AND(Q$29&gt;#REF!,Q$29&lt;=#REF!+#REF!),$G$5,"")),"")</f>
        <v/>
      </c>
      <c r="Q85" s="37" t="str">
        <f ca="1">IFERROR(+IF(R$29=#REF!,Milestone_Marker,IF(AND(R$29&gt;#REF!,R$29&lt;=#REF!+#REF!),$G$5,"")),"")</f>
        <v/>
      </c>
      <c r="R85" s="37" t="str">
        <f ca="1">IFERROR(+IF(S$29=#REF!,Milestone_Marker,IF(AND(S$29&gt;#REF!,S$29&lt;=#REF!+#REF!),$G$5,"")),"")</f>
        <v/>
      </c>
      <c r="S85" s="37" t="str">
        <f ca="1">IFERROR(+IF(T$29=#REF!,Milestone_Marker,IF(AND(T$29&gt;#REF!,T$29&lt;=#REF!+#REF!),$G$5,"")),"")</f>
        <v/>
      </c>
      <c r="T85" s="37" t="str">
        <f ca="1">IFERROR(+IF(U$29=#REF!,Milestone_Marker,IF(AND(U$29&gt;#REF!,U$29&lt;=#REF!+#REF!),$G$5,"")),"")</f>
        <v/>
      </c>
      <c r="U85" s="37" t="str">
        <f ca="1">IFERROR(+IF(V$29=#REF!,Milestone_Marker,IF(AND(V$29&gt;#REF!,V$29&lt;=#REF!+#REF!),$G$5,"")),"")</f>
        <v/>
      </c>
      <c r="V85" s="37" t="str">
        <f ca="1">IFERROR(+IF(W$29=#REF!,Milestone_Marker,IF(AND(W$29&gt;#REF!,W$29&lt;=#REF!+#REF!),$G$5,"")),"")</f>
        <v/>
      </c>
      <c r="W85" s="37" t="str">
        <f ca="1">IFERROR(+IF(X$29=#REF!,Milestone_Marker,IF(AND(X$29&gt;#REF!,X$29&lt;=#REF!+#REF!),$G$5,"")),"")</f>
        <v/>
      </c>
      <c r="X85" s="37" t="str">
        <f ca="1">IFERROR(+IF(Y$29=#REF!,Milestone_Marker,IF(AND(Y$29&gt;#REF!,Y$29&lt;=#REF!+#REF!),$G$5,"")),"")</f>
        <v/>
      </c>
      <c r="Y85" s="37" t="str">
        <f ca="1">IFERROR(+IF(Z$29=#REF!,Milestone_Marker,IF(AND(Z$29&gt;#REF!,Z$29&lt;=#REF!+#REF!),$G$5,"")),"")</f>
        <v/>
      </c>
      <c r="Z85" s="37" t="str">
        <f ca="1">IFERROR(+IF(AA$29=#REF!,Milestone_Marker,IF(AND(AA$29&gt;#REF!,AA$29&lt;=#REF!+#REF!),$G$5,"")),"")</f>
        <v/>
      </c>
      <c r="AA85" s="37" t="str">
        <f ca="1">IFERROR(+IF(AB$29=#REF!,Milestone_Marker,IF(AND(AB$29&gt;#REF!,AB$29&lt;=#REF!+#REF!),$G$5,"")),"")</f>
        <v/>
      </c>
      <c r="AB85" s="37" t="str">
        <f ca="1">IFERROR(+IF(AC$29=#REF!,Milestone_Marker,IF(AND(AC$29&gt;#REF!,AC$29&lt;=#REF!+#REF!),$G$5,"")),"")</f>
        <v/>
      </c>
      <c r="AC85" s="37" t="str">
        <f ca="1">IFERROR(+IF(AD$29=#REF!,Milestone_Marker,IF(AND(AD$29&gt;#REF!,AD$29&lt;=#REF!+#REF!),$G$5,"")),"")</f>
        <v/>
      </c>
      <c r="AD85" s="37" t="str">
        <f ca="1">IFERROR(+IF(AE$29=#REF!,Milestone_Marker,IF(AND(AE$29&gt;#REF!,AE$29&lt;=#REF!+#REF!),$G$5,"")),"")</f>
        <v/>
      </c>
      <c r="AE85" s="37" t="str">
        <f ca="1">IFERROR(+IF(AF$29=#REF!,Milestone_Marker,IF(AND(AF$29&gt;#REF!,AF$29&lt;=#REF!+#REF!),$G$5,"")),"")</f>
        <v/>
      </c>
      <c r="AF85" s="37" t="str">
        <f ca="1">IFERROR(+IF(AG$29=#REF!,Milestone_Marker,IF(AND(AG$29&gt;#REF!,AG$29&lt;=#REF!+#REF!),$G$5,"")),"")</f>
        <v/>
      </c>
      <c r="AG85" s="37" t="str">
        <f ca="1">IFERROR(+IF(AH$29=#REF!,Milestone_Marker,IF(AND(AH$29&gt;#REF!,AH$29&lt;=#REF!+#REF!),$G$5,"")),"")</f>
        <v/>
      </c>
      <c r="AH85" s="37" t="str">
        <f ca="1">IFERROR(+IF(AI$29=#REF!,Milestone_Marker,IF(AND(AI$29&gt;#REF!,AI$29&lt;=#REF!+#REF!),$G$5,"")),"")</f>
        <v/>
      </c>
      <c r="AI85" s="37" t="str">
        <f ca="1">IFERROR(+IF(AJ$29=#REF!,Milestone_Marker,IF(AND(AJ$29&gt;#REF!,AJ$29&lt;=#REF!+#REF!),$G$5,"")),"")</f>
        <v/>
      </c>
      <c r="AJ85" s="37" t="str">
        <f ca="1">IFERROR(+IF(AK$29=#REF!,Milestone_Marker,IF(AND(AK$29&gt;#REF!,AK$29&lt;=#REF!+#REF!),$G$5,"")),"")</f>
        <v/>
      </c>
      <c r="AK85" s="37" t="str">
        <f ca="1">IFERROR(+IF(AL$29=#REF!,Milestone_Marker,IF(AND(AL$29&gt;#REF!,AL$29&lt;=#REF!+#REF!),$G$5,"")),"")</f>
        <v/>
      </c>
      <c r="AL85" s="37" t="str">
        <f ca="1">IFERROR(+IF(AM$29=#REF!,Milestone_Marker,IF(AND(AM$29&gt;#REF!,AM$29&lt;=#REF!+#REF!),$G$5,"")),"")</f>
        <v/>
      </c>
      <c r="AM85" s="37" t="str">
        <f ca="1">IFERROR(+IF(AN$29=#REF!,Milestone_Marker,IF(AND(AN$29&gt;#REF!,AN$29&lt;=#REF!+#REF!),$G$5,"")),"")</f>
        <v/>
      </c>
      <c r="AN85" s="37" t="str">
        <f ca="1">IFERROR(+IF(AO$29=#REF!,Milestone_Marker,IF(AND(AO$29&gt;#REF!,AO$29&lt;=#REF!+#REF!),$G$5,"")),"")</f>
        <v/>
      </c>
      <c r="AO85" s="37" t="str">
        <f ca="1">IFERROR(+IF(AP$29=#REF!,Milestone_Marker,IF(AND(AP$29&gt;#REF!,AP$29&lt;=#REF!+#REF!),$G$5,"")),"")</f>
        <v/>
      </c>
      <c r="AP85" s="37" t="str">
        <f ca="1">IFERROR(+IF(AQ$29=#REF!,Milestone_Marker,IF(AND(AQ$29&gt;#REF!,AQ$29&lt;=#REF!+#REF!),$G$5,"")),"")</f>
        <v/>
      </c>
      <c r="AQ85" s="37" t="str">
        <f ca="1">IFERROR(+IF(AR$29=#REF!,Milestone_Marker,IF(AND(AR$29&gt;#REF!,AR$29&lt;=#REF!+#REF!),$G$5,"")),"")</f>
        <v/>
      </c>
      <c r="AR85" s="37" t="str">
        <f ca="1">IFERROR(+IF(AS$29=#REF!,Milestone_Marker,IF(AND(AS$29&gt;#REF!,AS$29&lt;=#REF!+#REF!),$G$5,"")),"")</f>
        <v/>
      </c>
      <c r="AS85" s="37" t="str">
        <f ca="1">IFERROR(+IF(AT$29=#REF!,Milestone_Marker,IF(AND(AT$29&gt;#REF!,AT$29&lt;=#REF!+#REF!),$G$5,"")),"")</f>
        <v/>
      </c>
      <c r="AT85" s="37" t="str">
        <f ca="1">IFERROR(+IF(AU$29=#REF!,Milestone_Marker,IF(AND(AU$29&gt;#REF!,AU$29&lt;=#REF!+#REF!),$G$5,"")),"")</f>
        <v/>
      </c>
      <c r="AU85" s="37" t="str">
        <f ca="1">IFERROR(+IF(AV$29=#REF!,Milestone_Marker,IF(AND(AV$29&gt;#REF!,AV$29&lt;=#REF!+#REF!),$G$5,"")),"")</f>
        <v/>
      </c>
      <c r="AV85" s="37" t="str">
        <f ca="1">IFERROR(+IF(AW$29=#REF!,Milestone_Marker,IF(AND(AW$29&gt;#REF!,AW$29&lt;=#REF!+#REF!),$G$5,"")),"")</f>
        <v/>
      </c>
      <c r="AW85" s="37" t="str">
        <f ca="1">IFERROR(+IF(AX$29=#REF!,Milestone_Marker,IF(AND(AX$29&gt;#REF!,AX$29&lt;=#REF!+#REF!),$G$5,"")),"")</f>
        <v/>
      </c>
      <c r="AX85" s="37" t="str">
        <f ca="1">IFERROR(+IF(AY$29=#REF!,Milestone_Marker,IF(AND(AY$29&gt;#REF!,AY$29&lt;=#REF!+#REF!),$G$5,"")),"")</f>
        <v/>
      </c>
      <c r="AY85" s="37" t="str">
        <f ca="1">IFERROR(+IF(AZ$29=#REF!,Milestone_Marker,IF(AND(AZ$29&gt;#REF!,AZ$29&lt;=#REF!+#REF!),$G$5,"")),"")</f>
        <v/>
      </c>
      <c r="AZ85" s="37" t="str">
        <f ca="1">IFERROR(+IF(BA$29=#REF!,Milestone_Marker,IF(AND(BA$29&gt;#REF!,BA$29&lt;=#REF!+#REF!),$G$5,"")),"")</f>
        <v/>
      </c>
      <c r="BA85" s="37" t="str">
        <f ca="1">IFERROR(+IF(BB$29=#REF!,Milestone_Marker,IF(AND(BB$29&gt;#REF!,BB$29&lt;=#REF!+#REF!),$G$5,"")),"")</f>
        <v/>
      </c>
      <c r="BB85" s="37" t="str">
        <f ca="1">IFERROR(+IF(BC$29=#REF!,Milestone_Marker,IF(AND(BC$29&gt;#REF!,BC$29&lt;=#REF!+#REF!),$G$5,"")),"")</f>
        <v/>
      </c>
      <c r="BC85" s="37" t="str">
        <f ca="1">IFERROR(+IF(BD$29=#REF!,Milestone_Marker,IF(AND(BD$29&gt;#REF!,BD$29&lt;=#REF!+#REF!),$G$5,"")),"")</f>
        <v/>
      </c>
      <c r="BD85" s="37" t="str">
        <f ca="1">IFERROR(+IF(BE$29=#REF!,Milestone_Marker,IF(AND(BE$29&gt;#REF!,BE$29&lt;=#REF!+#REF!),$G$5,"")),"")</f>
        <v/>
      </c>
      <c r="BE85" s="37" t="str">
        <f ca="1">IFERROR(+IF(BF$29=#REF!,Milestone_Marker,IF(AND(BF$29&gt;#REF!,BF$29&lt;=#REF!+#REF!),$G$5,"")),"")</f>
        <v/>
      </c>
      <c r="BF85" s="37" t="str">
        <f ca="1">IFERROR(+IF(BG$29=#REF!,Milestone_Marker,IF(AND(BG$29&gt;#REF!,BG$29&lt;=#REF!+#REF!),$G$5,"")),"")</f>
        <v/>
      </c>
      <c r="BG85" s="37" t="str">
        <f ca="1">IFERROR(+IF(BH$29=#REF!,Milestone_Marker,IF(AND(BH$29&gt;#REF!,BH$29&lt;=#REF!+#REF!),$G$5,"")),"")</f>
        <v/>
      </c>
      <c r="BH85" s="37" t="str">
        <f ca="1">IFERROR(+IF(BI$29=#REF!,Milestone_Marker,IF(AND(BI$29&gt;#REF!,BI$29&lt;=#REF!+#REF!),$G$5,"")),"")</f>
        <v/>
      </c>
      <c r="BI85" s="37" t="str">
        <f ca="1">IFERROR(+IF(BJ$29=#REF!,Milestone_Marker,IF(AND(BJ$29&gt;#REF!,BJ$29&lt;=#REF!+#REF!),$G$5,"")),"")</f>
        <v/>
      </c>
      <c r="BJ85" s="37" t="str">
        <f ca="1">IFERROR(+IF(BK$29=#REF!,Milestone_Marker,IF(AND(BK$29&gt;#REF!,BK$29&lt;=#REF!+#REF!),$G$5,"")),"")</f>
        <v/>
      </c>
      <c r="BK85" s="37" t="str">
        <f ca="1">IFERROR(+IF(BL$29=#REF!,Milestone_Marker,IF(AND(BL$29&gt;#REF!,BL$29&lt;=#REF!+#REF!),$G$5,"")),"")</f>
        <v/>
      </c>
      <c r="BL85" s="37" t="str">
        <f ca="1">IFERROR(+IF(BM$29=#REF!,Milestone_Marker,IF(AND(BM$29&gt;#REF!,BM$29&lt;=#REF!+#REF!),$G$5,"")),"")</f>
        <v/>
      </c>
      <c r="BM85" s="37" t="str">
        <f ca="1">IFERROR(+IF(BN$29=#REF!,Milestone_Marker,IF(AND(BN$29&gt;#REF!,BN$29&lt;=#REF!+#REF!),$G$5,"")),"")</f>
        <v/>
      </c>
      <c r="BN85" s="37" t="str">
        <f ca="1">IFERROR(+IF(BO$29=#REF!,Milestone_Marker,IF(AND(BO$29&gt;#REF!,BO$29&lt;=#REF!+#REF!),$G$5,"")),"")</f>
        <v/>
      </c>
      <c r="BO85" s="37" t="str">
        <f ca="1">IFERROR(+IF(BP$29=#REF!,Milestone_Marker,IF(AND(BP$29&gt;#REF!,BP$29&lt;=#REF!+#REF!),$G$5,"")),"")</f>
        <v/>
      </c>
      <c r="BP85" s="37" t="str">
        <f ca="1">IFERROR(+IF(BQ$29=#REF!,Milestone_Marker,IF(AND(BQ$29&gt;#REF!,BQ$29&lt;=#REF!+#REF!),$G$5,"")),"")</f>
        <v/>
      </c>
      <c r="BQ85" s="37" t="str">
        <f ca="1">IFERROR(+IF(BR$29=#REF!,Milestone_Marker,IF(AND(BR$29&gt;#REF!,BR$29&lt;=#REF!+#REF!),$G$5,"")),"")</f>
        <v/>
      </c>
      <c r="BR85" s="37" t="str">
        <f ca="1">IFERROR(+IF(BS$29=#REF!,Milestone_Marker,IF(AND(BS$29&gt;#REF!,BS$29&lt;=#REF!+#REF!),$G$5,"")),"")</f>
        <v/>
      </c>
      <c r="BS85" s="37" t="str">
        <f ca="1">IFERROR(+IF(BT$29=#REF!,Milestone_Marker,IF(AND(BT$29&gt;#REF!,BT$29&lt;=#REF!+#REF!),$G$5,"")),"")</f>
        <v/>
      </c>
      <c r="BT85" s="37" t="str">
        <f ca="1">IFERROR(+IF(BU$29=#REF!,Milestone_Marker,IF(AND(BU$29&gt;#REF!,BU$29&lt;=#REF!+#REF!),$G$5,"")),"")</f>
        <v/>
      </c>
      <c r="BU85" s="37" t="str">
        <f ca="1">IFERROR(+IF(BV$29=#REF!,Milestone_Marker,IF(AND(BV$29&gt;#REF!,BV$29&lt;=#REF!+#REF!),$G$5,"")),"")</f>
        <v/>
      </c>
      <c r="BV85" s="37" t="str">
        <f ca="1">IFERROR(+IF(BW$29=#REF!,Milestone_Marker,IF(AND(BW$29&gt;#REF!,BW$29&lt;=#REF!+#REF!),$G$5,"")),"")</f>
        <v/>
      </c>
      <c r="BW85" s="37" t="str">
        <f ca="1">IFERROR(+IF(BX$29=#REF!,Milestone_Marker,IF(AND(BX$29&gt;#REF!,BX$29&lt;=#REF!+#REF!),$G$5,"")),"")</f>
        <v/>
      </c>
      <c r="BX85" s="37" t="str">
        <f ca="1">IFERROR(+IF(BY$29=#REF!,Milestone_Marker,IF(AND(BY$29&gt;#REF!,BY$29&lt;=#REF!+#REF!),$G$5,"")),"")</f>
        <v/>
      </c>
      <c r="BY85" s="37" t="str">
        <f ca="1">IFERROR(+IF(BZ$29=#REF!,Milestone_Marker,IF(AND(BZ$29&gt;#REF!,BZ$29&lt;=#REF!+#REF!),$G$5,"")),"")</f>
        <v/>
      </c>
      <c r="BZ85" s="37" t="str">
        <f ca="1">IFERROR(+IF(CA$29=#REF!,Milestone_Marker,IF(AND(CA$29&gt;#REF!,CA$29&lt;=#REF!+#REF!),$G$5,"")),"")</f>
        <v/>
      </c>
      <c r="CA85" s="37" t="str">
        <f ca="1">IFERROR(+IF(CB$29=#REF!,Milestone_Marker,IF(AND(CB$29&gt;#REF!,CB$29&lt;=#REF!+#REF!),$G$5,"")),"")</f>
        <v/>
      </c>
      <c r="CB85" s="37" t="str">
        <f ca="1">IFERROR(+IF(CC$29=#REF!,Milestone_Marker,IF(AND(CC$29&gt;#REF!,CC$29&lt;=#REF!+#REF!),$G$5,"")),"")</f>
        <v/>
      </c>
      <c r="CC85" s="37" t="str">
        <f ca="1">IFERROR(+IF(CD$29=#REF!,Milestone_Marker,IF(AND(CD$29&gt;#REF!,CD$29&lt;=#REF!+#REF!),$G$5,"")),"")</f>
        <v/>
      </c>
      <c r="CD85" s="37" t="str">
        <f ca="1">IFERROR(+IF(CE$29=#REF!,Milestone_Marker,IF(AND(CE$29&gt;#REF!,CE$29&lt;=#REF!+#REF!),$G$5,"")),"")</f>
        <v/>
      </c>
      <c r="CE85" s="37" t="str">
        <f ca="1">IFERROR(+IF(CF$29=#REF!,Milestone_Marker,IF(AND(CF$29&gt;#REF!,CF$29&lt;=#REF!+#REF!),$G$5,"")),"")</f>
        <v/>
      </c>
      <c r="CF85" s="37" t="str">
        <f ca="1">IFERROR(+IF(CG$29=#REF!,Milestone_Marker,IF(AND(CG$29&gt;#REF!,CG$29&lt;=#REF!+#REF!),$G$5,"")),"")</f>
        <v/>
      </c>
      <c r="CG85" s="37" t="str">
        <f ca="1">IFERROR(+IF(CH$29=#REF!,Milestone_Marker,IF(AND(CH$29&gt;#REF!,CH$29&lt;=#REF!+#REF!),$G$5,"")),"")</f>
        <v/>
      </c>
      <c r="CH85" s="37" t="str">
        <f ca="1">IFERROR(+IF(CI$29=#REF!,Milestone_Marker,IF(AND(CI$29&gt;#REF!,CI$29&lt;=#REF!+#REF!),$G$5,"")),"")</f>
        <v/>
      </c>
      <c r="CI85" s="37" t="str">
        <f ca="1">IFERROR(+IF(CJ$29=#REF!,Milestone_Marker,IF(AND(CJ$29&gt;#REF!,CJ$29&lt;=#REF!+#REF!),$G$5,"")),"")</f>
        <v/>
      </c>
      <c r="CJ85" s="37" t="str">
        <f ca="1">IFERROR(+IF(CK$29=#REF!,Milestone_Marker,IF(AND(CK$29&gt;#REF!,CK$29&lt;=#REF!+#REF!),$G$5,"")),"")</f>
        <v/>
      </c>
      <c r="CK85" s="37" t="str">
        <f ca="1">IFERROR(+IF(CL$29=#REF!,Milestone_Marker,IF(AND(CL$29&gt;#REF!,CL$29&lt;=#REF!+#REF!),$G$5,"")),"")</f>
        <v/>
      </c>
      <c r="CL85" s="37" t="str">
        <f ca="1">IFERROR(+IF(CM$29=#REF!,Milestone_Marker,IF(AND(CM$29&gt;#REF!,CM$29&lt;=#REF!+#REF!),$G$5,"")),"")</f>
        <v/>
      </c>
      <c r="CM85" s="37" t="str">
        <f ca="1">IFERROR(+IF(CN$29=#REF!,Milestone_Marker,IF(AND(CN$29&gt;#REF!,CN$29&lt;=#REF!+#REF!),$G$5,"")),"")</f>
        <v/>
      </c>
      <c r="CN85" s="37" t="str">
        <f ca="1">IFERROR(+IF(CO$29=#REF!,Milestone_Marker,IF(AND(CO$29&gt;#REF!,CO$29&lt;=#REF!+#REF!),$G$5,"")),"")</f>
        <v/>
      </c>
      <c r="CO85" s="37" t="str">
        <f ca="1">IFERROR(+IF(CP$29=#REF!,Milestone_Marker,IF(AND(CP$29&gt;#REF!,CP$29&lt;=#REF!+#REF!),$G$5,"")),"")</f>
        <v/>
      </c>
      <c r="CP85" s="37" t="str">
        <f ca="1">IFERROR(+IF(CQ$29=#REF!,Milestone_Marker,IF(AND(CQ$29&gt;#REF!,CQ$29&lt;=#REF!+#REF!),$G$5,"")),"")</f>
        <v/>
      </c>
      <c r="CQ85" s="37" t="str">
        <f ca="1">IFERROR(+IF(CR$29=#REF!,Milestone_Marker,IF(AND(CR$29&gt;#REF!,CR$29&lt;=#REF!+#REF!),$G$5,"")),"")</f>
        <v/>
      </c>
      <c r="CR85" s="37" t="str">
        <f ca="1">IFERROR(+IF(CS$29=#REF!,Milestone_Marker,IF(AND(CS$29&gt;#REF!,CS$29&lt;=#REF!+#REF!),$G$5,"")),"")</f>
        <v/>
      </c>
      <c r="CS85" s="37" t="str">
        <f ca="1">IFERROR(+IF(CT$29=#REF!,Milestone_Marker,IF(AND(CT$29&gt;#REF!,CT$29&lt;=#REF!+#REF!),$G$5,"")),"")</f>
        <v/>
      </c>
      <c r="CT85" s="37" t="str">
        <f ca="1">IFERROR(+IF(CU$29=#REF!,Milestone_Marker,IF(AND(CU$29&gt;#REF!,CU$29&lt;=#REF!+#REF!),$G$5,"")),"")</f>
        <v/>
      </c>
    </row>
    <row r="86" spans="1:125" ht="15" x14ac:dyDescent="0.25">
      <c r="A86" t="s">
        <v>428</v>
      </c>
      <c r="B86">
        <v>1</v>
      </c>
      <c r="C86" t="s">
        <v>301</v>
      </c>
      <c r="D86" t="s">
        <v>301</v>
      </c>
      <c r="E86" t="s">
        <v>302</v>
      </c>
      <c r="F86">
        <v>0</v>
      </c>
      <c r="G86" s="14">
        <v>7016</v>
      </c>
      <c r="H86" s="14">
        <v>0</v>
      </c>
      <c r="I86" t="s">
        <v>8</v>
      </c>
      <c r="J86">
        <v>4</v>
      </c>
      <c r="K86" s="303">
        <v>45212</v>
      </c>
      <c r="L86"/>
      <c r="M86" s="14">
        <v>7016</v>
      </c>
      <c r="N86" s="352">
        <v>0</v>
      </c>
      <c r="O86" s="340"/>
      <c r="P86" s="37" t="str">
        <f ca="1">IFERROR(+IF(Q$29=#REF!,Milestone_Marker,IF(AND(Q$29&gt;#REF!,Q$29&lt;=#REF!+#REF!),$G$5,"")),"")</f>
        <v/>
      </c>
      <c r="Q86" s="37" t="str">
        <f ca="1">IFERROR(+IF(R$29=#REF!,Milestone_Marker,IF(AND(R$29&gt;#REF!,R$29&lt;=#REF!+#REF!),$G$5,"")),"")</f>
        <v/>
      </c>
      <c r="R86" s="37" t="str">
        <f ca="1">IFERROR(+IF(S$29=#REF!,Milestone_Marker,IF(AND(S$29&gt;#REF!,S$29&lt;=#REF!+#REF!),$G$5,"")),"")</f>
        <v/>
      </c>
      <c r="S86" s="37" t="str">
        <f ca="1">IFERROR(+IF(T$29=#REF!,Milestone_Marker,IF(AND(T$29&gt;#REF!,T$29&lt;=#REF!+#REF!),$G$5,"")),"")</f>
        <v/>
      </c>
      <c r="T86" s="37" t="str">
        <f ca="1">IFERROR(+IF(U$29=#REF!,Milestone_Marker,IF(AND(U$29&gt;#REF!,U$29&lt;=#REF!+#REF!),$G$5,"")),"")</f>
        <v/>
      </c>
      <c r="U86" s="37" t="str">
        <f ca="1">IFERROR(+IF(V$29=#REF!,Milestone_Marker,IF(AND(V$29&gt;#REF!,V$29&lt;=#REF!+#REF!),$G$5,"")),"")</f>
        <v/>
      </c>
      <c r="V86" s="37" t="str">
        <f ca="1">IFERROR(+IF(W$29=#REF!,Milestone_Marker,IF(AND(W$29&gt;#REF!,W$29&lt;=#REF!+#REF!),$G$5,"")),"")</f>
        <v/>
      </c>
      <c r="W86" s="37" t="str">
        <f ca="1">IFERROR(+IF(X$29=#REF!,Milestone_Marker,IF(AND(X$29&gt;#REF!,X$29&lt;=#REF!+#REF!),$G$5,"")),"")</f>
        <v/>
      </c>
      <c r="X86" s="37" t="str">
        <f ca="1">IFERROR(+IF(Y$29=#REF!,Milestone_Marker,IF(AND(Y$29&gt;#REF!,Y$29&lt;=#REF!+#REF!),$G$5,"")),"")</f>
        <v/>
      </c>
      <c r="Y86" s="37" t="str">
        <f ca="1">IFERROR(+IF(Z$29=#REF!,Milestone_Marker,IF(AND(Z$29&gt;#REF!,Z$29&lt;=#REF!+#REF!),$G$5,"")),"")</f>
        <v/>
      </c>
      <c r="Z86" s="37" t="str">
        <f ca="1">IFERROR(+IF(AA$29=#REF!,Milestone_Marker,IF(AND(AA$29&gt;#REF!,AA$29&lt;=#REF!+#REF!),$G$5,"")),"")</f>
        <v/>
      </c>
      <c r="AA86" s="37" t="str">
        <f ca="1">IFERROR(+IF(AB$29=#REF!,Milestone_Marker,IF(AND(AB$29&gt;#REF!,AB$29&lt;=#REF!+#REF!),$G$5,"")),"")</f>
        <v/>
      </c>
      <c r="AB86" s="37" t="str">
        <f ca="1">IFERROR(+IF(AC$29=#REF!,Milestone_Marker,IF(AND(AC$29&gt;#REF!,AC$29&lt;=#REF!+#REF!),$G$5,"")),"")</f>
        <v/>
      </c>
      <c r="AC86" s="37" t="str">
        <f ca="1">IFERROR(+IF(AD$29=#REF!,Milestone_Marker,IF(AND(AD$29&gt;#REF!,AD$29&lt;=#REF!+#REF!),$G$5,"")),"")</f>
        <v/>
      </c>
      <c r="AD86" s="37" t="str">
        <f ca="1">IFERROR(+IF(AE$29=#REF!,Milestone_Marker,IF(AND(AE$29&gt;#REF!,AE$29&lt;=#REF!+#REF!),$G$5,"")),"")</f>
        <v/>
      </c>
      <c r="AE86" s="37" t="str">
        <f ca="1">IFERROR(+IF(AF$29=#REF!,Milestone_Marker,IF(AND(AF$29&gt;#REF!,AF$29&lt;=#REF!+#REF!),$G$5,"")),"")</f>
        <v/>
      </c>
      <c r="AF86" s="37" t="str">
        <f ca="1">IFERROR(+IF(AG$29=#REF!,Milestone_Marker,IF(AND(AG$29&gt;#REF!,AG$29&lt;=#REF!+#REF!),$G$5,"")),"")</f>
        <v/>
      </c>
      <c r="AG86" s="37" t="str">
        <f ca="1">IFERROR(+IF(AH$29=#REF!,Milestone_Marker,IF(AND(AH$29&gt;#REF!,AH$29&lt;=#REF!+#REF!),$G$5,"")),"")</f>
        <v/>
      </c>
      <c r="AH86" s="37" t="str">
        <f ca="1">IFERROR(+IF(AI$29=#REF!,Milestone_Marker,IF(AND(AI$29&gt;#REF!,AI$29&lt;=#REF!+#REF!),$G$5,"")),"")</f>
        <v/>
      </c>
      <c r="AI86" s="37" t="str">
        <f ca="1">IFERROR(+IF(AJ$29=#REF!,Milestone_Marker,IF(AND(AJ$29&gt;#REF!,AJ$29&lt;=#REF!+#REF!),$G$5,"")),"")</f>
        <v/>
      </c>
      <c r="AJ86" s="37" t="str">
        <f ca="1">IFERROR(+IF(AK$29=#REF!,Milestone_Marker,IF(AND(AK$29&gt;#REF!,AK$29&lt;=#REF!+#REF!),$G$5,"")),"")</f>
        <v/>
      </c>
      <c r="AK86" s="37" t="str">
        <f ca="1">IFERROR(+IF(AL$29=#REF!,Milestone_Marker,IF(AND(AL$29&gt;#REF!,AL$29&lt;=#REF!+#REF!),$G$5,"")),"")</f>
        <v/>
      </c>
      <c r="AL86" s="37" t="str">
        <f ca="1">IFERROR(+IF(AM$29=#REF!,Milestone_Marker,IF(AND(AM$29&gt;#REF!,AM$29&lt;=#REF!+#REF!),$G$5,"")),"")</f>
        <v/>
      </c>
      <c r="AM86" s="37" t="str">
        <f ca="1">IFERROR(+IF(AN$29=#REF!,Milestone_Marker,IF(AND(AN$29&gt;#REF!,AN$29&lt;=#REF!+#REF!),$G$5,"")),"")</f>
        <v/>
      </c>
      <c r="AN86" s="37" t="str">
        <f ca="1">IFERROR(+IF(AO$29=#REF!,Milestone_Marker,IF(AND(AO$29&gt;#REF!,AO$29&lt;=#REF!+#REF!),$G$5,"")),"")</f>
        <v/>
      </c>
      <c r="AO86" s="37" t="str">
        <f ca="1">IFERROR(+IF(AP$29=#REF!,Milestone_Marker,IF(AND(AP$29&gt;#REF!,AP$29&lt;=#REF!+#REF!),$G$5,"")),"")</f>
        <v/>
      </c>
      <c r="AP86" s="37" t="str">
        <f ca="1">IFERROR(+IF(AQ$29=#REF!,Milestone_Marker,IF(AND(AQ$29&gt;#REF!,AQ$29&lt;=#REF!+#REF!),$G$5,"")),"")</f>
        <v/>
      </c>
      <c r="AQ86" s="37" t="str">
        <f ca="1">IFERROR(+IF(AR$29=#REF!,Milestone_Marker,IF(AND(AR$29&gt;#REF!,AR$29&lt;=#REF!+#REF!),$G$5,"")),"")</f>
        <v/>
      </c>
      <c r="AR86" s="37" t="str">
        <f ca="1">IFERROR(+IF(AS$29=#REF!,Milestone_Marker,IF(AND(AS$29&gt;#REF!,AS$29&lt;=#REF!+#REF!),$G$5,"")),"")</f>
        <v/>
      </c>
      <c r="AS86" s="37" t="str">
        <f ca="1">IFERROR(+IF(AT$29=#REF!,Milestone_Marker,IF(AND(AT$29&gt;#REF!,AT$29&lt;=#REF!+#REF!),$G$5,"")),"")</f>
        <v/>
      </c>
      <c r="AT86" s="37" t="str">
        <f ca="1">IFERROR(+IF(AU$29=#REF!,Milestone_Marker,IF(AND(AU$29&gt;#REF!,AU$29&lt;=#REF!+#REF!),$G$5,"")),"")</f>
        <v/>
      </c>
      <c r="AU86" s="37" t="str">
        <f ca="1">IFERROR(+IF(AV$29=#REF!,Milestone_Marker,IF(AND(AV$29&gt;#REF!,AV$29&lt;=#REF!+#REF!),$G$5,"")),"")</f>
        <v/>
      </c>
      <c r="AV86" s="37" t="str">
        <f ca="1">IFERROR(+IF(AW$29=#REF!,Milestone_Marker,IF(AND(AW$29&gt;#REF!,AW$29&lt;=#REF!+#REF!),$G$5,"")),"")</f>
        <v/>
      </c>
      <c r="AW86" s="37" t="str">
        <f ca="1">IFERROR(+IF(AX$29=#REF!,Milestone_Marker,IF(AND(AX$29&gt;#REF!,AX$29&lt;=#REF!+#REF!),$G$5,"")),"")</f>
        <v/>
      </c>
      <c r="AX86" s="37" t="str">
        <f ca="1">IFERROR(+IF(AY$29=#REF!,Milestone_Marker,IF(AND(AY$29&gt;#REF!,AY$29&lt;=#REF!+#REF!),$G$5,"")),"")</f>
        <v/>
      </c>
      <c r="AY86" s="37" t="str">
        <f ca="1">IFERROR(+IF(AZ$29=#REF!,Milestone_Marker,IF(AND(AZ$29&gt;#REF!,AZ$29&lt;=#REF!+#REF!),$G$5,"")),"")</f>
        <v/>
      </c>
      <c r="AZ86" s="37" t="str">
        <f ca="1">IFERROR(+IF(BA$29=#REF!,Milestone_Marker,IF(AND(BA$29&gt;#REF!,BA$29&lt;=#REF!+#REF!),$G$5,"")),"")</f>
        <v/>
      </c>
      <c r="BA86" s="37" t="str">
        <f ca="1">IFERROR(+IF(BB$29=#REF!,Milestone_Marker,IF(AND(BB$29&gt;#REF!,BB$29&lt;=#REF!+#REF!),$G$5,"")),"")</f>
        <v/>
      </c>
      <c r="BB86" s="37" t="str">
        <f ca="1">IFERROR(+IF(BC$29=#REF!,Milestone_Marker,IF(AND(BC$29&gt;#REF!,BC$29&lt;=#REF!+#REF!),$G$5,"")),"")</f>
        <v/>
      </c>
      <c r="BC86" s="37" t="str">
        <f ca="1">IFERROR(+IF(BD$29=#REF!,Milestone_Marker,IF(AND(BD$29&gt;#REF!,BD$29&lt;=#REF!+#REF!),$G$5,"")),"")</f>
        <v/>
      </c>
      <c r="BD86" s="37" t="str">
        <f ca="1">IFERROR(+IF(BE$29=#REF!,Milestone_Marker,IF(AND(BE$29&gt;#REF!,BE$29&lt;=#REF!+#REF!),$G$5,"")),"")</f>
        <v/>
      </c>
      <c r="BE86" s="37" t="str">
        <f ca="1">IFERROR(+IF(BF$29=#REF!,Milestone_Marker,IF(AND(BF$29&gt;#REF!,BF$29&lt;=#REF!+#REF!),$G$5,"")),"")</f>
        <v/>
      </c>
      <c r="BF86" s="37" t="str">
        <f ca="1">IFERROR(+IF(BG$29=#REF!,Milestone_Marker,IF(AND(BG$29&gt;#REF!,BG$29&lt;=#REF!+#REF!),$G$5,"")),"")</f>
        <v/>
      </c>
      <c r="BG86" s="37" t="str">
        <f ca="1">IFERROR(+IF(BH$29=#REF!,Milestone_Marker,IF(AND(BH$29&gt;#REF!,BH$29&lt;=#REF!+#REF!),$G$5,"")),"")</f>
        <v/>
      </c>
      <c r="BH86" s="37" t="str">
        <f ca="1">IFERROR(+IF(BI$29=#REF!,Milestone_Marker,IF(AND(BI$29&gt;#REF!,BI$29&lt;=#REF!+#REF!),$G$5,"")),"")</f>
        <v/>
      </c>
      <c r="BI86" s="37" t="str">
        <f ca="1">IFERROR(+IF(BJ$29=#REF!,Milestone_Marker,IF(AND(BJ$29&gt;#REF!,BJ$29&lt;=#REF!+#REF!),$G$5,"")),"")</f>
        <v/>
      </c>
      <c r="BJ86" s="37" t="str">
        <f ca="1">IFERROR(+IF(BK$29=#REF!,Milestone_Marker,IF(AND(BK$29&gt;#REF!,BK$29&lt;=#REF!+#REF!),$G$5,"")),"")</f>
        <v/>
      </c>
      <c r="BK86" s="37" t="str">
        <f ca="1">IFERROR(+IF(BL$29=#REF!,Milestone_Marker,IF(AND(BL$29&gt;#REF!,BL$29&lt;=#REF!+#REF!),$G$5,"")),"")</f>
        <v/>
      </c>
      <c r="BL86" s="37" t="str">
        <f ca="1">IFERROR(+IF(BM$29=#REF!,Milestone_Marker,IF(AND(BM$29&gt;#REF!,BM$29&lt;=#REF!+#REF!),$G$5,"")),"")</f>
        <v/>
      </c>
      <c r="BM86" s="37" t="str">
        <f ca="1">IFERROR(+IF(BN$29=#REF!,Milestone_Marker,IF(AND(BN$29&gt;#REF!,BN$29&lt;=#REF!+#REF!),$G$5,"")),"")</f>
        <v/>
      </c>
      <c r="BN86" s="37" t="str">
        <f ca="1">IFERROR(+IF(BO$29=#REF!,Milestone_Marker,IF(AND(BO$29&gt;#REF!,BO$29&lt;=#REF!+#REF!),$G$5,"")),"")</f>
        <v/>
      </c>
      <c r="BO86" s="37" t="str">
        <f ca="1">IFERROR(+IF(BP$29=#REF!,Milestone_Marker,IF(AND(BP$29&gt;#REF!,BP$29&lt;=#REF!+#REF!),$G$5,"")),"")</f>
        <v/>
      </c>
      <c r="BP86" s="37" t="str">
        <f ca="1">IFERROR(+IF(BQ$29=#REF!,Milestone_Marker,IF(AND(BQ$29&gt;#REF!,BQ$29&lt;=#REF!+#REF!),$G$5,"")),"")</f>
        <v/>
      </c>
      <c r="BQ86" s="37" t="str">
        <f ca="1">IFERROR(+IF(BR$29=#REF!,Milestone_Marker,IF(AND(BR$29&gt;#REF!,BR$29&lt;=#REF!+#REF!),$G$5,"")),"")</f>
        <v/>
      </c>
      <c r="BR86" s="37" t="str">
        <f ca="1">IFERROR(+IF(BS$29=#REF!,Milestone_Marker,IF(AND(BS$29&gt;#REF!,BS$29&lt;=#REF!+#REF!),$G$5,"")),"")</f>
        <v/>
      </c>
      <c r="BS86" s="37" t="str">
        <f ca="1">IFERROR(+IF(BT$29=#REF!,Milestone_Marker,IF(AND(BT$29&gt;#REF!,BT$29&lt;=#REF!+#REF!),$G$5,"")),"")</f>
        <v/>
      </c>
      <c r="BT86" s="37" t="str">
        <f ca="1">IFERROR(+IF(BU$29=#REF!,Milestone_Marker,IF(AND(BU$29&gt;#REF!,BU$29&lt;=#REF!+#REF!),$G$5,"")),"")</f>
        <v/>
      </c>
      <c r="BU86" s="37" t="str">
        <f ca="1">IFERROR(+IF(BV$29=#REF!,Milestone_Marker,IF(AND(BV$29&gt;#REF!,BV$29&lt;=#REF!+#REF!),$G$5,"")),"")</f>
        <v/>
      </c>
      <c r="BV86" s="37" t="str">
        <f ca="1">IFERROR(+IF(BW$29=#REF!,Milestone_Marker,IF(AND(BW$29&gt;#REF!,BW$29&lt;=#REF!+#REF!),$G$5,"")),"")</f>
        <v/>
      </c>
      <c r="BW86" s="37" t="str">
        <f ca="1">IFERROR(+IF(BX$29=#REF!,Milestone_Marker,IF(AND(BX$29&gt;#REF!,BX$29&lt;=#REF!+#REF!),$G$5,"")),"")</f>
        <v/>
      </c>
      <c r="BX86" s="37" t="str">
        <f ca="1">IFERROR(+IF(BY$29=#REF!,Milestone_Marker,IF(AND(BY$29&gt;#REF!,BY$29&lt;=#REF!+#REF!),$G$5,"")),"")</f>
        <v/>
      </c>
      <c r="BY86" s="37" t="str">
        <f ca="1">IFERROR(+IF(BZ$29=#REF!,Milestone_Marker,IF(AND(BZ$29&gt;#REF!,BZ$29&lt;=#REF!+#REF!),$G$5,"")),"")</f>
        <v/>
      </c>
      <c r="BZ86" s="37" t="str">
        <f ca="1">IFERROR(+IF(CA$29=#REF!,Milestone_Marker,IF(AND(CA$29&gt;#REF!,CA$29&lt;=#REF!+#REF!),$G$5,"")),"")</f>
        <v/>
      </c>
      <c r="CA86" s="37" t="str">
        <f ca="1">IFERROR(+IF(CB$29=#REF!,Milestone_Marker,IF(AND(CB$29&gt;#REF!,CB$29&lt;=#REF!+#REF!),$G$5,"")),"")</f>
        <v/>
      </c>
      <c r="CB86" s="37" t="str">
        <f ca="1">IFERROR(+IF(CC$29=#REF!,Milestone_Marker,IF(AND(CC$29&gt;#REF!,CC$29&lt;=#REF!+#REF!),$G$5,"")),"")</f>
        <v/>
      </c>
      <c r="CC86" s="37" t="str">
        <f ca="1">IFERROR(+IF(CD$29=#REF!,Milestone_Marker,IF(AND(CD$29&gt;#REF!,CD$29&lt;=#REF!+#REF!),$G$5,"")),"")</f>
        <v/>
      </c>
      <c r="CD86" s="37" t="str">
        <f ca="1">IFERROR(+IF(CE$29=#REF!,Milestone_Marker,IF(AND(CE$29&gt;#REF!,CE$29&lt;=#REF!+#REF!),$G$5,"")),"")</f>
        <v/>
      </c>
      <c r="CE86" s="37" t="str">
        <f ca="1">IFERROR(+IF(CF$29=#REF!,Milestone_Marker,IF(AND(CF$29&gt;#REF!,CF$29&lt;=#REF!+#REF!),$G$5,"")),"")</f>
        <v/>
      </c>
      <c r="CF86" s="37" t="str">
        <f ca="1">IFERROR(+IF(CG$29=#REF!,Milestone_Marker,IF(AND(CG$29&gt;#REF!,CG$29&lt;=#REF!+#REF!),$G$5,"")),"")</f>
        <v/>
      </c>
      <c r="CG86" s="37" t="str">
        <f ca="1">IFERROR(+IF(CH$29=#REF!,Milestone_Marker,IF(AND(CH$29&gt;#REF!,CH$29&lt;=#REF!+#REF!),$G$5,"")),"")</f>
        <v/>
      </c>
      <c r="CH86" s="37" t="str">
        <f ca="1">IFERROR(+IF(CI$29=#REF!,Milestone_Marker,IF(AND(CI$29&gt;#REF!,CI$29&lt;=#REF!+#REF!),$G$5,"")),"")</f>
        <v/>
      </c>
      <c r="CI86" s="37" t="str">
        <f ca="1">IFERROR(+IF(CJ$29=#REF!,Milestone_Marker,IF(AND(CJ$29&gt;#REF!,CJ$29&lt;=#REF!+#REF!),$G$5,"")),"")</f>
        <v/>
      </c>
      <c r="CJ86" s="37" t="str">
        <f ca="1">IFERROR(+IF(CK$29=#REF!,Milestone_Marker,IF(AND(CK$29&gt;#REF!,CK$29&lt;=#REF!+#REF!),$G$5,"")),"")</f>
        <v/>
      </c>
      <c r="CK86" s="37" t="str">
        <f ca="1">IFERROR(+IF(CL$29=#REF!,Milestone_Marker,IF(AND(CL$29&gt;#REF!,CL$29&lt;=#REF!+#REF!),$G$5,"")),"")</f>
        <v/>
      </c>
      <c r="CL86" s="37" t="str">
        <f ca="1">IFERROR(+IF(CM$29=#REF!,Milestone_Marker,IF(AND(CM$29&gt;#REF!,CM$29&lt;=#REF!+#REF!),$G$5,"")),"")</f>
        <v/>
      </c>
      <c r="CM86" s="37" t="str">
        <f ca="1">IFERROR(+IF(CN$29=#REF!,Milestone_Marker,IF(AND(CN$29&gt;#REF!,CN$29&lt;=#REF!+#REF!),$G$5,"")),"")</f>
        <v/>
      </c>
      <c r="CN86" s="37" t="str">
        <f ca="1">IFERROR(+IF(CO$29=#REF!,Milestone_Marker,IF(AND(CO$29&gt;#REF!,CO$29&lt;=#REF!+#REF!),$G$5,"")),"")</f>
        <v/>
      </c>
      <c r="CO86" s="37" t="str">
        <f ca="1">IFERROR(+IF(CP$29=#REF!,Milestone_Marker,IF(AND(CP$29&gt;#REF!,CP$29&lt;=#REF!+#REF!),$G$5,"")),"")</f>
        <v/>
      </c>
      <c r="CP86" s="37" t="str">
        <f ca="1">IFERROR(+IF(CQ$29=#REF!,Milestone_Marker,IF(AND(CQ$29&gt;#REF!,CQ$29&lt;=#REF!+#REF!),$G$5,"")),"")</f>
        <v/>
      </c>
      <c r="CQ86" s="37" t="str">
        <f ca="1">IFERROR(+IF(CR$29=#REF!,Milestone_Marker,IF(AND(CR$29&gt;#REF!,CR$29&lt;=#REF!+#REF!),$G$5,"")),"")</f>
        <v/>
      </c>
      <c r="CR86" s="37" t="str">
        <f ca="1">IFERROR(+IF(CS$29=#REF!,Milestone_Marker,IF(AND(CS$29&gt;#REF!,CS$29&lt;=#REF!+#REF!),$G$5,"")),"")</f>
        <v/>
      </c>
      <c r="CS86" s="37" t="str">
        <f ca="1">IFERROR(+IF(CT$29=#REF!,Milestone_Marker,IF(AND(CT$29&gt;#REF!,CT$29&lt;=#REF!+#REF!),$G$5,"")),"")</f>
        <v/>
      </c>
      <c r="CT86" s="37" t="str">
        <f ca="1">IFERROR(+IF(CU$29=#REF!,Milestone_Marker,IF(AND(CU$29&gt;#REF!,CU$29&lt;=#REF!+#REF!),$G$5,"")),"")</f>
        <v/>
      </c>
    </row>
    <row r="87" spans="1:125" ht="15" x14ac:dyDescent="0.25">
      <c r="A87" t="s">
        <v>428</v>
      </c>
      <c r="B87">
        <v>2</v>
      </c>
      <c r="C87" t="s">
        <v>303</v>
      </c>
      <c r="D87" t="s">
        <v>304</v>
      </c>
      <c r="E87" t="s">
        <v>305</v>
      </c>
      <c r="F87">
        <v>0</v>
      </c>
      <c r="G87" s="14">
        <v>10505.74</v>
      </c>
      <c r="H87" s="14">
        <v>0</v>
      </c>
      <c r="I87" t="s">
        <v>45</v>
      </c>
      <c r="J87">
        <v>4</v>
      </c>
      <c r="K87" s="303">
        <v>45218</v>
      </c>
      <c r="L87"/>
      <c r="M87" s="14">
        <v>10505.74</v>
      </c>
      <c r="N87" s="352">
        <v>0</v>
      </c>
      <c r="O87" s="340"/>
      <c r="P87" s="37" t="str">
        <f ca="1">IFERROR(+IF(Q$29=#REF!,Milestone_Marker,IF(AND(Q$29&gt;#REF!,Q$29&lt;=#REF!+#REF!),$G$5,"")),"")</f>
        <v/>
      </c>
      <c r="Q87" s="37" t="str">
        <f ca="1">IFERROR(+IF(R$29=#REF!,Milestone_Marker,IF(AND(R$29&gt;#REF!,R$29&lt;=#REF!+#REF!),$G$5,"")),"")</f>
        <v/>
      </c>
      <c r="R87" s="37" t="str">
        <f ca="1">IFERROR(+IF(S$29=#REF!,Milestone_Marker,IF(AND(S$29&gt;#REF!,S$29&lt;=#REF!+#REF!),$G$5,"")),"")</f>
        <v/>
      </c>
      <c r="S87" s="37" t="str">
        <f ca="1">IFERROR(+IF(T$29=#REF!,Milestone_Marker,IF(AND(T$29&gt;#REF!,T$29&lt;=#REF!+#REF!),$G$5,"")),"")</f>
        <v/>
      </c>
      <c r="T87" s="37" t="str">
        <f ca="1">IFERROR(+IF(U$29=#REF!,Milestone_Marker,IF(AND(U$29&gt;#REF!,U$29&lt;=#REF!+#REF!),$G$5,"")),"")</f>
        <v/>
      </c>
      <c r="U87" s="37" t="str">
        <f ca="1">IFERROR(+IF(V$29=#REF!,Milestone_Marker,IF(AND(V$29&gt;#REF!,V$29&lt;=#REF!+#REF!),$G$5,"")),"")</f>
        <v/>
      </c>
      <c r="V87" s="37" t="str">
        <f ca="1">IFERROR(+IF(W$29=#REF!,Milestone_Marker,IF(AND(W$29&gt;#REF!,W$29&lt;=#REF!+#REF!),$G$5,"")),"")</f>
        <v/>
      </c>
      <c r="W87" s="37" t="str">
        <f ca="1">IFERROR(+IF(X$29=#REF!,Milestone_Marker,IF(AND(X$29&gt;#REF!,X$29&lt;=#REF!+#REF!),$G$5,"")),"")</f>
        <v/>
      </c>
      <c r="X87" s="37" t="str">
        <f ca="1">IFERROR(+IF(Y$29=#REF!,Milestone_Marker,IF(AND(Y$29&gt;#REF!,Y$29&lt;=#REF!+#REF!),$G$5,"")),"")</f>
        <v/>
      </c>
      <c r="Y87" s="37" t="str">
        <f ca="1">IFERROR(+IF(Z$29=#REF!,Milestone_Marker,IF(AND(Z$29&gt;#REF!,Z$29&lt;=#REF!+#REF!),$G$5,"")),"")</f>
        <v/>
      </c>
      <c r="Z87" s="37" t="str">
        <f ca="1">IFERROR(+IF(AA$29=#REF!,Milestone_Marker,IF(AND(AA$29&gt;#REF!,AA$29&lt;=#REF!+#REF!),$G$5,"")),"")</f>
        <v/>
      </c>
      <c r="AA87" s="37" t="str">
        <f ca="1">IFERROR(+IF(AB$29=#REF!,Milestone_Marker,IF(AND(AB$29&gt;#REF!,AB$29&lt;=#REF!+#REF!),$G$5,"")),"")</f>
        <v/>
      </c>
      <c r="AB87" s="37" t="str">
        <f ca="1">IFERROR(+IF(AC$29=#REF!,Milestone_Marker,IF(AND(AC$29&gt;#REF!,AC$29&lt;=#REF!+#REF!),$G$5,"")),"")</f>
        <v/>
      </c>
      <c r="AC87" s="37" t="str">
        <f ca="1">IFERROR(+IF(AD$29=#REF!,Milestone_Marker,IF(AND(AD$29&gt;#REF!,AD$29&lt;=#REF!+#REF!),$G$5,"")),"")</f>
        <v/>
      </c>
      <c r="AD87" s="37" t="str">
        <f ca="1">IFERROR(+IF(AE$29=#REF!,Milestone_Marker,IF(AND(AE$29&gt;#REF!,AE$29&lt;=#REF!+#REF!),$G$5,"")),"")</f>
        <v/>
      </c>
      <c r="AE87" s="37" t="str">
        <f ca="1">IFERROR(+IF(AF$29=#REF!,Milestone_Marker,IF(AND(AF$29&gt;#REF!,AF$29&lt;=#REF!+#REF!),$G$5,"")),"")</f>
        <v/>
      </c>
      <c r="AF87" s="37" t="str">
        <f ca="1">IFERROR(+IF(AG$29=#REF!,Milestone_Marker,IF(AND(AG$29&gt;#REF!,AG$29&lt;=#REF!+#REF!),$G$5,"")),"")</f>
        <v/>
      </c>
      <c r="AG87" s="37" t="str">
        <f ca="1">IFERROR(+IF(AH$29=#REF!,Milestone_Marker,IF(AND(AH$29&gt;#REF!,AH$29&lt;=#REF!+#REF!),$G$5,"")),"")</f>
        <v/>
      </c>
      <c r="AH87" s="37" t="str">
        <f ca="1">IFERROR(+IF(AI$29=#REF!,Milestone_Marker,IF(AND(AI$29&gt;#REF!,AI$29&lt;=#REF!+#REF!),$G$5,"")),"")</f>
        <v/>
      </c>
      <c r="AI87" s="37" t="str">
        <f ca="1">IFERROR(+IF(AJ$29=#REF!,Milestone_Marker,IF(AND(AJ$29&gt;#REF!,AJ$29&lt;=#REF!+#REF!),$G$5,"")),"")</f>
        <v/>
      </c>
      <c r="AJ87" s="37" t="str">
        <f ca="1">IFERROR(+IF(AK$29=#REF!,Milestone_Marker,IF(AND(AK$29&gt;#REF!,AK$29&lt;=#REF!+#REF!),$G$5,"")),"")</f>
        <v/>
      </c>
      <c r="AK87" s="37" t="str">
        <f ca="1">IFERROR(+IF(AL$29=#REF!,Milestone_Marker,IF(AND(AL$29&gt;#REF!,AL$29&lt;=#REF!+#REF!),$G$5,"")),"")</f>
        <v/>
      </c>
      <c r="AL87" s="37" t="str">
        <f ca="1">IFERROR(+IF(AM$29=#REF!,Milestone_Marker,IF(AND(AM$29&gt;#REF!,AM$29&lt;=#REF!+#REF!),$G$5,"")),"")</f>
        <v/>
      </c>
      <c r="AM87" s="37" t="str">
        <f ca="1">IFERROR(+IF(AN$29=#REF!,Milestone_Marker,IF(AND(AN$29&gt;#REF!,AN$29&lt;=#REF!+#REF!),$G$5,"")),"")</f>
        <v/>
      </c>
      <c r="AN87" s="37" t="str">
        <f ca="1">IFERROR(+IF(AO$29=#REF!,Milestone_Marker,IF(AND(AO$29&gt;#REF!,AO$29&lt;=#REF!+#REF!),$G$5,"")),"")</f>
        <v/>
      </c>
      <c r="AO87" s="37" t="str">
        <f ca="1">IFERROR(+IF(AP$29=#REF!,Milestone_Marker,IF(AND(AP$29&gt;#REF!,AP$29&lt;=#REF!+#REF!),$G$5,"")),"")</f>
        <v/>
      </c>
      <c r="AP87" s="37" t="str">
        <f ca="1">IFERROR(+IF(AQ$29=#REF!,Milestone_Marker,IF(AND(AQ$29&gt;#REF!,AQ$29&lt;=#REF!+#REF!),$G$5,"")),"")</f>
        <v/>
      </c>
      <c r="AQ87" s="37" t="str">
        <f ca="1">IFERROR(+IF(AR$29=#REF!,Milestone_Marker,IF(AND(AR$29&gt;#REF!,AR$29&lt;=#REF!+#REF!),$G$5,"")),"")</f>
        <v/>
      </c>
      <c r="AR87" s="37" t="str">
        <f ca="1">IFERROR(+IF(AS$29=#REF!,Milestone_Marker,IF(AND(AS$29&gt;#REF!,AS$29&lt;=#REF!+#REF!),$G$5,"")),"")</f>
        <v/>
      </c>
      <c r="AS87" s="37" t="str">
        <f ca="1">IFERROR(+IF(AT$29=#REF!,Milestone_Marker,IF(AND(AT$29&gt;#REF!,AT$29&lt;=#REF!+#REF!),$G$5,"")),"")</f>
        <v/>
      </c>
      <c r="AT87" s="37" t="str">
        <f ca="1">IFERROR(+IF(AU$29=#REF!,Milestone_Marker,IF(AND(AU$29&gt;#REF!,AU$29&lt;=#REF!+#REF!),$G$5,"")),"")</f>
        <v/>
      </c>
      <c r="AU87" s="37" t="str">
        <f ca="1">IFERROR(+IF(AV$29=#REF!,Milestone_Marker,IF(AND(AV$29&gt;#REF!,AV$29&lt;=#REF!+#REF!),$G$5,"")),"")</f>
        <v/>
      </c>
      <c r="AV87" s="37" t="str">
        <f ca="1">IFERROR(+IF(AW$29=#REF!,Milestone_Marker,IF(AND(AW$29&gt;#REF!,AW$29&lt;=#REF!+#REF!),$G$5,"")),"")</f>
        <v/>
      </c>
      <c r="AW87" s="37" t="str">
        <f ca="1">IFERROR(+IF(AX$29=#REF!,Milestone_Marker,IF(AND(AX$29&gt;#REF!,AX$29&lt;=#REF!+#REF!),$G$5,"")),"")</f>
        <v/>
      </c>
      <c r="AX87" s="37" t="str">
        <f ca="1">IFERROR(+IF(AY$29=#REF!,Milestone_Marker,IF(AND(AY$29&gt;#REF!,AY$29&lt;=#REF!+#REF!),$G$5,"")),"")</f>
        <v/>
      </c>
      <c r="AY87" s="37" t="str">
        <f ca="1">IFERROR(+IF(AZ$29=#REF!,Milestone_Marker,IF(AND(AZ$29&gt;#REF!,AZ$29&lt;=#REF!+#REF!),$G$5,"")),"")</f>
        <v/>
      </c>
      <c r="AZ87" s="37" t="str">
        <f ca="1">IFERROR(+IF(BA$29=#REF!,Milestone_Marker,IF(AND(BA$29&gt;#REF!,BA$29&lt;=#REF!+#REF!),$G$5,"")),"")</f>
        <v/>
      </c>
      <c r="BA87" s="37" t="str">
        <f ca="1">IFERROR(+IF(BB$29=#REF!,Milestone_Marker,IF(AND(BB$29&gt;#REF!,BB$29&lt;=#REF!+#REF!),$G$5,"")),"")</f>
        <v/>
      </c>
      <c r="BB87" s="37" t="str">
        <f ca="1">IFERROR(+IF(BC$29=#REF!,Milestone_Marker,IF(AND(BC$29&gt;#REF!,BC$29&lt;=#REF!+#REF!),$G$5,"")),"")</f>
        <v/>
      </c>
      <c r="BC87" s="37" t="str">
        <f ca="1">IFERROR(+IF(BD$29=#REF!,Milestone_Marker,IF(AND(BD$29&gt;#REF!,BD$29&lt;=#REF!+#REF!),$G$5,"")),"")</f>
        <v/>
      </c>
      <c r="BD87" s="37" t="str">
        <f ca="1">IFERROR(+IF(BE$29=#REF!,Milestone_Marker,IF(AND(BE$29&gt;#REF!,BE$29&lt;=#REF!+#REF!),$G$5,"")),"")</f>
        <v/>
      </c>
      <c r="BE87" s="37" t="str">
        <f ca="1">IFERROR(+IF(BF$29=#REF!,Milestone_Marker,IF(AND(BF$29&gt;#REF!,BF$29&lt;=#REF!+#REF!),$G$5,"")),"")</f>
        <v/>
      </c>
      <c r="BF87" s="37" t="str">
        <f ca="1">IFERROR(+IF(BG$29=#REF!,Milestone_Marker,IF(AND(BG$29&gt;#REF!,BG$29&lt;=#REF!+#REF!),$G$5,"")),"")</f>
        <v/>
      </c>
      <c r="BG87" s="37" t="str">
        <f ca="1">IFERROR(+IF(BH$29=#REF!,Milestone_Marker,IF(AND(BH$29&gt;#REF!,BH$29&lt;=#REF!+#REF!),$G$5,"")),"")</f>
        <v/>
      </c>
      <c r="BH87" s="37" t="str">
        <f ca="1">IFERROR(+IF(BI$29=#REF!,Milestone_Marker,IF(AND(BI$29&gt;#REF!,BI$29&lt;=#REF!+#REF!),$G$5,"")),"")</f>
        <v/>
      </c>
      <c r="BI87" s="37" t="str">
        <f ca="1">IFERROR(+IF(BJ$29=#REF!,Milestone_Marker,IF(AND(BJ$29&gt;#REF!,BJ$29&lt;=#REF!+#REF!),$G$5,"")),"")</f>
        <v/>
      </c>
      <c r="BJ87" s="37" t="str">
        <f ca="1">IFERROR(+IF(BK$29=#REF!,Milestone_Marker,IF(AND(BK$29&gt;#REF!,BK$29&lt;=#REF!+#REF!),$G$5,"")),"")</f>
        <v/>
      </c>
      <c r="BK87" s="37" t="str">
        <f ca="1">IFERROR(+IF(BL$29=#REF!,Milestone_Marker,IF(AND(BL$29&gt;#REF!,BL$29&lt;=#REF!+#REF!),$G$5,"")),"")</f>
        <v/>
      </c>
      <c r="BL87" s="37" t="str">
        <f ca="1">IFERROR(+IF(BM$29=#REF!,Milestone_Marker,IF(AND(BM$29&gt;#REF!,BM$29&lt;=#REF!+#REF!),$G$5,"")),"")</f>
        <v/>
      </c>
      <c r="BM87" s="37" t="str">
        <f ca="1">IFERROR(+IF(BN$29=#REF!,Milestone_Marker,IF(AND(BN$29&gt;#REF!,BN$29&lt;=#REF!+#REF!),$G$5,"")),"")</f>
        <v/>
      </c>
      <c r="BN87" s="37" t="str">
        <f ca="1">IFERROR(+IF(BO$29=#REF!,Milestone_Marker,IF(AND(BO$29&gt;#REF!,BO$29&lt;=#REF!+#REF!),$G$5,"")),"")</f>
        <v/>
      </c>
      <c r="BO87" s="37" t="str">
        <f ca="1">IFERROR(+IF(BP$29=#REF!,Milestone_Marker,IF(AND(BP$29&gt;#REF!,BP$29&lt;=#REF!+#REF!),$G$5,"")),"")</f>
        <v/>
      </c>
      <c r="BP87" s="37" t="str">
        <f ca="1">IFERROR(+IF(BQ$29=#REF!,Milestone_Marker,IF(AND(BQ$29&gt;#REF!,BQ$29&lt;=#REF!+#REF!),$G$5,"")),"")</f>
        <v/>
      </c>
      <c r="BQ87" s="37" t="str">
        <f ca="1">IFERROR(+IF(BR$29=#REF!,Milestone_Marker,IF(AND(BR$29&gt;#REF!,BR$29&lt;=#REF!+#REF!),$G$5,"")),"")</f>
        <v/>
      </c>
      <c r="BR87" s="37" t="str">
        <f ca="1">IFERROR(+IF(BS$29=#REF!,Milestone_Marker,IF(AND(BS$29&gt;#REF!,BS$29&lt;=#REF!+#REF!),$G$5,"")),"")</f>
        <v/>
      </c>
      <c r="BS87" s="37" t="str">
        <f ca="1">IFERROR(+IF(BT$29=#REF!,Milestone_Marker,IF(AND(BT$29&gt;#REF!,BT$29&lt;=#REF!+#REF!),$G$5,"")),"")</f>
        <v/>
      </c>
      <c r="BT87" s="37" t="str">
        <f ca="1">IFERROR(+IF(BU$29=#REF!,Milestone_Marker,IF(AND(BU$29&gt;#REF!,BU$29&lt;=#REF!+#REF!),$G$5,"")),"")</f>
        <v/>
      </c>
      <c r="BU87" s="37" t="str">
        <f ca="1">IFERROR(+IF(BV$29=#REF!,Milestone_Marker,IF(AND(BV$29&gt;#REF!,BV$29&lt;=#REF!+#REF!),$G$5,"")),"")</f>
        <v/>
      </c>
      <c r="BV87" s="37" t="str">
        <f ca="1">IFERROR(+IF(BW$29=#REF!,Milestone_Marker,IF(AND(BW$29&gt;#REF!,BW$29&lt;=#REF!+#REF!),$G$5,"")),"")</f>
        <v/>
      </c>
      <c r="BW87" s="37" t="str">
        <f ca="1">IFERROR(+IF(BX$29=#REF!,Milestone_Marker,IF(AND(BX$29&gt;#REF!,BX$29&lt;=#REF!+#REF!),$G$5,"")),"")</f>
        <v/>
      </c>
      <c r="BX87" s="37" t="str">
        <f ca="1">IFERROR(+IF(BY$29=#REF!,Milestone_Marker,IF(AND(BY$29&gt;#REF!,BY$29&lt;=#REF!+#REF!),$G$5,"")),"")</f>
        <v/>
      </c>
      <c r="BY87" s="37" t="str">
        <f ca="1">IFERROR(+IF(BZ$29=#REF!,Milestone_Marker,IF(AND(BZ$29&gt;#REF!,BZ$29&lt;=#REF!+#REF!),$G$5,"")),"")</f>
        <v/>
      </c>
      <c r="BZ87" s="37" t="str">
        <f ca="1">IFERROR(+IF(CA$29=#REF!,Milestone_Marker,IF(AND(CA$29&gt;#REF!,CA$29&lt;=#REF!+#REF!),$G$5,"")),"")</f>
        <v/>
      </c>
      <c r="CA87" s="37" t="str">
        <f ca="1">IFERROR(+IF(CB$29=#REF!,Milestone_Marker,IF(AND(CB$29&gt;#REF!,CB$29&lt;=#REF!+#REF!),$G$5,"")),"")</f>
        <v/>
      </c>
      <c r="CB87" s="37" t="str">
        <f ca="1">IFERROR(+IF(CC$29=#REF!,Milestone_Marker,IF(AND(CC$29&gt;#REF!,CC$29&lt;=#REF!+#REF!),$G$5,"")),"")</f>
        <v/>
      </c>
      <c r="CC87" s="37" t="str">
        <f ca="1">IFERROR(+IF(CD$29=#REF!,Milestone_Marker,IF(AND(CD$29&gt;#REF!,CD$29&lt;=#REF!+#REF!),$G$5,"")),"")</f>
        <v/>
      </c>
      <c r="CD87" s="37" t="str">
        <f ca="1">IFERROR(+IF(CE$29=#REF!,Milestone_Marker,IF(AND(CE$29&gt;#REF!,CE$29&lt;=#REF!+#REF!),$G$5,"")),"")</f>
        <v/>
      </c>
      <c r="CE87" s="37" t="str">
        <f ca="1">IFERROR(+IF(CF$29=#REF!,Milestone_Marker,IF(AND(CF$29&gt;#REF!,CF$29&lt;=#REF!+#REF!),$G$5,"")),"")</f>
        <v/>
      </c>
      <c r="CF87" s="37" t="str">
        <f ca="1">IFERROR(+IF(CG$29=#REF!,Milestone_Marker,IF(AND(CG$29&gt;#REF!,CG$29&lt;=#REF!+#REF!),$G$5,"")),"")</f>
        <v/>
      </c>
      <c r="CG87" s="37" t="str">
        <f ca="1">IFERROR(+IF(CH$29=#REF!,Milestone_Marker,IF(AND(CH$29&gt;#REF!,CH$29&lt;=#REF!+#REF!),$G$5,"")),"")</f>
        <v/>
      </c>
      <c r="CH87" s="37" t="str">
        <f ca="1">IFERROR(+IF(CI$29=#REF!,Milestone_Marker,IF(AND(CI$29&gt;#REF!,CI$29&lt;=#REF!+#REF!),$G$5,"")),"")</f>
        <v/>
      </c>
      <c r="CI87" s="37" t="str">
        <f ca="1">IFERROR(+IF(CJ$29=#REF!,Milestone_Marker,IF(AND(CJ$29&gt;#REF!,CJ$29&lt;=#REF!+#REF!),$G$5,"")),"")</f>
        <v/>
      </c>
      <c r="CJ87" s="37" t="str">
        <f ca="1">IFERROR(+IF(CK$29=#REF!,Milestone_Marker,IF(AND(CK$29&gt;#REF!,CK$29&lt;=#REF!+#REF!),$G$5,"")),"")</f>
        <v/>
      </c>
      <c r="CK87" s="37" t="str">
        <f ca="1">IFERROR(+IF(CL$29=#REF!,Milestone_Marker,IF(AND(CL$29&gt;#REF!,CL$29&lt;=#REF!+#REF!),$G$5,"")),"")</f>
        <v/>
      </c>
      <c r="CL87" s="37" t="str">
        <f ca="1">IFERROR(+IF(CM$29=#REF!,Milestone_Marker,IF(AND(CM$29&gt;#REF!,CM$29&lt;=#REF!+#REF!),$G$5,"")),"")</f>
        <v/>
      </c>
      <c r="CM87" s="37" t="str">
        <f ca="1">IFERROR(+IF(CN$29=#REF!,Milestone_Marker,IF(AND(CN$29&gt;#REF!,CN$29&lt;=#REF!+#REF!),$G$5,"")),"")</f>
        <v/>
      </c>
      <c r="CN87" s="37" t="str">
        <f ca="1">IFERROR(+IF(CO$29=#REF!,Milestone_Marker,IF(AND(CO$29&gt;#REF!,CO$29&lt;=#REF!+#REF!),$G$5,"")),"")</f>
        <v/>
      </c>
      <c r="CO87" s="37" t="str">
        <f ca="1">IFERROR(+IF(CP$29=#REF!,Milestone_Marker,IF(AND(CP$29&gt;#REF!,CP$29&lt;=#REF!+#REF!),$G$5,"")),"")</f>
        <v/>
      </c>
      <c r="CP87" s="37" t="str">
        <f ca="1">IFERROR(+IF(CQ$29=#REF!,Milestone_Marker,IF(AND(CQ$29&gt;#REF!,CQ$29&lt;=#REF!+#REF!),$G$5,"")),"")</f>
        <v/>
      </c>
      <c r="CQ87" s="37" t="str">
        <f ca="1">IFERROR(+IF(CR$29=#REF!,Milestone_Marker,IF(AND(CR$29&gt;#REF!,CR$29&lt;=#REF!+#REF!),$G$5,"")),"")</f>
        <v/>
      </c>
      <c r="CR87" s="37" t="str">
        <f ca="1">IFERROR(+IF(CS$29=#REF!,Milestone_Marker,IF(AND(CS$29&gt;#REF!,CS$29&lt;=#REF!+#REF!),$G$5,"")),"")</f>
        <v/>
      </c>
      <c r="CS87" s="37" t="str">
        <f ca="1">IFERROR(+IF(CT$29=#REF!,Milestone_Marker,IF(AND(CT$29&gt;#REF!,CT$29&lt;=#REF!+#REF!),$G$5,"")),"")</f>
        <v/>
      </c>
      <c r="CT87" s="37" t="str">
        <f ca="1">IFERROR(+IF(CU$29=#REF!,Milestone_Marker,IF(AND(CU$29&gt;#REF!,CU$29&lt;=#REF!+#REF!),$G$5,"")),"")</f>
        <v/>
      </c>
    </row>
    <row r="88" spans="1:125" ht="15" x14ac:dyDescent="0.25">
      <c r="A88" t="s">
        <v>428</v>
      </c>
      <c r="B88">
        <v>3</v>
      </c>
      <c r="C88" t="s">
        <v>303</v>
      </c>
      <c r="D88" t="s">
        <v>306</v>
      </c>
      <c r="E88" t="s">
        <v>306</v>
      </c>
      <c r="F88">
        <v>0</v>
      </c>
      <c r="G88" s="14">
        <v>9940</v>
      </c>
      <c r="H88" s="14">
        <v>0</v>
      </c>
      <c r="I88"/>
      <c r="J88">
        <v>4</v>
      </c>
      <c r="K88" s="303">
        <v>45226</v>
      </c>
      <c r="L88"/>
      <c r="M88" s="14">
        <v>9940</v>
      </c>
      <c r="N88" s="352"/>
      <c r="O88" s="340"/>
      <c r="P88" s="37" t="str">
        <f ca="1">IFERROR(+IF(Q$29=#REF!,Milestone_Marker,IF(AND(Q$29&gt;#REF!,Q$29&lt;=#REF!+#REF!),$G$5,"")),"")</f>
        <v/>
      </c>
      <c r="Q88" s="37" t="str">
        <f ca="1">IFERROR(+IF(R$29=#REF!,Milestone_Marker,IF(AND(R$29&gt;#REF!,R$29&lt;=#REF!+#REF!),$G$5,"")),"")</f>
        <v/>
      </c>
      <c r="R88" s="37" t="str">
        <f ca="1">IFERROR(+IF(S$29=#REF!,Milestone_Marker,IF(AND(S$29&gt;#REF!,S$29&lt;=#REF!+#REF!),$G$5,"")),"")</f>
        <v/>
      </c>
      <c r="S88" s="37" t="str">
        <f ca="1">IFERROR(+IF(T$29=#REF!,Milestone_Marker,IF(AND(T$29&gt;#REF!,T$29&lt;=#REF!+#REF!),$G$5,"")),"")</f>
        <v/>
      </c>
      <c r="T88" s="37" t="str">
        <f ca="1">IFERROR(+IF(U$29=#REF!,Milestone_Marker,IF(AND(U$29&gt;#REF!,U$29&lt;=#REF!+#REF!),$G$5,"")),"")</f>
        <v/>
      </c>
      <c r="U88" s="37" t="str">
        <f ca="1">IFERROR(+IF(V$29=#REF!,Milestone_Marker,IF(AND(V$29&gt;#REF!,V$29&lt;=#REF!+#REF!),$G$5,"")),"")</f>
        <v/>
      </c>
      <c r="V88" s="37" t="str">
        <f ca="1">IFERROR(+IF(W$29=#REF!,Milestone_Marker,IF(AND(W$29&gt;#REF!,W$29&lt;=#REF!+#REF!),$G$5,"")),"")</f>
        <v/>
      </c>
      <c r="W88" s="37" t="str">
        <f ca="1">IFERROR(+IF(X$29=#REF!,Milestone_Marker,IF(AND(X$29&gt;#REF!,X$29&lt;=#REF!+#REF!),$G$5,"")),"")</f>
        <v/>
      </c>
      <c r="X88" s="37" t="str">
        <f ca="1">IFERROR(+IF(Y$29=#REF!,Milestone_Marker,IF(AND(Y$29&gt;#REF!,Y$29&lt;=#REF!+#REF!),$G$5,"")),"")</f>
        <v/>
      </c>
      <c r="Y88" s="37" t="str">
        <f ca="1">IFERROR(+IF(Z$29=#REF!,Milestone_Marker,IF(AND(Z$29&gt;#REF!,Z$29&lt;=#REF!+#REF!),$G$5,"")),"")</f>
        <v/>
      </c>
      <c r="Z88" s="37" t="str">
        <f ca="1">IFERROR(+IF(AA$29=#REF!,Milestone_Marker,IF(AND(AA$29&gt;#REF!,AA$29&lt;=#REF!+#REF!),$G$5,"")),"")</f>
        <v/>
      </c>
      <c r="AA88" s="37" t="str">
        <f ca="1">IFERROR(+IF(AB$29=#REF!,Milestone_Marker,IF(AND(AB$29&gt;#REF!,AB$29&lt;=#REF!+#REF!),$G$5,"")),"")</f>
        <v/>
      </c>
      <c r="AB88" s="37" t="str">
        <f ca="1">IFERROR(+IF(AC$29=#REF!,Milestone_Marker,IF(AND(AC$29&gt;#REF!,AC$29&lt;=#REF!+#REF!),$G$5,"")),"")</f>
        <v/>
      </c>
      <c r="AC88" s="37" t="str">
        <f ca="1">IFERROR(+IF(AD$29=#REF!,Milestone_Marker,IF(AND(AD$29&gt;#REF!,AD$29&lt;=#REF!+#REF!),$G$5,"")),"")</f>
        <v/>
      </c>
      <c r="AD88" s="37" t="str">
        <f ca="1">IFERROR(+IF(AE$29=#REF!,Milestone_Marker,IF(AND(AE$29&gt;#REF!,AE$29&lt;=#REF!+#REF!),$G$5,"")),"")</f>
        <v/>
      </c>
      <c r="AE88" s="37" t="str">
        <f ca="1">IFERROR(+IF(AF$29=#REF!,Milestone_Marker,IF(AND(AF$29&gt;#REF!,AF$29&lt;=#REF!+#REF!),$G$5,"")),"")</f>
        <v/>
      </c>
      <c r="AF88" s="37" t="str">
        <f ca="1">IFERROR(+IF(AG$29=#REF!,Milestone_Marker,IF(AND(AG$29&gt;#REF!,AG$29&lt;=#REF!+#REF!),$G$5,"")),"")</f>
        <v/>
      </c>
      <c r="AG88" s="37" t="str">
        <f ca="1">IFERROR(+IF(AH$29=#REF!,Milestone_Marker,IF(AND(AH$29&gt;#REF!,AH$29&lt;=#REF!+#REF!),$G$5,"")),"")</f>
        <v/>
      </c>
      <c r="AH88" s="37" t="str">
        <f ca="1">IFERROR(+IF(AI$29=#REF!,Milestone_Marker,IF(AND(AI$29&gt;#REF!,AI$29&lt;=#REF!+#REF!),$G$5,"")),"")</f>
        <v/>
      </c>
      <c r="AI88" s="37" t="str">
        <f ca="1">IFERROR(+IF(AJ$29=#REF!,Milestone_Marker,IF(AND(AJ$29&gt;#REF!,AJ$29&lt;=#REF!+#REF!),$G$5,"")),"")</f>
        <v/>
      </c>
      <c r="AJ88" s="37" t="str">
        <f ca="1">IFERROR(+IF(AK$29=#REF!,Milestone_Marker,IF(AND(AK$29&gt;#REF!,AK$29&lt;=#REF!+#REF!),$G$5,"")),"")</f>
        <v/>
      </c>
      <c r="AK88" s="37" t="str">
        <f ca="1">IFERROR(+IF(AL$29=#REF!,Milestone_Marker,IF(AND(AL$29&gt;#REF!,AL$29&lt;=#REF!+#REF!),$G$5,"")),"")</f>
        <v/>
      </c>
      <c r="AL88" s="37" t="str">
        <f ca="1">IFERROR(+IF(AM$29=#REF!,Milestone_Marker,IF(AND(AM$29&gt;#REF!,AM$29&lt;=#REF!+#REF!),$G$5,"")),"")</f>
        <v/>
      </c>
      <c r="AM88" s="37" t="str">
        <f ca="1">IFERROR(+IF(AN$29=#REF!,Milestone_Marker,IF(AND(AN$29&gt;#REF!,AN$29&lt;=#REF!+#REF!),$G$5,"")),"")</f>
        <v/>
      </c>
      <c r="AN88" s="37" t="str">
        <f ca="1">IFERROR(+IF(AO$29=#REF!,Milestone_Marker,IF(AND(AO$29&gt;#REF!,AO$29&lt;=#REF!+#REF!),$G$5,"")),"")</f>
        <v/>
      </c>
      <c r="AO88" s="37" t="str">
        <f ca="1">IFERROR(+IF(AP$29=#REF!,Milestone_Marker,IF(AND(AP$29&gt;#REF!,AP$29&lt;=#REF!+#REF!),$G$5,"")),"")</f>
        <v/>
      </c>
      <c r="AP88" s="37" t="str">
        <f ca="1">IFERROR(+IF(AQ$29=#REF!,Milestone_Marker,IF(AND(AQ$29&gt;#REF!,AQ$29&lt;=#REF!+#REF!),$G$5,"")),"")</f>
        <v/>
      </c>
      <c r="AQ88" s="37" t="str">
        <f ca="1">IFERROR(+IF(AR$29=#REF!,Milestone_Marker,IF(AND(AR$29&gt;#REF!,AR$29&lt;=#REF!+#REF!),$G$5,"")),"")</f>
        <v/>
      </c>
      <c r="AR88" s="37" t="str">
        <f ca="1">IFERROR(+IF(AS$29=#REF!,Milestone_Marker,IF(AND(AS$29&gt;#REF!,AS$29&lt;=#REF!+#REF!),$G$5,"")),"")</f>
        <v/>
      </c>
      <c r="AS88" s="37" t="str">
        <f ca="1">IFERROR(+IF(AT$29=#REF!,Milestone_Marker,IF(AND(AT$29&gt;#REF!,AT$29&lt;=#REF!+#REF!),$G$5,"")),"")</f>
        <v/>
      </c>
      <c r="AT88" s="37" t="str">
        <f ca="1">IFERROR(+IF(AU$29=#REF!,Milestone_Marker,IF(AND(AU$29&gt;#REF!,AU$29&lt;=#REF!+#REF!),$G$5,"")),"")</f>
        <v/>
      </c>
      <c r="AU88" s="37" t="str">
        <f ca="1">IFERROR(+IF(AV$29=#REF!,Milestone_Marker,IF(AND(AV$29&gt;#REF!,AV$29&lt;=#REF!+#REF!),$G$5,"")),"")</f>
        <v/>
      </c>
      <c r="AV88" s="37" t="str">
        <f ca="1">IFERROR(+IF(AW$29=#REF!,Milestone_Marker,IF(AND(AW$29&gt;#REF!,AW$29&lt;=#REF!+#REF!),$G$5,"")),"")</f>
        <v/>
      </c>
      <c r="AW88" s="37" t="str">
        <f ca="1">IFERROR(+IF(AX$29=#REF!,Milestone_Marker,IF(AND(AX$29&gt;#REF!,AX$29&lt;=#REF!+#REF!),$G$5,"")),"")</f>
        <v/>
      </c>
      <c r="AX88" s="37" t="str">
        <f ca="1">IFERROR(+IF(AY$29=#REF!,Milestone_Marker,IF(AND(AY$29&gt;#REF!,AY$29&lt;=#REF!+#REF!),$G$5,"")),"")</f>
        <v/>
      </c>
      <c r="AY88" s="37" t="str">
        <f ca="1">IFERROR(+IF(AZ$29=#REF!,Milestone_Marker,IF(AND(AZ$29&gt;#REF!,AZ$29&lt;=#REF!+#REF!),$G$5,"")),"")</f>
        <v/>
      </c>
      <c r="AZ88" s="37" t="str">
        <f ca="1">IFERROR(+IF(BA$29=#REF!,Milestone_Marker,IF(AND(BA$29&gt;#REF!,BA$29&lt;=#REF!+#REF!),$G$5,"")),"")</f>
        <v/>
      </c>
      <c r="BA88" s="37" t="str">
        <f ca="1">IFERROR(+IF(BB$29=#REF!,Milestone_Marker,IF(AND(BB$29&gt;#REF!,BB$29&lt;=#REF!+#REF!),$G$5,"")),"")</f>
        <v/>
      </c>
      <c r="BB88" s="37" t="str">
        <f ca="1">IFERROR(+IF(BC$29=#REF!,Milestone_Marker,IF(AND(BC$29&gt;#REF!,BC$29&lt;=#REF!+#REF!),$G$5,"")),"")</f>
        <v/>
      </c>
      <c r="BC88" s="37" t="str">
        <f ca="1">IFERROR(+IF(BD$29=#REF!,Milestone_Marker,IF(AND(BD$29&gt;#REF!,BD$29&lt;=#REF!+#REF!),$G$5,"")),"")</f>
        <v/>
      </c>
      <c r="BD88" s="37" t="str">
        <f ca="1">IFERROR(+IF(BE$29=#REF!,Milestone_Marker,IF(AND(BE$29&gt;#REF!,BE$29&lt;=#REF!+#REF!),$G$5,"")),"")</f>
        <v/>
      </c>
      <c r="BE88" s="37" t="str">
        <f ca="1">IFERROR(+IF(BF$29=#REF!,Milestone_Marker,IF(AND(BF$29&gt;#REF!,BF$29&lt;=#REF!+#REF!),$G$5,"")),"")</f>
        <v/>
      </c>
      <c r="BF88" s="37" t="str">
        <f ca="1">IFERROR(+IF(BG$29=#REF!,Milestone_Marker,IF(AND(BG$29&gt;#REF!,BG$29&lt;=#REF!+#REF!),$G$5,"")),"")</f>
        <v/>
      </c>
      <c r="BG88" s="37" t="str">
        <f ca="1">IFERROR(+IF(BH$29=#REF!,Milestone_Marker,IF(AND(BH$29&gt;#REF!,BH$29&lt;=#REF!+#REF!),$G$5,"")),"")</f>
        <v/>
      </c>
      <c r="BH88" s="37" t="str">
        <f ca="1">IFERROR(+IF(BI$29=#REF!,Milestone_Marker,IF(AND(BI$29&gt;#REF!,BI$29&lt;=#REF!+#REF!),$G$5,"")),"")</f>
        <v/>
      </c>
      <c r="BI88" s="37" t="str">
        <f ca="1">IFERROR(+IF(BJ$29=#REF!,Milestone_Marker,IF(AND(BJ$29&gt;#REF!,BJ$29&lt;=#REF!+#REF!),$G$5,"")),"")</f>
        <v/>
      </c>
      <c r="BJ88" s="37" t="str">
        <f ca="1">IFERROR(+IF(BK$29=#REF!,Milestone_Marker,IF(AND(BK$29&gt;#REF!,BK$29&lt;=#REF!+#REF!),$G$5,"")),"")</f>
        <v/>
      </c>
      <c r="BK88" s="37" t="str">
        <f ca="1">IFERROR(+IF(BL$29=#REF!,Milestone_Marker,IF(AND(BL$29&gt;#REF!,BL$29&lt;=#REF!+#REF!),$G$5,"")),"")</f>
        <v/>
      </c>
      <c r="BL88" s="37" t="str">
        <f ca="1">IFERROR(+IF(BM$29=#REF!,Milestone_Marker,IF(AND(BM$29&gt;#REF!,BM$29&lt;=#REF!+#REF!),$G$5,"")),"")</f>
        <v/>
      </c>
      <c r="BM88" s="37" t="str">
        <f ca="1">IFERROR(+IF(BN$29=#REF!,Milestone_Marker,IF(AND(BN$29&gt;#REF!,BN$29&lt;=#REF!+#REF!),$G$5,"")),"")</f>
        <v/>
      </c>
      <c r="BN88" s="37" t="str">
        <f ca="1">IFERROR(+IF(BO$29=#REF!,Milestone_Marker,IF(AND(BO$29&gt;#REF!,BO$29&lt;=#REF!+#REF!),$G$5,"")),"")</f>
        <v/>
      </c>
      <c r="BO88" s="37" t="str">
        <f ca="1">IFERROR(+IF(BP$29=#REF!,Milestone_Marker,IF(AND(BP$29&gt;#REF!,BP$29&lt;=#REF!+#REF!),$G$5,"")),"")</f>
        <v/>
      </c>
      <c r="BP88" s="37" t="str">
        <f ca="1">IFERROR(+IF(BQ$29=#REF!,Milestone_Marker,IF(AND(BQ$29&gt;#REF!,BQ$29&lt;=#REF!+#REF!),$G$5,"")),"")</f>
        <v/>
      </c>
      <c r="BQ88" s="37" t="str">
        <f ca="1">IFERROR(+IF(BR$29=#REF!,Milestone_Marker,IF(AND(BR$29&gt;#REF!,BR$29&lt;=#REF!+#REF!),$G$5,"")),"")</f>
        <v/>
      </c>
      <c r="BR88" s="37" t="str">
        <f ca="1">IFERROR(+IF(BS$29=#REF!,Milestone_Marker,IF(AND(BS$29&gt;#REF!,BS$29&lt;=#REF!+#REF!),$G$5,"")),"")</f>
        <v/>
      </c>
      <c r="BS88" s="37" t="str">
        <f ca="1">IFERROR(+IF(BT$29=#REF!,Milestone_Marker,IF(AND(BT$29&gt;#REF!,BT$29&lt;=#REF!+#REF!),$G$5,"")),"")</f>
        <v/>
      </c>
      <c r="BT88" s="37" t="str">
        <f ca="1">IFERROR(+IF(BU$29=#REF!,Milestone_Marker,IF(AND(BU$29&gt;#REF!,BU$29&lt;=#REF!+#REF!),$G$5,"")),"")</f>
        <v/>
      </c>
      <c r="BU88" s="37" t="str">
        <f ca="1">IFERROR(+IF(BV$29=#REF!,Milestone_Marker,IF(AND(BV$29&gt;#REF!,BV$29&lt;=#REF!+#REF!),$G$5,"")),"")</f>
        <v/>
      </c>
      <c r="BV88" s="37" t="str">
        <f ca="1">IFERROR(+IF(BW$29=#REF!,Milestone_Marker,IF(AND(BW$29&gt;#REF!,BW$29&lt;=#REF!+#REF!),$G$5,"")),"")</f>
        <v/>
      </c>
      <c r="BW88" s="37" t="str">
        <f ca="1">IFERROR(+IF(BX$29=#REF!,Milestone_Marker,IF(AND(BX$29&gt;#REF!,BX$29&lt;=#REF!+#REF!),$G$5,"")),"")</f>
        <v/>
      </c>
      <c r="BX88" s="37" t="str">
        <f ca="1">IFERROR(+IF(BY$29=#REF!,Milestone_Marker,IF(AND(BY$29&gt;#REF!,BY$29&lt;=#REF!+#REF!),$G$5,"")),"")</f>
        <v/>
      </c>
      <c r="BY88" s="37" t="str">
        <f ca="1">IFERROR(+IF(BZ$29=#REF!,Milestone_Marker,IF(AND(BZ$29&gt;#REF!,BZ$29&lt;=#REF!+#REF!),$G$5,"")),"")</f>
        <v/>
      </c>
      <c r="BZ88" s="37" t="str">
        <f ca="1">IFERROR(+IF(CA$29=#REF!,Milestone_Marker,IF(AND(CA$29&gt;#REF!,CA$29&lt;=#REF!+#REF!),$G$5,"")),"")</f>
        <v/>
      </c>
      <c r="CA88" s="37" t="str">
        <f ca="1">IFERROR(+IF(CB$29=#REF!,Milestone_Marker,IF(AND(CB$29&gt;#REF!,CB$29&lt;=#REF!+#REF!),$G$5,"")),"")</f>
        <v/>
      </c>
      <c r="CB88" s="37" t="str">
        <f ca="1">IFERROR(+IF(CC$29=#REF!,Milestone_Marker,IF(AND(CC$29&gt;#REF!,CC$29&lt;=#REF!+#REF!),$G$5,"")),"")</f>
        <v/>
      </c>
      <c r="CC88" s="37" t="str">
        <f ca="1">IFERROR(+IF(CD$29=#REF!,Milestone_Marker,IF(AND(CD$29&gt;#REF!,CD$29&lt;=#REF!+#REF!),$G$5,"")),"")</f>
        <v/>
      </c>
      <c r="CD88" s="37" t="str">
        <f ca="1">IFERROR(+IF(CE$29=#REF!,Milestone_Marker,IF(AND(CE$29&gt;#REF!,CE$29&lt;=#REF!+#REF!),$G$5,"")),"")</f>
        <v/>
      </c>
      <c r="CE88" s="37" t="str">
        <f ca="1">IFERROR(+IF(CF$29=#REF!,Milestone_Marker,IF(AND(CF$29&gt;#REF!,CF$29&lt;=#REF!+#REF!),$G$5,"")),"")</f>
        <v/>
      </c>
      <c r="CF88" s="37" t="str">
        <f ca="1">IFERROR(+IF(CG$29=#REF!,Milestone_Marker,IF(AND(CG$29&gt;#REF!,CG$29&lt;=#REF!+#REF!),$G$5,"")),"")</f>
        <v/>
      </c>
      <c r="CG88" s="37" t="str">
        <f ca="1">IFERROR(+IF(CH$29=#REF!,Milestone_Marker,IF(AND(CH$29&gt;#REF!,CH$29&lt;=#REF!+#REF!),$G$5,"")),"")</f>
        <v/>
      </c>
      <c r="CH88" s="37" t="str">
        <f ca="1">IFERROR(+IF(CI$29=#REF!,Milestone_Marker,IF(AND(CI$29&gt;#REF!,CI$29&lt;=#REF!+#REF!),$G$5,"")),"")</f>
        <v/>
      </c>
      <c r="CI88" s="37" t="str">
        <f ca="1">IFERROR(+IF(CJ$29=#REF!,Milestone_Marker,IF(AND(CJ$29&gt;#REF!,CJ$29&lt;=#REF!+#REF!),$G$5,"")),"")</f>
        <v/>
      </c>
      <c r="CJ88" s="37" t="str">
        <f ca="1">IFERROR(+IF(CK$29=#REF!,Milestone_Marker,IF(AND(CK$29&gt;#REF!,CK$29&lt;=#REF!+#REF!),$G$5,"")),"")</f>
        <v/>
      </c>
      <c r="CK88" s="37" t="str">
        <f ca="1">IFERROR(+IF(CL$29=#REF!,Milestone_Marker,IF(AND(CL$29&gt;#REF!,CL$29&lt;=#REF!+#REF!),$G$5,"")),"")</f>
        <v/>
      </c>
      <c r="CL88" s="37" t="str">
        <f ca="1">IFERROR(+IF(CM$29=#REF!,Milestone_Marker,IF(AND(CM$29&gt;#REF!,CM$29&lt;=#REF!+#REF!),$G$5,"")),"")</f>
        <v/>
      </c>
      <c r="CM88" s="37" t="str">
        <f ca="1">IFERROR(+IF(CN$29=#REF!,Milestone_Marker,IF(AND(CN$29&gt;#REF!,CN$29&lt;=#REF!+#REF!),$G$5,"")),"")</f>
        <v/>
      </c>
      <c r="CN88" s="37" t="str">
        <f ca="1">IFERROR(+IF(CO$29=#REF!,Milestone_Marker,IF(AND(CO$29&gt;#REF!,CO$29&lt;=#REF!+#REF!),$G$5,"")),"")</f>
        <v/>
      </c>
      <c r="CO88" s="37" t="str">
        <f ca="1">IFERROR(+IF(CP$29=#REF!,Milestone_Marker,IF(AND(CP$29&gt;#REF!,CP$29&lt;=#REF!+#REF!),$G$5,"")),"")</f>
        <v/>
      </c>
      <c r="CP88" s="37" t="str">
        <f ca="1">IFERROR(+IF(CQ$29=#REF!,Milestone_Marker,IF(AND(CQ$29&gt;#REF!,CQ$29&lt;=#REF!+#REF!),$G$5,"")),"")</f>
        <v/>
      </c>
      <c r="CQ88" s="37" t="str">
        <f ca="1">IFERROR(+IF(CR$29=#REF!,Milestone_Marker,IF(AND(CR$29&gt;#REF!,CR$29&lt;=#REF!+#REF!),$G$5,"")),"")</f>
        <v/>
      </c>
      <c r="CR88" s="37" t="str">
        <f ca="1">IFERROR(+IF(CS$29=#REF!,Milestone_Marker,IF(AND(CS$29&gt;#REF!,CS$29&lt;=#REF!+#REF!),$G$5,"")),"")</f>
        <v/>
      </c>
      <c r="CS88" s="37" t="str">
        <f ca="1">IFERROR(+IF(CT$29=#REF!,Milestone_Marker,IF(AND(CT$29&gt;#REF!,CT$29&lt;=#REF!+#REF!),$G$5,"")),"")</f>
        <v/>
      </c>
      <c r="CT88" s="37" t="str">
        <f ca="1">IFERROR(+IF(CU$29=#REF!,Milestone_Marker,IF(AND(CU$29&gt;#REF!,CU$29&lt;=#REF!+#REF!),$G$5,"")),"")</f>
        <v/>
      </c>
    </row>
    <row r="89" spans="1:125" ht="15" x14ac:dyDescent="0.25">
      <c r="A89" t="s">
        <v>459</v>
      </c>
      <c r="B89">
        <v>4</v>
      </c>
      <c r="C89"/>
      <c r="D89" t="s">
        <v>307</v>
      </c>
      <c r="E89" t="s">
        <v>308</v>
      </c>
      <c r="F89">
        <v>6</v>
      </c>
      <c r="G89" s="14"/>
      <c r="H89" s="14"/>
      <c r="I89"/>
      <c r="J89">
        <v>5</v>
      </c>
      <c r="K89" s="303"/>
      <c r="L89"/>
      <c r="M89" s="14"/>
      <c r="N89" s="352"/>
      <c r="O89" s="340"/>
      <c r="P89" s="37" t="str">
        <f ca="1">IFERROR(+IF(Q$29=#REF!,Milestone_Marker,IF(AND(Q$29&gt;#REF!,Q$29&lt;=#REF!+#REF!),$G$5,"")),"")</f>
        <v/>
      </c>
      <c r="Q89" s="37" t="str">
        <f ca="1">IFERROR(+IF(R$29=#REF!,Milestone_Marker,IF(AND(R$29&gt;#REF!,R$29&lt;=#REF!+#REF!),$G$5,"")),"")</f>
        <v/>
      </c>
      <c r="R89" s="37" t="str">
        <f ca="1">IFERROR(+IF(S$29=#REF!,Milestone_Marker,IF(AND(S$29&gt;#REF!,S$29&lt;=#REF!+#REF!),$G$5,"")),"")</f>
        <v/>
      </c>
      <c r="S89" s="37" t="str">
        <f ca="1">IFERROR(+IF(T$29=#REF!,Milestone_Marker,IF(AND(T$29&gt;#REF!,T$29&lt;=#REF!+#REF!),$G$5,"")),"")</f>
        <v/>
      </c>
      <c r="T89" s="37" t="str">
        <f ca="1">IFERROR(+IF(U$29=#REF!,Milestone_Marker,IF(AND(U$29&gt;#REF!,U$29&lt;=#REF!+#REF!),$G$5,"")),"")</f>
        <v/>
      </c>
      <c r="U89" s="37" t="str">
        <f ca="1">IFERROR(+IF(V$29=#REF!,Milestone_Marker,IF(AND(V$29&gt;#REF!,V$29&lt;=#REF!+#REF!),$G$5,"")),"")</f>
        <v/>
      </c>
      <c r="V89" s="37" t="str">
        <f ca="1">IFERROR(+IF(W$29=#REF!,Milestone_Marker,IF(AND(W$29&gt;#REF!,W$29&lt;=#REF!+#REF!),$G$5,"")),"")</f>
        <v/>
      </c>
      <c r="W89" s="37" t="str">
        <f ca="1">IFERROR(+IF(X$29=#REF!,Milestone_Marker,IF(AND(X$29&gt;#REF!,X$29&lt;=#REF!+#REF!),$G$5,"")),"")</f>
        <v/>
      </c>
      <c r="X89" s="37" t="str">
        <f ca="1">IFERROR(+IF(Y$29=#REF!,Milestone_Marker,IF(AND(Y$29&gt;#REF!,Y$29&lt;=#REF!+#REF!),$G$5,"")),"")</f>
        <v/>
      </c>
      <c r="Y89" s="37" t="str">
        <f ca="1">IFERROR(+IF(Z$29=#REF!,Milestone_Marker,IF(AND(Z$29&gt;#REF!,Z$29&lt;=#REF!+#REF!),$G$5,"")),"")</f>
        <v/>
      </c>
      <c r="Z89" s="37" t="str">
        <f ca="1">IFERROR(+IF(AA$29=#REF!,Milestone_Marker,IF(AND(AA$29&gt;#REF!,AA$29&lt;=#REF!+#REF!),$G$5,"")),"")</f>
        <v/>
      </c>
      <c r="AA89" s="37" t="str">
        <f ca="1">IFERROR(+IF(AB$29=#REF!,Milestone_Marker,IF(AND(AB$29&gt;#REF!,AB$29&lt;=#REF!+#REF!),$G$5,"")),"")</f>
        <v/>
      </c>
      <c r="AB89" s="37" t="str">
        <f ca="1">IFERROR(+IF(AC$29=#REF!,Milestone_Marker,IF(AND(AC$29&gt;#REF!,AC$29&lt;=#REF!+#REF!),$G$5,"")),"")</f>
        <v/>
      </c>
      <c r="AC89" s="37" t="str">
        <f ca="1">IFERROR(+IF(AD$29=#REF!,Milestone_Marker,IF(AND(AD$29&gt;#REF!,AD$29&lt;=#REF!+#REF!),$G$5,"")),"")</f>
        <v/>
      </c>
      <c r="AD89" s="37" t="str">
        <f ca="1">IFERROR(+IF(AE$29=#REF!,Milestone_Marker,IF(AND(AE$29&gt;#REF!,AE$29&lt;=#REF!+#REF!),$G$5,"")),"")</f>
        <v/>
      </c>
      <c r="AE89" s="37" t="str">
        <f ca="1">IFERROR(+IF(AF$29=#REF!,Milestone_Marker,IF(AND(AF$29&gt;#REF!,AF$29&lt;=#REF!+#REF!),$G$5,"")),"")</f>
        <v/>
      </c>
      <c r="AF89" s="37" t="str">
        <f ca="1">IFERROR(+IF(AG$29=#REF!,Milestone_Marker,IF(AND(AG$29&gt;#REF!,AG$29&lt;=#REF!+#REF!),$G$5,"")),"")</f>
        <v/>
      </c>
      <c r="AG89" s="37" t="str">
        <f ca="1">IFERROR(+IF(AH$29=#REF!,Milestone_Marker,IF(AND(AH$29&gt;#REF!,AH$29&lt;=#REF!+#REF!),$G$5,"")),"")</f>
        <v/>
      </c>
      <c r="AH89" s="37" t="str">
        <f ca="1">IFERROR(+IF(AI$29=#REF!,Milestone_Marker,IF(AND(AI$29&gt;#REF!,AI$29&lt;=#REF!+#REF!),$G$5,"")),"")</f>
        <v/>
      </c>
      <c r="AI89" s="37" t="str">
        <f ca="1">IFERROR(+IF(AJ$29=#REF!,Milestone_Marker,IF(AND(AJ$29&gt;#REF!,AJ$29&lt;=#REF!+#REF!),$G$5,"")),"")</f>
        <v/>
      </c>
      <c r="AJ89" s="37" t="str">
        <f ca="1">IFERROR(+IF(AK$29=#REF!,Milestone_Marker,IF(AND(AK$29&gt;#REF!,AK$29&lt;=#REF!+#REF!),$G$5,"")),"")</f>
        <v/>
      </c>
      <c r="AK89" s="37" t="str">
        <f ca="1">IFERROR(+IF(AL$29=#REF!,Milestone_Marker,IF(AND(AL$29&gt;#REF!,AL$29&lt;=#REF!+#REF!),$G$5,"")),"")</f>
        <v/>
      </c>
      <c r="AL89" s="37" t="str">
        <f ca="1">IFERROR(+IF(AM$29=#REF!,Milestone_Marker,IF(AND(AM$29&gt;#REF!,AM$29&lt;=#REF!+#REF!),$G$5,"")),"")</f>
        <v/>
      </c>
      <c r="AM89" s="37" t="str">
        <f ca="1">IFERROR(+IF(AN$29=#REF!,Milestone_Marker,IF(AND(AN$29&gt;#REF!,AN$29&lt;=#REF!+#REF!),$G$5,"")),"")</f>
        <v/>
      </c>
      <c r="AN89" s="37" t="str">
        <f ca="1">IFERROR(+IF(AO$29=#REF!,Milestone_Marker,IF(AND(AO$29&gt;#REF!,AO$29&lt;=#REF!+#REF!),$G$5,"")),"")</f>
        <v/>
      </c>
      <c r="AO89" s="37" t="str">
        <f ca="1">IFERROR(+IF(AP$29=#REF!,Milestone_Marker,IF(AND(AP$29&gt;#REF!,AP$29&lt;=#REF!+#REF!),$G$5,"")),"")</f>
        <v/>
      </c>
      <c r="AP89" s="37" t="str">
        <f ca="1">IFERROR(+IF(AQ$29=#REF!,Milestone_Marker,IF(AND(AQ$29&gt;#REF!,AQ$29&lt;=#REF!+#REF!),$G$5,"")),"")</f>
        <v/>
      </c>
      <c r="AQ89" s="37" t="str">
        <f ca="1">IFERROR(+IF(AR$29=#REF!,Milestone_Marker,IF(AND(AR$29&gt;#REF!,AR$29&lt;=#REF!+#REF!),$G$5,"")),"")</f>
        <v/>
      </c>
      <c r="AR89" s="37" t="str">
        <f ca="1">IFERROR(+IF(AS$29=#REF!,Milestone_Marker,IF(AND(AS$29&gt;#REF!,AS$29&lt;=#REF!+#REF!),$G$5,"")),"")</f>
        <v/>
      </c>
      <c r="AS89" s="37" t="str">
        <f ca="1">IFERROR(+IF(AT$29=#REF!,Milestone_Marker,IF(AND(AT$29&gt;#REF!,AT$29&lt;=#REF!+#REF!),$G$5,"")),"")</f>
        <v/>
      </c>
      <c r="AT89" s="37" t="str">
        <f ca="1">IFERROR(+IF(AU$29=#REF!,Milestone_Marker,IF(AND(AU$29&gt;#REF!,AU$29&lt;=#REF!+#REF!),$G$5,"")),"")</f>
        <v/>
      </c>
      <c r="AU89" s="37" t="str">
        <f ca="1">IFERROR(+IF(AV$29=#REF!,Milestone_Marker,IF(AND(AV$29&gt;#REF!,AV$29&lt;=#REF!+#REF!),$G$5,"")),"")</f>
        <v/>
      </c>
      <c r="AV89" s="37" t="str">
        <f ca="1">IFERROR(+IF(AW$29=#REF!,Milestone_Marker,IF(AND(AW$29&gt;#REF!,AW$29&lt;=#REF!+#REF!),$G$5,"")),"")</f>
        <v/>
      </c>
      <c r="AW89" s="37" t="str">
        <f ca="1">IFERROR(+IF(AX$29=#REF!,Milestone_Marker,IF(AND(AX$29&gt;#REF!,AX$29&lt;=#REF!+#REF!),$G$5,"")),"")</f>
        <v/>
      </c>
      <c r="AX89" s="37" t="str">
        <f ca="1">IFERROR(+IF(AY$29=#REF!,Milestone_Marker,IF(AND(AY$29&gt;#REF!,AY$29&lt;=#REF!+#REF!),$G$5,"")),"")</f>
        <v/>
      </c>
      <c r="AY89" s="37" t="str">
        <f ca="1">IFERROR(+IF(AZ$29=#REF!,Milestone_Marker,IF(AND(AZ$29&gt;#REF!,AZ$29&lt;=#REF!+#REF!),$G$5,"")),"")</f>
        <v/>
      </c>
      <c r="AZ89" s="37" t="str">
        <f ca="1">IFERROR(+IF(BA$29=#REF!,Milestone_Marker,IF(AND(BA$29&gt;#REF!,BA$29&lt;=#REF!+#REF!),$G$5,"")),"")</f>
        <v/>
      </c>
      <c r="BA89" s="37" t="str">
        <f ca="1">IFERROR(+IF(BB$29=#REF!,Milestone_Marker,IF(AND(BB$29&gt;#REF!,BB$29&lt;=#REF!+#REF!),$G$5,"")),"")</f>
        <v/>
      </c>
      <c r="BB89" s="37" t="str">
        <f ca="1">IFERROR(+IF(BC$29=#REF!,Milestone_Marker,IF(AND(BC$29&gt;#REF!,BC$29&lt;=#REF!+#REF!),$G$5,"")),"")</f>
        <v/>
      </c>
      <c r="BC89" s="37" t="str">
        <f ca="1">IFERROR(+IF(BD$29=#REF!,Milestone_Marker,IF(AND(BD$29&gt;#REF!,BD$29&lt;=#REF!+#REF!),$G$5,"")),"")</f>
        <v/>
      </c>
      <c r="BD89" s="37" t="str">
        <f ca="1">IFERROR(+IF(BE$29=#REF!,Milestone_Marker,IF(AND(BE$29&gt;#REF!,BE$29&lt;=#REF!+#REF!),$G$5,"")),"")</f>
        <v/>
      </c>
      <c r="BE89" s="37" t="str">
        <f ca="1">IFERROR(+IF(BF$29=#REF!,Milestone_Marker,IF(AND(BF$29&gt;#REF!,BF$29&lt;=#REF!+#REF!),$G$5,"")),"")</f>
        <v/>
      </c>
      <c r="BF89" s="37" t="str">
        <f ca="1">IFERROR(+IF(BG$29=#REF!,Milestone_Marker,IF(AND(BG$29&gt;#REF!,BG$29&lt;=#REF!+#REF!),$G$5,"")),"")</f>
        <v/>
      </c>
      <c r="BG89" s="37" t="str">
        <f ca="1">IFERROR(+IF(BH$29=#REF!,Milestone_Marker,IF(AND(BH$29&gt;#REF!,BH$29&lt;=#REF!+#REF!),$G$5,"")),"")</f>
        <v/>
      </c>
      <c r="BH89" s="37" t="str">
        <f ca="1">IFERROR(+IF(BI$29=#REF!,Milestone_Marker,IF(AND(BI$29&gt;#REF!,BI$29&lt;=#REF!+#REF!),$G$5,"")),"")</f>
        <v/>
      </c>
      <c r="BI89" s="37" t="str">
        <f ca="1">IFERROR(+IF(BJ$29=#REF!,Milestone_Marker,IF(AND(BJ$29&gt;#REF!,BJ$29&lt;=#REF!+#REF!),$G$5,"")),"")</f>
        <v/>
      </c>
      <c r="BJ89" s="37" t="str">
        <f ca="1">IFERROR(+IF(BK$29=#REF!,Milestone_Marker,IF(AND(BK$29&gt;#REF!,BK$29&lt;=#REF!+#REF!),$G$5,"")),"")</f>
        <v/>
      </c>
      <c r="BK89" s="37" t="str">
        <f ca="1">IFERROR(+IF(BL$29=#REF!,Milestone_Marker,IF(AND(BL$29&gt;#REF!,BL$29&lt;=#REF!+#REF!),$G$5,"")),"")</f>
        <v/>
      </c>
      <c r="BL89" s="37" t="str">
        <f ca="1">IFERROR(+IF(BM$29=#REF!,Milestone_Marker,IF(AND(BM$29&gt;#REF!,BM$29&lt;=#REF!+#REF!),$G$5,"")),"")</f>
        <v/>
      </c>
      <c r="BM89" s="37" t="str">
        <f ca="1">IFERROR(+IF(BN$29=#REF!,Milestone_Marker,IF(AND(BN$29&gt;#REF!,BN$29&lt;=#REF!+#REF!),$G$5,"")),"")</f>
        <v/>
      </c>
      <c r="BN89" s="37" t="str">
        <f ca="1">IFERROR(+IF(BO$29=#REF!,Milestone_Marker,IF(AND(BO$29&gt;#REF!,BO$29&lt;=#REF!+#REF!),$G$5,"")),"")</f>
        <v/>
      </c>
      <c r="BO89" s="37" t="str">
        <f ca="1">IFERROR(+IF(BP$29=#REF!,Milestone_Marker,IF(AND(BP$29&gt;#REF!,BP$29&lt;=#REF!+#REF!),$G$5,"")),"")</f>
        <v/>
      </c>
      <c r="BP89" s="37" t="str">
        <f ca="1">IFERROR(+IF(BQ$29=#REF!,Milestone_Marker,IF(AND(BQ$29&gt;#REF!,BQ$29&lt;=#REF!+#REF!),$G$5,"")),"")</f>
        <v/>
      </c>
      <c r="BQ89" s="37" t="str">
        <f ca="1">IFERROR(+IF(BR$29=#REF!,Milestone_Marker,IF(AND(BR$29&gt;#REF!,BR$29&lt;=#REF!+#REF!),$G$5,"")),"")</f>
        <v/>
      </c>
      <c r="BR89" s="37" t="str">
        <f ca="1">IFERROR(+IF(BS$29=#REF!,Milestone_Marker,IF(AND(BS$29&gt;#REF!,BS$29&lt;=#REF!+#REF!),$G$5,"")),"")</f>
        <v/>
      </c>
      <c r="BS89" s="37" t="str">
        <f ca="1">IFERROR(+IF(BT$29=#REF!,Milestone_Marker,IF(AND(BT$29&gt;#REF!,BT$29&lt;=#REF!+#REF!),$G$5,"")),"")</f>
        <v/>
      </c>
      <c r="BT89" s="37" t="str">
        <f ca="1">IFERROR(+IF(BU$29=#REF!,Milestone_Marker,IF(AND(BU$29&gt;#REF!,BU$29&lt;=#REF!+#REF!),$G$5,"")),"")</f>
        <v/>
      </c>
      <c r="BU89" s="37" t="str">
        <f ca="1">IFERROR(+IF(BV$29=#REF!,Milestone_Marker,IF(AND(BV$29&gt;#REF!,BV$29&lt;=#REF!+#REF!),$G$5,"")),"")</f>
        <v/>
      </c>
      <c r="BV89" s="37" t="str">
        <f ca="1">IFERROR(+IF(BW$29=#REF!,Milestone_Marker,IF(AND(BW$29&gt;#REF!,BW$29&lt;=#REF!+#REF!),$G$5,"")),"")</f>
        <v/>
      </c>
      <c r="BW89" s="37" t="str">
        <f ca="1">IFERROR(+IF(BX$29=#REF!,Milestone_Marker,IF(AND(BX$29&gt;#REF!,BX$29&lt;=#REF!+#REF!),$G$5,"")),"")</f>
        <v/>
      </c>
      <c r="BX89" s="37" t="str">
        <f ca="1">IFERROR(+IF(BY$29=#REF!,Milestone_Marker,IF(AND(BY$29&gt;#REF!,BY$29&lt;=#REF!+#REF!),$G$5,"")),"")</f>
        <v/>
      </c>
      <c r="BY89" s="37" t="str">
        <f ca="1">IFERROR(+IF(BZ$29=#REF!,Milestone_Marker,IF(AND(BZ$29&gt;#REF!,BZ$29&lt;=#REF!+#REF!),$G$5,"")),"")</f>
        <v/>
      </c>
      <c r="BZ89" s="37" t="str">
        <f ca="1">IFERROR(+IF(CA$29=#REF!,Milestone_Marker,IF(AND(CA$29&gt;#REF!,CA$29&lt;=#REF!+#REF!),$G$5,"")),"")</f>
        <v/>
      </c>
      <c r="CA89" s="37" t="str">
        <f ca="1">IFERROR(+IF(CB$29=#REF!,Milestone_Marker,IF(AND(CB$29&gt;#REF!,CB$29&lt;=#REF!+#REF!),$G$5,"")),"")</f>
        <v/>
      </c>
      <c r="CB89" s="37" t="str">
        <f ca="1">IFERROR(+IF(CC$29=#REF!,Milestone_Marker,IF(AND(CC$29&gt;#REF!,CC$29&lt;=#REF!+#REF!),$G$5,"")),"")</f>
        <v/>
      </c>
      <c r="CC89" s="37" t="str">
        <f ca="1">IFERROR(+IF(CD$29=#REF!,Milestone_Marker,IF(AND(CD$29&gt;#REF!,CD$29&lt;=#REF!+#REF!),$G$5,"")),"")</f>
        <v/>
      </c>
      <c r="CD89" s="37" t="str">
        <f ca="1">IFERROR(+IF(CE$29=#REF!,Milestone_Marker,IF(AND(CE$29&gt;#REF!,CE$29&lt;=#REF!+#REF!),$G$5,"")),"")</f>
        <v/>
      </c>
      <c r="CE89" s="37" t="str">
        <f ca="1">IFERROR(+IF(CF$29=#REF!,Milestone_Marker,IF(AND(CF$29&gt;#REF!,CF$29&lt;=#REF!+#REF!),$G$5,"")),"")</f>
        <v/>
      </c>
      <c r="CF89" s="37" t="str">
        <f ca="1">IFERROR(+IF(CG$29=#REF!,Milestone_Marker,IF(AND(CG$29&gt;#REF!,CG$29&lt;=#REF!+#REF!),$G$5,"")),"")</f>
        <v/>
      </c>
      <c r="CG89" s="37" t="str">
        <f ca="1">IFERROR(+IF(CH$29=#REF!,Milestone_Marker,IF(AND(CH$29&gt;#REF!,CH$29&lt;=#REF!+#REF!),$G$5,"")),"")</f>
        <v/>
      </c>
      <c r="CH89" s="37" t="str">
        <f ca="1">IFERROR(+IF(CI$29=#REF!,Milestone_Marker,IF(AND(CI$29&gt;#REF!,CI$29&lt;=#REF!+#REF!),$G$5,"")),"")</f>
        <v/>
      </c>
      <c r="CI89" s="37" t="str">
        <f ca="1">IFERROR(+IF(CJ$29=#REF!,Milestone_Marker,IF(AND(CJ$29&gt;#REF!,CJ$29&lt;=#REF!+#REF!),$G$5,"")),"")</f>
        <v/>
      </c>
      <c r="CJ89" s="37" t="str">
        <f ca="1">IFERROR(+IF(CK$29=#REF!,Milestone_Marker,IF(AND(CK$29&gt;#REF!,CK$29&lt;=#REF!+#REF!),$G$5,"")),"")</f>
        <v/>
      </c>
      <c r="CK89" s="37" t="str">
        <f ca="1">IFERROR(+IF(CL$29=#REF!,Milestone_Marker,IF(AND(CL$29&gt;#REF!,CL$29&lt;=#REF!+#REF!),$G$5,"")),"")</f>
        <v/>
      </c>
      <c r="CL89" s="37" t="str">
        <f ca="1">IFERROR(+IF(CM$29=#REF!,Milestone_Marker,IF(AND(CM$29&gt;#REF!,CM$29&lt;=#REF!+#REF!),$G$5,"")),"")</f>
        <v/>
      </c>
      <c r="CM89" s="37" t="str">
        <f ca="1">IFERROR(+IF(CN$29=#REF!,Milestone_Marker,IF(AND(CN$29&gt;#REF!,CN$29&lt;=#REF!+#REF!),$G$5,"")),"")</f>
        <v/>
      </c>
      <c r="CN89" s="37" t="str">
        <f ca="1">IFERROR(+IF(CO$29=#REF!,Milestone_Marker,IF(AND(CO$29&gt;#REF!,CO$29&lt;=#REF!+#REF!),$G$5,"")),"")</f>
        <v/>
      </c>
      <c r="CO89" s="37" t="str">
        <f ca="1">IFERROR(+IF(CP$29=#REF!,Milestone_Marker,IF(AND(CP$29&gt;#REF!,CP$29&lt;=#REF!+#REF!),$G$5,"")),"")</f>
        <v/>
      </c>
      <c r="CP89" s="37" t="str">
        <f ca="1">IFERROR(+IF(CQ$29=#REF!,Milestone_Marker,IF(AND(CQ$29&gt;#REF!,CQ$29&lt;=#REF!+#REF!),$G$5,"")),"")</f>
        <v/>
      </c>
      <c r="CQ89" s="37" t="str">
        <f ca="1">IFERROR(+IF(CR$29=#REF!,Milestone_Marker,IF(AND(CR$29&gt;#REF!,CR$29&lt;=#REF!+#REF!),$G$5,"")),"")</f>
        <v/>
      </c>
      <c r="CR89" s="37" t="str">
        <f ca="1">IFERROR(+IF(CS$29=#REF!,Milestone_Marker,IF(AND(CS$29&gt;#REF!,CS$29&lt;=#REF!+#REF!),$G$5,"")),"")</f>
        <v/>
      </c>
      <c r="CS89" s="37" t="str">
        <f ca="1">IFERROR(+IF(CT$29=#REF!,Milestone_Marker,IF(AND(CT$29&gt;#REF!,CT$29&lt;=#REF!+#REF!),$G$5,"")),"")</f>
        <v/>
      </c>
      <c r="CT89" s="37" t="str">
        <f ca="1">IFERROR(+IF(CU$29=#REF!,Milestone_Marker,IF(AND(CU$29&gt;#REF!,CU$29&lt;=#REF!+#REF!),$G$5,"")),"")</f>
        <v/>
      </c>
    </row>
    <row r="90" spans="1:125" ht="18" customHeight="1" x14ac:dyDescent="0.25">
      <c r="P90" s="37" t="str">
        <f ca="1">IFERROR(+IF(Q$29=#REF!,Milestone_Marker,IF(AND(Q$29&gt;#REF!,Q$29&lt;=#REF!+#REF!),$G$5,"")),"")</f>
        <v/>
      </c>
      <c r="Q90" s="37" t="str">
        <f ca="1">IFERROR(+IF(R$29=#REF!,Milestone_Marker,IF(AND(R$29&gt;#REF!,R$29&lt;=#REF!+#REF!),$G$5,"")),"")</f>
        <v/>
      </c>
      <c r="R90" s="37" t="str">
        <f ca="1">IFERROR(+IF(S$29=#REF!,Milestone_Marker,IF(AND(S$29&gt;#REF!,S$29&lt;=#REF!+#REF!),$G$5,"")),"")</f>
        <v/>
      </c>
      <c r="S90" s="37" t="str">
        <f ca="1">IFERROR(+IF(T$29=#REF!,Milestone_Marker,IF(AND(T$29&gt;#REF!,T$29&lt;=#REF!+#REF!),$G$5,"")),"")</f>
        <v/>
      </c>
      <c r="T90" s="37" t="str">
        <f ca="1">IFERROR(+IF(U$29=#REF!,Milestone_Marker,IF(AND(U$29&gt;#REF!,U$29&lt;=#REF!+#REF!),$G$5,"")),"")</f>
        <v/>
      </c>
      <c r="U90" s="37" t="str">
        <f ca="1">IFERROR(+IF(V$29=#REF!,Milestone_Marker,IF(AND(V$29&gt;#REF!,V$29&lt;=#REF!+#REF!),$G$5,"")),"")</f>
        <v/>
      </c>
      <c r="V90" s="37" t="str">
        <f ca="1">IFERROR(+IF(W$29=#REF!,Milestone_Marker,IF(AND(W$29&gt;#REF!,W$29&lt;=#REF!+#REF!),$G$5,"")),"")</f>
        <v/>
      </c>
      <c r="W90" s="37" t="str">
        <f ca="1">IFERROR(+IF(X$29=#REF!,Milestone_Marker,IF(AND(X$29&gt;#REF!,X$29&lt;=#REF!+#REF!),$G$5,"")),"")</f>
        <v/>
      </c>
      <c r="X90" s="37" t="str">
        <f ca="1">IFERROR(+IF(Y$29=#REF!,Milestone_Marker,IF(AND(Y$29&gt;#REF!,Y$29&lt;=#REF!+#REF!),$G$5,"")),"")</f>
        <v/>
      </c>
      <c r="Y90" s="37" t="str">
        <f ca="1">IFERROR(+IF(Z$29=#REF!,Milestone_Marker,IF(AND(Z$29&gt;#REF!,Z$29&lt;=#REF!+#REF!),$G$5,"")),"")</f>
        <v/>
      </c>
      <c r="Z90" s="37" t="str">
        <f ca="1">IFERROR(+IF(AA$29=#REF!,Milestone_Marker,IF(AND(AA$29&gt;#REF!,AA$29&lt;=#REF!+#REF!),$G$5,"")),"")</f>
        <v/>
      </c>
      <c r="AA90" s="37" t="str">
        <f ca="1">IFERROR(+IF(AB$29=#REF!,Milestone_Marker,IF(AND(AB$29&gt;#REF!,AB$29&lt;=#REF!+#REF!),$G$5,"")),"")</f>
        <v/>
      </c>
      <c r="AB90" s="37" t="str">
        <f ca="1">IFERROR(+IF(AC$29=#REF!,Milestone_Marker,IF(AND(AC$29&gt;#REF!,AC$29&lt;=#REF!+#REF!),$G$5,"")),"")</f>
        <v/>
      </c>
      <c r="AC90" s="37" t="str">
        <f ca="1">IFERROR(+IF(AD$29=#REF!,Milestone_Marker,IF(AND(AD$29&gt;#REF!,AD$29&lt;=#REF!+#REF!),$G$5,"")),"")</f>
        <v/>
      </c>
      <c r="AD90" s="37" t="str">
        <f ca="1">IFERROR(+IF(AE$29=#REF!,Milestone_Marker,IF(AND(AE$29&gt;#REF!,AE$29&lt;=#REF!+#REF!),$G$5,"")),"")</f>
        <v/>
      </c>
      <c r="AE90" s="37" t="str">
        <f ca="1">IFERROR(+IF(AF$29=#REF!,Milestone_Marker,IF(AND(AF$29&gt;#REF!,AF$29&lt;=#REF!+#REF!),$G$5,"")),"")</f>
        <v/>
      </c>
      <c r="AF90" s="37" t="str">
        <f ca="1">IFERROR(+IF(AG$29=#REF!,Milestone_Marker,IF(AND(AG$29&gt;#REF!,AG$29&lt;=#REF!+#REF!),$G$5,"")),"")</f>
        <v/>
      </c>
      <c r="AG90" s="37" t="str">
        <f ca="1">IFERROR(+IF(AH$29=#REF!,Milestone_Marker,IF(AND(AH$29&gt;#REF!,AH$29&lt;=#REF!+#REF!),$G$5,"")),"")</f>
        <v/>
      </c>
      <c r="AH90" s="37" t="str">
        <f ca="1">IFERROR(+IF(AI$29=#REF!,Milestone_Marker,IF(AND(AI$29&gt;#REF!,AI$29&lt;=#REF!+#REF!),$G$5,"")),"")</f>
        <v/>
      </c>
      <c r="AI90" s="37" t="str">
        <f ca="1">IFERROR(+IF(AJ$29=#REF!,Milestone_Marker,IF(AND(AJ$29&gt;#REF!,AJ$29&lt;=#REF!+#REF!),$G$5,"")),"")</f>
        <v/>
      </c>
      <c r="AJ90" s="37" t="str">
        <f ca="1">IFERROR(+IF(AK$29=#REF!,Milestone_Marker,IF(AND(AK$29&gt;#REF!,AK$29&lt;=#REF!+#REF!),$G$5,"")),"")</f>
        <v/>
      </c>
      <c r="AK90" s="37" t="str">
        <f ca="1">IFERROR(+IF(AL$29=#REF!,Milestone_Marker,IF(AND(AL$29&gt;#REF!,AL$29&lt;=#REF!+#REF!),$G$5,"")),"")</f>
        <v/>
      </c>
      <c r="AL90" s="37" t="str">
        <f ca="1">IFERROR(+IF(AM$29=#REF!,Milestone_Marker,IF(AND(AM$29&gt;#REF!,AM$29&lt;=#REF!+#REF!),$G$5,"")),"")</f>
        <v/>
      </c>
      <c r="AM90" s="37" t="str">
        <f ca="1">IFERROR(+IF(AN$29=#REF!,Milestone_Marker,IF(AND(AN$29&gt;#REF!,AN$29&lt;=#REF!+#REF!),$G$5,"")),"")</f>
        <v/>
      </c>
      <c r="AN90" s="37" t="str">
        <f ca="1">IFERROR(+IF(AO$29=#REF!,Milestone_Marker,IF(AND(AO$29&gt;#REF!,AO$29&lt;=#REF!+#REF!),$G$5,"")),"")</f>
        <v/>
      </c>
      <c r="AO90" s="37" t="str">
        <f ca="1">IFERROR(+IF(AP$29=#REF!,Milestone_Marker,IF(AND(AP$29&gt;#REF!,AP$29&lt;=#REF!+#REF!),$G$5,"")),"")</f>
        <v/>
      </c>
      <c r="AP90" s="37" t="str">
        <f ca="1">IFERROR(+IF(AQ$29=#REF!,Milestone_Marker,IF(AND(AQ$29&gt;#REF!,AQ$29&lt;=#REF!+#REF!),$G$5,"")),"")</f>
        <v/>
      </c>
      <c r="AQ90" s="37" t="str">
        <f ca="1">IFERROR(+IF(AR$29=#REF!,Milestone_Marker,IF(AND(AR$29&gt;#REF!,AR$29&lt;=#REF!+#REF!),$G$5,"")),"")</f>
        <v/>
      </c>
      <c r="AR90" s="37" t="str">
        <f ca="1">IFERROR(+IF(AS$29=#REF!,Milestone_Marker,IF(AND(AS$29&gt;#REF!,AS$29&lt;=#REF!+#REF!),$G$5,"")),"")</f>
        <v/>
      </c>
      <c r="AS90" s="37" t="str">
        <f ca="1">IFERROR(+IF(AT$29=#REF!,Milestone_Marker,IF(AND(AT$29&gt;#REF!,AT$29&lt;=#REF!+#REF!),$G$5,"")),"")</f>
        <v/>
      </c>
      <c r="AT90" s="37" t="str">
        <f ca="1">IFERROR(+IF(AU$29=#REF!,Milestone_Marker,IF(AND(AU$29&gt;#REF!,AU$29&lt;=#REF!+#REF!),$G$5,"")),"")</f>
        <v/>
      </c>
      <c r="AU90" s="37" t="str">
        <f ca="1">IFERROR(+IF(AV$29=#REF!,Milestone_Marker,IF(AND(AV$29&gt;#REF!,AV$29&lt;=#REF!+#REF!),$G$5,"")),"")</f>
        <v/>
      </c>
      <c r="AV90" s="37" t="str">
        <f ca="1">IFERROR(+IF(AW$29=#REF!,Milestone_Marker,IF(AND(AW$29&gt;#REF!,AW$29&lt;=#REF!+#REF!),$G$5,"")),"")</f>
        <v/>
      </c>
      <c r="AW90" s="37" t="str">
        <f ca="1">IFERROR(+IF(AX$29=#REF!,Milestone_Marker,IF(AND(AX$29&gt;#REF!,AX$29&lt;=#REF!+#REF!),$G$5,"")),"")</f>
        <v/>
      </c>
      <c r="AX90" s="37" t="str">
        <f ca="1">IFERROR(+IF(AY$29=#REF!,Milestone_Marker,IF(AND(AY$29&gt;#REF!,AY$29&lt;=#REF!+#REF!),$G$5,"")),"")</f>
        <v/>
      </c>
      <c r="AY90" s="37" t="str">
        <f ca="1">IFERROR(+IF(AZ$29=#REF!,Milestone_Marker,IF(AND(AZ$29&gt;#REF!,AZ$29&lt;=#REF!+#REF!),$G$5,"")),"")</f>
        <v/>
      </c>
      <c r="AZ90" s="37" t="str">
        <f ca="1">IFERROR(+IF(BA$29=#REF!,Milestone_Marker,IF(AND(BA$29&gt;#REF!,BA$29&lt;=#REF!+#REF!),$G$5,"")),"")</f>
        <v/>
      </c>
      <c r="BA90" s="37" t="str">
        <f ca="1">IFERROR(+IF(BB$29=#REF!,Milestone_Marker,IF(AND(BB$29&gt;#REF!,BB$29&lt;=#REF!+#REF!),$G$5,"")),"")</f>
        <v/>
      </c>
      <c r="BB90" s="37" t="str">
        <f ca="1">IFERROR(+IF(BC$29=#REF!,Milestone_Marker,IF(AND(BC$29&gt;#REF!,BC$29&lt;=#REF!+#REF!),$G$5,"")),"")</f>
        <v/>
      </c>
      <c r="BC90" s="37" t="str">
        <f ca="1">IFERROR(+IF(BD$29=#REF!,Milestone_Marker,IF(AND(BD$29&gt;#REF!,BD$29&lt;=#REF!+#REF!),$G$5,"")),"")</f>
        <v/>
      </c>
      <c r="BD90" s="37" t="str">
        <f ca="1">IFERROR(+IF(BE$29=#REF!,Milestone_Marker,IF(AND(BE$29&gt;#REF!,BE$29&lt;=#REF!+#REF!),$G$5,"")),"")</f>
        <v/>
      </c>
      <c r="BE90" s="37" t="str">
        <f ca="1">IFERROR(+IF(BF$29=#REF!,Milestone_Marker,IF(AND(BF$29&gt;#REF!,BF$29&lt;=#REF!+#REF!),$G$5,"")),"")</f>
        <v/>
      </c>
      <c r="BF90" s="37" t="str">
        <f ca="1">IFERROR(+IF(BG$29=#REF!,Milestone_Marker,IF(AND(BG$29&gt;#REF!,BG$29&lt;=#REF!+#REF!),$G$5,"")),"")</f>
        <v/>
      </c>
      <c r="BG90" s="37" t="str">
        <f ca="1">IFERROR(+IF(BH$29=#REF!,Milestone_Marker,IF(AND(BH$29&gt;#REF!,BH$29&lt;=#REF!+#REF!),$G$5,"")),"")</f>
        <v/>
      </c>
      <c r="BH90" s="37" t="str">
        <f ca="1">IFERROR(+IF(BI$29=#REF!,Milestone_Marker,IF(AND(BI$29&gt;#REF!,BI$29&lt;=#REF!+#REF!),$G$5,"")),"")</f>
        <v/>
      </c>
      <c r="BI90" s="37" t="str">
        <f ca="1">IFERROR(+IF(BJ$29=#REF!,Milestone_Marker,IF(AND(BJ$29&gt;#REF!,BJ$29&lt;=#REF!+#REF!),$G$5,"")),"")</f>
        <v/>
      </c>
      <c r="BJ90" s="37" t="str">
        <f ca="1">IFERROR(+IF(BK$29=#REF!,Milestone_Marker,IF(AND(BK$29&gt;#REF!,BK$29&lt;=#REF!+#REF!),$G$5,"")),"")</f>
        <v/>
      </c>
      <c r="BK90" s="37" t="str">
        <f ca="1">IFERROR(+IF(BL$29=#REF!,Milestone_Marker,IF(AND(BL$29&gt;#REF!,BL$29&lt;=#REF!+#REF!),$G$5,"")),"")</f>
        <v/>
      </c>
      <c r="BL90" s="37" t="str">
        <f ca="1">IFERROR(+IF(BM$29=#REF!,Milestone_Marker,IF(AND(BM$29&gt;#REF!,BM$29&lt;=#REF!+#REF!),$G$5,"")),"")</f>
        <v/>
      </c>
      <c r="BM90" s="37" t="str">
        <f ca="1">IFERROR(+IF(BN$29=#REF!,Milestone_Marker,IF(AND(BN$29&gt;#REF!,BN$29&lt;=#REF!+#REF!),$G$5,"")),"")</f>
        <v/>
      </c>
      <c r="BN90" s="37" t="str">
        <f ca="1">IFERROR(+IF(BO$29=#REF!,Milestone_Marker,IF(AND(BO$29&gt;#REF!,BO$29&lt;=#REF!+#REF!),$G$5,"")),"")</f>
        <v/>
      </c>
      <c r="BO90" s="37" t="str">
        <f ca="1">IFERROR(+IF(BP$29=#REF!,Milestone_Marker,IF(AND(BP$29&gt;#REF!,BP$29&lt;=#REF!+#REF!),$G$5,"")),"")</f>
        <v/>
      </c>
      <c r="BP90" s="37" t="str">
        <f ca="1">IFERROR(+IF(BQ$29=#REF!,Milestone_Marker,IF(AND(BQ$29&gt;#REF!,BQ$29&lt;=#REF!+#REF!),$G$5,"")),"")</f>
        <v/>
      </c>
      <c r="BQ90" s="37" t="str">
        <f ca="1">IFERROR(+IF(BR$29=#REF!,Milestone_Marker,IF(AND(BR$29&gt;#REF!,BR$29&lt;=#REF!+#REF!),$G$5,"")),"")</f>
        <v/>
      </c>
      <c r="BR90" s="37" t="str">
        <f ca="1">IFERROR(+IF(BS$29=#REF!,Milestone_Marker,IF(AND(BS$29&gt;#REF!,BS$29&lt;=#REF!+#REF!),$G$5,"")),"")</f>
        <v/>
      </c>
      <c r="BS90" s="37" t="str">
        <f ca="1">IFERROR(+IF(BT$29=#REF!,Milestone_Marker,IF(AND(BT$29&gt;#REF!,BT$29&lt;=#REF!+#REF!),$G$5,"")),"")</f>
        <v/>
      </c>
      <c r="BT90" s="37" t="str">
        <f ca="1">IFERROR(+IF(BU$29=#REF!,Milestone_Marker,IF(AND(BU$29&gt;#REF!,BU$29&lt;=#REF!+#REF!),$G$5,"")),"")</f>
        <v/>
      </c>
      <c r="BU90" s="37" t="str">
        <f ca="1">IFERROR(+IF(BV$29=#REF!,Milestone_Marker,IF(AND(BV$29&gt;#REF!,BV$29&lt;=#REF!+#REF!),$G$5,"")),"")</f>
        <v/>
      </c>
      <c r="BV90" s="37" t="str">
        <f ca="1">IFERROR(+IF(BW$29=#REF!,Milestone_Marker,IF(AND(BW$29&gt;#REF!,BW$29&lt;=#REF!+#REF!),$G$5,"")),"")</f>
        <v/>
      </c>
      <c r="BW90" s="37" t="str">
        <f ca="1">IFERROR(+IF(BX$29=#REF!,Milestone_Marker,IF(AND(BX$29&gt;#REF!,BX$29&lt;=#REF!+#REF!),$G$5,"")),"")</f>
        <v/>
      </c>
      <c r="BX90" s="37" t="str">
        <f ca="1">IFERROR(+IF(BY$29=#REF!,Milestone_Marker,IF(AND(BY$29&gt;#REF!,BY$29&lt;=#REF!+#REF!),$G$5,"")),"")</f>
        <v/>
      </c>
      <c r="BY90" s="37" t="str">
        <f ca="1">IFERROR(+IF(BZ$29=#REF!,Milestone_Marker,IF(AND(BZ$29&gt;#REF!,BZ$29&lt;=#REF!+#REF!),$G$5,"")),"")</f>
        <v/>
      </c>
      <c r="BZ90" s="37" t="str">
        <f ca="1">IFERROR(+IF(CA$29=#REF!,Milestone_Marker,IF(AND(CA$29&gt;#REF!,CA$29&lt;=#REF!+#REF!),$G$5,"")),"")</f>
        <v/>
      </c>
      <c r="CA90" s="37" t="str">
        <f ca="1">IFERROR(+IF(CB$29=#REF!,Milestone_Marker,IF(AND(CB$29&gt;#REF!,CB$29&lt;=#REF!+#REF!),$G$5,"")),"")</f>
        <v/>
      </c>
      <c r="CB90" s="37" t="str">
        <f ca="1">IFERROR(+IF(CC$29=#REF!,Milestone_Marker,IF(AND(CC$29&gt;#REF!,CC$29&lt;=#REF!+#REF!),$G$5,"")),"")</f>
        <v/>
      </c>
      <c r="CC90" s="37" t="str">
        <f ca="1">IFERROR(+IF(CD$29=#REF!,Milestone_Marker,IF(AND(CD$29&gt;#REF!,CD$29&lt;=#REF!+#REF!),$G$5,"")),"")</f>
        <v/>
      </c>
      <c r="CD90" s="37" t="str">
        <f ca="1">IFERROR(+IF(CE$29=#REF!,Milestone_Marker,IF(AND(CE$29&gt;#REF!,CE$29&lt;=#REF!+#REF!),$G$5,"")),"")</f>
        <v/>
      </c>
      <c r="CE90" s="37" t="str">
        <f ca="1">IFERROR(+IF(CF$29=#REF!,Milestone_Marker,IF(AND(CF$29&gt;#REF!,CF$29&lt;=#REF!+#REF!),$G$5,"")),"")</f>
        <v/>
      </c>
      <c r="CF90" s="37" t="str">
        <f ca="1">IFERROR(+IF(CG$29=#REF!,Milestone_Marker,IF(AND(CG$29&gt;#REF!,CG$29&lt;=#REF!+#REF!),$G$5,"")),"")</f>
        <v/>
      </c>
      <c r="CG90" s="37" t="str">
        <f ca="1">IFERROR(+IF(CH$29=#REF!,Milestone_Marker,IF(AND(CH$29&gt;#REF!,CH$29&lt;=#REF!+#REF!),$G$5,"")),"")</f>
        <v/>
      </c>
      <c r="CH90" s="37" t="str">
        <f ca="1">IFERROR(+IF(CI$29=#REF!,Milestone_Marker,IF(AND(CI$29&gt;#REF!,CI$29&lt;=#REF!+#REF!),$G$5,"")),"")</f>
        <v/>
      </c>
      <c r="CI90" s="37" t="str">
        <f ca="1">IFERROR(+IF(CJ$29=#REF!,Milestone_Marker,IF(AND(CJ$29&gt;#REF!,CJ$29&lt;=#REF!+#REF!),$G$5,"")),"")</f>
        <v/>
      </c>
      <c r="CJ90" s="37" t="str">
        <f ca="1">IFERROR(+IF(CK$29=#REF!,Milestone_Marker,IF(AND(CK$29&gt;#REF!,CK$29&lt;=#REF!+#REF!),$G$5,"")),"")</f>
        <v/>
      </c>
      <c r="CK90" s="37" t="str">
        <f ca="1">IFERROR(+IF(CL$29=#REF!,Milestone_Marker,IF(AND(CL$29&gt;#REF!,CL$29&lt;=#REF!+#REF!),$G$5,"")),"")</f>
        <v/>
      </c>
      <c r="CL90" s="37" t="str">
        <f ca="1">IFERROR(+IF(CM$29=#REF!,Milestone_Marker,IF(AND(CM$29&gt;#REF!,CM$29&lt;=#REF!+#REF!),$G$5,"")),"")</f>
        <v/>
      </c>
      <c r="CM90" s="37" t="str">
        <f ca="1">IFERROR(+IF(CN$29=#REF!,Milestone_Marker,IF(AND(CN$29&gt;#REF!,CN$29&lt;=#REF!+#REF!),$G$5,"")),"")</f>
        <v/>
      </c>
      <c r="CN90" s="37" t="str">
        <f ca="1">IFERROR(+IF(CO$29=#REF!,Milestone_Marker,IF(AND(CO$29&gt;#REF!,CO$29&lt;=#REF!+#REF!),$G$5,"")),"")</f>
        <v/>
      </c>
      <c r="CO90" s="37" t="str">
        <f ca="1">IFERROR(+IF(CP$29=#REF!,Milestone_Marker,IF(AND(CP$29&gt;#REF!,CP$29&lt;=#REF!+#REF!),$G$5,"")),"")</f>
        <v/>
      </c>
      <c r="CP90" s="37" t="str">
        <f ca="1">IFERROR(+IF(CQ$29=#REF!,Milestone_Marker,IF(AND(CQ$29&gt;#REF!,CQ$29&lt;=#REF!+#REF!),$G$5,"")),"")</f>
        <v/>
      </c>
      <c r="CQ90" s="37" t="str">
        <f ca="1">IFERROR(+IF(CR$29=#REF!,Milestone_Marker,IF(AND(CR$29&gt;#REF!,CR$29&lt;=#REF!+#REF!),$G$5,"")),"")</f>
        <v/>
      </c>
      <c r="CR90" s="37" t="str">
        <f ca="1">IFERROR(+IF(CS$29=#REF!,Milestone_Marker,IF(AND(CS$29&gt;#REF!,CS$29&lt;=#REF!+#REF!),$G$5,"")),"")</f>
        <v/>
      </c>
      <c r="CS90" s="37" t="str">
        <f ca="1">IFERROR(+IF(CT$29=#REF!,Milestone_Marker,IF(AND(CT$29&gt;#REF!,CT$29&lt;=#REF!+#REF!),$G$5,"")),"")</f>
        <v/>
      </c>
      <c r="CT90" s="37" t="str">
        <f ca="1">IFERROR(+IF(CU$29=#REF!,Milestone_Marker,IF(AND(CU$29&gt;#REF!,CU$29&lt;=#REF!+#REF!),$G$5,"")),"")</f>
        <v/>
      </c>
    </row>
    <row r="91" spans="1:125" ht="18" customHeight="1" x14ac:dyDescent="0.25">
      <c r="P91" s="37" t="str">
        <f ca="1">IFERROR(+IF(Q$29=#REF!,Milestone_Marker,IF(AND(Q$29&gt;#REF!,Q$29&lt;=#REF!+#REF!),$G$5,"")),"")</f>
        <v/>
      </c>
      <c r="Q91" s="37" t="str">
        <f ca="1">IFERROR(+IF(R$29=#REF!,Milestone_Marker,IF(AND(R$29&gt;#REF!,R$29&lt;=#REF!+#REF!),$G$5,"")),"")</f>
        <v/>
      </c>
      <c r="R91" s="37" t="str">
        <f ca="1">IFERROR(+IF(S$29=#REF!,Milestone_Marker,IF(AND(S$29&gt;#REF!,S$29&lt;=#REF!+#REF!),$G$5,"")),"")</f>
        <v/>
      </c>
      <c r="S91" s="37" t="str">
        <f ca="1">IFERROR(+IF(T$29=#REF!,Milestone_Marker,IF(AND(T$29&gt;#REF!,T$29&lt;=#REF!+#REF!),$G$5,"")),"")</f>
        <v/>
      </c>
      <c r="T91" s="37" t="str">
        <f ca="1">IFERROR(+IF(U$29=#REF!,Milestone_Marker,IF(AND(U$29&gt;#REF!,U$29&lt;=#REF!+#REF!),$G$5,"")),"")</f>
        <v/>
      </c>
      <c r="U91" s="37" t="str">
        <f ca="1">IFERROR(+IF(V$29=#REF!,Milestone_Marker,IF(AND(V$29&gt;#REF!,V$29&lt;=#REF!+#REF!),$G$5,"")),"")</f>
        <v/>
      </c>
      <c r="V91" s="37" t="str">
        <f ca="1">IFERROR(+IF(W$29=#REF!,Milestone_Marker,IF(AND(W$29&gt;#REF!,W$29&lt;=#REF!+#REF!),$G$5,"")),"")</f>
        <v/>
      </c>
      <c r="W91" s="37" t="str">
        <f ca="1">IFERROR(+IF(X$29=#REF!,Milestone_Marker,IF(AND(X$29&gt;#REF!,X$29&lt;=#REF!+#REF!),$G$5,"")),"")</f>
        <v/>
      </c>
      <c r="X91" s="37" t="str">
        <f ca="1">IFERROR(+IF(Y$29=#REF!,Milestone_Marker,IF(AND(Y$29&gt;#REF!,Y$29&lt;=#REF!+#REF!),$G$5,"")),"")</f>
        <v/>
      </c>
      <c r="Y91" s="37" t="str">
        <f ca="1">IFERROR(+IF(Z$29=#REF!,Milestone_Marker,IF(AND(Z$29&gt;#REF!,Z$29&lt;=#REF!+#REF!),$G$5,"")),"")</f>
        <v/>
      </c>
      <c r="Z91" s="37" t="str">
        <f ca="1">IFERROR(+IF(AA$29=#REF!,Milestone_Marker,IF(AND(AA$29&gt;#REF!,AA$29&lt;=#REF!+#REF!),$G$5,"")),"")</f>
        <v/>
      </c>
      <c r="AA91" s="37" t="str">
        <f ca="1">IFERROR(+IF(AB$29=#REF!,Milestone_Marker,IF(AND(AB$29&gt;#REF!,AB$29&lt;=#REF!+#REF!),$G$5,"")),"")</f>
        <v/>
      </c>
      <c r="AB91" s="37" t="str">
        <f ca="1">IFERROR(+IF(AC$29=#REF!,Milestone_Marker,IF(AND(AC$29&gt;#REF!,AC$29&lt;=#REF!+#REF!),$G$5,"")),"")</f>
        <v/>
      </c>
      <c r="AC91" s="37" t="str">
        <f ca="1">IFERROR(+IF(AD$29=#REF!,Milestone_Marker,IF(AND(AD$29&gt;#REF!,AD$29&lt;=#REF!+#REF!),$G$5,"")),"")</f>
        <v/>
      </c>
      <c r="AD91" s="37" t="str">
        <f ca="1">IFERROR(+IF(AE$29=#REF!,Milestone_Marker,IF(AND(AE$29&gt;#REF!,AE$29&lt;=#REF!+#REF!),$G$5,"")),"")</f>
        <v/>
      </c>
      <c r="AE91" s="37" t="str">
        <f ca="1">IFERROR(+IF(AF$29=#REF!,Milestone_Marker,IF(AND(AF$29&gt;#REF!,AF$29&lt;=#REF!+#REF!),$G$5,"")),"")</f>
        <v/>
      </c>
      <c r="AF91" s="37" t="str">
        <f ca="1">IFERROR(+IF(AG$29=#REF!,Milestone_Marker,IF(AND(AG$29&gt;#REF!,AG$29&lt;=#REF!+#REF!),$G$5,"")),"")</f>
        <v/>
      </c>
      <c r="AG91" s="37" t="str">
        <f ca="1">IFERROR(+IF(AH$29=#REF!,Milestone_Marker,IF(AND(AH$29&gt;#REF!,AH$29&lt;=#REF!+#REF!),$G$5,"")),"")</f>
        <v/>
      </c>
      <c r="AH91" s="37" t="str">
        <f ca="1">IFERROR(+IF(AI$29=#REF!,Milestone_Marker,IF(AND(AI$29&gt;#REF!,AI$29&lt;=#REF!+#REF!),$G$5,"")),"")</f>
        <v/>
      </c>
      <c r="AI91" s="37" t="str">
        <f ca="1">IFERROR(+IF(AJ$29=#REF!,Milestone_Marker,IF(AND(AJ$29&gt;#REF!,AJ$29&lt;=#REF!+#REF!),$G$5,"")),"")</f>
        <v/>
      </c>
      <c r="AJ91" s="37" t="str">
        <f ca="1">IFERROR(+IF(AK$29=#REF!,Milestone_Marker,IF(AND(AK$29&gt;#REF!,AK$29&lt;=#REF!+#REF!),$G$5,"")),"")</f>
        <v/>
      </c>
      <c r="AK91" s="37" t="str">
        <f ca="1">IFERROR(+IF(AL$29=#REF!,Milestone_Marker,IF(AND(AL$29&gt;#REF!,AL$29&lt;=#REF!+#REF!),$G$5,"")),"")</f>
        <v/>
      </c>
      <c r="AL91" s="37" t="str">
        <f ca="1">IFERROR(+IF(AM$29=#REF!,Milestone_Marker,IF(AND(AM$29&gt;#REF!,AM$29&lt;=#REF!+#REF!),$G$5,"")),"")</f>
        <v/>
      </c>
      <c r="AM91" s="37" t="str">
        <f ca="1">IFERROR(+IF(AN$29=#REF!,Milestone_Marker,IF(AND(AN$29&gt;#REF!,AN$29&lt;=#REF!+#REF!),$G$5,"")),"")</f>
        <v/>
      </c>
      <c r="AN91" s="37" t="str">
        <f ca="1">IFERROR(+IF(AO$29=#REF!,Milestone_Marker,IF(AND(AO$29&gt;#REF!,AO$29&lt;=#REF!+#REF!),$G$5,"")),"")</f>
        <v/>
      </c>
      <c r="AO91" s="37" t="str">
        <f ca="1">IFERROR(+IF(AP$29=#REF!,Milestone_Marker,IF(AND(AP$29&gt;#REF!,AP$29&lt;=#REF!+#REF!),$G$5,"")),"")</f>
        <v/>
      </c>
      <c r="AP91" s="37" t="str">
        <f ca="1">IFERROR(+IF(AQ$29=#REF!,Milestone_Marker,IF(AND(AQ$29&gt;#REF!,AQ$29&lt;=#REF!+#REF!),$G$5,"")),"")</f>
        <v/>
      </c>
      <c r="AQ91" s="37" t="str">
        <f ca="1">IFERROR(+IF(AR$29=#REF!,Milestone_Marker,IF(AND(AR$29&gt;#REF!,AR$29&lt;=#REF!+#REF!),$G$5,"")),"")</f>
        <v/>
      </c>
      <c r="AR91" s="37" t="str">
        <f ca="1">IFERROR(+IF(AS$29=#REF!,Milestone_Marker,IF(AND(AS$29&gt;#REF!,AS$29&lt;=#REF!+#REF!),$G$5,"")),"")</f>
        <v/>
      </c>
      <c r="AS91" s="37" t="str">
        <f ca="1">IFERROR(+IF(AT$29=#REF!,Milestone_Marker,IF(AND(AT$29&gt;#REF!,AT$29&lt;=#REF!+#REF!),$G$5,"")),"")</f>
        <v/>
      </c>
      <c r="AT91" s="37" t="str">
        <f ca="1">IFERROR(+IF(AU$29=#REF!,Milestone_Marker,IF(AND(AU$29&gt;#REF!,AU$29&lt;=#REF!+#REF!),$G$5,"")),"")</f>
        <v/>
      </c>
      <c r="AU91" s="37" t="str">
        <f ca="1">IFERROR(+IF(AV$29=#REF!,Milestone_Marker,IF(AND(AV$29&gt;#REF!,AV$29&lt;=#REF!+#REF!),$G$5,"")),"")</f>
        <v/>
      </c>
      <c r="AV91" s="37" t="str">
        <f ca="1">IFERROR(+IF(AW$29=#REF!,Milestone_Marker,IF(AND(AW$29&gt;#REF!,AW$29&lt;=#REF!+#REF!),$G$5,"")),"")</f>
        <v/>
      </c>
      <c r="AW91" s="37" t="str">
        <f ca="1">IFERROR(+IF(AX$29=#REF!,Milestone_Marker,IF(AND(AX$29&gt;#REF!,AX$29&lt;=#REF!+#REF!),$G$5,"")),"")</f>
        <v/>
      </c>
      <c r="AX91" s="37" t="str">
        <f ca="1">IFERROR(+IF(AY$29=#REF!,Milestone_Marker,IF(AND(AY$29&gt;#REF!,AY$29&lt;=#REF!+#REF!),$G$5,"")),"")</f>
        <v/>
      </c>
      <c r="AY91" s="37" t="str">
        <f ca="1">IFERROR(+IF(AZ$29=#REF!,Milestone_Marker,IF(AND(AZ$29&gt;#REF!,AZ$29&lt;=#REF!+#REF!),$G$5,"")),"")</f>
        <v/>
      </c>
      <c r="AZ91" s="37" t="str">
        <f ca="1">IFERROR(+IF(BA$29=#REF!,Milestone_Marker,IF(AND(BA$29&gt;#REF!,BA$29&lt;=#REF!+#REF!),$G$5,"")),"")</f>
        <v/>
      </c>
      <c r="BA91" s="37" t="str">
        <f ca="1">IFERROR(+IF(BB$29=#REF!,Milestone_Marker,IF(AND(BB$29&gt;#REF!,BB$29&lt;=#REF!+#REF!),$G$5,"")),"")</f>
        <v/>
      </c>
      <c r="BB91" s="37" t="str">
        <f ca="1">IFERROR(+IF(BC$29=#REF!,Milestone_Marker,IF(AND(BC$29&gt;#REF!,BC$29&lt;=#REF!+#REF!),$G$5,"")),"")</f>
        <v/>
      </c>
      <c r="BC91" s="37" t="str">
        <f ca="1">IFERROR(+IF(BD$29=#REF!,Milestone_Marker,IF(AND(BD$29&gt;#REF!,BD$29&lt;=#REF!+#REF!),$G$5,"")),"")</f>
        <v/>
      </c>
      <c r="BD91" s="37" t="str">
        <f ca="1">IFERROR(+IF(BE$29=#REF!,Milestone_Marker,IF(AND(BE$29&gt;#REF!,BE$29&lt;=#REF!+#REF!),$G$5,"")),"")</f>
        <v/>
      </c>
      <c r="BE91" s="37" t="str">
        <f ca="1">IFERROR(+IF(BF$29=#REF!,Milestone_Marker,IF(AND(BF$29&gt;#REF!,BF$29&lt;=#REF!+#REF!),$G$5,"")),"")</f>
        <v/>
      </c>
      <c r="BF91" s="37" t="str">
        <f ca="1">IFERROR(+IF(BG$29=#REF!,Milestone_Marker,IF(AND(BG$29&gt;#REF!,BG$29&lt;=#REF!+#REF!),$G$5,"")),"")</f>
        <v/>
      </c>
      <c r="BG91" s="37" t="str">
        <f ca="1">IFERROR(+IF(BH$29=#REF!,Milestone_Marker,IF(AND(BH$29&gt;#REF!,BH$29&lt;=#REF!+#REF!),$G$5,"")),"")</f>
        <v/>
      </c>
      <c r="BH91" s="37" t="str">
        <f ca="1">IFERROR(+IF(BI$29=#REF!,Milestone_Marker,IF(AND(BI$29&gt;#REF!,BI$29&lt;=#REF!+#REF!),$G$5,"")),"")</f>
        <v/>
      </c>
      <c r="BI91" s="37" t="str">
        <f ca="1">IFERROR(+IF(BJ$29=#REF!,Milestone_Marker,IF(AND(BJ$29&gt;#REF!,BJ$29&lt;=#REF!+#REF!),$G$5,"")),"")</f>
        <v/>
      </c>
      <c r="BJ91" s="37" t="str">
        <f ca="1">IFERROR(+IF(BK$29=#REF!,Milestone_Marker,IF(AND(BK$29&gt;#REF!,BK$29&lt;=#REF!+#REF!),$G$5,"")),"")</f>
        <v/>
      </c>
      <c r="BK91" s="37" t="str">
        <f ca="1">IFERROR(+IF(BL$29=#REF!,Milestone_Marker,IF(AND(BL$29&gt;#REF!,BL$29&lt;=#REF!+#REF!),$G$5,"")),"")</f>
        <v/>
      </c>
      <c r="BL91" s="37" t="str">
        <f ca="1">IFERROR(+IF(BM$29=#REF!,Milestone_Marker,IF(AND(BM$29&gt;#REF!,BM$29&lt;=#REF!+#REF!),$G$5,"")),"")</f>
        <v/>
      </c>
      <c r="BM91" s="37" t="str">
        <f ca="1">IFERROR(+IF(BN$29=#REF!,Milestone_Marker,IF(AND(BN$29&gt;#REF!,BN$29&lt;=#REF!+#REF!),$G$5,"")),"")</f>
        <v/>
      </c>
      <c r="BN91" s="37" t="str">
        <f ca="1">IFERROR(+IF(BO$29=#REF!,Milestone_Marker,IF(AND(BO$29&gt;#REF!,BO$29&lt;=#REF!+#REF!),$G$5,"")),"")</f>
        <v/>
      </c>
      <c r="BO91" s="37" t="str">
        <f ca="1">IFERROR(+IF(BP$29=#REF!,Milestone_Marker,IF(AND(BP$29&gt;#REF!,BP$29&lt;=#REF!+#REF!),$G$5,"")),"")</f>
        <v/>
      </c>
      <c r="BP91" s="37" t="str">
        <f ca="1">IFERROR(+IF(BQ$29=#REF!,Milestone_Marker,IF(AND(BQ$29&gt;#REF!,BQ$29&lt;=#REF!+#REF!),$G$5,"")),"")</f>
        <v/>
      </c>
      <c r="BQ91" s="37" t="str">
        <f ca="1">IFERROR(+IF(BR$29=#REF!,Milestone_Marker,IF(AND(BR$29&gt;#REF!,BR$29&lt;=#REF!+#REF!),$G$5,"")),"")</f>
        <v/>
      </c>
      <c r="BR91" s="37" t="str">
        <f ca="1">IFERROR(+IF(BS$29=#REF!,Milestone_Marker,IF(AND(BS$29&gt;#REF!,BS$29&lt;=#REF!+#REF!),$G$5,"")),"")</f>
        <v/>
      </c>
      <c r="BS91" s="37" t="str">
        <f ca="1">IFERROR(+IF(BT$29=#REF!,Milestone_Marker,IF(AND(BT$29&gt;#REF!,BT$29&lt;=#REF!+#REF!),$G$5,"")),"")</f>
        <v/>
      </c>
      <c r="BT91" s="37" t="str">
        <f ca="1">IFERROR(+IF(BU$29=#REF!,Milestone_Marker,IF(AND(BU$29&gt;#REF!,BU$29&lt;=#REF!+#REF!),$G$5,"")),"")</f>
        <v/>
      </c>
      <c r="BU91" s="37" t="str">
        <f ca="1">IFERROR(+IF(BV$29=#REF!,Milestone_Marker,IF(AND(BV$29&gt;#REF!,BV$29&lt;=#REF!+#REF!),$G$5,"")),"")</f>
        <v/>
      </c>
      <c r="BV91" s="37" t="str">
        <f ca="1">IFERROR(+IF(BW$29=#REF!,Milestone_Marker,IF(AND(BW$29&gt;#REF!,BW$29&lt;=#REF!+#REF!),$G$5,"")),"")</f>
        <v/>
      </c>
      <c r="BW91" s="37" t="str">
        <f ca="1">IFERROR(+IF(BX$29=#REF!,Milestone_Marker,IF(AND(BX$29&gt;#REF!,BX$29&lt;=#REF!+#REF!),$G$5,"")),"")</f>
        <v/>
      </c>
      <c r="BX91" s="37" t="str">
        <f ca="1">IFERROR(+IF(BY$29=#REF!,Milestone_Marker,IF(AND(BY$29&gt;#REF!,BY$29&lt;=#REF!+#REF!),$G$5,"")),"")</f>
        <v/>
      </c>
      <c r="BY91" s="37" t="str">
        <f ca="1">IFERROR(+IF(BZ$29=#REF!,Milestone_Marker,IF(AND(BZ$29&gt;#REF!,BZ$29&lt;=#REF!+#REF!),$G$5,"")),"")</f>
        <v/>
      </c>
      <c r="BZ91" s="37" t="str">
        <f ca="1">IFERROR(+IF(CA$29=#REF!,Milestone_Marker,IF(AND(CA$29&gt;#REF!,CA$29&lt;=#REF!+#REF!),$G$5,"")),"")</f>
        <v/>
      </c>
      <c r="CA91" s="37" t="str">
        <f ca="1">IFERROR(+IF(CB$29=#REF!,Milestone_Marker,IF(AND(CB$29&gt;#REF!,CB$29&lt;=#REF!+#REF!),$G$5,"")),"")</f>
        <v/>
      </c>
      <c r="CB91" s="37" t="str">
        <f ca="1">IFERROR(+IF(CC$29=#REF!,Milestone_Marker,IF(AND(CC$29&gt;#REF!,CC$29&lt;=#REF!+#REF!),$G$5,"")),"")</f>
        <v/>
      </c>
      <c r="CC91" s="37" t="str">
        <f ca="1">IFERROR(+IF(CD$29=#REF!,Milestone_Marker,IF(AND(CD$29&gt;#REF!,CD$29&lt;=#REF!+#REF!),$G$5,"")),"")</f>
        <v/>
      </c>
      <c r="CD91" s="37" t="str">
        <f ca="1">IFERROR(+IF(CE$29=#REF!,Milestone_Marker,IF(AND(CE$29&gt;#REF!,CE$29&lt;=#REF!+#REF!),$G$5,"")),"")</f>
        <v/>
      </c>
      <c r="CE91" s="37" t="str">
        <f ca="1">IFERROR(+IF(CF$29=#REF!,Milestone_Marker,IF(AND(CF$29&gt;#REF!,CF$29&lt;=#REF!+#REF!),$G$5,"")),"")</f>
        <v/>
      </c>
      <c r="CF91" s="37" t="str">
        <f ca="1">IFERROR(+IF(CG$29=#REF!,Milestone_Marker,IF(AND(CG$29&gt;#REF!,CG$29&lt;=#REF!+#REF!),$G$5,"")),"")</f>
        <v/>
      </c>
      <c r="CG91" s="37" t="str">
        <f ca="1">IFERROR(+IF(CH$29=#REF!,Milestone_Marker,IF(AND(CH$29&gt;#REF!,CH$29&lt;=#REF!+#REF!),$G$5,"")),"")</f>
        <v/>
      </c>
      <c r="CH91" s="37" t="str">
        <f ca="1">IFERROR(+IF(CI$29=#REF!,Milestone_Marker,IF(AND(CI$29&gt;#REF!,CI$29&lt;=#REF!+#REF!),$G$5,"")),"")</f>
        <v/>
      </c>
      <c r="CI91" s="37" t="str">
        <f ca="1">IFERROR(+IF(CJ$29=#REF!,Milestone_Marker,IF(AND(CJ$29&gt;#REF!,CJ$29&lt;=#REF!+#REF!),$G$5,"")),"")</f>
        <v/>
      </c>
      <c r="CJ91" s="37" t="str">
        <f ca="1">IFERROR(+IF(CK$29=#REF!,Milestone_Marker,IF(AND(CK$29&gt;#REF!,CK$29&lt;=#REF!+#REF!),$G$5,"")),"")</f>
        <v/>
      </c>
      <c r="CK91" s="37" t="str">
        <f ca="1">IFERROR(+IF(CL$29=#REF!,Milestone_Marker,IF(AND(CL$29&gt;#REF!,CL$29&lt;=#REF!+#REF!),$G$5,"")),"")</f>
        <v/>
      </c>
      <c r="CL91" s="37" t="str">
        <f ca="1">IFERROR(+IF(CM$29=#REF!,Milestone_Marker,IF(AND(CM$29&gt;#REF!,CM$29&lt;=#REF!+#REF!),$G$5,"")),"")</f>
        <v/>
      </c>
      <c r="CM91" s="37" t="str">
        <f ca="1">IFERROR(+IF(CN$29=#REF!,Milestone_Marker,IF(AND(CN$29&gt;#REF!,CN$29&lt;=#REF!+#REF!),$G$5,"")),"")</f>
        <v/>
      </c>
      <c r="CN91" s="37" t="str">
        <f ca="1">IFERROR(+IF(CO$29=#REF!,Milestone_Marker,IF(AND(CO$29&gt;#REF!,CO$29&lt;=#REF!+#REF!),$G$5,"")),"")</f>
        <v/>
      </c>
      <c r="CO91" s="37" t="str">
        <f ca="1">IFERROR(+IF(CP$29=#REF!,Milestone_Marker,IF(AND(CP$29&gt;#REF!,CP$29&lt;=#REF!+#REF!),$G$5,"")),"")</f>
        <v/>
      </c>
      <c r="CP91" s="37" t="str">
        <f ca="1">IFERROR(+IF(CQ$29=#REF!,Milestone_Marker,IF(AND(CQ$29&gt;#REF!,CQ$29&lt;=#REF!+#REF!),$G$5,"")),"")</f>
        <v/>
      </c>
      <c r="CQ91" s="37" t="str">
        <f ca="1">IFERROR(+IF(CR$29=#REF!,Milestone_Marker,IF(AND(CR$29&gt;#REF!,CR$29&lt;=#REF!+#REF!),$G$5,"")),"")</f>
        <v/>
      </c>
      <c r="CR91" s="37" t="str">
        <f ca="1">IFERROR(+IF(CS$29=#REF!,Milestone_Marker,IF(AND(CS$29&gt;#REF!,CS$29&lt;=#REF!+#REF!),$G$5,"")),"")</f>
        <v/>
      </c>
      <c r="CS91" s="37" t="str">
        <f ca="1">IFERROR(+IF(CT$29=#REF!,Milestone_Marker,IF(AND(CT$29&gt;#REF!,CT$29&lt;=#REF!+#REF!),$G$5,"")),"")</f>
        <v/>
      </c>
      <c r="CT91" s="37" t="str">
        <f ca="1">IFERROR(+IF(CU$29=#REF!,Milestone_Marker,IF(AND(CU$29&gt;#REF!,CU$29&lt;=#REF!+#REF!),$G$5,"")),"")</f>
        <v/>
      </c>
    </row>
    <row r="92" spans="1:125" ht="18" customHeight="1" x14ac:dyDescent="0.25">
      <c r="P92" s="37" t="str">
        <f ca="1">IFERROR(+IF(Q$29=#REF!,Milestone_Marker,IF(AND(Q$29&gt;#REF!,Q$29&lt;=#REF!+#REF!),$G$5,"")),"")</f>
        <v/>
      </c>
      <c r="Q92" s="37" t="str">
        <f ca="1">IFERROR(+IF(R$29=#REF!,Milestone_Marker,IF(AND(R$29&gt;#REF!,R$29&lt;=#REF!+#REF!),$G$5,"")),"")</f>
        <v/>
      </c>
      <c r="R92" s="37" t="str">
        <f ca="1">IFERROR(+IF(S$29=#REF!,Milestone_Marker,IF(AND(S$29&gt;#REF!,S$29&lt;=#REF!+#REF!),$G$5,"")),"")</f>
        <v/>
      </c>
      <c r="S92" s="37" t="str">
        <f ca="1">IFERROR(+IF(T$29=#REF!,Milestone_Marker,IF(AND(T$29&gt;#REF!,T$29&lt;=#REF!+#REF!),$G$5,"")),"")</f>
        <v/>
      </c>
      <c r="T92" s="37" t="str">
        <f ca="1">IFERROR(+IF(U$29=#REF!,Milestone_Marker,IF(AND(U$29&gt;#REF!,U$29&lt;=#REF!+#REF!),$G$5,"")),"")</f>
        <v/>
      </c>
      <c r="U92" s="37" t="str">
        <f ca="1">IFERROR(+IF(V$29=#REF!,Milestone_Marker,IF(AND(V$29&gt;#REF!,V$29&lt;=#REF!+#REF!),$G$5,"")),"")</f>
        <v/>
      </c>
      <c r="V92" s="37" t="str">
        <f ca="1">IFERROR(+IF(W$29=#REF!,Milestone_Marker,IF(AND(W$29&gt;#REF!,W$29&lt;=#REF!+#REF!),$G$5,"")),"")</f>
        <v/>
      </c>
      <c r="W92" s="37" t="str">
        <f ca="1">IFERROR(+IF(X$29=#REF!,Milestone_Marker,IF(AND(X$29&gt;#REF!,X$29&lt;=#REF!+#REF!),$G$5,"")),"")</f>
        <v/>
      </c>
      <c r="X92" s="37" t="str">
        <f ca="1">IFERROR(+IF(Y$29=#REF!,Milestone_Marker,IF(AND(Y$29&gt;#REF!,Y$29&lt;=#REF!+#REF!),$G$5,"")),"")</f>
        <v/>
      </c>
      <c r="Y92" s="37" t="str">
        <f ca="1">IFERROR(+IF(Z$29=#REF!,Milestone_Marker,IF(AND(Z$29&gt;#REF!,Z$29&lt;=#REF!+#REF!),$G$5,"")),"")</f>
        <v/>
      </c>
      <c r="Z92" s="37" t="str">
        <f ca="1">IFERROR(+IF(AA$29=#REF!,Milestone_Marker,IF(AND(AA$29&gt;#REF!,AA$29&lt;=#REF!+#REF!),$G$5,"")),"")</f>
        <v/>
      </c>
      <c r="AA92" s="37" t="str">
        <f ca="1">IFERROR(+IF(AB$29=#REF!,Milestone_Marker,IF(AND(AB$29&gt;#REF!,AB$29&lt;=#REF!+#REF!),$G$5,"")),"")</f>
        <v/>
      </c>
      <c r="AB92" s="37" t="str">
        <f ca="1">IFERROR(+IF(AC$29=#REF!,Milestone_Marker,IF(AND(AC$29&gt;#REF!,AC$29&lt;=#REF!+#REF!),$G$5,"")),"")</f>
        <v/>
      </c>
      <c r="AC92" s="37" t="str">
        <f ca="1">IFERROR(+IF(AD$29=#REF!,Milestone_Marker,IF(AND(AD$29&gt;#REF!,AD$29&lt;=#REF!+#REF!),$G$5,"")),"")</f>
        <v/>
      </c>
      <c r="AD92" s="37" t="str">
        <f ca="1">IFERROR(+IF(AE$29=#REF!,Milestone_Marker,IF(AND(AE$29&gt;#REF!,AE$29&lt;=#REF!+#REF!),$G$5,"")),"")</f>
        <v/>
      </c>
      <c r="AE92" s="37" t="str">
        <f ca="1">IFERROR(+IF(AF$29=#REF!,Milestone_Marker,IF(AND(AF$29&gt;#REF!,AF$29&lt;=#REF!+#REF!),$G$5,"")),"")</f>
        <v/>
      </c>
      <c r="AF92" s="37" t="str">
        <f ca="1">IFERROR(+IF(AG$29=#REF!,Milestone_Marker,IF(AND(AG$29&gt;#REF!,AG$29&lt;=#REF!+#REF!),$G$5,"")),"")</f>
        <v/>
      </c>
      <c r="AG92" s="37" t="str">
        <f ca="1">IFERROR(+IF(AH$29=#REF!,Milestone_Marker,IF(AND(AH$29&gt;#REF!,AH$29&lt;=#REF!+#REF!),$G$5,"")),"")</f>
        <v/>
      </c>
      <c r="AH92" s="37" t="str">
        <f ca="1">IFERROR(+IF(AI$29=#REF!,Milestone_Marker,IF(AND(AI$29&gt;#REF!,AI$29&lt;=#REF!+#REF!),$G$5,"")),"")</f>
        <v/>
      </c>
      <c r="AI92" s="37" t="str">
        <f ca="1">IFERROR(+IF(AJ$29=#REF!,Milestone_Marker,IF(AND(AJ$29&gt;#REF!,AJ$29&lt;=#REF!+#REF!),$G$5,"")),"")</f>
        <v/>
      </c>
      <c r="AJ92" s="37" t="str">
        <f ca="1">IFERROR(+IF(AK$29=#REF!,Milestone_Marker,IF(AND(AK$29&gt;#REF!,AK$29&lt;=#REF!+#REF!),$G$5,"")),"")</f>
        <v/>
      </c>
      <c r="AK92" s="37" t="str">
        <f ca="1">IFERROR(+IF(AL$29=#REF!,Milestone_Marker,IF(AND(AL$29&gt;#REF!,AL$29&lt;=#REF!+#REF!),$G$5,"")),"")</f>
        <v/>
      </c>
      <c r="AL92" s="37" t="str">
        <f ca="1">IFERROR(+IF(AM$29=#REF!,Milestone_Marker,IF(AND(AM$29&gt;#REF!,AM$29&lt;=#REF!+#REF!),$G$5,"")),"")</f>
        <v/>
      </c>
      <c r="AM92" s="37" t="str">
        <f ca="1">IFERROR(+IF(AN$29=#REF!,Milestone_Marker,IF(AND(AN$29&gt;#REF!,AN$29&lt;=#REF!+#REF!),$G$5,"")),"")</f>
        <v/>
      </c>
      <c r="AN92" s="37" t="str">
        <f ca="1">IFERROR(+IF(AO$29=#REF!,Milestone_Marker,IF(AND(AO$29&gt;#REF!,AO$29&lt;=#REF!+#REF!),$G$5,"")),"")</f>
        <v/>
      </c>
      <c r="AO92" s="37" t="str">
        <f ca="1">IFERROR(+IF(AP$29=#REF!,Milestone_Marker,IF(AND(AP$29&gt;#REF!,AP$29&lt;=#REF!+#REF!),$G$5,"")),"")</f>
        <v/>
      </c>
      <c r="AP92" s="37" t="str">
        <f ca="1">IFERROR(+IF(AQ$29=#REF!,Milestone_Marker,IF(AND(AQ$29&gt;#REF!,AQ$29&lt;=#REF!+#REF!),$G$5,"")),"")</f>
        <v/>
      </c>
      <c r="AQ92" s="37" t="str">
        <f ca="1">IFERROR(+IF(AR$29=#REF!,Milestone_Marker,IF(AND(AR$29&gt;#REF!,AR$29&lt;=#REF!+#REF!),$G$5,"")),"")</f>
        <v/>
      </c>
      <c r="AR92" s="37" t="str">
        <f ca="1">IFERROR(+IF(AS$29=#REF!,Milestone_Marker,IF(AND(AS$29&gt;#REF!,AS$29&lt;=#REF!+#REF!),$G$5,"")),"")</f>
        <v/>
      </c>
      <c r="AS92" s="37" t="str">
        <f ca="1">IFERROR(+IF(AT$29=#REF!,Milestone_Marker,IF(AND(AT$29&gt;#REF!,AT$29&lt;=#REF!+#REF!),$G$5,"")),"")</f>
        <v/>
      </c>
      <c r="AT92" s="37" t="str">
        <f ca="1">IFERROR(+IF(AU$29=#REF!,Milestone_Marker,IF(AND(AU$29&gt;#REF!,AU$29&lt;=#REF!+#REF!),$G$5,"")),"")</f>
        <v/>
      </c>
      <c r="AU92" s="37" t="str">
        <f ca="1">IFERROR(+IF(AV$29=#REF!,Milestone_Marker,IF(AND(AV$29&gt;#REF!,AV$29&lt;=#REF!+#REF!),$G$5,"")),"")</f>
        <v/>
      </c>
      <c r="AV92" s="37" t="str">
        <f ca="1">IFERROR(+IF(AW$29=#REF!,Milestone_Marker,IF(AND(AW$29&gt;#REF!,AW$29&lt;=#REF!+#REF!),$G$5,"")),"")</f>
        <v/>
      </c>
      <c r="AW92" s="37" t="str">
        <f ca="1">IFERROR(+IF(AX$29=#REF!,Milestone_Marker,IF(AND(AX$29&gt;#REF!,AX$29&lt;=#REF!+#REF!),$G$5,"")),"")</f>
        <v/>
      </c>
      <c r="AX92" s="37" t="str">
        <f ca="1">IFERROR(+IF(AY$29=#REF!,Milestone_Marker,IF(AND(AY$29&gt;#REF!,AY$29&lt;=#REF!+#REF!),$G$5,"")),"")</f>
        <v/>
      </c>
      <c r="AY92" s="37" t="str">
        <f ca="1">IFERROR(+IF(AZ$29=#REF!,Milestone_Marker,IF(AND(AZ$29&gt;#REF!,AZ$29&lt;=#REF!+#REF!),$G$5,"")),"")</f>
        <v/>
      </c>
      <c r="AZ92" s="37" t="str">
        <f ca="1">IFERROR(+IF(BA$29=#REF!,Milestone_Marker,IF(AND(BA$29&gt;#REF!,BA$29&lt;=#REF!+#REF!),$G$5,"")),"")</f>
        <v/>
      </c>
      <c r="BA92" s="37" t="str">
        <f ca="1">IFERROR(+IF(BB$29=#REF!,Milestone_Marker,IF(AND(BB$29&gt;#REF!,BB$29&lt;=#REF!+#REF!),$G$5,"")),"")</f>
        <v/>
      </c>
      <c r="BB92" s="37" t="str">
        <f ca="1">IFERROR(+IF(BC$29=#REF!,Milestone_Marker,IF(AND(BC$29&gt;#REF!,BC$29&lt;=#REF!+#REF!),$G$5,"")),"")</f>
        <v/>
      </c>
      <c r="BC92" s="37" t="str">
        <f ca="1">IFERROR(+IF(BD$29=#REF!,Milestone_Marker,IF(AND(BD$29&gt;#REF!,BD$29&lt;=#REF!+#REF!),$G$5,"")),"")</f>
        <v/>
      </c>
      <c r="BD92" s="37" t="str">
        <f ca="1">IFERROR(+IF(BE$29=#REF!,Milestone_Marker,IF(AND(BE$29&gt;#REF!,BE$29&lt;=#REF!+#REF!),$G$5,"")),"")</f>
        <v/>
      </c>
      <c r="BE92" s="37" t="str">
        <f ca="1">IFERROR(+IF(BF$29=#REF!,Milestone_Marker,IF(AND(BF$29&gt;#REF!,BF$29&lt;=#REF!+#REF!),$G$5,"")),"")</f>
        <v/>
      </c>
      <c r="BF92" s="37" t="str">
        <f ca="1">IFERROR(+IF(BG$29=#REF!,Milestone_Marker,IF(AND(BG$29&gt;#REF!,BG$29&lt;=#REF!+#REF!),$G$5,"")),"")</f>
        <v/>
      </c>
      <c r="BG92" s="37" t="str">
        <f ca="1">IFERROR(+IF(BH$29=#REF!,Milestone_Marker,IF(AND(BH$29&gt;#REF!,BH$29&lt;=#REF!+#REF!),$G$5,"")),"")</f>
        <v/>
      </c>
      <c r="BH92" s="37" t="str">
        <f ca="1">IFERROR(+IF(BI$29=#REF!,Milestone_Marker,IF(AND(BI$29&gt;#REF!,BI$29&lt;=#REF!+#REF!),$G$5,"")),"")</f>
        <v/>
      </c>
      <c r="BI92" s="37" t="str">
        <f ca="1">IFERROR(+IF(BJ$29=#REF!,Milestone_Marker,IF(AND(BJ$29&gt;#REF!,BJ$29&lt;=#REF!+#REF!),$G$5,"")),"")</f>
        <v/>
      </c>
      <c r="BJ92" s="37" t="str">
        <f ca="1">IFERROR(+IF(BK$29=#REF!,Milestone_Marker,IF(AND(BK$29&gt;#REF!,BK$29&lt;=#REF!+#REF!),$G$5,"")),"")</f>
        <v/>
      </c>
      <c r="BK92" s="37" t="str">
        <f ca="1">IFERROR(+IF(BL$29=#REF!,Milestone_Marker,IF(AND(BL$29&gt;#REF!,BL$29&lt;=#REF!+#REF!),$G$5,"")),"")</f>
        <v/>
      </c>
      <c r="BL92" s="37" t="str">
        <f ca="1">IFERROR(+IF(BM$29=#REF!,Milestone_Marker,IF(AND(BM$29&gt;#REF!,BM$29&lt;=#REF!+#REF!),$G$5,"")),"")</f>
        <v/>
      </c>
      <c r="BM92" s="37" t="str">
        <f ca="1">IFERROR(+IF(BN$29=#REF!,Milestone_Marker,IF(AND(BN$29&gt;#REF!,BN$29&lt;=#REF!+#REF!),$G$5,"")),"")</f>
        <v/>
      </c>
      <c r="BN92" s="37" t="str">
        <f ca="1">IFERROR(+IF(BO$29=#REF!,Milestone_Marker,IF(AND(BO$29&gt;#REF!,BO$29&lt;=#REF!+#REF!),$G$5,"")),"")</f>
        <v/>
      </c>
      <c r="BO92" s="37" t="str">
        <f ca="1">IFERROR(+IF(BP$29=#REF!,Milestone_Marker,IF(AND(BP$29&gt;#REF!,BP$29&lt;=#REF!+#REF!),$G$5,"")),"")</f>
        <v/>
      </c>
      <c r="BP92" s="37" t="str">
        <f ca="1">IFERROR(+IF(BQ$29=#REF!,Milestone_Marker,IF(AND(BQ$29&gt;#REF!,BQ$29&lt;=#REF!+#REF!),$G$5,"")),"")</f>
        <v/>
      </c>
      <c r="BQ92" s="37" t="str">
        <f ca="1">IFERROR(+IF(BR$29=#REF!,Milestone_Marker,IF(AND(BR$29&gt;#REF!,BR$29&lt;=#REF!+#REF!),$G$5,"")),"")</f>
        <v/>
      </c>
      <c r="BR92" s="37" t="str">
        <f ca="1">IFERROR(+IF(BS$29=#REF!,Milestone_Marker,IF(AND(BS$29&gt;#REF!,BS$29&lt;=#REF!+#REF!),$G$5,"")),"")</f>
        <v/>
      </c>
      <c r="BS92" s="37" t="str">
        <f ca="1">IFERROR(+IF(BT$29=#REF!,Milestone_Marker,IF(AND(BT$29&gt;#REF!,BT$29&lt;=#REF!+#REF!),$G$5,"")),"")</f>
        <v/>
      </c>
      <c r="BT92" s="37" t="str">
        <f ca="1">IFERROR(+IF(BU$29=#REF!,Milestone_Marker,IF(AND(BU$29&gt;#REF!,BU$29&lt;=#REF!+#REF!),$G$5,"")),"")</f>
        <v/>
      </c>
      <c r="BU92" s="37" t="str">
        <f ca="1">IFERROR(+IF(BV$29=#REF!,Milestone_Marker,IF(AND(BV$29&gt;#REF!,BV$29&lt;=#REF!+#REF!),$G$5,"")),"")</f>
        <v/>
      </c>
      <c r="BV92" s="37" t="str">
        <f ca="1">IFERROR(+IF(BW$29=#REF!,Milestone_Marker,IF(AND(BW$29&gt;#REF!,BW$29&lt;=#REF!+#REF!),$G$5,"")),"")</f>
        <v/>
      </c>
      <c r="BW92" s="37" t="str">
        <f ca="1">IFERROR(+IF(BX$29=#REF!,Milestone_Marker,IF(AND(BX$29&gt;#REF!,BX$29&lt;=#REF!+#REF!),$G$5,"")),"")</f>
        <v/>
      </c>
      <c r="BX92" s="37" t="str">
        <f ca="1">IFERROR(+IF(BY$29=#REF!,Milestone_Marker,IF(AND(BY$29&gt;#REF!,BY$29&lt;=#REF!+#REF!),$G$5,"")),"")</f>
        <v/>
      </c>
      <c r="BY92" s="37" t="str">
        <f ca="1">IFERROR(+IF(BZ$29=#REF!,Milestone_Marker,IF(AND(BZ$29&gt;#REF!,BZ$29&lt;=#REF!+#REF!),$G$5,"")),"")</f>
        <v/>
      </c>
      <c r="BZ92" s="37" t="str">
        <f ca="1">IFERROR(+IF(CA$29=#REF!,Milestone_Marker,IF(AND(CA$29&gt;#REF!,CA$29&lt;=#REF!+#REF!),$G$5,"")),"")</f>
        <v/>
      </c>
      <c r="CA92" s="37" t="str">
        <f ca="1">IFERROR(+IF(CB$29=#REF!,Milestone_Marker,IF(AND(CB$29&gt;#REF!,CB$29&lt;=#REF!+#REF!),$G$5,"")),"")</f>
        <v/>
      </c>
      <c r="CB92" s="37" t="str">
        <f ca="1">IFERROR(+IF(CC$29=#REF!,Milestone_Marker,IF(AND(CC$29&gt;#REF!,CC$29&lt;=#REF!+#REF!),$G$5,"")),"")</f>
        <v/>
      </c>
      <c r="CC92" s="37" t="str">
        <f ca="1">IFERROR(+IF(CD$29=#REF!,Milestone_Marker,IF(AND(CD$29&gt;#REF!,CD$29&lt;=#REF!+#REF!),$G$5,"")),"")</f>
        <v/>
      </c>
      <c r="CD92" s="37" t="str">
        <f ca="1">IFERROR(+IF(CE$29=#REF!,Milestone_Marker,IF(AND(CE$29&gt;#REF!,CE$29&lt;=#REF!+#REF!),$G$5,"")),"")</f>
        <v/>
      </c>
      <c r="CE92" s="37" t="str">
        <f ca="1">IFERROR(+IF(CF$29=#REF!,Milestone_Marker,IF(AND(CF$29&gt;#REF!,CF$29&lt;=#REF!+#REF!),$G$5,"")),"")</f>
        <v/>
      </c>
      <c r="CF92" s="37" t="str">
        <f ca="1">IFERROR(+IF(CG$29=#REF!,Milestone_Marker,IF(AND(CG$29&gt;#REF!,CG$29&lt;=#REF!+#REF!),$G$5,"")),"")</f>
        <v/>
      </c>
      <c r="CG92" s="37" t="str">
        <f ca="1">IFERROR(+IF(CH$29=#REF!,Milestone_Marker,IF(AND(CH$29&gt;#REF!,CH$29&lt;=#REF!+#REF!),$G$5,"")),"")</f>
        <v/>
      </c>
      <c r="CH92" s="37" t="str">
        <f ca="1">IFERROR(+IF(CI$29=#REF!,Milestone_Marker,IF(AND(CI$29&gt;#REF!,CI$29&lt;=#REF!+#REF!),$G$5,"")),"")</f>
        <v/>
      </c>
      <c r="CI92" s="37" t="str">
        <f ca="1">IFERROR(+IF(CJ$29=#REF!,Milestone_Marker,IF(AND(CJ$29&gt;#REF!,CJ$29&lt;=#REF!+#REF!),$G$5,"")),"")</f>
        <v/>
      </c>
      <c r="CJ92" s="37" t="str">
        <f ca="1">IFERROR(+IF(CK$29=#REF!,Milestone_Marker,IF(AND(CK$29&gt;#REF!,CK$29&lt;=#REF!+#REF!),$G$5,"")),"")</f>
        <v/>
      </c>
      <c r="CK92" s="37" t="str">
        <f ca="1">IFERROR(+IF(CL$29=#REF!,Milestone_Marker,IF(AND(CL$29&gt;#REF!,CL$29&lt;=#REF!+#REF!),$G$5,"")),"")</f>
        <v/>
      </c>
      <c r="CL92" s="37" t="str">
        <f ca="1">IFERROR(+IF(CM$29=#REF!,Milestone_Marker,IF(AND(CM$29&gt;#REF!,CM$29&lt;=#REF!+#REF!),$G$5,"")),"")</f>
        <v/>
      </c>
      <c r="CM92" s="37" t="str">
        <f ca="1">IFERROR(+IF(CN$29=#REF!,Milestone_Marker,IF(AND(CN$29&gt;#REF!,CN$29&lt;=#REF!+#REF!),$G$5,"")),"")</f>
        <v/>
      </c>
      <c r="CN92" s="37" t="str">
        <f ca="1">IFERROR(+IF(CO$29=#REF!,Milestone_Marker,IF(AND(CO$29&gt;#REF!,CO$29&lt;=#REF!+#REF!),$G$5,"")),"")</f>
        <v/>
      </c>
      <c r="CO92" s="37" t="str">
        <f ca="1">IFERROR(+IF(CP$29=#REF!,Milestone_Marker,IF(AND(CP$29&gt;#REF!,CP$29&lt;=#REF!+#REF!),$G$5,"")),"")</f>
        <v/>
      </c>
      <c r="CP92" s="37" t="str">
        <f ca="1">IFERROR(+IF(CQ$29=#REF!,Milestone_Marker,IF(AND(CQ$29&gt;#REF!,CQ$29&lt;=#REF!+#REF!),$G$5,"")),"")</f>
        <v/>
      </c>
      <c r="CQ92" s="37" t="str">
        <f ca="1">IFERROR(+IF(CR$29=#REF!,Milestone_Marker,IF(AND(CR$29&gt;#REF!,CR$29&lt;=#REF!+#REF!),$G$5,"")),"")</f>
        <v/>
      </c>
      <c r="CR92" s="37" t="str">
        <f ca="1">IFERROR(+IF(CS$29=#REF!,Milestone_Marker,IF(AND(CS$29&gt;#REF!,CS$29&lt;=#REF!+#REF!),$G$5,"")),"")</f>
        <v/>
      </c>
      <c r="CS92" s="37" t="str">
        <f ca="1">IFERROR(+IF(CT$29=#REF!,Milestone_Marker,IF(AND(CT$29&gt;#REF!,CT$29&lt;=#REF!+#REF!),$G$5,"")),"")</f>
        <v/>
      </c>
      <c r="CT92" s="37" t="str">
        <f ca="1">IFERROR(+IF(CU$29=#REF!,Milestone_Marker,IF(AND(CU$29&gt;#REF!,CU$29&lt;=#REF!+#REF!),$G$5,"")),"")</f>
        <v/>
      </c>
    </row>
    <row r="93" spans="1:125" ht="18" customHeight="1" x14ac:dyDescent="0.25">
      <c r="P93" s="37" t="str">
        <f ca="1">IFERROR(+IF(Q$29=#REF!,Milestone_Marker,IF(AND(Q$29&gt;#REF!,Q$29&lt;=#REF!+#REF!),$G$5,"")),"")</f>
        <v/>
      </c>
      <c r="Q93" s="37" t="str">
        <f ca="1">IFERROR(+IF(R$29=#REF!,Milestone_Marker,IF(AND(R$29&gt;#REF!,R$29&lt;=#REF!+#REF!),$G$5,"")),"")</f>
        <v/>
      </c>
      <c r="R93" s="37" t="str">
        <f ca="1">IFERROR(+IF(S$29=#REF!,Milestone_Marker,IF(AND(S$29&gt;#REF!,S$29&lt;=#REF!+#REF!),$G$5,"")),"")</f>
        <v/>
      </c>
      <c r="S93" s="37" t="str">
        <f ca="1">IFERROR(+IF(T$29=#REF!,Milestone_Marker,IF(AND(T$29&gt;#REF!,T$29&lt;=#REF!+#REF!),$G$5,"")),"")</f>
        <v/>
      </c>
      <c r="T93" s="37" t="str">
        <f ca="1">IFERROR(+IF(U$29=#REF!,Milestone_Marker,IF(AND(U$29&gt;#REF!,U$29&lt;=#REF!+#REF!),$G$5,"")),"")</f>
        <v/>
      </c>
      <c r="U93" s="37" t="str">
        <f ca="1">IFERROR(+IF(V$29=#REF!,Milestone_Marker,IF(AND(V$29&gt;#REF!,V$29&lt;=#REF!+#REF!),$G$5,"")),"")</f>
        <v/>
      </c>
      <c r="V93" s="37" t="str">
        <f ca="1">IFERROR(+IF(W$29=#REF!,Milestone_Marker,IF(AND(W$29&gt;#REF!,W$29&lt;=#REF!+#REF!),$G$5,"")),"")</f>
        <v/>
      </c>
      <c r="W93" s="37" t="str">
        <f ca="1">IFERROR(+IF(X$29=#REF!,Milestone_Marker,IF(AND(X$29&gt;#REF!,X$29&lt;=#REF!+#REF!),$G$5,"")),"")</f>
        <v/>
      </c>
      <c r="X93" s="37" t="str">
        <f ca="1">IFERROR(+IF(Y$29=#REF!,Milestone_Marker,IF(AND(Y$29&gt;#REF!,Y$29&lt;=#REF!+#REF!),$G$5,"")),"")</f>
        <v/>
      </c>
      <c r="Y93" s="37" t="str">
        <f ca="1">IFERROR(+IF(Z$29=#REF!,Milestone_Marker,IF(AND(Z$29&gt;#REF!,Z$29&lt;=#REF!+#REF!),$G$5,"")),"")</f>
        <v/>
      </c>
      <c r="Z93" s="37" t="str">
        <f ca="1">IFERROR(+IF(AA$29=#REF!,Milestone_Marker,IF(AND(AA$29&gt;#REF!,AA$29&lt;=#REF!+#REF!),$G$5,"")),"")</f>
        <v/>
      </c>
      <c r="AA93" s="37" t="str">
        <f ca="1">IFERROR(+IF(AB$29=#REF!,Milestone_Marker,IF(AND(AB$29&gt;#REF!,AB$29&lt;=#REF!+#REF!),$G$5,"")),"")</f>
        <v/>
      </c>
      <c r="AB93" s="37" t="str">
        <f ca="1">IFERROR(+IF(AC$29=#REF!,Milestone_Marker,IF(AND(AC$29&gt;#REF!,AC$29&lt;=#REF!+#REF!),$G$5,"")),"")</f>
        <v/>
      </c>
      <c r="AC93" s="37" t="str">
        <f ca="1">IFERROR(+IF(AD$29=#REF!,Milestone_Marker,IF(AND(AD$29&gt;#REF!,AD$29&lt;=#REF!+#REF!),$G$5,"")),"")</f>
        <v/>
      </c>
      <c r="AD93" s="37" t="str">
        <f ca="1">IFERROR(+IF(AE$29=#REF!,Milestone_Marker,IF(AND(AE$29&gt;#REF!,AE$29&lt;=#REF!+#REF!),$G$5,"")),"")</f>
        <v/>
      </c>
      <c r="AE93" s="37" t="str">
        <f ca="1">IFERROR(+IF(AF$29=#REF!,Milestone_Marker,IF(AND(AF$29&gt;#REF!,AF$29&lt;=#REF!+#REF!),$G$5,"")),"")</f>
        <v/>
      </c>
      <c r="AF93" s="37" t="str">
        <f ca="1">IFERROR(+IF(AG$29=#REF!,Milestone_Marker,IF(AND(AG$29&gt;#REF!,AG$29&lt;=#REF!+#REF!),$G$5,"")),"")</f>
        <v/>
      </c>
      <c r="AG93" s="37" t="str">
        <f ca="1">IFERROR(+IF(AH$29=#REF!,Milestone_Marker,IF(AND(AH$29&gt;#REF!,AH$29&lt;=#REF!+#REF!),$G$5,"")),"")</f>
        <v/>
      </c>
      <c r="AH93" s="37" t="str">
        <f ca="1">IFERROR(+IF(AI$29=#REF!,Milestone_Marker,IF(AND(AI$29&gt;#REF!,AI$29&lt;=#REF!+#REF!),$G$5,"")),"")</f>
        <v/>
      </c>
      <c r="AI93" s="37" t="str">
        <f ca="1">IFERROR(+IF(AJ$29=#REF!,Milestone_Marker,IF(AND(AJ$29&gt;#REF!,AJ$29&lt;=#REF!+#REF!),$G$5,"")),"")</f>
        <v/>
      </c>
      <c r="AJ93" s="37" t="str">
        <f ca="1">IFERROR(+IF(AK$29=#REF!,Milestone_Marker,IF(AND(AK$29&gt;#REF!,AK$29&lt;=#REF!+#REF!),$G$5,"")),"")</f>
        <v/>
      </c>
      <c r="AK93" s="37" t="str">
        <f ca="1">IFERROR(+IF(AL$29=#REF!,Milestone_Marker,IF(AND(AL$29&gt;#REF!,AL$29&lt;=#REF!+#REF!),$G$5,"")),"")</f>
        <v/>
      </c>
      <c r="AL93" s="37" t="str">
        <f ca="1">IFERROR(+IF(AM$29=#REF!,Milestone_Marker,IF(AND(AM$29&gt;#REF!,AM$29&lt;=#REF!+#REF!),$G$5,"")),"")</f>
        <v/>
      </c>
      <c r="AM93" s="37" t="str">
        <f ca="1">IFERROR(+IF(AN$29=#REF!,Milestone_Marker,IF(AND(AN$29&gt;#REF!,AN$29&lt;=#REF!+#REF!),$G$5,"")),"")</f>
        <v/>
      </c>
      <c r="AN93" s="37" t="str">
        <f ca="1">IFERROR(+IF(AO$29=#REF!,Milestone_Marker,IF(AND(AO$29&gt;#REF!,AO$29&lt;=#REF!+#REF!),$G$5,"")),"")</f>
        <v/>
      </c>
      <c r="AO93" s="37" t="str">
        <f ca="1">IFERROR(+IF(AP$29=#REF!,Milestone_Marker,IF(AND(AP$29&gt;#REF!,AP$29&lt;=#REF!+#REF!),$G$5,"")),"")</f>
        <v/>
      </c>
      <c r="AP93" s="37" t="str">
        <f ca="1">IFERROR(+IF(AQ$29=#REF!,Milestone_Marker,IF(AND(AQ$29&gt;#REF!,AQ$29&lt;=#REF!+#REF!),$G$5,"")),"")</f>
        <v/>
      </c>
      <c r="AQ93" s="37" t="str">
        <f ca="1">IFERROR(+IF(AR$29=#REF!,Milestone_Marker,IF(AND(AR$29&gt;#REF!,AR$29&lt;=#REF!+#REF!),$G$5,"")),"")</f>
        <v/>
      </c>
      <c r="AR93" s="37" t="str">
        <f ca="1">IFERROR(+IF(AS$29=#REF!,Milestone_Marker,IF(AND(AS$29&gt;#REF!,AS$29&lt;=#REF!+#REF!),$G$5,"")),"")</f>
        <v/>
      </c>
      <c r="AS93" s="37" t="str">
        <f ca="1">IFERROR(+IF(AT$29=#REF!,Milestone_Marker,IF(AND(AT$29&gt;#REF!,AT$29&lt;=#REF!+#REF!),$G$5,"")),"")</f>
        <v/>
      </c>
      <c r="AT93" s="37" t="str">
        <f ca="1">IFERROR(+IF(AU$29=#REF!,Milestone_Marker,IF(AND(AU$29&gt;#REF!,AU$29&lt;=#REF!+#REF!),$G$5,"")),"")</f>
        <v/>
      </c>
      <c r="AU93" s="37" t="str">
        <f ca="1">IFERROR(+IF(AV$29=#REF!,Milestone_Marker,IF(AND(AV$29&gt;#REF!,AV$29&lt;=#REF!+#REF!),$G$5,"")),"")</f>
        <v/>
      </c>
      <c r="AV93" s="37" t="str">
        <f ca="1">IFERROR(+IF(AW$29=#REF!,Milestone_Marker,IF(AND(AW$29&gt;#REF!,AW$29&lt;=#REF!+#REF!),$G$5,"")),"")</f>
        <v/>
      </c>
      <c r="AW93" s="37" t="str">
        <f ca="1">IFERROR(+IF(AX$29=#REF!,Milestone_Marker,IF(AND(AX$29&gt;#REF!,AX$29&lt;=#REF!+#REF!),$G$5,"")),"")</f>
        <v/>
      </c>
      <c r="AX93" s="37" t="str">
        <f ca="1">IFERROR(+IF(AY$29=#REF!,Milestone_Marker,IF(AND(AY$29&gt;#REF!,AY$29&lt;=#REF!+#REF!),$G$5,"")),"")</f>
        <v/>
      </c>
      <c r="AY93" s="37" t="str">
        <f ca="1">IFERROR(+IF(AZ$29=#REF!,Milestone_Marker,IF(AND(AZ$29&gt;#REF!,AZ$29&lt;=#REF!+#REF!),$G$5,"")),"")</f>
        <v/>
      </c>
      <c r="AZ93" s="37" t="str">
        <f ca="1">IFERROR(+IF(BA$29=#REF!,Milestone_Marker,IF(AND(BA$29&gt;#REF!,BA$29&lt;=#REF!+#REF!),$G$5,"")),"")</f>
        <v/>
      </c>
      <c r="BA93" s="37" t="str">
        <f ca="1">IFERROR(+IF(BB$29=#REF!,Milestone_Marker,IF(AND(BB$29&gt;#REF!,BB$29&lt;=#REF!+#REF!),$G$5,"")),"")</f>
        <v/>
      </c>
      <c r="BB93" s="37" t="str">
        <f ca="1">IFERROR(+IF(BC$29=#REF!,Milestone_Marker,IF(AND(BC$29&gt;#REF!,BC$29&lt;=#REF!+#REF!),$G$5,"")),"")</f>
        <v/>
      </c>
      <c r="BC93" s="37" t="str">
        <f ca="1">IFERROR(+IF(BD$29=#REF!,Milestone_Marker,IF(AND(BD$29&gt;#REF!,BD$29&lt;=#REF!+#REF!),$G$5,"")),"")</f>
        <v/>
      </c>
      <c r="BD93" s="37" t="str">
        <f ca="1">IFERROR(+IF(BE$29=#REF!,Milestone_Marker,IF(AND(BE$29&gt;#REF!,BE$29&lt;=#REF!+#REF!),$G$5,"")),"")</f>
        <v/>
      </c>
      <c r="BE93" s="37" t="str">
        <f ca="1">IFERROR(+IF(BF$29=#REF!,Milestone_Marker,IF(AND(BF$29&gt;#REF!,BF$29&lt;=#REF!+#REF!),$G$5,"")),"")</f>
        <v/>
      </c>
      <c r="BF93" s="37" t="str">
        <f ca="1">IFERROR(+IF(BG$29=#REF!,Milestone_Marker,IF(AND(BG$29&gt;#REF!,BG$29&lt;=#REF!+#REF!),$G$5,"")),"")</f>
        <v/>
      </c>
      <c r="BG93" s="37" t="str">
        <f ca="1">IFERROR(+IF(BH$29=#REF!,Milestone_Marker,IF(AND(BH$29&gt;#REF!,BH$29&lt;=#REF!+#REF!),$G$5,"")),"")</f>
        <v/>
      </c>
      <c r="BH93" s="37" t="str">
        <f ca="1">IFERROR(+IF(BI$29=#REF!,Milestone_Marker,IF(AND(BI$29&gt;#REF!,BI$29&lt;=#REF!+#REF!),$G$5,"")),"")</f>
        <v/>
      </c>
      <c r="BI93" s="37" t="str">
        <f ca="1">IFERROR(+IF(BJ$29=#REF!,Milestone_Marker,IF(AND(BJ$29&gt;#REF!,BJ$29&lt;=#REF!+#REF!),$G$5,"")),"")</f>
        <v/>
      </c>
      <c r="BJ93" s="37" t="str">
        <f ca="1">IFERROR(+IF(BK$29=#REF!,Milestone_Marker,IF(AND(BK$29&gt;#REF!,BK$29&lt;=#REF!+#REF!),$G$5,"")),"")</f>
        <v/>
      </c>
      <c r="BK93" s="37" t="str">
        <f ca="1">IFERROR(+IF(BL$29=#REF!,Milestone_Marker,IF(AND(BL$29&gt;#REF!,BL$29&lt;=#REF!+#REF!),$G$5,"")),"")</f>
        <v/>
      </c>
      <c r="BL93" s="37" t="str">
        <f ca="1">IFERROR(+IF(BM$29=#REF!,Milestone_Marker,IF(AND(BM$29&gt;#REF!,BM$29&lt;=#REF!+#REF!),$G$5,"")),"")</f>
        <v/>
      </c>
      <c r="BM93" s="37" t="str">
        <f ca="1">IFERROR(+IF(BN$29=#REF!,Milestone_Marker,IF(AND(BN$29&gt;#REF!,BN$29&lt;=#REF!+#REF!),$G$5,"")),"")</f>
        <v/>
      </c>
      <c r="BN93" s="37" t="str">
        <f ca="1">IFERROR(+IF(BO$29=#REF!,Milestone_Marker,IF(AND(BO$29&gt;#REF!,BO$29&lt;=#REF!+#REF!),$G$5,"")),"")</f>
        <v/>
      </c>
      <c r="BO93" s="37" t="str">
        <f ca="1">IFERROR(+IF(BP$29=#REF!,Milestone_Marker,IF(AND(BP$29&gt;#REF!,BP$29&lt;=#REF!+#REF!),$G$5,"")),"")</f>
        <v/>
      </c>
      <c r="BP93" s="37" t="str">
        <f ca="1">IFERROR(+IF(BQ$29=#REF!,Milestone_Marker,IF(AND(BQ$29&gt;#REF!,BQ$29&lt;=#REF!+#REF!),$G$5,"")),"")</f>
        <v/>
      </c>
      <c r="BQ93" s="37" t="str">
        <f ca="1">IFERROR(+IF(BR$29=#REF!,Milestone_Marker,IF(AND(BR$29&gt;#REF!,BR$29&lt;=#REF!+#REF!),$G$5,"")),"")</f>
        <v/>
      </c>
      <c r="BR93" s="37" t="str">
        <f ca="1">IFERROR(+IF(BS$29=#REF!,Milestone_Marker,IF(AND(BS$29&gt;#REF!,BS$29&lt;=#REF!+#REF!),$G$5,"")),"")</f>
        <v/>
      </c>
      <c r="BS93" s="37" t="str">
        <f ca="1">IFERROR(+IF(BT$29=#REF!,Milestone_Marker,IF(AND(BT$29&gt;#REF!,BT$29&lt;=#REF!+#REF!),$G$5,"")),"")</f>
        <v/>
      </c>
      <c r="BT93" s="37" t="str">
        <f ca="1">IFERROR(+IF(BU$29=#REF!,Milestone_Marker,IF(AND(BU$29&gt;#REF!,BU$29&lt;=#REF!+#REF!),$G$5,"")),"")</f>
        <v/>
      </c>
      <c r="BU93" s="37" t="str">
        <f ca="1">IFERROR(+IF(BV$29=#REF!,Milestone_Marker,IF(AND(BV$29&gt;#REF!,BV$29&lt;=#REF!+#REF!),$G$5,"")),"")</f>
        <v/>
      </c>
      <c r="BV93" s="37" t="str">
        <f ca="1">IFERROR(+IF(BW$29=#REF!,Milestone_Marker,IF(AND(BW$29&gt;#REF!,BW$29&lt;=#REF!+#REF!),$G$5,"")),"")</f>
        <v/>
      </c>
      <c r="BW93" s="37" t="str">
        <f ca="1">IFERROR(+IF(BX$29=#REF!,Milestone_Marker,IF(AND(BX$29&gt;#REF!,BX$29&lt;=#REF!+#REF!),$G$5,"")),"")</f>
        <v/>
      </c>
      <c r="BX93" s="37" t="str">
        <f ca="1">IFERROR(+IF(BY$29=#REF!,Milestone_Marker,IF(AND(BY$29&gt;#REF!,BY$29&lt;=#REF!+#REF!),$G$5,"")),"")</f>
        <v/>
      </c>
      <c r="BY93" s="37" t="str">
        <f ca="1">IFERROR(+IF(BZ$29=#REF!,Milestone_Marker,IF(AND(BZ$29&gt;#REF!,BZ$29&lt;=#REF!+#REF!),$G$5,"")),"")</f>
        <v/>
      </c>
      <c r="BZ93" s="37" t="str">
        <f ca="1">IFERROR(+IF(CA$29=#REF!,Milestone_Marker,IF(AND(CA$29&gt;#REF!,CA$29&lt;=#REF!+#REF!),$G$5,"")),"")</f>
        <v/>
      </c>
      <c r="CA93" s="37" t="str">
        <f ca="1">IFERROR(+IF(CB$29=#REF!,Milestone_Marker,IF(AND(CB$29&gt;#REF!,CB$29&lt;=#REF!+#REF!),$G$5,"")),"")</f>
        <v/>
      </c>
      <c r="CB93" s="37" t="str">
        <f ca="1">IFERROR(+IF(CC$29=#REF!,Milestone_Marker,IF(AND(CC$29&gt;#REF!,CC$29&lt;=#REF!+#REF!),$G$5,"")),"")</f>
        <v/>
      </c>
      <c r="CC93" s="37" t="str">
        <f ca="1">IFERROR(+IF(CD$29=#REF!,Milestone_Marker,IF(AND(CD$29&gt;#REF!,CD$29&lt;=#REF!+#REF!),$G$5,"")),"")</f>
        <v/>
      </c>
      <c r="CD93" s="37" t="str">
        <f ca="1">IFERROR(+IF(CE$29=#REF!,Milestone_Marker,IF(AND(CE$29&gt;#REF!,CE$29&lt;=#REF!+#REF!),$G$5,"")),"")</f>
        <v/>
      </c>
      <c r="CE93" s="37" t="str">
        <f ca="1">IFERROR(+IF(CF$29=#REF!,Milestone_Marker,IF(AND(CF$29&gt;#REF!,CF$29&lt;=#REF!+#REF!),$G$5,"")),"")</f>
        <v/>
      </c>
      <c r="CF93" s="37" t="str">
        <f ca="1">IFERROR(+IF(CG$29=#REF!,Milestone_Marker,IF(AND(CG$29&gt;#REF!,CG$29&lt;=#REF!+#REF!),$G$5,"")),"")</f>
        <v/>
      </c>
      <c r="CG93" s="37" t="str">
        <f ca="1">IFERROR(+IF(CH$29=#REF!,Milestone_Marker,IF(AND(CH$29&gt;#REF!,CH$29&lt;=#REF!+#REF!),$G$5,"")),"")</f>
        <v/>
      </c>
      <c r="CH93" s="37" t="str">
        <f ca="1">IFERROR(+IF(CI$29=#REF!,Milestone_Marker,IF(AND(CI$29&gt;#REF!,CI$29&lt;=#REF!+#REF!),$G$5,"")),"")</f>
        <v/>
      </c>
      <c r="CI93" s="37" t="str">
        <f ca="1">IFERROR(+IF(CJ$29=#REF!,Milestone_Marker,IF(AND(CJ$29&gt;#REF!,CJ$29&lt;=#REF!+#REF!),$G$5,"")),"")</f>
        <v/>
      </c>
      <c r="CJ93" s="37" t="str">
        <f ca="1">IFERROR(+IF(CK$29=#REF!,Milestone_Marker,IF(AND(CK$29&gt;#REF!,CK$29&lt;=#REF!+#REF!),$G$5,"")),"")</f>
        <v/>
      </c>
      <c r="CK93" s="37" t="str">
        <f ca="1">IFERROR(+IF(CL$29=#REF!,Milestone_Marker,IF(AND(CL$29&gt;#REF!,CL$29&lt;=#REF!+#REF!),$G$5,"")),"")</f>
        <v/>
      </c>
      <c r="CL93" s="37" t="str">
        <f ca="1">IFERROR(+IF(CM$29=#REF!,Milestone_Marker,IF(AND(CM$29&gt;#REF!,CM$29&lt;=#REF!+#REF!),$G$5,"")),"")</f>
        <v/>
      </c>
      <c r="CM93" s="37" t="str">
        <f ca="1">IFERROR(+IF(CN$29=#REF!,Milestone_Marker,IF(AND(CN$29&gt;#REF!,CN$29&lt;=#REF!+#REF!),$G$5,"")),"")</f>
        <v/>
      </c>
      <c r="CN93" s="37" t="str">
        <f ca="1">IFERROR(+IF(CO$29=#REF!,Milestone_Marker,IF(AND(CO$29&gt;#REF!,CO$29&lt;=#REF!+#REF!),$G$5,"")),"")</f>
        <v/>
      </c>
      <c r="CO93" s="37" t="str">
        <f ca="1">IFERROR(+IF(CP$29=#REF!,Milestone_Marker,IF(AND(CP$29&gt;#REF!,CP$29&lt;=#REF!+#REF!),$G$5,"")),"")</f>
        <v/>
      </c>
      <c r="CP93" s="37" t="str">
        <f ca="1">IFERROR(+IF(CQ$29=#REF!,Milestone_Marker,IF(AND(CQ$29&gt;#REF!,CQ$29&lt;=#REF!+#REF!),$G$5,"")),"")</f>
        <v/>
      </c>
      <c r="CQ93" s="37" t="str">
        <f ca="1">IFERROR(+IF(CR$29=#REF!,Milestone_Marker,IF(AND(CR$29&gt;#REF!,CR$29&lt;=#REF!+#REF!),$G$5,"")),"")</f>
        <v/>
      </c>
      <c r="CR93" s="37" t="str">
        <f ca="1">IFERROR(+IF(CS$29=#REF!,Milestone_Marker,IF(AND(CS$29&gt;#REF!,CS$29&lt;=#REF!+#REF!),$G$5,"")),"")</f>
        <v/>
      </c>
      <c r="CS93" s="37" t="str">
        <f ca="1">IFERROR(+IF(CT$29=#REF!,Milestone_Marker,IF(AND(CT$29&gt;#REF!,CT$29&lt;=#REF!+#REF!),$G$5,"")),"")</f>
        <v/>
      </c>
      <c r="CT93" s="37" t="str">
        <f ca="1">IFERROR(+IF(CU$29=#REF!,Milestone_Marker,IF(AND(CU$29&gt;#REF!,CU$29&lt;=#REF!+#REF!),$G$5,"")),"")</f>
        <v/>
      </c>
    </row>
    <row r="94" spans="1:125" ht="18" customHeight="1" x14ac:dyDescent="0.25">
      <c r="P94" s="37" t="str">
        <f ca="1">IFERROR(+IF(Q$29=#REF!,Milestone_Marker,IF(AND(Q$29&gt;#REF!,Q$29&lt;=#REF!+#REF!),$G$5,"")),"")</f>
        <v/>
      </c>
      <c r="Q94" s="37" t="str">
        <f ca="1">IFERROR(+IF(R$29=#REF!,Milestone_Marker,IF(AND(R$29&gt;#REF!,R$29&lt;=#REF!+#REF!),$G$5,"")),"")</f>
        <v/>
      </c>
      <c r="R94" s="37" t="str">
        <f ca="1">IFERROR(+IF(S$29=#REF!,Milestone_Marker,IF(AND(S$29&gt;#REF!,S$29&lt;=#REF!+#REF!),$G$5,"")),"")</f>
        <v/>
      </c>
      <c r="S94" s="37" t="str">
        <f ca="1">IFERROR(+IF(T$29=#REF!,Milestone_Marker,IF(AND(T$29&gt;#REF!,T$29&lt;=#REF!+#REF!),$G$5,"")),"")</f>
        <v/>
      </c>
      <c r="T94" s="37" t="str">
        <f ca="1">IFERROR(+IF(U$29=#REF!,Milestone_Marker,IF(AND(U$29&gt;#REF!,U$29&lt;=#REF!+#REF!),$G$5,"")),"")</f>
        <v/>
      </c>
      <c r="U94" s="37" t="str">
        <f ca="1">IFERROR(+IF(V$29=#REF!,Milestone_Marker,IF(AND(V$29&gt;#REF!,V$29&lt;=#REF!+#REF!),$G$5,"")),"")</f>
        <v/>
      </c>
      <c r="V94" s="37" t="str">
        <f ca="1">IFERROR(+IF(W$29=#REF!,Milestone_Marker,IF(AND(W$29&gt;#REF!,W$29&lt;=#REF!+#REF!),$G$5,"")),"")</f>
        <v/>
      </c>
      <c r="W94" s="37" t="str">
        <f ca="1">IFERROR(+IF(X$29=#REF!,Milestone_Marker,IF(AND(X$29&gt;#REF!,X$29&lt;=#REF!+#REF!),$G$5,"")),"")</f>
        <v/>
      </c>
      <c r="X94" s="37" t="str">
        <f ca="1">IFERROR(+IF(Y$29=#REF!,Milestone_Marker,IF(AND(Y$29&gt;#REF!,Y$29&lt;=#REF!+#REF!),$G$5,"")),"")</f>
        <v/>
      </c>
      <c r="Y94" s="37" t="str">
        <f ca="1">IFERROR(+IF(Z$29=#REF!,Milestone_Marker,IF(AND(Z$29&gt;#REF!,Z$29&lt;=#REF!+#REF!),$G$5,"")),"")</f>
        <v/>
      </c>
      <c r="Z94" s="37" t="str">
        <f ca="1">IFERROR(+IF(AA$29=#REF!,Milestone_Marker,IF(AND(AA$29&gt;#REF!,AA$29&lt;=#REF!+#REF!),$G$5,"")),"")</f>
        <v/>
      </c>
      <c r="AA94" s="37" t="str">
        <f ca="1">IFERROR(+IF(AB$29=#REF!,Milestone_Marker,IF(AND(AB$29&gt;#REF!,AB$29&lt;=#REF!+#REF!),$G$5,"")),"")</f>
        <v/>
      </c>
      <c r="AB94" s="37" t="str">
        <f ca="1">IFERROR(+IF(AC$29=#REF!,Milestone_Marker,IF(AND(AC$29&gt;#REF!,AC$29&lt;=#REF!+#REF!),$G$5,"")),"")</f>
        <v/>
      </c>
      <c r="AC94" s="37" t="str">
        <f ca="1">IFERROR(+IF(AD$29=#REF!,Milestone_Marker,IF(AND(AD$29&gt;#REF!,AD$29&lt;=#REF!+#REF!),$G$5,"")),"")</f>
        <v/>
      </c>
      <c r="AD94" s="37" t="str">
        <f ca="1">IFERROR(+IF(AE$29=#REF!,Milestone_Marker,IF(AND(AE$29&gt;#REF!,AE$29&lt;=#REF!+#REF!),$G$5,"")),"")</f>
        <v/>
      </c>
      <c r="AE94" s="37" t="str">
        <f ca="1">IFERROR(+IF(AF$29=#REF!,Milestone_Marker,IF(AND(AF$29&gt;#REF!,AF$29&lt;=#REF!+#REF!),$G$5,"")),"")</f>
        <v/>
      </c>
      <c r="AF94" s="37" t="str">
        <f ca="1">IFERROR(+IF(AG$29=#REF!,Milestone_Marker,IF(AND(AG$29&gt;#REF!,AG$29&lt;=#REF!+#REF!),$G$5,"")),"")</f>
        <v/>
      </c>
      <c r="AG94" s="37" t="str">
        <f ca="1">IFERROR(+IF(AH$29=#REF!,Milestone_Marker,IF(AND(AH$29&gt;#REF!,AH$29&lt;=#REF!+#REF!),$G$5,"")),"")</f>
        <v/>
      </c>
      <c r="AH94" s="37" t="str">
        <f ca="1">IFERROR(+IF(AI$29=#REF!,Milestone_Marker,IF(AND(AI$29&gt;#REF!,AI$29&lt;=#REF!+#REF!),$G$5,"")),"")</f>
        <v/>
      </c>
      <c r="AI94" s="37" t="str">
        <f ca="1">IFERROR(+IF(AJ$29=#REF!,Milestone_Marker,IF(AND(AJ$29&gt;#REF!,AJ$29&lt;=#REF!+#REF!),$G$5,"")),"")</f>
        <v/>
      </c>
      <c r="AJ94" s="37" t="str">
        <f ca="1">IFERROR(+IF(AK$29=#REF!,Milestone_Marker,IF(AND(AK$29&gt;#REF!,AK$29&lt;=#REF!+#REF!),$G$5,"")),"")</f>
        <v/>
      </c>
      <c r="AK94" s="37" t="str">
        <f ca="1">IFERROR(+IF(AL$29=#REF!,Milestone_Marker,IF(AND(AL$29&gt;#REF!,AL$29&lt;=#REF!+#REF!),$G$5,"")),"")</f>
        <v/>
      </c>
      <c r="AL94" s="37" t="str">
        <f ca="1">IFERROR(+IF(AM$29=#REF!,Milestone_Marker,IF(AND(AM$29&gt;#REF!,AM$29&lt;=#REF!+#REF!),$G$5,"")),"")</f>
        <v/>
      </c>
      <c r="AM94" s="37" t="str">
        <f ca="1">IFERROR(+IF(AN$29=#REF!,Milestone_Marker,IF(AND(AN$29&gt;#REF!,AN$29&lt;=#REF!+#REF!),$G$5,"")),"")</f>
        <v/>
      </c>
      <c r="AN94" s="37" t="str">
        <f ca="1">IFERROR(+IF(AO$29=#REF!,Milestone_Marker,IF(AND(AO$29&gt;#REF!,AO$29&lt;=#REF!+#REF!),$G$5,"")),"")</f>
        <v/>
      </c>
      <c r="AO94" s="37" t="str">
        <f ca="1">IFERROR(+IF(AP$29=#REF!,Milestone_Marker,IF(AND(AP$29&gt;#REF!,AP$29&lt;=#REF!+#REF!),$G$5,"")),"")</f>
        <v/>
      </c>
      <c r="AP94" s="37" t="str">
        <f ca="1">IFERROR(+IF(AQ$29=#REF!,Milestone_Marker,IF(AND(AQ$29&gt;#REF!,AQ$29&lt;=#REF!+#REF!),$G$5,"")),"")</f>
        <v/>
      </c>
      <c r="AQ94" s="37" t="str">
        <f ca="1">IFERROR(+IF(AR$29=#REF!,Milestone_Marker,IF(AND(AR$29&gt;#REF!,AR$29&lt;=#REF!+#REF!),$G$5,"")),"")</f>
        <v/>
      </c>
      <c r="AR94" s="37" t="str">
        <f ca="1">IFERROR(+IF(AS$29=#REF!,Milestone_Marker,IF(AND(AS$29&gt;#REF!,AS$29&lt;=#REF!+#REF!),$G$5,"")),"")</f>
        <v/>
      </c>
      <c r="AS94" s="37" t="str">
        <f ca="1">IFERROR(+IF(AT$29=#REF!,Milestone_Marker,IF(AND(AT$29&gt;#REF!,AT$29&lt;=#REF!+#REF!),$G$5,"")),"")</f>
        <v/>
      </c>
      <c r="AT94" s="37" t="str">
        <f ca="1">IFERROR(+IF(AU$29=#REF!,Milestone_Marker,IF(AND(AU$29&gt;#REF!,AU$29&lt;=#REF!+#REF!),$G$5,"")),"")</f>
        <v/>
      </c>
      <c r="AU94" s="37" t="str">
        <f ca="1">IFERROR(+IF(AV$29=#REF!,Milestone_Marker,IF(AND(AV$29&gt;#REF!,AV$29&lt;=#REF!+#REF!),$G$5,"")),"")</f>
        <v/>
      </c>
      <c r="AV94" s="37" t="str">
        <f ca="1">IFERROR(+IF(AW$29=#REF!,Milestone_Marker,IF(AND(AW$29&gt;#REF!,AW$29&lt;=#REF!+#REF!),$G$5,"")),"")</f>
        <v/>
      </c>
      <c r="AW94" s="37" t="str">
        <f ca="1">IFERROR(+IF(AX$29=#REF!,Milestone_Marker,IF(AND(AX$29&gt;#REF!,AX$29&lt;=#REF!+#REF!),$G$5,"")),"")</f>
        <v/>
      </c>
      <c r="AX94" s="37" t="str">
        <f ca="1">IFERROR(+IF(AY$29=#REF!,Milestone_Marker,IF(AND(AY$29&gt;#REF!,AY$29&lt;=#REF!+#REF!),$G$5,"")),"")</f>
        <v/>
      </c>
      <c r="AY94" s="37" t="str">
        <f ca="1">IFERROR(+IF(AZ$29=#REF!,Milestone_Marker,IF(AND(AZ$29&gt;#REF!,AZ$29&lt;=#REF!+#REF!),$G$5,"")),"")</f>
        <v/>
      </c>
      <c r="AZ94" s="37" t="str">
        <f ca="1">IFERROR(+IF(BA$29=#REF!,Milestone_Marker,IF(AND(BA$29&gt;#REF!,BA$29&lt;=#REF!+#REF!),$G$5,"")),"")</f>
        <v/>
      </c>
      <c r="BA94" s="37" t="str">
        <f ca="1">IFERROR(+IF(BB$29=#REF!,Milestone_Marker,IF(AND(BB$29&gt;#REF!,BB$29&lt;=#REF!+#REF!),$G$5,"")),"")</f>
        <v/>
      </c>
      <c r="BB94" s="37" t="str">
        <f ca="1">IFERROR(+IF(BC$29=#REF!,Milestone_Marker,IF(AND(BC$29&gt;#REF!,BC$29&lt;=#REF!+#REF!),$G$5,"")),"")</f>
        <v/>
      </c>
      <c r="BC94" s="37" t="str">
        <f ca="1">IFERROR(+IF(BD$29=#REF!,Milestone_Marker,IF(AND(BD$29&gt;#REF!,BD$29&lt;=#REF!+#REF!),$G$5,"")),"")</f>
        <v/>
      </c>
      <c r="BD94" s="37" t="str">
        <f ca="1">IFERROR(+IF(BE$29=#REF!,Milestone_Marker,IF(AND(BE$29&gt;#REF!,BE$29&lt;=#REF!+#REF!),$G$5,"")),"")</f>
        <v/>
      </c>
      <c r="BE94" s="37" t="str">
        <f ca="1">IFERROR(+IF(BF$29=#REF!,Milestone_Marker,IF(AND(BF$29&gt;#REF!,BF$29&lt;=#REF!+#REF!),$G$5,"")),"")</f>
        <v/>
      </c>
      <c r="BF94" s="37" t="str">
        <f ca="1">IFERROR(+IF(BG$29=#REF!,Milestone_Marker,IF(AND(BG$29&gt;#REF!,BG$29&lt;=#REF!+#REF!),$G$5,"")),"")</f>
        <v/>
      </c>
      <c r="BG94" s="37" t="str">
        <f ca="1">IFERROR(+IF(BH$29=#REF!,Milestone_Marker,IF(AND(BH$29&gt;#REF!,BH$29&lt;=#REF!+#REF!),$G$5,"")),"")</f>
        <v/>
      </c>
      <c r="BH94" s="37" t="str">
        <f ca="1">IFERROR(+IF(BI$29=#REF!,Milestone_Marker,IF(AND(BI$29&gt;#REF!,BI$29&lt;=#REF!+#REF!),$G$5,"")),"")</f>
        <v/>
      </c>
      <c r="BI94" s="37" t="str">
        <f ca="1">IFERROR(+IF(BJ$29=#REF!,Milestone_Marker,IF(AND(BJ$29&gt;#REF!,BJ$29&lt;=#REF!+#REF!),$G$5,"")),"")</f>
        <v/>
      </c>
      <c r="BJ94" s="37" t="str">
        <f ca="1">IFERROR(+IF(BK$29=#REF!,Milestone_Marker,IF(AND(BK$29&gt;#REF!,BK$29&lt;=#REF!+#REF!),$G$5,"")),"")</f>
        <v/>
      </c>
      <c r="BK94" s="37" t="str">
        <f ca="1">IFERROR(+IF(BL$29=#REF!,Milestone_Marker,IF(AND(BL$29&gt;#REF!,BL$29&lt;=#REF!+#REF!),$G$5,"")),"")</f>
        <v/>
      </c>
      <c r="BL94" s="37" t="str">
        <f ca="1">IFERROR(+IF(BM$29=#REF!,Milestone_Marker,IF(AND(BM$29&gt;#REF!,BM$29&lt;=#REF!+#REF!),$G$5,"")),"")</f>
        <v/>
      </c>
      <c r="BM94" s="37" t="str">
        <f ca="1">IFERROR(+IF(BN$29=#REF!,Milestone_Marker,IF(AND(BN$29&gt;#REF!,BN$29&lt;=#REF!+#REF!),$G$5,"")),"")</f>
        <v/>
      </c>
      <c r="BN94" s="37" t="str">
        <f ca="1">IFERROR(+IF(BO$29=#REF!,Milestone_Marker,IF(AND(BO$29&gt;#REF!,BO$29&lt;=#REF!+#REF!),$G$5,"")),"")</f>
        <v/>
      </c>
      <c r="BO94" s="37" t="str">
        <f ca="1">IFERROR(+IF(BP$29=#REF!,Milestone_Marker,IF(AND(BP$29&gt;#REF!,BP$29&lt;=#REF!+#REF!),$G$5,"")),"")</f>
        <v/>
      </c>
      <c r="BP94" s="37" t="str">
        <f ca="1">IFERROR(+IF(BQ$29=#REF!,Milestone_Marker,IF(AND(BQ$29&gt;#REF!,BQ$29&lt;=#REF!+#REF!),$G$5,"")),"")</f>
        <v/>
      </c>
      <c r="BQ94" s="37" t="str">
        <f ca="1">IFERROR(+IF(BR$29=#REF!,Milestone_Marker,IF(AND(BR$29&gt;#REF!,BR$29&lt;=#REF!+#REF!),$G$5,"")),"")</f>
        <v/>
      </c>
      <c r="BR94" s="37" t="str">
        <f ca="1">IFERROR(+IF(BS$29=#REF!,Milestone_Marker,IF(AND(BS$29&gt;#REF!,BS$29&lt;=#REF!+#REF!),$G$5,"")),"")</f>
        <v/>
      </c>
      <c r="BS94" s="37" t="str">
        <f ca="1">IFERROR(+IF(BT$29=#REF!,Milestone_Marker,IF(AND(BT$29&gt;#REF!,BT$29&lt;=#REF!+#REF!),$G$5,"")),"")</f>
        <v/>
      </c>
      <c r="BT94" s="37" t="str">
        <f ca="1">IFERROR(+IF(BU$29=#REF!,Milestone_Marker,IF(AND(BU$29&gt;#REF!,BU$29&lt;=#REF!+#REF!),$G$5,"")),"")</f>
        <v/>
      </c>
      <c r="BU94" s="37" t="str">
        <f ca="1">IFERROR(+IF(BV$29=#REF!,Milestone_Marker,IF(AND(BV$29&gt;#REF!,BV$29&lt;=#REF!+#REF!),$G$5,"")),"")</f>
        <v/>
      </c>
      <c r="BV94" s="37" t="str">
        <f ca="1">IFERROR(+IF(BW$29=#REF!,Milestone_Marker,IF(AND(BW$29&gt;#REF!,BW$29&lt;=#REF!+#REF!),$G$5,"")),"")</f>
        <v/>
      </c>
      <c r="BW94" s="37" t="str">
        <f ca="1">IFERROR(+IF(BX$29=#REF!,Milestone_Marker,IF(AND(BX$29&gt;#REF!,BX$29&lt;=#REF!+#REF!),$G$5,"")),"")</f>
        <v/>
      </c>
      <c r="BX94" s="37" t="str">
        <f ca="1">IFERROR(+IF(BY$29=#REF!,Milestone_Marker,IF(AND(BY$29&gt;#REF!,BY$29&lt;=#REF!+#REF!),$G$5,"")),"")</f>
        <v/>
      </c>
      <c r="BY94" s="37" t="str">
        <f ca="1">IFERROR(+IF(BZ$29=#REF!,Milestone_Marker,IF(AND(BZ$29&gt;#REF!,BZ$29&lt;=#REF!+#REF!),$G$5,"")),"")</f>
        <v/>
      </c>
      <c r="BZ94" s="37" t="str">
        <f ca="1">IFERROR(+IF(CA$29=#REF!,Milestone_Marker,IF(AND(CA$29&gt;#REF!,CA$29&lt;=#REF!+#REF!),$G$5,"")),"")</f>
        <v/>
      </c>
      <c r="CA94" s="37" t="str">
        <f ca="1">IFERROR(+IF(CB$29=#REF!,Milestone_Marker,IF(AND(CB$29&gt;#REF!,CB$29&lt;=#REF!+#REF!),$G$5,"")),"")</f>
        <v/>
      </c>
      <c r="CB94" s="37" t="str">
        <f ca="1">IFERROR(+IF(CC$29=#REF!,Milestone_Marker,IF(AND(CC$29&gt;#REF!,CC$29&lt;=#REF!+#REF!),$G$5,"")),"")</f>
        <v/>
      </c>
      <c r="CC94" s="37" t="str">
        <f ca="1">IFERROR(+IF(CD$29=#REF!,Milestone_Marker,IF(AND(CD$29&gt;#REF!,CD$29&lt;=#REF!+#REF!),$G$5,"")),"")</f>
        <v/>
      </c>
      <c r="CD94" s="37" t="str">
        <f ca="1">IFERROR(+IF(CE$29=#REF!,Milestone_Marker,IF(AND(CE$29&gt;#REF!,CE$29&lt;=#REF!+#REF!),$G$5,"")),"")</f>
        <v/>
      </c>
      <c r="CE94" s="37" t="str">
        <f ca="1">IFERROR(+IF(CF$29=#REF!,Milestone_Marker,IF(AND(CF$29&gt;#REF!,CF$29&lt;=#REF!+#REF!),$G$5,"")),"")</f>
        <v/>
      </c>
      <c r="CF94" s="37" t="str">
        <f ca="1">IFERROR(+IF(CG$29=#REF!,Milestone_Marker,IF(AND(CG$29&gt;#REF!,CG$29&lt;=#REF!+#REF!),$G$5,"")),"")</f>
        <v/>
      </c>
      <c r="CG94" s="37" t="str">
        <f ca="1">IFERROR(+IF(CH$29=#REF!,Milestone_Marker,IF(AND(CH$29&gt;#REF!,CH$29&lt;=#REF!+#REF!),$G$5,"")),"")</f>
        <v/>
      </c>
      <c r="CH94" s="37" t="str">
        <f ca="1">IFERROR(+IF(CI$29=#REF!,Milestone_Marker,IF(AND(CI$29&gt;#REF!,CI$29&lt;=#REF!+#REF!),$G$5,"")),"")</f>
        <v/>
      </c>
      <c r="CI94" s="37" t="str">
        <f ca="1">IFERROR(+IF(CJ$29=#REF!,Milestone_Marker,IF(AND(CJ$29&gt;#REF!,CJ$29&lt;=#REF!+#REF!),$G$5,"")),"")</f>
        <v/>
      </c>
      <c r="CJ94" s="37" t="str">
        <f ca="1">IFERROR(+IF(CK$29=#REF!,Milestone_Marker,IF(AND(CK$29&gt;#REF!,CK$29&lt;=#REF!+#REF!),$G$5,"")),"")</f>
        <v/>
      </c>
      <c r="CK94" s="37" t="str">
        <f ca="1">IFERROR(+IF(CL$29=#REF!,Milestone_Marker,IF(AND(CL$29&gt;#REF!,CL$29&lt;=#REF!+#REF!),$G$5,"")),"")</f>
        <v/>
      </c>
      <c r="CL94" s="37" t="str">
        <f ca="1">IFERROR(+IF(CM$29=#REF!,Milestone_Marker,IF(AND(CM$29&gt;#REF!,CM$29&lt;=#REF!+#REF!),$G$5,"")),"")</f>
        <v/>
      </c>
      <c r="CM94" s="37" t="str">
        <f ca="1">IFERROR(+IF(CN$29=#REF!,Milestone_Marker,IF(AND(CN$29&gt;#REF!,CN$29&lt;=#REF!+#REF!),$G$5,"")),"")</f>
        <v/>
      </c>
      <c r="CN94" s="37" t="str">
        <f ca="1">IFERROR(+IF(CO$29=#REF!,Milestone_Marker,IF(AND(CO$29&gt;#REF!,CO$29&lt;=#REF!+#REF!),$G$5,"")),"")</f>
        <v/>
      </c>
      <c r="CO94" s="37" t="str">
        <f ca="1">IFERROR(+IF(CP$29=#REF!,Milestone_Marker,IF(AND(CP$29&gt;#REF!,CP$29&lt;=#REF!+#REF!),$G$5,"")),"")</f>
        <v/>
      </c>
      <c r="CP94" s="37" t="str">
        <f ca="1">IFERROR(+IF(CQ$29=#REF!,Milestone_Marker,IF(AND(CQ$29&gt;#REF!,CQ$29&lt;=#REF!+#REF!),$G$5,"")),"")</f>
        <v/>
      </c>
      <c r="CQ94" s="37" t="str">
        <f ca="1">IFERROR(+IF(CR$29=#REF!,Milestone_Marker,IF(AND(CR$29&gt;#REF!,CR$29&lt;=#REF!+#REF!),$G$5,"")),"")</f>
        <v/>
      </c>
      <c r="CR94" s="37" t="str">
        <f ca="1">IFERROR(+IF(CS$29=#REF!,Milestone_Marker,IF(AND(CS$29&gt;#REF!,CS$29&lt;=#REF!+#REF!),$G$5,"")),"")</f>
        <v/>
      </c>
      <c r="CS94" s="37" t="str">
        <f ca="1">IFERROR(+IF(CT$29=#REF!,Milestone_Marker,IF(AND(CT$29&gt;#REF!,CT$29&lt;=#REF!+#REF!),$G$5,"")),"")</f>
        <v/>
      </c>
      <c r="CT94" s="37" t="str">
        <f ca="1">IFERROR(+IF(CU$29=#REF!,Milestone_Marker,IF(AND(CU$29&gt;#REF!,CU$29&lt;=#REF!+#REF!),$G$5,"")),"")</f>
        <v/>
      </c>
    </row>
    <row r="95" spans="1:125" ht="18" customHeight="1" x14ac:dyDescent="0.25">
      <c r="P95" s="37" t="str">
        <f ca="1">IFERROR(+IF(Q$29=#REF!,Milestone_Marker,IF(AND(Q$29&gt;#REF!,Q$29&lt;=#REF!+#REF!),$G$5,"")),"")</f>
        <v/>
      </c>
      <c r="Q95" s="37" t="str">
        <f ca="1">IFERROR(+IF(R$29=#REF!,Milestone_Marker,IF(AND(R$29&gt;#REF!,R$29&lt;=#REF!+#REF!),$G$5,"")),"")</f>
        <v/>
      </c>
      <c r="R95" s="37" t="str">
        <f ca="1">IFERROR(+IF(S$29=#REF!,Milestone_Marker,IF(AND(S$29&gt;#REF!,S$29&lt;=#REF!+#REF!),$G$5,"")),"")</f>
        <v/>
      </c>
      <c r="S95" s="37" t="str">
        <f ca="1">IFERROR(+IF(T$29=#REF!,Milestone_Marker,IF(AND(T$29&gt;#REF!,T$29&lt;=#REF!+#REF!),$G$5,"")),"")</f>
        <v/>
      </c>
      <c r="T95" s="37" t="str">
        <f ca="1">IFERROR(+IF(U$29=#REF!,Milestone_Marker,IF(AND(U$29&gt;#REF!,U$29&lt;=#REF!+#REF!),$G$5,"")),"")</f>
        <v/>
      </c>
      <c r="U95" s="37" t="str">
        <f ca="1">IFERROR(+IF(V$29=#REF!,Milestone_Marker,IF(AND(V$29&gt;#REF!,V$29&lt;=#REF!+#REF!),$G$5,"")),"")</f>
        <v/>
      </c>
      <c r="V95" s="37" t="str">
        <f ca="1">IFERROR(+IF(W$29=#REF!,Milestone_Marker,IF(AND(W$29&gt;#REF!,W$29&lt;=#REF!+#REF!),$G$5,"")),"")</f>
        <v/>
      </c>
      <c r="W95" s="37" t="str">
        <f ca="1">IFERROR(+IF(X$29=#REF!,Milestone_Marker,IF(AND(X$29&gt;#REF!,X$29&lt;=#REF!+#REF!),$G$5,"")),"")</f>
        <v/>
      </c>
      <c r="X95" s="37" t="str">
        <f ca="1">IFERROR(+IF(Y$29=#REF!,Milestone_Marker,IF(AND(Y$29&gt;#REF!,Y$29&lt;=#REF!+#REF!),$G$5,"")),"")</f>
        <v/>
      </c>
      <c r="Y95" s="37" t="str">
        <f ca="1">IFERROR(+IF(Z$29=#REF!,Milestone_Marker,IF(AND(Z$29&gt;#REF!,Z$29&lt;=#REF!+#REF!),$G$5,"")),"")</f>
        <v/>
      </c>
      <c r="Z95" s="37" t="str">
        <f ca="1">IFERROR(+IF(AA$29=#REF!,Milestone_Marker,IF(AND(AA$29&gt;#REF!,AA$29&lt;=#REF!+#REF!),$G$5,"")),"")</f>
        <v/>
      </c>
      <c r="AA95" s="37" t="str">
        <f ca="1">IFERROR(+IF(AB$29=#REF!,Milestone_Marker,IF(AND(AB$29&gt;#REF!,AB$29&lt;=#REF!+#REF!),$G$5,"")),"")</f>
        <v/>
      </c>
      <c r="AB95" s="37" t="str">
        <f ca="1">IFERROR(+IF(AC$29=#REF!,Milestone_Marker,IF(AND(AC$29&gt;#REF!,AC$29&lt;=#REF!+#REF!),$G$5,"")),"")</f>
        <v/>
      </c>
      <c r="AC95" s="37" t="str">
        <f ca="1">IFERROR(+IF(AD$29=#REF!,Milestone_Marker,IF(AND(AD$29&gt;#REF!,AD$29&lt;=#REF!+#REF!),$G$5,"")),"")</f>
        <v/>
      </c>
      <c r="AD95" s="37" t="str">
        <f ca="1">IFERROR(+IF(AE$29=#REF!,Milestone_Marker,IF(AND(AE$29&gt;#REF!,AE$29&lt;=#REF!+#REF!),$G$5,"")),"")</f>
        <v/>
      </c>
      <c r="AE95" s="37" t="str">
        <f ca="1">IFERROR(+IF(AF$29=#REF!,Milestone_Marker,IF(AND(AF$29&gt;#REF!,AF$29&lt;=#REF!+#REF!),$G$5,"")),"")</f>
        <v/>
      </c>
      <c r="AF95" s="37" t="str">
        <f ca="1">IFERROR(+IF(AG$29=#REF!,Milestone_Marker,IF(AND(AG$29&gt;#REF!,AG$29&lt;=#REF!+#REF!),$G$5,"")),"")</f>
        <v/>
      </c>
      <c r="AG95" s="37" t="str">
        <f ca="1">IFERROR(+IF(AH$29=#REF!,Milestone_Marker,IF(AND(AH$29&gt;#REF!,AH$29&lt;=#REF!+#REF!),$G$5,"")),"")</f>
        <v/>
      </c>
      <c r="AH95" s="37" t="str">
        <f ca="1">IFERROR(+IF(AI$29=#REF!,Milestone_Marker,IF(AND(AI$29&gt;#REF!,AI$29&lt;=#REF!+#REF!),$G$5,"")),"")</f>
        <v/>
      </c>
      <c r="AI95" s="37" t="str">
        <f ca="1">IFERROR(+IF(AJ$29=#REF!,Milestone_Marker,IF(AND(AJ$29&gt;#REF!,AJ$29&lt;=#REF!+#REF!),$G$5,"")),"")</f>
        <v/>
      </c>
      <c r="AJ95" s="37" t="str">
        <f ca="1">IFERROR(+IF(AK$29=#REF!,Milestone_Marker,IF(AND(AK$29&gt;#REF!,AK$29&lt;=#REF!+#REF!),$G$5,"")),"")</f>
        <v/>
      </c>
      <c r="AK95" s="37" t="str">
        <f ca="1">IFERROR(+IF(AL$29=#REF!,Milestone_Marker,IF(AND(AL$29&gt;#REF!,AL$29&lt;=#REF!+#REF!),$G$5,"")),"")</f>
        <v/>
      </c>
      <c r="AL95" s="37" t="str">
        <f ca="1">IFERROR(+IF(AM$29=#REF!,Milestone_Marker,IF(AND(AM$29&gt;#REF!,AM$29&lt;=#REF!+#REF!),$G$5,"")),"")</f>
        <v/>
      </c>
      <c r="AM95" s="37" t="str">
        <f ca="1">IFERROR(+IF(AN$29=#REF!,Milestone_Marker,IF(AND(AN$29&gt;#REF!,AN$29&lt;=#REF!+#REF!),$G$5,"")),"")</f>
        <v/>
      </c>
      <c r="AN95" s="37" t="str">
        <f ca="1">IFERROR(+IF(AO$29=#REF!,Milestone_Marker,IF(AND(AO$29&gt;#REF!,AO$29&lt;=#REF!+#REF!),$G$5,"")),"")</f>
        <v/>
      </c>
      <c r="AO95" s="37" t="str">
        <f ca="1">IFERROR(+IF(AP$29=#REF!,Milestone_Marker,IF(AND(AP$29&gt;#REF!,AP$29&lt;=#REF!+#REF!),$G$5,"")),"")</f>
        <v/>
      </c>
      <c r="AP95" s="37" t="str">
        <f ca="1">IFERROR(+IF(AQ$29=#REF!,Milestone_Marker,IF(AND(AQ$29&gt;#REF!,AQ$29&lt;=#REF!+#REF!),$G$5,"")),"")</f>
        <v/>
      </c>
      <c r="AQ95" s="37" t="str">
        <f ca="1">IFERROR(+IF(AR$29=#REF!,Milestone_Marker,IF(AND(AR$29&gt;#REF!,AR$29&lt;=#REF!+#REF!),$G$5,"")),"")</f>
        <v/>
      </c>
      <c r="AR95" s="37" t="str">
        <f ca="1">IFERROR(+IF(AS$29=#REF!,Milestone_Marker,IF(AND(AS$29&gt;#REF!,AS$29&lt;=#REF!+#REF!),$G$5,"")),"")</f>
        <v/>
      </c>
      <c r="AS95" s="37" t="str">
        <f ca="1">IFERROR(+IF(AT$29=#REF!,Milestone_Marker,IF(AND(AT$29&gt;#REF!,AT$29&lt;=#REF!+#REF!),$G$5,"")),"")</f>
        <v/>
      </c>
      <c r="AT95" s="37" t="str">
        <f ca="1">IFERROR(+IF(AU$29=#REF!,Milestone_Marker,IF(AND(AU$29&gt;#REF!,AU$29&lt;=#REF!+#REF!),$G$5,"")),"")</f>
        <v/>
      </c>
      <c r="AU95" s="37" t="str">
        <f ca="1">IFERROR(+IF(AV$29=#REF!,Milestone_Marker,IF(AND(AV$29&gt;#REF!,AV$29&lt;=#REF!+#REF!),$G$5,"")),"")</f>
        <v/>
      </c>
      <c r="AV95" s="37" t="str">
        <f ca="1">IFERROR(+IF(AW$29=#REF!,Milestone_Marker,IF(AND(AW$29&gt;#REF!,AW$29&lt;=#REF!+#REF!),$G$5,"")),"")</f>
        <v/>
      </c>
      <c r="AW95" s="37" t="str">
        <f ca="1">IFERROR(+IF(AX$29=#REF!,Milestone_Marker,IF(AND(AX$29&gt;#REF!,AX$29&lt;=#REF!+#REF!),$G$5,"")),"")</f>
        <v/>
      </c>
      <c r="AX95" s="37" t="str">
        <f ca="1">IFERROR(+IF(AY$29=#REF!,Milestone_Marker,IF(AND(AY$29&gt;#REF!,AY$29&lt;=#REF!+#REF!),$G$5,"")),"")</f>
        <v/>
      </c>
      <c r="AY95" s="37" t="str">
        <f ca="1">IFERROR(+IF(AZ$29=#REF!,Milestone_Marker,IF(AND(AZ$29&gt;#REF!,AZ$29&lt;=#REF!+#REF!),$G$5,"")),"")</f>
        <v/>
      </c>
      <c r="AZ95" s="37" t="str">
        <f ca="1">IFERROR(+IF(BA$29=#REF!,Milestone_Marker,IF(AND(BA$29&gt;#REF!,BA$29&lt;=#REF!+#REF!),$G$5,"")),"")</f>
        <v/>
      </c>
      <c r="BA95" s="37" t="str">
        <f ca="1">IFERROR(+IF(BB$29=#REF!,Milestone_Marker,IF(AND(BB$29&gt;#REF!,BB$29&lt;=#REF!+#REF!),$G$5,"")),"")</f>
        <v/>
      </c>
      <c r="BB95" s="37" t="str">
        <f ca="1">IFERROR(+IF(BC$29=#REF!,Milestone_Marker,IF(AND(BC$29&gt;#REF!,BC$29&lt;=#REF!+#REF!),$G$5,"")),"")</f>
        <v/>
      </c>
      <c r="BC95" s="37" t="str">
        <f ca="1">IFERROR(+IF(BD$29=#REF!,Milestone_Marker,IF(AND(BD$29&gt;#REF!,BD$29&lt;=#REF!+#REF!),$G$5,"")),"")</f>
        <v/>
      </c>
      <c r="BD95" s="37" t="str">
        <f ca="1">IFERROR(+IF(BE$29=#REF!,Milestone_Marker,IF(AND(BE$29&gt;#REF!,BE$29&lt;=#REF!+#REF!),$G$5,"")),"")</f>
        <v/>
      </c>
      <c r="BE95" s="37" t="str">
        <f ca="1">IFERROR(+IF(BF$29=#REF!,Milestone_Marker,IF(AND(BF$29&gt;#REF!,BF$29&lt;=#REF!+#REF!),$G$5,"")),"")</f>
        <v/>
      </c>
      <c r="BF95" s="37" t="str">
        <f ca="1">IFERROR(+IF(BG$29=#REF!,Milestone_Marker,IF(AND(BG$29&gt;#REF!,BG$29&lt;=#REF!+#REF!),$G$5,"")),"")</f>
        <v/>
      </c>
      <c r="BG95" s="37" t="str">
        <f ca="1">IFERROR(+IF(BH$29=#REF!,Milestone_Marker,IF(AND(BH$29&gt;#REF!,BH$29&lt;=#REF!+#REF!),$G$5,"")),"")</f>
        <v/>
      </c>
      <c r="BH95" s="37" t="str">
        <f ca="1">IFERROR(+IF(BI$29=#REF!,Milestone_Marker,IF(AND(BI$29&gt;#REF!,BI$29&lt;=#REF!+#REF!),$G$5,"")),"")</f>
        <v/>
      </c>
      <c r="BI95" s="37" t="str">
        <f ca="1">IFERROR(+IF(BJ$29=#REF!,Milestone_Marker,IF(AND(BJ$29&gt;#REF!,BJ$29&lt;=#REF!+#REF!),$G$5,"")),"")</f>
        <v/>
      </c>
      <c r="BJ95" s="37" t="str">
        <f ca="1">IFERROR(+IF(BK$29=#REF!,Milestone_Marker,IF(AND(BK$29&gt;#REF!,BK$29&lt;=#REF!+#REF!),$G$5,"")),"")</f>
        <v/>
      </c>
      <c r="BK95" s="37" t="str">
        <f ca="1">IFERROR(+IF(BL$29=#REF!,Milestone_Marker,IF(AND(BL$29&gt;#REF!,BL$29&lt;=#REF!+#REF!),$G$5,"")),"")</f>
        <v/>
      </c>
      <c r="BL95" s="37" t="str">
        <f ca="1">IFERROR(+IF(BM$29=#REF!,Milestone_Marker,IF(AND(BM$29&gt;#REF!,BM$29&lt;=#REF!+#REF!),$G$5,"")),"")</f>
        <v/>
      </c>
      <c r="BM95" s="37" t="str">
        <f ca="1">IFERROR(+IF(BN$29=#REF!,Milestone_Marker,IF(AND(BN$29&gt;#REF!,BN$29&lt;=#REF!+#REF!),$G$5,"")),"")</f>
        <v/>
      </c>
      <c r="BN95" s="37" t="str">
        <f ca="1">IFERROR(+IF(BO$29=#REF!,Milestone_Marker,IF(AND(BO$29&gt;#REF!,BO$29&lt;=#REF!+#REF!),$G$5,"")),"")</f>
        <v/>
      </c>
      <c r="BO95" s="37" t="str">
        <f ca="1">IFERROR(+IF(BP$29=#REF!,Milestone_Marker,IF(AND(BP$29&gt;#REF!,BP$29&lt;=#REF!+#REF!),$G$5,"")),"")</f>
        <v/>
      </c>
      <c r="BP95" s="37" t="str">
        <f ca="1">IFERROR(+IF(BQ$29=#REF!,Milestone_Marker,IF(AND(BQ$29&gt;#REF!,BQ$29&lt;=#REF!+#REF!),$G$5,"")),"")</f>
        <v/>
      </c>
      <c r="BQ95" s="37" t="str">
        <f ca="1">IFERROR(+IF(BR$29=#REF!,Milestone_Marker,IF(AND(BR$29&gt;#REF!,BR$29&lt;=#REF!+#REF!),$G$5,"")),"")</f>
        <v/>
      </c>
      <c r="BR95" s="37" t="str">
        <f ca="1">IFERROR(+IF(BS$29=#REF!,Milestone_Marker,IF(AND(BS$29&gt;#REF!,BS$29&lt;=#REF!+#REF!),$G$5,"")),"")</f>
        <v/>
      </c>
      <c r="BS95" s="37" t="str">
        <f ca="1">IFERROR(+IF(BT$29=#REF!,Milestone_Marker,IF(AND(BT$29&gt;#REF!,BT$29&lt;=#REF!+#REF!),$G$5,"")),"")</f>
        <v/>
      </c>
      <c r="BT95" s="37" t="str">
        <f ca="1">IFERROR(+IF(BU$29=#REF!,Milestone_Marker,IF(AND(BU$29&gt;#REF!,BU$29&lt;=#REF!+#REF!),$G$5,"")),"")</f>
        <v/>
      </c>
      <c r="BU95" s="37" t="str">
        <f ca="1">IFERROR(+IF(BV$29=#REF!,Milestone_Marker,IF(AND(BV$29&gt;#REF!,BV$29&lt;=#REF!+#REF!),$G$5,"")),"")</f>
        <v/>
      </c>
      <c r="BV95" s="37" t="str">
        <f ca="1">IFERROR(+IF(BW$29=#REF!,Milestone_Marker,IF(AND(BW$29&gt;#REF!,BW$29&lt;=#REF!+#REF!),$G$5,"")),"")</f>
        <v/>
      </c>
      <c r="BW95" s="37" t="str">
        <f ca="1">IFERROR(+IF(BX$29=#REF!,Milestone_Marker,IF(AND(BX$29&gt;#REF!,BX$29&lt;=#REF!+#REF!),$G$5,"")),"")</f>
        <v/>
      </c>
      <c r="BX95" s="37" t="str">
        <f ca="1">IFERROR(+IF(BY$29=#REF!,Milestone_Marker,IF(AND(BY$29&gt;#REF!,BY$29&lt;=#REF!+#REF!),$G$5,"")),"")</f>
        <v/>
      </c>
      <c r="BY95" s="37" t="str">
        <f ca="1">IFERROR(+IF(BZ$29=#REF!,Milestone_Marker,IF(AND(BZ$29&gt;#REF!,BZ$29&lt;=#REF!+#REF!),$G$5,"")),"")</f>
        <v/>
      </c>
      <c r="BZ95" s="37" t="str">
        <f ca="1">IFERROR(+IF(CA$29=#REF!,Milestone_Marker,IF(AND(CA$29&gt;#REF!,CA$29&lt;=#REF!+#REF!),$G$5,"")),"")</f>
        <v/>
      </c>
      <c r="CA95" s="37" t="str">
        <f ca="1">IFERROR(+IF(CB$29=#REF!,Milestone_Marker,IF(AND(CB$29&gt;#REF!,CB$29&lt;=#REF!+#REF!),$G$5,"")),"")</f>
        <v/>
      </c>
      <c r="CB95" s="37" t="str">
        <f ca="1">IFERROR(+IF(CC$29=#REF!,Milestone_Marker,IF(AND(CC$29&gt;#REF!,CC$29&lt;=#REF!+#REF!),$G$5,"")),"")</f>
        <v/>
      </c>
      <c r="CC95" s="37" t="str">
        <f ca="1">IFERROR(+IF(CD$29=#REF!,Milestone_Marker,IF(AND(CD$29&gt;#REF!,CD$29&lt;=#REF!+#REF!),$G$5,"")),"")</f>
        <v/>
      </c>
      <c r="CD95" s="37" t="str">
        <f ca="1">IFERROR(+IF(CE$29=#REF!,Milestone_Marker,IF(AND(CE$29&gt;#REF!,CE$29&lt;=#REF!+#REF!),$G$5,"")),"")</f>
        <v/>
      </c>
      <c r="CE95" s="37" t="str">
        <f ca="1">IFERROR(+IF(CF$29=#REF!,Milestone_Marker,IF(AND(CF$29&gt;#REF!,CF$29&lt;=#REF!+#REF!),$G$5,"")),"")</f>
        <v/>
      </c>
      <c r="CF95" s="37" t="str">
        <f ca="1">IFERROR(+IF(CG$29=#REF!,Milestone_Marker,IF(AND(CG$29&gt;#REF!,CG$29&lt;=#REF!+#REF!),$G$5,"")),"")</f>
        <v/>
      </c>
      <c r="CG95" s="37" t="str">
        <f ca="1">IFERROR(+IF(CH$29=#REF!,Milestone_Marker,IF(AND(CH$29&gt;#REF!,CH$29&lt;=#REF!+#REF!),$G$5,"")),"")</f>
        <v/>
      </c>
      <c r="CH95" s="37" t="str">
        <f ca="1">IFERROR(+IF(CI$29=#REF!,Milestone_Marker,IF(AND(CI$29&gt;#REF!,CI$29&lt;=#REF!+#REF!),$G$5,"")),"")</f>
        <v/>
      </c>
      <c r="CI95" s="37" t="str">
        <f ca="1">IFERROR(+IF(CJ$29=#REF!,Milestone_Marker,IF(AND(CJ$29&gt;#REF!,CJ$29&lt;=#REF!+#REF!),$G$5,"")),"")</f>
        <v/>
      </c>
      <c r="CJ95" s="37" t="str">
        <f ca="1">IFERROR(+IF(CK$29=#REF!,Milestone_Marker,IF(AND(CK$29&gt;#REF!,CK$29&lt;=#REF!+#REF!),$G$5,"")),"")</f>
        <v/>
      </c>
      <c r="CK95" s="37" t="str">
        <f ca="1">IFERROR(+IF(CL$29=#REF!,Milestone_Marker,IF(AND(CL$29&gt;#REF!,CL$29&lt;=#REF!+#REF!),$G$5,"")),"")</f>
        <v/>
      </c>
      <c r="CL95" s="37" t="str">
        <f ca="1">IFERROR(+IF(CM$29=#REF!,Milestone_Marker,IF(AND(CM$29&gt;#REF!,CM$29&lt;=#REF!+#REF!),$G$5,"")),"")</f>
        <v/>
      </c>
      <c r="CM95" s="37" t="str">
        <f ca="1">IFERROR(+IF(CN$29=#REF!,Milestone_Marker,IF(AND(CN$29&gt;#REF!,CN$29&lt;=#REF!+#REF!),$G$5,"")),"")</f>
        <v/>
      </c>
      <c r="CN95" s="37" t="str">
        <f ca="1">IFERROR(+IF(CO$29=#REF!,Milestone_Marker,IF(AND(CO$29&gt;#REF!,CO$29&lt;=#REF!+#REF!),$G$5,"")),"")</f>
        <v/>
      </c>
      <c r="CO95" s="37" t="str">
        <f ca="1">IFERROR(+IF(CP$29=#REF!,Milestone_Marker,IF(AND(CP$29&gt;#REF!,CP$29&lt;=#REF!+#REF!),$G$5,"")),"")</f>
        <v/>
      </c>
      <c r="CP95" s="37" t="str">
        <f ca="1">IFERROR(+IF(CQ$29=#REF!,Milestone_Marker,IF(AND(CQ$29&gt;#REF!,CQ$29&lt;=#REF!+#REF!),$G$5,"")),"")</f>
        <v/>
      </c>
      <c r="CQ95" s="37" t="str">
        <f ca="1">IFERROR(+IF(CR$29=#REF!,Milestone_Marker,IF(AND(CR$29&gt;#REF!,CR$29&lt;=#REF!+#REF!),$G$5,"")),"")</f>
        <v/>
      </c>
      <c r="CR95" s="37" t="str">
        <f ca="1">IFERROR(+IF(CS$29=#REF!,Milestone_Marker,IF(AND(CS$29&gt;#REF!,CS$29&lt;=#REF!+#REF!),$G$5,"")),"")</f>
        <v/>
      </c>
      <c r="CS95" s="37" t="str">
        <f ca="1">IFERROR(+IF(CT$29=#REF!,Milestone_Marker,IF(AND(CT$29&gt;#REF!,CT$29&lt;=#REF!+#REF!),$G$5,"")),"")</f>
        <v/>
      </c>
      <c r="CT95" s="37" t="str">
        <f ca="1">IFERROR(+IF(CU$29=#REF!,Milestone_Marker,IF(AND(CU$29&gt;#REF!,CU$29&lt;=#REF!+#REF!),$G$5,"")),"")</f>
        <v/>
      </c>
    </row>
    <row r="96" spans="1:125" ht="18" customHeight="1" x14ac:dyDescent="0.25">
      <c r="P96" s="37" t="str">
        <f ca="1">IFERROR(+IF(Q$29=#REF!,Milestone_Marker,IF(AND(Q$29&gt;#REF!,Q$29&lt;=#REF!+#REF!),$G$5,"")),"")</f>
        <v/>
      </c>
      <c r="Q96" s="37" t="str">
        <f ca="1">IFERROR(+IF(R$29=#REF!,Milestone_Marker,IF(AND(R$29&gt;#REF!,R$29&lt;=#REF!+#REF!),$G$5,"")),"")</f>
        <v/>
      </c>
      <c r="R96" s="37" t="str">
        <f ca="1">IFERROR(+IF(S$29=#REF!,Milestone_Marker,IF(AND(S$29&gt;#REF!,S$29&lt;=#REF!+#REF!),$G$5,"")),"")</f>
        <v/>
      </c>
      <c r="S96" s="37" t="str">
        <f ca="1">IFERROR(+IF(T$29=#REF!,Milestone_Marker,IF(AND(T$29&gt;#REF!,T$29&lt;=#REF!+#REF!),$G$5,"")),"")</f>
        <v/>
      </c>
      <c r="T96" s="37" t="str">
        <f ca="1">IFERROR(+IF(U$29=#REF!,Milestone_Marker,IF(AND(U$29&gt;#REF!,U$29&lt;=#REF!+#REF!),$G$5,"")),"")</f>
        <v/>
      </c>
      <c r="U96" s="37" t="str">
        <f ca="1">IFERROR(+IF(V$29=#REF!,Milestone_Marker,IF(AND(V$29&gt;#REF!,V$29&lt;=#REF!+#REF!),$G$5,"")),"")</f>
        <v/>
      </c>
      <c r="V96" s="37" t="str">
        <f ca="1">IFERROR(+IF(W$29=#REF!,Milestone_Marker,IF(AND(W$29&gt;#REF!,W$29&lt;=#REF!+#REF!),$G$5,"")),"")</f>
        <v/>
      </c>
      <c r="W96" s="37" t="str">
        <f ca="1">IFERROR(+IF(X$29=#REF!,Milestone_Marker,IF(AND(X$29&gt;#REF!,X$29&lt;=#REF!+#REF!),$G$5,"")),"")</f>
        <v/>
      </c>
      <c r="X96" s="37" t="str">
        <f ca="1">IFERROR(+IF(Y$29=#REF!,Milestone_Marker,IF(AND(Y$29&gt;#REF!,Y$29&lt;=#REF!+#REF!),$G$5,"")),"")</f>
        <v/>
      </c>
      <c r="Y96" s="37" t="str">
        <f ca="1">IFERROR(+IF(Z$29=#REF!,Milestone_Marker,IF(AND(Z$29&gt;#REF!,Z$29&lt;=#REF!+#REF!),$G$5,"")),"")</f>
        <v/>
      </c>
      <c r="Z96" s="37" t="str">
        <f ca="1">IFERROR(+IF(AA$29=#REF!,Milestone_Marker,IF(AND(AA$29&gt;#REF!,AA$29&lt;=#REF!+#REF!),$G$5,"")),"")</f>
        <v/>
      </c>
      <c r="AA96" s="37" t="str">
        <f ca="1">IFERROR(+IF(AB$29=#REF!,Milestone_Marker,IF(AND(AB$29&gt;#REF!,AB$29&lt;=#REF!+#REF!),$G$5,"")),"")</f>
        <v/>
      </c>
      <c r="AB96" s="37" t="str">
        <f ca="1">IFERROR(+IF(AC$29=#REF!,Milestone_Marker,IF(AND(AC$29&gt;#REF!,AC$29&lt;=#REF!+#REF!),$G$5,"")),"")</f>
        <v/>
      </c>
      <c r="AC96" s="37" t="str">
        <f ca="1">IFERROR(+IF(AD$29=#REF!,Milestone_Marker,IF(AND(AD$29&gt;#REF!,AD$29&lt;=#REF!+#REF!),$G$5,"")),"")</f>
        <v/>
      </c>
      <c r="AD96" s="37" t="str">
        <f ca="1">IFERROR(+IF(AE$29=#REF!,Milestone_Marker,IF(AND(AE$29&gt;#REF!,AE$29&lt;=#REF!+#REF!),$G$5,"")),"")</f>
        <v/>
      </c>
      <c r="AE96" s="37" t="str">
        <f ca="1">IFERROR(+IF(AF$29=#REF!,Milestone_Marker,IF(AND(AF$29&gt;#REF!,AF$29&lt;=#REF!+#REF!),$G$5,"")),"")</f>
        <v/>
      </c>
      <c r="AF96" s="37" t="str">
        <f ca="1">IFERROR(+IF(AG$29=#REF!,Milestone_Marker,IF(AND(AG$29&gt;#REF!,AG$29&lt;=#REF!+#REF!),$G$5,"")),"")</f>
        <v/>
      </c>
      <c r="AG96" s="37" t="str">
        <f ca="1">IFERROR(+IF(AH$29=#REF!,Milestone_Marker,IF(AND(AH$29&gt;#REF!,AH$29&lt;=#REF!+#REF!),$G$5,"")),"")</f>
        <v/>
      </c>
      <c r="AH96" s="37" t="str">
        <f ca="1">IFERROR(+IF(AI$29=#REF!,Milestone_Marker,IF(AND(AI$29&gt;#REF!,AI$29&lt;=#REF!+#REF!),$G$5,"")),"")</f>
        <v/>
      </c>
      <c r="AI96" s="37" t="str">
        <f ca="1">IFERROR(+IF(AJ$29=#REF!,Milestone_Marker,IF(AND(AJ$29&gt;#REF!,AJ$29&lt;=#REF!+#REF!),$G$5,"")),"")</f>
        <v/>
      </c>
      <c r="AJ96" s="37" t="str">
        <f ca="1">IFERROR(+IF(AK$29=#REF!,Milestone_Marker,IF(AND(AK$29&gt;#REF!,AK$29&lt;=#REF!+#REF!),$G$5,"")),"")</f>
        <v/>
      </c>
      <c r="AK96" s="37" t="str">
        <f ca="1">IFERROR(+IF(AL$29=#REF!,Milestone_Marker,IF(AND(AL$29&gt;#REF!,AL$29&lt;=#REF!+#REF!),$G$5,"")),"")</f>
        <v/>
      </c>
      <c r="AL96" s="37" t="str">
        <f ca="1">IFERROR(+IF(AM$29=#REF!,Milestone_Marker,IF(AND(AM$29&gt;#REF!,AM$29&lt;=#REF!+#REF!),$G$5,"")),"")</f>
        <v/>
      </c>
      <c r="AM96" s="37" t="str">
        <f ca="1">IFERROR(+IF(AN$29=#REF!,Milestone_Marker,IF(AND(AN$29&gt;#REF!,AN$29&lt;=#REF!+#REF!),$G$5,"")),"")</f>
        <v/>
      </c>
      <c r="AN96" s="37" t="str">
        <f ca="1">IFERROR(+IF(AO$29=#REF!,Milestone_Marker,IF(AND(AO$29&gt;#REF!,AO$29&lt;=#REF!+#REF!),$G$5,"")),"")</f>
        <v/>
      </c>
      <c r="AO96" s="37" t="str">
        <f ca="1">IFERROR(+IF(AP$29=#REF!,Milestone_Marker,IF(AND(AP$29&gt;#REF!,AP$29&lt;=#REF!+#REF!),$G$5,"")),"")</f>
        <v/>
      </c>
      <c r="AP96" s="37" t="str">
        <f ca="1">IFERROR(+IF(AQ$29=#REF!,Milestone_Marker,IF(AND(AQ$29&gt;#REF!,AQ$29&lt;=#REF!+#REF!),$G$5,"")),"")</f>
        <v/>
      </c>
      <c r="AQ96" s="37" t="str">
        <f ca="1">IFERROR(+IF(AR$29=#REF!,Milestone_Marker,IF(AND(AR$29&gt;#REF!,AR$29&lt;=#REF!+#REF!),$G$5,"")),"")</f>
        <v/>
      </c>
      <c r="AR96" s="37" t="str">
        <f ca="1">IFERROR(+IF(AS$29=#REF!,Milestone_Marker,IF(AND(AS$29&gt;#REF!,AS$29&lt;=#REF!+#REF!),$G$5,"")),"")</f>
        <v/>
      </c>
      <c r="AS96" s="37" t="str">
        <f ca="1">IFERROR(+IF(AT$29=#REF!,Milestone_Marker,IF(AND(AT$29&gt;#REF!,AT$29&lt;=#REF!+#REF!),$G$5,"")),"")</f>
        <v/>
      </c>
      <c r="AT96" s="37" t="str">
        <f ca="1">IFERROR(+IF(AU$29=#REF!,Milestone_Marker,IF(AND(AU$29&gt;#REF!,AU$29&lt;=#REF!+#REF!),$G$5,"")),"")</f>
        <v/>
      </c>
      <c r="AU96" s="37" t="str">
        <f ca="1">IFERROR(+IF(AV$29=#REF!,Milestone_Marker,IF(AND(AV$29&gt;#REF!,AV$29&lt;=#REF!+#REF!),$G$5,"")),"")</f>
        <v/>
      </c>
      <c r="AV96" s="37" t="str">
        <f ca="1">IFERROR(+IF(AW$29=#REF!,Milestone_Marker,IF(AND(AW$29&gt;#REF!,AW$29&lt;=#REF!+#REF!),$G$5,"")),"")</f>
        <v/>
      </c>
      <c r="AW96" s="37" t="str">
        <f ca="1">IFERROR(+IF(AX$29=#REF!,Milestone_Marker,IF(AND(AX$29&gt;#REF!,AX$29&lt;=#REF!+#REF!),$G$5,"")),"")</f>
        <v/>
      </c>
      <c r="AX96" s="37" t="str">
        <f ca="1">IFERROR(+IF(AY$29=#REF!,Milestone_Marker,IF(AND(AY$29&gt;#REF!,AY$29&lt;=#REF!+#REF!),$G$5,"")),"")</f>
        <v/>
      </c>
      <c r="AY96" s="37" t="str">
        <f ca="1">IFERROR(+IF(AZ$29=#REF!,Milestone_Marker,IF(AND(AZ$29&gt;#REF!,AZ$29&lt;=#REF!+#REF!),$G$5,"")),"")</f>
        <v/>
      </c>
      <c r="AZ96" s="37" t="str">
        <f ca="1">IFERROR(+IF(BA$29=#REF!,Milestone_Marker,IF(AND(BA$29&gt;#REF!,BA$29&lt;=#REF!+#REF!),$G$5,"")),"")</f>
        <v/>
      </c>
      <c r="BA96" s="37" t="str">
        <f ca="1">IFERROR(+IF(BB$29=#REF!,Milestone_Marker,IF(AND(BB$29&gt;#REF!,BB$29&lt;=#REF!+#REF!),$G$5,"")),"")</f>
        <v/>
      </c>
      <c r="BB96" s="37" t="str">
        <f ca="1">IFERROR(+IF(BC$29=#REF!,Milestone_Marker,IF(AND(BC$29&gt;#REF!,BC$29&lt;=#REF!+#REF!),$G$5,"")),"")</f>
        <v/>
      </c>
      <c r="BC96" s="37" t="str">
        <f ca="1">IFERROR(+IF(BD$29=#REF!,Milestone_Marker,IF(AND(BD$29&gt;#REF!,BD$29&lt;=#REF!+#REF!),$G$5,"")),"")</f>
        <v/>
      </c>
      <c r="BD96" s="37" t="str">
        <f ca="1">IFERROR(+IF(BE$29=#REF!,Milestone_Marker,IF(AND(BE$29&gt;#REF!,BE$29&lt;=#REF!+#REF!),$G$5,"")),"")</f>
        <v/>
      </c>
      <c r="BE96" s="37" t="str">
        <f ca="1">IFERROR(+IF(BF$29=#REF!,Milestone_Marker,IF(AND(BF$29&gt;#REF!,BF$29&lt;=#REF!+#REF!),$G$5,"")),"")</f>
        <v/>
      </c>
      <c r="BF96" s="37" t="str">
        <f ca="1">IFERROR(+IF(BG$29=#REF!,Milestone_Marker,IF(AND(BG$29&gt;#REF!,BG$29&lt;=#REF!+#REF!),$G$5,"")),"")</f>
        <v/>
      </c>
      <c r="BG96" s="37" t="str">
        <f ca="1">IFERROR(+IF(BH$29=#REF!,Milestone_Marker,IF(AND(BH$29&gt;#REF!,BH$29&lt;=#REF!+#REF!),$G$5,"")),"")</f>
        <v/>
      </c>
      <c r="BH96" s="37" t="str">
        <f ca="1">IFERROR(+IF(BI$29=#REF!,Milestone_Marker,IF(AND(BI$29&gt;#REF!,BI$29&lt;=#REF!+#REF!),$G$5,"")),"")</f>
        <v/>
      </c>
      <c r="BI96" s="37" t="str">
        <f ca="1">IFERROR(+IF(BJ$29=#REF!,Milestone_Marker,IF(AND(BJ$29&gt;#REF!,BJ$29&lt;=#REF!+#REF!),$G$5,"")),"")</f>
        <v/>
      </c>
      <c r="BJ96" s="37" t="str">
        <f ca="1">IFERROR(+IF(BK$29=#REF!,Milestone_Marker,IF(AND(BK$29&gt;#REF!,BK$29&lt;=#REF!+#REF!),$G$5,"")),"")</f>
        <v/>
      </c>
      <c r="BK96" s="37" t="str">
        <f ca="1">IFERROR(+IF(BL$29=#REF!,Milestone_Marker,IF(AND(BL$29&gt;#REF!,BL$29&lt;=#REF!+#REF!),$G$5,"")),"")</f>
        <v/>
      </c>
      <c r="BL96" s="37" t="str">
        <f ca="1">IFERROR(+IF(BM$29=#REF!,Milestone_Marker,IF(AND(BM$29&gt;#REF!,BM$29&lt;=#REF!+#REF!),$G$5,"")),"")</f>
        <v/>
      </c>
      <c r="BM96" s="37" t="str">
        <f ca="1">IFERROR(+IF(BN$29=#REF!,Milestone_Marker,IF(AND(BN$29&gt;#REF!,BN$29&lt;=#REF!+#REF!),$G$5,"")),"")</f>
        <v/>
      </c>
      <c r="BN96" s="37" t="str">
        <f ca="1">IFERROR(+IF(BO$29=#REF!,Milestone_Marker,IF(AND(BO$29&gt;#REF!,BO$29&lt;=#REF!+#REF!),$G$5,"")),"")</f>
        <v/>
      </c>
      <c r="BO96" s="37" t="str">
        <f ca="1">IFERROR(+IF(BP$29=#REF!,Milestone_Marker,IF(AND(BP$29&gt;#REF!,BP$29&lt;=#REF!+#REF!),$G$5,"")),"")</f>
        <v/>
      </c>
      <c r="BP96" s="37" t="str">
        <f ca="1">IFERROR(+IF(BQ$29=#REF!,Milestone_Marker,IF(AND(BQ$29&gt;#REF!,BQ$29&lt;=#REF!+#REF!),$G$5,"")),"")</f>
        <v/>
      </c>
      <c r="BQ96" s="37" t="str">
        <f ca="1">IFERROR(+IF(BR$29=#REF!,Milestone_Marker,IF(AND(BR$29&gt;#REF!,BR$29&lt;=#REF!+#REF!),$G$5,"")),"")</f>
        <v/>
      </c>
      <c r="BR96" s="37" t="str">
        <f ca="1">IFERROR(+IF(BS$29=#REF!,Milestone_Marker,IF(AND(BS$29&gt;#REF!,BS$29&lt;=#REF!+#REF!),$G$5,"")),"")</f>
        <v/>
      </c>
      <c r="BS96" s="37" t="str">
        <f ca="1">IFERROR(+IF(BT$29=#REF!,Milestone_Marker,IF(AND(BT$29&gt;#REF!,BT$29&lt;=#REF!+#REF!),$G$5,"")),"")</f>
        <v/>
      </c>
      <c r="BT96" s="37" t="str">
        <f ca="1">IFERROR(+IF(BU$29=#REF!,Milestone_Marker,IF(AND(BU$29&gt;#REF!,BU$29&lt;=#REF!+#REF!),$G$5,"")),"")</f>
        <v/>
      </c>
      <c r="BU96" s="37" t="str">
        <f ca="1">IFERROR(+IF(BV$29=#REF!,Milestone_Marker,IF(AND(BV$29&gt;#REF!,BV$29&lt;=#REF!+#REF!),$G$5,"")),"")</f>
        <v/>
      </c>
      <c r="BV96" s="37" t="str">
        <f ca="1">IFERROR(+IF(BW$29=#REF!,Milestone_Marker,IF(AND(BW$29&gt;#REF!,BW$29&lt;=#REF!+#REF!),$G$5,"")),"")</f>
        <v/>
      </c>
      <c r="BW96" s="37" t="str">
        <f ca="1">IFERROR(+IF(BX$29=#REF!,Milestone_Marker,IF(AND(BX$29&gt;#REF!,BX$29&lt;=#REF!+#REF!),$G$5,"")),"")</f>
        <v/>
      </c>
      <c r="BX96" s="37" t="str">
        <f ca="1">IFERROR(+IF(BY$29=#REF!,Milestone_Marker,IF(AND(BY$29&gt;#REF!,BY$29&lt;=#REF!+#REF!),$G$5,"")),"")</f>
        <v/>
      </c>
      <c r="BY96" s="37" t="str">
        <f ca="1">IFERROR(+IF(BZ$29=#REF!,Milestone_Marker,IF(AND(BZ$29&gt;#REF!,BZ$29&lt;=#REF!+#REF!),$G$5,"")),"")</f>
        <v/>
      </c>
      <c r="BZ96" s="37" t="str">
        <f ca="1">IFERROR(+IF(CA$29=#REF!,Milestone_Marker,IF(AND(CA$29&gt;#REF!,CA$29&lt;=#REF!+#REF!),$G$5,"")),"")</f>
        <v/>
      </c>
      <c r="CA96" s="37" t="str">
        <f ca="1">IFERROR(+IF(CB$29=#REF!,Milestone_Marker,IF(AND(CB$29&gt;#REF!,CB$29&lt;=#REF!+#REF!),$G$5,"")),"")</f>
        <v/>
      </c>
      <c r="CB96" s="37" t="str">
        <f ca="1">IFERROR(+IF(CC$29=#REF!,Milestone_Marker,IF(AND(CC$29&gt;#REF!,CC$29&lt;=#REF!+#REF!),$G$5,"")),"")</f>
        <v/>
      </c>
      <c r="CC96" s="37" t="str">
        <f ca="1">IFERROR(+IF(CD$29=#REF!,Milestone_Marker,IF(AND(CD$29&gt;#REF!,CD$29&lt;=#REF!+#REF!),$G$5,"")),"")</f>
        <v/>
      </c>
      <c r="CD96" s="37" t="str">
        <f ca="1">IFERROR(+IF(CE$29=#REF!,Milestone_Marker,IF(AND(CE$29&gt;#REF!,CE$29&lt;=#REF!+#REF!),$G$5,"")),"")</f>
        <v/>
      </c>
      <c r="CE96" s="37" t="str">
        <f ca="1">IFERROR(+IF(CF$29=#REF!,Milestone_Marker,IF(AND(CF$29&gt;#REF!,CF$29&lt;=#REF!+#REF!),$G$5,"")),"")</f>
        <v/>
      </c>
      <c r="CF96" s="37" t="str">
        <f ca="1">IFERROR(+IF(CG$29=#REF!,Milestone_Marker,IF(AND(CG$29&gt;#REF!,CG$29&lt;=#REF!+#REF!),$G$5,"")),"")</f>
        <v/>
      </c>
      <c r="CG96" s="37" t="str">
        <f ca="1">IFERROR(+IF(CH$29=#REF!,Milestone_Marker,IF(AND(CH$29&gt;#REF!,CH$29&lt;=#REF!+#REF!),$G$5,"")),"")</f>
        <v/>
      </c>
      <c r="CH96" s="37" t="str">
        <f ca="1">IFERROR(+IF(CI$29=#REF!,Milestone_Marker,IF(AND(CI$29&gt;#REF!,CI$29&lt;=#REF!+#REF!),$G$5,"")),"")</f>
        <v/>
      </c>
      <c r="CI96" s="37" t="str">
        <f ca="1">IFERROR(+IF(CJ$29=#REF!,Milestone_Marker,IF(AND(CJ$29&gt;#REF!,CJ$29&lt;=#REF!+#REF!),$G$5,"")),"")</f>
        <v/>
      </c>
      <c r="CJ96" s="37" t="str">
        <f ca="1">IFERROR(+IF(CK$29=#REF!,Milestone_Marker,IF(AND(CK$29&gt;#REF!,CK$29&lt;=#REF!+#REF!),$G$5,"")),"")</f>
        <v/>
      </c>
      <c r="CK96" s="37" t="str">
        <f ca="1">IFERROR(+IF(CL$29=#REF!,Milestone_Marker,IF(AND(CL$29&gt;#REF!,CL$29&lt;=#REF!+#REF!),$G$5,"")),"")</f>
        <v/>
      </c>
      <c r="CL96" s="37" t="str">
        <f ca="1">IFERROR(+IF(CM$29=#REF!,Milestone_Marker,IF(AND(CM$29&gt;#REF!,CM$29&lt;=#REF!+#REF!),$G$5,"")),"")</f>
        <v/>
      </c>
      <c r="CM96" s="37" t="str">
        <f ca="1">IFERROR(+IF(CN$29=#REF!,Milestone_Marker,IF(AND(CN$29&gt;#REF!,CN$29&lt;=#REF!+#REF!),$G$5,"")),"")</f>
        <v/>
      </c>
      <c r="CN96" s="37" t="str">
        <f ca="1">IFERROR(+IF(CO$29=#REF!,Milestone_Marker,IF(AND(CO$29&gt;#REF!,CO$29&lt;=#REF!+#REF!),$G$5,"")),"")</f>
        <v/>
      </c>
      <c r="CO96" s="37" t="str">
        <f ca="1">IFERROR(+IF(CP$29=#REF!,Milestone_Marker,IF(AND(CP$29&gt;#REF!,CP$29&lt;=#REF!+#REF!),$G$5,"")),"")</f>
        <v/>
      </c>
      <c r="CP96" s="37" t="str">
        <f ca="1">IFERROR(+IF(CQ$29=#REF!,Milestone_Marker,IF(AND(CQ$29&gt;#REF!,CQ$29&lt;=#REF!+#REF!),$G$5,"")),"")</f>
        <v/>
      </c>
      <c r="CQ96" s="37" t="str">
        <f ca="1">IFERROR(+IF(CR$29=#REF!,Milestone_Marker,IF(AND(CR$29&gt;#REF!,CR$29&lt;=#REF!+#REF!),$G$5,"")),"")</f>
        <v/>
      </c>
      <c r="CR96" s="37" t="str">
        <f ca="1">IFERROR(+IF(CS$29=#REF!,Milestone_Marker,IF(AND(CS$29&gt;#REF!,CS$29&lt;=#REF!+#REF!),$G$5,"")),"")</f>
        <v/>
      </c>
      <c r="CS96" s="37" t="str">
        <f ca="1">IFERROR(+IF(CT$29=#REF!,Milestone_Marker,IF(AND(CT$29&gt;#REF!,CT$29&lt;=#REF!+#REF!),$G$5,"")),"")</f>
        <v/>
      </c>
      <c r="CT96" s="37" t="str">
        <f ca="1">IFERROR(+IF(CU$29=#REF!,Milestone_Marker,IF(AND(CU$29&gt;#REF!,CU$29&lt;=#REF!+#REF!),$G$5,"")),"")</f>
        <v/>
      </c>
    </row>
  </sheetData>
  <mergeCells count="22">
    <mergeCell ref="M1:N1"/>
    <mergeCell ref="AA24:AH25"/>
    <mergeCell ref="J1:K1"/>
    <mergeCell ref="E4:F4"/>
    <mergeCell ref="H2:I2"/>
    <mergeCell ref="H3:I3"/>
    <mergeCell ref="H4:I4"/>
    <mergeCell ref="M4:N4"/>
    <mergeCell ref="M5:N5"/>
    <mergeCell ref="M3:N3"/>
    <mergeCell ref="M2:N2"/>
    <mergeCell ref="A3:D3"/>
    <mergeCell ref="A4:D4"/>
    <mergeCell ref="H5:I5"/>
    <mergeCell ref="J2:K2"/>
    <mergeCell ref="E5:F5"/>
    <mergeCell ref="J3:K3"/>
    <mergeCell ref="J4:K4"/>
    <mergeCell ref="J5:K5"/>
    <mergeCell ref="F2:G2"/>
    <mergeCell ref="C2:D2"/>
    <mergeCell ref="A2:B2"/>
  </mergeCells>
  <phoneticPr fontId="26" type="noConversion"/>
  <conditionalFormatting sqref="P28:CU84 P30:DU36 AA37:DU37 P38:DU78 AP75:DU83 R75:CW84 P75:CT96">
    <cfRule type="expression" dxfId="5" priority="3">
      <formula>#REF!&lt;=Today</formula>
    </cfRule>
  </conditionalFormatting>
  <conditionalFormatting sqref="P29:CU29">
    <cfRule type="expression" dxfId="4" priority="26">
      <formula>P$29&lt;=TODAY()</formula>
    </cfRule>
  </conditionalFormatting>
  <conditionalFormatting sqref="AO7:DT7">
    <cfRule type="expression" dxfId="3" priority="5">
      <formula>#REF!&lt;=Today</formula>
    </cfRule>
  </conditionalFormatting>
  <conditionalFormatting sqref="AP79:DR83">
    <cfRule type="expression" dxfId="2" priority="1">
      <formula>#REF!&lt;=Today</formula>
    </cfRule>
  </conditionalFormatting>
  <conditionalFormatting sqref="AQ8:DU10 AQ11:AQ25 AP15:AP23">
    <cfRule type="expression" dxfId="1" priority="11">
      <formula>#REF!&lt;=Today</formula>
    </cfRule>
  </conditionalFormatting>
  <conditionalFormatting sqref="AR11:DU12 AR14:DU25">
    <cfRule type="expression" dxfId="0" priority="10">
      <formula>#REF!&lt;=Today</formula>
    </cfRule>
  </conditionalFormatting>
  <pageMargins left="0.7" right="0.7" top="0.75" bottom="0.75" header="0.3" footer="0.3"/>
  <pageSetup scale="23"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9697" r:id="rId4" name="Scroll Bar 1">
              <controlPr defaultSize="0" autoPict="0" altText="Scrollbar for scrolling through the Gantt Timeline.">
                <anchor moveWithCells="1">
                  <from>
                    <xdr:col>18</xdr:col>
                    <xdr:colOff>38100</xdr:colOff>
                    <xdr:row>23</xdr:row>
                    <xdr:rowOff>142875</xdr:rowOff>
                  </from>
                  <to>
                    <xdr:col>24</xdr:col>
                    <xdr:colOff>142875</xdr:colOff>
                    <xdr:row>25</xdr:row>
                    <xdr:rowOff>38100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iconSet" priority="16" id="{11B8DE43-BE8A-4186-A5DE-AA449FB858A9}">
            <x14:iconSet iconSet="3Stars" showValue="0" custom="1">
              <x14:cfvo type="percent">
                <xm:f>0</xm:f>
              </x14:cfvo>
              <x14:cfvo type="num">
                <xm:f>1</xm:f>
              </x14:cfvo>
              <x14:cfvo type="num">
                <xm:f>2</xm:f>
              </x14:cfvo>
              <x14:cfIcon iconSet="3Signs" iconId="1"/>
              <x14:cfIcon iconSet="3Flags" iconId="0"/>
              <x14:cfIcon iconSet="3Signs" iconId="0"/>
            </x14:iconSet>
          </x14:cfRule>
          <xm:sqref>P52:CI52</xm:sqref>
        </x14:conditionalFormatting>
        <x14:conditionalFormatting xmlns:xm="http://schemas.microsoft.com/office/excel/2006/main">
          <x14:cfRule type="iconSet" priority="17" id="{32C4EBB1-C3AF-4C89-A311-F2447EEDC37E}">
            <x14:iconSet iconSet="3Stars" showValue="0" custom="1">
              <x14:cfvo type="percent">
                <xm:f>0</xm:f>
              </x14:cfvo>
              <x14:cfvo type="num">
                <xm:f>1</xm:f>
              </x14:cfvo>
              <x14:cfvo type="num">
                <xm:f>2</xm:f>
              </x14:cfvo>
              <x14:cfIcon iconSet="3Signs" iconId="1"/>
              <x14:cfIcon iconSet="3Flags" iconId="0"/>
              <x14:cfIcon iconSet="3Signs" iconId="0"/>
            </x14:iconSet>
          </x14:cfRule>
          <xm:sqref>P30:DU36 AP75:DU83 R75:CW84 P75:CT96 P38:DU78 AA37:DU37 P30:CU84</xm:sqref>
        </x14:conditionalFormatting>
        <x14:conditionalFormatting xmlns:xm="http://schemas.microsoft.com/office/excel/2006/main">
          <x14:cfRule type="iconSet" priority="23" id="{E473E98C-287A-46DB-A3C1-8B7E973AF915}">
            <x14:iconSet iconSet="3Stars" showValue="0" custom="1">
              <x14:cfvo type="percent">
                <xm:f>0</xm:f>
              </x14:cfvo>
              <x14:cfvo type="num">
                <xm:f>1</xm:f>
              </x14:cfvo>
              <x14:cfvo type="num">
                <xm:f>2</xm:f>
              </x14:cfvo>
              <x14:cfIcon iconSet="3Signs" iconId="1"/>
              <x14:cfIcon iconSet="3Flags" iconId="0"/>
              <x14:cfIcon iconSet="3Signs" iconId="0"/>
            </x14:iconSet>
          </x14:cfRule>
          <xm:sqref>P30:DU36 AQ8:DL10 AP7:DK7 AR11:DL12 AR14:DL25 AP15:AQ23 DM15:DU25 R75:CW84 AQ24:AQ25 P75:CT96 P38:DU78 AA37:DU37 P30:CU84</xm:sqref>
        </x14:conditionalFormatting>
        <x14:conditionalFormatting xmlns:xm="http://schemas.microsoft.com/office/excel/2006/main">
          <x14:cfRule type="iconSet" priority="6" id="{159FD3EF-0D00-4918-B540-C2655B91D0EC}">
            <x14:iconSet iconSet="3Stars" showValue="0" custom="1">
              <x14:cfvo type="percent">
                <xm:f>0</xm:f>
              </x14:cfvo>
              <x14:cfvo type="num">
                <xm:f>1</xm:f>
              </x14:cfvo>
              <x14:cfvo type="num">
                <xm:f>2</xm:f>
              </x14:cfvo>
              <x14:cfIcon iconSet="3Signs" iconId="1"/>
              <x14:cfIcon iconSet="3Flags" iconId="0"/>
              <x14:cfIcon iconSet="3Signs" iconId="0"/>
            </x14:iconSet>
          </x14:cfRule>
          <xm:sqref>AO7</xm:sqref>
        </x14:conditionalFormatting>
        <x14:conditionalFormatting xmlns:xm="http://schemas.microsoft.com/office/excel/2006/main">
          <x14:cfRule type="iconSet" priority="18" id="{8952E159-8216-41EC-9A00-6176EE9B3527}">
            <x14:iconSet iconSet="3Stars" showValue="0" custom="1">
              <x14:cfvo type="percent">
                <xm:f>0</xm:f>
              </x14:cfvo>
              <x14:cfvo type="num">
                <xm:f>1</xm:f>
              </x14:cfvo>
              <x14:cfvo type="num">
                <xm:f>2</xm:f>
              </x14:cfvo>
              <x14:cfIcon iconSet="3Signs" iconId="1"/>
              <x14:cfIcon iconSet="3Flags" iconId="0"/>
              <x14:cfIcon iconSet="3Signs" iconId="0"/>
            </x14:iconSet>
          </x14:cfRule>
          <xm:sqref>AP79:DR83</xm:sqref>
        </x14:conditionalFormatting>
        <x14:conditionalFormatting xmlns:xm="http://schemas.microsoft.com/office/excel/2006/main">
          <x14:cfRule type="iconSet" priority="12" id="{C4D9873F-4604-46C4-84EF-1E6C84231C68}">
            <x14:iconSet iconSet="3Stars" showValue="0" custom="1">
              <x14:cfvo type="percent">
                <xm:f>0</xm:f>
              </x14:cfvo>
              <x14:cfvo type="num">
                <xm:f>1</xm:f>
              </x14:cfvo>
              <x14:cfvo type="num">
                <xm:f>2</xm:f>
              </x14:cfvo>
              <x14:cfIcon iconSet="3Signs" iconId="1"/>
              <x14:cfIcon iconSet="3Flags" iconId="0"/>
              <x14:cfIcon iconSet="3Signs" iconId="0"/>
            </x14:iconSet>
          </x14:cfRule>
          <xm:sqref>AQ11:AQ20</xm:sqref>
        </x14:conditionalFormatting>
        <x14:conditionalFormatting xmlns:xm="http://schemas.microsoft.com/office/excel/2006/main">
          <x14:cfRule type="iconSet" priority="7" id="{02E2F895-53F7-4353-B1B1-6B803807E861}">
            <x14:iconSet iconSet="3Stars" showValue="0" custom="1">
              <x14:cfvo type="percent">
                <xm:f>0</xm:f>
              </x14:cfvo>
              <x14:cfvo type="num">
                <xm:f>1</xm:f>
              </x14:cfvo>
              <x14:cfvo type="num">
                <xm:f>2</xm:f>
              </x14:cfvo>
              <x14:cfIcon iconSet="3Signs" iconId="1"/>
              <x14:cfIcon iconSet="3Flags" iconId="0"/>
              <x14:cfIcon iconSet="3Signs" iconId="0"/>
            </x14:iconSet>
          </x14:cfRule>
          <xm:sqref>CJ52:CO52</xm:sqref>
        </x14:conditionalFormatting>
        <x14:conditionalFormatting xmlns:xm="http://schemas.microsoft.com/office/excel/2006/main">
          <x14:cfRule type="iconSet" priority="21" id="{EC1D6B67-BED0-4DC7-97C6-919BB3551B69}">
            <x14:iconSet iconSet="3Stars" showValue="0" custom="1">
              <x14:cfvo type="percent">
                <xm:f>0</xm:f>
              </x14:cfvo>
              <x14:cfvo type="num">
                <xm:f>1</xm:f>
              </x14:cfvo>
              <x14:cfvo type="num">
                <xm:f>2</xm:f>
              </x14:cfvo>
              <x14:cfIcon iconSet="3Signs" iconId="1"/>
              <x14:cfIcon iconSet="3Flags" iconId="0"/>
              <x14:cfIcon iconSet="3Signs" iconId="0"/>
            </x14:iconSet>
          </x14:cfRule>
          <xm:sqref>CJ53:CO71 DM8:DR12 DL7:DQ7 DM14:DR19 DM22:DR25 CJ33:CO51 CI31:CN32</xm:sqref>
        </x14:conditionalFormatting>
        <x14:conditionalFormatting xmlns:xm="http://schemas.microsoft.com/office/excel/2006/main">
          <x14:cfRule type="iconSet" priority="8" id="{65B57FED-3C5D-4FE2-B960-7071AFE87695}">
            <x14:iconSet iconSet="3Stars" showValue="0" custom="1">
              <x14:cfvo type="percent">
                <xm:f>0</xm:f>
              </x14:cfvo>
              <x14:cfvo type="num">
                <xm:f>1</xm:f>
              </x14:cfvo>
              <x14:cfvo type="num">
                <xm:f>2</xm:f>
              </x14:cfvo>
              <x14:cfIcon iconSet="3Signs" iconId="1"/>
              <x14:cfIcon iconSet="3Flags" iconId="0"/>
              <x14:cfIcon iconSet="3Signs" iconId="0"/>
            </x14:iconSet>
          </x14:cfRule>
          <xm:sqref>CP52:CR52</xm:sqref>
        </x14:conditionalFormatting>
        <x14:conditionalFormatting xmlns:xm="http://schemas.microsoft.com/office/excel/2006/main">
          <x14:cfRule type="iconSet" priority="22" id="{E1FA3778-36D6-4EC4-B65E-1E331FF5D5CD}">
            <x14:iconSet iconSet="3Stars" showValue="0" custom="1">
              <x14:cfvo type="percent">
                <xm:f>0</xm:f>
              </x14:cfvo>
              <x14:cfvo type="num">
                <xm:f>1</xm:f>
              </x14:cfvo>
              <x14:cfvo type="num">
                <xm:f>2</xm:f>
              </x14:cfvo>
              <x14:cfIcon iconSet="3Signs" iconId="1"/>
              <x14:cfIcon iconSet="3Flags" iconId="0"/>
              <x14:cfIcon iconSet="3Signs" iconId="0"/>
            </x14:iconSet>
          </x14:cfRule>
          <xm:sqref>CP53:CR71 DS8:DU12 DR7:DT7 DS14:DU19 DS22:DU25 CP33:CR51 CO31:CQ32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F3CB8-1393-4F62-AB92-7BBF12439437}">
  <sheetPr>
    <tabColor theme="5" tint="0.59999389629810485"/>
  </sheetPr>
  <dimension ref="A1:W47"/>
  <sheetViews>
    <sheetView workbookViewId="0">
      <pane ySplit="4" topLeftCell="A5" activePane="bottomLeft" state="frozen"/>
      <selection pane="bottomLeft" activeCell="A5" sqref="A5"/>
    </sheetView>
  </sheetViews>
  <sheetFormatPr defaultRowHeight="15" x14ac:dyDescent="0.25"/>
  <cols>
    <col min="1" max="1" width="9.7109375" bestFit="1" customWidth="1"/>
    <col min="2" max="2" width="17.85546875" bestFit="1" customWidth="1"/>
    <col min="3" max="3" width="81.140625" bestFit="1" customWidth="1"/>
    <col min="4" max="4" width="10.7109375" bestFit="1" customWidth="1"/>
    <col min="5" max="5" width="14.28515625" style="313" bestFit="1" customWidth="1"/>
    <col min="6" max="6" width="10" style="313" bestFit="1" customWidth="1"/>
    <col min="7" max="8" width="10.28515625" style="313" bestFit="1" customWidth="1"/>
    <col min="9" max="9" width="5.42578125" style="313" customWidth="1"/>
    <col min="10" max="10" width="50.7109375" bestFit="1" customWidth="1"/>
    <col min="11" max="12" width="9.7109375" bestFit="1" customWidth="1"/>
    <col min="13" max="13" width="8.7109375" style="303" customWidth="1"/>
    <col min="14" max="14" width="9.7109375" bestFit="1" customWidth="1"/>
    <col min="15" max="15" width="17.85546875" bestFit="1" customWidth="1"/>
    <col min="16" max="16" width="44.7109375" bestFit="1" customWidth="1"/>
    <col min="17" max="17" width="50.85546875" bestFit="1" customWidth="1"/>
    <col min="18" max="18" width="9.7109375" bestFit="1" customWidth="1"/>
    <col min="19" max="20" width="10.28515625" bestFit="1" customWidth="1"/>
    <col min="21" max="21" width="8" bestFit="1" customWidth="1"/>
    <col min="22" max="22" width="12" bestFit="1" customWidth="1"/>
    <col min="23" max="23" width="12" style="303" bestFit="1" customWidth="1"/>
    <col min="24" max="25" width="14.28515625" bestFit="1" customWidth="1"/>
  </cols>
  <sheetData>
    <row r="1" spans="1:23" x14ac:dyDescent="0.25">
      <c r="A1" s="650" t="s">
        <v>460</v>
      </c>
      <c r="B1" s="651"/>
      <c r="C1" s="605"/>
      <c r="D1" s="605"/>
      <c r="E1" s="605"/>
      <c r="F1" s="605"/>
      <c r="G1" s="518"/>
      <c r="I1" s="646" t="s">
        <v>461</v>
      </c>
      <c r="J1" s="647"/>
      <c r="K1" s="648"/>
      <c r="L1" s="649"/>
      <c r="M1"/>
      <c r="N1" s="636" t="s">
        <v>462</v>
      </c>
      <c r="O1" s="637"/>
      <c r="P1" s="637"/>
      <c r="Q1" s="637"/>
      <c r="R1" s="637"/>
      <c r="S1" s="638"/>
      <c r="W1"/>
    </row>
    <row r="2" spans="1:23" ht="15.75" thickBot="1" x14ac:dyDescent="0.3">
      <c r="A2" s="650" t="s">
        <v>463</v>
      </c>
      <c r="B2" s="651"/>
      <c r="C2" s="605"/>
      <c r="D2" s="605"/>
      <c r="E2" s="605"/>
      <c r="F2" s="605"/>
      <c r="G2" s="518"/>
      <c r="I2" s="642" t="s">
        <v>464</v>
      </c>
      <c r="J2" s="643"/>
      <c r="K2" s="644"/>
      <c r="L2" s="645"/>
      <c r="M2"/>
      <c r="N2" s="639" t="str">
        <f>"Recap Summary Table - " &amp; +Profit!B2</f>
        <v>Recap Summary Table - 115 Rosebrooks Dr, Cary, NC 27513</v>
      </c>
      <c r="O2" s="640"/>
      <c r="P2" s="640"/>
      <c r="Q2" s="640"/>
      <c r="R2" s="640"/>
      <c r="S2" s="641"/>
      <c r="W2"/>
    </row>
    <row r="4" spans="1:23" s="63" customFormat="1" x14ac:dyDescent="0.25">
      <c r="A4" s="63" t="s">
        <v>414</v>
      </c>
      <c r="B4" s="22" t="s">
        <v>416</v>
      </c>
      <c r="C4" s="63" t="s">
        <v>417</v>
      </c>
      <c r="D4" s="3" t="s">
        <v>465</v>
      </c>
      <c r="E4" s="341" t="s">
        <v>82</v>
      </c>
      <c r="F4" s="3" t="s">
        <v>418</v>
      </c>
      <c r="G4" s="63" t="s">
        <v>419</v>
      </c>
      <c r="I4" s="63" t="s">
        <v>414</v>
      </c>
      <c r="J4" s="63" t="s">
        <v>466</v>
      </c>
      <c r="K4" s="342" t="s">
        <v>291</v>
      </c>
      <c r="L4" s="63" t="s">
        <v>419</v>
      </c>
      <c r="N4" s="3" t="s">
        <v>414</v>
      </c>
      <c r="O4" s="22" t="s">
        <v>416</v>
      </c>
      <c r="P4" s="3" t="s">
        <v>417</v>
      </c>
      <c r="Q4" s="3" t="s">
        <v>466</v>
      </c>
      <c r="R4" s="3" t="s">
        <v>291</v>
      </c>
      <c r="S4" s="3" t="s">
        <v>419</v>
      </c>
    </row>
    <row r="5" spans="1:23" x14ac:dyDescent="0.25">
      <c r="A5">
        <v>5</v>
      </c>
      <c r="B5" t="s">
        <v>310</v>
      </c>
      <c r="C5" t="s">
        <v>309</v>
      </c>
      <c r="D5">
        <v>0</v>
      </c>
      <c r="F5" s="343">
        <v>0</v>
      </c>
      <c r="G5"/>
      <c r="H5"/>
      <c r="I5">
        <v>15</v>
      </c>
      <c r="J5" t="s">
        <v>467</v>
      </c>
      <c r="K5" s="303">
        <v>45217</v>
      </c>
      <c r="L5" t="s">
        <v>45</v>
      </c>
      <c r="M5"/>
      <c r="N5">
        <v>33</v>
      </c>
      <c r="O5" t="s">
        <v>340</v>
      </c>
      <c r="P5" t="s">
        <v>351</v>
      </c>
      <c r="Q5" t="s">
        <v>468</v>
      </c>
      <c r="R5" s="303">
        <v>45222</v>
      </c>
      <c r="W5"/>
    </row>
    <row r="6" spans="1:23" x14ac:dyDescent="0.25">
      <c r="A6">
        <v>6</v>
      </c>
      <c r="B6" t="s">
        <v>310</v>
      </c>
      <c r="C6" t="s">
        <v>312</v>
      </c>
      <c r="D6">
        <v>0</v>
      </c>
      <c r="F6" s="343">
        <v>0</v>
      </c>
      <c r="G6"/>
      <c r="H6"/>
      <c r="I6">
        <v>31</v>
      </c>
      <c r="J6" t="s">
        <v>469</v>
      </c>
      <c r="K6" s="303">
        <v>45217</v>
      </c>
      <c r="L6" t="s">
        <v>45</v>
      </c>
      <c r="M6"/>
      <c r="N6">
        <v>31</v>
      </c>
      <c r="O6" t="s">
        <v>340</v>
      </c>
      <c r="P6" t="s">
        <v>349</v>
      </c>
      <c r="Q6" t="s">
        <v>470</v>
      </c>
      <c r="R6" s="303">
        <v>45222</v>
      </c>
      <c r="W6"/>
    </row>
    <row r="7" spans="1:23" x14ac:dyDescent="0.25">
      <c r="A7">
        <v>7</v>
      </c>
      <c r="B7" t="s">
        <v>310</v>
      </c>
      <c r="C7" t="s">
        <v>314</v>
      </c>
      <c r="D7">
        <v>0</v>
      </c>
      <c r="F7" s="343">
        <v>0</v>
      </c>
      <c r="G7"/>
      <c r="H7"/>
      <c r="I7">
        <v>23</v>
      </c>
      <c r="J7" t="s">
        <v>471</v>
      </c>
      <c r="K7" s="303">
        <v>45217</v>
      </c>
      <c r="L7" t="s">
        <v>45</v>
      </c>
      <c r="M7"/>
      <c r="N7">
        <v>32</v>
      </c>
      <c r="O7" t="s">
        <v>340</v>
      </c>
      <c r="P7" t="s">
        <v>350</v>
      </c>
      <c r="Q7" t="s">
        <v>472</v>
      </c>
      <c r="R7" s="303">
        <v>45222</v>
      </c>
      <c r="W7"/>
    </row>
    <row r="8" spans="1:23" x14ac:dyDescent="0.25">
      <c r="A8">
        <v>8</v>
      </c>
      <c r="B8" t="s">
        <v>310</v>
      </c>
      <c r="C8" t="s">
        <v>316</v>
      </c>
      <c r="D8">
        <v>0</v>
      </c>
      <c r="F8" s="343">
        <v>0</v>
      </c>
      <c r="G8"/>
      <c r="H8"/>
      <c r="I8">
        <v>19</v>
      </c>
      <c r="J8" t="s">
        <v>473</v>
      </c>
      <c r="K8" s="303">
        <v>45217</v>
      </c>
      <c r="L8" t="s">
        <v>45</v>
      </c>
      <c r="M8"/>
      <c r="N8">
        <v>30</v>
      </c>
      <c r="O8" t="s">
        <v>340</v>
      </c>
      <c r="P8" t="s">
        <v>348</v>
      </c>
      <c r="Q8" t="s">
        <v>474</v>
      </c>
      <c r="R8" s="303">
        <v>45222</v>
      </c>
      <c r="W8"/>
    </row>
    <row r="9" spans="1:23" x14ac:dyDescent="0.25">
      <c r="A9">
        <v>14</v>
      </c>
      <c r="C9" t="s">
        <v>327</v>
      </c>
      <c r="D9">
        <v>1</v>
      </c>
      <c r="F9" s="343">
        <v>590</v>
      </c>
      <c r="G9"/>
      <c r="H9"/>
      <c r="I9">
        <v>11</v>
      </c>
      <c r="J9" t="s">
        <v>475</v>
      </c>
      <c r="K9" s="303">
        <v>45217</v>
      </c>
      <c r="L9" t="s">
        <v>45</v>
      </c>
      <c r="M9"/>
      <c r="N9">
        <v>27</v>
      </c>
      <c r="O9" t="s">
        <v>340</v>
      </c>
      <c r="P9" t="s">
        <v>345</v>
      </c>
      <c r="Q9" t="s">
        <v>476</v>
      </c>
      <c r="R9" s="303">
        <v>45223</v>
      </c>
      <c r="W9"/>
    </row>
    <row r="10" spans="1:23" x14ac:dyDescent="0.25">
      <c r="A10">
        <v>16</v>
      </c>
      <c r="C10" t="s">
        <v>477</v>
      </c>
      <c r="D10">
        <v>1</v>
      </c>
      <c r="F10" s="343"/>
      <c r="G10"/>
      <c r="H10"/>
      <c r="I10">
        <v>36</v>
      </c>
      <c r="J10" t="s">
        <v>478</v>
      </c>
      <c r="K10" s="303">
        <v>45218</v>
      </c>
      <c r="L10" t="s">
        <v>45</v>
      </c>
      <c r="M10"/>
      <c r="N10">
        <v>39</v>
      </c>
      <c r="O10" t="s">
        <v>360</v>
      </c>
      <c r="P10" t="s">
        <v>361</v>
      </c>
      <c r="Q10" t="s">
        <v>479</v>
      </c>
      <c r="R10" s="303">
        <v>45223</v>
      </c>
      <c r="W10"/>
    </row>
    <row r="11" spans="1:23" x14ac:dyDescent="0.25">
      <c r="A11">
        <v>17</v>
      </c>
      <c r="C11" t="s">
        <v>331</v>
      </c>
      <c r="D11">
        <v>1</v>
      </c>
      <c r="F11" s="343"/>
      <c r="G11"/>
      <c r="H11"/>
      <c r="I11">
        <v>37</v>
      </c>
      <c r="J11" t="s">
        <v>480</v>
      </c>
      <c r="K11" s="303">
        <v>45218</v>
      </c>
      <c r="L11" t="s">
        <v>45</v>
      </c>
      <c r="M11"/>
      <c r="N11">
        <v>48</v>
      </c>
      <c r="O11" t="s">
        <v>377</v>
      </c>
      <c r="P11" t="s">
        <v>378</v>
      </c>
      <c r="Q11" t="s">
        <v>481</v>
      </c>
      <c r="R11" s="303">
        <v>45222</v>
      </c>
      <c r="W11"/>
    </row>
    <row r="12" spans="1:23" x14ac:dyDescent="0.25">
      <c r="A12">
        <v>20</v>
      </c>
      <c r="B12" t="s">
        <v>334</v>
      </c>
      <c r="C12" t="s">
        <v>482</v>
      </c>
      <c r="D12">
        <v>1</v>
      </c>
      <c r="F12" s="343"/>
      <c r="G12"/>
      <c r="H12"/>
      <c r="I12">
        <v>39</v>
      </c>
      <c r="J12" t="s">
        <v>483</v>
      </c>
      <c r="K12" s="303"/>
      <c r="L12" t="s">
        <v>45</v>
      </c>
      <c r="M12"/>
      <c r="N12">
        <v>48</v>
      </c>
      <c r="O12" t="s">
        <v>377</v>
      </c>
      <c r="P12" t="s">
        <v>378</v>
      </c>
      <c r="Q12" t="s">
        <v>484</v>
      </c>
      <c r="R12" s="303">
        <v>45223</v>
      </c>
      <c r="W12"/>
    </row>
    <row r="13" spans="1:23" x14ac:dyDescent="0.25">
      <c r="A13">
        <v>35</v>
      </c>
      <c r="B13" t="s">
        <v>340</v>
      </c>
      <c r="C13" t="s">
        <v>353</v>
      </c>
      <c r="D13">
        <v>1</v>
      </c>
      <c r="E13" s="313">
        <v>45216</v>
      </c>
      <c r="F13" s="343"/>
      <c r="G13"/>
      <c r="H13"/>
      <c r="I13">
        <v>40</v>
      </c>
      <c r="J13" t="s">
        <v>485</v>
      </c>
      <c r="K13" s="303"/>
      <c r="L13" t="s">
        <v>45</v>
      </c>
      <c r="M13"/>
      <c r="N13">
        <v>49</v>
      </c>
      <c r="O13" t="s">
        <v>379</v>
      </c>
      <c r="P13" t="s">
        <v>380</v>
      </c>
      <c r="Q13" t="s">
        <v>486</v>
      </c>
      <c r="R13" s="303">
        <v>45223</v>
      </c>
      <c r="U13" s="303"/>
      <c r="W13"/>
    </row>
    <row r="14" spans="1:23" x14ac:dyDescent="0.25">
      <c r="A14">
        <v>23</v>
      </c>
      <c r="B14" t="s">
        <v>340</v>
      </c>
      <c r="C14" t="s">
        <v>487</v>
      </c>
      <c r="D14">
        <v>1</v>
      </c>
      <c r="E14" s="313">
        <v>45229</v>
      </c>
      <c r="F14" s="343"/>
      <c r="G14"/>
      <c r="H14"/>
      <c r="I14">
        <v>31</v>
      </c>
      <c r="J14" t="s">
        <v>488</v>
      </c>
      <c r="K14" s="303"/>
      <c r="L14" t="s">
        <v>45</v>
      </c>
      <c r="M14"/>
      <c r="N14">
        <v>50</v>
      </c>
      <c r="O14" t="s">
        <v>381</v>
      </c>
      <c r="P14" t="s">
        <v>382</v>
      </c>
      <c r="Q14" t="s">
        <v>489</v>
      </c>
      <c r="R14" s="303">
        <v>45223</v>
      </c>
      <c r="U14" s="303"/>
      <c r="W14"/>
    </row>
    <row r="15" spans="1:23" x14ac:dyDescent="0.25">
      <c r="A15">
        <v>24</v>
      </c>
      <c r="B15" t="s">
        <v>340</v>
      </c>
      <c r="C15" t="s">
        <v>490</v>
      </c>
      <c r="D15">
        <v>1</v>
      </c>
      <c r="E15" s="313">
        <v>45229</v>
      </c>
      <c r="F15" s="343"/>
      <c r="G15"/>
      <c r="H15"/>
      <c r="I15" t="s">
        <v>173</v>
      </c>
      <c r="J15" t="s">
        <v>173</v>
      </c>
      <c r="K15" s="303" t="s">
        <v>173</v>
      </c>
      <c r="M15"/>
      <c r="N15">
        <v>51</v>
      </c>
      <c r="O15" t="s">
        <v>383</v>
      </c>
      <c r="P15" t="s">
        <v>384</v>
      </c>
      <c r="Q15" t="s">
        <v>491</v>
      </c>
      <c r="R15" s="303">
        <v>45223</v>
      </c>
      <c r="U15" s="303"/>
      <c r="W15"/>
    </row>
    <row r="16" spans="1:23" x14ac:dyDescent="0.25">
      <c r="A16">
        <v>25</v>
      </c>
      <c r="B16" t="s">
        <v>340</v>
      </c>
      <c r="C16" t="s">
        <v>492</v>
      </c>
      <c r="D16">
        <v>1</v>
      </c>
      <c r="E16" s="313">
        <v>45229</v>
      </c>
      <c r="F16" s="343"/>
      <c r="G16"/>
      <c r="H16"/>
      <c r="I16">
        <v>33</v>
      </c>
      <c r="J16" t="s">
        <v>468</v>
      </c>
      <c r="K16" s="303">
        <v>45222</v>
      </c>
      <c r="M16"/>
      <c r="N16">
        <v>51</v>
      </c>
      <c r="O16" t="s">
        <v>383</v>
      </c>
      <c r="P16" t="s">
        <v>384</v>
      </c>
      <c r="Q16" t="s">
        <v>489</v>
      </c>
      <c r="R16" s="303">
        <v>45223</v>
      </c>
      <c r="U16" s="303"/>
      <c r="W16"/>
    </row>
    <row r="17" spans="1:23" x14ac:dyDescent="0.25">
      <c r="A17">
        <v>26</v>
      </c>
      <c r="B17" t="s">
        <v>340</v>
      </c>
      <c r="C17" t="s">
        <v>493</v>
      </c>
      <c r="D17">
        <v>1</v>
      </c>
      <c r="E17" s="313">
        <v>45229</v>
      </c>
      <c r="F17" s="343"/>
      <c r="G17"/>
      <c r="H17"/>
      <c r="I17">
        <v>31</v>
      </c>
      <c r="J17" t="s">
        <v>470</v>
      </c>
      <c r="K17" s="303">
        <v>45222</v>
      </c>
      <c r="M17"/>
      <c r="N17">
        <v>52</v>
      </c>
      <c r="O17" t="s">
        <v>385</v>
      </c>
      <c r="P17" t="s">
        <v>386</v>
      </c>
      <c r="Q17" t="s">
        <v>489</v>
      </c>
      <c r="R17" s="303">
        <v>45223</v>
      </c>
      <c r="U17" s="303"/>
      <c r="W17"/>
    </row>
    <row r="18" spans="1:23" x14ac:dyDescent="0.25">
      <c r="A18">
        <v>27</v>
      </c>
      <c r="B18" t="s">
        <v>340</v>
      </c>
      <c r="C18" t="s">
        <v>494</v>
      </c>
      <c r="D18">
        <v>1</v>
      </c>
      <c r="E18" s="313">
        <v>45229</v>
      </c>
      <c r="F18" s="343"/>
      <c r="G18"/>
      <c r="H18"/>
      <c r="I18">
        <v>32</v>
      </c>
      <c r="J18" t="s">
        <v>472</v>
      </c>
      <c r="K18" s="303">
        <v>45222</v>
      </c>
      <c r="M18"/>
      <c r="N18">
        <v>53</v>
      </c>
      <c r="O18" t="s">
        <v>387</v>
      </c>
      <c r="P18" t="s">
        <v>388</v>
      </c>
      <c r="Q18" t="s">
        <v>489</v>
      </c>
      <c r="R18" s="303">
        <v>45223</v>
      </c>
      <c r="U18" s="303"/>
      <c r="W18"/>
    </row>
    <row r="19" spans="1:23" x14ac:dyDescent="0.25">
      <c r="A19">
        <v>28</v>
      </c>
      <c r="B19" t="s">
        <v>340</v>
      </c>
      <c r="C19" t="s">
        <v>495</v>
      </c>
      <c r="D19">
        <v>1</v>
      </c>
      <c r="E19" s="313">
        <v>45229</v>
      </c>
      <c r="F19" s="343"/>
      <c r="G19"/>
      <c r="H19"/>
      <c r="I19">
        <v>30</v>
      </c>
      <c r="J19" t="s">
        <v>474</v>
      </c>
      <c r="K19" s="303">
        <v>45222</v>
      </c>
      <c r="M19"/>
      <c r="N19">
        <v>54</v>
      </c>
      <c r="O19" t="s">
        <v>389</v>
      </c>
      <c r="P19" t="s">
        <v>390</v>
      </c>
      <c r="Q19" t="s">
        <v>489</v>
      </c>
      <c r="R19" s="303">
        <v>45223</v>
      </c>
      <c r="U19" s="303"/>
      <c r="W19"/>
    </row>
    <row r="20" spans="1:23" x14ac:dyDescent="0.25">
      <c r="A20">
        <v>29</v>
      </c>
      <c r="B20" t="s">
        <v>340</v>
      </c>
      <c r="C20" t="s">
        <v>496</v>
      </c>
      <c r="D20">
        <v>1</v>
      </c>
      <c r="E20" s="313">
        <v>45229</v>
      </c>
      <c r="F20" s="343"/>
      <c r="G20"/>
      <c r="H20"/>
      <c r="I20">
        <v>48</v>
      </c>
      <c r="J20" t="s">
        <v>481</v>
      </c>
      <c r="K20" s="303">
        <v>45222</v>
      </c>
      <c r="M20"/>
      <c r="N20">
        <v>55</v>
      </c>
      <c r="O20" t="s">
        <v>392</v>
      </c>
      <c r="P20" t="s">
        <v>393</v>
      </c>
      <c r="Q20" t="s">
        <v>489</v>
      </c>
      <c r="R20" s="303">
        <v>45223</v>
      </c>
      <c r="U20" s="303"/>
      <c r="W20"/>
    </row>
    <row r="21" spans="1:23" x14ac:dyDescent="0.25">
      <c r="A21">
        <v>30</v>
      </c>
      <c r="B21" t="s">
        <v>340</v>
      </c>
      <c r="C21" t="s">
        <v>497</v>
      </c>
      <c r="D21">
        <v>1</v>
      </c>
      <c r="E21" s="313">
        <v>45229</v>
      </c>
      <c r="F21" s="343"/>
      <c r="G21"/>
      <c r="H21"/>
      <c r="I21">
        <v>51</v>
      </c>
      <c r="J21" t="s">
        <v>491</v>
      </c>
      <c r="K21" s="303">
        <v>45223</v>
      </c>
      <c r="M21"/>
      <c r="N21">
        <v>56</v>
      </c>
      <c r="O21" t="s">
        <v>394</v>
      </c>
      <c r="P21" t="s">
        <v>395</v>
      </c>
      <c r="Q21" t="s">
        <v>489</v>
      </c>
      <c r="R21" s="303">
        <v>45223</v>
      </c>
      <c r="U21" s="303"/>
      <c r="W21"/>
    </row>
    <row r="22" spans="1:23" x14ac:dyDescent="0.25">
      <c r="A22">
        <v>31</v>
      </c>
      <c r="B22" t="s">
        <v>340</v>
      </c>
      <c r="C22" t="s">
        <v>498</v>
      </c>
      <c r="D22">
        <v>1</v>
      </c>
      <c r="E22" s="313">
        <v>45229</v>
      </c>
      <c r="F22" s="343"/>
      <c r="G22"/>
      <c r="H22"/>
      <c r="I22">
        <v>48</v>
      </c>
      <c r="J22" t="s">
        <v>484</v>
      </c>
      <c r="K22" s="303">
        <v>45223</v>
      </c>
      <c r="M22"/>
      <c r="N22">
        <v>57</v>
      </c>
      <c r="O22" t="s">
        <v>396</v>
      </c>
      <c r="P22" t="s">
        <v>397</v>
      </c>
      <c r="Q22" t="s">
        <v>489</v>
      </c>
      <c r="R22" s="303">
        <v>45223</v>
      </c>
      <c r="U22" s="303"/>
      <c r="W22"/>
    </row>
    <row r="23" spans="1:23" x14ac:dyDescent="0.25">
      <c r="A23">
        <v>32</v>
      </c>
      <c r="B23" t="s">
        <v>340</v>
      </c>
      <c r="C23" t="s">
        <v>499</v>
      </c>
      <c r="D23">
        <v>1</v>
      </c>
      <c r="E23" s="313">
        <v>45229</v>
      </c>
      <c r="F23" s="343"/>
      <c r="G23"/>
      <c r="H23"/>
      <c r="I23">
        <v>39</v>
      </c>
      <c r="J23" t="s">
        <v>479</v>
      </c>
      <c r="K23" s="303">
        <v>45223</v>
      </c>
      <c r="M23"/>
      <c r="N23">
        <v>58</v>
      </c>
      <c r="O23" t="s">
        <v>399</v>
      </c>
      <c r="P23" t="s">
        <v>400</v>
      </c>
      <c r="Q23" t="s">
        <v>489</v>
      </c>
      <c r="R23" s="303">
        <v>45223</v>
      </c>
      <c r="U23" s="303"/>
      <c r="W23"/>
    </row>
    <row r="24" spans="1:23" x14ac:dyDescent="0.25">
      <c r="A24">
        <v>33</v>
      </c>
      <c r="B24" t="s">
        <v>340</v>
      </c>
      <c r="C24" t="s">
        <v>500</v>
      </c>
      <c r="D24">
        <v>1</v>
      </c>
      <c r="E24" s="313">
        <v>45229</v>
      </c>
      <c r="F24" s="343"/>
      <c r="G24"/>
      <c r="H24"/>
      <c r="I24">
        <v>27</v>
      </c>
      <c r="J24" t="s">
        <v>476</v>
      </c>
      <c r="K24" s="303">
        <v>45223</v>
      </c>
      <c r="L24" s="303"/>
      <c r="M24"/>
      <c r="N24">
        <v>59</v>
      </c>
      <c r="O24" t="s">
        <v>401</v>
      </c>
      <c r="P24" t="s">
        <v>402</v>
      </c>
      <c r="Q24" t="s">
        <v>489</v>
      </c>
      <c r="R24" s="303">
        <v>45223</v>
      </c>
      <c r="U24" s="303"/>
      <c r="W24"/>
    </row>
    <row r="25" spans="1:23" x14ac:dyDescent="0.25">
      <c r="A25">
        <v>34</v>
      </c>
      <c r="B25" t="s">
        <v>340</v>
      </c>
      <c r="C25" t="s">
        <v>501</v>
      </c>
      <c r="D25">
        <v>1</v>
      </c>
      <c r="E25" s="313">
        <v>45229</v>
      </c>
      <c r="F25" s="343"/>
      <c r="G25"/>
      <c r="H25"/>
      <c r="I25">
        <v>49</v>
      </c>
      <c r="J25" t="s">
        <v>486</v>
      </c>
      <c r="K25" s="303">
        <v>45223</v>
      </c>
      <c r="L25" s="303"/>
      <c r="M25"/>
      <c r="N25">
        <v>60</v>
      </c>
      <c r="O25" t="s">
        <v>403</v>
      </c>
      <c r="P25" t="s">
        <v>404</v>
      </c>
      <c r="Q25" t="s">
        <v>489</v>
      </c>
      <c r="R25" s="303">
        <v>45223</v>
      </c>
      <c r="U25" s="303"/>
      <c r="W25"/>
    </row>
    <row r="26" spans="1:23" x14ac:dyDescent="0.25">
      <c r="A26">
        <v>36</v>
      </c>
      <c r="B26" t="s">
        <v>354</v>
      </c>
      <c r="C26" t="s">
        <v>355</v>
      </c>
      <c r="D26">
        <v>2</v>
      </c>
      <c r="F26" s="343">
        <v>600</v>
      </c>
      <c r="G26"/>
      <c r="H26"/>
      <c r="I26">
        <v>50</v>
      </c>
      <c r="J26" t="s">
        <v>489</v>
      </c>
      <c r="K26" s="303">
        <v>45223</v>
      </c>
      <c r="M26"/>
      <c r="U26" s="303"/>
      <c r="W26"/>
    </row>
    <row r="27" spans="1:23" x14ac:dyDescent="0.25">
      <c r="A27">
        <v>38</v>
      </c>
      <c r="B27" t="s">
        <v>358</v>
      </c>
      <c r="C27" t="s">
        <v>359</v>
      </c>
      <c r="D27">
        <v>2</v>
      </c>
      <c r="F27" s="343">
        <v>50</v>
      </c>
      <c r="G27"/>
      <c r="H27"/>
      <c r="I27">
        <v>51</v>
      </c>
      <c r="J27" t="s">
        <v>489</v>
      </c>
      <c r="K27" s="303">
        <v>45223</v>
      </c>
      <c r="M27"/>
      <c r="U27" s="303"/>
      <c r="W27"/>
    </row>
    <row r="28" spans="1:23" x14ac:dyDescent="0.25">
      <c r="A28">
        <v>39</v>
      </c>
      <c r="B28" t="s">
        <v>360</v>
      </c>
      <c r="C28" t="s">
        <v>361</v>
      </c>
      <c r="D28">
        <v>2</v>
      </c>
      <c r="F28" s="343">
        <v>50</v>
      </c>
      <c r="G28"/>
      <c r="H28"/>
      <c r="I28">
        <v>52</v>
      </c>
      <c r="J28" t="s">
        <v>489</v>
      </c>
      <c r="K28" s="303">
        <v>45223</v>
      </c>
      <c r="M28"/>
      <c r="U28" s="303"/>
      <c r="W28"/>
    </row>
    <row r="29" spans="1:23" x14ac:dyDescent="0.25">
      <c r="A29">
        <v>43</v>
      </c>
      <c r="B29" t="s">
        <v>368</v>
      </c>
      <c r="C29" t="s">
        <v>369</v>
      </c>
      <c r="D29">
        <v>2</v>
      </c>
      <c r="F29" s="343"/>
      <c r="G29"/>
      <c r="H29"/>
      <c r="I29">
        <v>53</v>
      </c>
      <c r="J29" t="s">
        <v>489</v>
      </c>
      <c r="K29" s="303">
        <v>45223</v>
      </c>
      <c r="M29"/>
      <c r="U29" s="303"/>
      <c r="W29"/>
    </row>
    <row r="30" spans="1:23" x14ac:dyDescent="0.25">
      <c r="A30">
        <v>45</v>
      </c>
      <c r="B30" t="s">
        <v>371</v>
      </c>
      <c r="C30" t="s">
        <v>372</v>
      </c>
      <c r="D30">
        <v>2</v>
      </c>
      <c r="F30" s="343"/>
      <c r="G30"/>
      <c r="H30"/>
      <c r="I30">
        <v>54</v>
      </c>
      <c r="J30" t="s">
        <v>489</v>
      </c>
      <c r="K30" s="303">
        <v>45223</v>
      </c>
      <c r="M30"/>
      <c r="U30" s="303"/>
      <c r="W30"/>
    </row>
    <row r="31" spans="1:23" x14ac:dyDescent="0.25">
      <c r="A31">
        <v>46</v>
      </c>
      <c r="B31" t="s">
        <v>373</v>
      </c>
      <c r="C31" t="s">
        <v>374</v>
      </c>
      <c r="D31">
        <v>2</v>
      </c>
      <c r="F31" s="343"/>
      <c r="G31"/>
      <c r="H31"/>
      <c r="I31">
        <v>55</v>
      </c>
      <c r="J31" t="s">
        <v>489</v>
      </c>
      <c r="K31" s="303">
        <v>45223</v>
      </c>
      <c r="M31"/>
      <c r="U31" s="303"/>
      <c r="W31"/>
    </row>
    <row r="32" spans="1:23" x14ac:dyDescent="0.25">
      <c r="A32">
        <v>47</v>
      </c>
      <c r="B32" t="s">
        <v>375</v>
      </c>
      <c r="C32" t="s">
        <v>376</v>
      </c>
      <c r="D32">
        <v>2</v>
      </c>
      <c r="F32" s="343"/>
      <c r="G32"/>
      <c r="H32"/>
      <c r="I32">
        <v>56</v>
      </c>
      <c r="J32" t="s">
        <v>489</v>
      </c>
      <c r="K32" s="303">
        <v>45223</v>
      </c>
      <c r="M32"/>
      <c r="U32" s="303"/>
      <c r="W32"/>
    </row>
    <row r="33" spans="1:23" x14ac:dyDescent="0.25">
      <c r="A33">
        <v>48</v>
      </c>
      <c r="B33" t="s">
        <v>377</v>
      </c>
      <c r="C33" t="s">
        <v>378</v>
      </c>
      <c r="D33">
        <v>2</v>
      </c>
      <c r="F33" s="343"/>
      <c r="G33"/>
      <c r="I33">
        <v>57</v>
      </c>
      <c r="J33" t="s">
        <v>489</v>
      </c>
      <c r="K33" s="303">
        <v>45223</v>
      </c>
      <c r="L33" s="303"/>
      <c r="M33"/>
      <c r="V33" s="303"/>
      <c r="W33"/>
    </row>
    <row r="34" spans="1:23" x14ac:dyDescent="0.25">
      <c r="A34">
        <v>49</v>
      </c>
      <c r="B34" t="s">
        <v>379</v>
      </c>
      <c r="C34" t="s">
        <v>380</v>
      </c>
      <c r="D34">
        <v>2</v>
      </c>
      <c r="F34" s="343"/>
      <c r="G34"/>
      <c r="I34">
        <v>58</v>
      </c>
      <c r="J34" t="s">
        <v>489</v>
      </c>
      <c r="K34" s="303">
        <v>45223</v>
      </c>
      <c r="L34" s="303"/>
      <c r="M34"/>
      <c r="V34" s="303"/>
      <c r="W34"/>
    </row>
    <row r="35" spans="1:23" x14ac:dyDescent="0.25">
      <c r="A35">
        <v>50</v>
      </c>
      <c r="B35" t="s">
        <v>381</v>
      </c>
      <c r="C35" t="s">
        <v>382</v>
      </c>
      <c r="D35">
        <v>2</v>
      </c>
      <c r="F35" s="343"/>
      <c r="G35"/>
      <c r="I35">
        <v>59</v>
      </c>
      <c r="J35" t="s">
        <v>489</v>
      </c>
      <c r="K35" s="303">
        <v>45223</v>
      </c>
      <c r="L35" s="303"/>
      <c r="M35"/>
      <c r="V35" s="303"/>
      <c r="W35"/>
    </row>
    <row r="36" spans="1:23" x14ac:dyDescent="0.25">
      <c r="A36">
        <v>51</v>
      </c>
      <c r="B36" t="s">
        <v>383</v>
      </c>
      <c r="C36" t="s">
        <v>384</v>
      </c>
      <c r="D36">
        <v>2</v>
      </c>
      <c r="F36" s="343"/>
      <c r="G36"/>
      <c r="I36">
        <v>60</v>
      </c>
      <c r="J36" t="s">
        <v>489</v>
      </c>
      <c r="K36" s="303">
        <v>45223</v>
      </c>
      <c r="L36" s="303"/>
      <c r="M36"/>
      <c r="V36" s="303"/>
      <c r="W36"/>
    </row>
    <row r="37" spans="1:23" x14ac:dyDescent="0.25">
      <c r="A37">
        <v>52</v>
      </c>
      <c r="B37" t="s">
        <v>385</v>
      </c>
      <c r="C37" t="s">
        <v>386</v>
      </c>
      <c r="D37">
        <v>2</v>
      </c>
      <c r="F37" s="343"/>
      <c r="G37"/>
      <c r="I37"/>
      <c r="L37" s="303"/>
      <c r="M37"/>
      <c r="V37" s="303"/>
      <c r="W37"/>
    </row>
    <row r="38" spans="1:23" x14ac:dyDescent="0.25">
      <c r="A38">
        <v>53</v>
      </c>
      <c r="B38" t="s">
        <v>387</v>
      </c>
      <c r="C38" t="s">
        <v>388</v>
      </c>
      <c r="D38">
        <v>2</v>
      </c>
      <c r="F38" s="343"/>
      <c r="G38"/>
      <c r="I38"/>
      <c r="L38" s="303"/>
      <c r="M38"/>
      <c r="V38" s="303"/>
      <c r="W38"/>
    </row>
    <row r="39" spans="1:23" x14ac:dyDescent="0.25">
      <c r="A39">
        <v>54</v>
      </c>
      <c r="B39" t="s">
        <v>389</v>
      </c>
      <c r="C39" t="s">
        <v>390</v>
      </c>
      <c r="D39">
        <v>2</v>
      </c>
      <c r="F39" s="343"/>
      <c r="G39"/>
      <c r="I39"/>
      <c r="L39" s="303"/>
      <c r="M39"/>
      <c r="V39" s="303"/>
      <c r="W39"/>
    </row>
    <row r="40" spans="1:23" x14ac:dyDescent="0.25">
      <c r="A40">
        <v>55</v>
      </c>
      <c r="B40" t="s">
        <v>392</v>
      </c>
      <c r="C40" t="s">
        <v>393</v>
      </c>
      <c r="D40">
        <v>2</v>
      </c>
      <c r="F40" s="343"/>
      <c r="G40"/>
      <c r="I40"/>
      <c r="L40" s="303"/>
      <c r="M40"/>
      <c r="V40" s="303"/>
      <c r="W40"/>
    </row>
    <row r="41" spans="1:23" x14ac:dyDescent="0.25">
      <c r="A41">
        <v>56</v>
      </c>
      <c r="B41" t="s">
        <v>394</v>
      </c>
      <c r="C41" t="s">
        <v>395</v>
      </c>
      <c r="D41">
        <v>2</v>
      </c>
      <c r="F41" s="343"/>
      <c r="G41"/>
      <c r="I41"/>
      <c r="L41" s="303"/>
      <c r="M41"/>
      <c r="V41" s="303"/>
      <c r="W41"/>
    </row>
    <row r="42" spans="1:23" x14ac:dyDescent="0.25">
      <c r="A42">
        <v>57</v>
      </c>
      <c r="B42" t="s">
        <v>396</v>
      </c>
      <c r="C42" t="s">
        <v>397</v>
      </c>
      <c r="D42">
        <v>2</v>
      </c>
      <c r="F42" s="343"/>
      <c r="G42"/>
      <c r="I42"/>
      <c r="L42" s="303"/>
      <c r="M42"/>
      <c r="V42" s="303"/>
      <c r="W42"/>
    </row>
    <row r="43" spans="1:23" x14ac:dyDescent="0.25">
      <c r="A43">
        <v>58</v>
      </c>
      <c r="B43" t="s">
        <v>399</v>
      </c>
      <c r="C43" t="s">
        <v>400</v>
      </c>
      <c r="D43">
        <v>2</v>
      </c>
      <c r="F43" s="343"/>
      <c r="G43"/>
      <c r="I43"/>
      <c r="L43" s="303"/>
      <c r="M43"/>
      <c r="V43" s="303"/>
      <c r="W43"/>
    </row>
    <row r="44" spans="1:23" x14ac:dyDescent="0.25">
      <c r="A44">
        <v>59</v>
      </c>
      <c r="B44" t="s">
        <v>401</v>
      </c>
      <c r="C44" t="s">
        <v>402</v>
      </c>
      <c r="D44">
        <v>2</v>
      </c>
      <c r="F44" s="343"/>
      <c r="G44"/>
      <c r="I44"/>
      <c r="L44" s="303"/>
      <c r="M44"/>
      <c r="V44" s="303"/>
      <c r="W44"/>
    </row>
    <row r="45" spans="1:23" x14ac:dyDescent="0.25">
      <c r="A45">
        <v>60</v>
      </c>
      <c r="B45" t="s">
        <v>403</v>
      </c>
      <c r="C45" t="s">
        <v>502</v>
      </c>
      <c r="D45">
        <v>2</v>
      </c>
      <c r="F45" s="343"/>
      <c r="G45" t="s">
        <v>459</v>
      </c>
      <c r="I45"/>
      <c r="L45" s="303"/>
      <c r="M45"/>
      <c r="V45" s="303"/>
      <c r="W45"/>
    </row>
    <row r="46" spans="1:23" x14ac:dyDescent="0.25">
      <c r="A46">
        <v>3</v>
      </c>
      <c r="B46" t="s">
        <v>306</v>
      </c>
      <c r="C46" t="s">
        <v>306</v>
      </c>
      <c r="D46">
        <v>4</v>
      </c>
      <c r="E46" s="313">
        <v>45226</v>
      </c>
      <c r="F46" s="343">
        <v>0</v>
      </c>
      <c r="G46"/>
      <c r="I46"/>
      <c r="L46" s="303"/>
      <c r="M46"/>
      <c r="V46" s="303"/>
      <c r="W46"/>
    </row>
    <row r="47" spans="1:23" x14ac:dyDescent="0.25">
      <c r="A47">
        <v>4</v>
      </c>
      <c r="B47" t="s">
        <v>307</v>
      </c>
      <c r="C47" t="s">
        <v>308</v>
      </c>
      <c r="D47">
        <v>5</v>
      </c>
      <c r="F47" s="343"/>
      <c r="G47"/>
      <c r="I47"/>
      <c r="L47" s="303"/>
      <c r="M47"/>
      <c r="V47" s="303"/>
      <c r="W47"/>
    </row>
  </sheetData>
  <mergeCells count="6">
    <mergeCell ref="N1:S1"/>
    <mergeCell ref="N2:S2"/>
    <mergeCell ref="I2:L2"/>
    <mergeCell ref="I1:L1"/>
    <mergeCell ref="A1:G1"/>
    <mergeCell ref="A2:G2"/>
  </mergeCells>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B76BB-94C9-4AB0-BFDD-E403D15482C9}">
  <sheetPr codeName="Sheet9"/>
  <dimension ref="A1:E19"/>
  <sheetViews>
    <sheetView workbookViewId="0">
      <selection activeCell="C6" sqref="C6:D7"/>
    </sheetView>
  </sheetViews>
  <sheetFormatPr defaultRowHeight="15" x14ac:dyDescent="0.25"/>
  <cols>
    <col min="1" max="1" width="12.7109375" bestFit="1" customWidth="1"/>
    <col min="2" max="2" width="10.7109375" bestFit="1" customWidth="1"/>
    <col min="3" max="3" width="20.140625" bestFit="1" customWidth="1"/>
  </cols>
  <sheetData>
    <row r="1" spans="1:5" x14ac:dyDescent="0.25">
      <c r="A1" s="518" t="s">
        <v>503</v>
      </c>
      <c r="B1" s="518"/>
      <c r="C1" s="518"/>
      <c r="D1" s="518"/>
      <c r="E1" s="518"/>
    </row>
    <row r="3" spans="1:5" x14ac:dyDescent="0.25">
      <c r="A3" s="3" t="s">
        <v>504</v>
      </c>
      <c r="B3" s="3" t="s">
        <v>291</v>
      </c>
      <c r="C3" s="13" t="s">
        <v>505</v>
      </c>
      <c r="D3" s="13" t="s">
        <v>506</v>
      </c>
      <c r="E3" s="3"/>
    </row>
    <row r="4" spans="1:5" x14ac:dyDescent="0.25">
      <c r="A4" s="2"/>
      <c r="C4" s="14"/>
      <c r="D4" s="14"/>
      <c r="E4" s="14"/>
    </row>
    <row r="5" spans="1:5" x14ac:dyDescent="0.25">
      <c r="A5" s="2" t="s">
        <v>507</v>
      </c>
      <c r="B5" s="12">
        <v>45292</v>
      </c>
      <c r="C5" s="14" t="s">
        <v>508</v>
      </c>
      <c r="D5" s="14">
        <v>853</v>
      </c>
      <c r="E5" s="14"/>
    </row>
    <row r="6" spans="1:5" x14ac:dyDescent="0.25">
      <c r="A6" s="2"/>
      <c r="B6" s="12">
        <v>45658</v>
      </c>
      <c r="C6" s="14" t="s">
        <v>508</v>
      </c>
      <c r="D6" s="14">
        <v>853</v>
      </c>
      <c r="E6" s="14"/>
    </row>
    <row r="7" spans="1:5" x14ac:dyDescent="0.25">
      <c r="A7" s="2"/>
      <c r="B7" s="12">
        <v>46023</v>
      </c>
      <c r="C7" s="14" t="s">
        <v>508</v>
      </c>
      <c r="D7" s="14">
        <v>853</v>
      </c>
      <c r="E7" s="14"/>
    </row>
    <row r="8" spans="1:5" x14ac:dyDescent="0.25">
      <c r="A8" s="2"/>
      <c r="C8" s="14"/>
      <c r="D8" s="14"/>
      <c r="E8" s="14"/>
    </row>
    <row r="9" spans="1:5" x14ac:dyDescent="0.25">
      <c r="A9" s="2"/>
      <c r="C9" s="14"/>
      <c r="D9" s="14"/>
      <c r="E9" s="14"/>
    </row>
    <row r="10" spans="1:5" x14ac:dyDescent="0.25">
      <c r="A10" s="2"/>
      <c r="C10" s="14"/>
      <c r="D10" s="14"/>
      <c r="E10" s="14"/>
    </row>
    <row r="11" spans="1:5" x14ac:dyDescent="0.25">
      <c r="A11" s="2"/>
      <c r="C11" s="14"/>
      <c r="D11" s="14"/>
    </row>
    <row r="12" spans="1:5" x14ac:dyDescent="0.25">
      <c r="A12" s="2"/>
      <c r="C12" s="14"/>
      <c r="D12" s="14"/>
    </row>
    <row r="13" spans="1:5" x14ac:dyDescent="0.25">
      <c r="A13" s="2"/>
      <c r="C13" s="14"/>
      <c r="D13" s="14"/>
    </row>
    <row r="14" spans="1:5" x14ac:dyDescent="0.25">
      <c r="A14" s="2"/>
      <c r="C14" s="14"/>
      <c r="D14" s="14"/>
    </row>
    <row r="15" spans="1:5" x14ac:dyDescent="0.25">
      <c r="A15" s="2"/>
      <c r="C15" s="14"/>
      <c r="D15" s="14"/>
    </row>
    <row r="16" spans="1:5" x14ac:dyDescent="0.25">
      <c r="A16" s="2"/>
      <c r="C16" s="14"/>
      <c r="D16" s="14"/>
    </row>
    <row r="17" spans="1:5" x14ac:dyDescent="0.25">
      <c r="A17" s="2"/>
      <c r="C17" s="14"/>
      <c r="D17" s="14"/>
    </row>
    <row r="18" spans="1:5" ht="15.75" thickBot="1" x14ac:dyDescent="0.3">
      <c r="A18" s="2"/>
      <c r="C18" s="14"/>
      <c r="D18" s="23"/>
      <c r="E18" s="23"/>
    </row>
    <row r="19" spans="1:5" x14ac:dyDescent="0.25">
      <c r="A19" s="2"/>
      <c r="C19" s="14"/>
      <c r="D19" s="14"/>
      <c r="E19" s="5">
        <f>SUM(D4:D18)</f>
        <v>2559</v>
      </c>
    </row>
  </sheetData>
  <mergeCells count="1">
    <mergeCell ref="A1:E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E11"/>
  <sheetViews>
    <sheetView workbookViewId="0">
      <selection activeCell="D4" sqref="D4"/>
    </sheetView>
  </sheetViews>
  <sheetFormatPr defaultRowHeight="15" x14ac:dyDescent="0.25"/>
  <cols>
    <col min="1" max="1" width="26" style="2" bestFit="1" customWidth="1"/>
    <col min="2" max="2" width="9.140625" style="1"/>
    <col min="3" max="3" width="11.85546875" style="1" bestFit="1" customWidth="1"/>
  </cols>
  <sheetData>
    <row r="1" spans="1:5" ht="60" x14ac:dyDescent="0.25">
      <c r="A1" s="3" t="s">
        <v>509</v>
      </c>
      <c r="B1" s="7" t="s">
        <v>510</v>
      </c>
    </row>
    <row r="2" spans="1:5" x14ac:dyDescent="0.25">
      <c r="A2" s="3" t="s">
        <v>511</v>
      </c>
      <c r="B2" s="6"/>
      <c r="C2" s="4"/>
    </row>
    <row r="4" spans="1:5" x14ac:dyDescent="0.25">
      <c r="A4" s="2" t="s">
        <v>512</v>
      </c>
      <c r="B4" s="1">
        <v>0</v>
      </c>
      <c r="C4" s="1">
        <v>0</v>
      </c>
    </row>
    <row r="5" spans="1:5" x14ac:dyDescent="0.25">
      <c r="A5" s="2" t="s">
        <v>513</v>
      </c>
      <c r="B5" s="1">
        <v>33</v>
      </c>
      <c r="C5"/>
      <c r="D5" s="1"/>
    </row>
    <row r="6" spans="1:5" ht="15.75" thickBot="1" x14ac:dyDescent="0.3">
      <c r="A6" s="2" t="s">
        <v>514</v>
      </c>
      <c r="B6" s="20">
        <v>0</v>
      </c>
      <c r="C6" s="20">
        <f>B5*B6</f>
        <v>0</v>
      </c>
      <c r="D6" s="30"/>
    </row>
    <row r="7" spans="1:5" x14ac:dyDescent="0.25">
      <c r="C7" s="9" t="s">
        <v>515</v>
      </c>
      <c r="D7" s="1">
        <f>SUM(C4:C6)</f>
        <v>0</v>
      </c>
    </row>
    <row r="8" spans="1:5" x14ac:dyDescent="0.25">
      <c r="D8" s="1"/>
    </row>
    <row r="10" spans="1:5" ht="15.75" thickBot="1" x14ac:dyDescent="0.3">
      <c r="D10" s="30"/>
    </row>
    <row r="11" spans="1:5" x14ac:dyDescent="0.25">
      <c r="D11" s="31" t="s">
        <v>516</v>
      </c>
      <c r="E11" s="1">
        <f>+SUM(C4:C10)</f>
        <v>0</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C5F0F-F50D-4240-B814-4797EC2276C3}">
  <sheetPr codeName="Sheet12"/>
  <dimension ref="A1:G62"/>
  <sheetViews>
    <sheetView workbookViewId="0">
      <pane ySplit="2" topLeftCell="A42" activePane="bottomLeft" state="frozen"/>
      <selection pane="bottomLeft" activeCell="M59" sqref="M59"/>
    </sheetView>
  </sheetViews>
  <sheetFormatPr defaultColWidth="9.140625" defaultRowHeight="15" x14ac:dyDescent="0.25"/>
  <cols>
    <col min="1" max="1" width="39.7109375" bestFit="1" customWidth="1"/>
    <col min="2" max="2" width="26.85546875" style="2" customWidth="1"/>
    <col min="5" max="5" width="9.28515625" bestFit="1" customWidth="1"/>
    <col min="6" max="6" width="9.28515625" customWidth="1"/>
  </cols>
  <sheetData>
    <row r="1" spans="1:7" x14ac:dyDescent="0.25">
      <c r="A1" s="15" t="s">
        <v>517</v>
      </c>
    </row>
    <row r="2" spans="1:7" s="3" customFormat="1" x14ac:dyDescent="0.25">
      <c r="B2" s="3" t="s">
        <v>518</v>
      </c>
      <c r="C2" s="3" t="s">
        <v>519</v>
      </c>
      <c r="D2" s="8" t="s">
        <v>520</v>
      </c>
      <c r="E2" s="3" t="s">
        <v>521</v>
      </c>
      <c r="F2" s="8" t="s">
        <v>506</v>
      </c>
      <c r="G2" s="3" t="s">
        <v>522</v>
      </c>
    </row>
    <row r="3" spans="1:7" x14ac:dyDescent="0.25">
      <c r="A3" s="239" t="s">
        <v>523</v>
      </c>
      <c r="B3" s="239"/>
      <c r="C3" s="240">
        <v>0</v>
      </c>
      <c r="D3" s="241">
        <v>0</v>
      </c>
      <c r="E3">
        <f>+C3*D3</f>
        <v>0</v>
      </c>
      <c r="F3" s="26">
        <f t="shared" ref="F3:F44" si="0">+E3*0.0725</f>
        <v>0</v>
      </c>
    </row>
    <row r="4" spans="1:7" x14ac:dyDescent="0.25">
      <c r="A4" s="239" t="s">
        <v>524</v>
      </c>
      <c r="B4" s="239"/>
      <c r="C4" s="240">
        <v>0</v>
      </c>
      <c r="D4" s="241">
        <v>0</v>
      </c>
      <c r="E4">
        <f t="shared" ref="E4:E61" si="1">+C4*D4</f>
        <v>0</v>
      </c>
      <c r="F4" s="26">
        <f t="shared" si="0"/>
        <v>0</v>
      </c>
    </row>
    <row r="5" spans="1:7" x14ac:dyDescent="0.25">
      <c r="A5" s="239" t="s">
        <v>525</v>
      </c>
      <c r="B5" s="239"/>
      <c r="C5" s="240">
        <v>0</v>
      </c>
      <c r="D5" s="241">
        <v>0</v>
      </c>
      <c r="E5">
        <f t="shared" si="1"/>
        <v>0</v>
      </c>
      <c r="F5" s="26">
        <f t="shared" si="0"/>
        <v>0</v>
      </c>
    </row>
    <row r="6" spans="1:7" x14ac:dyDescent="0.25">
      <c r="A6" s="239" t="s">
        <v>526</v>
      </c>
      <c r="B6" s="239"/>
      <c r="C6" s="240">
        <v>0</v>
      </c>
      <c r="D6" s="241">
        <v>0</v>
      </c>
      <c r="E6">
        <f t="shared" si="1"/>
        <v>0</v>
      </c>
      <c r="F6" s="26">
        <f t="shared" si="0"/>
        <v>0</v>
      </c>
    </row>
    <row r="7" spans="1:7" x14ac:dyDescent="0.25">
      <c r="A7" s="239" t="s">
        <v>527</v>
      </c>
      <c r="B7" s="239"/>
      <c r="C7" s="240">
        <v>0</v>
      </c>
      <c r="D7" s="241">
        <v>0</v>
      </c>
      <c r="E7">
        <f t="shared" si="1"/>
        <v>0</v>
      </c>
      <c r="F7" s="26">
        <f t="shared" si="0"/>
        <v>0</v>
      </c>
    </row>
    <row r="8" spans="1:7" x14ac:dyDescent="0.25">
      <c r="A8" s="239" t="s">
        <v>528</v>
      </c>
      <c r="B8" s="239"/>
      <c r="C8" s="240">
        <v>0</v>
      </c>
      <c r="D8" s="241">
        <v>0</v>
      </c>
      <c r="E8">
        <f t="shared" si="1"/>
        <v>0</v>
      </c>
      <c r="F8" s="26">
        <f t="shared" si="0"/>
        <v>0</v>
      </c>
    </row>
    <row r="9" spans="1:7" x14ac:dyDescent="0.25">
      <c r="A9" s="239" t="s">
        <v>529</v>
      </c>
      <c r="B9" s="239"/>
      <c r="C9" s="240">
        <v>0</v>
      </c>
      <c r="D9" s="241">
        <v>0</v>
      </c>
      <c r="E9">
        <f t="shared" si="1"/>
        <v>0</v>
      </c>
      <c r="F9" s="26">
        <f t="shared" si="0"/>
        <v>0</v>
      </c>
    </row>
    <row r="10" spans="1:7" x14ac:dyDescent="0.25">
      <c r="A10" s="239" t="s">
        <v>173</v>
      </c>
      <c r="B10" s="239"/>
      <c r="C10" s="240">
        <v>0</v>
      </c>
      <c r="D10" s="241">
        <v>0</v>
      </c>
      <c r="E10">
        <f t="shared" si="1"/>
        <v>0</v>
      </c>
      <c r="F10" s="26">
        <f t="shared" si="0"/>
        <v>0</v>
      </c>
    </row>
    <row r="11" spans="1:7" x14ac:dyDescent="0.25">
      <c r="A11" s="239"/>
      <c r="B11" s="239"/>
      <c r="C11" s="240">
        <v>0</v>
      </c>
      <c r="D11" s="241">
        <v>0</v>
      </c>
      <c r="E11">
        <f t="shared" si="1"/>
        <v>0</v>
      </c>
      <c r="F11" s="26">
        <f t="shared" si="0"/>
        <v>0</v>
      </c>
    </row>
    <row r="12" spans="1:7" x14ac:dyDescent="0.25">
      <c r="A12" s="239" t="s">
        <v>530</v>
      </c>
      <c r="B12" s="239"/>
      <c r="C12" s="240">
        <v>0</v>
      </c>
      <c r="D12" s="241">
        <v>0</v>
      </c>
      <c r="E12">
        <f t="shared" si="1"/>
        <v>0</v>
      </c>
      <c r="F12" s="26">
        <f t="shared" si="0"/>
        <v>0</v>
      </c>
    </row>
    <row r="13" spans="1:7" x14ac:dyDescent="0.25">
      <c r="A13" s="239" t="s">
        <v>531</v>
      </c>
      <c r="B13" s="239"/>
      <c r="C13" s="240">
        <v>0</v>
      </c>
      <c r="D13" s="241">
        <v>0</v>
      </c>
      <c r="E13">
        <f t="shared" si="1"/>
        <v>0</v>
      </c>
      <c r="F13" s="26">
        <f t="shared" si="0"/>
        <v>0</v>
      </c>
    </row>
    <row r="14" spans="1:7" x14ac:dyDescent="0.25">
      <c r="A14" s="239" t="s">
        <v>532</v>
      </c>
      <c r="B14" s="239"/>
      <c r="C14" s="240">
        <v>0</v>
      </c>
      <c r="D14" s="241">
        <v>0</v>
      </c>
      <c r="E14">
        <f t="shared" si="1"/>
        <v>0</v>
      </c>
      <c r="F14" s="26">
        <f t="shared" si="0"/>
        <v>0</v>
      </c>
    </row>
    <row r="15" spans="1:7" x14ac:dyDescent="0.25">
      <c r="A15" s="239" t="s">
        <v>533</v>
      </c>
      <c r="B15" s="239"/>
      <c r="C15" s="240">
        <v>0</v>
      </c>
      <c r="D15" s="241">
        <v>0</v>
      </c>
      <c r="E15">
        <f t="shared" si="1"/>
        <v>0</v>
      </c>
      <c r="F15" s="26">
        <f t="shared" si="0"/>
        <v>0</v>
      </c>
    </row>
    <row r="16" spans="1:7" x14ac:dyDescent="0.25">
      <c r="A16" s="239"/>
      <c r="B16" s="239"/>
      <c r="C16" s="240">
        <v>0</v>
      </c>
      <c r="D16" s="241">
        <v>0</v>
      </c>
      <c r="E16">
        <f t="shared" si="1"/>
        <v>0</v>
      </c>
      <c r="F16" s="26">
        <f t="shared" si="0"/>
        <v>0</v>
      </c>
    </row>
    <row r="17" spans="1:6" x14ac:dyDescent="0.25">
      <c r="A17" s="239" t="s">
        <v>534</v>
      </c>
      <c r="B17" s="239"/>
      <c r="C17" s="240">
        <v>0</v>
      </c>
      <c r="D17" s="241">
        <v>0</v>
      </c>
      <c r="E17">
        <f t="shared" si="1"/>
        <v>0</v>
      </c>
      <c r="F17" s="26">
        <f t="shared" si="0"/>
        <v>0</v>
      </c>
    </row>
    <row r="18" spans="1:6" x14ac:dyDescent="0.25">
      <c r="A18" s="239" t="s">
        <v>535</v>
      </c>
      <c r="B18" s="239"/>
      <c r="C18" s="240">
        <v>0</v>
      </c>
      <c r="D18" s="241">
        <v>0</v>
      </c>
      <c r="E18">
        <f t="shared" si="1"/>
        <v>0</v>
      </c>
      <c r="F18" s="26">
        <f t="shared" si="0"/>
        <v>0</v>
      </c>
    </row>
    <row r="19" spans="1:6" x14ac:dyDescent="0.25">
      <c r="A19" s="239"/>
      <c r="B19" s="239"/>
      <c r="C19" s="240">
        <v>0</v>
      </c>
      <c r="D19" s="241">
        <v>0</v>
      </c>
      <c r="E19">
        <f t="shared" si="1"/>
        <v>0</v>
      </c>
      <c r="F19" s="26">
        <f t="shared" si="0"/>
        <v>0</v>
      </c>
    </row>
    <row r="20" spans="1:6" x14ac:dyDescent="0.25">
      <c r="A20" s="239" t="s">
        <v>536</v>
      </c>
      <c r="B20" s="239"/>
      <c r="C20" s="240">
        <v>0</v>
      </c>
      <c r="D20" s="241">
        <v>0</v>
      </c>
      <c r="E20">
        <f t="shared" si="1"/>
        <v>0</v>
      </c>
      <c r="F20" s="26">
        <f t="shared" si="0"/>
        <v>0</v>
      </c>
    </row>
    <row r="21" spans="1:6" x14ac:dyDescent="0.25">
      <c r="A21" s="239" t="s">
        <v>537</v>
      </c>
      <c r="B21" s="239"/>
      <c r="C21" s="240">
        <v>0</v>
      </c>
      <c r="D21" s="241">
        <v>0</v>
      </c>
      <c r="E21">
        <f t="shared" si="1"/>
        <v>0</v>
      </c>
      <c r="F21" s="26">
        <f t="shared" si="0"/>
        <v>0</v>
      </c>
    </row>
    <row r="22" spans="1:6" x14ac:dyDescent="0.25">
      <c r="A22" s="239"/>
      <c r="B22" s="239"/>
      <c r="C22" s="240">
        <v>0</v>
      </c>
      <c r="D22" s="241">
        <v>0</v>
      </c>
      <c r="E22">
        <f t="shared" si="1"/>
        <v>0</v>
      </c>
      <c r="F22" s="26">
        <f t="shared" si="0"/>
        <v>0</v>
      </c>
    </row>
    <row r="23" spans="1:6" x14ac:dyDescent="0.25">
      <c r="A23" s="239" t="s">
        <v>538</v>
      </c>
      <c r="B23" s="239"/>
      <c r="C23" s="240">
        <v>0</v>
      </c>
      <c r="D23" s="241">
        <v>0</v>
      </c>
      <c r="E23">
        <f t="shared" si="1"/>
        <v>0</v>
      </c>
      <c r="F23" s="26">
        <f t="shared" si="0"/>
        <v>0</v>
      </c>
    </row>
    <row r="24" spans="1:6" x14ac:dyDescent="0.25">
      <c r="A24" s="239"/>
      <c r="B24" s="239"/>
      <c r="C24" s="240">
        <v>0</v>
      </c>
      <c r="D24" s="241">
        <v>0</v>
      </c>
      <c r="E24">
        <f t="shared" si="1"/>
        <v>0</v>
      </c>
      <c r="F24" s="26">
        <f t="shared" si="0"/>
        <v>0</v>
      </c>
    </row>
    <row r="25" spans="1:6" x14ac:dyDescent="0.25">
      <c r="A25" s="239"/>
      <c r="B25" s="239"/>
      <c r="C25" s="240">
        <v>0</v>
      </c>
      <c r="D25" s="241">
        <v>0</v>
      </c>
      <c r="E25">
        <f t="shared" si="1"/>
        <v>0</v>
      </c>
      <c r="F25" s="26">
        <f t="shared" si="0"/>
        <v>0</v>
      </c>
    </row>
    <row r="26" spans="1:6" x14ac:dyDescent="0.25">
      <c r="A26" s="239" t="s">
        <v>539</v>
      </c>
      <c r="B26" s="239"/>
      <c r="C26" s="240">
        <v>0</v>
      </c>
      <c r="D26" s="241">
        <v>0</v>
      </c>
      <c r="E26">
        <f t="shared" si="1"/>
        <v>0</v>
      </c>
      <c r="F26" s="26">
        <f t="shared" si="0"/>
        <v>0</v>
      </c>
    </row>
    <row r="27" spans="1:6" x14ac:dyDescent="0.25">
      <c r="A27" s="239" t="s">
        <v>540</v>
      </c>
      <c r="B27" s="239"/>
      <c r="C27" s="240">
        <v>0</v>
      </c>
      <c r="D27" s="241">
        <v>0</v>
      </c>
      <c r="E27">
        <f t="shared" si="1"/>
        <v>0</v>
      </c>
      <c r="F27" s="26">
        <f t="shared" si="0"/>
        <v>0</v>
      </c>
    </row>
    <row r="28" spans="1:6" x14ac:dyDescent="0.25">
      <c r="A28" s="239" t="s">
        <v>541</v>
      </c>
      <c r="B28" s="239"/>
      <c r="C28" s="240">
        <v>0</v>
      </c>
      <c r="D28" s="241">
        <v>0</v>
      </c>
      <c r="E28">
        <f t="shared" si="1"/>
        <v>0</v>
      </c>
      <c r="F28" s="26">
        <f t="shared" si="0"/>
        <v>0</v>
      </c>
    </row>
    <row r="29" spans="1:6" x14ac:dyDescent="0.25">
      <c r="A29" s="239" t="s">
        <v>542</v>
      </c>
      <c r="B29" s="239"/>
      <c r="C29" s="240">
        <v>0</v>
      </c>
      <c r="D29" s="241">
        <v>0</v>
      </c>
      <c r="E29">
        <f t="shared" si="1"/>
        <v>0</v>
      </c>
      <c r="F29" s="26">
        <f t="shared" si="0"/>
        <v>0</v>
      </c>
    </row>
    <row r="30" spans="1:6" x14ac:dyDescent="0.25">
      <c r="A30" s="239" t="s">
        <v>543</v>
      </c>
      <c r="B30" s="239"/>
      <c r="C30" s="240">
        <v>0</v>
      </c>
      <c r="D30" s="241">
        <v>0</v>
      </c>
      <c r="E30">
        <f t="shared" si="1"/>
        <v>0</v>
      </c>
      <c r="F30" s="26">
        <f t="shared" si="0"/>
        <v>0</v>
      </c>
    </row>
    <row r="31" spans="1:6" x14ac:dyDescent="0.25">
      <c r="A31" s="239" t="s">
        <v>544</v>
      </c>
      <c r="B31" s="239"/>
      <c r="C31" s="240">
        <v>0</v>
      </c>
      <c r="D31" s="241">
        <v>0</v>
      </c>
      <c r="E31">
        <f t="shared" si="1"/>
        <v>0</v>
      </c>
      <c r="F31" s="26">
        <f t="shared" si="0"/>
        <v>0</v>
      </c>
    </row>
    <row r="32" spans="1:6" x14ac:dyDescent="0.25">
      <c r="A32" s="239" t="s">
        <v>545</v>
      </c>
      <c r="B32" s="239"/>
      <c r="C32" s="240">
        <v>0</v>
      </c>
      <c r="D32" s="241">
        <v>0</v>
      </c>
      <c r="E32">
        <f t="shared" si="1"/>
        <v>0</v>
      </c>
      <c r="F32" s="26">
        <f t="shared" si="0"/>
        <v>0</v>
      </c>
    </row>
    <row r="33" spans="1:6" x14ac:dyDescent="0.25">
      <c r="A33" s="239" t="s">
        <v>546</v>
      </c>
      <c r="B33" s="239"/>
      <c r="C33" s="240">
        <v>0</v>
      </c>
      <c r="D33" s="241">
        <v>0</v>
      </c>
      <c r="E33">
        <f t="shared" si="1"/>
        <v>0</v>
      </c>
      <c r="F33" s="26">
        <f t="shared" si="0"/>
        <v>0</v>
      </c>
    </row>
    <row r="34" spans="1:6" x14ac:dyDescent="0.25">
      <c r="A34" s="239" t="s">
        <v>547</v>
      </c>
      <c r="B34" s="239"/>
      <c r="C34" s="240">
        <v>0</v>
      </c>
      <c r="D34" s="241">
        <v>0</v>
      </c>
      <c r="E34">
        <f t="shared" si="1"/>
        <v>0</v>
      </c>
      <c r="F34" s="26">
        <f t="shared" si="0"/>
        <v>0</v>
      </c>
    </row>
    <row r="35" spans="1:6" x14ac:dyDescent="0.25">
      <c r="A35" s="239" t="s">
        <v>548</v>
      </c>
      <c r="B35" s="239"/>
      <c r="C35" s="240">
        <v>0</v>
      </c>
      <c r="D35" s="241">
        <v>0</v>
      </c>
      <c r="E35">
        <f t="shared" si="1"/>
        <v>0</v>
      </c>
      <c r="F35" s="26">
        <f t="shared" si="0"/>
        <v>0</v>
      </c>
    </row>
    <row r="36" spans="1:6" x14ac:dyDescent="0.25">
      <c r="A36" s="239" t="s">
        <v>549</v>
      </c>
      <c r="B36" s="239"/>
      <c r="C36" s="240">
        <v>0</v>
      </c>
      <c r="D36" s="241">
        <v>0</v>
      </c>
      <c r="E36">
        <f t="shared" si="1"/>
        <v>0</v>
      </c>
      <c r="F36" s="26">
        <f t="shared" si="0"/>
        <v>0</v>
      </c>
    </row>
    <row r="37" spans="1:6" x14ac:dyDescent="0.25">
      <c r="A37" s="239"/>
      <c r="B37" s="239"/>
      <c r="C37" s="240">
        <v>0</v>
      </c>
      <c r="D37" s="241">
        <v>0</v>
      </c>
      <c r="E37">
        <f t="shared" si="1"/>
        <v>0</v>
      </c>
      <c r="F37" s="26">
        <f t="shared" si="0"/>
        <v>0</v>
      </c>
    </row>
    <row r="38" spans="1:6" x14ac:dyDescent="0.25">
      <c r="A38" s="239" t="s">
        <v>550</v>
      </c>
      <c r="B38" s="239"/>
      <c r="C38" s="240">
        <v>0</v>
      </c>
      <c r="D38" s="241">
        <v>0</v>
      </c>
      <c r="E38">
        <f t="shared" si="1"/>
        <v>0</v>
      </c>
      <c r="F38" s="26">
        <f t="shared" si="0"/>
        <v>0</v>
      </c>
    </row>
    <row r="39" spans="1:6" x14ac:dyDescent="0.25">
      <c r="A39" s="239" t="s">
        <v>551</v>
      </c>
      <c r="B39" s="239"/>
      <c r="C39" s="240">
        <v>0</v>
      </c>
      <c r="D39" s="241">
        <v>0</v>
      </c>
      <c r="E39">
        <f t="shared" si="1"/>
        <v>0</v>
      </c>
      <c r="F39" s="26">
        <f t="shared" si="0"/>
        <v>0</v>
      </c>
    </row>
    <row r="40" spans="1:6" x14ac:dyDescent="0.25">
      <c r="A40" s="239" t="s">
        <v>552</v>
      </c>
      <c r="B40" s="239"/>
      <c r="C40" s="240">
        <v>0</v>
      </c>
      <c r="D40" s="241">
        <v>0</v>
      </c>
      <c r="E40">
        <f t="shared" si="1"/>
        <v>0</v>
      </c>
      <c r="F40" s="26">
        <f t="shared" si="0"/>
        <v>0</v>
      </c>
    </row>
    <row r="41" spans="1:6" x14ac:dyDescent="0.25">
      <c r="A41" s="239" t="s">
        <v>553</v>
      </c>
      <c r="B41" s="239"/>
      <c r="C41" s="240">
        <v>0</v>
      </c>
      <c r="D41" s="241">
        <v>0</v>
      </c>
      <c r="E41">
        <f t="shared" si="1"/>
        <v>0</v>
      </c>
      <c r="F41" s="26">
        <f t="shared" si="0"/>
        <v>0</v>
      </c>
    </row>
    <row r="42" spans="1:6" x14ac:dyDescent="0.25">
      <c r="A42" s="239"/>
      <c r="B42" s="239"/>
      <c r="C42" s="240">
        <v>0</v>
      </c>
      <c r="D42" s="241">
        <v>0</v>
      </c>
      <c r="E42">
        <f t="shared" si="1"/>
        <v>0</v>
      </c>
      <c r="F42" s="26">
        <f t="shared" si="0"/>
        <v>0</v>
      </c>
    </row>
    <row r="43" spans="1:6" x14ac:dyDescent="0.25">
      <c r="A43" s="239" t="s">
        <v>554</v>
      </c>
      <c r="B43" s="239"/>
      <c r="C43" s="240">
        <v>0</v>
      </c>
      <c r="D43" s="241">
        <v>0</v>
      </c>
      <c r="E43">
        <f t="shared" ref="E43:E57" si="2">+C43*D43</f>
        <v>0</v>
      </c>
      <c r="F43" s="26">
        <f t="shared" si="0"/>
        <v>0</v>
      </c>
    </row>
    <row r="44" spans="1:6" x14ac:dyDescent="0.25">
      <c r="A44" s="239" t="s">
        <v>555</v>
      </c>
      <c r="B44" s="239"/>
      <c r="C44" s="240">
        <v>0</v>
      </c>
      <c r="D44" s="241">
        <v>0</v>
      </c>
      <c r="E44">
        <f t="shared" si="2"/>
        <v>0</v>
      </c>
      <c r="F44" s="26">
        <f t="shared" si="0"/>
        <v>0</v>
      </c>
    </row>
    <row r="45" spans="1:6" x14ac:dyDescent="0.25">
      <c r="A45" s="239" t="s">
        <v>556</v>
      </c>
      <c r="B45" s="239">
        <v>6973242570225</v>
      </c>
      <c r="C45" s="240">
        <v>0</v>
      </c>
      <c r="D45" s="241">
        <v>49.97</v>
      </c>
      <c r="E45">
        <f t="shared" si="2"/>
        <v>0</v>
      </c>
      <c r="F45" s="26">
        <f>+E45*0.0725</f>
        <v>0</v>
      </c>
    </row>
    <row r="46" spans="1:6" x14ac:dyDescent="0.25">
      <c r="A46" s="239" t="s">
        <v>557</v>
      </c>
      <c r="B46" s="239"/>
      <c r="C46" s="240">
        <v>0</v>
      </c>
      <c r="D46" s="241">
        <v>69.989999999999995</v>
      </c>
      <c r="E46">
        <f t="shared" si="2"/>
        <v>0</v>
      </c>
      <c r="F46" s="26">
        <f t="shared" ref="F46:F60" si="3">+E46*0.0725</f>
        <v>0</v>
      </c>
    </row>
    <row r="47" spans="1:6" x14ac:dyDescent="0.25">
      <c r="A47" s="239"/>
      <c r="B47" s="239"/>
      <c r="C47" s="240">
        <v>0</v>
      </c>
      <c r="D47" s="241">
        <v>0</v>
      </c>
      <c r="E47">
        <f t="shared" si="2"/>
        <v>0</v>
      </c>
      <c r="F47" s="26">
        <f t="shared" si="3"/>
        <v>0</v>
      </c>
    </row>
    <row r="48" spans="1:6" x14ac:dyDescent="0.25">
      <c r="A48" s="239"/>
      <c r="B48" s="239"/>
      <c r="C48" s="240">
        <v>0</v>
      </c>
      <c r="D48" s="241">
        <v>0</v>
      </c>
      <c r="E48">
        <f t="shared" si="2"/>
        <v>0</v>
      </c>
      <c r="F48" s="26">
        <f t="shared" si="3"/>
        <v>0</v>
      </c>
    </row>
    <row r="49" spans="1:7" x14ac:dyDescent="0.25">
      <c r="A49" s="239"/>
      <c r="B49" s="239"/>
      <c r="C49" s="240">
        <v>0</v>
      </c>
      <c r="D49" s="241">
        <v>0</v>
      </c>
      <c r="E49">
        <f t="shared" si="2"/>
        <v>0</v>
      </c>
      <c r="F49" s="26">
        <f t="shared" si="3"/>
        <v>0</v>
      </c>
    </row>
    <row r="50" spans="1:7" x14ac:dyDescent="0.25">
      <c r="A50" s="239"/>
      <c r="B50" s="239"/>
      <c r="C50" s="240">
        <v>0</v>
      </c>
      <c r="D50" s="241">
        <v>0</v>
      </c>
      <c r="E50">
        <f t="shared" si="2"/>
        <v>0</v>
      </c>
      <c r="F50" s="26">
        <f t="shared" si="3"/>
        <v>0</v>
      </c>
    </row>
    <row r="51" spans="1:7" x14ac:dyDescent="0.25">
      <c r="A51" s="239"/>
      <c r="B51" s="239"/>
      <c r="C51" s="240">
        <v>0</v>
      </c>
      <c r="D51" s="241">
        <v>0</v>
      </c>
      <c r="E51">
        <f t="shared" si="2"/>
        <v>0</v>
      </c>
      <c r="F51" s="26">
        <f t="shared" si="3"/>
        <v>0</v>
      </c>
    </row>
    <row r="52" spans="1:7" x14ac:dyDescent="0.25">
      <c r="A52" s="239"/>
      <c r="B52" s="239"/>
      <c r="C52" s="240">
        <v>0</v>
      </c>
      <c r="D52" s="241">
        <v>0</v>
      </c>
      <c r="E52">
        <f t="shared" si="2"/>
        <v>0</v>
      </c>
      <c r="F52" s="26">
        <f t="shared" si="3"/>
        <v>0</v>
      </c>
    </row>
    <row r="53" spans="1:7" x14ac:dyDescent="0.25">
      <c r="A53" s="239"/>
      <c r="B53" s="239"/>
      <c r="C53" s="240">
        <v>0</v>
      </c>
      <c r="D53" s="241">
        <v>0</v>
      </c>
      <c r="E53">
        <f t="shared" si="2"/>
        <v>0</v>
      </c>
      <c r="F53" s="26">
        <f t="shared" si="3"/>
        <v>0</v>
      </c>
    </row>
    <row r="54" spans="1:7" x14ac:dyDescent="0.25">
      <c r="A54" s="239"/>
      <c r="B54" s="239"/>
      <c r="C54" s="240">
        <v>0</v>
      </c>
      <c r="D54" s="241">
        <v>0</v>
      </c>
      <c r="E54">
        <f t="shared" si="2"/>
        <v>0</v>
      </c>
      <c r="F54" s="26">
        <f t="shared" si="3"/>
        <v>0</v>
      </c>
    </row>
    <row r="55" spans="1:7" x14ac:dyDescent="0.25">
      <c r="A55" s="239"/>
      <c r="B55" s="239"/>
      <c r="C55" s="240">
        <v>0</v>
      </c>
      <c r="D55" s="241">
        <v>0</v>
      </c>
      <c r="E55">
        <f t="shared" si="2"/>
        <v>0</v>
      </c>
      <c r="F55" s="26">
        <f t="shared" si="3"/>
        <v>0</v>
      </c>
    </row>
    <row r="56" spans="1:7" x14ac:dyDescent="0.25">
      <c r="A56" s="239"/>
      <c r="B56" s="239"/>
      <c r="C56" s="240">
        <v>0</v>
      </c>
      <c r="D56" s="241">
        <v>0</v>
      </c>
      <c r="E56">
        <f t="shared" si="2"/>
        <v>0</v>
      </c>
      <c r="F56" s="26">
        <f t="shared" si="3"/>
        <v>0</v>
      </c>
    </row>
    <row r="57" spans="1:7" x14ac:dyDescent="0.25">
      <c r="A57" s="239"/>
      <c r="B57" s="239"/>
      <c r="C57" s="240">
        <v>0</v>
      </c>
      <c r="D57" s="241">
        <v>0</v>
      </c>
      <c r="E57">
        <f t="shared" si="2"/>
        <v>0</v>
      </c>
      <c r="F57" s="26">
        <f t="shared" si="3"/>
        <v>0</v>
      </c>
    </row>
    <row r="58" spans="1:7" x14ac:dyDescent="0.25">
      <c r="A58" s="239"/>
      <c r="B58" s="239"/>
      <c r="C58" s="240">
        <v>0</v>
      </c>
      <c r="D58" s="241">
        <v>0</v>
      </c>
      <c r="E58">
        <f t="shared" si="1"/>
        <v>0</v>
      </c>
      <c r="F58" s="26">
        <f t="shared" si="3"/>
        <v>0</v>
      </c>
    </row>
    <row r="59" spans="1:7" x14ac:dyDescent="0.25">
      <c r="A59" s="239" t="s">
        <v>558</v>
      </c>
      <c r="B59" s="239"/>
      <c r="C59" s="240">
        <v>0</v>
      </c>
      <c r="D59" s="241">
        <v>0</v>
      </c>
      <c r="E59">
        <f t="shared" si="1"/>
        <v>0</v>
      </c>
      <c r="F59" s="26">
        <f t="shared" si="3"/>
        <v>0</v>
      </c>
    </row>
    <row r="60" spans="1:7" x14ac:dyDescent="0.25">
      <c r="A60" s="238"/>
      <c r="B60" s="239"/>
      <c r="C60" s="240">
        <v>0</v>
      </c>
      <c r="D60" s="241">
        <v>0</v>
      </c>
      <c r="E60">
        <f t="shared" si="1"/>
        <v>0</v>
      </c>
      <c r="F60" s="26">
        <f t="shared" si="3"/>
        <v>0</v>
      </c>
    </row>
    <row r="61" spans="1:7" ht="15.75" thickBot="1" x14ac:dyDescent="0.3">
      <c r="A61" s="238"/>
      <c r="B61" s="239"/>
      <c r="C61" s="240">
        <v>0</v>
      </c>
      <c r="D61" s="241">
        <v>0</v>
      </c>
      <c r="E61">
        <f t="shared" si="1"/>
        <v>0</v>
      </c>
      <c r="G61" s="23"/>
    </row>
    <row r="62" spans="1:7" x14ac:dyDescent="0.25">
      <c r="G62" s="26">
        <f>+SUM(E3:E61)+SUM(F3:F61)</f>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E0E86-D18D-4C03-9745-B4C38BEC92ED}">
  <sheetPr codeName="Sheet13"/>
  <dimension ref="A1:J24"/>
  <sheetViews>
    <sheetView topLeftCell="A4" workbookViewId="0">
      <selection activeCell="B12" sqref="B12"/>
    </sheetView>
  </sheetViews>
  <sheetFormatPr defaultColWidth="9.140625" defaultRowHeight="15" x14ac:dyDescent="0.25"/>
  <cols>
    <col min="1" max="2" width="26.85546875" style="2" bestFit="1" customWidth="1"/>
    <col min="3" max="3" width="22.28515625" customWidth="1"/>
    <col min="4" max="4" width="9.140625" style="5"/>
    <col min="5" max="5" width="9.140625" style="26"/>
    <col min="7" max="7" width="9.140625" bestFit="1" customWidth="1"/>
    <col min="9" max="9" width="12.7109375" bestFit="1" customWidth="1"/>
    <col min="10" max="10" width="9.7109375" bestFit="1" customWidth="1"/>
  </cols>
  <sheetData>
    <row r="1" spans="1:9" s="3" customFormat="1" x14ac:dyDescent="0.25">
      <c r="A1" s="3" t="s">
        <v>559</v>
      </c>
      <c r="B1" s="3" t="s">
        <v>291</v>
      </c>
      <c r="C1" s="13" t="s">
        <v>560</v>
      </c>
      <c r="D1" s="3" t="s">
        <v>561</v>
      </c>
      <c r="E1" s="13" t="s">
        <v>562</v>
      </c>
      <c r="F1" s="3" t="s">
        <v>563</v>
      </c>
    </row>
    <row r="2" spans="1:9" x14ac:dyDescent="0.25">
      <c r="B2"/>
      <c r="C2" s="14"/>
      <c r="D2"/>
      <c r="E2" s="14"/>
      <c r="F2" s="14">
        <v>0</v>
      </c>
    </row>
    <row r="3" spans="1:9" s="22" customFormat="1" x14ac:dyDescent="0.25">
      <c r="A3" s="2" t="s">
        <v>564</v>
      </c>
      <c r="B3" s="12">
        <v>45211</v>
      </c>
      <c r="C3" s="14" t="s">
        <v>565</v>
      </c>
      <c r="D3">
        <v>0</v>
      </c>
      <c r="E3" s="14">
        <v>75</v>
      </c>
      <c r="F3" s="14">
        <f>+D3*E3</f>
        <v>0</v>
      </c>
      <c r="G3"/>
      <c r="H3" s="3"/>
      <c r="I3" s="3"/>
    </row>
    <row r="4" spans="1:9" x14ac:dyDescent="0.25">
      <c r="A4" s="2" t="s">
        <v>564</v>
      </c>
      <c r="B4" s="227">
        <v>45211</v>
      </c>
      <c r="C4" s="14" t="s">
        <v>566</v>
      </c>
      <c r="D4">
        <v>0</v>
      </c>
      <c r="E4" s="14">
        <v>325</v>
      </c>
      <c r="F4" s="14">
        <f t="shared" ref="F4:F14" si="0">+D4*E4</f>
        <v>0</v>
      </c>
    </row>
    <row r="5" spans="1:9" x14ac:dyDescent="0.25">
      <c r="A5" s="2" t="s">
        <v>564</v>
      </c>
      <c r="B5"/>
      <c r="C5" s="14" t="s">
        <v>567</v>
      </c>
      <c r="D5">
        <v>0</v>
      </c>
      <c r="E5" s="14">
        <v>104</v>
      </c>
      <c r="F5" s="14">
        <f t="shared" si="0"/>
        <v>0</v>
      </c>
    </row>
    <row r="6" spans="1:9" x14ac:dyDescent="0.25">
      <c r="A6" s="2" t="s">
        <v>564</v>
      </c>
      <c r="B6"/>
      <c r="C6" s="14" t="s">
        <v>568</v>
      </c>
      <c r="D6">
        <v>0</v>
      </c>
      <c r="E6" s="14">
        <f>+(12.13+31.46+41.63)/3</f>
        <v>28.406666666666666</v>
      </c>
      <c r="F6" s="14">
        <f t="shared" si="0"/>
        <v>0</v>
      </c>
    </row>
    <row r="7" spans="1:9" x14ac:dyDescent="0.25">
      <c r="A7" s="2" t="s">
        <v>564</v>
      </c>
      <c r="B7"/>
      <c r="C7" s="14" t="s">
        <v>569</v>
      </c>
      <c r="D7">
        <v>0</v>
      </c>
      <c r="E7" s="14">
        <v>6.35</v>
      </c>
      <c r="F7" s="14">
        <f t="shared" si="0"/>
        <v>0</v>
      </c>
    </row>
    <row r="8" spans="1:9" x14ac:dyDescent="0.25">
      <c r="A8" s="2" t="s">
        <v>564</v>
      </c>
      <c r="B8"/>
      <c r="C8" s="14" t="s">
        <v>570</v>
      </c>
      <c r="D8">
        <v>0</v>
      </c>
      <c r="E8" s="14">
        <v>2.5</v>
      </c>
      <c r="F8" s="14">
        <f t="shared" si="0"/>
        <v>0</v>
      </c>
    </row>
    <row r="9" spans="1:9" x14ac:dyDescent="0.25">
      <c r="A9" s="2" t="s">
        <v>564</v>
      </c>
      <c r="B9"/>
      <c r="C9" s="14" t="s">
        <v>571</v>
      </c>
      <c r="D9">
        <v>0</v>
      </c>
      <c r="E9" s="14">
        <f>(8.5+10+17.34)/3</f>
        <v>11.946666666666667</v>
      </c>
      <c r="F9" s="14">
        <f t="shared" si="0"/>
        <v>0</v>
      </c>
    </row>
    <row r="10" spans="1:9" x14ac:dyDescent="0.25">
      <c r="A10" s="2" t="s">
        <v>564</v>
      </c>
      <c r="B10" s="227"/>
      <c r="C10" s="14" t="s">
        <v>572</v>
      </c>
      <c r="D10">
        <v>0</v>
      </c>
      <c r="E10" s="14">
        <v>73.13</v>
      </c>
      <c r="F10" s="14">
        <f t="shared" si="0"/>
        <v>0</v>
      </c>
    </row>
    <row r="11" spans="1:9" x14ac:dyDescent="0.25">
      <c r="A11" s="2" t="s">
        <v>564</v>
      </c>
      <c r="B11" s="227"/>
      <c r="C11" s="14" t="s">
        <v>573</v>
      </c>
      <c r="D11">
        <v>0</v>
      </c>
      <c r="E11" s="14">
        <v>472</v>
      </c>
      <c r="F11" s="14">
        <f t="shared" si="0"/>
        <v>0</v>
      </c>
    </row>
    <row r="12" spans="1:9" x14ac:dyDescent="0.25">
      <c r="A12" s="2" t="s">
        <v>574</v>
      </c>
      <c r="B12" s="227" t="s">
        <v>173</v>
      </c>
      <c r="C12" s="14"/>
      <c r="D12">
        <v>1</v>
      </c>
      <c r="E12" s="14">
        <v>1200</v>
      </c>
      <c r="F12" s="14">
        <f t="shared" si="0"/>
        <v>1200</v>
      </c>
    </row>
    <row r="13" spans="1:9" x14ac:dyDescent="0.25">
      <c r="A13" s="2" t="s">
        <v>564</v>
      </c>
      <c r="B13"/>
      <c r="C13" s="14"/>
      <c r="D13">
        <v>0</v>
      </c>
      <c r="E13" s="14">
        <v>1716</v>
      </c>
      <c r="F13" s="14">
        <f t="shared" si="0"/>
        <v>0</v>
      </c>
    </row>
    <row r="14" spans="1:9" x14ac:dyDescent="0.25">
      <c r="B14"/>
      <c r="C14" s="14"/>
      <c r="D14">
        <v>0</v>
      </c>
      <c r="E14" s="14">
        <v>0</v>
      </c>
      <c r="F14" s="14">
        <f t="shared" si="0"/>
        <v>0</v>
      </c>
    </row>
    <row r="15" spans="1:9" x14ac:dyDescent="0.25">
      <c r="B15"/>
      <c r="C15" s="14"/>
      <c r="D15"/>
      <c r="E15" s="14"/>
      <c r="I15" s="3" t="s">
        <v>575</v>
      </c>
    </row>
    <row r="16" spans="1:9" ht="15.75" thickBot="1" x14ac:dyDescent="0.3">
      <c r="B16"/>
      <c r="C16" s="14"/>
      <c r="D16"/>
      <c r="E16" s="14"/>
      <c r="F16" s="23"/>
      <c r="G16" s="23"/>
    </row>
    <row r="17" spans="1:10" x14ac:dyDescent="0.25">
      <c r="B17"/>
      <c r="C17" s="14"/>
      <c r="D17"/>
      <c r="E17" s="14"/>
      <c r="F17" s="14"/>
      <c r="G17" s="5">
        <f>IF(Profit!O2="yes",+SUM(F2:F16),I17)</f>
        <v>1200</v>
      </c>
      <c r="I17" s="5">
        <v>0</v>
      </c>
    </row>
    <row r="18" spans="1:10" x14ac:dyDescent="0.25">
      <c r="A18"/>
      <c r="C18" s="11"/>
    </row>
    <row r="19" spans="1:10" x14ac:dyDescent="0.25">
      <c r="A19"/>
      <c r="C19" s="11"/>
    </row>
    <row r="20" spans="1:10" x14ac:dyDescent="0.25">
      <c r="C20" s="26"/>
      <c r="D20" s="26"/>
      <c r="F20" s="26"/>
      <c r="I20" s="2"/>
      <c r="J20" s="12"/>
    </row>
    <row r="21" spans="1:10" x14ac:dyDescent="0.25">
      <c r="C21" s="26"/>
      <c r="D21" s="26"/>
      <c r="F21" s="26"/>
      <c r="I21" s="2"/>
    </row>
    <row r="23" spans="1:10" x14ac:dyDescent="0.25">
      <c r="E23" s="2"/>
      <c r="F23" s="2"/>
    </row>
    <row r="24" spans="1:10" x14ac:dyDescent="0.25">
      <c r="F24" s="4"/>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A1:G20"/>
  <sheetViews>
    <sheetView topLeftCell="A7" workbookViewId="0">
      <selection activeCell="D18" sqref="D18"/>
    </sheetView>
  </sheetViews>
  <sheetFormatPr defaultRowHeight="15" x14ac:dyDescent="0.25"/>
  <cols>
    <col min="1" max="1" width="18" customWidth="1"/>
    <col min="2" max="2" width="11" bestFit="1" customWidth="1"/>
  </cols>
  <sheetData>
    <row r="1" spans="1:7" x14ac:dyDescent="0.25">
      <c r="A1" s="3" t="s">
        <v>576</v>
      </c>
      <c r="B1" s="3"/>
      <c r="D1" s="5"/>
      <c r="E1" s="14"/>
      <c r="F1" s="14"/>
      <c r="G1" s="14"/>
    </row>
    <row r="2" spans="1:7" x14ac:dyDescent="0.25">
      <c r="A2" s="2"/>
      <c r="B2" s="2"/>
      <c r="C2" s="3"/>
      <c r="D2" s="8"/>
      <c r="E2" s="13"/>
      <c r="F2" s="13"/>
      <c r="G2" s="13"/>
    </row>
    <row r="3" spans="1:7" x14ac:dyDescent="0.25">
      <c r="A3" s="3" t="s">
        <v>417</v>
      </c>
      <c r="B3" s="3" t="s">
        <v>577</v>
      </c>
      <c r="C3" s="3" t="s">
        <v>519</v>
      </c>
      <c r="D3" s="8" t="s">
        <v>520</v>
      </c>
      <c r="E3" s="13" t="s">
        <v>521</v>
      </c>
      <c r="F3" s="13" t="s">
        <v>506</v>
      </c>
      <c r="G3" s="13" t="s">
        <v>522</v>
      </c>
    </row>
    <row r="4" spans="1:7" x14ac:dyDescent="0.25">
      <c r="A4" s="187" t="s">
        <v>578</v>
      </c>
      <c r="B4" s="187">
        <v>977057</v>
      </c>
      <c r="C4" s="322">
        <v>0</v>
      </c>
      <c r="D4" s="308">
        <v>149</v>
      </c>
      <c r="E4" s="14">
        <f>+C4*D4</f>
        <v>0</v>
      </c>
      <c r="F4" s="26">
        <f>+E4*0.0725</f>
        <v>0</v>
      </c>
      <c r="G4" s="13"/>
    </row>
    <row r="5" spans="1:7" x14ac:dyDescent="0.25">
      <c r="A5" s="187" t="s">
        <v>579</v>
      </c>
      <c r="B5" s="187"/>
      <c r="C5" s="322">
        <v>0</v>
      </c>
      <c r="D5" s="308">
        <v>400</v>
      </c>
      <c r="E5" s="14">
        <f>+C5*D5</f>
        <v>0</v>
      </c>
      <c r="F5" s="26">
        <f>+E5*0.0725</f>
        <v>0</v>
      </c>
      <c r="G5" s="14"/>
    </row>
    <row r="6" spans="1:7" x14ac:dyDescent="0.25">
      <c r="A6" s="187" t="s">
        <v>580</v>
      </c>
      <c r="B6" s="187">
        <v>1002425336</v>
      </c>
      <c r="C6" s="322">
        <v>0</v>
      </c>
      <c r="D6" s="308">
        <v>348</v>
      </c>
      <c r="E6" s="14">
        <f>+C6*D6</f>
        <v>0</v>
      </c>
      <c r="F6" s="26">
        <f>+E6*0.0725</f>
        <v>0</v>
      </c>
      <c r="G6" s="14"/>
    </row>
    <row r="7" spans="1:7" ht="15.75" thickBot="1" x14ac:dyDescent="0.3">
      <c r="A7" s="187"/>
      <c r="B7" s="187"/>
      <c r="C7" s="322"/>
      <c r="D7" s="308"/>
      <c r="E7" s="21"/>
      <c r="F7" s="21"/>
      <c r="G7" s="21"/>
    </row>
    <row r="8" spans="1:7" x14ac:dyDescent="0.25">
      <c r="A8" s="187"/>
      <c r="B8" s="187"/>
      <c r="C8" s="322"/>
      <c r="D8" s="323" t="s">
        <v>581</v>
      </c>
      <c r="E8" s="14"/>
      <c r="F8" s="14"/>
      <c r="G8" s="14">
        <f>+SUM(E4:E7)</f>
        <v>0</v>
      </c>
    </row>
    <row r="9" spans="1:7" x14ac:dyDescent="0.25">
      <c r="A9" s="187" t="s">
        <v>582</v>
      </c>
      <c r="B9" s="187"/>
      <c r="C9" s="322">
        <v>0</v>
      </c>
      <c r="D9" s="323">
        <v>31.98</v>
      </c>
      <c r="E9" s="14">
        <v>0</v>
      </c>
      <c r="F9" s="26">
        <f>+E9*0.0725</f>
        <v>0</v>
      </c>
      <c r="G9" s="14">
        <v>0</v>
      </c>
    </row>
    <row r="10" spans="1:7" x14ac:dyDescent="0.25">
      <c r="A10" s="187" t="s">
        <v>173</v>
      </c>
      <c r="B10" s="187"/>
      <c r="C10" s="322" t="s">
        <v>173</v>
      </c>
      <c r="D10" s="308" t="s">
        <v>173</v>
      </c>
      <c r="E10" s="14" t="s">
        <v>173</v>
      </c>
      <c r="F10" s="14"/>
      <c r="G10" s="14"/>
    </row>
    <row r="11" spans="1:7" x14ac:dyDescent="0.25">
      <c r="A11" s="187" t="s">
        <v>582</v>
      </c>
      <c r="B11" s="187">
        <v>1630551</v>
      </c>
      <c r="C11" s="322">
        <v>1</v>
      </c>
      <c r="D11" s="308">
        <v>32.979999999999997</v>
      </c>
      <c r="E11" s="14">
        <f>+C11*D11</f>
        <v>32.979999999999997</v>
      </c>
      <c r="F11" s="26">
        <f>+E11*0.0725</f>
        <v>2.3910499999999995</v>
      </c>
      <c r="G11" s="14"/>
    </row>
    <row r="12" spans="1:7" x14ac:dyDescent="0.25">
      <c r="A12" s="187" t="s">
        <v>583</v>
      </c>
      <c r="B12" s="187">
        <v>3648606</v>
      </c>
      <c r="C12" s="322">
        <v>1</v>
      </c>
      <c r="D12" s="308">
        <v>560.30999999999995</v>
      </c>
      <c r="E12" s="14">
        <f>+C12*D12</f>
        <v>560.30999999999995</v>
      </c>
      <c r="F12" s="26">
        <f t="shared" ref="F12:F19" si="0">+E12*0.0725</f>
        <v>40.622474999999994</v>
      </c>
      <c r="G12" s="14"/>
    </row>
    <row r="13" spans="1:7" x14ac:dyDescent="0.25">
      <c r="A13" s="187" t="s">
        <v>584</v>
      </c>
      <c r="B13" s="187">
        <v>1654366</v>
      </c>
      <c r="C13" s="322">
        <v>1</v>
      </c>
      <c r="D13" s="308">
        <v>374.29</v>
      </c>
      <c r="E13" s="14">
        <f>+C13*D13</f>
        <v>374.29</v>
      </c>
      <c r="F13" s="26">
        <f t="shared" si="0"/>
        <v>27.136025</v>
      </c>
      <c r="G13" s="14"/>
    </row>
    <row r="14" spans="1:7" x14ac:dyDescent="0.25">
      <c r="A14" s="187" t="s">
        <v>585</v>
      </c>
      <c r="B14" s="187">
        <v>118694</v>
      </c>
      <c r="C14" s="322">
        <v>1</v>
      </c>
      <c r="D14" s="308">
        <v>39.28</v>
      </c>
      <c r="E14" s="14">
        <f>+C14*D14</f>
        <v>39.28</v>
      </c>
      <c r="F14" s="26">
        <f t="shared" si="0"/>
        <v>2.8477999999999999</v>
      </c>
      <c r="G14" s="14"/>
    </row>
    <row r="15" spans="1:7" x14ac:dyDescent="0.25">
      <c r="A15" s="187" t="s">
        <v>586</v>
      </c>
      <c r="B15" s="324"/>
      <c r="C15" s="322">
        <v>1</v>
      </c>
      <c r="D15" s="308">
        <v>189</v>
      </c>
      <c r="E15" s="14">
        <f>+C15*D15</f>
        <v>189</v>
      </c>
      <c r="F15" s="26">
        <f t="shared" si="0"/>
        <v>13.702499999999999</v>
      </c>
      <c r="G15" s="14"/>
    </row>
    <row r="16" spans="1:7" x14ac:dyDescent="0.25">
      <c r="A16" s="187" t="s">
        <v>173</v>
      </c>
      <c r="B16" s="324"/>
      <c r="C16" s="322" t="s">
        <v>173</v>
      </c>
      <c r="D16" s="308" t="s">
        <v>173</v>
      </c>
      <c r="E16" s="14" t="s">
        <v>173</v>
      </c>
      <c r="F16" s="26"/>
      <c r="G16" s="14"/>
    </row>
    <row r="17" spans="1:7" x14ac:dyDescent="0.25">
      <c r="A17" s="187" t="s">
        <v>587</v>
      </c>
      <c r="B17" s="324"/>
      <c r="C17" s="322">
        <v>1</v>
      </c>
      <c r="D17" s="308">
        <v>169</v>
      </c>
      <c r="E17" s="14">
        <f>+C17*D17</f>
        <v>169</v>
      </c>
      <c r="F17" s="26">
        <f t="shared" si="0"/>
        <v>12.2525</v>
      </c>
      <c r="G17" s="14"/>
    </row>
    <row r="18" spans="1:7" x14ac:dyDescent="0.25">
      <c r="A18" s="324" t="s">
        <v>588</v>
      </c>
      <c r="B18" s="324">
        <v>1692925</v>
      </c>
      <c r="C18" s="322">
        <v>1</v>
      </c>
      <c r="D18" s="308">
        <v>170.39</v>
      </c>
      <c r="E18" s="14">
        <f>+C18*D18</f>
        <v>170.39</v>
      </c>
      <c r="F18" s="26">
        <f t="shared" si="0"/>
        <v>12.353274999999998</v>
      </c>
      <c r="G18" s="14"/>
    </row>
    <row r="19" spans="1:7" ht="15.75" thickBot="1" x14ac:dyDescent="0.3">
      <c r="A19" s="187" t="s">
        <v>589</v>
      </c>
      <c r="B19" s="324"/>
      <c r="C19" s="322">
        <v>0</v>
      </c>
      <c r="D19" s="308">
        <v>400</v>
      </c>
      <c r="E19" s="14">
        <f>+C19*D19</f>
        <v>0</v>
      </c>
      <c r="F19" s="26">
        <f t="shared" si="0"/>
        <v>0</v>
      </c>
      <c r="G19" s="21"/>
    </row>
    <row r="20" spans="1:7" x14ac:dyDescent="0.25">
      <c r="B20" s="2"/>
      <c r="C20" s="652" t="s">
        <v>590</v>
      </c>
      <c r="D20" s="652"/>
      <c r="E20" s="652"/>
      <c r="F20" s="31"/>
      <c r="G20" s="14">
        <f>SUM(E4:E19)+SUM(F4:F19)</f>
        <v>1646.555625</v>
      </c>
    </row>
  </sheetData>
  <mergeCells count="1">
    <mergeCell ref="C20:E20"/>
  </mergeCells>
  <printOptions headings="1" gridLines="1"/>
  <pageMargins left="0.7" right="0.7" top="0.75" bottom="0.75" header="0.3" footer="0.3"/>
  <pageSetup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ED35-922B-4595-A40C-A0514C2B2C82}">
  <sheetPr codeName="Sheet15"/>
  <dimension ref="A1:J28"/>
  <sheetViews>
    <sheetView topLeftCell="A7" workbookViewId="0">
      <selection activeCell="I26" sqref="I26"/>
    </sheetView>
  </sheetViews>
  <sheetFormatPr defaultColWidth="9.140625" defaultRowHeight="15" x14ac:dyDescent="0.25"/>
  <cols>
    <col min="1" max="1" width="28" style="2" bestFit="1" customWidth="1"/>
    <col min="2" max="2" width="23.85546875" style="2" customWidth="1"/>
    <col min="4" max="4" width="10.140625" style="5" bestFit="1" customWidth="1"/>
    <col min="5" max="7" width="9.140625" style="14"/>
  </cols>
  <sheetData>
    <row r="1" spans="1:7" x14ac:dyDescent="0.25">
      <c r="A1" s="3" t="s">
        <v>591</v>
      </c>
      <c r="B1" s="3"/>
    </row>
    <row r="2" spans="1:7" x14ac:dyDescent="0.25">
      <c r="C2" s="3"/>
      <c r="D2" s="8"/>
      <c r="E2" s="13"/>
      <c r="F2" s="13"/>
      <c r="G2" s="13"/>
    </row>
    <row r="3" spans="1:7" x14ac:dyDescent="0.25">
      <c r="A3" s="3" t="s">
        <v>417</v>
      </c>
      <c r="B3" s="3" t="s">
        <v>577</v>
      </c>
      <c r="C3" s="3" t="s">
        <v>519</v>
      </c>
      <c r="D3" s="8" t="s">
        <v>520</v>
      </c>
      <c r="E3" s="13" t="s">
        <v>521</v>
      </c>
      <c r="F3" s="13" t="s">
        <v>506</v>
      </c>
      <c r="G3" s="13" t="s">
        <v>522</v>
      </c>
    </row>
    <row r="4" spans="1:7" x14ac:dyDescent="0.25">
      <c r="A4" s="324"/>
      <c r="B4" s="324"/>
      <c r="C4" s="322">
        <v>0</v>
      </c>
      <c r="D4" s="308">
        <v>107.1</v>
      </c>
      <c r="E4" s="14">
        <f>+C4*D4</f>
        <v>0</v>
      </c>
      <c r="F4" s="26">
        <f t="shared" ref="F4:F21" si="0">+E4*0.0725</f>
        <v>0</v>
      </c>
      <c r="G4" s="13"/>
    </row>
    <row r="5" spans="1:7" x14ac:dyDescent="0.25">
      <c r="A5" s="324" t="s">
        <v>592</v>
      </c>
      <c r="B5" s="324">
        <v>1255143</v>
      </c>
      <c r="C5" s="322">
        <v>0</v>
      </c>
      <c r="D5" s="308">
        <v>107.1</v>
      </c>
      <c r="E5" s="14">
        <f>+C5*D5</f>
        <v>0</v>
      </c>
      <c r="F5" s="26">
        <f t="shared" si="0"/>
        <v>0</v>
      </c>
    </row>
    <row r="6" spans="1:7" x14ac:dyDescent="0.25">
      <c r="A6" s="324" t="s">
        <v>593</v>
      </c>
      <c r="B6" s="324">
        <v>2131173</v>
      </c>
      <c r="C6" s="322">
        <v>0</v>
      </c>
      <c r="D6" s="308">
        <v>53.98</v>
      </c>
      <c r="E6" s="14">
        <f>+C6*D6</f>
        <v>0</v>
      </c>
      <c r="F6" s="26">
        <f t="shared" si="0"/>
        <v>0</v>
      </c>
    </row>
    <row r="7" spans="1:7" x14ac:dyDescent="0.25">
      <c r="A7" s="324" t="s">
        <v>594</v>
      </c>
      <c r="B7" s="324">
        <v>1227792</v>
      </c>
      <c r="C7" s="322">
        <v>0</v>
      </c>
      <c r="D7" s="308">
        <v>15.47</v>
      </c>
      <c r="E7" s="14">
        <f>+C7*D7</f>
        <v>0</v>
      </c>
      <c r="F7" s="26">
        <f t="shared" si="0"/>
        <v>0</v>
      </c>
    </row>
    <row r="8" spans="1:7" x14ac:dyDescent="0.25">
      <c r="A8" s="324" t="s">
        <v>595</v>
      </c>
      <c r="B8" s="324">
        <v>1233228</v>
      </c>
      <c r="C8" s="322">
        <v>0</v>
      </c>
      <c r="D8" s="308">
        <v>39.979999999999997</v>
      </c>
      <c r="E8" s="14">
        <v>0</v>
      </c>
      <c r="F8" s="26">
        <f t="shared" si="0"/>
        <v>0</v>
      </c>
    </row>
    <row r="9" spans="1:7" x14ac:dyDescent="0.25">
      <c r="A9" s="324" t="s">
        <v>596</v>
      </c>
      <c r="B9" s="324" t="s">
        <v>173</v>
      </c>
      <c r="C9" s="322">
        <v>0</v>
      </c>
      <c r="D9" s="308">
        <v>6.99</v>
      </c>
      <c r="E9" s="14">
        <f t="shared" ref="E9:E20" si="1">+C9*D9</f>
        <v>0</v>
      </c>
      <c r="F9" s="26">
        <f t="shared" si="0"/>
        <v>0</v>
      </c>
    </row>
    <row r="10" spans="1:7" x14ac:dyDescent="0.25">
      <c r="A10" s="324" t="s">
        <v>597</v>
      </c>
      <c r="B10" s="324"/>
      <c r="C10" s="322">
        <v>0</v>
      </c>
      <c r="D10" s="308">
        <v>24.4</v>
      </c>
      <c r="E10" s="14">
        <f t="shared" si="1"/>
        <v>0</v>
      </c>
      <c r="F10" s="26">
        <f t="shared" si="0"/>
        <v>0</v>
      </c>
    </row>
    <row r="11" spans="1:7" x14ac:dyDescent="0.25">
      <c r="A11" s="324" t="s">
        <v>598</v>
      </c>
      <c r="B11" s="324"/>
      <c r="C11" s="322">
        <v>0</v>
      </c>
      <c r="D11" s="308">
        <v>99</v>
      </c>
      <c r="E11" s="14">
        <f t="shared" si="1"/>
        <v>0</v>
      </c>
      <c r="F11" s="26">
        <f t="shared" si="0"/>
        <v>0</v>
      </c>
    </row>
    <row r="12" spans="1:7" x14ac:dyDescent="0.25">
      <c r="A12" s="324" t="s">
        <v>599</v>
      </c>
      <c r="B12" s="344">
        <v>26508261804</v>
      </c>
      <c r="C12" s="322">
        <v>0</v>
      </c>
      <c r="D12" s="308">
        <v>114</v>
      </c>
      <c r="E12" s="14">
        <f t="shared" si="1"/>
        <v>0</v>
      </c>
      <c r="F12" s="26">
        <f t="shared" si="0"/>
        <v>0</v>
      </c>
    </row>
    <row r="13" spans="1:7" x14ac:dyDescent="0.25">
      <c r="A13" s="324" t="s">
        <v>542</v>
      </c>
      <c r="B13" s="324">
        <v>6925699939094</v>
      </c>
      <c r="C13" s="322">
        <v>0</v>
      </c>
      <c r="D13" s="308">
        <v>0</v>
      </c>
      <c r="E13" s="14">
        <f t="shared" si="1"/>
        <v>0</v>
      </c>
      <c r="F13" s="26">
        <f t="shared" si="0"/>
        <v>0</v>
      </c>
    </row>
    <row r="14" spans="1:7" x14ac:dyDescent="0.25">
      <c r="A14" s="324" t="s">
        <v>600</v>
      </c>
      <c r="B14" s="324"/>
      <c r="C14" s="322">
        <v>0</v>
      </c>
      <c r="D14" s="308"/>
      <c r="E14" s="14">
        <f t="shared" si="1"/>
        <v>0</v>
      </c>
      <c r="F14" s="26">
        <f t="shared" si="0"/>
        <v>0</v>
      </c>
    </row>
    <row r="15" spans="1:7" x14ac:dyDescent="0.25">
      <c r="A15" s="324" t="s">
        <v>601</v>
      </c>
      <c r="B15" s="324">
        <v>38877656754</v>
      </c>
      <c r="C15" s="322">
        <v>0</v>
      </c>
      <c r="D15" s="308">
        <v>169</v>
      </c>
      <c r="E15" s="14">
        <f t="shared" si="1"/>
        <v>0</v>
      </c>
      <c r="F15" s="26">
        <f t="shared" si="0"/>
        <v>0</v>
      </c>
    </row>
    <row r="16" spans="1:7" x14ac:dyDescent="0.25">
      <c r="A16" s="324" t="s">
        <v>598</v>
      </c>
      <c r="B16" s="324">
        <v>732291231619</v>
      </c>
      <c r="C16" s="322">
        <v>0</v>
      </c>
      <c r="D16" s="308">
        <v>99</v>
      </c>
      <c r="E16" s="14">
        <f t="shared" si="1"/>
        <v>0</v>
      </c>
      <c r="F16" s="26">
        <f t="shared" si="0"/>
        <v>0</v>
      </c>
    </row>
    <row r="17" spans="1:10" x14ac:dyDescent="0.25">
      <c r="A17" s="324" t="s">
        <v>602</v>
      </c>
      <c r="B17" s="324"/>
      <c r="C17" s="322">
        <v>0</v>
      </c>
      <c r="D17" s="308">
        <v>-29.7</v>
      </c>
      <c r="E17" s="14">
        <f t="shared" si="1"/>
        <v>0</v>
      </c>
      <c r="F17" s="26">
        <f t="shared" si="0"/>
        <v>0</v>
      </c>
    </row>
    <row r="18" spans="1:10" x14ac:dyDescent="0.25">
      <c r="A18" s="324"/>
      <c r="B18" s="324"/>
      <c r="C18" s="322"/>
      <c r="D18" s="308"/>
      <c r="E18" s="14">
        <f t="shared" si="1"/>
        <v>0</v>
      </c>
      <c r="F18" s="26">
        <f t="shared" si="0"/>
        <v>0</v>
      </c>
    </row>
    <row r="19" spans="1:10" x14ac:dyDescent="0.25">
      <c r="A19" s="324"/>
      <c r="B19" s="324"/>
      <c r="C19" s="322"/>
      <c r="D19" s="308"/>
      <c r="E19" s="14">
        <f t="shared" si="1"/>
        <v>0</v>
      </c>
      <c r="F19" s="26">
        <f t="shared" si="0"/>
        <v>0</v>
      </c>
    </row>
    <row r="20" spans="1:10" x14ac:dyDescent="0.25">
      <c r="A20" s="324"/>
      <c r="B20" s="324"/>
      <c r="C20" s="322"/>
      <c r="D20" s="308"/>
      <c r="E20" s="14">
        <f t="shared" si="1"/>
        <v>0</v>
      </c>
      <c r="F20" s="26">
        <f t="shared" si="0"/>
        <v>0</v>
      </c>
    </row>
    <row r="21" spans="1:10" ht="15.75" thickBot="1" x14ac:dyDescent="0.3">
      <c r="A21" s="324"/>
      <c r="B21" s="324"/>
      <c r="C21" s="322"/>
      <c r="D21" s="308"/>
      <c r="E21" s="21">
        <f t="shared" ref="E21" si="2">+C21*D21</f>
        <v>0</v>
      </c>
      <c r="F21" s="21">
        <f t="shared" si="0"/>
        <v>0</v>
      </c>
      <c r="G21" s="21"/>
    </row>
    <row r="22" spans="1:10" x14ac:dyDescent="0.25">
      <c r="G22" s="14">
        <f>+SUM(E4:E21)+SUM(F4:F21)</f>
        <v>0</v>
      </c>
      <c r="J22" s="1"/>
    </row>
    <row r="25" spans="1:10" x14ac:dyDescent="0.25">
      <c r="G25"/>
    </row>
    <row r="26" spans="1:10" x14ac:dyDescent="0.25">
      <c r="G26"/>
    </row>
    <row r="27" spans="1:10" x14ac:dyDescent="0.25">
      <c r="G27"/>
    </row>
    <row r="28" spans="1:10" x14ac:dyDescent="0.25">
      <c r="G28"/>
    </row>
  </sheetData>
  <printOptions headings="1" gridLines="1"/>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6A899-826B-450F-A5F8-6A1D9D457182}">
  <sheetPr codeName="Sheet16"/>
  <dimension ref="A1:I53"/>
  <sheetViews>
    <sheetView topLeftCell="A10" workbookViewId="0">
      <selection activeCell="J36" sqref="J36"/>
    </sheetView>
  </sheetViews>
  <sheetFormatPr defaultColWidth="9.140625" defaultRowHeight="15" x14ac:dyDescent="0.25"/>
  <cols>
    <col min="1" max="1" width="34.7109375" style="25" bestFit="1" customWidth="1"/>
    <col min="2" max="2" width="12" style="25" bestFit="1" customWidth="1"/>
    <col min="3" max="3" width="8" bestFit="1" customWidth="1"/>
    <col min="4" max="4" width="9.140625" style="5"/>
    <col min="5" max="6" width="9.140625" style="14"/>
  </cols>
  <sheetData>
    <row r="1" spans="1:6" x14ac:dyDescent="0.25">
      <c r="A1" s="33" t="s">
        <v>603</v>
      </c>
      <c r="B1" s="33"/>
    </row>
    <row r="2" spans="1:6" x14ac:dyDescent="0.25">
      <c r="C2" s="3"/>
      <c r="D2" s="8"/>
      <c r="E2" s="13"/>
      <c r="F2" s="13"/>
    </row>
    <row r="3" spans="1:6" s="22" customFormat="1" ht="14.25" customHeight="1" x14ac:dyDescent="0.25">
      <c r="A3" s="3" t="s">
        <v>417</v>
      </c>
      <c r="B3" s="3" t="s">
        <v>577</v>
      </c>
      <c r="C3" s="3" t="s">
        <v>519</v>
      </c>
      <c r="D3" s="8" t="s">
        <v>520</v>
      </c>
      <c r="E3" s="13" t="s">
        <v>521</v>
      </c>
      <c r="F3" s="13" t="s">
        <v>522</v>
      </c>
    </row>
    <row r="4" spans="1:6" ht="14.25" customHeight="1" x14ac:dyDescent="0.25">
      <c r="A4" s="33" t="s">
        <v>604</v>
      </c>
      <c r="B4" s="33">
        <v>935605</v>
      </c>
      <c r="C4" s="324">
        <v>0</v>
      </c>
      <c r="D4" s="308">
        <v>209</v>
      </c>
      <c r="E4" s="14">
        <f t="shared" ref="E4:E15" si="0">+C4*D4</f>
        <v>0</v>
      </c>
      <c r="F4" s="13"/>
    </row>
    <row r="5" spans="1:6" ht="14.25" customHeight="1" x14ac:dyDescent="0.25">
      <c r="A5" s="33" t="s">
        <v>605</v>
      </c>
      <c r="B5" s="33">
        <v>935604</v>
      </c>
      <c r="C5" s="324">
        <v>0</v>
      </c>
      <c r="D5" s="308">
        <v>209</v>
      </c>
      <c r="E5" s="14">
        <f t="shared" si="0"/>
        <v>0</v>
      </c>
      <c r="F5" s="13"/>
    </row>
    <row r="6" spans="1:6" ht="14.25" customHeight="1" x14ac:dyDescent="0.25">
      <c r="A6" s="33" t="s">
        <v>606</v>
      </c>
      <c r="B6" s="33">
        <v>935599</v>
      </c>
      <c r="C6" s="324">
        <v>0</v>
      </c>
      <c r="D6" s="308">
        <v>198.56</v>
      </c>
      <c r="E6" s="14">
        <f>+C6*D6</f>
        <v>0</v>
      </c>
      <c r="F6" s="13"/>
    </row>
    <row r="7" spans="1:6" ht="14.25" customHeight="1" x14ac:dyDescent="0.25">
      <c r="A7" s="33" t="s">
        <v>607</v>
      </c>
      <c r="B7" s="33">
        <v>14005</v>
      </c>
      <c r="C7" s="322">
        <v>0</v>
      </c>
      <c r="D7" s="308">
        <v>179</v>
      </c>
      <c r="E7" s="14">
        <f t="shared" si="0"/>
        <v>0</v>
      </c>
    </row>
    <row r="8" spans="1:6" ht="14.25" customHeight="1" x14ac:dyDescent="0.25">
      <c r="A8" s="33" t="s">
        <v>608</v>
      </c>
      <c r="B8" s="33">
        <v>14006</v>
      </c>
      <c r="C8" s="322">
        <v>0</v>
      </c>
      <c r="D8" s="308">
        <v>179</v>
      </c>
      <c r="E8" s="14">
        <f t="shared" si="0"/>
        <v>0</v>
      </c>
    </row>
    <row r="9" spans="1:6" ht="14.25" customHeight="1" x14ac:dyDescent="0.25">
      <c r="A9" s="33" t="s">
        <v>609</v>
      </c>
      <c r="B9" s="33">
        <v>935587</v>
      </c>
      <c r="C9" s="322">
        <v>0</v>
      </c>
      <c r="D9" s="308">
        <v>198.55</v>
      </c>
      <c r="E9" s="14">
        <f>+C9*D9</f>
        <v>0</v>
      </c>
    </row>
    <row r="10" spans="1:6" ht="14.25" customHeight="1" x14ac:dyDescent="0.25">
      <c r="A10" s="33" t="s">
        <v>610</v>
      </c>
      <c r="B10" s="33">
        <v>49504</v>
      </c>
      <c r="C10" s="322">
        <v>0</v>
      </c>
      <c r="D10" s="308">
        <v>103</v>
      </c>
      <c r="E10" s="14">
        <f t="shared" si="0"/>
        <v>0</v>
      </c>
    </row>
    <row r="11" spans="1:6" ht="14.25" customHeight="1" x14ac:dyDescent="0.25">
      <c r="A11" s="33" t="s">
        <v>611</v>
      </c>
      <c r="B11" s="33">
        <v>49706</v>
      </c>
      <c r="C11" s="322">
        <v>0</v>
      </c>
      <c r="D11" s="308">
        <v>103</v>
      </c>
      <c r="E11" s="14">
        <f t="shared" si="0"/>
        <v>0</v>
      </c>
    </row>
    <row r="12" spans="1:6" ht="14.25" customHeight="1" x14ac:dyDescent="0.25">
      <c r="A12" s="33" t="s">
        <v>612</v>
      </c>
      <c r="B12" s="33">
        <v>47025</v>
      </c>
      <c r="C12" s="322">
        <v>0</v>
      </c>
      <c r="D12" s="308">
        <v>99</v>
      </c>
      <c r="E12" s="14">
        <f t="shared" si="0"/>
        <v>0</v>
      </c>
    </row>
    <row r="13" spans="1:6" ht="14.25" customHeight="1" x14ac:dyDescent="0.25">
      <c r="A13" s="33" t="s">
        <v>613</v>
      </c>
      <c r="B13" s="33">
        <v>47422</v>
      </c>
      <c r="C13" s="322">
        <v>0</v>
      </c>
      <c r="D13" s="308">
        <v>99</v>
      </c>
      <c r="E13" s="14">
        <f t="shared" si="0"/>
        <v>0</v>
      </c>
    </row>
    <row r="14" spans="1:6" ht="14.25" customHeight="1" x14ac:dyDescent="0.25">
      <c r="A14" s="33" t="s">
        <v>614</v>
      </c>
      <c r="B14" s="33">
        <v>43359</v>
      </c>
      <c r="C14" s="322">
        <v>0</v>
      </c>
      <c r="D14" s="308">
        <v>95</v>
      </c>
      <c r="E14" s="14">
        <f t="shared" si="0"/>
        <v>0</v>
      </c>
    </row>
    <row r="15" spans="1:6" ht="14.25" customHeight="1" x14ac:dyDescent="0.25">
      <c r="A15" s="33" t="s">
        <v>615</v>
      </c>
      <c r="B15" s="33">
        <v>44035</v>
      </c>
      <c r="C15" s="322">
        <v>0</v>
      </c>
      <c r="D15" s="308">
        <v>95</v>
      </c>
      <c r="E15" s="14">
        <f t="shared" si="0"/>
        <v>0</v>
      </c>
    </row>
    <row r="16" spans="1:6" ht="14.25" customHeight="1" x14ac:dyDescent="0.25">
      <c r="A16" s="33" t="s">
        <v>616</v>
      </c>
      <c r="B16" s="33">
        <v>10758</v>
      </c>
      <c r="C16" s="322">
        <v>0</v>
      </c>
      <c r="D16" s="308">
        <v>73</v>
      </c>
      <c r="E16" s="14">
        <f t="shared" ref="E16:E33" si="1">+C16*D16</f>
        <v>0</v>
      </c>
    </row>
    <row r="17" spans="1:6" ht="14.25" customHeight="1" x14ac:dyDescent="0.25">
      <c r="A17" s="33" t="s">
        <v>617</v>
      </c>
      <c r="B17" s="33">
        <v>338797</v>
      </c>
      <c r="C17" s="322">
        <v>0</v>
      </c>
      <c r="D17" s="308">
        <v>196</v>
      </c>
      <c r="E17" s="14">
        <f t="shared" si="1"/>
        <v>0</v>
      </c>
    </row>
    <row r="18" spans="1:6" ht="14.25" customHeight="1" x14ac:dyDescent="0.25">
      <c r="A18" s="33" t="s">
        <v>618</v>
      </c>
      <c r="B18" s="33"/>
      <c r="C18" s="322">
        <v>0</v>
      </c>
      <c r="D18" s="308">
        <v>284.56</v>
      </c>
      <c r="E18" s="14">
        <f t="shared" si="1"/>
        <v>0</v>
      </c>
    </row>
    <row r="19" spans="1:6" ht="14.25" customHeight="1" x14ac:dyDescent="0.25">
      <c r="A19" s="33" t="s">
        <v>619</v>
      </c>
      <c r="B19" s="33">
        <v>72904</v>
      </c>
      <c r="C19" s="322">
        <v>0</v>
      </c>
      <c r="D19" s="308">
        <v>429.62</v>
      </c>
      <c r="E19" s="14">
        <f>+C19*D19</f>
        <v>0</v>
      </c>
    </row>
    <row r="20" spans="1:6" ht="14.25" customHeight="1" x14ac:dyDescent="0.25">
      <c r="A20" s="33" t="s">
        <v>620</v>
      </c>
      <c r="B20" s="33" t="s">
        <v>621</v>
      </c>
      <c r="C20" s="322">
        <v>0</v>
      </c>
      <c r="D20" s="308">
        <v>8.9700000000000006</v>
      </c>
      <c r="E20" s="14">
        <f t="shared" si="1"/>
        <v>0</v>
      </c>
    </row>
    <row r="21" spans="1:6" ht="14.25" customHeight="1" x14ac:dyDescent="0.25">
      <c r="A21" s="33" t="s">
        <v>620</v>
      </c>
      <c r="B21" s="33" t="s">
        <v>622</v>
      </c>
      <c r="C21" s="322">
        <v>0</v>
      </c>
      <c r="D21" s="308">
        <v>9.48</v>
      </c>
      <c r="E21" s="14">
        <f t="shared" si="1"/>
        <v>0</v>
      </c>
    </row>
    <row r="22" spans="1:6" ht="14.25" customHeight="1" x14ac:dyDescent="0.25">
      <c r="A22" s="33" t="s">
        <v>620</v>
      </c>
      <c r="B22" s="33" t="s">
        <v>622</v>
      </c>
      <c r="C22" s="322">
        <v>0</v>
      </c>
      <c r="D22" s="308">
        <v>9.48</v>
      </c>
      <c r="E22" s="14">
        <f t="shared" si="1"/>
        <v>0</v>
      </c>
    </row>
    <row r="23" spans="1:6" ht="14.25" customHeight="1" x14ac:dyDescent="0.25">
      <c r="A23" s="33" t="s">
        <v>623</v>
      </c>
      <c r="B23" s="33" t="s">
        <v>624</v>
      </c>
      <c r="C23" s="322">
        <v>0</v>
      </c>
      <c r="D23" s="308">
        <v>13.47</v>
      </c>
      <c r="E23" s="14">
        <f t="shared" si="1"/>
        <v>0</v>
      </c>
    </row>
    <row r="24" spans="1:6" ht="14.25" customHeight="1" x14ac:dyDescent="0.25">
      <c r="A24" s="33" t="s">
        <v>625</v>
      </c>
      <c r="B24" s="33">
        <v>100619</v>
      </c>
      <c r="C24" s="322">
        <v>0</v>
      </c>
      <c r="D24" s="308">
        <v>79.98</v>
      </c>
      <c r="E24" s="14">
        <f t="shared" si="1"/>
        <v>0</v>
      </c>
    </row>
    <row r="25" spans="1:6" ht="14.25" customHeight="1" x14ac:dyDescent="0.25">
      <c r="A25" s="33" t="s">
        <v>626</v>
      </c>
      <c r="B25" s="33">
        <v>287027</v>
      </c>
      <c r="C25" s="322">
        <v>0</v>
      </c>
      <c r="D25" s="308">
        <v>50.48</v>
      </c>
      <c r="E25" s="14">
        <f t="shared" si="1"/>
        <v>0</v>
      </c>
    </row>
    <row r="26" spans="1:6" ht="14.25" customHeight="1" x14ac:dyDescent="0.25">
      <c r="A26" s="33" t="s">
        <v>627</v>
      </c>
      <c r="B26" s="33"/>
      <c r="C26" s="322">
        <v>0</v>
      </c>
      <c r="D26" s="308">
        <v>69.47</v>
      </c>
      <c r="E26" s="14">
        <f t="shared" si="1"/>
        <v>0</v>
      </c>
    </row>
    <row r="27" spans="1:6" ht="14.25" customHeight="1" x14ac:dyDescent="0.25">
      <c r="A27" s="33" t="s">
        <v>628</v>
      </c>
      <c r="B27" s="33" t="s">
        <v>629</v>
      </c>
      <c r="C27" s="322">
        <v>0</v>
      </c>
      <c r="D27" s="308">
        <v>289</v>
      </c>
      <c r="E27" s="14">
        <f t="shared" si="1"/>
        <v>0</v>
      </c>
    </row>
    <row r="28" spans="1:6" ht="14.25" customHeight="1" x14ac:dyDescent="0.25">
      <c r="A28" s="33" t="s">
        <v>630</v>
      </c>
      <c r="B28" s="33" t="s">
        <v>631</v>
      </c>
      <c r="C28" s="322">
        <v>0</v>
      </c>
      <c r="D28" s="308">
        <v>12.97</v>
      </c>
      <c r="E28" s="14">
        <f t="shared" si="1"/>
        <v>0</v>
      </c>
    </row>
    <row r="29" spans="1:6" ht="14.25" customHeight="1" thickBot="1" x14ac:dyDescent="0.3">
      <c r="A29" s="33" t="s">
        <v>632</v>
      </c>
      <c r="B29" s="33"/>
      <c r="C29" s="322"/>
      <c r="D29" s="308"/>
      <c r="E29" s="14">
        <f t="shared" si="1"/>
        <v>0</v>
      </c>
      <c r="F29" s="21"/>
    </row>
    <row r="30" spans="1:6" ht="14.25" customHeight="1" x14ac:dyDescent="0.25">
      <c r="A30" s="33" t="s">
        <v>633</v>
      </c>
      <c r="B30" s="33">
        <v>30699285174</v>
      </c>
      <c r="C30" s="322">
        <v>0</v>
      </c>
      <c r="D30" s="308">
        <v>12.93</v>
      </c>
      <c r="E30" s="14">
        <f t="shared" si="1"/>
        <v>0</v>
      </c>
    </row>
    <row r="31" spans="1:6" ht="14.25" customHeight="1" x14ac:dyDescent="0.25">
      <c r="A31" s="33" t="s">
        <v>634</v>
      </c>
      <c r="B31" s="345">
        <v>883351469845</v>
      </c>
      <c r="C31" s="322">
        <v>0</v>
      </c>
      <c r="D31" s="308">
        <v>47.97</v>
      </c>
      <c r="E31" s="14">
        <f t="shared" si="1"/>
        <v>0</v>
      </c>
    </row>
    <row r="32" spans="1:6" ht="14.25" customHeight="1" x14ac:dyDescent="0.25">
      <c r="A32" s="33" t="s">
        <v>635</v>
      </c>
      <c r="B32" s="345">
        <v>883351891448</v>
      </c>
      <c r="C32" s="322">
        <v>0</v>
      </c>
      <c r="D32" s="308">
        <v>69.97</v>
      </c>
      <c r="E32" s="14">
        <f t="shared" si="1"/>
        <v>0</v>
      </c>
    </row>
    <row r="33" spans="1:9" ht="14.25" customHeight="1" x14ac:dyDescent="0.25">
      <c r="A33" s="33" t="s">
        <v>636</v>
      </c>
      <c r="B33" s="345">
        <v>883351396332</v>
      </c>
      <c r="C33" s="322">
        <v>0</v>
      </c>
      <c r="D33" s="308">
        <v>139</v>
      </c>
      <c r="E33" s="14">
        <f t="shared" si="1"/>
        <v>0</v>
      </c>
    </row>
    <row r="34" spans="1:9" ht="14.25" customHeight="1" x14ac:dyDescent="0.25">
      <c r="A34" s="33"/>
      <c r="B34" s="345"/>
      <c r="C34" s="347"/>
      <c r="D34" s="346"/>
      <c r="E34" s="14">
        <f>+C34*D34</f>
        <v>0</v>
      </c>
      <c r="F34" s="14">
        <f>SUM(E4:E33)</f>
        <v>0</v>
      </c>
      <c r="I34" s="1"/>
    </row>
    <row r="35" spans="1:9" ht="14.25" customHeight="1" x14ac:dyDescent="0.25">
      <c r="A35" s="33"/>
    </row>
    <row r="36" spans="1:9" x14ac:dyDescent="0.25">
      <c r="A36" s="33"/>
      <c r="B36" s="33"/>
      <c r="C36" s="3"/>
      <c r="D36" s="8"/>
      <c r="E36" s="13"/>
      <c r="F36" s="13"/>
    </row>
    <row r="41" spans="1:9" ht="15.75" thickBot="1" x14ac:dyDescent="0.3">
      <c r="E41" s="21"/>
      <c r="F41" s="21"/>
    </row>
    <row r="44" spans="1:9" x14ac:dyDescent="0.25">
      <c r="A44" s="33"/>
    </row>
    <row r="45" spans="1:9" x14ac:dyDescent="0.25">
      <c r="A45" s="33"/>
      <c r="B45" s="33"/>
      <c r="C45" s="3"/>
      <c r="D45" s="8"/>
      <c r="E45" s="13"/>
      <c r="F45" s="13"/>
    </row>
    <row r="47" spans="1:9" ht="15.75" thickBot="1" x14ac:dyDescent="0.3">
      <c r="F47" s="21"/>
    </row>
    <row r="48" spans="1:9" x14ac:dyDescent="0.25">
      <c r="F48" s="14">
        <f>+SUM(E43:E47)</f>
        <v>0</v>
      </c>
    </row>
    <row r="50" spans="6:7" ht="15.75" thickBot="1" x14ac:dyDescent="0.3">
      <c r="F50" s="21"/>
    </row>
    <row r="52" spans="6:7" ht="15.75" thickBot="1" x14ac:dyDescent="0.3">
      <c r="G52" s="21"/>
    </row>
    <row r="53" spans="6:7" x14ac:dyDescent="0.25">
      <c r="G53" s="14">
        <f>+SUM(F34:F52)</f>
        <v>0</v>
      </c>
    </row>
  </sheetData>
  <printOptions headings="1" gridLines="1"/>
  <pageMargins left="0.7" right="0.7" top="0.75" bottom="0.75" header="0.3" footer="0.3"/>
  <pageSetup fitToHeight="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7"/>
  <dimension ref="A1:J44"/>
  <sheetViews>
    <sheetView workbookViewId="0">
      <pane ySplit="3" topLeftCell="A19" activePane="bottomLeft" state="frozen"/>
      <selection pane="bottomLeft" activeCell="M43" sqref="M43"/>
    </sheetView>
  </sheetViews>
  <sheetFormatPr defaultRowHeight="15" x14ac:dyDescent="0.25"/>
  <cols>
    <col min="1" max="1" width="32.85546875" style="2" bestFit="1" customWidth="1"/>
    <col min="2" max="2" width="23.85546875" style="2" customWidth="1"/>
    <col min="4" max="4" width="13.85546875" style="5" bestFit="1" customWidth="1"/>
    <col min="5" max="7" width="9.140625" style="14"/>
  </cols>
  <sheetData>
    <row r="1" spans="1:7" x14ac:dyDescent="0.25">
      <c r="A1" s="3" t="s">
        <v>637</v>
      </c>
      <c r="B1" s="3"/>
    </row>
    <row r="2" spans="1:7" x14ac:dyDescent="0.25">
      <c r="C2" s="3"/>
      <c r="D2" s="8"/>
      <c r="E2" s="13"/>
      <c r="F2" s="13"/>
      <c r="G2" s="13"/>
    </row>
    <row r="3" spans="1:7" ht="15.75" thickBot="1" x14ac:dyDescent="0.3">
      <c r="A3" s="32" t="s">
        <v>417</v>
      </c>
      <c r="B3" s="32" t="s">
        <v>577</v>
      </c>
      <c r="C3" s="32" t="s">
        <v>519</v>
      </c>
      <c r="D3" s="329" t="s">
        <v>520</v>
      </c>
      <c r="E3" s="330" t="s">
        <v>521</v>
      </c>
      <c r="F3" s="330" t="s">
        <v>506</v>
      </c>
      <c r="G3" s="330" t="s">
        <v>522</v>
      </c>
    </row>
    <row r="4" spans="1:7" x14ac:dyDescent="0.25">
      <c r="A4" s="327"/>
      <c r="B4" s="327" t="s">
        <v>638</v>
      </c>
      <c r="C4" s="324">
        <v>0</v>
      </c>
      <c r="D4" s="328">
        <v>154</v>
      </c>
      <c r="E4" s="14">
        <f>+C4*D4</f>
        <v>0</v>
      </c>
      <c r="F4" s="26">
        <f t="shared" ref="F4:F22" si="0">+E4*0.0725</f>
        <v>0</v>
      </c>
      <c r="G4" s="13"/>
    </row>
    <row r="5" spans="1:7" x14ac:dyDescent="0.25">
      <c r="A5" s="324" t="s">
        <v>639</v>
      </c>
      <c r="B5" s="324">
        <v>795984</v>
      </c>
      <c r="C5" s="322">
        <v>0</v>
      </c>
      <c r="D5" s="308">
        <v>144</v>
      </c>
      <c r="E5" s="14">
        <f>+C5*D5</f>
        <v>0</v>
      </c>
      <c r="F5" s="26">
        <f t="shared" si="0"/>
        <v>0</v>
      </c>
    </row>
    <row r="6" spans="1:7" x14ac:dyDescent="0.25">
      <c r="A6" s="324" t="s">
        <v>640</v>
      </c>
      <c r="B6" s="324" t="s">
        <v>640</v>
      </c>
      <c r="C6" s="322">
        <v>0</v>
      </c>
      <c r="D6" s="308">
        <v>224</v>
      </c>
      <c r="E6" s="14">
        <f>+C6*D6</f>
        <v>0</v>
      </c>
      <c r="F6" s="26">
        <f t="shared" si="0"/>
        <v>0</v>
      </c>
    </row>
    <row r="7" spans="1:7" x14ac:dyDescent="0.25">
      <c r="A7" s="324" t="s">
        <v>641</v>
      </c>
      <c r="B7" s="324" t="s">
        <v>642</v>
      </c>
      <c r="C7" s="322">
        <v>0</v>
      </c>
      <c r="D7" s="308">
        <v>152</v>
      </c>
      <c r="E7" s="14">
        <f>+C7*D7</f>
        <v>0</v>
      </c>
      <c r="F7" s="26">
        <f t="shared" si="0"/>
        <v>0</v>
      </c>
    </row>
    <row r="8" spans="1:7" x14ac:dyDescent="0.25">
      <c r="A8" s="324" t="s">
        <v>643</v>
      </c>
      <c r="B8" s="324" t="s">
        <v>644</v>
      </c>
      <c r="C8" s="322">
        <v>0</v>
      </c>
      <c r="D8" s="308">
        <v>50</v>
      </c>
      <c r="E8" s="14">
        <f>+C8*D8</f>
        <v>0</v>
      </c>
      <c r="F8" s="26">
        <f t="shared" si="0"/>
        <v>0</v>
      </c>
    </row>
    <row r="9" spans="1:7" x14ac:dyDescent="0.25">
      <c r="A9" s="324" t="s">
        <v>645</v>
      </c>
      <c r="B9" s="324" t="s">
        <v>646</v>
      </c>
      <c r="C9" s="322">
        <v>0</v>
      </c>
      <c r="D9" s="308">
        <v>166</v>
      </c>
      <c r="E9" s="14">
        <f t="shared" ref="E9:E22" si="1">+C9*D9</f>
        <v>0</v>
      </c>
      <c r="F9" s="26">
        <f t="shared" si="0"/>
        <v>0</v>
      </c>
    </row>
    <row r="10" spans="1:7" x14ac:dyDescent="0.25">
      <c r="A10" s="324" t="s">
        <v>647</v>
      </c>
      <c r="B10" s="324" t="s">
        <v>648</v>
      </c>
      <c r="C10" s="322">
        <v>0</v>
      </c>
      <c r="D10" s="308">
        <v>104</v>
      </c>
      <c r="E10" s="14">
        <f t="shared" si="1"/>
        <v>0</v>
      </c>
      <c r="F10" s="26">
        <f t="shared" si="0"/>
        <v>0</v>
      </c>
    </row>
    <row r="11" spans="1:7" x14ac:dyDescent="0.25">
      <c r="A11" s="324" t="s">
        <v>649</v>
      </c>
      <c r="B11" s="324" t="s">
        <v>650</v>
      </c>
      <c r="C11" s="322">
        <v>0</v>
      </c>
      <c r="D11" s="308">
        <v>81.98</v>
      </c>
      <c r="E11" s="14">
        <f t="shared" si="1"/>
        <v>0</v>
      </c>
      <c r="F11" s="26">
        <f t="shared" si="0"/>
        <v>0</v>
      </c>
    </row>
    <row r="12" spans="1:7" x14ac:dyDescent="0.25">
      <c r="A12" s="324" t="s">
        <v>649</v>
      </c>
      <c r="B12" s="324" t="s">
        <v>651</v>
      </c>
      <c r="C12" s="322">
        <v>0</v>
      </c>
      <c r="D12" s="308">
        <v>143</v>
      </c>
      <c r="E12" s="14">
        <f t="shared" si="1"/>
        <v>0</v>
      </c>
      <c r="F12" s="26">
        <f t="shared" si="0"/>
        <v>0</v>
      </c>
    </row>
    <row r="13" spans="1:7" x14ac:dyDescent="0.25">
      <c r="A13" s="324" t="s">
        <v>649</v>
      </c>
      <c r="B13" s="324" t="s">
        <v>652</v>
      </c>
      <c r="C13" s="322">
        <v>0</v>
      </c>
      <c r="D13" s="308">
        <v>98.98</v>
      </c>
      <c r="E13" s="14">
        <f t="shared" si="1"/>
        <v>0</v>
      </c>
      <c r="F13" s="26">
        <f t="shared" si="0"/>
        <v>0</v>
      </c>
    </row>
    <row r="14" spans="1:7" x14ac:dyDescent="0.25">
      <c r="A14" s="324" t="s">
        <v>653</v>
      </c>
      <c r="B14" s="324" t="s">
        <v>654</v>
      </c>
      <c r="C14" s="322">
        <v>0</v>
      </c>
      <c r="D14" s="308">
        <v>165</v>
      </c>
      <c r="E14" s="14">
        <f t="shared" si="1"/>
        <v>0</v>
      </c>
      <c r="F14" s="26">
        <f t="shared" si="0"/>
        <v>0</v>
      </c>
    </row>
    <row r="15" spans="1:7" x14ac:dyDescent="0.25">
      <c r="A15" s="324" t="s">
        <v>655</v>
      </c>
      <c r="B15" s="324">
        <v>795984</v>
      </c>
      <c r="C15" s="322">
        <v>0</v>
      </c>
      <c r="D15" s="308">
        <v>144</v>
      </c>
      <c r="E15" s="14">
        <f t="shared" si="1"/>
        <v>0</v>
      </c>
      <c r="F15" s="26">
        <f t="shared" si="0"/>
        <v>0</v>
      </c>
    </row>
    <row r="16" spans="1:7" x14ac:dyDescent="0.25">
      <c r="A16" s="324"/>
      <c r="B16" s="324" t="s">
        <v>656</v>
      </c>
      <c r="C16" s="322">
        <v>0</v>
      </c>
      <c r="D16" s="308">
        <v>107</v>
      </c>
      <c r="E16" s="14">
        <f t="shared" si="1"/>
        <v>0</v>
      </c>
      <c r="F16" s="26">
        <f t="shared" si="0"/>
        <v>0</v>
      </c>
    </row>
    <row r="17" spans="1:10" x14ac:dyDescent="0.25">
      <c r="A17" s="324" t="s">
        <v>649</v>
      </c>
      <c r="B17" s="324" t="s">
        <v>657</v>
      </c>
      <c r="C17" s="322">
        <v>0</v>
      </c>
      <c r="D17" s="308">
        <v>112</v>
      </c>
      <c r="E17" s="14">
        <f t="shared" si="1"/>
        <v>0</v>
      </c>
      <c r="F17" s="26">
        <f t="shared" si="0"/>
        <v>0</v>
      </c>
    </row>
    <row r="18" spans="1:10" x14ac:dyDescent="0.25">
      <c r="A18" s="324" t="s">
        <v>658</v>
      </c>
      <c r="B18" s="324" t="s">
        <v>658</v>
      </c>
      <c r="C18" s="322">
        <v>0</v>
      </c>
      <c r="D18" s="308">
        <v>40.96</v>
      </c>
      <c r="E18" s="14">
        <f t="shared" si="1"/>
        <v>0</v>
      </c>
      <c r="F18" s="26">
        <f t="shared" si="0"/>
        <v>0</v>
      </c>
    </row>
    <row r="19" spans="1:10" x14ac:dyDescent="0.25">
      <c r="A19" s="324"/>
      <c r="B19" s="324" t="s">
        <v>659</v>
      </c>
      <c r="C19" s="322">
        <v>0</v>
      </c>
      <c r="D19" s="308">
        <v>18.28</v>
      </c>
      <c r="E19" s="14">
        <f t="shared" si="1"/>
        <v>0</v>
      </c>
      <c r="F19" s="26">
        <f t="shared" si="0"/>
        <v>0</v>
      </c>
    </row>
    <row r="20" spans="1:10" x14ac:dyDescent="0.25">
      <c r="A20" s="324"/>
      <c r="B20" s="324" t="s">
        <v>173</v>
      </c>
      <c r="C20" s="322">
        <v>0</v>
      </c>
      <c r="D20" s="308">
        <v>0</v>
      </c>
      <c r="E20" s="14">
        <f t="shared" si="1"/>
        <v>0</v>
      </c>
      <c r="F20" s="26">
        <f t="shared" si="0"/>
        <v>0</v>
      </c>
    </row>
    <row r="21" spans="1:10" x14ac:dyDescent="0.25">
      <c r="A21" s="324" t="s">
        <v>660</v>
      </c>
      <c r="B21" s="324"/>
      <c r="C21" s="322">
        <v>0</v>
      </c>
      <c r="D21" s="308">
        <v>0</v>
      </c>
      <c r="E21" s="14">
        <f t="shared" si="1"/>
        <v>0</v>
      </c>
      <c r="F21" s="26">
        <f t="shared" si="0"/>
        <v>0</v>
      </c>
    </row>
    <row r="22" spans="1:10" ht="15.75" thickBot="1" x14ac:dyDescent="0.3">
      <c r="A22" s="324" t="s">
        <v>661</v>
      </c>
      <c r="B22" s="324"/>
      <c r="C22" s="322">
        <v>0</v>
      </c>
      <c r="D22" s="308">
        <v>935.09</v>
      </c>
      <c r="E22" s="21">
        <f t="shared" si="1"/>
        <v>0</v>
      </c>
      <c r="F22" s="21">
        <f t="shared" si="0"/>
        <v>0</v>
      </c>
      <c r="G22" s="21"/>
    </row>
    <row r="23" spans="1:10" x14ac:dyDescent="0.25">
      <c r="G23" s="14">
        <f>+SUM(E4:E22)+SUM(F4:F22)</f>
        <v>0</v>
      </c>
      <c r="J23" s="1"/>
    </row>
    <row r="24" spans="1:10" x14ac:dyDescent="0.25">
      <c r="A24" s="33" t="s">
        <v>662</v>
      </c>
    </row>
    <row r="25" spans="1:10" x14ac:dyDescent="0.25">
      <c r="A25" s="3" t="s">
        <v>417</v>
      </c>
      <c r="B25" s="3" t="s">
        <v>577</v>
      </c>
      <c r="C25" s="3" t="s">
        <v>519</v>
      </c>
      <c r="D25" s="8" t="s">
        <v>520</v>
      </c>
      <c r="E25" s="13" t="s">
        <v>521</v>
      </c>
      <c r="F25" s="13"/>
      <c r="G25" s="13" t="s">
        <v>522</v>
      </c>
    </row>
    <row r="26" spans="1:10" x14ac:dyDescent="0.25">
      <c r="A26" s="187"/>
      <c r="B26" s="187" t="s">
        <v>663</v>
      </c>
      <c r="C26" s="322">
        <v>0</v>
      </c>
      <c r="D26" s="308">
        <v>0</v>
      </c>
      <c r="E26" s="14">
        <f>+C26*D26</f>
        <v>0</v>
      </c>
      <c r="F26" s="26">
        <f>+E26*0.0725</f>
        <v>0</v>
      </c>
    </row>
    <row r="27" spans="1:10" x14ac:dyDescent="0.25">
      <c r="A27" s="187"/>
      <c r="B27" s="187" t="s">
        <v>664</v>
      </c>
      <c r="C27" s="322">
        <v>0</v>
      </c>
      <c r="D27" s="308">
        <v>0</v>
      </c>
      <c r="E27" s="14">
        <f>+C27*D27</f>
        <v>0</v>
      </c>
      <c r="F27" s="26">
        <f>+E27*0.0725</f>
        <v>0</v>
      </c>
    </row>
    <row r="28" spans="1:10" x14ac:dyDescent="0.25">
      <c r="A28" s="187"/>
      <c r="B28" s="187" t="s">
        <v>665</v>
      </c>
      <c r="C28" s="322">
        <v>0</v>
      </c>
      <c r="D28" s="308">
        <v>0</v>
      </c>
      <c r="E28" s="14">
        <f>+C28*D28</f>
        <v>0</v>
      </c>
      <c r="F28" s="26">
        <f>+E28*0.0725</f>
        <v>0</v>
      </c>
    </row>
    <row r="29" spans="1:10" x14ac:dyDescent="0.25">
      <c r="A29" s="29" t="s">
        <v>666</v>
      </c>
      <c r="B29" s="187"/>
      <c r="C29" s="322">
        <v>0</v>
      </c>
      <c r="D29" s="308">
        <v>4345</v>
      </c>
      <c r="E29" s="14">
        <f>+C29*D29</f>
        <v>0</v>
      </c>
      <c r="F29" s="26">
        <f>+E29*0.0725</f>
        <v>0</v>
      </c>
    </row>
    <row r="30" spans="1:10" x14ac:dyDescent="0.25">
      <c r="A30" s="187"/>
      <c r="B30" s="187"/>
      <c r="C30" s="322">
        <v>0</v>
      </c>
      <c r="D30" s="308">
        <v>0</v>
      </c>
      <c r="E30" s="14">
        <f>+C30*D30</f>
        <v>0</v>
      </c>
      <c r="F30" s="26">
        <f>+E30*0.0725</f>
        <v>0</v>
      </c>
    </row>
    <row r="31" spans="1:10" ht="15.75" thickBot="1" x14ac:dyDescent="0.3">
      <c r="E31" s="21"/>
      <c r="F31" s="21"/>
      <c r="G31" s="21"/>
    </row>
    <row r="32" spans="1:10" x14ac:dyDescent="0.25">
      <c r="G32" s="14">
        <f>+SUM(E26:E31)+SUM(F26:F31)</f>
        <v>0</v>
      </c>
    </row>
    <row r="34" spans="1:10" x14ac:dyDescent="0.25">
      <c r="A34" s="33" t="s">
        <v>667</v>
      </c>
    </row>
    <row r="35" spans="1:10" x14ac:dyDescent="0.25">
      <c r="A35" s="3" t="s">
        <v>417</v>
      </c>
      <c r="B35" s="3" t="s">
        <v>577</v>
      </c>
      <c r="C35" s="3" t="s">
        <v>519</v>
      </c>
      <c r="D35" s="8" t="s">
        <v>520</v>
      </c>
      <c r="E35" s="13" t="s">
        <v>521</v>
      </c>
      <c r="F35" s="13"/>
      <c r="G35" s="13" t="s">
        <v>522</v>
      </c>
    </row>
    <row r="36" spans="1:10" x14ac:dyDescent="0.25">
      <c r="A36" s="327" t="s">
        <v>668</v>
      </c>
      <c r="B36" s="327"/>
      <c r="C36" s="327">
        <v>0</v>
      </c>
      <c r="D36" s="328">
        <v>1100</v>
      </c>
      <c r="E36" s="14">
        <f t="shared" ref="E36:E41" si="2">+C36*D36</f>
        <v>0</v>
      </c>
      <c r="F36" s="26">
        <f t="shared" ref="F36:F41" si="3">+E36*0.0725</f>
        <v>0</v>
      </c>
      <c r="G36" s="13"/>
    </row>
    <row r="37" spans="1:10" x14ac:dyDescent="0.25">
      <c r="A37" s="187" t="s">
        <v>669</v>
      </c>
      <c r="B37" s="187">
        <v>400390</v>
      </c>
      <c r="C37" s="322">
        <v>0</v>
      </c>
      <c r="D37" s="308">
        <v>2.0499999999999998</v>
      </c>
      <c r="E37" s="14">
        <f t="shared" si="2"/>
        <v>0</v>
      </c>
      <c r="F37" s="26">
        <f t="shared" si="3"/>
        <v>0</v>
      </c>
    </row>
    <row r="38" spans="1:10" x14ac:dyDescent="0.25">
      <c r="A38" s="187" t="s">
        <v>670</v>
      </c>
      <c r="B38" s="187">
        <v>376787</v>
      </c>
      <c r="C38" s="322">
        <v>0</v>
      </c>
      <c r="D38" s="308">
        <v>4.9800000000000004</v>
      </c>
      <c r="E38" s="14">
        <f t="shared" si="2"/>
        <v>0</v>
      </c>
      <c r="F38" s="26">
        <f t="shared" si="3"/>
        <v>0</v>
      </c>
    </row>
    <row r="39" spans="1:10" x14ac:dyDescent="0.25">
      <c r="A39" s="187" t="s">
        <v>173</v>
      </c>
      <c r="B39" s="187" t="s">
        <v>173</v>
      </c>
      <c r="C39" s="322">
        <v>0</v>
      </c>
      <c r="D39" s="308">
        <v>0</v>
      </c>
      <c r="E39" s="14">
        <f t="shared" si="2"/>
        <v>0</v>
      </c>
      <c r="F39" s="26">
        <f t="shared" si="3"/>
        <v>0</v>
      </c>
    </row>
    <row r="40" spans="1:10" x14ac:dyDescent="0.25">
      <c r="A40" s="187" t="s">
        <v>671</v>
      </c>
      <c r="B40" s="187">
        <v>2280072</v>
      </c>
      <c r="C40" s="322">
        <v>0</v>
      </c>
      <c r="D40" s="308">
        <v>18.97</v>
      </c>
      <c r="E40" s="14">
        <f t="shared" si="2"/>
        <v>0</v>
      </c>
      <c r="F40" s="26">
        <f t="shared" si="3"/>
        <v>0</v>
      </c>
    </row>
    <row r="41" spans="1:10" ht="15.75" thickBot="1" x14ac:dyDescent="0.3">
      <c r="A41" s="187" t="s">
        <v>672</v>
      </c>
      <c r="B41" s="187">
        <v>1000707539</v>
      </c>
      <c r="C41" s="322">
        <v>0</v>
      </c>
      <c r="D41" s="308">
        <v>1.98</v>
      </c>
      <c r="E41" s="21">
        <f t="shared" si="2"/>
        <v>0</v>
      </c>
      <c r="F41" s="21">
        <f t="shared" si="3"/>
        <v>0</v>
      </c>
      <c r="G41" s="21"/>
    </row>
    <row r="42" spans="1:10" x14ac:dyDescent="0.25">
      <c r="G42" s="14">
        <f>+SUM(E36:E41)+SUM(F36:F41)</f>
        <v>0</v>
      </c>
    </row>
    <row r="43" spans="1:10" ht="15.75" thickBot="1" x14ac:dyDescent="0.3">
      <c r="H43" s="21"/>
      <c r="J43" s="3" t="s">
        <v>575</v>
      </c>
    </row>
    <row r="44" spans="1:10" x14ac:dyDescent="0.25">
      <c r="H44" s="14">
        <f>IF(Profit!O2="yes",+SUM(G23:G42),J44)</f>
        <v>0</v>
      </c>
      <c r="J44" s="14">
        <v>0</v>
      </c>
    </row>
  </sheetData>
  <printOptions headings="1" gridLines="1"/>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8"/>
  <dimension ref="A1:N33"/>
  <sheetViews>
    <sheetView topLeftCell="A10" workbookViewId="0">
      <selection activeCell="K31" sqref="K31"/>
    </sheetView>
  </sheetViews>
  <sheetFormatPr defaultRowHeight="15" x14ac:dyDescent="0.25"/>
  <cols>
    <col min="1" max="1" width="45.28515625" style="2" customWidth="1"/>
    <col min="2" max="2" width="6.28515625" style="2" customWidth="1"/>
    <col min="3" max="3" width="21.5703125" style="2" bestFit="1" customWidth="1"/>
    <col min="4" max="4" width="6.5703125" style="2" customWidth="1"/>
    <col min="5" max="5" width="5.28515625" style="2" bestFit="1" customWidth="1"/>
    <col min="6" max="6" width="9.5703125" bestFit="1" customWidth="1"/>
    <col min="7" max="7" width="9.7109375" style="5" customWidth="1"/>
    <col min="8" max="8" width="9.140625" style="5" customWidth="1"/>
    <col min="9" max="9" width="9.140625" style="1"/>
    <col min="10" max="10" width="12.7109375" bestFit="1" customWidth="1"/>
  </cols>
  <sheetData>
    <row r="1" spans="1:12" x14ac:dyDescent="0.25">
      <c r="A1" s="33" t="s">
        <v>324</v>
      </c>
      <c r="B1" s="33"/>
      <c r="D1" s="519" t="s">
        <v>673</v>
      </c>
      <c r="J1" s="3"/>
    </row>
    <row r="2" spans="1:12" s="3" customFormat="1" x14ac:dyDescent="0.25">
      <c r="A2" s="3" t="s">
        <v>417</v>
      </c>
      <c r="B2" s="3" t="s">
        <v>674</v>
      </c>
      <c r="C2" s="3" t="s">
        <v>437</v>
      </c>
      <c r="D2" s="519"/>
      <c r="E2" s="3" t="s">
        <v>299</v>
      </c>
      <c r="F2" s="8" t="s">
        <v>520</v>
      </c>
      <c r="G2" s="6" t="s">
        <v>521</v>
      </c>
      <c r="H2" s="13" t="s">
        <v>506</v>
      </c>
      <c r="I2" s="3" t="s">
        <v>522</v>
      </c>
      <c r="J2"/>
    </row>
    <row r="3" spans="1:12" s="3" customFormat="1" x14ac:dyDescent="0.25">
      <c r="A3" s="33" t="s">
        <v>675</v>
      </c>
      <c r="B3" s="244">
        <f>+Profit!K8</f>
        <v>1200</v>
      </c>
      <c r="F3" s="8"/>
      <c r="G3" s="6"/>
      <c r="H3" s="26">
        <f t="shared" ref="H3:H16" si="0">+G3*0.0725</f>
        <v>0</v>
      </c>
    </row>
    <row r="4" spans="1:12" x14ac:dyDescent="0.25">
      <c r="A4" s="187" t="s">
        <v>676</v>
      </c>
      <c r="C4" s="187" t="s">
        <v>677</v>
      </c>
      <c r="D4" s="2">
        <f>20/2526</f>
        <v>7.91765637371338E-3</v>
      </c>
      <c r="E4" s="322">
        <v>0</v>
      </c>
      <c r="F4" s="308">
        <v>68.540000000000006</v>
      </c>
      <c r="G4" s="1">
        <f>IF(E4&lt;&gt;"",+E4*F4,F4*D4*$B$3)</f>
        <v>0</v>
      </c>
      <c r="H4" s="26">
        <f t="shared" si="0"/>
        <v>0</v>
      </c>
      <c r="I4"/>
      <c r="L4" s="5"/>
    </row>
    <row r="5" spans="1:12" x14ac:dyDescent="0.25">
      <c r="A5" s="187" t="s">
        <v>676</v>
      </c>
      <c r="C5" s="187" t="s">
        <v>678</v>
      </c>
      <c r="E5" s="322">
        <v>0</v>
      </c>
      <c r="F5" s="308">
        <v>85.89</v>
      </c>
      <c r="G5" s="1">
        <f t="shared" ref="G5:G16" si="1">IF(E5&lt;&gt;"",+E5*F5,F5*D5*$B$3)</f>
        <v>0</v>
      </c>
      <c r="H5" s="26">
        <f t="shared" si="0"/>
        <v>0</v>
      </c>
      <c r="I5"/>
    </row>
    <row r="6" spans="1:12" x14ac:dyDescent="0.25">
      <c r="A6" s="187" t="s">
        <v>679</v>
      </c>
      <c r="C6" s="187" t="s">
        <v>680</v>
      </c>
      <c r="E6" s="322">
        <v>0</v>
      </c>
      <c r="F6" s="308">
        <v>85.89</v>
      </c>
      <c r="G6" s="1">
        <f t="shared" ref="G6" si="2">IF(E6&lt;&gt;"",+E6*F6,F6*D6*$B$3)</f>
        <v>0</v>
      </c>
      <c r="H6" s="26">
        <f t="shared" ref="H6" si="3">+G6*0.0725</f>
        <v>0</v>
      </c>
      <c r="I6"/>
    </row>
    <row r="7" spans="1:12" x14ac:dyDescent="0.25">
      <c r="A7" s="187" t="s">
        <v>681</v>
      </c>
      <c r="C7" s="187" t="s">
        <v>682</v>
      </c>
      <c r="E7" s="322">
        <v>0</v>
      </c>
      <c r="F7" s="308">
        <v>65.64</v>
      </c>
      <c r="G7" s="1">
        <f t="shared" ref="G7" si="4">IF(E7&lt;&gt;"",+E7*F7,F7*D7*$B$3)</f>
        <v>0</v>
      </c>
      <c r="H7" s="26">
        <f t="shared" ref="H7" si="5">+G7*0.0725</f>
        <v>0</v>
      </c>
      <c r="I7"/>
    </row>
    <row r="8" spans="1:12" x14ac:dyDescent="0.25">
      <c r="A8" s="187" t="s">
        <v>683</v>
      </c>
      <c r="C8" s="187">
        <v>185342</v>
      </c>
      <c r="D8" s="2">
        <f>10/2526</f>
        <v>3.95882818685669E-3</v>
      </c>
      <c r="E8" s="322">
        <v>0</v>
      </c>
      <c r="F8" s="322">
        <f>147/5</f>
        <v>29.4</v>
      </c>
      <c r="G8" s="1">
        <f t="shared" si="1"/>
        <v>0</v>
      </c>
      <c r="H8" s="26">
        <f t="shared" si="0"/>
        <v>0</v>
      </c>
      <c r="I8"/>
    </row>
    <row r="9" spans="1:12" x14ac:dyDescent="0.25">
      <c r="A9" s="187" t="s">
        <v>684</v>
      </c>
      <c r="C9" s="187" t="s">
        <v>685</v>
      </c>
      <c r="E9" s="322">
        <v>0</v>
      </c>
      <c r="F9" s="308">
        <v>33.49</v>
      </c>
      <c r="G9" s="1">
        <f t="shared" si="1"/>
        <v>0</v>
      </c>
      <c r="H9" s="26">
        <f t="shared" si="0"/>
        <v>0</v>
      </c>
      <c r="I9"/>
    </row>
    <row r="10" spans="1:12" x14ac:dyDescent="0.25">
      <c r="A10" s="187" t="s">
        <v>686</v>
      </c>
      <c r="C10" s="187">
        <v>389832</v>
      </c>
      <c r="E10" s="322">
        <v>0</v>
      </c>
      <c r="F10" s="308">
        <v>39.979999999999997</v>
      </c>
      <c r="G10" s="1">
        <f t="shared" si="1"/>
        <v>0</v>
      </c>
      <c r="H10" s="26">
        <f t="shared" si="0"/>
        <v>0</v>
      </c>
      <c r="I10"/>
    </row>
    <row r="11" spans="1:12" x14ac:dyDescent="0.25">
      <c r="A11" s="187" t="s">
        <v>687</v>
      </c>
      <c r="C11" s="187">
        <v>985007</v>
      </c>
      <c r="D11" s="2">
        <f>3/2526</f>
        <v>1.1876484560570072E-3</v>
      </c>
      <c r="E11" s="322">
        <v>0</v>
      </c>
      <c r="F11" s="308">
        <v>52.23</v>
      </c>
      <c r="G11" s="1">
        <f t="shared" si="1"/>
        <v>0</v>
      </c>
      <c r="H11" s="26">
        <f t="shared" si="0"/>
        <v>0</v>
      </c>
      <c r="I11"/>
    </row>
    <row r="12" spans="1:12" x14ac:dyDescent="0.25">
      <c r="A12" s="187" t="s">
        <v>688</v>
      </c>
      <c r="C12" s="187">
        <v>814917</v>
      </c>
      <c r="D12" s="2">
        <f>15/2526</f>
        <v>5.9382422802850355E-3</v>
      </c>
      <c r="E12" s="322">
        <v>0</v>
      </c>
      <c r="F12" s="308">
        <f>109/5</f>
        <v>21.8</v>
      </c>
      <c r="G12" s="1">
        <f t="shared" si="1"/>
        <v>0</v>
      </c>
      <c r="H12" s="26">
        <f t="shared" si="0"/>
        <v>0</v>
      </c>
      <c r="I12"/>
    </row>
    <row r="13" spans="1:12" x14ac:dyDescent="0.25">
      <c r="A13" s="187" t="s">
        <v>689</v>
      </c>
      <c r="C13" s="187" t="s">
        <v>690</v>
      </c>
      <c r="E13" s="322">
        <v>0</v>
      </c>
      <c r="F13" s="308">
        <v>40</v>
      </c>
      <c r="G13" s="1">
        <f t="shared" si="1"/>
        <v>0</v>
      </c>
      <c r="H13" s="26">
        <f t="shared" si="0"/>
        <v>0</v>
      </c>
      <c r="I13"/>
    </row>
    <row r="14" spans="1:12" x14ac:dyDescent="0.25">
      <c r="A14" s="2" t="s">
        <v>691</v>
      </c>
      <c r="C14" s="187" t="s">
        <v>692</v>
      </c>
      <c r="E14" s="322">
        <v>0</v>
      </c>
      <c r="F14" s="308">
        <v>50.24</v>
      </c>
      <c r="G14" s="1">
        <f t="shared" si="1"/>
        <v>0</v>
      </c>
      <c r="H14" s="26">
        <f t="shared" si="0"/>
        <v>0</v>
      </c>
    </row>
    <row r="15" spans="1:12" x14ac:dyDescent="0.25">
      <c r="A15" s="33" t="s">
        <v>693</v>
      </c>
      <c r="B15" s="188">
        <v>0</v>
      </c>
      <c r="E15"/>
      <c r="F15" s="5"/>
      <c r="G15" s="1"/>
      <c r="H15" s="1"/>
      <c r="I15"/>
    </row>
    <row r="16" spans="1:12" x14ac:dyDescent="0.25">
      <c r="A16" s="2" t="s">
        <v>694</v>
      </c>
      <c r="E16"/>
      <c r="F16" s="5"/>
      <c r="G16" s="1">
        <f t="shared" si="1"/>
        <v>0</v>
      </c>
      <c r="H16" s="26">
        <f t="shared" si="0"/>
        <v>0</v>
      </c>
      <c r="I16"/>
    </row>
    <row r="17" spans="1:14" x14ac:dyDescent="0.25">
      <c r="B17" s="244">
        <f>+B3</f>
        <v>1200</v>
      </c>
      <c r="E17"/>
      <c r="F17" s="5"/>
      <c r="G17" s="1"/>
      <c r="H17" s="1"/>
      <c r="I17"/>
    </row>
    <row r="18" spans="1:14" x14ac:dyDescent="0.25">
      <c r="A18" s="33" t="s">
        <v>695</v>
      </c>
      <c r="B18" s="188">
        <v>0</v>
      </c>
      <c r="E18"/>
      <c r="F18" s="5"/>
      <c r="G18" s="1"/>
      <c r="H18" s="1"/>
      <c r="I18"/>
    </row>
    <row r="19" spans="1:14" x14ac:dyDescent="0.25">
      <c r="A19" s="187" t="s">
        <v>696</v>
      </c>
      <c r="C19" s="187" t="s">
        <v>697</v>
      </c>
      <c r="E19" s="322">
        <v>0</v>
      </c>
      <c r="F19" s="308">
        <v>93</v>
      </c>
      <c r="G19" s="1">
        <f>IF(E19&lt;&gt;"",+E19*F19,F19*D19*$B$3)</f>
        <v>0</v>
      </c>
      <c r="H19" s="26">
        <f t="shared" ref="H19:H24" si="6">+G19*0.0725</f>
        <v>0</v>
      </c>
      <c r="I19"/>
    </row>
    <row r="20" spans="1:14" x14ac:dyDescent="0.25">
      <c r="A20" s="33" t="s">
        <v>698</v>
      </c>
      <c r="B20" s="188">
        <v>500</v>
      </c>
      <c r="E20" s="322"/>
      <c r="F20" s="308"/>
      <c r="G20" s="1">
        <f>+E20*F20</f>
        <v>0</v>
      </c>
      <c r="H20" s="26">
        <f t="shared" si="6"/>
        <v>0</v>
      </c>
      <c r="I20"/>
    </row>
    <row r="21" spans="1:14" x14ac:dyDescent="0.25">
      <c r="A21" s="187" t="s">
        <v>699</v>
      </c>
      <c r="C21" s="187" t="s">
        <v>700</v>
      </c>
      <c r="E21" s="322">
        <v>0</v>
      </c>
      <c r="F21" s="308">
        <v>47.98</v>
      </c>
      <c r="G21" s="1">
        <f>IF(E21&lt;&gt;"",+E21*F21,F21*D21*$B$3)</f>
        <v>0</v>
      </c>
      <c r="H21" s="26">
        <f t="shared" si="6"/>
        <v>0</v>
      </c>
      <c r="I21"/>
    </row>
    <row r="22" spans="1:14" x14ac:dyDescent="0.25">
      <c r="A22" s="2" t="s">
        <v>701</v>
      </c>
      <c r="C22" s="187" t="s">
        <v>702</v>
      </c>
      <c r="E22" s="322">
        <v>0</v>
      </c>
      <c r="F22" s="308">
        <v>48.98</v>
      </c>
      <c r="G22" s="1">
        <f>IF(E22&lt;&gt;"",+E22*F22,F22*D22*$B$3)</f>
        <v>0</v>
      </c>
      <c r="H22" s="26">
        <f t="shared" si="6"/>
        <v>0</v>
      </c>
      <c r="I22"/>
      <c r="J22" s="2"/>
    </row>
    <row r="23" spans="1:14" x14ac:dyDescent="0.25">
      <c r="E23" s="322">
        <v>0</v>
      </c>
      <c r="F23" s="308"/>
      <c r="G23" s="1">
        <f>IF(E23&lt;&gt;"",+E23*F23,F23*D23*$B$3)</f>
        <v>0</v>
      </c>
      <c r="H23" s="26">
        <f t="shared" si="6"/>
        <v>0</v>
      </c>
      <c r="J23" s="2"/>
    </row>
    <row r="24" spans="1:14" ht="15.75" thickBot="1" x14ac:dyDescent="0.3">
      <c r="E24"/>
      <c r="F24" s="5"/>
      <c r="G24" s="30">
        <f>IF(E24&lt;&gt;"",+E24*F24,F24*D24*$B$3)</f>
        <v>0</v>
      </c>
      <c r="H24" s="326">
        <f t="shared" si="6"/>
        <v>0</v>
      </c>
      <c r="I24" s="30"/>
    </row>
    <row r="25" spans="1:14" x14ac:dyDescent="0.25">
      <c r="E25"/>
      <c r="F25" s="5"/>
      <c r="G25" s="1"/>
      <c r="H25" s="1"/>
      <c r="N25" s="2"/>
    </row>
    <row r="26" spans="1:14" x14ac:dyDescent="0.25">
      <c r="E26" s="653" t="s">
        <v>703</v>
      </c>
      <c r="F26" s="652"/>
      <c r="G26" s="652"/>
      <c r="H26" s="31"/>
      <c r="I26" s="1">
        <f>SUM(G4:G24)+SUM(H4:H24)</f>
        <v>0</v>
      </c>
    </row>
    <row r="27" spans="1:14" x14ac:dyDescent="0.25">
      <c r="A27" s="2" t="s">
        <v>704</v>
      </c>
      <c r="E27"/>
      <c r="F27" s="5"/>
      <c r="G27" s="1">
        <v>0</v>
      </c>
      <c r="H27" s="1"/>
      <c r="I27">
        <v>0</v>
      </c>
    </row>
    <row r="28" spans="1:14" x14ac:dyDescent="0.25">
      <c r="A28" s="187" t="s">
        <v>705</v>
      </c>
      <c r="B28" s="244">
        <f>+$B$3</f>
        <v>1200</v>
      </c>
      <c r="C28" s="187" t="s">
        <v>706</v>
      </c>
      <c r="E28" s="325" t="s">
        <v>109</v>
      </c>
      <c r="F28" s="308">
        <v>2.41</v>
      </c>
      <c r="G28" s="1">
        <f>IF(E28="yes",F28*B28,0)</f>
        <v>0</v>
      </c>
      <c r="H28" s="1"/>
      <c r="I28"/>
    </row>
    <row r="29" spans="1:14" x14ac:dyDescent="0.25">
      <c r="A29" s="187" t="s">
        <v>704</v>
      </c>
      <c r="B29" s="244">
        <f>+$B$3</f>
        <v>1200</v>
      </c>
      <c r="C29" s="187" t="s">
        <v>707</v>
      </c>
      <c r="E29" s="322" t="s">
        <v>14</v>
      </c>
      <c r="F29" s="308">
        <v>3.37</v>
      </c>
      <c r="G29" s="1">
        <f>IF(E29="yes",F29*B29,0)</f>
        <v>0</v>
      </c>
      <c r="H29" s="1"/>
      <c r="I29"/>
    </row>
    <row r="30" spans="1:14" ht="15.75" thickBot="1" x14ac:dyDescent="0.3">
      <c r="A30" s="187" t="s">
        <v>704</v>
      </c>
      <c r="B30" s="244">
        <f>+$B$3</f>
        <v>1200</v>
      </c>
      <c r="C30" s="187" t="s">
        <v>708</v>
      </c>
      <c r="E30" s="322" t="s">
        <v>14</v>
      </c>
      <c r="F30" s="308">
        <v>1</v>
      </c>
      <c r="G30" s="1">
        <f>IF(E30="yes",F30*B30,0)</f>
        <v>0</v>
      </c>
      <c r="H30" s="1"/>
      <c r="I30" s="23"/>
      <c r="K30" s="3" t="s">
        <v>575</v>
      </c>
    </row>
    <row r="31" spans="1:14" x14ac:dyDescent="0.25">
      <c r="E31"/>
      <c r="F31" s="5"/>
      <c r="G31" s="1"/>
      <c r="H31" s="1"/>
      <c r="I31" s="1">
        <f>IF(Profit!O2="yes",+SUM(G28:G30)+I26,K31)</f>
        <v>0</v>
      </c>
      <c r="K31" s="1" t="s">
        <v>173</v>
      </c>
    </row>
    <row r="32" spans="1:14" x14ac:dyDescent="0.25">
      <c r="E32"/>
      <c r="F32" s="5"/>
    </row>
    <row r="33" spans="5:6" x14ac:dyDescent="0.25">
      <c r="E33"/>
      <c r="F33" s="5"/>
    </row>
  </sheetData>
  <mergeCells count="2">
    <mergeCell ref="E26:G26"/>
    <mergeCell ref="D1:D2"/>
  </mergeCells>
  <printOptions headings="1" gridLines="1"/>
  <pageMargins left="0.7" right="0.7" top="0.75" bottom="0.75" header="0.3" footer="0.3"/>
  <pageSetup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9"/>
  <dimension ref="A1:J21"/>
  <sheetViews>
    <sheetView workbookViewId="0">
      <selection activeCell="Q18" sqref="Q18"/>
    </sheetView>
  </sheetViews>
  <sheetFormatPr defaultRowHeight="15" x14ac:dyDescent="0.25"/>
  <cols>
    <col min="1" max="1" width="45.28515625" style="2" customWidth="1"/>
    <col min="2" max="2" width="6.28515625" style="2" customWidth="1"/>
    <col min="3" max="3" width="21.5703125" style="2" bestFit="1" customWidth="1"/>
    <col min="4" max="4" width="5" style="2" bestFit="1" customWidth="1"/>
    <col min="5" max="5" width="9.5703125" bestFit="1" customWidth="1"/>
    <col min="6" max="6" width="16.85546875" style="5" customWidth="1"/>
    <col min="7" max="7" width="9.140625" style="1"/>
    <col min="9" max="9" width="12.7109375" bestFit="1" customWidth="1"/>
  </cols>
  <sheetData>
    <row r="1" spans="1:10" x14ac:dyDescent="0.25">
      <c r="A1" s="33" t="s">
        <v>709</v>
      </c>
      <c r="B1" s="33"/>
      <c r="I1" s="3"/>
    </row>
    <row r="2" spans="1:10" s="3" customFormat="1" x14ac:dyDescent="0.25">
      <c r="A2" s="3" t="s">
        <v>417</v>
      </c>
      <c r="B2" s="3" t="s">
        <v>674</v>
      </c>
      <c r="C2" s="3" t="s">
        <v>437</v>
      </c>
      <c r="D2" s="3" t="s">
        <v>299</v>
      </c>
      <c r="E2" s="8" t="s">
        <v>520</v>
      </c>
      <c r="F2" s="6" t="s">
        <v>521</v>
      </c>
      <c r="G2" s="3" t="s">
        <v>522</v>
      </c>
      <c r="I2"/>
    </row>
    <row r="3" spans="1:10" x14ac:dyDescent="0.25">
      <c r="B3" s="244">
        <f>+Profit!K8</f>
        <v>1200</v>
      </c>
      <c r="D3"/>
      <c r="E3" s="5"/>
      <c r="F3" s="1"/>
      <c r="G3"/>
      <c r="I3" s="3"/>
    </row>
    <row r="4" spans="1:10" x14ac:dyDescent="0.25">
      <c r="A4" s="187" t="s">
        <v>710</v>
      </c>
      <c r="B4" s="261">
        <f>+B3/2</f>
        <v>600</v>
      </c>
      <c r="C4" s="187" t="s">
        <v>706</v>
      </c>
      <c r="D4" t="s">
        <v>109</v>
      </c>
      <c r="E4" s="5">
        <f>8146/2526</f>
        <v>3.2248614410134602</v>
      </c>
      <c r="F4" s="1">
        <f>IF(D4="yes",E4*B4,0)</f>
        <v>0</v>
      </c>
      <c r="G4"/>
      <c r="H4" s="312" t="s">
        <v>711</v>
      </c>
    </row>
    <row r="5" spans="1:10" x14ac:dyDescent="0.25">
      <c r="A5" s="187" t="s">
        <v>712</v>
      </c>
      <c r="B5" s="261">
        <f>+B3/2</f>
        <v>600</v>
      </c>
      <c r="C5" s="187"/>
      <c r="D5" t="s">
        <v>109</v>
      </c>
      <c r="E5" s="5">
        <v>2.69</v>
      </c>
      <c r="F5" s="1">
        <f>IF(D5="yes",E5*B5,0)</f>
        <v>0</v>
      </c>
      <c r="G5"/>
    </row>
    <row r="6" spans="1:10" ht="15.75" thickBot="1" x14ac:dyDescent="0.3">
      <c r="A6" s="187" t="s">
        <v>713</v>
      </c>
      <c r="B6" s="261">
        <f>+B3</f>
        <v>1200</v>
      </c>
      <c r="C6" s="187"/>
      <c r="D6" t="s">
        <v>14</v>
      </c>
      <c r="E6" s="5">
        <v>1</v>
      </c>
      <c r="F6" s="1">
        <f>IF(D6="yes",E6*B6,0)</f>
        <v>0</v>
      </c>
      <c r="G6" s="23"/>
      <c r="J6" s="3" t="s">
        <v>575</v>
      </c>
    </row>
    <row r="7" spans="1:10" x14ac:dyDescent="0.25">
      <c r="D7"/>
      <c r="E7" s="5"/>
      <c r="F7" s="1"/>
      <c r="I7" s="2" t="s">
        <v>328</v>
      </c>
      <c r="J7">
        <v>0</v>
      </c>
    </row>
    <row r="8" spans="1:10" x14ac:dyDescent="0.25">
      <c r="A8" s="2" t="s">
        <v>714</v>
      </c>
      <c r="D8"/>
      <c r="F8" s="5">
        <v>0</v>
      </c>
      <c r="I8" s="2" t="s">
        <v>715</v>
      </c>
      <c r="J8">
        <v>0</v>
      </c>
    </row>
    <row r="9" spans="1:10" x14ac:dyDescent="0.25">
      <c r="A9" s="2" t="s">
        <v>173</v>
      </c>
      <c r="D9" t="s">
        <v>173</v>
      </c>
      <c r="E9" s="5" t="s">
        <v>173</v>
      </c>
      <c r="I9" s="2"/>
    </row>
    <row r="10" spans="1:10" x14ac:dyDescent="0.25">
      <c r="G10" s="1">
        <f>IF(Profit!O2="yes",SUM(F4:F8),J10)</f>
        <v>0</v>
      </c>
      <c r="I10" s="2" t="s">
        <v>522</v>
      </c>
      <c r="J10" s="1">
        <f>SUM(J7:J9)</f>
        <v>0</v>
      </c>
    </row>
    <row r="21" spans="9:9" x14ac:dyDescent="0.25">
      <c r="I21" s="2"/>
    </row>
  </sheetData>
  <printOptions headings="1" gridLines="1"/>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D2798-1CF0-4948-ADBE-D10FD0B7B811}">
  <sheetPr codeName="Sheet20"/>
  <dimension ref="A1:N20"/>
  <sheetViews>
    <sheetView workbookViewId="0">
      <selection activeCell="D4" sqref="D4"/>
    </sheetView>
  </sheetViews>
  <sheetFormatPr defaultColWidth="9.140625" defaultRowHeight="15" x14ac:dyDescent="0.25"/>
  <cols>
    <col min="1" max="2" width="26.85546875" style="2" bestFit="1" customWidth="1"/>
    <col min="3" max="3" width="12.7109375" bestFit="1" customWidth="1"/>
    <col min="4" max="4" width="10.140625" style="5" bestFit="1" customWidth="1"/>
    <col min="5" max="5" width="9.140625" style="26"/>
    <col min="7" max="7" width="5.7109375" customWidth="1"/>
    <col min="9" max="9" width="12.7109375" bestFit="1" customWidth="1"/>
    <col min="10" max="10" width="9.7109375" bestFit="1" customWidth="1"/>
  </cols>
  <sheetData>
    <row r="1" spans="1:14" s="3" customFormat="1" x14ac:dyDescent="0.25">
      <c r="E1" s="16"/>
    </row>
    <row r="2" spans="1:14" x14ac:dyDescent="0.25">
      <c r="A2" s="33" t="s">
        <v>309</v>
      </c>
    </row>
    <row r="3" spans="1:14" s="22" customFormat="1" x14ac:dyDescent="0.25">
      <c r="A3" s="3" t="s">
        <v>417</v>
      </c>
      <c r="B3" s="3" t="s">
        <v>716</v>
      </c>
      <c r="C3" s="3" t="s">
        <v>519</v>
      </c>
      <c r="D3" s="8" t="s">
        <v>520</v>
      </c>
      <c r="E3" s="16" t="s">
        <v>563</v>
      </c>
      <c r="F3" s="3" t="s">
        <v>522</v>
      </c>
      <c r="H3" s="3"/>
      <c r="I3" s="3"/>
    </row>
    <row r="4" spans="1:14" x14ac:dyDescent="0.25">
      <c r="A4" t="s">
        <v>717</v>
      </c>
      <c r="B4" s="2" t="s">
        <v>718</v>
      </c>
      <c r="C4" s="11">
        <v>0</v>
      </c>
      <c r="D4" s="5">
        <v>7000</v>
      </c>
      <c r="E4" s="26">
        <f>+C4*D4</f>
        <v>0</v>
      </c>
    </row>
    <row r="5" spans="1:14" x14ac:dyDescent="0.25">
      <c r="A5" t="s">
        <v>719</v>
      </c>
      <c r="B5" s="2" t="s">
        <v>720</v>
      </c>
      <c r="C5" s="11">
        <v>0</v>
      </c>
      <c r="D5" s="5">
        <v>8.98</v>
      </c>
      <c r="E5" s="26">
        <f>+C5*D5</f>
        <v>0</v>
      </c>
    </row>
    <row r="6" spans="1:14" x14ac:dyDescent="0.25">
      <c r="A6" t="s">
        <v>719</v>
      </c>
      <c r="B6" s="2" t="s">
        <v>721</v>
      </c>
      <c r="C6" s="11">
        <v>0</v>
      </c>
      <c r="D6" s="5">
        <v>7.98</v>
      </c>
      <c r="E6" s="26">
        <f t="shared" ref="E6:E11" si="0">+C6*D6</f>
        <v>0</v>
      </c>
    </row>
    <row r="7" spans="1:14" x14ac:dyDescent="0.25">
      <c r="A7" t="s">
        <v>722</v>
      </c>
      <c r="B7" s="2" t="s">
        <v>723</v>
      </c>
      <c r="C7" s="11">
        <v>0</v>
      </c>
      <c r="D7" s="5">
        <v>44.93</v>
      </c>
      <c r="E7" s="26">
        <f t="shared" si="0"/>
        <v>0</v>
      </c>
    </row>
    <row r="8" spans="1:14" x14ac:dyDescent="0.25">
      <c r="A8" t="s">
        <v>724</v>
      </c>
      <c r="B8" s="2" t="s">
        <v>725</v>
      </c>
      <c r="C8" s="11">
        <v>0</v>
      </c>
      <c r="D8" s="5">
        <v>4.47</v>
      </c>
      <c r="E8" s="26">
        <f t="shared" si="0"/>
        <v>0</v>
      </c>
    </row>
    <row r="9" spans="1:14" x14ac:dyDescent="0.25">
      <c r="A9" t="s">
        <v>724</v>
      </c>
      <c r="B9" s="2" t="s">
        <v>726</v>
      </c>
      <c r="C9" s="11">
        <v>0</v>
      </c>
      <c r="D9" s="5">
        <v>4.97</v>
      </c>
      <c r="E9" s="26">
        <f t="shared" si="0"/>
        <v>0</v>
      </c>
      <c r="I9" s="33"/>
      <c r="J9" s="2"/>
      <c r="L9" s="5"/>
      <c r="M9" s="26"/>
    </row>
    <row r="10" spans="1:14" x14ac:dyDescent="0.25">
      <c r="A10" t="s">
        <v>727</v>
      </c>
      <c r="B10" s="2" t="s">
        <v>728</v>
      </c>
      <c r="C10" s="11">
        <v>0</v>
      </c>
      <c r="D10" s="5">
        <v>23</v>
      </c>
      <c r="E10" s="26">
        <f t="shared" si="0"/>
        <v>0</v>
      </c>
      <c r="I10" s="3"/>
      <c r="J10" s="3"/>
      <c r="K10" s="3"/>
      <c r="L10" s="8"/>
      <c r="M10" s="16"/>
      <c r="N10" s="3"/>
    </row>
    <row r="11" spans="1:14" x14ac:dyDescent="0.25">
      <c r="A11"/>
      <c r="C11" s="11"/>
      <c r="E11" s="26">
        <f t="shared" si="0"/>
        <v>0</v>
      </c>
      <c r="J11" s="2"/>
      <c r="K11" s="11"/>
      <c r="L11" s="5"/>
      <c r="M11" s="26"/>
    </row>
    <row r="12" spans="1:14" ht="15.75" thickBot="1" x14ac:dyDescent="0.3">
      <c r="A12" s="2" t="s">
        <v>729</v>
      </c>
      <c r="C12">
        <v>0</v>
      </c>
      <c r="D12" s="5">
        <v>11504</v>
      </c>
      <c r="E12" s="30">
        <f>+C12*D12</f>
        <v>0</v>
      </c>
      <c r="F12" s="30"/>
      <c r="J12" s="2"/>
      <c r="K12" s="11"/>
      <c r="L12" s="5"/>
      <c r="M12" s="26"/>
    </row>
    <row r="13" spans="1:14" x14ac:dyDescent="0.25">
      <c r="C13" s="653"/>
      <c r="D13" s="652"/>
      <c r="E13" s="652"/>
      <c r="F13" s="4">
        <f>+SUM(E4:E12)</f>
        <v>0</v>
      </c>
      <c r="J13" s="2"/>
      <c r="K13" s="11"/>
      <c r="L13" s="5"/>
      <c r="M13" s="26"/>
    </row>
    <row r="14" spans="1:14" x14ac:dyDescent="0.25">
      <c r="J14" s="2"/>
      <c r="K14" s="11"/>
      <c r="L14" s="5"/>
      <c r="M14" s="26"/>
    </row>
    <row r="15" spans="1:14" x14ac:dyDescent="0.25">
      <c r="E15" s="2"/>
      <c r="F15" s="2"/>
      <c r="J15" s="2"/>
      <c r="K15" s="11"/>
      <c r="L15" s="5"/>
      <c r="M15" s="26"/>
    </row>
    <row r="16" spans="1:14" x14ac:dyDescent="0.25">
      <c r="F16" s="4"/>
      <c r="J16" s="2"/>
      <c r="K16" s="11"/>
      <c r="L16" s="5"/>
      <c r="M16" s="26"/>
    </row>
    <row r="17" spans="9:14" x14ac:dyDescent="0.25">
      <c r="J17" s="2"/>
      <c r="K17" s="11"/>
      <c r="L17" s="5"/>
      <c r="M17" s="26"/>
    </row>
    <row r="18" spans="9:14" x14ac:dyDescent="0.25">
      <c r="J18" s="2"/>
      <c r="K18" s="11"/>
      <c r="L18" s="5"/>
      <c r="M18" s="26"/>
    </row>
    <row r="19" spans="9:14" x14ac:dyDescent="0.25">
      <c r="I19" s="2"/>
      <c r="J19" s="2"/>
      <c r="L19" s="5"/>
      <c r="M19" s="26"/>
    </row>
    <row r="20" spans="9:14" x14ac:dyDescent="0.25">
      <c r="I20" s="2"/>
      <c r="J20" s="2"/>
      <c r="K20" s="653"/>
      <c r="L20" s="652"/>
      <c r="M20" s="652"/>
      <c r="N20" s="4"/>
    </row>
  </sheetData>
  <mergeCells count="2">
    <mergeCell ref="C13:E13"/>
    <mergeCell ref="K20:M20"/>
  </mergeCells>
  <printOptions headings="1" gridLines="1"/>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D3C5C-DDBF-4C05-AE64-44FB543BB6BD}">
  <sheetPr codeName="Sheet21"/>
  <dimension ref="A1:I34"/>
  <sheetViews>
    <sheetView workbookViewId="0">
      <selection activeCell="O26" sqref="O26"/>
    </sheetView>
  </sheetViews>
  <sheetFormatPr defaultColWidth="9.140625" defaultRowHeight="15" x14ac:dyDescent="0.25"/>
  <cols>
    <col min="1" max="1" width="28" style="2" bestFit="1" customWidth="1"/>
    <col min="2" max="2" width="23.85546875" style="2" customWidth="1"/>
    <col min="4" max="4" width="10.140625" style="5" bestFit="1" customWidth="1"/>
    <col min="5" max="6" width="9.140625" style="14"/>
  </cols>
  <sheetData>
    <row r="1" spans="1:6" x14ac:dyDescent="0.25">
      <c r="A1" s="3" t="s">
        <v>730</v>
      </c>
      <c r="B1" s="3"/>
    </row>
    <row r="2" spans="1:6" x14ac:dyDescent="0.25">
      <c r="C2" s="3"/>
      <c r="D2" s="8"/>
      <c r="E2" s="13"/>
      <c r="F2" s="13"/>
    </row>
    <row r="3" spans="1:6" x14ac:dyDescent="0.25">
      <c r="A3" s="3" t="s">
        <v>417</v>
      </c>
      <c r="B3" s="3" t="s">
        <v>577</v>
      </c>
      <c r="C3" s="3" t="s">
        <v>519</v>
      </c>
      <c r="D3" s="8" t="s">
        <v>520</v>
      </c>
      <c r="E3" s="13" t="s">
        <v>521</v>
      </c>
      <c r="F3" s="13" t="s">
        <v>522</v>
      </c>
    </row>
    <row r="4" spans="1:6" x14ac:dyDescent="0.25">
      <c r="A4" s="3"/>
      <c r="B4" s="3"/>
      <c r="C4" s="31"/>
      <c r="D4" s="8"/>
      <c r="E4" s="14">
        <f>+C4*D4</f>
        <v>0</v>
      </c>
      <c r="F4" s="13"/>
    </row>
    <row r="5" spans="1:6" x14ac:dyDescent="0.25">
      <c r="A5" s="31" t="s">
        <v>731</v>
      </c>
      <c r="B5" s="31">
        <v>2599776</v>
      </c>
      <c r="C5">
        <v>0</v>
      </c>
      <c r="D5" s="5">
        <v>124.98</v>
      </c>
      <c r="E5" s="14">
        <f>+C5*D5</f>
        <v>0</v>
      </c>
    </row>
    <row r="6" spans="1:6" x14ac:dyDescent="0.25">
      <c r="A6" s="31" t="s">
        <v>732</v>
      </c>
      <c r="B6" s="31">
        <v>807421</v>
      </c>
      <c r="C6">
        <v>0</v>
      </c>
      <c r="D6" s="5">
        <v>112.48</v>
      </c>
      <c r="E6" s="14">
        <f>+C6*D6</f>
        <v>0</v>
      </c>
    </row>
    <row r="7" spans="1:6" x14ac:dyDescent="0.25">
      <c r="A7" s="31" t="s">
        <v>733</v>
      </c>
      <c r="B7" s="31">
        <v>321702</v>
      </c>
      <c r="C7">
        <v>0</v>
      </c>
      <c r="D7" s="5">
        <v>89.98</v>
      </c>
      <c r="E7" s="14">
        <f>+C7*D7</f>
        <v>0</v>
      </c>
    </row>
    <row r="8" spans="1:6" x14ac:dyDescent="0.25">
      <c r="A8" s="31" t="s">
        <v>734</v>
      </c>
      <c r="B8" s="31">
        <v>649829</v>
      </c>
      <c r="C8">
        <v>0</v>
      </c>
      <c r="D8" s="5">
        <v>129.97999999999999</v>
      </c>
      <c r="E8" s="14">
        <f>+C8*D8</f>
        <v>0</v>
      </c>
    </row>
    <row r="9" spans="1:6" x14ac:dyDescent="0.25">
      <c r="A9" s="31" t="s">
        <v>735</v>
      </c>
      <c r="B9" s="31">
        <v>2296055</v>
      </c>
      <c r="C9">
        <v>0</v>
      </c>
      <c r="D9" s="5">
        <v>179.98</v>
      </c>
      <c r="E9" s="14">
        <f t="shared" ref="E9:E26" si="0">+C9*D9</f>
        <v>0</v>
      </c>
    </row>
    <row r="10" spans="1:6" x14ac:dyDescent="0.25">
      <c r="A10" s="31" t="s">
        <v>736</v>
      </c>
      <c r="B10" s="31">
        <v>482287</v>
      </c>
      <c r="C10">
        <v>0</v>
      </c>
      <c r="D10" s="5">
        <v>62.98</v>
      </c>
      <c r="E10" s="14">
        <f t="shared" si="0"/>
        <v>0</v>
      </c>
    </row>
    <row r="11" spans="1:6" x14ac:dyDescent="0.25">
      <c r="A11" s="31" t="s">
        <v>737</v>
      </c>
      <c r="B11" s="31">
        <v>2535475</v>
      </c>
      <c r="C11">
        <v>0</v>
      </c>
      <c r="D11" s="5">
        <v>24.98</v>
      </c>
      <c r="E11" s="14">
        <f t="shared" si="0"/>
        <v>0</v>
      </c>
    </row>
    <row r="12" spans="1:6" x14ac:dyDescent="0.25">
      <c r="A12" s="31" t="s">
        <v>738</v>
      </c>
      <c r="B12" s="31" t="s">
        <v>739</v>
      </c>
      <c r="C12">
        <v>0</v>
      </c>
      <c r="D12" s="5">
        <v>10.9</v>
      </c>
      <c r="E12" s="14">
        <f t="shared" si="0"/>
        <v>0</v>
      </c>
    </row>
    <row r="13" spans="1:6" x14ac:dyDescent="0.25">
      <c r="A13" s="31" t="s">
        <v>740</v>
      </c>
      <c r="B13" s="31" t="s">
        <v>741</v>
      </c>
      <c r="C13">
        <v>0</v>
      </c>
      <c r="D13" s="5">
        <v>14.97</v>
      </c>
      <c r="E13" s="14">
        <f t="shared" si="0"/>
        <v>0</v>
      </c>
    </row>
    <row r="14" spans="1:6" x14ac:dyDescent="0.25">
      <c r="A14" s="31" t="s">
        <v>742</v>
      </c>
      <c r="B14" s="31" t="s">
        <v>743</v>
      </c>
      <c r="C14">
        <v>0</v>
      </c>
      <c r="D14" s="5">
        <v>19.97</v>
      </c>
      <c r="E14" s="14">
        <f t="shared" si="0"/>
        <v>0</v>
      </c>
    </row>
    <row r="15" spans="1:6" x14ac:dyDescent="0.25">
      <c r="A15" s="31" t="s">
        <v>744</v>
      </c>
      <c r="B15" s="31" t="s">
        <v>745</v>
      </c>
      <c r="C15">
        <v>0</v>
      </c>
      <c r="D15" s="5">
        <v>17.97</v>
      </c>
      <c r="E15" s="14">
        <f t="shared" si="0"/>
        <v>0</v>
      </c>
    </row>
    <row r="16" spans="1:6" x14ac:dyDescent="0.25">
      <c r="A16" s="31" t="s">
        <v>746</v>
      </c>
      <c r="B16" s="31" t="s">
        <v>747</v>
      </c>
      <c r="C16">
        <v>0</v>
      </c>
      <c r="D16" s="5">
        <v>16.98</v>
      </c>
      <c r="E16" s="14">
        <f t="shared" si="0"/>
        <v>0</v>
      </c>
    </row>
    <row r="17" spans="1:9" x14ac:dyDescent="0.25">
      <c r="A17" s="31" t="s">
        <v>748</v>
      </c>
      <c r="B17" s="31" t="s">
        <v>749</v>
      </c>
      <c r="C17">
        <v>0</v>
      </c>
      <c r="D17" s="5">
        <v>3.27</v>
      </c>
      <c r="E17" s="14">
        <f t="shared" si="0"/>
        <v>0</v>
      </c>
    </row>
    <row r="18" spans="1:9" x14ac:dyDescent="0.25">
      <c r="A18" s="31" t="s">
        <v>750</v>
      </c>
      <c r="B18" s="31" t="s">
        <v>751</v>
      </c>
      <c r="C18">
        <v>0</v>
      </c>
      <c r="D18" s="5">
        <v>39.979999999999997</v>
      </c>
      <c r="E18" s="14">
        <f t="shared" si="0"/>
        <v>0</v>
      </c>
    </row>
    <row r="19" spans="1:9" x14ac:dyDescent="0.25">
      <c r="A19" s="31" t="s">
        <v>752</v>
      </c>
      <c r="B19" s="31" t="s">
        <v>753</v>
      </c>
      <c r="C19">
        <v>0</v>
      </c>
      <c r="D19" s="5">
        <v>19.98</v>
      </c>
      <c r="E19" s="14">
        <f t="shared" si="0"/>
        <v>0</v>
      </c>
    </row>
    <row r="20" spans="1:9" x14ac:dyDescent="0.25">
      <c r="A20" s="31" t="s">
        <v>754</v>
      </c>
      <c r="B20" s="31" t="s">
        <v>755</v>
      </c>
      <c r="C20">
        <v>0</v>
      </c>
      <c r="D20" s="5">
        <v>13.98</v>
      </c>
      <c r="E20" s="14">
        <f t="shared" si="0"/>
        <v>0</v>
      </c>
    </row>
    <row r="21" spans="1:9" x14ac:dyDescent="0.25">
      <c r="A21" s="31" t="s">
        <v>756</v>
      </c>
      <c r="B21" s="31">
        <v>39800072986</v>
      </c>
      <c r="C21">
        <v>0</v>
      </c>
      <c r="D21" s="5">
        <v>17.87</v>
      </c>
      <c r="E21" s="14">
        <f t="shared" si="0"/>
        <v>0</v>
      </c>
    </row>
    <row r="22" spans="1:9" x14ac:dyDescent="0.25">
      <c r="A22" s="31" t="s">
        <v>757</v>
      </c>
      <c r="B22" s="345">
        <v>46335120372</v>
      </c>
      <c r="C22">
        <v>0</v>
      </c>
      <c r="D22" s="5">
        <v>99.97</v>
      </c>
      <c r="E22" s="14">
        <f t="shared" si="0"/>
        <v>0</v>
      </c>
    </row>
    <row r="23" spans="1:9" x14ac:dyDescent="0.25">
      <c r="A23" s="31" t="s">
        <v>758</v>
      </c>
      <c r="B23" s="345">
        <v>792145370178</v>
      </c>
      <c r="C23">
        <v>0</v>
      </c>
      <c r="D23" s="5">
        <v>59.97</v>
      </c>
      <c r="E23" s="14">
        <f t="shared" si="0"/>
        <v>0</v>
      </c>
    </row>
    <row r="24" spans="1:9" ht="15.75" thickBot="1" x14ac:dyDescent="0.3">
      <c r="A24" s="31" t="s">
        <v>759</v>
      </c>
      <c r="B24" s="31">
        <v>82392573331</v>
      </c>
      <c r="C24">
        <v>0</v>
      </c>
      <c r="D24" s="5">
        <v>109</v>
      </c>
      <c r="E24" s="21">
        <f t="shared" si="0"/>
        <v>0</v>
      </c>
      <c r="F24" s="21"/>
    </row>
    <row r="25" spans="1:9" x14ac:dyDescent="0.25">
      <c r="A25" s="31" t="s">
        <v>760</v>
      </c>
      <c r="B25" s="31">
        <v>5190530</v>
      </c>
      <c r="C25">
        <v>0</v>
      </c>
      <c r="D25" s="5">
        <v>18.98</v>
      </c>
      <c r="E25" s="14">
        <f t="shared" si="0"/>
        <v>0</v>
      </c>
    </row>
    <row r="26" spans="1:9" x14ac:dyDescent="0.25">
      <c r="A26" s="31" t="s">
        <v>761</v>
      </c>
      <c r="B26" s="31"/>
      <c r="C26">
        <v>0</v>
      </c>
      <c r="D26" s="5">
        <v>-19.98</v>
      </c>
      <c r="E26" s="14">
        <f t="shared" si="0"/>
        <v>0</v>
      </c>
    </row>
    <row r="27" spans="1:9" x14ac:dyDescent="0.25">
      <c r="A27" s="31"/>
      <c r="B27" s="31"/>
    </row>
    <row r="28" spans="1:9" x14ac:dyDescent="0.25">
      <c r="F28" s="14">
        <f>SUM(E4:E26)</f>
        <v>0</v>
      </c>
      <c r="I28" s="1"/>
    </row>
    <row r="31" spans="1:9" x14ac:dyDescent="0.25">
      <c r="F31"/>
    </row>
    <row r="32" spans="1:9" x14ac:dyDescent="0.25">
      <c r="F32"/>
    </row>
    <row r="33" spans="6:6" x14ac:dyDescent="0.25">
      <c r="F33"/>
    </row>
    <row r="34" spans="6:6" x14ac:dyDescent="0.25">
      <c r="F34"/>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2"/>
  <dimension ref="A1:G17"/>
  <sheetViews>
    <sheetView workbookViewId="0">
      <selection activeCell="A16" sqref="A16"/>
    </sheetView>
  </sheetViews>
  <sheetFormatPr defaultRowHeight="15" x14ac:dyDescent="0.25"/>
  <cols>
    <col min="1" max="1" width="24.7109375" style="2" bestFit="1" customWidth="1"/>
    <col min="2" max="2" width="15.28515625" style="18" customWidth="1"/>
    <col min="3" max="3" width="15.28515625" style="2" customWidth="1"/>
    <col min="5" max="5" width="9.140625" style="5"/>
    <col min="6" max="6" width="9.140625" style="1"/>
  </cols>
  <sheetData>
    <row r="1" spans="1:7" s="3" customFormat="1" x14ac:dyDescent="0.25">
      <c r="A1" s="3" t="s">
        <v>450</v>
      </c>
      <c r="B1" s="16"/>
    </row>
    <row r="2" spans="1:7" s="15" customFormat="1" x14ac:dyDescent="0.25">
      <c r="A2" s="3" t="s">
        <v>414</v>
      </c>
      <c r="B2" s="17" t="s">
        <v>762</v>
      </c>
      <c r="C2" s="31" t="s">
        <v>763</v>
      </c>
      <c r="D2" s="3" t="s">
        <v>519</v>
      </c>
      <c r="E2" s="8" t="s">
        <v>764</v>
      </c>
      <c r="F2" s="6" t="s">
        <v>765</v>
      </c>
      <c r="G2" s="15" t="s">
        <v>522</v>
      </c>
    </row>
    <row r="4" spans="1:7" x14ac:dyDescent="0.25">
      <c r="A4" s="2" t="s">
        <v>766</v>
      </c>
      <c r="B4" s="18">
        <v>0.79</v>
      </c>
      <c r="C4" s="2">
        <v>500</v>
      </c>
      <c r="D4">
        <v>0</v>
      </c>
      <c r="E4" s="5">
        <v>60</v>
      </c>
      <c r="F4" s="1">
        <f>+C4*B4*D4</f>
        <v>0</v>
      </c>
    </row>
    <row r="5" spans="1:7" x14ac:dyDescent="0.25">
      <c r="A5" s="2" t="s">
        <v>767</v>
      </c>
      <c r="B5" s="18">
        <v>1</v>
      </c>
      <c r="C5" s="2">
        <f>24*10</f>
        <v>240</v>
      </c>
      <c r="D5">
        <v>0</v>
      </c>
      <c r="E5" s="5">
        <v>60</v>
      </c>
      <c r="F5" s="1">
        <f>+C5*B5*D5</f>
        <v>0</v>
      </c>
    </row>
    <row r="6" spans="1:7" x14ac:dyDescent="0.25">
      <c r="A6" s="2" t="s">
        <v>768</v>
      </c>
      <c r="D6">
        <v>0</v>
      </c>
      <c r="E6" s="5">
        <v>150</v>
      </c>
      <c r="F6" s="1">
        <f t="shared" ref="F6:F11" si="0">+D6*E6</f>
        <v>0</v>
      </c>
    </row>
    <row r="7" spans="1:7" x14ac:dyDescent="0.25">
      <c r="A7" s="2" t="s">
        <v>769</v>
      </c>
      <c r="D7">
        <v>0</v>
      </c>
      <c r="E7" s="5">
        <v>3000</v>
      </c>
      <c r="F7" s="1">
        <f t="shared" si="0"/>
        <v>0</v>
      </c>
    </row>
    <row r="8" spans="1:7" x14ac:dyDescent="0.25">
      <c r="A8" s="2" t="s">
        <v>770</v>
      </c>
      <c r="D8">
        <v>0</v>
      </c>
      <c r="E8" s="5">
        <v>165</v>
      </c>
      <c r="F8" s="1">
        <f t="shared" si="0"/>
        <v>0</v>
      </c>
    </row>
    <row r="9" spans="1:7" x14ac:dyDescent="0.25">
      <c r="A9" s="2" t="s">
        <v>771</v>
      </c>
      <c r="D9">
        <v>0</v>
      </c>
      <c r="E9" s="5">
        <v>29</v>
      </c>
      <c r="F9" s="1">
        <f t="shared" si="0"/>
        <v>0</v>
      </c>
    </row>
    <row r="10" spans="1:7" x14ac:dyDescent="0.25">
      <c r="A10" s="2" t="s">
        <v>772</v>
      </c>
      <c r="D10">
        <v>0</v>
      </c>
      <c r="E10" s="5">
        <v>15</v>
      </c>
      <c r="F10" s="1">
        <f t="shared" si="0"/>
        <v>0</v>
      </c>
    </row>
    <row r="11" spans="1:7" x14ac:dyDescent="0.25">
      <c r="A11" s="2" t="s">
        <v>773</v>
      </c>
      <c r="D11">
        <v>0</v>
      </c>
      <c r="E11" s="5">
        <v>1100</v>
      </c>
      <c r="F11" s="1">
        <f t="shared" si="0"/>
        <v>0</v>
      </c>
    </row>
    <row r="12" spans="1:7" x14ac:dyDescent="0.25">
      <c r="A12" s="2" t="s">
        <v>774</v>
      </c>
      <c r="E12" s="5">
        <v>0</v>
      </c>
      <c r="F12" s="1">
        <f>+D12*E12</f>
        <v>0</v>
      </c>
    </row>
    <row r="13" spans="1:7" x14ac:dyDescent="0.25">
      <c r="A13" s="2" t="s">
        <v>775</v>
      </c>
      <c r="E13" s="5">
        <v>1000</v>
      </c>
      <c r="F13" s="1">
        <f>+D13*E13</f>
        <v>0</v>
      </c>
    </row>
    <row r="14" spans="1:7" x14ac:dyDescent="0.25">
      <c r="A14" s="2" t="s">
        <v>776</v>
      </c>
      <c r="D14">
        <v>0</v>
      </c>
      <c r="E14" s="5">
        <v>60</v>
      </c>
      <c r="F14" s="1">
        <f>+D14*E14</f>
        <v>0</v>
      </c>
    </row>
    <row r="15" spans="1:7" x14ac:dyDescent="0.25">
      <c r="A15" s="2" t="s">
        <v>777</v>
      </c>
      <c r="D15">
        <v>0</v>
      </c>
      <c r="E15" s="5">
        <v>800</v>
      </c>
      <c r="F15" s="1">
        <f>+D15*E15</f>
        <v>0</v>
      </c>
    </row>
    <row r="16" spans="1:7" ht="15.75" thickBot="1" x14ac:dyDescent="0.3">
      <c r="F16" s="30"/>
      <c r="G16" s="23"/>
    </row>
    <row r="17" spans="3:7" x14ac:dyDescent="0.25">
      <c r="C17" s="2">
        <f>+SUM(C4:C16)</f>
        <v>740</v>
      </c>
      <c r="F17" s="15" t="s">
        <v>522</v>
      </c>
      <c r="G17" s="1">
        <f>+SUM(F4:F16)</f>
        <v>0</v>
      </c>
    </row>
  </sheetData>
  <printOptions headings="1" gridLines="1"/>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3"/>
  <dimension ref="A1:I24"/>
  <sheetViews>
    <sheetView topLeftCell="A16" workbookViewId="0">
      <selection activeCell="C22" sqref="C22"/>
    </sheetView>
  </sheetViews>
  <sheetFormatPr defaultRowHeight="15" x14ac:dyDescent="0.25"/>
  <cols>
    <col min="1" max="1" width="24.7109375" style="2" bestFit="1" customWidth="1"/>
    <col min="2" max="2" width="24.7109375" style="2" customWidth="1"/>
    <col min="3" max="3" width="15.28515625" style="18" customWidth="1"/>
    <col min="9" max="9" width="12.7109375" bestFit="1" customWidth="1"/>
  </cols>
  <sheetData>
    <row r="1" spans="1:9" s="3" customFormat="1" x14ac:dyDescent="0.25">
      <c r="A1" s="33" t="s">
        <v>778</v>
      </c>
      <c r="B1" s="33"/>
      <c r="C1" s="16"/>
    </row>
    <row r="2" spans="1:9" s="15" customFormat="1" x14ac:dyDescent="0.25">
      <c r="A2" s="3" t="s">
        <v>414</v>
      </c>
      <c r="B2" s="3" t="s">
        <v>299</v>
      </c>
      <c r="C2" s="17" t="s">
        <v>779</v>
      </c>
      <c r="D2" s="15" t="s">
        <v>522</v>
      </c>
      <c r="E2" s="652" t="s">
        <v>780</v>
      </c>
      <c r="F2" s="518"/>
      <c r="G2" s="27">
        <v>20</v>
      </c>
      <c r="I2"/>
    </row>
    <row r="3" spans="1:9" x14ac:dyDescent="0.25">
      <c r="I3" s="3"/>
    </row>
    <row r="4" spans="1:9" x14ac:dyDescent="0.25">
      <c r="A4" s="2" t="s">
        <v>314</v>
      </c>
      <c r="B4" s="2">
        <v>0</v>
      </c>
      <c r="C4" s="18">
        <v>800</v>
      </c>
      <c r="D4" s="5">
        <f>+B4*C4</f>
        <v>0</v>
      </c>
    </row>
    <row r="5" spans="1:9" x14ac:dyDescent="0.25">
      <c r="A5" s="2" t="s">
        <v>781</v>
      </c>
      <c r="B5" s="2">
        <v>0</v>
      </c>
      <c r="C5" s="18">
        <v>28.46</v>
      </c>
      <c r="D5" s="5">
        <f t="shared" ref="D5:D15" si="0">+B5*C5</f>
        <v>0</v>
      </c>
    </row>
    <row r="6" spans="1:9" x14ac:dyDescent="0.25">
      <c r="A6" s="2" t="s">
        <v>782</v>
      </c>
      <c r="B6" s="2">
        <v>0</v>
      </c>
      <c r="C6" s="18">
        <v>32.979999999999997</v>
      </c>
      <c r="D6" s="5">
        <f t="shared" si="0"/>
        <v>0</v>
      </c>
    </row>
    <row r="7" spans="1:9" x14ac:dyDescent="0.25">
      <c r="A7" s="2" t="s">
        <v>783</v>
      </c>
      <c r="B7" s="2">
        <v>0</v>
      </c>
      <c r="C7" s="18">
        <v>28.47</v>
      </c>
      <c r="D7" s="5">
        <f t="shared" si="0"/>
        <v>0</v>
      </c>
    </row>
    <row r="8" spans="1:9" x14ac:dyDescent="0.25">
      <c r="A8" s="2" t="s">
        <v>784</v>
      </c>
      <c r="D8" s="5">
        <f t="shared" si="0"/>
        <v>0</v>
      </c>
    </row>
    <row r="9" spans="1:9" x14ac:dyDescent="0.25">
      <c r="A9" s="2" t="s">
        <v>785</v>
      </c>
      <c r="C9" s="18">
        <v>1000</v>
      </c>
      <c r="D9" s="5">
        <f t="shared" si="0"/>
        <v>0</v>
      </c>
    </row>
    <row r="10" spans="1:9" x14ac:dyDescent="0.25">
      <c r="A10" s="2" t="s">
        <v>786</v>
      </c>
      <c r="D10" s="5">
        <f t="shared" si="0"/>
        <v>0</v>
      </c>
    </row>
    <row r="11" spans="1:9" x14ac:dyDescent="0.25">
      <c r="A11" s="2" t="s">
        <v>786</v>
      </c>
      <c r="D11" s="5">
        <f t="shared" si="0"/>
        <v>0</v>
      </c>
    </row>
    <row r="12" spans="1:9" x14ac:dyDescent="0.25">
      <c r="A12" s="2" t="s">
        <v>787</v>
      </c>
      <c r="B12" s="2">
        <v>0</v>
      </c>
      <c r="C12" s="18">
        <v>5500</v>
      </c>
      <c r="D12" s="5">
        <f t="shared" si="0"/>
        <v>0</v>
      </c>
    </row>
    <row r="13" spans="1:9" x14ac:dyDescent="0.25">
      <c r="A13" s="2" t="s">
        <v>788</v>
      </c>
      <c r="C13" s="18">
        <v>1604326</v>
      </c>
      <c r="D13" s="5">
        <f t="shared" si="0"/>
        <v>0</v>
      </c>
    </row>
    <row r="14" spans="1:9" x14ac:dyDescent="0.25">
      <c r="A14" s="2" t="s">
        <v>789</v>
      </c>
      <c r="C14" s="18">
        <v>228556</v>
      </c>
      <c r="D14" s="5">
        <f t="shared" si="0"/>
        <v>0</v>
      </c>
    </row>
    <row r="15" spans="1:9" x14ac:dyDescent="0.25">
      <c r="A15" s="2" t="s">
        <v>790</v>
      </c>
      <c r="B15" s="2">
        <v>0</v>
      </c>
      <c r="C15" s="18">
        <v>400</v>
      </c>
      <c r="D15" s="5">
        <f t="shared" si="0"/>
        <v>0</v>
      </c>
      <c r="I15" s="3" t="s">
        <v>575</v>
      </c>
    </row>
    <row r="16" spans="1:9" x14ac:dyDescent="0.25">
      <c r="A16" s="2" t="s">
        <v>791</v>
      </c>
      <c r="B16" s="2">
        <v>0</v>
      </c>
      <c r="C16" s="18">
        <v>7.33</v>
      </c>
      <c r="D16" s="5">
        <f>+B16*C16</f>
        <v>0</v>
      </c>
      <c r="I16" s="3"/>
    </row>
    <row r="17" spans="1:9" x14ac:dyDescent="0.25">
      <c r="A17" s="2" t="s">
        <v>792</v>
      </c>
      <c r="B17" s="2">
        <v>0</v>
      </c>
      <c r="C17" s="18">
        <v>9.9700000000000006</v>
      </c>
      <c r="D17" s="5">
        <f>+B17*C17</f>
        <v>0</v>
      </c>
      <c r="I17" s="3"/>
    </row>
    <row r="18" spans="1:9" x14ac:dyDescent="0.25">
      <c r="A18" s="2" t="s">
        <v>793</v>
      </c>
      <c r="B18" s="2">
        <v>0</v>
      </c>
      <c r="C18" s="18">
        <v>3.98</v>
      </c>
      <c r="D18" s="5">
        <f>+B18*C18</f>
        <v>0</v>
      </c>
      <c r="I18" s="3"/>
    </row>
    <row r="19" spans="1:9" x14ac:dyDescent="0.25">
      <c r="H19" s="1">
        <f>IF(Profit!O2="yes",+SUM(D4:D18),I19)</f>
        <v>0</v>
      </c>
      <c r="I19">
        <v>0</v>
      </c>
    </row>
    <row r="23" spans="1:9" x14ac:dyDescent="0.25">
      <c r="I23" s="2"/>
    </row>
    <row r="24" spans="1:9" x14ac:dyDescent="0.25">
      <c r="I24" s="2"/>
    </row>
  </sheetData>
  <mergeCells count="1">
    <mergeCell ref="E2:F2"/>
  </mergeCells>
  <printOptions headings="1" gridLines="1"/>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42983-6C53-4528-BA5B-1CC4772B7707}">
  <dimension ref="A1:H11"/>
  <sheetViews>
    <sheetView workbookViewId="0">
      <selection activeCell="C19" sqref="C19"/>
    </sheetView>
  </sheetViews>
  <sheetFormatPr defaultRowHeight="15" x14ac:dyDescent="0.25"/>
  <cols>
    <col min="1" max="1" width="11" customWidth="1"/>
    <col min="2" max="2" width="38.140625" bestFit="1" customWidth="1"/>
    <col min="3" max="3" width="10.5703125" customWidth="1"/>
    <col min="4" max="4" width="9.5703125" customWidth="1"/>
    <col min="5" max="5" width="12.85546875" customWidth="1"/>
    <col min="6" max="6" width="14.28515625" customWidth="1"/>
    <col min="7" max="7" width="3.140625" customWidth="1"/>
  </cols>
  <sheetData>
    <row r="1" spans="1:8" ht="15.75" thickBot="1" x14ac:dyDescent="0.3"/>
    <row r="2" spans="1:8" s="63" customFormat="1" ht="30.75" thickBot="1" x14ac:dyDescent="0.3">
      <c r="A2"/>
      <c r="B2" s="566" t="s">
        <v>794</v>
      </c>
      <c r="C2" s="656"/>
      <c r="D2" s="355" t="s">
        <v>161</v>
      </c>
      <c r="E2" s="362" t="s">
        <v>795</v>
      </c>
      <c r="F2" s="236" t="s">
        <v>796</v>
      </c>
      <c r="G2" s="196"/>
      <c r="H2" s="191"/>
    </row>
    <row r="3" spans="1:8" ht="15.75" thickBot="1" x14ac:dyDescent="0.3">
      <c r="B3" s="232" t="s">
        <v>213</v>
      </c>
      <c r="C3" s="233">
        <f>+SUM(E3:G3)</f>
        <v>750000</v>
      </c>
      <c r="D3" s="233"/>
      <c r="E3" s="311">
        <v>435000</v>
      </c>
      <c r="F3" s="363">
        <v>315000</v>
      </c>
      <c r="G3" s="309"/>
    </row>
    <row r="4" spans="1:8" x14ac:dyDescent="0.25">
      <c r="B4" s="232" t="s">
        <v>214</v>
      </c>
      <c r="C4" s="233">
        <f>+SUM(E4:$G$4)</f>
        <v>352369</v>
      </c>
      <c r="D4" s="233"/>
      <c r="E4" s="311">
        <v>249869</v>
      </c>
      <c r="F4" s="364">
        <v>102500</v>
      </c>
      <c r="G4" s="309"/>
    </row>
    <row r="5" spans="1:8" x14ac:dyDescent="0.25">
      <c r="B5" s="234" t="s">
        <v>215</v>
      </c>
      <c r="C5" s="235">
        <f>+SUM(E5:G5)</f>
        <v>242267</v>
      </c>
      <c r="D5" s="235"/>
      <c r="E5" s="311">
        <v>98192</v>
      </c>
      <c r="F5" s="364">
        <f>+F3+-F4-F6</f>
        <v>144075</v>
      </c>
      <c r="G5" s="192"/>
    </row>
    <row r="6" spans="1:8" ht="15.75" thickBot="1" x14ac:dyDescent="0.3">
      <c r="B6" s="193" t="s">
        <v>218</v>
      </c>
      <c r="C6" s="189">
        <f>+SUM($E$6:$G$6)</f>
        <v>155363.89666666667</v>
      </c>
      <c r="D6" s="189"/>
      <c r="E6" s="311">
        <v>86938.896666666667</v>
      </c>
      <c r="F6" s="364">
        <v>68425</v>
      </c>
      <c r="G6" s="192"/>
    </row>
    <row r="7" spans="1:8" ht="15.75" thickBot="1" x14ac:dyDescent="0.3">
      <c r="B7" s="193" t="s">
        <v>219</v>
      </c>
      <c r="C7" s="189">
        <f>+SUM($E$7:$G$7)</f>
        <v>0</v>
      </c>
      <c r="D7" s="189"/>
      <c r="E7" s="311"/>
      <c r="F7" s="365"/>
      <c r="G7" s="192"/>
    </row>
    <row r="8" spans="1:8" ht="15.75" thickBot="1" x14ac:dyDescent="0.3">
      <c r="B8" s="193" t="s">
        <v>222</v>
      </c>
      <c r="C8" s="557">
        <f>+AVERAGE(E3:F3)</f>
        <v>375000</v>
      </c>
      <c r="D8" s="501"/>
      <c r="E8" s="657"/>
      <c r="F8" s="518"/>
      <c r="G8" s="403"/>
    </row>
    <row r="9" spans="1:8" ht="15.75" thickBot="1" x14ac:dyDescent="0.3">
      <c r="B9" s="193" t="s">
        <v>223</v>
      </c>
      <c r="C9" s="557">
        <f>+AVERAGE(E4:F4)</f>
        <v>176184.5</v>
      </c>
      <c r="D9" s="501"/>
      <c r="E9" s="404"/>
      <c r="F9" s="497"/>
      <c r="G9" s="405"/>
    </row>
    <row r="10" spans="1:8" ht="15.75" thickBot="1" x14ac:dyDescent="0.3">
      <c r="B10" s="193" t="s">
        <v>225</v>
      </c>
      <c r="C10" s="557">
        <f>+AVERAGE(E5:F5)</f>
        <v>121133.5</v>
      </c>
      <c r="D10" s="501"/>
      <c r="E10" s="541" t="s">
        <v>797</v>
      </c>
      <c r="F10" s="658"/>
      <c r="G10" s="659"/>
    </row>
    <row r="11" spans="1:8" ht="15.75" thickBot="1" x14ac:dyDescent="0.3">
      <c r="B11" s="193" t="s">
        <v>227</v>
      </c>
      <c r="C11" s="557">
        <f>+AVERAGE(E6:F6)</f>
        <v>77681.948333333334</v>
      </c>
      <c r="D11" s="501"/>
      <c r="E11" s="544" t="s">
        <v>798</v>
      </c>
      <c r="F11" s="654"/>
      <c r="G11" s="655"/>
    </row>
  </sheetData>
  <mergeCells count="8">
    <mergeCell ref="C11:D11"/>
    <mergeCell ref="E11:G11"/>
    <mergeCell ref="B2:C2"/>
    <mergeCell ref="C8:D8"/>
    <mergeCell ref="E8:G9"/>
    <mergeCell ref="C9:D9"/>
    <mergeCell ref="C10:D10"/>
    <mergeCell ref="E10:G10"/>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4E8B5-81B0-4717-B06D-3972788FDC05}">
  <dimension ref="A1:J11"/>
  <sheetViews>
    <sheetView workbookViewId="0">
      <selection activeCell="C19" sqref="C19"/>
    </sheetView>
  </sheetViews>
  <sheetFormatPr defaultRowHeight="15" x14ac:dyDescent="0.25"/>
  <cols>
    <col min="1" max="1" width="11" customWidth="1"/>
    <col min="2" max="2" width="38.140625" bestFit="1" customWidth="1"/>
    <col min="3" max="3" width="10.5703125" customWidth="1"/>
    <col min="4" max="4" width="9.5703125" customWidth="1"/>
    <col min="5" max="8" width="7.7109375" customWidth="1"/>
    <col min="9" max="9" width="3.140625" customWidth="1"/>
  </cols>
  <sheetData>
    <row r="1" spans="1:10" ht="15.75" thickBot="1" x14ac:dyDescent="0.3"/>
    <row r="2" spans="1:10" s="63" customFormat="1" ht="45.75" thickBot="1" x14ac:dyDescent="0.3">
      <c r="A2" s="201"/>
      <c r="B2" s="566" t="s">
        <v>794</v>
      </c>
      <c r="C2" s="662"/>
      <c r="D2" s="355" t="s">
        <v>161</v>
      </c>
      <c r="E2" s="231" t="s">
        <v>799</v>
      </c>
      <c r="F2" s="231" t="s">
        <v>800</v>
      </c>
      <c r="G2" s="231" t="s">
        <v>801</v>
      </c>
      <c r="H2" s="236" t="s">
        <v>802</v>
      </c>
      <c r="I2" s="196"/>
      <c r="J2" s="191"/>
    </row>
    <row r="3" spans="1:10" ht="15.75" thickBot="1" x14ac:dyDescent="0.3">
      <c r="A3" s="204"/>
      <c r="B3" s="232" t="s">
        <v>213</v>
      </c>
      <c r="C3" s="233">
        <f>+SUM(E3:I3)</f>
        <v>1262529</v>
      </c>
      <c r="D3" s="233"/>
      <c r="E3" s="311">
        <v>210000</v>
      </c>
      <c r="F3" s="311">
        <v>423529</v>
      </c>
      <c r="G3" s="311">
        <v>330000</v>
      </c>
      <c r="H3" s="310">
        <v>299000</v>
      </c>
      <c r="I3" s="309"/>
    </row>
    <row r="4" spans="1:10" x14ac:dyDescent="0.25">
      <c r="A4" s="204"/>
      <c r="B4" s="232" t="s">
        <v>214</v>
      </c>
      <c r="C4" s="233">
        <f>+SUM(E4:$I$4)</f>
        <v>554594.92000000004</v>
      </c>
      <c r="D4" s="233"/>
      <c r="E4" s="311">
        <v>127000</v>
      </c>
      <c r="F4" s="311">
        <v>174585.47</v>
      </c>
      <c r="G4" s="311">
        <v>85975.790000000008</v>
      </c>
      <c r="H4" s="310">
        <v>167033.66</v>
      </c>
      <c r="I4" s="309"/>
    </row>
    <row r="5" spans="1:10" x14ac:dyDescent="0.25">
      <c r="A5" s="204"/>
      <c r="B5" s="234" t="s">
        <v>215</v>
      </c>
      <c r="C5" s="235">
        <f>+SUM(E5:I5)</f>
        <v>148708.10749999998</v>
      </c>
      <c r="D5" s="235"/>
      <c r="E5" s="311">
        <v>15000</v>
      </c>
      <c r="F5" s="311">
        <v>12223</v>
      </c>
      <c r="G5" s="311">
        <v>82805.727499999994</v>
      </c>
      <c r="H5" s="310">
        <v>38679.380000000005</v>
      </c>
      <c r="I5" s="192"/>
    </row>
    <row r="6" spans="1:10" ht="15.75" thickBot="1" x14ac:dyDescent="0.3">
      <c r="A6" s="204"/>
      <c r="B6" s="193" t="s">
        <v>218</v>
      </c>
      <c r="C6" s="189">
        <f>+SUM($E$6:$I$6)</f>
        <v>471212.07700000005</v>
      </c>
      <c r="D6" s="189"/>
      <c r="E6" s="311">
        <v>67485.868000000002</v>
      </c>
      <c r="F6" s="311">
        <v>154708.03800000003</v>
      </c>
      <c r="G6" s="311">
        <v>154490.20250000001</v>
      </c>
      <c r="H6" s="310">
        <v>94527.968499999988</v>
      </c>
      <c r="I6" s="192"/>
    </row>
    <row r="7" spans="1:10" ht="15.75" thickBot="1" x14ac:dyDescent="0.3">
      <c r="A7" s="204"/>
      <c r="B7" s="193" t="s">
        <v>219</v>
      </c>
      <c r="C7" s="189">
        <f>+SUM($E$7:$I$7)</f>
        <v>15470.803800000003</v>
      </c>
      <c r="D7" s="189"/>
      <c r="E7" s="366"/>
      <c r="F7" s="367">
        <v>15470.803800000003</v>
      </c>
      <c r="G7" s="367"/>
      <c r="H7" s="368"/>
      <c r="I7" s="192"/>
    </row>
    <row r="8" spans="1:10" ht="15.75" thickBot="1" x14ac:dyDescent="0.3">
      <c r="A8" s="204"/>
      <c r="B8" s="193" t="s">
        <v>222</v>
      </c>
      <c r="C8" s="557">
        <f>+AVERAGE(E3:H3)</f>
        <v>315632.25</v>
      </c>
      <c r="D8" s="660"/>
      <c r="E8" s="657"/>
      <c r="F8" s="518"/>
      <c r="G8" s="518"/>
      <c r="H8" s="518"/>
      <c r="I8" s="403"/>
    </row>
    <row r="9" spans="1:10" ht="15.75" thickBot="1" x14ac:dyDescent="0.3">
      <c r="A9" s="204"/>
      <c r="B9" s="193" t="s">
        <v>223</v>
      </c>
      <c r="C9" s="557">
        <f>+AVERAGE(E4:H4)</f>
        <v>138648.73000000001</v>
      </c>
      <c r="D9" s="660"/>
      <c r="E9" s="404"/>
      <c r="F9" s="497"/>
      <c r="G9" s="497"/>
      <c r="H9" s="497"/>
      <c r="I9" s="405"/>
    </row>
    <row r="10" spans="1:10" ht="15.75" thickBot="1" x14ac:dyDescent="0.3">
      <c r="A10" s="204"/>
      <c r="B10" s="193" t="s">
        <v>225</v>
      </c>
      <c r="C10" s="557">
        <f>+AVERAGE(E5:H5)</f>
        <v>37177.026874999996</v>
      </c>
      <c r="D10" s="660"/>
      <c r="E10" s="541" t="s">
        <v>797</v>
      </c>
      <c r="F10" s="542"/>
      <c r="G10" s="542"/>
      <c r="H10" s="542"/>
      <c r="I10" s="543"/>
    </row>
    <row r="11" spans="1:10" ht="15.75" thickBot="1" x14ac:dyDescent="0.3">
      <c r="B11" s="193" t="s">
        <v>227</v>
      </c>
      <c r="C11" s="557">
        <f>+AVERAGE(E6:H6)</f>
        <v>117803.01925000001</v>
      </c>
      <c r="D11" s="660"/>
      <c r="E11" s="544" t="s">
        <v>798</v>
      </c>
      <c r="F11" s="545"/>
      <c r="G11" s="545"/>
      <c r="H11" s="545"/>
      <c r="I11" s="661"/>
    </row>
  </sheetData>
  <mergeCells count="8">
    <mergeCell ref="C11:D11"/>
    <mergeCell ref="E11:I11"/>
    <mergeCell ref="B2:C2"/>
    <mergeCell ref="C8:D8"/>
    <mergeCell ref="E8:I9"/>
    <mergeCell ref="C9:D9"/>
    <mergeCell ref="C10:D10"/>
    <mergeCell ref="E10:I10"/>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FC860-F4AF-435C-97F3-15EFD1975C5D}">
  <dimension ref="A1:I11"/>
  <sheetViews>
    <sheetView topLeftCell="A8" workbookViewId="0">
      <selection activeCell="C19" sqref="C19"/>
    </sheetView>
  </sheetViews>
  <sheetFormatPr defaultRowHeight="15" x14ac:dyDescent="0.25"/>
  <cols>
    <col min="1" max="1" width="11" customWidth="1"/>
    <col min="2" max="2" width="38.140625" bestFit="1" customWidth="1"/>
    <col min="3" max="3" width="10.5703125" customWidth="1"/>
    <col min="4" max="4" width="9.5703125" customWidth="1"/>
    <col min="5" max="6" width="12.85546875" customWidth="1"/>
    <col min="7" max="7" width="14.28515625" customWidth="1"/>
    <col min="8" max="8" width="3.140625" customWidth="1"/>
  </cols>
  <sheetData>
    <row r="1" spans="1:9" ht="15.75" thickBot="1" x14ac:dyDescent="0.3"/>
    <row r="2" spans="1:9" s="63" customFormat="1" ht="30.75" thickBot="1" x14ac:dyDescent="0.3">
      <c r="A2"/>
      <c r="B2" s="566" t="s">
        <v>794</v>
      </c>
      <c r="C2" s="656"/>
      <c r="D2" s="355" t="s">
        <v>161</v>
      </c>
      <c r="E2" s="362" t="s">
        <v>803</v>
      </c>
      <c r="F2" s="362" t="s">
        <v>804</v>
      </c>
      <c r="G2" s="236" t="s">
        <v>805</v>
      </c>
      <c r="H2" s="196"/>
      <c r="I2" s="191"/>
    </row>
    <row r="3" spans="1:9" ht="15.75" thickBot="1" x14ac:dyDescent="0.3">
      <c r="B3" s="232" t="s">
        <v>213</v>
      </c>
      <c r="C3" s="233">
        <f>+SUM(E3:H3)</f>
        <v>811800</v>
      </c>
      <c r="D3" s="233"/>
      <c r="E3" s="311">
        <v>363900</v>
      </c>
      <c r="F3" s="369">
        <v>210000</v>
      </c>
      <c r="G3" s="363">
        <v>237900</v>
      </c>
      <c r="H3" s="309"/>
    </row>
    <row r="4" spans="1:9" x14ac:dyDescent="0.25">
      <c r="B4" s="232" t="s">
        <v>214</v>
      </c>
      <c r="C4" s="233">
        <f>+SUM(E4:$H$4)</f>
        <v>401770.9</v>
      </c>
      <c r="D4" s="233"/>
      <c r="E4" s="311">
        <v>220000</v>
      </c>
      <c r="F4" s="370">
        <v>107061.9</v>
      </c>
      <c r="G4" s="364">
        <v>74709</v>
      </c>
      <c r="H4" s="309"/>
    </row>
    <row r="5" spans="1:9" x14ac:dyDescent="0.25">
      <c r="B5" s="234" t="s">
        <v>215</v>
      </c>
      <c r="C5" s="235">
        <f>+SUM(E5:H5)</f>
        <v>146350.07515412499</v>
      </c>
      <c r="D5" s="235"/>
      <c r="E5" s="311">
        <v>27507.698</v>
      </c>
      <c r="F5" s="370">
        <v>47760.57</v>
      </c>
      <c r="G5" s="364">
        <v>71081.80715412501</v>
      </c>
      <c r="H5" s="192"/>
    </row>
    <row r="6" spans="1:9" ht="15.75" thickBot="1" x14ac:dyDescent="0.3">
      <c r="B6" s="193" t="s">
        <v>218</v>
      </c>
      <c r="C6" s="189">
        <f>+SUM($E$6:$H$6)</f>
        <v>257067.10484587503</v>
      </c>
      <c r="D6" s="189"/>
      <c r="E6" s="311">
        <v>92658.781999999992</v>
      </c>
      <c r="F6" s="370">
        <v>64240.530000000028</v>
      </c>
      <c r="G6" s="364">
        <v>100167.792845875</v>
      </c>
      <c r="H6" s="192"/>
    </row>
    <row r="7" spans="1:9" ht="15.75" thickBot="1" x14ac:dyDescent="0.3">
      <c r="B7" s="193" t="s">
        <v>219</v>
      </c>
      <c r="C7" s="189">
        <f>+SUM($E$7:$H$7)</f>
        <v>0</v>
      </c>
      <c r="D7" s="189"/>
      <c r="E7" s="366"/>
      <c r="F7" s="367"/>
      <c r="G7" s="371"/>
      <c r="H7" s="192"/>
    </row>
    <row r="8" spans="1:9" ht="15.75" thickBot="1" x14ac:dyDescent="0.3">
      <c r="B8" s="193" t="s">
        <v>222</v>
      </c>
      <c r="C8" s="557">
        <f>+AVERAGE(E3:G3)</f>
        <v>270600</v>
      </c>
      <c r="D8" s="501"/>
      <c r="E8" s="657"/>
      <c r="F8" s="663"/>
      <c r="G8" s="518"/>
      <c r="H8" s="403"/>
    </row>
    <row r="9" spans="1:9" ht="15.75" thickBot="1" x14ac:dyDescent="0.3">
      <c r="B9" s="193" t="s">
        <v>223</v>
      </c>
      <c r="C9" s="557">
        <f>+AVERAGE(E4:G4)</f>
        <v>133923.63333333333</v>
      </c>
      <c r="D9" s="501"/>
      <c r="E9" s="404"/>
      <c r="F9" s="497"/>
      <c r="G9" s="497"/>
      <c r="H9" s="405"/>
    </row>
    <row r="10" spans="1:9" ht="15.75" thickBot="1" x14ac:dyDescent="0.3">
      <c r="B10" s="193" t="s">
        <v>225</v>
      </c>
      <c r="C10" s="557">
        <f>+AVERAGE(E5:G5)</f>
        <v>48783.358384708328</v>
      </c>
      <c r="D10" s="501"/>
      <c r="E10" s="541" t="s">
        <v>797</v>
      </c>
      <c r="F10" s="542"/>
      <c r="G10" s="658"/>
      <c r="H10" s="659"/>
    </row>
    <row r="11" spans="1:9" ht="15.75" thickBot="1" x14ac:dyDescent="0.3">
      <c r="B11" s="193" t="s">
        <v>227</v>
      </c>
      <c r="C11" s="557">
        <f>+AVERAGE(E6:G6)</f>
        <v>85689.034948625005</v>
      </c>
      <c r="D11" s="501"/>
      <c r="E11" s="544" t="s">
        <v>798</v>
      </c>
      <c r="F11" s="545"/>
      <c r="G11" s="654"/>
      <c r="H11" s="655"/>
    </row>
  </sheetData>
  <mergeCells count="8">
    <mergeCell ref="C11:D11"/>
    <mergeCell ref="E11:H11"/>
    <mergeCell ref="B2:C2"/>
    <mergeCell ref="C8:D8"/>
    <mergeCell ref="E8:H9"/>
    <mergeCell ref="C9:D9"/>
    <mergeCell ref="C10:D10"/>
    <mergeCell ref="E10:H10"/>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3E369-E028-40CC-9862-01C3D0E7FE57}">
  <dimension ref="A1:I11"/>
  <sheetViews>
    <sheetView workbookViewId="0">
      <selection activeCell="C19" sqref="C19"/>
    </sheetView>
  </sheetViews>
  <sheetFormatPr defaultRowHeight="15" x14ac:dyDescent="0.25"/>
  <cols>
    <col min="1" max="1" width="11" customWidth="1"/>
    <col min="2" max="2" width="38.140625" bestFit="1" customWidth="1"/>
    <col min="3" max="3" width="10.5703125" customWidth="1"/>
    <col min="4" max="4" width="9.5703125" customWidth="1"/>
    <col min="5" max="6" width="12.85546875" customWidth="1"/>
    <col min="7" max="7" width="14.28515625" customWidth="1"/>
    <col min="8" max="8" width="3.140625" customWidth="1"/>
  </cols>
  <sheetData>
    <row r="1" spans="1:9" ht="15.75" thickBot="1" x14ac:dyDescent="0.3"/>
    <row r="2" spans="1:9" s="63" customFormat="1" ht="30.75" thickBot="1" x14ac:dyDescent="0.3">
      <c r="A2"/>
      <c r="B2" s="566" t="s">
        <v>794</v>
      </c>
      <c r="C2" s="656"/>
      <c r="D2" s="355" t="s">
        <v>161</v>
      </c>
      <c r="E2" s="362" t="s">
        <v>806</v>
      </c>
      <c r="F2" s="362" t="s">
        <v>807</v>
      </c>
      <c r="G2" s="236" t="s">
        <v>808</v>
      </c>
      <c r="H2" s="196"/>
      <c r="I2" s="191"/>
    </row>
    <row r="3" spans="1:9" ht="15.75" thickBot="1" x14ac:dyDescent="0.3">
      <c r="B3" s="232" t="s">
        <v>213</v>
      </c>
      <c r="C3" s="233">
        <f>+SUM(E3:H3)</f>
        <v>540000</v>
      </c>
      <c r="D3" s="233"/>
      <c r="E3" s="311">
        <v>150000</v>
      </c>
      <c r="F3" s="369">
        <v>195000</v>
      </c>
      <c r="G3" s="363">
        <v>195000</v>
      </c>
      <c r="H3" s="309"/>
    </row>
    <row r="4" spans="1:9" x14ac:dyDescent="0.25">
      <c r="B4" s="232" t="s">
        <v>214</v>
      </c>
      <c r="C4" s="233">
        <f>+SUM(E4:$H$4)</f>
        <v>310642.71000000002</v>
      </c>
      <c r="D4" s="233"/>
      <c r="E4" s="311">
        <v>71644.86</v>
      </c>
      <c r="F4" s="370">
        <v>110309.86</v>
      </c>
      <c r="G4" s="364">
        <v>128687.99</v>
      </c>
      <c r="H4" s="309"/>
    </row>
    <row r="5" spans="1:9" x14ac:dyDescent="0.25">
      <c r="B5" s="234" t="s">
        <v>215</v>
      </c>
      <c r="C5" s="235">
        <f>+SUM(E5:H5)</f>
        <v>49980.701499999996</v>
      </c>
      <c r="D5" s="235"/>
      <c r="E5" s="311">
        <v>6302.96</v>
      </c>
      <c r="F5" s="370">
        <v>20425.14</v>
      </c>
      <c r="G5" s="364">
        <v>23252.601500000001</v>
      </c>
      <c r="H5" s="192"/>
    </row>
    <row r="6" spans="1:9" ht="15.75" thickBot="1" x14ac:dyDescent="0.3">
      <c r="B6" s="193" t="s">
        <v>218</v>
      </c>
      <c r="C6" s="189">
        <f>+SUM($E$6:$H$6)</f>
        <v>116039.9257777778</v>
      </c>
      <c r="D6" s="189"/>
      <c r="E6" s="311">
        <v>37694.072</v>
      </c>
      <c r="F6" s="370">
        <v>52771.490000000005</v>
      </c>
      <c r="G6" s="364">
        <v>25574.363777777784</v>
      </c>
      <c r="H6" s="192"/>
    </row>
    <row r="7" spans="1:9" ht="15.75" thickBot="1" x14ac:dyDescent="0.3">
      <c r="B7" s="193" t="s">
        <v>219</v>
      </c>
      <c r="C7" s="189">
        <f>+SUM($E$7:$H$7)</f>
        <v>0</v>
      </c>
      <c r="D7" s="189"/>
      <c r="E7" s="366"/>
      <c r="F7" s="367"/>
      <c r="G7" s="371"/>
      <c r="H7" s="192"/>
    </row>
    <row r="8" spans="1:9" ht="15.75" thickBot="1" x14ac:dyDescent="0.3">
      <c r="B8" s="193" t="s">
        <v>222</v>
      </c>
      <c r="C8" s="557">
        <f>+AVERAGE(E3:G3)</f>
        <v>180000</v>
      </c>
      <c r="D8" s="501"/>
      <c r="E8" s="657"/>
      <c r="F8" s="663"/>
      <c r="G8" s="518"/>
      <c r="H8" s="403"/>
    </row>
    <row r="9" spans="1:9" ht="15.75" thickBot="1" x14ac:dyDescent="0.3">
      <c r="B9" s="193" t="s">
        <v>223</v>
      </c>
      <c r="C9" s="557">
        <f>+AVERAGE(E4:G4)</f>
        <v>103547.57</v>
      </c>
      <c r="D9" s="501"/>
      <c r="E9" s="404"/>
      <c r="F9" s="497"/>
      <c r="G9" s="497"/>
      <c r="H9" s="405"/>
    </row>
    <row r="10" spans="1:9" ht="15.75" thickBot="1" x14ac:dyDescent="0.3">
      <c r="B10" s="193" t="s">
        <v>225</v>
      </c>
      <c r="C10" s="557">
        <f>+AVERAGE(E5:G5)</f>
        <v>16660.233833333332</v>
      </c>
      <c r="D10" s="501"/>
      <c r="E10" s="541" t="s">
        <v>797</v>
      </c>
      <c r="F10" s="542"/>
      <c r="G10" s="658"/>
      <c r="H10" s="659"/>
    </row>
    <row r="11" spans="1:9" ht="15.75" thickBot="1" x14ac:dyDescent="0.3">
      <c r="B11" s="193" t="s">
        <v>227</v>
      </c>
      <c r="C11" s="557">
        <f>+AVERAGE(E6:G6)</f>
        <v>38679.975259259263</v>
      </c>
      <c r="D11" s="501"/>
      <c r="E11" s="544" t="s">
        <v>798</v>
      </c>
      <c r="F11" s="545"/>
      <c r="G11" s="654"/>
      <c r="H11" s="655"/>
    </row>
  </sheetData>
  <mergeCells count="8">
    <mergeCell ref="C11:D11"/>
    <mergeCell ref="E11:H11"/>
    <mergeCell ref="B2:C2"/>
    <mergeCell ref="C8:D8"/>
    <mergeCell ref="E8:H9"/>
    <mergeCell ref="C9:D9"/>
    <mergeCell ref="C10:D10"/>
    <mergeCell ref="E10:H10"/>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DC7FDB1C8256C4EA4678CC05D188078" ma:contentTypeVersion="20" ma:contentTypeDescription="Create a new document." ma:contentTypeScope="" ma:versionID="2a9650d830cc67299a1a440994d8139a">
  <xsd:schema xmlns:xsd="http://www.w3.org/2001/XMLSchema" xmlns:xs="http://www.w3.org/2001/XMLSchema" xmlns:p="http://schemas.microsoft.com/office/2006/metadata/properties" xmlns:ns2="ab9fedca-001d-4cc9-b244-d9c3be5a27d3" xmlns:ns3="42cc25d9-27fe-4f07-accb-ded05ec47eee" targetNamespace="http://schemas.microsoft.com/office/2006/metadata/properties" ma:root="true" ma:fieldsID="b7be75ccca685a650eabb79854d6018f" ns2:_="" ns3:_="">
    <xsd:import namespace="ab9fedca-001d-4cc9-b244-d9c3be5a27d3"/>
    <xsd:import namespace="42cc25d9-27fe-4f07-accb-ded05ec47ee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_Flow_SignoffStatu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9fedca-001d-4cc9-b244-d9c3be5a27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da4e1b19-6222-46f4-80f6-9f16169dd19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_Flow_SignoffStatus" ma:index="25" nillable="true" ma:displayName="Sign-off status" ma:internalName="Sign_x002d_off_x0020_status">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cc25d9-27fe-4f07-accb-ded05ec47eee"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1f183bb4-81c9-4515-ba45-227c7445c609}" ma:internalName="TaxCatchAll" ma:showField="CatchAllData" ma:web="42cc25d9-27fe-4f07-accb-ded05ec47eee">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TaxCatchAll xmlns="42cc25d9-27fe-4f07-accb-ded05ec47eee" xsi:nil="true"/>
    <lcf76f155ced4ddcb4097134ff3c332f xmlns="ab9fedca-001d-4cc9-b244-d9c3be5a27d3">
      <Terms xmlns="http://schemas.microsoft.com/office/infopath/2007/PartnerControls"/>
    </lcf76f155ced4ddcb4097134ff3c332f>
    <_Flow_SignoffStatus xmlns="ab9fedca-001d-4cc9-b244-d9c3be5a27d3"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
</file>

<file path=customXml/item6.xml>��
</file>

<file path=customXml/item7.xml>��
</file>

<file path=customXml/itemProps1.xml><?xml version="1.0" encoding="utf-8"?>
<ds:datastoreItem xmlns:ds="http://schemas.openxmlformats.org/officeDocument/2006/customXml" ds:itemID="{7DAA23DD-9F09-4202-8AAB-AF48A6EB5A2C}"/>
</file>

<file path=customXml/itemProps2.xml><?xml version="1.0" encoding="utf-8"?>
<ds:datastoreItem xmlns:ds="http://schemas.openxmlformats.org/officeDocument/2006/customXml" ds:itemID="{5C886D52-C60B-4622-9743-EA10E7087D96}">
  <ds:schemaRefs>
    <ds:schemaRef ds:uri="http://gemini/pivotcustomization/FormulaBarState"/>
  </ds:schemaRefs>
</ds:datastoreItem>
</file>

<file path=customXml/itemProps3.xml><?xml version="1.0" encoding="utf-8"?>
<ds:datastoreItem xmlns:ds="http://schemas.openxmlformats.org/officeDocument/2006/customXml" ds:itemID="{98C4DA37-4AFD-4CD2-9A66-0C8B8DF4AF27}">
  <ds:schemaRefs>
    <ds:schemaRef ds:uri="http://purl.org/dc/dcmitype/"/>
    <ds:schemaRef ds:uri="http://schemas.microsoft.com/office/2006/metadata/properties"/>
    <ds:schemaRef ds:uri="http://schemas.microsoft.com/office/2006/documentManagement/types"/>
    <ds:schemaRef ds:uri="http://purl.org/dc/elements/1.1/"/>
    <ds:schemaRef ds:uri="ab9fedca-001d-4cc9-b244-d9c3be5a27d3"/>
    <ds:schemaRef ds:uri="http://schemas.openxmlformats.org/package/2006/metadata/core-properties"/>
    <ds:schemaRef ds:uri="http://schemas.microsoft.com/office/infopath/2007/PartnerControls"/>
    <ds:schemaRef ds:uri="42cc25d9-27fe-4f07-accb-ded05ec47eee"/>
    <ds:schemaRef ds:uri="http://www.w3.org/XML/1998/namespace"/>
    <ds:schemaRef ds:uri="http://purl.org/dc/terms/"/>
  </ds:schemaRefs>
</ds:datastoreItem>
</file>

<file path=customXml/itemProps4.xml><?xml version="1.0" encoding="utf-8"?>
<ds:datastoreItem xmlns:ds="http://schemas.openxmlformats.org/officeDocument/2006/customXml" ds:itemID="{B1340FEE-1606-4067-BF1E-AF47E6C4120D}">
  <ds:schemaRefs>
    <ds:schemaRef ds:uri="http://schemas.microsoft.com/sharepoint/v3/contenttype/forms"/>
  </ds:schemaRefs>
</ds:datastoreItem>
</file>

<file path=customXml/itemProps5.xml><?xml version="1.0" encoding="utf-8"?>
<ds:datastoreItem xmlns:ds="http://schemas.openxmlformats.org/officeDocument/2006/customXml" ds:itemID="{B9BB8BBB-3EF8-4D4F-B500-A2E6B5335F5B}">
  <ds:schemaRefs>
    <ds:schemaRef ds:uri="http://gemini/pivotcustomization/TableWidget"/>
  </ds:schemaRefs>
</ds:datastoreItem>
</file>

<file path=customXml/itemProps6.xml><?xml version="1.0" encoding="utf-8"?>
<ds:datastoreItem xmlns:ds="http://schemas.openxmlformats.org/officeDocument/2006/customXml" ds:itemID="{B54C4136-DFE3-4AB2-9ADD-5C061DFB4DE7}">
  <ds:schemaRefs>
    <ds:schemaRef ds:uri="http://gemini/pivotcustomization/TableXML_FromProposal_20a731de-dc6a-4de7-aca1-393b2aab7b6b"/>
  </ds:schemaRefs>
</ds:datastoreItem>
</file>

<file path=customXml/itemProps7.xml><?xml version="1.0" encoding="utf-8"?>
<ds:datastoreItem xmlns:ds="http://schemas.openxmlformats.org/officeDocument/2006/customXml" ds:itemID="{C8DEC3D8-E357-4A8C-AFF9-645AD3C1C06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3</vt:i4>
      </vt:variant>
    </vt:vector>
  </HeadingPairs>
  <TitlesOfParts>
    <vt:vector size="30" baseType="lpstr">
      <vt:lpstr>Profit</vt:lpstr>
      <vt:lpstr>MOG</vt:lpstr>
      <vt:lpstr>Todo</vt:lpstr>
      <vt:lpstr>Contact</vt:lpstr>
      <vt:lpstr>Carrying</vt:lpstr>
      <vt:lpstr>Contract</vt:lpstr>
      <vt:lpstr>UpdateContract</vt:lpstr>
      <vt:lpstr>Gnatt Chart</vt:lpstr>
      <vt:lpstr>Recap</vt:lpstr>
      <vt:lpstr>Taxes</vt:lpstr>
      <vt:lpstr>Seller Advance</vt:lpstr>
      <vt:lpstr>MISC</vt:lpstr>
      <vt:lpstr>Demo &amp; Trash Haul</vt:lpstr>
      <vt:lpstr>Appliances</vt:lpstr>
      <vt:lpstr>Plumbing Fixtures</vt:lpstr>
      <vt:lpstr>Windows &amp; Doors</vt:lpstr>
      <vt:lpstr>Cabinets</vt:lpstr>
      <vt:lpstr>Paint</vt:lpstr>
      <vt:lpstr>Flooring</vt:lpstr>
      <vt:lpstr>HVAC</vt:lpstr>
      <vt:lpstr>Electrical Fixtures</vt:lpstr>
      <vt:lpstr>Landscape</vt:lpstr>
      <vt:lpstr>Exterior</vt:lpstr>
      <vt:lpstr>2023</vt:lpstr>
      <vt:lpstr>2022</vt:lpstr>
      <vt:lpstr>2021</vt:lpstr>
      <vt:lpstr>2020</vt:lpstr>
      <vt:lpstr>Milestone_Marker</vt:lpstr>
      <vt:lpstr>Project_Start</vt:lpstr>
      <vt:lpstr>Scrolling_Increment</vt:lpstr>
    </vt:vector>
  </TitlesOfParts>
  <Manager/>
  <Company>First Citizens Bank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Browning, Wes</dc:creator>
  <cp:keywords/>
  <dc:description/>
  <cp:lastModifiedBy>Wes Will Buy Your Home</cp:lastModifiedBy>
  <cp:revision/>
  <dcterms:created xsi:type="dcterms:W3CDTF">2019-07-25T11:32:14Z</dcterms:created>
  <dcterms:modified xsi:type="dcterms:W3CDTF">2026-03-31T18:08:28Z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0x010100DDC7FDB1C8256C4EA4678CC05D188078</vt:lpwstr>
  </property>
  <property fmtid="{D5CDD505-2E9C-101B-9397-08002B2CF9AE}" pid="3" name="MediaServiceImageTags">
    <vt:lpwstr/>
  </property>
</Properties>
</file>