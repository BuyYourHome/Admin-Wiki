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trlProps/ctrlProp1.xml" ContentType="application/vnd.ms-excel.controlproperties+xml"/>
  <Override PartName="/xl/tables/table3.xml" ContentType="application/vnd.openxmlformats-officedocument.spreadsheetml.table+xml"/>
  <Override PartName="/xl/queryTables/queryTable2.xml" ContentType="application/vnd.openxmlformats-officedocument.spreadsheetml.query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lifeisanadventure.sharepoint.com/sites/SellYourHome/Shared Documents/Property/"/>
    </mc:Choice>
  </mc:AlternateContent>
  <xr:revisionPtr revIDLastSave="31445" documentId="13_ncr:1_{5A205BEF-1DC0-433E-BD9B-E0B8EFB2F08B}" xr6:coauthVersionLast="47" xr6:coauthVersionMax="47" xr10:uidLastSave="{4C7ABB81-4226-482C-AD93-B3EB922082F5}"/>
  <bookViews>
    <workbookView xWindow="-120" yWindow="-120" windowWidth="38640" windowHeight="15720" tabRatio="889" activeTab="3" xr2:uid="{00000000-000D-0000-FFFF-FFFF00000000}"/>
  </bookViews>
  <sheets>
    <sheet name="Profit" sheetId="1" r:id="rId1"/>
    <sheet name="MOG" sheetId="33" r:id="rId2"/>
    <sheet name="Todo" sheetId="19" r:id="rId3"/>
    <sheet name="Contact" sheetId="10" r:id="rId4"/>
    <sheet name="Example Proposal" sheetId="49" r:id="rId5"/>
    <sheet name="Proposal" sheetId="36" r:id="rId6"/>
    <sheet name="ProposalUpdate" sheetId="47" r:id="rId7"/>
    <sheet name="Gnatt Chart" sheetId="37" r:id="rId8"/>
    <sheet name="Taxes" sheetId="48" r:id="rId9"/>
    <sheet name="Financing" sheetId="34" r:id="rId10"/>
    <sheet name="Seller Advance" sheetId="9" r:id="rId11"/>
    <sheet name="MISC 2" sheetId="50" r:id="rId12"/>
    <sheet name="Demo &amp; Trash Haul" sheetId="21" r:id="rId13"/>
    <sheet name="Appliances" sheetId="15" r:id="rId14"/>
    <sheet name="Plumbing Fixtures" sheetId="22" r:id="rId15"/>
    <sheet name="Sheet1" sheetId="51" r:id="rId16"/>
    <sheet name="Sheet2" sheetId="52" r:id="rId17"/>
    <sheet name="Windows &amp; Doors" sheetId="20" r:id="rId18"/>
    <sheet name="Cabinets" sheetId="6" r:id="rId19"/>
    <sheet name="Paint" sheetId="4" r:id="rId20"/>
    <sheet name="Flooring" sheetId="3" r:id="rId21"/>
    <sheet name="HVAC" sheetId="18" r:id="rId22"/>
    <sheet name="Electrical Fixtures" sheetId="35" r:id="rId23"/>
    <sheet name="Landscape" sheetId="13" r:id="rId24"/>
    <sheet name="Sheet5" sheetId="55" r:id="rId25"/>
    <sheet name="Exterior" sheetId="16" r:id="rId26"/>
    <sheet name="Sheet3" sheetId="53" r:id="rId27"/>
    <sheet name="Sheet4" sheetId="54" r:id="rId28"/>
  </sheets>
  <externalReferences>
    <externalReference r:id="rId29"/>
  </externalReferences>
  <definedNames>
    <definedName name="_xlnm._FilterDatabase" localSheetId="7" hidden="1">'Gnatt Chart'!$A$1:$DU$28</definedName>
    <definedName name="ExternalData_3" localSheetId="6" hidden="1">ProposalUpdate!$B$4:$H$20</definedName>
    <definedName name="ExternalData_4" localSheetId="7" hidden="1">'Gnatt Chart'!$A$29:$O$45</definedName>
    <definedName name="Milestone_Marker">'Gnatt Chart'!$G$4</definedName>
    <definedName name="Project_Start">'Gnatt Chart'!$F$2</definedName>
    <definedName name="Scrolling_Increment">'Gnatt Chart'!$AB$26</definedName>
    <definedName name="Today" localSheetId="7">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9" i="19" l="1"/>
  <c r="I47" i="19"/>
  <c r="I46" i="19"/>
  <c r="I44" i="19"/>
  <c r="I48" i="19" l="1"/>
  <c r="I50" i="19" l="1"/>
  <c r="I51" i="19" l="1"/>
  <c r="E47" i="19" l="1"/>
  <c r="I45" i="19"/>
  <c r="I41" i="19"/>
  <c r="I40" i="19"/>
  <c r="I39" i="19"/>
  <c r="I38" i="19"/>
  <c r="I34" i="19"/>
  <c r="I33" i="19"/>
  <c r="I32" i="19"/>
  <c r="I31" i="19"/>
  <c r="I30" i="19"/>
  <c r="I29" i="19"/>
  <c r="I28" i="19"/>
  <c r="I27" i="19"/>
  <c r="I26" i="19"/>
  <c r="I25" i="19"/>
  <c r="I24" i="19"/>
  <c r="I23" i="19"/>
  <c r="I22" i="19"/>
  <c r="I21" i="19"/>
  <c r="I20" i="19"/>
  <c r="I19" i="19"/>
  <c r="I18" i="19"/>
  <c r="I17" i="19"/>
  <c r="I16" i="19"/>
  <c r="I15" i="19"/>
  <c r="I14" i="19"/>
  <c r="I13" i="19"/>
  <c r="I12" i="19"/>
  <c r="I11" i="19"/>
  <c r="I10" i="19"/>
  <c r="I9" i="19"/>
  <c r="I8" i="19"/>
  <c r="I7" i="19"/>
  <c r="I6" i="19"/>
  <c r="I5" i="19"/>
  <c r="I4" i="19"/>
  <c r="I3" i="19"/>
  <c r="G17" i="21"/>
  <c r="G7" i="3"/>
  <c r="G15" i="37" s="1"/>
  <c r="E48" i="19"/>
  <c r="N19" i="1"/>
  <c r="A5" i="47"/>
  <c r="A6" i="47"/>
  <c r="A7" i="47"/>
  <c r="A8" i="47"/>
  <c r="A9" i="47"/>
  <c r="A10" i="47"/>
  <c r="A11" i="47"/>
  <c r="A12" i="47"/>
  <c r="A13" i="47"/>
  <c r="A14" i="47"/>
  <c r="A15" i="47"/>
  <c r="A16" i="47"/>
  <c r="A17" i="47"/>
  <c r="A18" i="47"/>
  <c r="A19" i="47"/>
  <c r="A20" i="47"/>
  <c r="C47" i="19" l="1"/>
  <c r="C48" i="19"/>
  <c r="B21" i="1" l="1"/>
  <c r="B12" i="1"/>
  <c r="F20" i="4"/>
  <c r="J4" i="37"/>
  <c r="E5" i="35"/>
  <c r="F12" i="4"/>
  <c r="C32" i="1"/>
  <c r="B6" i="1" l="1"/>
  <c r="B29" i="1" s="1"/>
  <c r="E41" i="6"/>
  <c r="E40" i="6"/>
  <c r="E39" i="6"/>
  <c r="E38" i="6"/>
  <c r="E37" i="6"/>
  <c r="E36" i="6"/>
  <c r="E30" i="6"/>
  <c r="E28" i="6"/>
  <c r="E27" i="6"/>
  <c r="E26" i="6"/>
  <c r="E22" i="6"/>
  <c r="E21" i="6"/>
  <c r="E20" i="6"/>
  <c r="E19" i="6"/>
  <c r="E18" i="6"/>
  <c r="E17" i="6"/>
  <c r="E16" i="6"/>
  <c r="E15" i="6"/>
  <c r="E14" i="6"/>
  <c r="E13" i="6"/>
  <c r="E12" i="6"/>
  <c r="E11" i="6"/>
  <c r="E10" i="6"/>
  <c r="E9" i="6"/>
  <c r="E8" i="6"/>
  <c r="E7" i="6"/>
  <c r="E6" i="6"/>
  <c r="E5" i="6"/>
  <c r="E4" i="6"/>
  <c r="F23" i="6" s="1"/>
  <c r="G24" i="37"/>
  <c r="G44" i="6" l="1"/>
  <c r="A57" i="33" l="1"/>
  <c r="D12" i="1"/>
  <c r="B37" i="33" l="1"/>
  <c r="I16" i="33"/>
  <c r="C37" i="33" l="1"/>
  <c r="B24" i="33"/>
  <c r="F14" i="33" s="1"/>
  <c r="I52" i="33"/>
  <c r="C38" i="33"/>
  <c r="I61" i="33"/>
  <c r="G7" i="1"/>
  <c r="I1" i="33"/>
  <c r="I74" i="33"/>
  <c r="K27" i="1"/>
  <c r="C14" i="33"/>
  <c r="H19" i="33"/>
  <c r="H25" i="33" s="1"/>
  <c r="D14" i="33" l="1"/>
  <c r="E45" i="19"/>
  <c r="B14" i="33"/>
  <c r="H32" i="33"/>
  <c r="H41" i="33" l="1"/>
  <c r="F15" i="1" l="1"/>
  <c r="I31" i="33"/>
  <c r="D18" i="1"/>
  <c r="D16" i="1"/>
  <c r="F13" i="1"/>
  <c r="H14" i="1"/>
  <c r="F14" i="1"/>
  <c r="H15" i="1" l="1"/>
  <c r="H7" i="1"/>
  <c r="H42" i="1" l="1"/>
  <c r="D37" i="33"/>
  <c r="G12" i="1"/>
  <c r="B3" i="3"/>
  <c r="B4" i="3" s="1"/>
  <c r="F4" i="3" s="1"/>
  <c r="F27" i="4"/>
  <c r="F26" i="4"/>
  <c r="B5" i="3" l="1"/>
  <c r="B6" i="3"/>
  <c r="E57" i="50"/>
  <c r="E56" i="50"/>
  <c r="E55" i="50"/>
  <c r="E54" i="50"/>
  <c r="E53" i="50"/>
  <c r="E52" i="50"/>
  <c r="E51" i="50"/>
  <c r="E50" i="50"/>
  <c r="E49" i="50"/>
  <c r="E48" i="50"/>
  <c r="E47" i="50"/>
  <c r="E46" i="50"/>
  <c r="E45" i="50"/>
  <c r="E44" i="50"/>
  <c r="E43" i="50"/>
  <c r="E61" i="50"/>
  <c r="E60" i="50"/>
  <c r="E59" i="50"/>
  <c r="E58" i="50"/>
  <c r="E42" i="50"/>
  <c r="E41" i="50"/>
  <c r="E40" i="50"/>
  <c r="E39" i="50"/>
  <c r="E38" i="50"/>
  <c r="E37" i="50"/>
  <c r="E36" i="50"/>
  <c r="E35" i="50"/>
  <c r="E34" i="50"/>
  <c r="E33" i="50"/>
  <c r="E32" i="50"/>
  <c r="E31" i="50"/>
  <c r="E30" i="50"/>
  <c r="E29" i="50"/>
  <c r="E28" i="50"/>
  <c r="E27" i="50"/>
  <c r="E26" i="50"/>
  <c r="E25" i="50"/>
  <c r="E24" i="50"/>
  <c r="E23" i="50"/>
  <c r="E22" i="50"/>
  <c r="E21" i="50"/>
  <c r="E20" i="50"/>
  <c r="E19" i="50"/>
  <c r="E18" i="50"/>
  <c r="E17" i="50"/>
  <c r="E16" i="50"/>
  <c r="E15" i="50"/>
  <c r="E14" i="50"/>
  <c r="E13" i="50"/>
  <c r="E12" i="50"/>
  <c r="E11" i="50"/>
  <c r="E10" i="50"/>
  <c r="E9" i="50"/>
  <c r="E8" i="50"/>
  <c r="E7" i="50"/>
  <c r="E6" i="50"/>
  <c r="E5" i="50"/>
  <c r="E4" i="50"/>
  <c r="E3" i="50"/>
  <c r="F62" i="50" l="1"/>
  <c r="E44" i="19"/>
  <c r="C52" i="19" l="1"/>
  <c r="C44" i="19"/>
  <c r="B3" i="4" l="1"/>
  <c r="G6" i="1" l="1"/>
  <c r="B27" i="4"/>
  <c r="B26" i="4"/>
  <c r="B25" i="4"/>
  <c r="E6" i="21" l="1"/>
  <c r="E9" i="21"/>
  <c r="F24" i="33" l="1"/>
  <c r="I43" i="19" l="1"/>
  <c r="F10" i="4" l="1"/>
  <c r="F8" i="4"/>
  <c r="F7" i="4"/>
  <c r="F11" i="4"/>
  <c r="F9" i="4"/>
  <c r="F6" i="4"/>
  <c r="F5" i="4"/>
  <c r="F4" i="4"/>
  <c r="F17" i="4"/>
  <c r="F16" i="4"/>
  <c r="F18" i="4"/>
  <c r="J4" i="4" l="1"/>
  <c r="B19" i="37" l="1"/>
  <c r="O18" i="37"/>
  <c r="B18" i="37"/>
  <c r="A18" i="37"/>
  <c r="A17" i="37"/>
  <c r="O17" i="37"/>
  <c r="I8" i="1"/>
  <c r="H21" i="1"/>
  <c r="H22" i="1"/>
  <c r="H23" i="1"/>
  <c r="H24" i="1"/>
  <c r="B1" i="19" l="1"/>
  <c r="E43" i="19" s="1"/>
  <c r="A9" i="37" l="1"/>
  <c r="B9" i="37"/>
  <c r="E19" i="48"/>
  <c r="G9" i="37" s="1"/>
  <c r="H9" i="37" s="1"/>
  <c r="O9" i="37" s="1"/>
  <c r="A22" i="37"/>
  <c r="A21" i="37"/>
  <c r="A20" i="37"/>
  <c r="A19" i="37"/>
  <c r="A16" i="37"/>
  <c r="A15" i="37"/>
  <c r="A14" i="37"/>
  <c r="A13" i="37"/>
  <c r="A12" i="37"/>
  <c r="A11" i="37"/>
  <c r="A10" i="37"/>
  <c r="A8" i="37"/>
  <c r="B27" i="1" l="1"/>
  <c r="E6" i="37"/>
  <c r="E23" i="37" l="1"/>
  <c r="F13" i="21"/>
  <c r="F12" i="21"/>
  <c r="F11" i="21"/>
  <c r="F10" i="21"/>
  <c r="F9" i="21"/>
  <c r="F8" i="21"/>
  <c r="F7" i="21"/>
  <c r="F6" i="21"/>
  <c r="F5" i="21"/>
  <c r="F4" i="21"/>
  <c r="F3" i="21"/>
  <c r="M4" i="37" a="1"/>
  <c r="M4" i="37" s="1"/>
  <c r="G8" i="37" l="1"/>
  <c r="A2" i="37"/>
  <c r="B2" i="36"/>
  <c r="O27" i="37" l="1"/>
  <c r="O25" i="37"/>
  <c r="O24" i="37"/>
  <c r="O26" i="37"/>
  <c r="D14" i="16"/>
  <c r="D13" i="16"/>
  <c r="D12" i="16"/>
  <c r="D11" i="16"/>
  <c r="D10" i="16"/>
  <c r="D9" i="16"/>
  <c r="D8" i="16"/>
  <c r="D7" i="16"/>
  <c r="D5" i="16"/>
  <c r="D4" i="16"/>
  <c r="A4" i="37"/>
  <c r="B4" i="37"/>
  <c r="F2" i="37"/>
  <c r="D16" i="16" l="1"/>
  <c r="G17" i="37"/>
  <c r="H17" i="37" s="1"/>
  <c r="P29" i="37"/>
  <c r="G22" i="37"/>
  <c r="H22" i="37" s="1"/>
  <c r="O22" i="37" s="1"/>
  <c r="H21" i="37"/>
  <c r="O21" i="37" s="1"/>
  <c r="G20" i="37"/>
  <c r="H20" i="37" s="1"/>
  <c r="O20" i="37" s="1"/>
  <c r="G19" i="37"/>
  <c r="H27" i="37"/>
  <c r="DU25" i="37"/>
  <c r="DT25" i="37"/>
  <c r="DS25" i="37"/>
  <c r="DR25" i="37"/>
  <c r="DQ25" i="37"/>
  <c r="DP25" i="37"/>
  <c r="DO25" i="37"/>
  <c r="DN25" i="37"/>
  <c r="DM25" i="37"/>
  <c r="DL25" i="37"/>
  <c r="DK25" i="37"/>
  <c r="DJ25" i="37"/>
  <c r="DI25" i="37"/>
  <c r="DH25" i="37"/>
  <c r="DG25" i="37"/>
  <c r="DF25" i="37"/>
  <c r="DE25" i="37"/>
  <c r="DD25" i="37"/>
  <c r="DC25" i="37"/>
  <c r="DB25" i="37"/>
  <c r="DA25" i="37"/>
  <c r="CZ25" i="37"/>
  <c r="CY25" i="37"/>
  <c r="CX25" i="37"/>
  <c r="CW25" i="37"/>
  <c r="CV25" i="37"/>
  <c r="CU25" i="37"/>
  <c r="CT25" i="37"/>
  <c r="CS25" i="37"/>
  <c r="CR25" i="37"/>
  <c r="CQ25" i="37"/>
  <c r="CP25" i="37"/>
  <c r="CO25" i="37"/>
  <c r="CN25" i="37"/>
  <c r="CM25" i="37"/>
  <c r="CL25" i="37"/>
  <c r="CK25" i="37"/>
  <c r="CJ25" i="37"/>
  <c r="CI25" i="37"/>
  <c r="CH25" i="37"/>
  <c r="CG25" i="37"/>
  <c r="CF25" i="37"/>
  <c r="CE25" i="37"/>
  <c r="CD25" i="37"/>
  <c r="CC25" i="37"/>
  <c r="CB25" i="37"/>
  <c r="CA25" i="37"/>
  <c r="BZ25" i="37"/>
  <c r="BY25" i="37"/>
  <c r="BX25" i="37"/>
  <c r="BW25" i="37"/>
  <c r="BV25" i="37"/>
  <c r="BU25" i="37"/>
  <c r="BT25" i="37"/>
  <c r="BS25" i="37"/>
  <c r="BR25" i="37"/>
  <c r="BQ25" i="37"/>
  <c r="BP25" i="37"/>
  <c r="BO25" i="37"/>
  <c r="BN25" i="37"/>
  <c r="BM25" i="37"/>
  <c r="BL25" i="37"/>
  <c r="BK25" i="37"/>
  <c r="BJ25" i="37"/>
  <c r="BI25" i="37"/>
  <c r="BH25" i="37"/>
  <c r="BG25" i="37"/>
  <c r="BF25" i="37"/>
  <c r="BE25" i="37"/>
  <c r="BD25" i="37"/>
  <c r="BC25" i="37"/>
  <c r="BB25" i="37"/>
  <c r="BA25" i="37"/>
  <c r="AZ25" i="37"/>
  <c r="AY25" i="37"/>
  <c r="AX25" i="37"/>
  <c r="AW25" i="37"/>
  <c r="AV25" i="37"/>
  <c r="AU25" i="37"/>
  <c r="AT25" i="37"/>
  <c r="AS25" i="37"/>
  <c r="AR25" i="37"/>
  <c r="AQ25" i="37"/>
  <c r="AP25" i="37"/>
  <c r="H25" i="37"/>
  <c r="DU24" i="37"/>
  <c r="DT24" i="37"/>
  <c r="DS24" i="37"/>
  <c r="DR24" i="37"/>
  <c r="DQ24" i="37"/>
  <c r="DP24" i="37"/>
  <c r="DO24" i="37"/>
  <c r="DN24" i="37"/>
  <c r="DM24" i="37"/>
  <c r="DL24" i="37"/>
  <c r="DK24" i="37"/>
  <c r="DJ24" i="37"/>
  <c r="DI24" i="37"/>
  <c r="DH24" i="37"/>
  <c r="DG24" i="37"/>
  <c r="DF24" i="37"/>
  <c r="DE24" i="37"/>
  <c r="DD24" i="37"/>
  <c r="DC24" i="37"/>
  <c r="DB24" i="37"/>
  <c r="DA24" i="37"/>
  <c r="CZ24" i="37"/>
  <c r="CY24" i="37"/>
  <c r="CX24" i="37"/>
  <c r="CW24" i="37"/>
  <c r="CV24" i="37"/>
  <c r="CU24" i="37"/>
  <c r="CT24" i="37"/>
  <c r="CS24" i="37"/>
  <c r="CR24" i="37"/>
  <c r="CQ24" i="37"/>
  <c r="CP24" i="37"/>
  <c r="CO24" i="37"/>
  <c r="CN24" i="37"/>
  <c r="CM24" i="37"/>
  <c r="CL24" i="37"/>
  <c r="CK24" i="37"/>
  <c r="CJ24" i="37"/>
  <c r="CI24" i="37"/>
  <c r="CH24" i="37"/>
  <c r="CG24" i="37"/>
  <c r="CF24" i="37"/>
  <c r="CE24" i="37"/>
  <c r="CD24" i="37"/>
  <c r="CC24" i="37"/>
  <c r="CB24" i="37"/>
  <c r="CA24" i="37"/>
  <c r="BZ24" i="37"/>
  <c r="BY24" i="37"/>
  <c r="BX24" i="37"/>
  <c r="BW24" i="37"/>
  <c r="BV24" i="37"/>
  <c r="BU24" i="37"/>
  <c r="BT24" i="37"/>
  <c r="BS24" i="37"/>
  <c r="BR24" i="37"/>
  <c r="BQ24" i="37"/>
  <c r="BP24" i="37"/>
  <c r="BO24" i="37"/>
  <c r="BN24" i="37"/>
  <c r="BM24" i="37"/>
  <c r="BL24" i="37"/>
  <c r="BK24" i="37"/>
  <c r="BJ24" i="37"/>
  <c r="BI24" i="37"/>
  <c r="BH24" i="37"/>
  <c r="BG24" i="37"/>
  <c r="BF24" i="37"/>
  <c r="BE24" i="37"/>
  <c r="BD24" i="37"/>
  <c r="BC24" i="37"/>
  <c r="BB24" i="37"/>
  <c r="BA24" i="37"/>
  <c r="AZ24" i="37"/>
  <c r="AY24" i="37"/>
  <c r="AX24" i="37"/>
  <c r="AW24" i="37"/>
  <c r="AV24" i="37"/>
  <c r="AU24" i="37"/>
  <c r="AT24" i="37"/>
  <c r="AS24" i="37"/>
  <c r="AR24" i="37"/>
  <c r="AQ24" i="37"/>
  <c r="AP24" i="37"/>
  <c r="H24" i="37"/>
  <c r="DU23" i="37"/>
  <c r="DT23" i="37"/>
  <c r="DS23" i="37"/>
  <c r="DR23" i="37"/>
  <c r="DQ23" i="37"/>
  <c r="DP23" i="37"/>
  <c r="DO23" i="37"/>
  <c r="DN23" i="37"/>
  <c r="DM23" i="37"/>
  <c r="DL23" i="37"/>
  <c r="DK23" i="37"/>
  <c r="DJ23" i="37"/>
  <c r="DI23" i="37"/>
  <c r="DH23" i="37"/>
  <c r="DG23" i="37"/>
  <c r="DF23" i="37"/>
  <c r="DE23" i="37"/>
  <c r="DD23" i="37"/>
  <c r="DC23" i="37"/>
  <c r="DB23" i="37"/>
  <c r="DA23" i="37"/>
  <c r="CZ23" i="37"/>
  <c r="CY23" i="37"/>
  <c r="CX23" i="37"/>
  <c r="CW23" i="37"/>
  <c r="CV23" i="37"/>
  <c r="CU23" i="37"/>
  <c r="CT23" i="37"/>
  <c r="CS23" i="37"/>
  <c r="CR23" i="37"/>
  <c r="CQ23" i="37"/>
  <c r="CP23" i="37"/>
  <c r="CO23" i="37"/>
  <c r="CN23" i="37"/>
  <c r="CM23" i="37"/>
  <c r="CL23" i="37"/>
  <c r="CK23" i="37"/>
  <c r="CJ23" i="37"/>
  <c r="CI23" i="37"/>
  <c r="CH23" i="37"/>
  <c r="CG23" i="37"/>
  <c r="CF23" i="37"/>
  <c r="CE23" i="37"/>
  <c r="CD23" i="37"/>
  <c r="CC23" i="37"/>
  <c r="CB23" i="37"/>
  <c r="CA23" i="37"/>
  <c r="BZ23" i="37"/>
  <c r="BY23" i="37"/>
  <c r="BX23" i="37"/>
  <c r="BW23" i="37"/>
  <c r="BV23" i="37"/>
  <c r="BU23" i="37"/>
  <c r="BT23" i="37"/>
  <c r="BS23" i="37"/>
  <c r="BR23" i="37"/>
  <c r="BQ23" i="37"/>
  <c r="BP23" i="37"/>
  <c r="BO23" i="37"/>
  <c r="BN23" i="37"/>
  <c r="BM23" i="37"/>
  <c r="BL23" i="37"/>
  <c r="BK23" i="37"/>
  <c r="BJ23" i="37"/>
  <c r="BI23" i="37"/>
  <c r="BH23" i="37"/>
  <c r="BG23" i="37"/>
  <c r="BF23" i="37"/>
  <c r="BE23" i="37"/>
  <c r="BD23" i="37"/>
  <c r="BC23" i="37"/>
  <c r="BB23" i="37"/>
  <c r="BA23" i="37"/>
  <c r="AZ23" i="37"/>
  <c r="AY23" i="37"/>
  <c r="AX23" i="37"/>
  <c r="AW23" i="37"/>
  <c r="AV23" i="37"/>
  <c r="AU23" i="37"/>
  <c r="AT23" i="37"/>
  <c r="AS23" i="37"/>
  <c r="AR23" i="37"/>
  <c r="AQ23" i="37"/>
  <c r="AP23" i="37"/>
  <c r="DU22" i="37"/>
  <c r="DT22" i="37"/>
  <c r="DS22" i="37"/>
  <c r="DR22" i="37"/>
  <c r="DQ22" i="37"/>
  <c r="DP22" i="37"/>
  <c r="DO22" i="37"/>
  <c r="DN22" i="37"/>
  <c r="DM22" i="37"/>
  <c r="DL22" i="37"/>
  <c r="DK22" i="37"/>
  <c r="DJ22" i="37"/>
  <c r="DI22" i="37"/>
  <c r="DH22" i="37"/>
  <c r="DG22" i="37"/>
  <c r="DF22" i="37"/>
  <c r="DE22" i="37"/>
  <c r="DD22" i="37"/>
  <c r="DC22" i="37"/>
  <c r="DB22" i="37"/>
  <c r="DA22" i="37"/>
  <c r="CZ22" i="37"/>
  <c r="CY22" i="37"/>
  <c r="CX22" i="37"/>
  <c r="CW22" i="37"/>
  <c r="CV22" i="37"/>
  <c r="CU22" i="37"/>
  <c r="CT22" i="37"/>
  <c r="CS22" i="37"/>
  <c r="CR22" i="37"/>
  <c r="CQ22" i="37"/>
  <c r="CP22" i="37"/>
  <c r="CO22" i="37"/>
  <c r="CN22" i="37"/>
  <c r="CM22" i="37"/>
  <c r="CL22" i="37"/>
  <c r="CK22" i="37"/>
  <c r="CJ22" i="37"/>
  <c r="CI22" i="37"/>
  <c r="CH22" i="37"/>
  <c r="CG22" i="37"/>
  <c r="CF22" i="37"/>
  <c r="CE22" i="37"/>
  <c r="CD22" i="37"/>
  <c r="CC22" i="37"/>
  <c r="CB22" i="37"/>
  <c r="CA22" i="37"/>
  <c r="BZ22" i="37"/>
  <c r="BY22" i="37"/>
  <c r="BX22" i="37"/>
  <c r="BW22" i="37"/>
  <c r="BV22" i="37"/>
  <c r="BU22" i="37"/>
  <c r="BT22" i="37"/>
  <c r="BS22" i="37"/>
  <c r="BR22" i="37"/>
  <c r="BQ22" i="37"/>
  <c r="BP22" i="37"/>
  <c r="BO22" i="37"/>
  <c r="BN22" i="37"/>
  <c r="BM22" i="37"/>
  <c r="BL22" i="37"/>
  <c r="BK22" i="37"/>
  <c r="BJ22" i="37"/>
  <c r="BI22" i="37"/>
  <c r="BH22" i="37"/>
  <c r="BG22" i="37"/>
  <c r="BF22" i="37"/>
  <c r="BE22" i="37"/>
  <c r="BD22" i="37"/>
  <c r="BC22" i="37"/>
  <c r="BB22" i="37"/>
  <c r="BA22" i="37"/>
  <c r="AZ22" i="37"/>
  <c r="AY22" i="37"/>
  <c r="AX22" i="37"/>
  <c r="AW22" i="37"/>
  <c r="AV22" i="37"/>
  <c r="AU22" i="37"/>
  <c r="AT22" i="37"/>
  <c r="AS22" i="37"/>
  <c r="AR22" i="37"/>
  <c r="AQ22" i="37"/>
  <c r="AP22" i="37"/>
  <c r="DU21" i="37"/>
  <c r="DT21" i="37"/>
  <c r="DS21" i="37"/>
  <c r="DR21" i="37"/>
  <c r="DQ21" i="37"/>
  <c r="DP21" i="37"/>
  <c r="DO21" i="37"/>
  <c r="DN21" i="37"/>
  <c r="DM21" i="37"/>
  <c r="DL21" i="37"/>
  <c r="DK21" i="37"/>
  <c r="DJ21" i="37"/>
  <c r="DI21" i="37"/>
  <c r="DH21" i="37"/>
  <c r="DG21" i="37"/>
  <c r="DF21" i="37"/>
  <c r="DE21" i="37"/>
  <c r="DD21" i="37"/>
  <c r="DC21" i="37"/>
  <c r="DB21" i="37"/>
  <c r="DA21" i="37"/>
  <c r="CZ21" i="37"/>
  <c r="CY21" i="37"/>
  <c r="CX21" i="37"/>
  <c r="CW21" i="37"/>
  <c r="CV21" i="37"/>
  <c r="CU21" i="37"/>
  <c r="CT21" i="37"/>
  <c r="CS21" i="37"/>
  <c r="CR21" i="37"/>
  <c r="CQ21" i="37"/>
  <c r="CP21" i="37"/>
  <c r="CO21" i="37"/>
  <c r="CN21" i="37"/>
  <c r="CM21" i="37"/>
  <c r="CL21" i="37"/>
  <c r="CK21" i="37"/>
  <c r="CJ21" i="37"/>
  <c r="CI21" i="37"/>
  <c r="CH21" i="37"/>
  <c r="CG21" i="37"/>
  <c r="CF21" i="37"/>
  <c r="CE21" i="37"/>
  <c r="CD21" i="37"/>
  <c r="CC21" i="37"/>
  <c r="CB21" i="37"/>
  <c r="CA21" i="37"/>
  <c r="BZ21" i="37"/>
  <c r="BY21" i="37"/>
  <c r="BX21" i="37"/>
  <c r="BW21" i="37"/>
  <c r="BV21" i="37"/>
  <c r="BU21" i="37"/>
  <c r="BT21" i="37"/>
  <c r="BS21" i="37"/>
  <c r="BR21" i="37"/>
  <c r="BQ21" i="37"/>
  <c r="BP21" i="37"/>
  <c r="BO21" i="37"/>
  <c r="BN21" i="37"/>
  <c r="BM21" i="37"/>
  <c r="BL21" i="37"/>
  <c r="BK21" i="37"/>
  <c r="BJ21" i="37"/>
  <c r="BI21" i="37"/>
  <c r="BH21" i="37"/>
  <c r="BG21" i="37"/>
  <c r="BF21" i="37"/>
  <c r="BE21" i="37"/>
  <c r="BD21" i="37"/>
  <c r="BC21" i="37"/>
  <c r="BB21" i="37"/>
  <c r="BA21" i="37"/>
  <c r="AZ21" i="37"/>
  <c r="AY21" i="37"/>
  <c r="AX21" i="37"/>
  <c r="AW21" i="37"/>
  <c r="AV21" i="37"/>
  <c r="AU21" i="37"/>
  <c r="AT21" i="37"/>
  <c r="AS21" i="37"/>
  <c r="AR21" i="37"/>
  <c r="AQ21" i="37"/>
  <c r="AP21" i="37"/>
  <c r="DU20" i="37"/>
  <c r="DT20" i="37"/>
  <c r="DS20" i="37"/>
  <c r="DR20" i="37"/>
  <c r="DQ20" i="37"/>
  <c r="DP20" i="37"/>
  <c r="DO20" i="37"/>
  <c r="DN20" i="37"/>
  <c r="DM20" i="37"/>
  <c r="DL20" i="37"/>
  <c r="DK20" i="37"/>
  <c r="DJ20" i="37"/>
  <c r="DI20" i="37"/>
  <c r="DH20" i="37"/>
  <c r="DG20" i="37"/>
  <c r="DF20" i="37"/>
  <c r="DE20" i="37"/>
  <c r="DD20" i="37"/>
  <c r="DC20" i="37"/>
  <c r="DB20" i="37"/>
  <c r="DA20" i="37"/>
  <c r="CZ20" i="37"/>
  <c r="CY20" i="37"/>
  <c r="CX20" i="37"/>
  <c r="CW20" i="37"/>
  <c r="CV20" i="37"/>
  <c r="CU20" i="37"/>
  <c r="CT20" i="37"/>
  <c r="CS20" i="37"/>
  <c r="CR20" i="37"/>
  <c r="CQ20" i="37"/>
  <c r="CP20" i="37"/>
  <c r="CO20" i="37"/>
  <c r="CN20" i="37"/>
  <c r="CM20" i="37"/>
  <c r="CL20" i="37"/>
  <c r="CK20" i="37"/>
  <c r="CJ20" i="37"/>
  <c r="CI20" i="37"/>
  <c r="CH20" i="37"/>
  <c r="CG20" i="37"/>
  <c r="CF20" i="37"/>
  <c r="CE20" i="37"/>
  <c r="CD20" i="37"/>
  <c r="CC20" i="37"/>
  <c r="CB20" i="37"/>
  <c r="CA20" i="37"/>
  <c r="BZ20" i="37"/>
  <c r="BY20" i="37"/>
  <c r="BX20" i="37"/>
  <c r="BW20" i="37"/>
  <c r="BV20" i="37"/>
  <c r="BU20" i="37"/>
  <c r="BT20" i="37"/>
  <c r="BS20" i="37"/>
  <c r="BR20" i="37"/>
  <c r="BQ20" i="37"/>
  <c r="BP20" i="37"/>
  <c r="BO20" i="37"/>
  <c r="BN20" i="37"/>
  <c r="BM20" i="37"/>
  <c r="BL20" i="37"/>
  <c r="BK20" i="37"/>
  <c r="BJ20" i="37"/>
  <c r="BI20" i="37"/>
  <c r="BH20" i="37"/>
  <c r="BG20" i="37"/>
  <c r="BF20" i="37"/>
  <c r="BE20" i="37"/>
  <c r="BD20" i="37"/>
  <c r="BC20" i="37"/>
  <c r="BB20" i="37"/>
  <c r="BA20" i="37"/>
  <c r="AZ20" i="37"/>
  <c r="AY20" i="37"/>
  <c r="AX20" i="37"/>
  <c r="AW20" i="37"/>
  <c r="AV20" i="37"/>
  <c r="AU20" i="37"/>
  <c r="AT20" i="37"/>
  <c r="AS20" i="37"/>
  <c r="AR20" i="37"/>
  <c r="AQ20" i="37"/>
  <c r="AP20" i="37"/>
  <c r="DU19" i="37"/>
  <c r="DT19" i="37"/>
  <c r="DS19" i="37"/>
  <c r="DR19" i="37"/>
  <c r="DQ19" i="37"/>
  <c r="DP19" i="37"/>
  <c r="DO19" i="37"/>
  <c r="DN19" i="37"/>
  <c r="DM19" i="37"/>
  <c r="DL19" i="37"/>
  <c r="DK19" i="37"/>
  <c r="DJ19" i="37"/>
  <c r="DI19" i="37"/>
  <c r="DH19" i="37"/>
  <c r="DG19" i="37"/>
  <c r="DF19" i="37"/>
  <c r="DE19" i="37"/>
  <c r="DD19" i="37"/>
  <c r="DC19" i="37"/>
  <c r="DB19" i="37"/>
  <c r="DA19" i="37"/>
  <c r="CZ19" i="37"/>
  <c r="CY19" i="37"/>
  <c r="CX19" i="37"/>
  <c r="CW19" i="37"/>
  <c r="CV19" i="37"/>
  <c r="CU19" i="37"/>
  <c r="CT19" i="37"/>
  <c r="CS19" i="37"/>
  <c r="CR19" i="37"/>
  <c r="CQ19" i="37"/>
  <c r="CP19" i="37"/>
  <c r="CO19" i="37"/>
  <c r="CN19" i="37"/>
  <c r="CM19" i="37"/>
  <c r="CL19" i="37"/>
  <c r="CK19" i="37"/>
  <c r="CJ19" i="37"/>
  <c r="CI19" i="37"/>
  <c r="CH19" i="37"/>
  <c r="CG19" i="37"/>
  <c r="CF19" i="37"/>
  <c r="CE19" i="37"/>
  <c r="CD19" i="37"/>
  <c r="CC19" i="37"/>
  <c r="CB19" i="37"/>
  <c r="CA19" i="37"/>
  <c r="BZ19" i="37"/>
  <c r="BY19" i="37"/>
  <c r="BX19" i="37"/>
  <c r="BW19" i="37"/>
  <c r="BV19" i="37"/>
  <c r="BU19" i="37"/>
  <c r="BT19" i="37"/>
  <c r="BS19" i="37"/>
  <c r="BR19" i="37"/>
  <c r="BQ19" i="37"/>
  <c r="BP19" i="37"/>
  <c r="BO19" i="37"/>
  <c r="BN19" i="37"/>
  <c r="BM19" i="37"/>
  <c r="BL19" i="37"/>
  <c r="BK19" i="37"/>
  <c r="BJ19" i="37"/>
  <c r="BI19" i="37"/>
  <c r="BH19" i="37"/>
  <c r="BG19" i="37"/>
  <c r="BF19" i="37"/>
  <c r="BE19" i="37"/>
  <c r="BD19" i="37"/>
  <c r="BC19" i="37"/>
  <c r="BB19" i="37"/>
  <c r="BA19" i="37"/>
  <c r="AZ19" i="37"/>
  <c r="AY19" i="37"/>
  <c r="AX19" i="37"/>
  <c r="AW19" i="37"/>
  <c r="AV19" i="37"/>
  <c r="AU19" i="37"/>
  <c r="AT19" i="37"/>
  <c r="AS19" i="37"/>
  <c r="AR19" i="37"/>
  <c r="AQ19" i="37"/>
  <c r="AP19" i="37"/>
  <c r="H19" i="37"/>
  <c r="O19" i="37" s="1"/>
  <c r="DU16" i="37"/>
  <c r="DT16" i="37"/>
  <c r="DS16" i="37"/>
  <c r="DR16" i="37"/>
  <c r="DQ16" i="37"/>
  <c r="DP16" i="37"/>
  <c r="DO16" i="37"/>
  <c r="DN16" i="37"/>
  <c r="DM16" i="37"/>
  <c r="DL16" i="37"/>
  <c r="DK16" i="37"/>
  <c r="DJ16" i="37"/>
  <c r="DI16" i="37"/>
  <c r="DH16" i="37"/>
  <c r="DG16" i="37"/>
  <c r="DF16" i="37"/>
  <c r="DE16" i="37"/>
  <c r="DD16" i="37"/>
  <c r="DC16" i="37"/>
  <c r="DB16" i="37"/>
  <c r="DA16" i="37"/>
  <c r="CZ16" i="37"/>
  <c r="CY16" i="37"/>
  <c r="CX16" i="37"/>
  <c r="CW16" i="37"/>
  <c r="CV16" i="37"/>
  <c r="CU16" i="37"/>
  <c r="CT16" i="37"/>
  <c r="CS16" i="37"/>
  <c r="CR16" i="37"/>
  <c r="CQ16" i="37"/>
  <c r="CP16" i="37"/>
  <c r="CO16" i="37"/>
  <c r="CN16" i="37"/>
  <c r="CM16" i="37"/>
  <c r="CL16" i="37"/>
  <c r="CK16" i="37"/>
  <c r="CJ16" i="37"/>
  <c r="CI16" i="37"/>
  <c r="CH16" i="37"/>
  <c r="CG16" i="37"/>
  <c r="CF16" i="37"/>
  <c r="CE16" i="37"/>
  <c r="CD16" i="37"/>
  <c r="CC16" i="37"/>
  <c r="CB16" i="37"/>
  <c r="CA16" i="37"/>
  <c r="BZ16" i="37"/>
  <c r="BY16" i="37"/>
  <c r="BX16" i="37"/>
  <c r="BW16" i="37"/>
  <c r="BV16" i="37"/>
  <c r="BU16" i="37"/>
  <c r="BT16" i="37"/>
  <c r="BS16" i="37"/>
  <c r="BR16" i="37"/>
  <c r="BQ16" i="37"/>
  <c r="BP16" i="37"/>
  <c r="BO16" i="37"/>
  <c r="BN16" i="37"/>
  <c r="BM16" i="37"/>
  <c r="BL16" i="37"/>
  <c r="BK16" i="37"/>
  <c r="BJ16" i="37"/>
  <c r="BI16" i="37"/>
  <c r="BH16" i="37"/>
  <c r="BG16" i="37"/>
  <c r="BF16" i="37"/>
  <c r="BE16" i="37"/>
  <c r="BD16" i="37"/>
  <c r="BC16" i="37"/>
  <c r="BB16" i="37"/>
  <c r="BA16" i="37"/>
  <c r="AZ16" i="37"/>
  <c r="AY16" i="37"/>
  <c r="AX16" i="37"/>
  <c r="AW16" i="37"/>
  <c r="AV16" i="37"/>
  <c r="AU16" i="37"/>
  <c r="AT16" i="37"/>
  <c r="AS16" i="37"/>
  <c r="AR16" i="37"/>
  <c r="AQ16" i="37"/>
  <c r="AP16" i="37"/>
  <c r="DU15" i="37"/>
  <c r="DT15" i="37"/>
  <c r="DS15" i="37"/>
  <c r="DR15" i="37"/>
  <c r="DQ15" i="37"/>
  <c r="DP15" i="37"/>
  <c r="DO15" i="37"/>
  <c r="DN15" i="37"/>
  <c r="DM15" i="37"/>
  <c r="DL15" i="37"/>
  <c r="DK15" i="37"/>
  <c r="DJ15" i="37"/>
  <c r="DI15" i="37"/>
  <c r="DH15" i="37"/>
  <c r="DG15" i="37"/>
  <c r="DF15" i="37"/>
  <c r="DE15" i="37"/>
  <c r="DD15" i="37"/>
  <c r="DC15" i="37"/>
  <c r="DB15" i="37"/>
  <c r="DA15" i="37"/>
  <c r="CZ15" i="37"/>
  <c r="CY15" i="37"/>
  <c r="CX15" i="37"/>
  <c r="CW15" i="37"/>
  <c r="CV15" i="37"/>
  <c r="CU15" i="37"/>
  <c r="CT15" i="37"/>
  <c r="CS15" i="37"/>
  <c r="CR15" i="37"/>
  <c r="CQ15" i="37"/>
  <c r="CP15" i="37"/>
  <c r="CO15" i="37"/>
  <c r="CN15" i="37"/>
  <c r="CM15" i="37"/>
  <c r="CL15" i="37"/>
  <c r="CK15" i="37"/>
  <c r="CJ15" i="37"/>
  <c r="CI15" i="37"/>
  <c r="CH15" i="37"/>
  <c r="CG15" i="37"/>
  <c r="CF15" i="37"/>
  <c r="CE15" i="37"/>
  <c r="CD15" i="37"/>
  <c r="CC15" i="37"/>
  <c r="CB15" i="37"/>
  <c r="CA15" i="37"/>
  <c r="BZ15" i="37"/>
  <c r="BY15" i="37"/>
  <c r="BX15" i="37"/>
  <c r="BW15" i="37"/>
  <c r="BV15" i="37"/>
  <c r="BU15" i="37"/>
  <c r="BT15" i="37"/>
  <c r="BS15" i="37"/>
  <c r="BR15" i="37"/>
  <c r="BQ15" i="37"/>
  <c r="BP15" i="37"/>
  <c r="BO15" i="37"/>
  <c r="BN15" i="37"/>
  <c r="BM15" i="37"/>
  <c r="BL15" i="37"/>
  <c r="BK15" i="37"/>
  <c r="BJ15" i="37"/>
  <c r="BI15" i="37"/>
  <c r="BH15" i="37"/>
  <c r="BG15" i="37"/>
  <c r="BF15" i="37"/>
  <c r="BE15" i="37"/>
  <c r="BD15" i="37"/>
  <c r="BC15" i="37"/>
  <c r="BB15" i="37"/>
  <c r="BA15" i="37"/>
  <c r="AZ15" i="37"/>
  <c r="AY15" i="37"/>
  <c r="AX15" i="37"/>
  <c r="AW15" i="37"/>
  <c r="AV15" i="37"/>
  <c r="AU15" i="37"/>
  <c r="AT15" i="37"/>
  <c r="AS15" i="37"/>
  <c r="AR15" i="37"/>
  <c r="AQ15" i="37"/>
  <c r="AP15" i="37"/>
  <c r="H15" i="37"/>
  <c r="O15" i="37" s="1"/>
  <c r="B10" i="37"/>
  <c r="B11" i="37" s="1"/>
  <c r="B12" i="37" s="1"/>
  <c r="B13" i="37" s="1"/>
  <c r="B14" i="37" s="1"/>
  <c r="B15" i="37" s="1"/>
  <c r="B16" i="37" s="1"/>
  <c r="AO7" i="37"/>
  <c r="E20" i="15"/>
  <c r="E18" i="15"/>
  <c r="E17" i="15"/>
  <c r="E15" i="15"/>
  <c r="E12" i="15"/>
  <c r="E11" i="15"/>
  <c r="E6" i="15"/>
  <c r="E5" i="15"/>
  <c r="E4" i="15"/>
  <c r="B17" i="37" l="1"/>
  <c r="B20" i="37" s="1"/>
  <c r="B21" i="37" s="1"/>
  <c r="B22" i="37" s="1"/>
  <c r="B24" i="37" s="1"/>
  <c r="B25" i="37" s="1"/>
  <c r="B26" i="37" s="1"/>
  <c r="B27" i="37" s="1"/>
  <c r="P30" i="37"/>
  <c r="P31" i="37"/>
  <c r="P33" i="37"/>
  <c r="P35" i="37"/>
  <c r="P36" i="37"/>
  <c r="P32" i="37"/>
  <c r="P34" i="37"/>
  <c r="P39" i="37"/>
  <c r="P43" i="37"/>
  <c r="P40" i="37"/>
  <c r="P37" i="37"/>
  <c r="P41" i="37"/>
  <c r="P44" i="37"/>
  <c r="P45" i="37"/>
  <c r="P46" i="37"/>
  <c r="P47" i="37"/>
  <c r="P48" i="37"/>
  <c r="P49" i="37"/>
  <c r="P50" i="37"/>
  <c r="P51" i="37"/>
  <c r="P52" i="37"/>
  <c r="P53" i="37"/>
  <c r="P54" i="37"/>
  <c r="P55" i="37"/>
  <c r="P38" i="37"/>
  <c r="P42" i="37"/>
  <c r="P56" i="37"/>
  <c r="P57" i="37"/>
  <c r="P58" i="37"/>
  <c r="P59" i="37"/>
  <c r="P60" i="37"/>
  <c r="P61" i="37"/>
  <c r="P62" i="37"/>
  <c r="P63" i="37"/>
  <c r="P64" i="37"/>
  <c r="P65" i="37"/>
  <c r="P66" i="37"/>
  <c r="P67" i="37"/>
  <c r="P68" i="37"/>
  <c r="P69" i="37"/>
  <c r="P70" i="37"/>
  <c r="P71" i="37"/>
  <c r="P72" i="37"/>
  <c r="P73" i="37"/>
  <c r="P74" i="37"/>
  <c r="P75" i="37"/>
  <c r="P76" i="37"/>
  <c r="P77" i="37"/>
  <c r="P78" i="37"/>
  <c r="P79" i="37"/>
  <c r="P80" i="37"/>
  <c r="P81" i="37"/>
  <c r="P82" i="37"/>
  <c r="P83" i="37"/>
  <c r="P84" i="37"/>
  <c r="F8" i="15"/>
  <c r="P28" i="37"/>
  <c r="G10" i="37" l="1"/>
  <c r="H10" i="37" s="1"/>
  <c r="O10" i="37" s="1"/>
  <c r="E22" i="35"/>
  <c r="E21" i="35"/>
  <c r="E20" i="35"/>
  <c r="E19" i="35"/>
  <c r="E18" i="35"/>
  <c r="E17" i="35"/>
  <c r="E16" i="35"/>
  <c r="E15" i="35"/>
  <c r="E14" i="35"/>
  <c r="E13" i="35"/>
  <c r="E12" i="35"/>
  <c r="E11" i="35"/>
  <c r="E10" i="35"/>
  <c r="E9" i="35"/>
  <c r="E8" i="35"/>
  <c r="E7" i="35"/>
  <c r="E6" i="35"/>
  <c r="E4" i="35"/>
  <c r="E50" i="34"/>
  <c r="D50" i="34"/>
  <c r="F48" i="34"/>
  <c r="F47" i="34"/>
  <c r="F46" i="34"/>
  <c r="F45" i="34"/>
  <c r="F44" i="34"/>
  <c r="F43" i="34"/>
  <c r="F42" i="34"/>
  <c r="F41" i="34"/>
  <c r="F40" i="34"/>
  <c r="F39" i="34"/>
  <c r="F38" i="34"/>
  <c r="F37" i="34"/>
  <c r="F36" i="34"/>
  <c r="F35" i="34"/>
  <c r="F34" i="34"/>
  <c r="F33" i="34"/>
  <c r="F32" i="34"/>
  <c r="F31" i="34"/>
  <c r="F30" i="34"/>
  <c r="F29" i="34"/>
  <c r="F28" i="34"/>
  <c r="F27" i="34"/>
  <c r="F26" i="34"/>
  <c r="F25" i="34"/>
  <c r="F24" i="34"/>
  <c r="F23" i="34"/>
  <c r="F22" i="34"/>
  <c r="F21" i="34"/>
  <c r="F20" i="34"/>
  <c r="F19" i="34"/>
  <c r="F18" i="34"/>
  <c r="F17" i="34"/>
  <c r="F16" i="34"/>
  <c r="F15" i="34"/>
  <c r="F14" i="34"/>
  <c r="F13" i="34"/>
  <c r="F12" i="34"/>
  <c r="F11" i="34"/>
  <c r="F10" i="34"/>
  <c r="F9" i="34"/>
  <c r="F8" i="34"/>
  <c r="F50" i="34" s="1"/>
  <c r="F7" i="34"/>
  <c r="D19" i="1"/>
  <c r="F23" i="35" l="1"/>
  <c r="G16" i="37" s="1"/>
  <c r="H16" i="37" s="1"/>
  <c r="O16" i="37" s="1"/>
  <c r="Q29" i="37"/>
  <c r="Q31" i="37" l="1"/>
  <c r="Q32" i="37"/>
  <c r="Q33" i="37"/>
  <c r="Q34" i="37"/>
  <c r="Q35" i="37"/>
  <c r="Q36" i="37"/>
  <c r="Q37" i="37"/>
  <c r="Q38" i="37"/>
  <c r="Q39" i="37"/>
  <c r="Q40" i="37"/>
  <c r="Q41" i="37"/>
  <c r="Q42" i="37"/>
  <c r="Q43" i="37"/>
  <c r="Q44" i="37"/>
  <c r="Q48" i="37"/>
  <c r="Q45" i="37"/>
  <c r="Q46" i="37"/>
  <c r="Q49" i="37"/>
  <c r="Q50" i="37"/>
  <c r="Q51" i="37"/>
  <c r="Q52" i="37"/>
  <c r="Q53" i="37"/>
  <c r="Q54" i="37"/>
  <c r="Q55" i="37"/>
  <c r="Q47" i="37"/>
  <c r="Q58" i="37"/>
  <c r="Q62" i="37"/>
  <c r="Q66" i="37"/>
  <c r="Q59" i="37"/>
  <c r="Q63" i="37"/>
  <c r="Q68" i="37"/>
  <c r="Q56" i="37"/>
  <c r="Q60" i="37"/>
  <c r="Q64" i="37"/>
  <c r="Q57" i="37"/>
  <c r="Q61" i="37"/>
  <c r="Q65" i="37"/>
  <c r="Q67" i="37"/>
  <c r="Q69" i="37"/>
  <c r="Q70" i="37"/>
  <c r="Q71" i="37"/>
  <c r="Q72" i="37"/>
  <c r="Q73" i="37"/>
  <c r="Q74" i="37"/>
  <c r="Q75" i="37"/>
  <c r="Q76" i="37"/>
  <c r="Q77" i="37"/>
  <c r="Q78" i="37"/>
  <c r="Q79" i="37"/>
  <c r="Q80" i="37"/>
  <c r="Q81" i="37"/>
  <c r="Q82" i="37"/>
  <c r="Q83" i="37"/>
  <c r="Q84" i="37"/>
  <c r="Q30" i="37"/>
  <c r="P96" i="37"/>
  <c r="P95" i="37"/>
  <c r="P94" i="37"/>
  <c r="P93" i="37"/>
  <c r="P92" i="37"/>
  <c r="P91" i="37"/>
  <c r="P90" i="37"/>
  <c r="P89" i="37"/>
  <c r="P88" i="37"/>
  <c r="P87" i="37"/>
  <c r="P86" i="37"/>
  <c r="P85" i="37"/>
  <c r="Q28" i="37"/>
  <c r="R29" i="37"/>
  <c r="R30" i="37" l="1"/>
  <c r="R31" i="37"/>
  <c r="R32" i="37"/>
  <c r="R33" i="37"/>
  <c r="R34" i="37"/>
  <c r="R35" i="37"/>
  <c r="R36" i="37"/>
  <c r="R37" i="37"/>
  <c r="R38" i="37"/>
  <c r="R39" i="37"/>
  <c r="R40" i="37"/>
  <c r="R41" i="37"/>
  <c r="R42" i="37"/>
  <c r="R44" i="37"/>
  <c r="R45" i="37"/>
  <c r="R46" i="37"/>
  <c r="R47" i="37"/>
  <c r="R48" i="37"/>
  <c r="R43" i="37"/>
  <c r="R50" i="37"/>
  <c r="R54" i="37"/>
  <c r="R56" i="37"/>
  <c r="R57" i="37"/>
  <c r="R58" i="37"/>
  <c r="R59" i="37"/>
  <c r="R60" i="37"/>
  <c r="R61" i="37"/>
  <c r="R62" i="37"/>
  <c r="R63" i="37"/>
  <c r="R64" i="37"/>
  <c r="R65" i="37"/>
  <c r="R66" i="37"/>
  <c r="R49" i="37"/>
  <c r="R51" i="37"/>
  <c r="R55" i="37"/>
  <c r="R52" i="37"/>
  <c r="R67" i="37"/>
  <c r="R69" i="37"/>
  <c r="R53" i="37"/>
  <c r="R68" i="37"/>
  <c r="R70" i="37"/>
  <c r="R71" i="37"/>
  <c r="R72" i="37"/>
  <c r="R73" i="37"/>
  <c r="R74" i="37"/>
  <c r="R75" i="37"/>
  <c r="R76" i="37"/>
  <c r="R77" i="37"/>
  <c r="R78" i="37"/>
  <c r="R79" i="37"/>
  <c r="R80" i="37"/>
  <c r="R81" i="37"/>
  <c r="R82" i="37"/>
  <c r="R83" i="37"/>
  <c r="R84" i="37"/>
  <c r="Q96" i="37"/>
  <c r="Q95" i="37"/>
  <c r="Q94" i="37"/>
  <c r="Q93" i="37"/>
  <c r="Q88" i="37"/>
  <c r="Q92" i="37"/>
  <c r="Q85" i="37"/>
  <c r="Q87" i="37"/>
  <c r="Q90" i="37"/>
  <c r="Q91" i="37"/>
  <c r="Q86" i="37"/>
  <c r="Q89" i="37"/>
  <c r="R28" i="37"/>
  <c r="S29" i="37"/>
  <c r="S30" i="37" l="1"/>
  <c r="S31" i="37"/>
  <c r="S33" i="37"/>
  <c r="S32" i="37"/>
  <c r="S34" i="37"/>
  <c r="S35" i="37"/>
  <c r="S37" i="37"/>
  <c r="S38" i="37"/>
  <c r="S39" i="37"/>
  <c r="S40" i="37"/>
  <c r="S41" i="37"/>
  <c r="S42" i="37"/>
  <c r="S43" i="37"/>
  <c r="S36" i="37"/>
  <c r="S44" i="37"/>
  <c r="S45" i="37"/>
  <c r="S46" i="37"/>
  <c r="S47" i="37"/>
  <c r="S48" i="37"/>
  <c r="S49" i="37"/>
  <c r="S50" i="37"/>
  <c r="S51" i="37"/>
  <c r="S52" i="37"/>
  <c r="S53" i="37"/>
  <c r="S54" i="37"/>
  <c r="S55" i="37"/>
  <c r="S56" i="37"/>
  <c r="S57" i="37"/>
  <c r="S58" i="37"/>
  <c r="S59" i="37"/>
  <c r="S60" i="37"/>
  <c r="S61" i="37"/>
  <c r="S62" i="37"/>
  <c r="S63" i="37"/>
  <c r="S64" i="37"/>
  <c r="S65" i="37"/>
  <c r="S66" i="37"/>
  <c r="S67" i="37"/>
  <c r="S68" i="37"/>
  <c r="S69" i="37"/>
  <c r="S70" i="37"/>
  <c r="S71" i="37"/>
  <c r="S72" i="37"/>
  <c r="S73" i="37"/>
  <c r="S74" i="37"/>
  <c r="S75" i="37"/>
  <c r="S76" i="37"/>
  <c r="S77" i="37"/>
  <c r="S78" i="37"/>
  <c r="S79" i="37"/>
  <c r="S80" i="37"/>
  <c r="S81" i="37"/>
  <c r="S82" i="37"/>
  <c r="S83" i="37"/>
  <c r="S84" i="37"/>
  <c r="R96" i="37"/>
  <c r="R95" i="37"/>
  <c r="R94" i="37"/>
  <c r="R93" i="37"/>
  <c r="R85" i="37"/>
  <c r="R91" i="37"/>
  <c r="R86" i="37"/>
  <c r="R90" i="37"/>
  <c r="R87" i="37"/>
  <c r="R89" i="37"/>
  <c r="R92" i="37"/>
  <c r="R88" i="37"/>
  <c r="S28" i="37"/>
  <c r="T29" i="37"/>
  <c r="T30" i="37" l="1"/>
  <c r="T32" i="37"/>
  <c r="T34" i="37"/>
  <c r="T35" i="37"/>
  <c r="T36" i="37"/>
  <c r="T31" i="37"/>
  <c r="T33" i="37"/>
  <c r="T38" i="37"/>
  <c r="T42" i="37"/>
  <c r="T39" i="37"/>
  <c r="T40" i="37"/>
  <c r="T43" i="37"/>
  <c r="T44" i="37"/>
  <c r="T45" i="37"/>
  <c r="T46" i="37"/>
  <c r="T47" i="37"/>
  <c r="T48" i="37"/>
  <c r="T49" i="37"/>
  <c r="T37" i="37"/>
  <c r="T50" i="37"/>
  <c r="T51" i="37"/>
  <c r="T52" i="37"/>
  <c r="T53" i="37"/>
  <c r="T54" i="37"/>
  <c r="T55" i="37"/>
  <c r="T41" i="37"/>
  <c r="T56" i="37"/>
  <c r="T57" i="37"/>
  <c r="T58" i="37"/>
  <c r="T59" i="37"/>
  <c r="T60" i="37"/>
  <c r="T61" i="37"/>
  <c r="T62" i="37"/>
  <c r="T63" i="37"/>
  <c r="T64" i="37"/>
  <c r="T65" i="37"/>
  <c r="T66" i="37"/>
  <c r="T67" i="37"/>
  <c r="T68" i="37"/>
  <c r="T69" i="37"/>
  <c r="T70" i="37"/>
  <c r="T71" i="37"/>
  <c r="T72" i="37"/>
  <c r="T73" i="37"/>
  <c r="T74" i="37"/>
  <c r="T75" i="37"/>
  <c r="T76" i="37"/>
  <c r="T77" i="37"/>
  <c r="T78" i="37"/>
  <c r="T79" i="37"/>
  <c r="T80" i="37"/>
  <c r="T81" i="37"/>
  <c r="T82" i="37"/>
  <c r="T83" i="37"/>
  <c r="T84" i="37"/>
  <c r="S96" i="37"/>
  <c r="S95" i="37"/>
  <c r="S94" i="37"/>
  <c r="S93" i="37"/>
  <c r="S92" i="37"/>
  <c r="S91" i="37"/>
  <c r="S90" i="37"/>
  <c r="S89" i="37"/>
  <c r="S88" i="37"/>
  <c r="S87" i="37"/>
  <c r="S86" i="37"/>
  <c r="S85" i="37"/>
  <c r="T28" i="37"/>
  <c r="U29" i="37"/>
  <c r="U30" i="37" l="1"/>
  <c r="U31" i="37"/>
  <c r="U32" i="37"/>
  <c r="U33" i="37"/>
  <c r="U34" i="37"/>
  <c r="U35" i="37"/>
  <c r="U36" i="37"/>
  <c r="U37" i="37"/>
  <c r="U38" i="37"/>
  <c r="U39" i="37"/>
  <c r="U40" i="37"/>
  <c r="U41" i="37"/>
  <c r="U42" i="37"/>
  <c r="U43" i="37"/>
  <c r="U47" i="37"/>
  <c r="U49" i="37"/>
  <c r="U44" i="37"/>
  <c r="U48" i="37"/>
  <c r="U45" i="37"/>
  <c r="U50" i="37"/>
  <c r="U51" i="37"/>
  <c r="U52" i="37"/>
  <c r="U53" i="37"/>
  <c r="U54" i="37"/>
  <c r="U55" i="37"/>
  <c r="U46" i="37"/>
  <c r="U57" i="37"/>
  <c r="U61" i="37"/>
  <c r="U65" i="37"/>
  <c r="U58" i="37"/>
  <c r="U62" i="37"/>
  <c r="U66" i="37"/>
  <c r="U67" i="37"/>
  <c r="U69" i="37"/>
  <c r="U59" i="37"/>
  <c r="U63" i="37"/>
  <c r="U56" i="37"/>
  <c r="U60" i="37"/>
  <c r="U64" i="37"/>
  <c r="U68" i="37"/>
  <c r="U70" i="37"/>
  <c r="U71" i="37"/>
  <c r="U72" i="37"/>
  <c r="U73" i="37"/>
  <c r="U74" i="37"/>
  <c r="U75" i="37"/>
  <c r="U76" i="37"/>
  <c r="U78" i="37"/>
  <c r="U79" i="37"/>
  <c r="U80" i="37"/>
  <c r="U81" i="37"/>
  <c r="U82" i="37"/>
  <c r="U83" i="37"/>
  <c r="U84" i="37"/>
  <c r="U77" i="37"/>
  <c r="T96" i="37"/>
  <c r="T95" i="37"/>
  <c r="T94" i="37"/>
  <c r="T89" i="37"/>
  <c r="T93" i="37"/>
  <c r="T91" i="37"/>
  <c r="T86" i="37"/>
  <c r="T88" i="37"/>
  <c r="T90" i="37"/>
  <c r="T85" i="37"/>
  <c r="T87" i="37"/>
  <c r="T92" i="37"/>
  <c r="U28" i="37"/>
  <c r="V29" i="37"/>
  <c r="V30" i="37" l="1"/>
  <c r="V31" i="37"/>
  <c r="V32" i="37"/>
  <c r="V33" i="37"/>
  <c r="V34" i="37"/>
  <c r="V35" i="37"/>
  <c r="V36" i="37"/>
  <c r="V37" i="37"/>
  <c r="V38" i="37"/>
  <c r="V39" i="37"/>
  <c r="V40" i="37"/>
  <c r="V41" i="37"/>
  <c r="V42" i="37"/>
  <c r="V44" i="37"/>
  <c r="V45" i="37"/>
  <c r="V46" i="37"/>
  <c r="V47" i="37"/>
  <c r="V48" i="37"/>
  <c r="V43" i="37"/>
  <c r="V49" i="37"/>
  <c r="V53" i="37"/>
  <c r="V56" i="37"/>
  <c r="V57" i="37"/>
  <c r="V58" i="37"/>
  <c r="V59" i="37"/>
  <c r="V60" i="37"/>
  <c r="V61" i="37"/>
  <c r="V62" i="37"/>
  <c r="V63" i="37"/>
  <c r="V64" i="37"/>
  <c r="V65" i="37"/>
  <c r="V66" i="37"/>
  <c r="V50" i="37"/>
  <c r="V54" i="37"/>
  <c r="V51" i="37"/>
  <c r="V55" i="37"/>
  <c r="V68" i="37"/>
  <c r="V52" i="37"/>
  <c r="V67" i="37"/>
  <c r="V69" i="37"/>
  <c r="V70" i="37"/>
  <c r="V71" i="37"/>
  <c r="V72" i="37"/>
  <c r="V73" i="37"/>
  <c r="V74" i="37"/>
  <c r="V75" i="37"/>
  <c r="V76" i="37"/>
  <c r="V77" i="37"/>
  <c r="V84" i="37"/>
  <c r="V78" i="37"/>
  <c r="V79" i="37"/>
  <c r="V80" i="37"/>
  <c r="V81" i="37"/>
  <c r="V82" i="37"/>
  <c r="V83" i="37"/>
  <c r="U96" i="37"/>
  <c r="U95" i="37"/>
  <c r="U94" i="37"/>
  <c r="U93" i="37"/>
  <c r="U92" i="37"/>
  <c r="U91" i="37"/>
  <c r="U90" i="37"/>
  <c r="U89" i="37"/>
  <c r="U86" i="37"/>
  <c r="U87" i="37"/>
  <c r="U85" i="37"/>
  <c r="U88" i="37"/>
  <c r="V28" i="37"/>
  <c r="W29" i="37"/>
  <c r="E19" i="20"/>
  <c r="E9" i="20"/>
  <c r="E6" i="20"/>
  <c r="W30" i="37" l="1"/>
  <c r="W32" i="37"/>
  <c r="W36" i="37"/>
  <c r="W31" i="37"/>
  <c r="W34" i="37"/>
  <c r="W37" i="37"/>
  <c r="W38" i="37"/>
  <c r="W39" i="37"/>
  <c r="W40" i="37"/>
  <c r="W41" i="37"/>
  <c r="W42" i="37"/>
  <c r="W43" i="37"/>
  <c r="W44" i="37"/>
  <c r="W45" i="37"/>
  <c r="W46" i="37"/>
  <c r="W47" i="37"/>
  <c r="W48" i="37"/>
  <c r="W49" i="37"/>
  <c r="W50" i="37"/>
  <c r="W51" i="37"/>
  <c r="W52" i="37"/>
  <c r="W53" i="37"/>
  <c r="W54" i="37"/>
  <c r="W55" i="37"/>
  <c r="W33" i="37"/>
  <c r="W35" i="37"/>
  <c r="W56" i="37"/>
  <c r="W57" i="37"/>
  <c r="W58" i="37"/>
  <c r="W59" i="37"/>
  <c r="W60" i="37"/>
  <c r="W61" i="37"/>
  <c r="W62" i="37"/>
  <c r="W63" i="37"/>
  <c r="W64" i="37"/>
  <c r="W65" i="37"/>
  <c r="W66" i="37"/>
  <c r="W67" i="37"/>
  <c r="W68" i="37"/>
  <c r="W69" i="37"/>
  <c r="W70" i="37"/>
  <c r="W71" i="37"/>
  <c r="W72" i="37"/>
  <c r="W73" i="37"/>
  <c r="W74" i="37"/>
  <c r="W75" i="37"/>
  <c r="W76" i="37"/>
  <c r="W77" i="37"/>
  <c r="W78" i="37"/>
  <c r="W79" i="37"/>
  <c r="W80" i="37"/>
  <c r="W81" i="37"/>
  <c r="W82" i="37"/>
  <c r="W83" i="37"/>
  <c r="W84" i="37"/>
  <c r="V96" i="37"/>
  <c r="V95" i="37"/>
  <c r="V94" i="37"/>
  <c r="V93" i="37"/>
  <c r="V91" i="37"/>
  <c r="V87" i="37"/>
  <c r="V90" i="37"/>
  <c r="V88" i="37"/>
  <c r="V85" i="37"/>
  <c r="V86" i="37"/>
  <c r="V89" i="37"/>
  <c r="V92" i="37"/>
  <c r="W28" i="37"/>
  <c r="X29" i="37"/>
  <c r="E17" i="20"/>
  <c r="E15" i="20"/>
  <c r="E12" i="20"/>
  <c r="E11" i="20"/>
  <c r="E8" i="20"/>
  <c r="E5" i="20"/>
  <c r="X31" i="37" l="1"/>
  <c r="X33" i="37"/>
  <c r="X34" i="37"/>
  <c r="X35" i="37"/>
  <c r="X30" i="37"/>
  <c r="X32" i="37"/>
  <c r="X36" i="37"/>
  <c r="X37" i="37"/>
  <c r="X41" i="37"/>
  <c r="X38" i="37"/>
  <c r="X42" i="37"/>
  <c r="X43" i="37"/>
  <c r="X39" i="37"/>
  <c r="X44" i="37"/>
  <c r="X45" i="37"/>
  <c r="X46" i="37"/>
  <c r="X47" i="37"/>
  <c r="X48" i="37"/>
  <c r="X49" i="37"/>
  <c r="X40" i="37"/>
  <c r="X50" i="37"/>
  <c r="X51" i="37"/>
  <c r="X52" i="37"/>
  <c r="X53" i="37"/>
  <c r="X54" i="37"/>
  <c r="X55" i="37"/>
  <c r="X56" i="37"/>
  <c r="X57" i="37"/>
  <c r="X58" i="37"/>
  <c r="X59" i="37"/>
  <c r="X60" i="37"/>
  <c r="X61" i="37"/>
  <c r="X62" i="37"/>
  <c r="X63" i="37"/>
  <c r="X64" i="37"/>
  <c r="X65" i="37"/>
  <c r="X66" i="37"/>
  <c r="X67" i="37"/>
  <c r="X68" i="37"/>
  <c r="X69" i="37"/>
  <c r="X70" i="37"/>
  <c r="X71" i="37"/>
  <c r="X72" i="37"/>
  <c r="X73" i="37"/>
  <c r="X74" i="37"/>
  <c r="X75" i="37"/>
  <c r="X76" i="37"/>
  <c r="X77" i="37"/>
  <c r="X78" i="37"/>
  <c r="X79" i="37"/>
  <c r="X80" i="37"/>
  <c r="X81" i="37"/>
  <c r="X82" i="37"/>
  <c r="X83" i="37"/>
  <c r="X84" i="37"/>
  <c r="W96" i="37"/>
  <c r="W95" i="37"/>
  <c r="W94" i="37"/>
  <c r="W93" i="37"/>
  <c r="W92" i="37"/>
  <c r="W87" i="37"/>
  <c r="W90" i="37"/>
  <c r="W88" i="37"/>
  <c r="W89" i="37"/>
  <c r="W91" i="37"/>
  <c r="W85" i="37"/>
  <c r="W86" i="37"/>
  <c r="X28" i="37"/>
  <c r="Y29" i="37"/>
  <c r="E11" i="18"/>
  <c r="E10" i="18"/>
  <c r="E9" i="18"/>
  <c r="E8" i="18"/>
  <c r="E7" i="18"/>
  <c r="E6" i="18"/>
  <c r="F7" i="13"/>
  <c r="Y30" i="37" l="1"/>
  <c r="Y31" i="37"/>
  <c r="Y32" i="37"/>
  <c r="Y33" i="37"/>
  <c r="Y34" i="37"/>
  <c r="Y35" i="37"/>
  <c r="Y36" i="37"/>
  <c r="Y37" i="37"/>
  <c r="Y38" i="37"/>
  <c r="Y39" i="37"/>
  <c r="Y40" i="37"/>
  <c r="Y41" i="37"/>
  <c r="Y42" i="37"/>
  <c r="Y43" i="37"/>
  <c r="Y46" i="37"/>
  <c r="Y47" i="37"/>
  <c r="Y44" i="37"/>
  <c r="Y48" i="37"/>
  <c r="Y49" i="37"/>
  <c r="Y50" i="37"/>
  <c r="Y51" i="37"/>
  <c r="Y52" i="37"/>
  <c r="Y53" i="37"/>
  <c r="Y54" i="37"/>
  <c r="Y55" i="37"/>
  <c r="Y45" i="37"/>
  <c r="Y56" i="37"/>
  <c r="Y60" i="37"/>
  <c r="Y64" i="37"/>
  <c r="Y57" i="37"/>
  <c r="Y61" i="37"/>
  <c r="Y65" i="37"/>
  <c r="Y68" i="37"/>
  <c r="Y58" i="37"/>
  <c r="Y62" i="37"/>
  <c r="Y59" i="37"/>
  <c r="Y63" i="37"/>
  <c r="Y67" i="37"/>
  <c r="Y66" i="37"/>
  <c r="Y69" i="37"/>
  <c r="Y70" i="37"/>
  <c r="Y71" i="37"/>
  <c r="Y72" i="37"/>
  <c r="Y73" i="37"/>
  <c r="Y74" i="37"/>
  <c r="Y75" i="37"/>
  <c r="Y76" i="37"/>
  <c r="Y77" i="37"/>
  <c r="Y78" i="37"/>
  <c r="Y79" i="37"/>
  <c r="Y80" i="37"/>
  <c r="Y81" i="37"/>
  <c r="Y82" i="37"/>
  <c r="Y83" i="37"/>
  <c r="Y84" i="37"/>
  <c r="X96" i="37"/>
  <c r="X95" i="37"/>
  <c r="X94" i="37"/>
  <c r="X92" i="37"/>
  <c r="X85" i="37"/>
  <c r="X90" i="37"/>
  <c r="X88" i="37"/>
  <c r="X93" i="37"/>
  <c r="X89" i="37"/>
  <c r="X86" i="37"/>
  <c r="X91" i="37"/>
  <c r="X87" i="37"/>
  <c r="Y28" i="37"/>
  <c r="Z29" i="37"/>
  <c r="Z30" i="37" l="1"/>
  <c r="Z31" i="37"/>
  <c r="Z32" i="37"/>
  <c r="Z33" i="37"/>
  <c r="Z34" i="37"/>
  <c r="Z35" i="37"/>
  <c r="Z37" i="37"/>
  <c r="Z38" i="37"/>
  <c r="Z39" i="37"/>
  <c r="Z40" i="37"/>
  <c r="Z41" i="37"/>
  <c r="Z42" i="37"/>
  <c r="Z36" i="37"/>
  <c r="Z44" i="37"/>
  <c r="Z45" i="37"/>
  <c r="Z46" i="37"/>
  <c r="Z47" i="37"/>
  <c r="Z48" i="37"/>
  <c r="Z43" i="37"/>
  <c r="Z52" i="37"/>
  <c r="Z56" i="37"/>
  <c r="Z57" i="37"/>
  <c r="Z58" i="37"/>
  <c r="Z59" i="37"/>
  <c r="Z60" i="37"/>
  <c r="Z61" i="37"/>
  <c r="Z62" i="37"/>
  <c r="Z63" i="37"/>
  <c r="Z64" i="37"/>
  <c r="Z65" i="37"/>
  <c r="Z66" i="37"/>
  <c r="Z53" i="37"/>
  <c r="Z49" i="37"/>
  <c r="Z50" i="37"/>
  <c r="Z54" i="37"/>
  <c r="Z51" i="37"/>
  <c r="Z67" i="37"/>
  <c r="Z69" i="37"/>
  <c r="Z55" i="37"/>
  <c r="Z68" i="37"/>
  <c r="Z70" i="37"/>
  <c r="Z71" i="37"/>
  <c r="Z72" i="37"/>
  <c r="Z73" i="37"/>
  <c r="Z74" i="37"/>
  <c r="Z75" i="37"/>
  <c r="Z76" i="37"/>
  <c r="Z83" i="37"/>
  <c r="Z77" i="37"/>
  <c r="Z78" i="37"/>
  <c r="Z79" i="37"/>
  <c r="Z80" i="37"/>
  <c r="Z81" i="37"/>
  <c r="Z82" i="37"/>
  <c r="Z84" i="37"/>
  <c r="Y96" i="37"/>
  <c r="Y95" i="37"/>
  <c r="Y94" i="37"/>
  <c r="Y93" i="37"/>
  <c r="Y90" i="37"/>
  <c r="Y88" i="37"/>
  <c r="Y87" i="37"/>
  <c r="Y92" i="37"/>
  <c r="Y86" i="37"/>
  <c r="Y89" i="37"/>
  <c r="Y85" i="37"/>
  <c r="Y91" i="37"/>
  <c r="Z28" i="37"/>
  <c r="AA29" i="37"/>
  <c r="AA30" i="37" s="1"/>
  <c r="AA31" i="37" l="1"/>
  <c r="AA33" i="37"/>
  <c r="AA35" i="37"/>
  <c r="AA32" i="37"/>
  <c r="AA37" i="37"/>
  <c r="AA38" i="37"/>
  <c r="AA39" i="37"/>
  <c r="AA40" i="37"/>
  <c r="AA41" i="37"/>
  <c r="AA42" i="37"/>
  <c r="AA36" i="37"/>
  <c r="AA44" i="37"/>
  <c r="AA45" i="37"/>
  <c r="AA46" i="37"/>
  <c r="AA47" i="37"/>
  <c r="AA48" i="37"/>
  <c r="AA49" i="37"/>
  <c r="AA34" i="37"/>
  <c r="AA50" i="37"/>
  <c r="AA51" i="37"/>
  <c r="AA52" i="37"/>
  <c r="AA53" i="37"/>
  <c r="AA54" i="37"/>
  <c r="AA55" i="37"/>
  <c r="AA43" i="37"/>
  <c r="AA56" i="37"/>
  <c r="AA57" i="37"/>
  <c r="AA58" i="37"/>
  <c r="AA59" i="37"/>
  <c r="AA60" i="37"/>
  <c r="AA61" i="37"/>
  <c r="AA62" i="37"/>
  <c r="AA63" i="37"/>
  <c r="AA64" i="37"/>
  <c r="AA65" i="37"/>
  <c r="AA66" i="37"/>
  <c r="AA67" i="37"/>
  <c r="AA68" i="37"/>
  <c r="AA69" i="37"/>
  <c r="AA70" i="37"/>
  <c r="AA71" i="37"/>
  <c r="AA72" i="37"/>
  <c r="AA73" i="37"/>
  <c r="AA74" i="37"/>
  <c r="AA75" i="37"/>
  <c r="AA76" i="37"/>
  <c r="AA77" i="37"/>
  <c r="AA78" i="37"/>
  <c r="AA79" i="37"/>
  <c r="AA80" i="37"/>
  <c r="AA81" i="37"/>
  <c r="AA82" i="37"/>
  <c r="AA83" i="37"/>
  <c r="AA84" i="37"/>
  <c r="Z96" i="37"/>
  <c r="Z95" i="37"/>
  <c r="Z94" i="37"/>
  <c r="Z86" i="37"/>
  <c r="Z93" i="37"/>
  <c r="Z89" i="37"/>
  <c r="Z92" i="37"/>
  <c r="Z85" i="37"/>
  <c r="Z91" i="37"/>
  <c r="Z87" i="37"/>
  <c r="Z88" i="37"/>
  <c r="Z90" i="37"/>
  <c r="AA28" i="37"/>
  <c r="AB29" i="37"/>
  <c r="E22" i="22"/>
  <c r="E20" i="22"/>
  <c r="E19" i="22"/>
  <c r="E18" i="22"/>
  <c r="E17" i="22"/>
  <c r="E16" i="22"/>
  <c r="E15" i="22"/>
  <c r="E14" i="22"/>
  <c r="E13" i="22"/>
  <c r="E12" i="22"/>
  <c r="E11" i="22"/>
  <c r="E9" i="22"/>
  <c r="E8" i="22"/>
  <c r="E7" i="22"/>
  <c r="E6" i="22"/>
  <c r="E5" i="22"/>
  <c r="E4" i="22"/>
  <c r="AB30" i="37" l="1"/>
  <c r="AB32" i="37"/>
  <c r="AB34" i="37"/>
  <c r="AB35" i="37"/>
  <c r="AB31" i="37"/>
  <c r="AB33" i="37"/>
  <c r="AB36" i="37"/>
  <c r="AB40" i="37"/>
  <c r="AB43" i="37"/>
  <c r="AB37" i="37"/>
  <c r="AB41" i="37"/>
  <c r="AB38" i="37"/>
  <c r="AB42" i="37"/>
  <c r="AB44" i="37"/>
  <c r="AB45" i="37"/>
  <c r="AB46" i="37"/>
  <c r="AB47" i="37"/>
  <c r="AB48" i="37"/>
  <c r="AB49" i="37"/>
  <c r="AB39" i="37"/>
  <c r="AB50" i="37"/>
  <c r="AB51" i="37"/>
  <c r="AB52" i="37"/>
  <c r="AB53" i="37"/>
  <c r="AB54" i="37"/>
  <c r="AB55" i="37"/>
  <c r="AB56" i="37"/>
  <c r="AB57" i="37"/>
  <c r="AB58" i="37"/>
  <c r="AB59" i="37"/>
  <c r="AB60" i="37"/>
  <c r="AB61" i="37"/>
  <c r="AB62" i="37"/>
  <c r="AB63" i="37"/>
  <c r="AB64" i="37"/>
  <c r="AB65" i="37"/>
  <c r="AB66" i="37"/>
  <c r="AB67" i="37"/>
  <c r="AB68" i="37"/>
  <c r="AB69" i="37"/>
  <c r="AB70" i="37"/>
  <c r="AB71" i="37"/>
  <c r="AB72" i="37"/>
  <c r="AB73" i="37"/>
  <c r="AB74" i="37"/>
  <c r="AB75" i="37"/>
  <c r="AB76" i="37"/>
  <c r="AB77" i="37"/>
  <c r="AB78" i="37"/>
  <c r="AB79" i="37"/>
  <c r="AB80" i="37"/>
  <c r="AB81" i="37"/>
  <c r="AB82" i="37"/>
  <c r="AB83" i="37"/>
  <c r="AB84" i="37"/>
  <c r="AA95" i="37"/>
  <c r="AA93" i="37"/>
  <c r="AA91" i="37"/>
  <c r="AA96" i="37"/>
  <c r="AA89" i="37"/>
  <c r="AA94" i="37"/>
  <c r="AA92" i="37"/>
  <c r="AA86" i="37"/>
  <c r="AA87" i="37"/>
  <c r="AA88" i="37"/>
  <c r="AA90" i="37"/>
  <c r="AA85" i="37"/>
  <c r="AB28" i="37"/>
  <c r="AC29" i="37"/>
  <c r="G11" i="37"/>
  <c r="H11" i="37" s="1"/>
  <c r="E12" i="18"/>
  <c r="E5" i="18"/>
  <c r="F44" i="20"/>
  <c r="E28" i="20"/>
  <c r="E27" i="20"/>
  <c r="E25" i="20"/>
  <c r="E24" i="20"/>
  <c r="E23" i="20"/>
  <c r="E22" i="20"/>
  <c r="E21" i="20"/>
  <c r="E20" i="20"/>
  <c r="E18" i="20"/>
  <c r="E16" i="20"/>
  <c r="E14" i="20"/>
  <c r="E13" i="20"/>
  <c r="E10" i="20"/>
  <c r="E7" i="20"/>
  <c r="E4" i="20"/>
  <c r="G12" i="37" l="1"/>
  <c r="H12" i="37" s="1"/>
  <c r="O12" i="37" s="1"/>
  <c r="AC30" i="37"/>
  <c r="AC31" i="37"/>
  <c r="AC32" i="37"/>
  <c r="AC33" i="37"/>
  <c r="AC34" i="37"/>
  <c r="AC35" i="37"/>
  <c r="AC36" i="37"/>
  <c r="AC37" i="37"/>
  <c r="AC38" i="37"/>
  <c r="AC39" i="37"/>
  <c r="AC40" i="37"/>
  <c r="AC41" i="37"/>
  <c r="AC42" i="37"/>
  <c r="AC43" i="37"/>
  <c r="AC45" i="37"/>
  <c r="AC49" i="37"/>
  <c r="AC46" i="37"/>
  <c r="AC47" i="37"/>
  <c r="AC50" i="37"/>
  <c r="AC51" i="37"/>
  <c r="AC52" i="37"/>
  <c r="AC53" i="37"/>
  <c r="AC54" i="37"/>
  <c r="AC55" i="37"/>
  <c r="AC48" i="37"/>
  <c r="AC59" i="37"/>
  <c r="AC63" i="37"/>
  <c r="AC56" i="37"/>
  <c r="AC60" i="37"/>
  <c r="AC64" i="37"/>
  <c r="AC67" i="37"/>
  <c r="AC69" i="37"/>
  <c r="AC57" i="37"/>
  <c r="AC61" i="37"/>
  <c r="AC44" i="37"/>
  <c r="AC58" i="37"/>
  <c r="AC62" i="37"/>
  <c r="AC66" i="37"/>
  <c r="AC65" i="37"/>
  <c r="AC68" i="37"/>
  <c r="AC70" i="37"/>
  <c r="AC71" i="37"/>
  <c r="AC72" i="37"/>
  <c r="AC73" i="37"/>
  <c r="AC74" i="37"/>
  <c r="AC75" i="37"/>
  <c r="AC76" i="37"/>
  <c r="AC78" i="37"/>
  <c r="AC79" i="37"/>
  <c r="AC80" i="37"/>
  <c r="AC81" i="37"/>
  <c r="AC82" i="37"/>
  <c r="AC83" i="37"/>
  <c r="AC84" i="37"/>
  <c r="AC77" i="37"/>
  <c r="O11" i="37"/>
  <c r="AB96" i="37"/>
  <c r="AB95" i="37"/>
  <c r="AB94" i="37"/>
  <c r="AB93" i="37"/>
  <c r="AB92" i="37"/>
  <c r="AB91" i="37"/>
  <c r="AB90" i="37"/>
  <c r="AB89" i="37"/>
  <c r="AB88" i="37"/>
  <c r="AB87" i="37"/>
  <c r="AB86" i="37"/>
  <c r="AB85" i="37"/>
  <c r="AC28" i="37"/>
  <c r="AD29" i="37"/>
  <c r="H8" i="37"/>
  <c r="O8" i="37" s="1"/>
  <c r="F32" i="1"/>
  <c r="AD30" i="37" l="1"/>
  <c r="AD31" i="37"/>
  <c r="AD32" i="37"/>
  <c r="AD33" i="37"/>
  <c r="AD34" i="37"/>
  <c r="AD35" i="37"/>
  <c r="AD36" i="37"/>
  <c r="AD37" i="37"/>
  <c r="AD38" i="37"/>
  <c r="AD39" i="37"/>
  <c r="AD40" i="37"/>
  <c r="AD41" i="37"/>
  <c r="AD42" i="37"/>
  <c r="AD44" i="37"/>
  <c r="AD45" i="37"/>
  <c r="AD46" i="37"/>
  <c r="AD47" i="37"/>
  <c r="AD48" i="37"/>
  <c r="AD43" i="37"/>
  <c r="AD49" i="37"/>
  <c r="AD51" i="37"/>
  <c r="AD55" i="37"/>
  <c r="AD56" i="37"/>
  <c r="AD57" i="37"/>
  <c r="AD58" i="37"/>
  <c r="AD59" i="37"/>
  <c r="AD60" i="37"/>
  <c r="AD61" i="37"/>
  <c r="AD62" i="37"/>
  <c r="AD63" i="37"/>
  <c r="AD64" i="37"/>
  <c r="AD65" i="37"/>
  <c r="AD66" i="37"/>
  <c r="AD52" i="37"/>
  <c r="AD53" i="37"/>
  <c r="AD54" i="37"/>
  <c r="AD68" i="37"/>
  <c r="AD50" i="37"/>
  <c r="AD67" i="37"/>
  <c r="AD69" i="37"/>
  <c r="AD70" i="37"/>
  <c r="AD71" i="37"/>
  <c r="AD72" i="37"/>
  <c r="AD73" i="37"/>
  <c r="AD74" i="37"/>
  <c r="AD75" i="37"/>
  <c r="AD76" i="37"/>
  <c r="AD77" i="37"/>
  <c r="AD84" i="37"/>
  <c r="AD78" i="37"/>
  <c r="AD79" i="37"/>
  <c r="AD80" i="37"/>
  <c r="AD81" i="37"/>
  <c r="AD82" i="37"/>
  <c r="AD83" i="37"/>
  <c r="AC96" i="37"/>
  <c r="AC95" i="37"/>
  <c r="AC94" i="37"/>
  <c r="AC93" i="37"/>
  <c r="AC87" i="37"/>
  <c r="AC89" i="37"/>
  <c r="AC86" i="37"/>
  <c r="AC90" i="37"/>
  <c r="AC88" i="37"/>
  <c r="AC85" i="37"/>
  <c r="AC91" i="37"/>
  <c r="AC92" i="37"/>
  <c r="AE29" i="37"/>
  <c r="AD28" i="37"/>
  <c r="G49" i="20"/>
  <c r="AE30" i="37" l="1"/>
  <c r="AE32" i="37"/>
  <c r="AE33" i="37"/>
  <c r="AE34" i="37"/>
  <c r="AE35" i="37"/>
  <c r="AE36" i="37"/>
  <c r="AE37" i="37"/>
  <c r="AE38" i="37"/>
  <c r="AE39" i="37"/>
  <c r="AE40" i="37"/>
  <c r="AE41" i="37"/>
  <c r="AE42" i="37"/>
  <c r="AE44" i="37"/>
  <c r="AE45" i="37"/>
  <c r="AE46" i="37"/>
  <c r="AE47" i="37"/>
  <c r="AE48" i="37"/>
  <c r="AE49" i="37"/>
  <c r="AE31" i="37"/>
  <c r="AE43" i="37"/>
  <c r="AE50" i="37"/>
  <c r="AE51" i="37"/>
  <c r="AE52" i="37"/>
  <c r="AE53" i="37"/>
  <c r="AE54" i="37"/>
  <c r="AE55" i="37"/>
  <c r="AE56" i="37"/>
  <c r="AE57" i="37"/>
  <c r="AE58" i="37"/>
  <c r="AE59" i="37"/>
  <c r="AE60" i="37"/>
  <c r="AE61" i="37"/>
  <c r="AE62" i="37"/>
  <c r="AE63" i="37"/>
  <c r="AE64" i="37"/>
  <c r="AE65" i="37"/>
  <c r="AE66" i="37"/>
  <c r="AE67" i="37"/>
  <c r="AE68" i="37"/>
  <c r="AE69" i="37"/>
  <c r="AE70" i="37"/>
  <c r="AE71" i="37"/>
  <c r="AE72" i="37"/>
  <c r="AE73" i="37"/>
  <c r="AE74" i="37"/>
  <c r="AE75" i="37"/>
  <c r="AE76" i="37"/>
  <c r="AE77" i="37"/>
  <c r="AE78" i="37"/>
  <c r="AE79" i="37"/>
  <c r="AE80" i="37"/>
  <c r="AE81" i="37"/>
  <c r="AE82" i="37"/>
  <c r="AE83" i="37"/>
  <c r="AE84" i="37"/>
  <c r="AD96" i="37"/>
  <c r="AD95" i="37"/>
  <c r="AD94" i="37"/>
  <c r="AD92" i="37"/>
  <c r="AD85" i="37"/>
  <c r="AD91" i="37"/>
  <c r="AD90" i="37"/>
  <c r="AD87" i="37"/>
  <c r="AD86" i="37"/>
  <c r="AD88" i="37"/>
  <c r="AD93" i="37"/>
  <c r="AD89" i="37"/>
  <c r="AE28" i="37"/>
  <c r="AF29" i="37"/>
  <c r="AF31" i="37" l="1"/>
  <c r="AF33" i="37"/>
  <c r="AF34" i="37"/>
  <c r="AF35" i="37"/>
  <c r="AF30" i="37"/>
  <c r="AF32" i="37"/>
  <c r="AF39" i="37"/>
  <c r="AF40" i="37"/>
  <c r="AF36" i="37"/>
  <c r="AF37" i="37"/>
  <c r="AF41" i="37"/>
  <c r="AF44" i="37"/>
  <c r="AF45" i="37"/>
  <c r="AF46" i="37"/>
  <c r="AF47" i="37"/>
  <c r="AF48" i="37"/>
  <c r="AF49" i="37"/>
  <c r="AF42" i="37"/>
  <c r="AF50" i="37"/>
  <c r="AF51" i="37"/>
  <c r="AF52" i="37"/>
  <c r="AF53" i="37"/>
  <c r="AF54" i="37"/>
  <c r="AF55" i="37"/>
  <c r="AF43" i="37"/>
  <c r="AF56" i="37"/>
  <c r="AF57" i="37"/>
  <c r="AF58" i="37"/>
  <c r="AF59" i="37"/>
  <c r="AF60" i="37"/>
  <c r="AF61" i="37"/>
  <c r="AF62" i="37"/>
  <c r="AF63" i="37"/>
  <c r="AF64" i="37"/>
  <c r="AF65" i="37"/>
  <c r="AF66" i="37"/>
  <c r="AF67" i="37"/>
  <c r="AF68" i="37"/>
  <c r="AF69" i="37"/>
  <c r="AF38" i="37"/>
  <c r="AF70" i="37"/>
  <c r="AF71" i="37"/>
  <c r="AF72" i="37"/>
  <c r="AF73" i="37"/>
  <c r="AF74" i="37"/>
  <c r="AF75" i="37"/>
  <c r="AF76" i="37"/>
  <c r="AF77" i="37"/>
  <c r="AF78" i="37"/>
  <c r="AF79" i="37"/>
  <c r="AF80" i="37"/>
  <c r="AF81" i="37"/>
  <c r="AF82" i="37"/>
  <c r="AF83" i="37"/>
  <c r="AF84" i="37"/>
  <c r="AE96" i="37"/>
  <c r="AE95" i="37"/>
  <c r="AE94" i="37"/>
  <c r="AE93" i="37"/>
  <c r="AE92" i="37"/>
  <c r="AE91" i="37"/>
  <c r="AE90" i="37"/>
  <c r="AE89" i="37"/>
  <c r="AE88" i="37"/>
  <c r="AE87" i="37"/>
  <c r="AE86" i="37"/>
  <c r="AE85" i="37"/>
  <c r="AF28" i="37"/>
  <c r="AG29" i="37"/>
  <c r="E4" i="18"/>
  <c r="AG30" i="37" l="1"/>
  <c r="AG31" i="37"/>
  <c r="AG32" i="37"/>
  <c r="AG33" i="37"/>
  <c r="AG34" i="37"/>
  <c r="AG35" i="37"/>
  <c r="AG36" i="37"/>
  <c r="AG37" i="37"/>
  <c r="AG38" i="37"/>
  <c r="AG39" i="37"/>
  <c r="AG40" i="37"/>
  <c r="AG41" i="37"/>
  <c r="AG42" i="37"/>
  <c r="AG43" i="37"/>
  <c r="AG44" i="37"/>
  <c r="AG48" i="37"/>
  <c r="AG45" i="37"/>
  <c r="AG46" i="37"/>
  <c r="AG49" i="37"/>
  <c r="AG50" i="37"/>
  <c r="AG51" i="37"/>
  <c r="AG52" i="37"/>
  <c r="AG53" i="37"/>
  <c r="AG54" i="37"/>
  <c r="AG55" i="37"/>
  <c r="AG58" i="37"/>
  <c r="AG62" i="37"/>
  <c r="AG66" i="37"/>
  <c r="AG59" i="37"/>
  <c r="AG63" i="37"/>
  <c r="AG68" i="37"/>
  <c r="AG56" i="37"/>
  <c r="AG60" i="37"/>
  <c r="AG64" i="37"/>
  <c r="AG47" i="37"/>
  <c r="AG57" i="37"/>
  <c r="AG61" i="37"/>
  <c r="AG65" i="37"/>
  <c r="AG67" i="37"/>
  <c r="AG69" i="37"/>
  <c r="AG70" i="37"/>
  <c r="AG71" i="37"/>
  <c r="AG72" i="37"/>
  <c r="AG73" i="37"/>
  <c r="AG74" i="37"/>
  <c r="AG75" i="37"/>
  <c r="AG76" i="37"/>
  <c r="AG77" i="37"/>
  <c r="AG78" i="37"/>
  <c r="AG79" i="37"/>
  <c r="AG80" i="37"/>
  <c r="AG81" i="37"/>
  <c r="AG82" i="37"/>
  <c r="AG83" i="37"/>
  <c r="AG84" i="37"/>
  <c r="AF96" i="37"/>
  <c r="AF95" i="37"/>
  <c r="AF94" i="37"/>
  <c r="AF90" i="37"/>
  <c r="AF88" i="37"/>
  <c r="AF92" i="37"/>
  <c r="AF85" i="37"/>
  <c r="AF93" i="37"/>
  <c r="AF87" i="37"/>
  <c r="AF89" i="37"/>
  <c r="AF86" i="37"/>
  <c r="AF91" i="37"/>
  <c r="AG28" i="37"/>
  <c r="AH29" i="37"/>
  <c r="F13" i="18"/>
  <c r="G26" i="37" s="1"/>
  <c r="H26" i="37" s="1"/>
  <c r="J3" i="37" s="1"/>
  <c r="M3" i="37" s="1"/>
  <c r="F36" i="1"/>
  <c r="AH30" i="37" l="1"/>
  <c r="AH31" i="37"/>
  <c r="AH32" i="37"/>
  <c r="AH33" i="37"/>
  <c r="AH34" i="37"/>
  <c r="AH35" i="37"/>
  <c r="AH36" i="37"/>
  <c r="AH37" i="37"/>
  <c r="AH38" i="37"/>
  <c r="AH39" i="37"/>
  <c r="AH40" i="37"/>
  <c r="AH41" i="37"/>
  <c r="AH42" i="37"/>
  <c r="AH43" i="37"/>
  <c r="AH44" i="37"/>
  <c r="AH45" i="37"/>
  <c r="AH46" i="37"/>
  <c r="AH47" i="37"/>
  <c r="AH48" i="37"/>
  <c r="AH50" i="37"/>
  <c r="AH54" i="37"/>
  <c r="AH56" i="37"/>
  <c r="AH57" i="37"/>
  <c r="AH58" i="37"/>
  <c r="AH59" i="37"/>
  <c r="AH60" i="37"/>
  <c r="AH61" i="37"/>
  <c r="AH62" i="37"/>
  <c r="AH63" i="37"/>
  <c r="AH64" i="37"/>
  <c r="AH65" i="37"/>
  <c r="AH66" i="37"/>
  <c r="AH51" i="37"/>
  <c r="AH52" i="37"/>
  <c r="AH55" i="37"/>
  <c r="AH67" i="37"/>
  <c r="AH69" i="37"/>
  <c r="AH49" i="37"/>
  <c r="AH53" i="37"/>
  <c r="AH68" i="37"/>
  <c r="AH70" i="37"/>
  <c r="AH71" i="37"/>
  <c r="AH72" i="37"/>
  <c r="AH73" i="37"/>
  <c r="AH74" i="37"/>
  <c r="AH75" i="37"/>
  <c r="AH76" i="37"/>
  <c r="AH83" i="37"/>
  <c r="AH77" i="37"/>
  <c r="AH78" i="37"/>
  <c r="AH79" i="37"/>
  <c r="AH80" i="37"/>
  <c r="AH81" i="37"/>
  <c r="AH82" i="37"/>
  <c r="AH84" i="37"/>
  <c r="AG96" i="37"/>
  <c r="AG95" i="37"/>
  <c r="AG94" i="37"/>
  <c r="AG93" i="37"/>
  <c r="AG92" i="37"/>
  <c r="AG91" i="37"/>
  <c r="AG90" i="37"/>
  <c r="AG89" i="37"/>
  <c r="AG85" i="37"/>
  <c r="AG86" i="37"/>
  <c r="AG88" i="37"/>
  <c r="AG87" i="37"/>
  <c r="AH28" i="37"/>
  <c r="AI29" i="37"/>
  <c r="F7" i="1"/>
  <c r="AI31" i="37" l="1"/>
  <c r="AI33" i="37"/>
  <c r="AI30" i="37"/>
  <c r="AI34" i="37"/>
  <c r="AI36" i="37"/>
  <c r="AI32" i="37"/>
  <c r="AI35" i="37"/>
  <c r="AI37" i="37"/>
  <c r="AI38" i="37"/>
  <c r="AI39" i="37"/>
  <c r="AI40" i="37"/>
  <c r="AI41" i="37"/>
  <c r="AI42" i="37"/>
  <c r="AI43" i="37"/>
  <c r="AI44" i="37"/>
  <c r="AI45" i="37"/>
  <c r="AI46" i="37"/>
  <c r="AI47" i="37"/>
  <c r="AI48" i="37"/>
  <c r="AI49" i="37"/>
  <c r="AI50" i="37"/>
  <c r="AI51" i="37"/>
  <c r="AI52" i="37"/>
  <c r="AI53" i="37"/>
  <c r="AI54" i="37"/>
  <c r="AI56" i="37"/>
  <c r="AI57" i="37"/>
  <c r="AI58" i="37"/>
  <c r="AI59" i="37"/>
  <c r="AI60" i="37"/>
  <c r="AI61" i="37"/>
  <c r="AI62" i="37"/>
  <c r="AI63" i="37"/>
  <c r="AI64" i="37"/>
  <c r="AI65" i="37"/>
  <c r="AI66" i="37"/>
  <c r="AI67" i="37"/>
  <c r="AI68" i="37"/>
  <c r="AI69" i="37"/>
  <c r="AI55" i="37"/>
  <c r="AI70" i="37"/>
  <c r="AI71" i="37"/>
  <c r="AI72" i="37"/>
  <c r="AI73" i="37"/>
  <c r="AI74" i="37"/>
  <c r="AI75" i="37"/>
  <c r="AI76" i="37"/>
  <c r="AI77" i="37"/>
  <c r="AI78" i="37"/>
  <c r="AI79" i="37"/>
  <c r="AI80" i="37"/>
  <c r="AI81" i="37"/>
  <c r="AI82" i="37"/>
  <c r="AI83" i="37"/>
  <c r="AI84" i="37"/>
  <c r="AH96" i="37"/>
  <c r="AH95" i="37"/>
  <c r="AH94" i="37"/>
  <c r="AH93" i="37"/>
  <c r="AH92" i="37"/>
  <c r="AH86" i="37"/>
  <c r="AH88" i="37"/>
  <c r="AH91" i="37"/>
  <c r="AH89" i="37"/>
  <c r="AH87" i="37"/>
  <c r="AH90" i="37"/>
  <c r="AH85" i="37"/>
  <c r="AI28" i="37"/>
  <c r="AJ29" i="37"/>
  <c r="F10" i="13"/>
  <c r="F9" i="13"/>
  <c r="AJ30" i="37" l="1"/>
  <c r="AJ32" i="37"/>
  <c r="AJ34" i="37"/>
  <c r="AJ35" i="37"/>
  <c r="AJ31" i="37"/>
  <c r="AJ33" i="37"/>
  <c r="AJ36" i="37"/>
  <c r="AJ38" i="37"/>
  <c r="AJ42" i="37"/>
  <c r="AJ39" i="37"/>
  <c r="AJ40" i="37"/>
  <c r="AJ43" i="37"/>
  <c r="AJ44" i="37"/>
  <c r="AJ45" i="37"/>
  <c r="AJ46" i="37"/>
  <c r="AJ47" i="37"/>
  <c r="AJ48" i="37"/>
  <c r="AJ49" i="37"/>
  <c r="AJ50" i="37"/>
  <c r="AJ51" i="37"/>
  <c r="AJ52" i="37"/>
  <c r="AJ53" i="37"/>
  <c r="AJ54" i="37"/>
  <c r="AJ55" i="37"/>
  <c r="AJ37" i="37"/>
  <c r="AJ56" i="37"/>
  <c r="AJ57" i="37"/>
  <c r="AJ58" i="37"/>
  <c r="AJ59" i="37"/>
  <c r="AJ60" i="37"/>
  <c r="AJ61" i="37"/>
  <c r="AJ62" i="37"/>
  <c r="AJ63" i="37"/>
  <c r="AJ64" i="37"/>
  <c r="AJ65" i="37"/>
  <c r="AJ66" i="37"/>
  <c r="AJ67" i="37"/>
  <c r="AJ68" i="37"/>
  <c r="AJ69" i="37"/>
  <c r="AJ41" i="37"/>
  <c r="AJ70" i="37"/>
  <c r="AJ71" i="37"/>
  <c r="AJ72" i="37"/>
  <c r="AJ73" i="37"/>
  <c r="AJ74" i="37"/>
  <c r="AJ75" i="37"/>
  <c r="AJ76" i="37"/>
  <c r="AJ77" i="37"/>
  <c r="AJ78" i="37"/>
  <c r="AJ79" i="37"/>
  <c r="AJ80" i="37"/>
  <c r="AJ81" i="37"/>
  <c r="AJ82" i="37"/>
  <c r="AJ83" i="37"/>
  <c r="AJ84" i="37"/>
  <c r="AI96" i="37"/>
  <c r="AI95" i="37"/>
  <c r="AI94" i="37"/>
  <c r="AI93" i="37"/>
  <c r="AI86" i="37"/>
  <c r="AI91" i="37"/>
  <c r="AI87" i="37"/>
  <c r="AI90" i="37"/>
  <c r="AI92" i="37"/>
  <c r="AI85" i="37"/>
  <c r="AI88" i="37"/>
  <c r="AI89" i="37"/>
  <c r="AJ28" i="37"/>
  <c r="AK29" i="37"/>
  <c r="D82" i="1"/>
  <c r="D71" i="1"/>
  <c r="B37" i="1" s="1"/>
  <c r="D37" i="1" s="1"/>
  <c r="AK30" i="37" l="1"/>
  <c r="AK31" i="37"/>
  <c r="AK32" i="37"/>
  <c r="AK33" i="37"/>
  <c r="AK34" i="37"/>
  <c r="AK35" i="37"/>
  <c r="AK36" i="37"/>
  <c r="AK37" i="37"/>
  <c r="AK38" i="37"/>
  <c r="AK39" i="37"/>
  <c r="AK40" i="37"/>
  <c r="AK41" i="37"/>
  <c r="AK42" i="37"/>
  <c r="AK43" i="37"/>
  <c r="AK47" i="37"/>
  <c r="AK44" i="37"/>
  <c r="AK48" i="37"/>
  <c r="AK45" i="37"/>
  <c r="AK49" i="37"/>
  <c r="AK50" i="37"/>
  <c r="AK51" i="37"/>
  <c r="AK52" i="37"/>
  <c r="AK53" i="37"/>
  <c r="AK54" i="37"/>
  <c r="AK55" i="37"/>
  <c r="AK46" i="37"/>
  <c r="AK57" i="37"/>
  <c r="AK61" i="37"/>
  <c r="AK65" i="37"/>
  <c r="AK58" i="37"/>
  <c r="AK62" i="37"/>
  <c r="AK66" i="37"/>
  <c r="AK67" i="37"/>
  <c r="AK69" i="37"/>
  <c r="AK59" i="37"/>
  <c r="AK63" i="37"/>
  <c r="AK56" i="37"/>
  <c r="AK60" i="37"/>
  <c r="AK64" i="37"/>
  <c r="AK68" i="37"/>
  <c r="AK70" i="37"/>
  <c r="AK71" i="37"/>
  <c r="AK72" i="37"/>
  <c r="AK73" i="37"/>
  <c r="AK74" i="37"/>
  <c r="AK75" i="37"/>
  <c r="AK76" i="37"/>
  <c r="AK77" i="37"/>
  <c r="AK78" i="37"/>
  <c r="AK79" i="37"/>
  <c r="AK80" i="37"/>
  <c r="AK81" i="37"/>
  <c r="AK82" i="37"/>
  <c r="AK83" i="37"/>
  <c r="AK84" i="37"/>
  <c r="AJ96" i="37"/>
  <c r="AJ95" i="37"/>
  <c r="AJ94" i="37"/>
  <c r="AJ89" i="37"/>
  <c r="AJ91" i="37"/>
  <c r="AJ87" i="37"/>
  <c r="AJ93" i="37"/>
  <c r="AJ86" i="37"/>
  <c r="AJ85" i="37"/>
  <c r="AJ88" i="37"/>
  <c r="AJ90" i="37"/>
  <c r="AJ92" i="37"/>
  <c r="AK28" i="37"/>
  <c r="AL29" i="37"/>
  <c r="B38" i="1"/>
  <c r="F38" i="1" s="1"/>
  <c r="F15" i="13"/>
  <c r="AL30" i="37" l="1"/>
  <c r="AL31" i="37"/>
  <c r="AL32" i="37"/>
  <c r="AL33" i="37"/>
  <c r="AL34" i="37"/>
  <c r="AL35" i="37"/>
  <c r="AL37" i="37"/>
  <c r="AL38" i="37"/>
  <c r="AL39" i="37"/>
  <c r="AL40" i="37"/>
  <c r="AL41" i="37"/>
  <c r="AL42" i="37"/>
  <c r="AL43" i="37"/>
  <c r="AL44" i="37"/>
  <c r="AL45" i="37"/>
  <c r="AL46" i="37"/>
  <c r="AL47" i="37"/>
  <c r="AL48" i="37"/>
  <c r="AL36" i="37"/>
  <c r="AL49" i="37"/>
  <c r="AL53" i="37"/>
  <c r="AL56" i="37"/>
  <c r="AL57" i="37"/>
  <c r="AL58" i="37"/>
  <c r="AL59" i="37"/>
  <c r="AL60" i="37"/>
  <c r="AL61" i="37"/>
  <c r="AL62" i="37"/>
  <c r="AL63" i="37"/>
  <c r="AL64" i="37"/>
  <c r="AL65" i="37"/>
  <c r="AL66" i="37"/>
  <c r="AL50" i="37"/>
  <c r="AL54" i="37"/>
  <c r="AL55" i="37"/>
  <c r="AL51" i="37"/>
  <c r="AL68" i="37"/>
  <c r="AL52" i="37"/>
  <c r="AL69" i="37"/>
  <c r="AL67" i="37"/>
  <c r="AL70" i="37"/>
  <c r="AL71" i="37"/>
  <c r="AL72" i="37"/>
  <c r="AL73" i="37"/>
  <c r="AL74" i="37"/>
  <c r="AL75" i="37"/>
  <c r="AL76" i="37"/>
  <c r="AL84" i="37"/>
  <c r="AL77" i="37"/>
  <c r="AL78" i="37"/>
  <c r="AL79" i="37"/>
  <c r="AL80" i="37"/>
  <c r="AL81" i="37"/>
  <c r="AL82" i="37"/>
  <c r="AL83" i="37"/>
  <c r="AK96" i="37"/>
  <c r="AK95" i="37"/>
  <c r="AK94" i="37"/>
  <c r="AK93" i="37"/>
  <c r="AK91" i="37"/>
  <c r="AK87" i="37"/>
  <c r="AK88" i="37"/>
  <c r="AK85" i="37"/>
  <c r="AK92" i="37"/>
  <c r="AK89" i="37"/>
  <c r="AK90" i="37"/>
  <c r="AK86" i="37"/>
  <c r="AL28" i="37"/>
  <c r="AM29" i="37"/>
  <c r="AM30" i="37" l="1"/>
  <c r="AM32" i="37"/>
  <c r="AM31" i="37"/>
  <c r="AM36" i="37"/>
  <c r="AM33" i="37"/>
  <c r="AM34" i="37"/>
  <c r="AM37" i="37"/>
  <c r="AM38" i="37"/>
  <c r="AM39" i="37"/>
  <c r="AM40" i="37"/>
  <c r="AM41" i="37"/>
  <c r="AM42" i="37"/>
  <c r="AM35" i="37"/>
  <c r="AM43" i="37"/>
  <c r="AM44" i="37"/>
  <c r="AM45" i="37"/>
  <c r="AM46" i="37"/>
  <c r="AM47" i="37"/>
  <c r="AM48" i="37"/>
  <c r="AM49" i="37"/>
  <c r="AM50" i="37"/>
  <c r="AM51" i="37"/>
  <c r="AM52" i="37"/>
  <c r="AM53" i="37"/>
  <c r="AM54" i="37"/>
  <c r="AM56" i="37"/>
  <c r="AM57" i="37"/>
  <c r="AM58" i="37"/>
  <c r="AM59" i="37"/>
  <c r="AM60" i="37"/>
  <c r="AM61" i="37"/>
  <c r="AM62" i="37"/>
  <c r="AM63" i="37"/>
  <c r="AM64" i="37"/>
  <c r="AM65" i="37"/>
  <c r="AM66" i="37"/>
  <c r="AM67" i="37"/>
  <c r="AM68" i="37"/>
  <c r="AM69" i="37"/>
  <c r="AM55" i="37"/>
  <c r="AM70" i="37"/>
  <c r="AM71" i="37"/>
  <c r="AM72" i="37"/>
  <c r="AM73" i="37"/>
  <c r="AM74" i="37"/>
  <c r="AM75" i="37"/>
  <c r="AM76" i="37"/>
  <c r="AM77" i="37"/>
  <c r="AM78" i="37"/>
  <c r="AM79" i="37"/>
  <c r="AM80" i="37"/>
  <c r="AM81" i="37"/>
  <c r="AM82" i="37"/>
  <c r="AM83" i="37"/>
  <c r="AM84" i="37"/>
  <c r="AL96" i="37"/>
  <c r="AL95" i="37"/>
  <c r="AL94" i="37"/>
  <c r="AL85" i="37"/>
  <c r="AL92" i="37"/>
  <c r="AL88" i="37"/>
  <c r="AL90" i="37"/>
  <c r="AL89" i="37"/>
  <c r="AL93" i="37"/>
  <c r="AL91" i="37"/>
  <c r="AL86" i="37"/>
  <c r="AL87" i="37"/>
  <c r="AM28" i="37"/>
  <c r="AN29" i="37"/>
  <c r="AN31" i="37" l="1"/>
  <c r="AN33" i="37"/>
  <c r="AN34" i="37"/>
  <c r="AN35" i="37"/>
  <c r="AN30" i="37"/>
  <c r="AN32" i="37"/>
  <c r="AN36" i="37"/>
  <c r="AN37" i="37"/>
  <c r="AN41" i="37"/>
  <c r="AN38" i="37"/>
  <c r="AN42" i="37"/>
  <c r="AN39" i="37"/>
  <c r="AN43" i="37"/>
  <c r="AN44" i="37"/>
  <c r="AN45" i="37"/>
  <c r="AN46" i="37"/>
  <c r="AN47" i="37"/>
  <c r="AN48" i="37"/>
  <c r="AN49" i="37"/>
  <c r="AN50" i="37"/>
  <c r="AN51" i="37"/>
  <c r="AN52" i="37"/>
  <c r="AN53" i="37"/>
  <c r="AN54" i="37"/>
  <c r="AN55" i="37"/>
  <c r="AN40" i="37"/>
  <c r="AN56" i="37"/>
  <c r="AN57" i="37"/>
  <c r="AN58" i="37"/>
  <c r="AN59" i="37"/>
  <c r="AN60" i="37"/>
  <c r="AN61" i="37"/>
  <c r="AN62" i="37"/>
  <c r="AN63" i="37"/>
  <c r="AN64" i="37"/>
  <c r="AN65" i="37"/>
  <c r="AN66" i="37"/>
  <c r="AN67" i="37"/>
  <c r="AN68" i="37"/>
  <c r="AN69" i="37"/>
  <c r="AN70" i="37"/>
  <c r="AN71" i="37"/>
  <c r="AN72" i="37"/>
  <c r="AN73" i="37"/>
  <c r="AN74" i="37"/>
  <c r="AN75" i="37"/>
  <c r="AN76" i="37"/>
  <c r="AN77" i="37"/>
  <c r="AN78" i="37"/>
  <c r="AN79" i="37"/>
  <c r="AN80" i="37"/>
  <c r="AN81" i="37"/>
  <c r="AN82" i="37"/>
  <c r="AN83" i="37"/>
  <c r="AN84" i="37"/>
  <c r="AM92" i="37"/>
  <c r="AM96" i="37"/>
  <c r="AM88" i="37"/>
  <c r="AM94" i="37"/>
  <c r="AM90" i="37"/>
  <c r="AM93" i="37"/>
  <c r="AM87" i="37"/>
  <c r="AM95" i="37"/>
  <c r="AM89" i="37"/>
  <c r="AM91" i="37"/>
  <c r="AM86" i="37"/>
  <c r="AM85" i="37"/>
  <c r="AN28" i="37"/>
  <c r="AO29" i="37"/>
  <c r="AO30" i="37" l="1"/>
  <c r="AO31" i="37"/>
  <c r="AO32" i="37"/>
  <c r="AO33" i="37"/>
  <c r="AO34" i="37"/>
  <c r="AO35" i="37"/>
  <c r="AO36" i="37"/>
  <c r="AO37" i="37"/>
  <c r="AO38" i="37"/>
  <c r="AO39" i="37"/>
  <c r="AO40" i="37"/>
  <c r="AO41" i="37"/>
  <c r="AO42" i="37"/>
  <c r="AO46" i="37"/>
  <c r="AO43" i="37"/>
  <c r="AO47" i="37"/>
  <c r="AO44" i="37"/>
  <c r="AO48" i="37"/>
  <c r="AO49" i="37"/>
  <c r="AO50" i="37"/>
  <c r="AO51" i="37"/>
  <c r="AO52" i="37"/>
  <c r="AO53" i="37"/>
  <c r="AO54" i="37"/>
  <c r="AO45" i="37"/>
  <c r="AO56" i="37"/>
  <c r="AO60" i="37"/>
  <c r="AO64" i="37"/>
  <c r="AO57" i="37"/>
  <c r="AO61" i="37"/>
  <c r="AO65" i="37"/>
  <c r="AO68" i="37"/>
  <c r="AO58" i="37"/>
  <c r="AO62" i="37"/>
  <c r="AO55" i="37"/>
  <c r="AO59" i="37"/>
  <c r="AO63" i="37"/>
  <c r="AO67" i="37"/>
  <c r="AO66" i="37"/>
  <c r="AO69" i="37"/>
  <c r="AO70" i="37"/>
  <c r="AO71" i="37"/>
  <c r="AO72" i="37"/>
  <c r="AO73" i="37"/>
  <c r="AO74" i="37"/>
  <c r="AO75" i="37"/>
  <c r="AO76" i="37"/>
  <c r="AO77" i="37"/>
  <c r="AO78" i="37"/>
  <c r="AO79" i="37"/>
  <c r="AO80" i="37"/>
  <c r="AO81" i="37"/>
  <c r="AO82" i="37"/>
  <c r="AO83" i="37"/>
  <c r="AO84" i="37"/>
  <c r="AN96" i="37"/>
  <c r="AN95" i="37"/>
  <c r="AN94" i="37"/>
  <c r="AN93" i="37"/>
  <c r="AN92" i="37"/>
  <c r="AN91" i="37"/>
  <c r="AN90" i="37"/>
  <c r="AN89" i="37"/>
  <c r="AN88" i="37"/>
  <c r="AN87" i="37"/>
  <c r="AN86" i="37"/>
  <c r="AN85" i="37"/>
  <c r="AP29" i="37"/>
  <c r="AO28" i="37"/>
  <c r="F4" i="13"/>
  <c r="F8" i="13"/>
  <c r="F6" i="13"/>
  <c r="F21" i="4"/>
  <c r="F19" i="4"/>
  <c r="F14" i="13"/>
  <c r="F13" i="13"/>
  <c r="F12" i="13"/>
  <c r="C5" i="13"/>
  <c r="AP30" i="37" l="1"/>
  <c r="AP31" i="37"/>
  <c r="AP32" i="37"/>
  <c r="AP33" i="37"/>
  <c r="AP34" i="37"/>
  <c r="AP35" i="37"/>
  <c r="AP37" i="37"/>
  <c r="AP38" i="37"/>
  <c r="AP39" i="37"/>
  <c r="AP40" i="37"/>
  <c r="AP41" i="37"/>
  <c r="AP42" i="37"/>
  <c r="AP36" i="37"/>
  <c r="AP43" i="37"/>
  <c r="AP44" i="37"/>
  <c r="AP45" i="37"/>
  <c r="AP46" i="37"/>
  <c r="AP47" i="37"/>
  <c r="AP48" i="37"/>
  <c r="AP52" i="37"/>
  <c r="AP55" i="37"/>
  <c r="AP56" i="37"/>
  <c r="AP57" i="37"/>
  <c r="AP58" i="37"/>
  <c r="AP59" i="37"/>
  <c r="AP60" i="37"/>
  <c r="AP61" i="37"/>
  <c r="AP62" i="37"/>
  <c r="AP63" i="37"/>
  <c r="AP64" i="37"/>
  <c r="AP65" i="37"/>
  <c r="AP66" i="37"/>
  <c r="AP49" i="37"/>
  <c r="AP53" i="37"/>
  <c r="AP50" i="37"/>
  <c r="AP54" i="37"/>
  <c r="AP67" i="37"/>
  <c r="AP69" i="37"/>
  <c r="AP51" i="37"/>
  <c r="AP68" i="37"/>
  <c r="AP70" i="37"/>
  <c r="AP71" i="37"/>
  <c r="AP72" i="37"/>
  <c r="AP73" i="37"/>
  <c r="AP74" i="37"/>
  <c r="AP75" i="37"/>
  <c r="AP76" i="37"/>
  <c r="AP83" i="37"/>
  <c r="AP77" i="37"/>
  <c r="AP78" i="37"/>
  <c r="AP79" i="37"/>
  <c r="AP80" i="37"/>
  <c r="AP81" i="37"/>
  <c r="AP82" i="37"/>
  <c r="AP84" i="37"/>
  <c r="AO96" i="37"/>
  <c r="AO95" i="37"/>
  <c r="AO94" i="37"/>
  <c r="AO93" i="37"/>
  <c r="AO86" i="37"/>
  <c r="AO90" i="37"/>
  <c r="AO85" i="37"/>
  <c r="AO92" i="37"/>
  <c r="AO88" i="37"/>
  <c r="AO87" i="37"/>
  <c r="AO89" i="37"/>
  <c r="AO91" i="37"/>
  <c r="AQ29" i="37"/>
  <c r="AP28" i="37"/>
  <c r="F5" i="13"/>
  <c r="C17" i="13"/>
  <c r="C6" i="9"/>
  <c r="AQ31" i="37" l="1"/>
  <c r="AQ33" i="37"/>
  <c r="AQ35" i="37"/>
  <c r="AQ30" i="37"/>
  <c r="AQ37" i="37"/>
  <c r="AQ38" i="37"/>
  <c r="AQ39" i="37"/>
  <c r="AQ40" i="37"/>
  <c r="AQ41" i="37"/>
  <c r="AQ42" i="37"/>
  <c r="AQ36" i="37"/>
  <c r="AQ32" i="37"/>
  <c r="AQ43" i="37"/>
  <c r="AQ44" i="37"/>
  <c r="AQ45" i="37"/>
  <c r="AQ46" i="37"/>
  <c r="AQ47" i="37"/>
  <c r="AQ48" i="37"/>
  <c r="AQ49" i="37"/>
  <c r="AQ50" i="37"/>
  <c r="AQ51" i="37"/>
  <c r="AQ52" i="37"/>
  <c r="AQ53" i="37"/>
  <c r="AQ54" i="37"/>
  <c r="AQ34" i="37"/>
  <c r="AQ55" i="37"/>
  <c r="AQ56" i="37"/>
  <c r="AQ57" i="37"/>
  <c r="AQ58" i="37"/>
  <c r="AQ59" i="37"/>
  <c r="AQ60" i="37"/>
  <c r="AQ61" i="37"/>
  <c r="AQ62" i="37"/>
  <c r="AQ63" i="37"/>
  <c r="AQ64" i="37"/>
  <c r="AQ65" i="37"/>
  <c r="AQ66" i="37"/>
  <c r="AQ67" i="37"/>
  <c r="AQ68" i="37"/>
  <c r="AQ69" i="37"/>
  <c r="AQ70" i="37"/>
  <c r="AQ71" i="37"/>
  <c r="AQ72" i="37"/>
  <c r="AQ73" i="37"/>
  <c r="AQ74" i="37"/>
  <c r="AQ75" i="37"/>
  <c r="AQ76" i="37"/>
  <c r="AQ77" i="37"/>
  <c r="AQ78" i="37"/>
  <c r="AQ79" i="37"/>
  <c r="AQ80" i="37"/>
  <c r="AQ81" i="37"/>
  <c r="AQ82" i="37"/>
  <c r="AQ83" i="37"/>
  <c r="AQ84" i="37"/>
  <c r="AP96" i="37"/>
  <c r="AP95" i="37"/>
  <c r="AP94" i="37"/>
  <c r="AP93" i="37"/>
  <c r="AP89" i="37"/>
  <c r="AP92" i="37"/>
  <c r="AP87" i="37"/>
  <c r="AP91" i="37"/>
  <c r="AP90" i="37"/>
  <c r="AP86" i="37"/>
  <c r="AP85" i="37"/>
  <c r="AP88" i="37"/>
  <c r="AQ28" i="37"/>
  <c r="AR29" i="37"/>
  <c r="D7" i="9"/>
  <c r="E11" i="9"/>
  <c r="F11" i="13"/>
  <c r="AR30" i="37" l="1"/>
  <c r="AR32" i="37"/>
  <c r="AR34" i="37"/>
  <c r="AR35" i="37"/>
  <c r="AR31" i="37"/>
  <c r="AR33" i="37"/>
  <c r="AR36" i="37"/>
  <c r="AR40" i="37"/>
  <c r="AR37" i="37"/>
  <c r="AR41" i="37"/>
  <c r="AR38" i="37"/>
  <c r="AR42" i="37"/>
  <c r="AR43" i="37"/>
  <c r="AR44" i="37"/>
  <c r="AR45" i="37"/>
  <c r="AR46" i="37"/>
  <c r="AR47" i="37"/>
  <c r="AR48" i="37"/>
  <c r="AR39" i="37"/>
  <c r="AR49" i="37"/>
  <c r="AR50" i="37"/>
  <c r="AR51" i="37"/>
  <c r="AR52" i="37"/>
  <c r="AR53" i="37"/>
  <c r="AR54" i="37"/>
  <c r="AR55" i="37"/>
  <c r="AR56" i="37"/>
  <c r="AR57" i="37"/>
  <c r="AR58" i="37"/>
  <c r="AR59" i="37"/>
  <c r="AR60" i="37"/>
  <c r="AR61" i="37"/>
  <c r="AR62" i="37"/>
  <c r="AR63" i="37"/>
  <c r="AR64" i="37"/>
  <c r="AR65" i="37"/>
  <c r="AR66" i="37"/>
  <c r="AR67" i="37"/>
  <c r="AR68" i="37"/>
  <c r="AR69" i="37"/>
  <c r="AR70" i="37"/>
  <c r="AR71" i="37"/>
  <c r="AR72" i="37"/>
  <c r="AR73" i="37"/>
  <c r="AR74" i="37"/>
  <c r="AR75" i="37"/>
  <c r="AR76" i="37"/>
  <c r="AR77" i="37"/>
  <c r="AR78" i="37"/>
  <c r="AR79" i="37"/>
  <c r="AR80" i="37"/>
  <c r="AR81" i="37"/>
  <c r="AR82" i="37"/>
  <c r="AR83" i="37"/>
  <c r="AR84" i="37"/>
  <c r="AQ96" i="37"/>
  <c r="AQ95" i="37"/>
  <c r="AQ94" i="37"/>
  <c r="AQ93" i="37"/>
  <c r="AQ92" i="37"/>
  <c r="AQ91" i="37"/>
  <c r="AQ90" i="37"/>
  <c r="AQ89" i="37"/>
  <c r="AQ88" i="37"/>
  <c r="AQ87" i="37"/>
  <c r="AQ86" i="37"/>
  <c r="AQ85" i="37"/>
  <c r="AR28" i="37"/>
  <c r="AS29" i="37"/>
  <c r="G17" i="13"/>
  <c r="G18" i="37" s="1"/>
  <c r="H18" i="37" s="1"/>
  <c r="AS30" i="37" l="1"/>
  <c r="AS31" i="37"/>
  <c r="AS32" i="37"/>
  <c r="AS33" i="37"/>
  <c r="AS34" i="37"/>
  <c r="AS35" i="37"/>
  <c r="AS36" i="37"/>
  <c r="AS37" i="37"/>
  <c r="AS38" i="37"/>
  <c r="AS39" i="37"/>
  <c r="AS40" i="37"/>
  <c r="AS41" i="37"/>
  <c r="AS42" i="37"/>
  <c r="AS45" i="37"/>
  <c r="AS46" i="37"/>
  <c r="AS43" i="37"/>
  <c r="AS47" i="37"/>
  <c r="AS49" i="37"/>
  <c r="AS50" i="37"/>
  <c r="AS51" i="37"/>
  <c r="AS52" i="37"/>
  <c r="AS53" i="37"/>
  <c r="AS54" i="37"/>
  <c r="AS44" i="37"/>
  <c r="AS48" i="37"/>
  <c r="AS55" i="37"/>
  <c r="AS59" i="37"/>
  <c r="AS63" i="37"/>
  <c r="AS56" i="37"/>
  <c r="AS60" i="37"/>
  <c r="AS64" i="37"/>
  <c r="AS67" i="37"/>
  <c r="AS69" i="37"/>
  <c r="AS57" i="37"/>
  <c r="AS61" i="37"/>
  <c r="AS58" i="37"/>
  <c r="AS62" i="37"/>
  <c r="AS66" i="37"/>
  <c r="AS65" i="37"/>
  <c r="AS68" i="37"/>
  <c r="AS70" i="37"/>
  <c r="AS71" i="37"/>
  <c r="AS72" i="37"/>
  <c r="AS73" i="37"/>
  <c r="AS74" i="37"/>
  <c r="AS75" i="37"/>
  <c r="AS76" i="37"/>
  <c r="AS77" i="37"/>
  <c r="AS78" i="37"/>
  <c r="AS79" i="37"/>
  <c r="AS80" i="37"/>
  <c r="AS81" i="37"/>
  <c r="AS82" i="37"/>
  <c r="AS83" i="37"/>
  <c r="AS84" i="37"/>
  <c r="AR96" i="37"/>
  <c r="AR95" i="37"/>
  <c r="AR94" i="37"/>
  <c r="AR91" i="37"/>
  <c r="AR87" i="37"/>
  <c r="AR93" i="37"/>
  <c r="AR89" i="37"/>
  <c r="AR92" i="37"/>
  <c r="AR86" i="37"/>
  <c r="AR85" i="37"/>
  <c r="AR88" i="37"/>
  <c r="AR90" i="37"/>
  <c r="AS28" i="37"/>
  <c r="AT29" i="37"/>
  <c r="AT30" i="37" l="1"/>
  <c r="AT31" i="37"/>
  <c r="AT32" i="37"/>
  <c r="AT33" i="37"/>
  <c r="AT34" i="37"/>
  <c r="AT35" i="37"/>
  <c r="AT36" i="37"/>
  <c r="AT37" i="37"/>
  <c r="AT38" i="37"/>
  <c r="AT39" i="37"/>
  <c r="AT40" i="37"/>
  <c r="AT41" i="37"/>
  <c r="AT42" i="37"/>
  <c r="AT43" i="37"/>
  <c r="AT44" i="37"/>
  <c r="AT45" i="37"/>
  <c r="AT46" i="37"/>
  <c r="AT47" i="37"/>
  <c r="AT48" i="37"/>
  <c r="AT51" i="37"/>
  <c r="AT55" i="37"/>
  <c r="AT56" i="37"/>
  <c r="AT57" i="37"/>
  <c r="AT58" i="37"/>
  <c r="AT59" i="37"/>
  <c r="AT60" i="37"/>
  <c r="AT61" i="37"/>
  <c r="AT62" i="37"/>
  <c r="AT63" i="37"/>
  <c r="AT64" i="37"/>
  <c r="AT65" i="37"/>
  <c r="AT66" i="37"/>
  <c r="AT52" i="37"/>
  <c r="AT49" i="37"/>
  <c r="AT53" i="37"/>
  <c r="AT50" i="37"/>
  <c r="AT68" i="37"/>
  <c r="AT54" i="37"/>
  <c r="AT67" i="37"/>
  <c r="AT69" i="37"/>
  <c r="AT70" i="37"/>
  <c r="AT71" i="37"/>
  <c r="AT72" i="37"/>
  <c r="AT73" i="37"/>
  <c r="AT74" i="37"/>
  <c r="AT75" i="37"/>
  <c r="AT76" i="37"/>
  <c r="AT84" i="37"/>
  <c r="AT77" i="37"/>
  <c r="AT78" i="37"/>
  <c r="AT79" i="37"/>
  <c r="AT80" i="37"/>
  <c r="AT81" i="37"/>
  <c r="AT82" i="37"/>
  <c r="AT83" i="37"/>
  <c r="AS96" i="37"/>
  <c r="AS95" i="37"/>
  <c r="AS94" i="37"/>
  <c r="AS93" i="37"/>
  <c r="AS92" i="37"/>
  <c r="AS91" i="37"/>
  <c r="AS90" i="37"/>
  <c r="AS89" i="37"/>
  <c r="AS85" i="37"/>
  <c r="AS86" i="37"/>
  <c r="AS88" i="37"/>
  <c r="AS87" i="37"/>
  <c r="AT28" i="37"/>
  <c r="AU29" i="37"/>
  <c r="AU30" i="37" l="1"/>
  <c r="AU32" i="37"/>
  <c r="AU34" i="37"/>
  <c r="AU31" i="37"/>
  <c r="AU35" i="37"/>
  <c r="AU33" i="37"/>
  <c r="AU36" i="37"/>
  <c r="AU37" i="37"/>
  <c r="AU38" i="37"/>
  <c r="AU39" i="37"/>
  <c r="AU40" i="37"/>
  <c r="AU41" i="37"/>
  <c r="AU42" i="37"/>
  <c r="AU43" i="37"/>
  <c r="AU44" i="37"/>
  <c r="AU45" i="37"/>
  <c r="AU46" i="37"/>
  <c r="AU47" i="37"/>
  <c r="AU48" i="37"/>
  <c r="AU49" i="37"/>
  <c r="AU50" i="37"/>
  <c r="AU51" i="37"/>
  <c r="AU52" i="37"/>
  <c r="AU53" i="37"/>
  <c r="AU54" i="37"/>
  <c r="AU55" i="37"/>
  <c r="AU56" i="37"/>
  <c r="AU57" i="37"/>
  <c r="AU58" i="37"/>
  <c r="AU59" i="37"/>
  <c r="AU60" i="37"/>
  <c r="AU61" i="37"/>
  <c r="AU62" i="37"/>
  <c r="AU63" i="37"/>
  <c r="AU64" i="37"/>
  <c r="AU65" i="37"/>
  <c r="AU66" i="37"/>
  <c r="AU67" i="37"/>
  <c r="AU68" i="37"/>
  <c r="AU69" i="37"/>
  <c r="AU70" i="37"/>
  <c r="AU71" i="37"/>
  <c r="AU72" i="37"/>
  <c r="AU73" i="37"/>
  <c r="AU74" i="37"/>
  <c r="AU75" i="37"/>
  <c r="AU76" i="37"/>
  <c r="AU77" i="37"/>
  <c r="AU78" i="37"/>
  <c r="AU79" i="37"/>
  <c r="AU80" i="37"/>
  <c r="AU81" i="37"/>
  <c r="AU82" i="37"/>
  <c r="AU83" i="37"/>
  <c r="AU84" i="37"/>
  <c r="AT96" i="37"/>
  <c r="AT95" i="37"/>
  <c r="AT94" i="37"/>
  <c r="AT93" i="37"/>
  <c r="AT92" i="37"/>
  <c r="AT88" i="37"/>
  <c r="AT89" i="37"/>
  <c r="AT85" i="37"/>
  <c r="AT87" i="37"/>
  <c r="AT90" i="37"/>
  <c r="AT91" i="37"/>
  <c r="AT86" i="37"/>
  <c r="AU28" i="37"/>
  <c r="AV29" i="37"/>
  <c r="AV31" i="37" l="1"/>
  <c r="AV33" i="37"/>
  <c r="AV34" i="37"/>
  <c r="AV35" i="37"/>
  <c r="AV30" i="37"/>
  <c r="AV32" i="37"/>
  <c r="AV39" i="37"/>
  <c r="AV36" i="37"/>
  <c r="AV40" i="37"/>
  <c r="AV37" i="37"/>
  <c r="AV41" i="37"/>
  <c r="AV43" i="37"/>
  <c r="AV44" i="37"/>
  <c r="AV45" i="37"/>
  <c r="AV46" i="37"/>
  <c r="AV47" i="37"/>
  <c r="AV48" i="37"/>
  <c r="AV38" i="37"/>
  <c r="AV42" i="37"/>
  <c r="AV49" i="37"/>
  <c r="AV50" i="37"/>
  <c r="AV51" i="37"/>
  <c r="AV52" i="37"/>
  <c r="AV53" i="37"/>
  <c r="AV54" i="37"/>
  <c r="AV55" i="37"/>
  <c r="AV56" i="37"/>
  <c r="AV57" i="37"/>
  <c r="AV58" i="37"/>
  <c r="AV59" i="37"/>
  <c r="AV60" i="37"/>
  <c r="AV61" i="37"/>
  <c r="AV62" i="37"/>
  <c r="AV63" i="37"/>
  <c r="AV64" i="37"/>
  <c r="AV65" i="37"/>
  <c r="AV66" i="37"/>
  <c r="AV67" i="37"/>
  <c r="AV68" i="37"/>
  <c r="AV69" i="37"/>
  <c r="AV70" i="37"/>
  <c r="AV71" i="37"/>
  <c r="AV72" i="37"/>
  <c r="AV73" i="37"/>
  <c r="AV74" i="37"/>
  <c r="AV75" i="37"/>
  <c r="AV76" i="37"/>
  <c r="AV77" i="37"/>
  <c r="AV78" i="37"/>
  <c r="AV79" i="37"/>
  <c r="AV80" i="37"/>
  <c r="AV81" i="37"/>
  <c r="AV82" i="37"/>
  <c r="AV83" i="37"/>
  <c r="AV84" i="37"/>
  <c r="AU96" i="37"/>
  <c r="AU95" i="37"/>
  <c r="AU94" i="37"/>
  <c r="AU93" i="37"/>
  <c r="AU85" i="37"/>
  <c r="AU86" i="37"/>
  <c r="AU91" i="37"/>
  <c r="AU88" i="37"/>
  <c r="AU89" i="37"/>
  <c r="AU90" i="37"/>
  <c r="AU92" i="37"/>
  <c r="AU87" i="37"/>
  <c r="AV28" i="37"/>
  <c r="AW29" i="37"/>
  <c r="G13" i="37"/>
  <c r="H13" i="37" s="1"/>
  <c r="AW30" i="37" l="1"/>
  <c r="AW31" i="37"/>
  <c r="AW32" i="37"/>
  <c r="AW33" i="37"/>
  <c r="AW34" i="37"/>
  <c r="AW35" i="37"/>
  <c r="AW36" i="37"/>
  <c r="AW37" i="37"/>
  <c r="AW38" i="37"/>
  <c r="AW39" i="37"/>
  <c r="AW40" i="37"/>
  <c r="AW41" i="37"/>
  <c r="AW42" i="37"/>
  <c r="AW44" i="37"/>
  <c r="AW48" i="37"/>
  <c r="AW45" i="37"/>
  <c r="AW46" i="37"/>
  <c r="AW49" i="37"/>
  <c r="AW50" i="37"/>
  <c r="AW51" i="37"/>
  <c r="AW52" i="37"/>
  <c r="AW53" i="37"/>
  <c r="AW54" i="37"/>
  <c r="AW47" i="37"/>
  <c r="AW58" i="37"/>
  <c r="AW62" i="37"/>
  <c r="AW66" i="37"/>
  <c r="AW55" i="37"/>
  <c r="AW59" i="37"/>
  <c r="AW63" i="37"/>
  <c r="AW68" i="37"/>
  <c r="AW43" i="37"/>
  <c r="AW56" i="37"/>
  <c r="AW60" i="37"/>
  <c r="AW64" i="37"/>
  <c r="AW57" i="37"/>
  <c r="AW61" i="37"/>
  <c r="AW65" i="37"/>
  <c r="AW67" i="37"/>
  <c r="AW69" i="37"/>
  <c r="AW70" i="37"/>
  <c r="AW71" i="37"/>
  <c r="AW72" i="37"/>
  <c r="AW73" i="37"/>
  <c r="AW74" i="37"/>
  <c r="AW75" i="37"/>
  <c r="AW76" i="37"/>
  <c r="AW77" i="37"/>
  <c r="AW78" i="37"/>
  <c r="AW79" i="37"/>
  <c r="AW80" i="37"/>
  <c r="AW81" i="37"/>
  <c r="AW82" i="37"/>
  <c r="AW83" i="37"/>
  <c r="AW84" i="37"/>
  <c r="O13" i="37"/>
  <c r="AV96" i="37"/>
  <c r="AV95" i="37"/>
  <c r="AV94" i="37"/>
  <c r="AV93" i="37"/>
  <c r="AV90" i="37"/>
  <c r="AV86" i="37"/>
  <c r="AV92" i="37"/>
  <c r="AV88" i="37"/>
  <c r="AV87" i="37"/>
  <c r="AV91" i="37"/>
  <c r="AV89" i="37"/>
  <c r="AV85" i="37"/>
  <c r="AW28" i="37"/>
  <c r="AX29" i="37"/>
  <c r="AX30" i="37" l="1"/>
  <c r="AX31" i="37"/>
  <c r="AX32" i="37"/>
  <c r="AX33" i="37"/>
  <c r="AX34" i="37"/>
  <c r="AX35" i="37"/>
  <c r="AX36" i="37"/>
  <c r="AX37" i="37"/>
  <c r="AX38" i="37"/>
  <c r="AX39" i="37"/>
  <c r="AX40" i="37"/>
  <c r="AX41" i="37"/>
  <c r="AX42" i="37"/>
  <c r="AX43" i="37"/>
  <c r="AX44" i="37"/>
  <c r="AX45" i="37"/>
  <c r="AX46" i="37"/>
  <c r="AX47" i="37"/>
  <c r="AX48" i="37"/>
  <c r="AX50" i="37"/>
  <c r="AX54" i="37"/>
  <c r="AX55" i="37"/>
  <c r="AX56" i="37"/>
  <c r="AX57" i="37"/>
  <c r="AX58" i="37"/>
  <c r="AX59" i="37"/>
  <c r="AX60" i="37"/>
  <c r="AX61" i="37"/>
  <c r="AX62" i="37"/>
  <c r="AX63" i="37"/>
  <c r="AX64" i="37"/>
  <c r="AX65" i="37"/>
  <c r="AX66" i="37"/>
  <c r="AX51" i="37"/>
  <c r="AX52" i="37"/>
  <c r="AX53" i="37"/>
  <c r="AX67" i="37"/>
  <c r="AX69" i="37"/>
  <c r="AX49" i="37"/>
  <c r="AX68" i="37"/>
  <c r="AX70" i="37"/>
  <c r="AX71" i="37"/>
  <c r="AX72" i="37"/>
  <c r="AX73" i="37"/>
  <c r="AX74" i="37"/>
  <c r="AX75" i="37"/>
  <c r="AX76" i="37"/>
  <c r="AX83" i="37"/>
  <c r="AX77" i="37"/>
  <c r="AX78" i="37"/>
  <c r="AX79" i="37"/>
  <c r="AX80" i="37"/>
  <c r="AX81" i="37"/>
  <c r="AX82" i="37"/>
  <c r="AX84" i="37"/>
  <c r="AW96" i="37"/>
  <c r="AW95" i="37"/>
  <c r="AW94" i="37"/>
  <c r="AW93" i="37"/>
  <c r="AW86" i="37"/>
  <c r="AW92" i="37"/>
  <c r="AW87" i="37"/>
  <c r="AW90" i="37"/>
  <c r="AW85" i="37"/>
  <c r="AW91" i="37"/>
  <c r="AW88" i="37"/>
  <c r="AW89" i="37"/>
  <c r="AX28" i="37"/>
  <c r="AY29" i="37"/>
  <c r="G23" i="4"/>
  <c r="G28" i="4" s="1"/>
  <c r="D27" i="1"/>
  <c r="H9" i="1"/>
  <c r="E49" i="19" s="1"/>
  <c r="C49" i="19" s="1"/>
  <c r="D31" i="1"/>
  <c r="G14" i="37" l="1"/>
  <c r="H14" i="37" s="1"/>
  <c r="J2" i="37" s="1"/>
  <c r="J5" i="37" s="1"/>
  <c r="B48" i="1" s="1"/>
  <c r="B50" i="1" s="1"/>
  <c r="AY31" i="37"/>
  <c r="AY33" i="37"/>
  <c r="AY32" i="37"/>
  <c r="AY34" i="37"/>
  <c r="AY35" i="37"/>
  <c r="AY36" i="37"/>
  <c r="AY37" i="37"/>
  <c r="AY38" i="37"/>
  <c r="AY39" i="37"/>
  <c r="AY40" i="37"/>
  <c r="AY41" i="37"/>
  <c r="AY42" i="37"/>
  <c r="AY30" i="37"/>
  <c r="AY43" i="37"/>
  <c r="AY44" i="37"/>
  <c r="AY45" i="37"/>
  <c r="AY46" i="37"/>
  <c r="AY47" i="37"/>
  <c r="AY48" i="37"/>
  <c r="AY49" i="37"/>
  <c r="AY50" i="37"/>
  <c r="AY51" i="37"/>
  <c r="AY52" i="37"/>
  <c r="AY53" i="37"/>
  <c r="AY54" i="37"/>
  <c r="AY55" i="37"/>
  <c r="AY56" i="37"/>
  <c r="AY57" i="37"/>
  <c r="AY58" i="37"/>
  <c r="AY59" i="37"/>
  <c r="AY60" i="37"/>
  <c r="AY61" i="37"/>
  <c r="AY62" i="37"/>
  <c r="AY63" i="37"/>
  <c r="AY64" i="37"/>
  <c r="AY65" i="37"/>
  <c r="AY66" i="37"/>
  <c r="AY67" i="37"/>
  <c r="AY68" i="37"/>
  <c r="AY69" i="37"/>
  <c r="AY70" i="37"/>
  <c r="AY71" i="37"/>
  <c r="AY72" i="37"/>
  <c r="AY73" i="37"/>
  <c r="AY74" i="37"/>
  <c r="AY75" i="37"/>
  <c r="AY76" i="37"/>
  <c r="AY77" i="37"/>
  <c r="AY78" i="37"/>
  <c r="AY79" i="37"/>
  <c r="AY80" i="37"/>
  <c r="AY81" i="37"/>
  <c r="AY82" i="37"/>
  <c r="AY83" i="37"/>
  <c r="AY84" i="37"/>
  <c r="AY28" i="37"/>
  <c r="AX96" i="37"/>
  <c r="AX95" i="37"/>
  <c r="AX94" i="37"/>
  <c r="AX93" i="37"/>
  <c r="AX92" i="37"/>
  <c r="AX87" i="37"/>
  <c r="AX91" i="37"/>
  <c r="AX90" i="37"/>
  <c r="AX89" i="37"/>
  <c r="AX86" i="37"/>
  <c r="AX85" i="37"/>
  <c r="AX88" i="37"/>
  <c r="AZ29" i="37"/>
  <c r="O14" i="37" l="1"/>
  <c r="M2" i="37" s="1"/>
  <c r="M5" i="37" s="1"/>
  <c r="AZ30" i="37"/>
  <c r="AZ32" i="37"/>
  <c r="AZ34" i="37"/>
  <c r="AZ35" i="37"/>
  <c r="AZ31" i="37"/>
  <c r="AZ33" i="37"/>
  <c r="AZ38" i="37"/>
  <c r="AZ42" i="37"/>
  <c r="AZ39" i="37"/>
  <c r="AZ36" i="37"/>
  <c r="AZ40" i="37"/>
  <c r="AZ43" i="37"/>
  <c r="AZ44" i="37"/>
  <c r="AZ45" i="37"/>
  <c r="AZ46" i="37"/>
  <c r="AZ47" i="37"/>
  <c r="AZ48" i="37"/>
  <c r="AZ41" i="37"/>
  <c r="AZ49" i="37"/>
  <c r="AZ50" i="37"/>
  <c r="AZ51" i="37"/>
  <c r="AZ52" i="37"/>
  <c r="AZ53" i="37"/>
  <c r="AZ54" i="37"/>
  <c r="AZ37" i="37"/>
  <c r="AZ55" i="37"/>
  <c r="AZ56" i="37"/>
  <c r="AZ57" i="37"/>
  <c r="AZ58" i="37"/>
  <c r="AZ59" i="37"/>
  <c r="AZ60" i="37"/>
  <c r="AZ61" i="37"/>
  <c r="AZ62" i="37"/>
  <c r="AZ63" i="37"/>
  <c r="AZ64" i="37"/>
  <c r="AZ65" i="37"/>
  <c r="AZ66" i="37"/>
  <c r="AZ67" i="37"/>
  <c r="AZ68" i="37"/>
  <c r="AZ69" i="37"/>
  <c r="AZ70" i="37"/>
  <c r="AZ71" i="37"/>
  <c r="AZ72" i="37"/>
  <c r="AZ73" i="37"/>
  <c r="AZ74" i="37"/>
  <c r="AZ75" i="37"/>
  <c r="AZ76" i="37"/>
  <c r="AZ77" i="37"/>
  <c r="AZ78" i="37"/>
  <c r="AZ79" i="37"/>
  <c r="AZ80" i="37"/>
  <c r="AZ81" i="37"/>
  <c r="AZ82" i="37"/>
  <c r="AZ83" i="37"/>
  <c r="AZ84" i="37"/>
  <c r="AY89" i="37"/>
  <c r="AY96" i="37"/>
  <c r="AY93" i="37"/>
  <c r="AY94" i="37"/>
  <c r="AY87" i="37"/>
  <c r="AY91" i="37"/>
  <c r="AY88" i="37"/>
  <c r="AY95" i="37"/>
  <c r="AY86" i="37"/>
  <c r="AY92" i="37"/>
  <c r="AY90" i="37"/>
  <c r="AY85" i="37"/>
  <c r="AZ28" i="37"/>
  <c r="BA29" i="37"/>
  <c r="D48" i="1"/>
  <c r="D50" i="1"/>
  <c r="BA30" i="37" l="1"/>
  <c r="BA31" i="37"/>
  <c r="BA32" i="37"/>
  <c r="BA33" i="37"/>
  <c r="BA34" i="37"/>
  <c r="BA35" i="37"/>
  <c r="BA36" i="37"/>
  <c r="BA37" i="37"/>
  <c r="BA38" i="37"/>
  <c r="BA39" i="37"/>
  <c r="BA40" i="37"/>
  <c r="BA41" i="37"/>
  <c r="BA42" i="37"/>
  <c r="BA43" i="37"/>
  <c r="BA47" i="37"/>
  <c r="BA44" i="37"/>
  <c r="BA48" i="37"/>
  <c r="BA45" i="37"/>
  <c r="BA49" i="37"/>
  <c r="BA50" i="37"/>
  <c r="BA51" i="37"/>
  <c r="BA52" i="37"/>
  <c r="BA53" i="37"/>
  <c r="BA54" i="37"/>
  <c r="BA57" i="37"/>
  <c r="BA61" i="37"/>
  <c r="BA65" i="37"/>
  <c r="BA58" i="37"/>
  <c r="BA62" i="37"/>
  <c r="BA66" i="37"/>
  <c r="BA67" i="37"/>
  <c r="BA69" i="37"/>
  <c r="BA46" i="37"/>
  <c r="BA55" i="37"/>
  <c r="BA59" i="37"/>
  <c r="BA63" i="37"/>
  <c r="BA56" i="37"/>
  <c r="BA60" i="37"/>
  <c r="BA64" i="37"/>
  <c r="BA68" i="37"/>
  <c r="BA70" i="37"/>
  <c r="BA71" i="37"/>
  <c r="BA72" i="37"/>
  <c r="BA73" i="37"/>
  <c r="BA74" i="37"/>
  <c r="BA75" i="37"/>
  <c r="BA76" i="37"/>
  <c r="BA77" i="37"/>
  <c r="BA78" i="37"/>
  <c r="BA79" i="37"/>
  <c r="BA80" i="37"/>
  <c r="BA81" i="37"/>
  <c r="BA82" i="37"/>
  <c r="BA83" i="37"/>
  <c r="BA84" i="37"/>
  <c r="AZ96" i="37"/>
  <c r="AZ95" i="37"/>
  <c r="AZ94" i="37"/>
  <c r="AZ93" i="37"/>
  <c r="AZ92" i="37"/>
  <c r="AZ91" i="37"/>
  <c r="AZ90" i="37"/>
  <c r="AZ89" i="37"/>
  <c r="AZ88" i="37"/>
  <c r="AZ87" i="37"/>
  <c r="AZ86" i="37"/>
  <c r="AZ85" i="37"/>
  <c r="BB29" i="37"/>
  <c r="BA28" i="37"/>
  <c r="D51" i="1"/>
  <c r="B30" i="1" s="1"/>
  <c r="K29" i="1" l="1"/>
  <c r="E52" i="33" s="1"/>
  <c r="N22" i="1"/>
  <c r="E46" i="19"/>
  <c r="BB30" i="37"/>
  <c r="BB31" i="37"/>
  <c r="BB32" i="37"/>
  <c r="BB33" i="37"/>
  <c r="BB34" i="37"/>
  <c r="BB35" i="37"/>
  <c r="BB36" i="37"/>
  <c r="BB37" i="37"/>
  <c r="BB38" i="37"/>
  <c r="BB39" i="37"/>
  <c r="BB40" i="37"/>
  <c r="BB41" i="37"/>
  <c r="BB42" i="37"/>
  <c r="BB43" i="37"/>
  <c r="BB44" i="37"/>
  <c r="BB45" i="37"/>
  <c r="BB46" i="37"/>
  <c r="BB47" i="37"/>
  <c r="BB48" i="37"/>
  <c r="BB49" i="37"/>
  <c r="BB53" i="37"/>
  <c r="BB55" i="37"/>
  <c r="BB56" i="37"/>
  <c r="BB57" i="37"/>
  <c r="BB58" i="37"/>
  <c r="BB59" i="37"/>
  <c r="BB60" i="37"/>
  <c r="BB61" i="37"/>
  <c r="BB62" i="37"/>
  <c r="BB63" i="37"/>
  <c r="BB64" i="37"/>
  <c r="BB65" i="37"/>
  <c r="BB66" i="37"/>
  <c r="BB50" i="37"/>
  <c r="BB54" i="37"/>
  <c r="BB51" i="37"/>
  <c r="BB68" i="37"/>
  <c r="BB52" i="37"/>
  <c r="BB67" i="37"/>
  <c r="BB69" i="37"/>
  <c r="BB70" i="37"/>
  <c r="BB71" i="37"/>
  <c r="BB72" i="37"/>
  <c r="BB73" i="37"/>
  <c r="BB74" i="37"/>
  <c r="BB75" i="37"/>
  <c r="BB76" i="37"/>
  <c r="BB84" i="37"/>
  <c r="BB77" i="37"/>
  <c r="BB78" i="37"/>
  <c r="BB79" i="37"/>
  <c r="BB80" i="37"/>
  <c r="BB81" i="37"/>
  <c r="BB82" i="37"/>
  <c r="BB83" i="37"/>
  <c r="BA96" i="37"/>
  <c r="BA95" i="37"/>
  <c r="BA94" i="37"/>
  <c r="BA93" i="37"/>
  <c r="BA85" i="37"/>
  <c r="BA92" i="37"/>
  <c r="BA91" i="37"/>
  <c r="BA88" i="37"/>
  <c r="BA86" i="37"/>
  <c r="BA90" i="37"/>
  <c r="BA87" i="37"/>
  <c r="BA89" i="37"/>
  <c r="BB28" i="37"/>
  <c r="BC29" i="37"/>
  <c r="D30" i="1"/>
  <c r="E39" i="1" s="1"/>
  <c r="G14" i="33" s="1"/>
  <c r="I20" i="33" s="1"/>
  <c r="E29" i="1"/>
  <c r="D7" i="1"/>
  <c r="E9" i="1" s="1"/>
  <c r="H29" i="1" l="1"/>
  <c r="H39" i="1" s="1"/>
  <c r="I42" i="1" s="1"/>
  <c r="F29" i="1"/>
  <c r="E39" i="33"/>
  <c r="E15" i="33"/>
  <c r="E25" i="33"/>
  <c r="E17" i="33"/>
  <c r="BC30" i="37"/>
  <c r="BC32" i="37"/>
  <c r="BC31" i="37"/>
  <c r="BC34" i="37"/>
  <c r="BC36" i="37"/>
  <c r="BC37" i="37"/>
  <c r="BC38" i="37"/>
  <c r="BC39" i="37"/>
  <c r="BC40" i="37"/>
  <c r="BC41" i="37"/>
  <c r="BC42" i="37"/>
  <c r="BC33" i="37"/>
  <c r="BC35" i="37"/>
  <c r="BC43" i="37"/>
  <c r="BC44" i="37"/>
  <c r="BC45" i="37"/>
  <c r="BC46" i="37"/>
  <c r="BC47" i="37"/>
  <c r="BC48" i="37"/>
  <c r="BC49" i="37"/>
  <c r="BC50" i="37"/>
  <c r="BC51" i="37"/>
  <c r="BC52" i="37"/>
  <c r="BC53" i="37"/>
  <c r="BC54" i="37"/>
  <c r="BC55" i="37"/>
  <c r="BC56" i="37"/>
  <c r="BC57" i="37"/>
  <c r="BC58" i="37"/>
  <c r="BC59" i="37"/>
  <c r="BC60" i="37"/>
  <c r="BC61" i="37"/>
  <c r="BC62" i="37"/>
  <c r="BC63" i="37"/>
  <c r="BC64" i="37"/>
  <c r="BC65" i="37"/>
  <c r="BC66" i="37"/>
  <c r="BC67" i="37"/>
  <c r="BC68" i="37"/>
  <c r="BC70" i="37"/>
  <c r="BC71" i="37"/>
  <c r="BC72" i="37"/>
  <c r="BC73" i="37"/>
  <c r="BC74" i="37"/>
  <c r="BC75" i="37"/>
  <c r="BC76" i="37"/>
  <c r="BC69" i="37"/>
  <c r="BC77" i="37"/>
  <c r="BC78" i="37"/>
  <c r="BC79" i="37"/>
  <c r="BC80" i="37"/>
  <c r="BC81" i="37"/>
  <c r="BC82" i="37"/>
  <c r="BC83" i="37"/>
  <c r="BC84" i="37"/>
  <c r="BB96" i="37"/>
  <c r="BB95" i="37"/>
  <c r="BB94" i="37"/>
  <c r="BB93" i="37"/>
  <c r="BB88" i="37"/>
  <c r="BB90" i="37"/>
  <c r="BB89" i="37"/>
  <c r="BB85" i="37"/>
  <c r="BB92" i="37"/>
  <c r="BB86" i="37"/>
  <c r="BB91" i="37"/>
  <c r="BB87" i="37"/>
  <c r="BC28" i="37"/>
  <c r="BD29" i="37"/>
  <c r="F9" i="1"/>
  <c r="F33" i="1" s="1"/>
  <c r="F34" i="1" l="1"/>
  <c r="BD31" i="37"/>
  <c r="BD33" i="37"/>
  <c r="BD34" i="37"/>
  <c r="BD35" i="37"/>
  <c r="BD30" i="37"/>
  <c r="BD32" i="37"/>
  <c r="BD37" i="37"/>
  <c r="BD41" i="37"/>
  <c r="BD38" i="37"/>
  <c r="BD42" i="37"/>
  <c r="BD39" i="37"/>
  <c r="BD43" i="37"/>
  <c r="BD44" i="37"/>
  <c r="BD45" i="37"/>
  <c r="BD46" i="37"/>
  <c r="BD47" i="37"/>
  <c r="BD48" i="37"/>
  <c r="BD49" i="37"/>
  <c r="BD50" i="37"/>
  <c r="BD51" i="37"/>
  <c r="BD52" i="37"/>
  <c r="BD53" i="37"/>
  <c r="BD54" i="37"/>
  <c r="BD36" i="37"/>
  <c r="BD40" i="37"/>
  <c r="BD55" i="37"/>
  <c r="BD56" i="37"/>
  <c r="BD57" i="37"/>
  <c r="BD58" i="37"/>
  <c r="BD59" i="37"/>
  <c r="BD60" i="37"/>
  <c r="BD61" i="37"/>
  <c r="BD62" i="37"/>
  <c r="BD63" i="37"/>
  <c r="BD64" i="37"/>
  <c r="BD65" i="37"/>
  <c r="BD66" i="37"/>
  <c r="BD67" i="37"/>
  <c r="BD68" i="37"/>
  <c r="BD69" i="37"/>
  <c r="BD70" i="37"/>
  <c r="BD71" i="37"/>
  <c r="BD72" i="37"/>
  <c r="BD73" i="37"/>
  <c r="BD74" i="37"/>
  <c r="BD75" i="37"/>
  <c r="BD76" i="37"/>
  <c r="BD77" i="37"/>
  <c r="BD78" i="37"/>
  <c r="BD79" i="37"/>
  <c r="BD80" i="37"/>
  <c r="BD81" i="37"/>
  <c r="BD82" i="37"/>
  <c r="BD83" i="37"/>
  <c r="BD84" i="37"/>
  <c r="BC96" i="37"/>
  <c r="BC95" i="37"/>
  <c r="BC94" i="37"/>
  <c r="BC93" i="37"/>
  <c r="BC92" i="37"/>
  <c r="BC91" i="37"/>
  <c r="BC90" i="37"/>
  <c r="BC89" i="37"/>
  <c r="BC88" i="37"/>
  <c r="BC87" i="37"/>
  <c r="BC86" i="37"/>
  <c r="BC85" i="37"/>
  <c r="BD28" i="37"/>
  <c r="BE29" i="37"/>
  <c r="E40" i="1"/>
  <c r="BE30" i="37" l="1"/>
  <c r="BE31" i="37"/>
  <c r="BE32" i="37"/>
  <c r="BE33" i="37"/>
  <c r="BE34" i="37"/>
  <c r="BE35" i="37"/>
  <c r="BE36" i="37"/>
  <c r="BE37" i="37"/>
  <c r="BE38" i="37"/>
  <c r="BE39" i="37"/>
  <c r="BE40" i="37"/>
  <c r="BE41" i="37"/>
  <c r="BE42" i="37"/>
  <c r="BE46" i="37"/>
  <c r="BE43" i="37"/>
  <c r="BE47" i="37"/>
  <c r="BE44" i="37"/>
  <c r="BE48" i="37"/>
  <c r="BE49" i="37"/>
  <c r="BE50" i="37"/>
  <c r="BE51" i="37"/>
  <c r="BE52" i="37"/>
  <c r="BE53" i="37"/>
  <c r="BE54" i="37"/>
  <c r="BE45" i="37"/>
  <c r="BE56" i="37"/>
  <c r="BE60" i="37"/>
  <c r="BE64" i="37"/>
  <c r="BE57" i="37"/>
  <c r="BE61" i="37"/>
  <c r="BE65" i="37"/>
  <c r="BE68" i="37"/>
  <c r="BE69" i="37"/>
  <c r="BE58" i="37"/>
  <c r="BE62" i="37"/>
  <c r="BE55" i="37"/>
  <c r="BE59" i="37"/>
  <c r="BE63" i="37"/>
  <c r="BE67" i="37"/>
  <c r="BE70" i="37"/>
  <c r="BE71" i="37"/>
  <c r="BE72" i="37"/>
  <c r="BE73" i="37"/>
  <c r="BE74" i="37"/>
  <c r="BE75" i="37"/>
  <c r="BE76" i="37"/>
  <c r="BE66" i="37"/>
  <c r="BE77" i="37"/>
  <c r="BE78" i="37"/>
  <c r="BE79" i="37"/>
  <c r="BE80" i="37"/>
  <c r="BE81" i="37"/>
  <c r="BE82" i="37"/>
  <c r="BE83" i="37"/>
  <c r="BE84" i="37"/>
  <c r="BD96" i="37"/>
  <c r="BD95" i="37"/>
  <c r="BD94" i="37"/>
  <c r="BD93" i="37"/>
  <c r="BD86" i="37"/>
  <c r="BD92" i="37"/>
  <c r="BD90" i="37"/>
  <c r="BD85" i="37"/>
  <c r="BD91" i="37"/>
  <c r="BD88" i="37"/>
  <c r="BD87" i="37"/>
  <c r="BD89" i="37"/>
  <c r="BE28" i="37"/>
  <c r="BF29" i="37"/>
  <c r="BF30" i="37" l="1"/>
  <c r="BF31" i="37"/>
  <c r="BF32" i="37"/>
  <c r="BF33" i="37"/>
  <c r="BF34" i="37"/>
  <c r="BF35" i="37"/>
  <c r="BF36" i="37"/>
  <c r="BF37" i="37"/>
  <c r="BF38" i="37"/>
  <c r="BF39" i="37"/>
  <c r="BF40" i="37"/>
  <c r="BF41" i="37"/>
  <c r="BF42" i="37"/>
  <c r="BF43" i="37"/>
  <c r="BF44" i="37"/>
  <c r="BF45" i="37"/>
  <c r="BF46" i="37"/>
  <c r="BF47" i="37"/>
  <c r="BF48" i="37"/>
  <c r="BF52" i="37"/>
  <c r="BF55" i="37"/>
  <c r="BF56" i="37"/>
  <c r="BF57" i="37"/>
  <c r="BF58" i="37"/>
  <c r="BF59" i="37"/>
  <c r="BF60" i="37"/>
  <c r="BF61" i="37"/>
  <c r="BF62" i="37"/>
  <c r="BF63" i="37"/>
  <c r="BF64" i="37"/>
  <c r="BF65" i="37"/>
  <c r="BF66" i="37"/>
  <c r="BF49" i="37"/>
  <c r="BF53" i="37"/>
  <c r="BF50" i="37"/>
  <c r="BF54" i="37"/>
  <c r="BF67" i="37"/>
  <c r="BF51" i="37"/>
  <c r="BF68" i="37"/>
  <c r="BF69" i="37"/>
  <c r="BF70" i="37"/>
  <c r="BF71" i="37"/>
  <c r="BF72" i="37"/>
  <c r="BF73" i="37"/>
  <c r="BF74" i="37"/>
  <c r="BF75" i="37"/>
  <c r="BF76" i="37"/>
  <c r="BF83" i="37"/>
  <c r="BF77" i="37"/>
  <c r="BF78" i="37"/>
  <c r="BF79" i="37"/>
  <c r="BF80" i="37"/>
  <c r="BF81" i="37"/>
  <c r="BF82" i="37"/>
  <c r="BF84" i="37"/>
  <c r="BE96" i="37"/>
  <c r="BE95" i="37"/>
  <c r="BE94" i="37"/>
  <c r="BE93" i="37"/>
  <c r="BE92" i="37"/>
  <c r="BE91" i="37"/>
  <c r="BE90" i="37"/>
  <c r="BE89" i="37"/>
  <c r="BE88" i="37"/>
  <c r="BE85" i="37"/>
  <c r="BE87" i="37"/>
  <c r="BE86" i="37"/>
  <c r="BF28" i="37"/>
  <c r="BG29" i="37"/>
  <c r="F39" i="1" l="1"/>
  <c r="F40" i="1"/>
  <c r="G41" i="1" s="1"/>
  <c r="BG31" i="37"/>
  <c r="BG33" i="37"/>
  <c r="BG30" i="37"/>
  <c r="BG35" i="37"/>
  <c r="BG32" i="37"/>
  <c r="BG36" i="37"/>
  <c r="BG37" i="37"/>
  <c r="BG38" i="37"/>
  <c r="BG39" i="37"/>
  <c r="BG40" i="37"/>
  <c r="BG41" i="37"/>
  <c r="BG42" i="37"/>
  <c r="BG34" i="37"/>
  <c r="BG43" i="37"/>
  <c r="BG44" i="37"/>
  <c r="BG45" i="37"/>
  <c r="BG46" i="37"/>
  <c r="BG47" i="37"/>
  <c r="BG48" i="37"/>
  <c r="BG49" i="37"/>
  <c r="BG50" i="37"/>
  <c r="BG51" i="37"/>
  <c r="BG52" i="37"/>
  <c r="BG53" i="37"/>
  <c r="BG54" i="37"/>
  <c r="BG55" i="37"/>
  <c r="BG56" i="37"/>
  <c r="BG57" i="37"/>
  <c r="BG58" i="37"/>
  <c r="BG59" i="37"/>
  <c r="BG60" i="37"/>
  <c r="BG61" i="37"/>
  <c r="BG62" i="37"/>
  <c r="BG63" i="37"/>
  <c r="BG64" i="37"/>
  <c r="BG65" i="37"/>
  <c r="BG66" i="37"/>
  <c r="BG67" i="37"/>
  <c r="BG68" i="37"/>
  <c r="BG69" i="37"/>
  <c r="BG70" i="37"/>
  <c r="BG71" i="37"/>
  <c r="BG72" i="37"/>
  <c r="BG73" i="37"/>
  <c r="BG74" i="37"/>
  <c r="BG75" i="37"/>
  <c r="BG76" i="37"/>
  <c r="BG77" i="37"/>
  <c r="BG78" i="37"/>
  <c r="BG79" i="37"/>
  <c r="BG80" i="37"/>
  <c r="BG81" i="37"/>
  <c r="BG82" i="37"/>
  <c r="BG83" i="37"/>
  <c r="BG84" i="37"/>
  <c r="BF96" i="37"/>
  <c r="BF95" i="37"/>
  <c r="BF94" i="37"/>
  <c r="BF93" i="37"/>
  <c r="BF92" i="37"/>
  <c r="BF87" i="37"/>
  <c r="BF90" i="37"/>
  <c r="BF86" i="37"/>
  <c r="BF89" i="37"/>
  <c r="BF88" i="37"/>
  <c r="BF85" i="37"/>
  <c r="BF91" i="37"/>
  <c r="BG28" i="37"/>
  <c r="BH29" i="37"/>
  <c r="BH30" i="37" l="1"/>
  <c r="BH32" i="37"/>
  <c r="BH34" i="37"/>
  <c r="BH35" i="37"/>
  <c r="BH31" i="37"/>
  <c r="BH33" i="37"/>
  <c r="BH36" i="37"/>
  <c r="BH40" i="37"/>
  <c r="BH37" i="37"/>
  <c r="BH41" i="37"/>
  <c r="BH38" i="37"/>
  <c r="BH42" i="37"/>
  <c r="BH43" i="37"/>
  <c r="BH44" i="37"/>
  <c r="BH45" i="37"/>
  <c r="BH46" i="37"/>
  <c r="BH47" i="37"/>
  <c r="BH48" i="37"/>
  <c r="BH49" i="37"/>
  <c r="BH50" i="37"/>
  <c r="BH51" i="37"/>
  <c r="BH52" i="37"/>
  <c r="BH53" i="37"/>
  <c r="BH54" i="37"/>
  <c r="BH39" i="37"/>
  <c r="BH55" i="37"/>
  <c r="BH56" i="37"/>
  <c r="BH57" i="37"/>
  <c r="BH58" i="37"/>
  <c r="BH59" i="37"/>
  <c r="BH60" i="37"/>
  <c r="BH61" i="37"/>
  <c r="BH62" i="37"/>
  <c r="BH63" i="37"/>
  <c r="BH64" i="37"/>
  <c r="BH65" i="37"/>
  <c r="BH66" i="37"/>
  <c r="BH67" i="37"/>
  <c r="BH68" i="37"/>
  <c r="BH69" i="37"/>
  <c r="BH70" i="37"/>
  <c r="BH71" i="37"/>
  <c r="BH72" i="37"/>
  <c r="BH73" i="37"/>
  <c r="BH74" i="37"/>
  <c r="BH75" i="37"/>
  <c r="BH76" i="37"/>
  <c r="BH77" i="37"/>
  <c r="BH78" i="37"/>
  <c r="BH79" i="37"/>
  <c r="BH80" i="37"/>
  <c r="BH81" i="37"/>
  <c r="BH82" i="37"/>
  <c r="BH83" i="37"/>
  <c r="BH84" i="37"/>
  <c r="BG96" i="37"/>
  <c r="BG95" i="37"/>
  <c r="BG94" i="37"/>
  <c r="BG93" i="37"/>
  <c r="BG92" i="37"/>
  <c r="BG89" i="37"/>
  <c r="BG85" i="37"/>
  <c r="BG90" i="37"/>
  <c r="BG86" i="37"/>
  <c r="BG87" i="37"/>
  <c r="BG91" i="37"/>
  <c r="BG88" i="37"/>
  <c r="BH28" i="37"/>
  <c r="BI29" i="37"/>
  <c r="I43" i="1"/>
  <c r="J43" i="1" l="1"/>
  <c r="J44" i="1" s="1"/>
  <c r="BI30" i="37"/>
  <c r="BI31" i="37"/>
  <c r="BI32" i="37"/>
  <c r="BI33" i="37"/>
  <c r="BI34" i="37"/>
  <c r="BI35" i="37"/>
  <c r="BI36" i="37"/>
  <c r="BI37" i="37"/>
  <c r="BI38" i="37"/>
  <c r="BI39" i="37"/>
  <c r="BI40" i="37"/>
  <c r="BI41" i="37"/>
  <c r="BI42" i="37"/>
  <c r="BI45" i="37"/>
  <c r="BI46" i="37"/>
  <c r="BI43" i="37"/>
  <c r="BI47" i="37"/>
  <c r="BI49" i="37"/>
  <c r="BI50" i="37"/>
  <c r="BI51" i="37"/>
  <c r="BI52" i="37"/>
  <c r="BI53" i="37"/>
  <c r="BI54" i="37"/>
  <c r="BI44" i="37"/>
  <c r="BI48" i="37"/>
  <c r="BI55" i="37"/>
  <c r="BI59" i="37"/>
  <c r="BI63" i="37"/>
  <c r="BI56" i="37"/>
  <c r="BI60" i="37"/>
  <c r="BI64" i="37"/>
  <c r="BI67" i="37"/>
  <c r="BI57" i="37"/>
  <c r="BI61" i="37"/>
  <c r="BI58" i="37"/>
  <c r="BI62" i="37"/>
  <c r="BI66" i="37"/>
  <c r="BI65" i="37"/>
  <c r="BI68" i="37"/>
  <c r="BI69" i="37"/>
  <c r="BI70" i="37"/>
  <c r="BI71" i="37"/>
  <c r="BI72" i="37"/>
  <c r="BI73" i="37"/>
  <c r="BI74" i="37"/>
  <c r="BI75" i="37"/>
  <c r="BI76" i="37"/>
  <c r="BI77" i="37"/>
  <c r="BI78" i="37"/>
  <c r="BI79" i="37"/>
  <c r="BI80" i="37"/>
  <c r="BI81" i="37"/>
  <c r="BI82" i="37"/>
  <c r="BI83" i="37"/>
  <c r="BI84" i="37"/>
  <c r="BH96" i="37"/>
  <c r="BH95" i="37"/>
  <c r="BH94" i="37"/>
  <c r="BH93" i="37"/>
  <c r="BH92" i="37"/>
  <c r="BH91" i="37"/>
  <c r="BH88" i="37"/>
  <c r="BH89" i="37"/>
  <c r="BH85" i="37"/>
  <c r="BH87" i="37"/>
  <c r="BH86" i="37"/>
  <c r="BH90" i="37"/>
  <c r="BI28" i="37"/>
  <c r="BJ29" i="37"/>
  <c r="K43" i="1" l="1"/>
  <c r="K44" i="1" s="1"/>
  <c r="J45" i="1"/>
  <c r="BJ30" i="37"/>
  <c r="BJ31" i="37"/>
  <c r="BJ32" i="37"/>
  <c r="BJ33" i="37"/>
  <c r="BJ34" i="37"/>
  <c r="BJ35" i="37"/>
  <c r="BJ36" i="37"/>
  <c r="BJ37" i="37"/>
  <c r="BJ38" i="37"/>
  <c r="BJ39" i="37"/>
  <c r="BJ40" i="37"/>
  <c r="BJ41" i="37"/>
  <c r="BJ42" i="37"/>
  <c r="BJ43" i="37"/>
  <c r="BJ44" i="37"/>
  <c r="BJ45" i="37"/>
  <c r="BJ46" i="37"/>
  <c r="BJ47" i="37"/>
  <c r="BJ48" i="37"/>
  <c r="BJ51" i="37"/>
  <c r="BJ55" i="37"/>
  <c r="BJ56" i="37"/>
  <c r="BJ57" i="37"/>
  <c r="BJ58" i="37"/>
  <c r="BJ59" i="37"/>
  <c r="BJ60" i="37"/>
  <c r="BJ61" i="37"/>
  <c r="BJ62" i="37"/>
  <c r="BJ63" i="37"/>
  <c r="BJ64" i="37"/>
  <c r="BJ65" i="37"/>
  <c r="BJ52" i="37"/>
  <c r="BJ49" i="37"/>
  <c r="BJ53" i="37"/>
  <c r="BJ66" i="37"/>
  <c r="BJ68" i="37"/>
  <c r="BJ50" i="37"/>
  <c r="BJ54" i="37"/>
  <c r="BJ67" i="37"/>
  <c r="BJ69" i="37"/>
  <c r="BJ70" i="37"/>
  <c r="BJ71" i="37"/>
  <c r="BJ72" i="37"/>
  <c r="BJ73" i="37"/>
  <c r="BJ74" i="37"/>
  <c r="BJ75" i="37"/>
  <c r="BJ76" i="37"/>
  <c r="BJ84" i="37"/>
  <c r="BJ77" i="37"/>
  <c r="BJ78" i="37"/>
  <c r="BJ79" i="37"/>
  <c r="BJ80" i="37"/>
  <c r="BJ81" i="37"/>
  <c r="BJ82" i="37"/>
  <c r="BJ83" i="37"/>
  <c r="BI96" i="37"/>
  <c r="BI95" i="37"/>
  <c r="BI94" i="37"/>
  <c r="BI93" i="37"/>
  <c r="BI89" i="37"/>
  <c r="BI85" i="37"/>
  <c r="BI86" i="37"/>
  <c r="BI92" i="37"/>
  <c r="BI90" i="37"/>
  <c r="BI87" i="37"/>
  <c r="BI91" i="37"/>
  <c r="BI88" i="37"/>
  <c r="BJ28" i="37"/>
  <c r="BK29" i="37"/>
  <c r="K45" i="1" l="1"/>
  <c r="C50" i="33" s="1"/>
  <c r="BK30" i="37"/>
  <c r="BK32" i="37"/>
  <c r="BK33" i="37"/>
  <c r="BK34" i="37"/>
  <c r="BK35" i="37"/>
  <c r="BK36" i="37"/>
  <c r="BK37" i="37"/>
  <c r="BK38" i="37"/>
  <c r="BK39" i="37"/>
  <c r="BK40" i="37"/>
  <c r="BK41" i="37"/>
  <c r="BK42" i="37"/>
  <c r="BK43" i="37"/>
  <c r="BK44" i="37"/>
  <c r="BK45" i="37"/>
  <c r="BK46" i="37"/>
  <c r="BK47" i="37"/>
  <c r="BK48" i="37"/>
  <c r="BK31" i="37"/>
  <c r="BK49" i="37"/>
  <c r="BK50" i="37"/>
  <c r="BK51" i="37"/>
  <c r="BK52" i="37"/>
  <c r="BK53" i="37"/>
  <c r="BK54" i="37"/>
  <c r="BK55" i="37"/>
  <c r="BK56" i="37"/>
  <c r="BK57" i="37"/>
  <c r="BK58" i="37"/>
  <c r="BK59" i="37"/>
  <c r="BK60" i="37"/>
  <c r="BK61" i="37"/>
  <c r="BK62" i="37"/>
  <c r="BK63" i="37"/>
  <c r="BK64" i="37"/>
  <c r="BK65" i="37"/>
  <c r="BK66" i="37"/>
  <c r="BK67" i="37"/>
  <c r="BK68" i="37"/>
  <c r="BK69" i="37"/>
  <c r="BK70" i="37"/>
  <c r="BK71" i="37"/>
  <c r="BK72" i="37"/>
  <c r="BK73" i="37"/>
  <c r="BK74" i="37"/>
  <c r="BK75" i="37"/>
  <c r="BK76" i="37"/>
  <c r="BK77" i="37"/>
  <c r="BK78" i="37"/>
  <c r="BK79" i="37"/>
  <c r="BK80" i="37"/>
  <c r="BK81" i="37"/>
  <c r="BK82" i="37"/>
  <c r="BK83" i="37"/>
  <c r="BK84" i="37"/>
  <c r="BJ96" i="37"/>
  <c r="BJ95" i="37"/>
  <c r="BJ94" i="37"/>
  <c r="BJ93" i="37"/>
  <c r="BJ86" i="37"/>
  <c r="BJ92" i="37"/>
  <c r="BJ91" i="37"/>
  <c r="BJ88" i="37"/>
  <c r="BJ87" i="37"/>
  <c r="BJ85" i="37"/>
  <c r="BJ89" i="37"/>
  <c r="BJ90" i="37"/>
  <c r="BK28" i="37"/>
  <c r="BL29" i="37"/>
  <c r="G24" i="33" l="1"/>
  <c r="I26" i="33" s="1"/>
  <c r="G37" i="33"/>
  <c r="E16" i="33"/>
  <c r="D45" i="1"/>
  <c r="E50" i="19"/>
  <c r="E51" i="19" s="1"/>
  <c r="BL31" i="37"/>
  <c r="BL33" i="37"/>
  <c r="BL34" i="37"/>
  <c r="BL35" i="37"/>
  <c r="BL30" i="37"/>
  <c r="BL32" i="37"/>
  <c r="BL39" i="37"/>
  <c r="BL36" i="37"/>
  <c r="BL40" i="37"/>
  <c r="BL37" i="37"/>
  <c r="BL41" i="37"/>
  <c r="BL43" i="37"/>
  <c r="BL44" i="37"/>
  <c r="BL45" i="37"/>
  <c r="BL46" i="37"/>
  <c r="BL47" i="37"/>
  <c r="BL48" i="37"/>
  <c r="BL38" i="37"/>
  <c r="BL49" i="37"/>
  <c r="BL50" i="37"/>
  <c r="BL51" i="37"/>
  <c r="BL52" i="37"/>
  <c r="BL53" i="37"/>
  <c r="BL54" i="37"/>
  <c r="BL42" i="37"/>
  <c r="BL55" i="37"/>
  <c r="BL56" i="37"/>
  <c r="BL57" i="37"/>
  <c r="BL58" i="37"/>
  <c r="BL59" i="37"/>
  <c r="BL60" i="37"/>
  <c r="BL61" i="37"/>
  <c r="BL62" i="37"/>
  <c r="BL63" i="37"/>
  <c r="BL64" i="37"/>
  <c r="BL65" i="37"/>
  <c r="BL66" i="37"/>
  <c r="BL67" i="37"/>
  <c r="BL68" i="37"/>
  <c r="BL69" i="37"/>
  <c r="BL70" i="37"/>
  <c r="BL71" i="37"/>
  <c r="BL72" i="37"/>
  <c r="BL73" i="37"/>
  <c r="BL74" i="37"/>
  <c r="BL75" i="37"/>
  <c r="BL76" i="37"/>
  <c r="BL77" i="37"/>
  <c r="BL78" i="37"/>
  <c r="BL79" i="37"/>
  <c r="BL80" i="37"/>
  <c r="BL81" i="37"/>
  <c r="BL82" i="37"/>
  <c r="BL83" i="37"/>
  <c r="BL84" i="37"/>
  <c r="BK90" i="37"/>
  <c r="BK96" i="37"/>
  <c r="BK94" i="37"/>
  <c r="BK86" i="37"/>
  <c r="BK87" i="37"/>
  <c r="BK95" i="37"/>
  <c r="BK92" i="37"/>
  <c r="BK93" i="37"/>
  <c r="BK88" i="37"/>
  <c r="BK85" i="37"/>
  <c r="BK89" i="37"/>
  <c r="BK91" i="37"/>
  <c r="BL28" i="37"/>
  <c r="BM29" i="37"/>
  <c r="E27" i="33" l="1"/>
  <c r="E50" i="33"/>
  <c r="G50" i="33"/>
  <c r="E26" i="33"/>
  <c r="E40" i="33"/>
  <c r="BM30" i="37"/>
  <c r="BM31" i="37"/>
  <c r="BM32" i="37"/>
  <c r="BM33" i="37"/>
  <c r="BM34" i="37"/>
  <c r="BM35" i="37"/>
  <c r="BM36" i="37"/>
  <c r="BM37" i="37"/>
  <c r="BM38" i="37"/>
  <c r="BM39" i="37"/>
  <c r="BM40" i="37"/>
  <c r="BM41" i="37"/>
  <c r="BM42" i="37"/>
  <c r="BM44" i="37"/>
  <c r="BM48" i="37"/>
  <c r="BM45" i="37"/>
  <c r="BM46" i="37"/>
  <c r="BM49" i="37"/>
  <c r="BM50" i="37"/>
  <c r="BM51" i="37"/>
  <c r="BM52" i="37"/>
  <c r="BM53" i="37"/>
  <c r="BM54" i="37"/>
  <c r="BM43" i="37"/>
  <c r="BM47" i="37"/>
  <c r="BM58" i="37"/>
  <c r="BM62" i="37"/>
  <c r="BM55" i="37"/>
  <c r="BM59" i="37"/>
  <c r="BM63" i="37"/>
  <c r="BM66" i="37"/>
  <c r="BM68" i="37"/>
  <c r="BM56" i="37"/>
  <c r="BM60" i="37"/>
  <c r="BM64" i="37"/>
  <c r="BM57" i="37"/>
  <c r="BM61" i="37"/>
  <c r="BM65" i="37"/>
  <c r="BM67" i="37"/>
  <c r="BM69" i="37"/>
  <c r="BM70" i="37"/>
  <c r="BM71" i="37"/>
  <c r="BM72" i="37"/>
  <c r="BM73" i="37"/>
  <c r="BM74" i="37"/>
  <c r="BM75" i="37"/>
  <c r="BM76" i="37"/>
  <c r="BM77" i="37"/>
  <c r="BM78" i="37"/>
  <c r="BM79" i="37"/>
  <c r="BM80" i="37"/>
  <c r="BM81" i="37"/>
  <c r="BM82" i="37"/>
  <c r="BM83" i="37"/>
  <c r="BM84" i="37"/>
  <c r="BL96" i="37"/>
  <c r="BL95" i="37"/>
  <c r="BL94" i="37"/>
  <c r="BL93" i="37"/>
  <c r="BL92" i="37"/>
  <c r="BL91" i="37"/>
  <c r="BL90" i="37"/>
  <c r="BL89" i="37"/>
  <c r="BL88" i="37"/>
  <c r="BL87" i="37"/>
  <c r="BL86" i="37"/>
  <c r="BL85" i="37"/>
  <c r="BM28" i="37"/>
  <c r="BN29" i="37"/>
  <c r="F50" i="33" l="1"/>
  <c r="E54" i="33" s="1"/>
  <c r="E53" i="33"/>
  <c r="F37" i="33"/>
  <c r="I33" i="33" s="1"/>
  <c r="BN30" i="37"/>
  <c r="BN31" i="37"/>
  <c r="BN32" i="37"/>
  <c r="BN33" i="37"/>
  <c r="BN34" i="37"/>
  <c r="BN35" i="37"/>
  <c r="BN36" i="37"/>
  <c r="BN37" i="37"/>
  <c r="BN38" i="37"/>
  <c r="BN39" i="37"/>
  <c r="BN40" i="37"/>
  <c r="BN41" i="37"/>
  <c r="BN42" i="37"/>
  <c r="BN43" i="37"/>
  <c r="BN44" i="37"/>
  <c r="BN45" i="37"/>
  <c r="BN46" i="37"/>
  <c r="BN47" i="37"/>
  <c r="BN48" i="37"/>
  <c r="BN50" i="37"/>
  <c r="BN54" i="37"/>
  <c r="BN55" i="37"/>
  <c r="BN56" i="37"/>
  <c r="BN57" i="37"/>
  <c r="BN58" i="37"/>
  <c r="BN59" i="37"/>
  <c r="BN60" i="37"/>
  <c r="BN61" i="37"/>
  <c r="BN62" i="37"/>
  <c r="BN63" i="37"/>
  <c r="BN64" i="37"/>
  <c r="BN65" i="37"/>
  <c r="BN51" i="37"/>
  <c r="BN52" i="37"/>
  <c r="BN49" i="37"/>
  <c r="BN67" i="37"/>
  <c r="BN53" i="37"/>
  <c r="BN66" i="37"/>
  <c r="BN68" i="37"/>
  <c r="BN69" i="37"/>
  <c r="BN70" i="37"/>
  <c r="BN71" i="37"/>
  <c r="BN72" i="37"/>
  <c r="BN73" i="37"/>
  <c r="BN74" i="37"/>
  <c r="BN75" i="37"/>
  <c r="BN76" i="37"/>
  <c r="BN83" i="37"/>
  <c r="BN77" i="37"/>
  <c r="BN78" i="37"/>
  <c r="BN79" i="37"/>
  <c r="BN80" i="37"/>
  <c r="BN81" i="37"/>
  <c r="BN82" i="37"/>
  <c r="BN84" i="37"/>
  <c r="BM96" i="37"/>
  <c r="BM95" i="37"/>
  <c r="BM94" i="37"/>
  <c r="BM93" i="37"/>
  <c r="BM87" i="37"/>
  <c r="BM90" i="37"/>
  <c r="BM85" i="37"/>
  <c r="BM91" i="37"/>
  <c r="BM92" i="37"/>
  <c r="BM86" i="37"/>
  <c r="BM88" i="37"/>
  <c r="BM89" i="37"/>
  <c r="BN28" i="37"/>
  <c r="BO29" i="37"/>
  <c r="I42" i="33" l="1"/>
  <c r="K1" i="33" s="1"/>
  <c r="E41" i="33"/>
  <c r="BO31" i="37"/>
  <c r="BO33" i="37"/>
  <c r="BO30" i="37"/>
  <c r="BO34" i="37"/>
  <c r="BO32" i="37"/>
  <c r="BO35" i="37"/>
  <c r="BO36" i="37"/>
  <c r="BO37" i="37"/>
  <c r="BO38" i="37"/>
  <c r="BO39" i="37"/>
  <c r="BO40" i="37"/>
  <c r="BO41" i="37"/>
  <c r="BO42" i="37"/>
  <c r="BO43" i="37"/>
  <c r="BO44" i="37"/>
  <c r="BO45" i="37"/>
  <c r="BO46" i="37"/>
  <c r="BO47" i="37"/>
  <c r="BO48" i="37"/>
  <c r="BO49" i="37"/>
  <c r="BO50" i="37"/>
  <c r="BO51" i="37"/>
  <c r="BO52" i="37"/>
  <c r="BO53" i="37"/>
  <c r="BO54" i="37"/>
  <c r="BO55" i="37"/>
  <c r="BO56" i="37"/>
  <c r="BO57" i="37"/>
  <c r="BO58" i="37"/>
  <c r="BO59" i="37"/>
  <c r="BO60" i="37"/>
  <c r="BO61" i="37"/>
  <c r="BO62" i="37"/>
  <c r="BO63" i="37"/>
  <c r="BO64" i="37"/>
  <c r="BO65" i="37"/>
  <c r="BO66" i="37"/>
  <c r="BO67" i="37"/>
  <c r="BO68" i="37"/>
  <c r="BO69" i="37"/>
  <c r="BO70" i="37"/>
  <c r="BO71" i="37"/>
  <c r="BO72" i="37"/>
  <c r="BO73" i="37"/>
  <c r="BO74" i="37"/>
  <c r="BO75" i="37"/>
  <c r="BO76" i="37"/>
  <c r="BO77" i="37"/>
  <c r="BO78" i="37"/>
  <c r="BO79" i="37"/>
  <c r="BO80" i="37"/>
  <c r="BO81" i="37"/>
  <c r="BO82" i="37"/>
  <c r="BO83" i="37"/>
  <c r="BO84" i="37"/>
  <c r="BN96" i="37"/>
  <c r="BN95" i="37"/>
  <c r="BN94" i="37"/>
  <c r="BN93" i="37"/>
  <c r="BN87" i="37"/>
  <c r="BN92" i="37"/>
  <c r="BN91" i="37"/>
  <c r="BN88" i="37"/>
  <c r="BN90" i="37"/>
  <c r="BN89" i="37"/>
  <c r="BN85" i="37"/>
  <c r="BN86" i="37"/>
  <c r="BO28" i="37"/>
  <c r="BP29" i="37"/>
  <c r="BP30" i="37" l="1"/>
  <c r="BP32" i="37"/>
  <c r="BP34" i="37"/>
  <c r="BP35" i="37"/>
  <c r="BP31" i="37"/>
  <c r="BP33" i="37"/>
  <c r="BP38" i="37"/>
  <c r="BP42" i="37"/>
  <c r="BP39" i="37"/>
  <c r="BP36" i="37"/>
  <c r="BP40" i="37"/>
  <c r="BP43" i="37"/>
  <c r="BP44" i="37"/>
  <c r="BP45" i="37"/>
  <c r="BP46" i="37"/>
  <c r="BP47" i="37"/>
  <c r="BP48" i="37"/>
  <c r="BP37" i="37"/>
  <c r="BP41" i="37"/>
  <c r="BP49" i="37"/>
  <c r="BP50" i="37"/>
  <c r="BP51" i="37"/>
  <c r="BP52" i="37"/>
  <c r="BP53" i="37"/>
  <c r="BP54" i="37"/>
  <c r="BP55" i="37"/>
  <c r="BP56" i="37"/>
  <c r="BP57" i="37"/>
  <c r="BP58" i="37"/>
  <c r="BP59" i="37"/>
  <c r="BP60" i="37"/>
  <c r="BP61" i="37"/>
  <c r="BP62" i="37"/>
  <c r="BP63" i="37"/>
  <c r="BP64" i="37"/>
  <c r="BP65" i="37"/>
  <c r="BP66" i="37"/>
  <c r="BP67" i="37"/>
  <c r="BP68" i="37"/>
  <c r="BP69" i="37"/>
  <c r="BP70" i="37"/>
  <c r="BP71" i="37"/>
  <c r="BP72" i="37"/>
  <c r="BP73" i="37"/>
  <c r="BP74" i="37"/>
  <c r="BP75" i="37"/>
  <c r="BP76" i="37"/>
  <c r="BP77" i="37"/>
  <c r="BP78" i="37"/>
  <c r="BP79" i="37"/>
  <c r="BP80" i="37"/>
  <c r="BP81" i="37"/>
  <c r="BP82" i="37"/>
  <c r="BP83" i="37"/>
  <c r="BP84" i="37"/>
  <c r="BO96" i="37"/>
  <c r="BO95" i="37"/>
  <c r="BO94" i="37"/>
  <c r="BO93" i="37"/>
  <c r="BO92" i="37"/>
  <c r="BO91" i="37"/>
  <c r="BO90" i="37"/>
  <c r="BO89" i="37"/>
  <c r="BO88" i="37"/>
  <c r="BO87" i="37"/>
  <c r="BO86" i="37"/>
  <c r="BO85" i="37"/>
  <c r="BP28" i="37"/>
  <c r="BQ29" i="37"/>
  <c r="BQ30" i="37" l="1"/>
  <c r="BQ31" i="37"/>
  <c r="BQ32" i="37"/>
  <c r="BQ33" i="37"/>
  <c r="BQ34" i="37"/>
  <c r="BQ35" i="37"/>
  <c r="BQ36" i="37"/>
  <c r="BQ37" i="37"/>
  <c r="BQ38" i="37"/>
  <c r="BQ39" i="37"/>
  <c r="BQ40" i="37"/>
  <c r="BQ41" i="37"/>
  <c r="BQ42" i="37"/>
  <c r="BQ43" i="37"/>
  <c r="BQ47" i="37"/>
  <c r="BQ44" i="37"/>
  <c r="BQ48" i="37"/>
  <c r="BQ45" i="37"/>
  <c r="BQ49" i="37"/>
  <c r="BQ50" i="37"/>
  <c r="BQ51" i="37"/>
  <c r="BQ52" i="37"/>
  <c r="BQ53" i="37"/>
  <c r="BQ54" i="37"/>
  <c r="BQ46" i="37"/>
  <c r="BQ57" i="37"/>
  <c r="BQ61" i="37"/>
  <c r="BQ65" i="37"/>
  <c r="BQ58" i="37"/>
  <c r="BQ62" i="37"/>
  <c r="BQ67" i="37"/>
  <c r="BQ55" i="37"/>
  <c r="BQ59" i="37"/>
  <c r="BQ63" i="37"/>
  <c r="BQ56" i="37"/>
  <c r="BQ60" i="37"/>
  <c r="BQ64" i="37"/>
  <c r="BQ66" i="37"/>
  <c r="BQ68" i="37"/>
  <c r="BQ69" i="37"/>
  <c r="BQ70" i="37"/>
  <c r="BQ71" i="37"/>
  <c r="BQ72" i="37"/>
  <c r="BQ73" i="37"/>
  <c r="BQ74" i="37"/>
  <c r="BQ75" i="37"/>
  <c r="BQ76" i="37"/>
  <c r="BQ77" i="37"/>
  <c r="BQ78" i="37"/>
  <c r="BQ79" i="37"/>
  <c r="BQ80" i="37"/>
  <c r="BQ81" i="37"/>
  <c r="BQ82" i="37"/>
  <c r="BQ83" i="37"/>
  <c r="BQ84" i="37"/>
  <c r="BP96" i="37"/>
  <c r="BP95" i="37"/>
  <c r="BP94" i="37"/>
  <c r="BP93" i="37"/>
  <c r="BP89" i="37"/>
  <c r="BP85" i="37"/>
  <c r="BP92" i="37"/>
  <c r="BP91" i="37"/>
  <c r="BP88" i="37"/>
  <c r="BP87" i="37"/>
  <c r="BP86" i="37"/>
  <c r="BP90" i="37"/>
  <c r="BQ28" i="37"/>
  <c r="BR29" i="37"/>
  <c r="BR30" i="37" l="1"/>
  <c r="BR31" i="37"/>
  <c r="BR32" i="37"/>
  <c r="BR33" i="37"/>
  <c r="BR34" i="37"/>
  <c r="BR35" i="37"/>
  <c r="BR36" i="37"/>
  <c r="BR37" i="37"/>
  <c r="BR38" i="37"/>
  <c r="BR39" i="37"/>
  <c r="BR40" i="37"/>
  <c r="BR41" i="37"/>
  <c r="BR42" i="37"/>
  <c r="BR43" i="37"/>
  <c r="BR44" i="37"/>
  <c r="BR45" i="37"/>
  <c r="BR46" i="37"/>
  <c r="BR47" i="37"/>
  <c r="BR48" i="37"/>
  <c r="BR49" i="37"/>
  <c r="BR53" i="37"/>
  <c r="BR55" i="37"/>
  <c r="BR56" i="37"/>
  <c r="BR57" i="37"/>
  <c r="BR58" i="37"/>
  <c r="BR59" i="37"/>
  <c r="BR60" i="37"/>
  <c r="BR61" i="37"/>
  <c r="BR62" i="37"/>
  <c r="BR63" i="37"/>
  <c r="BR64" i="37"/>
  <c r="BR65" i="37"/>
  <c r="BR50" i="37"/>
  <c r="BR54" i="37"/>
  <c r="BR51" i="37"/>
  <c r="BR52" i="37"/>
  <c r="BR66" i="37"/>
  <c r="BR68" i="37"/>
  <c r="BR67" i="37"/>
  <c r="BR69" i="37"/>
  <c r="BR70" i="37"/>
  <c r="BR71" i="37"/>
  <c r="BR72" i="37"/>
  <c r="BR73" i="37"/>
  <c r="BR74" i="37"/>
  <c r="BR75" i="37"/>
  <c r="BR76" i="37"/>
  <c r="BR84" i="37"/>
  <c r="BR77" i="37"/>
  <c r="BR78" i="37"/>
  <c r="BR79" i="37"/>
  <c r="BR80" i="37"/>
  <c r="BR81" i="37"/>
  <c r="BR82" i="37"/>
  <c r="BR83" i="37"/>
  <c r="BQ96" i="37"/>
  <c r="BQ95" i="37"/>
  <c r="BQ94" i="37"/>
  <c r="BQ93" i="37"/>
  <c r="BQ92" i="37"/>
  <c r="BQ91" i="37"/>
  <c r="BQ90" i="37"/>
  <c r="BQ89" i="37"/>
  <c r="BQ88" i="37"/>
  <c r="BQ85" i="37"/>
  <c r="BQ87" i="37"/>
  <c r="BQ86" i="37"/>
  <c r="BR28" i="37"/>
  <c r="BS29" i="37"/>
  <c r="BS30" i="37" l="1"/>
  <c r="BS32" i="37"/>
  <c r="BS31" i="37"/>
  <c r="BS33" i="37"/>
  <c r="BS34" i="37"/>
  <c r="BS36" i="37"/>
  <c r="BS37" i="37"/>
  <c r="BS38" i="37"/>
  <c r="BS39" i="37"/>
  <c r="BS40" i="37"/>
  <c r="BS41" i="37"/>
  <c r="BS42" i="37"/>
  <c r="BS43" i="37"/>
  <c r="BS44" i="37"/>
  <c r="BS45" i="37"/>
  <c r="BS46" i="37"/>
  <c r="BS47" i="37"/>
  <c r="BS48" i="37"/>
  <c r="BS35" i="37"/>
  <c r="BS49" i="37"/>
  <c r="BS50" i="37"/>
  <c r="BS51" i="37"/>
  <c r="BS52" i="37"/>
  <c r="BS53" i="37"/>
  <c r="BS54" i="37"/>
  <c r="BS55" i="37"/>
  <c r="BS56" i="37"/>
  <c r="BS57" i="37"/>
  <c r="BS58" i="37"/>
  <c r="BS59" i="37"/>
  <c r="BS60" i="37"/>
  <c r="BS61" i="37"/>
  <c r="BS62" i="37"/>
  <c r="BS63" i="37"/>
  <c r="BS64" i="37"/>
  <c r="BS65" i="37"/>
  <c r="BS66" i="37"/>
  <c r="BS67" i="37"/>
  <c r="BS68" i="37"/>
  <c r="BS69" i="37"/>
  <c r="BS70" i="37"/>
  <c r="BS71" i="37"/>
  <c r="BS72" i="37"/>
  <c r="BS73" i="37"/>
  <c r="BS74" i="37"/>
  <c r="BS75" i="37"/>
  <c r="BS76" i="37"/>
  <c r="BS77" i="37"/>
  <c r="BS78" i="37"/>
  <c r="BS79" i="37"/>
  <c r="BS80" i="37"/>
  <c r="BS81" i="37"/>
  <c r="BS82" i="37"/>
  <c r="BS83" i="37"/>
  <c r="BS84" i="37"/>
  <c r="BR96" i="37"/>
  <c r="BR95" i="37"/>
  <c r="BR94" i="37"/>
  <c r="BR93" i="37"/>
  <c r="BR92" i="37"/>
  <c r="BR86" i="37"/>
  <c r="BR91" i="37"/>
  <c r="BR85" i="37"/>
  <c r="BR87" i="37"/>
  <c r="BR88" i="37"/>
  <c r="BR89" i="37"/>
  <c r="BR90" i="37"/>
  <c r="BT29" i="37"/>
  <c r="BS28" i="37"/>
  <c r="BT31" i="37" l="1"/>
  <c r="BT33" i="37"/>
  <c r="BT34" i="37"/>
  <c r="BT35" i="37"/>
  <c r="BT30" i="37"/>
  <c r="BT32" i="37"/>
  <c r="BT37" i="37"/>
  <c r="BT41" i="37"/>
  <c r="BT38" i="37"/>
  <c r="BT42" i="37"/>
  <c r="BT39" i="37"/>
  <c r="BT43" i="37"/>
  <c r="BT44" i="37"/>
  <c r="BT45" i="37"/>
  <c r="BT46" i="37"/>
  <c r="BT47" i="37"/>
  <c r="BT48" i="37"/>
  <c r="BT40" i="37"/>
  <c r="BT49" i="37"/>
  <c r="BT50" i="37"/>
  <c r="BT51" i="37"/>
  <c r="BT52" i="37"/>
  <c r="BT53" i="37"/>
  <c r="BT54" i="37"/>
  <c r="BT36" i="37"/>
  <c r="BT55" i="37"/>
  <c r="BT56" i="37"/>
  <c r="BT57" i="37"/>
  <c r="BT58" i="37"/>
  <c r="BT59" i="37"/>
  <c r="BT60" i="37"/>
  <c r="BT61" i="37"/>
  <c r="BT62" i="37"/>
  <c r="BT63" i="37"/>
  <c r="BT64" i="37"/>
  <c r="BT65" i="37"/>
  <c r="BT66" i="37"/>
  <c r="BT67" i="37"/>
  <c r="BT68" i="37"/>
  <c r="BT69" i="37"/>
  <c r="BT70" i="37"/>
  <c r="BT71" i="37"/>
  <c r="BT72" i="37"/>
  <c r="BT73" i="37"/>
  <c r="BT74" i="37"/>
  <c r="BT75" i="37"/>
  <c r="BT76" i="37"/>
  <c r="BT77" i="37"/>
  <c r="BT78" i="37"/>
  <c r="BT79" i="37"/>
  <c r="BT80" i="37"/>
  <c r="BT81" i="37"/>
  <c r="BT84" i="37"/>
  <c r="BT82" i="37"/>
  <c r="BT83" i="37"/>
  <c r="BS96" i="37"/>
  <c r="BS95" i="37"/>
  <c r="BS94" i="37"/>
  <c r="BS93" i="37"/>
  <c r="BS92" i="37"/>
  <c r="BS90" i="37"/>
  <c r="BS89" i="37"/>
  <c r="BS91" i="37"/>
  <c r="BS85" i="37"/>
  <c r="BS86" i="37"/>
  <c r="BS87" i="37"/>
  <c r="BS88" i="37"/>
  <c r="BT28" i="37"/>
  <c r="BU29" i="37"/>
  <c r="BU30" i="37" l="1"/>
  <c r="BU31" i="37"/>
  <c r="BU32" i="37"/>
  <c r="BU33" i="37"/>
  <c r="BU34" i="37"/>
  <c r="BU35" i="37"/>
  <c r="BU36" i="37"/>
  <c r="BU37" i="37"/>
  <c r="BU38" i="37"/>
  <c r="BU39" i="37"/>
  <c r="BU40" i="37"/>
  <c r="BU41" i="37"/>
  <c r="BU42" i="37"/>
  <c r="BU46" i="37"/>
  <c r="BU43" i="37"/>
  <c r="BU47" i="37"/>
  <c r="BU44" i="37"/>
  <c r="BU48" i="37"/>
  <c r="BU49" i="37"/>
  <c r="BU50" i="37"/>
  <c r="BU51" i="37"/>
  <c r="BU52" i="37"/>
  <c r="BU53" i="37"/>
  <c r="BU54" i="37"/>
  <c r="BU56" i="37"/>
  <c r="BU60" i="37"/>
  <c r="BU64" i="37"/>
  <c r="BU45" i="37"/>
  <c r="BU57" i="37"/>
  <c r="BU61" i="37"/>
  <c r="BU65" i="37"/>
  <c r="BU66" i="37"/>
  <c r="BU68" i="37"/>
  <c r="BU58" i="37"/>
  <c r="BU62" i="37"/>
  <c r="BU55" i="37"/>
  <c r="BU59" i="37"/>
  <c r="BU63" i="37"/>
  <c r="BU67" i="37"/>
  <c r="BU69" i="37"/>
  <c r="BU70" i="37"/>
  <c r="BU71" i="37"/>
  <c r="BU72" i="37"/>
  <c r="BU73" i="37"/>
  <c r="BU74" i="37"/>
  <c r="BU75" i="37"/>
  <c r="BU76" i="37"/>
  <c r="BU77" i="37"/>
  <c r="BU78" i="37"/>
  <c r="BU79" i="37"/>
  <c r="BU80" i="37"/>
  <c r="BU81" i="37"/>
  <c r="BU82" i="37"/>
  <c r="BU83" i="37"/>
  <c r="BU84" i="37"/>
  <c r="BT96" i="37"/>
  <c r="BT95" i="37"/>
  <c r="BT94" i="37"/>
  <c r="BT93" i="37"/>
  <c r="BT87" i="37"/>
  <c r="BT92" i="37"/>
  <c r="BT90" i="37"/>
  <c r="BT86" i="37"/>
  <c r="BT91" i="37"/>
  <c r="BT85" i="37"/>
  <c r="BT88" i="37"/>
  <c r="BT89" i="37"/>
  <c r="BU28" i="37"/>
  <c r="BV29" i="37"/>
  <c r="BV30" i="37" l="1"/>
  <c r="BV31" i="37"/>
  <c r="BV32" i="37"/>
  <c r="BV33" i="37"/>
  <c r="BV34" i="37"/>
  <c r="BV35" i="37"/>
  <c r="BV36" i="37"/>
  <c r="BV37" i="37"/>
  <c r="BV38" i="37"/>
  <c r="BV39" i="37"/>
  <c r="BV40" i="37"/>
  <c r="BV41" i="37"/>
  <c r="BV42" i="37"/>
  <c r="BV43" i="37"/>
  <c r="BV44" i="37"/>
  <c r="BV45" i="37"/>
  <c r="BV46" i="37"/>
  <c r="BV47" i="37"/>
  <c r="BV48" i="37"/>
  <c r="BV52" i="37"/>
  <c r="BV55" i="37"/>
  <c r="BV56" i="37"/>
  <c r="BV57" i="37"/>
  <c r="BV58" i="37"/>
  <c r="BV59" i="37"/>
  <c r="BV60" i="37"/>
  <c r="BV61" i="37"/>
  <c r="BV62" i="37"/>
  <c r="BV63" i="37"/>
  <c r="BV64" i="37"/>
  <c r="BV65" i="37"/>
  <c r="BV49" i="37"/>
  <c r="BV53" i="37"/>
  <c r="BV50" i="37"/>
  <c r="BV54" i="37"/>
  <c r="BV67" i="37"/>
  <c r="BV51" i="37"/>
  <c r="BV66" i="37"/>
  <c r="BV68" i="37"/>
  <c r="BV69" i="37"/>
  <c r="BV70" i="37"/>
  <c r="BV71" i="37"/>
  <c r="BV72" i="37"/>
  <c r="BV73" i="37"/>
  <c r="BV74" i="37"/>
  <c r="BV75" i="37"/>
  <c r="BV76" i="37"/>
  <c r="BV82" i="37"/>
  <c r="BV83" i="37"/>
  <c r="BV77" i="37"/>
  <c r="BV78" i="37"/>
  <c r="BV79" i="37"/>
  <c r="BV80" i="37"/>
  <c r="BV81" i="37"/>
  <c r="BV84" i="37"/>
  <c r="BU96" i="37"/>
  <c r="BU95" i="37"/>
  <c r="BU94" i="37"/>
  <c r="BU93" i="37"/>
  <c r="BU92" i="37"/>
  <c r="BU90" i="37"/>
  <c r="BU85" i="37"/>
  <c r="BU87" i="37"/>
  <c r="BU89" i="37"/>
  <c r="BU86" i="37"/>
  <c r="BU88" i="37"/>
  <c r="BU91" i="37"/>
  <c r="BV28" i="37"/>
  <c r="BW29" i="37"/>
  <c r="BW31" i="37" l="1"/>
  <c r="BW33" i="37"/>
  <c r="BW35" i="37"/>
  <c r="BW30" i="37"/>
  <c r="BW36" i="37"/>
  <c r="BW37" i="37"/>
  <c r="BW38" i="37"/>
  <c r="BW39" i="37"/>
  <c r="BW40" i="37"/>
  <c r="BW41" i="37"/>
  <c r="BW42" i="37"/>
  <c r="BW34" i="37"/>
  <c r="BW43" i="37"/>
  <c r="BW44" i="37"/>
  <c r="BW45" i="37"/>
  <c r="BW46" i="37"/>
  <c r="BW47" i="37"/>
  <c r="BW48" i="37"/>
  <c r="BW32" i="37"/>
  <c r="BW49" i="37"/>
  <c r="BW50" i="37"/>
  <c r="BW51" i="37"/>
  <c r="BW52" i="37"/>
  <c r="BW53" i="37"/>
  <c r="BW54" i="37"/>
  <c r="BW55" i="37"/>
  <c r="BW56" i="37"/>
  <c r="BW57" i="37"/>
  <c r="BW58" i="37"/>
  <c r="BW59" i="37"/>
  <c r="BW60" i="37"/>
  <c r="BW61" i="37"/>
  <c r="BW62" i="37"/>
  <c r="BW63" i="37"/>
  <c r="BW64" i="37"/>
  <c r="BW65" i="37"/>
  <c r="BW66" i="37"/>
  <c r="BW67" i="37"/>
  <c r="BW68" i="37"/>
  <c r="BW69" i="37"/>
  <c r="BW70" i="37"/>
  <c r="BW71" i="37"/>
  <c r="BW72" i="37"/>
  <c r="BW73" i="37"/>
  <c r="BW74" i="37"/>
  <c r="BW75" i="37"/>
  <c r="BW76" i="37"/>
  <c r="BW77" i="37"/>
  <c r="BW78" i="37"/>
  <c r="BW79" i="37"/>
  <c r="BW80" i="37"/>
  <c r="BW81" i="37"/>
  <c r="BW82" i="37"/>
  <c r="BW83" i="37"/>
  <c r="BW84" i="37"/>
  <c r="BV96" i="37"/>
  <c r="BV95" i="37"/>
  <c r="BV94" i="37"/>
  <c r="BV93" i="37"/>
  <c r="BV88" i="37"/>
  <c r="BV91" i="37"/>
  <c r="BV92" i="37"/>
  <c r="BV85" i="37"/>
  <c r="BV89" i="37"/>
  <c r="BV87" i="37"/>
  <c r="BV90" i="37"/>
  <c r="BV86" i="37"/>
  <c r="BW28" i="37"/>
  <c r="BX29" i="37"/>
  <c r="BX30" i="37" l="1"/>
  <c r="BX32" i="37"/>
  <c r="BX34" i="37"/>
  <c r="BX35" i="37"/>
  <c r="BX31" i="37"/>
  <c r="BX33" i="37"/>
  <c r="BX36" i="37"/>
  <c r="BX40" i="37"/>
  <c r="BX37" i="37"/>
  <c r="BX41" i="37"/>
  <c r="BX38" i="37"/>
  <c r="BX42" i="37"/>
  <c r="BX43" i="37"/>
  <c r="BX44" i="37"/>
  <c r="BX45" i="37"/>
  <c r="BX46" i="37"/>
  <c r="BX47" i="37"/>
  <c r="BX48" i="37"/>
  <c r="BX49" i="37"/>
  <c r="BX50" i="37"/>
  <c r="BX51" i="37"/>
  <c r="BX52" i="37"/>
  <c r="BX53" i="37"/>
  <c r="BX54" i="37"/>
  <c r="BX39" i="37"/>
  <c r="BX55" i="37"/>
  <c r="BX56" i="37"/>
  <c r="BX57" i="37"/>
  <c r="BX58" i="37"/>
  <c r="BX59" i="37"/>
  <c r="BX60" i="37"/>
  <c r="BX61" i="37"/>
  <c r="BX62" i="37"/>
  <c r="BX63" i="37"/>
  <c r="BX64" i="37"/>
  <c r="BX65" i="37"/>
  <c r="BX66" i="37"/>
  <c r="BX67" i="37"/>
  <c r="BX68" i="37"/>
  <c r="BX69" i="37"/>
  <c r="BX70" i="37"/>
  <c r="BX71" i="37"/>
  <c r="BX72" i="37"/>
  <c r="BX73" i="37"/>
  <c r="BX74" i="37"/>
  <c r="BX75" i="37"/>
  <c r="BX76" i="37"/>
  <c r="BX77" i="37"/>
  <c r="BX78" i="37"/>
  <c r="BX79" i="37"/>
  <c r="BX80" i="37"/>
  <c r="BX81" i="37"/>
  <c r="BX82" i="37"/>
  <c r="BX83" i="37"/>
  <c r="BX84" i="37"/>
  <c r="BW93" i="37"/>
  <c r="BW91" i="37"/>
  <c r="BW96" i="37"/>
  <c r="BW94" i="37"/>
  <c r="BW92" i="37"/>
  <c r="BW85" i="37"/>
  <c r="BW89" i="37"/>
  <c r="BW86" i="37"/>
  <c r="BW95" i="37"/>
  <c r="BW87" i="37"/>
  <c r="BW88" i="37"/>
  <c r="BW90" i="37"/>
  <c r="BY29" i="37"/>
  <c r="BX28" i="37"/>
  <c r="BY30" i="37" l="1"/>
  <c r="BY31" i="37"/>
  <c r="BY32" i="37"/>
  <c r="BY33" i="37"/>
  <c r="BY34" i="37"/>
  <c r="BY35" i="37"/>
  <c r="BY36" i="37"/>
  <c r="BY37" i="37"/>
  <c r="BY38" i="37"/>
  <c r="BY39" i="37"/>
  <c r="BY40" i="37"/>
  <c r="BY41" i="37"/>
  <c r="BY42" i="37"/>
  <c r="BY45" i="37"/>
  <c r="BY46" i="37"/>
  <c r="BY43" i="37"/>
  <c r="BY47" i="37"/>
  <c r="BY49" i="37"/>
  <c r="BY50" i="37"/>
  <c r="BY51" i="37"/>
  <c r="BY52" i="37"/>
  <c r="BY53" i="37"/>
  <c r="BY54" i="37"/>
  <c r="BY44" i="37"/>
  <c r="BY55" i="37"/>
  <c r="BY59" i="37"/>
  <c r="BY63" i="37"/>
  <c r="BY48" i="37"/>
  <c r="BY56" i="37"/>
  <c r="BY60" i="37"/>
  <c r="BY64" i="37"/>
  <c r="BY67" i="37"/>
  <c r="BY57" i="37"/>
  <c r="BY61" i="37"/>
  <c r="BY58" i="37"/>
  <c r="BY62" i="37"/>
  <c r="BY66" i="37"/>
  <c r="BY68" i="37"/>
  <c r="BY69" i="37"/>
  <c r="BY70" i="37"/>
  <c r="BY71" i="37"/>
  <c r="BY72" i="37"/>
  <c r="BY73" i="37"/>
  <c r="BY74" i="37"/>
  <c r="BY75" i="37"/>
  <c r="BY76" i="37"/>
  <c r="BY65" i="37"/>
  <c r="BY77" i="37"/>
  <c r="BY78" i="37"/>
  <c r="BY79" i="37"/>
  <c r="BY80" i="37"/>
  <c r="BY81" i="37"/>
  <c r="BY82" i="37"/>
  <c r="BY83" i="37"/>
  <c r="BY84" i="37"/>
  <c r="BX96" i="37"/>
  <c r="BX95" i="37"/>
  <c r="BX94" i="37"/>
  <c r="BX93" i="37"/>
  <c r="BX92" i="37"/>
  <c r="BX91" i="37"/>
  <c r="BX90" i="37"/>
  <c r="BX89" i="37"/>
  <c r="BX88" i="37"/>
  <c r="BX87" i="37"/>
  <c r="BX86" i="37"/>
  <c r="BX85" i="37"/>
  <c r="BZ29" i="37"/>
  <c r="BY28" i="37"/>
  <c r="BZ30" i="37" l="1"/>
  <c r="BZ31" i="37"/>
  <c r="BZ32" i="37"/>
  <c r="BZ33" i="37"/>
  <c r="BZ34" i="37"/>
  <c r="BZ35" i="37"/>
  <c r="BZ36" i="37"/>
  <c r="BZ37" i="37"/>
  <c r="BZ38" i="37"/>
  <c r="BZ39" i="37"/>
  <c r="BZ40" i="37"/>
  <c r="BZ41" i="37"/>
  <c r="BZ42" i="37"/>
  <c r="BZ43" i="37"/>
  <c r="BZ44" i="37"/>
  <c r="BZ45" i="37"/>
  <c r="BZ46" i="37"/>
  <c r="BZ47" i="37"/>
  <c r="BZ48" i="37"/>
  <c r="BZ51" i="37"/>
  <c r="BZ55" i="37"/>
  <c r="BZ56" i="37"/>
  <c r="BZ57" i="37"/>
  <c r="BZ58" i="37"/>
  <c r="BZ59" i="37"/>
  <c r="BZ60" i="37"/>
  <c r="BZ61" i="37"/>
  <c r="BZ62" i="37"/>
  <c r="BZ63" i="37"/>
  <c r="BZ64" i="37"/>
  <c r="BZ65" i="37"/>
  <c r="BZ52" i="37"/>
  <c r="BZ49" i="37"/>
  <c r="BZ53" i="37"/>
  <c r="BZ66" i="37"/>
  <c r="BZ68" i="37"/>
  <c r="BZ50" i="37"/>
  <c r="BZ54" i="37"/>
  <c r="BZ67" i="37"/>
  <c r="BZ69" i="37"/>
  <c r="BZ70" i="37"/>
  <c r="BZ71" i="37"/>
  <c r="BZ72" i="37"/>
  <c r="BZ73" i="37"/>
  <c r="BZ74" i="37"/>
  <c r="BZ75" i="37"/>
  <c r="BZ76" i="37"/>
  <c r="BZ84" i="37"/>
  <c r="BZ77" i="37"/>
  <c r="BZ78" i="37"/>
  <c r="BZ79" i="37"/>
  <c r="BZ80" i="37"/>
  <c r="BZ81" i="37"/>
  <c r="BZ82" i="37"/>
  <c r="BZ83" i="37"/>
  <c r="BY96" i="37"/>
  <c r="BY95" i="37"/>
  <c r="BY94" i="37"/>
  <c r="BY93" i="37"/>
  <c r="BY92" i="37"/>
  <c r="BY89" i="37"/>
  <c r="BY86" i="37"/>
  <c r="BY88" i="37"/>
  <c r="BY91" i="37"/>
  <c r="BY90" i="37"/>
  <c r="BY87" i="37"/>
  <c r="BY85" i="37"/>
  <c r="BZ28" i="37"/>
  <c r="CA29" i="37"/>
  <c r="CA30" i="37" l="1"/>
  <c r="CA32" i="37"/>
  <c r="CA34" i="37"/>
  <c r="CA31" i="37"/>
  <c r="CA35" i="37"/>
  <c r="CA33" i="37"/>
  <c r="CA36" i="37"/>
  <c r="CA37" i="37"/>
  <c r="CA38" i="37"/>
  <c r="CA39" i="37"/>
  <c r="CA40" i="37"/>
  <c r="CA41" i="37"/>
  <c r="CA42" i="37"/>
  <c r="CA43" i="37"/>
  <c r="CA44" i="37"/>
  <c r="CA45" i="37"/>
  <c r="CA46" i="37"/>
  <c r="CA47" i="37"/>
  <c r="CA48" i="37"/>
  <c r="CA49" i="37"/>
  <c r="CA50" i="37"/>
  <c r="CA51" i="37"/>
  <c r="CA52" i="37"/>
  <c r="CA53" i="37"/>
  <c r="CA54" i="37"/>
  <c r="CA55" i="37"/>
  <c r="CA56" i="37"/>
  <c r="CA57" i="37"/>
  <c r="CA58" i="37"/>
  <c r="CA59" i="37"/>
  <c r="CA60" i="37"/>
  <c r="CA61" i="37"/>
  <c r="CA62" i="37"/>
  <c r="CA63" i="37"/>
  <c r="CA64" i="37"/>
  <c r="CA65" i="37"/>
  <c r="CA66" i="37"/>
  <c r="CA67" i="37"/>
  <c r="CA68" i="37"/>
  <c r="CA69" i="37"/>
  <c r="CA70" i="37"/>
  <c r="CA71" i="37"/>
  <c r="CA72" i="37"/>
  <c r="CA73" i="37"/>
  <c r="CA74" i="37"/>
  <c r="CA75" i="37"/>
  <c r="CA76" i="37"/>
  <c r="CA77" i="37"/>
  <c r="CA78" i="37"/>
  <c r="CA79" i="37"/>
  <c r="CA80" i="37"/>
  <c r="CA81" i="37"/>
  <c r="CA82" i="37"/>
  <c r="CA83" i="37"/>
  <c r="CA84" i="37"/>
  <c r="BZ96" i="37"/>
  <c r="BZ95" i="37"/>
  <c r="BZ94" i="37"/>
  <c r="BZ86" i="37"/>
  <c r="BZ87" i="37"/>
  <c r="BZ91" i="37"/>
  <c r="BZ88" i="37"/>
  <c r="BZ89" i="37"/>
  <c r="BZ85" i="37"/>
  <c r="BZ92" i="37"/>
  <c r="BZ93" i="37"/>
  <c r="BZ90" i="37"/>
  <c r="CB29" i="37"/>
  <c r="CA28" i="37"/>
  <c r="CB31" i="37" l="1"/>
  <c r="CB33" i="37"/>
  <c r="CB34" i="37"/>
  <c r="CB35" i="37"/>
  <c r="CB30" i="37"/>
  <c r="CB32" i="37"/>
  <c r="CB39" i="37"/>
  <c r="CB36" i="37"/>
  <c r="CB40" i="37"/>
  <c r="CB37" i="37"/>
  <c r="CB41" i="37"/>
  <c r="CB43" i="37"/>
  <c r="CB44" i="37"/>
  <c r="CB45" i="37"/>
  <c r="CB46" i="37"/>
  <c r="CB47" i="37"/>
  <c r="CB48" i="37"/>
  <c r="CB49" i="37"/>
  <c r="CB50" i="37"/>
  <c r="CB51" i="37"/>
  <c r="CB52" i="37"/>
  <c r="CB53" i="37"/>
  <c r="CB54" i="37"/>
  <c r="CB38" i="37"/>
  <c r="CB42" i="37"/>
  <c r="CB55" i="37"/>
  <c r="CB56" i="37"/>
  <c r="CB57" i="37"/>
  <c r="CB58" i="37"/>
  <c r="CB59" i="37"/>
  <c r="CB60" i="37"/>
  <c r="CB61" i="37"/>
  <c r="CB62" i="37"/>
  <c r="CB63" i="37"/>
  <c r="CB64" i="37"/>
  <c r="CB65" i="37"/>
  <c r="CB66" i="37"/>
  <c r="CB67" i="37"/>
  <c r="CB68" i="37"/>
  <c r="CB69" i="37"/>
  <c r="CB70" i="37"/>
  <c r="CB71" i="37"/>
  <c r="CB72" i="37"/>
  <c r="CB73" i="37"/>
  <c r="CB74" i="37"/>
  <c r="CB75" i="37"/>
  <c r="CB76" i="37"/>
  <c r="CB77" i="37"/>
  <c r="CB78" i="37"/>
  <c r="CB79" i="37"/>
  <c r="CB80" i="37"/>
  <c r="CB81" i="37"/>
  <c r="CB82" i="37"/>
  <c r="CB84" i="37"/>
  <c r="CB83" i="37"/>
  <c r="CA96" i="37"/>
  <c r="CA95" i="37"/>
  <c r="CA94" i="37"/>
  <c r="CA93" i="37"/>
  <c r="CA92" i="37"/>
  <c r="CA91" i="37"/>
  <c r="CA90" i="37"/>
  <c r="CA89" i="37"/>
  <c r="CA88" i="37"/>
  <c r="CA87" i="37"/>
  <c r="CA86" i="37"/>
  <c r="CA85" i="37"/>
  <c r="CB28" i="37"/>
  <c r="CC29" i="37"/>
  <c r="CC30" i="37" l="1"/>
  <c r="CC31" i="37"/>
  <c r="CC32" i="37"/>
  <c r="CC33" i="37"/>
  <c r="CC34" i="37"/>
  <c r="CC35" i="37"/>
  <c r="CC36" i="37"/>
  <c r="CC37" i="37"/>
  <c r="CC38" i="37"/>
  <c r="CC39" i="37"/>
  <c r="CC40" i="37"/>
  <c r="CC41" i="37"/>
  <c r="CC42" i="37"/>
  <c r="CC44" i="37"/>
  <c r="CC48" i="37"/>
  <c r="CC45" i="37"/>
  <c r="CC46" i="37"/>
  <c r="CC49" i="37"/>
  <c r="CC50" i="37"/>
  <c r="CC51" i="37"/>
  <c r="CC52" i="37"/>
  <c r="CC53" i="37"/>
  <c r="CC54" i="37"/>
  <c r="CC43" i="37"/>
  <c r="CC47" i="37"/>
  <c r="CC58" i="37"/>
  <c r="CC62" i="37"/>
  <c r="CC55" i="37"/>
  <c r="CC59" i="37"/>
  <c r="CC63" i="37"/>
  <c r="CC66" i="37"/>
  <c r="CC68" i="37"/>
  <c r="CC56" i="37"/>
  <c r="CC60" i="37"/>
  <c r="CC64" i="37"/>
  <c r="CC57" i="37"/>
  <c r="CC61" i="37"/>
  <c r="CC65" i="37"/>
  <c r="CC67" i="37"/>
  <c r="CC69" i="37"/>
  <c r="CC70" i="37"/>
  <c r="CC71" i="37"/>
  <c r="CC72" i="37"/>
  <c r="CC73" i="37"/>
  <c r="CC74" i="37"/>
  <c r="CC75" i="37"/>
  <c r="CC76" i="37"/>
  <c r="CC77" i="37"/>
  <c r="CC78" i="37"/>
  <c r="CC79" i="37"/>
  <c r="CC80" i="37"/>
  <c r="CC81" i="37"/>
  <c r="CC82" i="37"/>
  <c r="CC83" i="37"/>
  <c r="CC84" i="37"/>
  <c r="CB96" i="37"/>
  <c r="CB95" i="37"/>
  <c r="CB94" i="37"/>
  <c r="CB93" i="37"/>
  <c r="CB90" i="37"/>
  <c r="CB92" i="37"/>
  <c r="CB87" i="37"/>
  <c r="CB91" i="37"/>
  <c r="CB89" i="37"/>
  <c r="CB86" i="37"/>
  <c r="CB88" i="37"/>
  <c r="CB85" i="37"/>
  <c r="CD29" i="37"/>
  <c r="CC28" i="37"/>
  <c r="CD30" i="37" l="1"/>
  <c r="CD31" i="37"/>
  <c r="CD32" i="37"/>
  <c r="CD33" i="37"/>
  <c r="CD34" i="37"/>
  <c r="CD35" i="37"/>
  <c r="CD36" i="37"/>
  <c r="CD37" i="37"/>
  <c r="CD38" i="37"/>
  <c r="CD39" i="37"/>
  <c r="CD40" i="37"/>
  <c r="CD41" i="37"/>
  <c r="CD42" i="37"/>
  <c r="CD43" i="37"/>
  <c r="CD44" i="37"/>
  <c r="CD45" i="37"/>
  <c r="CD46" i="37"/>
  <c r="CD47" i="37"/>
  <c r="CD48" i="37"/>
  <c r="CD50" i="37"/>
  <c r="CD54" i="37"/>
  <c r="CD55" i="37"/>
  <c r="CD56" i="37"/>
  <c r="CD57" i="37"/>
  <c r="CD58" i="37"/>
  <c r="CD59" i="37"/>
  <c r="CD60" i="37"/>
  <c r="CD61" i="37"/>
  <c r="CD62" i="37"/>
  <c r="CD63" i="37"/>
  <c r="CD64" i="37"/>
  <c r="CD65" i="37"/>
  <c r="CD51" i="37"/>
  <c r="CD52" i="37"/>
  <c r="CD67" i="37"/>
  <c r="CD49" i="37"/>
  <c r="CD53" i="37"/>
  <c r="CD66" i="37"/>
  <c r="CD68" i="37"/>
  <c r="CD69" i="37"/>
  <c r="CD70" i="37"/>
  <c r="CD71" i="37"/>
  <c r="CD72" i="37"/>
  <c r="CD73" i="37"/>
  <c r="CD74" i="37"/>
  <c r="CD75" i="37"/>
  <c r="CD76" i="37"/>
  <c r="CD83" i="37"/>
  <c r="CD77" i="37"/>
  <c r="CD78" i="37"/>
  <c r="CD79" i="37"/>
  <c r="CD80" i="37"/>
  <c r="CD81" i="37"/>
  <c r="CD82" i="37"/>
  <c r="CD84" i="37"/>
  <c r="CC96" i="37"/>
  <c r="CC95" i="37"/>
  <c r="CC94" i="37"/>
  <c r="CC93" i="37"/>
  <c r="CC92" i="37"/>
  <c r="CC91" i="37"/>
  <c r="CC90" i="37"/>
  <c r="CC89" i="37"/>
  <c r="CC87" i="37"/>
  <c r="CC88" i="37"/>
  <c r="CC86" i="37"/>
  <c r="CC85" i="37"/>
  <c r="CD28" i="37"/>
  <c r="CE29" i="37"/>
  <c r="CE31" i="37" l="1"/>
  <c r="CE33" i="37"/>
  <c r="CE32" i="37"/>
  <c r="CE34" i="37"/>
  <c r="CE35" i="37"/>
  <c r="CE36" i="37"/>
  <c r="CE37" i="37"/>
  <c r="CE38" i="37"/>
  <c r="CE39" i="37"/>
  <c r="CE40" i="37"/>
  <c r="CE41" i="37"/>
  <c r="CE42" i="37"/>
  <c r="CE30" i="37"/>
  <c r="CE43" i="37"/>
  <c r="CE44" i="37"/>
  <c r="CE45" i="37"/>
  <c r="CE46" i="37"/>
  <c r="CE47" i="37"/>
  <c r="CE48" i="37"/>
  <c r="CE49" i="37"/>
  <c r="CE50" i="37"/>
  <c r="CE51" i="37"/>
  <c r="CE52" i="37"/>
  <c r="CE53" i="37"/>
  <c r="CE54" i="37"/>
  <c r="CE55" i="37"/>
  <c r="CE56" i="37"/>
  <c r="CE57" i="37"/>
  <c r="CE58" i="37"/>
  <c r="CE59" i="37"/>
  <c r="CE60" i="37"/>
  <c r="CE61" i="37"/>
  <c r="CE62" i="37"/>
  <c r="CE63" i="37"/>
  <c r="CE64" i="37"/>
  <c r="CE65" i="37"/>
  <c r="CE66" i="37"/>
  <c r="CE67" i="37"/>
  <c r="CE68" i="37"/>
  <c r="CE69" i="37"/>
  <c r="CE70" i="37"/>
  <c r="CE71" i="37"/>
  <c r="CE72" i="37"/>
  <c r="CE73" i="37"/>
  <c r="CE74" i="37"/>
  <c r="CE75" i="37"/>
  <c r="CE76" i="37"/>
  <c r="CE77" i="37"/>
  <c r="CE78" i="37"/>
  <c r="CE79" i="37"/>
  <c r="CE80" i="37"/>
  <c r="CE81" i="37"/>
  <c r="CE82" i="37"/>
  <c r="CE83" i="37"/>
  <c r="CE84" i="37"/>
  <c r="CD96" i="37"/>
  <c r="CD95" i="37"/>
  <c r="CD94" i="37"/>
  <c r="CD93" i="37"/>
  <c r="CD92" i="37"/>
  <c r="CD85" i="37"/>
  <c r="CD88" i="37"/>
  <c r="CD90" i="37"/>
  <c r="CD91" i="37"/>
  <c r="CD87" i="37"/>
  <c r="CD89" i="37"/>
  <c r="CD86" i="37"/>
  <c r="CE28" i="37"/>
  <c r="CF29" i="37"/>
  <c r="CF30" i="37" l="1"/>
  <c r="CF32" i="37"/>
  <c r="CF34" i="37"/>
  <c r="CF35" i="37"/>
  <c r="CF31" i="37"/>
  <c r="CF33" i="37"/>
  <c r="CF38" i="37"/>
  <c r="CF42" i="37"/>
  <c r="CF39" i="37"/>
  <c r="CF36" i="37"/>
  <c r="CF40" i="37"/>
  <c r="CF43" i="37"/>
  <c r="CF44" i="37"/>
  <c r="CF45" i="37"/>
  <c r="CF46" i="37"/>
  <c r="CF47" i="37"/>
  <c r="CF48" i="37"/>
  <c r="CF37" i="37"/>
  <c r="CF49" i="37"/>
  <c r="CF50" i="37"/>
  <c r="CF51" i="37"/>
  <c r="CF52" i="37"/>
  <c r="CF53" i="37"/>
  <c r="CF54" i="37"/>
  <c r="CF41" i="37"/>
  <c r="CF55" i="37"/>
  <c r="CF56" i="37"/>
  <c r="CF57" i="37"/>
  <c r="CF58" i="37"/>
  <c r="CF59" i="37"/>
  <c r="CF60" i="37"/>
  <c r="CF61" i="37"/>
  <c r="CF62" i="37"/>
  <c r="CF63" i="37"/>
  <c r="CF64" i="37"/>
  <c r="CF65" i="37"/>
  <c r="CF66" i="37"/>
  <c r="CF67" i="37"/>
  <c r="CF68" i="37"/>
  <c r="CF69" i="37"/>
  <c r="CF70" i="37"/>
  <c r="CF71" i="37"/>
  <c r="CF72" i="37"/>
  <c r="CF73" i="37"/>
  <c r="CF74" i="37"/>
  <c r="CF75" i="37"/>
  <c r="CF76" i="37"/>
  <c r="CF77" i="37"/>
  <c r="CF78" i="37"/>
  <c r="CF79" i="37"/>
  <c r="CF80" i="37"/>
  <c r="CF81" i="37"/>
  <c r="CF82" i="37"/>
  <c r="CF83" i="37"/>
  <c r="CF84" i="37"/>
  <c r="CE96" i="37"/>
  <c r="CE95" i="37"/>
  <c r="CE94" i="37"/>
  <c r="CE93" i="37"/>
  <c r="CE92" i="37"/>
  <c r="CE88" i="37"/>
  <c r="CE91" i="37"/>
  <c r="CE90" i="37"/>
  <c r="CE86" i="37"/>
  <c r="CE85" i="37"/>
  <c r="CE89" i="37"/>
  <c r="CE87" i="37"/>
  <c r="CF28" i="37"/>
  <c r="CG29" i="37"/>
  <c r="CG30" i="37" l="1"/>
  <c r="CG31" i="37"/>
  <c r="CG32" i="37"/>
  <c r="CG33" i="37"/>
  <c r="CG34" i="37"/>
  <c r="CG35" i="37"/>
  <c r="CG36" i="37"/>
  <c r="CG37" i="37"/>
  <c r="CG38" i="37"/>
  <c r="CG39" i="37"/>
  <c r="CG40" i="37"/>
  <c r="CG41" i="37"/>
  <c r="CG42" i="37"/>
  <c r="CG43" i="37"/>
  <c r="CG47" i="37"/>
  <c r="CG44" i="37"/>
  <c r="CG48" i="37"/>
  <c r="CG45" i="37"/>
  <c r="CG49" i="37"/>
  <c r="CG50" i="37"/>
  <c r="CG51" i="37"/>
  <c r="CG52" i="37"/>
  <c r="CG53" i="37"/>
  <c r="CG54" i="37"/>
  <c r="CG46" i="37"/>
  <c r="CG57" i="37"/>
  <c r="CG61" i="37"/>
  <c r="CG65" i="37"/>
  <c r="CG58" i="37"/>
  <c r="CG62" i="37"/>
  <c r="CG67" i="37"/>
  <c r="CG55" i="37"/>
  <c r="CG59" i="37"/>
  <c r="CG63" i="37"/>
  <c r="CG56" i="37"/>
  <c r="CG60" i="37"/>
  <c r="CG64" i="37"/>
  <c r="CG66" i="37"/>
  <c r="CG68" i="37"/>
  <c r="CG69" i="37"/>
  <c r="CG70" i="37"/>
  <c r="CG71" i="37"/>
  <c r="CG72" i="37"/>
  <c r="CG73" i="37"/>
  <c r="CG74" i="37"/>
  <c r="CG75" i="37"/>
  <c r="CG76" i="37"/>
  <c r="CG77" i="37"/>
  <c r="CG78" i="37"/>
  <c r="CG79" i="37"/>
  <c r="CG80" i="37"/>
  <c r="CG81" i="37"/>
  <c r="CG82" i="37"/>
  <c r="CG83" i="37"/>
  <c r="CG84" i="37"/>
  <c r="CF96" i="37"/>
  <c r="CF95" i="37"/>
  <c r="CF94" i="37"/>
  <c r="CF93" i="37"/>
  <c r="CF92" i="37"/>
  <c r="CF89" i="37"/>
  <c r="CF86" i="37"/>
  <c r="CF91" i="37"/>
  <c r="CF85" i="37"/>
  <c r="CF90" i="37"/>
  <c r="CF88" i="37"/>
  <c r="CF87" i="37"/>
  <c r="CG28" i="37"/>
  <c r="CH29" i="37"/>
  <c r="CH30" i="37" l="1"/>
  <c r="CH31" i="37"/>
  <c r="CH32" i="37"/>
  <c r="CH33" i="37"/>
  <c r="CH34" i="37"/>
  <c r="CH35" i="37"/>
  <c r="CH36" i="37"/>
  <c r="CH37" i="37"/>
  <c r="CH38" i="37"/>
  <c r="CH39" i="37"/>
  <c r="CH40" i="37"/>
  <c r="CH41" i="37"/>
  <c r="CH42" i="37"/>
  <c r="CH43" i="37"/>
  <c r="CH44" i="37"/>
  <c r="CH45" i="37"/>
  <c r="CH46" i="37"/>
  <c r="CH47" i="37"/>
  <c r="CH48" i="37"/>
  <c r="CH49" i="37"/>
  <c r="CH53" i="37"/>
  <c r="CH55" i="37"/>
  <c r="CH56" i="37"/>
  <c r="CH57" i="37"/>
  <c r="CH58" i="37"/>
  <c r="CH59" i="37"/>
  <c r="CH60" i="37"/>
  <c r="CH61" i="37"/>
  <c r="CH62" i="37"/>
  <c r="CH63" i="37"/>
  <c r="CH64" i="37"/>
  <c r="CH65" i="37"/>
  <c r="CH50" i="37"/>
  <c r="CH54" i="37"/>
  <c r="CH51" i="37"/>
  <c r="CH66" i="37"/>
  <c r="CH68" i="37"/>
  <c r="CH52" i="37"/>
  <c r="CH67" i="37"/>
  <c r="CH69" i="37"/>
  <c r="CH70" i="37"/>
  <c r="CH71" i="37"/>
  <c r="CH72" i="37"/>
  <c r="CH73" i="37"/>
  <c r="CH74" i="37"/>
  <c r="CH75" i="37"/>
  <c r="CH76" i="37"/>
  <c r="CH84" i="37"/>
  <c r="CH77" i="37"/>
  <c r="CH78" i="37"/>
  <c r="CH79" i="37"/>
  <c r="CH80" i="37"/>
  <c r="CH81" i="37"/>
  <c r="CH82" i="37"/>
  <c r="CH83" i="37"/>
  <c r="CG96" i="37"/>
  <c r="CG95" i="37"/>
  <c r="CG94" i="37"/>
  <c r="CG93" i="37"/>
  <c r="CG92" i="37"/>
  <c r="CG91" i="37"/>
  <c r="CG89" i="37"/>
  <c r="CG86" i="37"/>
  <c r="CG88" i="37"/>
  <c r="CG90" i="37"/>
  <c r="CG85" i="37"/>
  <c r="CG87" i="37"/>
  <c r="CH28" i="37"/>
  <c r="CI29" i="37"/>
  <c r="CI30" i="37" l="1"/>
  <c r="CI32" i="37"/>
  <c r="CI31" i="37"/>
  <c r="CI34" i="37"/>
  <c r="CI36" i="37"/>
  <c r="CI37" i="37"/>
  <c r="CI38" i="37"/>
  <c r="CI39" i="37"/>
  <c r="CI40" i="37"/>
  <c r="CI41" i="37"/>
  <c r="CI42" i="37"/>
  <c r="CI33" i="37"/>
  <c r="CI43" i="37"/>
  <c r="CI44" i="37"/>
  <c r="CI45" i="37"/>
  <c r="CI46" i="37"/>
  <c r="CI47" i="37"/>
  <c r="CI48" i="37"/>
  <c r="CI35" i="37"/>
  <c r="CI49" i="37"/>
  <c r="CI50" i="37"/>
  <c r="CI51" i="37"/>
  <c r="CI52" i="37"/>
  <c r="CI53" i="37"/>
  <c r="CI54" i="37"/>
  <c r="CI55" i="37"/>
  <c r="CI56" i="37"/>
  <c r="CI57" i="37"/>
  <c r="CI58" i="37"/>
  <c r="CI59" i="37"/>
  <c r="CI60" i="37"/>
  <c r="CI61" i="37"/>
  <c r="CI62" i="37"/>
  <c r="CI63" i="37"/>
  <c r="CI64" i="37"/>
  <c r="CI65" i="37"/>
  <c r="CI66" i="37"/>
  <c r="CI67" i="37"/>
  <c r="CI68" i="37"/>
  <c r="CI69" i="37"/>
  <c r="CI70" i="37"/>
  <c r="CI71" i="37"/>
  <c r="CI72" i="37"/>
  <c r="CI73" i="37"/>
  <c r="CI74" i="37"/>
  <c r="CI75" i="37"/>
  <c r="CI76" i="37"/>
  <c r="CI77" i="37"/>
  <c r="CI78" i="37"/>
  <c r="CI79" i="37"/>
  <c r="CI80" i="37"/>
  <c r="CI81" i="37"/>
  <c r="CI82" i="37"/>
  <c r="CI83" i="37"/>
  <c r="CI84" i="37"/>
  <c r="CH96" i="37"/>
  <c r="CH95" i="37"/>
  <c r="CH94" i="37"/>
  <c r="CH93" i="37"/>
  <c r="CH87" i="37"/>
  <c r="CH90" i="37"/>
  <c r="CH89" i="37"/>
  <c r="CH86" i="37"/>
  <c r="CH85" i="37"/>
  <c r="CH92" i="37"/>
  <c r="CH91" i="37"/>
  <c r="CH88" i="37"/>
  <c r="CI28" i="37"/>
  <c r="CJ29" i="37"/>
  <c r="CJ31" i="37" l="1"/>
  <c r="CJ33" i="37"/>
  <c r="CJ34" i="37"/>
  <c r="CJ35" i="37"/>
  <c r="CJ30" i="37"/>
  <c r="CJ32" i="37"/>
  <c r="CJ37" i="37"/>
  <c r="CJ41" i="37"/>
  <c r="CJ38" i="37"/>
  <c r="CJ42" i="37"/>
  <c r="CJ39" i="37"/>
  <c r="CJ43" i="37"/>
  <c r="CJ44" i="37"/>
  <c r="CJ45" i="37"/>
  <c r="CJ46" i="37"/>
  <c r="CJ47" i="37"/>
  <c r="CJ48" i="37"/>
  <c r="CJ36" i="37"/>
  <c r="CJ40" i="37"/>
  <c r="CJ49" i="37"/>
  <c r="CJ50" i="37"/>
  <c r="CJ51" i="37"/>
  <c r="CJ52" i="37"/>
  <c r="CJ53" i="37"/>
  <c r="CJ54" i="37"/>
  <c r="CJ55" i="37"/>
  <c r="CJ56" i="37"/>
  <c r="CJ57" i="37"/>
  <c r="CJ58" i="37"/>
  <c r="CJ59" i="37"/>
  <c r="CJ60" i="37"/>
  <c r="CJ61" i="37"/>
  <c r="CJ62" i="37"/>
  <c r="CJ63" i="37"/>
  <c r="CJ64" i="37"/>
  <c r="CJ65" i="37"/>
  <c r="CJ66" i="37"/>
  <c r="CJ67" i="37"/>
  <c r="CJ68" i="37"/>
  <c r="CJ69" i="37"/>
  <c r="CJ70" i="37"/>
  <c r="CJ71" i="37"/>
  <c r="CJ72" i="37"/>
  <c r="CJ73" i="37"/>
  <c r="CJ74" i="37"/>
  <c r="CJ75" i="37"/>
  <c r="CJ76" i="37"/>
  <c r="CJ77" i="37"/>
  <c r="CJ78" i="37"/>
  <c r="CJ79" i="37"/>
  <c r="CJ80" i="37"/>
  <c r="CJ81" i="37"/>
  <c r="CJ82" i="37"/>
  <c r="CJ83" i="37"/>
  <c r="CJ84" i="37"/>
  <c r="CI96" i="37"/>
  <c r="CI90" i="37"/>
  <c r="CI95" i="37"/>
  <c r="CI85" i="37"/>
  <c r="CI93" i="37"/>
  <c r="CI92" i="37"/>
  <c r="CI91" i="37"/>
  <c r="CI88" i="37"/>
  <c r="CI87" i="37"/>
  <c r="CI94" i="37"/>
  <c r="CI89" i="37"/>
  <c r="CI86" i="37"/>
  <c r="CJ28" i="37"/>
  <c r="CK29" i="37"/>
  <c r="CK30" i="37" l="1"/>
  <c r="CK31" i="37"/>
  <c r="CK32" i="37"/>
  <c r="CK33" i="37"/>
  <c r="CK34" i="37"/>
  <c r="CK35" i="37"/>
  <c r="CK36" i="37"/>
  <c r="CK37" i="37"/>
  <c r="CK38" i="37"/>
  <c r="CK39" i="37"/>
  <c r="CK40" i="37"/>
  <c r="CK41" i="37"/>
  <c r="CK42" i="37"/>
  <c r="CK46" i="37"/>
  <c r="CK43" i="37"/>
  <c r="CK47" i="37"/>
  <c r="CK44" i="37"/>
  <c r="CK48" i="37"/>
  <c r="CK49" i="37"/>
  <c r="CK50" i="37"/>
  <c r="CK51" i="37"/>
  <c r="CK52" i="37"/>
  <c r="CK53" i="37"/>
  <c r="CK54" i="37"/>
  <c r="CK45" i="37"/>
  <c r="CK56" i="37"/>
  <c r="CK60" i="37"/>
  <c r="CK64" i="37"/>
  <c r="CK57" i="37"/>
  <c r="CK61" i="37"/>
  <c r="CK65" i="37"/>
  <c r="CK66" i="37"/>
  <c r="CK68" i="37"/>
  <c r="CK58" i="37"/>
  <c r="CK62" i="37"/>
  <c r="CK55" i="37"/>
  <c r="CK59" i="37"/>
  <c r="CK63" i="37"/>
  <c r="CK67" i="37"/>
  <c r="CK69" i="37"/>
  <c r="CK70" i="37"/>
  <c r="CK71" i="37"/>
  <c r="CK72" i="37"/>
  <c r="CK73" i="37"/>
  <c r="CK74" i="37"/>
  <c r="CK75" i="37"/>
  <c r="CK76" i="37"/>
  <c r="CK77" i="37"/>
  <c r="CK78" i="37"/>
  <c r="CK79" i="37"/>
  <c r="CK80" i="37"/>
  <c r="CK81" i="37"/>
  <c r="CK82" i="37"/>
  <c r="CK83" i="37"/>
  <c r="CK84" i="37"/>
  <c r="CJ96" i="37"/>
  <c r="CJ95" i="37"/>
  <c r="CJ94" i="37"/>
  <c r="CJ93" i="37"/>
  <c r="CJ92" i="37"/>
  <c r="CJ91" i="37"/>
  <c r="CJ90" i="37"/>
  <c r="CJ89" i="37"/>
  <c r="CJ88" i="37"/>
  <c r="CJ87" i="37"/>
  <c r="CJ86" i="37"/>
  <c r="CJ85" i="37"/>
  <c r="CK28" i="37"/>
  <c r="CL29" i="37"/>
  <c r="CL30" i="37" l="1"/>
  <c r="CL31" i="37"/>
  <c r="CL32" i="37"/>
  <c r="CL33" i="37"/>
  <c r="CL34" i="37"/>
  <c r="CL35" i="37"/>
  <c r="CL36" i="37"/>
  <c r="CL37" i="37"/>
  <c r="CL38" i="37"/>
  <c r="CL39" i="37"/>
  <c r="CL40" i="37"/>
  <c r="CL41" i="37"/>
  <c r="CL42" i="37"/>
  <c r="CL43" i="37"/>
  <c r="CL44" i="37"/>
  <c r="CL45" i="37"/>
  <c r="CL46" i="37"/>
  <c r="CL47" i="37"/>
  <c r="CL48" i="37"/>
  <c r="CL52" i="37"/>
  <c r="CL55" i="37"/>
  <c r="CL56" i="37"/>
  <c r="CL57" i="37"/>
  <c r="CL58" i="37"/>
  <c r="CL59" i="37"/>
  <c r="CL60" i="37"/>
  <c r="CL61" i="37"/>
  <c r="CL62" i="37"/>
  <c r="CL63" i="37"/>
  <c r="CL64" i="37"/>
  <c r="CL65" i="37"/>
  <c r="CL49" i="37"/>
  <c r="CL53" i="37"/>
  <c r="CL50" i="37"/>
  <c r="CL54" i="37"/>
  <c r="CL51" i="37"/>
  <c r="CL67" i="37"/>
  <c r="CL68" i="37"/>
  <c r="CL66" i="37"/>
  <c r="CL69" i="37"/>
  <c r="CL70" i="37"/>
  <c r="CL71" i="37"/>
  <c r="CL72" i="37"/>
  <c r="CL73" i="37"/>
  <c r="CL74" i="37"/>
  <c r="CL75" i="37"/>
  <c r="CL76" i="37"/>
  <c r="CL82" i="37"/>
  <c r="CL83" i="37"/>
  <c r="CL84" i="37"/>
  <c r="CL77" i="37"/>
  <c r="CL78" i="37"/>
  <c r="CL79" i="37"/>
  <c r="CL80" i="37"/>
  <c r="CL81" i="37"/>
  <c r="CK96" i="37"/>
  <c r="CK95" i="37"/>
  <c r="CK94" i="37"/>
  <c r="CK93" i="37"/>
  <c r="CK92" i="37"/>
  <c r="CK88" i="37"/>
  <c r="CK90" i="37"/>
  <c r="CK85" i="37"/>
  <c r="CK87" i="37"/>
  <c r="CK91" i="37"/>
  <c r="CK89" i="37"/>
  <c r="CK86" i="37"/>
  <c r="CL28" i="37"/>
  <c r="CM29" i="37"/>
  <c r="CM31" i="37" l="1"/>
  <c r="CM33" i="37"/>
  <c r="CM30" i="37"/>
  <c r="CM35" i="37"/>
  <c r="CM32" i="37"/>
  <c r="CM36" i="37"/>
  <c r="CM37" i="37"/>
  <c r="CM38" i="37"/>
  <c r="CM39" i="37"/>
  <c r="CM40" i="37"/>
  <c r="CM41" i="37"/>
  <c r="CM42" i="37"/>
  <c r="CM43" i="37"/>
  <c r="CM44" i="37"/>
  <c r="CM45" i="37"/>
  <c r="CM46" i="37"/>
  <c r="CM47" i="37"/>
  <c r="CM48" i="37"/>
  <c r="CM34" i="37"/>
  <c r="CM49" i="37"/>
  <c r="CM50" i="37"/>
  <c r="CM51" i="37"/>
  <c r="CM52" i="37"/>
  <c r="CM53" i="37"/>
  <c r="CM54" i="37"/>
  <c r="CM55" i="37"/>
  <c r="CM56" i="37"/>
  <c r="CM57" i="37"/>
  <c r="CM58" i="37"/>
  <c r="CM59" i="37"/>
  <c r="CM60" i="37"/>
  <c r="CM61" i="37"/>
  <c r="CM62" i="37"/>
  <c r="CM63" i="37"/>
  <c r="CM64" i="37"/>
  <c r="CM65" i="37"/>
  <c r="CM66" i="37"/>
  <c r="CM67" i="37"/>
  <c r="CM68" i="37"/>
  <c r="CM69" i="37"/>
  <c r="CM70" i="37"/>
  <c r="CM71" i="37"/>
  <c r="CM72" i="37"/>
  <c r="CM73" i="37"/>
  <c r="CM74" i="37"/>
  <c r="CM75" i="37"/>
  <c r="CM76" i="37"/>
  <c r="CM77" i="37"/>
  <c r="CM78" i="37"/>
  <c r="CM79" i="37"/>
  <c r="CM80" i="37"/>
  <c r="CM81" i="37"/>
  <c r="CM82" i="37"/>
  <c r="CM83" i="37"/>
  <c r="CM84" i="37"/>
  <c r="CL96" i="37"/>
  <c r="CL95" i="37"/>
  <c r="CL94" i="37"/>
  <c r="CL91" i="37"/>
  <c r="CL85" i="37"/>
  <c r="CL89" i="37"/>
  <c r="CL86" i="37"/>
  <c r="CL93" i="37"/>
  <c r="CL92" i="37"/>
  <c r="CL88" i="37"/>
  <c r="CL90" i="37"/>
  <c r="CL87" i="37"/>
  <c r="CM28" i="37"/>
  <c r="CN29" i="37"/>
  <c r="CN30" i="37" l="1"/>
  <c r="CN32" i="37"/>
  <c r="CN34" i="37"/>
  <c r="CN35" i="37"/>
  <c r="CN31" i="37"/>
  <c r="CN33" i="37"/>
  <c r="CN36" i="37"/>
  <c r="CN40" i="37"/>
  <c r="CN37" i="37"/>
  <c r="CN41" i="37"/>
  <c r="CN38" i="37"/>
  <c r="CN42" i="37"/>
  <c r="CN43" i="37"/>
  <c r="CN44" i="37"/>
  <c r="CN45" i="37"/>
  <c r="CN46" i="37"/>
  <c r="CN47" i="37"/>
  <c r="CN48" i="37"/>
  <c r="CN39" i="37"/>
  <c r="CN49" i="37"/>
  <c r="CN50" i="37"/>
  <c r="CN51" i="37"/>
  <c r="CN52" i="37"/>
  <c r="CN53" i="37"/>
  <c r="CN54" i="37"/>
  <c r="CN55" i="37"/>
  <c r="CN56" i="37"/>
  <c r="CN57" i="37"/>
  <c r="CN58" i="37"/>
  <c r="CN59" i="37"/>
  <c r="CN60" i="37"/>
  <c r="CN61" i="37"/>
  <c r="CN62" i="37"/>
  <c r="CN63" i="37"/>
  <c r="CN64" i="37"/>
  <c r="CN65" i="37"/>
  <c r="CN66" i="37"/>
  <c r="CN67" i="37"/>
  <c r="CN68" i="37"/>
  <c r="CN69" i="37"/>
  <c r="CN70" i="37"/>
  <c r="CN71" i="37"/>
  <c r="CN72" i="37"/>
  <c r="CN73" i="37"/>
  <c r="CN74" i="37"/>
  <c r="CN75" i="37"/>
  <c r="CN76" i="37"/>
  <c r="CN77" i="37"/>
  <c r="CN78" i="37"/>
  <c r="CN79" i="37"/>
  <c r="CN80" i="37"/>
  <c r="CN81" i="37"/>
  <c r="CN82" i="37"/>
  <c r="CN83" i="37"/>
  <c r="CN84" i="37"/>
  <c r="CM96" i="37"/>
  <c r="CM95" i="37"/>
  <c r="CM94" i="37"/>
  <c r="CM93" i="37"/>
  <c r="CM92" i="37"/>
  <c r="CM91" i="37"/>
  <c r="CM90" i="37"/>
  <c r="CM89" i="37"/>
  <c r="CM88" i="37"/>
  <c r="CM87" i="37"/>
  <c r="CM86" i="37"/>
  <c r="CM85" i="37"/>
  <c r="CN28" i="37"/>
  <c r="CO29" i="37"/>
  <c r="CO30" i="37" l="1"/>
  <c r="CO31" i="37"/>
  <c r="CO32" i="37"/>
  <c r="CO33" i="37"/>
  <c r="CO34" i="37"/>
  <c r="CO35" i="37"/>
  <c r="CO36" i="37"/>
  <c r="CO37" i="37"/>
  <c r="CO38" i="37"/>
  <c r="CO39" i="37"/>
  <c r="CO40" i="37"/>
  <c r="CO41" i="37"/>
  <c r="CO42" i="37"/>
  <c r="CO45" i="37"/>
  <c r="CO46" i="37"/>
  <c r="CO43" i="37"/>
  <c r="CO47" i="37"/>
  <c r="CO49" i="37"/>
  <c r="CO50" i="37"/>
  <c r="CO51" i="37"/>
  <c r="CO52" i="37"/>
  <c r="CO53" i="37"/>
  <c r="CO54" i="37"/>
  <c r="CO48" i="37"/>
  <c r="CO44" i="37"/>
  <c r="CO55" i="37"/>
  <c r="CO59" i="37"/>
  <c r="CO63" i="37"/>
  <c r="CO56" i="37"/>
  <c r="CO60" i="37"/>
  <c r="CO64" i="37"/>
  <c r="CO67" i="37"/>
  <c r="CO57" i="37"/>
  <c r="CO61" i="37"/>
  <c r="CO58" i="37"/>
  <c r="CO62" i="37"/>
  <c r="CO66" i="37"/>
  <c r="CO65" i="37"/>
  <c r="CO68" i="37"/>
  <c r="CO69" i="37"/>
  <c r="CO70" i="37"/>
  <c r="CO71" i="37"/>
  <c r="CO72" i="37"/>
  <c r="CO73" i="37"/>
  <c r="CO74" i="37"/>
  <c r="CO75" i="37"/>
  <c r="CO76" i="37"/>
  <c r="CO77" i="37"/>
  <c r="CO78" i="37"/>
  <c r="CO79" i="37"/>
  <c r="CO80" i="37"/>
  <c r="CO81" i="37"/>
  <c r="CO82" i="37"/>
  <c r="CO83" i="37"/>
  <c r="CO84" i="37"/>
  <c r="CN96" i="37"/>
  <c r="CN95" i="37"/>
  <c r="CN94" i="37"/>
  <c r="CN93" i="37"/>
  <c r="CN91" i="37"/>
  <c r="CN89" i="37"/>
  <c r="CN86" i="37"/>
  <c r="CN88" i="37"/>
  <c r="CN87" i="37"/>
  <c r="CN92" i="37"/>
  <c r="CN90" i="37"/>
  <c r="CN85" i="37"/>
  <c r="CP29" i="37"/>
  <c r="CO28" i="37"/>
  <c r="CP30" i="37" l="1"/>
  <c r="CP31" i="37"/>
  <c r="CP32" i="37"/>
  <c r="CP33" i="37"/>
  <c r="CP34" i="37"/>
  <c r="CP35" i="37"/>
  <c r="CP36" i="37"/>
  <c r="CP37" i="37"/>
  <c r="CP38" i="37"/>
  <c r="CP39" i="37"/>
  <c r="CP40" i="37"/>
  <c r="CP41" i="37"/>
  <c r="CP42" i="37"/>
  <c r="CP43" i="37"/>
  <c r="CP44" i="37"/>
  <c r="CP45" i="37"/>
  <c r="CP46" i="37"/>
  <c r="CP47" i="37"/>
  <c r="CP48" i="37"/>
  <c r="CP51" i="37"/>
  <c r="CP55" i="37"/>
  <c r="CP56" i="37"/>
  <c r="CP57" i="37"/>
  <c r="CP58" i="37"/>
  <c r="CP59" i="37"/>
  <c r="CP60" i="37"/>
  <c r="CP61" i="37"/>
  <c r="CP62" i="37"/>
  <c r="CP63" i="37"/>
  <c r="CP64" i="37"/>
  <c r="CP65" i="37"/>
  <c r="CP52" i="37"/>
  <c r="CP49" i="37"/>
  <c r="CP53" i="37"/>
  <c r="CP54" i="37"/>
  <c r="CP66" i="37"/>
  <c r="CP68" i="37"/>
  <c r="CP50" i="37"/>
  <c r="CP67" i="37"/>
  <c r="CP69" i="37"/>
  <c r="CP70" i="37"/>
  <c r="CP71" i="37"/>
  <c r="CP72" i="37"/>
  <c r="CP73" i="37"/>
  <c r="CP74" i="37"/>
  <c r="CP75" i="37"/>
  <c r="CP76" i="37"/>
  <c r="CP77" i="37"/>
  <c r="CP78" i="37"/>
  <c r="CP79" i="37"/>
  <c r="CP80" i="37"/>
  <c r="CP81" i="37"/>
  <c r="CP82" i="37"/>
  <c r="CP83" i="37"/>
  <c r="CP84" i="37"/>
  <c r="CO96" i="37"/>
  <c r="CO95" i="37"/>
  <c r="CO94" i="37"/>
  <c r="CO93" i="37"/>
  <c r="CO92" i="37"/>
  <c r="CO91" i="37"/>
  <c r="CO90" i="37"/>
  <c r="CO89" i="37"/>
  <c r="CO86" i="37"/>
  <c r="CO87" i="37"/>
  <c r="CO85" i="37"/>
  <c r="CO88" i="37"/>
  <c r="CP28" i="37"/>
  <c r="CQ29" i="37"/>
  <c r="CQ30" i="37" l="1"/>
  <c r="CQ32" i="37"/>
  <c r="CQ33" i="37"/>
  <c r="CQ34" i="37"/>
  <c r="CQ35" i="37"/>
  <c r="CQ36" i="37"/>
  <c r="CQ37" i="37"/>
  <c r="CQ38" i="37"/>
  <c r="CQ39" i="37"/>
  <c r="CQ40" i="37"/>
  <c r="CQ41" i="37"/>
  <c r="CQ42" i="37"/>
  <c r="CQ31" i="37"/>
  <c r="CQ43" i="37"/>
  <c r="CQ44" i="37"/>
  <c r="CQ45" i="37"/>
  <c r="CQ46" i="37"/>
  <c r="CQ47" i="37"/>
  <c r="CQ48" i="37"/>
  <c r="CQ49" i="37"/>
  <c r="CQ50" i="37"/>
  <c r="CQ51" i="37"/>
  <c r="CQ52" i="37"/>
  <c r="CQ53" i="37"/>
  <c r="CQ54" i="37"/>
  <c r="CQ55" i="37"/>
  <c r="CQ56" i="37"/>
  <c r="CQ57" i="37"/>
  <c r="CQ58" i="37"/>
  <c r="CQ59" i="37"/>
  <c r="CQ60" i="37"/>
  <c r="CQ61" i="37"/>
  <c r="CQ62" i="37"/>
  <c r="CQ63" i="37"/>
  <c r="CQ64" i="37"/>
  <c r="CQ65" i="37"/>
  <c r="CQ66" i="37"/>
  <c r="CQ67" i="37"/>
  <c r="CQ68" i="37"/>
  <c r="CQ69" i="37"/>
  <c r="CQ70" i="37"/>
  <c r="CQ71" i="37"/>
  <c r="CQ72" i="37"/>
  <c r="CQ73" i="37"/>
  <c r="CQ74" i="37"/>
  <c r="CQ75" i="37"/>
  <c r="CQ76" i="37"/>
  <c r="CQ77" i="37"/>
  <c r="CQ78" i="37"/>
  <c r="CQ79" i="37"/>
  <c r="CQ80" i="37"/>
  <c r="CQ81" i="37"/>
  <c r="CQ82" i="37"/>
  <c r="CQ83" i="37"/>
  <c r="CQ84" i="37"/>
  <c r="CP96" i="37"/>
  <c r="CP95" i="37"/>
  <c r="CP94" i="37"/>
  <c r="CP93" i="37"/>
  <c r="CP92" i="37"/>
  <c r="CP89" i="37"/>
  <c r="CP87" i="37"/>
  <c r="CP85" i="37"/>
  <c r="CP86" i="37"/>
  <c r="CP90" i="37"/>
  <c r="CP91" i="37"/>
  <c r="CP88" i="37"/>
  <c r="CR29" i="37"/>
  <c r="CQ28" i="37"/>
  <c r="CR31" i="37" l="1"/>
  <c r="CR33" i="37"/>
  <c r="CR34" i="37"/>
  <c r="CR35" i="37"/>
  <c r="CR30" i="37"/>
  <c r="CR32" i="37"/>
  <c r="CR39" i="37"/>
  <c r="CR36" i="37"/>
  <c r="CR40" i="37"/>
  <c r="CR37" i="37"/>
  <c r="CR41" i="37"/>
  <c r="CR43" i="37"/>
  <c r="CR44" i="37"/>
  <c r="CR45" i="37"/>
  <c r="CR46" i="37"/>
  <c r="CR47" i="37"/>
  <c r="CR48" i="37"/>
  <c r="CR42" i="37"/>
  <c r="CR49" i="37"/>
  <c r="CR50" i="37"/>
  <c r="CR51" i="37"/>
  <c r="CR52" i="37"/>
  <c r="CR53" i="37"/>
  <c r="CR54" i="37"/>
  <c r="CR38" i="37"/>
  <c r="CR55" i="37"/>
  <c r="CR56" i="37"/>
  <c r="CR57" i="37"/>
  <c r="CR58" i="37"/>
  <c r="CR59" i="37"/>
  <c r="CR60" i="37"/>
  <c r="CR61" i="37"/>
  <c r="CR62" i="37"/>
  <c r="CR63" i="37"/>
  <c r="CR64" i="37"/>
  <c r="CR65" i="37"/>
  <c r="CR66" i="37"/>
  <c r="CR67" i="37"/>
  <c r="CR68" i="37"/>
  <c r="CR69" i="37"/>
  <c r="CR70" i="37"/>
  <c r="CR71" i="37"/>
  <c r="CR72" i="37"/>
  <c r="CR73" i="37"/>
  <c r="CR74" i="37"/>
  <c r="CR75" i="37"/>
  <c r="CR76" i="37"/>
  <c r="CR77" i="37"/>
  <c r="CR78" i="37"/>
  <c r="CR79" i="37"/>
  <c r="CR80" i="37"/>
  <c r="CR81" i="37"/>
  <c r="CR82" i="37"/>
  <c r="CR83" i="37"/>
  <c r="CR84" i="37"/>
  <c r="CQ96" i="37"/>
  <c r="CQ95" i="37"/>
  <c r="CQ94" i="37"/>
  <c r="CQ93" i="37"/>
  <c r="CQ92" i="37"/>
  <c r="CQ87" i="37"/>
  <c r="CQ88" i="37"/>
  <c r="CQ91" i="37"/>
  <c r="CQ89" i="37"/>
  <c r="CQ90" i="37"/>
  <c r="CQ85" i="37"/>
  <c r="CQ86" i="37"/>
  <c r="CR28" i="37"/>
  <c r="CS29" i="37"/>
  <c r="CS30" i="37" l="1"/>
  <c r="CS31" i="37"/>
  <c r="CS32" i="37"/>
  <c r="CS33" i="37"/>
  <c r="CS34" i="37"/>
  <c r="CS35" i="37"/>
  <c r="CS36" i="37"/>
  <c r="CS37" i="37"/>
  <c r="CS38" i="37"/>
  <c r="CS39" i="37"/>
  <c r="CS40" i="37"/>
  <c r="CS41" i="37"/>
  <c r="CS42" i="37"/>
  <c r="CS44" i="37"/>
  <c r="CS48" i="37"/>
  <c r="CS45" i="37"/>
  <c r="CS46" i="37"/>
  <c r="CS49" i="37"/>
  <c r="CS50" i="37"/>
  <c r="CS51" i="37"/>
  <c r="CS52" i="37"/>
  <c r="CS53" i="37"/>
  <c r="CS54" i="37"/>
  <c r="CS43" i="37"/>
  <c r="CS47" i="37"/>
  <c r="CS58" i="37"/>
  <c r="CS62" i="37"/>
  <c r="CS55" i="37"/>
  <c r="CS59" i="37"/>
  <c r="CS63" i="37"/>
  <c r="CS66" i="37"/>
  <c r="CS68" i="37"/>
  <c r="CS56" i="37"/>
  <c r="CS60" i="37"/>
  <c r="CS64" i="37"/>
  <c r="CS57" i="37"/>
  <c r="CS61" i="37"/>
  <c r="CS65" i="37"/>
  <c r="CS67" i="37"/>
  <c r="CS69" i="37"/>
  <c r="CS70" i="37"/>
  <c r="CS71" i="37"/>
  <c r="CS72" i="37"/>
  <c r="CS73" i="37"/>
  <c r="CS74" i="37"/>
  <c r="CS75" i="37"/>
  <c r="CS76" i="37"/>
  <c r="CS77" i="37"/>
  <c r="CS78" i="37"/>
  <c r="CS79" i="37"/>
  <c r="CS80" i="37"/>
  <c r="CS81" i="37"/>
  <c r="CS82" i="37"/>
  <c r="CS83" i="37"/>
  <c r="CS84" i="37"/>
  <c r="CR96" i="37"/>
  <c r="CR95" i="37"/>
  <c r="CR94" i="37"/>
  <c r="CR93" i="37"/>
  <c r="CR90" i="37"/>
  <c r="CR85" i="37"/>
  <c r="CR88" i="37"/>
  <c r="CR92" i="37"/>
  <c r="CR91" i="37"/>
  <c r="CR87" i="37"/>
  <c r="CR86" i="37"/>
  <c r="CR89" i="37"/>
  <c r="CS28" i="37"/>
  <c r="CT29" i="37"/>
  <c r="CT30" i="37" l="1"/>
  <c r="CT31" i="37"/>
  <c r="CT32" i="37"/>
  <c r="CT33" i="37"/>
  <c r="CT34" i="37"/>
  <c r="CT35" i="37"/>
  <c r="CT36" i="37"/>
  <c r="CT37" i="37"/>
  <c r="CT38" i="37"/>
  <c r="CT39" i="37"/>
  <c r="CT40" i="37"/>
  <c r="CT41" i="37"/>
  <c r="CT42" i="37"/>
  <c r="CT43" i="37"/>
  <c r="CT44" i="37"/>
  <c r="CT45" i="37"/>
  <c r="CT46" i="37"/>
  <c r="CT47" i="37"/>
  <c r="CT48" i="37"/>
  <c r="CT50" i="37"/>
  <c r="CT54" i="37"/>
  <c r="CT55" i="37"/>
  <c r="CT56" i="37"/>
  <c r="CT57" i="37"/>
  <c r="CT58" i="37"/>
  <c r="CT59" i="37"/>
  <c r="CT60" i="37"/>
  <c r="CT61" i="37"/>
  <c r="CT62" i="37"/>
  <c r="CT63" i="37"/>
  <c r="CT64" i="37"/>
  <c r="CT65" i="37"/>
  <c r="CT51" i="37"/>
  <c r="CT52" i="37"/>
  <c r="CT67" i="37"/>
  <c r="CT49" i="37"/>
  <c r="CT53" i="37"/>
  <c r="CT66" i="37"/>
  <c r="CT68" i="37"/>
  <c r="CT69" i="37"/>
  <c r="CT70" i="37"/>
  <c r="CT71" i="37"/>
  <c r="CT72" i="37"/>
  <c r="CT73" i="37"/>
  <c r="CT74" i="37"/>
  <c r="CT75" i="37"/>
  <c r="CT76" i="37"/>
  <c r="CT82" i="37"/>
  <c r="CT83" i="37"/>
  <c r="CT84" i="37"/>
  <c r="CT77" i="37"/>
  <c r="CT78" i="37"/>
  <c r="CT79" i="37"/>
  <c r="CT80" i="37"/>
  <c r="CT81" i="37"/>
  <c r="CS96" i="37"/>
  <c r="CS95" i="37"/>
  <c r="CS94" i="37"/>
  <c r="CS93" i="37"/>
  <c r="CS92" i="37"/>
  <c r="CS88" i="37"/>
  <c r="CS86" i="37"/>
  <c r="CS89" i="37"/>
  <c r="CS85" i="37"/>
  <c r="CS90" i="37"/>
  <c r="CS87" i="37"/>
  <c r="CS91" i="37"/>
  <c r="CV84" i="37"/>
  <c r="CV83" i="37"/>
  <c r="CV82" i="37"/>
  <c r="CV81" i="37"/>
  <c r="CV80" i="37"/>
  <c r="CT28" i="37"/>
  <c r="CU29" i="37"/>
  <c r="CU31" i="37" l="1"/>
  <c r="CU33" i="37"/>
  <c r="CU30" i="37"/>
  <c r="CU34" i="37"/>
  <c r="CU32" i="37"/>
  <c r="CU35" i="37"/>
  <c r="CU36" i="37"/>
  <c r="CU37" i="37"/>
  <c r="CU38" i="37"/>
  <c r="CU39" i="37"/>
  <c r="CU40" i="37"/>
  <c r="CU41" i="37"/>
  <c r="CU42" i="37"/>
  <c r="CU43" i="37"/>
  <c r="CU44" i="37"/>
  <c r="CU45" i="37"/>
  <c r="CU46" i="37"/>
  <c r="CU47" i="37"/>
  <c r="CU48" i="37"/>
  <c r="CU49" i="37"/>
  <c r="CU50" i="37"/>
  <c r="CU51" i="37"/>
  <c r="CU52" i="37"/>
  <c r="CU53" i="37"/>
  <c r="CU54" i="37"/>
  <c r="CU55" i="37"/>
  <c r="CU56" i="37"/>
  <c r="CU57" i="37"/>
  <c r="CU58" i="37"/>
  <c r="CU59" i="37"/>
  <c r="CU60" i="37"/>
  <c r="CU61" i="37"/>
  <c r="CU62" i="37"/>
  <c r="CU63" i="37"/>
  <c r="CU64" i="37"/>
  <c r="CU65" i="37"/>
  <c r="CU66" i="37"/>
  <c r="CU67" i="37"/>
  <c r="CU68" i="37"/>
  <c r="CU69" i="37"/>
  <c r="CU70" i="37"/>
  <c r="CU71" i="37"/>
  <c r="CU72" i="37"/>
  <c r="CU73" i="37"/>
  <c r="CU74" i="37"/>
  <c r="CU75" i="37"/>
  <c r="CU76" i="37"/>
  <c r="CU77" i="37"/>
  <c r="CU78" i="37"/>
  <c r="CU79" i="37"/>
  <c r="CU80" i="37"/>
  <c r="CU81" i="37"/>
  <c r="CU82" i="37"/>
  <c r="CU83" i="37"/>
  <c r="CU84" i="37"/>
  <c r="CT96" i="37"/>
  <c r="CT95" i="37"/>
  <c r="CT94" i="37"/>
  <c r="CT93" i="37"/>
  <c r="CT86" i="37"/>
  <c r="CT92" i="37"/>
  <c r="CT91" i="37"/>
  <c r="CT90" i="37"/>
  <c r="CT85" i="37"/>
  <c r="CT87" i="37"/>
  <c r="CT88" i="37"/>
  <c r="CT89" i="37"/>
  <c r="CW84" i="37"/>
  <c r="CW83" i="37"/>
  <c r="CW82" i="37"/>
  <c r="CW81" i="37"/>
  <c r="CW80" i="37"/>
  <c r="CU28" i="37"/>
  <c r="C45" i="19" l="1"/>
  <c r="C53" i="19"/>
  <c r="C51" i="19" l="1"/>
  <c r="C54" i="19" l="1"/>
  <c r="C46" i="19"/>
  <c r="C50" i="19" l="1"/>
  <c r="C55"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F7B74B-0DBB-4BF1-A7DE-5698B13845F2}" keepAlive="1" name="Query - FromProposal" description="Connection to the 'FromProposal' query in the workbook." type="5" refreshedVersion="8" background="1" saveData="1">
    <dbPr connection="Provider=Microsoft.Mashup.OleDb.1;Data Source=$Workbook$;Location=FromProposal;Extended Properties=&quot;&quot;" command="SELECT * FROM [FromProposal]"/>
  </connection>
  <connection id="2" xr16:uid="{8DE257EE-DAEB-4596-BC1E-28526168BD2E}" keepAlive="1" name="Query - Proposal" description="Connection to the 'Proposal' query in the workbook." type="5" refreshedVersion="7" background="1" saveData="1">
    <dbPr connection="Provider=Microsoft.Mashup.OleDb.1;Data Source=$Workbook$;Location=Proposal;Extended Properties=&quot;&quot;" command="SELECT * FROM [Proposal]"/>
  </connection>
  <connection id="3" xr16:uid="{99B8A5AE-B634-4F62-9A3D-26C4E9127160}" keepAlive="1" interval="5" name="Query - ProposalToGnatt" description="Connection to the 'ProposalToGnatt' query in the workbook." type="5" refreshedVersion="8" background="1" refreshOnLoad="1" saveData="1">
    <dbPr connection="Provider=Microsoft.Mashup.OleDb.1;Data Source=$Workbook$;Location=ProposalToGnatt;Extended Properties=&quot;&quot;" command="SELECT * FROM [ProposalToGnat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<sst xmlns="http://schemas.openxmlformats.org/spreadsheetml/2006/main" count="1204" uniqueCount="778">
  <si>
    <t>Flip, Hold or Wholetale:</t>
  </si>
  <si>
    <t>Buy</t>
  </si>
  <si>
    <t>Your Home LLC</t>
  </si>
  <si>
    <t>Monthly Cash Flow</t>
  </si>
  <si>
    <t>Hearing Date:</t>
  </si>
  <si>
    <t>Income</t>
  </si>
  <si>
    <t>Immediate</t>
  </si>
  <si>
    <t>Upon Sale</t>
  </si>
  <si>
    <t>CMA:</t>
  </si>
  <si>
    <t>Finalized:</t>
  </si>
  <si>
    <t>No</t>
  </si>
  <si>
    <t>% Above/Below Market Sale:</t>
  </si>
  <si>
    <t>Zillow</t>
  </si>
  <si>
    <t>Sale Price:</t>
  </si>
  <si>
    <t>Anuual Growth:</t>
  </si>
  <si>
    <t>NonRefundable Deposit:</t>
  </si>
  <si>
    <t>Rent:</t>
  </si>
  <si>
    <t>Sq Footage</t>
  </si>
  <si>
    <t>Net Income:</t>
  </si>
  <si>
    <t>Expenses</t>
  </si>
  <si>
    <t>Reinstatment Cost 1st:</t>
  </si>
  <si>
    <t>&lt;-- Approx Pay-Down</t>
  </si>
  <si>
    <t>If the Subject To Value is finalized, zero-out the Pay-Down savings</t>
  </si>
  <si>
    <t>Subject To 1st:Truist</t>
  </si>
  <si>
    <t>Reinstatment Cost 2st:</t>
  </si>
  <si>
    <t>Subject To 2st:Notes</t>
  </si>
  <si>
    <t>Liens - IRS &amp; HOA</t>
  </si>
  <si>
    <t>Partners Share %</t>
  </si>
  <si>
    <t>or Seller Payout:</t>
  </si>
  <si>
    <t>Yellow cells can be edited</t>
  </si>
  <si>
    <t>HOA Fees(Catch Up)</t>
  </si>
  <si>
    <t>Months Carried</t>
  </si>
  <si>
    <t>Do not edit Green cells. They are highlighted only to show profit</t>
  </si>
  <si>
    <t>Mortgage Payment:</t>
  </si>
  <si>
    <t>Mortgage Payment - 2nd:</t>
  </si>
  <si>
    <t>Property Insurance</t>
  </si>
  <si>
    <t>HOA Fees (monthly)</t>
  </si>
  <si>
    <t>Electric</t>
  </si>
  <si>
    <t>water</t>
  </si>
  <si>
    <t>Carrying Cost</t>
  </si>
  <si>
    <t>Purchase  Cost</t>
  </si>
  <si>
    <t>Private Lender  Rate:</t>
  </si>
  <si>
    <t>no</t>
  </si>
  <si>
    <t>75%ARV-Debt:</t>
  </si>
  <si>
    <t>Out of Pocket</t>
  </si>
  <si>
    <t>Rehab:</t>
  </si>
  <si>
    <t>Marketing:</t>
  </si>
  <si>
    <t>PL Balance +Interest</t>
  </si>
  <si>
    <t xml:space="preserve">Seller Realtor's Flat Fee </t>
  </si>
  <si>
    <t>Seller Realtor's Fee Percent:</t>
  </si>
  <si>
    <t>Buyers Realtors Fee Percent:</t>
  </si>
  <si>
    <t>Number of Rent Payments :</t>
  </si>
  <si>
    <t>Buyer  Assistance</t>
  </si>
  <si>
    <t>Buying Closing Cost:</t>
  </si>
  <si>
    <t>Selling Closing Cost:</t>
  </si>
  <si>
    <t>Net Expenses:</t>
  </si>
  <si>
    <t>Immediate Profit:</t>
  </si>
  <si>
    <t>Long Term Profit:</t>
  </si>
  <si>
    <t>Partners Profit Share</t>
  </si>
  <si>
    <t>Our Profit Share</t>
  </si>
  <si>
    <t>Cash Flow Profit for Months:</t>
  </si>
  <si>
    <t>Gross Profit:</t>
  </si>
  <si>
    <t>Capital Gains Tax</t>
  </si>
  <si>
    <t>Capital Gains</t>
  </si>
  <si>
    <t>Chartiable Contribution:</t>
  </si>
  <si>
    <t>Rehab Cost Detail</t>
  </si>
  <si>
    <t>Gnatt Chart</t>
  </si>
  <si>
    <t>Murphy %:</t>
  </si>
  <si>
    <t>Murphy will be Zeroed-Out whe project is finalized</t>
  </si>
  <si>
    <t>Murphy's Cut:</t>
  </si>
  <si>
    <t>Rehab Summary:</t>
  </si>
  <si>
    <t>This value is carried up to cell C29,                         Labeled Rehab</t>
  </si>
  <si>
    <t>Buying Closing Cost</t>
  </si>
  <si>
    <t>Settlement  Fee to Attorney:</t>
  </si>
  <si>
    <t>Probate  Attorney</t>
  </si>
  <si>
    <t>Seller Doc Prep</t>
  </si>
  <si>
    <t>Wire Fee</t>
  </si>
  <si>
    <t>Deed Package:</t>
  </si>
  <si>
    <t>Indemnety:</t>
  </si>
  <si>
    <t>Ttitle Search:</t>
  </si>
  <si>
    <t>Cancelation Fee:</t>
  </si>
  <si>
    <t>Overnight Express Fees:</t>
  </si>
  <si>
    <t>Title Insurance:</t>
  </si>
  <si>
    <t>Affadavits:</t>
  </si>
  <si>
    <t>Notice to Creditors Ad</t>
  </si>
  <si>
    <t>Recording Fee Deed:</t>
  </si>
  <si>
    <t>Transfer Taxes - Wake County</t>
  </si>
  <si>
    <t>Revenue Stamps</t>
  </si>
  <si>
    <t xml:space="preserve">LLC Manager Fee </t>
  </si>
  <si>
    <t>This value is carried up to cell C36,                        Labeled Buying Closing Cost</t>
  </si>
  <si>
    <t>Selling Closing Cost</t>
  </si>
  <si>
    <t>Seller concesson:</t>
  </si>
  <si>
    <t>Home Warrenty:</t>
  </si>
  <si>
    <t>This value is carried up to cell C37,                        Labeled Selling Closing Cost</t>
  </si>
  <si>
    <t>Multiple Offer Generator</t>
  </si>
  <si>
    <t>Buyers Copy</t>
  </si>
  <si>
    <t>Seller 1:</t>
  </si>
  <si>
    <t>Nikki</t>
  </si>
  <si>
    <t>Kulas</t>
  </si>
  <si>
    <t>Seller 2:</t>
  </si>
  <si>
    <t>email:</t>
  </si>
  <si>
    <t>Phone #:</t>
  </si>
  <si>
    <t>Offer 1</t>
  </si>
  <si>
    <t xml:space="preserve">Traditional, All Cash </t>
  </si>
  <si>
    <t>This is an all cash payment, at closing with no other allowances considered. Seller pays all Mortgages, liens, HOA expenses out of closings proceedings.</t>
  </si>
  <si>
    <t>Seller's Equity</t>
  </si>
  <si>
    <t>Sales Price</t>
  </si>
  <si>
    <t>ARV</t>
  </si>
  <si>
    <t>Debt</t>
  </si>
  <si>
    <t>BYH's Profit</t>
  </si>
  <si>
    <t>BYH Out of Pocket:</t>
  </si>
  <si>
    <t>BYH Profit/Out of Pocket:</t>
  </si>
  <si>
    <t>X</t>
  </si>
  <si>
    <t>Buy Your Home's % of Profit:</t>
  </si>
  <si>
    <t>less than Opt 2</t>
  </si>
  <si>
    <t>Offer 2</t>
  </si>
  <si>
    <t>Cash plus Assumption of Mortgage</t>
  </si>
  <si>
    <t>*This is the default values from the Profit Sheet.</t>
  </si>
  <si>
    <t>Cash payment in conjunction with taking the existing mortgage subject to:</t>
  </si>
  <si>
    <t>After reinstating existing loans and HOA fees</t>
  </si>
  <si>
    <t>Seller's Total Value</t>
  </si>
  <si>
    <t>Cash</t>
  </si>
  <si>
    <t>&lt;- The default value form profit sheet</t>
  </si>
  <si>
    <t>x</t>
  </si>
  <si>
    <t>Offer 3</t>
  </si>
  <si>
    <t>Cash plus Promissory Note</t>
  </si>
  <si>
    <t xml:space="preserve"> - this is the one to stear seller to:</t>
  </si>
  <si>
    <t>Note is a simple interest note for:</t>
  </si>
  <si>
    <t>Months</t>
  </si>
  <si>
    <t>(Based on Current Valuation)</t>
  </si>
  <si>
    <t>Value added to Note:</t>
  </si>
  <si>
    <t xml:space="preserve">Cash </t>
  </si>
  <si>
    <t>Note</t>
  </si>
  <si>
    <t>Interest Earned</t>
  </si>
  <si>
    <t>Interest Rate</t>
  </si>
  <si>
    <t>Offer 4</t>
  </si>
  <si>
    <t>Cash plus Beneficial Interest in Trust</t>
  </si>
  <si>
    <t>Profit split is a split of the profits upon the eventual sale of the pproperty.</t>
  </si>
  <si>
    <t>Profits will be calculated after deducting all expenses incurred from the sales price</t>
  </si>
  <si>
    <t>(Based on Future Valuation)</t>
  </si>
  <si>
    <t>Trust Future Profit</t>
  </si>
  <si>
    <t>Seller's Profit Sharing Percent</t>
  </si>
  <si>
    <t>Seller's Profit Share</t>
  </si>
  <si>
    <t>Sellers Share Profit</t>
  </si>
  <si>
    <t>*This precentage is not set in Profit sheet. It is for proposal only.</t>
  </si>
  <si>
    <t>Personalize Note</t>
  </si>
  <si>
    <t>{alt}{enter] = carrage return</t>
  </si>
  <si>
    <t>Foreclosure Leads</t>
  </si>
  <si>
    <t>(919) 899-4954</t>
  </si>
  <si>
    <t>Liberty Leads</t>
  </si>
  <si>
    <t>(919) 899-2104</t>
  </si>
  <si>
    <t>Notes</t>
  </si>
  <si>
    <t>Larchmont</t>
  </si>
  <si>
    <t>3325 Banks</t>
  </si>
  <si>
    <t>2608 Alton</t>
  </si>
  <si>
    <t>202 Avery</t>
  </si>
  <si>
    <t>1900 Red Quartz</t>
  </si>
  <si>
    <t>120 Keith</t>
  </si>
  <si>
    <t>3007 Eric</t>
  </si>
  <si>
    <t>2153 Haig Point</t>
  </si>
  <si>
    <t>178 Patricia</t>
  </si>
  <si>
    <t>1201 Hazelnut</t>
  </si>
  <si>
    <t>1223 Roffler</t>
  </si>
  <si>
    <t>2025 Metacomet</t>
  </si>
  <si>
    <t xml:space="preserve">5619 Marthonna </t>
  </si>
  <si>
    <t>New Seller</t>
  </si>
  <si>
    <t>Purchase &amp; Sale Agreement</t>
  </si>
  <si>
    <t>Yes</t>
  </si>
  <si>
    <t xml:space="preserve"> </t>
  </si>
  <si>
    <t>Letter of Authorization</t>
  </si>
  <si>
    <t>Reinstatement Quote</t>
  </si>
  <si>
    <t>Bank Acknowledgement</t>
  </si>
  <si>
    <t>On-Line Bank Access</t>
  </si>
  <si>
    <t>Change Mail</t>
  </si>
  <si>
    <t>Bank Attorney letter of dismisal</t>
  </si>
  <si>
    <t>na</t>
  </si>
  <si>
    <t>Get (orignal) Property Authorization</t>
  </si>
  <si>
    <t>After Purchase</t>
  </si>
  <si>
    <t>Insurance Claim for Roof</t>
  </si>
  <si>
    <t>Locks Changed</t>
  </si>
  <si>
    <t>Gas Service</t>
  </si>
  <si>
    <t>Electrical &amp; Water Service</t>
  </si>
  <si>
    <t>Rehab bids</t>
  </si>
  <si>
    <t>Order Dumpster</t>
  </si>
  <si>
    <t>A/C service</t>
  </si>
  <si>
    <t>Establish Mortgage payment</t>
  </si>
  <si>
    <t>Remove PMI</t>
  </si>
  <si>
    <t>Claim Property on Zillow</t>
  </si>
  <si>
    <t>Add property to Our Website</t>
  </si>
  <si>
    <t>Make sure deed and agreement are done</t>
  </si>
  <si>
    <t>Change Insurance</t>
  </si>
  <si>
    <t>Get Insurance payments installed</t>
  </si>
  <si>
    <t>Add Private Lender to Insurance</t>
  </si>
  <si>
    <t>Probate letters - Notice to Creditors</t>
  </si>
  <si>
    <t>Upon Sales Contract</t>
  </si>
  <si>
    <t>Get Payoff Letter from Mortgage</t>
  </si>
  <si>
    <t>Respond to Closing Attorney</t>
  </si>
  <si>
    <t>Turn off utilities</t>
  </si>
  <si>
    <t>Alert Private Lenders</t>
  </si>
  <si>
    <t>Upon Closing</t>
  </si>
  <si>
    <t>Drop Insurance</t>
  </si>
  <si>
    <t>Totals Across Projects</t>
  </si>
  <si>
    <t>Total CMA:</t>
  </si>
  <si>
    <t>Total Purchase Cost:</t>
  </si>
  <si>
    <t>Total Rehab Expense:</t>
  </si>
  <si>
    <t>Total Expected Profit:</t>
  </si>
  <si>
    <t>Total Chartable Contribution:</t>
  </si>
  <si>
    <t>Average CMA:</t>
  </si>
  <si>
    <t>Average Purchase Cost:</t>
  </si>
  <si>
    <t>Uncompleted Project</t>
  </si>
  <si>
    <t>Average Rehab Expense:</t>
  </si>
  <si>
    <t>Completed for Sell Your Home</t>
  </si>
  <si>
    <t>Average Profit:</t>
  </si>
  <si>
    <t>Completed for Buy Your Home</t>
  </si>
  <si>
    <t>Vendor</t>
  </si>
  <si>
    <t>Phone Number</t>
  </si>
  <si>
    <t>Contact</t>
  </si>
  <si>
    <t>Acct/Policy</t>
  </si>
  <si>
    <t>Email</t>
  </si>
  <si>
    <t>Purpose</t>
  </si>
  <si>
    <t>Sellers</t>
  </si>
  <si>
    <t>Mortgage</t>
  </si>
  <si>
    <t>NREIG</t>
  </si>
  <si>
    <t>770 734 1523</t>
  </si>
  <si>
    <t>To</t>
  </si>
  <si>
    <t>Subject</t>
  </si>
  <si>
    <t>Sent</t>
  </si>
  <si>
    <t>Size</t>
  </si>
  <si>
    <t>Categories</t>
  </si>
  <si>
    <t>DefaultCFC@Truist.com</t>
  </si>
  <si>
    <t>5008 Larchmont Dr - Loan 9015 2144 11-5998</t>
  </si>
  <si>
    <t>478 KB</t>
  </si>
  <si>
    <t>Insurance National Real Estate Insurance Group LLC</t>
  </si>
  <si>
    <t xml:space="preserve">Rani Walker </t>
  </si>
  <si>
    <t>678  329 0123</t>
  </si>
  <si>
    <t>RWalker@insurancehub.com</t>
  </si>
  <si>
    <t>Customer Care Specialist</t>
  </si>
  <si>
    <t xml:space="preserve">InsuranceHub Leavitt Agency   </t>
  </si>
  <si>
    <t>Phone/SMS/Fax: 678.329.0123 |  insurancehub.com</t>
  </si>
  <si>
    <r>
      <t>Becki Miron</t>
    </r>
    <r>
      <rPr>
        <b/>
        <sz val="9"/>
        <color rgb="FFEA6E0D"/>
        <rFont val="Arial"/>
        <family val="2"/>
      </rPr>
      <t xml:space="preserve"> </t>
    </r>
  </si>
  <si>
    <t>678.685.3277</t>
  </si>
  <si>
    <t>BMiron@insurancehub.com</t>
  </si>
  <si>
    <t>Account Manager</t>
  </si>
  <si>
    <t>Phone/SMS/Fax: 678.685.3277 | insurancehub.com</t>
  </si>
  <si>
    <t>Building Permits</t>
  </si>
  <si>
    <t>Permits</t>
  </si>
  <si>
    <t>File for building, electrical, plumbing ad mechanical permits</t>
  </si>
  <si>
    <t>Demo labor</t>
  </si>
  <si>
    <t>Demolition</t>
  </si>
  <si>
    <t>Remove two (2) bathroom vanities and toilets</t>
  </si>
  <si>
    <t>Deck material</t>
  </si>
  <si>
    <t>Supply treated material to build new deck</t>
  </si>
  <si>
    <t>Supevision</t>
  </si>
  <si>
    <t>Roof Install</t>
  </si>
  <si>
    <t>Supervise roof replacement</t>
  </si>
  <si>
    <t>Deck labor</t>
  </si>
  <si>
    <t>Deck</t>
  </si>
  <si>
    <t>Remove existing deck and build new 12x12 deck and stain. Stain supplied by HO.</t>
  </si>
  <si>
    <t>Frame</t>
  </si>
  <si>
    <t>Floor repair</t>
  </si>
  <si>
    <t>Demo and replace water damaged floor in living room, hallway, first bedroom and both bathrooms</t>
  </si>
  <si>
    <t>Change Order No. 1</t>
  </si>
  <si>
    <t>Repair termte damaged subfloor and joists</t>
  </si>
  <si>
    <t>HVAC Install</t>
  </si>
  <si>
    <t>Supervise HVAC replacement</t>
  </si>
  <si>
    <t>Home Repairs</t>
  </si>
  <si>
    <t>Repair fiberglass tubs</t>
  </si>
  <si>
    <t>Repair two (2) fiberglass tubs</t>
  </si>
  <si>
    <t>Sliding glass door</t>
  </si>
  <si>
    <t>Clean track and repair sliding glass door.. No door cost included.</t>
  </si>
  <si>
    <t>Siding labor</t>
  </si>
  <si>
    <t>Shed</t>
  </si>
  <si>
    <t>Repair and paint 12x12 shed. HO to supply paint.</t>
  </si>
  <si>
    <t>Siding material</t>
  </si>
  <si>
    <t>Shed repair material</t>
  </si>
  <si>
    <t>Supply material to replace doors, siding, and some floor on shed</t>
  </si>
  <si>
    <t>Window labor</t>
  </si>
  <si>
    <t>Replace broken window glass</t>
  </si>
  <si>
    <t>Replace glass in laundry room window and master bath</t>
  </si>
  <si>
    <t>Interest</t>
  </si>
  <si>
    <t>Draw 1 Interest Charge</t>
  </si>
  <si>
    <t>Credit Card interest fee</t>
  </si>
  <si>
    <t>Cleaning</t>
  </si>
  <si>
    <t>Shed and crawl</t>
  </si>
  <si>
    <t>Clean shed and crawl</t>
  </si>
  <si>
    <t>Floor Coverings</t>
  </si>
  <si>
    <t>LVP Flooring</t>
  </si>
  <si>
    <t>Install 1375 sq. ft. of Presto Plus Weathered Barnboard LVP throughout the home with11/16 Primed Quarter Round shoe molding. GDB to supply the flooring and shoe molding.</t>
  </si>
  <si>
    <t>Paint</t>
  </si>
  <si>
    <t>Powerwash</t>
  </si>
  <si>
    <t>Powerwash exterior of home and shed.</t>
  </si>
  <si>
    <t>Laundry cabinets</t>
  </si>
  <si>
    <t>Sand, prime and paint laundry room cabinets HO supplied paint</t>
  </si>
  <si>
    <t>Exterior paint</t>
  </si>
  <si>
    <t>Paint rails, stain porches, paint shutters, and doors</t>
  </si>
  <si>
    <t>Interior paint</t>
  </si>
  <si>
    <t>Prime with KIlz and paint all interior walls, ceiling and trim/doors. Remove borders, repair drywall. HO to supply paint</t>
  </si>
  <si>
    <t>Paint floors</t>
  </si>
  <si>
    <t>Paint all floors with Kilz HO to supply paint</t>
  </si>
  <si>
    <t>Paint kitchen cabinets</t>
  </si>
  <si>
    <t>Sand, prime and paint 16 kitchen cabinets. HO supplies paint</t>
  </si>
  <si>
    <t>Cabinets &amp; Vanities</t>
  </si>
  <si>
    <t>Bath vanities</t>
  </si>
  <si>
    <t>Install two (2) HO supplied bath vanities. Atlantic to install countertops with integrated sinks..</t>
  </si>
  <si>
    <t>Cabinet hardware</t>
  </si>
  <si>
    <t>Install knobs bath cabinets HO to supply hardware</t>
  </si>
  <si>
    <t>Kitchen cabinet hardware</t>
  </si>
  <si>
    <t>Install HO supplied hardware on 16 kitchen cabinets</t>
  </si>
  <si>
    <t>Supervision</t>
  </si>
  <si>
    <t>Kitchen Countertops</t>
  </si>
  <si>
    <t>Supervise installation of kitchen countertops</t>
  </si>
  <si>
    <t>Plumbing</t>
  </si>
  <si>
    <t>Ice Maker Walter Line</t>
  </si>
  <si>
    <t>Install water line for the refrigerator ice maker.</t>
  </si>
  <si>
    <t>Kitchen plumbing</t>
  </si>
  <si>
    <t>Install kitchen sink, faucet and dishwasher. HO to supply sink, dishwasher and faucets.</t>
  </si>
  <si>
    <t>Install toilets</t>
  </si>
  <si>
    <t>Install two (2) HO supplied toilets</t>
  </si>
  <si>
    <t>Bathroom plumbing</t>
  </si>
  <si>
    <t>Install three (3) HO supplied bathroom faucets.</t>
  </si>
  <si>
    <t>Electrical &amp; Lighting</t>
  </si>
  <si>
    <t>Ceiling fans bedrooms</t>
  </si>
  <si>
    <t>Install ceiling fans with lights in three (3) bedrooms. HO to supply fans and lights.</t>
  </si>
  <si>
    <t>Ceiling fan living room</t>
  </si>
  <si>
    <t>Install ceiling fans with lights in living room.. HO to supply fans and lights.</t>
  </si>
  <si>
    <t>Bath lighting</t>
  </si>
  <si>
    <t>Replace light fixtures in two (2) bathrooms. HO to supply fixtures.</t>
  </si>
  <si>
    <t>Exterior lighting</t>
  </si>
  <si>
    <t>Replace three (3) exterior lights HO to supply fixtures</t>
  </si>
  <si>
    <t>Kitchen lights</t>
  </si>
  <si>
    <t>Install  HO supplied light fixtures - one (1) in the ceiling and the other over the sink and remove the pendant light and save for HO</t>
  </si>
  <si>
    <t>Well Power Repair</t>
  </si>
  <si>
    <t>Repair cut wire to well</t>
  </si>
  <si>
    <t>HVAC</t>
  </si>
  <si>
    <t>Duct Cleaning</t>
  </si>
  <si>
    <t>Clean all HVAC ducts</t>
  </si>
  <si>
    <t>Gas line to stove</t>
  </si>
  <si>
    <t>Install gas line to stove</t>
  </si>
  <si>
    <t>Bath Accessories</t>
  </si>
  <si>
    <t>Bath Mirrors</t>
  </si>
  <si>
    <t>Install two (2) mirrors in each of two (2) bathrooms</t>
  </si>
  <si>
    <t>Appliances</t>
  </si>
  <si>
    <t>Install appliances</t>
  </si>
  <si>
    <t>Install gas stove, refrigerator, dishwasher  and microwave</t>
  </si>
  <si>
    <t>Change Order No. 2</t>
  </si>
  <si>
    <t>Credit on HVAC Ducts,Supervision on roof,Ice maker install</t>
  </si>
  <si>
    <t>Change Order No. 3</t>
  </si>
  <si>
    <t>Repair termite damaged front Wall</t>
  </si>
  <si>
    <t>Change Order No. 4</t>
  </si>
  <si>
    <t>Replace Insulation and vapor berrier in floor</t>
  </si>
  <si>
    <t>Change Order No. 5</t>
  </si>
  <si>
    <t>Hose bibbs, paint closet doors, doorknobs, bath fans</t>
  </si>
  <si>
    <t>Change Order No. 6</t>
  </si>
  <si>
    <t>Replace front door and repair broken window in family room</t>
  </si>
  <si>
    <t>Change Order No. 7</t>
  </si>
  <si>
    <t>Repair bath tubs</t>
  </si>
  <si>
    <t>Change Order No. 8</t>
  </si>
  <si>
    <t>install HO supplied maibox</t>
  </si>
  <si>
    <t>Preassigned Rows Cordination of Glasgow with Contrtactors</t>
  </si>
  <si>
    <t>Pasted rows from Builder's Trend Proposal</t>
  </si>
  <si>
    <t>Notes: Only add rows to the bottom of the table</t>
  </si>
  <si>
    <r>
      <rPr>
        <sz val="12"/>
        <rFont val="Arial"/>
        <family val="2"/>
      </rPr>
      <t>Cost Code</t>
    </r>
  </si>
  <si>
    <r>
      <rPr>
        <sz val="12"/>
        <rFont val="Arial"/>
        <family val="2"/>
      </rPr>
      <t>Title</t>
    </r>
  </si>
  <si>
    <r>
      <rPr>
        <sz val="12"/>
        <rFont val="Arial"/>
        <family val="2"/>
      </rPr>
      <t>Description</t>
    </r>
  </si>
  <si>
    <t>Qty</t>
  </si>
  <si>
    <t>Unit Price</t>
  </si>
  <si>
    <t>Deposit</t>
  </si>
  <si>
    <t>Initial Deposit to Start Job</t>
  </si>
  <si>
    <t>Draw</t>
  </si>
  <si>
    <t xml:space="preserve">Draw 1 </t>
  </si>
  <si>
    <t>Draw 1</t>
  </si>
  <si>
    <t>Draw 2</t>
  </si>
  <si>
    <t>Sell</t>
  </si>
  <si>
    <t>List with MLS</t>
  </si>
  <si>
    <t>Cordinate Sub</t>
  </si>
  <si>
    <t>Flooring Contractor</t>
  </si>
  <si>
    <t>Termite Treatment</t>
  </si>
  <si>
    <t>Cabinet Delivery</t>
  </si>
  <si>
    <t>Countertops</t>
  </si>
  <si>
    <t>Manage installion of granite countertops by others in kitchen</t>
  </si>
  <si>
    <t>Clean out House</t>
  </si>
  <si>
    <t>Contract</t>
  </si>
  <si>
    <t>... Demo</t>
  </si>
  <si>
    <t>20 Millwork &amp; Trim</t>
  </si>
  <si>
    <t>22 Specialty</t>
  </si>
  <si>
    <t>Frame labor</t>
  </si>
  <si>
    <t>Frame materials</t>
  </si>
  <si>
    <t>Insulation</t>
  </si>
  <si>
    <t>Landscaping &amp; Paving</t>
  </si>
  <si>
    <t>Miscellaneous</t>
  </si>
  <si>
    <t>... Site Preparation</t>
  </si>
  <si>
    <t>Trim labor</t>
  </si>
  <si>
    <t>Frame Labor</t>
  </si>
  <si>
    <t>Sheetrock</t>
  </si>
  <si>
    <t>Trim Labor</t>
  </si>
  <si>
    <t>These Cells are updated from the Proposal tab and are protected here.</t>
  </si>
  <si>
    <t>These cells are updated here and carried over to the Gnatt Chart</t>
  </si>
  <si>
    <t>Contracted Task</t>
  </si>
  <si>
    <t>Payment</t>
  </si>
  <si>
    <t>Change Order</t>
  </si>
  <si>
    <t>Not Used</t>
  </si>
  <si>
    <t>Manage Vendor</t>
  </si>
  <si>
    <t>Party</t>
  </si>
  <si>
    <t>Item</t>
  </si>
  <si>
    <t>Cost Code</t>
  </si>
  <si>
    <t>Title</t>
  </si>
  <si>
    <t>Description</t>
  </si>
  <si>
    <t>Price</t>
  </si>
  <si>
    <t>Done</t>
  </si>
  <si>
    <t>Group Order</t>
  </si>
  <si>
    <t>Start Date</t>
  </si>
  <si>
    <t>Days</t>
  </si>
  <si>
    <t>Paid</t>
  </si>
  <si>
    <t>Expense</t>
  </si>
  <si>
    <t>Due:</t>
  </si>
  <si>
    <t>Project Start Date:</t>
  </si>
  <si>
    <t>Company  Paid  Materials Total:</t>
  </si>
  <si>
    <t>Jonathan Brothers</t>
  </si>
  <si>
    <t>Contractors Total:</t>
  </si>
  <si>
    <t>Milestone Marker:</t>
  </si>
  <si>
    <t>Glasgow Total:</t>
  </si>
  <si>
    <t>Cells H5 through BK5 contain the day number of the month for the Month represented in the cell block above each date cell and are auto calculated.
Do not modify these cells.
Dates leading up to Today are shaded.</t>
  </si>
  <si>
    <t>Milestone Marker 2:</t>
  </si>
  <si>
    <t>Grand Total</t>
  </si>
  <si>
    <t>Assigned</t>
  </si>
  <si>
    <t>Item #</t>
  </si>
  <si>
    <t>Due</t>
  </si>
  <si>
    <t>Cleanup (from Demo &amp; Trash Haul Tab)</t>
  </si>
  <si>
    <t>Taxes - outside of closing (from Taxes tab)</t>
  </si>
  <si>
    <t>Appliances (from Appliances Tab)</t>
  </si>
  <si>
    <t>Plubing Fixtures</t>
  </si>
  <si>
    <t>Windows &amp; Doors</t>
  </si>
  <si>
    <t>Cabinets  (from Cabinets Tab)</t>
  </si>
  <si>
    <t>Paint  (from Paint Tab)</t>
  </si>
  <si>
    <t>Flooring</t>
  </si>
  <si>
    <t>Electrical fixtures  (from Misc Tab)</t>
  </si>
  <si>
    <t>Exterior Tab</t>
  </si>
  <si>
    <t>Landscaping Tab</t>
  </si>
  <si>
    <t>HVAC Contractor</t>
  </si>
  <si>
    <t>Landscape</t>
  </si>
  <si>
    <t>Exterior- Termite</t>
  </si>
  <si>
    <t>Drainage</t>
  </si>
  <si>
    <t>Mabrey Roofing</t>
  </si>
  <si>
    <t>Roof Contractor</t>
  </si>
  <si>
    <t>Scrolling Increment:</t>
  </si>
  <si>
    <t>Love Services</t>
  </si>
  <si>
    <t>HVAC Contractor - Package Heat Pump</t>
  </si>
  <si>
    <t>HVAC Contractor - Duct Work</t>
  </si>
  <si>
    <t>Glasgow Design Items (all items should be updated from Proposal or ProposalUpdate tab)</t>
  </si>
  <si>
    <t>Glasgow</t>
  </si>
  <si>
    <t/>
  </si>
  <si>
    <t>This is for taxes paid, outside of closing process</t>
  </si>
  <si>
    <t>Gov't Entity</t>
  </si>
  <si>
    <t>Date</t>
  </si>
  <si>
    <t>Tax Event</t>
  </si>
  <si>
    <t>Tax</t>
  </si>
  <si>
    <t>Property Transfer Tax</t>
  </si>
  <si>
    <t>QUANTA FINANCE</t>
  </si>
  <si>
    <t>CLIENT:</t>
  </si>
  <si>
    <t>TBD</t>
  </si>
  <si>
    <t>DATE:</t>
  </si>
  <si>
    <t>PROJECT:</t>
  </si>
  <si>
    <t>DESCRIPTION OF WORK</t>
  </si>
  <si>
    <t xml:space="preserve">REHAB BUDGET </t>
  </si>
  <si>
    <t>PRE-FUNDING COSTS</t>
  </si>
  <si>
    <t>SCHEDULED VALUES</t>
  </si>
  <si>
    <t>Soft Costs (Plans/Permits/Fees)</t>
  </si>
  <si>
    <t>Demo &amp; Trash Haul</t>
  </si>
  <si>
    <t>Sitework/ Shoring</t>
  </si>
  <si>
    <t>Foundation</t>
  </si>
  <si>
    <t>Framing</t>
  </si>
  <si>
    <t>Plumbing Finish Materials</t>
  </si>
  <si>
    <t>Plumbing install/ Rough</t>
  </si>
  <si>
    <t>Electrical Finish Materials</t>
  </si>
  <si>
    <t>Electrical Install/ rough</t>
  </si>
  <si>
    <t>Metal Works (iron, etc.)</t>
  </si>
  <si>
    <t xml:space="preserve">HVAC </t>
  </si>
  <si>
    <t>Roof</t>
  </si>
  <si>
    <t>Stucco, Siding, Etc. Coverings</t>
  </si>
  <si>
    <t>Drywall</t>
  </si>
  <si>
    <t>Tile Finish Materials</t>
  </si>
  <si>
    <t>Tile Installations</t>
  </si>
  <si>
    <t>Doors/ Windows</t>
  </si>
  <si>
    <t>Finish Carpentry</t>
  </si>
  <si>
    <t>Paint/ Specialties</t>
  </si>
  <si>
    <t>Glazing (Glass installs)</t>
  </si>
  <si>
    <t>Hardware</t>
  </si>
  <si>
    <t xml:space="preserve">Pool </t>
  </si>
  <si>
    <t>Countertops (w/ Install)</t>
  </si>
  <si>
    <t>General Labor</t>
  </si>
  <si>
    <t>Landscaping</t>
  </si>
  <si>
    <t>Hardscape</t>
  </si>
  <si>
    <t>Fireplaces</t>
  </si>
  <si>
    <t>General Contractor</t>
  </si>
  <si>
    <t>Cabinets</t>
  </si>
  <si>
    <t>Bathrooms</t>
  </si>
  <si>
    <t>Fence</t>
  </si>
  <si>
    <t>PM Fee</t>
  </si>
  <si>
    <t>Open Item</t>
  </si>
  <si>
    <t>Staging &amp; final Clean up</t>
  </si>
  <si>
    <t>Contingency</t>
  </si>
  <si>
    <t>Owner's Contribution</t>
  </si>
  <si>
    <t>TOTAL</t>
  </si>
  <si>
    <t>Misc Cost</t>
  </si>
  <si>
    <t>AdvancesReduce Seller Pauout</t>
  </si>
  <si>
    <t>Sellers Payout</t>
  </si>
  <si>
    <t>Sellers Payoff</t>
  </si>
  <si>
    <t>Seller Incentive/Day:</t>
  </si>
  <si>
    <t>Seller Vacate Days Early:</t>
  </si>
  <si>
    <t>Total Cost</t>
  </si>
  <si>
    <t>Total Owed:</t>
  </si>
  <si>
    <t>Misc</t>
  </si>
  <si>
    <t>Item Name</t>
  </si>
  <si>
    <t>Quanity</t>
  </si>
  <si>
    <t>Cost/Unit</t>
  </si>
  <si>
    <t>Sub-Total</t>
  </si>
  <si>
    <t>Total</t>
  </si>
  <si>
    <t xml:space="preserve">Living Room Ceiling Fan </t>
  </si>
  <si>
    <t>Bedroom Ceiling Fan</t>
  </si>
  <si>
    <t>Ceiling Fan Pole</t>
  </si>
  <si>
    <t>Kitchen Light Fixture</t>
  </si>
  <si>
    <t>Dining Room Light Fixture</t>
  </si>
  <si>
    <t>Over Kitchen Sink Light Fixture</t>
  </si>
  <si>
    <t>Hall Light Fixture</t>
  </si>
  <si>
    <t>Hall Bath Light Fixture</t>
  </si>
  <si>
    <t>Master Bath Light Fixture</t>
  </si>
  <si>
    <t>1/2 Bath Light Fixture</t>
  </si>
  <si>
    <t>Bedroom Light Fixture</t>
  </si>
  <si>
    <t>Laundry Light Fixture</t>
  </si>
  <si>
    <t>Closet Light Fixture</t>
  </si>
  <si>
    <t>Exterior Light Fixture</t>
  </si>
  <si>
    <t>Exterior  Motion Light Fixture</t>
  </si>
  <si>
    <t>Bulbs</t>
  </si>
  <si>
    <t>Kitchen Sink Faucet</t>
  </si>
  <si>
    <t>Bathroom Sink Faucet</t>
  </si>
  <si>
    <t>Toilet</t>
  </si>
  <si>
    <t>Shower Head</t>
  </si>
  <si>
    <t>Shower Handle</t>
  </si>
  <si>
    <t>Tub Faucet</t>
  </si>
  <si>
    <t>Shower Kit</t>
  </si>
  <si>
    <t xml:space="preserve">Tub  </t>
  </si>
  <si>
    <t>Washing Machine Outlet</t>
  </si>
  <si>
    <t>Dryer Vent</t>
  </si>
  <si>
    <t>Kitchen Disposal</t>
  </si>
  <si>
    <t>Hall Bath Vanity</t>
  </si>
  <si>
    <t>1/2 Bath Vanity</t>
  </si>
  <si>
    <t>Master Bath Vanity</t>
  </si>
  <si>
    <t>Bath Sink Top</t>
  </si>
  <si>
    <t>Hall Bath Mirror</t>
  </si>
  <si>
    <t>Vender</t>
  </si>
  <si>
    <t>Per Event</t>
  </si>
  <si>
    <t>Iterations</t>
  </si>
  <si>
    <t>Sub Total</t>
  </si>
  <si>
    <t>Meridian</t>
  </si>
  <si>
    <t>15 Yrd Delivery</t>
  </si>
  <si>
    <t>15 yard Haul swap</t>
  </si>
  <si>
    <t>C&amp;D Disp</t>
  </si>
  <si>
    <t>Fuel Surcharge</t>
  </si>
  <si>
    <t>Dest Fee</t>
  </si>
  <si>
    <t>Admin Fee</t>
  </si>
  <si>
    <t>Environmental Fee</t>
  </si>
  <si>
    <t>Inv 1</t>
  </si>
  <si>
    <t>inv 2</t>
  </si>
  <si>
    <t>Clean Out Faison</t>
  </si>
  <si>
    <t>ITEM</t>
  </si>
  <si>
    <t>HD Microwave White</t>
  </si>
  <si>
    <t>FB Marketplace Ref</t>
  </si>
  <si>
    <t>HD Dishwasher</t>
  </si>
  <si>
    <t>Sub-total for Lowes</t>
  </si>
  <si>
    <t>Dishwasher Hose</t>
  </si>
  <si>
    <t>Lowes Range</t>
  </si>
  <si>
    <t>Lowes Dishwasher</t>
  </si>
  <si>
    <t>Lowes Range cord</t>
  </si>
  <si>
    <t>Kitchen Sink</t>
  </si>
  <si>
    <t>Kitchen faucet</t>
  </si>
  <si>
    <t>Lowes Microwave</t>
  </si>
  <si>
    <t>Accumulating tax</t>
  </si>
  <si>
    <t>FB Ref</t>
  </si>
  <si>
    <t>Total for Appliances:</t>
  </si>
  <si>
    <t>Lowes Kitchen Faucet</t>
  </si>
  <si>
    <t>Lowes Bath Accessory Kit</t>
  </si>
  <si>
    <t>Lowes Shower Head</t>
  </si>
  <si>
    <t>Lowes Bath Faucets</t>
  </si>
  <si>
    <t>toilets</t>
  </si>
  <si>
    <t>Resurface tubs</t>
  </si>
  <si>
    <t>Doors &amp; Windows</t>
  </si>
  <si>
    <t>36" Exterior (R) Out Swing</t>
  </si>
  <si>
    <t>36" Exterior (L) Out Swing</t>
  </si>
  <si>
    <t>36" Exterior (L) In Swing</t>
  </si>
  <si>
    <t>32" Exterior (R) Out Swing</t>
  </si>
  <si>
    <t>32" Exterior (L)  Out Swing</t>
  </si>
  <si>
    <t>32" Exterior (L)  In Swing</t>
  </si>
  <si>
    <t>30" Interior (R)</t>
  </si>
  <si>
    <t>30" Interior (L)</t>
  </si>
  <si>
    <t>28" Interior (R)</t>
  </si>
  <si>
    <t>28" Interior (L)</t>
  </si>
  <si>
    <t>24" Interior (R)</t>
  </si>
  <si>
    <t>24" Interior (L)</t>
  </si>
  <si>
    <t>bifold closet - 60" (not prehung)</t>
  </si>
  <si>
    <t>Prehung French 60"</t>
  </si>
  <si>
    <t>Windows 32"x62" Project 640493559</t>
  </si>
  <si>
    <t xml:space="preserve">Windows 59"x4446.562" Project </t>
  </si>
  <si>
    <t>Lowes Front door kw powerbolt</t>
  </si>
  <si>
    <t>Lowes Front door kw door handle</t>
  </si>
  <si>
    <t>B21R</t>
  </si>
  <si>
    <t>24" Arcadia Cab Master</t>
  </si>
  <si>
    <t>SCR36</t>
  </si>
  <si>
    <t>36 sink base</t>
  </si>
  <si>
    <t>B24R</t>
  </si>
  <si>
    <t>Panel</t>
  </si>
  <si>
    <t>PePR335</t>
  </si>
  <si>
    <t>Sink Base</t>
  </si>
  <si>
    <t>SB36B</t>
  </si>
  <si>
    <t>Base Cab</t>
  </si>
  <si>
    <t>B12R</t>
  </si>
  <si>
    <t>Wall Cab</t>
  </si>
  <si>
    <t>W1230R</t>
  </si>
  <si>
    <t>W2730B</t>
  </si>
  <si>
    <t>W2430B</t>
  </si>
  <si>
    <t>Diag Corner</t>
  </si>
  <si>
    <t>DC2430R</t>
  </si>
  <si>
    <t>Lowes Vanity Master</t>
  </si>
  <si>
    <t>W2130R</t>
  </si>
  <si>
    <t>W3014B</t>
  </si>
  <si>
    <t>Toe Kicks</t>
  </si>
  <si>
    <t>Filler F331</t>
  </si>
  <si>
    <t>Installation</t>
  </si>
  <si>
    <t>Buy from Lowes</t>
  </si>
  <si>
    <t>Cabinet Tops</t>
  </si>
  <si>
    <t>surface 1</t>
  </si>
  <si>
    <t>surface 2</t>
  </si>
  <si>
    <t>surface 3</t>
  </si>
  <si>
    <t>Estimate for Pilier</t>
  </si>
  <si>
    <t>Cabinet Hardware</t>
  </si>
  <si>
    <t>Vanities - Sun HS Warehouse</t>
  </si>
  <si>
    <t>Lowes 10 pk Matte Black Knob</t>
  </si>
  <si>
    <t>HD Satin Nickel Knobs</t>
  </si>
  <si>
    <t>Sq Ft</t>
  </si>
  <si>
    <t>Interior Wall Paint</t>
  </si>
  <si>
    <t>5 gal Lowes Kilz</t>
  </si>
  <si>
    <t>5 Gal -Valspar Signature Signature flat</t>
  </si>
  <si>
    <t>Stone Eagle HGSW1456</t>
  </si>
  <si>
    <t>HD 5 gal Wh Flat Int ceiling</t>
  </si>
  <si>
    <t>Valspar</t>
  </si>
  <si>
    <t>L1028086</t>
  </si>
  <si>
    <t>SW 5galover White</t>
  </si>
  <si>
    <t>6504-06788</t>
  </si>
  <si>
    <t>Kitchen Cabinets</t>
  </si>
  <si>
    <t>Exterior Wall Paint</t>
  </si>
  <si>
    <t>Deck Stain</t>
  </si>
  <si>
    <t>Lowes 1028086</t>
  </si>
  <si>
    <t>Lowes Sub Total for Paint</t>
  </si>
  <si>
    <t>Painter</t>
  </si>
  <si>
    <t>Inside</t>
  </si>
  <si>
    <t>Front Porch</t>
  </si>
  <si>
    <t>Back Porch</t>
  </si>
  <si>
    <t>Floor</t>
  </si>
  <si>
    <t>LVP Floor Installation</t>
  </si>
  <si>
    <t xml:space="preserve">Item </t>
  </si>
  <si>
    <t>New unit</t>
  </si>
  <si>
    <t>True Service HVAC</t>
  </si>
  <si>
    <t>A/C registers</t>
  </si>
  <si>
    <t>Lowes 66848</t>
  </si>
  <si>
    <t>HD 4x10  803492136468</t>
  </si>
  <si>
    <t>A/C Return Vent</t>
  </si>
  <si>
    <t>Lowes 20x25   753897</t>
  </si>
  <si>
    <t>AC Filter</t>
  </si>
  <si>
    <t>HD 20x25 31949488390</t>
  </si>
  <si>
    <t>Lowes 20x20 259930</t>
  </si>
  <si>
    <t>Grill</t>
  </si>
  <si>
    <t>L65185</t>
  </si>
  <si>
    <t>HVAC Service</t>
  </si>
  <si>
    <t>Electrical</t>
  </si>
  <si>
    <t>Lowes Bedroom Ceiling Fans</t>
  </si>
  <si>
    <t>Lowes Liv Rm Ceiling Fan</t>
  </si>
  <si>
    <t>Lowes 4light bath vanity</t>
  </si>
  <si>
    <t>Lowes Flush Kitchen Light</t>
  </si>
  <si>
    <t>Lowes Pendant Dining Light</t>
  </si>
  <si>
    <t>Lowes Ext Motion Lights</t>
  </si>
  <si>
    <t>Lowes 2' Strip Light Mast Closet</t>
  </si>
  <si>
    <t>Cost/sf</t>
  </si>
  <si>
    <t>Square Feet</t>
  </si>
  <si>
    <t>cost/unit</t>
  </si>
  <si>
    <t>SubTotal</t>
  </si>
  <si>
    <t>Liesure Time Zoysia-pallet</t>
  </si>
  <si>
    <t>Liesure Time Zoysia-roll</t>
  </si>
  <si>
    <t>Delivery Fee</t>
  </si>
  <si>
    <t>organic humis</t>
  </si>
  <si>
    <t>mulch</t>
  </si>
  <si>
    <t>Mulch Labor:</t>
  </si>
  <si>
    <t>Straighten landscape stones</t>
  </si>
  <si>
    <t>lay sod</t>
  </si>
  <si>
    <t>Tree pruning</t>
  </si>
  <si>
    <t>Mow Grass</t>
  </si>
  <si>
    <t>remove debries</t>
  </si>
  <si>
    <t>Cost/item</t>
  </si>
  <si>
    <t>Hourly Rate:</t>
  </si>
  <si>
    <t>Lowes Mailbox</t>
  </si>
  <si>
    <t>Crawl Plumbing</t>
  </si>
  <si>
    <t>Siding Repair</t>
  </si>
  <si>
    <t>Drainage repair</t>
  </si>
  <si>
    <t>Deck rebuild</t>
  </si>
  <si>
    <t>Masking tape</t>
  </si>
  <si>
    <t>Drop cloths</t>
  </si>
  <si>
    <t>Power wash</t>
  </si>
  <si>
    <t>LVP Floor RediCarpet #1</t>
  </si>
  <si>
    <t>LVP Floor Repair RediCarpet #2</t>
  </si>
  <si>
    <t>Post Contract</t>
  </si>
  <si>
    <t xml:space="preserve">L Valspar Semi trans deck stain </t>
  </si>
  <si>
    <t xml:space="preserve">L Valspar solid porch stain </t>
  </si>
  <si>
    <t>Lowes 1028091</t>
  </si>
  <si>
    <t>Ongoing tax</t>
  </si>
  <si>
    <t xml:space="preserve">SW   </t>
  </si>
  <si>
    <t>6509-48698</t>
  </si>
  <si>
    <t>SW</t>
  </si>
  <si>
    <t>6510-78628</t>
  </si>
  <si>
    <t>6508-68102</t>
  </si>
  <si>
    <t>Int Dummy knobs</t>
  </si>
  <si>
    <t>L399125</t>
  </si>
  <si>
    <t>HD Ext Deadbolt combo</t>
  </si>
  <si>
    <t>HD</t>
  </si>
  <si>
    <t>Floor registers</t>
  </si>
  <si>
    <t>HD1002265221</t>
  </si>
  <si>
    <t>Laundry room Fr Doors</t>
  </si>
  <si>
    <t>HD154372</t>
  </si>
  <si>
    <t>LED Bulbs</t>
  </si>
  <si>
    <t>HD1006211602</t>
  </si>
  <si>
    <t>HD233840</t>
  </si>
  <si>
    <t>Hall Light</t>
  </si>
  <si>
    <t>HD385544</t>
  </si>
  <si>
    <t>Outdoor flood light fixture</t>
  </si>
  <si>
    <t>Flood Light Bulbs</t>
  </si>
  <si>
    <t>HD1006248217</t>
  </si>
  <si>
    <t>Wall protectors</t>
  </si>
  <si>
    <t>HD316307</t>
  </si>
  <si>
    <t>Satin Nick cabinet knob</t>
  </si>
  <si>
    <t>Arched 3" Drawer pull</t>
  </si>
  <si>
    <t>Closet door knob</t>
  </si>
  <si>
    <t>HD883767</t>
  </si>
  <si>
    <t>Bed/bath knob</t>
  </si>
  <si>
    <t>HD883624</t>
  </si>
  <si>
    <t>Mailbox post</t>
  </si>
  <si>
    <t>HD106052</t>
  </si>
  <si>
    <t>HD Behr Int/ext black paint</t>
  </si>
  <si>
    <t>HD White Int/ext white paint</t>
  </si>
  <si>
    <t>3413 Pinetree Ln, Greenville, NC 27858</t>
  </si>
  <si>
    <t>0623844180</t>
  </si>
  <si>
    <t>Lola Williams</t>
  </si>
  <si>
    <t>866 316 2432</t>
  </si>
  <si>
    <t>252 814 4221</t>
  </si>
  <si>
    <t>sent on 8/23/2023</t>
  </si>
  <si>
    <t>6004  Sandy Run</t>
  </si>
  <si>
    <t>Wiring Instructions: Acct: 46290000967540 Rt#: 021000021 Address: JP Morgan Chase Bank, 270 Park ave, New York, NY 10017</t>
  </si>
  <si>
    <t>3021 Pearces Rd</t>
  </si>
  <si>
    <t>yes</t>
  </si>
  <si>
    <t xml:space="preserve">na till vacant </t>
  </si>
  <si>
    <t xml:space="preserve">waiting on recorded deed </t>
  </si>
  <si>
    <t>Send list realtor contract</t>
  </si>
  <si>
    <t>Documents to send to list realtor</t>
  </si>
  <si>
    <t>Send list realtor CD/Alta signed by all</t>
  </si>
  <si>
    <t>Monthly Carring Cost:</t>
  </si>
  <si>
    <t>Monthly Income:</t>
  </si>
  <si>
    <t>hold</t>
  </si>
  <si>
    <t>https://account.mrcooper.com/ed04d0f3-eba1-467f-91e7-52505132554c/oauth2/v2.0/authorize?p=B2C_1A_SignUpOrSignIn&amp;client_id=2a694b91-5631-4fe1-9039-775a23b420c8&amp;nonce=defaultNonce&amp;redirect_uri=https://www.mrcooper.com/sessions/login&amp;scope=openid&amp;response_type=id_token&amp;response_mode=form_post&amp;pageName=&amp;guid=&amp;ga_client_id=&amp;session_id=395071fa82d98b338e7ef9cf7a7320d9&amp;&amp;getCustomer=no&amp;state={%22redirect%22:null}&amp;x-client-SKU=apollo-accounts-mrcooper</t>
  </si>
  <si>
    <t>SS 237 72 4905</t>
  </si>
  <si>
    <t>Pitt Co</t>
  </si>
  <si>
    <t>Charge</t>
  </si>
  <si>
    <t>Yes (2)</t>
  </si>
  <si>
    <t>n/a</t>
  </si>
  <si>
    <t xml:space="preserve">yes  </t>
  </si>
  <si>
    <t>Total Debt</t>
  </si>
  <si>
    <t>username: Wes@BYHLLC.com PW:w3638B0#</t>
  </si>
  <si>
    <t>Rocket Mortgage</t>
  </si>
  <si>
    <t>https://rocket.com/mortgage/servicing/onboarding?loanNumber=623844180</t>
  </si>
  <si>
    <t>Wes@BYHLLC.com</t>
  </si>
  <si>
    <t>w3638B0@</t>
  </si>
  <si>
    <t>Pasword:</t>
  </si>
  <si>
    <t>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</si>
</sst>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6" formatCode="&quot;$&quot;#,##0_);[Red]\(&quot;$&quot;#,##0\)"/>
    <numFmt numFmtId="8" formatCode="&quot;$&quot;#,##0.00_);[Red]\(&quot;$&quot;#,##0.00\)"/>
    <numFmt numFmtId="44" formatCode="_(&quot;$&quot;* #,##0.00_);_(&quot;$&quot;* \(#,##0.00\);_(&quot;$&quot;* &quot;-&quot;??_);_(@_)"/>
    <numFmt numFmtId="43" formatCode="_(* #,##0.00_);_(* \(#,##0.00\);_(* &quot;-&quot;??_);_(@_)"/>
    <numFmt numFmtId="164" formatCode="&quot;$&quot;#,##0"/>
    <numFmt numFmtId="165" formatCode="0.0%"/>
    <numFmt numFmtId="166" formatCode="&quot;$&quot;#,##0.00"/>
    <numFmt numFmtId="167" formatCode="m/d/yy;@"/>
    <numFmt numFmtId="168" formatCode="d"/>
    <numFmt numFmtId="169" formatCode="m/d/yy"/>
    <numFmt numFmtId="170" formatCode="m/d;@"/>
    <numFmt numFmtId="171" formatCode="mm/dd/yy;@"/>
    <numFmt numFmtId="172" formatCode="#,##0.##"/>
    <numFmt numFmtId="173" formatCode="0.000%"/>
  </numFmts>
  <fonts count="65">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1"/>
      <name val="Calibri"/>
      <family val="2"/>
      <scheme val="minor"/>
    </font>
    <font>
      <sz val="11"/>
      <color rgb="FF000000"/>
      <name val="Calibri"/>
      <family val="2"/>
      <scheme val="minor"/>
    </font>
    <font>
      <sz val="11"/>
      <color theme="1"/>
      <name val="Arial"/>
      <family val="2"/>
    </font>
    <font>
      <b/>
      <sz val="13"/>
      <color theme="3"/>
      <name val="Calibri"/>
      <family val="2"/>
      <scheme val="minor"/>
    </font>
    <font>
      <b/>
      <sz val="11"/>
      <color theme="3"/>
      <name val="Calibri"/>
      <family val="2"/>
      <scheme val="minor"/>
    </font>
    <font>
      <sz val="11"/>
      <color theme="0"/>
      <name val="Calibri"/>
      <family val="2"/>
      <scheme val="minor"/>
    </font>
    <font>
      <sz val="11"/>
      <color theme="8" tint="-0.499984740745262"/>
      <name val="Calibri"/>
      <family val="2"/>
      <scheme val="minor"/>
    </font>
    <font>
      <sz val="11"/>
      <color rgb="FF006100"/>
      <name val="Calibri"/>
      <family val="2"/>
      <scheme val="minor"/>
    </font>
    <font>
      <sz val="11"/>
      <color rgb="FF9C5700"/>
      <name val="Calibri"/>
      <family val="2"/>
      <scheme val="minor"/>
    </font>
    <font>
      <b/>
      <sz val="11"/>
      <name val="Calibri"/>
      <family val="2"/>
      <scheme val="minor"/>
    </font>
    <font>
      <b/>
      <sz val="11"/>
      <color rgb="FF373A3C"/>
      <name val="Open Sans"/>
      <family val="2"/>
    </font>
    <font>
      <sz val="10"/>
      <color theme="1"/>
      <name val="Calibri"/>
      <family val="2"/>
      <scheme val="minor"/>
    </font>
    <font>
      <b/>
      <sz val="10"/>
      <color theme="1"/>
      <name val="Calibri"/>
      <family val="2"/>
      <scheme val="minor"/>
    </font>
    <font>
      <sz val="11"/>
      <color rgb="FF9C0006"/>
      <name val="Calibri"/>
      <family val="2"/>
      <scheme val="minor"/>
    </font>
    <font>
      <b/>
      <sz val="11"/>
      <color theme="0"/>
      <name val="Calibri"/>
      <family val="2"/>
      <scheme val="minor"/>
    </font>
    <font>
      <b/>
      <sz val="18"/>
      <color theme="0"/>
      <name val="Calibri"/>
      <family val="2"/>
    </font>
    <font>
      <sz val="12"/>
      <color theme="0"/>
      <name val="Verdana"/>
      <family val="2"/>
    </font>
    <font>
      <b/>
      <sz val="18"/>
      <color rgb="FFC00000"/>
      <name val="Calibri"/>
      <family val="2"/>
    </font>
    <font>
      <sz val="12"/>
      <color rgb="FFC00000"/>
      <name val="Calibri"/>
      <family val="2"/>
    </font>
    <font>
      <sz val="12"/>
      <color rgb="FF000000"/>
      <name val="Calibri"/>
      <family val="2"/>
    </font>
    <font>
      <sz val="8"/>
      <color rgb="FFC00000"/>
      <name val="Calibri"/>
      <family val="2"/>
    </font>
    <font>
      <b/>
      <sz val="10"/>
      <color rgb="FF000000"/>
      <name val="Calibri"/>
      <family val="2"/>
    </font>
    <font>
      <sz val="10"/>
      <color rgb="FF000000"/>
      <name val="Calibri"/>
      <family val="2"/>
    </font>
    <font>
      <sz val="12"/>
      <name val="Verdana"/>
      <family val="2"/>
    </font>
    <font>
      <sz val="10"/>
      <color theme="0"/>
      <name val="Calibri"/>
      <family val="2"/>
    </font>
    <font>
      <b/>
      <sz val="10"/>
      <color theme="0"/>
      <name val="Calibri"/>
      <family val="2"/>
    </font>
    <font>
      <i/>
      <sz val="10"/>
      <name val="Calibri"/>
      <family val="2"/>
    </font>
    <font>
      <b/>
      <sz val="10"/>
      <name val="Calibri"/>
      <family val="2"/>
    </font>
    <font>
      <sz val="10"/>
      <name val="Calibri"/>
      <family val="2"/>
    </font>
    <font>
      <i/>
      <sz val="10"/>
      <color rgb="FF000000"/>
      <name val="Calibri"/>
      <family val="2"/>
    </font>
    <font>
      <sz val="8"/>
      <color rgb="FF000000"/>
      <name val="Calibri"/>
      <family val="2"/>
    </font>
    <font>
      <b/>
      <sz val="11"/>
      <color rgb="FF00B0F0"/>
      <name val="Calibri"/>
      <family val="2"/>
      <scheme val="minor"/>
    </font>
    <font>
      <b/>
      <sz val="16"/>
      <name val="Calibri"/>
      <family val="2"/>
      <scheme val="minor"/>
    </font>
    <font>
      <sz val="10"/>
      <color theme="1"/>
      <name val="Arial"/>
      <family val="2"/>
    </font>
    <font>
      <sz val="11"/>
      <color theme="1"/>
      <name val="Times New Roman"/>
      <family val="1"/>
    </font>
    <font>
      <b/>
      <sz val="11"/>
      <color theme="1"/>
      <name val="Times New Roman"/>
      <family val="1"/>
    </font>
    <font>
      <sz val="12"/>
      <name val="Arial"/>
      <family val="2"/>
    </font>
    <font>
      <b/>
      <sz val="10"/>
      <color theme="3"/>
      <name val="Calibri"/>
      <family val="2"/>
      <scheme val="minor"/>
    </font>
    <font>
      <sz val="8"/>
      <name val="Calibri"/>
      <family val="2"/>
      <scheme val="minor"/>
    </font>
    <font>
      <sz val="16"/>
      <color theme="0"/>
      <name val="Calibri"/>
      <family val="2"/>
      <scheme val="minor"/>
    </font>
    <font>
      <b/>
      <sz val="12"/>
      <name val="Arial"/>
      <family val="2"/>
    </font>
    <font>
      <b/>
      <sz val="14"/>
      <name val="Calibri"/>
      <family val="2"/>
      <scheme val="minor"/>
    </font>
    <font>
      <b/>
      <sz val="14"/>
      <color theme="1"/>
      <name val="Calibri"/>
      <family val="2"/>
      <scheme val="minor"/>
    </font>
    <font>
      <b/>
      <sz val="16"/>
      <color theme="1"/>
      <name val="Calibri"/>
      <family val="2"/>
      <scheme val="minor"/>
    </font>
    <font>
      <b/>
      <sz val="14"/>
      <color theme="3"/>
      <name val="Calibri"/>
      <family val="2"/>
      <scheme val="minor"/>
    </font>
    <font>
      <sz val="14"/>
      <color theme="1"/>
      <name val="Calibri"/>
      <family val="2"/>
      <scheme val="minor"/>
    </font>
    <font>
      <sz val="10"/>
      <name val="Calibri"/>
      <family val="2"/>
      <scheme val="minor"/>
    </font>
    <font>
      <sz val="10"/>
      <color rgb="FF000000"/>
      <name val="Calibri"/>
      <family val="2"/>
      <scheme val="minor"/>
    </font>
    <font>
      <b/>
      <sz val="10"/>
      <color rgb="FFEA6E0D"/>
      <name val="Arial"/>
      <family val="2"/>
    </font>
    <font>
      <b/>
      <sz val="9"/>
      <color rgb="FF00457D"/>
      <name val="Arial"/>
      <family val="2"/>
    </font>
    <font>
      <sz val="9"/>
      <color rgb="FF00457D"/>
      <name val="Arial"/>
      <family val="2"/>
    </font>
    <font>
      <sz val="8"/>
      <color rgb="FF222222"/>
      <name val="Courier New"/>
      <family val="3"/>
    </font>
    <font>
      <b/>
      <sz val="10"/>
      <name val="Calibri"/>
      <family val="2"/>
      <scheme val="minor"/>
    </font>
    <font>
      <b/>
      <sz val="10"/>
      <color rgb="FF000000"/>
      <name val="Calibri"/>
      <family val="2"/>
      <scheme val="minor"/>
    </font>
    <font>
      <b/>
      <sz val="9"/>
      <color rgb="FFEA6E0D"/>
      <name val="Arial"/>
      <family val="2"/>
    </font>
    <font>
      <b/>
      <sz val="11"/>
      <color rgb="FF373A3C"/>
      <name val="Calibri"/>
      <family val="2"/>
      <scheme val="minor"/>
    </font>
    <font>
      <sz val="10"/>
      <name val="Arial"/>
      <family val="2"/>
    </font>
    <font>
      <sz val="12"/>
      <name val="Arial"/>
      <family val="2"/>
    </font>
    <font>
      <sz val="10"/>
      <name val="Arial"/>
      <family val="2"/>
    </font>
    <font>
      <sz val="11"/>
      <color theme="10"/>
      <name val="Calibri"/>
      <family val="2"/>
      <scheme val="minor"/>
    </font>
    <font>
      <sz val="12"/>
      <color rgb="FF545454"/>
      <name val="WntlText"/>
    </font>
  </fonts>
  <fills count="2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00"/>
        <bgColor rgb="FF000000"/>
      </patternFill>
    </fill>
    <fill>
      <patternFill patternType="solid">
        <fgColor theme="1" tint="0.34998626667073579"/>
        <bgColor indexed="64"/>
      </patternFill>
    </fill>
    <fill>
      <patternFill patternType="solid">
        <fgColor rgb="FFC6EFCE"/>
      </patternFill>
    </fill>
    <fill>
      <patternFill patternType="solid">
        <fgColor rgb="FFFFEB9C"/>
      </patternFill>
    </fill>
    <fill>
      <patternFill patternType="solid">
        <fgColor theme="4"/>
      </patternFill>
    </fill>
    <fill>
      <patternFill patternType="solid">
        <fgColor theme="0"/>
        <bgColor indexed="64"/>
      </patternFill>
    </fill>
    <fill>
      <patternFill patternType="solid">
        <fgColor rgb="FFFFC7CE"/>
      </patternFill>
    </fill>
    <fill>
      <patternFill patternType="solid">
        <fgColor theme="1"/>
        <bgColor rgb="FF244061"/>
      </patternFill>
    </fill>
    <fill>
      <patternFill patternType="solid">
        <fgColor theme="1"/>
        <bgColor indexed="64"/>
      </patternFill>
    </fill>
    <fill>
      <patternFill patternType="solid">
        <fgColor rgb="FFFFFFFF"/>
        <bgColor rgb="FFFFFFFF"/>
      </patternFill>
    </fill>
    <fill>
      <patternFill patternType="solid">
        <fgColor rgb="FFF2F2F2"/>
        <bgColor rgb="FFF2F2F2"/>
      </patternFill>
    </fill>
    <fill>
      <patternFill patternType="solid">
        <fgColor rgb="FFA5A5A5"/>
        <bgColor rgb="FFA5A5A5"/>
      </patternFill>
    </fill>
    <fill>
      <patternFill patternType="solid">
        <fgColor rgb="FF00B0F0"/>
        <bgColor indexed="64"/>
      </patternFill>
    </fill>
    <fill>
      <patternFill patternType="solid">
        <fgColor theme="7" tint="0.39997558519241921"/>
        <bgColor indexed="64"/>
      </patternFill>
    </fill>
    <fill>
      <patternFill patternType="solid">
        <fgColor theme="7" tint="0.79998168889431442"/>
        <bgColor theme="7" tint="0.79998168889431442"/>
      </patternFill>
    </fill>
    <fill>
      <patternFill patternType="solid">
        <fgColor theme="5"/>
        <bgColor indexed="64"/>
      </patternFill>
    </fill>
    <fill>
      <patternFill patternType="solid">
        <fgColor rgb="FFFFFF00"/>
        <bgColor theme="7" tint="0.79998168889431442"/>
      </patternFill>
    </fill>
    <fill>
      <patternFill patternType="solid">
        <fgColor rgb="FFFFFFFF"/>
        <bgColor indexed="64"/>
      </patternFill>
    </fill>
    <fill>
      <patternFill patternType="solid">
        <fgColor theme="7"/>
        <bgColor indexed="64"/>
      </patternFill>
    </fill>
    <fill>
      <patternFill patternType="solid">
        <fgColor rgb="FFFFC000"/>
        <bgColor indexed="64"/>
      </patternFill>
    </fill>
    <fill>
      <patternFill patternType="solid">
        <fgColor theme="0"/>
        <bgColor rgb="FF000000"/>
      </patternFill>
    </fill>
    <fill>
      <patternFill patternType="solid">
        <fgColor rgb="FF00B050"/>
        <bgColor indexed="64"/>
      </patternFill>
    </fill>
  </fills>
  <borders count="82">
    <border>
      <left/>
      <right/>
      <top/>
      <bottom/>
      <diagonal/>
    </border>
    <border>
      <left/>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dashed">
        <color auto="1"/>
      </right>
      <top/>
      <bottom style="medium">
        <color auto="1"/>
      </bottom>
      <diagonal/>
    </border>
    <border>
      <left/>
      <right style="dashed">
        <color auto="1"/>
      </right>
      <top/>
      <bottom/>
      <diagonal/>
    </border>
    <border>
      <left/>
      <right/>
      <top style="medium">
        <color auto="1"/>
      </top>
      <bottom/>
      <diagonal/>
    </border>
    <border>
      <left/>
      <right/>
      <top/>
      <bottom style="thin">
        <color auto="1"/>
      </bottom>
      <diagonal/>
    </border>
    <border>
      <left style="dashed">
        <color auto="1"/>
      </left>
      <right/>
      <top style="medium">
        <color auto="1"/>
      </top>
      <bottom/>
      <diagonal/>
    </border>
    <border>
      <left/>
      <right style="dashed">
        <color auto="1"/>
      </right>
      <top style="medium">
        <color auto="1"/>
      </top>
      <bottom/>
      <diagonal/>
    </border>
    <border>
      <left/>
      <right/>
      <top style="double">
        <color auto="1"/>
      </top>
      <bottom/>
      <diagonal/>
    </border>
    <border>
      <left/>
      <right/>
      <top style="thin">
        <color auto="1"/>
      </top>
      <bottom style="medium">
        <color auto="1"/>
      </bottom>
      <diagonal/>
    </border>
    <border>
      <left style="hair">
        <color auto="1"/>
      </left>
      <right/>
      <top/>
      <bottom/>
      <diagonal/>
    </border>
    <border>
      <left/>
      <right style="hair">
        <color auto="1"/>
      </right>
      <top/>
      <bottom/>
      <diagonal/>
    </border>
    <border>
      <left/>
      <right/>
      <top/>
      <bottom style="thick">
        <color theme="4" tint="0.499984740745262"/>
      </bottom>
      <diagonal/>
    </border>
    <border>
      <left/>
      <right/>
      <top/>
      <bottom style="medium">
        <color theme="4" tint="0.39997558519241921"/>
      </bottom>
      <diagonal/>
    </border>
    <border>
      <left/>
      <right style="thin">
        <color theme="8" tint="0.79998168889431442"/>
      </right>
      <top style="medium">
        <color theme="8"/>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style="thick">
        <color indexed="55"/>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bottom/>
      <diagonal/>
    </border>
    <border>
      <left/>
      <right style="thick">
        <color auto="1"/>
      </right>
      <top/>
      <bottom/>
      <diagonal/>
    </border>
    <border>
      <left style="medium">
        <color auto="1"/>
      </left>
      <right style="medium">
        <color auto="1"/>
      </right>
      <top style="medium">
        <color auto="1"/>
      </top>
      <bottom style="medium">
        <color auto="1"/>
      </bottom>
      <diagonal/>
    </border>
    <border>
      <left/>
      <right/>
      <top style="medium">
        <color auto="1"/>
      </top>
      <bottom style="thin">
        <color indexed="64"/>
      </bottom>
      <diagonal/>
    </border>
    <border>
      <left/>
      <right style="medium">
        <color auto="1"/>
      </right>
      <top style="medium">
        <color auto="1"/>
      </top>
      <bottom style="thin">
        <color auto="1"/>
      </bottom>
      <diagonal/>
    </border>
    <border>
      <left style="medium">
        <color auto="1"/>
      </left>
      <right/>
      <top/>
      <bottom style="thick">
        <color auto="1"/>
      </bottom>
      <diagonal/>
    </border>
    <border>
      <left/>
      <right style="medium">
        <color auto="1"/>
      </right>
      <top/>
      <bottom style="thick">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medium">
        <color auto="1"/>
      </top>
      <bottom style="double">
        <color auto="1"/>
      </bottom>
      <diagonal/>
    </border>
    <border>
      <left style="dashed">
        <color auto="1"/>
      </left>
      <right style="medium">
        <color auto="1"/>
      </right>
      <top style="medium">
        <color auto="1"/>
      </top>
      <bottom/>
      <diagonal/>
    </border>
    <border>
      <left style="dashed">
        <color auto="1"/>
      </left>
      <right style="medium">
        <color auto="1"/>
      </right>
      <top/>
      <bottom/>
      <diagonal/>
    </border>
    <border>
      <left style="dashed">
        <color auto="1"/>
      </left>
      <right style="medium">
        <color auto="1"/>
      </right>
      <top/>
      <bottom style="medium">
        <color auto="1"/>
      </bottom>
      <diagonal/>
    </border>
    <border>
      <left style="thin">
        <color theme="7"/>
      </left>
      <right style="thin">
        <color theme="7"/>
      </right>
      <top style="thin">
        <color theme="7"/>
      </top>
      <bottom style="thin">
        <color theme="7"/>
      </bottom>
      <diagonal/>
    </border>
    <border>
      <left style="thin">
        <color theme="7"/>
      </left>
      <right style="thin">
        <color theme="7"/>
      </right>
      <top style="thin">
        <color theme="7"/>
      </top>
      <bottom style="thin">
        <color auto="1"/>
      </bottom>
      <diagonal/>
    </border>
    <border>
      <left style="thin">
        <color auto="1"/>
      </left>
      <right style="thin">
        <color auto="1"/>
      </right>
      <top style="thin">
        <color auto="1"/>
      </top>
      <bottom style="thin">
        <color auto="1"/>
      </bottom>
      <diagonal/>
    </border>
    <border>
      <left style="dashed">
        <color auto="1"/>
      </left>
      <right style="dashed">
        <color auto="1"/>
      </right>
      <top/>
      <bottom/>
      <diagonal/>
    </border>
    <border>
      <left style="thin">
        <color auto="1"/>
      </left>
      <right/>
      <top/>
      <bottom/>
      <diagonal/>
    </border>
    <border>
      <left/>
      <right style="medium">
        <color auto="1"/>
      </right>
      <top style="thin">
        <color auto="1"/>
      </top>
      <bottom style="thin">
        <color indexed="64"/>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medium">
        <color auto="1"/>
      </left>
      <right/>
      <top/>
      <bottom style="thin">
        <color auto="1"/>
      </bottom>
      <diagonal/>
    </border>
    <border>
      <left/>
      <right style="medium">
        <color auto="1"/>
      </right>
      <top/>
      <bottom style="thin">
        <color auto="1"/>
      </bottom>
      <diagonal/>
    </border>
    <border>
      <left style="dashed">
        <color auto="1"/>
      </left>
      <right/>
      <top/>
      <bottom/>
      <diagonal/>
    </border>
    <border>
      <left style="thick">
        <color auto="1"/>
      </left>
      <right/>
      <top style="medium">
        <color auto="1"/>
      </top>
      <bottom/>
      <diagonal/>
    </border>
  </borders>
  <cellStyleXfs count="15">
    <xf numFmtId="0" fontId="0" fillId="0" borderId="0"/>
    <xf numFmtId="0" fontId="2" fillId="0" borderId="0" applyNumberFormat="0" applyFill="0" applyBorder="0" applyAlignment="0" applyProtection="0"/>
    <xf numFmtId="0" fontId="7" fillId="0" borderId="18" applyNumberFormat="0" applyFill="0" applyAlignment="0" applyProtection="0"/>
    <xf numFmtId="0" fontId="8" fillId="0" borderId="19" applyNumberFormat="0" applyFill="0" applyAlignment="0" applyProtection="0"/>
    <xf numFmtId="0" fontId="8" fillId="0" borderId="0" applyNumberFormat="0" applyFill="0" applyBorder="0" applyAlignment="0" applyProtection="0"/>
    <xf numFmtId="0" fontId="9" fillId="0" borderId="0"/>
    <xf numFmtId="14" fontId="10" fillId="0" borderId="0" applyFill="0" applyBorder="0">
      <alignment horizontal="center" vertical="center"/>
    </xf>
    <xf numFmtId="0" fontId="11" fillId="6" borderId="0" applyNumberFormat="0" applyBorder="0" applyAlignment="0" applyProtection="0"/>
    <xf numFmtId="0" fontId="12" fillId="7" borderId="0" applyNumberFormat="0" applyBorder="0" applyAlignment="0" applyProtection="0"/>
    <xf numFmtId="14" fontId="11" fillId="6" borderId="0" applyBorder="0" applyAlignment="0" applyProtection="0"/>
    <xf numFmtId="0" fontId="12" fillId="7" borderId="0" applyBorder="0" applyAlignment="0" applyProtection="0"/>
    <xf numFmtId="0" fontId="9" fillId="8" borderId="0" applyBorder="0" applyAlignment="0" applyProtection="0"/>
    <xf numFmtId="0" fontId="17" fillId="10" borderId="0" applyNumberFormat="0" applyBorder="0" applyAlignment="0" applyProtection="0"/>
    <xf numFmtId="43" fontId="3" fillId="0" borderId="0" applyFont="0" applyFill="0" applyBorder="0" applyAlignment="0" applyProtection="0"/>
    <xf numFmtId="0" fontId="60" fillId="0" borderId="0"/>
  </cellStyleXfs>
  <cellXfs count="660">
    <xf numFmtId="0" fontId="0" fillId="0" borderId="0" xfId="0"/>
    <xf numFmtId="164" fontId="0" fillId="0" borderId="0" xfId="0" applyNumberFormat="1"/>
    <xf numFmtId="0" fontId="0" fillId="0" borderId="0" xfId="0" applyAlignment="1">
      <alignment horizontal="right"/>
    </xf>
    <xf numFmtId="0" fontId="1" fillId="0" borderId="0" xfId="0" applyFont="1" applyAlignment="1">
      <alignment horizontal="center"/>
    </xf>
    <xf numFmtId="164" fontId="1" fillId="0" borderId="0" xfId="0" applyNumberFormat="1" applyFont="1"/>
    <xf numFmtId="166" fontId="0" fillId="0" borderId="0" xfId="0" applyNumberFormat="1"/>
    <xf numFmtId="164" fontId="1" fillId="0" borderId="0" xfId="0" applyNumberFormat="1" applyFont="1" applyAlignment="1">
      <alignment horizontal="center"/>
    </xf>
    <xf numFmtId="164" fontId="1" fillId="0" borderId="0" xfId="0" applyNumberFormat="1" applyFont="1" applyAlignment="1">
      <alignment horizontal="center" wrapText="1"/>
    </xf>
    <xf numFmtId="166" fontId="1" fillId="0" borderId="0" xfId="0" applyNumberFormat="1" applyFont="1" applyAlignment="1">
      <alignment horizontal="center"/>
    </xf>
    <xf numFmtId="164" fontId="1" fillId="0" borderId="0" xfId="0" applyNumberFormat="1" applyFont="1" applyAlignment="1">
      <alignment horizontal="right"/>
    </xf>
    <xf numFmtId="166" fontId="1" fillId="0" borderId="0" xfId="0" applyNumberFormat="1" applyFont="1"/>
    <xf numFmtId="1" fontId="0" fillId="0" borderId="0" xfId="0" applyNumberFormat="1"/>
    <xf numFmtId="14" fontId="0" fillId="0" borderId="0" xfId="0" applyNumberFormat="1"/>
    <xf numFmtId="4" fontId="1" fillId="0" borderId="0" xfId="0" applyNumberFormat="1" applyFont="1" applyAlignment="1">
      <alignment horizontal="center"/>
    </xf>
    <xf numFmtId="4" fontId="0" fillId="0" borderId="0" xfId="0" applyNumberFormat="1"/>
    <xf numFmtId="0" fontId="1" fillId="0" borderId="0" xfId="0" applyFont="1"/>
    <xf numFmtId="2" fontId="1" fillId="0" borderId="0" xfId="0" applyNumberFormat="1" applyFont="1" applyAlignment="1">
      <alignment horizontal="center"/>
    </xf>
    <xf numFmtId="2" fontId="1" fillId="0" borderId="0" xfId="0" applyNumberFormat="1" applyFont="1" applyAlignment="1">
      <alignment horizontal="right"/>
    </xf>
    <xf numFmtId="2" fontId="0" fillId="0" borderId="0" xfId="0" applyNumberFormat="1" applyAlignment="1">
      <alignment horizontal="right"/>
    </xf>
    <xf numFmtId="0" fontId="2" fillId="0" borderId="0" xfId="1"/>
    <xf numFmtId="3" fontId="0" fillId="0" borderId="11" xfId="0" applyNumberFormat="1" applyBorder="1"/>
    <xf numFmtId="4" fontId="0" fillId="0" borderId="1" xfId="0" applyNumberFormat="1" applyBorder="1"/>
    <xf numFmtId="0" fontId="0" fillId="0" borderId="0" xfId="0" applyAlignment="1">
      <alignment horizontal="center"/>
    </xf>
    <xf numFmtId="0" fontId="0" fillId="0" borderId="1" xfId="0" applyBorder="1"/>
    <xf numFmtId="0" fontId="1" fillId="0" borderId="1" xfId="0" applyFont="1" applyBorder="1"/>
    <xf numFmtId="0" fontId="0" fillId="0" borderId="0" xfId="0" applyAlignment="1">
      <alignment horizontal="left"/>
    </xf>
    <xf numFmtId="2" fontId="0" fillId="0" borderId="0" xfId="0" applyNumberFormat="1"/>
    <xf numFmtId="2" fontId="1" fillId="0" borderId="0" xfId="0" applyNumberFormat="1" applyFont="1"/>
    <xf numFmtId="0" fontId="2" fillId="0" borderId="0" xfId="1" applyAlignment="1">
      <alignment horizontal="left"/>
    </xf>
    <xf numFmtId="0" fontId="0" fillId="2" borderId="0" xfId="0" applyFill="1" applyAlignment="1">
      <alignment horizontal="left"/>
    </xf>
    <xf numFmtId="164" fontId="0" fillId="0" borderId="1" xfId="0" applyNumberFormat="1" applyBorder="1"/>
    <xf numFmtId="0" fontId="1" fillId="0" borderId="0" xfId="0" applyFont="1" applyAlignment="1">
      <alignment horizontal="right"/>
    </xf>
    <xf numFmtId="0" fontId="1" fillId="0" borderId="1" xfId="0" applyFont="1" applyBorder="1" applyAlignment="1">
      <alignment horizontal="center"/>
    </xf>
    <xf numFmtId="0" fontId="1" fillId="0" borderId="0" xfId="0" applyFont="1" applyAlignment="1">
      <alignment horizontal="left"/>
    </xf>
    <xf numFmtId="0" fontId="6" fillId="0" borderId="0" xfId="0" applyFont="1"/>
    <xf numFmtId="0" fontId="4" fillId="0" borderId="0" xfId="0" applyFont="1" applyAlignment="1">
      <alignment horizontal="center" vertical="center"/>
    </xf>
    <xf numFmtId="0" fontId="0" fillId="0" borderId="0" xfId="0" applyAlignment="1">
      <alignment horizontal="right" vertical="center"/>
    </xf>
    <xf numFmtId="0" fontId="0" fillId="0" borderId="21" xfId="0" applyBorder="1" applyAlignment="1">
      <alignment horizontal="center" vertical="center"/>
    </xf>
    <xf numFmtId="10" fontId="1" fillId="0" borderId="0" xfId="0" applyNumberFormat="1" applyFont="1"/>
    <xf numFmtId="0" fontId="15" fillId="0" borderId="0" xfId="0" applyFont="1"/>
    <xf numFmtId="0" fontId="15" fillId="0" borderId="0" xfId="0" applyFont="1" applyAlignment="1">
      <alignment horizontal="right"/>
    </xf>
    <xf numFmtId="0" fontId="16" fillId="0" borderId="0" xfId="0" applyFont="1" applyAlignment="1">
      <alignment horizontal="right"/>
    </xf>
    <xf numFmtId="0" fontId="0" fillId="0" borderId="0" xfId="0" applyAlignment="1">
      <alignment vertical="center"/>
    </xf>
    <xf numFmtId="0" fontId="21" fillId="11" borderId="23" xfId="0" applyFont="1" applyFill="1" applyBorder="1" applyAlignment="1">
      <alignment horizontal="left" vertical="center"/>
    </xf>
    <xf numFmtId="0" fontId="22" fillId="11" borderId="24" xfId="0" applyFont="1" applyFill="1" applyBorder="1" applyAlignment="1">
      <alignment vertical="top"/>
    </xf>
    <xf numFmtId="0" fontId="23" fillId="0" borderId="0" xfId="0" applyFont="1" applyAlignment="1">
      <alignment vertical="top"/>
    </xf>
    <xf numFmtId="0" fontId="21" fillId="11" borderId="0" xfId="0" applyFont="1" applyFill="1" applyAlignment="1">
      <alignment horizontal="left" vertical="center"/>
    </xf>
    <xf numFmtId="1" fontId="24" fillId="11" borderId="26" xfId="0" applyNumberFormat="1" applyFont="1" applyFill="1" applyBorder="1"/>
    <xf numFmtId="1" fontId="25" fillId="0" borderId="22" xfId="0" applyNumberFormat="1" applyFont="1" applyBorder="1" applyAlignment="1">
      <alignment horizontal="right" vertical="center"/>
    </xf>
    <xf numFmtId="0" fontId="23" fillId="0" borderId="24" xfId="0" applyFont="1" applyBorder="1" applyAlignment="1">
      <alignment vertical="top"/>
    </xf>
    <xf numFmtId="0" fontId="25" fillId="0" borderId="25" xfId="0" applyFont="1" applyBorder="1" applyAlignment="1">
      <alignment horizontal="right" vertical="center"/>
    </xf>
    <xf numFmtId="0" fontId="23" fillId="0" borderId="26" xfId="0" applyFont="1" applyBorder="1" applyAlignment="1">
      <alignment vertical="top"/>
    </xf>
    <xf numFmtId="1" fontId="26" fillId="0" borderId="0" xfId="0" applyNumberFormat="1" applyFont="1" applyAlignment="1">
      <alignment vertical="center"/>
    </xf>
    <xf numFmtId="0" fontId="28" fillId="11" borderId="27" xfId="0" applyFont="1" applyFill="1" applyBorder="1" applyAlignment="1">
      <alignment vertical="center"/>
    </xf>
    <xf numFmtId="1" fontId="29" fillId="11" borderId="30" xfId="0" applyNumberFormat="1" applyFont="1" applyFill="1" applyBorder="1" applyAlignment="1">
      <alignment horizontal="center" vertical="center" wrapText="1"/>
    </xf>
    <xf numFmtId="0" fontId="29" fillId="11" borderId="30" xfId="0" applyFont="1" applyFill="1" applyBorder="1" applyAlignment="1">
      <alignment horizontal="center" vertical="center" wrapText="1"/>
    </xf>
    <xf numFmtId="0" fontId="30" fillId="13" borderId="0" xfId="0" applyFont="1" applyFill="1" applyAlignment="1">
      <alignment vertical="top"/>
    </xf>
    <xf numFmtId="1" fontId="31" fillId="0" borderId="0" xfId="0" applyNumberFormat="1" applyFont="1" applyAlignment="1">
      <alignment horizontal="right" vertical="center"/>
    </xf>
    <xf numFmtId="0" fontId="26" fillId="0" borderId="27" xfId="0" applyFont="1" applyBorder="1" applyAlignment="1">
      <alignment horizontal="center"/>
    </xf>
    <xf numFmtId="44" fontId="26" fillId="0" borderId="30" xfId="0" applyNumberFormat="1" applyFont="1" applyBorder="1" applyAlignment="1">
      <alignment vertical="center"/>
    </xf>
    <xf numFmtId="44" fontId="26" fillId="14" borderId="30" xfId="0" applyNumberFormat="1" applyFont="1" applyFill="1" applyBorder="1" applyAlignment="1">
      <alignment vertical="center"/>
    </xf>
    <xf numFmtId="0" fontId="26" fillId="0" borderId="30" xfId="0" applyFont="1" applyBorder="1" applyAlignment="1">
      <alignment horizontal="left"/>
    </xf>
    <xf numFmtId="44" fontId="26" fillId="0" borderId="29" xfId="0" applyNumberFormat="1" applyFont="1" applyBorder="1" applyAlignment="1">
      <alignment vertical="center"/>
    </xf>
    <xf numFmtId="0" fontId="32" fillId="13" borderId="0" xfId="0" applyFont="1" applyFill="1" applyAlignment="1">
      <alignment vertical="top"/>
    </xf>
    <xf numFmtId="1" fontId="26" fillId="0" borderId="30" xfId="0" applyNumberFormat="1" applyFont="1" applyBorder="1" applyAlignment="1">
      <alignment horizontal="left"/>
    </xf>
    <xf numFmtId="44" fontId="33" fillId="0" borderId="29" xfId="0" applyNumberFormat="1" applyFont="1" applyBorder="1" applyAlignment="1">
      <alignment vertical="center"/>
    </xf>
    <xf numFmtId="0" fontId="26" fillId="0" borderId="28" xfId="0" applyFont="1" applyBorder="1" applyAlignment="1">
      <alignment horizontal="left"/>
    </xf>
    <xf numFmtId="0" fontId="26" fillId="0" borderId="29" xfId="0" applyFont="1" applyBorder="1" applyAlignment="1">
      <alignment horizontal="left"/>
    </xf>
    <xf numFmtId="0" fontId="26" fillId="15" borderId="27" xfId="0" applyFont="1" applyFill="1" applyBorder="1" applyAlignment="1">
      <alignment horizontal="center"/>
    </xf>
    <xf numFmtId="44" fontId="25" fillId="15" borderId="29" xfId="0" applyNumberFormat="1" applyFont="1" applyFill="1" applyBorder="1"/>
    <xf numFmtId="44" fontId="26" fillId="15" borderId="30" xfId="0" applyNumberFormat="1" applyFont="1" applyFill="1" applyBorder="1"/>
    <xf numFmtId="1" fontId="26" fillId="0" borderId="31" xfId="0" applyNumberFormat="1" applyFont="1" applyBorder="1"/>
    <xf numFmtId="44" fontId="25" fillId="0" borderId="34" xfId="0" applyNumberFormat="1" applyFont="1" applyBorder="1"/>
    <xf numFmtId="1" fontId="34" fillId="0" borderId="0" xfId="0" applyNumberFormat="1" applyFont="1"/>
    <xf numFmtId="1" fontId="26" fillId="0" borderId="0" xfId="0" applyNumberFormat="1" applyFont="1"/>
    <xf numFmtId="2" fontId="35" fillId="0" borderId="0" xfId="12" applyNumberFormat="1" applyFont="1" applyFill="1" applyAlignment="1">
      <alignment horizontal="center" vertical="center"/>
    </xf>
    <xf numFmtId="43" fontId="9" fillId="16" borderId="0" xfId="13" applyFont="1" applyFill="1" applyAlignment="1">
      <alignment horizontal="right" vertical="center"/>
    </xf>
    <xf numFmtId="0" fontId="37" fillId="0" borderId="0" xfId="0" applyFont="1" applyAlignment="1">
      <alignment horizontal="right"/>
    </xf>
    <xf numFmtId="0" fontId="38" fillId="0" borderId="0" xfId="0" applyFont="1" applyAlignment="1">
      <alignment horizontal="right"/>
    </xf>
    <xf numFmtId="0" fontId="5" fillId="0" borderId="0" xfId="0" applyFont="1" applyAlignment="1">
      <alignment horizontal="right"/>
    </xf>
    <xf numFmtId="49" fontId="39" fillId="0" borderId="0" xfId="0" applyNumberFormat="1" applyFont="1" applyAlignment="1">
      <alignment horizontal="right"/>
    </xf>
    <xf numFmtId="0" fontId="40" fillId="0" borderId="35" xfId="0" applyFont="1" applyBorder="1" applyAlignment="1">
      <alignment horizontal="center" vertical="top"/>
    </xf>
    <xf numFmtId="0" fontId="0" fillId="0" borderId="0" xfId="0" applyAlignment="1">
      <alignment horizontal="center" vertical="top"/>
    </xf>
    <xf numFmtId="9" fontId="0" fillId="0" borderId="0" xfId="0" applyNumberFormat="1" applyAlignment="1">
      <alignment horizontal="center" vertical="top"/>
    </xf>
    <xf numFmtId="49" fontId="40" fillId="3" borderId="0" xfId="0" applyNumberFormat="1" applyFont="1" applyFill="1" applyAlignment="1">
      <alignment vertical="top"/>
    </xf>
    <xf numFmtId="49" fontId="40" fillId="16" borderId="0" xfId="0" applyNumberFormat="1" applyFont="1" applyFill="1" applyAlignment="1">
      <alignment vertical="top"/>
    </xf>
    <xf numFmtId="1" fontId="40" fillId="16" borderId="0" xfId="0" applyNumberFormat="1" applyFont="1" applyFill="1" applyAlignment="1">
      <alignment vertical="top"/>
    </xf>
    <xf numFmtId="4" fontId="40" fillId="16" borderId="0" xfId="0" applyNumberFormat="1" applyFont="1" applyFill="1" applyAlignment="1">
      <alignment vertical="top"/>
    </xf>
    <xf numFmtId="0" fontId="0" fillId="0" borderId="0" xfId="0" applyAlignment="1">
      <alignment vertical="top"/>
    </xf>
    <xf numFmtId="1" fontId="0" fillId="0" borderId="0" xfId="0" applyNumberFormat="1" applyAlignment="1">
      <alignment vertical="top"/>
    </xf>
    <xf numFmtId="4" fontId="0" fillId="0" borderId="0" xfId="0" applyNumberFormat="1" applyAlignment="1">
      <alignment vertical="top"/>
    </xf>
    <xf numFmtId="8" fontId="1" fillId="9" borderId="0" xfId="0" applyNumberFormat="1" applyFont="1" applyFill="1" applyAlignment="1">
      <alignment horizontal="right"/>
    </xf>
    <xf numFmtId="0" fontId="41" fillId="0" borderId="18" xfId="2" applyFont="1"/>
    <xf numFmtId="0" fontId="1" fillId="0" borderId="0" xfId="0" applyFont="1" applyAlignment="1">
      <alignment horizontal="right" vertical="center" wrapText="1"/>
    </xf>
    <xf numFmtId="0" fontId="1" fillId="0" borderId="0" xfId="0" applyFont="1" applyAlignment="1">
      <alignment horizontal="right" wrapText="1"/>
    </xf>
    <xf numFmtId="8" fontId="0" fillId="9" borderId="0" xfId="0" applyNumberFormat="1" applyFill="1" applyAlignment="1">
      <alignment horizontal="right"/>
    </xf>
    <xf numFmtId="168" fontId="8" fillId="0" borderId="20" xfId="4" applyNumberFormat="1" applyBorder="1" applyAlignment="1">
      <alignment horizontal="center" vertical="top"/>
    </xf>
    <xf numFmtId="0" fontId="1" fillId="0" borderId="0" xfId="0" applyFont="1" applyAlignment="1">
      <alignment horizontal="center" wrapText="1"/>
    </xf>
    <xf numFmtId="1" fontId="40" fillId="19" borderId="0" xfId="0" applyNumberFormat="1" applyFont="1" applyFill="1" applyAlignment="1">
      <alignment vertical="top"/>
    </xf>
    <xf numFmtId="4" fontId="40" fillId="3" borderId="0" xfId="0" applyNumberFormat="1" applyFont="1" applyFill="1" applyAlignment="1">
      <alignment vertical="top"/>
    </xf>
    <xf numFmtId="1" fontId="40" fillId="0" borderId="0" xfId="0" applyNumberFormat="1" applyFont="1" applyAlignment="1">
      <alignment horizontal="center" vertical="top"/>
    </xf>
    <xf numFmtId="4" fontId="40" fillId="0" borderId="0" xfId="0" applyNumberFormat="1" applyFont="1" applyAlignment="1">
      <alignment horizontal="center" vertical="top"/>
    </xf>
    <xf numFmtId="0" fontId="48" fillId="0" borderId="0" xfId="3" applyFont="1" applyBorder="1" applyAlignment="1">
      <alignment horizontal="right" vertical="center" indent="1"/>
    </xf>
    <xf numFmtId="1" fontId="13" fillId="3" borderId="0" xfId="0" applyNumberFormat="1" applyFont="1" applyFill="1" applyAlignment="1" applyProtection="1">
      <alignment horizontal="center" wrapText="1"/>
      <protection locked="0"/>
    </xf>
    <xf numFmtId="1" fontId="0" fillId="2" borderId="0" xfId="0" applyNumberFormat="1" applyFill="1" applyProtection="1">
      <protection locked="0"/>
    </xf>
    <xf numFmtId="0" fontId="0" fillId="2" borderId="0" xfId="0" applyFill="1" applyProtection="1">
      <protection locked="0"/>
    </xf>
    <xf numFmtId="1" fontId="0" fillId="0" borderId="0" xfId="0" applyNumberFormat="1" applyProtection="1">
      <protection locked="0"/>
    </xf>
    <xf numFmtId="170" fontId="0" fillId="0" borderId="0" xfId="0" applyNumberFormat="1" applyProtection="1">
      <protection locked="0"/>
    </xf>
    <xf numFmtId="0" fontId="0" fillId="0" borderId="0" xfId="0" applyProtection="1">
      <protection locked="0"/>
    </xf>
    <xf numFmtId="0" fontId="9" fillId="0" borderId="0" xfId="5"/>
    <xf numFmtId="1" fontId="9" fillId="0" borderId="0" xfId="5" applyNumberFormat="1"/>
    <xf numFmtId="0" fontId="18" fillId="0" borderId="0" xfId="5" applyFont="1" applyAlignment="1">
      <alignment horizontal="center"/>
    </xf>
    <xf numFmtId="0" fontId="18" fillId="0" borderId="0" xfId="3" applyFont="1" applyBorder="1" applyAlignment="1" applyProtection="1">
      <alignment horizontal="right" vertical="center" wrapText="1" indent="1"/>
    </xf>
    <xf numFmtId="0" fontId="9" fillId="5" borderId="0" xfId="0" applyFont="1" applyFill="1" applyAlignment="1">
      <alignment horizontal="center" wrapText="1"/>
    </xf>
    <xf numFmtId="1" fontId="9" fillId="5" borderId="0" xfId="0" applyNumberFormat="1" applyFont="1" applyFill="1" applyAlignment="1">
      <alignment horizontal="center" wrapText="1"/>
    </xf>
    <xf numFmtId="0" fontId="18" fillId="5" borderId="0" xfId="0" applyFont="1" applyFill="1" applyAlignment="1">
      <alignment horizontal="center" wrapText="1"/>
    </xf>
    <xf numFmtId="0" fontId="43" fillId="5" borderId="0" xfId="0" applyFont="1" applyFill="1" applyAlignment="1">
      <alignment horizontal="center" wrapText="1"/>
    </xf>
    <xf numFmtId="2" fontId="9" fillId="5" borderId="0" xfId="0" applyNumberFormat="1" applyFont="1" applyFill="1" applyAlignment="1">
      <alignment horizontal="center" wrapText="1"/>
    </xf>
    <xf numFmtId="170" fontId="9" fillId="5" borderId="0" xfId="0" applyNumberFormat="1" applyFont="1" applyFill="1" applyAlignment="1">
      <alignment horizontal="center" wrapText="1"/>
    </xf>
    <xf numFmtId="2" fontId="4" fillId="3" borderId="0" xfId="0" applyNumberFormat="1" applyFont="1" applyFill="1" applyAlignment="1">
      <alignment horizontal="left" vertical="center"/>
    </xf>
    <xf numFmtId="1" fontId="4" fillId="3" borderId="0" xfId="0" applyNumberFormat="1" applyFont="1" applyFill="1" applyAlignment="1">
      <alignment horizontal="right" vertical="center"/>
    </xf>
    <xf numFmtId="2" fontId="13" fillId="3" borderId="0" xfId="0" applyNumberFormat="1" applyFont="1" applyFill="1" applyAlignment="1">
      <alignment horizontal="center" vertical="center"/>
    </xf>
    <xf numFmtId="2" fontId="4" fillId="3" borderId="0" xfId="0" applyNumberFormat="1" applyFont="1" applyFill="1" applyAlignment="1">
      <alignment horizontal="right" vertical="center"/>
    </xf>
    <xf numFmtId="2" fontId="4" fillId="3" borderId="0" xfId="0" applyNumberFormat="1" applyFont="1" applyFill="1" applyAlignment="1">
      <alignment horizontal="center" vertical="center"/>
    </xf>
    <xf numFmtId="170" fontId="4" fillId="3" borderId="0" xfId="0" applyNumberFormat="1" applyFont="1" applyFill="1" applyAlignment="1">
      <alignment horizontal="right" vertical="center"/>
    </xf>
    <xf numFmtId="2" fontId="35" fillId="0" borderId="0" xfId="12" applyNumberFormat="1" applyFont="1" applyFill="1" applyAlignment="1" applyProtection="1">
      <alignment horizontal="left" vertical="center"/>
    </xf>
    <xf numFmtId="2" fontId="35" fillId="0" borderId="0" xfId="12" applyNumberFormat="1" applyFont="1" applyFill="1" applyAlignment="1" applyProtection="1">
      <alignment horizontal="right" vertical="center"/>
    </xf>
    <xf numFmtId="2" fontId="35" fillId="0" borderId="0" xfId="12" applyNumberFormat="1" applyFont="1" applyFill="1" applyAlignment="1" applyProtection="1">
      <alignment horizontal="center" vertical="center"/>
    </xf>
    <xf numFmtId="2" fontId="36" fillId="0" borderId="0" xfId="0" applyNumberFormat="1" applyFont="1" applyAlignment="1">
      <alignment horizontal="center" vertical="center"/>
    </xf>
    <xf numFmtId="1" fontId="35" fillId="0" borderId="0" xfId="12" applyNumberFormat="1" applyFont="1" applyFill="1" applyAlignment="1" applyProtection="1">
      <alignment horizontal="center" vertical="center"/>
    </xf>
    <xf numFmtId="170" fontId="35" fillId="0" borderId="0" xfId="12" applyNumberFormat="1" applyFont="1" applyFill="1" applyAlignment="1" applyProtection="1">
      <alignment horizontal="center" vertical="center"/>
    </xf>
    <xf numFmtId="2" fontId="9" fillId="16" borderId="0" xfId="12" applyNumberFormat="1" applyFont="1" applyFill="1" applyBorder="1" applyAlignment="1" applyProtection="1">
      <alignment horizontal="left" vertical="center"/>
    </xf>
    <xf numFmtId="1" fontId="9" fillId="16" borderId="0" xfId="12" applyNumberFormat="1" applyFont="1" applyFill="1" applyAlignment="1" applyProtection="1">
      <alignment horizontal="right" vertical="center"/>
    </xf>
    <xf numFmtId="2" fontId="18" fillId="16" borderId="0" xfId="12" applyNumberFormat="1" applyFont="1" applyFill="1" applyBorder="1" applyAlignment="1" applyProtection="1">
      <alignment horizontal="center" vertical="center"/>
    </xf>
    <xf numFmtId="2" fontId="9" fillId="16" borderId="0" xfId="12" applyNumberFormat="1" applyFont="1" applyFill="1" applyAlignment="1" applyProtection="1">
      <alignment horizontal="left" vertical="center"/>
    </xf>
    <xf numFmtId="2" fontId="18" fillId="16" borderId="0" xfId="12" applyNumberFormat="1" applyFont="1" applyFill="1" applyAlignment="1" applyProtection="1">
      <alignment horizontal="left" vertical="center"/>
    </xf>
    <xf numFmtId="1" fontId="18" fillId="16" borderId="0" xfId="12" applyNumberFormat="1" applyFont="1" applyFill="1" applyAlignment="1" applyProtection="1">
      <alignment horizontal="right" vertical="center"/>
    </xf>
    <xf numFmtId="2" fontId="9" fillId="16" borderId="0" xfId="13" applyNumberFormat="1" applyFont="1" applyFill="1" applyAlignment="1" applyProtection="1">
      <alignment horizontal="right" vertical="center"/>
    </xf>
    <xf numFmtId="43" fontId="9" fillId="16" borderId="0" xfId="13" applyFont="1" applyFill="1" applyAlignment="1" applyProtection="1">
      <alignment horizontal="right" vertical="center"/>
    </xf>
    <xf numFmtId="170" fontId="9" fillId="16" borderId="0" xfId="13" applyNumberFormat="1" applyFont="1" applyFill="1" applyAlignment="1" applyProtection="1">
      <alignment horizontal="right" vertical="center"/>
    </xf>
    <xf numFmtId="2" fontId="13" fillId="0" borderId="0" xfId="0" applyNumberFormat="1" applyFont="1" applyAlignment="1">
      <alignment horizontal="center" vertical="center"/>
    </xf>
    <xf numFmtId="1" fontId="13" fillId="0" borderId="0" xfId="0" applyNumberFormat="1" applyFont="1" applyAlignment="1">
      <alignment horizontal="center" vertical="center"/>
    </xf>
    <xf numFmtId="170" fontId="13" fillId="0" borderId="0" xfId="0" applyNumberFormat="1" applyFont="1" applyAlignment="1">
      <alignment horizontal="center" vertical="center"/>
    </xf>
    <xf numFmtId="0" fontId="0" fillId="0" borderId="0" xfId="0" applyAlignment="1">
      <alignment horizontal="center" vertical="top" wrapText="1"/>
    </xf>
    <xf numFmtId="2" fontId="0" fillId="0" borderId="0" xfId="0" applyNumberFormat="1" applyAlignment="1">
      <alignment horizontal="center" vertical="top" wrapText="1"/>
    </xf>
    <xf numFmtId="171" fontId="0" fillId="0" borderId="0" xfId="0" applyNumberFormat="1" applyAlignment="1">
      <alignment horizontal="center" vertical="top" wrapText="1"/>
    </xf>
    <xf numFmtId="167" fontId="13" fillId="3" borderId="0" xfId="0" applyNumberFormat="1" applyFont="1" applyFill="1" applyAlignment="1" applyProtection="1">
      <alignment horizontal="center" wrapText="1"/>
      <protection locked="0"/>
    </xf>
    <xf numFmtId="167" fontId="0" fillId="0" borderId="0" xfId="0" applyNumberFormat="1" applyProtection="1">
      <protection locked="0"/>
    </xf>
    <xf numFmtId="0" fontId="13" fillId="0" borderId="0" xfId="0" applyFont="1" applyAlignment="1" applyProtection="1">
      <alignment horizontal="center" wrapText="1"/>
      <protection locked="0"/>
    </xf>
    <xf numFmtId="1" fontId="13" fillId="0" borderId="0" xfId="0" applyNumberFormat="1" applyFont="1" applyAlignment="1" applyProtection="1">
      <alignment horizontal="center" wrapText="1"/>
      <protection locked="0"/>
    </xf>
    <xf numFmtId="2" fontId="13" fillId="0" borderId="0" xfId="0" applyNumberFormat="1" applyFont="1" applyAlignment="1" applyProtection="1">
      <alignment horizontal="center" wrapText="1"/>
      <protection locked="0"/>
    </xf>
    <xf numFmtId="2" fontId="0" fillId="0" borderId="0" xfId="0" applyNumberFormat="1" applyProtection="1">
      <protection locked="0"/>
    </xf>
    <xf numFmtId="49" fontId="0" fillId="2" borderId="0" xfId="0" applyNumberFormat="1" applyFill="1" applyProtection="1">
      <protection locked="0"/>
    </xf>
    <xf numFmtId="164" fontId="15" fillId="0" borderId="0" xfId="0" applyNumberFormat="1" applyFont="1"/>
    <xf numFmtId="164" fontId="16" fillId="0" borderId="2" xfId="0" applyNumberFormat="1" applyFont="1" applyBorder="1" applyAlignment="1">
      <alignment horizontal="left"/>
    </xf>
    <xf numFmtId="0" fontId="15" fillId="0" borderId="10" xfId="0" applyFont="1" applyBorder="1"/>
    <xf numFmtId="0" fontId="16" fillId="0" borderId="6" xfId="0" applyFont="1" applyBorder="1" applyAlignment="1">
      <alignment horizontal="center"/>
    </xf>
    <xf numFmtId="0" fontId="16" fillId="0" borderId="0" xfId="0" applyFont="1" applyAlignment="1">
      <alignment horizontal="center"/>
    </xf>
    <xf numFmtId="0" fontId="15" fillId="0" borderId="9" xfId="0" applyFont="1" applyBorder="1"/>
    <xf numFmtId="164" fontId="15" fillId="0" borderId="1" xfId="0" applyNumberFormat="1" applyFont="1" applyBorder="1"/>
    <xf numFmtId="164" fontId="15" fillId="0" borderId="8" xfId="0" applyNumberFormat="1" applyFont="1" applyBorder="1"/>
    <xf numFmtId="0" fontId="15" fillId="0" borderId="8" xfId="0" applyFont="1" applyBorder="1"/>
    <xf numFmtId="164" fontId="15" fillId="0" borderId="9" xfId="0" applyNumberFormat="1" applyFont="1" applyBorder="1"/>
    <xf numFmtId="164" fontId="16" fillId="0" borderId="0" xfId="0" applyNumberFormat="1" applyFont="1" applyAlignment="1">
      <alignment horizontal="right"/>
    </xf>
    <xf numFmtId="0" fontId="16" fillId="0" borderId="16" xfId="0" applyFont="1" applyBorder="1" applyAlignment="1">
      <alignment horizontal="right"/>
    </xf>
    <xf numFmtId="0" fontId="15" fillId="0" borderId="17" xfId="0" applyFont="1" applyBorder="1"/>
    <xf numFmtId="0" fontId="16" fillId="0" borderId="14" xfId="0" applyFont="1" applyBorder="1" applyAlignment="1">
      <alignment horizontal="center"/>
    </xf>
    <xf numFmtId="164" fontId="15" fillId="0" borderId="14" xfId="0" applyNumberFormat="1" applyFont="1" applyBorder="1"/>
    <xf numFmtId="0" fontId="15" fillId="0" borderId="2" xfId="0" applyFont="1" applyBorder="1"/>
    <xf numFmtId="3" fontId="15" fillId="0" borderId="2" xfId="0" applyNumberFormat="1" applyFont="1" applyBorder="1"/>
    <xf numFmtId="0" fontId="15" fillId="0" borderId="2" xfId="0" applyFont="1" applyBorder="1" applyAlignment="1">
      <alignment horizontal="right"/>
    </xf>
    <xf numFmtId="164" fontId="15" fillId="0" borderId="3" xfId="0" applyNumberFormat="1" applyFont="1" applyBorder="1"/>
    <xf numFmtId="164" fontId="15" fillId="0" borderId="4" xfId="0" applyNumberFormat="1" applyFont="1" applyBorder="1"/>
    <xf numFmtId="0" fontId="15" fillId="0" borderId="5" xfId="0" applyFont="1" applyBorder="1"/>
    <xf numFmtId="3" fontId="15" fillId="0" borderId="4" xfId="0" applyNumberFormat="1" applyFont="1" applyBorder="1"/>
    <xf numFmtId="0" fontId="15" fillId="0" borderId="4" xfId="0" applyFont="1" applyBorder="1" applyAlignment="1">
      <alignment horizontal="right"/>
    </xf>
    <xf numFmtId="164" fontId="15" fillId="0" borderId="5" xfId="0" applyNumberFormat="1" applyFont="1" applyBorder="1"/>
    <xf numFmtId="10" fontId="15" fillId="0" borderId="0" xfId="0" applyNumberFormat="1" applyFont="1"/>
    <xf numFmtId="164" fontId="15" fillId="0" borderId="4" xfId="0" applyNumberFormat="1" applyFont="1" applyBorder="1" applyAlignment="1">
      <alignment horizontal="right"/>
    </xf>
    <xf numFmtId="0" fontId="51" fillId="4" borderId="2" xfId="0" applyFont="1" applyFill="1" applyBorder="1" applyAlignment="1">
      <alignment horizontal="right"/>
    </xf>
    <xf numFmtId="6" fontId="51" fillId="4" borderId="10" xfId="0" applyNumberFormat="1" applyFont="1" applyFill="1" applyBorder="1"/>
    <xf numFmtId="164" fontId="15" fillId="0" borderId="6" xfId="0" applyNumberFormat="1" applyFont="1" applyBorder="1"/>
    <xf numFmtId="164" fontId="15" fillId="0" borderId="7" xfId="0" applyNumberFormat="1" applyFont="1" applyBorder="1"/>
    <xf numFmtId="3" fontId="15" fillId="0" borderId="6" xfId="0" applyNumberFormat="1" applyFont="1" applyBorder="1"/>
    <xf numFmtId="3" fontId="16" fillId="3" borderId="0" xfId="0" applyNumberFormat="1" applyFont="1" applyFill="1"/>
    <xf numFmtId="164" fontId="16" fillId="3" borderId="45" xfId="0" applyNumberFormat="1" applyFont="1" applyFill="1" applyBorder="1"/>
    <xf numFmtId="164" fontId="16" fillId="3" borderId="46" xfId="0" applyNumberFormat="1" applyFont="1" applyFill="1" applyBorder="1"/>
    <xf numFmtId="0" fontId="15" fillId="0" borderId="14" xfId="0" applyFont="1" applyBorder="1" applyAlignment="1">
      <alignment horizontal="right"/>
    </xf>
    <xf numFmtId="164" fontId="16" fillId="3" borderId="7" xfId="0" applyNumberFormat="1" applyFont="1" applyFill="1" applyBorder="1"/>
    <xf numFmtId="9" fontId="15" fillId="2" borderId="44" xfId="0" applyNumberFormat="1" applyFont="1" applyFill="1" applyBorder="1" applyAlignment="1">
      <alignment horizontal="left"/>
    </xf>
    <xf numFmtId="0" fontId="16" fillId="0" borderId="14" xfId="0" applyFont="1" applyBorder="1" applyAlignment="1">
      <alignment horizontal="center" vertical="center"/>
    </xf>
    <xf numFmtId="0" fontId="15" fillId="9" borderId="5" xfId="0" applyFont="1" applyFill="1" applyBorder="1"/>
    <xf numFmtId="164" fontId="16" fillId="3" borderId="15" xfId="0" applyNumberFormat="1" applyFont="1" applyFill="1" applyBorder="1"/>
    <xf numFmtId="1" fontId="16" fillId="3" borderId="0" xfId="0" applyNumberFormat="1" applyFont="1" applyFill="1"/>
    <xf numFmtId="49" fontId="0" fillId="0" borderId="0" xfId="0" applyNumberFormat="1"/>
    <xf numFmtId="0" fontId="0" fillId="2" borderId="49" xfId="0" applyFill="1" applyBorder="1"/>
    <xf numFmtId="0" fontId="0" fillId="2" borderId="50" xfId="0" applyFill="1" applyBorder="1"/>
    <xf numFmtId="0" fontId="1" fillId="2" borderId="50" xfId="0" applyFont="1" applyFill="1" applyBorder="1"/>
    <xf numFmtId="165" fontId="50" fillId="2" borderId="46" xfId="0" applyNumberFormat="1" applyFont="1" applyFill="1" applyBorder="1" applyAlignment="1">
      <alignment horizontal="center"/>
    </xf>
    <xf numFmtId="0" fontId="15" fillId="9" borderId="0" xfId="0" applyFont="1" applyFill="1" applyAlignment="1">
      <alignment horizontal="right"/>
    </xf>
    <xf numFmtId="0" fontId="15" fillId="2" borderId="55" xfId="0" applyFont="1" applyFill="1" applyBorder="1"/>
    <xf numFmtId="3" fontId="15" fillId="2" borderId="55" xfId="0" applyNumberFormat="1" applyFont="1" applyFill="1" applyBorder="1"/>
    <xf numFmtId="164" fontId="15" fillId="2" borderId="55" xfId="0" applyNumberFormat="1" applyFont="1" applyFill="1" applyBorder="1"/>
    <xf numFmtId="164" fontId="15" fillId="2" borderId="51" xfId="0" applyNumberFormat="1" applyFont="1" applyFill="1" applyBorder="1"/>
    <xf numFmtId="0" fontId="51" fillId="0" borderId="0" xfId="0" applyFont="1" applyAlignment="1">
      <alignment horizontal="right"/>
    </xf>
    <xf numFmtId="9" fontId="50" fillId="2" borderId="57" xfId="0" applyNumberFormat="1" applyFont="1" applyFill="1" applyBorder="1" applyAlignment="1">
      <alignment horizontal="center"/>
    </xf>
    <xf numFmtId="1" fontId="51" fillId="4" borderId="4" xfId="0" applyNumberFormat="1" applyFont="1" applyFill="1" applyBorder="1" applyAlignment="1">
      <alignment horizontal="right"/>
    </xf>
    <xf numFmtId="165" fontId="51" fillId="4" borderId="0" xfId="0" applyNumberFormat="1" applyFont="1" applyFill="1" applyAlignment="1">
      <alignment horizontal="right"/>
    </xf>
    <xf numFmtId="3" fontId="15" fillId="0" borderId="0" xfId="0" applyNumberFormat="1" applyFont="1"/>
    <xf numFmtId="3" fontId="15" fillId="0" borderId="9" xfId="0" applyNumberFormat="1" applyFont="1" applyBorder="1"/>
    <xf numFmtId="3" fontId="15" fillId="0" borderId="7" xfId="0" applyNumberFormat="1" applyFont="1" applyBorder="1"/>
    <xf numFmtId="164" fontId="16" fillId="3" borderId="0" xfId="0" applyNumberFormat="1" applyFont="1" applyFill="1"/>
    <xf numFmtId="0" fontId="15" fillId="3" borderId="0" xfId="0" applyFont="1" applyFill="1" applyAlignment="1">
      <alignment horizontal="right"/>
    </xf>
    <xf numFmtId="164" fontId="15" fillId="3" borderId="0" xfId="0" applyNumberFormat="1" applyFont="1" applyFill="1"/>
    <xf numFmtId="164" fontId="16" fillId="3" borderId="4" xfId="0" applyNumberFormat="1" applyFont="1" applyFill="1" applyBorder="1"/>
    <xf numFmtId="0" fontId="15" fillId="0" borderId="60" xfId="0" applyFont="1" applyBorder="1"/>
    <xf numFmtId="164" fontId="15" fillId="3" borderId="5" xfId="0" applyNumberFormat="1" applyFont="1" applyFill="1" applyBorder="1"/>
    <xf numFmtId="0" fontId="15" fillId="0" borderId="61" xfId="0" applyFont="1" applyBorder="1"/>
    <xf numFmtId="3" fontId="15" fillId="0" borderId="62" xfId="0" applyNumberFormat="1" applyFont="1" applyBorder="1"/>
    <xf numFmtId="3" fontId="15" fillId="0" borderId="63" xfId="0" applyNumberFormat="1" applyFont="1" applyBorder="1"/>
    <xf numFmtId="0" fontId="15" fillId="0" borderId="62" xfId="0" applyFont="1" applyBorder="1"/>
    <xf numFmtId="0" fontId="15" fillId="0" borderId="63" xfId="0" applyFont="1" applyBorder="1"/>
    <xf numFmtId="164" fontId="15" fillId="0" borderId="61" xfId="0" applyNumberFormat="1" applyFont="1" applyBorder="1"/>
    <xf numFmtId="164" fontId="15" fillId="0" borderId="62" xfId="0" applyNumberFormat="1" applyFont="1" applyBorder="1"/>
    <xf numFmtId="164" fontId="15" fillId="0" borderId="63" xfId="0" applyNumberFormat="1" applyFont="1" applyBorder="1"/>
    <xf numFmtId="0" fontId="46" fillId="0" borderId="0" xfId="0" applyFont="1" applyAlignment="1">
      <alignment horizontal="right"/>
    </xf>
    <xf numFmtId="0" fontId="46" fillId="0" borderId="0" xfId="0" applyFont="1"/>
    <xf numFmtId="3" fontId="15" fillId="0" borderId="4" xfId="0" applyNumberFormat="1" applyFont="1" applyBorder="1" applyAlignment="1">
      <alignment horizontal="center"/>
    </xf>
    <xf numFmtId="3" fontId="15" fillId="23" borderId="44" xfId="0" applyNumberFormat="1" applyFont="1" applyFill="1" applyBorder="1"/>
    <xf numFmtId="49" fontId="40" fillId="18" borderId="64" xfId="0" applyNumberFormat="1" applyFont="1" applyFill="1" applyBorder="1" applyAlignment="1">
      <alignment vertical="center"/>
    </xf>
    <xf numFmtId="49" fontId="40" fillId="18" borderId="64" xfId="0" applyNumberFormat="1" applyFont="1" applyFill="1" applyBorder="1" applyAlignment="1">
      <alignment vertical="top"/>
    </xf>
    <xf numFmtId="49" fontId="40" fillId="18" borderId="64" xfId="0" applyNumberFormat="1" applyFont="1" applyFill="1" applyBorder="1" applyAlignment="1">
      <alignment vertical="top" wrapText="1"/>
    </xf>
    <xf numFmtId="1" fontId="0" fillId="18" borderId="64" xfId="0" applyNumberFormat="1" applyFill="1" applyBorder="1" applyAlignment="1">
      <alignment vertical="top"/>
    </xf>
    <xf numFmtId="166" fontId="0" fillId="18" borderId="64" xfId="0" applyNumberFormat="1" applyFill="1" applyBorder="1" applyAlignment="1">
      <alignment vertical="top"/>
    </xf>
    <xf numFmtId="49" fontId="40" fillId="0" borderId="64" xfId="0" applyNumberFormat="1" applyFont="1" applyBorder="1" applyAlignment="1">
      <alignment vertical="center"/>
    </xf>
    <xf numFmtId="49" fontId="40" fillId="0" borderId="64" xfId="0" applyNumberFormat="1" applyFont="1" applyBorder="1" applyAlignment="1">
      <alignment vertical="top"/>
    </xf>
    <xf numFmtId="49" fontId="40" fillId="0" borderId="64" xfId="0" applyNumberFormat="1" applyFont="1" applyBorder="1" applyAlignment="1">
      <alignment vertical="top" wrapText="1"/>
    </xf>
    <xf numFmtId="1" fontId="0" fillId="0" borderId="64" xfId="0" applyNumberFormat="1" applyBorder="1" applyAlignment="1">
      <alignment vertical="top"/>
    </xf>
    <xf numFmtId="166" fontId="0" fillId="0" borderId="64" xfId="0" applyNumberFormat="1" applyBorder="1" applyAlignment="1">
      <alignment vertical="top"/>
    </xf>
    <xf numFmtId="0" fontId="40" fillId="0" borderId="64" xfId="0" applyFont="1" applyBorder="1" applyAlignment="1">
      <alignment vertical="center"/>
    </xf>
    <xf numFmtId="49" fontId="40" fillId="0" borderId="64" xfId="0" applyNumberFormat="1" applyFont="1" applyBorder="1"/>
    <xf numFmtId="49" fontId="40" fillId="0" borderId="64" xfId="0" applyNumberFormat="1" applyFont="1" applyBorder="1" applyAlignment="1">
      <alignment wrapText="1"/>
    </xf>
    <xf numFmtId="1" fontId="0" fillId="0" borderId="64" xfId="0" applyNumberFormat="1" applyBorder="1"/>
    <xf numFmtId="166" fontId="0" fillId="0" borderId="64" xfId="0" applyNumberFormat="1" applyBorder="1"/>
    <xf numFmtId="1" fontId="40" fillId="21" borderId="64" xfId="0" applyNumberFormat="1" applyFont="1" applyFill="1" applyBorder="1" applyAlignment="1">
      <alignment vertical="top"/>
    </xf>
    <xf numFmtId="4" fontId="40" fillId="21" borderId="64" xfId="0" applyNumberFormat="1" applyFont="1" applyFill="1" applyBorder="1" applyAlignment="1">
      <alignment vertical="top"/>
    </xf>
    <xf numFmtId="3" fontId="0" fillId="0" borderId="0" xfId="0" applyNumberFormat="1"/>
    <xf numFmtId="0" fontId="0" fillId="2" borderId="0" xfId="0" applyFill="1" applyAlignment="1">
      <alignment horizontal="right"/>
    </xf>
    <xf numFmtId="0" fontId="1" fillId="2" borderId="66" xfId="0" applyFont="1" applyFill="1" applyBorder="1" applyAlignment="1">
      <alignment horizontal="right"/>
    </xf>
    <xf numFmtId="164" fontId="1" fillId="23" borderId="1" xfId="0" applyNumberFormat="1" applyFont="1" applyFill="1" applyBorder="1"/>
    <xf numFmtId="0" fontId="15" fillId="2" borderId="55" xfId="0" applyFont="1" applyFill="1" applyBorder="1" applyAlignment="1">
      <alignment horizontal="center" vertical="center"/>
    </xf>
    <xf numFmtId="0" fontId="1" fillId="0" borderId="0" xfId="0" quotePrefix="1" applyFont="1" applyAlignment="1">
      <alignment horizontal="center" wrapText="1"/>
    </xf>
    <xf numFmtId="3" fontId="1" fillId="23" borderId="5" xfId="0" applyNumberFormat="1" applyFont="1" applyFill="1" applyBorder="1"/>
    <xf numFmtId="3" fontId="1" fillId="23" borderId="1" xfId="0" applyNumberFormat="1" applyFont="1" applyFill="1" applyBorder="1"/>
    <xf numFmtId="3" fontId="1" fillId="23" borderId="7" xfId="0" applyNumberFormat="1" applyFont="1" applyFill="1" applyBorder="1"/>
    <xf numFmtId="0" fontId="1" fillId="23" borderId="53" xfId="0" applyFont="1" applyFill="1" applyBorder="1" applyAlignment="1">
      <alignment horizontal="center" vertical="center" wrapText="1"/>
    </xf>
    <xf numFmtId="0" fontId="1" fillId="23" borderId="6" xfId="0" applyFont="1" applyFill="1" applyBorder="1" applyAlignment="1">
      <alignment horizontal="right"/>
    </xf>
    <xf numFmtId="49" fontId="1" fillId="23" borderId="53" xfId="0" applyNumberFormat="1" applyFont="1" applyFill="1" applyBorder="1" applyAlignment="1">
      <alignment horizontal="center" vertical="center" wrapText="1"/>
    </xf>
    <xf numFmtId="49" fontId="0" fillId="0" borderId="67" xfId="0" applyNumberFormat="1" applyBorder="1"/>
    <xf numFmtId="0" fontId="0" fillId="0" borderId="67" xfId="0" applyBorder="1"/>
    <xf numFmtId="49" fontId="1" fillId="23" borderId="53" xfId="0" quotePrefix="1" applyNumberFormat="1" applyFont="1" applyFill="1" applyBorder="1" applyAlignment="1">
      <alignment horizontal="center" wrapText="1"/>
    </xf>
    <xf numFmtId="0" fontId="0" fillId="0" borderId="2" xfId="0" applyBorder="1"/>
    <xf numFmtId="0" fontId="0" fillId="0" borderId="4" xfId="0" applyBorder="1"/>
    <xf numFmtId="0" fontId="0" fillId="0" borderId="6" xfId="0" applyBorder="1"/>
    <xf numFmtId="49" fontId="0" fillId="0" borderId="61" xfId="0" applyNumberFormat="1" applyBorder="1"/>
    <xf numFmtId="0" fontId="1" fillId="0" borderId="56" xfId="0" applyFont="1" applyBorder="1" applyAlignment="1">
      <alignment horizontal="right" wrapText="1"/>
    </xf>
    <xf numFmtId="0" fontId="1" fillId="0" borderId="55" xfId="0" applyFont="1" applyBorder="1" applyAlignment="1">
      <alignment horizontal="right"/>
    </xf>
    <xf numFmtId="0" fontId="0" fillId="0" borderId="55" xfId="0" applyBorder="1" applyAlignment="1">
      <alignment horizontal="right"/>
    </xf>
    <xf numFmtId="0" fontId="0" fillId="0" borderId="55" xfId="0" applyBorder="1"/>
    <xf numFmtId="0" fontId="9" fillId="0" borderId="2" xfId="5" applyBorder="1"/>
    <xf numFmtId="1" fontId="9" fillId="0" borderId="10" xfId="5" applyNumberFormat="1" applyBorder="1"/>
    <xf numFmtId="0" fontId="18" fillId="0" borderId="10" xfId="5" applyFont="1" applyBorder="1" applyAlignment="1">
      <alignment horizontal="center"/>
    </xf>
    <xf numFmtId="0" fontId="9" fillId="0" borderId="10" xfId="5" applyBorder="1"/>
    <xf numFmtId="0" fontId="0" fillId="0" borderId="10" xfId="0" applyBorder="1" applyAlignment="1">
      <alignment horizontal="left"/>
    </xf>
    <xf numFmtId="0" fontId="0" fillId="0" borderId="10" xfId="0" applyBorder="1" applyAlignment="1">
      <alignment horizontal="right" vertical="center"/>
    </xf>
    <xf numFmtId="0" fontId="47" fillId="0" borderId="10" xfId="0" applyFont="1" applyBorder="1" applyAlignment="1">
      <alignment horizontal="center" vertical="center"/>
    </xf>
    <xf numFmtId="0" fontId="0" fillId="0" borderId="3" xfId="0" applyBorder="1" applyAlignment="1">
      <alignment horizontal="right" vertical="center"/>
    </xf>
    <xf numFmtId="0" fontId="0" fillId="3" borderId="0" xfId="0" applyFill="1" applyAlignment="1">
      <alignment horizontal="right"/>
    </xf>
    <xf numFmtId="0" fontId="0" fillId="3" borderId="5" xfId="0" applyFill="1" applyBorder="1" applyAlignment="1">
      <alignment horizontal="right"/>
    </xf>
    <xf numFmtId="0" fontId="0" fillId="16" borderId="0" xfId="0" applyFill="1" applyAlignment="1">
      <alignment horizontal="right"/>
    </xf>
    <xf numFmtId="0" fontId="0" fillId="16" borderId="5" xfId="0" applyFill="1" applyBorder="1" applyAlignment="1">
      <alignment horizontal="right"/>
    </xf>
    <xf numFmtId="0" fontId="0" fillId="17" borderId="0" xfId="0" applyFill="1" applyAlignment="1">
      <alignment horizontal="right"/>
    </xf>
    <xf numFmtId="0" fontId="0" fillId="17" borderId="5" xfId="0" applyFill="1" applyBorder="1"/>
    <xf numFmtId="0" fontId="9" fillId="0" borderId="6" xfId="5" applyBorder="1" applyAlignment="1">
      <alignment wrapText="1"/>
    </xf>
    <xf numFmtId="1" fontId="9" fillId="0" borderId="1" xfId="5" applyNumberFormat="1" applyBorder="1" applyAlignment="1">
      <alignment wrapText="1"/>
    </xf>
    <xf numFmtId="0" fontId="18" fillId="0" borderId="1" xfId="5" applyFont="1" applyBorder="1" applyAlignment="1">
      <alignment horizontal="center" wrapText="1"/>
    </xf>
    <xf numFmtId="0" fontId="9" fillId="0" borderId="1" xfId="5" applyBorder="1" applyAlignment="1">
      <alignment wrapText="1"/>
    </xf>
    <xf numFmtId="0" fontId="18" fillId="0" borderId="1" xfId="3" applyFont="1" applyBorder="1" applyAlignment="1" applyProtection="1">
      <alignment horizontal="right" vertical="center" wrapText="1" indent="1"/>
    </xf>
    <xf numFmtId="0" fontId="0" fillId="0" borderId="7" xfId="0" applyBorder="1"/>
    <xf numFmtId="0" fontId="1" fillId="23" borderId="52" xfId="3" applyFont="1" applyFill="1" applyBorder="1" applyAlignment="1" applyProtection="1">
      <alignment horizontal="right" vertical="center" indent="1"/>
    </xf>
    <xf numFmtId="0" fontId="0" fillId="0" borderId="0" xfId="3" applyFont="1" applyBorder="1" applyAlignment="1" applyProtection="1">
      <alignment horizontal="right" vertical="center" indent="1"/>
    </xf>
    <xf numFmtId="0" fontId="0" fillId="0" borderId="68" xfId="0" applyBorder="1"/>
    <xf numFmtId="0" fontId="0" fillId="0" borderId="9" xfId="0" applyBorder="1"/>
    <xf numFmtId="9" fontId="15" fillId="2" borderId="55" xfId="0" applyNumberFormat="1" applyFont="1" applyFill="1" applyBorder="1"/>
    <xf numFmtId="0" fontId="15" fillId="9" borderId="44" xfId="0" applyFont="1" applyFill="1" applyBorder="1"/>
    <xf numFmtId="49" fontId="0" fillId="23" borderId="61" xfId="0" applyNumberFormat="1" applyFill="1" applyBorder="1"/>
    <xf numFmtId="0" fontId="0" fillId="23" borderId="55" xfId="0" applyFill="1" applyBorder="1"/>
    <xf numFmtId="49" fontId="1" fillId="23" borderId="55" xfId="0" applyNumberFormat="1" applyFont="1" applyFill="1" applyBorder="1" applyAlignment="1">
      <alignment horizontal="center" vertical="center" wrapText="1"/>
    </xf>
    <xf numFmtId="16" fontId="0" fillId="0" borderId="0" xfId="0" applyNumberFormat="1"/>
    <xf numFmtId="9" fontId="15" fillId="2" borderId="44" xfId="0" applyNumberFormat="1" applyFont="1" applyFill="1" applyBorder="1" applyAlignment="1">
      <alignment horizontal="right"/>
    </xf>
    <xf numFmtId="164" fontId="16" fillId="3" borderId="11" xfId="0" applyNumberFormat="1" applyFont="1" applyFill="1" applyBorder="1"/>
    <xf numFmtId="164" fontId="16" fillId="3" borderId="69" xfId="0" applyNumberFormat="1" applyFont="1" applyFill="1" applyBorder="1"/>
    <xf numFmtId="49" fontId="1" fillId="3" borderId="53" xfId="0" quotePrefix="1" applyNumberFormat="1" applyFont="1" applyFill="1" applyBorder="1" applyAlignment="1">
      <alignment horizontal="center" wrapText="1"/>
    </xf>
    <xf numFmtId="49" fontId="1" fillId="3" borderId="53" xfId="0" applyNumberFormat="1" applyFont="1" applyFill="1" applyBorder="1" applyAlignment="1">
      <alignment horizontal="center" vertical="center" wrapText="1"/>
    </xf>
    <xf numFmtId="3" fontId="1" fillId="3" borderId="1" xfId="0" applyNumberFormat="1" applyFont="1" applyFill="1" applyBorder="1"/>
    <xf numFmtId="164" fontId="1" fillId="23" borderId="53" xfId="0" applyNumberFormat="1" applyFont="1" applyFill="1" applyBorder="1"/>
    <xf numFmtId="0" fontId="1" fillId="23" borderId="70" xfId="0" applyFont="1" applyFill="1" applyBorder="1" applyAlignment="1">
      <alignment horizontal="right"/>
    </xf>
    <xf numFmtId="164" fontId="1" fillId="23" borderId="45" xfId="0" applyNumberFormat="1" applyFont="1" applyFill="1" applyBorder="1"/>
    <xf numFmtId="0" fontId="1" fillId="23" borderId="71" xfId="0" applyFont="1" applyFill="1" applyBorder="1" applyAlignment="1">
      <alignment horizontal="right"/>
    </xf>
    <xf numFmtId="164" fontId="1" fillId="23" borderId="72" xfId="0" applyNumberFormat="1" applyFont="1" applyFill="1" applyBorder="1"/>
    <xf numFmtId="3" fontId="1" fillId="23" borderId="72" xfId="0" applyNumberFormat="1" applyFont="1" applyFill="1" applyBorder="1"/>
    <xf numFmtId="3" fontId="1" fillId="3" borderId="72" xfId="0" applyNumberFormat="1" applyFont="1" applyFill="1" applyBorder="1"/>
    <xf numFmtId="164" fontId="1" fillId="23" borderId="71" xfId="0" applyNumberFormat="1" applyFont="1" applyFill="1" applyBorder="1"/>
    <xf numFmtId="164" fontId="1" fillId="23" borderId="6" xfId="0" applyNumberFormat="1" applyFont="1" applyFill="1" applyBorder="1"/>
    <xf numFmtId="49" fontId="18" fillId="16" borderId="53" xfId="0" quotePrefix="1" applyNumberFormat="1" applyFont="1" applyFill="1" applyBorder="1" applyAlignment="1">
      <alignment horizontal="center" wrapText="1"/>
    </xf>
    <xf numFmtId="3" fontId="18" fillId="16" borderId="69" xfId="0" applyNumberFormat="1" applyFont="1" applyFill="1" applyBorder="1"/>
    <xf numFmtId="3" fontId="18" fillId="16" borderId="7" xfId="0" applyNumberFormat="1" applyFont="1" applyFill="1" applyBorder="1"/>
    <xf numFmtId="0" fontId="55" fillId="0" borderId="0" xfId="0" applyFont="1" applyAlignment="1">
      <alignment horizontal="left" vertical="center" indent="2"/>
    </xf>
    <xf numFmtId="3" fontId="18" fillId="16" borderId="72" xfId="0" applyNumberFormat="1" applyFont="1" applyFill="1" applyBorder="1"/>
    <xf numFmtId="3" fontId="18" fillId="16" borderId="1" xfId="0" applyNumberFormat="1" applyFont="1" applyFill="1" applyBorder="1"/>
    <xf numFmtId="0" fontId="4" fillId="2" borderId="73" xfId="0" applyFont="1" applyFill="1" applyBorder="1" applyAlignment="1">
      <alignment horizontal="right"/>
    </xf>
    <xf numFmtId="0" fontId="4" fillId="2" borderId="72" xfId="0" applyFont="1" applyFill="1" applyBorder="1" applyAlignment="1">
      <alignment horizontal="right"/>
    </xf>
    <xf numFmtId="0" fontId="4" fillId="2" borderId="72" xfId="0" applyFont="1" applyFill="1" applyBorder="1"/>
    <xf numFmtId="0" fontId="4" fillId="2" borderId="74" xfId="0" applyFont="1" applyFill="1" applyBorder="1"/>
    <xf numFmtId="3" fontId="15" fillId="2" borderId="4" xfId="0" applyNumberFormat="1" applyFont="1" applyFill="1" applyBorder="1"/>
    <xf numFmtId="3" fontId="15" fillId="2" borderId="5" xfId="0" applyNumberFormat="1" applyFont="1" applyFill="1" applyBorder="1"/>
    <xf numFmtId="3" fontId="1" fillId="9" borderId="66" xfId="0" applyNumberFormat="1" applyFont="1" applyFill="1" applyBorder="1" applyAlignment="1">
      <alignment horizontal="right"/>
    </xf>
    <xf numFmtId="0" fontId="56" fillId="0" borderId="0" xfId="0" applyFont="1" applyAlignment="1">
      <alignment horizontal="right"/>
    </xf>
    <xf numFmtId="1" fontId="51" fillId="24" borderId="51" xfId="0" applyNumberFormat="1" applyFont="1" applyFill="1" applyBorder="1" applyAlignment="1">
      <alignment horizontal="right"/>
    </xf>
    <xf numFmtId="1" fontId="51" fillId="4" borderId="6" xfId="0" applyNumberFormat="1" applyFont="1" applyFill="1" applyBorder="1" applyAlignment="1">
      <alignment horizontal="right"/>
    </xf>
    <xf numFmtId="165" fontId="51" fillId="4" borderId="7" xfId="0" applyNumberFormat="1" applyFont="1" applyFill="1" applyBorder="1" applyAlignment="1">
      <alignment horizontal="right"/>
    </xf>
    <xf numFmtId="0" fontId="57" fillId="0" borderId="0" xfId="0" applyFont="1" applyAlignment="1">
      <alignment horizontal="right"/>
    </xf>
    <xf numFmtId="9" fontId="1" fillId="2" borderId="77" xfId="0" applyNumberFormat="1" applyFont="1" applyFill="1" applyBorder="1"/>
    <xf numFmtId="1" fontId="1" fillId="2" borderId="77" xfId="0" applyNumberFormat="1" applyFont="1" applyFill="1" applyBorder="1"/>
    <xf numFmtId="0" fontId="0" fillId="3" borderId="0" xfId="0" applyFill="1"/>
    <xf numFmtId="166" fontId="1" fillId="3" borderId="0" xfId="0" applyNumberFormat="1" applyFont="1" applyFill="1" applyAlignment="1">
      <alignment horizontal="right"/>
    </xf>
    <xf numFmtId="3" fontId="1" fillId="3" borderId="0" xfId="0" applyNumberFormat="1" applyFont="1" applyFill="1"/>
    <xf numFmtId="0" fontId="1" fillId="3" borderId="0" xfId="0" applyFont="1" applyFill="1" applyAlignment="1">
      <alignment horizontal="right"/>
    </xf>
    <xf numFmtId="9" fontId="1" fillId="3" borderId="0" xfId="0" applyNumberFormat="1" applyFont="1" applyFill="1"/>
    <xf numFmtId="166" fontId="1" fillId="3" borderId="0" xfId="0" applyNumberFormat="1" applyFont="1" applyFill="1"/>
    <xf numFmtId="3" fontId="16" fillId="3" borderId="2" xfId="0" applyNumberFormat="1" applyFont="1" applyFill="1" applyBorder="1"/>
    <xf numFmtId="3" fontId="15" fillId="3" borderId="1" xfId="0" applyNumberFormat="1" applyFont="1" applyFill="1" applyBorder="1"/>
    <xf numFmtId="166" fontId="1" fillId="2" borderId="77" xfId="0" applyNumberFormat="1" applyFont="1" applyFill="1" applyBorder="1"/>
    <xf numFmtId="3" fontId="1" fillId="2" borderId="66" xfId="0" applyNumberFormat="1" applyFont="1" applyFill="1" applyBorder="1" applyAlignment="1">
      <alignment horizontal="right"/>
    </xf>
    <xf numFmtId="164" fontId="1" fillId="23" borderId="78" xfId="0" applyNumberFormat="1" applyFont="1" applyFill="1" applyBorder="1"/>
    <xf numFmtId="3" fontId="1" fillId="23" borderId="11" xfId="0" applyNumberFormat="1" applyFont="1" applyFill="1" applyBorder="1"/>
    <xf numFmtId="3" fontId="18" fillId="16" borderId="11" xfId="0" applyNumberFormat="1" applyFont="1" applyFill="1" applyBorder="1"/>
    <xf numFmtId="3" fontId="1" fillId="3" borderId="11" xfId="0" applyNumberFormat="1" applyFont="1" applyFill="1" applyBorder="1"/>
    <xf numFmtId="3" fontId="18" fillId="16" borderId="79" xfId="0" applyNumberFormat="1" applyFont="1" applyFill="1" applyBorder="1"/>
    <xf numFmtId="164" fontId="1" fillId="23" borderId="52" xfId="0" applyNumberFormat="1" applyFont="1" applyFill="1" applyBorder="1"/>
    <xf numFmtId="3" fontId="1" fillId="23" borderId="54" xfId="0" applyNumberFormat="1" applyFont="1" applyFill="1" applyBorder="1"/>
    <xf numFmtId="3" fontId="18" fillId="16" borderId="54" xfId="0" applyNumberFormat="1" applyFont="1" applyFill="1" applyBorder="1"/>
    <xf numFmtId="3" fontId="1" fillId="3" borderId="54" xfId="0" applyNumberFormat="1" applyFont="1" applyFill="1" applyBorder="1"/>
    <xf numFmtId="3" fontId="18" fillId="16" borderId="53" xfId="0" applyNumberFormat="1" applyFont="1" applyFill="1" applyBorder="1"/>
    <xf numFmtId="165" fontId="1" fillId="2" borderId="77" xfId="0" applyNumberFormat="1" applyFont="1" applyFill="1" applyBorder="1"/>
    <xf numFmtId="3" fontId="16" fillId="0" borderId="9" xfId="0" applyNumberFormat="1" applyFont="1" applyBorder="1"/>
    <xf numFmtId="0" fontId="0" fillId="0" borderId="0" xfId="0" applyAlignment="1">
      <alignment horizontal="left" vertical="top"/>
    </xf>
    <xf numFmtId="164" fontId="15" fillId="0" borderId="80" xfId="0" applyNumberFormat="1" applyFont="1" applyBorder="1"/>
    <xf numFmtId="166" fontId="16" fillId="9" borderId="0" xfId="0" applyNumberFormat="1" applyFont="1" applyFill="1"/>
    <xf numFmtId="9" fontId="50" fillId="2" borderId="4" xfId="0" applyNumberFormat="1" applyFont="1" applyFill="1" applyBorder="1"/>
    <xf numFmtId="164" fontId="50" fillId="2" borderId="5" xfId="0" applyNumberFormat="1" applyFont="1" applyFill="1" applyBorder="1"/>
    <xf numFmtId="18" fontId="0" fillId="0" borderId="0" xfId="0" applyNumberFormat="1"/>
    <xf numFmtId="0" fontId="52" fillId="0" borderId="0" xfId="0" applyFont="1" applyAlignment="1">
      <alignment horizontal="right" vertical="center"/>
    </xf>
    <xf numFmtId="0" fontId="54" fillId="0" borderId="0" xfId="0" applyFont="1" applyAlignment="1">
      <alignment horizontal="right" vertical="center"/>
    </xf>
    <xf numFmtId="0" fontId="53" fillId="0" borderId="0" xfId="0" applyFont="1" applyAlignment="1">
      <alignment horizontal="right" vertical="center"/>
    </xf>
    <xf numFmtId="0" fontId="2" fillId="0" borderId="0" xfId="1" applyAlignment="1">
      <alignment horizontal="right"/>
    </xf>
    <xf numFmtId="0" fontId="52" fillId="0" borderId="0" xfId="0" applyFont="1" applyAlignment="1">
      <alignment horizontal="right" vertical="center" wrapText="1"/>
    </xf>
    <xf numFmtId="0" fontId="54" fillId="0" borderId="0" xfId="0" applyFont="1" applyAlignment="1">
      <alignment horizontal="right" vertical="center" wrapText="1"/>
    </xf>
    <xf numFmtId="0" fontId="53" fillId="0" borderId="0" xfId="0" applyFont="1" applyAlignment="1">
      <alignment horizontal="right" vertical="center" wrapText="1"/>
    </xf>
    <xf numFmtId="0" fontId="2" fillId="0" borderId="0" xfId="1" applyAlignment="1">
      <alignment horizontal="right" vertical="center" wrapText="1"/>
    </xf>
    <xf numFmtId="1" fontId="57" fillId="4" borderId="44" xfId="0" applyNumberFormat="1" applyFont="1" applyFill="1" applyBorder="1" applyAlignment="1">
      <alignment horizontal="right"/>
    </xf>
    <xf numFmtId="165" fontId="1" fillId="9" borderId="0" xfId="0" applyNumberFormat="1" applyFont="1" applyFill="1"/>
    <xf numFmtId="0" fontId="0" fillId="0" borderId="0" xfId="0" applyAlignment="1">
      <alignment vertical="top" wrapText="1"/>
    </xf>
    <xf numFmtId="0" fontId="15" fillId="0" borderId="0" xfId="0" applyFont="1" applyAlignment="1">
      <alignment vertical="top" wrapText="1"/>
    </xf>
    <xf numFmtId="0" fontId="0" fillId="0" borderId="0" xfId="0" applyAlignment="1">
      <alignment horizontal="left" vertical="top" wrapText="1"/>
    </xf>
    <xf numFmtId="0" fontId="1" fillId="0" borderId="1" xfId="0" applyFont="1" applyBorder="1" applyAlignment="1">
      <alignment horizontal="center" wrapText="1"/>
    </xf>
    <xf numFmtId="49" fontId="1" fillId="2" borderId="77" xfId="0" applyNumberFormat="1" applyFont="1" applyFill="1" applyBorder="1" applyAlignment="1">
      <alignment horizontal="center"/>
    </xf>
    <xf numFmtId="0" fontId="14" fillId="2" borderId="4" xfId="0" applyFont="1" applyFill="1" applyBorder="1"/>
    <xf numFmtId="0" fontId="1" fillId="2" borderId="5" xfId="0" applyFont="1" applyFill="1" applyBorder="1" applyAlignment="1">
      <alignment horizontal="center"/>
    </xf>
    <xf numFmtId="0" fontId="0" fillId="2" borderId="6" xfId="0" applyFill="1" applyBorder="1"/>
    <xf numFmtId="0" fontId="1" fillId="2" borderId="7" xfId="0" applyFont="1" applyFill="1" applyBorder="1" applyAlignment="1">
      <alignment horizontal="center"/>
    </xf>
    <xf numFmtId="0" fontId="0" fillId="0" borderId="0" xfId="0" applyAlignment="1">
      <alignment horizontal="right" vertical="top"/>
    </xf>
    <xf numFmtId="0" fontId="0" fillId="2" borderId="0" xfId="0" applyFill="1" applyAlignment="1">
      <alignment horizontal="center"/>
    </xf>
    <xf numFmtId="166" fontId="1" fillId="23" borderId="77" xfId="0" applyNumberFormat="1" applyFont="1" applyFill="1" applyBorder="1"/>
    <xf numFmtId="9" fontId="0" fillId="2" borderId="0" xfId="0" applyNumberFormat="1" applyFill="1"/>
    <xf numFmtId="166" fontId="1" fillId="23" borderId="0" xfId="0" applyNumberFormat="1" applyFont="1" applyFill="1"/>
    <xf numFmtId="164" fontId="1" fillId="23" borderId="77" xfId="0" applyNumberFormat="1" applyFont="1" applyFill="1" applyBorder="1"/>
    <xf numFmtId="0" fontId="59" fillId="2" borderId="4" xfId="0" applyFont="1" applyFill="1" applyBorder="1"/>
    <xf numFmtId="0" fontId="1" fillId="2" borderId="3" xfId="0" applyFont="1" applyFill="1" applyBorder="1" applyAlignment="1">
      <alignment horizontal="left"/>
    </xf>
    <xf numFmtId="0" fontId="59" fillId="2" borderId="2" xfId="0" applyFont="1" applyFill="1" applyBorder="1"/>
    <xf numFmtId="0" fontId="1" fillId="2" borderId="5" xfId="0" applyFont="1" applyFill="1" applyBorder="1" applyAlignment="1">
      <alignment horizontal="left"/>
    </xf>
    <xf numFmtId="14" fontId="15" fillId="0" borderId="0" xfId="0" applyNumberFormat="1" applyFont="1"/>
    <xf numFmtId="49" fontId="40" fillId="0" borderId="0" xfId="14" applyNumberFormat="1" applyFont="1" applyAlignment="1">
      <alignment vertical="top"/>
    </xf>
    <xf numFmtId="172" fontId="60" fillId="0" borderId="0" xfId="14" applyNumberFormat="1" applyAlignment="1">
      <alignment vertical="top"/>
    </xf>
    <xf numFmtId="166" fontId="60" fillId="0" borderId="0" xfId="14" applyNumberFormat="1" applyAlignment="1">
      <alignment vertical="top"/>
    </xf>
    <xf numFmtId="170" fontId="13" fillId="3" borderId="0" xfId="0" applyNumberFormat="1" applyFont="1" applyFill="1" applyAlignment="1" applyProtection="1">
      <alignment horizontal="center" vertical="center" wrapText="1"/>
      <protection locked="0"/>
    </xf>
    <xf numFmtId="170" fontId="0" fillId="2" borderId="0" xfId="0" applyNumberFormat="1" applyFill="1" applyAlignment="1" applyProtection="1">
      <alignment horizontal="center" vertical="center"/>
      <protection locked="0"/>
    </xf>
    <xf numFmtId="1" fontId="0" fillId="0" borderId="0" xfId="0" applyNumberFormat="1" applyAlignment="1" applyProtection="1">
      <alignment horizontal="center" vertical="center"/>
      <protection locked="0"/>
    </xf>
    <xf numFmtId="49" fontId="40" fillId="0" borderId="0" xfId="0" applyNumberFormat="1" applyFont="1" applyAlignment="1">
      <alignment vertical="top"/>
    </xf>
    <xf numFmtId="49" fontId="61" fillId="0" borderId="0" xfId="0" applyNumberFormat="1" applyFont="1" applyAlignment="1">
      <alignment vertical="top"/>
    </xf>
    <xf numFmtId="1" fontId="61" fillId="21" borderId="0" xfId="0" applyNumberFormat="1" applyFont="1" applyFill="1" applyAlignment="1">
      <alignment vertical="top"/>
    </xf>
    <xf numFmtId="4" fontId="61" fillId="21" borderId="0" xfId="0" applyNumberFormat="1" applyFont="1" applyFill="1" applyAlignment="1">
      <alignment vertical="top"/>
    </xf>
    <xf numFmtId="171" fontId="0" fillId="0" borderId="0" xfId="0" applyNumberFormat="1"/>
    <xf numFmtId="1" fontId="0" fillId="0" borderId="0" xfId="0" applyNumberFormat="1" applyAlignment="1">
      <alignment horizontal="right" vertical="center"/>
    </xf>
    <xf numFmtId="2" fontId="0" fillId="0" borderId="0" xfId="0" applyNumberFormat="1" applyAlignment="1">
      <alignment horizontal="right" vertical="center"/>
    </xf>
    <xf numFmtId="0" fontId="0" fillId="2" borderId="0" xfId="0" applyFill="1"/>
    <xf numFmtId="0" fontId="0" fillId="0" borderId="0" xfId="0" applyAlignment="1">
      <alignment horizontal="left" vertical="center"/>
    </xf>
    <xf numFmtId="171" fontId="0" fillId="0" borderId="0" xfId="0" applyNumberFormat="1" applyAlignment="1">
      <alignment horizontal="right" vertical="center"/>
    </xf>
    <xf numFmtId="1" fontId="40" fillId="21" borderId="65" xfId="0" applyNumberFormat="1" applyFont="1" applyFill="1" applyBorder="1" applyAlignment="1">
      <alignment vertical="top"/>
    </xf>
    <xf numFmtId="4" fontId="40" fillId="21" borderId="65" xfId="0" applyNumberFormat="1" applyFont="1" applyFill="1" applyBorder="1" applyAlignment="1">
      <alignment vertical="top"/>
    </xf>
    <xf numFmtId="1" fontId="40" fillId="21" borderId="0" xfId="0" applyNumberFormat="1" applyFont="1" applyFill="1" applyAlignment="1">
      <alignment vertical="top"/>
    </xf>
    <xf numFmtId="4" fontId="40" fillId="21" borderId="0" xfId="0" applyNumberFormat="1" applyFont="1" applyFill="1" applyAlignment="1">
      <alignment vertical="top"/>
    </xf>
    <xf numFmtId="49" fontId="61" fillId="0" borderId="0" xfId="14" applyNumberFormat="1" applyFont="1" applyAlignment="1">
      <alignment vertical="top"/>
    </xf>
    <xf numFmtId="172" fontId="62" fillId="0" borderId="0" xfId="14" applyNumberFormat="1" applyFont="1" applyAlignment="1">
      <alignment vertical="top"/>
    </xf>
    <xf numFmtId="166" fontId="62" fillId="0" borderId="0" xfId="14" applyNumberFormat="1" applyFont="1" applyAlignment="1">
      <alignment vertical="top"/>
    </xf>
    <xf numFmtId="173" fontId="50" fillId="2" borderId="4" xfId="0" applyNumberFormat="1" applyFont="1" applyFill="1" applyBorder="1"/>
    <xf numFmtId="0" fontId="63" fillId="0" borderId="0" xfId="1" applyFont="1"/>
    <xf numFmtId="0" fontId="18" fillId="25" borderId="2" xfId="0" applyFont="1" applyFill="1" applyBorder="1" applyAlignment="1">
      <alignment horizontal="right"/>
    </xf>
    <xf numFmtId="164" fontId="18" fillId="25" borderId="72" xfId="0" applyNumberFormat="1" applyFont="1" applyFill="1" applyBorder="1"/>
    <xf numFmtId="0" fontId="64" fillId="0" borderId="0" xfId="0" applyFont="1" applyAlignment="1">
      <alignment horizontal="right"/>
    </xf>
    <xf numFmtId="0" fontId="16" fillId="9" borderId="2" xfId="0" applyFont="1" applyFill="1" applyBorder="1" applyAlignment="1">
      <alignment horizontal="right" vertical="center" wrapText="1"/>
    </xf>
    <xf numFmtId="0" fontId="15" fillId="9" borderId="6" xfId="0" applyFont="1" applyFill="1" applyBorder="1" applyAlignment="1">
      <alignment horizontal="right" vertical="center" wrapText="1"/>
    </xf>
    <xf numFmtId="0" fontId="15" fillId="2" borderId="56" xfId="0" applyFont="1" applyFill="1" applyBorder="1" applyAlignment="1">
      <alignment horizontal="center" vertical="center"/>
    </xf>
    <xf numFmtId="0" fontId="0" fillId="0" borderId="51" xfId="0" applyBorder="1" applyAlignment="1">
      <alignment horizontal="center" vertical="center"/>
    </xf>
    <xf numFmtId="164" fontId="50" fillId="2" borderId="2" xfId="0" applyNumberFormat="1" applyFont="1" applyFill="1" applyBorder="1"/>
    <xf numFmtId="0" fontId="50" fillId="2" borderId="3" xfId="0" applyFont="1" applyFill="1" applyBorder="1"/>
    <xf numFmtId="164" fontId="15" fillId="2" borderId="6" xfId="0" applyNumberFormat="1" applyFont="1" applyFill="1" applyBorder="1"/>
    <xf numFmtId="0" fontId="0" fillId="2" borderId="7" xfId="0" applyFill="1" applyBorder="1"/>
    <xf numFmtId="164" fontId="15" fillId="3" borderId="10" xfId="0" applyNumberFormat="1" applyFont="1" applyFill="1" applyBorder="1"/>
    <xf numFmtId="0" fontId="15" fillId="3" borderId="3" xfId="0" applyFont="1" applyFill="1" applyBorder="1"/>
    <xf numFmtId="3" fontId="15" fillId="0" borderId="0" xfId="0" applyNumberFormat="1" applyFont="1"/>
    <xf numFmtId="164" fontId="15" fillId="2" borderId="2" xfId="0" applyNumberFormat="1" applyFont="1" applyFill="1" applyBorder="1"/>
    <xf numFmtId="0" fontId="15" fillId="2" borderId="3" xfId="0" applyFont="1" applyFill="1" applyBorder="1"/>
    <xf numFmtId="164" fontId="15" fillId="9" borderId="0" xfId="0" applyNumberFormat="1" applyFont="1" applyFill="1"/>
    <xf numFmtId="0" fontId="15" fillId="9" borderId="0" xfId="0" applyFont="1" applyFill="1"/>
    <xf numFmtId="164" fontId="15" fillId="22" borderId="52" xfId="0" applyNumberFormat="1" applyFont="1" applyFill="1" applyBorder="1"/>
    <xf numFmtId="164" fontId="15" fillId="22" borderId="53" xfId="0" applyNumberFormat="1" applyFont="1" applyFill="1" applyBorder="1"/>
    <xf numFmtId="3" fontId="15" fillId="0" borderId="1" xfId="0" applyNumberFormat="1" applyFont="1" applyBorder="1"/>
    <xf numFmtId="3" fontId="51" fillId="4" borderId="58" xfId="0" applyNumberFormat="1" applyFont="1" applyFill="1" applyBorder="1" applyAlignment="1">
      <alignment horizontal="right"/>
    </xf>
    <xf numFmtId="3" fontId="15" fillId="0" borderId="59" xfId="0" applyNumberFormat="1" applyFont="1" applyBorder="1" applyAlignment="1">
      <alignment horizontal="right"/>
    </xf>
    <xf numFmtId="3" fontId="15" fillId="23" borderId="2" xfId="0" applyNumberFormat="1" applyFont="1" applyFill="1" applyBorder="1"/>
    <xf numFmtId="0" fontId="15" fillId="23" borderId="3" xfId="0" applyFont="1" applyFill="1" applyBorder="1"/>
    <xf numFmtId="0" fontId="16" fillId="0" borderId="0" xfId="0" applyFont="1" applyAlignment="1">
      <alignment horizontal="right"/>
    </xf>
    <xf numFmtId="0" fontId="15" fillId="0" borderId="0" xfId="0" applyFont="1"/>
    <xf numFmtId="9" fontId="15" fillId="2" borderId="52" xfId="0" applyNumberFormat="1" applyFont="1" applyFill="1" applyBorder="1" applyAlignment="1">
      <alignment horizontal="right"/>
    </xf>
    <xf numFmtId="9" fontId="0" fillId="0" borderId="54" xfId="0" applyNumberFormat="1" applyBorder="1" applyAlignment="1">
      <alignment horizontal="right"/>
    </xf>
    <xf numFmtId="164" fontId="16" fillId="3" borderId="75" xfId="0" applyNumberFormat="1" applyFont="1" applyFill="1" applyBorder="1"/>
    <xf numFmtId="0" fontId="0" fillId="0" borderId="76" xfId="0" applyBorder="1"/>
    <xf numFmtId="9" fontId="0" fillId="0" borderId="53" xfId="0" applyNumberFormat="1" applyBorder="1" applyAlignment="1">
      <alignment horizontal="right"/>
    </xf>
    <xf numFmtId="164" fontId="15" fillId="2" borderId="4" xfId="0" applyNumberFormat="1" applyFont="1" applyFill="1" applyBorder="1"/>
    <xf numFmtId="0" fontId="15" fillId="2" borderId="7" xfId="0" applyFont="1" applyFill="1" applyBorder="1"/>
    <xf numFmtId="3" fontId="15" fillId="2" borderId="4" xfId="0" applyNumberFormat="1" applyFont="1" applyFill="1" applyBorder="1"/>
    <xf numFmtId="3" fontId="15" fillId="2" borderId="5" xfId="0" applyNumberFormat="1" applyFont="1" applyFill="1" applyBorder="1"/>
    <xf numFmtId="164" fontId="15" fillId="23" borderId="2" xfId="0" applyNumberFormat="1" applyFont="1" applyFill="1" applyBorder="1"/>
    <xf numFmtId="9" fontId="15" fillId="2" borderId="56" xfId="0" applyNumberFormat="1" applyFont="1" applyFill="1" applyBorder="1" applyAlignment="1">
      <alignment horizontal="center"/>
    </xf>
    <xf numFmtId="9" fontId="0" fillId="0" borderId="51" xfId="0" applyNumberFormat="1" applyBorder="1" applyAlignment="1">
      <alignment horizontal="center"/>
    </xf>
    <xf numFmtId="0" fontId="16" fillId="3" borderId="3" xfId="0" applyFont="1" applyFill="1" applyBorder="1" applyAlignment="1">
      <alignment horizontal="center" wrapText="1"/>
    </xf>
    <xf numFmtId="0" fontId="16" fillId="3" borderId="5" xfId="0" applyFont="1" applyFill="1" applyBorder="1" applyAlignment="1">
      <alignment horizontal="center" wrapText="1"/>
    </xf>
    <xf numFmtId="0" fontId="16" fillId="2" borderId="2"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6" fillId="22" borderId="2" xfId="0" applyFont="1" applyFill="1" applyBorder="1" applyAlignment="1">
      <alignment horizontal="center" vertical="center" wrapText="1"/>
    </xf>
    <xf numFmtId="0" fontId="1" fillId="22" borderId="10" xfId="0" applyFont="1" applyFill="1" applyBorder="1" applyAlignment="1">
      <alignment horizontal="center" vertical="center" wrapText="1"/>
    </xf>
    <xf numFmtId="0" fontId="1" fillId="22" borderId="3" xfId="0" applyFont="1" applyFill="1" applyBorder="1" applyAlignment="1">
      <alignment horizontal="center" vertical="center" wrapText="1"/>
    </xf>
    <xf numFmtId="0" fontId="1" fillId="22" borderId="6" xfId="0" applyFont="1" applyFill="1" applyBorder="1" applyAlignment="1">
      <alignment horizontal="center" vertical="center" wrapText="1"/>
    </xf>
    <xf numFmtId="0" fontId="1" fillId="22" borderId="1" xfId="0" applyFont="1" applyFill="1" applyBorder="1" applyAlignment="1">
      <alignment horizontal="center" vertical="center" wrapText="1"/>
    </xf>
    <xf numFmtId="0" fontId="1" fillId="22" borderId="7" xfId="0" applyFont="1" applyFill="1" applyBorder="1" applyAlignment="1">
      <alignment horizontal="center" vertical="center" wrapText="1"/>
    </xf>
    <xf numFmtId="0" fontId="16" fillId="0" borderId="0" xfId="0" applyFont="1"/>
    <xf numFmtId="3" fontId="15" fillId="3" borderId="10" xfId="0" applyNumberFormat="1" applyFont="1" applyFill="1" applyBorder="1"/>
    <xf numFmtId="164" fontId="16" fillId="0" borderId="10" xfId="0" applyNumberFormat="1" applyFont="1" applyBorder="1" applyAlignment="1">
      <alignment horizontal="right"/>
    </xf>
    <xf numFmtId="0" fontId="16" fillId="0" borderId="10" xfId="0" applyFont="1" applyBorder="1" applyAlignment="1">
      <alignment horizontal="right"/>
    </xf>
    <xf numFmtId="0" fontId="16" fillId="3" borderId="6" xfId="0" applyFont="1" applyFill="1" applyBorder="1" applyAlignment="1">
      <alignment horizontal="right"/>
    </xf>
    <xf numFmtId="0" fontId="15" fillId="3" borderId="1" xfId="0" applyFont="1" applyFill="1" applyBorder="1"/>
    <xf numFmtId="0" fontId="16" fillId="3" borderId="4" xfId="0" applyFont="1" applyFill="1" applyBorder="1" applyAlignment="1">
      <alignment horizontal="right"/>
    </xf>
    <xf numFmtId="0" fontId="16" fillId="3" borderId="0" xfId="0" applyFont="1" applyFill="1" applyAlignment="1">
      <alignment horizontal="right"/>
    </xf>
    <xf numFmtId="164" fontId="15" fillId="23" borderId="56" xfId="0" applyNumberFormat="1" applyFont="1" applyFill="1" applyBorder="1" applyAlignment="1">
      <alignment horizontal="center" vertical="center" wrapText="1"/>
    </xf>
    <xf numFmtId="164" fontId="0" fillId="23" borderId="51" xfId="0" applyNumberFormat="1" applyFill="1" applyBorder="1" applyAlignment="1">
      <alignment horizontal="center" vertical="center" wrapText="1"/>
    </xf>
    <xf numFmtId="0" fontId="16" fillId="2" borderId="52" xfId="0" applyFont="1" applyFill="1" applyBorder="1" applyAlignment="1">
      <alignment horizontal="center" wrapText="1"/>
    </xf>
    <xf numFmtId="0" fontId="0" fillId="0" borderId="53" xfId="0" applyBorder="1"/>
    <xf numFmtId="3" fontId="15" fillId="2" borderId="47" xfId="0" applyNumberFormat="1" applyFont="1" applyFill="1" applyBorder="1"/>
    <xf numFmtId="3" fontId="15" fillId="2" borderId="48" xfId="0" applyNumberFormat="1" applyFont="1" applyFill="1" applyBorder="1"/>
    <xf numFmtId="164" fontId="15" fillId="0" borderId="1" xfId="0" applyNumberFormat="1" applyFont="1" applyBorder="1"/>
    <xf numFmtId="0" fontId="15" fillId="0" borderId="1" xfId="0" applyFont="1" applyBorder="1"/>
    <xf numFmtId="164" fontId="16" fillId="3" borderId="4" xfId="0" applyNumberFormat="1" applyFont="1" applyFill="1" applyBorder="1" applyAlignment="1">
      <alignment horizontal="right"/>
    </xf>
    <xf numFmtId="0" fontId="15" fillId="3" borderId="0" xfId="0" applyFont="1" applyFill="1" applyAlignment="1">
      <alignment horizontal="right"/>
    </xf>
    <xf numFmtId="0" fontId="16" fillId="0" borderId="10" xfId="0" applyFont="1" applyBorder="1" applyAlignment="1">
      <alignment horizontal="center" wrapText="1"/>
    </xf>
    <xf numFmtId="0" fontId="15" fillId="0" borderId="3" xfId="0" applyFont="1" applyBorder="1"/>
    <xf numFmtId="0" fontId="15" fillId="0" borderId="7" xfId="0" applyFont="1" applyBorder="1"/>
    <xf numFmtId="164" fontId="15" fillId="0" borderId="12" xfId="0" applyNumberFormat="1" applyFont="1" applyBorder="1"/>
    <xf numFmtId="0" fontId="15" fillId="0" borderId="13" xfId="0" applyFont="1" applyBorder="1"/>
    <xf numFmtId="0" fontId="15" fillId="23" borderId="52" xfId="0" applyFont="1" applyFill="1" applyBorder="1" applyAlignment="1">
      <alignment horizontal="left"/>
    </xf>
    <xf numFmtId="0" fontId="0" fillId="0" borderId="53" xfId="0" applyBorder="1" applyAlignment="1">
      <alignment horizontal="left"/>
    </xf>
    <xf numFmtId="0" fontId="1" fillId="2" borderId="52" xfId="0" applyFont="1" applyFill="1" applyBorder="1" applyAlignment="1">
      <alignment horizontal="center"/>
    </xf>
    <xf numFmtId="0" fontId="1" fillId="2" borderId="54" xfId="0" applyFont="1" applyFill="1" applyBorder="1" applyAlignment="1">
      <alignment horizontal="center"/>
    </xf>
    <xf numFmtId="0" fontId="1" fillId="2" borderId="53" xfId="0" applyFont="1" applyFill="1" applyBorder="1" applyAlignment="1">
      <alignment horizontal="center"/>
    </xf>
    <xf numFmtId="0" fontId="16" fillId="0" borderId="1" xfId="0" applyFont="1" applyBorder="1" applyAlignment="1">
      <alignment horizontal="center"/>
    </xf>
    <xf numFmtId="0" fontId="16" fillId="23" borderId="2" xfId="0" applyFont="1" applyFill="1" applyBorder="1" applyAlignment="1">
      <alignment horizontal="center" vertical="center" wrapText="1"/>
    </xf>
    <xf numFmtId="0" fontId="1" fillId="0" borderId="10" xfId="0" applyFont="1" applyBorder="1" applyAlignment="1">
      <alignment horizontal="center" vertical="center" wrapText="1"/>
    </xf>
    <xf numFmtId="0" fontId="0" fillId="0" borderId="6" xfId="0" applyBorder="1" applyAlignment="1">
      <alignment wrapText="1"/>
    </xf>
    <xf numFmtId="0" fontId="0" fillId="0" borderId="1" xfId="0" applyBorder="1" applyAlignment="1">
      <alignment wrapText="1"/>
    </xf>
    <xf numFmtId="0" fontId="0" fillId="0" borderId="7" xfId="0" applyBorder="1" applyAlignment="1">
      <alignment wrapText="1"/>
    </xf>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164" fontId="15" fillId="23" borderId="6" xfId="0" applyNumberFormat="1" applyFont="1" applyFill="1" applyBorder="1"/>
    <xf numFmtId="0" fontId="15" fillId="23" borderId="7" xfId="0" applyFont="1" applyFill="1" applyBorder="1"/>
    <xf numFmtId="164" fontId="15" fillId="0" borderId="52" xfId="0" applyNumberFormat="1" applyFont="1" applyBorder="1"/>
    <xf numFmtId="0" fontId="15" fillId="0" borderId="53" xfId="0" applyFont="1" applyBorder="1"/>
    <xf numFmtId="164" fontId="15" fillId="0" borderId="6" xfId="0" applyNumberFormat="1" applyFont="1" applyBorder="1"/>
    <xf numFmtId="164" fontId="16" fillId="0" borderId="0" xfId="0" applyNumberFormat="1" applyFont="1" applyAlignment="1">
      <alignment horizontal="right"/>
    </xf>
    <xf numFmtId="0" fontId="15" fillId="23" borderId="56" xfId="0" applyFont="1" applyFill="1" applyBorder="1" applyAlignment="1">
      <alignment horizontal="center" vertical="center" wrapText="1"/>
    </xf>
    <xf numFmtId="0" fontId="0" fillId="23" borderId="51" xfId="0" applyFill="1" applyBorder="1" applyAlignment="1">
      <alignment horizontal="center" vertical="center" wrapText="1"/>
    </xf>
    <xf numFmtId="0" fontId="16" fillId="3" borderId="2" xfId="0" applyFont="1" applyFill="1" applyBorder="1" applyAlignment="1">
      <alignment horizontal="center" vertical="center"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3" fontId="15" fillId="2" borderId="56" xfId="0" applyNumberFormat="1" applyFont="1" applyFill="1" applyBorder="1" applyAlignment="1">
      <alignment horizontal="center" vertical="center"/>
    </xf>
    <xf numFmtId="3" fontId="0" fillId="0" borderId="51" xfId="0" applyNumberFormat="1" applyBorder="1" applyAlignment="1">
      <alignment horizontal="center"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14" fontId="15" fillId="2" borderId="56" xfId="0" applyNumberFormat="1" applyFont="1" applyFill="1" applyBorder="1" applyAlignment="1">
      <alignment horizontal="center" vertical="center"/>
    </xf>
    <xf numFmtId="0" fontId="16" fillId="22" borderId="4" xfId="0" applyFont="1" applyFill="1" applyBorder="1" applyAlignment="1">
      <alignment horizontal="center" vertical="center" wrapText="1"/>
    </xf>
    <xf numFmtId="0" fontId="1" fillId="22" borderId="0" xfId="0" applyFont="1" applyFill="1" applyAlignment="1">
      <alignment horizontal="center" vertical="center" wrapText="1"/>
    </xf>
    <xf numFmtId="0" fontId="1" fillId="22" borderId="5" xfId="0" applyFont="1" applyFill="1" applyBorder="1" applyAlignment="1">
      <alignment horizontal="center" vertical="center" wrapText="1"/>
    </xf>
    <xf numFmtId="0" fontId="16" fillId="3" borderId="10" xfId="0" applyFont="1" applyFill="1" applyBorder="1" applyAlignment="1">
      <alignment horizontal="center" wrapText="1"/>
    </xf>
    <xf numFmtId="0" fontId="16" fillId="3" borderId="1" xfId="0" applyFont="1" applyFill="1" applyBorder="1" applyAlignment="1">
      <alignment horizontal="center" wrapText="1"/>
    </xf>
    <xf numFmtId="3" fontId="15" fillId="2" borderId="2" xfId="0" applyNumberFormat="1" applyFont="1" applyFill="1" applyBorder="1"/>
    <xf numFmtId="3" fontId="15" fillId="2" borderId="3" xfId="0" applyNumberFormat="1" applyFont="1" applyFill="1" applyBorder="1"/>
    <xf numFmtId="3" fontId="15" fillId="2" borderId="6" xfId="0" applyNumberFormat="1" applyFont="1" applyFill="1" applyBorder="1"/>
    <xf numFmtId="3" fontId="15" fillId="2" borderId="7" xfId="0" applyNumberFormat="1" applyFont="1" applyFill="1" applyBorder="1"/>
    <xf numFmtId="0" fontId="0" fillId="0" borderId="0" xfId="0" applyAlignment="1">
      <alignment horizontal="left" vertical="top" wrapText="1"/>
    </xf>
    <xf numFmtId="0" fontId="0" fillId="0" borderId="0" xfId="0"/>
    <xf numFmtId="0" fontId="1" fillId="0" borderId="0" xfId="0" applyFont="1" applyAlignment="1">
      <alignment horizontal="center" wrapText="1"/>
    </xf>
    <xf numFmtId="0" fontId="1" fillId="0" borderId="1" xfId="0" applyFont="1" applyBorder="1" applyAlignment="1">
      <alignment horizontal="center" wrapText="1"/>
    </xf>
    <xf numFmtId="0" fontId="1" fillId="0" borderId="1" xfId="0" applyFont="1" applyBorder="1" applyAlignment="1">
      <alignment horizontal="left" vertical="center" wrapText="1"/>
    </xf>
    <xf numFmtId="0" fontId="0" fillId="0" borderId="1" xfId="0" applyBorder="1" applyAlignment="1">
      <alignment horizontal="left" vertical="center"/>
    </xf>
    <xf numFmtId="0" fontId="1" fillId="0" borderId="81" xfId="0" applyFont="1" applyBorder="1"/>
    <xf numFmtId="0" fontId="1" fillId="0" borderId="10" xfId="0" applyFont="1" applyBorder="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vertical="center" wrapText="1"/>
    </xf>
    <xf numFmtId="0" fontId="4" fillId="0" borderId="0" xfId="0" applyFont="1" applyAlignment="1">
      <alignment horizontal="left" vertical="top" wrapText="1"/>
    </xf>
    <xf numFmtId="0" fontId="4" fillId="0" borderId="0" xfId="0" applyFont="1" applyAlignment="1">
      <alignment horizontal="left" vertical="top"/>
    </xf>
    <xf numFmtId="0" fontId="0" fillId="2" borderId="2" xfId="0" applyFill="1" applyBorder="1" applyAlignment="1">
      <alignment horizontal="left" vertical="top" wrapText="1"/>
    </xf>
    <xf numFmtId="0" fontId="0" fillId="2" borderId="10"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0" xfId="0" applyFill="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1" xfId="0" applyFill="1" applyBorder="1" applyAlignment="1">
      <alignment horizontal="left" vertical="top" wrapText="1"/>
    </xf>
    <xf numFmtId="0" fontId="0" fillId="2" borderId="7" xfId="0" applyFill="1" applyBorder="1" applyAlignment="1">
      <alignment horizontal="left" vertical="top" wrapText="1"/>
    </xf>
    <xf numFmtId="0" fontId="0" fillId="0" borderId="0" xfId="0" applyAlignment="1">
      <alignment vertical="top" wrapText="1"/>
    </xf>
    <xf numFmtId="0" fontId="0" fillId="0" borderId="68" xfId="0" applyBorder="1"/>
    <xf numFmtId="0" fontId="0" fillId="0" borderId="9" xfId="0" applyBorder="1"/>
    <xf numFmtId="49" fontId="1" fillId="23" borderId="52" xfId="0" applyNumberFormat="1" applyFont="1" applyFill="1" applyBorder="1" applyAlignment="1">
      <alignment horizontal="center" wrapText="1"/>
    </xf>
    <xf numFmtId="0" fontId="0" fillId="0" borderId="53" xfId="0" applyBorder="1" applyAlignment="1">
      <alignment horizontal="center" wrapText="1"/>
    </xf>
    <xf numFmtId="0" fontId="1" fillId="23" borderId="6" xfId="0" applyFont="1" applyFill="1" applyBorder="1" applyAlignment="1">
      <alignment horizontal="center" vertical="center" wrapText="1"/>
    </xf>
    <xf numFmtId="0" fontId="0" fillId="0" borderId="7" xfId="0" applyBorder="1" applyAlignment="1">
      <alignment horizontal="center" wrapText="1"/>
    </xf>
    <xf numFmtId="0" fontId="1" fillId="0" borderId="55" xfId="0" applyFont="1" applyBorder="1" applyAlignment="1">
      <alignment horizontal="center" vertical="center" wrapText="1"/>
    </xf>
    <xf numFmtId="0" fontId="0" fillId="0" borderId="55" xfId="0" applyBorder="1" applyAlignment="1">
      <alignment horizontal="center" vertical="center" wrapText="1"/>
    </xf>
    <xf numFmtId="0" fontId="1" fillId="23" borderId="52" xfId="0" applyFont="1" applyFill="1" applyBorder="1" applyAlignment="1">
      <alignment horizontal="center" vertical="center" wrapText="1"/>
    </xf>
    <xf numFmtId="0" fontId="0" fillId="0" borderId="53" xfId="0" applyBorder="1" applyAlignment="1">
      <alignment horizontal="center" vertical="center" wrapText="1"/>
    </xf>
    <xf numFmtId="164" fontId="1" fillId="23" borderId="54" xfId="0" applyNumberFormat="1" applyFont="1" applyFill="1" applyBorder="1"/>
    <xf numFmtId="0" fontId="0" fillId="0" borderId="54" xfId="0" applyBorder="1" applyAlignment="1">
      <alignment horizontal="center" vertical="center" wrapText="1"/>
    </xf>
    <xf numFmtId="3" fontId="18" fillId="16" borderId="52" xfId="0" applyNumberFormat="1" applyFont="1" applyFill="1" applyBorder="1" applyAlignment="1">
      <alignment horizontal="center"/>
    </xf>
    <xf numFmtId="0" fontId="0" fillId="0" borderId="54" xfId="0" applyBorder="1" applyAlignment="1">
      <alignment horizontal="center"/>
    </xf>
    <xf numFmtId="0" fontId="0" fillId="0" borderId="53" xfId="0" applyBorder="1" applyAlignment="1">
      <alignment horizontal="center"/>
    </xf>
    <xf numFmtId="3" fontId="13" fillId="3" borderId="52" xfId="0" applyNumberFormat="1" applyFont="1" applyFill="1" applyBorder="1" applyAlignment="1">
      <alignment horizontal="center"/>
    </xf>
    <xf numFmtId="0" fontId="4" fillId="3" borderId="54" xfId="0" applyFont="1" applyFill="1" applyBorder="1" applyAlignment="1">
      <alignment horizontal="center"/>
    </xf>
    <xf numFmtId="0" fontId="4" fillId="3" borderId="53" xfId="0" applyFont="1" applyFill="1" applyBorder="1" applyAlignment="1">
      <alignment horizontal="center"/>
    </xf>
    <xf numFmtId="49" fontId="44" fillId="3" borderId="2" xfId="0" applyNumberFormat="1" applyFont="1" applyFill="1" applyBorder="1" applyAlignment="1">
      <alignment horizontal="center" vertical="center"/>
    </xf>
    <xf numFmtId="0" fontId="1" fillId="3" borderId="3"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49" fontId="44" fillId="17" borderId="2" xfId="0" applyNumberFormat="1" applyFont="1" applyFill="1" applyBorder="1" applyAlignment="1">
      <alignment horizontal="center" vertical="center"/>
    </xf>
    <xf numFmtId="0" fontId="1" fillId="17" borderId="3" xfId="0" applyFont="1" applyFill="1" applyBorder="1" applyAlignment="1">
      <alignment horizontal="center" vertical="center"/>
    </xf>
    <xf numFmtId="0" fontId="1" fillId="17" borderId="6" xfId="0" applyFont="1" applyFill="1" applyBorder="1" applyAlignment="1">
      <alignment vertical="center"/>
    </xf>
    <xf numFmtId="0" fontId="1" fillId="17" borderId="7" xfId="0" applyFont="1" applyFill="1" applyBorder="1" applyAlignment="1">
      <alignment vertical="center"/>
    </xf>
    <xf numFmtId="49" fontId="44" fillId="16" borderId="2" xfId="0" applyNumberFormat="1" applyFont="1" applyFill="1" applyBorder="1" applyAlignment="1">
      <alignment horizontal="center" vertical="center"/>
    </xf>
    <xf numFmtId="0" fontId="1" fillId="0" borderId="3"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49" fontId="44" fillId="2" borderId="2" xfId="0" applyNumberFormat="1" applyFont="1" applyFill="1" applyBorder="1" applyAlignment="1">
      <alignment horizontal="left"/>
    </xf>
    <xf numFmtId="0" fontId="1" fillId="2" borderId="3" xfId="0" applyFont="1" applyFill="1" applyBorder="1" applyAlignment="1">
      <alignment horizontal="left"/>
    </xf>
    <xf numFmtId="0" fontId="1" fillId="2" borderId="6" xfId="0" applyFont="1" applyFill="1" applyBorder="1" applyAlignment="1">
      <alignment horizontal="left"/>
    </xf>
    <xf numFmtId="0" fontId="1" fillId="2" borderId="7" xfId="0" applyFont="1" applyFill="1" applyBorder="1" applyAlignment="1">
      <alignment horizontal="left"/>
    </xf>
    <xf numFmtId="0" fontId="46" fillId="20" borderId="36" xfId="0" applyFont="1" applyFill="1" applyBorder="1" applyAlignment="1" applyProtection="1">
      <alignment horizontal="center" vertical="center" wrapText="1"/>
      <protection locked="0"/>
    </xf>
    <xf numFmtId="0" fontId="49" fillId="0" borderId="37" xfId="0" applyFont="1" applyBorder="1" applyAlignment="1" applyProtection="1">
      <alignment vertical="center" wrapText="1"/>
      <protection locked="0"/>
    </xf>
    <xf numFmtId="0" fontId="49" fillId="0" borderId="38" xfId="0" applyFont="1" applyBorder="1" applyAlignment="1" applyProtection="1">
      <alignment vertical="center" wrapText="1"/>
      <protection locked="0"/>
    </xf>
    <xf numFmtId="0" fontId="46" fillId="20" borderId="42" xfId="0" applyFont="1" applyFill="1" applyBorder="1" applyAlignment="1" applyProtection="1">
      <alignment horizontal="center" vertical="center" wrapText="1"/>
      <protection locked="0"/>
    </xf>
    <xf numFmtId="0" fontId="49" fillId="0" borderId="0" xfId="0" applyFont="1" applyAlignment="1" applyProtection="1">
      <alignment vertical="center" wrapText="1"/>
      <protection locked="0"/>
    </xf>
    <xf numFmtId="0" fontId="49" fillId="0" borderId="43" xfId="0" applyFont="1" applyBorder="1" applyAlignment="1" applyProtection="1">
      <alignment vertical="center" wrapText="1"/>
      <protection locked="0"/>
    </xf>
    <xf numFmtId="0" fontId="49" fillId="0" borderId="39" xfId="0" applyFont="1" applyBorder="1" applyAlignment="1" applyProtection="1">
      <alignment vertical="center" wrapText="1"/>
      <protection locked="0"/>
    </xf>
    <xf numFmtId="0" fontId="49" fillId="0" borderId="40" xfId="0" applyFont="1" applyBorder="1" applyAlignment="1" applyProtection="1">
      <alignment vertical="center" wrapText="1"/>
      <protection locked="0"/>
    </xf>
    <xf numFmtId="0" fontId="49" fillId="0" borderId="41" xfId="0" applyFont="1" applyBorder="1" applyAlignment="1" applyProtection="1">
      <alignment vertical="center" wrapText="1"/>
      <protection locked="0"/>
    </xf>
    <xf numFmtId="0" fontId="46" fillId="18" borderId="36" xfId="0" applyFont="1" applyFill="1" applyBorder="1" applyAlignment="1" applyProtection="1">
      <alignment horizontal="center" vertical="center"/>
      <protection locked="0"/>
    </xf>
    <xf numFmtId="0" fontId="0" fillId="0" borderId="37" xfId="0" applyBorder="1"/>
    <xf numFmtId="0" fontId="0" fillId="0" borderId="38" xfId="0" applyBorder="1"/>
    <xf numFmtId="0" fontId="0" fillId="0" borderId="42" xfId="0" applyBorder="1"/>
    <xf numFmtId="0" fontId="0" fillId="0" borderId="43" xfId="0" applyBorder="1"/>
    <xf numFmtId="0" fontId="0" fillId="0" borderId="39" xfId="0" applyBorder="1"/>
    <xf numFmtId="0" fontId="0" fillId="0" borderId="40" xfId="0" applyBorder="1"/>
    <xf numFmtId="0" fontId="0" fillId="0" borderId="41" xfId="0" applyBorder="1"/>
    <xf numFmtId="0" fontId="45" fillId="0" borderId="4" xfId="5" applyFont="1" applyBorder="1" applyAlignment="1">
      <alignment horizontal="center" wrapText="1"/>
    </xf>
    <xf numFmtId="0" fontId="46" fillId="0" borderId="0" xfId="0" applyFont="1" applyAlignment="1">
      <alignment horizontal="center"/>
    </xf>
    <xf numFmtId="0" fontId="1" fillId="0" borderId="1" xfId="0" applyFont="1" applyBorder="1" applyAlignment="1">
      <alignment horizontal="right" vertical="center" wrapText="1"/>
    </xf>
    <xf numFmtId="8" fontId="0" fillId="3" borderId="0" xfId="0" applyNumberFormat="1" applyFill="1" applyAlignment="1">
      <alignment horizontal="right"/>
    </xf>
    <xf numFmtId="0" fontId="0" fillId="3" borderId="0" xfId="0" applyFill="1"/>
    <xf numFmtId="0" fontId="18" fillId="0" borderId="1" xfId="3" applyFont="1" applyBorder="1" applyAlignment="1" applyProtection="1">
      <alignment horizontal="right" vertical="center" indent="1"/>
    </xf>
    <xf numFmtId="0" fontId="9" fillId="0" borderId="1" xfId="0" applyFont="1" applyBorder="1" applyAlignment="1">
      <alignment horizontal="right" vertical="center" indent="1"/>
    </xf>
    <xf numFmtId="8" fontId="0" fillId="16" borderId="0" xfId="0" applyNumberFormat="1" applyFill="1" applyAlignment="1">
      <alignment horizontal="right"/>
    </xf>
    <xf numFmtId="0" fontId="0" fillId="16" borderId="0" xfId="0" applyFill="1"/>
    <xf numFmtId="8" fontId="0" fillId="17" borderId="0" xfId="0" applyNumberFormat="1" applyFill="1" applyAlignment="1">
      <alignment horizontal="right"/>
    </xf>
    <xf numFmtId="0" fontId="0" fillId="17" borderId="0" xfId="0" applyFill="1"/>
    <xf numFmtId="8" fontId="1" fillId="9" borderId="1" xfId="0" applyNumberFormat="1" applyFont="1" applyFill="1" applyBorder="1" applyAlignment="1">
      <alignment horizontal="right"/>
    </xf>
    <xf numFmtId="0" fontId="1" fillId="0" borderId="1" xfId="0" applyFont="1" applyBorder="1"/>
    <xf numFmtId="171" fontId="0" fillId="23" borderId="54" xfId="0" applyNumberFormat="1" applyFill="1" applyBorder="1" applyAlignment="1">
      <alignment horizontal="right" vertical="center"/>
    </xf>
    <xf numFmtId="171" fontId="0" fillId="23" borderId="53" xfId="0" applyNumberFormat="1" applyFill="1" applyBorder="1" applyAlignment="1">
      <alignment horizontal="right" vertical="center"/>
    </xf>
    <xf numFmtId="0" fontId="46" fillId="0" borderId="19" xfId="3" applyFont="1" applyAlignment="1">
      <alignment horizontal="left" vertical="center"/>
    </xf>
    <xf numFmtId="0" fontId="46" fillId="0" borderId="0" xfId="0" applyFont="1" applyAlignment="1">
      <alignment vertical="center"/>
    </xf>
    <xf numFmtId="0" fontId="47" fillId="0" borderId="10" xfId="0" applyFont="1" applyBorder="1" applyAlignment="1">
      <alignment horizontal="center"/>
    </xf>
    <xf numFmtId="0" fontId="18" fillId="0" borderId="0" xfId="3" applyFont="1" applyBorder="1" applyAlignment="1" applyProtection="1">
      <alignment horizontal="right" vertical="center" indent="1"/>
    </xf>
    <xf numFmtId="0" fontId="9" fillId="0" borderId="0" xfId="0" applyFont="1" applyAlignment="1">
      <alignment horizontal="right" vertical="center" indent="1"/>
    </xf>
    <xf numFmtId="0" fontId="1" fillId="3" borderId="0" xfId="0" applyFont="1" applyFill="1" applyAlignment="1">
      <alignment horizontal="center" vertical="center" wrapText="1"/>
    </xf>
    <xf numFmtId="0" fontId="0" fillId="3" borderId="0" xfId="0" applyFill="1" applyAlignment="1">
      <alignment horizontal="center" vertical="center" wrapText="1"/>
    </xf>
    <xf numFmtId="0" fontId="1" fillId="16" borderId="0" xfId="0" applyFont="1" applyFill="1" applyAlignment="1">
      <alignment horizontal="right" vertical="center" wrapText="1"/>
    </xf>
    <xf numFmtId="0" fontId="0" fillId="16" borderId="0" xfId="0" applyFill="1" applyAlignment="1">
      <alignment horizontal="right" vertical="center" wrapText="1"/>
    </xf>
    <xf numFmtId="0" fontId="1" fillId="17" borderId="0" xfId="0" applyFont="1" applyFill="1" applyAlignment="1">
      <alignment horizontal="right" vertical="center" wrapText="1"/>
    </xf>
    <xf numFmtId="0" fontId="0" fillId="17" borderId="0" xfId="0" applyFill="1" applyAlignment="1">
      <alignment horizontal="right" vertical="center" wrapText="1"/>
    </xf>
    <xf numFmtId="0" fontId="0" fillId="3" borderId="0" xfId="0" applyFill="1" applyAlignment="1">
      <alignment horizontal="right"/>
    </xf>
    <xf numFmtId="0" fontId="0" fillId="16" borderId="0" xfId="0" applyFill="1" applyAlignment="1">
      <alignment horizontal="right"/>
    </xf>
    <xf numFmtId="8" fontId="0" fillId="9" borderId="1" xfId="0" applyNumberFormat="1" applyFill="1" applyBorder="1" applyAlignment="1">
      <alignment horizontal="right"/>
    </xf>
    <xf numFmtId="0" fontId="0" fillId="0" borderId="1" xfId="0" applyBorder="1"/>
    <xf numFmtId="1" fontId="26" fillId="0" borderId="0" xfId="0" applyNumberFormat="1" applyFont="1" applyAlignment="1">
      <alignment horizontal="left" vertical="center"/>
    </xf>
    <xf numFmtId="0" fontId="19" fillId="11" borderId="22" xfId="0" applyFont="1" applyFill="1" applyBorder="1" applyAlignment="1">
      <alignment horizontal="left" vertical="center"/>
    </xf>
    <xf numFmtId="0" fontId="20" fillId="12" borderId="23" xfId="0" applyFont="1" applyFill="1" applyBorder="1"/>
    <xf numFmtId="0" fontId="20" fillId="12" borderId="25" xfId="0" applyFont="1" applyFill="1" applyBorder="1"/>
    <xf numFmtId="0" fontId="20" fillId="12" borderId="0" xfId="0" applyFont="1" applyFill="1"/>
    <xf numFmtId="1" fontId="26" fillId="0" borderId="23" xfId="0" applyNumberFormat="1" applyFont="1" applyBorder="1" applyAlignment="1">
      <alignment horizontal="left" vertical="center"/>
    </xf>
    <xf numFmtId="0" fontId="27" fillId="0" borderId="23" xfId="0" applyFont="1" applyBorder="1"/>
    <xf numFmtId="1" fontId="26" fillId="0" borderId="23" xfId="0" applyNumberFormat="1" applyFont="1" applyBorder="1" applyAlignment="1">
      <alignment horizontal="center" vertical="center"/>
    </xf>
    <xf numFmtId="0" fontId="23" fillId="0" borderId="23" xfId="0" applyFont="1" applyBorder="1" applyAlignment="1">
      <alignment horizontal="center" vertical="top"/>
    </xf>
    <xf numFmtId="169" fontId="26" fillId="0" borderId="0" xfId="0" applyNumberFormat="1" applyFont="1" applyAlignment="1">
      <alignment horizontal="left" vertical="center"/>
    </xf>
    <xf numFmtId="0" fontId="26" fillId="0" borderId="28" xfId="0" applyFont="1" applyBorder="1" applyAlignment="1">
      <alignment horizontal="left"/>
    </xf>
    <xf numFmtId="0" fontId="27" fillId="0" borderId="29" xfId="0" applyFont="1" applyBorder="1"/>
    <xf numFmtId="0" fontId="29" fillId="11" borderId="28" xfId="0" applyFont="1" applyFill="1" applyBorder="1" applyAlignment="1">
      <alignment vertical="center"/>
    </xf>
    <xf numFmtId="0" fontId="20" fillId="12" borderId="29" xfId="0" applyFont="1" applyFill="1" applyBorder="1"/>
    <xf numFmtId="0" fontId="33" fillId="0" borderId="28" xfId="0" applyFont="1" applyBorder="1" applyAlignment="1">
      <alignment horizontal="left"/>
    </xf>
    <xf numFmtId="0" fontId="25" fillId="15" borderId="28" xfId="0" applyFont="1" applyFill="1" applyBorder="1" applyAlignment="1">
      <alignment horizontal="left"/>
    </xf>
    <xf numFmtId="0" fontId="25" fillId="0" borderId="32" xfId="0" applyFont="1" applyBorder="1" applyAlignment="1">
      <alignment horizontal="right"/>
    </xf>
    <xf numFmtId="0" fontId="27" fillId="0" borderId="33" xfId="0" applyFont="1" applyBorder="1"/>
    <xf numFmtId="166" fontId="1" fillId="0" borderId="0" xfId="0" applyNumberFormat="1" applyFont="1" applyAlignment="1">
      <alignment horizontal="right"/>
    </xf>
    <xf numFmtId="0" fontId="1" fillId="0" borderId="0" xfId="0" applyFont="1" applyAlignment="1">
      <alignment horizontal="right"/>
    </xf>
  </cellXfs>
  <cellStyles count="15">
    <cellStyle name="Bad" xfId="12" builtinId="27"/>
    <cellStyle name="Comma" xfId="13" builtinId="3"/>
    <cellStyle name="Completed" xfId="11" xr:uid="{89AFEC65-4662-41A0-B62C-CC4BC4ADAF5A}"/>
    <cellStyle name="Date" xfId="6" xr:uid="{403F4796-BFA2-4402-91FB-D02A1A4804AA}"/>
    <cellStyle name="Good" xfId="7" builtinId="26" hidden="1"/>
    <cellStyle name="Heading 2" xfId="2" builtinId="17"/>
    <cellStyle name="Heading 3" xfId="3" builtinId="18"/>
    <cellStyle name="Heading 4" xfId="4" builtinId="19"/>
    <cellStyle name="Hyperlink" xfId="1" builtinId="8"/>
    <cellStyle name="Neutral" xfId="8" builtinId="28" hidden="1"/>
    <cellStyle name="Normal" xfId="0" builtinId="0"/>
    <cellStyle name="Normal 2" xfId="14" xr:uid="{A11B5F34-74A2-4AB2-9906-0101C66C71F5}"/>
    <cellStyle name="Scheduled" xfId="9" xr:uid="{B85E50F2-E926-4A98-A53D-F10170DE9815}"/>
    <cellStyle name="Tenative" xfId="10" xr:uid="{4875B139-F858-4DC9-A35E-026F0C0461F0}"/>
    <cellStyle name="zHiddenText" xfId="5" xr:uid="{2FC736B1-A600-482A-A9A8-E3C76645FCAC}"/>
  </cellStyles>
  <dxfs count="56">
    <dxf>
      <numFmt numFmtId="2" formatCode="0.00"/>
      <protection locked="1" hidden="0"/>
    </dxf>
    <dxf>
      <numFmt numFmtId="171" formatCode="mm/dd/yy;@"/>
      <protection locked="1" hidden="0"/>
    </dxf>
    <dxf>
      <numFmt numFmtId="2" formatCode="0.00"/>
      <protection locked="1" hidden="0"/>
    </dxf>
    <dxf>
      <numFmt numFmtId="1" formatCode="0"/>
      <protection locked="1" hidden="0"/>
    </dxf>
    <dxf>
      <fill>
        <patternFill>
          <bgColor theme="8" tint="-0.499984740745262"/>
        </patternFill>
      </fill>
      <border>
        <left style="thin">
          <color theme="8" tint="-0.499984740745262"/>
        </left>
        <right style="thin">
          <color theme="8" tint="-0.499984740745262"/>
        </right>
        <top style="thin">
          <color theme="0"/>
        </top>
        <bottom style="thin">
          <color theme="0"/>
        </bottom>
      </border>
    </dxf>
    <dxf>
      <fill>
        <patternFill>
          <bgColor theme="0" tint="-4.9989318521683403E-2"/>
        </patternFill>
      </fill>
      <border>
        <left/>
        <right/>
        <top/>
        <bottom/>
        <vertical/>
        <horizontal/>
      </border>
    </dxf>
    <dxf>
      <fill>
        <patternFill>
          <bgColor theme="8" tint="-0.499984740745262"/>
        </patternFill>
      </fill>
      <border>
        <left style="thin">
          <color theme="8" tint="-0.499984740745262"/>
        </left>
        <right style="thin">
          <color theme="8" tint="-0.499984740745262"/>
        </right>
        <top style="thin">
          <color theme="0"/>
        </top>
        <bottom style="thin">
          <color theme="0"/>
        </bottom>
      </border>
    </dxf>
    <dxf>
      <fill>
        <patternFill>
          <bgColor theme="8" tint="-0.499984740745262"/>
        </patternFill>
      </fill>
      <border>
        <left style="thin">
          <color theme="8" tint="-0.499984740745262"/>
        </left>
        <right style="thin">
          <color theme="8" tint="-0.499984740745262"/>
        </right>
        <top style="thin">
          <color theme="0"/>
        </top>
        <bottom style="thin">
          <color theme="0"/>
        </bottom>
      </border>
    </dxf>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ill>
        <patternFill>
          <bgColor theme="8" tint="-0.499984740745262"/>
        </patternFill>
      </fill>
      <border>
        <left style="thin">
          <color theme="8" tint="-0.499984740745262"/>
        </left>
        <right style="thin">
          <color theme="8" tint="-0.499984740745262"/>
        </right>
        <top style="thin">
          <color theme="0"/>
        </top>
        <bottom style="thin">
          <color theme="0"/>
        </bottom>
      </border>
    </dxf>
    <dxf>
      <fill>
        <patternFill>
          <bgColor theme="0" tint="-4.9989318521683403E-2"/>
        </patternFill>
      </fill>
      <border>
        <left/>
        <right/>
        <top/>
        <bottom/>
        <vertical/>
        <horizontal/>
      </border>
    </dxf>
    <dxf>
      <font>
        <color theme="8" tint="-0.499984740745262"/>
      </font>
      <fill>
        <patternFill>
          <bgColor theme="0" tint="-4.9989318521683403E-2"/>
        </patternFill>
      </fill>
      <border>
        <right/>
      </border>
    </dxf>
    <dxf>
      <fill>
        <patternFill>
          <bgColor theme="0" tint="-4.9989318521683403E-2"/>
        </patternFill>
      </fill>
      <border>
        <left/>
        <right/>
        <top/>
        <bottom/>
        <vertical/>
        <horizontal/>
      </border>
    </dxf>
    <dxf>
      <numFmt numFmtId="0" formatCode="General"/>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alignment horizontal="center" vertical="top" textRotation="0" wrapText="1" indent="0" justifyLastLine="0" shrinkToFit="0" readingOrder="0"/>
      <protection locked="1" hidden="0"/>
    </dxf>
    <dxf>
      <fill>
        <patternFill patternType="solid">
          <fgColor indexed="64"/>
          <bgColor rgb="FFFFFF00"/>
        </patternFill>
      </fill>
      <protection locked="0" hidden="0"/>
    </dxf>
    <dxf>
      <fill>
        <patternFill patternType="solid">
          <fgColor indexed="64"/>
          <bgColor rgb="FFFFFF00"/>
        </patternFill>
      </fill>
      <protection locked="0" hidden="0"/>
    </dxf>
    <dxf>
      <numFmt numFmtId="1" formatCode="0"/>
      <fill>
        <patternFill patternType="solid">
          <fgColor indexed="64"/>
          <bgColor rgb="FFFFFF00"/>
        </patternFill>
      </fill>
      <protection locked="0" hidden="0"/>
    </dxf>
    <dxf>
      <numFmt numFmtId="30" formatCode="@"/>
      <fill>
        <patternFill patternType="solid">
          <fgColor indexed="64"/>
          <bgColor rgb="FFFFFF00"/>
        </patternFill>
      </fill>
      <protection locked="0" hidden="0"/>
    </dxf>
    <dxf>
      <numFmt numFmtId="1" formatCode="0"/>
      <fill>
        <patternFill patternType="solid">
          <fgColor indexed="64"/>
          <bgColor rgb="FFFFFF00"/>
        </patternFill>
      </fill>
      <protection locked="0" hidden="0"/>
    </dxf>
    <dxf>
      <numFmt numFmtId="170" formatCode="m/d;@"/>
      <fill>
        <patternFill patternType="solid">
          <fgColor indexed="64"/>
          <bgColor rgb="FFFFFF00"/>
        </patternFill>
      </fill>
      <alignment horizontal="center" vertical="center" textRotation="0" wrapText="0" indent="0" justifyLastLine="0" shrinkToFit="0" readingOrder="0"/>
      <protection locked="0" hidden="0"/>
    </dxf>
    <dxf>
      <numFmt numFmtId="2" formatCode="0.00"/>
      <protection locked="0" hidden="0"/>
    </dxf>
    <dxf>
      <numFmt numFmtId="2" formatCode="0.00"/>
      <protection locked="0" hidden="0"/>
    </dxf>
    <dxf>
      <protection locked="0" hidden="0"/>
    </dxf>
    <dxf>
      <numFmt numFmtId="0" formatCode="General"/>
      <alignment horizontal="general" vertical="bottom" textRotation="0" wrapText="0" indent="0" justifyLastLine="0" shrinkToFit="0" readingOrder="0"/>
      <protection locked="0" hidden="0"/>
    </dxf>
    <dxf>
      <numFmt numFmtId="0" formatCode="General"/>
      <protection locked="0" hidden="0"/>
    </dxf>
    <dxf>
      <numFmt numFmtId="0" formatCode="General"/>
      <protection locked="0" hidden="0"/>
    </dxf>
    <dxf>
      <numFmt numFmtId="1" formatCode="0"/>
      <protection locked="0" hidden="0"/>
    </dxf>
    <dxf>
      <numFmt numFmtId="0" formatCode="General"/>
      <protection locked="0" hidden="0"/>
    </dxf>
    <dxf>
      <protection locked="0" hidden="0"/>
    </dxf>
    <dxf>
      <font>
        <b/>
      </font>
      <alignment horizontal="center" vertical="bottom" textRotation="0" wrapText="1" indent="0" justifyLastLine="0" shrinkToFit="0" readingOrder="0"/>
      <protection locked="0" hidden="0"/>
    </dxf>
    <dxf>
      <font>
        <b val="0"/>
        <i val="0"/>
        <strike val="0"/>
        <condense val="0"/>
        <extend val="0"/>
        <outline val="0"/>
        <shadow val="0"/>
        <u val="none"/>
        <vertAlign val="baseline"/>
        <sz val="12"/>
        <color auto="1"/>
        <name val="Arial"/>
        <scheme val="none"/>
      </font>
      <numFmt numFmtId="4" formatCode="#,##0.00"/>
      <fill>
        <patternFill patternType="solid">
          <fgColor indexed="64"/>
          <bgColor rgb="FFFFFFFF"/>
        </patternFill>
      </fill>
      <alignment horizontal="general" vertical="top" textRotation="0" wrapText="0" indent="0" justifyLastLine="0" shrinkToFit="0" readingOrder="0"/>
      <border diagonalUp="0" diagonalDown="0">
        <left/>
        <right/>
        <top/>
        <bottom style="thin">
          <color auto="1"/>
        </bottom>
      </border>
    </dxf>
    <dxf>
      <font>
        <b val="0"/>
        <i val="0"/>
        <strike val="0"/>
        <condense val="0"/>
        <extend val="0"/>
        <outline val="0"/>
        <shadow val="0"/>
        <u val="none"/>
        <vertAlign val="baseline"/>
        <sz val="12"/>
        <color auto="1"/>
        <name val="Arial"/>
        <scheme val="none"/>
      </font>
      <numFmt numFmtId="1" formatCode="0"/>
      <fill>
        <patternFill patternType="solid">
          <fgColor indexed="64"/>
          <bgColor rgb="FFFFFFFF"/>
        </patternFill>
      </fill>
      <alignment horizontal="general" vertical="top" textRotation="0" wrapText="0" indent="0" justifyLastLine="0" shrinkToFit="0" readingOrder="0"/>
      <border diagonalUp="0" diagonalDown="0">
        <left/>
        <right/>
        <top/>
        <bottom style="thin">
          <color auto="1"/>
        </bottom>
      </border>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border outline="0">
        <bottom style="thick">
          <color indexed="55"/>
        </bottom>
      </border>
    </dxf>
    <dxf>
      <font>
        <b val="0"/>
        <i val="0"/>
        <strike val="0"/>
        <condense val="0"/>
        <extend val="0"/>
        <outline val="0"/>
        <shadow val="0"/>
        <u val="none"/>
        <vertAlign val="baseline"/>
        <sz val="12"/>
        <color auto="1"/>
        <name val="Arial"/>
        <scheme val="none"/>
      </font>
      <alignment horizontal="center" vertical="top" textRotation="0" wrapText="0" indent="0" justifyLastLine="0" shrinkToFit="0" readingOrder="0"/>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8" tint="-0.499984740745262"/>
      </font>
      <border diagonalUp="0" diagonalDown="0">
        <left/>
        <right style="thin">
          <color theme="6" tint="0.39994506668294322"/>
        </right>
        <top/>
        <bottom/>
        <vertical/>
        <horizontal/>
      </border>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8" tint="-0.499984740745262"/>
      </font>
      <border diagonalUp="0" diagonalDown="0">
        <left/>
        <right style="thin">
          <color theme="6" tint="0.39994506668294322"/>
        </right>
        <top/>
        <bottom/>
        <vertical/>
        <horizontal/>
      </border>
    </dxf>
  </dxfs>
  <tableStyles count="2" defaultTableStyle="TableStyleMedium2" defaultPivotStyle="PivotStyleLight16">
    <tableStyle name="Gantt Table Style" pivot="0" count="3" xr9:uid="{FAB708AF-E22D-403D-BF2C-158F5DFD67AA}">
      <tableStyleElement type="wholeTable" dxfId="55"/>
      <tableStyleElement type="headerRow" dxfId="54"/>
      <tableStyleElement type="firstRowStripe" dxfId="53"/>
    </tableStyle>
    <tableStyle name="Gantt Table Style 2" pivot="0" count="3" xr9:uid="{188EAD57-0217-4B5E-8A07-C858B28862F4}">
      <tableStyleElement type="wholeTable" dxfId="52"/>
      <tableStyleElement type="headerRow" dxfId="51"/>
      <tableStyleElement type="firstRowStripe" dxfId="5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4.xml"/><Relationship Id="rId21" Type="http://schemas.openxmlformats.org/officeDocument/2006/relationships/worksheet" Target="worksheets/sheet21.xml"/><Relationship Id="rId34" Type="http://schemas.openxmlformats.org/officeDocument/2006/relationships/sheetMetadata" Target="metadata.xml"/><Relationship Id="rId42" Type="http://schemas.openxmlformats.org/officeDocument/2006/relationships/customXml" Target="../customXml/item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41"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ustomXml" Target="../customXml/item3.xml"/></Relationships>
</file>

<file path=xl/ctrlProps/ctrlProp1.xml><?xml version="1.0" encoding="utf-8"?>
<formControlPr xmlns="http://schemas.microsoft.com/office/spreadsheetml/2009/9/main" objectType="Scroll" dx="39" fmlaLink="$AB$26" horiz="1" max="365" page="0" val="0"/>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customXml" Target="../ink/ink4.xml"/><Relationship Id="rId5" Type="http://schemas.openxmlformats.org/officeDocument/2006/relationships/customXml" Target="../ink/ink3.xml"/><Relationship Id="rId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359571</xdr:colOff>
      <xdr:row>45</xdr:row>
      <xdr:rowOff>155606</xdr:rowOff>
    </xdr:from>
    <xdr:to>
      <xdr:col>3</xdr:col>
      <xdr:colOff>406822</xdr:colOff>
      <xdr:row>46</xdr:row>
      <xdr:rowOff>8127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7" name="Ink 6">
              <a:extLst>
                <a:ext uri="{FF2B5EF4-FFF2-40B4-BE49-F238E27FC236}">
                  <a16:creationId xmlns:a16="http://schemas.microsoft.com/office/drawing/2014/main" id="{00000000-0008-0000-0200-000007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2"/>
            <a:stretch>
              <a:fillRect/>
            </a:stretch>
          </xdr:blipFill>
          <xdr:spPr>
            <a:xfrm>
              <a:off x="4519800" y="8360237"/>
              <a:ext cx="64440" cy="60120"/>
            </a:xfrm>
            <a:prstGeom prst="rect">
              <a:avLst/>
            </a:prstGeom>
          </xdr:spPr>
        </xdr:pic>
      </mc:Fallback>
    </mc:AlternateContent>
    <xdr:clientData/>
  </xdr:twoCellAnchor>
  <xdr:oneCellAnchor>
    <xdr:from>
      <xdr:col>2</xdr:col>
      <xdr:colOff>359571</xdr:colOff>
      <xdr:row>47</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2" name="Ink 1">
              <a:extLst>
                <a:ext uri="{FF2B5EF4-FFF2-40B4-BE49-F238E27FC236}">
                  <a16:creationId xmlns:a16="http://schemas.microsoft.com/office/drawing/2014/main" id="{00000000-0008-0000-0200-000002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4"/>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47</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3" name="Ink 2">
              <a:extLst>
                <a:ext uri="{FF2B5EF4-FFF2-40B4-BE49-F238E27FC236}">
                  <a16:creationId xmlns:a16="http://schemas.microsoft.com/office/drawing/2014/main" id="{00000000-0008-0000-0200-000003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4"/>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48</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4" name="Ink 3">
              <a:extLst>
                <a:ext uri="{FF2B5EF4-FFF2-40B4-BE49-F238E27FC236}">
                  <a16:creationId xmlns:a16="http://schemas.microsoft.com/office/drawing/2014/main" id="{00000000-0008-0000-0200-000004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4"/>
            <a:stretch>
              <a:fillRect/>
            </a:stretch>
          </xdr:blipFill>
          <xdr:spPr>
            <a:xfrm>
              <a:off x="4519800" y="8360237"/>
              <a:ext cx="64440" cy="60120"/>
            </a:xfrm>
            <a:prstGeom prst="rect">
              <a:avLst/>
            </a:prstGeom>
          </xdr:spPr>
        </xdr:pic>
      </mc:Fallback>
    </mc:AlternateContent>
    <xdr:clientData/>
  </xdr:one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18</xdr:col>
          <xdr:colOff>38100</xdr:colOff>
          <xdr:row>23</xdr:row>
          <xdr:rowOff>142875</xdr:rowOff>
        </xdr:from>
        <xdr:to>
          <xdr:col>24</xdr:col>
          <xdr:colOff>142875</xdr:colOff>
          <xdr:row>25</xdr:row>
          <xdr:rowOff>38100</xdr:rowOff>
        </xdr:to>
        <xdr:sp macro="" textlink="">
          <xdr:nvSpPr>
            <xdr:cNvPr id="29697" name="Scroll Bar 1" descr="Scrollbar for scrolling through the Gantt Timeline." hidden="1">
              <a:extLst>
                <a:ext uri="{63B3BB69-23CF-44E3-9099-C40C66FF867C}">
                  <a14:compatExt spid="_x0000_s29697"/>
                </a:ext>
                <a:ext uri="{FF2B5EF4-FFF2-40B4-BE49-F238E27FC236}">
                  <a16:creationId xmlns:a16="http://schemas.microsoft.com/office/drawing/2014/main" id="{00000000-0008-0000-0700-000001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4</xdr:col>
      <xdr:colOff>381000</xdr:colOff>
      <xdr:row>2</xdr:row>
      <xdr:rowOff>85725</xdr:rowOff>
    </xdr:from>
    <xdr:to>
      <xdr:col>7</xdr:col>
      <xdr:colOff>285750</xdr:colOff>
      <xdr:row>4</xdr:row>
      <xdr:rowOff>104387</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43325" y="390525"/>
          <a:ext cx="1266825" cy="399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lifeisanadventure.sharepoint.com/sites/SellYourHome/Shared%20Documents/Property/13_Project%20Management%20%20-%203325%20Banks%20Rd.xlsx" TargetMode="External"/><Relationship Id="rId1" Type="http://schemas.openxmlformats.org/officeDocument/2006/relationships/externalLinkPath" Target="13_Project%20Management%20%20-%203325%20Banks%20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4mDJWAoUZEiObH1uIc-tPNklzEL-JwdPrMve0F7Efu7K7Z-rHQDJTLJE2cO-WifT" itemId="01ZGFUBDNWO5RG472LJRFJXGO6Y3E27XWB">
      <xxl21:absoluteUrl r:id="rId2"/>
    </xxl21:alternateUrls>
    <sheetNames>
      <sheetName val="Profit"/>
      <sheetName val="MOG"/>
      <sheetName val="Todo"/>
      <sheetName val="Contact"/>
      <sheetName val="Carrying"/>
      <sheetName val="Proposal"/>
      <sheetName val="ProposalUpdate"/>
      <sheetName val="Gnatt Chart"/>
      <sheetName val="Taxes"/>
      <sheetName val="Financing"/>
      <sheetName val="Seller Advance"/>
      <sheetName val="MISC 2"/>
      <sheetName val="Demo &amp; Trash Haul"/>
      <sheetName val="Appliances"/>
      <sheetName val="Plumbing Fixtures"/>
      <sheetName val="Windows &amp; Doors"/>
      <sheetName val="Cabinets"/>
      <sheetName val="Paint"/>
      <sheetName val="Flooring"/>
      <sheetName val="HVAC"/>
      <sheetName val="Electrical Fixtures"/>
      <sheetName val="Landscape"/>
      <sheetName val="Exterior"/>
      <sheetName val="13_Project Management  - 3325 B"/>
    </sheetNames>
    <sheetDataSet>
      <sheetData sheetId="0">
        <row r="4">
          <cell r="B4">
            <v>439000</v>
          </cell>
        </row>
      </sheetData>
      <sheetData sheetId="1"/>
      <sheetData sheetId="2">
        <row r="3">
          <cell r="C3" t="str">
            <v>Yes</v>
          </cell>
        </row>
        <row r="4">
          <cell r="C4" t="str">
            <v>Yes</v>
          </cell>
        </row>
        <row r="5">
          <cell r="C5" t="str">
            <v>Yes</v>
          </cell>
        </row>
        <row r="6">
          <cell r="C6" t="str">
            <v>Yes</v>
          </cell>
        </row>
        <row r="7">
          <cell r="C7" t="str">
            <v>yes</v>
          </cell>
        </row>
        <row r="8">
          <cell r="C8" t="str">
            <v>yes</v>
          </cell>
        </row>
        <row r="9">
          <cell r="C9" t="str">
            <v>na</v>
          </cell>
        </row>
        <row r="10">
          <cell r="C10" t="str">
            <v>na</v>
          </cell>
        </row>
        <row r="11">
          <cell r="C11"/>
        </row>
        <row r="12">
          <cell r="C12"/>
        </row>
        <row r="13">
          <cell r="C13" t="str">
            <v>na</v>
          </cell>
        </row>
        <row r="14">
          <cell r="C14" t="str">
            <v>na</v>
          </cell>
        </row>
        <row r="15">
          <cell r="C15" t="str">
            <v>na</v>
          </cell>
        </row>
        <row r="16">
          <cell r="C16" t="str">
            <v>yes</v>
          </cell>
        </row>
        <row r="17">
          <cell r="C17"/>
        </row>
        <row r="18">
          <cell r="C18" t="str">
            <v>yes</v>
          </cell>
        </row>
        <row r="19">
          <cell r="C19" t="str">
            <v>na</v>
          </cell>
        </row>
        <row r="20">
          <cell r="C20" t="str">
            <v>yes</v>
          </cell>
        </row>
        <row r="21">
          <cell r="C21" t="str">
            <v>na</v>
          </cell>
        </row>
        <row r="22">
          <cell r="C22" t="str">
            <v>yes</v>
          </cell>
        </row>
        <row r="23">
          <cell r="C23" t="str">
            <v>yes</v>
          </cell>
        </row>
        <row r="24">
          <cell r="C24" t="str">
            <v>yes</v>
          </cell>
        </row>
        <row r="25">
          <cell r="C25" t="str">
            <v>yes</v>
          </cell>
        </row>
        <row r="26">
          <cell r="C26" t="str">
            <v>na</v>
          </cell>
        </row>
        <row r="27">
          <cell r="C27"/>
        </row>
        <row r="28">
          <cell r="C28" t="str">
            <v>na</v>
          </cell>
        </row>
        <row r="29">
          <cell r="C29"/>
        </row>
        <row r="30">
          <cell r="C30"/>
        </row>
        <row r="31">
          <cell r="C31"/>
        </row>
        <row r="32">
          <cell r="C32"/>
        </row>
        <row r="33">
          <cell r="C33"/>
        </row>
        <row r="34">
          <cell r="C34"/>
        </row>
        <row r="38">
          <cell r="C38"/>
        </row>
        <row r="39">
          <cell r="C39"/>
        </row>
        <row r="40">
          <cell r="C40"/>
        </row>
        <row r="41">
          <cell r="C41"/>
        </row>
        <row r="44">
          <cell r="E44">
            <v>439000</v>
          </cell>
        </row>
        <row r="45">
          <cell r="E45">
            <v>147682.86124999999</v>
          </cell>
        </row>
        <row r="46">
          <cell r="E46">
            <v>31424.184000000001</v>
          </cell>
        </row>
        <row r="47">
          <cell r="E47">
            <v>200037.72999999998</v>
          </cell>
        </row>
        <row r="48">
          <cell r="E48">
            <v>713.57367303609351</v>
          </cell>
        </row>
        <row r="49">
          <cell r="E49">
            <v>0</v>
          </cell>
        </row>
        <row r="50">
          <cell r="E50">
            <v>179023.266</v>
          </cell>
        </row>
        <row r="51">
          <cell r="E51">
            <v>17902.3266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2-04-24T18:21:41.326"/>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6:12:49.801"/>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6:12:49.802"/>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6:12:49.803"/>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E7BA7171-083D-4CB4-8ABE-298E470EBB62}" autoFormatId="16" applyNumberFormats="0" applyBorderFormats="0" applyFontFormats="0" applyPatternFormats="0" applyAlignmentFormats="0" applyWidthHeightFormats="0">
  <queryTableRefresh nextId="21" unboundColumnsLeft="1" unboundColumnsRight="6">
    <queryTableFields count="14">
      <queryTableField id="8" dataBound="0" tableColumnId="8"/>
      <queryTableField id="15" name="Item" tableColumnId="1"/>
      <queryTableField id="2" name="Cost Code" tableColumnId="2"/>
      <queryTableField id="3" name="Title" tableColumnId="3"/>
      <queryTableField id="4" name="Description" tableColumnId="4"/>
      <queryTableField id="5" name="Qty" tableColumnId="5"/>
      <queryTableField id="6" name="Unit Price" tableColumnId="6"/>
      <queryTableField id="7" name="Price" tableColumnId="7"/>
      <queryTableField id="17" dataBound="0" tableColumnId="9"/>
      <queryTableField id="20" dataBound="0" tableColumnId="14"/>
      <queryTableField id="12" dataBound="0" tableColumnId="12"/>
      <queryTableField id="14" dataBound="0" tableColumnId="15"/>
      <queryTableField id="18" dataBound="0" tableColumnId="10"/>
      <queryTableField id="19" dataBound="0"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refreshOnLoad="1" growShrinkType="insertClear" adjustColumnWidth="0" connectionId="3" xr16:uid="{AF163B3A-4144-4DA6-B14A-D446DCD77367}" autoFormatId="16" applyNumberFormats="0" applyBorderFormats="0" applyFontFormats="0" applyPatternFormats="0" applyAlignmentFormats="0" applyWidthHeightFormats="0">
  <queryTableRefresh nextId="16">
    <queryTableFields count="15">
      <queryTableField id="1" name="Party" tableColumnId="106"/>
      <queryTableField id="2" name="Item" tableColumnId="107"/>
      <queryTableField id="3" name="Cost Code" tableColumnId="108"/>
      <queryTableField id="4" name="Title" tableColumnId="109"/>
      <queryTableField id="5" name="Description" tableColumnId="110"/>
      <queryTableField id="6" name="Qty" tableColumnId="111"/>
      <queryTableField id="7" name="Unit Price" tableColumnId="112"/>
      <queryTableField id="8" name="Price" tableColumnId="113"/>
      <queryTableField id="9" name="Done" tableColumnId="114"/>
      <queryTableField id="10" name="Group Order" tableColumnId="115"/>
      <queryTableField id="11" name="Start Date" tableColumnId="116"/>
      <queryTableField id="12" name="Days" tableColumnId="117"/>
      <queryTableField id="13" name="Paid" tableColumnId="118"/>
      <queryTableField id="14" name="Notes" tableColumnId="119"/>
      <queryTableField id="15" name="Due" tableColumnId="120"/>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A9C9B7-BAF7-4CAB-9067-DC10D354858C}" name="Proposal" displayName="Proposal" ref="A11:E27" totalsRowShown="0" headerRowDxfId="49" headerRowBorderDxfId="48">
  <autoFilter ref="A11:E27" xr:uid="{E8A9C9B7-BAF7-4CAB-9067-DC10D354858C}"/>
  <tableColumns count="5">
    <tableColumn id="1" xr3:uid="{9A4F1599-587C-4C12-AC23-D5B3879D1321}" name="Cost Code" dataDxfId="47"/>
    <tableColumn id="2" xr3:uid="{3ACCA719-70D2-4F0D-A8A3-69AE3272D3C1}" name="Title" dataDxfId="46"/>
    <tableColumn id="3" xr3:uid="{661FF8D2-2D43-4F8B-B73F-EC14A34B7050}" name="Description" dataDxfId="45"/>
    <tableColumn id="5" xr3:uid="{96319F4C-C120-4B14-BEB7-1D271C147258}" name="Qty" dataDxfId="44"/>
    <tableColumn id="6" xr3:uid="{CAFF8447-B9F2-4425-B2CD-C62CE1EB051F}" name="Unit Price" dataDxfId="43"/>
  </tableColumns>
  <tableStyleInfo name="TableStyleLight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A34AA4E-C13A-41A2-95E8-83E7E9409806}" name="FromProposal" displayName="FromProposal" ref="A4:N20" tableType="queryTable" totalsRowShown="0" headerRowDxfId="42" dataDxfId="41">
  <autoFilter ref="A4:N20" xr:uid="{4A34AA4E-C13A-41A2-95E8-83E7E9409806}"/>
  <sortState xmlns:xlrd2="http://schemas.microsoft.com/office/spreadsheetml/2017/richdata2" ref="A5:N20">
    <sortCondition ref="B5:B14"/>
  </sortState>
  <tableColumns count="14">
    <tableColumn id="8" xr3:uid="{96E49A5C-5367-4ACB-B14D-E01CC163A0F1}" uniqueName="8" name="Party" queryTableFieldId="8" dataDxfId="40">
      <calculatedColumnFormula>+IF(FromProposal[[#This Row],[Cost Code]]&lt;&gt;0,"Glasgow","")</calculatedColumnFormula>
    </tableColumn>
    <tableColumn id="1" xr3:uid="{6ADBCE42-4844-4052-8DB6-AB34AD671DD5}" uniqueName="1" name="Item" queryTableFieldId="15" dataDxfId="39"/>
    <tableColumn id="2" xr3:uid="{33F8A9BB-342C-4F7D-B125-F381BCB77C64}" uniqueName="2" name="Cost Code" queryTableFieldId="2" dataDxfId="38"/>
    <tableColumn id="3" xr3:uid="{EAE8FFCB-2C04-49B6-85CD-78C67097E902}" uniqueName="3" name="Title" queryTableFieldId="3" dataDxfId="37"/>
    <tableColumn id="4" xr3:uid="{439B82DD-03F8-428D-9245-8543A46F29DC}" uniqueName="4" name="Description" queryTableFieldId="4" dataDxfId="36"/>
    <tableColumn id="5" xr3:uid="{1E080297-D531-4180-92D4-1B19AACF49C1}" uniqueName="5" name="Qty" queryTableFieldId="5" dataDxfId="35"/>
    <tableColumn id="6" xr3:uid="{575B5FBE-3F82-40CD-8A54-810E146EF82F}" uniqueName="6" name="Unit Price" queryTableFieldId="6" dataDxfId="34"/>
    <tableColumn id="7" xr3:uid="{766B7F26-7C49-427A-A617-067C40444D87}" uniqueName="7" name="Price" queryTableFieldId="7" dataDxfId="33"/>
    <tableColumn id="9" xr3:uid="{A5701DF5-B99B-45EC-8FC5-7061E5C93440}" uniqueName="9" name="Done" queryTableFieldId="17" dataDxfId="32"/>
    <tableColumn id="14" xr3:uid="{1C4B67EF-B985-4B9A-9327-556AFBB5C4A1}" uniqueName="14" name="Group Order" queryTableFieldId="20" dataDxfId="31"/>
    <tableColumn id="12" xr3:uid="{A3E3248C-A9FB-45EA-9F9E-83897992215A}" uniqueName="12" name="Start Date" queryTableFieldId="12" dataDxfId="30"/>
    <tableColumn id="15" xr3:uid="{E31CECDC-7A24-4472-8474-4283CEDBD8FC}" uniqueName="15" name="Days" queryTableFieldId="14" dataDxfId="29"/>
    <tableColumn id="10" xr3:uid="{3EA3D46A-2606-48C3-B90D-0603A94FFB2E}" uniqueName="10" name="Paid" queryTableFieldId="18" dataDxfId="28"/>
    <tableColumn id="13" xr3:uid="{7268DDA6-B96D-499B-92E4-F124E0D116A3}" uniqueName="13" name="Notes" queryTableFieldId="19" dataDxfId="27"/>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A8D861-A5C8-42AF-A86B-34EC7AE8EE0A}" name="ProposalToGnatt" displayName="ProposalToGnatt" ref="A29:O45" tableType="queryTable" totalsRowShown="0" headerRowDxfId="26" dataDxfId="25">
  <sortState xmlns:xlrd2="http://schemas.microsoft.com/office/spreadsheetml/2017/richdata2" ref="A30:O45">
    <sortCondition ref="J30:J83"/>
    <sortCondition ref="K30:K83"/>
  </sortState>
  <tableColumns count="15">
    <tableColumn id="106" xr3:uid="{88C796C4-2105-4C93-8E7A-CCEA28B0DF71}" uniqueName="106" name="Party" queryTableFieldId="1" dataDxfId="24"/>
    <tableColumn id="107" xr3:uid="{541F33A4-C6A3-44C5-81DB-FAA61B7F72AB}" uniqueName="107" name="Item" queryTableFieldId="2" dataDxfId="23"/>
    <tableColumn id="108" xr3:uid="{3AE45ADE-D247-428D-BB07-058C3457BF76}" uniqueName="108" name="Cost Code" queryTableFieldId="3" dataDxfId="22"/>
    <tableColumn id="109" xr3:uid="{B0D5185D-6AD1-4E8D-B845-F1898A9538BA}" uniqueName="109" name="Title" queryTableFieldId="4" dataDxfId="21"/>
    <tableColumn id="110" xr3:uid="{BF5C7BBF-561F-458E-BF23-5B7C697DF8C9}" uniqueName="110" name="Description" queryTableFieldId="5" dataDxfId="20"/>
    <tableColumn id="111" xr3:uid="{F21AE756-8924-4878-8615-262AB0D00519}" uniqueName="111" name="Qty" queryTableFieldId="6" dataDxfId="19"/>
    <tableColumn id="112" xr3:uid="{0CD8A8A4-BACC-44F4-93A1-F713A821F322}" uniqueName="112" name="Unit Price" queryTableFieldId="7" dataDxfId="3"/>
    <tableColumn id="113" xr3:uid="{26C57DEB-9347-43DE-B22B-A524ED52F9F1}" uniqueName="113" name="Price" queryTableFieldId="8" dataDxfId="2"/>
    <tableColumn id="114" xr3:uid="{EBDB1F65-628C-4940-9612-1C3FD8569DC1}" uniqueName="114" name="Done" queryTableFieldId="9" dataDxfId="18"/>
    <tableColumn id="115" xr3:uid="{12EEE598-AD5C-449D-9592-F3BFFA8A06FB}" uniqueName="115" name="Group Order" queryTableFieldId="10" dataDxfId="17"/>
    <tableColumn id="116" xr3:uid="{C6321B43-2488-4F52-A140-04EF16631EAF}" uniqueName="116" name="Start Date" queryTableFieldId="11" dataDxfId="1"/>
    <tableColumn id="117" xr3:uid="{E22A3266-2A40-492B-9764-940B22EBAEF6}" uniqueName="117" name="Days" queryTableFieldId="12" dataDxfId="16"/>
    <tableColumn id="118" xr3:uid="{DA6448B5-75FA-40C7-BF8D-CB99AC089926}" uniqueName="118" name="Paid" queryTableFieldId="13" dataDxfId="15"/>
    <tableColumn id="119" xr3:uid="{A789D139-5429-44E2-8E4C-EFA46ED90A52}" uniqueName="119" name="Notes" queryTableFieldId="14" dataDxfId="14"/>
    <tableColumn id="120" xr3:uid="{F39BD6C0-B0A7-49E7-AFB2-4F7FD09D606F}" uniqueName="120" name="Due" queryTableFieldId="15"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insurancehub.com/" TargetMode="External"/><Relationship Id="rId7" Type="http://schemas.openxmlformats.org/officeDocument/2006/relationships/hyperlink" Target="mailto:w3638B0@" TargetMode="External"/><Relationship Id="rId2" Type="http://schemas.openxmlformats.org/officeDocument/2006/relationships/hyperlink" Target="mailto:RWalker@insurancehub.com" TargetMode="External"/><Relationship Id="rId1" Type="http://schemas.openxmlformats.org/officeDocument/2006/relationships/hyperlink" Target="https://insurancehub.com/" TargetMode="External"/><Relationship Id="rId6" Type="http://schemas.openxmlformats.org/officeDocument/2006/relationships/hyperlink" Target="mailto:Wes@BYHLLC.com" TargetMode="External"/><Relationship Id="rId5" Type="http://schemas.openxmlformats.org/officeDocument/2006/relationships/hyperlink" Target="https://account.mrcooper.com/ed04d0f3-eba1-467f-91e7-52505132554c/oauth2/v2.0/authorize?p=B2C_1A_SignUpOrSignIn&amp;client_id=2a694b91-5631-4fe1-9039-775a23b420c8&amp;nonce=defaultNonce&amp;redirect_uri=https://www.mrcooper.com/sessions/login&amp;scope=openid&amp;response_type=id_token&amp;response_mode=form_post&amp;pageName=&amp;guid=&amp;ga_client_id=&amp;session_id=395071fa82d98b338e7ef9cf7a7320d9&amp;&amp;getCustomer=no&amp;state=%7b%22redirect%22:null%7d&amp;x-client-SKU=apollo-accounts-mrcooper" TargetMode="External"/><Relationship Id="rId4" Type="http://schemas.openxmlformats.org/officeDocument/2006/relationships/hyperlink" Target="mailto:BMiron@insurancehub.com"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7.bin"/><Relationship Id="rId5" Type="http://schemas.openxmlformats.org/officeDocument/2006/relationships/table" Target="../tables/table3.xml"/><Relationship Id="rId4" Type="http://schemas.openxmlformats.org/officeDocument/2006/relationships/ctrlProp" Target="../ctrlProps/ctrlProp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sheetPr>
  <dimension ref="A1:P108"/>
  <sheetViews>
    <sheetView zoomScaleNormal="100" workbookViewId="0">
      <pane xSplit="1" ySplit="3" topLeftCell="B11" activePane="bottomRight" state="frozen"/>
      <selection pane="topRight" activeCell="B1" sqref="B1"/>
      <selection pane="bottomLeft" activeCell="A3" sqref="A3"/>
      <selection pane="bottomRight" activeCell="B48" sqref="B48:C48"/>
    </sheetView>
  </sheetViews>
  <sheetFormatPr defaultColWidth="9.140625" defaultRowHeight="15" customHeight="1"/>
  <cols>
    <col min="1" max="1" width="24.7109375" style="40" customWidth="1"/>
    <col min="2" max="2" width="6.42578125" style="40" customWidth="1"/>
    <col min="3" max="3" width="8.28515625" style="153" customWidth="1"/>
    <col min="4" max="4" width="9" style="39" customWidth="1"/>
    <col min="5" max="7" width="9.28515625" style="39" bestFit="1" customWidth="1"/>
    <col min="8" max="8" width="8.7109375" style="40" customWidth="1"/>
    <col min="9" max="9" width="8.5703125" style="153" bestFit="1" customWidth="1"/>
    <col min="10" max="10" width="11.5703125" style="39" customWidth="1"/>
    <col min="11" max="11" width="9.28515625" style="39" customWidth="1"/>
    <col min="12" max="12" width="5.28515625" style="39" customWidth="1"/>
    <col min="13" max="13" width="7.140625" style="39" bestFit="1" customWidth="1"/>
    <col min="14" max="14" width="11.28515625" style="39" customWidth="1"/>
    <col min="15" max="15" width="17.140625" style="39" customWidth="1"/>
    <col min="16" max="16" width="21.28515625" style="39" customWidth="1"/>
    <col min="17" max="17" width="13.28515625" style="39" customWidth="1"/>
    <col min="18" max="18" width="13.140625" style="39" customWidth="1"/>
    <col min="19" max="19" width="10.140625" style="39" bestFit="1" customWidth="1"/>
    <col min="20" max="20" width="12.85546875" style="39" customWidth="1"/>
    <col min="21" max="21" width="11.28515625" style="39" customWidth="1"/>
    <col min="22" max="22" width="11.140625" style="39" bestFit="1" customWidth="1"/>
    <col min="23" max="16384" width="9.140625" style="39"/>
  </cols>
  <sheetData>
    <row r="1" spans="1:16" ht="21" customHeight="1" thickBot="1">
      <c r="A1" s="40" t="s">
        <v>0</v>
      </c>
      <c r="B1" s="478" t="s">
        <v>762</v>
      </c>
      <c r="C1" s="479"/>
      <c r="E1" s="225" t="s">
        <v>1</v>
      </c>
      <c r="F1" s="226" t="s">
        <v>2</v>
      </c>
    </row>
    <row r="2" spans="1:16" ht="16.5" customHeight="1" thickBot="1">
      <c r="A2" s="154"/>
      <c r="B2" s="493" t="s">
        <v>745</v>
      </c>
      <c r="C2" s="494"/>
      <c r="D2" s="494"/>
      <c r="E2" s="494"/>
      <c r="F2" s="495"/>
      <c r="G2" s="155"/>
      <c r="H2" s="486" t="s">
        <v>3</v>
      </c>
      <c r="I2" s="487"/>
      <c r="J2" s="420" t="s">
        <v>4</v>
      </c>
      <c r="K2" s="526"/>
    </row>
    <row r="3" spans="1:16" ht="12" customHeight="1" thickBot="1">
      <c r="A3" s="156" t="s">
        <v>5</v>
      </c>
      <c r="B3" s="157"/>
      <c r="D3" s="496" t="s">
        <v>6</v>
      </c>
      <c r="E3" s="496"/>
      <c r="F3" s="496" t="s">
        <v>7</v>
      </c>
      <c r="G3" s="483"/>
      <c r="H3" s="483"/>
      <c r="I3" s="488"/>
      <c r="J3" s="421"/>
      <c r="K3" s="423"/>
    </row>
    <row r="4" spans="1:16" ht="12" customHeight="1" thickBot="1">
      <c r="A4" s="40" t="s">
        <v>8</v>
      </c>
      <c r="B4" s="431">
        <v>287000</v>
      </c>
      <c r="C4" s="432"/>
      <c r="E4" s="158"/>
      <c r="G4" s="158"/>
      <c r="I4" s="171"/>
      <c r="J4" s="420" t="s">
        <v>9</v>
      </c>
      <c r="K4" s="422" t="s">
        <v>10</v>
      </c>
    </row>
    <row r="5" spans="1:16" ht="12" customHeight="1" thickBot="1">
      <c r="A5" s="40" t="s">
        <v>11</v>
      </c>
      <c r="B5" s="299">
        <v>-0.15</v>
      </c>
      <c r="C5" s="299">
        <v>0.1</v>
      </c>
      <c r="E5" s="158"/>
      <c r="G5" s="158"/>
      <c r="I5" s="176"/>
      <c r="J5" s="421"/>
      <c r="K5" s="423"/>
      <c r="N5" s="39" t="s">
        <v>12</v>
      </c>
      <c r="O5" s="391">
        <v>45161</v>
      </c>
      <c r="P5" s="39">
        <v>276600</v>
      </c>
    </row>
    <row r="6" spans="1:16" ht="12" customHeight="1" thickBot="1">
      <c r="A6" s="40" t="s">
        <v>13</v>
      </c>
      <c r="B6" s="433">
        <f>+B4 + IF(B1="Hold",B4*C5,0) + IF(B1="wholetale",B4*B5,0)</f>
        <v>315700</v>
      </c>
      <c r="C6" s="434"/>
      <c r="E6" s="158"/>
      <c r="G6" s="209">
        <f>IF($B$1="hold",$B$4,$B$6)</f>
        <v>287000</v>
      </c>
      <c r="I6" s="176"/>
      <c r="J6" s="420" t="s">
        <v>14</v>
      </c>
      <c r="K6" s="454">
        <v>0.1</v>
      </c>
      <c r="N6" s="153"/>
      <c r="O6" s="391">
        <v>45754</v>
      </c>
      <c r="P6" s="39">
        <v>303900</v>
      </c>
    </row>
    <row r="7" spans="1:16" ht="12" customHeight="1" thickBot="1">
      <c r="A7" s="40" t="s">
        <v>15</v>
      </c>
      <c r="B7" s="431"/>
      <c r="C7" s="432"/>
      <c r="D7" s="153">
        <f>+B7</f>
        <v>0</v>
      </c>
      <c r="E7" s="158"/>
      <c r="F7" s="153">
        <f>-B7</f>
        <v>0</v>
      </c>
      <c r="G7" s="209">
        <f>+IF($B$1="hold",$K$6,0)*$C$35/12*B4</f>
        <v>28700.000000000007</v>
      </c>
      <c r="H7" s="355" t="str">
        <f>+IF($B$1="hold","&lt;-- Apprication -----------","")</f>
        <v>&lt;-- Apprication -----------</v>
      </c>
      <c r="I7" s="176"/>
      <c r="J7" s="421"/>
      <c r="K7" s="455"/>
    </row>
    <row r="8" spans="1:16" ht="12" customHeight="1" thickBot="1">
      <c r="A8" s="40" t="s">
        <v>16</v>
      </c>
      <c r="B8" s="426">
        <v>890.3</v>
      </c>
      <c r="C8" s="450"/>
      <c r="D8" s="159"/>
      <c r="E8" s="160"/>
      <c r="F8" s="159"/>
      <c r="G8" s="161"/>
      <c r="I8" s="210">
        <f>IF(B1="Hold",+B8,"")</f>
        <v>890.3</v>
      </c>
      <c r="J8" s="420" t="s">
        <v>17</v>
      </c>
      <c r="K8" s="521">
        <v>1899</v>
      </c>
    </row>
    <row r="9" spans="1:16" ht="12" customHeight="1" thickBot="1">
      <c r="C9" s="512" t="s">
        <v>18</v>
      </c>
      <c r="D9" s="471" t="s">
        <v>18</v>
      </c>
      <c r="E9" s="162">
        <f>SUM(D4:D8)</f>
        <v>0</v>
      </c>
      <c r="F9" s="489">
        <f>+SUM(F4:G8)</f>
        <v>315700</v>
      </c>
      <c r="G9" s="490"/>
      <c r="H9" s="489">
        <f>SUM(H4:I8)</f>
        <v>890.3</v>
      </c>
      <c r="I9" s="490"/>
      <c r="J9" s="421"/>
      <c r="K9" s="522"/>
    </row>
    <row r="10" spans="1:16" ht="12" customHeight="1" thickBot="1">
      <c r="C10" s="163"/>
      <c r="D10" s="164"/>
      <c r="E10" s="162"/>
      <c r="F10" s="153"/>
      <c r="G10" s="158"/>
      <c r="H10" s="153"/>
      <c r="I10" s="165"/>
    </row>
    <row r="11" spans="1:16" ht="12" customHeight="1" thickTop="1" thickBot="1">
      <c r="A11" s="166" t="s">
        <v>19</v>
      </c>
      <c r="B11" s="166"/>
      <c r="C11" s="167"/>
      <c r="D11" s="168"/>
      <c r="E11" s="217"/>
      <c r="F11" s="169"/>
      <c r="G11" s="217"/>
      <c r="H11" s="170"/>
      <c r="I11" s="222"/>
    </row>
    <row r="12" spans="1:16" ht="11.25" customHeight="1" thickBot="1">
      <c r="A12" s="40" t="s">
        <v>20</v>
      </c>
      <c r="B12" s="424">
        <f>12028-11056+12028</f>
        <v>13000</v>
      </c>
      <c r="C12" s="425"/>
      <c r="D12" s="174">
        <f>-B12</f>
        <v>-13000</v>
      </c>
      <c r="E12" s="218"/>
      <c r="F12" s="227"/>
      <c r="G12" s="228" t="str">
        <f>IF(K4="Yes",0.3*B12,"")</f>
        <v/>
      </c>
      <c r="H12" s="491" t="s">
        <v>21</v>
      </c>
      <c r="I12" s="492"/>
      <c r="J12" s="497" t="s">
        <v>22</v>
      </c>
      <c r="K12" s="502"/>
    </row>
    <row r="13" spans="1:16" ht="12" customHeight="1">
      <c r="A13" s="40" t="s">
        <v>23</v>
      </c>
      <c r="B13" s="415">
        <v>3.125E-2</v>
      </c>
      <c r="C13" s="360">
        <v>142424</v>
      </c>
      <c r="D13" s="174"/>
      <c r="E13" s="218"/>
      <c r="F13" s="174">
        <f>-C13</f>
        <v>-142424</v>
      </c>
      <c r="G13" s="220"/>
      <c r="H13" s="174"/>
      <c r="I13" s="223"/>
      <c r="J13" s="503"/>
      <c r="K13" s="504"/>
      <c r="M13" s="177"/>
    </row>
    <row r="14" spans="1:16" ht="12" customHeight="1">
      <c r="A14" s="40" t="s">
        <v>24</v>
      </c>
      <c r="B14" s="359"/>
      <c r="C14" s="360"/>
      <c r="D14" s="174"/>
      <c r="E14" s="218"/>
      <c r="F14" s="174">
        <f>-+(120-C34)*(C14/120)</f>
        <v>0</v>
      </c>
      <c r="G14" s="220"/>
      <c r="H14" s="174">
        <f>-(C14*B14/12)</f>
        <v>0</v>
      </c>
      <c r="I14" s="223"/>
      <c r="J14" s="503"/>
      <c r="K14" s="504"/>
    </row>
    <row r="15" spans="1:16" ht="12" customHeight="1" thickBot="1">
      <c r="A15" s="40" t="s">
        <v>25</v>
      </c>
      <c r="B15" s="359">
        <v>0.1</v>
      </c>
      <c r="C15" s="360"/>
      <c r="D15" s="172"/>
      <c r="E15" s="218"/>
      <c r="F15" s="174">
        <f>-C15</f>
        <v>0</v>
      </c>
      <c r="G15" s="220"/>
      <c r="H15" s="174">
        <f>-C15/120-(C15*B15/12)</f>
        <v>0</v>
      </c>
      <c r="I15" s="223"/>
      <c r="J15" s="505"/>
      <c r="K15" s="506"/>
    </row>
    <row r="16" spans="1:16" ht="12" customHeight="1" thickBot="1">
      <c r="A16" s="40" t="s">
        <v>26</v>
      </c>
      <c r="B16" s="324"/>
      <c r="C16" s="325"/>
      <c r="D16" s="174">
        <f>-C16</f>
        <v>0</v>
      </c>
      <c r="E16" s="218"/>
      <c r="F16" s="174"/>
      <c r="G16" s="220"/>
      <c r="H16" s="175"/>
      <c r="I16" s="223"/>
      <c r="J16" s="42"/>
      <c r="K16" s="42"/>
    </row>
    <row r="17" spans="1:14" ht="12" customHeight="1" thickBot="1">
      <c r="A17" s="199" t="s">
        <v>27</v>
      </c>
      <c r="B17" s="293">
        <v>0</v>
      </c>
      <c r="C17" s="294"/>
      <c r="D17" s="174"/>
      <c r="E17" s="218"/>
      <c r="F17" s="174"/>
      <c r="G17" s="220"/>
      <c r="H17" s="178"/>
      <c r="I17" s="223"/>
    </row>
    <row r="18" spans="1:14" ht="12" customHeight="1" thickBot="1">
      <c r="A18" s="199" t="s">
        <v>28</v>
      </c>
      <c r="B18" s="449">
        <v>30000</v>
      </c>
      <c r="C18" s="450"/>
      <c r="D18" s="174">
        <f>-B18</f>
        <v>-30000</v>
      </c>
      <c r="E18" s="218"/>
      <c r="F18" s="174"/>
      <c r="G18" s="220"/>
      <c r="H18" s="175"/>
      <c r="I18" s="223"/>
      <c r="J18" s="458" t="s">
        <v>29</v>
      </c>
      <c r="K18" s="459"/>
    </row>
    <row r="19" spans="1:14" ht="12" customHeight="1" thickBot="1">
      <c r="A19" s="199" t="s">
        <v>30</v>
      </c>
      <c r="B19" s="250"/>
      <c r="C19" s="191">
        <v>0</v>
      </c>
      <c r="D19" s="174">
        <f>-B19</f>
        <v>0</v>
      </c>
      <c r="E19" s="218"/>
      <c r="F19" s="174"/>
      <c r="G19" s="220"/>
      <c r="H19" s="175"/>
      <c r="I19" s="223"/>
      <c r="J19" s="460"/>
      <c r="K19" s="461"/>
      <c r="N19" s="153">
        <f>SUM(B12:C18)</f>
        <v>185424.13125000001</v>
      </c>
    </row>
    <row r="20" spans="1:14" ht="12" customHeight="1">
      <c r="A20" s="199" t="s">
        <v>31</v>
      </c>
      <c r="B20" s="201">
        <v>6</v>
      </c>
      <c r="C20" s="173"/>
      <c r="D20" s="174"/>
      <c r="E20" s="218"/>
      <c r="F20" s="174"/>
      <c r="G20" s="220"/>
      <c r="H20" s="178"/>
      <c r="I20" s="223"/>
      <c r="J20" s="515" t="s">
        <v>32</v>
      </c>
      <c r="K20" s="516"/>
    </row>
    <row r="21" spans="1:14" ht="12" customHeight="1">
      <c r="A21" s="199" t="s">
        <v>33</v>
      </c>
      <c r="B21" s="200">
        <f>262.98+392.24+235.06</f>
        <v>890.28</v>
      </c>
      <c r="C21" s="173"/>
      <c r="D21" s="174"/>
      <c r="E21" s="218"/>
      <c r="F21" s="174"/>
      <c r="G21" s="220"/>
      <c r="H21" s="178">
        <f>IF(B1="Hold",-B21,"")</f>
        <v>-890.28</v>
      </c>
      <c r="I21" s="223"/>
      <c r="J21" s="517"/>
      <c r="K21" s="518"/>
    </row>
    <row r="22" spans="1:14" ht="12" customHeight="1">
      <c r="A22" s="199" t="s">
        <v>34</v>
      </c>
      <c r="B22" s="200"/>
      <c r="C22" s="173"/>
      <c r="D22" s="174"/>
      <c r="E22" s="218"/>
      <c r="F22" s="174"/>
      <c r="G22" s="220"/>
      <c r="H22" s="178">
        <f>IF(B1="Hold",-B22,"")</f>
        <v>0</v>
      </c>
      <c r="I22" s="223"/>
      <c r="J22" s="517"/>
      <c r="K22" s="518"/>
      <c r="N22" s="153">
        <f>+N19+B30</f>
        <v>191100.39525</v>
      </c>
    </row>
    <row r="23" spans="1:14" ht="12" customHeight="1" thickBot="1">
      <c r="A23" s="199" t="s">
        <v>35</v>
      </c>
      <c r="B23" s="200">
        <v>0</v>
      </c>
      <c r="C23" s="173"/>
      <c r="D23" s="174"/>
      <c r="E23" s="218"/>
      <c r="F23" s="174"/>
      <c r="G23" s="220"/>
      <c r="H23" s="178">
        <f>IF(B1="Hold",-B23,"")</f>
        <v>0</v>
      </c>
      <c r="I23" s="223"/>
      <c r="J23" s="519"/>
      <c r="K23" s="520"/>
    </row>
    <row r="24" spans="1:14" ht="12" customHeight="1">
      <c r="A24" s="199" t="s">
        <v>36</v>
      </c>
      <c r="B24" s="200">
        <v>0</v>
      </c>
      <c r="C24" s="173"/>
      <c r="D24" s="174"/>
      <c r="E24" s="218"/>
      <c r="F24" s="174"/>
      <c r="G24" s="220"/>
      <c r="H24" s="178">
        <f>IF(B1="Hold",-B24,"")</f>
        <v>0</v>
      </c>
      <c r="I24" s="223"/>
    </row>
    <row r="25" spans="1:14" ht="12" customHeight="1">
      <c r="A25" s="199" t="s">
        <v>37</v>
      </c>
      <c r="B25" s="202">
        <v>0</v>
      </c>
      <c r="C25" s="173"/>
      <c r="D25" s="174"/>
      <c r="E25" s="218"/>
      <c r="F25" s="174"/>
      <c r="G25" s="220"/>
      <c r="H25" s="178"/>
      <c r="I25" s="223"/>
    </row>
    <row r="26" spans="1:14" ht="12" customHeight="1" thickBot="1">
      <c r="A26" s="199" t="s">
        <v>38</v>
      </c>
      <c r="B26" s="203">
        <v>0</v>
      </c>
      <c r="C26" s="182"/>
      <c r="D26" s="174"/>
      <c r="E26" s="218"/>
      <c r="F26" s="174"/>
      <c r="G26" s="220"/>
      <c r="H26" s="178"/>
      <c r="I26" s="223"/>
    </row>
    <row r="27" spans="1:14" ht="12" customHeight="1" thickBot="1">
      <c r="A27" s="40" t="s">
        <v>39</v>
      </c>
      <c r="B27" s="509">
        <f>+B20*SUM(B21:B26)</f>
        <v>5341.68</v>
      </c>
      <c r="C27" s="510"/>
      <c r="D27" s="174">
        <f>-B27</f>
        <v>-5341.68</v>
      </c>
      <c r="E27" s="218"/>
      <c r="F27" s="174"/>
      <c r="G27" s="220"/>
      <c r="H27" s="178"/>
      <c r="I27" s="223"/>
      <c r="J27" s="513" t="s">
        <v>40</v>
      </c>
      <c r="K27" s="476">
        <f>+SUM(B12:C16)+B18</f>
        <v>185424.13125000001</v>
      </c>
    </row>
    <row r="28" spans="1:14" ht="12" customHeight="1" thickBot="1">
      <c r="A28" s="327" t="s">
        <v>41</v>
      </c>
      <c r="B28" s="205">
        <v>0.1</v>
      </c>
      <c r="C28" s="198" t="s">
        <v>42</v>
      </c>
      <c r="D28" s="174"/>
      <c r="E28" s="218"/>
      <c r="F28" s="174"/>
      <c r="G28" s="220"/>
      <c r="H28" s="178"/>
      <c r="I28" s="223"/>
      <c r="J28" s="514"/>
      <c r="K28" s="477"/>
    </row>
    <row r="29" spans="1:14" ht="12" customHeight="1" thickBot="1">
      <c r="A29" s="204" t="s">
        <v>43</v>
      </c>
      <c r="B29" s="438">
        <f>IF(C28="NO",0,+(B6*0.75)-(C13+C14+C15))</f>
        <v>0</v>
      </c>
      <c r="C29" s="439"/>
      <c r="D29" s="174"/>
      <c r="E29" s="218">
        <f>IF(B29&lt;0,0,B29)</f>
        <v>0</v>
      </c>
      <c r="F29" s="174" t="str">
        <f>IF(C28="No","",-E29-(B20*E29*B28/12))</f>
        <v/>
      </c>
      <c r="G29" s="220"/>
      <c r="H29" s="178">
        <f>-IF($B$1="Hold",E29*B28/12,0)</f>
        <v>0</v>
      </c>
      <c r="I29" s="357"/>
      <c r="J29" s="513" t="s">
        <v>44</v>
      </c>
      <c r="K29" s="476">
        <f>+B12+C14+C16+B18+B30</f>
        <v>48676.264000000003</v>
      </c>
    </row>
    <row r="30" spans="1:14" ht="12" customHeight="1" thickBot="1">
      <c r="A30" s="40" t="s">
        <v>45</v>
      </c>
      <c r="B30" s="453">
        <f>-D51</f>
        <v>5676.2640000000001</v>
      </c>
      <c r="C30" s="441"/>
      <c r="D30" s="174">
        <f>-B30</f>
        <v>-5676.2640000000001</v>
      </c>
      <c r="E30" s="218"/>
      <c r="F30" s="174"/>
      <c r="G30" s="220"/>
      <c r="H30" s="175"/>
      <c r="I30" s="357"/>
      <c r="J30" s="514"/>
      <c r="K30" s="477"/>
    </row>
    <row r="31" spans="1:14" ht="12" customHeight="1" thickBot="1">
      <c r="A31" s="40" t="s">
        <v>46</v>
      </c>
      <c r="B31" s="511">
        <v>600</v>
      </c>
      <c r="C31" s="488"/>
      <c r="D31" s="174">
        <f>-B31</f>
        <v>-600</v>
      </c>
      <c r="E31" s="218"/>
      <c r="F31" s="174"/>
      <c r="G31" s="220"/>
      <c r="H31" s="175"/>
      <c r="I31" s="223"/>
      <c r="J31" s="462" t="s">
        <v>47</v>
      </c>
      <c r="K31" s="523"/>
    </row>
    <row r="32" spans="1:14" ht="12" customHeight="1" thickBot="1">
      <c r="A32" s="204" t="s">
        <v>48</v>
      </c>
      <c r="B32" s="179">
        <v>1</v>
      </c>
      <c r="C32" s="180">
        <f>+B32*399</f>
        <v>399</v>
      </c>
      <c r="D32" s="174"/>
      <c r="E32" s="218"/>
      <c r="F32" s="174">
        <f>-C32</f>
        <v>-399</v>
      </c>
      <c r="G32" s="220"/>
      <c r="H32" s="175"/>
      <c r="I32" s="223"/>
      <c r="J32" s="524"/>
      <c r="K32" s="525"/>
    </row>
    <row r="33" spans="1:15" ht="12" customHeight="1">
      <c r="A33" s="204" t="s">
        <v>49</v>
      </c>
      <c r="B33" s="206">
        <v>0</v>
      </c>
      <c r="C33" s="207">
        <v>2.5999999999999999E-2</v>
      </c>
      <c r="D33" s="174"/>
      <c r="E33" s="218"/>
      <c r="F33" s="174">
        <f>-B33*C33*$F$9</f>
        <v>0</v>
      </c>
      <c r="G33" s="220"/>
      <c r="H33" s="175"/>
      <c r="I33" s="223"/>
    </row>
    <row r="34" spans="1:15" ht="12" customHeight="1" thickBot="1">
      <c r="A34" s="204" t="s">
        <v>50</v>
      </c>
      <c r="B34" s="329">
        <v>1</v>
      </c>
      <c r="C34" s="330">
        <v>2.4E-2</v>
      </c>
      <c r="D34" s="174"/>
      <c r="E34" s="218"/>
      <c r="F34" s="174">
        <f>-B34*C34*$F$9</f>
        <v>-7576.8</v>
      </c>
      <c r="G34" s="220"/>
      <c r="H34" s="175"/>
      <c r="I34" s="223"/>
    </row>
    <row r="35" spans="1:15" ht="12" customHeight="1" thickBot="1">
      <c r="A35" s="331" t="s">
        <v>51</v>
      </c>
      <c r="B35" s="328"/>
      <c r="C35" s="370">
        <v>12</v>
      </c>
      <c r="D35" s="174"/>
      <c r="E35" s="218"/>
      <c r="F35" s="174"/>
      <c r="G35" s="220"/>
      <c r="H35" s="175"/>
      <c r="I35" s="223"/>
    </row>
    <row r="36" spans="1:15" ht="12" customHeight="1" thickBot="1">
      <c r="A36" s="40" t="s">
        <v>52</v>
      </c>
      <c r="B36" s="426"/>
      <c r="C36" s="427"/>
      <c r="D36" s="208"/>
      <c r="E36" s="218"/>
      <c r="F36" s="174">
        <f>-C36</f>
        <v>0</v>
      </c>
      <c r="G36" s="220"/>
      <c r="H36" s="172"/>
      <c r="I36" s="223"/>
    </row>
    <row r="37" spans="1:15" ht="12" customHeight="1">
      <c r="A37" s="40" t="s">
        <v>53</v>
      </c>
      <c r="B37" s="440">
        <f>+D71</f>
        <v>5998</v>
      </c>
      <c r="C37" s="441"/>
      <c r="D37" s="174">
        <f>-B37</f>
        <v>-5998</v>
      </c>
      <c r="E37" s="218"/>
      <c r="F37" s="174"/>
      <c r="G37" s="220"/>
      <c r="H37" s="172"/>
      <c r="I37" s="223"/>
    </row>
    <row r="38" spans="1:15" ht="12" customHeight="1" thickBot="1">
      <c r="A38" s="40" t="s">
        <v>54</v>
      </c>
      <c r="B38" s="507">
        <f>+D82</f>
        <v>290</v>
      </c>
      <c r="C38" s="508"/>
      <c r="D38" s="183"/>
      <c r="E38" s="219"/>
      <c r="F38" s="183">
        <f>-B38</f>
        <v>-290</v>
      </c>
      <c r="G38" s="221"/>
      <c r="H38" s="181"/>
      <c r="I38" s="224"/>
    </row>
    <row r="39" spans="1:15" ht="12" customHeight="1" thickBot="1">
      <c r="C39" s="470" t="s">
        <v>55</v>
      </c>
      <c r="D39" s="471"/>
      <c r="E39" s="340">
        <f>+SUM(D12:D38)</f>
        <v>-60615.944000000003</v>
      </c>
      <c r="F39" s="469">
        <f>+SUM(F12:F38)</f>
        <v>-150689.79999999999</v>
      </c>
      <c r="G39" s="469"/>
      <c r="H39" s="428">
        <f>+SUM(H9:I38)</f>
        <v>1.999999999998181E-2</v>
      </c>
      <c r="I39" s="429"/>
    </row>
    <row r="40" spans="1:15" ht="12" customHeight="1" thickBot="1">
      <c r="A40" s="41"/>
      <c r="B40" s="442" t="s">
        <v>56</v>
      </c>
      <c r="C40" s="443"/>
      <c r="D40" s="443"/>
      <c r="E40" s="214">
        <f>+SUM(E9:E39)</f>
        <v>-60615.944000000003</v>
      </c>
      <c r="F40" s="469">
        <f>+SUM(F9:G38)</f>
        <v>165010.20000000001</v>
      </c>
      <c r="G40" s="469"/>
      <c r="H40" s="212"/>
      <c r="I40" s="216"/>
      <c r="O40" s="153"/>
    </row>
    <row r="41" spans="1:15" ht="12" customHeight="1">
      <c r="A41" s="41"/>
      <c r="B41" s="41"/>
      <c r="D41" s="41"/>
      <c r="E41" s="484" t="s">
        <v>57</v>
      </c>
      <c r="F41" s="485"/>
      <c r="G41" s="211">
        <f>+E40+F40</f>
        <v>104394.25600000001</v>
      </c>
      <c r="H41" s="212"/>
      <c r="I41" s="213"/>
      <c r="J41" s="530" t="s">
        <v>58</v>
      </c>
      <c r="K41" s="456" t="s">
        <v>59</v>
      </c>
      <c r="O41" s="153"/>
    </row>
    <row r="42" spans="1:15" ht="12" customHeight="1" thickBot="1">
      <c r="A42" s="41"/>
      <c r="B42" s="41"/>
      <c r="E42" s="484" t="s">
        <v>60</v>
      </c>
      <c r="F42" s="485"/>
      <c r="G42" s="485"/>
      <c r="H42" s="193">
        <f>IF(B1="Hold",C35,0)</f>
        <v>12</v>
      </c>
      <c r="I42" s="341">
        <f>+H42*H39</f>
        <v>0.23999999999978172</v>
      </c>
      <c r="J42" s="531"/>
      <c r="K42" s="457"/>
      <c r="M42" s="40"/>
      <c r="N42" s="153"/>
    </row>
    <row r="43" spans="1:15" ht="12" customHeight="1" thickBot="1">
      <c r="A43" s="41"/>
      <c r="B43" s="41"/>
      <c r="E43" s="215"/>
      <c r="F43" s="472" t="s">
        <v>61</v>
      </c>
      <c r="G43" s="473"/>
      <c r="H43" s="184"/>
      <c r="I43" s="184">
        <f>+I42+G41</f>
        <v>104394.49600000001</v>
      </c>
      <c r="J43" s="185">
        <f>$B$17*$I$43</f>
        <v>0</v>
      </c>
      <c r="K43" s="186">
        <f>+$I$43-J43</f>
        <v>104394.49600000001</v>
      </c>
    </row>
    <row r="44" spans="1:15" ht="12" customHeight="1" thickTop="1" thickBot="1">
      <c r="A44" s="187" t="s">
        <v>62</v>
      </c>
      <c r="B44" s="444">
        <v>0</v>
      </c>
      <c r="C44" s="448"/>
      <c r="D44" s="187"/>
      <c r="E44" s="187"/>
      <c r="H44" s="474" t="s">
        <v>63</v>
      </c>
      <c r="I44" s="475"/>
      <c r="J44" s="300">
        <f>IF(B44="",0,-$B$44*J43)</f>
        <v>0</v>
      </c>
      <c r="K44" s="301">
        <f>IF(B44="",0,-$B$44*K43)</f>
        <v>0</v>
      </c>
    </row>
    <row r="45" spans="1:15" ht="12" customHeight="1" thickTop="1" thickBot="1">
      <c r="A45" s="40" t="s">
        <v>64</v>
      </c>
      <c r="B45" s="444">
        <v>0.1</v>
      </c>
      <c r="C45" s="445">
        <v>0.15</v>
      </c>
      <c r="D45" s="446">
        <f>+K45*B45</f>
        <v>10439.449600000002</v>
      </c>
      <c r="E45" s="447"/>
      <c r="G45" s="41"/>
      <c r="H45" s="472" t="s">
        <v>61</v>
      </c>
      <c r="I45" s="473"/>
      <c r="J45" s="192">
        <f>+J43+J44</f>
        <v>0</v>
      </c>
      <c r="K45" s="188">
        <f>+K43+K44</f>
        <v>104394.49600000001</v>
      </c>
    </row>
    <row r="46" spans="1:15" ht="12" customHeight="1" thickBot="1">
      <c r="A46" s="157"/>
      <c r="C46" s="40"/>
      <c r="D46" s="40"/>
      <c r="E46" s="40"/>
    </row>
    <row r="47" spans="1:15" ht="12" customHeight="1" thickTop="1">
      <c r="A47" s="166" t="s">
        <v>65</v>
      </c>
    </row>
    <row r="48" spans="1:15" ht="12" customHeight="1" thickBot="1">
      <c r="A48" s="40" t="s">
        <v>66</v>
      </c>
      <c r="B48" s="430">
        <f>+'Gnatt Chart'!J5</f>
        <v>5160.24</v>
      </c>
      <c r="C48" s="430"/>
      <c r="D48" s="430">
        <f>-B48</f>
        <v>-5160.24</v>
      </c>
      <c r="E48" s="430"/>
      <c r="G48" s="468"/>
      <c r="H48" s="468"/>
      <c r="I48" s="468"/>
    </row>
    <row r="49" spans="1:10" ht="12" customHeight="1" thickBot="1">
      <c r="A49" s="40" t="s">
        <v>67</v>
      </c>
      <c r="B49" s="189">
        <v>0.1</v>
      </c>
      <c r="D49" s="430"/>
      <c r="E49" s="430"/>
      <c r="G49" s="497" t="s">
        <v>68</v>
      </c>
      <c r="H49" s="498"/>
      <c r="I49" s="498"/>
      <c r="J49" s="459"/>
    </row>
    <row r="50" spans="1:10" ht="12" customHeight="1" thickBot="1">
      <c r="A50" s="40" t="s">
        <v>69</v>
      </c>
      <c r="B50" s="437">
        <f>IF(K4&lt;&gt;"Yes",+B49*SUM(B48:C48),0)</f>
        <v>516.024</v>
      </c>
      <c r="C50" s="437"/>
      <c r="D50" s="437">
        <f t="shared" ref="D50" si="0">-B50</f>
        <v>-516.024</v>
      </c>
      <c r="E50" s="437"/>
      <c r="G50" s="499"/>
      <c r="H50" s="500"/>
      <c r="I50" s="500"/>
      <c r="J50" s="501"/>
    </row>
    <row r="51" spans="1:10" ht="12" customHeight="1" thickBot="1">
      <c r="A51" s="40" t="s">
        <v>70</v>
      </c>
      <c r="D51" s="435">
        <f>+SUM(D48:E50)</f>
        <v>-5676.2640000000001</v>
      </c>
      <c r="E51" s="436"/>
      <c r="G51" s="527" t="s">
        <v>71</v>
      </c>
      <c r="H51" s="528"/>
      <c r="I51" s="528"/>
      <c r="J51" s="529"/>
    </row>
    <row r="52" spans="1:10" ht="12" customHeight="1" thickTop="1" thickBot="1">
      <c r="A52" s="190" t="s">
        <v>72</v>
      </c>
      <c r="B52" s="187"/>
      <c r="C52" s="187"/>
      <c r="D52" s="40"/>
      <c r="E52" s="40"/>
      <c r="G52" s="465"/>
      <c r="H52" s="466"/>
      <c r="I52" s="466"/>
      <c r="J52" s="467"/>
    </row>
    <row r="53" spans="1:10" ht="12" customHeight="1">
      <c r="A53" s="40" t="s">
        <v>73</v>
      </c>
      <c r="B53" s="532">
        <v>650</v>
      </c>
      <c r="C53" s="533"/>
      <c r="D53" s="430"/>
      <c r="E53" s="430"/>
    </row>
    <row r="54" spans="1:10" ht="12" customHeight="1">
      <c r="A54" s="40" t="s">
        <v>74</v>
      </c>
      <c r="B54" s="451">
        <v>5000</v>
      </c>
      <c r="C54" s="452"/>
      <c r="D54" s="430"/>
      <c r="E54" s="430"/>
    </row>
    <row r="55" spans="1:10" ht="12" customHeight="1">
      <c r="A55" s="40" t="s">
        <v>75</v>
      </c>
      <c r="B55" s="451">
        <v>250</v>
      </c>
      <c r="C55" s="452"/>
      <c r="D55" s="430"/>
      <c r="E55" s="430"/>
    </row>
    <row r="56" spans="1:10" ht="12" customHeight="1">
      <c r="A56" s="40" t="s">
        <v>75</v>
      </c>
      <c r="B56" s="451"/>
      <c r="C56" s="452"/>
      <c r="D56" s="430"/>
      <c r="E56" s="430"/>
    </row>
    <row r="57" spans="1:10" ht="12" customHeight="1">
      <c r="A57" s="40" t="s">
        <v>76</v>
      </c>
      <c r="B57" s="451"/>
      <c r="C57" s="452"/>
      <c r="D57" s="430"/>
      <c r="E57" s="430"/>
    </row>
    <row r="58" spans="1:10" ht="12" customHeight="1">
      <c r="A58" s="40" t="s">
        <v>76</v>
      </c>
      <c r="B58" s="451"/>
      <c r="C58" s="452"/>
      <c r="D58" s="430"/>
      <c r="E58" s="430"/>
    </row>
    <row r="59" spans="1:10" ht="12" customHeight="1">
      <c r="A59" s="40" t="s">
        <v>77</v>
      </c>
      <c r="B59" s="451"/>
      <c r="C59" s="452"/>
      <c r="D59" s="430"/>
      <c r="E59" s="430"/>
    </row>
    <row r="60" spans="1:10" ht="12" customHeight="1">
      <c r="A60" s="40" t="s">
        <v>78</v>
      </c>
      <c r="B60" s="451"/>
      <c r="C60" s="452"/>
      <c r="D60" s="430"/>
      <c r="E60" s="430"/>
    </row>
    <row r="61" spans="1:10" ht="12" customHeight="1">
      <c r="A61" s="40" t="s">
        <v>79</v>
      </c>
      <c r="B61" s="451"/>
      <c r="C61" s="452"/>
      <c r="D61" s="430"/>
      <c r="E61" s="430"/>
    </row>
    <row r="62" spans="1:10" ht="12" customHeight="1">
      <c r="A62" s="40" t="s">
        <v>80</v>
      </c>
      <c r="B62" s="451"/>
      <c r="C62" s="452"/>
      <c r="D62" s="430"/>
      <c r="E62" s="430"/>
    </row>
    <row r="63" spans="1:10" ht="12" customHeight="1">
      <c r="A63" s="40" t="s">
        <v>81</v>
      </c>
      <c r="B63" s="451"/>
      <c r="C63" s="452"/>
      <c r="D63" s="430"/>
      <c r="E63" s="430"/>
    </row>
    <row r="64" spans="1:10" ht="12" customHeight="1">
      <c r="A64" s="40" t="s">
        <v>82</v>
      </c>
      <c r="B64" s="451">
        <v>66</v>
      </c>
      <c r="C64" s="452"/>
      <c r="D64" s="430"/>
      <c r="E64" s="430"/>
    </row>
    <row r="65" spans="1:10" ht="12" customHeight="1">
      <c r="A65" s="40" t="s">
        <v>83</v>
      </c>
      <c r="B65" s="451"/>
      <c r="C65" s="452"/>
      <c r="D65" s="430"/>
      <c r="E65" s="430"/>
    </row>
    <row r="66" spans="1:10" ht="12" customHeight="1">
      <c r="A66" s="40" t="s">
        <v>84</v>
      </c>
      <c r="B66" s="451"/>
      <c r="C66" s="452"/>
      <c r="D66" s="430"/>
      <c r="E66" s="430"/>
    </row>
    <row r="67" spans="1:10" ht="12" customHeight="1">
      <c r="A67" s="40" t="s">
        <v>85</v>
      </c>
      <c r="B67" s="451">
        <v>26</v>
      </c>
      <c r="C67" s="452"/>
      <c r="D67" s="430"/>
      <c r="E67" s="430"/>
    </row>
    <row r="68" spans="1:10" ht="12" customHeight="1">
      <c r="A68" s="40" t="s">
        <v>86</v>
      </c>
      <c r="B68" s="451">
        <v>6</v>
      </c>
      <c r="C68" s="452"/>
      <c r="D68" s="430"/>
      <c r="E68" s="430"/>
    </row>
    <row r="69" spans="1:10" ht="12" customHeight="1">
      <c r="A69" s="40" t="s">
        <v>87</v>
      </c>
      <c r="B69" s="451"/>
      <c r="C69" s="452"/>
      <c r="D69" s="430"/>
      <c r="E69" s="430"/>
    </row>
    <row r="70" spans="1:10" ht="12" customHeight="1" thickBot="1">
      <c r="A70" s="40" t="s">
        <v>88</v>
      </c>
      <c r="B70" s="534"/>
      <c r="C70" s="535"/>
      <c r="D70" s="482"/>
      <c r="E70" s="483"/>
    </row>
    <row r="71" spans="1:10" ht="12" customHeight="1" thickBot="1">
      <c r="D71" s="435">
        <f>+SUM(B53:C70)</f>
        <v>5998</v>
      </c>
      <c r="E71" s="436"/>
      <c r="G71" s="462" t="s">
        <v>89</v>
      </c>
      <c r="H71" s="463"/>
      <c r="I71" s="463"/>
      <c r="J71" s="464"/>
    </row>
    <row r="72" spans="1:10" ht="12" customHeight="1" thickBot="1">
      <c r="G72" s="465"/>
      <c r="H72" s="466"/>
      <c r="I72" s="466"/>
      <c r="J72" s="467"/>
    </row>
    <row r="73" spans="1:10" ht="12" customHeight="1" thickTop="1" thickBot="1">
      <c r="A73" s="190" t="s">
        <v>90</v>
      </c>
      <c r="B73" s="187"/>
      <c r="C73" s="187"/>
      <c r="D73" s="187"/>
      <c r="E73" s="187"/>
    </row>
    <row r="74" spans="1:10" ht="12" customHeight="1">
      <c r="A74" s="40" t="s">
        <v>73</v>
      </c>
      <c r="B74" s="532"/>
      <c r="C74" s="533"/>
      <c r="D74" s="430"/>
      <c r="E74" s="430"/>
    </row>
    <row r="75" spans="1:10" ht="12" customHeight="1">
      <c r="A75" s="40" t="s">
        <v>75</v>
      </c>
      <c r="B75" s="451">
        <v>250</v>
      </c>
      <c r="C75" s="452"/>
      <c r="D75" s="430"/>
      <c r="E75" s="430"/>
    </row>
    <row r="76" spans="1:10" ht="12" customHeight="1">
      <c r="A76" s="40" t="s">
        <v>91</v>
      </c>
      <c r="B76" s="451">
        <v>0</v>
      </c>
      <c r="C76" s="452"/>
      <c r="D76" s="430"/>
      <c r="E76" s="430"/>
    </row>
    <row r="77" spans="1:10" ht="12" customHeight="1">
      <c r="A77" s="40" t="s">
        <v>92</v>
      </c>
      <c r="B77" s="451"/>
      <c r="C77" s="452"/>
      <c r="D77" s="430"/>
      <c r="E77" s="430"/>
    </row>
    <row r="78" spans="1:10" ht="12" customHeight="1">
      <c r="A78" s="40" t="s">
        <v>85</v>
      </c>
      <c r="B78" s="451"/>
      <c r="C78" s="452"/>
      <c r="D78" s="430"/>
      <c r="E78" s="430"/>
    </row>
    <row r="79" spans="1:10" ht="12" customHeight="1">
      <c r="A79" s="40" t="s">
        <v>86</v>
      </c>
      <c r="B79" s="451">
        <v>40</v>
      </c>
      <c r="C79" s="452"/>
      <c r="D79" s="430"/>
      <c r="E79" s="430"/>
    </row>
    <row r="80" spans="1:10" ht="12" customHeight="1">
      <c r="A80" s="40" t="s">
        <v>87</v>
      </c>
      <c r="B80" s="451"/>
      <c r="C80" s="452"/>
      <c r="D80" s="430"/>
      <c r="E80" s="430"/>
    </row>
    <row r="81" spans="1:10" ht="12" customHeight="1" thickBot="1">
      <c r="A81" s="40" t="s">
        <v>88</v>
      </c>
      <c r="B81" s="480"/>
      <c r="C81" s="481"/>
      <c r="D81" s="482"/>
      <c r="E81" s="483"/>
    </row>
    <row r="82" spans="1:10" ht="12" customHeight="1" thickTop="1" thickBot="1">
      <c r="D82" s="435">
        <f>+SUM(B74:C81)</f>
        <v>290</v>
      </c>
      <c r="E82" s="436"/>
      <c r="G82" s="462" t="s">
        <v>93</v>
      </c>
      <c r="H82" s="463"/>
      <c r="I82" s="463"/>
      <c r="J82" s="464"/>
    </row>
    <row r="83" spans="1:10" ht="12" customHeight="1" thickBot="1">
      <c r="G83" s="465"/>
      <c r="H83" s="466"/>
      <c r="I83" s="466"/>
      <c r="J83" s="467"/>
    </row>
    <row r="84" spans="1:10" ht="12" customHeight="1"/>
    <row r="85" spans="1:10" ht="12" customHeight="1"/>
    <row r="86" spans="1:10" ht="12" customHeight="1"/>
    <row r="87" spans="1:10" ht="12" customHeight="1"/>
    <row r="88" spans="1:10" ht="12" customHeight="1"/>
    <row r="89" spans="1:10" ht="12" customHeight="1"/>
    <row r="90" spans="1:10" ht="12" customHeight="1"/>
    <row r="91" spans="1:10" ht="12" customHeight="1"/>
    <row r="92" spans="1:10" ht="12" customHeight="1"/>
    <row r="93" spans="1:10" ht="12" customHeight="1"/>
    <row r="94" spans="1:10" ht="12" customHeight="1"/>
    <row r="95" spans="1:10" ht="12" customHeight="1"/>
    <row r="96" spans="1:10"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sheetData>
  <mergeCells count="118">
    <mergeCell ref="G82:J83"/>
    <mergeCell ref="G51:J52"/>
    <mergeCell ref="J41:J42"/>
    <mergeCell ref="F43:G43"/>
    <mergeCell ref="B64:C64"/>
    <mergeCell ref="D65:E65"/>
    <mergeCell ref="D66:E66"/>
    <mergeCell ref="B56:C56"/>
    <mergeCell ref="B74:C74"/>
    <mergeCell ref="D74:E74"/>
    <mergeCell ref="B75:C75"/>
    <mergeCell ref="D75:E75"/>
    <mergeCell ref="B70:C70"/>
    <mergeCell ref="D70:E70"/>
    <mergeCell ref="B66:C66"/>
    <mergeCell ref="B67:C67"/>
    <mergeCell ref="B65:C65"/>
    <mergeCell ref="B69:C69"/>
    <mergeCell ref="B53:C53"/>
    <mergeCell ref="D49:E49"/>
    <mergeCell ref="D48:E48"/>
    <mergeCell ref="D69:E69"/>
    <mergeCell ref="H2:I3"/>
    <mergeCell ref="F9:G9"/>
    <mergeCell ref="H9:I9"/>
    <mergeCell ref="H12:I12"/>
    <mergeCell ref="F40:G40"/>
    <mergeCell ref="B2:F2"/>
    <mergeCell ref="D3:E3"/>
    <mergeCell ref="F3:G3"/>
    <mergeCell ref="G49:J50"/>
    <mergeCell ref="J12:K15"/>
    <mergeCell ref="J6:J7"/>
    <mergeCell ref="B38:C38"/>
    <mergeCell ref="J8:J9"/>
    <mergeCell ref="B27:C27"/>
    <mergeCell ref="B31:C31"/>
    <mergeCell ref="C9:D9"/>
    <mergeCell ref="K27:K28"/>
    <mergeCell ref="J27:J28"/>
    <mergeCell ref="J20:K23"/>
    <mergeCell ref="K8:K9"/>
    <mergeCell ref="B8:C8"/>
    <mergeCell ref="J31:K32"/>
    <mergeCell ref="J29:J30"/>
    <mergeCell ref="K2:K3"/>
    <mergeCell ref="B1:C1"/>
    <mergeCell ref="D82:E82"/>
    <mergeCell ref="B76:C76"/>
    <mergeCell ref="D76:E76"/>
    <mergeCell ref="B78:C78"/>
    <mergeCell ref="D78:E78"/>
    <mergeCell ref="B79:C79"/>
    <mergeCell ref="D79:E79"/>
    <mergeCell ref="B77:C77"/>
    <mergeCell ref="D77:E77"/>
    <mergeCell ref="B80:C80"/>
    <mergeCell ref="D80:E80"/>
    <mergeCell ref="B81:C81"/>
    <mergeCell ref="D81:E81"/>
    <mergeCell ref="D58:E58"/>
    <mergeCell ref="D59:E59"/>
    <mergeCell ref="D54:E54"/>
    <mergeCell ref="B60:C60"/>
    <mergeCell ref="B61:C61"/>
    <mergeCell ref="B58:C58"/>
    <mergeCell ref="B59:C59"/>
    <mergeCell ref="B57:C57"/>
    <mergeCell ref="E41:F41"/>
    <mergeCell ref="E42:G42"/>
    <mergeCell ref="K6:K7"/>
    <mergeCell ref="D71:E71"/>
    <mergeCell ref="D62:E62"/>
    <mergeCell ref="D64:E64"/>
    <mergeCell ref="D63:E63"/>
    <mergeCell ref="B54:C54"/>
    <mergeCell ref="D60:E60"/>
    <mergeCell ref="D61:E61"/>
    <mergeCell ref="D55:E55"/>
    <mergeCell ref="K41:K42"/>
    <mergeCell ref="B68:C68"/>
    <mergeCell ref="D68:E68"/>
    <mergeCell ref="D67:E67"/>
    <mergeCell ref="B62:C62"/>
    <mergeCell ref="J18:K19"/>
    <mergeCell ref="G71:J72"/>
    <mergeCell ref="B63:C63"/>
    <mergeCell ref="G48:I48"/>
    <mergeCell ref="F39:G39"/>
    <mergeCell ref="C39:D39"/>
    <mergeCell ref="H45:I45"/>
    <mergeCell ref="H44:I44"/>
    <mergeCell ref="B48:C48"/>
    <mergeCell ref="K29:K30"/>
    <mergeCell ref="J2:J3"/>
    <mergeCell ref="J4:J5"/>
    <mergeCell ref="K4:K5"/>
    <mergeCell ref="B12:C12"/>
    <mergeCell ref="B36:C36"/>
    <mergeCell ref="H39:I39"/>
    <mergeCell ref="D57:E57"/>
    <mergeCell ref="D56:E56"/>
    <mergeCell ref="B4:C4"/>
    <mergeCell ref="B6:C6"/>
    <mergeCell ref="B7:C7"/>
    <mergeCell ref="D53:E53"/>
    <mergeCell ref="D51:E51"/>
    <mergeCell ref="D50:E50"/>
    <mergeCell ref="B50:C50"/>
    <mergeCell ref="B29:C29"/>
    <mergeCell ref="B37:C37"/>
    <mergeCell ref="B40:D40"/>
    <mergeCell ref="B45:C45"/>
    <mergeCell ref="D45:E45"/>
    <mergeCell ref="B44:C44"/>
    <mergeCell ref="B18:C18"/>
    <mergeCell ref="B55:C55"/>
    <mergeCell ref="B30:C30"/>
  </mergeCells>
  <pageMargins left="0.25" right="0.25" top="0.75" bottom="0.75" header="0.3" footer="0.3"/>
  <pageSetup orientation="portrait" r:id="rId1"/>
  <rowBreaks count="1" manualBreakCount="1">
    <brk id="4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D2ECA-2BAD-40CC-ABE6-F611B5FB8305}">
  <sheetPr codeName="Sheet2"/>
  <dimension ref="A1:M82"/>
  <sheetViews>
    <sheetView topLeftCell="A147" zoomScale="115" zoomScaleNormal="115" workbookViewId="0">
      <selection activeCell="I20" sqref="I20:I24"/>
    </sheetView>
  </sheetViews>
  <sheetFormatPr defaultRowHeight="15"/>
  <cols>
    <col min="1" max="1" width="8.85546875" customWidth="1"/>
    <col min="2" max="3" width="12.7109375" customWidth="1"/>
    <col min="4" max="4" width="16.28515625" customWidth="1"/>
    <col min="5" max="6" width="12.28515625" bestFit="1" customWidth="1"/>
    <col min="7" max="7" width="12.5703125" customWidth="1"/>
    <col min="8" max="8" width="5.5703125" customWidth="1"/>
    <col min="9" max="9" width="88.28515625" customWidth="1"/>
    <col min="11" max="11" width="88" customWidth="1"/>
    <col min="15" max="15" width="56.7109375" customWidth="1"/>
  </cols>
  <sheetData>
    <row r="1" spans="1:11">
      <c r="C1" s="544" t="s">
        <v>94</v>
      </c>
      <c r="D1" s="545"/>
      <c r="E1" s="537"/>
      <c r="I1" s="536" t="str">
        <f>"Hi "&amp;B3 &amp; IF(B4 ="",""," and ") &amp;B4&amp;",
Thank you for the opportunity to make an offer on your property at "&amp;Profit!B2&amp;". I have several options I would like for you to consider. I also want to give you several very good reasons for you to work with us here at Buy Your Home LLC.
"&amp;REPT(" ",6)&amp;"1. If you sell your home to us, you will incur no expense from the transaction. We will pay all:
"&amp;REPT(" ",20)&amp;"Closing Cost
"&amp;REPT(" ",20)&amp;"Attorney's Fees
"&amp;REPT(" ",20)&amp;"Realtor Commissions
"&amp;REPT(" ",6) &amp;" 2. We can close fast. It will be a matter of days, probably less than two weeks, when we can  
"&amp;REPT(" ",11) &amp;"close at our attorney's office and get you your cash.
"&amp;REPT(" ",6) &amp;"3. We cover the cost, time, and effort of paying any money due to any lender or HOA 
"&amp;REPT(" ",11) &amp;"involved."</f>
        <v>Hi Nikki,
Thank you for the opportunity to make an offer on your property at 3413 Pinetree Ln, Greenville, NC 27858. I have several options I would like for you to consider. I also want to give you several very good reasons for you to work with us here at Buy Your Home LLC.
      1. If you sell your home to us, you will incur no expense from the transaction. We will pay all:
                    Closing Cost
                    Attorney's Fees
                    Realtor Commissions
       2. We can close fast. It will be a matter of days, probably less than two weeks, when we can  
           close at our attorney's office and get you your cash.
      3. We cover the cost, time, and effort of paying any money due to any lender or HOA 
           involved.</v>
      </c>
      <c r="J1" s="546" t="s">
        <v>95</v>
      </c>
      <c r="K1" s="536" t="str">
        <f>+I1&amp;IF(N14="X",O14,"")&amp;"
"&amp; IF(H15="X",I15,"") &amp;"
"&amp; IF(H16="X",I16,"") &amp;"
"&amp; IF(H20="X",I20,"") &amp;"
"&amp; IF(H26="X",I26,"") &amp;"
"&amp; IF(H33="X",I33,"") &amp; "
"&amp; IF(H42="X",I42,"") &amp; "
"&amp; IF(H52="X",I52,"") &amp; "
"&amp; IF(H61="X",I61,"") &amp; "
"&amp; IF(H74="X",I74,"") &amp; "
"&amp; IF(H81="X",I81,"") &amp; "
"&amp; IF(H82="X",I82,"") &amp; "
"&amp; ""</f>
        <v xml:space="preserve">Hi Nikki,
Thank you for the opportunity to make an offer on your property at 3413 Pinetree Ln, Greenville, NC 27858. I have several options I would like for you to consider. I also want to give you several very good reasons for you to work with us here at Buy Your Home LLC.
      1. If you sell your home to us, you will incur no expense from the transaction. We will pay all:
                    Closing Cost
                    Attorney's Fees
                    Realtor Commissions
       2. We can close fast. It will be a matter of days, probably less than two weeks, when we can  
           close at our attorney's office and get you your cash.
      3. We cover the cost, time, and effort of paying any money due to any lender or HOA 
           involved.
Here are some purchase options for your consideration. They are presented in summary form and I am sure you will have some questions that I will be happy to take time needed to answer.  Each option below will have more value than the one above it.
Option 1: Cash plus Assumption of Mortgage
      This is a cash payment, at closing. We will take responsibility for the existing mortgage, HOA
      fees, and any liens that may be discovered until we are able to resell the property. This offer is:
                                           Cash:                      $30,000.00
                                Total Value:                      $30,000.00
Option 2: Cash plus Promissory Note
      The explanation for the cash component is the same as for option 1. However, 20.% of the
      value of the offer will be cash and 80.% will be in the form of a promissory note, complete
      with a Deed of Trust. The note will have a 24-month term that will pay simple interest at
      the rate of 4% per year.
                                           Cash:                       $6,000.00
                        12 Month Note:                        $44,000.00
                         Interest Earned:                         $3,520.00            $146.67 per month
                                Total Value:                    $53,520.00
Option 3: Cash plus Beneficial Interest in Trust
      The explanation for the cash component is the same as for option 2. Instead of a note as in
      Option 2, you will share in the profit earned when the property is resold. The property will 
      be placed into a trust that you will share a beneficial interest in. The advantage here is you will 
      benefit from the appreciated value of the property, over time. You will receive quarterly
      reports on the financial status of the property.
                                           Cash:                       $10,000.00
                        Interest in Trust:                                 70.%
             Expected Sellers Profit:                       $107,166.15   *    Expected 10% appreciation per year
                          Expected Value:                    $117,166.15    ** After 24 months.
Nikki, this offer is contingent upon a normal due diligence period. The values of each option are predicated on some assumptions that may need to be altered upon further discovery. The more we can learn from you, in advance, the more reliable these options may be considered. When you decide which offer you prefer, I will email you a contract along with an earnest money payment. We are ready to be of service in any way we can.
This offer is based on Zillow's Zestimate of $287,000.00. 
We will clean and prepare the property for a quick resale. There is also an assumption that the property will need no rehab. If that turns out to not be true, an allowance will need to be made. In any case, that will be decided in the due diligence period of the contract.
Sincerely,
Wes Browning
(919) 899-2104
</v>
      </c>
    </row>
    <row r="2" spans="1:11" ht="15.75" thickBot="1">
      <c r="C2" s="3"/>
      <c r="D2" s="22"/>
      <c r="I2" s="537"/>
      <c r="J2" s="546"/>
      <c r="K2" s="536"/>
    </row>
    <row r="3" spans="1:11" ht="16.5" customHeight="1">
      <c r="A3" t="s">
        <v>96</v>
      </c>
      <c r="B3" s="389" t="s">
        <v>97</v>
      </c>
      <c r="C3" s="388" t="s">
        <v>98</v>
      </c>
      <c r="D3" s="22"/>
      <c r="I3" s="537"/>
      <c r="J3" s="382" t="s">
        <v>42</v>
      </c>
      <c r="K3" s="536"/>
    </row>
    <row r="4" spans="1:11">
      <c r="A4" t="s">
        <v>99</v>
      </c>
      <c r="B4" s="387"/>
      <c r="C4" s="390"/>
      <c r="D4" s="22"/>
      <c r="I4" s="537"/>
      <c r="K4" s="536"/>
    </row>
    <row r="5" spans="1:11" ht="16.5">
      <c r="A5" t="s">
        <v>100</v>
      </c>
      <c r="B5" s="377"/>
      <c r="C5" s="378"/>
      <c r="D5" s="22"/>
      <c r="I5" s="537"/>
      <c r="K5" s="536"/>
    </row>
    <row r="6" spans="1:11" ht="15" customHeight="1" thickBot="1">
      <c r="A6" t="s">
        <v>101</v>
      </c>
      <c r="B6" s="379"/>
      <c r="C6" s="380"/>
      <c r="D6" s="22"/>
      <c r="I6" s="537"/>
      <c r="K6" s="536"/>
    </row>
    <row r="7" spans="1:11">
      <c r="I7" s="537"/>
      <c r="K7" s="536"/>
    </row>
    <row r="8" spans="1:11">
      <c r="I8" s="537"/>
      <c r="K8" s="536"/>
    </row>
    <row r="9" spans="1:11">
      <c r="A9" s="15" t="s">
        <v>102</v>
      </c>
      <c r="B9" s="15" t="s">
        <v>103</v>
      </c>
      <c r="C9" s="15"/>
      <c r="I9" s="537"/>
      <c r="K9" s="536"/>
    </row>
    <row r="10" spans="1:11">
      <c r="B10" s="547" t="s">
        <v>104</v>
      </c>
      <c r="C10" s="548"/>
      <c r="D10" s="548"/>
      <c r="E10" s="548"/>
      <c r="F10" s="548"/>
      <c r="G10" s="548"/>
      <c r="I10" s="537"/>
      <c r="K10" s="536"/>
    </row>
    <row r="11" spans="1:11">
      <c r="B11" s="537"/>
      <c r="C11" s="537"/>
      <c r="D11" s="537"/>
      <c r="E11" s="537"/>
      <c r="F11" s="537"/>
      <c r="G11" s="537"/>
      <c r="I11" s="537"/>
      <c r="K11" s="536"/>
    </row>
    <row r="12" spans="1:11">
      <c r="F12" s="538" t="s">
        <v>105</v>
      </c>
      <c r="I12" s="537"/>
      <c r="K12" s="536"/>
    </row>
    <row r="13" spans="1:11" ht="15.75" thickBot="1">
      <c r="B13" s="32" t="s">
        <v>106</v>
      </c>
      <c r="C13" s="375" t="s">
        <v>107</v>
      </c>
      <c r="D13" s="32" t="s">
        <v>108</v>
      </c>
      <c r="E13" s="32"/>
      <c r="F13" s="539"/>
      <c r="G13" s="32" t="s">
        <v>109</v>
      </c>
      <c r="I13" s="537"/>
      <c r="K13" s="536"/>
    </row>
    <row r="14" spans="1:11" ht="16.5" thickTop="1" thickBot="1">
      <c r="B14" s="386">
        <f>+D14+F14</f>
        <v>182424.13125000001</v>
      </c>
      <c r="C14" s="1">
        <f>+Profit!B4</f>
        <v>287000</v>
      </c>
      <c r="D14" s="1">
        <f>+Profit!K27-Profit!B18</f>
        <v>155424.13125000001</v>
      </c>
      <c r="F14" s="385">
        <f>+B24-(B24*F16)</f>
        <v>27000</v>
      </c>
      <c r="G14" s="339">
        <f>+C14-D14-F14+Profit!E39+Profit!B18</f>
        <v>73959.924749999991</v>
      </c>
      <c r="I14" s="537"/>
      <c r="K14" s="536"/>
    </row>
    <row r="15" spans="1:11" ht="16.5" thickTop="1" thickBot="1">
      <c r="C15" s="334"/>
      <c r="D15" s="335" t="s">
        <v>110</v>
      </c>
      <c r="E15" s="336">
        <f>+Profit!$K$29</f>
        <v>48676.264000000003</v>
      </c>
      <c r="H15" s="376"/>
      <c r="K15" s="536"/>
    </row>
    <row r="16" spans="1:11" ht="16.5" thickTop="1" thickBot="1">
      <c r="C16" s="334"/>
      <c r="D16" s="337" t="s">
        <v>111</v>
      </c>
      <c r="E16" s="338">
        <f>+G14/E15</f>
        <v>1.5194248422598742</v>
      </c>
      <c r="F16" s="384">
        <v>0.1</v>
      </c>
      <c r="H16" s="376" t="s">
        <v>112</v>
      </c>
      <c r="I16" s="536" t="str">
        <f>"Here are some purchase options for your consideration. They are presented in summary form and I am sure you will have some questions that I will be happy to take time needed to answer.  Each option below will have more value than the one above it."</f>
        <v>Here are some purchase options for your consideration. They are presented in summary form and I am sure you will have some questions that I will be happy to take time needed to answer.  Each option below will have more value than the one above it.</v>
      </c>
      <c r="K16" s="536"/>
    </row>
    <row r="17" spans="1:13" ht="15.75" thickTop="1">
      <c r="C17" s="334"/>
      <c r="D17" s="337" t="s">
        <v>113</v>
      </c>
      <c r="E17" s="338">
        <f>+G14/(F14+G14)</f>
        <v>0.73256715407763806</v>
      </c>
      <c r="F17" t="s">
        <v>114</v>
      </c>
      <c r="I17" s="536"/>
      <c r="K17" s="536"/>
    </row>
    <row r="18" spans="1:13">
      <c r="I18" s="536"/>
      <c r="K18" s="536"/>
    </row>
    <row r="19" spans="1:13" ht="15.75" thickBot="1">
      <c r="A19" s="15" t="s">
        <v>115</v>
      </c>
      <c r="B19" s="15" t="s">
        <v>116</v>
      </c>
      <c r="D19" s="15" t="s">
        <v>117</v>
      </c>
      <c r="H19">
        <f>IF(H20="X",1,0)</f>
        <v>0</v>
      </c>
      <c r="K19" s="536"/>
    </row>
    <row r="20" spans="1:13" ht="15" customHeight="1" thickTop="1" thickBot="1">
      <c r="B20" t="s">
        <v>118</v>
      </c>
      <c r="H20" s="376"/>
      <c r="I20" s="536" t="str">
        <f>"Option "&amp;H19&amp;": "&amp;""&amp;B9&amp;"
"&amp;REPT(" ",6)&amp;"This is a, traditional, all cash purchase, at closing with no other allowances considered. Seller 
"&amp;REPT(" ",6)&amp;"pays all mortgages, liens, HOA expenses, etc., out of closings disbursements. This option has 
" &amp; REPT(" ",6) &amp; "the smallest value for the seller. Our cash offer is:
"&amp;REPT(" ",43) &amp;"Cash:"&amp;REPT(" ",21)&amp;+TEXT(B14,"$#,##0.00") &amp; IF(J3="yes",REPT(" ",10) &amp; "Profit = "&amp; TEXT(G14,"$#,##0.00"),"" )&amp; "
"&amp;REPT(" ",32) &amp; "Total Value:"&amp;REPT(" ",21)&amp;TEXT(F14,"$#,##0.00")</f>
        <v>Option 0: Traditional, All Cash 
      This is a, traditional, all cash purchase, at closing with no other allowances considered. Seller 
      pays all mortgages, liens, HOA expenses, etc., out of closings disbursements. This option has 
      the smallest value for the seller. Our cash offer is:
                                           Cash:                     $182,424.13
                                Total Value:                     $27,000.00</v>
      </c>
      <c r="K20" s="536"/>
    </row>
    <row r="21" spans="1:13" ht="15.75" thickTop="1">
      <c r="B21" t="s">
        <v>119</v>
      </c>
      <c r="I21" s="536"/>
      <c r="J21" s="373"/>
      <c r="K21" s="536"/>
      <c r="L21" s="372"/>
      <c r="M21" s="372"/>
    </row>
    <row r="22" spans="1:13" ht="30">
      <c r="F22" s="97" t="s">
        <v>120</v>
      </c>
      <c r="I22" s="536"/>
      <c r="J22" s="372"/>
      <c r="K22" s="536"/>
      <c r="L22" s="372"/>
      <c r="M22" s="372"/>
    </row>
    <row r="23" spans="1:13" ht="15.75" thickBot="1">
      <c r="B23" s="32" t="s">
        <v>121</v>
      </c>
      <c r="C23" s="540"/>
      <c r="D23" s="541"/>
      <c r="E23" s="541"/>
      <c r="F23" s="541"/>
      <c r="G23" s="32" t="s">
        <v>109</v>
      </c>
      <c r="I23" s="558"/>
      <c r="J23" s="372"/>
      <c r="K23" s="536"/>
      <c r="L23" s="372"/>
      <c r="M23" s="372"/>
    </row>
    <row r="24" spans="1:13" ht="16.5" thickTop="1" thickBot="1">
      <c r="B24" s="383">
        <f>+Profit!B18</f>
        <v>30000</v>
      </c>
      <c r="C24" s="542" t="s">
        <v>122</v>
      </c>
      <c r="D24" s="543"/>
      <c r="E24" s="543"/>
      <c r="F24" s="10">
        <f>+B24</f>
        <v>30000</v>
      </c>
      <c r="G24" s="339">
        <f>+Profit!K45+Profit!B18-B24</f>
        <v>104394.49600000001</v>
      </c>
      <c r="I24" s="537"/>
      <c r="K24" s="536"/>
    </row>
    <row r="25" spans="1:13" ht="15.4" customHeight="1" thickTop="1" thickBot="1">
      <c r="C25" s="334"/>
      <c r="D25" s="335" t="s">
        <v>110</v>
      </c>
      <c r="E25" s="336">
        <f>+Profit!$K$29</f>
        <v>48676.264000000003</v>
      </c>
      <c r="H25">
        <f>IF(H26="X",1+H19,H19)</f>
        <v>1</v>
      </c>
      <c r="K25" s="536"/>
    </row>
    <row r="26" spans="1:13" ht="15" customHeight="1" thickTop="1" thickBot="1">
      <c r="C26" s="334"/>
      <c r="D26" s="337" t="s">
        <v>111</v>
      </c>
      <c r="E26" s="338">
        <f>+G24/E25</f>
        <v>2.1446694429958719</v>
      </c>
      <c r="H26" s="376" t="s">
        <v>123</v>
      </c>
      <c r="I26" s="536" t="str">
        <f>"Option "  &amp; H25 &amp; ": "&amp;""&amp;B19&amp;"
"&amp;REPT(" ",6) &amp; "This is a cash payment, at closing. We will take responsibility for the existing mortgage, HOA
"&amp;REPT(" ",6) &amp; "fees, and any liens that may be discovered until we are able to resell the property. This offer is:
"&amp;REPT(" ",43)&amp;"Cash:"&amp;REPT(" ",22) &amp; TEXT(F24,"$#,##0.00") &amp; IF(J3="yes",REPT(" ",10) &amp; "Profit = "&amp; TEXT(G24,"$#,##0.00"),"" ) &amp; "
"&amp;REPT(" ",32)&amp;"Total Value:"&amp;REPT(" ",22) &amp; TEXT(F24,"$#,##0.00")</f>
        <v>Option 1: Cash plus Assumption of Mortgage
      This is a cash payment, at closing. We will take responsibility for the existing mortgage, HOA
      fees, and any liens that may be discovered until we are able to resell the property. This offer is:
                                           Cash:                      $30,000.00
                                Total Value:                      $30,000.00</v>
      </c>
      <c r="K26" s="536"/>
    </row>
    <row r="27" spans="1:13" ht="15" customHeight="1" thickTop="1">
      <c r="C27" s="334"/>
      <c r="D27" s="337" t="s">
        <v>113</v>
      </c>
      <c r="E27" s="338">
        <f>+G24/(F24+G24)</f>
        <v>0.77677657275488432</v>
      </c>
      <c r="I27" s="536"/>
      <c r="K27" s="536"/>
    </row>
    <row r="28" spans="1:13" ht="15" customHeight="1">
      <c r="I28" s="536"/>
      <c r="K28" s="536"/>
    </row>
    <row r="29" spans="1:13">
      <c r="A29" s="15"/>
      <c r="B29" s="15"/>
      <c r="I29" s="558"/>
      <c r="K29" s="536"/>
    </row>
    <row r="30" spans="1:13">
      <c r="A30" s="15" t="s">
        <v>124</v>
      </c>
      <c r="B30" s="15" t="s">
        <v>125</v>
      </c>
      <c r="D30" t="s">
        <v>126</v>
      </c>
      <c r="I30" s="537"/>
      <c r="K30" s="536"/>
    </row>
    <row r="31" spans="1:13" ht="25.5">
      <c r="B31" t="s">
        <v>118</v>
      </c>
      <c r="I31" s="373" t="str">
        <f>"This is a cash payment, at closing, in conjunction with reinstating the existing mortgage taking responsibility for those payments, HOA fees and other liens that may be discovered. Our cash offer is:"</f>
        <v>This is a cash payment, at closing, in conjunction with reinstating the existing mortgage taking responsibility for those payments, HOA fees and other liens that may be discovered. Our cash offer is:</v>
      </c>
      <c r="K31" s="536"/>
    </row>
    <row r="32" spans="1:13" ht="15.75" thickBot="1">
      <c r="B32" t="s">
        <v>119</v>
      </c>
      <c r="H32">
        <f>IF(H33="X",H25+1,H25)</f>
        <v>2</v>
      </c>
      <c r="K32" s="536"/>
    </row>
    <row r="33" spans="1:13" ht="15" customHeight="1" thickTop="1" thickBot="1">
      <c r="H33" s="376" t="s">
        <v>123</v>
      </c>
      <c r="I33" s="536" t="str">
        <f>"Option "  &amp; H32 &amp; ": " &amp;""&amp;B30&amp;"
"&amp;REPT(" ",6)&amp;"The explanation for the cash component is the same as for option "&amp; H25 &amp; ". However, "&amp;TEXT(B38,"##.#%") &amp;" of the
" &amp; REPT(" ",6) &amp; "value of the offer will be cash and "&amp; TEXT(C38,"##.#%") &amp;" will be in the form of a promissory note, complete
" &amp; REPT(" ",6) &amp; "with a Deed of Trust. The note will have a " &amp; D35 &amp; "-month term that will pay simple interest at
" &amp; REPT(" ",6) &amp; "the rate of "&amp;E37*100&amp;"% per year.
"&amp; REPT(" ",43) &amp; "Cash:" &amp; REPT(" ",23) &amp; TEXT(B37,"$#,##0.00") &amp; IF(J3="yes",REPT(" ",10) &amp; "Profit = "&amp; TEXT(G37,"$#,##0.00"),"" ) &amp;"
"&amp; REPT(" ",24) &amp; "12 Month Note:" &amp; REPT(" ",24) &amp; TEXT(C37,"$#,##0.00")&amp;"
"&amp; REPT(" ",25) &amp; "Interest Earned:" &amp; REPT(" ",25) &amp; TEXT(D37,"$#,##0.00") &amp;REPT(" ",12)&amp;+TEXT(D37/D35,"$#,##0.00") &amp; " per month" &amp; "
"&amp; REPT(" ",32) &amp; "Total Value:" &amp; REPT(" ",20) &amp; TEXT(F37,"$#,##0.00")</f>
        <v>Option 2: Cash plus Promissory Note
      The explanation for the cash component is the same as for option 1. However, 20.% of the
      value of the offer will be cash and 80.% will be in the form of a promissory note, complete
      with a Deed of Trust. The note will have a 24-month term that will pay simple interest at
      the rate of 4% per year.
                                           Cash:                       $6,000.00
                        12 Month Note:                        $44,000.00
                         Interest Earned:                         $3,520.00            $146.67 per month
                                Total Value:                    $53,520.00</v>
      </c>
      <c r="K33" s="536"/>
    </row>
    <row r="34" spans="1:13" ht="16.5" thickTop="1" thickBot="1">
      <c r="C34" s="2" t="s">
        <v>127</v>
      </c>
      <c r="D34" s="3" t="s">
        <v>128</v>
      </c>
      <c r="F34" s="3" t="s">
        <v>129</v>
      </c>
      <c r="I34" s="536"/>
      <c r="K34" s="536"/>
    </row>
    <row r="35" spans="1:13" ht="16.5" thickTop="1" thickBot="1">
      <c r="B35" s="381" t="s">
        <v>130</v>
      </c>
      <c r="C35" s="342">
        <v>20000</v>
      </c>
      <c r="D35" s="333">
        <v>24</v>
      </c>
      <c r="F35" s="538" t="s">
        <v>120</v>
      </c>
      <c r="I35" s="536"/>
      <c r="K35" s="536"/>
    </row>
    <row r="36" spans="1:13" ht="16.5" thickTop="1" thickBot="1">
      <c r="B36" s="32" t="s">
        <v>131</v>
      </c>
      <c r="C36" s="32" t="s">
        <v>132</v>
      </c>
      <c r="D36" s="32" t="s">
        <v>133</v>
      </c>
      <c r="E36" s="32" t="s">
        <v>134</v>
      </c>
      <c r="F36" s="539"/>
      <c r="G36" s="32" t="s">
        <v>109</v>
      </c>
      <c r="I36" s="536"/>
      <c r="K36" s="536"/>
    </row>
    <row r="37" spans="1:13" ht="16.5" thickTop="1" thickBot="1">
      <c r="B37" s="10">
        <f>+(Profit!$B$18)*B38</f>
        <v>6000</v>
      </c>
      <c r="C37" s="10">
        <f>+(Profit!$B$18)-B37+C35</f>
        <v>44000</v>
      </c>
      <c r="D37" s="10">
        <f>+C37*D35/12*E37</f>
        <v>3520</v>
      </c>
      <c r="E37" s="354">
        <v>0.04</v>
      </c>
      <c r="F37" s="10">
        <f>+SUM(B37:D37)</f>
        <v>53520</v>
      </c>
      <c r="G37" s="339">
        <f>+Profit!$K$45-D37-C35</f>
        <v>80874.496000000014</v>
      </c>
      <c r="I37" s="536"/>
      <c r="K37" s="536"/>
    </row>
    <row r="38" spans="1:13" ht="16.5" thickTop="1" thickBot="1">
      <c r="B38" s="354">
        <v>0.2</v>
      </c>
      <c r="C38" s="371">
        <f>1-B38</f>
        <v>0.8</v>
      </c>
      <c r="D38" s="10"/>
      <c r="E38" s="38"/>
      <c r="F38" s="10"/>
      <c r="G38" s="10"/>
      <c r="I38" s="536"/>
      <c r="K38" s="536"/>
    </row>
    <row r="39" spans="1:13" ht="15.4" customHeight="1" thickTop="1">
      <c r="B39" s="10"/>
      <c r="C39" s="339"/>
      <c r="D39" s="335" t="s">
        <v>110</v>
      </c>
      <c r="E39" s="336">
        <f>+Profit!$K$29-C37+C35</f>
        <v>24676.264000000003</v>
      </c>
      <c r="F39" s="10"/>
      <c r="G39" s="10"/>
      <c r="I39" s="536"/>
      <c r="K39" s="536"/>
    </row>
    <row r="40" spans="1:13">
      <c r="C40" s="334"/>
      <c r="D40" s="337" t="s">
        <v>111</v>
      </c>
      <c r="E40" s="338">
        <f>+G37/E39</f>
        <v>3.2774206014330209</v>
      </c>
      <c r="I40" s="536"/>
      <c r="K40" s="536"/>
    </row>
    <row r="41" spans="1:13" ht="15" customHeight="1" thickBot="1">
      <c r="C41" s="334"/>
      <c r="D41" s="337" t="s">
        <v>113</v>
      </c>
      <c r="E41" s="338">
        <f>+G37/(F37+G37)</f>
        <v>0.6017694057947135</v>
      </c>
      <c r="H41">
        <f>IF(H42="X",H32+1,H32)</f>
        <v>3</v>
      </c>
      <c r="K41" s="536"/>
    </row>
    <row r="42" spans="1:13" ht="16.5" thickTop="1" thickBot="1">
      <c r="A42" s="15" t="s">
        <v>135</v>
      </c>
      <c r="B42" s="15" t="s">
        <v>136</v>
      </c>
      <c r="H42" s="376" t="s">
        <v>123</v>
      </c>
      <c r="I42" s="536" t="str">
        <f>"Option "  &amp; H41 &amp; ": " &amp; B42&amp;"
"&amp;REPT(" ",6)&amp;"The explanation for the cash component is the same as for option "&amp; H32 &amp; ". Instead of a note as in
" &amp; REPT(" ",6) &amp; "Option "&amp; H32 &amp; ", you will share in the profit earned when the property is resold." &amp;" The property will 
" &amp; REPT(" ",6) &amp; "be placed into a trust that you will share a beneficial interest in. The advantage here is you will 
" &amp; REPT(" ",6) &amp; "benefit from the appreciated value of the property, over time." &amp;" You will receive quarterly
" &amp; REPT(" ",6) &amp; "reports on the financial status of the property.
"&amp; REPT(" ",43) &amp; "Cash:" &amp; REPT(" ",23) &amp; TEXT(B50,"$#,##0.00") &amp; IF(J3="yes",REPT(" ",10) &amp; "Profit = "&amp; TEXT(G50,"$#,##0.00"),"" ) &amp;"
"&amp; REPT(" ",24) &amp; "Interest in Trust:" &amp; REPT(" ",33) &amp; TEXT(D50,"#.#%")&amp;"
"&amp; REPT(" ",13) &amp; "Expected Sellers Profit:" &amp; REPT(" ",23) &amp; TEXT(E50,"$#,##0.00") &amp;"   *    Expected "&amp;Profit!$K$6*100&amp;"% appreciation per year" &amp; "
"&amp; REPT(" ",26) &amp; "Expected Value:" &amp; REPT(" ",20) &amp; TEXT(F50,"$#,##0.00") &amp; "    ** After " &amp; D35 &amp;" months."</f>
        <v>Option 3: Cash plus Beneficial Interest in Trust
      The explanation for the cash component is the same as for option 2. Instead of a note as in
      Option 2, you will share in the profit earned when the property is resold. The property will 
      be placed into a trust that you will share a beneficial interest in. The advantage here is you will 
      benefit from the appreciated value of the property, over time. You will receive quarterly
      reports on the financial status of the property.
                                           Cash:                       $10,000.00
                        Interest in Trust:                                 70.%
             Expected Sellers Profit:                       $107,166.15   *    Expected 10% appreciation per year
                          Expected Value:                    $117,166.15    ** After 24 months.</v>
      </c>
      <c r="K42" s="536"/>
    </row>
    <row r="43" spans="1:13" ht="15.75" thickTop="1">
      <c r="B43" t="s">
        <v>118</v>
      </c>
      <c r="I43" s="536"/>
      <c r="K43" s="537"/>
      <c r="M43" s="358"/>
    </row>
    <row r="44" spans="1:13">
      <c r="B44" t="s">
        <v>119</v>
      </c>
      <c r="I44" s="536"/>
      <c r="K44" s="537"/>
    </row>
    <row r="45" spans="1:13" ht="15" customHeight="1">
      <c r="B45" t="s">
        <v>137</v>
      </c>
      <c r="I45" s="536"/>
      <c r="K45" s="537"/>
    </row>
    <row r="46" spans="1:13">
      <c r="B46" t="s">
        <v>138</v>
      </c>
      <c r="I46" s="536"/>
      <c r="K46" s="537"/>
    </row>
    <row r="47" spans="1:13">
      <c r="F47" s="3" t="s">
        <v>139</v>
      </c>
      <c r="I47" s="536"/>
      <c r="K47" s="537"/>
    </row>
    <row r="48" spans="1:13">
      <c r="C48" s="538" t="s">
        <v>140</v>
      </c>
      <c r="D48" s="538" t="s">
        <v>141</v>
      </c>
      <c r="E48" s="538" t="s">
        <v>142</v>
      </c>
      <c r="F48" s="538" t="s">
        <v>120</v>
      </c>
      <c r="I48" s="536"/>
      <c r="K48" s="537"/>
    </row>
    <row r="49" spans="1:11" ht="15.75" thickBot="1">
      <c r="B49" s="3" t="s">
        <v>131</v>
      </c>
      <c r="C49" s="539" t="s">
        <v>140</v>
      </c>
      <c r="D49" s="539" t="s">
        <v>141</v>
      </c>
      <c r="E49" s="539" t="s">
        <v>143</v>
      </c>
      <c r="F49" s="539"/>
      <c r="G49" s="32" t="s">
        <v>109</v>
      </c>
      <c r="I49" s="536"/>
      <c r="K49" s="537"/>
    </row>
    <row r="50" spans="1:11" ht="16.5" thickTop="1" thickBot="1">
      <c r="B50" s="342">
        <v>10000</v>
      </c>
      <c r="C50" s="8">
        <f>+Profit!$K$45+Profit!B18-B50+(Profit!K6*Profit!C35/12*Profit!B4)</f>
        <v>153094.49600000001</v>
      </c>
      <c r="D50" s="332">
        <v>0.7</v>
      </c>
      <c r="E50" s="10">
        <f>+D50*C50</f>
        <v>107166.14720000001</v>
      </c>
      <c r="F50" s="10">
        <f>+B50+E50</f>
        <v>117166.14720000001</v>
      </c>
      <c r="G50" s="339">
        <f>(1-D50)*C50</f>
        <v>45928.348800000014</v>
      </c>
      <c r="I50" s="536"/>
      <c r="K50" s="537"/>
    </row>
    <row r="51" spans="1:11" ht="15.75" thickTop="1">
      <c r="D51" s="15" t="s">
        <v>144</v>
      </c>
      <c r="I51" s="374"/>
      <c r="K51" s="537"/>
    </row>
    <row r="52" spans="1:11">
      <c r="C52" s="334"/>
      <c r="D52" s="335" t="s">
        <v>110</v>
      </c>
      <c r="E52" s="336">
        <f>+Profit!$K$29-B24+B50</f>
        <v>28676.264000000003</v>
      </c>
      <c r="H52" t="s">
        <v>112</v>
      </c>
      <c r="I52" s="536" t="str">
        <f>B3 &amp; ", this offer is contingent upon a normal due diligence period. The values of each option are predicated on some assumptions that may need to be altered upon further discovery. " &amp; "The more we can learn from you, in advance, the more reliable these options may be considered. When you decide which offer you prefer, I will email you a contract along with an earnest money payment. We are ready to be of service in any way we can."</f>
        <v>Nikki, this offer is contingent upon a normal due diligence period. The values of each option are predicated on some assumptions that may need to be altered upon further discovery. The more we can learn from you, in advance, the more reliable these options may be considered. When you decide which offer you prefer, I will email you a contract along with an earnest money payment. We are ready to be of service in any way we can.</v>
      </c>
      <c r="K52" s="537"/>
    </row>
    <row r="53" spans="1:11" ht="15" customHeight="1">
      <c r="C53" s="334"/>
      <c r="D53" s="337" t="s">
        <v>111</v>
      </c>
      <c r="E53" s="338">
        <f>+G50/E52</f>
        <v>1.6016154963561504</v>
      </c>
      <c r="I53" s="537"/>
      <c r="K53" s="537"/>
    </row>
    <row r="54" spans="1:11">
      <c r="C54" s="334"/>
      <c r="D54" s="337" t="s">
        <v>113</v>
      </c>
      <c r="E54" s="338">
        <f>+G50/(F50+G50)</f>
        <v>0.28160575572090435</v>
      </c>
      <c r="I54" s="537"/>
      <c r="K54" s="537"/>
    </row>
    <row r="55" spans="1:11" ht="15" customHeight="1">
      <c r="I55" s="537"/>
      <c r="K55" s="537"/>
    </row>
    <row r="56" spans="1:11" ht="15.75" thickBot="1">
      <c r="B56" s="15" t="s">
        <v>145</v>
      </c>
      <c r="D56" t="s">
        <v>146</v>
      </c>
      <c r="I56" s="537"/>
      <c r="K56" s="537"/>
    </row>
    <row r="57" spans="1:11">
      <c r="A57" s="549" t="str">
        <f>"This offer is based on Zillow's Zestimate of " &amp;  TEXT(Profit!B4,"$#,##0.00") &amp; ". 
" &amp; "We will clean and prepare the property for a quick resale. There is also an assumption that the property will need no rehab." &amp; " If that turns out to not be true, an allowance will need to be made. In any case, that will be decided in the due diligence period of the contract.
" &amp;
""</f>
        <v xml:space="preserve">This offer is based on Zillow's Zestimate of $287,000.00. 
We will clean and prepare the property for a quick resale. There is also an assumption that the property will need no rehab. If that turns out to not be true, an allowance will need to be made. In any case, that will be decided in the due diligence period of the contract.
</v>
      </c>
      <c r="B57" s="550"/>
      <c r="C57" s="550"/>
      <c r="D57" s="550"/>
      <c r="E57" s="550"/>
      <c r="F57" s="550"/>
      <c r="G57" s="551"/>
      <c r="I57" s="537"/>
      <c r="K57" s="537"/>
    </row>
    <row r="58" spans="1:11">
      <c r="A58" s="552"/>
      <c r="B58" s="553"/>
      <c r="C58" s="553"/>
      <c r="D58" s="553"/>
      <c r="E58" s="553"/>
      <c r="F58" s="553"/>
      <c r="G58" s="554"/>
      <c r="I58" s="537"/>
      <c r="K58" s="537"/>
    </row>
    <row r="59" spans="1:11">
      <c r="A59" s="552"/>
      <c r="B59" s="553"/>
      <c r="C59" s="553"/>
      <c r="D59" s="553"/>
      <c r="E59" s="553"/>
      <c r="F59" s="553"/>
      <c r="G59" s="554"/>
      <c r="K59" s="537"/>
    </row>
    <row r="60" spans="1:11">
      <c r="A60" s="552"/>
      <c r="B60" s="553"/>
      <c r="C60" s="553"/>
      <c r="D60" s="553"/>
      <c r="E60" s="553"/>
      <c r="F60" s="553"/>
      <c r="G60" s="554"/>
      <c r="K60" s="537"/>
    </row>
    <row r="61" spans="1:11">
      <c r="A61" s="552"/>
      <c r="B61" s="553"/>
      <c r="C61" s="553"/>
      <c r="D61" s="553"/>
      <c r="E61" s="553"/>
      <c r="F61" s="553"/>
      <c r="G61" s="554"/>
      <c r="H61" t="s">
        <v>112</v>
      </c>
      <c r="I61" s="536" t="str">
        <f>A57</f>
        <v xml:space="preserve">This offer is based on Zillow's Zestimate of $287,000.00. 
We will clean and prepare the property for a quick resale. There is also an assumption that the property will need no rehab. If that turns out to not be true, an allowance will need to be made. In any case, that will be decided in the due diligence period of the contract.
</v>
      </c>
      <c r="K61" s="537"/>
    </row>
    <row r="62" spans="1:11">
      <c r="A62" s="552"/>
      <c r="B62" s="553"/>
      <c r="C62" s="553"/>
      <c r="D62" s="553"/>
      <c r="E62" s="553"/>
      <c r="F62" s="553"/>
      <c r="G62" s="554"/>
      <c r="I62" s="537"/>
      <c r="K62" s="537"/>
    </row>
    <row r="63" spans="1:11">
      <c r="A63" s="552"/>
      <c r="B63" s="553"/>
      <c r="C63" s="553"/>
      <c r="D63" s="553"/>
      <c r="E63" s="553"/>
      <c r="F63" s="553"/>
      <c r="G63" s="554"/>
      <c r="I63" s="537"/>
      <c r="K63" s="537"/>
    </row>
    <row r="64" spans="1:11">
      <c r="A64" s="552"/>
      <c r="B64" s="553"/>
      <c r="C64" s="553"/>
      <c r="D64" s="553"/>
      <c r="E64" s="553"/>
      <c r="F64" s="553"/>
      <c r="G64" s="554"/>
      <c r="I64" s="537"/>
      <c r="K64" s="537"/>
    </row>
    <row r="65" spans="1:11">
      <c r="A65" s="552"/>
      <c r="B65" s="553"/>
      <c r="C65" s="553"/>
      <c r="D65" s="553"/>
      <c r="E65" s="553"/>
      <c r="F65" s="553"/>
      <c r="G65" s="554"/>
      <c r="I65" s="537"/>
      <c r="K65" s="537"/>
    </row>
    <row r="66" spans="1:11">
      <c r="A66" s="552"/>
      <c r="B66" s="553"/>
      <c r="C66" s="553"/>
      <c r="D66" s="553"/>
      <c r="E66" s="553"/>
      <c r="F66" s="553"/>
      <c r="G66" s="554"/>
      <c r="I66" s="537"/>
      <c r="K66" s="537"/>
    </row>
    <row r="67" spans="1:11">
      <c r="A67" s="552"/>
      <c r="B67" s="553"/>
      <c r="C67" s="553"/>
      <c r="D67" s="553"/>
      <c r="E67" s="553"/>
      <c r="F67" s="553"/>
      <c r="G67" s="554"/>
      <c r="I67" s="537"/>
      <c r="K67" s="537"/>
    </row>
    <row r="68" spans="1:11">
      <c r="A68" s="552"/>
      <c r="B68" s="553"/>
      <c r="C68" s="553"/>
      <c r="D68" s="553"/>
      <c r="E68" s="553"/>
      <c r="F68" s="553"/>
      <c r="G68" s="554"/>
      <c r="I68" s="537"/>
    </row>
    <row r="69" spans="1:11">
      <c r="A69" s="552"/>
      <c r="B69" s="553"/>
      <c r="C69" s="553"/>
      <c r="D69" s="553"/>
      <c r="E69" s="553"/>
      <c r="F69" s="553"/>
      <c r="G69" s="554"/>
      <c r="I69" s="537"/>
    </row>
    <row r="70" spans="1:11">
      <c r="A70" s="552"/>
      <c r="B70" s="553"/>
      <c r="C70" s="553"/>
      <c r="D70" s="553"/>
      <c r="E70" s="553"/>
      <c r="F70" s="553"/>
      <c r="G70" s="554"/>
      <c r="I70" s="537"/>
    </row>
    <row r="71" spans="1:11">
      <c r="A71" s="552"/>
      <c r="B71" s="553"/>
      <c r="C71" s="553"/>
      <c r="D71" s="553"/>
      <c r="E71" s="553"/>
      <c r="F71" s="553"/>
      <c r="G71" s="554"/>
      <c r="I71" s="537"/>
    </row>
    <row r="72" spans="1:11">
      <c r="A72" s="552"/>
      <c r="B72" s="553"/>
      <c r="C72" s="553"/>
      <c r="D72" s="553"/>
      <c r="E72" s="553"/>
      <c r="F72" s="553"/>
      <c r="G72" s="554"/>
      <c r="I72" s="537"/>
    </row>
    <row r="73" spans="1:11">
      <c r="A73" s="552"/>
      <c r="B73" s="553"/>
      <c r="C73" s="553"/>
      <c r="D73" s="553"/>
      <c r="E73" s="553"/>
      <c r="F73" s="553"/>
      <c r="G73" s="554"/>
    </row>
    <row r="74" spans="1:11">
      <c r="A74" s="552"/>
      <c r="B74" s="553"/>
      <c r="C74" s="553"/>
      <c r="D74" s="553"/>
      <c r="E74" s="553"/>
      <c r="F74" s="553"/>
      <c r="G74" s="554"/>
      <c r="H74" t="s">
        <v>112</v>
      </c>
      <c r="I74" s="356" t="str">
        <f>"Sincerely,
Wes Browning"</f>
        <v>Sincerely,
Wes Browning</v>
      </c>
    </row>
    <row r="75" spans="1:11" ht="15" customHeight="1">
      <c r="A75" s="552"/>
      <c r="B75" s="553"/>
      <c r="C75" s="553"/>
      <c r="D75" s="553"/>
      <c r="E75" s="553"/>
      <c r="F75" s="553"/>
      <c r="G75" s="554"/>
      <c r="I75" s="356"/>
    </row>
    <row r="76" spans="1:11">
      <c r="A76" s="552"/>
      <c r="B76" s="553"/>
      <c r="C76" s="553"/>
      <c r="D76" s="553"/>
      <c r="E76" s="553"/>
      <c r="F76" s="553"/>
      <c r="G76" s="554"/>
      <c r="I76" s="356"/>
    </row>
    <row r="77" spans="1:11">
      <c r="A77" s="552"/>
      <c r="B77" s="553"/>
      <c r="C77" s="553"/>
      <c r="D77" s="553"/>
      <c r="E77" s="553"/>
      <c r="F77" s="553"/>
      <c r="G77" s="554"/>
    </row>
    <row r="78" spans="1:11">
      <c r="A78" s="552"/>
      <c r="B78" s="553"/>
      <c r="C78" s="553"/>
      <c r="D78" s="553"/>
      <c r="E78" s="553"/>
      <c r="F78" s="553"/>
      <c r="G78" s="554"/>
    </row>
    <row r="79" spans="1:11" ht="15.75" thickBot="1">
      <c r="A79" s="555"/>
      <c r="B79" s="556"/>
      <c r="C79" s="556"/>
      <c r="D79" s="556"/>
      <c r="E79" s="556"/>
      <c r="F79" s="556"/>
      <c r="G79" s="557"/>
    </row>
    <row r="80" spans="1:11">
      <c r="A80" s="356"/>
      <c r="B80" s="356"/>
      <c r="C80" s="356"/>
      <c r="D80" s="356"/>
      <c r="E80" s="356"/>
      <c r="F80" s="356"/>
      <c r="G80" s="356"/>
    </row>
    <row r="81" spans="1:9">
      <c r="A81" s="356"/>
      <c r="B81" s="356"/>
      <c r="C81" s="356"/>
      <c r="D81" s="356"/>
      <c r="E81" s="356"/>
      <c r="F81" s="356"/>
      <c r="G81" s="2" t="s">
        <v>147</v>
      </c>
      <c r="I81" s="356" t="s">
        <v>148</v>
      </c>
    </row>
    <row r="82" spans="1:9">
      <c r="G82" s="2" t="s">
        <v>149</v>
      </c>
      <c r="H82" t="s">
        <v>112</v>
      </c>
      <c r="I82" s="356" t="s">
        <v>150</v>
      </c>
    </row>
  </sheetData>
  <mergeCells count="21">
    <mergeCell ref="A57:G79"/>
    <mergeCell ref="D48:D49"/>
    <mergeCell ref="C48:C49"/>
    <mergeCell ref="I26:I30"/>
    <mergeCell ref="I20:I24"/>
    <mergeCell ref="K1:K67"/>
    <mergeCell ref="I1:I14"/>
    <mergeCell ref="E48:E49"/>
    <mergeCell ref="F35:F36"/>
    <mergeCell ref="F48:F49"/>
    <mergeCell ref="I42:I50"/>
    <mergeCell ref="I52:I58"/>
    <mergeCell ref="I61:I72"/>
    <mergeCell ref="I16:I18"/>
    <mergeCell ref="I33:I40"/>
    <mergeCell ref="C23:F23"/>
    <mergeCell ref="C24:E24"/>
    <mergeCell ref="C1:E1"/>
    <mergeCell ref="F12:F13"/>
    <mergeCell ref="J1:J2"/>
    <mergeCell ref="B10:G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131FC-90AC-443C-A73E-F7CE9DF8AC63}">
  <sheetPr codeName="Sheet3"/>
  <dimension ref="A1:V57"/>
  <sheetViews>
    <sheetView workbookViewId="0">
      <pane xSplit="5" ySplit="1" topLeftCell="F35" activePane="bottomRight" state="frozen"/>
      <selection pane="topRight" activeCell="E1" sqref="E1"/>
      <selection pane="bottomLeft" activeCell="A2" sqref="A2"/>
      <selection pane="bottomRight" activeCell="H46" sqref="H46"/>
    </sheetView>
  </sheetViews>
  <sheetFormatPr defaultRowHeight="15"/>
  <cols>
    <col min="1" max="1" width="11" customWidth="1"/>
    <col min="2" max="2" width="38.140625" bestFit="1" customWidth="1"/>
    <col min="3" max="3" width="10.5703125" customWidth="1"/>
    <col min="4" max="4" width="9.28515625" customWidth="1"/>
    <col min="5" max="5" width="29.140625" style="25" customWidth="1"/>
    <col min="6" max="8" width="10" customWidth="1"/>
    <col min="9" max="9" width="9" customWidth="1"/>
    <col min="10" max="12" width="9.28515625" style="194" customWidth="1"/>
    <col min="13" max="13" width="8.28515625" style="194" customWidth="1"/>
    <col min="14" max="14" width="8" style="194" customWidth="1"/>
    <col min="15" max="20" width="8.140625" customWidth="1"/>
    <col min="21" max="21" width="3.140625" customWidth="1"/>
  </cols>
  <sheetData>
    <row r="1" spans="1:22" s="97" customFormat="1" ht="45.75" thickBot="1">
      <c r="A1" s="265"/>
      <c r="B1" s="563" t="str">
        <f>+Profit!B2</f>
        <v>3413 Pinetree Ln, Greenville, NC 27858</v>
      </c>
      <c r="C1" s="564"/>
      <c r="D1" s="561" t="s">
        <v>151</v>
      </c>
      <c r="E1" s="562"/>
      <c r="F1" s="260" t="s">
        <v>753</v>
      </c>
      <c r="G1" s="260" t="s">
        <v>751</v>
      </c>
      <c r="H1" s="260" t="s">
        <v>152</v>
      </c>
      <c r="I1" s="260" t="s">
        <v>153</v>
      </c>
      <c r="J1" s="314" t="s">
        <v>154</v>
      </c>
      <c r="K1" s="314" t="s">
        <v>155</v>
      </c>
      <c r="L1" s="302" t="s">
        <v>156</v>
      </c>
      <c r="M1" s="302" t="s">
        <v>157</v>
      </c>
      <c r="N1" s="302" t="s">
        <v>158</v>
      </c>
      <c r="O1" s="314" t="s">
        <v>159</v>
      </c>
      <c r="P1" s="302" t="s">
        <v>160</v>
      </c>
      <c r="Q1" s="314" t="s">
        <v>161</v>
      </c>
      <c r="R1" s="302" t="s">
        <v>162</v>
      </c>
      <c r="S1" s="302" t="s">
        <v>163</v>
      </c>
      <c r="T1" s="314" t="s">
        <v>164</v>
      </c>
      <c r="U1" s="260"/>
      <c r="V1" s="251"/>
    </row>
    <row r="2" spans="1:22">
      <c r="A2" s="266" t="s">
        <v>165</v>
      </c>
      <c r="B2" s="261"/>
      <c r="F2" s="258"/>
      <c r="G2" s="258"/>
      <c r="H2" s="258"/>
      <c r="I2" s="258"/>
      <c r="J2" s="258"/>
      <c r="K2" s="258"/>
      <c r="L2" s="258"/>
      <c r="M2" s="258"/>
      <c r="N2" s="258"/>
      <c r="O2" s="264"/>
      <c r="P2" s="264"/>
      <c r="Q2" s="264"/>
      <c r="R2" s="264"/>
      <c r="S2" s="264"/>
      <c r="T2" s="264"/>
      <c r="U2" s="295"/>
    </row>
    <row r="3" spans="1:22" ht="13.15" customHeight="1">
      <c r="A3" s="267"/>
      <c r="B3" s="262" t="s">
        <v>166</v>
      </c>
      <c r="C3" s="195" t="s">
        <v>167</v>
      </c>
      <c r="D3" s="559" t="s">
        <v>168</v>
      </c>
      <c r="E3" s="560"/>
      <c r="F3" s="259">
        <v>0</v>
      </c>
      <c r="G3" s="259"/>
      <c r="H3" s="259" t="s">
        <v>167</v>
      </c>
      <c r="I3" s="259" t="str">
        <f>+[1]Todo!$C3</f>
        <v>Yes</v>
      </c>
      <c r="J3" s="259"/>
      <c r="K3" s="259"/>
      <c r="L3" s="259"/>
      <c r="M3" s="259"/>
      <c r="N3" s="259"/>
      <c r="O3" s="259"/>
      <c r="U3" s="296"/>
    </row>
    <row r="4" spans="1:22" ht="13.15" customHeight="1">
      <c r="A4" s="267"/>
      <c r="B4" s="262" t="s">
        <v>169</v>
      </c>
      <c r="C4" s="196" t="s">
        <v>167</v>
      </c>
      <c r="D4" s="559" t="s">
        <v>168</v>
      </c>
      <c r="E4" s="560"/>
      <c r="F4" s="259">
        <v>0</v>
      </c>
      <c r="G4" s="259"/>
      <c r="H4" s="259" t="s">
        <v>767</v>
      </c>
      <c r="I4" s="259" t="str">
        <f>+[1]Todo!$C4</f>
        <v>Yes</v>
      </c>
      <c r="J4" s="259"/>
      <c r="K4" s="259"/>
      <c r="L4" s="259"/>
      <c r="M4" s="259"/>
      <c r="N4" s="259"/>
      <c r="O4" s="259"/>
      <c r="U4" s="296"/>
    </row>
    <row r="5" spans="1:22" ht="13.15" customHeight="1">
      <c r="A5" s="267"/>
      <c r="B5" s="262" t="s">
        <v>170</v>
      </c>
      <c r="C5" s="196" t="s">
        <v>167</v>
      </c>
      <c r="D5" s="559" t="s">
        <v>168</v>
      </c>
      <c r="E5" s="560"/>
      <c r="F5" s="259">
        <v>0</v>
      </c>
      <c r="G5" s="259"/>
      <c r="H5" s="259" t="s">
        <v>767</v>
      </c>
      <c r="I5" s="259" t="str">
        <f>+[1]Todo!$C5</f>
        <v>Yes</v>
      </c>
      <c r="J5" s="259"/>
      <c r="K5" s="259"/>
      <c r="L5" s="259"/>
      <c r="M5" s="259"/>
      <c r="N5" s="259"/>
      <c r="O5" s="259"/>
      <c r="U5" s="296"/>
    </row>
    <row r="6" spans="1:22" ht="13.15" customHeight="1">
      <c r="A6" s="267"/>
      <c r="B6" s="262" t="s">
        <v>171</v>
      </c>
      <c r="C6" s="196" t="s">
        <v>167</v>
      </c>
      <c r="D6" s="559" t="s">
        <v>168</v>
      </c>
      <c r="E6" s="560"/>
      <c r="F6" s="259">
        <v>0</v>
      </c>
      <c r="G6" s="259"/>
      <c r="H6" s="259" t="s">
        <v>754</v>
      </c>
      <c r="I6" s="259" t="str">
        <f>+[1]Todo!$C6</f>
        <v>Yes</v>
      </c>
      <c r="J6" s="259"/>
      <c r="K6" s="259"/>
      <c r="L6" s="259"/>
      <c r="M6" s="259"/>
      <c r="N6" s="259"/>
      <c r="O6" s="259"/>
      <c r="U6" s="296"/>
    </row>
    <row r="7" spans="1:22" ht="13.15" customHeight="1">
      <c r="A7" s="267"/>
      <c r="B7" s="262" t="s">
        <v>172</v>
      </c>
      <c r="C7" s="196" t="s">
        <v>754</v>
      </c>
      <c r="D7" s="559"/>
      <c r="E7" s="560"/>
      <c r="F7" s="259">
        <v>0</v>
      </c>
      <c r="G7" s="259"/>
      <c r="H7" s="259" t="s">
        <v>754</v>
      </c>
      <c r="I7" s="259" t="str">
        <f>+[1]Todo!$C7</f>
        <v>yes</v>
      </c>
      <c r="J7" s="259"/>
      <c r="K7" s="259"/>
      <c r="L7" s="259"/>
      <c r="M7" s="259"/>
      <c r="N7" s="259"/>
      <c r="O7" s="259"/>
      <c r="U7" s="296"/>
    </row>
    <row r="8" spans="1:22" ht="13.15" customHeight="1">
      <c r="A8" s="267"/>
      <c r="B8" s="262" t="s">
        <v>173</v>
      </c>
      <c r="C8" s="196" t="s">
        <v>754</v>
      </c>
      <c r="D8" s="559"/>
      <c r="E8" s="560"/>
      <c r="F8" s="259">
        <v>0</v>
      </c>
      <c r="G8" s="259"/>
      <c r="H8" s="259" t="s">
        <v>754</v>
      </c>
      <c r="I8" s="259" t="str">
        <f>+[1]Todo!$C8</f>
        <v>yes</v>
      </c>
      <c r="J8" s="259"/>
      <c r="K8" s="259"/>
      <c r="L8" s="259"/>
      <c r="M8" s="259"/>
      <c r="N8" s="259"/>
      <c r="O8" s="259"/>
      <c r="U8" s="296"/>
    </row>
    <row r="9" spans="1:22" ht="13.15" customHeight="1">
      <c r="A9" s="267"/>
      <c r="B9" s="262" t="s">
        <v>174</v>
      </c>
      <c r="C9" s="196" t="s">
        <v>175</v>
      </c>
      <c r="D9" s="559"/>
      <c r="E9" s="560"/>
      <c r="F9" s="259">
        <v>0</v>
      </c>
      <c r="G9" s="259"/>
      <c r="H9" s="259" t="s">
        <v>754</v>
      </c>
      <c r="I9" s="259" t="str">
        <f>+[1]Todo!$C9</f>
        <v>na</v>
      </c>
      <c r="J9" s="259"/>
      <c r="K9" s="259"/>
      <c r="L9" s="259"/>
      <c r="M9" s="259"/>
      <c r="N9" s="259"/>
      <c r="O9" s="259"/>
      <c r="U9" s="297"/>
    </row>
    <row r="10" spans="1:22" ht="13.15" customHeight="1">
      <c r="A10" s="267"/>
      <c r="B10" s="262" t="s">
        <v>176</v>
      </c>
      <c r="C10" s="196" t="s">
        <v>175</v>
      </c>
      <c r="D10" s="559"/>
      <c r="E10" s="560"/>
      <c r="F10" s="259">
        <v>0</v>
      </c>
      <c r="G10" s="259"/>
      <c r="H10" s="259" t="s">
        <v>754</v>
      </c>
      <c r="I10" s="259" t="str">
        <f>+[1]Todo!$C10</f>
        <v>na</v>
      </c>
      <c r="J10" s="259"/>
      <c r="K10" s="259"/>
      <c r="L10" s="259"/>
      <c r="M10" s="259"/>
      <c r="N10" s="259"/>
      <c r="O10" s="259"/>
      <c r="U10" s="297"/>
    </row>
    <row r="11" spans="1:22" ht="13.15" customHeight="1">
      <c r="A11" s="267"/>
      <c r="B11" s="262"/>
      <c r="C11" s="196"/>
      <c r="D11" s="559"/>
      <c r="E11" s="560"/>
      <c r="F11" s="259">
        <v>0</v>
      </c>
      <c r="G11" s="259"/>
      <c r="H11" s="259">
        <v>0</v>
      </c>
      <c r="I11" s="259">
        <f>+[1]Todo!$C11</f>
        <v>0</v>
      </c>
      <c r="J11" s="259"/>
      <c r="K11" s="259"/>
      <c r="L11" s="259"/>
      <c r="M11" s="259"/>
      <c r="N11" s="259"/>
      <c r="O11" s="259"/>
      <c r="U11" s="297"/>
    </row>
    <row r="12" spans="1:22" ht="13.15" customHeight="1">
      <c r="A12" s="565" t="s">
        <v>177</v>
      </c>
      <c r="B12" s="262"/>
      <c r="C12" s="196"/>
      <c r="D12" s="559"/>
      <c r="E12" s="560"/>
      <c r="F12" s="259" t="s">
        <v>177</v>
      </c>
      <c r="G12" s="259"/>
      <c r="H12" s="259">
        <v>0</v>
      </c>
      <c r="I12" s="259">
        <f>+[1]Todo!$C12</f>
        <v>0</v>
      </c>
      <c r="J12" s="259"/>
      <c r="K12" s="259"/>
      <c r="L12" s="259"/>
      <c r="M12" s="259"/>
      <c r="N12" s="259"/>
      <c r="O12" s="259"/>
      <c r="U12" s="297"/>
    </row>
    <row r="13" spans="1:22" ht="13.15" customHeight="1">
      <c r="A13" s="566"/>
      <c r="B13" s="262" t="s">
        <v>178</v>
      </c>
      <c r="C13" s="196"/>
      <c r="D13" s="559"/>
      <c r="E13" s="560"/>
      <c r="F13" s="259">
        <v>0</v>
      </c>
      <c r="G13" s="259"/>
      <c r="H13" s="259" t="s">
        <v>754</v>
      </c>
      <c r="I13" s="259" t="str">
        <f>+[1]Todo!$C13</f>
        <v>na</v>
      </c>
      <c r="J13" s="259"/>
      <c r="K13" s="259"/>
      <c r="L13" s="259"/>
      <c r="M13" s="259"/>
      <c r="N13" s="259"/>
      <c r="O13" s="259"/>
      <c r="U13" s="297"/>
    </row>
    <row r="14" spans="1:22" ht="13.15" customHeight="1">
      <c r="A14" s="267"/>
      <c r="B14" s="262" t="s">
        <v>179</v>
      </c>
      <c r="C14" s="196"/>
      <c r="D14" s="559" t="s">
        <v>755</v>
      </c>
      <c r="E14" s="560"/>
      <c r="F14" s="259">
        <v>0</v>
      </c>
      <c r="G14" s="259"/>
      <c r="H14" s="259" t="s">
        <v>754</v>
      </c>
      <c r="I14" s="259" t="str">
        <f>+[1]Todo!$C14</f>
        <v>na</v>
      </c>
      <c r="J14" s="259"/>
      <c r="K14" s="259"/>
      <c r="L14" s="259"/>
      <c r="M14" s="259"/>
      <c r="N14" s="259"/>
      <c r="O14" s="259"/>
      <c r="U14" s="297"/>
    </row>
    <row r="15" spans="1:22" ht="13.15" customHeight="1">
      <c r="A15" s="267"/>
      <c r="B15" s="262" t="s">
        <v>180</v>
      </c>
      <c r="C15" s="196"/>
      <c r="D15" s="559" t="s">
        <v>755</v>
      </c>
      <c r="E15" s="560"/>
      <c r="F15" s="259">
        <v>0</v>
      </c>
      <c r="G15" s="259"/>
      <c r="H15" s="259" t="s">
        <v>754</v>
      </c>
      <c r="I15" s="259" t="str">
        <f>+[1]Todo!$C15</f>
        <v>na</v>
      </c>
      <c r="J15" s="259"/>
      <c r="K15" s="259"/>
      <c r="L15" s="259"/>
      <c r="M15" s="259"/>
      <c r="N15" s="259"/>
      <c r="O15" s="259"/>
      <c r="U15" s="297"/>
    </row>
    <row r="16" spans="1:22" ht="13.15" customHeight="1">
      <c r="A16" s="267"/>
      <c r="B16" s="262" t="s">
        <v>181</v>
      </c>
      <c r="C16" s="196"/>
      <c r="D16" s="559" t="s">
        <v>755</v>
      </c>
      <c r="E16" s="560"/>
      <c r="F16" s="259">
        <v>0</v>
      </c>
      <c r="G16" s="259"/>
      <c r="H16" s="259" t="s">
        <v>754</v>
      </c>
      <c r="I16" s="259" t="str">
        <f>+[1]Todo!$C16</f>
        <v>yes</v>
      </c>
      <c r="J16" s="259"/>
      <c r="K16" s="259"/>
      <c r="L16" s="259"/>
      <c r="M16" s="259"/>
      <c r="N16" s="259"/>
      <c r="O16" s="259"/>
      <c r="U16" s="297"/>
    </row>
    <row r="17" spans="1:21" ht="13.15" customHeight="1">
      <c r="A17" s="267"/>
      <c r="B17" s="262" t="s">
        <v>182</v>
      </c>
      <c r="C17" s="196"/>
      <c r="D17" s="559" t="s">
        <v>755</v>
      </c>
      <c r="E17" s="560"/>
      <c r="F17" s="259">
        <v>0</v>
      </c>
      <c r="G17" s="259"/>
      <c r="H17" s="259" t="s">
        <v>754</v>
      </c>
      <c r="I17" s="259">
        <f>+[1]Todo!$C17</f>
        <v>0</v>
      </c>
      <c r="J17" s="259"/>
      <c r="K17" s="259"/>
      <c r="L17" s="259"/>
      <c r="M17" s="259"/>
      <c r="N17" s="259"/>
      <c r="O17" s="259"/>
      <c r="U17" s="297"/>
    </row>
    <row r="18" spans="1:21" ht="13.15" customHeight="1">
      <c r="A18" s="267"/>
      <c r="B18" s="262" t="s">
        <v>183</v>
      </c>
      <c r="C18" s="196"/>
      <c r="D18" s="559" t="s">
        <v>755</v>
      </c>
      <c r="E18" s="560"/>
      <c r="F18" s="259">
        <v>0</v>
      </c>
      <c r="G18" s="259"/>
      <c r="H18" s="259" t="s">
        <v>768</v>
      </c>
      <c r="I18" s="259" t="str">
        <f>+[1]Todo!$C18</f>
        <v>yes</v>
      </c>
      <c r="J18" s="259"/>
      <c r="K18" s="259"/>
      <c r="L18" s="259"/>
      <c r="M18" s="259"/>
      <c r="N18" s="259"/>
      <c r="O18" s="259"/>
      <c r="U18" s="297"/>
    </row>
    <row r="19" spans="1:21" ht="13.15" customHeight="1">
      <c r="A19" s="267"/>
      <c r="B19" s="262" t="s">
        <v>184</v>
      </c>
      <c r="C19" s="196" t="s">
        <v>168</v>
      </c>
      <c r="D19" s="559" t="s">
        <v>755</v>
      </c>
      <c r="E19" s="560"/>
      <c r="F19" s="259">
        <v>0</v>
      </c>
      <c r="G19" s="259"/>
      <c r="H19" s="259" t="s">
        <v>754</v>
      </c>
      <c r="I19" s="259" t="str">
        <f>+[1]Todo!$C19</f>
        <v>na</v>
      </c>
      <c r="J19" s="259"/>
      <c r="K19" s="259"/>
      <c r="L19" s="259"/>
      <c r="M19" s="259"/>
      <c r="N19" s="259"/>
      <c r="O19" s="259"/>
      <c r="U19" s="297"/>
    </row>
    <row r="20" spans="1:21" ht="13.15" customHeight="1">
      <c r="A20" s="267"/>
      <c r="B20" s="262" t="s">
        <v>185</v>
      </c>
      <c r="C20" s="196" t="s">
        <v>754</v>
      </c>
      <c r="D20" s="559" t="s">
        <v>168</v>
      </c>
      <c r="E20" s="560"/>
      <c r="F20" s="259">
        <v>0</v>
      </c>
      <c r="G20" s="259"/>
      <c r="H20" s="259" t="s">
        <v>754</v>
      </c>
      <c r="I20" s="259" t="str">
        <f>+[1]Todo!$C20</f>
        <v>yes</v>
      </c>
      <c r="J20" s="259"/>
      <c r="K20" s="259"/>
      <c r="L20" s="259"/>
      <c r="M20" s="259"/>
      <c r="N20" s="259"/>
      <c r="O20" s="259"/>
      <c r="U20" s="297"/>
    </row>
    <row r="21" spans="1:21" ht="13.15" customHeight="1">
      <c r="A21" s="267"/>
      <c r="B21" s="262" t="s">
        <v>186</v>
      </c>
      <c r="C21" s="196"/>
      <c r="D21" s="559"/>
      <c r="E21" s="560"/>
      <c r="F21" s="259">
        <v>0</v>
      </c>
      <c r="G21" s="259"/>
      <c r="H21" s="259" t="s">
        <v>754</v>
      </c>
      <c r="I21" s="259" t="str">
        <f>+[1]Todo!$C21</f>
        <v>na</v>
      </c>
      <c r="J21" s="259"/>
      <c r="K21" s="259"/>
      <c r="L21" s="259"/>
      <c r="M21" s="259"/>
      <c r="N21" s="259"/>
      <c r="O21" s="259"/>
      <c r="U21" s="297"/>
    </row>
    <row r="22" spans="1:21" ht="13.15" customHeight="1">
      <c r="A22" s="267"/>
      <c r="B22" s="262" t="s">
        <v>187</v>
      </c>
      <c r="C22" s="196"/>
      <c r="D22" s="559"/>
      <c r="E22" s="560"/>
      <c r="F22" s="259">
        <v>0</v>
      </c>
      <c r="G22" s="259"/>
      <c r="H22" s="259" t="s">
        <v>769</v>
      </c>
      <c r="I22" s="259" t="str">
        <f>+[1]Todo!$C22</f>
        <v>yes</v>
      </c>
      <c r="J22" s="259"/>
      <c r="K22" s="259"/>
      <c r="L22" s="259"/>
      <c r="M22" s="259"/>
      <c r="N22" s="259"/>
      <c r="O22" s="259"/>
      <c r="U22" s="297"/>
    </row>
    <row r="23" spans="1:21" ht="13.15" customHeight="1">
      <c r="A23" s="267"/>
      <c r="B23" s="262" t="s">
        <v>188</v>
      </c>
      <c r="C23" s="196"/>
      <c r="D23" s="559"/>
      <c r="E23" s="560"/>
      <c r="F23" s="259">
        <v>0</v>
      </c>
      <c r="G23" s="259"/>
      <c r="H23" s="259" t="s">
        <v>754</v>
      </c>
      <c r="I23" s="259" t="str">
        <f>+[1]Todo!$C23</f>
        <v>yes</v>
      </c>
      <c r="J23" s="259"/>
      <c r="K23" s="259"/>
      <c r="L23" s="259"/>
      <c r="M23" s="259"/>
      <c r="N23" s="259"/>
      <c r="O23" s="259"/>
      <c r="U23" s="297"/>
    </row>
    <row r="24" spans="1:21" ht="13.15" customHeight="1">
      <c r="A24" s="267"/>
      <c r="B24" s="262" t="s">
        <v>189</v>
      </c>
      <c r="C24" s="196" t="s">
        <v>754</v>
      </c>
      <c r="D24" s="559" t="s">
        <v>756</v>
      </c>
      <c r="E24" s="560"/>
      <c r="F24" s="259">
        <v>0</v>
      </c>
      <c r="G24" s="259"/>
      <c r="H24" s="259" t="s">
        <v>754</v>
      </c>
      <c r="I24" s="259" t="str">
        <f>+[1]Todo!$C24</f>
        <v>yes</v>
      </c>
      <c r="J24" s="259"/>
      <c r="K24" s="259"/>
      <c r="L24" s="259"/>
      <c r="M24" s="259"/>
      <c r="N24" s="259"/>
      <c r="O24" s="259"/>
      <c r="U24" s="297"/>
    </row>
    <row r="25" spans="1:21" ht="13.15" customHeight="1">
      <c r="A25" s="268"/>
      <c r="B25" s="262" t="s">
        <v>190</v>
      </c>
      <c r="C25" s="196"/>
      <c r="D25" s="559"/>
      <c r="E25" s="560"/>
      <c r="F25" s="259">
        <v>0</v>
      </c>
      <c r="G25" s="259"/>
      <c r="H25" s="259" t="s">
        <v>754</v>
      </c>
      <c r="I25" s="259" t="str">
        <f>+[1]Todo!$C25</f>
        <v>yes</v>
      </c>
      <c r="J25" s="259"/>
      <c r="K25" s="259"/>
      <c r="L25" s="259"/>
      <c r="M25" s="259"/>
      <c r="N25" s="259"/>
      <c r="O25" s="259"/>
      <c r="U25" s="297"/>
    </row>
    <row r="26" spans="1:21" ht="13.15" customHeight="1">
      <c r="A26" s="268"/>
      <c r="B26" s="262" t="s">
        <v>191</v>
      </c>
      <c r="C26" s="196"/>
      <c r="D26" s="559"/>
      <c r="E26" s="560"/>
      <c r="F26" s="259">
        <v>0</v>
      </c>
      <c r="G26" s="259"/>
      <c r="H26" s="259" t="s">
        <v>754</v>
      </c>
      <c r="I26" s="259" t="str">
        <f>+[1]Todo!$C26</f>
        <v>na</v>
      </c>
      <c r="J26" s="259"/>
      <c r="K26" s="259"/>
      <c r="L26" s="259"/>
      <c r="M26" s="259"/>
      <c r="N26" s="259"/>
      <c r="O26" s="259"/>
      <c r="U26" s="297"/>
    </row>
    <row r="27" spans="1:21" ht="13.15" customHeight="1">
      <c r="A27" s="267"/>
      <c r="B27" s="262" t="s">
        <v>192</v>
      </c>
      <c r="C27" s="197"/>
      <c r="D27" s="559"/>
      <c r="E27" s="560"/>
      <c r="F27" s="259">
        <v>0</v>
      </c>
      <c r="G27" s="259"/>
      <c r="H27" s="259" t="s">
        <v>754</v>
      </c>
      <c r="I27" s="259">
        <f>+[1]Todo!$C27</f>
        <v>0</v>
      </c>
      <c r="J27" s="259"/>
      <c r="K27" s="259"/>
      <c r="L27" s="259"/>
      <c r="M27" s="259"/>
      <c r="N27" s="259"/>
      <c r="O27" s="259"/>
      <c r="U27" s="297"/>
    </row>
    <row r="28" spans="1:21" ht="13.15" customHeight="1">
      <c r="A28" s="267"/>
      <c r="B28" s="262" t="s">
        <v>193</v>
      </c>
      <c r="C28" s="196" t="s">
        <v>175</v>
      </c>
      <c r="D28" s="559"/>
      <c r="E28" s="560"/>
      <c r="F28" s="259">
        <v>0</v>
      </c>
      <c r="G28" s="259"/>
      <c r="H28" s="259" t="s">
        <v>754</v>
      </c>
      <c r="I28" s="259" t="str">
        <f>+[1]Todo!$C28</f>
        <v>na</v>
      </c>
      <c r="J28" s="259"/>
      <c r="K28" s="259"/>
      <c r="L28" s="259"/>
      <c r="M28" s="259"/>
      <c r="N28" s="259"/>
      <c r="O28" s="259"/>
      <c r="U28" s="297"/>
    </row>
    <row r="29" spans="1:21" ht="13.15" customHeight="1">
      <c r="A29" s="267"/>
      <c r="B29" s="262"/>
      <c r="C29" s="196"/>
      <c r="D29" s="291"/>
      <c r="E29" s="292"/>
      <c r="F29" s="259">
        <v>0</v>
      </c>
      <c r="G29" s="259"/>
      <c r="H29" s="259">
        <v>0</v>
      </c>
      <c r="I29" s="259">
        <f>+[1]Todo!$C29</f>
        <v>0</v>
      </c>
      <c r="J29" s="259"/>
      <c r="K29" s="259"/>
      <c r="L29" s="259"/>
      <c r="M29" s="259"/>
      <c r="N29" s="259"/>
      <c r="O29" s="259"/>
      <c r="U29" s="297"/>
    </row>
    <row r="30" spans="1:21" ht="13.15" customHeight="1">
      <c r="A30" s="565" t="s">
        <v>194</v>
      </c>
      <c r="B30" s="262" t="s">
        <v>757</v>
      </c>
      <c r="C30" s="196"/>
      <c r="D30" s="559"/>
      <c r="E30" s="560"/>
      <c r="F30" s="259" t="s">
        <v>194</v>
      </c>
      <c r="G30" s="259"/>
      <c r="H30" s="259">
        <v>0</v>
      </c>
      <c r="I30" s="259">
        <f>+[1]Todo!$C30</f>
        <v>0</v>
      </c>
      <c r="J30" s="259"/>
      <c r="K30" s="259"/>
      <c r="L30" s="259"/>
      <c r="M30" s="259"/>
      <c r="N30" s="259"/>
      <c r="O30" s="259"/>
      <c r="U30" s="297"/>
    </row>
    <row r="31" spans="1:21" ht="13.15" customHeight="1">
      <c r="A31" s="566"/>
      <c r="B31" s="262" t="s">
        <v>195</v>
      </c>
      <c r="C31" s="196"/>
      <c r="D31" s="291"/>
      <c r="E31" s="292"/>
      <c r="F31" s="259">
        <v>0</v>
      </c>
      <c r="G31" s="259"/>
      <c r="H31" s="259">
        <v>0</v>
      </c>
      <c r="I31" s="259">
        <f>+[1]Todo!$C31</f>
        <v>0</v>
      </c>
      <c r="J31" s="259"/>
      <c r="K31" s="259"/>
      <c r="L31" s="259"/>
      <c r="M31" s="259"/>
      <c r="N31" s="259"/>
      <c r="O31" s="259"/>
      <c r="U31" s="297"/>
    </row>
    <row r="32" spans="1:21" ht="13.15" customHeight="1">
      <c r="A32" s="268"/>
      <c r="B32" s="262" t="s">
        <v>196</v>
      </c>
      <c r="C32" s="196"/>
      <c r="D32" s="291"/>
      <c r="E32" s="292"/>
      <c r="F32" s="259">
        <v>0</v>
      </c>
      <c r="G32" s="259"/>
      <c r="H32" s="259">
        <v>0</v>
      </c>
      <c r="I32" s="259">
        <f>+[1]Todo!$C32</f>
        <v>0</v>
      </c>
      <c r="J32" s="259"/>
      <c r="K32" s="259"/>
      <c r="L32" s="259"/>
      <c r="M32" s="259"/>
      <c r="N32" s="259"/>
      <c r="O32" s="259"/>
      <c r="U32" s="297"/>
    </row>
    <row r="33" spans="1:21" ht="13.15" customHeight="1">
      <c r="A33" s="268"/>
      <c r="B33" s="262" t="s">
        <v>197</v>
      </c>
      <c r="C33" s="196"/>
      <c r="D33" s="291"/>
      <c r="E33" s="292"/>
      <c r="F33" s="259">
        <v>0</v>
      </c>
      <c r="G33" s="259"/>
      <c r="H33" s="259">
        <v>0</v>
      </c>
      <c r="I33" s="259">
        <f>+[1]Todo!$C33</f>
        <v>0</v>
      </c>
      <c r="J33" s="259"/>
      <c r="K33" s="259"/>
      <c r="L33" s="259"/>
      <c r="M33" s="259"/>
      <c r="N33" s="259"/>
      <c r="O33" s="259"/>
      <c r="U33" s="297"/>
    </row>
    <row r="34" spans="1:21" ht="13.15" customHeight="1">
      <c r="A34" s="268"/>
      <c r="B34" s="262" t="s">
        <v>198</v>
      </c>
      <c r="C34" s="196"/>
      <c r="D34" s="559"/>
      <c r="E34" s="560"/>
      <c r="F34" s="259">
        <v>0</v>
      </c>
      <c r="G34" s="259"/>
      <c r="H34" s="259">
        <v>0</v>
      </c>
      <c r="I34" s="259">
        <f>+[1]Todo!$C34</f>
        <v>0</v>
      </c>
      <c r="J34" s="259"/>
      <c r="K34" s="259"/>
      <c r="L34" s="259"/>
      <c r="M34" s="259"/>
      <c r="N34" s="259"/>
      <c r="O34" s="259"/>
      <c r="U34" s="297"/>
    </row>
    <row r="35" spans="1:21" ht="13.15" customHeight="1">
      <c r="A35" s="267"/>
      <c r="B35" s="262"/>
      <c r="C35" s="196"/>
      <c r="D35" s="559"/>
      <c r="E35" s="560"/>
      <c r="F35" s="259">
        <v>0</v>
      </c>
      <c r="G35" s="259"/>
      <c r="H35" s="259">
        <v>0</v>
      </c>
      <c r="I35" s="259"/>
      <c r="J35" s="259"/>
      <c r="K35" s="259"/>
      <c r="L35" s="259"/>
      <c r="M35" s="259"/>
      <c r="N35" s="259"/>
      <c r="O35" s="259"/>
      <c r="U35" s="297"/>
    </row>
    <row r="36" spans="1:21" ht="13.15" customHeight="1">
      <c r="A36" s="267"/>
      <c r="B36" s="262"/>
      <c r="C36" s="196"/>
      <c r="D36" s="559"/>
      <c r="E36" s="560"/>
      <c r="F36" s="259">
        <v>0</v>
      </c>
      <c r="G36" s="259"/>
      <c r="H36" s="259">
        <v>0</v>
      </c>
      <c r="I36" s="259"/>
      <c r="J36" s="259"/>
      <c r="K36" s="259"/>
      <c r="L36" s="259"/>
      <c r="M36" s="259"/>
      <c r="N36" s="259"/>
      <c r="O36" s="259"/>
      <c r="U36" s="297"/>
    </row>
    <row r="37" spans="1:21" ht="13.15" customHeight="1">
      <c r="A37" s="267"/>
      <c r="B37" s="262"/>
      <c r="C37" s="196"/>
      <c r="D37" s="559"/>
      <c r="E37" s="560"/>
      <c r="F37" s="259">
        <v>0</v>
      </c>
      <c r="G37" s="259"/>
      <c r="H37" s="259">
        <v>0</v>
      </c>
      <c r="I37" s="259"/>
      <c r="J37" s="259"/>
      <c r="K37" s="259"/>
      <c r="L37" s="259"/>
      <c r="M37" s="259"/>
      <c r="N37" s="259"/>
      <c r="O37" s="259"/>
      <c r="U37" s="297"/>
    </row>
    <row r="38" spans="1:21" ht="13.15" customHeight="1">
      <c r="A38" s="565" t="s">
        <v>199</v>
      </c>
      <c r="B38" s="262" t="s">
        <v>758</v>
      </c>
      <c r="C38" s="196"/>
      <c r="D38" s="559"/>
      <c r="E38" s="560"/>
      <c r="F38" s="259" t="s">
        <v>199</v>
      </c>
      <c r="G38" s="259"/>
      <c r="H38" s="259">
        <v>0</v>
      </c>
      <c r="I38" s="259">
        <f>+[1]Todo!$C38</f>
        <v>0</v>
      </c>
      <c r="J38" s="259"/>
      <c r="K38" s="259"/>
      <c r="L38" s="259"/>
      <c r="M38" s="259"/>
      <c r="N38" s="259"/>
      <c r="O38" s="259"/>
      <c r="U38" s="297"/>
    </row>
    <row r="39" spans="1:21" ht="13.15" customHeight="1">
      <c r="A39" s="566"/>
      <c r="B39" s="262" t="s">
        <v>198</v>
      </c>
      <c r="C39" s="196"/>
      <c r="D39" s="559"/>
      <c r="E39" s="560"/>
      <c r="F39" s="259">
        <v>0</v>
      </c>
      <c r="G39" s="259"/>
      <c r="H39" s="259">
        <v>0</v>
      </c>
      <c r="I39" s="259">
        <f>+[1]Todo!$C39</f>
        <v>0</v>
      </c>
      <c r="J39" s="259"/>
      <c r="K39" s="259"/>
      <c r="L39" s="259"/>
      <c r="M39" s="259"/>
      <c r="N39" s="259"/>
      <c r="O39" s="259"/>
      <c r="U39" s="297"/>
    </row>
    <row r="40" spans="1:21" ht="13.15" customHeight="1">
      <c r="A40" s="267"/>
      <c r="B40" s="262" t="s">
        <v>759</v>
      </c>
      <c r="C40" s="196"/>
      <c r="D40" s="559"/>
      <c r="E40" s="560"/>
      <c r="F40" s="259">
        <v>0</v>
      </c>
      <c r="G40" s="259"/>
      <c r="H40" s="259">
        <v>0</v>
      </c>
      <c r="I40" s="259">
        <f>+[1]Todo!$C40</f>
        <v>0</v>
      </c>
      <c r="J40" s="259"/>
      <c r="K40" s="259"/>
      <c r="L40" s="259"/>
      <c r="M40" s="259"/>
      <c r="N40" s="259"/>
      <c r="O40" s="259"/>
      <c r="U40" s="297"/>
    </row>
    <row r="41" spans="1:21" ht="13.15" customHeight="1">
      <c r="A41" s="267"/>
      <c r="B41" s="262" t="s">
        <v>200</v>
      </c>
      <c r="C41" s="196"/>
      <c r="D41" s="559"/>
      <c r="E41" s="560"/>
      <c r="F41" s="259">
        <v>0</v>
      </c>
      <c r="G41" s="259"/>
      <c r="H41" s="259">
        <v>0</v>
      </c>
      <c r="I41" s="259">
        <f>+[1]Todo!$C41</f>
        <v>0</v>
      </c>
      <c r="J41" s="259"/>
      <c r="K41" s="259"/>
      <c r="L41" s="259"/>
      <c r="M41" s="259"/>
      <c r="N41" s="259"/>
      <c r="O41" s="259"/>
      <c r="U41" s="297"/>
    </row>
    <row r="42" spans="1:21" ht="13.15" customHeight="1" thickBot="1">
      <c r="A42" s="267"/>
      <c r="B42" s="262"/>
      <c r="C42" s="196"/>
      <c r="D42" s="559"/>
      <c r="E42" s="560"/>
      <c r="F42" s="259"/>
      <c r="G42" s="259"/>
      <c r="H42" s="259"/>
      <c r="I42" s="259"/>
      <c r="J42" s="259"/>
      <c r="K42" s="259"/>
      <c r="L42" s="259"/>
      <c r="M42" s="259"/>
      <c r="N42" s="259"/>
      <c r="O42" s="259"/>
      <c r="U42" s="297"/>
    </row>
    <row r="43" spans="1:21" ht="45.75" thickBot="1">
      <c r="A43" s="268"/>
      <c r="B43" s="263"/>
      <c r="C43" s="567" t="s">
        <v>201</v>
      </c>
      <c r="D43" s="568"/>
      <c r="E43" s="255" t="str">
        <f>+B1</f>
        <v>3413 Pinetree Ln, Greenville, NC 27858</v>
      </c>
      <c r="F43" s="257"/>
      <c r="G43" s="257" t="s">
        <v>751</v>
      </c>
      <c r="H43" s="257" t="s">
        <v>152</v>
      </c>
      <c r="I43" s="257" t="str">
        <f t="shared" ref="I43" si="0">+I1</f>
        <v>3325 Banks</v>
      </c>
      <c r="J43" s="314" t="s">
        <v>154</v>
      </c>
      <c r="K43" s="314" t="s">
        <v>155</v>
      </c>
      <c r="L43" s="303" t="s">
        <v>156</v>
      </c>
      <c r="M43" s="303" t="s">
        <v>157</v>
      </c>
      <c r="N43" s="303" t="s">
        <v>158</v>
      </c>
      <c r="O43" s="314" t="s">
        <v>159</v>
      </c>
      <c r="P43" s="303" t="s">
        <v>160</v>
      </c>
      <c r="Q43" s="314" t="s">
        <v>161</v>
      </c>
      <c r="R43" s="303" t="s">
        <v>162</v>
      </c>
      <c r="S43" s="303" t="s">
        <v>163</v>
      </c>
      <c r="T43" s="314" t="s">
        <v>164</v>
      </c>
      <c r="U43" s="297"/>
    </row>
    <row r="44" spans="1:21" ht="15.75" thickBot="1">
      <c r="A44" s="268"/>
      <c r="B44" s="306" t="s">
        <v>202</v>
      </c>
      <c r="C44" s="307">
        <f>+SUM(E44:U44)</f>
        <v>4690329</v>
      </c>
      <c r="D44" s="307"/>
      <c r="E44" s="349">
        <f>+Profit!$B$4</f>
        <v>287000</v>
      </c>
      <c r="F44" s="350">
        <v>50000</v>
      </c>
      <c r="G44" s="350">
        <v>285000</v>
      </c>
      <c r="H44" s="350">
        <v>700000</v>
      </c>
      <c r="I44" s="345">
        <f>+[1]Todo!$E44</f>
        <v>439000</v>
      </c>
      <c r="J44" s="351">
        <v>315000</v>
      </c>
      <c r="K44" s="351">
        <v>210000</v>
      </c>
      <c r="L44" s="352">
        <v>423529</v>
      </c>
      <c r="M44" s="352">
        <v>330000</v>
      </c>
      <c r="N44" s="352">
        <v>299000</v>
      </c>
      <c r="O44" s="351">
        <v>363900</v>
      </c>
      <c r="P44" s="352">
        <v>210000</v>
      </c>
      <c r="Q44" s="351">
        <v>237900</v>
      </c>
      <c r="R44" s="352">
        <v>150000</v>
      </c>
      <c r="S44" s="352">
        <v>195000</v>
      </c>
      <c r="T44" s="353">
        <v>195000</v>
      </c>
      <c r="U44" s="297"/>
    </row>
    <row r="45" spans="1:21">
      <c r="A45" s="268"/>
      <c r="B45" s="306" t="s">
        <v>203</v>
      </c>
      <c r="C45" s="307">
        <f>+SUM(E45:$U$45)</f>
        <v>1791714.8</v>
      </c>
      <c r="D45" s="307"/>
      <c r="E45" s="344">
        <f>+Profit!K27</f>
        <v>185424.13125000001</v>
      </c>
      <c r="F45" s="345">
        <v>10000.13875</v>
      </c>
      <c r="G45" s="345">
        <v>79099.138750000013</v>
      </c>
      <c r="H45" s="345">
        <v>0</v>
      </c>
      <c r="I45" s="345">
        <f>+[1]Todo!$E45</f>
        <v>147682.86124999999</v>
      </c>
      <c r="J45" s="346">
        <v>102500</v>
      </c>
      <c r="K45" s="346">
        <v>127000</v>
      </c>
      <c r="L45" s="347">
        <v>174585.47</v>
      </c>
      <c r="M45" s="347">
        <v>85975.790000000008</v>
      </c>
      <c r="N45" s="347">
        <v>167033.66</v>
      </c>
      <c r="O45" s="346">
        <v>220000</v>
      </c>
      <c r="P45" s="347">
        <v>107061.9</v>
      </c>
      <c r="Q45" s="346">
        <v>74709</v>
      </c>
      <c r="R45" s="347">
        <v>71644.86</v>
      </c>
      <c r="S45" s="347">
        <v>110309.86</v>
      </c>
      <c r="T45" s="348">
        <v>128687.99</v>
      </c>
      <c r="U45" s="297"/>
    </row>
    <row r="46" spans="1:21" ht="15.75" thickBot="1">
      <c r="A46" s="268"/>
      <c r="B46" s="308" t="s">
        <v>204</v>
      </c>
      <c r="C46" s="309">
        <f>+SUM(E46:U46)</f>
        <v>634691.06215412496</v>
      </c>
      <c r="D46" s="309"/>
      <c r="E46" s="312">
        <f>+Profit!B30</f>
        <v>5676.2640000000001</v>
      </c>
      <c r="F46" s="310">
        <v>0</v>
      </c>
      <c r="G46" s="310">
        <v>94360</v>
      </c>
      <c r="H46" s="310">
        <v>39067.440000000002</v>
      </c>
      <c r="I46" s="345">
        <f>+[1]Todo!$E46</f>
        <v>31424.184000000001</v>
      </c>
      <c r="J46" s="318">
        <v>119124.29000000001</v>
      </c>
      <c r="K46" s="318">
        <v>15000</v>
      </c>
      <c r="L46" s="311">
        <v>12223</v>
      </c>
      <c r="M46" s="311">
        <v>82805.727499999994</v>
      </c>
      <c r="N46" s="311">
        <v>38679.380000000005</v>
      </c>
      <c r="O46" s="318">
        <v>27507.698</v>
      </c>
      <c r="P46" s="311">
        <v>47760.57</v>
      </c>
      <c r="Q46" s="318">
        <v>71081.80715412501</v>
      </c>
      <c r="R46" s="311">
        <v>6302.96</v>
      </c>
      <c r="S46" s="311">
        <v>20425.14</v>
      </c>
      <c r="T46" s="315">
        <v>23252.601500000001</v>
      </c>
      <c r="U46" s="252"/>
    </row>
    <row r="47" spans="1:21">
      <c r="A47" s="268"/>
      <c r="B47" s="417" t="s">
        <v>770</v>
      </c>
      <c r="C47" s="418">
        <f>+SUM(E47:U47)</f>
        <v>342461.73</v>
      </c>
      <c r="D47" s="309"/>
      <c r="E47" s="312">
        <f>SUM(Profit!C13:C19)+Profit!B39</f>
        <v>142424</v>
      </c>
      <c r="F47" s="310"/>
      <c r="G47" s="310"/>
      <c r="H47" s="310"/>
      <c r="I47" s="345">
        <f>+[1]Todo!$E47</f>
        <v>200037.72999999998</v>
      </c>
      <c r="J47" s="318">
        <v>0</v>
      </c>
      <c r="K47" s="318">
        <v>0</v>
      </c>
      <c r="L47" s="311">
        <v>0</v>
      </c>
      <c r="M47" s="311">
        <v>0</v>
      </c>
      <c r="N47" s="311">
        <v>0</v>
      </c>
      <c r="O47" s="318">
        <v>0</v>
      </c>
      <c r="P47" s="311">
        <v>0</v>
      </c>
      <c r="Q47" s="318">
        <v>0</v>
      </c>
      <c r="R47" s="311">
        <v>0</v>
      </c>
      <c r="S47" s="311">
        <v>0</v>
      </c>
      <c r="T47" s="318">
        <v>0</v>
      </c>
      <c r="U47" s="252"/>
    </row>
    <row r="48" spans="1:21">
      <c r="A48" s="268"/>
      <c r="B48" s="308" t="s">
        <v>760</v>
      </c>
      <c r="C48" s="309">
        <f>+SUM(E48:U48)</f>
        <v>1603.9536730360937</v>
      </c>
      <c r="D48" s="309"/>
      <c r="E48" s="312">
        <f>+Profit!B27/Profit!B20</f>
        <v>890.28000000000009</v>
      </c>
      <c r="F48" s="310">
        <v>0</v>
      </c>
      <c r="G48" s="310">
        <v>0</v>
      </c>
      <c r="H48" s="310">
        <v>0.1</v>
      </c>
      <c r="I48" s="345">
        <f>+[1]Todo!$E48</f>
        <v>713.57367303609351</v>
      </c>
      <c r="J48" s="318">
        <v>0</v>
      </c>
      <c r="K48" s="318">
        <v>0</v>
      </c>
      <c r="L48" s="311">
        <v>0</v>
      </c>
      <c r="M48" s="311">
        <v>0</v>
      </c>
      <c r="N48" s="311">
        <v>0</v>
      </c>
      <c r="O48" s="318">
        <v>0</v>
      </c>
      <c r="P48" s="311">
        <v>0</v>
      </c>
      <c r="Q48" s="318">
        <v>0</v>
      </c>
      <c r="R48" s="311">
        <v>0</v>
      </c>
      <c r="S48" s="311">
        <v>0</v>
      </c>
      <c r="T48" s="318">
        <v>0</v>
      </c>
      <c r="U48" s="252"/>
    </row>
    <row r="49" spans="1:21">
      <c r="A49" s="268"/>
      <c r="B49" s="308" t="s">
        <v>761</v>
      </c>
      <c r="C49" s="309">
        <f t="shared" ref="C49" si="1">+SUM(E49:O49)</f>
        <v>890.3</v>
      </c>
      <c r="D49" s="309"/>
      <c r="E49" s="312">
        <f>+Profit!H9</f>
        <v>890.3</v>
      </c>
      <c r="F49" s="310">
        <v>0</v>
      </c>
      <c r="G49" s="310">
        <v>0</v>
      </c>
      <c r="H49" s="310">
        <v>0</v>
      </c>
      <c r="I49" s="345">
        <f>+[1]Todo!$E49</f>
        <v>0</v>
      </c>
      <c r="J49" s="318">
        <v>0</v>
      </c>
      <c r="K49" s="318">
        <v>0</v>
      </c>
      <c r="L49" s="311">
        <v>0</v>
      </c>
      <c r="M49" s="311">
        <v>0</v>
      </c>
      <c r="N49" s="311">
        <v>0</v>
      </c>
      <c r="O49" s="318">
        <v>0</v>
      </c>
      <c r="P49" s="311">
        <v>0</v>
      </c>
      <c r="Q49" s="318">
        <v>0</v>
      </c>
      <c r="R49" s="311">
        <v>0</v>
      </c>
      <c r="S49" s="311">
        <v>0</v>
      </c>
      <c r="T49" s="318">
        <v>0</v>
      </c>
      <c r="U49" s="252"/>
    </row>
    <row r="50" spans="1:21" ht="15.75" thickBot="1">
      <c r="A50" s="268"/>
      <c r="B50" s="256" t="s">
        <v>205</v>
      </c>
      <c r="C50" s="249">
        <f>+SUM($E$50:$U$50)</f>
        <v>1307709.4648486529</v>
      </c>
      <c r="D50" s="249"/>
      <c r="E50" s="313">
        <f>+Profit!K45</f>
        <v>104394.49600000001</v>
      </c>
      <c r="F50" s="253">
        <v>0</v>
      </c>
      <c r="G50" s="253">
        <v>0</v>
      </c>
      <c r="H50" s="253">
        <v>111547.88522500009</v>
      </c>
      <c r="I50" s="345">
        <f>+[1]Todo!$E50</f>
        <v>179023.266</v>
      </c>
      <c r="J50" s="319">
        <v>68424.709999999992</v>
      </c>
      <c r="K50" s="319">
        <v>67485.868000000002</v>
      </c>
      <c r="L50" s="304">
        <v>154708.03800000003</v>
      </c>
      <c r="M50" s="304">
        <v>154490.20250000001</v>
      </c>
      <c r="N50" s="304">
        <v>94527.968499999988</v>
      </c>
      <c r="O50" s="319">
        <v>92658.781999999992</v>
      </c>
      <c r="P50" s="304">
        <v>64240.530000000028</v>
      </c>
      <c r="Q50" s="319">
        <v>100167.792845875</v>
      </c>
      <c r="R50" s="304">
        <v>37694.072</v>
      </c>
      <c r="S50" s="304">
        <v>52771.490000000005</v>
      </c>
      <c r="T50" s="316">
        <v>25574.363777777784</v>
      </c>
      <c r="U50" s="252"/>
    </row>
    <row r="51" spans="1:21" ht="15.75" thickBot="1">
      <c r="A51" s="268"/>
      <c r="B51" s="256" t="s">
        <v>206</v>
      </c>
      <c r="C51" s="249">
        <f>+SUM($E$51:$U$51)</f>
        <v>43812.58</v>
      </c>
      <c r="D51" s="249"/>
      <c r="E51" s="313">
        <f>+E50*0.1</f>
        <v>10439.449600000002</v>
      </c>
      <c r="F51" s="253"/>
      <c r="G51" s="253"/>
      <c r="H51" s="253"/>
      <c r="I51" s="345">
        <f>+[1]Todo!$E51</f>
        <v>17902.3266</v>
      </c>
      <c r="J51" s="319"/>
      <c r="K51" s="319"/>
      <c r="L51" s="304">
        <v>15470.803800000003</v>
      </c>
      <c r="M51" s="304"/>
      <c r="N51" s="304"/>
      <c r="O51" s="319"/>
      <c r="P51" s="304"/>
      <c r="Q51" s="319"/>
      <c r="R51" s="304"/>
      <c r="S51" s="304"/>
      <c r="T51" s="319"/>
      <c r="U51" s="252"/>
    </row>
    <row r="52" spans="1:21" ht="15.75" thickBot="1">
      <c r="A52" s="268"/>
      <c r="B52" s="256" t="s">
        <v>207</v>
      </c>
      <c r="C52" s="569">
        <f>+AVERAGE(E44:T44)</f>
        <v>293145.5625</v>
      </c>
      <c r="D52" s="479"/>
      <c r="E52" s="305"/>
      <c r="F52" s="253"/>
      <c r="G52" s="253"/>
      <c r="H52" s="253"/>
      <c r="I52" s="253"/>
      <c r="J52" s="253"/>
      <c r="K52" s="253"/>
      <c r="L52" s="253"/>
      <c r="M52" s="253"/>
      <c r="N52" s="253"/>
      <c r="O52" s="253"/>
      <c r="P52" s="253"/>
      <c r="Q52" s="253"/>
      <c r="R52" s="253"/>
      <c r="S52" s="253"/>
      <c r="T52" s="253"/>
      <c r="U52" s="254"/>
    </row>
    <row r="53" spans="1:21" ht="15.75" thickBot="1">
      <c r="A53" s="268"/>
      <c r="B53" s="256" t="s">
        <v>208</v>
      </c>
      <c r="C53" s="569">
        <f>+AVERAGE(E45:T45)</f>
        <v>111982.175</v>
      </c>
      <c r="D53" s="479"/>
      <c r="E53" s="194"/>
      <c r="F53" s="194"/>
      <c r="G53" s="194"/>
      <c r="H53" s="194"/>
      <c r="I53" s="194"/>
      <c r="M53" s="567" t="s">
        <v>209</v>
      </c>
      <c r="N53" s="570"/>
      <c r="O53" s="570"/>
      <c r="P53" s="568"/>
    </row>
    <row r="54" spans="1:21" ht="15.75" thickBot="1">
      <c r="A54" s="268"/>
      <c r="B54" s="256" t="s">
        <v>210</v>
      </c>
      <c r="C54" s="569">
        <f>+AVERAGE(E46:T46)</f>
        <v>39668.19138463281</v>
      </c>
      <c r="D54" s="479"/>
      <c r="M54" s="571" t="s">
        <v>211</v>
      </c>
      <c r="N54" s="572"/>
      <c r="O54" s="572"/>
      <c r="P54" s="573"/>
    </row>
    <row r="55" spans="1:21" ht="15.75" thickBot="1">
      <c r="B55" s="256" t="s">
        <v>212</v>
      </c>
      <c r="C55" s="569">
        <f>+AVERAGE(D50:T50)</f>
        <v>81731.841553040809</v>
      </c>
      <c r="D55" s="479"/>
      <c r="M55" s="574" t="s">
        <v>213</v>
      </c>
      <c r="N55" s="575"/>
      <c r="O55" s="575"/>
      <c r="P55" s="576"/>
    </row>
    <row r="57" spans="1:21">
      <c r="F57" s="317"/>
      <c r="G57" s="317"/>
      <c r="H57" s="317"/>
      <c r="I57" s="317"/>
    </row>
  </sheetData>
  <mergeCells count="49">
    <mergeCell ref="C55:D55"/>
    <mergeCell ref="M53:P53"/>
    <mergeCell ref="M54:P54"/>
    <mergeCell ref="M55:P55"/>
    <mergeCell ref="C54:D54"/>
    <mergeCell ref="A12:A13"/>
    <mergeCell ref="A38:A39"/>
    <mergeCell ref="C43:D43"/>
    <mergeCell ref="C52:D52"/>
    <mergeCell ref="C53:D53"/>
    <mergeCell ref="D41:E41"/>
    <mergeCell ref="D42:E42"/>
    <mergeCell ref="D37:E37"/>
    <mergeCell ref="D38:E38"/>
    <mergeCell ref="D18:E18"/>
    <mergeCell ref="D14:E14"/>
    <mergeCell ref="D15:E15"/>
    <mergeCell ref="D40:E40"/>
    <mergeCell ref="D23:E23"/>
    <mergeCell ref="A30:A31"/>
    <mergeCell ref="D19:E19"/>
    <mergeCell ref="B1:C1"/>
    <mergeCell ref="D30:E30"/>
    <mergeCell ref="D34:E34"/>
    <mergeCell ref="D35:E35"/>
    <mergeCell ref="D36:E36"/>
    <mergeCell ref="D20:E20"/>
    <mergeCell ref="D24:E24"/>
    <mergeCell ref="D25:E25"/>
    <mergeCell ref="D26:E26"/>
    <mergeCell ref="D27:E27"/>
    <mergeCell ref="D28:E28"/>
    <mergeCell ref="D21:E21"/>
    <mergeCell ref="D13:E13"/>
    <mergeCell ref="D22:E22"/>
    <mergeCell ref="D16:E16"/>
    <mergeCell ref="D17:E17"/>
    <mergeCell ref="D39:E39"/>
    <mergeCell ref="D7:E7"/>
    <mergeCell ref="D1:E1"/>
    <mergeCell ref="D3:E3"/>
    <mergeCell ref="D4:E4"/>
    <mergeCell ref="D5:E5"/>
    <mergeCell ref="D6:E6"/>
    <mergeCell ref="D8:E8"/>
    <mergeCell ref="D9:E9"/>
    <mergeCell ref="D10:E10"/>
    <mergeCell ref="D11:E11"/>
    <mergeCell ref="D12:E12"/>
  </mergeCells>
  <pageMargins left="0.25" right="0.25" top="0.75" bottom="0.5" header="0.3" footer="0.3"/>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
  <dimension ref="A1:Y28"/>
  <sheetViews>
    <sheetView tabSelected="1" workbookViewId="0">
      <pane ySplit="1" topLeftCell="A2" activePane="bottomLeft" state="frozen"/>
      <selection pane="bottomLeft" activeCell="D9" sqref="D9"/>
    </sheetView>
  </sheetViews>
  <sheetFormatPr defaultRowHeight="15"/>
  <cols>
    <col min="1" max="1" width="47.140625" style="2" bestFit="1" customWidth="1"/>
    <col min="2" max="2" width="31.28515625" style="2" bestFit="1" customWidth="1"/>
    <col min="3" max="3" width="16.28515625" style="25" bestFit="1" customWidth="1"/>
    <col min="4" max="4" width="20.28515625" style="2" bestFit="1" customWidth="1"/>
    <col min="5" max="5" width="36" style="25" customWidth="1"/>
    <col min="6" max="6" width="9.85546875" customWidth="1"/>
    <col min="9" max="9" width="33.140625" bestFit="1" customWidth="1"/>
    <col min="21" max="21" width="34.5703125" bestFit="1" customWidth="1"/>
    <col min="22" max="22" width="4.5703125" bestFit="1" customWidth="1"/>
    <col min="23" max="23" width="10.5703125" bestFit="1" customWidth="1"/>
    <col min="25" max="25" width="5" bestFit="1" customWidth="1"/>
  </cols>
  <sheetData>
    <row r="1" spans="1:25" s="3" customFormat="1">
      <c r="A1" s="3" t="s">
        <v>214</v>
      </c>
      <c r="B1" s="3" t="s">
        <v>215</v>
      </c>
      <c r="C1" s="33" t="s">
        <v>216</v>
      </c>
      <c r="D1" s="31" t="s">
        <v>217</v>
      </c>
      <c r="E1" s="33" t="s">
        <v>218</v>
      </c>
      <c r="F1" s="3" t="s">
        <v>219</v>
      </c>
    </row>
    <row r="2" spans="1:25">
      <c r="A2" s="25" t="s">
        <v>220</v>
      </c>
      <c r="E2" s="28"/>
    </row>
    <row r="3" spans="1:25">
      <c r="C3" s="29"/>
    </row>
    <row r="4" spans="1:25">
      <c r="A4" s="2" t="s">
        <v>747</v>
      </c>
      <c r="B4" s="2" t="s">
        <v>749</v>
      </c>
      <c r="C4" s="29"/>
      <c r="D4" s="2" t="s">
        <v>764</v>
      </c>
      <c r="E4" s="28" t="s">
        <v>771</v>
      </c>
      <c r="G4" s="19" t="s">
        <v>763</v>
      </c>
    </row>
    <row r="5" spans="1:25">
      <c r="B5" s="77"/>
      <c r="E5" s="28"/>
    </row>
    <row r="6" spans="1:25">
      <c r="A6" s="25" t="s">
        <v>221</v>
      </c>
      <c r="B6" s="77"/>
      <c r="E6" s="416" t="s">
        <v>752</v>
      </c>
    </row>
    <row r="7" spans="1:25">
      <c r="A7" s="78" t="s">
        <v>772</v>
      </c>
      <c r="B7" s="79" t="s">
        <v>748</v>
      </c>
      <c r="D7" s="80" t="s">
        <v>746</v>
      </c>
      <c r="E7" s="28" t="s">
        <v>773</v>
      </c>
      <c r="F7" s="19" t="s">
        <v>750</v>
      </c>
    </row>
    <row r="8" spans="1:25" ht="15.75">
      <c r="D8" s="419" t="s">
        <v>777</v>
      </c>
      <c r="E8" s="28" t="s">
        <v>774</v>
      </c>
      <c r="F8" s="2"/>
    </row>
    <row r="9" spans="1:25">
      <c r="D9" s="2" t="s">
        <v>776</v>
      </c>
      <c r="E9" s="28" t="s">
        <v>775</v>
      </c>
    </row>
    <row r="10" spans="1:25">
      <c r="E10" s="28"/>
    </row>
    <row r="11" spans="1:25">
      <c r="F11" s="28"/>
    </row>
    <row r="14" spans="1:25">
      <c r="A14" s="2" t="s">
        <v>222</v>
      </c>
      <c r="B14" s="34" t="s">
        <v>223</v>
      </c>
      <c r="E14" s="19"/>
    </row>
    <row r="16" spans="1:25">
      <c r="U16" t="s">
        <v>224</v>
      </c>
      <c r="V16" t="s">
        <v>225</v>
      </c>
      <c r="W16" t="s">
        <v>226</v>
      </c>
      <c r="X16" t="s">
        <v>227</v>
      </c>
      <c r="Y16" t="s">
        <v>228</v>
      </c>
    </row>
    <row r="17" spans="1:24">
      <c r="E17" s="28"/>
      <c r="F17" s="19"/>
      <c r="U17" t="s">
        <v>229</v>
      </c>
      <c r="V17" t="s">
        <v>230</v>
      </c>
      <c r="W17" s="361">
        <v>0.4458333333333333</v>
      </c>
      <c r="X17" t="s">
        <v>231</v>
      </c>
    </row>
    <row r="20" spans="1:24">
      <c r="A20" s="2" t="s">
        <v>232</v>
      </c>
    </row>
    <row r="21" spans="1:24">
      <c r="A21" s="362" t="s">
        <v>233</v>
      </c>
      <c r="B21" s="2" t="s">
        <v>234</v>
      </c>
      <c r="C21" s="28" t="s">
        <v>235</v>
      </c>
    </row>
    <row r="22" spans="1:24">
      <c r="A22" s="363" t="s">
        <v>236</v>
      </c>
    </row>
    <row r="23" spans="1:24">
      <c r="A23" s="364" t="s">
        <v>237</v>
      </c>
    </row>
    <row r="24" spans="1:24">
      <c r="A24" s="365" t="s">
        <v>238</v>
      </c>
    </row>
    <row r="25" spans="1:24">
      <c r="A25" s="366" t="s">
        <v>239</v>
      </c>
      <c r="B25" s="2" t="s">
        <v>240</v>
      </c>
      <c r="C25" s="28" t="s">
        <v>241</v>
      </c>
    </row>
    <row r="26" spans="1:24">
      <c r="A26" s="367" t="s">
        <v>242</v>
      </c>
    </row>
    <row r="27" spans="1:24">
      <c r="A27" s="368" t="s">
        <v>237</v>
      </c>
    </row>
    <row r="28" spans="1:24">
      <c r="A28" s="369" t="s">
        <v>243</v>
      </c>
    </row>
  </sheetData>
  <hyperlinks>
    <hyperlink ref="A24" r:id="rId1" display="https://insurancehub.com/" xr:uid="{480FAD21-BCC5-4FB4-945E-5359A5B6B2C4}"/>
    <hyperlink ref="C21" r:id="rId2" xr:uid="{F468BB82-EA4E-4CE9-A37B-65EE4DBE144A}"/>
    <hyperlink ref="A28" r:id="rId3" display="https://insurancehub.com/" xr:uid="{E070D91F-70C6-4446-88CC-EA9C53F18129}"/>
    <hyperlink ref="C25" r:id="rId4" xr:uid="{4FA2555B-7156-4E87-BAA9-3381BCBBA69F}"/>
    <hyperlink ref="G4" r:id="rId5" display="https://account.mrcooper.com/ed04d0f3-eba1-467f-91e7-52505132554c/oauth2/v2.0/authorize?p=B2C_1A_SignUpOrSignIn&amp;client_id=2a694b91-5631-4fe1-9039-775a23b420c8&amp;nonce=defaultNonce&amp;redirect_uri=https://www.mrcooper.com/sessions/login&amp;scope=openid&amp;response_type=id_token&amp;response_mode=form_post&amp;pageName=&amp;guid=&amp;ga_client_id=&amp;session_id=395071fa82d98b338e7ef9cf7a7320d9&amp;&amp;getCustomer=no&amp;state={%22redirect%22:null}&amp;x-client-SKU=apollo-accounts-mrcooper" xr:uid="{2C75206A-6E95-48BA-AE32-BEE2F23CFBB7}"/>
    <hyperlink ref="E8" r:id="rId6" xr:uid="{7EDDC7E2-6493-4278-B306-ADFD8EDAFB5F}"/>
    <hyperlink ref="E9" r:id="rId7" xr:uid="{82F47A90-452A-4EC8-9022-7F63E3DB4B85}"/>
  </hyperlinks>
  <pageMargins left="0.7" right="0.7" top="0.75" bottom="0.75" header="0.3" footer="0.3"/>
  <pageSetup orientation="portrait"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93775-34C0-4641-B582-57724D0BEE2F}">
  <sheetPr codeName="Sheet5"/>
  <dimension ref="A1:E47"/>
  <sheetViews>
    <sheetView topLeftCell="A16" workbookViewId="0">
      <selection activeCell="B14" sqref="B14"/>
    </sheetView>
  </sheetViews>
  <sheetFormatPr defaultRowHeight="15" customHeight="1"/>
  <cols>
    <col min="1" max="1" width="21.28515625" bestFit="1" customWidth="1"/>
    <col min="2" max="2" width="31.5703125" bestFit="1" customWidth="1"/>
    <col min="3" max="3" width="61.7109375" bestFit="1" customWidth="1"/>
    <col min="4" max="4" width="5" bestFit="1" customWidth="1"/>
    <col min="5" max="5" width="10.140625" bestFit="1" customWidth="1"/>
  </cols>
  <sheetData>
    <row r="1" spans="1:5" ht="15" customHeight="1">
      <c r="A1" s="229" t="s">
        <v>244</v>
      </c>
      <c r="B1" s="230" t="s">
        <v>245</v>
      </c>
      <c r="C1" s="231" t="s">
        <v>246</v>
      </c>
      <c r="D1" s="232">
        <v>1</v>
      </c>
      <c r="E1" s="233">
        <v>675</v>
      </c>
    </row>
    <row r="2" spans="1:5" ht="15" customHeight="1">
      <c r="A2" s="234" t="s">
        <v>247</v>
      </c>
      <c r="B2" s="235" t="s">
        <v>248</v>
      </c>
      <c r="C2" s="236" t="s">
        <v>249</v>
      </c>
      <c r="D2" s="237">
        <v>4</v>
      </c>
      <c r="E2" s="238">
        <v>33.75</v>
      </c>
    </row>
    <row r="3" spans="1:5" ht="15" customHeight="1">
      <c r="A3" s="229" t="s">
        <v>250</v>
      </c>
      <c r="B3" s="230" t="s">
        <v>250</v>
      </c>
      <c r="C3" s="231" t="s">
        <v>251</v>
      </c>
      <c r="D3" s="232">
        <v>144</v>
      </c>
      <c r="E3" s="233">
        <v>14.850000000000001</v>
      </c>
    </row>
    <row r="4" spans="1:5" ht="15" customHeight="1">
      <c r="A4" s="234" t="s">
        <v>252</v>
      </c>
      <c r="B4" s="235" t="s">
        <v>253</v>
      </c>
      <c r="C4" s="236" t="s">
        <v>254</v>
      </c>
      <c r="D4" s="237">
        <v>0</v>
      </c>
      <c r="E4" s="238">
        <v>100</v>
      </c>
    </row>
    <row r="5" spans="1:5" ht="15" customHeight="1">
      <c r="A5" s="229" t="s">
        <v>255</v>
      </c>
      <c r="B5" s="230" t="s">
        <v>256</v>
      </c>
      <c r="C5" s="231" t="s">
        <v>257</v>
      </c>
      <c r="D5" s="232">
        <v>144</v>
      </c>
      <c r="E5" s="233">
        <v>13.5</v>
      </c>
    </row>
    <row r="6" spans="1:5" ht="15" customHeight="1">
      <c r="A6" s="234" t="s">
        <v>258</v>
      </c>
      <c r="B6" s="235" t="s">
        <v>259</v>
      </c>
      <c r="C6" s="236" t="s">
        <v>260</v>
      </c>
      <c r="D6" s="237">
        <v>1</v>
      </c>
      <c r="E6" s="238">
        <v>7020.0000000000009</v>
      </c>
    </row>
    <row r="7" spans="1:5" ht="15" customHeight="1">
      <c r="A7" s="229" t="s">
        <v>258</v>
      </c>
      <c r="B7" s="230" t="s">
        <v>261</v>
      </c>
      <c r="C7" s="231" t="s">
        <v>262</v>
      </c>
      <c r="D7" s="232">
        <v>1</v>
      </c>
      <c r="E7" s="233">
        <v>7500</v>
      </c>
    </row>
    <row r="8" spans="1:5" ht="15" customHeight="1">
      <c r="A8" s="234" t="s">
        <v>252</v>
      </c>
      <c r="B8" s="235" t="s">
        <v>263</v>
      </c>
      <c r="C8" s="236" t="s">
        <v>264</v>
      </c>
      <c r="D8" s="237">
        <v>3</v>
      </c>
      <c r="E8" s="238">
        <v>100</v>
      </c>
    </row>
    <row r="9" spans="1:5" ht="15" customHeight="1">
      <c r="A9" s="229" t="s">
        <v>265</v>
      </c>
      <c r="B9" s="230" t="s">
        <v>266</v>
      </c>
      <c r="C9" s="231" t="s">
        <v>267</v>
      </c>
      <c r="D9" s="232">
        <v>2</v>
      </c>
      <c r="E9" s="233">
        <v>270</v>
      </c>
    </row>
    <row r="10" spans="1:5" ht="15" customHeight="1">
      <c r="A10" s="234" t="s">
        <v>265</v>
      </c>
      <c r="B10" s="235" t="s">
        <v>268</v>
      </c>
      <c r="C10" s="236" t="s">
        <v>269</v>
      </c>
      <c r="D10" s="237">
        <v>1</v>
      </c>
      <c r="E10" s="238">
        <v>202.5</v>
      </c>
    </row>
    <row r="11" spans="1:5" ht="15" customHeight="1">
      <c r="A11" s="229" t="s">
        <v>270</v>
      </c>
      <c r="B11" s="230" t="s">
        <v>271</v>
      </c>
      <c r="C11" s="231" t="s">
        <v>272</v>
      </c>
      <c r="D11" s="232">
        <v>100</v>
      </c>
      <c r="E11" s="233">
        <v>6.75</v>
      </c>
    </row>
    <row r="12" spans="1:5" ht="15" customHeight="1">
      <c r="A12" s="234" t="s">
        <v>273</v>
      </c>
      <c r="B12" s="235" t="s">
        <v>274</v>
      </c>
      <c r="C12" s="236" t="s">
        <v>275</v>
      </c>
      <c r="D12" s="237">
        <v>1</v>
      </c>
      <c r="E12" s="238">
        <v>472.50000000000006</v>
      </c>
    </row>
    <row r="13" spans="1:5" ht="15" customHeight="1">
      <c r="A13" s="229" t="s">
        <v>276</v>
      </c>
      <c r="B13" s="230" t="s">
        <v>277</v>
      </c>
      <c r="C13" s="231" t="s">
        <v>278</v>
      </c>
      <c r="D13" s="232">
        <v>2</v>
      </c>
      <c r="E13" s="233">
        <v>303.75</v>
      </c>
    </row>
    <row r="14" spans="1:5" ht="15" customHeight="1">
      <c r="A14" s="239" t="s">
        <v>279</v>
      </c>
      <c r="B14" s="235" t="s">
        <v>280</v>
      </c>
      <c r="C14" s="236" t="s">
        <v>281</v>
      </c>
      <c r="D14" s="237"/>
      <c r="E14" s="238"/>
    </row>
    <row r="15" spans="1:5" ht="15" customHeight="1">
      <c r="A15" s="229" t="s">
        <v>282</v>
      </c>
      <c r="B15" s="230" t="s">
        <v>283</v>
      </c>
      <c r="C15" s="231" t="s">
        <v>284</v>
      </c>
      <c r="D15" s="232">
        <v>1375</v>
      </c>
      <c r="E15" s="233">
        <v>1.0125000000000002</v>
      </c>
    </row>
    <row r="16" spans="1:5" ht="15" customHeight="1">
      <c r="A16" s="234" t="s">
        <v>285</v>
      </c>
      <c r="B16" s="235" t="s">
        <v>286</v>
      </c>
      <c r="C16" s="236" t="s">
        <v>287</v>
      </c>
      <c r="D16" s="237">
        <v>1375</v>
      </c>
      <c r="E16" s="238">
        <v>6.4530000000000012</v>
      </c>
    </row>
    <row r="17" spans="1:5" ht="15" customHeight="1">
      <c r="A17" s="229" t="s">
        <v>288</v>
      </c>
      <c r="B17" s="230" t="s">
        <v>289</v>
      </c>
      <c r="C17" s="231" t="s">
        <v>290</v>
      </c>
      <c r="D17" s="232">
        <v>1</v>
      </c>
      <c r="E17" s="233">
        <v>405</v>
      </c>
    </row>
    <row r="18" spans="1:5" ht="15" customHeight="1">
      <c r="A18" s="234" t="s">
        <v>288</v>
      </c>
      <c r="B18" s="235" t="s">
        <v>291</v>
      </c>
      <c r="C18" s="236" t="s">
        <v>292</v>
      </c>
      <c r="D18" s="237">
        <v>1</v>
      </c>
      <c r="E18" s="238">
        <v>405</v>
      </c>
    </row>
    <row r="19" spans="1:5" ht="15" customHeight="1">
      <c r="A19" s="229" t="s">
        <v>288</v>
      </c>
      <c r="B19" s="230" t="s">
        <v>293</v>
      </c>
      <c r="C19" s="231" t="s">
        <v>294</v>
      </c>
      <c r="D19" s="232">
        <v>500</v>
      </c>
      <c r="E19" s="233">
        <v>1.35</v>
      </c>
    </row>
    <row r="20" spans="1:5" ht="15" customHeight="1">
      <c r="A20" s="240" t="s">
        <v>288</v>
      </c>
      <c r="B20" s="240" t="s">
        <v>295</v>
      </c>
      <c r="C20" s="241" t="s">
        <v>296</v>
      </c>
      <c r="D20" s="242">
        <v>1375</v>
      </c>
      <c r="E20" s="243">
        <v>4.7250000000000005</v>
      </c>
    </row>
    <row r="21" spans="1:5" ht="15" customHeight="1">
      <c r="A21" s="229" t="s">
        <v>288</v>
      </c>
      <c r="B21" s="230" t="s">
        <v>297</v>
      </c>
      <c r="C21" s="231" t="s">
        <v>298</v>
      </c>
      <c r="D21" s="232">
        <v>1</v>
      </c>
      <c r="E21" s="233"/>
    </row>
    <row r="22" spans="1:5" ht="15" customHeight="1">
      <c r="A22" s="234" t="s">
        <v>288</v>
      </c>
      <c r="B22" s="235" t="s">
        <v>299</v>
      </c>
      <c r="C22" s="236" t="s">
        <v>300</v>
      </c>
      <c r="D22" s="237">
        <v>16</v>
      </c>
      <c r="E22" s="238">
        <v>135</v>
      </c>
    </row>
    <row r="23" spans="1:5" ht="15" customHeight="1">
      <c r="A23" s="229" t="s">
        <v>301</v>
      </c>
      <c r="B23" s="230" t="s">
        <v>302</v>
      </c>
      <c r="C23" s="231" t="s">
        <v>303</v>
      </c>
      <c r="D23" s="232">
        <v>2</v>
      </c>
      <c r="E23" s="233">
        <v>202.5</v>
      </c>
    </row>
    <row r="24" spans="1:5" ht="15" customHeight="1">
      <c r="A24" s="234" t="s">
        <v>301</v>
      </c>
      <c r="B24" s="235" t="s">
        <v>304</v>
      </c>
      <c r="C24" s="236" t="s">
        <v>305</v>
      </c>
      <c r="D24" s="237">
        <v>5</v>
      </c>
      <c r="E24" s="238">
        <v>6.75</v>
      </c>
    </row>
    <row r="25" spans="1:5" ht="15" customHeight="1">
      <c r="A25" s="229" t="s">
        <v>301</v>
      </c>
      <c r="B25" s="230" t="s">
        <v>306</v>
      </c>
      <c r="C25" s="231" t="s">
        <v>307</v>
      </c>
      <c r="D25" s="232">
        <v>16</v>
      </c>
      <c r="E25" s="233">
        <v>6.75</v>
      </c>
    </row>
    <row r="26" spans="1:5" ht="15" customHeight="1">
      <c r="A26" s="234" t="s">
        <v>308</v>
      </c>
      <c r="B26" s="235" t="s">
        <v>309</v>
      </c>
      <c r="C26" s="236" t="s">
        <v>310</v>
      </c>
      <c r="D26" s="237">
        <v>3</v>
      </c>
      <c r="E26" s="238">
        <v>100</v>
      </c>
    </row>
    <row r="27" spans="1:5" ht="15" customHeight="1">
      <c r="A27" s="229" t="s">
        <v>311</v>
      </c>
      <c r="B27" s="230" t="s">
        <v>312</v>
      </c>
      <c r="C27" s="231" t="s">
        <v>313</v>
      </c>
      <c r="D27" s="232">
        <v>1</v>
      </c>
      <c r="E27" s="233">
        <v>255.15</v>
      </c>
    </row>
    <row r="28" spans="1:5" ht="15" customHeight="1">
      <c r="A28" s="234" t="s">
        <v>311</v>
      </c>
      <c r="B28" s="235" t="s">
        <v>314</v>
      </c>
      <c r="C28" s="236" t="s">
        <v>315</v>
      </c>
      <c r="D28" s="237">
        <v>3</v>
      </c>
      <c r="E28" s="238">
        <v>214.65</v>
      </c>
    </row>
    <row r="29" spans="1:5" ht="15" customHeight="1">
      <c r="A29" s="229" t="s">
        <v>311</v>
      </c>
      <c r="B29" s="230" t="s">
        <v>316</v>
      </c>
      <c r="C29" s="231" t="s">
        <v>317</v>
      </c>
      <c r="D29" s="232">
        <v>2</v>
      </c>
      <c r="E29" s="233">
        <v>222.75000000000003</v>
      </c>
    </row>
    <row r="30" spans="1:5" ht="15" customHeight="1">
      <c r="A30" s="234" t="s">
        <v>311</v>
      </c>
      <c r="B30" s="235" t="s">
        <v>318</v>
      </c>
      <c r="C30" s="236" t="s">
        <v>319</v>
      </c>
      <c r="D30" s="237">
        <v>3</v>
      </c>
      <c r="E30" s="238">
        <v>255.15</v>
      </c>
    </row>
    <row r="31" spans="1:5" ht="15" customHeight="1">
      <c r="A31" s="229" t="s">
        <v>320</v>
      </c>
      <c r="B31" s="230" t="s">
        <v>321</v>
      </c>
      <c r="C31" s="231" t="s">
        <v>322</v>
      </c>
      <c r="D31" s="232">
        <v>3</v>
      </c>
      <c r="E31" s="233">
        <v>101.25</v>
      </c>
    </row>
    <row r="32" spans="1:5" ht="15" customHeight="1">
      <c r="A32" s="234" t="s">
        <v>320</v>
      </c>
      <c r="B32" s="235" t="s">
        <v>323</v>
      </c>
      <c r="C32" s="236" t="s">
        <v>324</v>
      </c>
      <c r="D32" s="237">
        <v>1</v>
      </c>
      <c r="E32" s="238">
        <v>101.25</v>
      </c>
    </row>
    <row r="33" spans="1:5" ht="15" customHeight="1">
      <c r="A33" s="229" t="s">
        <v>320</v>
      </c>
      <c r="B33" s="230" t="s">
        <v>325</v>
      </c>
      <c r="C33" s="231" t="s">
        <v>326</v>
      </c>
      <c r="D33" s="232">
        <v>3</v>
      </c>
      <c r="E33" s="233">
        <v>67.5</v>
      </c>
    </row>
    <row r="34" spans="1:5" ht="15" customHeight="1">
      <c r="A34" s="234" t="s">
        <v>320</v>
      </c>
      <c r="B34" s="235" t="s">
        <v>327</v>
      </c>
      <c r="C34" s="236" t="s">
        <v>328</v>
      </c>
      <c r="D34" s="237">
        <v>3</v>
      </c>
      <c r="E34" s="238">
        <v>67.5</v>
      </c>
    </row>
    <row r="35" spans="1:5" ht="15" customHeight="1">
      <c r="A35" s="229" t="s">
        <v>320</v>
      </c>
      <c r="B35" s="230" t="s">
        <v>329</v>
      </c>
      <c r="C35" s="231" t="s">
        <v>330</v>
      </c>
      <c r="D35" s="232">
        <v>3</v>
      </c>
      <c r="E35" s="233">
        <v>67.5</v>
      </c>
    </row>
    <row r="36" spans="1:5" ht="15" customHeight="1">
      <c r="A36" s="234" t="s">
        <v>320</v>
      </c>
      <c r="B36" s="235" t="s">
        <v>331</v>
      </c>
      <c r="C36" s="236" t="s">
        <v>332</v>
      </c>
      <c r="D36" s="237">
        <v>1</v>
      </c>
      <c r="E36" s="238">
        <v>101.25</v>
      </c>
    </row>
    <row r="37" spans="1:5" ht="15" customHeight="1">
      <c r="A37" s="229" t="s">
        <v>333</v>
      </c>
      <c r="B37" s="230" t="s">
        <v>334</v>
      </c>
      <c r="C37" s="231" t="s">
        <v>335</v>
      </c>
      <c r="D37" s="232">
        <v>1</v>
      </c>
      <c r="E37" s="233">
        <v>1146.1500000000001</v>
      </c>
    </row>
    <row r="38" spans="1:5" ht="15" customHeight="1">
      <c r="A38" s="234" t="s">
        <v>333</v>
      </c>
      <c r="B38" s="235" t="s">
        <v>336</v>
      </c>
      <c r="C38" s="236" t="s">
        <v>337</v>
      </c>
      <c r="D38" s="237">
        <v>1</v>
      </c>
      <c r="E38" s="238">
        <v>1080</v>
      </c>
    </row>
    <row r="39" spans="1:5" ht="15" customHeight="1">
      <c r="A39" s="229" t="s">
        <v>338</v>
      </c>
      <c r="B39" s="230" t="s">
        <v>339</v>
      </c>
      <c r="C39" s="231" t="s">
        <v>340</v>
      </c>
      <c r="D39" s="232">
        <v>2</v>
      </c>
      <c r="E39" s="233">
        <v>67.5</v>
      </c>
    </row>
    <row r="40" spans="1:5" ht="15" customHeight="1">
      <c r="A40" s="234" t="s">
        <v>341</v>
      </c>
      <c r="B40" s="235" t="s">
        <v>342</v>
      </c>
      <c r="C40" s="236" t="s">
        <v>343</v>
      </c>
      <c r="D40" s="237">
        <v>4</v>
      </c>
      <c r="E40" s="238">
        <v>135</v>
      </c>
    </row>
    <row r="41" spans="1:5" ht="15" customHeight="1">
      <c r="A41" s="229" t="s">
        <v>333</v>
      </c>
      <c r="B41" s="230" t="s">
        <v>344</v>
      </c>
      <c r="C41" s="231" t="s">
        <v>345</v>
      </c>
      <c r="D41" s="232">
        <v>1</v>
      </c>
      <c r="E41" s="233">
        <v>-1701.3</v>
      </c>
    </row>
    <row r="42" spans="1:5" ht="15" customHeight="1">
      <c r="A42" s="235" t="s">
        <v>258</v>
      </c>
      <c r="B42" s="235" t="s">
        <v>346</v>
      </c>
      <c r="C42" s="235" t="s">
        <v>347</v>
      </c>
      <c r="D42" s="237">
        <v>1</v>
      </c>
      <c r="E42" s="238">
        <v>2000</v>
      </c>
    </row>
    <row r="43" spans="1:5" ht="15" customHeight="1">
      <c r="A43" s="230" t="s">
        <v>258</v>
      </c>
      <c r="B43" s="230" t="s">
        <v>348</v>
      </c>
      <c r="C43" s="230" t="s">
        <v>349</v>
      </c>
      <c r="D43" s="232">
        <v>1</v>
      </c>
      <c r="E43" s="233">
        <v>2226</v>
      </c>
    </row>
    <row r="44" spans="1:5" ht="15" customHeight="1">
      <c r="A44" s="235" t="s">
        <v>311</v>
      </c>
      <c r="B44" s="235" t="s">
        <v>350</v>
      </c>
      <c r="C44" s="235" t="s">
        <v>351</v>
      </c>
      <c r="D44" s="244">
        <v>1</v>
      </c>
      <c r="E44" s="245">
        <v>1750</v>
      </c>
    </row>
    <row r="45" spans="1:5" ht="15" customHeight="1">
      <c r="A45" s="230" t="s">
        <v>258</v>
      </c>
      <c r="B45" s="230" t="s">
        <v>352</v>
      </c>
      <c r="C45" s="230" t="s">
        <v>353</v>
      </c>
      <c r="D45" s="244">
        <v>1</v>
      </c>
      <c r="E45" s="245">
        <v>1070</v>
      </c>
    </row>
    <row r="46" spans="1:5" ht="15" customHeight="1">
      <c r="A46" s="235" t="s">
        <v>265</v>
      </c>
      <c r="B46" s="235" t="s">
        <v>354</v>
      </c>
      <c r="C46" s="235" t="s">
        <v>355</v>
      </c>
      <c r="D46" s="244">
        <v>1</v>
      </c>
      <c r="E46" s="245">
        <v>1335</v>
      </c>
    </row>
    <row r="47" spans="1:5" ht="15" customHeight="1">
      <c r="A47" s="230" t="s">
        <v>265</v>
      </c>
      <c r="B47" s="230" t="s">
        <v>356</v>
      </c>
      <c r="C47" s="230" t="s">
        <v>357</v>
      </c>
      <c r="D47" s="408">
        <v>1</v>
      </c>
      <c r="E47" s="409">
        <v>135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5F9F1-54EC-40FF-95C4-C14CCDEB7581}">
  <sheetPr codeName="Sheet6">
    <tabColor theme="7" tint="0.79998168889431442"/>
  </sheetPr>
  <dimension ref="A1:M70"/>
  <sheetViews>
    <sheetView topLeftCell="B1" zoomScaleNormal="100" workbookViewId="0">
      <pane ySplit="11" topLeftCell="A12" activePane="bottomLeft" state="frozen"/>
      <selection pane="bottomLeft" activeCell="F71" sqref="F71"/>
    </sheetView>
  </sheetViews>
  <sheetFormatPr defaultRowHeight="15"/>
  <cols>
    <col min="1" max="1" width="35.85546875" style="88" customWidth="1"/>
    <col min="2" max="2" width="35.140625" style="88" bestFit="1" customWidth="1"/>
    <col min="3" max="3" width="118.140625" style="88" customWidth="1"/>
    <col min="4" max="4" width="9.5703125" style="89" bestFit="1" customWidth="1"/>
    <col min="5" max="5" width="16.28515625" style="90" bestFit="1" customWidth="1"/>
    <col min="6" max="6" width="9.140625" style="88"/>
    <col min="7" max="7" width="18.7109375" style="88" bestFit="1" customWidth="1"/>
    <col min="8" max="8" width="27.7109375" style="88" bestFit="1" customWidth="1"/>
    <col min="9" max="9" width="81.140625" style="88" bestFit="1" customWidth="1"/>
    <col min="10" max="10" width="6.28515625" style="88" bestFit="1" customWidth="1"/>
    <col min="11" max="12" width="12" style="88" bestFit="1" customWidth="1"/>
    <col min="13" max="254" width="9.140625" style="88"/>
    <col min="255" max="255" width="21.85546875" style="88" customWidth="1"/>
    <col min="256" max="256" width="35.85546875" style="88" customWidth="1"/>
    <col min="257" max="257" width="97.7109375" style="88" customWidth="1"/>
    <col min="258" max="258" width="31.7109375" style="88" customWidth="1"/>
    <col min="259" max="259" width="13.7109375" style="88" bestFit="1" customWidth="1"/>
    <col min="260" max="510" width="9.140625" style="88"/>
    <col min="511" max="511" width="21.85546875" style="88" customWidth="1"/>
    <col min="512" max="512" width="35.85546875" style="88" customWidth="1"/>
    <col min="513" max="513" width="97.7109375" style="88" customWidth="1"/>
    <col min="514" max="514" width="31.7109375" style="88" customWidth="1"/>
    <col min="515" max="515" width="13.7109375" style="88" bestFit="1" customWidth="1"/>
    <col min="516" max="766" width="9.140625" style="88"/>
    <col min="767" max="767" width="21.85546875" style="88" customWidth="1"/>
    <col min="768" max="768" width="35.85546875" style="88" customWidth="1"/>
    <col min="769" max="769" width="97.7109375" style="88" customWidth="1"/>
    <col min="770" max="770" width="31.7109375" style="88" customWidth="1"/>
    <col min="771" max="771" width="13.7109375" style="88" bestFit="1" customWidth="1"/>
    <col min="772" max="1022" width="9.140625" style="88"/>
    <col min="1023" max="1023" width="21.85546875" style="88" customWidth="1"/>
    <col min="1024" max="1024" width="35.85546875" style="88" customWidth="1"/>
    <col min="1025" max="1025" width="97.7109375" style="88" customWidth="1"/>
    <col min="1026" max="1026" width="31.7109375" style="88" customWidth="1"/>
    <col min="1027" max="1027" width="13.7109375" style="88" bestFit="1" customWidth="1"/>
    <col min="1028" max="1278" width="9.140625" style="88"/>
    <col min="1279" max="1279" width="21.85546875" style="88" customWidth="1"/>
    <col min="1280" max="1280" width="35.85546875" style="88" customWidth="1"/>
    <col min="1281" max="1281" width="97.7109375" style="88" customWidth="1"/>
    <col min="1282" max="1282" width="31.7109375" style="88" customWidth="1"/>
    <col min="1283" max="1283" width="13.7109375" style="88" bestFit="1" customWidth="1"/>
    <col min="1284" max="1534" width="9.140625" style="88"/>
    <col min="1535" max="1535" width="21.85546875" style="88" customWidth="1"/>
    <col min="1536" max="1536" width="35.85546875" style="88" customWidth="1"/>
    <col min="1537" max="1537" width="97.7109375" style="88" customWidth="1"/>
    <col min="1538" max="1538" width="31.7109375" style="88" customWidth="1"/>
    <col min="1539" max="1539" width="13.7109375" style="88" bestFit="1" customWidth="1"/>
    <col min="1540" max="1790" width="9.140625" style="88"/>
    <col min="1791" max="1791" width="21.85546875" style="88" customWidth="1"/>
    <col min="1792" max="1792" width="35.85546875" style="88" customWidth="1"/>
    <col min="1793" max="1793" width="97.7109375" style="88" customWidth="1"/>
    <col min="1794" max="1794" width="31.7109375" style="88" customWidth="1"/>
    <col min="1795" max="1795" width="13.7109375" style="88" bestFit="1" customWidth="1"/>
    <col min="1796" max="2046" width="9.140625" style="88"/>
    <col min="2047" max="2047" width="21.85546875" style="88" customWidth="1"/>
    <col min="2048" max="2048" width="35.85546875" style="88" customWidth="1"/>
    <col min="2049" max="2049" width="97.7109375" style="88" customWidth="1"/>
    <col min="2050" max="2050" width="31.7109375" style="88" customWidth="1"/>
    <col min="2051" max="2051" width="13.7109375" style="88" bestFit="1" customWidth="1"/>
    <col min="2052" max="2302" width="9.140625" style="88"/>
    <col min="2303" max="2303" width="21.85546875" style="88" customWidth="1"/>
    <col min="2304" max="2304" width="35.85546875" style="88" customWidth="1"/>
    <col min="2305" max="2305" width="97.7109375" style="88" customWidth="1"/>
    <col min="2306" max="2306" width="31.7109375" style="88" customWidth="1"/>
    <col min="2307" max="2307" width="13.7109375" style="88" bestFit="1" customWidth="1"/>
    <col min="2308" max="2558" width="9.140625" style="88"/>
    <col min="2559" max="2559" width="21.85546875" style="88" customWidth="1"/>
    <col min="2560" max="2560" width="35.85546875" style="88" customWidth="1"/>
    <col min="2561" max="2561" width="97.7109375" style="88" customWidth="1"/>
    <col min="2562" max="2562" width="31.7109375" style="88" customWidth="1"/>
    <col min="2563" max="2563" width="13.7109375" style="88" bestFit="1" customWidth="1"/>
    <col min="2564" max="2814" width="9.140625" style="88"/>
    <col min="2815" max="2815" width="21.85546875" style="88" customWidth="1"/>
    <col min="2816" max="2816" width="35.85546875" style="88" customWidth="1"/>
    <col min="2817" max="2817" width="97.7109375" style="88" customWidth="1"/>
    <col min="2818" max="2818" width="31.7109375" style="88" customWidth="1"/>
    <col min="2819" max="2819" width="13.7109375" style="88" bestFit="1" customWidth="1"/>
    <col min="2820" max="3070" width="9.140625" style="88"/>
    <col min="3071" max="3071" width="21.85546875" style="88" customWidth="1"/>
    <col min="3072" max="3072" width="35.85546875" style="88" customWidth="1"/>
    <col min="3073" max="3073" width="97.7109375" style="88" customWidth="1"/>
    <col min="3074" max="3074" width="31.7109375" style="88" customWidth="1"/>
    <col min="3075" max="3075" width="13.7109375" style="88" bestFit="1" customWidth="1"/>
    <col min="3076" max="3326" width="9.140625" style="88"/>
    <col min="3327" max="3327" width="21.85546875" style="88" customWidth="1"/>
    <col min="3328" max="3328" width="35.85546875" style="88" customWidth="1"/>
    <col min="3329" max="3329" width="97.7109375" style="88" customWidth="1"/>
    <col min="3330" max="3330" width="31.7109375" style="88" customWidth="1"/>
    <col min="3331" max="3331" width="13.7109375" style="88" bestFit="1" customWidth="1"/>
    <col min="3332" max="3582" width="9.140625" style="88"/>
    <col min="3583" max="3583" width="21.85546875" style="88" customWidth="1"/>
    <col min="3584" max="3584" width="35.85546875" style="88" customWidth="1"/>
    <col min="3585" max="3585" width="97.7109375" style="88" customWidth="1"/>
    <col min="3586" max="3586" width="31.7109375" style="88" customWidth="1"/>
    <col min="3587" max="3587" width="13.7109375" style="88" bestFit="1" customWidth="1"/>
    <col min="3588" max="3838" width="9.140625" style="88"/>
    <col min="3839" max="3839" width="21.85546875" style="88" customWidth="1"/>
    <col min="3840" max="3840" width="35.85546875" style="88" customWidth="1"/>
    <col min="3841" max="3841" width="97.7109375" style="88" customWidth="1"/>
    <col min="3842" max="3842" width="31.7109375" style="88" customWidth="1"/>
    <col min="3843" max="3843" width="13.7109375" style="88" bestFit="1" customWidth="1"/>
    <col min="3844" max="4094" width="9.140625" style="88"/>
    <col min="4095" max="4095" width="21.85546875" style="88" customWidth="1"/>
    <col min="4096" max="4096" width="35.85546875" style="88" customWidth="1"/>
    <col min="4097" max="4097" width="97.7109375" style="88" customWidth="1"/>
    <col min="4098" max="4098" width="31.7109375" style="88" customWidth="1"/>
    <col min="4099" max="4099" width="13.7109375" style="88" bestFit="1" customWidth="1"/>
    <col min="4100" max="4350" width="9.140625" style="88"/>
    <col min="4351" max="4351" width="21.85546875" style="88" customWidth="1"/>
    <col min="4352" max="4352" width="35.85546875" style="88" customWidth="1"/>
    <col min="4353" max="4353" width="97.7109375" style="88" customWidth="1"/>
    <col min="4354" max="4354" width="31.7109375" style="88" customWidth="1"/>
    <col min="4355" max="4355" width="13.7109375" style="88" bestFit="1" customWidth="1"/>
    <col min="4356" max="4606" width="9.140625" style="88"/>
    <col min="4607" max="4607" width="21.85546875" style="88" customWidth="1"/>
    <col min="4608" max="4608" width="35.85546875" style="88" customWidth="1"/>
    <col min="4609" max="4609" width="97.7109375" style="88" customWidth="1"/>
    <col min="4610" max="4610" width="31.7109375" style="88" customWidth="1"/>
    <col min="4611" max="4611" width="13.7109375" style="88" bestFit="1" customWidth="1"/>
    <col min="4612" max="4862" width="9.140625" style="88"/>
    <col min="4863" max="4863" width="21.85546875" style="88" customWidth="1"/>
    <col min="4864" max="4864" width="35.85546875" style="88" customWidth="1"/>
    <col min="4865" max="4865" width="97.7109375" style="88" customWidth="1"/>
    <col min="4866" max="4866" width="31.7109375" style="88" customWidth="1"/>
    <col min="4867" max="4867" width="13.7109375" style="88" bestFit="1" customWidth="1"/>
    <col min="4868" max="5118" width="9.140625" style="88"/>
    <col min="5119" max="5119" width="21.85546875" style="88" customWidth="1"/>
    <col min="5120" max="5120" width="35.85546875" style="88" customWidth="1"/>
    <col min="5121" max="5121" width="97.7109375" style="88" customWidth="1"/>
    <col min="5122" max="5122" width="31.7109375" style="88" customWidth="1"/>
    <col min="5123" max="5123" width="13.7109375" style="88" bestFit="1" customWidth="1"/>
    <col min="5124" max="5374" width="9.140625" style="88"/>
    <col min="5375" max="5375" width="21.85546875" style="88" customWidth="1"/>
    <col min="5376" max="5376" width="35.85546875" style="88" customWidth="1"/>
    <col min="5377" max="5377" width="97.7109375" style="88" customWidth="1"/>
    <col min="5378" max="5378" width="31.7109375" style="88" customWidth="1"/>
    <col min="5379" max="5379" width="13.7109375" style="88" bestFit="1" customWidth="1"/>
    <col min="5380" max="5630" width="9.140625" style="88"/>
    <col min="5631" max="5631" width="21.85546875" style="88" customWidth="1"/>
    <col min="5632" max="5632" width="35.85546875" style="88" customWidth="1"/>
    <col min="5633" max="5633" width="97.7109375" style="88" customWidth="1"/>
    <col min="5634" max="5634" width="31.7109375" style="88" customWidth="1"/>
    <col min="5635" max="5635" width="13.7109375" style="88" bestFit="1" customWidth="1"/>
    <col min="5636" max="5886" width="9.140625" style="88"/>
    <col min="5887" max="5887" width="21.85546875" style="88" customWidth="1"/>
    <col min="5888" max="5888" width="35.85546875" style="88" customWidth="1"/>
    <col min="5889" max="5889" width="97.7109375" style="88" customWidth="1"/>
    <col min="5890" max="5890" width="31.7109375" style="88" customWidth="1"/>
    <col min="5891" max="5891" width="13.7109375" style="88" bestFit="1" customWidth="1"/>
    <col min="5892" max="6142" width="9.140625" style="88"/>
    <col min="6143" max="6143" width="21.85546875" style="88" customWidth="1"/>
    <col min="6144" max="6144" width="35.85546875" style="88" customWidth="1"/>
    <col min="6145" max="6145" width="97.7109375" style="88" customWidth="1"/>
    <col min="6146" max="6146" width="31.7109375" style="88" customWidth="1"/>
    <col min="6147" max="6147" width="13.7109375" style="88" bestFit="1" customWidth="1"/>
    <col min="6148" max="6398" width="9.140625" style="88"/>
    <col min="6399" max="6399" width="21.85546875" style="88" customWidth="1"/>
    <col min="6400" max="6400" width="35.85546875" style="88" customWidth="1"/>
    <col min="6401" max="6401" width="97.7109375" style="88" customWidth="1"/>
    <col min="6402" max="6402" width="31.7109375" style="88" customWidth="1"/>
    <col min="6403" max="6403" width="13.7109375" style="88" bestFit="1" customWidth="1"/>
    <col min="6404" max="6654" width="9.140625" style="88"/>
    <col min="6655" max="6655" width="21.85546875" style="88" customWidth="1"/>
    <col min="6656" max="6656" width="35.85546875" style="88" customWidth="1"/>
    <col min="6657" max="6657" width="97.7109375" style="88" customWidth="1"/>
    <col min="6658" max="6658" width="31.7109375" style="88" customWidth="1"/>
    <col min="6659" max="6659" width="13.7109375" style="88" bestFit="1" customWidth="1"/>
    <col min="6660" max="6910" width="9.140625" style="88"/>
    <col min="6911" max="6911" width="21.85546875" style="88" customWidth="1"/>
    <col min="6912" max="6912" width="35.85546875" style="88" customWidth="1"/>
    <col min="6913" max="6913" width="97.7109375" style="88" customWidth="1"/>
    <col min="6914" max="6914" width="31.7109375" style="88" customWidth="1"/>
    <col min="6915" max="6915" width="13.7109375" style="88" bestFit="1" customWidth="1"/>
    <col min="6916" max="7166" width="9.140625" style="88"/>
    <col min="7167" max="7167" width="21.85546875" style="88" customWidth="1"/>
    <col min="7168" max="7168" width="35.85546875" style="88" customWidth="1"/>
    <col min="7169" max="7169" width="97.7109375" style="88" customWidth="1"/>
    <col min="7170" max="7170" width="31.7109375" style="88" customWidth="1"/>
    <col min="7171" max="7171" width="13.7109375" style="88" bestFit="1" customWidth="1"/>
    <col min="7172" max="7422" width="9.140625" style="88"/>
    <col min="7423" max="7423" width="21.85546875" style="88" customWidth="1"/>
    <col min="7424" max="7424" width="35.85546875" style="88" customWidth="1"/>
    <col min="7425" max="7425" width="97.7109375" style="88" customWidth="1"/>
    <col min="7426" max="7426" width="31.7109375" style="88" customWidth="1"/>
    <col min="7427" max="7427" width="13.7109375" style="88" bestFit="1" customWidth="1"/>
    <col min="7428" max="7678" width="9.140625" style="88"/>
    <col min="7679" max="7679" width="21.85546875" style="88" customWidth="1"/>
    <col min="7680" max="7680" width="35.85546875" style="88" customWidth="1"/>
    <col min="7681" max="7681" width="97.7109375" style="88" customWidth="1"/>
    <col min="7682" max="7682" width="31.7109375" style="88" customWidth="1"/>
    <col min="7683" max="7683" width="13.7109375" style="88" bestFit="1" customWidth="1"/>
    <col min="7684" max="7934" width="9.140625" style="88"/>
    <col min="7935" max="7935" width="21.85546875" style="88" customWidth="1"/>
    <col min="7936" max="7936" width="35.85546875" style="88" customWidth="1"/>
    <col min="7937" max="7937" width="97.7109375" style="88" customWidth="1"/>
    <col min="7938" max="7938" width="31.7109375" style="88" customWidth="1"/>
    <col min="7939" max="7939" width="13.7109375" style="88" bestFit="1" customWidth="1"/>
    <col min="7940" max="8190" width="9.140625" style="88"/>
    <col min="8191" max="8191" width="21.85546875" style="88" customWidth="1"/>
    <col min="8192" max="8192" width="35.85546875" style="88" customWidth="1"/>
    <col min="8193" max="8193" width="97.7109375" style="88" customWidth="1"/>
    <col min="8194" max="8194" width="31.7109375" style="88" customWidth="1"/>
    <col min="8195" max="8195" width="13.7109375" style="88" bestFit="1" customWidth="1"/>
    <col min="8196" max="8446" width="9.140625" style="88"/>
    <col min="8447" max="8447" width="21.85546875" style="88" customWidth="1"/>
    <col min="8448" max="8448" width="35.85546875" style="88" customWidth="1"/>
    <col min="8449" max="8449" width="97.7109375" style="88" customWidth="1"/>
    <col min="8450" max="8450" width="31.7109375" style="88" customWidth="1"/>
    <col min="8451" max="8451" width="13.7109375" style="88" bestFit="1" customWidth="1"/>
    <col min="8452" max="8702" width="9.140625" style="88"/>
    <col min="8703" max="8703" width="21.85546875" style="88" customWidth="1"/>
    <col min="8704" max="8704" width="35.85546875" style="88" customWidth="1"/>
    <col min="8705" max="8705" width="97.7109375" style="88" customWidth="1"/>
    <col min="8706" max="8706" width="31.7109375" style="88" customWidth="1"/>
    <col min="8707" max="8707" width="13.7109375" style="88" bestFit="1" customWidth="1"/>
    <col min="8708" max="8958" width="9.140625" style="88"/>
    <col min="8959" max="8959" width="21.85546875" style="88" customWidth="1"/>
    <col min="8960" max="8960" width="35.85546875" style="88" customWidth="1"/>
    <col min="8961" max="8961" width="97.7109375" style="88" customWidth="1"/>
    <col min="8962" max="8962" width="31.7109375" style="88" customWidth="1"/>
    <col min="8963" max="8963" width="13.7109375" style="88" bestFit="1" customWidth="1"/>
    <col min="8964" max="9214" width="9.140625" style="88"/>
    <col min="9215" max="9215" width="21.85546875" style="88" customWidth="1"/>
    <col min="9216" max="9216" width="35.85546875" style="88" customWidth="1"/>
    <col min="9217" max="9217" width="97.7109375" style="88" customWidth="1"/>
    <col min="9218" max="9218" width="31.7109375" style="88" customWidth="1"/>
    <col min="9219" max="9219" width="13.7109375" style="88" bestFit="1" customWidth="1"/>
    <col min="9220" max="9470" width="9.140625" style="88"/>
    <col min="9471" max="9471" width="21.85546875" style="88" customWidth="1"/>
    <col min="9472" max="9472" width="35.85546875" style="88" customWidth="1"/>
    <col min="9473" max="9473" width="97.7109375" style="88" customWidth="1"/>
    <col min="9474" max="9474" width="31.7109375" style="88" customWidth="1"/>
    <col min="9475" max="9475" width="13.7109375" style="88" bestFit="1" customWidth="1"/>
    <col min="9476" max="9726" width="9.140625" style="88"/>
    <col min="9727" max="9727" width="21.85546875" style="88" customWidth="1"/>
    <col min="9728" max="9728" width="35.85546875" style="88" customWidth="1"/>
    <col min="9729" max="9729" width="97.7109375" style="88" customWidth="1"/>
    <col min="9730" max="9730" width="31.7109375" style="88" customWidth="1"/>
    <col min="9731" max="9731" width="13.7109375" style="88" bestFit="1" customWidth="1"/>
    <col min="9732" max="9982" width="9.140625" style="88"/>
    <col min="9983" max="9983" width="21.85546875" style="88" customWidth="1"/>
    <col min="9984" max="9984" width="35.85546875" style="88" customWidth="1"/>
    <col min="9985" max="9985" width="97.7109375" style="88" customWidth="1"/>
    <col min="9986" max="9986" width="31.7109375" style="88" customWidth="1"/>
    <col min="9987" max="9987" width="13.7109375" style="88" bestFit="1" customWidth="1"/>
    <col min="9988" max="10238" width="9.140625" style="88"/>
    <col min="10239" max="10239" width="21.85546875" style="88" customWidth="1"/>
    <col min="10240" max="10240" width="35.85546875" style="88" customWidth="1"/>
    <col min="10241" max="10241" width="97.7109375" style="88" customWidth="1"/>
    <col min="10242" max="10242" width="31.7109375" style="88" customWidth="1"/>
    <col min="10243" max="10243" width="13.7109375" style="88" bestFit="1" customWidth="1"/>
    <col min="10244" max="10494" width="9.140625" style="88"/>
    <col min="10495" max="10495" width="21.85546875" style="88" customWidth="1"/>
    <col min="10496" max="10496" width="35.85546875" style="88" customWidth="1"/>
    <col min="10497" max="10497" width="97.7109375" style="88" customWidth="1"/>
    <col min="10498" max="10498" width="31.7109375" style="88" customWidth="1"/>
    <col min="10499" max="10499" width="13.7109375" style="88" bestFit="1" customWidth="1"/>
    <col min="10500" max="10750" width="9.140625" style="88"/>
    <col min="10751" max="10751" width="21.85546875" style="88" customWidth="1"/>
    <col min="10752" max="10752" width="35.85546875" style="88" customWidth="1"/>
    <col min="10753" max="10753" width="97.7109375" style="88" customWidth="1"/>
    <col min="10754" max="10754" width="31.7109375" style="88" customWidth="1"/>
    <col min="10755" max="10755" width="13.7109375" style="88" bestFit="1" customWidth="1"/>
    <col min="10756" max="11006" width="9.140625" style="88"/>
    <col min="11007" max="11007" width="21.85546875" style="88" customWidth="1"/>
    <col min="11008" max="11008" width="35.85546875" style="88" customWidth="1"/>
    <col min="11009" max="11009" width="97.7109375" style="88" customWidth="1"/>
    <col min="11010" max="11010" width="31.7109375" style="88" customWidth="1"/>
    <col min="11011" max="11011" width="13.7109375" style="88" bestFit="1" customWidth="1"/>
    <col min="11012" max="11262" width="9.140625" style="88"/>
    <col min="11263" max="11263" width="21.85546875" style="88" customWidth="1"/>
    <col min="11264" max="11264" width="35.85546875" style="88" customWidth="1"/>
    <col min="11265" max="11265" width="97.7109375" style="88" customWidth="1"/>
    <col min="11266" max="11266" width="31.7109375" style="88" customWidth="1"/>
    <col min="11267" max="11267" width="13.7109375" style="88" bestFit="1" customWidth="1"/>
    <col min="11268" max="11518" width="9.140625" style="88"/>
    <col min="11519" max="11519" width="21.85546875" style="88" customWidth="1"/>
    <col min="11520" max="11520" width="35.85546875" style="88" customWidth="1"/>
    <col min="11521" max="11521" width="97.7109375" style="88" customWidth="1"/>
    <col min="11522" max="11522" width="31.7109375" style="88" customWidth="1"/>
    <col min="11523" max="11523" width="13.7109375" style="88" bestFit="1" customWidth="1"/>
    <col min="11524" max="11774" width="9.140625" style="88"/>
    <col min="11775" max="11775" width="21.85546875" style="88" customWidth="1"/>
    <col min="11776" max="11776" width="35.85546875" style="88" customWidth="1"/>
    <col min="11777" max="11777" width="97.7109375" style="88" customWidth="1"/>
    <col min="11778" max="11778" width="31.7109375" style="88" customWidth="1"/>
    <col min="11779" max="11779" width="13.7109375" style="88" bestFit="1" customWidth="1"/>
    <col min="11780" max="12030" width="9.140625" style="88"/>
    <col min="12031" max="12031" width="21.85546875" style="88" customWidth="1"/>
    <col min="12032" max="12032" width="35.85546875" style="88" customWidth="1"/>
    <col min="12033" max="12033" width="97.7109375" style="88" customWidth="1"/>
    <col min="12034" max="12034" width="31.7109375" style="88" customWidth="1"/>
    <col min="12035" max="12035" width="13.7109375" style="88" bestFit="1" customWidth="1"/>
    <col min="12036" max="12286" width="9.140625" style="88"/>
    <col min="12287" max="12287" width="21.85546875" style="88" customWidth="1"/>
    <col min="12288" max="12288" width="35.85546875" style="88" customWidth="1"/>
    <col min="12289" max="12289" width="97.7109375" style="88" customWidth="1"/>
    <col min="12290" max="12290" width="31.7109375" style="88" customWidth="1"/>
    <col min="12291" max="12291" width="13.7109375" style="88" bestFit="1" customWidth="1"/>
    <col min="12292" max="12542" width="9.140625" style="88"/>
    <col min="12543" max="12543" width="21.85546875" style="88" customWidth="1"/>
    <col min="12544" max="12544" width="35.85546875" style="88" customWidth="1"/>
    <col min="12545" max="12545" width="97.7109375" style="88" customWidth="1"/>
    <col min="12546" max="12546" width="31.7109375" style="88" customWidth="1"/>
    <col min="12547" max="12547" width="13.7109375" style="88" bestFit="1" customWidth="1"/>
    <col min="12548" max="12798" width="9.140625" style="88"/>
    <col min="12799" max="12799" width="21.85546875" style="88" customWidth="1"/>
    <col min="12800" max="12800" width="35.85546875" style="88" customWidth="1"/>
    <col min="12801" max="12801" width="97.7109375" style="88" customWidth="1"/>
    <col min="12802" max="12802" width="31.7109375" style="88" customWidth="1"/>
    <col min="12803" max="12803" width="13.7109375" style="88" bestFit="1" customWidth="1"/>
    <col min="12804" max="13054" width="9.140625" style="88"/>
    <col min="13055" max="13055" width="21.85546875" style="88" customWidth="1"/>
    <col min="13056" max="13056" width="35.85546875" style="88" customWidth="1"/>
    <col min="13057" max="13057" width="97.7109375" style="88" customWidth="1"/>
    <col min="13058" max="13058" width="31.7109375" style="88" customWidth="1"/>
    <col min="13059" max="13059" width="13.7109375" style="88" bestFit="1" customWidth="1"/>
    <col min="13060" max="13310" width="9.140625" style="88"/>
    <col min="13311" max="13311" width="21.85546875" style="88" customWidth="1"/>
    <col min="13312" max="13312" width="35.85546875" style="88" customWidth="1"/>
    <col min="13313" max="13313" width="97.7109375" style="88" customWidth="1"/>
    <col min="13314" max="13314" width="31.7109375" style="88" customWidth="1"/>
    <col min="13315" max="13315" width="13.7109375" style="88" bestFit="1" customWidth="1"/>
    <col min="13316" max="13566" width="9.140625" style="88"/>
    <col min="13567" max="13567" width="21.85546875" style="88" customWidth="1"/>
    <col min="13568" max="13568" width="35.85546875" style="88" customWidth="1"/>
    <col min="13569" max="13569" width="97.7109375" style="88" customWidth="1"/>
    <col min="13570" max="13570" width="31.7109375" style="88" customWidth="1"/>
    <col min="13571" max="13571" width="13.7109375" style="88" bestFit="1" customWidth="1"/>
    <col min="13572" max="13822" width="9.140625" style="88"/>
    <col min="13823" max="13823" width="21.85546875" style="88" customWidth="1"/>
    <col min="13824" max="13824" width="35.85546875" style="88" customWidth="1"/>
    <col min="13825" max="13825" width="97.7109375" style="88" customWidth="1"/>
    <col min="13826" max="13826" width="31.7109375" style="88" customWidth="1"/>
    <col min="13827" max="13827" width="13.7109375" style="88" bestFit="1" customWidth="1"/>
    <col min="13828" max="14078" width="9.140625" style="88"/>
    <col min="14079" max="14079" width="21.85546875" style="88" customWidth="1"/>
    <col min="14080" max="14080" width="35.85546875" style="88" customWidth="1"/>
    <col min="14081" max="14081" width="97.7109375" style="88" customWidth="1"/>
    <col min="14082" max="14082" width="31.7109375" style="88" customWidth="1"/>
    <col min="14083" max="14083" width="13.7109375" style="88" bestFit="1" customWidth="1"/>
    <col min="14084" max="14334" width="9.140625" style="88"/>
    <col min="14335" max="14335" width="21.85546875" style="88" customWidth="1"/>
    <col min="14336" max="14336" width="35.85546875" style="88" customWidth="1"/>
    <col min="14337" max="14337" width="97.7109375" style="88" customWidth="1"/>
    <col min="14338" max="14338" width="31.7109375" style="88" customWidth="1"/>
    <col min="14339" max="14339" width="13.7109375" style="88" bestFit="1" customWidth="1"/>
    <col min="14340" max="14590" width="9.140625" style="88"/>
    <col min="14591" max="14591" width="21.85546875" style="88" customWidth="1"/>
    <col min="14592" max="14592" width="35.85546875" style="88" customWidth="1"/>
    <col min="14593" max="14593" width="97.7109375" style="88" customWidth="1"/>
    <col min="14594" max="14594" width="31.7109375" style="88" customWidth="1"/>
    <col min="14595" max="14595" width="13.7109375" style="88" bestFit="1" customWidth="1"/>
    <col min="14596" max="14846" width="9.140625" style="88"/>
    <col min="14847" max="14847" width="21.85546875" style="88" customWidth="1"/>
    <col min="14848" max="14848" width="35.85546875" style="88" customWidth="1"/>
    <col min="14849" max="14849" width="97.7109375" style="88" customWidth="1"/>
    <col min="14850" max="14850" width="31.7109375" style="88" customWidth="1"/>
    <col min="14851" max="14851" width="13.7109375" style="88" bestFit="1" customWidth="1"/>
    <col min="14852" max="15102" width="9.140625" style="88"/>
    <col min="15103" max="15103" width="21.85546875" style="88" customWidth="1"/>
    <col min="15104" max="15104" width="35.85546875" style="88" customWidth="1"/>
    <col min="15105" max="15105" width="97.7109375" style="88" customWidth="1"/>
    <col min="15106" max="15106" width="31.7109375" style="88" customWidth="1"/>
    <col min="15107" max="15107" width="13.7109375" style="88" bestFit="1" customWidth="1"/>
    <col min="15108" max="15358" width="9.140625" style="88"/>
    <col min="15359" max="15359" width="21.85546875" style="88" customWidth="1"/>
    <col min="15360" max="15360" width="35.85546875" style="88" customWidth="1"/>
    <col min="15361" max="15361" width="97.7109375" style="88" customWidth="1"/>
    <col min="15362" max="15362" width="31.7109375" style="88" customWidth="1"/>
    <col min="15363" max="15363" width="13.7109375" style="88" bestFit="1" customWidth="1"/>
    <col min="15364" max="15614" width="9.140625" style="88"/>
    <col min="15615" max="15615" width="21.85546875" style="88" customWidth="1"/>
    <col min="15616" max="15616" width="35.85546875" style="88" customWidth="1"/>
    <col min="15617" max="15617" width="97.7109375" style="88" customWidth="1"/>
    <col min="15618" max="15618" width="31.7109375" style="88" customWidth="1"/>
    <col min="15619" max="15619" width="13.7109375" style="88" bestFit="1" customWidth="1"/>
    <col min="15620" max="15870" width="9.140625" style="88"/>
    <col min="15871" max="15871" width="21.85546875" style="88" customWidth="1"/>
    <col min="15872" max="15872" width="35.85546875" style="88" customWidth="1"/>
    <col min="15873" max="15873" width="97.7109375" style="88" customWidth="1"/>
    <col min="15874" max="15874" width="31.7109375" style="88" customWidth="1"/>
    <col min="15875" max="15875" width="13.7109375" style="88" bestFit="1" customWidth="1"/>
    <col min="15876" max="16126" width="9.140625" style="88"/>
    <col min="16127" max="16127" width="21.85546875" style="88" customWidth="1"/>
    <col min="16128" max="16128" width="35.85546875" style="88" customWidth="1"/>
    <col min="16129" max="16129" width="97.7109375" style="88" customWidth="1"/>
    <col min="16130" max="16130" width="31.7109375" style="88" customWidth="1"/>
    <col min="16131" max="16131" width="13.7109375" style="88" bestFit="1" customWidth="1"/>
    <col min="16132" max="16384" width="9.140625" style="88"/>
  </cols>
  <sheetData>
    <row r="1" spans="1:13" ht="15.75" thickBot="1"/>
    <row r="2" spans="1:13">
      <c r="B2" s="577" t="str">
        <f>"Preassigned Rows Indicating Payment or Scheduling by " &amp;Profit!E1&amp;" Your Home"</f>
        <v>Preassigned Rows Indicating Payment or Scheduling by Buy Your Home</v>
      </c>
      <c r="C2" s="578"/>
      <c r="E2" s="88"/>
    </row>
    <row r="3" spans="1:13" ht="15.75" thickBot="1">
      <c r="B3" s="579"/>
      <c r="C3" s="580"/>
      <c r="E3" s="88"/>
    </row>
    <row r="4" spans="1:13">
      <c r="B4" s="585" t="s">
        <v>358</v>
      </c>
      <c r="C4" s="586"/>
      <c r="E4" s="88"/>
    </row>
    <row r="5" spans="1:13" ht="15.75" thickBot="1">
      <c r="B5" s="587"/>
      <c r="C5" s="588"/>
      <c r="E5" s="88"/>
    </row>
    <row r="6" spans="1:13">
      <c r="B6" s="581" t="s">
        <v>359</v>
      </c>
      <c r="C6" s="582"/>
      <c r="E6" s="88"/>
    </row>
    <row r="7" spans="1:13" ht="15.75" thickBot="1">
      <c r="B7" s="583"/>
      <c r="C7" s="584"/>
    </row>
    <row r="8" spans="1:13">
      <c r="B8" s="589" t="s">
        <v>360</v>
      </c>
      <c r="C8" s="590"/>
    </row>
    <row r="9" spans="1:13" ht="15.75" thickBot="1">
      <c r="B9" s="591"/>
      <c r="C9" s="592"/>
    </row>
    <row r="11" spans="1:13" s="82" customFormat="1" ht="15.75" thickBot="1">
      <c r="A11" s="81" t="s">
        <v>361</v>
      </c>
      <c r="B11" s="81" t="s">
        <v>362</v>
      </c>
      <c r="C11" s="81" t="s">
        <v>363</v>
      </c>
      <c r="D11" s="100" t="s">
        <v>364</v>
      </c>
      <c r="E11" s="101" t="s">
        <v>365</v>
      </c>
      <c r="G11" s="88"/>
      <c r="H11" s="88"/>
      <c r="I11" s="88"/>
      <c r="J11" s="88"/>
      <c r="K11" s="88"/>
      <c r="L11" s="88"/>
      <c r="M11" s="88"/>
    </row>
    <row r="12" spans="1:13" s="82" customFormat="1" ht="15.75" thickTop="1">
      <c r="A12" s="84" t="s">
        <v>366</v>
      </c>
      <c r="B12" s="84" t="s">
        <v>366</v>
      </c>
      <c r="C12" s="84" t="s">
        <v>367</v>
      </c>
      <c r="D12" s="98">
        <v>0</v>
      </c>
      <c r="E12" s="99"/>
      <c r="G12" s="88"/>
      <c r="H12" s="88"/>
      <c r="I12" s="88"/>
      <c r="J12" s="88"/>
      <c r="K12" s="88"/>
      <c r="L12" s="88"/>
      <c r="M12" s="88"/>
    </row>
    <row r="13" spans="1:13" s="82" customFormat="1">
      <c r="A13" s="84" t="s">
        <v>368</v>
      </c>
      <c r="B13" s="84" t="s">
        <v>369</v>
      </c>
      <c r="C13" s="84" t="s">
        <v>370</v>
      </c>
      <c r="D13" s="98">
        <v>0</v>
      </c>
      <c r="E13" s="99"/>
      <c r="G13" s="88"/>
      <c r="H13" s="88"/>
      <c r="I13" s="88"/>
      <c r="J13" s="88"/>
      <c r="K13" s="88"/>
      <c r="L13" s="88"/>
      <c r="M13" s="88"/>
    </row>
    <row r="14" spans="1:13" s="82" customFormat="1">
      <c r="A14" s="84" t="s">
        <v>368</v>
      </c>
      <c r="B14" s="84" t="s">
        <v>371</v>
      </c>
      <c r="C14" s="84" t="s">
        <v>371</v>
      </c>
      <c r="D14" s="98">
        <v>0</v>
      </c>
      <c r="E14" s="99"/>
      <c r="G14" s="88"/>
      <c r="H14" s="88"/>
      <c r="I14" s="88"/>
      <c r="J14" s="88"/>
      <c r="K14" s="88"/>
      <c r="L14" s="88"/>
      <c r="M14" s="88"/>
    </row>
    <row r="15" spans="1:13" s="82" customFormat="1">
      <c r="A15" s="84"/>
      <c r="B15" s="84" t="s">
        <v>372</v>
      </c>
      <c r="C15" s="84" t="s">
        <v>373</v>
      </c>
      <c r="D15" s="98">
        <v>6</v>
      </c>
      <c r="E15" s="99"/>
      <c r="G15" s="88"/>
      <c r="H15" s="88"/>
      <c r="I15" s="88"/>
      <c r="J15" s="88"/>
      <c r="K15" s="88"/>
      <c r="L15" s="88"/>
      <c r="M15" s="88"/>
    </row>
    <row r="16" spans="1:13" s="82" customFormat="1">
      <c r="A16" s="85" t="s">
        <v>333</v>
      </c>
      <c r="B16" s="85" t="s">
        <v>374</v>
      </c>
      <c r="C16" s="85" t="s">
        <v>333</v>
      </c>
      <c r="D16" s="86">
        <v>0</v>
      </c>
      <c r="E16" s="87">
        <v>0</v>
      </c>
      <c r="G16" s="88"/>
      <c r="H16" s="88"/>
      <c r="I16" s="88"/>
      <c r="J16" s="88"/>
      <c r="K16" s="88"/>
      <c r="L16" s="88"/>
      <c r="M16" s="88"/>
    </row>
    <row r="17" spans="1:13" s="82" customFormat="1">
      <c r="A17" s="85" t="s">
        <v>285</v>
      </c>
      <c r="B17" s="85" t="s">
        <v>374</v>
      </c>
      <c r="C17" s="85" t="s">
        <v>375</v>
      </c>
      <c r="D17" s="86">
        <v>0</v>
      </c>
      <c r="E17" s="87">
        <v>200</v>
      </c>
      <c r="G17" s="88"/>
      <c r="H17" s="88"/>
      <c r="I17" s="88"/>
      <c r="J17" s="88"/>
      <c r="K17" s="88"/>
      <c r="L17" s="88"/>
      <c r="M17" s="88"/>
    </row>
    <row r="18" spans="1:13" s="82" customFormat="1">
      <c r="A18" s="85" t="s">
        <v>308</v>
      </c>
      <c r="B18" s="85" t="s">
        <v>374</v>
      </c>
      <c r="C18" s="85" t="s">
        <v>376</v>
      </c>
      <c r="D18" s="86">
        <v>0</v>
      </c>
      <c r="E18" s="87">
        <v>200</v>
      </c>
      <c r="G18" s="88"/>
      <c r="H18" s="88"/>
      <c r="I18" s="88"/>
      <c r="J18" s="88"/>
      <c r="K18" s="88"/>
      <c r="L18" s="88"/>
      <c r="M18" s="88"/>
    </row>
    <row r="19" spans="1:13" s="82" customFormat="1">
      <c r="A19" s="85" t="s">
        <v>301</v>
      </c>
      <c r="B19" s="85" t="s">
        <v>374</v>
      </c>
      <c r="C19" s="85" t="s">
        <v>377</v>
      </c>
      <c r="D19" s="86">
        <v>0</v>
      </c>
      <c r="E19" s="87">
        <v>200</v>
      </c>
      <c r="G19" s="88"/>
      <c r="H19" s="88"/>
      <c r="I19" s="88"/>
      <c r="J19" s="88"/>
      <c r="K19" s="88"/>
      <c r="L19" s="88"/>
      <c r="M19" s="88"/>
    </row>
    <row r="20" spans="1:13" s="82" customFormat="1">
      <c r="A20" s="85" t="s">
        <v>378</v>
      </c>
      <c r="B20" s="85" t="s">
        <v>374</v>
      </c>
      <c r="C20" s="85" t="s">
        <v>379</v>
      </c>
      <c r="D20" s="86">
        <v>0</v>
      </c>
      <c r="E20" s="87">
        <v>135</v>
      </c>
      <c r="G20" s="83"/>
    </row>
    <row r="21" spans="1:13">
      <c r="A21" s="398"/>
      <c r="B21" s="398"/>
      <c r="C21" s="398" t="s">
        <v>380</v>
      </c>
      <c r="D21" s="410">
        <v>1</v>
      </c>
      <c r="E21" s="394">
        <v>0</v>
      </c>
    </row>
    <row r="22" spans="1:13">
      <c r="A22" s="398"/>
      <c r="B22" s="398"/>
      <c r="C22" s="398" t="s">
        <v>381</v>
      </c>
      <c r="D22" s="410">
        <v>0</v>
      </c>
      <c r="E22" s="411">
        <v>0</v>
      </c>
    </row>
    <row r="23" spans="1:13">
      <c r="A23" s="392" t="s">
        <v>255</v>
      </c>
      <c r="B23" s="392"/>
      <c r="C23" s="392"/>
      <c r="D23" s="393"/>
      <c r="E23" s="394"/>
    </row>
    <row r="24" spans="1:13">
      <c r="A24" s="392" t="s">
        <v>255</v>
      </c>
      <c r="B24" s="392"/>
      <c r="C24" s="392"/>
      <c r="D24" s="393"/>
      <c r="E24" s="394"/>
    </row>
    <row r="25" spans="1:13">
      <c r="A25" s="392" t="s">
        <v>250</v>
      </c>
      <c r="B25" s="392"/>
      <c r="C25" s="392"/>
      <c r="D25" s="393"/>
      <c r="E25" s="394"/>
    </row>
    <row r="26" spans="1:13">
      <c r="A26" s="392" t="s">
        <v>382</v>
      </c>
      <c r="B26" s="392"/>
      <c r="C26" s="392"/>
      <c r="D26" s="393"/>
      <c r="E26" s="394"/>
    </row>
    <row r="27" spans="1:13">
      <c r="A27" s="392" t="s">
        <v>382</v>
      </c>
      <c r="B27" s="392"/>
      <c r="C27" s="392"/>
      <c r="D27" s="393"/>
      <c r="E27" s="394"/>
    </row>
    <row r="28" spans="1:13">
      <c r="A28" s="392" t="s">
        <v>382</v>
      </c>
      <c r="B28" s="392"/>
      <c r="C28" s="392"/>
      <c r="D28" s="393"/>
      <c r="E28" s="394"/>
    </row>
    <row r="29" spans="1:13">
      <c r="A29" s="392" t="s">
        <v>382</v>
      </c>
      <c r="B29" s="392"/>
      <c r="C29" s="392"/>
      <c r="D29" s="393"/>
      <c r="E29" s="394"/>
    </row>
    <row r="30" spans="1:13">
      <c r="A30" s="392" t="s">
        <v>247</v>
      </c>
      <c r="B30" s="392"/>
      <c r="C30" s="392"/>
      <c r="D30" s="393"/>
      <c r="E30" s="394"/>
    </row>
    <row r="31" spans="1:13">
      <c r="A31" s="392" t="s">
        <v>383</v>
      </c>
      <c r="B31" s="392"/>
      <c r="C31" s="392"/>
      <c r="D31" s="393"/>
      <c r="E31" s="394"/>
    </row>
    <row r="32" spans="1:13">
      <c r="A32" s="392" t="s">
        <v>383</v>
      </c>
      <c r="B32" s="392"/>
      <c r="C32" s="412"/>
      <c r="D32" s="393"/>
      <c r="E32" s="394"/>
    </row>
    <row r="33" spans="1:7">
      <c r="A33" s="392" t="s">
        <v>383</v>
      </c>
      <c r="B33" s="392"/>
      <c r="C33" s="412"/>
      <c r="D33" s="393"/>
      <c r="E33" s="394"/>
    </row>
    <row r="34" spans="1:7">
      <c r="A34" s="392" t="s">
        <v>384</v>
      </c>
      <c r="B34" s="392"/>
      <c r="C34" s="392"/>
      <c r="D34" s="393"/>
      <c r="E34" s="394"/>
    </row>
    <row r="35" spans="1:7">
      <c r="A35" s="392" t="s">
        <v>384</v>
      </c>
      <c r="B35" s="392"/>
      <c r="C35" s="392"/>
      <c r="D35" s="393"/>
      <c r="E35" s="394"/>
    </row>
    <row r="36" spans="1:7">
      <c r="A36" s="392" t="s">
        <v>384</v>
      </c>
      <c r="B36" s="392"/>
      <c r="C36" s="392"/>
      <c r="D36" s="393"/>
      <c r="E36" s="394"/>
    </row>
    <row r="37" spans="1:7">
      <c r="A37" s="392" t="s">
        <v>338</v>
      </c>
      <c r="B37" s="392"/>
      <c r="C37" s="392"/>
      <c r="D37" s="393"/>
      <c r="E37" s="394"/>
    </row>
    <row r="38" spans="1:7">
      <c r="A38" s="392" t="s">
        <v>244</v>
      </c>
      <c r="B38" s="392"/>
      <c r="C38" s="392"/>
      <c r="D38" s="393"/>
      <c r="E38" s="394"/>
      <c r="G38" s="88">
        <v>1160</v>
      </c>
    </row>
    <row r="39" spans="1:7">
      <c r="A39" s="392" t="s">
        <v>301</v>
      </c>
      <c r="B39" s="392"/>
      <c r="C39" s="392"/>
      <c r="D39" s="393"/>
      <c r="E39" s="394"/>
    </row>
    <row r="40" spans="1:7">
      <c r="A40" s="392" t="s">
        <v>320</v>
      </c>
      <c r="B40" s="392"/>
      <c r="C40" s="392"/>
      <c r="D40" s="393"/>
      <c r="E40" s="394"/>
    </row>
    <row r="41" spans="1:7">
      <c r="A41" s="392" t="s">
        <v>385</v>
      </c>
      <c r="B41" s="392"/>
      <c r="C41" s="392"/>
      <c r="D41" s="393"/>
      <c r="E41" s="394"/>
    </row>
    <row r="42" spans="1:7">
      <c r="A42" s="392" t="s">
        <v>385</v>
      </c>
      <c r="B42" s="392"/>
      <c r="C42" s="392"/>
      <c r="D42" s="393"/>
      <c r="E42" s="394"/>
    </row>
    <row r="43" spans="1:7">
      <c r="A43" s="392" t="s">
        <v>385</v>
      </c>
      <c r="B43" s="392"/>
      <c r="C43" s="392"/>
      <c r="D43" s="393"/>
      <c r="E43" s="394"/>
    </row>
    <row r="44" spans="1:7">
      <c r="A44" s="392" t="s">
        <v>385</v>
      </c>
      <c r="B44" s="392"/>
      <c r="C44" s="392"/>
      <c r="D44" s="393"/>
      <c r="E44" s="394"/>
    </row>
    <row r="45" spans="1:7">
      <c r="A45" s="392" t="s">
        <v>386</v>
      </c>
      <c r="B45" s="392"/>
      <c r="C45" s="392"/>
      <c r="D45" s="393"/>
      <c r="E45" s="394"/>
    </row>
    <row r="46" spans="1:7">
      <c r="A46" s="392" t="s">
        <v>386</v>
      </c>
      <c r="B46" s="392"/>
      <c r="C46" s="392"/>
      <c r="D46" s="393"/>
      <c r="E46" s="394"/>
    </row>
    <row r="47" spans="1:7">
      <c r="A47" s="392" t="s">
        <v>386</v>
      </c>
      <c r="B47" s="392"/>
      <c r="C47" s="392"/>
      <c r="D47" s="393"/>
      <c r="E47" s="394"/>
    </row>
    <row r="48" spans="1:7">
      <c r="A48" s="392" t="s">
        <v>333</v>
      </c>
      <c r="B48" s="392"/>
      <c r="C48" s="392"/>
      <c r="D48" s="393"/>
      <c r="E48" s="394"/>
    </row>
    <row r="49" spans="1:5">
      <c r="A49" s="392" t="s">
        <v>387</v>
      </c>
      <c r="B49" s="392"/>
      <c r="C49" s="392"/>
      <c r="D49" s="393"/>
      <c r="E49" s="394"/>
    </row>
    <row r="50" spans="1:5">
      <c r="A50" s="392" t="s">
        <v>387</v>
      </c>
      <c r="B50" s="392"/>
      <c r="C50" s="392"/>
      <c r="D50" s="393"/>
      <c r="E50" s="394"/>
    </row>
    <row r="51" spans="1:5">
      <c r="A51" s="392" t="s">
        <v>388</v>
      </c>
      <c r="B51" s="392"/>
      <c r="C51" s="392"/>
      <c r="D51" s="393"/>
      <c r="E51" s="394"/>
    </row>
    <row r="52" spans="1:5">
      <c r="A52" s="392" t="s">
        <v>389</v>
      </c>
      <c r="B52" s="392"/>
      <c r="C52" s="392"/>
      <c r="D52" s="393"/>
      <c r="E52" s="394"/>
    </row>
    <row r="53" spans="1:5">
      <c r="A53" s="392" t="s">
        <v>389</v>
      </c>
      <c r="B53" s="392"/>
      <c r="C53" s="392"/>
      <c r="D53" s="393"/>
      <c r="E53" s="394"/>
    </row>
    <row r="54" spans="1:5">
      <c r="A54" s="392" t="s">
        <v>389</v>
      </c>
      <c r="B54" s="392"/>
      <c r="C54" s="392"/>
      <c r="D54" s="393"/>
      <c r="E54" s="394"/>
    </row>
    <row r="55" spans="1:5">
      <c r="A55" s="392" t="s">
        <v>389</v>
      </c>
      <c r="B55" s="392"/>
      <c r="C55" s="392"/>
      <c r="D55" s="393"/>
      <c r="E55" s="394"/>
    </row>
    <row r="56" spans="1:5">
      <c r="A56" s="392" t="s">
        <v>311</v>
      </c>
      <c r="B56" s="392"/>
      <c r="C56" s="392"/>
      <c r="D56" s="393"/>
      <c r="E56" s="394"/>
    </row>
    <row r="57" spans="1:5">
      <c r="A57" s="392" t="s">
        <v>270</v>
      </c>
      <c r="B57" s="392"/>
      <c r="C57" s="392"/>
      <c r="D57" s="393"/>
      <c r="E57" s="394"/>
    </row>
    <row r="58" spans="1:5">
      <c r="A58" s="392" t="s">
        <v>270</v>
      </c>
      <c r="B58" s="392"/>
      <c r="C58" s="392"/>
      <c r="D58" s="393"/>
      <c r="E58" s="394"/>
    </row>
    <row r="59" spans="1:5">
      <c r="A59" s="392" t="s">
        <v>273</v>
      </c>
      <c r="B59" s="392"/>
      <c r="C59" s="392"/>
      <c r="D59" s="393"/>
      <c r="E59" s="394"/>
    </row>
    <row r="60" spans="1:5">
      <c r="A60" s="392" t="s">
        <v>273</v>
      </c>
      <c r="B60" s="392"/>
      <c r="C60" s="392"/>
      <c r="D60" s="393"/>
      <c r="E60" s="394"/>
    </row>
    <row r="61" spans="1:5">
      <c r="A61" s="392" t="s">
        <v>390</v>
      </c>
      <c r="B61" s="392"/>
      <c r="C61" s="392"/>
      <c r="D61" s="393"/>
      <c r="E61" s="394"/>
    </row>
    <row r="62" spans="1:5">
      <c r="A62" s="392" t="s">
        <v>390</v>
      </c>
      <c r="B62" s="392"/>
      <c r="C62" s="392"/>
      <c r="D62" s="393"/>
      <c r="E62" s="394"/>
    </row>
    <row r="63" spans="1:5">
      <c r="A63" s="392" t="s">
        <v>391</v>
      </c>
      <c r="B63" s="392"/>
      <c r="C63" s="392"/>
      <c r="D63" s="393"/>
      <c r="E63" s="394"/>
    </row>
    <row r="64" spans="1:5">
      <c r="A64" s="398" t="s">
        <v>320</v>
      </c>
      <c r="B64" s="398"/>
      <c r="C64" s="398"/>
      <c r="D64" s="413"/>
      <c r="E64" s="414"/>
    </row>
    <row r="65" spans="1:5">
      <c r="A65" s="398" t="s">
        <v>392</v>
      </c>
      <c r="B65" s="398"/>
      <c r="C65" s="398"/>
      <c r="D65" s="410"/>
      <c r="E65" s="411"/>
    </row>
    <row r="66" spans="1:5">
      <c r="A66" s="399" t="s">
        <v>387</v>
      </c>
      <c r="B66" s="399"/>
      <c r="C66" s="399"/>
      <c r="D66" s="413"/>
      <c r="E66" s="414"/>
    </row>
    <row r="67" spans="1:5">
      <c r="A67" s="399" t="s">
        <v>393</v>
      </c>
      <c r="B67" s="399"/>
      <c r="C67" s="399"/>
      <c r="D67" s="400"/>
      <c r="E67" s="401"/>
    </row>
    <row r="68" spans="1:5">
      <c r="A68" s="399" t="s">
        <v>394</v>
      </c>
      <c r="B68" s="399"/>
      <c r="C68" s="399"/>
      <c r="D68" s="413"/>
      <c r="E68" s="414"/>
    </row>
    <row r="69" spans="1:5">
      <c r="A69" s="399" t="s">
        <v>391</v>
      </c>
      <c r="B69" s="399"/>
      <c r="C69" s="399"/>
      <c r="D69" s="400"/>
      <c r="E69" s="401"/>
    </row>
    <row r="70" spans="1:5">
      <c r="A70" s="399" t="s">
        <v>255</v>
      </c>
      <c r="B70" s="399"/>
      <c r="C70" s="399"/>
      <c r="D70" s="413"/>
      <c r="E70" s="414"/>
    </row>
  </sheetData>
  <mergeCells count="4">
    <mergeCell ref="B2:C3"/>
    <mergeCell ref="B6:C7"/>
    <mergeCell ref="B4:C5"/>
    <mergeCell ref="B8:C9"/>
  </mergeCells>
  <phoneticPr fontId="42" type="noConversion"/>
  <pageMargins left="0.7" right="0.7" top="0.75" bottom="0.75" header="0.3" footer="0.3"/>
  <pageSetup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D33F0-34DE-4F30-89D5-7C62DA75027F}">
  <sheetPr codeName="Sheet7">
    <tabColor theme="7" tint="0.79998168889431442"/>
    <pageSetUpPr fitToPage="1"/>
  </sheetPr>
  <dimension ref="A1:S64"/>
  <sheetViews>
    <sheetView topLeftCell="D1" workbookViewId="0">
      <pane ySplit="4" topLeftCell="A5" activePane="bottomLeft" state="frozen"/>
      <selection pane="bottomLeft" activeCell="M7" sqref="M7"/>
    </sheetView>
  </sheetViews>
  <sheetFormatPr defaultRowHeight="15"/>
  <cols>
    <col min="1" max="1" width="9.85546875" style="108" bestFit="1" customWidth="1"/>
    <col min="2" max="2" width="9.28515625" style="106" bestFit="1" customWidth="1"/>
    <col min="3" max="3" width="17" style="108" bestFit="1" customWidth="1"/>
    <col min="4" max="4" width="12.5703125" style="108" bestFit="1" customWidth="1"/>
    <col min="5" max="5" width="52.140625" style="108" bestFit="1" customWidth="1"/>
    <col min="6" max="6" width="8.42578125" style="108" bestFit="1" customWidth="1"/>
    <col min="7" max="7" width="13.42578125" style="151" bestFit="1" customWidth="1"/>
    <col min="8" max="8" width="9.42578125" style="151" bestFit="1" customWidth="1"/>
    <col min="9" max="9" width="9.85546875" style="397" bestFit="1" customWidth="1"/>
    <col min="10" max="10" width="10.5703125" style="106" bestFit="1" customWidth="1"/>
    <col min="11" max="11" width="13.85546875" style="147" bestFit="1" customWidth="1"/>
    <col min="12" max="12" width="9.42578125" style="107" bestFit="1" customWidth="1"/>
    <col min="13" max="13" width="9" style="106" bestFit="1" customWidth="1"/>
    <col min="14" max="14" width="10.28515625" style="108" bestFit="1" customWidth="1"/>
    <col min="16" max="16" width="15.85546875" bestFit="1" customWidth="1"/>
    <col min="17" max="17" width="1.85546875" bestFit="1" customWidth="1"/>
    <col min="18" max="18" width="12.7109375" bestFit="1" customWidth="1"/>
    <col min="19" max="19" width="1.85546875" bestFit="1" customWidth="1"/>
  </cols>
  <sheetData>
    <row r="1" spans="1:19" ht="15.75" thickTop="1">
      <c r="A1" s="602" t="s">
        <v>395</v>
      </c>
      <c r="B1" s="603"/>
      <c r="C1" s="603"/>
      <c r="D1" s="603"/>
      <c r="E1" s="603"/>
      <c r="F1" s="603"/>
      <c r="G1" s="603"/>
      <c r="H1" s="604"/>
      <c r="I1" s="593" t="s">
        <v>396</v>
      </c>
      <c r="J1" s="594"/>
      <c r="K1" s="594"/>
      <c r="L1" s="594"/>
      <c r="M1" s="594"/>
      <c r="N1" s="595"/>
      <c r="P1" s="31" t="s">
        <v>397</v>
      </c>
      <c r="Q1" s="15">
        <v>1</v>
      </c>
      <c r="R1" s="94" t="s">
        <v>398</v>
      </c>
      <c r="S1" s="15">
        <v>4</v>
      </c>
    </row>
    <row r="2" spans="1:19">
      <c r="A2" s="605"/>
      <c r="B2" s="537"/>
      <c r="C2" s="537"/>
      <c r="D2" s="537"/>
      <c r="E2" s="537"/>
      <c r="F2" s="537"/>
      <c r="G2" s="537"/>
      <c r="H2" s="606"/>
      <c r="I2" s="596"/>
      <c r="J2" s="597"/>
      <c r="K2" s="597"/>
      <c r="L2" s="597"/>
      <c r="M2" s="597"/>
      <c r="N2" s="598"/>
      <c r="P2" s="31" t="s">
        <v>399</v>
      </c>
      <c r="Q2" s="15">
        <v>2</v>
      </c>
      <c r="R2" s="31" t="s">
        <v>400</v>
      </c>
      <c r="S2" s="15">
        <v>0</v>
      </c>
    </row>
    <row r="3" spans="1:19" ht="15.75" thickBot="1">
      <c r="A3" s="607"/>
      <c r="B3" s="608"/>
      <c r="C3" s="608"/>
      <c r="D3" s="608"/>
      <c r="E3" s="608"/>
      <c r="F3" s="608"/>
      <c r="G3" s="608"/>
      <c r="H3" s="609"/>
      <c r="I3" s="599"/>
      <c r="J3" s="600"/>
      <c r="K3" s="600"/>
      <c r="L3" s="600"/>
      <c r="M3" s="600"/>
      <c r="N3" s="601"/>
      <c r="P3" s="31" t="s">
        <v>401</v>
      </c>
      <c r="Q3" s="15">
        <v>3</v>
      </c>
      <c r="R3" s="15" t="s">
        <v>707</v>
      </c>
      <c r="S3" s="15">
        <v>5</v>
      </c>
    </row>
    <row r="4" spans="1:19" s="97" customFormat="1" ht="30.75" thickTop="1">
      <c r="A4" s="148" t="s">
        <v>402</v>
      </c>
      <c r="B4" s="149" t="s">
        <v>403</v>
      </c>
      <c r="C4" s="148" t="s">
        <v>404</v>
      </c>
      <c r="D4" s="148" t="s">
        <v>405</v>
      </c>
      <c r="E4" s="148" t="s">
        <v>406</v>
      </c>
      <c r="F4" s="148" t="s">
        <v>364</v>
      </c>
      <c r="G4" s="150" t="s">
        <v>365</v>
      </c>
      <c r="H4" s="150" t="s">
        <v>407</v>
      </c>
      <c r="I4" s="395" t="s">
        <v>408</v>
      </c>
      <c r="J4" s="103" t="s">
        <v>409</v>
      </c>
      <c r="K4" s="146" t="s">
        <v>410</v>
      </c>
      <c r="L4" s="103" t="s">
        <v>411</v>
      </c>
      <c r="M4" s="103" t="s">
        <v>412</v>
      </c>
      <c r="N4" s="103" t="s">
        <v>151</v>
      </c>
    </row>
    <row r="5" spans="1:19">
      <c r="A5" s="108" t="str">
        <f>+IF(FromProposal[[#This Row],[Cost Code]]&lt;&gt;0,"Glasgow","")</f>
        <v>Glasgow</v>
      </c>
      <c r="B5" s="106">
        <v>1</v>
      </c>
      <c r="C5" s="108" t="s">
        <v>366</v>
      </c>
      <c r="D5" s="108" t="s">
        <v>366</v>
      </c>
      <c r="E5" s="108" t="s">
        <v>367</v>
      </c>
      <c r="F5" s="108">
        <v>0</v>
      </c>
      <c r="I5" s="396"/>
      <c r="J5" s="104"/>
      <c r="K5" s="152"/>
      <c r="L5" s="104"/>
      <c r="M5" s="105"/>
      <c r="N5" s="105"/>
    </row>
    <row r="6" spans="1:19">
      <c r="A6" s="108" t="str">
        <f>+IF(FromProposal[[#This Row],[Cost Code]]&lt;&gt;0,"Glasgow","")</f>
        <v>Glasgow</v>
      </c>
      <c r="B6" s="106">
        <v>2</v>
      </c>
      <c r="C6" s="108" t="s">
        <v>368</v>
      </c>
      <c r="D6" s="108" t="s">
        <v>369</v>
      </c>
      <c r="E6" s="108" t="s">
        <v>370</v>
      </c>
      <c r="F6" s="108">
        <v>0</v>
      </c>
      <c r="I6" s="396"/>
      <c r="J6" s="104"/>
      <c r="K6" s="152"/>
      <c r="L6" s="104"/>
      <c r="M6" s="105"/>
      <c r="N6" s="105"/>
    </row>
    <row r="7" spans="1:19">
      <c r="A7" s="108" t="str">
        <f>+IF(FromProposal[[#This Row],[Cost Code]]&lt;&gt;0,"Glasgow","")</f>
        <v>Glasgow</v>
      </c>
      <c r="B7" s="106">
        <v>3</v>
      </c>
      <c r="C7" s="108" t="s">
        <v>368</v>
      </c>
      <c r="D7" s="108" t="s">
        <v>371</v>
      </c>
      <c r="E7" s="108" t="s">
        <v>371</v>
      </c>
      <c r="F7" s="108">
        <v>0</v>
      </c>
      <c r="I7" s="396"/>
      <c r="J7" s="104"/>
      <c r="K7" s="152"/>
      <c r="L7" s="104"/>
      <c r="M7" s="105"/>
      <c r="N7" s="105"/>
    </row>
    <row r="8" spans="1:19">
      <c r="A8" s="108" t="str">
        <f>+IF(FromProposal[[#This Row],[Cost Code]]&lt;&gt;0,"Glasgow","")</f>
        <v/>
      </c>
      <c r="B8" s="106">
        <v>4</v>
      </c>
      <c r="D8" s="108" t="s">
        <v>372</v>
      </c>
      <c r="E8" s="108" t="s">
        <v>373</v>
      </c>
      <c r="F8" s="108">
        <v>6</v>
      </c>
      <c r="I8" s="396"/>
      <c r="J8" s="104"/>
      <c r="K8" s="152"/>
      <c r="L8" s="104"/>
      <c r="M8" s="105"/>
      <c r="N8" s="105"/>
    </row>
    <row r="9" spans="1:19">
      <c r="A9" s="108" t="str">
        <f>+IF(FromProposal[[#This Row],[Cost Code]]&lt;&gt;0,"Glasgow","")</f>
        <v>Glasgow</v>
      </c>
      <c r="B9" s="106">
        <v>5</v>
      </c>
      <c r="C9" s="108" t="s">
        <v>333</v>
      </c>
      <c r="D9" s="108" t="s">
        <v>374</v>
      </c>
      <c r="E9" s="108" t="s">
        <v>333</v>
      </c>
      <c r="F9" s="108">
        <v>0</v>
      </c>
      <c r="G9" s="151">
        <v>0</v>
      </c>
      <c r="H9" s="151">
        <v>0</v>
      </c>
      <c r="I9" s="396"/>
      <c r="J9" s="104"/>
      <c r="K9" s="152"/>
      <c r="L9" s="104"/>
      <c r="M9" s="105"/>
      <c r="N9" s="105"/>
    </row>
    <row r="10" spans="1:19">
      <c r="A10" s="108" t="str">
        <f>+IF(FromProposal[[#This Row],[Cost Code]]&lt;&gt;0,"Glasgow","")</f>
        <v>Glasgow</v>
      </c>
      <c r="B10" s="106">
        <v>6</v>
      </c>
      <c r="C10" s="108" t="s">
        <v>285</v>
      </c>
      <c r="D10" s="108" t="s">
        <v>374</v>
      </c>
      <c r="E10" s="108" t="s">
        <v>375</v>
      </c>
      <c r="F10" s="108">
        <v>0</v>
      </c>
      <c r="G10" s="151">
        <v>200</v>
      </c>
      <c r="H10" s="151">
        <v>0</v>
      </c>
      <c r="I10" s="396"/>
      <c r="J10" s="104"/>
      <c r="K10" s="152"/>
      <c r="L10" s="104"/>
      <c r="M10" s="105"/>
      <c r="N10" s="105"/>
    </row>
    <row r="11" spans="1:19">
      <c r="A11" s="108" t="str">
        <f>+IF(FromProposal[[#This Row],[Cost Code]]&lt;&gt;0,"Glasgow","")</f>
        <v>Glasgow</v>
      </c>
      <c r="B11" s="106">
        <v>7</v>
      </c>
      <c r="C11" s="108" t="s">
        <v>308</v>
      </c>
      <c r="D11" s="108" t="s">
        <v>374</v>
      </c>
      <c r="E11" s="108" t="s">
        <v>376</v>
      </c>
      <c r="F11" s="108">
        <v>0</v>
      </c>
      <c r="G11" s="151">
        <v>200</v>
      </c>
      <c r="H11" s="151">
        <v>0</v>
      </c>
      <c r="I11" s="396"/>
      <c r="J11" s="104"/>
      <c r="K11" s="152"/>
      <c r="L11" s="104"/>
      <c r="M11" s="105"/>
      <c r="N11" s="105"/>
    </row>
    <row r="12" spans="1:19">
      <c r="A12" s="108" t="str">
        <f>+IF(FromProposal[[#This Row],[Cost Code]]&lt;&gt;0,"Glasgow","")</f>
        <v>Glasgow</v>
      </c>
      <c r="B12" s="106">
        <v>8</v>
      </c>
      <c r="C12" s="108" t="s">
        <v>301</v>
      </c>
      <c r="D12" s="108" t="s">
        <v>374</v>
      </c>
      <c r="E12" s="108" t="s">
        <v>377</v>
      </c>
      <c r="F12" s="108">
        <v>0</v>
      </c>
      <c r="G12" s="151">
        <v>200</v>
      </c>
      <c r="H12" s="151">
        <v>0</v>
      </c>
      <c r="I12" s="396"/>
      <c r="J12" s="104"/>
      <c r="K12" s="152"/>
      <c r="L12" s="104"/>
      <c r="M12" s="105"/>
      <c r="N12" s="105"/>
    </row>
    <row r="13" spans="1:19">
      <c r="A13" s="108" t="str">
        <f>+IF(FromProposal[[#This Row],[Cost Code]]&lt;&gt;0,"Glasgow","")</f>
        <v>Glasgow</v>
      </c>
      <c r="B13" s="106">
        <v>9</v>
      </c>
      <c r="C13" s="108" t="s">
        <v>378</v>
      </c>
      <c r="D13" s="108" t="s">
        <v>374</v>
      </c>
      <c r="E13" s="108" t="s">
        <v>379</v>
      </c>
      <c r="F13" s="108">
        <v>0</v>
      </c>
      <c r="G13" s="151">
        <v>135</v>
      </c>
      <c r="H13" s="151">
        <v>0</v>
      </c>
      <c r="I13" s="396"/>
      <c r="J13" s="104"/>
      <c r="K13" s="152"/>
      <c r="L13" s="104"/>
      <c r="M13" s="105"/>
      <c r="N13" s="105"/>
    </row>
    <row r="14" spans="1:19">
      <c r="A14" s="108" t="str">
        <f>+IF(FromProposal[[#This Row],[Cost Code]]&lt;&gt;0,"Glasgow","")</f>
        <v/>
      </c>
      <c r="B14" s="106">
        <v>10</v>
      </c>
      <c r="E14" s="108" t="s">
        <v>380</v>
      </c>
      <c r="F14" s="108">
        <v>1</v>
      </c>
      <c r="G14" s="151">
        <v>0</v>
      </c>
      <c r="H14" s="151">
        <v>0</v>
      </c>
      <c r="I14" s="396"/>
      <c r="J14" s="104"/>
      <c r="K14" s="152"/>
      <c r="L14" s="104"/>
      <c r="M14" s="105"/>
      <c r="N14" s="105"/>
    </row>
    <row r="15" spans="1:19">
      <c r="A15" s="108" t="str">
        <f>+IF(FromProposal[[#This Row],[Cost Code]]&lt;&gt;0,"Glasgow","")</f>
        <v/>
      </c>
      <c r="B15" s="106">
        <v>11</v>
      </c>
      <c r="E15" s="108" t="s">
        <v>381</v>
      </c>
      <c r="F15" s="108">
        <v>0</v>
      </c>
      <c r="G15" s="151">
        <v>0</v>
      </c>
      <c r="H15" s="151">
        <v>0</v>
      </c>
      <c r="I15" s="396"/>
      <c r="J15" s="104"/>
      <c r="K15" s="152"/>
      <c r="L15" s="104"/>
      <c r="M15" s="105"/>
      <c r="N15" s="105"/>
    </row>
    <row r="16" spans="1:19">
      <c r="A16" s="108" t="str">
        <f>+IF(FromProposal[[#This Row],[Cost Code]]&lt;&gt;0,"Glasgow","")</f>
        <v>Glasgow</v>
      </c>
      <c r="B16" s="106">
        <v>12</v>
      </c>
      <c r="C16" s="108" t="s">
        <v>255</v>
      </c>
      <c r="I16" s="396"/>
      <c r="J16" s="104"/>
      <c r="K16" s="152"/>
      <c r="L16" s="104"/>
      <c r="M16" s="105"/>
      <c r="N16" s="105"/>
    </row>
    <row r="17" spans="1:14">
      <c r="A17" s="108" t="str">
        <f>+IF(FromProposal[[#This Row],[Cost Code]]&lt;&gt;0,"Glasgow","")</f>
        <v>Glasgow</v>
      </c>
      <c r="B17" s="106">
        <v>13</v>
      </c>
      <c r="C17" s="108" t="s">
        <v>255</v>
      </c>
      <c r="I17" s="396"/>
      <c r="J17" s="104"/>
      <c r="K17" s="152"/>
      <c r="L17" s="104"/>
      <c r="M17" s="105"/>
      <c r="N17" s="105"/>
    </row>
    <row r="18" spans="1:14">
      <c r="A18" s="108" t="str">
        <f>+IF(FromProposal[[#This Row],[Cost Code]]&lt;&gt;0,"Glasgow","")</f>
        <v>Glasgow</v>
      </c>
      <c r="B18" s="106">
        <v>14</v>
      </c>
      <c r="C18" s="108" t="s">
        <v>250</v>
      </c>
      <c r="I18" s="396"/>
      <c r="J18" s="104"/>
      <c r="K18" s="152"/>
      <c r="L18" s="104"/>
      <c r="M18" s="105"/>
      <c r="N18" s="105"/>
    </row>
    <row r="19" spans="1:14">
      <c r="A19" s="108" t="str">
        <f>+IF(FromProposal[[#This Row],[Cost Code]]&lt;&gt;0,"Glasgow","")</f>
        <v>Glasgow</v>
      </c>
      <c r="B19" s="106">
        <v>15</v>
      </c>
      <c r="C19" s="108" t="s">
        <v>382</v>
      </c>
      <c r="I19" s="396"/>
      <c r="J19" s="104"/>
      <c r="K19" s="152"/>
      <c r="L19" s="104"/>
      <c r="M19" s="105"/>
      <c r="N19" s="105"/>
    </row>
    <row r="20" spans="1:14">
      <c r="A20" s="108" t="str">
        <f>+IF(FromProposal[[#This Row],[Cost Code]]&lt;&gt;0,"Glasgow","")</f>
        <v>Glasgow</v>
      </c>
      <c r="B20" s="106">
        <v>16</v>
      </c>
      <c r="C20" s="108" t="s">
        <v>382</v>
      </c>
      <c r="I20" s="396"/>
      <c r="J20" s="104"/>
      <c r="K20" s="152"/>
      <c r="L20" s="104"/>
      <c r="M20" s="105"/>
      <c r="N20" s="105"/>
    </row>
    <row r="21" spans="1:14">
      <c r="G21" s="108"/>
      <c r="H21" s="108"/>
    </row>
    <row r="22" spans="1:14">
      <c r="G22" s="108"/>
      <c r="H22" s="108"/>
    </row>
    <row r="23" spans="1:14">
      <c r="G23" s="108"/>
      <c r="H23" s="108"/>
    </row>
    <row r="24" spans="1:14">
      <c r="G24" s="108"/>
      <c r="H24" s="108"/>
    </row>
    <row r="25" spans="1:14">
      <c r="G25" s="108"/>
      <c r="H25" s="108"/>
    </row>
    <row r="26" spans="1:14">
      <c r="G26" s="108"/>
      <c r="H26" s="108"/>
    </row>
    <row r="27" spans="1:14">
      <c r="G27" s="108"/>
      <c r="H27" s="108"/>
    </row>
    <row r="28" spans="1:14">
      <c r="G28" s="108"/>
      <c r="H28" s="108"/>
    </row>
    <row r="29" spans="1:14">
      <c r="G29" s="108"/>
      <c r="H29" s="108"/>
    </row>
    <row r="30" spans="1:14">
      <c r="G30" s="108"/>
      <c r="H30" s="108"/>
    </row>
    <row r="31" spans="1:14">
      <c r="G31" s="108"/>
      <c r="H31" s="108"/>
    </row>
    <row r="32" spans="1:14">
      <c r="G32" s="108"/>
      <c r="H32" s="108"/>
    </row>
    <row r="33" spans="7:8">
      <c r="G33" s="108"/>
      <c r="H33" s="108"/>
    </row>
    <row r="34" spans="7:8">
      <c r="G34" s="108"/>
      <c r="H34" s="108"/>
    </row>
    <row r="35" spans="7:8">
      <c r="G35" s="108"/>
      <c r="H35" s="108"/>
    </row>
    <row r="36" spans="7:8">
      <c r="G36" s="108"/>
      <c r="H36" s="108"/>
    </row>
    <row r="37" spans="7:8">
      <c r="G37" s="108"/>
      <c r="H37" s="108"/>
    </row>
    <row r="38" spans="7:8">
      <c r="G38" s="108"/>
      <c r="H38" s="108"/>
    </row>
    <row r="39" spans="7:8">
      <c r="G39" s="108"/>
      <c r="H39" s="108"/>
    </row>
    <row r="40" spans="7:8">
      <c r="G40" s="108"/>
      <c r="H40" s="108"/>
    </row>
    <row r="41" spans="7:8">
      <c r="G41" s="108"/>
      <c r="H41" s="108"/>
    </row>
    <row r="42" spans="7:8">
      <c r="G42" s="108"/>
      <c r="H42" s="108"/>
    </row>
    <row r="43" spans="7:8">
      <c r="G43" s="108"/>
      <c r="H43" s="108"/>
    </row>
    <row r="44" spans="7:8">
      <c r="G44" s="108"/>
      <c r="H44" s="108"/>
    </row>
    <row r="45" spans="7:8">
      <c r="G45" s="108"/>
      <c r="H45" s="108"/>
    </row>
    <row r="46" spans="7:8">
      <c r="G46" s="108"/>
      <c r="H46" s="108"/>
    </row>
    <row r="47" spans="7:8">
      <c r="G47" s="108"/>
      <c r="H47" s="108"/>
    </row>
    <row r="48" spans="7:8">
      <c r="G48" s="108"/>
      <c r="H48" s="108"/>
    </row>
    <row r="49" spans="7:8">
      <c r="G49" s="108"/>
      <c r="H49" s="108"/>
    </row>
    <row r="50" spans="7:8">
      <c r="G50" s="108"/>
      <c r="H50" s="108"/>
    </row>
    <row r="51" spans="7:8">
      <c r="G51" s="108"/>
      <c r="H51" s="108"/>
    </row>
    <row r="52" spans="7:8">
      <c r="G52" s="108"/>
      <c r="H52" s="108"/>
    </row>
    <row r="53" spans="7:8">
      <c r="G53" s="108"/>
      <c r="H53" s="108"/>
    </row>
    <row r="54" spans="7:8">
      <c r="G54" s="108"/>
      <c r="H54" s="108"/>
    </row>
    <row r="55" spans="7:8">
      <c r="G55" s="108"/>
      <c r="H55" s="108"/>
    </row>
    <row r="56" spans="7:8">
      <c r="G56" s="108"/>
      <c r="H56" s="108"/>
    </row>
    <row r="57" spans="7:8">
      <c r="G57" s="108"/>
      <c r="H57" s="108"/>
    </row>
    <row r="58" spans="7:8">
      <c r="G58" s="108"/>
      <c r="H58" s="108"/>
    </row>
    <row r="59" spans="7:8">
      <c r="G59" s="108"/>
      <c r="H59" s="108"/>
    </row>
    <row r="60" spans="7:8">
      <c r="G60" s="108"/>
      <c r="H60" s="108"/>
    </row>
    <row r="61" spans="7:8">
      <c r="G61" s="108"/>
      <c r="H61" s="108"/>
    </row>
    <row r="62" spans="7:8">
      <c r="G62" s="108"/>
      <c r="H62" s="108"/>
    </row>
    <row r="63" spans="7:8">
      <c r="G63" s="108"/>
      <c r="H63" s="108"/>
    </row>
    <row r="64" spans="7:8">
      <c r="G64" s="108"/>
      <c r="H64" s="108"/>
    </row>
  </sheetData>
  <mergeCells count="2">
    <mergeCell ref="I1:N3"/>
    <mergeCell ref="A1:H3"/>
  </mergeCells>
  <phoneticPr fontId="42" type="noConversion"/>
  <pageMargins left="0.7" right="0.7" top="0.75" bottom="0.75" header="0.3" footer="0.3"/>
  <pageSetup scale="58" fitToHeight="0"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0EC7B-E7C7-4307-98D4-CF9375F22C8A}">
  <sheetPr codeName="Sheet8">
    <tabColor theme="7" tint="0.79998168889431442"/>
    <pageSetUpPr fitToPage="1"/>
  </sheetPr>
  <dimension ref="A1:DU96"/>
  <sheetViews>
    <sheetView workbookViewId="0">
      <selection activeCell="G8" sqref="G8"/>
    </sheetView>
  </sheetViews>
  <sheetFormatPr defaultColWidth="9.140625" defaultRowHeight="30" customHeight="1"/>
  <cols>
    <col min="1" max="1" width="17.28515625" style="109" bestFit="1" customWidth="1"/>
    <col min="2" max="2" width="5.28515625" style="110" customWidth="1"/>
    <col min="3" max="3" width="18.5703125" style="111" bestFit="1" customWidth="1"/>
    <col min="4" max="4" width="21.140625" style="109" customWidth="1"/>
    <col min="5" max="5" width="69.140625" style="25" customWidth="1"/>
    <col min="6" max="6" width="5.5703125" style="36" customWidth="1"/>
    <col min="7" max="7" width="8.5703125" style="36" bestFit="1" customWidth="1"/>
    <col min="8" max="8" width="10" style="36" bestFit="1" customWidth="1"/>
    <col min="9" max="9" width="5.5703125" style="36" customWidth="1"/>
    <col min="10" max="10" width="6.28515625" style="36" customWidth="1"/>
    <col min="11" max="11" width="20.42578125" style="36" customWidth="1"/>
    <col min="12" max="12" width="5.28515625" style="36" customWidth="1"/>
    <col min="13" max="13" width="9" style="36" customWidth="1"/>
    <col min="14" max="14" width="10.85546875" style="36" bestFit="1" customWidth="1"/>
    <col min="15" max="15" width="11.85546875" style="36" customWidth="1"/>
    <col min="16" max="26" width="2.7109375" style="36" customWidth="1"/>
    <col min="27" max="27" width="3.28515625" style="36" bestFit="1" customWidth="1"/>
    <col min="28" max="28" width="4" style="36" bestFit="1" customWidth="1"/>
    <col min="29" max="38" width="2.7109375" style="36" customWidth="1"/>
    <col min="39" max="99" width="2.7109375" customWidth="1"/>
    <col min="100" max="121" width="3.5703125" customWidth="1"/>
    <col min="122" max="125" width="2" bestFit="1" customWidth="1"/>
  </cols>
  <sheetData>
    <row r="1" spans="1:125" ht="21.75" thickBot="1">
      <c r="A1" s="269"/>
      <c r="B1" s="270"/>
      <c r="C1" s="271"/>
      <c r="D1" s="272"/>
      <c r="E1" s="273"/>
      <c r="F1" s="274"/>
      <c r="G1" s="274"/>
      <c r="H1" s="274"/>
      <c r="I1" s="274"/>
      <c r="J1" s="627" t="s">
        <v>413</v>
      </c>
      <c r="K1" s="627"/>
      <c r="L1" s="274"/>
      <c r="M1" s="274"/>
      <c r="N1" s="275" t="s">
        <v>414</v>
      </c>
      <c r="O1" s="276"/>
    </row>
    <row r="2" spans="1:125" ht="30" customHeight="1" thickBot="1">
      <c r="A2" s="610" t="str">
        <f>"Glasgow Design Build for "&amp;Profit!E1&amp; " Your Home"</f>
        <v>Glasgow Design Build for Buy Your Home</v>
      </c>
      <c r="B2" s="611"/>
      <c r="C2" s="611"/>
      <c r="D2" s="611"/>
      <c r="E2" s="289" t="s">
        <v>415</v>
      </c>
      <c r="F2" s="623">
        <f>+MIN(ProposalToGnatt[Start Date])</f>
        <v>0</v>
      </c>
      <c r="G2" s="624"/>
      <c r="H2" s="630" t="s">
        <v>416</v>
      </c>
      <c r="I2" s="631"/>
      <c r="J2" s="613">
        <f>+SUM(H8:H22)</f>
        <v>5160.24</v>
      </c>
      <c r="K2" s="614"/>
      <c r="L2" s="277"/>
      <c r="M2" s="613">
        <f>+SUM(O8:O22)-SUM(M8:M22)</f>
        <v>0</v>
      </c>
      <c r="N2" s="636"/>
      <c r="O2" s="278"/>
      <c r="P2" s="95"/>
      <c r="R2" s="93"/>
      <c r="S2" s="93"/>
      <c r="T2" s="93"/>
      <c r="U2" s="93"/>
      <c r="V2" s="93"/>
      <c r="W2" s="93"/>
      <c r="X2" s="93"/>
      <c r="Y2" s="93"/>
      <c r="Z2" s="93"/>
      <c r="AA2" s="93"/>
      <c r="AB2" s="93"/>
      <c r="AC2" s="93"/>
      <c r="AD2" s="93"/>
      <c r="AE2" s="93"/>
      <c r="AF2" s="93"/>
      <c r="AG2" s="93"/>
      <c r="AH2" s="93"/>
      <c r="AI2" s="93"/>
      <c r="AJ2" s="94"/>
      <c r="AK2" s="94"/>
      <c r="AP2" s="15"/>
      <c r="AQ2" s="15"/>
      <c r="AR2" s="15"/>
    </row>
    <row r="3" spans="1:125" ht="30" customHeight="1">
      <c r="A3" s="610" t="s">
        <v>417</v>
      </c>
      <c r="B3" s="611" t="s">
        <v>417</v>
      </c>
      <c r="C3" s="611"/>
      <c r="D3" s="611"/>
      <c r="E3" s="290"/>
      <c r="H3" s="632" t="s">
        <v>418</v>
      </c>
      <c r="I3" s="633"/>
      <c r="J3" s="617">
        <f>SUM(H24:H27)</f>
        <v>0</v>
      </c>
      <c r="K3" s="618"/>
      <c r="L3" s="279"/>
      <c r="M3" s="617">
        <f>+J3-SUM(M24:M27)</f>
        <v>0</v>
      </c>
      <c r="N3" s="637"/>
      <c r="O3" s="280"/>
      <c r="P3" s="95"/>
      <c r="AP3" s="15"/>
      <c r="AQ3" s="15"/>
      <c r="AR3" s="15"/>
    </row>
    <row r="4" spans="1:125" ht="30" customHeight="1">
      <c r="A4" s="610" t="str">
        <f>+Profit!B2</f>
        <v>3413 Pinetree Ln, Greenville, NC 27858</v>
      </c>
      <c r="B4" s="611" t="str">
        <f>+Profit!B2</f>
        <v>3413 Pinetree Ln, Greenville, NC 27858</v>
      </c>
      <c r="C4" s="611"/>
      <c r="D4" s="611"/>
      <c r="E4" s="628" t="s">
        <v>419</v>
      </c>
      <c r="F4" s="629"/>
      <c r="G4" s="112">
        <v>1</v>
      </c>
      <c r="H4" s="634" t="s">
        <v>420</v>
      </c>
      <c r="I4" s="635"/>
      <c r="J4" s="619">
        <f>SUM(ProposalToGnatt[Price])</f>
        <v>0</v>
      </c>
      <c r="K4" s="620"/>
      <c r="L4" s="281"/>
      <c r="M4" s="619" cm="1">
        <f t="array" ref="M4">+SUM(ProposalToGnatt[Due]-ProposalToGnatt[Paid])</f>
        <v>0</v>
      </c>
      <c r="N4" s="620"/>
      <c r="O4" s="282"/>
      <c r="P4" s="95"/>
      <c r="AP4" s="15"/>
      <c r="AQ4" s="15"/>
      <c r="AR4" s="15"/>
    </row>
    <row r="5" spans="1:125" ht="18" customHeight="1" thickBot="1">
      <c r="A5" s="283"/>
      <c r="B5" s="284" t="s">
        <v>421</v>
      </c>
      <c r="C5" s="285"/>
      <c r="D5" s="286"/>
      <c r="E5" s="615" t="s">
        <v>422</v>
      </c>
      <c r="F5" s="616"/>
      <c r="G5" s="287">
        <v>2</v>
      </c>
      <c r="H5" s="612" t="s">
        <v>423</v>
      </c>
      <c r="I5" s="612"/>
      <c r="J5" s="621">
        <f>+SUM(J2:K4)</f>
        <v>5160.24</v>
      </c>
      <c r="K5" s="622"/>
      <c r="L5" s="24"/>
      <c r="M5" s="638">
        <f>+SUM(M2:N4)</f>
        <v>0</v>
      </c>
      <c r="N5" s="639"/>
      <c r="O5" s="288"/>
      <c r="P5" s="91"/>
      <c r="BB5" s="15"/>
      <c r="BC5" s="15"/>
      <c r="BD5" s="15"/>
    </row>
    <row r="6" spans="1:125" s="22" customFormat="1" ht="30.75" customHeight="1">
      <c r="A6" s="113"/>
      <c r="B6" s="114"/>
      <c r="C6" s="115"/>
      <c r="D6" s="113"/>
      <c r="E6" s="116" t="str">
        <f>Profit!E1&amp;" Your Home Supplied Materials"</f>
        <v>Buy Your Home Supplied Materials</v>
      </c>
      <c r="F6" s="113"/>
      <c r="G6" s="117"/>
      <c r="H6" s="117"/>
      <c r="I6" s="113"/>
      <c r="J6" s="113"/>
      <c r="K6" s="118"/>
      <c r="L6" s="113"/>
      <c r="M6" s="113"/>
      <c r="N6" s="113"/>
      <c r="O6" s="113"/>
      <c r="R6" s="36"/>
      <c r="S6" s="36"/>
      <c r="T6" s="36"/>
      <c r="U6" s="36"/>
      <c r="V6" s="36"/>
      <c r="W6" s="36"/>
      <c r="X6" s="36"/>
      <c r="Y6" s="36"/>
      <c r="Z6" s="36"/>
      <c r="AA6" s="36"/>
      <c r="AB6" s="36"/>
      <c r="AC6" s="36"/>
      <c r="AD6" s="36"/>
      <c r="AE6" s="36"/>
      <c r="AF6" s="36"/>
      <c r="AG6" s="36"/>
      <c r="AH6" s="36"/>
    </row>
    <row r="7" spans="1:125" s="42" customFormat="1" ht="32.25" customHeight="1">
      <c r="A7" s="113" t="s">
        <v>424</v>
      </c>
      <c r="B7" s="114" t="s">
        <v>425</v>
      </c>
      <c r="C7" s="115" t="s">
        <v>404</v>
      </c>
      <c r="D7" s="113" t="s">
        <v>405</v>
      </c>
      <c r="E7" s="113" t="s">
        <v>406</v>
      </c>
      <c r="F7" s="113" t="s">
        <v>364</v>
      </c>
      <c r="G7" s="117" t="s">
        <v>365</v>
      </c>
      <c r="H7" s="117" t="s">
        <v>407</v>
      </c>
      <c r="I7" s="113" t="s">
        <v>408</v>
      </c>
      <c r="J7" s="113" t="s">
        <v>409</v>
      </c>
      <c r="K7" s="118" t="s">
        <v>410</v>
      </c>
      <c r="L7" s="113" t="s">
        <v>411</v>
      </c>
      <c r="M7" s="113" t="s">
        <v>412</v>
      </c>
      <c r="N7" s="113" t="s">
        <v>151</v>
      </c>
      <c r="O7" s="113" t="s">
        <v>426</v>
      </c>
      <c r="R7" s="36"/>
      <c r="S7" s="36"/>
      <c r="T7" s="36"/>
      <c r="U7" s="36"/>
      <c r="V7" s="36"/>
      <c r="W7" s="36"/>
      <c r="X7" s="36"/>
      <c r="Y7" s="36"/>
      <c r="Z7" s="36"/>
      <c r="AA7" s="36"/>
      <c r="AB7" s="36"/>
      <c r="AC7" s="36"/>
      <c r="AD7" s="36"/>
      <c r="AE7" s="36"/>
      <c r="AF7" s="36"/>
      <c r="AG7" s="36"/>
      <c r="AH7" s="36"/>
      <c r="AO7" s="37" t="str">
        <f>IFERROR(IF(LEN(#REF!)=0,"",IF(AND(#REF!=#REF!,#REF!=1),Milestone_Marker_Old,"")),"")</f>
        <v/>
      </c>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K7" s="37"/>
      <c r="DL7" s="37"/>
      <c r="DM7" s="37"/>
      <c r="DN7" s="37"/>
      <c r="DO7" s="37"/>
      <c r="DP7" s="37"/>
      <c r="DQ7" s="37"/>
      <c r="DR7" s="37"/>
      <c r="DS7" s="37"/>
      <c r="DT7" s="37"/>
    </row>
    <row r="8" spans="1:125" s="42" customFormat="1" ht="20.100000000000001" customHeight="1">
      <c r="A8" s="119" t="str">
        <f>Profit!$E$1&amp;" Your Home"</f>
        <v>Buy Your Home</v>
      </c>
      <c r="B8" s="120">
        <v>1</v>
      </c>
      <c r="C8" s="121"/>
      <c r="D8" s="119"/>
      <c r="E8" s="119" t="s">
        <v>427</v>
      </c>
      <c r="F8" s="120">
        <v>1</v>
      </c>
      <c r="G8" s="122">
        <f>+'Demo &amp; Trash Haul'!G17</f>
        <v>0</v>
      </c>
      <c r="H8" s="122">
        <f t="shared" ref="H8:H22" si="0">+F8*G8</f>
        <v>0</v>
      </c>
      <c r="I8" s="123"/>
      <c r="J8" s="122"/>
      <c r="K8" s="124"/>
      <c r="L8" s="122"/>
      <c r="M8" s="122"/>
      <c r="N8" s="123"/>
      <c r="O8" s="122">
        <f t="shared" ref="O8:O22" si="1">IF(I8="Yes",H8,0)</f>
        <v>0</v>
      </c>
      <c r="R8" s="36"/>
      <c r="S8" s="36"/>
      <c r="T8" s="36"/>
      <c r="U8" s="36"/>
      <c r="V8" s="36"/>
      <c r="W8" s="36"/>
      <c r="X8" s="36"/>
      <c r="Y8" s="36"/>
      <c r="Z8" s="36"/>
      <c r="AA8" s="36"/>
      <c r="AB8" s="36"/>
      <c r="AC8" s="36"/>
      <c r="AD8" s="36"/>
      <c r="AE8" s="36"/>
      <c r="AF8" s="36"/>
      <c r="AG8" s="36"/>
      <c r="AH8" s="36"/>
      <c r="AI8" s="36"/>
      <c r="AP8" s="35"/>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c r="DL8" s="37"/>
      <c r="DM8" s="37"/>
      <c r="DN8" s="37"/>
      <c r="DO8" s="37"/>
      <c r="DP8" s="37"/>
      <c r="DQ8" s="37"/>
      <c r="DR8" s="37"/>
      <c r="DS8" s="37"/>
      <c r="DT8" s="37"/>
      <c r="DU8" s="37"/>
    </row>
    <row r="9" spans="1:125" s="42" customFormat="1" ht="20.100000000000001" customHeight="1">
      <c r="A9" s="119" t="str">
        <f>Profit!$E$1&amp;" Your Home"</f>
        <v>Buy Your Home</v>
      </c>
      <c r="B9" s="120">
        <f t="shared" ref="B9" si="2">+B8+1</f>
        <v>2</v>
      </c>
      <c r="C9" s="121"/>
      <c r="D9" s="119"/>
      <c r="E9" s="119" t="s">
        <v>428</v>
      </c>
      <c r="F9" s="120">
        <v>0</v>
      </c>
      <c r="G9" s="122">
        <f>+Taxes!E19</f>
        <v>2138.17</v>
      </c>
      <c r="H9" s="122">
        <f t="shared" si="0"/>
        <v>0</v>
      </c>
      <c r="I9" s="123"/>
      <c r="J9" s="122"/>
      <c r="K9" s="124"/>
      <c r="L9" s="122"/>
      <c r="M9" s="122"/>
      <c r="N9" s="123"/>
      <c r="O9" s="122">
        <f t="shared" si="1"/>
        <v>0</v>
      </c>
      <c r="R9" s="36"/>
      <c r="S9" s="36"/>
      <c r="T9" s="36"/>
      <c r="U9" s="36"/>
      <c r="V9" s="36"/>
      <c r="W9" s="36"/>
      <c r="X9" s="36"/>
      <c r="Y9" s="36"/>
      <c r="Z9" s="36"/>
      <c r="AA9" s="36"/>
      <c r="AB9" s="36"/>
      <c r="AC9" s="36"/>
      <c r="AD9" s="36"/>
      <c r="AE9" s="36"/>
      <c r="AF9" s="36"/>
      <c r="AG9" s="36"/>
      <c r="AH9" s="36"/>
      <c r="AI9" s="36"/>
      <c r="AP9" s="35"/>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7"/>
      <c r="DR9" s="37"/>
      <c r="DS9" s="37"/>
      <c r="DT9" s="37"/>
      <c r="DU9" s="37"/>
    </row>
    <row r="10" spans="1:125" s="42" customFormat="1" ht="20.100000000000001" customHeight="1">
      <c r="A10" s="119" t="str">
        <f>Profit!$E$1&amp;" Your Home"</f>
        <v>Buy Your Home</v>
      </c>
      <c r="B10" s="120">
        <f>+B8+1</f>
        <v>2</v>
      </c>
      <c r="C10" s="121"/>
      <c r="D10" s="119"/>
      <c r="E10" s="119" t="s">
        <v>429</v>
      </c>
      <c r="F10" s="120">
        <v>1</v>
      </c>
      <c r="G10" s="122">
        <f>+Appliances!F21</f>
        <v>0</v>
      </c>
      <c r="H10" s="122">
        <f t="shared" si="0"/>
        <v>0</v>
      </c>
      <c r="I10" s="123"/>
      <c r="J10" s="122"/>
      <c r="K10" s="124"/>
      <c r="L10" s="122"/>
      <c r="M10" s="122"/>
      <c r="N10" s="123"/>
      <c r="O10" s="122">
        <f t="shared" si="1"/>
        <v>0</v>
      </c>
      <c r="R10" s="36"/>
      <c r="S10" s="36"/>
      <c r="T10" s="36"/>
      <c r="U10" s="36"/>
      <c r="V10" s="36"/>
      <c r="W10" s="36"/>
      <c r="X10" s="36"/>
      <c r="Y10" s="36"/>
      <c r="Z10" s="36"/>
      <c r="AA10" s="36"/>
      <c r="AB10" s="36"/>
      <c r="AC10" s="36"/>
      <c r="AD10" s="36"/>
      <c r="AE10" s="36"/>
      <c r="AF10" s="36"/>
      <c r="AG10" s="36"/>
      <c r="AH10" s="36"/>
      <c r="AI10" s="36"/>
      <c r="AP10" s="35"/>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row>
    <row r="11" spans="1:125" s="42" customFormat="1" ht="20.100000000000001" customHeight="1">
      <c r="A11" s="119" t="str">
        <f>Profit!$E$1&amp;" Your Home"</f>
        <v>Buy Your Home</v>
      </c>
      <c r="B11" s="120">
        <f t="shared" ref="B11:B22" si="3">+B10+1</f>
        <v>3</v>
      </c>
      <c r="C11" s="121"/>
      <c r="D11" s="119"/>
      <c r="E11" s="119" t="s">
        <v>430</v>
      </c>
      <c r="F11" s="120">
        <v>1</v>
      </c>
      <c r="G11" s="122">
        <f>+'Plumbing Fixtures'!F23</f>
        <v>0</v>
      </c>
      <c r="H11" s="122">
        <f t="shared" si="0"/>
        <v>0</v>
      </c>
      <c r="I11" s="123"/>
      <c r="J11" s="122"/>
      <c r="K11" s="124"/>
      <c r="L11" s="122"/>
      <c r="M11" s="122"/>
      <c r="N11" s="123"/>
      <c r="O11" s="122">
        <f t="shared" si="1"/>
        <v>0</v>
      </c>
      <c r="R11" s="36"/>
      <c r="S11" s="36"/>
      <c r="T11" s="36"/>
      <c r="U11" s="36"/>
      <c r="V11" s="36"/>
      <c r="W11" s="36"/>
      <c r="X11" s="36"/>
      <c r="Y11" s="36"/>
      <c r="Z11" s="36"/>
      <c r="AA11" s="36"/>
      <c r="AB11" s="36"/>
      <c r="AC11" s="36"/>
      <c r="AD11" s="36"/>
      <c r="AE11" s="36"/>
      <c r="AF11" s="36"/>
      <c r="AG11" s="36"/>
      <c r="AH11" s="36"/>
      <c r="AI11" s="36"/>
      <c r="AP11" s="35"/>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c r="DU11" s="37"/>
    </row>
    <row r="12" spans="1:125" s="42" customFormat="1" ht="20.100000000000001" customHeight="1">
      <c r="A12" s="119" t="str">
        <f>Profit!$E$1&amp;" Your Home"</f>
        <v>Buy Your Home</v>
      </c>
      <c r="B12" s="120">
        <f t="shared" si="3"/>
        <v>4</v>
      </c>
      <c r="C12" s="121"/>
      <c r="D12" s="119"/>
      <c r="E12" s="119" t="s">
        <v>431</v>
      </c>
      <c r="F12" s="120">
        <v>0</v>
      </c>
      <c r="G12" s="122">
        <f>+'Windows &amp; Doors'!F30</f>
        <v>235.81</v>
      </c>
      <c r="H12" s="122">
        <f t="shared" si="0"/>
        <v>0</v>
      </c>
      <c r="I12" s="123"/>
      <c r="J12" s="122"/>
      <c r="K12" s="124"/>
      <c r="L12" s="122"/>
      <c r="M12" s="122"/>
      <c r="N12" s="123"/>
      <c r="O12" s="122">
        <f t="shared" si="1"/>
        <v>0</v>
      </c>
      <c r="R12" s="36"/>
      <c r="S12" s="36"/>
      <c r="T12" s="36"/>
      <c r="U12" s="36"/>
      <c r="V12" s="36"/>
      <c r="W12" s="36"/>
      <c r="X12" s="36"/>
      <c r="Y12" s="36"/>
      <c r="Z12" s="36"/>
      <c r="AA12" s="36"/>
      <c r="AB12" s="36"/>
      <c r="AC12" s="36"/>
      <c r="AD12" s="36"/>
      <c r="AE12" s="36"/>
      <c r="AF12" s="36"/>
      <c r="AG12" s="36"/>
      <c r="AH12" s="36"/>
      <c r="AI12" s="36"/>
      <c r="AP12" s="35"/>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row>
    <row r="13" spans="1:125" ht="20.100000000000001" customHeight="1">
      <c r="A13" s="119" t="str">
        <f>Profit!$E$1&amp;" Your Home"</f>
        <v>Buy Your Home</v>
      </c>
      <c r="B13" s="120">
        <f t="shared" si="3"/>
        <v>5</v>
      </c>
      <c r="C13" s="121"/>
      <c r="D13" s="119"/>
      <c r="E13" s="119" t="s">
        <v>432</v>
      </c>
      <c r="F13" s="120">
        <v>0</v>
      </c>
      <c r="G13" s="122">
        <f>+Cabinets!G44</f>
        <v>0</v>
      </c>
      <c r="H13" s="122">
        <f t="shared" si="0"/>
        <v>0</v>
      </c>
      <c r="I13" s="123"/>
      <c r="J13" s="122"/>
      <c r="K13" s="124"/>
      <c r="L13" s="122"/>
      <c r="M13" s="122"/>
      <c r="N13" s="123"/>
      <c r="O13" s="122">
        <f t="shared" si="1"/>
        <v>0</v>
      </c>
      <c r="AQ13" s="37"/>
    </row>
    <row r="14" spans="1:125" s="42" customFormat="1" ht="20.100000000000001" customHeight="1">
      <c r="A14" s="119" t="str">
        <f>Profit!$E$1&amp;" Your Home"</f>
        <v>Buy Your Home</v>
      </c>
      <c r="B14" s="120">
        <f t="shared" si="3"/>
        <v>6</v>
      </c>
      <c r="C14" s="121"/>
      <c r="D14" s="119"/>
      <c r="E14" s="119" t="s">
        <v>433</v>
      </c>
      <c r="F14" s="120">
        <v>1</v>
      </c>
      <c r="G14" s="122">
        <f>+Paint!G28</f>
        <v>0</v>
      </c>
      <c r="H14" s="122">
        <f t="shared" si="0"/>
        <v>0</v>
      </c>
      <c r="I14" s="123"/>
      <c r="J14" s="122"/>
      <c r="K14" s="124"/>
      <c r="L14" s="122"/>
      <c r="M14" s="122"/>
      <c r="N14" s="123"/>
      <c r="O14" s="122">
        <f t="shared" si="1"/>
        <v>0</v>
      </c>
      <c r="R14" s="36"/>
      <c r="S14" s="36"/>
      <c r="T14" s="36"/>
      <c r="U14" s="36"/>
      <c r="V14" s="36"/>
      <c r="W14" s="36"/>
      <c r="X14" s="36"/>
      <c r="Y14" s="36"/>
      <c r="Z14" s="36"/>
      <c r="AA14" s="36"/>
      <c r="AB14" s="36"/>
      <c r="AC14" s="36"/>
      <c r="AD14" s="36"/>
      <c r="AE14" s="36"/>
      <c r="AF14" s="36"/>
      <c r="AG14" s="36"/>
      <c r="AH14" s="36"/>
      <c r="AI14" s="36"/>
      <c r="AP14" s="35"/>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row>
    <row r="15" spans="1:125" s="42" customFormat="1" ht="20.100000000000001" customHeight="1">
      <c r="A15" s="119" t="str">
        <f>Profit!$E$1&amp;" Your Home"</f>
        <v>Buy Your Home</v>
      </c>
      <c r="B15" s="120">
        <f t="shared" si="3"/>
        <v>7</v>
      </c>
      <c r="C15" s="121"/>
      <c r="D15" s="119"/>
      <c r="E15" s="119" t="s">
        <v>434</v>
      </c>
      <c r="F15" s="120">
        <v>1</v>
      </c>
      <c r="G15" s="122">
        <f>+Flooring!G7</f>
        <v>5098.8</v>
      </c>
      <c r="H15" s="122">
        <f t="shared" si="0"/>
        <v>5098.8</v>
      </c>
      <c r="I15" s="123"/>
      <c r="J15" s="122"/>
      <c r="K15" s="124"/>
      <c r="L15" s="122"/>
      <c r="M15" s="122"/>
      <c r="N15" s="123"/>
      <c r="O15" s="122">
        <f t="shared" si="1"/>
        <v>0</v>
      </c>
      <c r="R15" s="36"/>
      <c r="S15" s="36"/>
      <c r="T15" s="36"/>
      <c r="U15" s="36"/>
      <c r="V15" s="36"/>
      <c r="W15" s="36"/>
      <c r="X15" s="36"/>
      <c r="Y15" s="36"/>
      <c r="Z15" s="36"/>
      <c r="AA15" s="36"/>
      <c r="AB15" s="36"/>
      <c r="AC15" s="36"/>
      <c r="AD15" s="36"/>
      <c r="AE15" s="36"/>
      <c r="AF15" s="36"/>
      <c r="AG15" s="36"/>
      <c r="AH15" s="36"/>
      <c r="AI15" s="36"/>
      <c r="AP15" s="37" t="str">
        <f>IFERROR(IF(LEN(#REF!)=0,"",IF(P$29=#REF!,Milestone_Marker_Old,"")),"")</f>
        <v/>
      </c>
      <c r="AQ15" s="37" t="str">
        <f>IFERROR(IF(LEN(#REF!)=0,"",IF(Q$29=#REF!,Milestone_Marker_Old,"")),"")</f>
        <v/>
      </c>
      <c r="AR15" s="37" t="str">
        <f>IFERROR(IF(LEN(#REF!)=0,"",IF(R$29=#REF!,Milestone_Marker_Old,"")),"")</f>
        <v/>
      </c>
      <c r="AS15" s="37" t="str">
        <f>IFERROR(IF(LEN(#REF!)=0,"",IF(S$29=#REF!,Milestone_Marker_Old,"")),"")</f>
        <v/>
      </c>
      <c r="AT15" s="37" t="str">
        <f>IFERROR(IF(LEN(#REF!)=0,"",IF(T$29=#REF!,Milestone_Marker_Old,"")),"")</f>
        <v/>
      </c>
      <c r="AU15" s="37" t="str">
        <f>IFERROR(IF(LEN(#REF!)=0,"",IF(U$29=#REF!,Milestone_Marker_Old,"")),"")</f>
        <v/>
      </c>
      <c r="AV15" s="37" t="str">
        <f>IFERROR(IF(LEN(#REF!)=0,"",IF(V$29=#REF!,Milestone_Marker_Old,"")),"")</f>
        <v/>
      </c>
      <c r="AW15" s="37" t="str">
        <f>IFERROR(IF(LEN(#REF!)=0,"",IF(W$29=#REF!,Milestone_Marker_Old,"")),"")</f>
        <v/>
      </c>
      <c r="AX15" s="37" t="str">
        <f>IFERROR(IF(LEN(#REF!)=0,"",IF(X$29=#REF!,Milestone_Marker_Old,"")),"")</f>
        <v/>
      </c>
      <c r="AY15" s="37" t="str">
        <f>IFERROR(IF(LEN(#REF!)=0,"",IF(Y$29=#REF!,Milestone_Marker_Old,"")),"")</f>
        <v/>
      </c>
      <c r="AZ15" s="37" t="str">
        <f>IFERROR(IF(LEN(#REF!)=0,"",IF(Z$29=#REF!,Milestone_Marker_Old,"")),"")</f>
        <v/>
      </c>
      <c r="BA15" s="37" t="str">
        <f>IFERROR(IF(LEN(#REF!)=0,"",IF(AA$29=#REF!,Milestone_Marker_Old,"")),"")</f>
        <v/>
      </c>
      <c r="BB15" s="37" t="str">
        <f>IFERROR(IF(LEN(#REF!)=0,"",IF(AB$29=#REF!,Milestone_Marker_Old,"")),"")</f>
        <v/>
      </c>
      <c r="BC15" s="37" t="str">
        <f>IFERROR(IF(LEN(#REF!)=0,"",IF(AC$29=#REF!,Milestone_Marker_Old,"")),"")</f>
        <v/>
      </c>
      <c r="BD15" s="37" t="str">
        <f>IFERROR(IF(LEN(#REF!)=0,"",IF(AD$29=#REF!,Milestone_Marker_Old,"")),"")</f>
        <v/>
      </c>
      <c r="BE15" s="37" t="str">
        <f>IFERROR(IF(LEN(#REF!)=0,"",IF(AE$29=#REF!,Milestone_Marker_Old,"")),"")</f>
        <v/>
      </c>
      <c r="BF15" s="37" t="str">
        <f>IFERROR(IF(LEN(#REF!)=0,"",IF(AF$29=#REF!,Milestone_Marker_Old,"")),"")</f>
        <v/>
      </c>
      <c r="BG15" s="37" t="str">
        <f>IFERROR(IF(LEN(#REF!)=0,"",IF(AG$29=#REF!,Milestone_Marker_Old,"")),"")</f>
        <v/>
      </c>
      <c r="BH15" s="37" t="str">
        <f>IFERROR(IF(LEN(#REF!)=0,"",IF(AH$29=#REF!,Milestone_Marker_Old,"")),"")</f>
        <v/>
      </c>
      <c r="BI15" s="37" t="str">
        <f>IFERROR(IF(LEN(#REF!)=0,"",IF(AI$29=#REF!,Milestone_Marker_Old,"")),"")</f>
        <v/>
      </c>
      <c r="BJ15" s="37" t="str">
        <f>IFERROR(IF(LEN(#REF!)=0,"",IF(AJ$29=#REF!,Milestone_Marker_Old,"")),"")</f>
        <v/>
      </c>
      <c r="BK15" s="37" t="str">
        <f>IFERROR(IF(LEN(#REF!)=0,"",IF(AK$29=#REF!,Milestone_Marker_Old,"")),"")</f>
        <v/>
      </c>
      <c r="BL15" s="37" t="str">
        <f>IFERROR(IF(LEN(#REF!)=0,"",IF(AL$29=#REF!,Milestone_Marker_Old,"")),"")</f>
        <v/>
      </c>
      <c r="BM15" s="37" t="str">
        <f>IFERROR(IF(LEN(#REF!)=0,"",IF(AM$29=#REF!,Milestone_Marker_Old,"")),"")</f>
        <v/>
      </c>
      <c r="BN15" s="37" t="str">
        <f>IFERROR(IF(LEN(#REF!)=0,"",IF(AN$29=#REF!,Milestone_Marker_Old,"")),"")</f>
        <v/>
      </c>
      <c r="BO15" s="37" t="str">
        <f>IFERROR(IF(LEN(#REF!)=0,"",IF(AO$29=#REF!,Milestone_Marker_Old,"")),"")</f>
        <v/>
      </c>
      <c r="BP15" s="37" t="str">
        <f>IFERROR(IF(LEN(#REF!)=0,"",IF(AP$29=#REF!,Milestone_Marker_Old,"")),"")</f>
        <v/>
      </c>
      <c r="BQ15" s="37" t="str">
        <f>IFERROR(IF(LEN(#REF!)=0,"",IF(AQ$29=#REF!,Milestone_Marker_Old,"")),"")</f>
        <v/>
      </c>
      <c r="BR15" s="37" t="str">
        <f>IFERROR(IF(LEN(#REF!)=0,"",IF(AR$29=#REF!,Milestone_Marker_Old,"")),"")</f>
        <v/>
      </c>
      <c r="BS15" s="37" t="str">
        <f>IFERROR(IF(LEN(#REF!)=0,"",IF(AS$29=#REF!,Milestone_Marker_Old,"")),"")</f>
        <v/>
      </c>
      <c r="BT15" s="37" t="str">
        <f>IFERROR(IF(LEN(#REF!)=0,"",IF(AT$29=#REF!,Milestone_Marker_Old,"")),"")</f>
        <v/>
      </c>
      <c r="BU15" s="37" t="str">
        <f>IFERROR(IF(LEN(#REF!)=0,"",IF(AU$29=#REF!,Milestone_Marker_Old,"")),"")</f>
        <v/>
      </c>
      <c r="BV15" s="37" t="str">
        <f>IFERROR(IF(LEN(#REF!)=0,"",IF(AV$29=#REF!,Milestone_Marker_Old,"")),"")</f>
        <v/>
      </c>
      <c r="BW15" s="37" t="str">
        <f>IFERROR(IF(LEN(#REF!)=0,"",IF(AW$29=#REF!,Milestone_Marker_Old,"")),"")</f>
        <v/>
      </c>
      <c r="BX15" s="37" t="str">
        <f>IFERROR(IF(LEN(#REF!)=0,"",IF(AX$29=#REF!,Milestone_Marker_Old,"")),"")</f>
        <v/>
      </c>
      <c r="BY15" s="37" t="str">
        <f>IFERROR(IF(LEN(#REF!)=0,"",IF(AY$29=#REF!,Milestone_Marker_Old,"")),"")</f>
        <v/>
      </c>
      <c r="BZ15" s="37" t="str">
        <f>IFERROR(IF(LEN(#REF!)=0,"",IF(AZ$29=#REF!,Milestone_Marker_Old,"")),"")</f>
        <v/>
      </c>
      <c r="CA15" s="37" t="str">
        <f>IFERROR(IF(LEN(#REF!)=0,"",IF(BA$29=#REF!,Milestone_Marker_Old,"")),"")</f>
        <v/>
      </c>
      <c r="CB15" s="37" t="str">
        <f>IFERROR(IF(LEN(#REF!)=0,"",IF(BB$29=#REF!,Milestone_Marker_Old,"")),"")</f>
        <v/>
      </c>
      <c r="CC15" s="37" t="str">
        <f>IFERROR(IF(LEN(#REF!)=0,"",IF(BC$29=#REF!,Milestone_Marker_Old,"")),"")</f>
        <v/>
      </c>
      <c r="CD15" s="37" t="str">
        <f>IFERROR(IF(LEN(#REF!)=0,"",IF(BD$29=#REF!,Milestone_Marker_Old,"")),"")</f>
        <v/>
      </c>
      <c r="CE15" s="37" t="str">
        <f>IFERROR(IF(LEN(#REF!)=0,"",IF(BE$29=#REF!,Milestone_Marker_Old,"")),"")</f>
        <v/>
      </c>
      <c r="CF15" s="37" t="str">
        <f>IFERROR(IF(LEN(#REF!)=0,"",IF(BF$29=#REF!,Milestone_Marker_Old,"")),"")</f>
        <v/>
      </c>
      <c r="CG15" s="37" t="str">
        <f>IFERROR(IF(LEN(#REF!)=0,"",IF(BG$29=#REF!,Milestone_Marker_Old,"")),"")</f>
        <v/>
      </c>
      <c r="CH15" s="37" t="str">
        <f>IFERROR(IF(LEN(#REF!)=0,"",IF(BH$29=#REF!,Milestone_Marker_Old,"")),"")</f>
        <v/>
      </c>
      <c r="CI15" s="37" t="str">
        <f>IFERROR(IF(LEN(#REF!)=0,"",IF(BI$29=#REF!,Milestone_Marker_Old,"")),"")</f>
        <v/>
      </c>
      <c r="CJ15" s="37" t="str">
        <f>IFERROR(IF(LEN(#REF!)=0,"",IF(BJ$29=#REF!,Milestone_Marker_Old,"")),"")</f>
        <v/>
      </c>
      <c r="CK15" s="37" t="str">
        <f>IFERROR(IF(LEN(#REF!)=0,"",IF(BK$29=#REF!,Milestone_Marker_Old,"")),"")</f>
        <v/>
      </c>
      <c r="CL15" s="37" t="str">
        <f>IFERROR(IF(LEN(#REF!)=0,"",IF(BL$29=#REF!,Milestone_Marker_Old,"")),"")</f>
        <v/>
      </c>
      <c r="CM15" s="37" t="str">
        <f>IFERROR(IF(LEN(#REF!)=0,"",IF(BM$29=#REF!,Milestone_Marker_Old,"")),"")</f>
        <v/>
      </c>
      <c r="CN15" s="37" t="str">
        <f>IFERROR(IF(LEN(#REF!)=0,"",IF(BN$29=#REF!,Milestone_Marker_Old,"")),"")</f>
        <v/>
      </c>
      <c r="CO15" s="37" t="str">
        <f>IFERROR(IF(LEN(#REF!)=0,"",IF(BO$29=#REF!,Milestone_Marker_Old,"")),"")</f>
        <v/>
      </c>
      <c r="CP15" s="37" t="str">
        <f>IFERROR(IF(LEN(#REF!)=0,"",IF(BP$29=#REF!,Milestone_Marker_Old,"")),"")</f>
        <v/>
      </c>
      <c r="CQ15" s="37" t="str">
        <f>IFERROR(IF(LEN(#REF!)=0,"",IF(BQ$29=#REF!,Milestone_Marker_Old,"")),"")</f>
        <v/>
      </c>
      <c r="CR15" s="37" t="str">
        <f>IFERROR(IF(LEN(#REF!)=0,"",IF(BR$29=#REF!,Milestone_Marker_Old,"")),"")</f>
        <v/>
      </c>
      <c r="CS15" s="37" t="str">
        <f>IFERROR(IF(LEN(#REF!)=0,"",IF(BS$29=#REF!,Milestone_Marker_Old,"")),"")</f>
        <v/>
      </c>
      <c r="CT15" s="37" t="str">
        <f>IFERROR(IF(LEN(#REF!)=0,"",IF(BT$29=#REF!,Milestone_Marker_Old,"")),"")</f>
        <v/>
      </c>
      <c r="CU15" s="37" t="str">
        <f>IFERROR(IF(LEN(#REF!)=0,"",IF(BU$29=#REF!,Milestone_Marker_Old,"")),"")</f>
        <v/>
      </c>
      <c r="CV15" s="37" t="str">
        <f>IFERROR(IF(LEN(#REF!)=0,"",IF(BV$29=#REF!,Milestone_Marker_Old,"")),"")</f>
        <v/>
      </c>
      <c r="CW15" s="37" t="str">
        <f>IFERROR(IF(LEN(#REF!)=0,"",IF(BW$29=#REF!,Milestone_Marker_Old,"")),"")</f>
        <v/>
      </c>
      <c r="CX15" s="37" t="str">
        <f>IFERROR(IF(LEN(#REF!)=0,"",IF(BX$29=#REF!,Milestone_Marker_Old,"")),"")</f>
        <v/>
      </c>
      <c r="CY15" s="37" t="str">
        <f>IFERROR(IF(LEN(#REF!)=0,"",IF(BY$29=#REF!,Milestone_Marker_Old,"")),"")</f>
        <v/>
      </c>
      <c r="CZ15" s="37" t="str">
        <f>IFERROR(IF(LEN(#REF!)=0,"",IF(BZ$29=#REF!,Milestone_Marker_Old,"")),"")</f>
        <v/>
      </c>
      <c r="DA15" s="37" t="str">
        <f>IFERROR(IF(LEN(#REF!)=0,"",IF(CA$29=#REF!,Milestone_Marker_Old,"")),"")</f>
        <v/>
      </c>
      <c r="DB15" s="37" t="str">
        <f>IFERROR(IF(LEN(#REF!)=0,"",IF(CB$29=#REF!,Milestone_Marker_Old,"")),"")</f>
        <v/>
      </c>
      <c r="DC15" s="37" t="str">
        <f>IFERROR(IF(LEN(#REF!)=0,"",IF(CC$29=#REF!,Milestone_Marker_Old,"")),"")</f>
        <v/>
      </c>
      <c r="DD15" s="37" t="str">
        <f>IFERROR(IF(LEN(#REF!)=0,"",IF(CD$29=#REF!,Milestone_Marker_Old,"")),"")</f>
        <v/>
      </c>
      <c r="DE15" s="37" t="str">
        <f>IFERROR(IF(LEN(#REF!)=0,"",IF(CE$29=#REF!,Milestone_Marker_Old,"")),"")</f>
        <v/>
      </c>
      <c r="DF15" s="37" t="str">
        <f>IFERROR(IF(LEN(#REF!)=0,"",IF(CF$29=#REF!,Milestone_Marker_Old,"")),"")</f>
        <v/>
      </c>
      <c r="DG15" s="37" t="str">
        <f>IFERROR(IF(LEN(#REF!)=0,"",IF(CG$29=#REF!,Milestone_Marker_Old,"")),"")</f>
        <v/>
      </c>
      <c r="DH15" s="37" t="str">
        <f>IFERROR(IF(LEN(#REF!)=0,"",IF(CH$29=#REF!,Milestone_Marker_Old,"")),"")</f>
        <v/>
      </c>
      <c r="DI15" s="37" t="str">
        <f>IFERROR(IF(LEN(#REF!)=0,"",IF(CI$29=#REF!,Milestone_Marker_Old,"")),"")</f>
        <v/>
      </c>
      <c r="DJ15" s="37" t="str">
        <f>IFERROR(IF(LEN(#REF!)=0,"",IF(CJ$29=#REF!,Milestone_Marker_Old,"")),"")</f>
        <v/>
      </c>
      <c r="DK15" s="37" t="str">
        <f>IFERROR(IF(LEN(#REF!)=0,"",IF(CK$29=#REF!,Milestone_Marker_Old,"")),"")</f>
        <v/>
      </c>
      <c r="DL15" s="37" t="str">
        <f>IFERROR(IF(LEN(#REF!)=0,"",IF(CL$29=#REF!,Milestone_Marker_Old,"")),"")</f>
        <v/>
      </c>
      <c r="DM15" s="37" t="str">
        <f>IFERROR(IF(LEN(#REF!)=0,"",IF(CM$29=#REF!,Milestone_Marker_Old,"")),"")</f>
        <v/>
      </c>
      <c r="DN15" s="37" t="str">
        <f>IFERROR(IF(LEN(#REF!)=0,"",IF(CN$29=#REF!,Milestone_Marker_Old,"")),"")</f>
        <v/>
      </c>
      <c r="DO15" s="37" t="str">
        <f>IFERROR(IF(LEN(#REF!)=0,"",IF(CO$29=#REF!,Milestone_Marker_Old,"")),"")</f>
        <v/>
      </c>
      <c r="DP15" s="37" t="str">
        <f>IFERROR(IF(LEN(#REF!)=0,"",IF(CP$29=#REF!,Milestone_Marker_Old,"")),"")</f>
        <v/>
      </c>
      <c r="DQ15" s="37" t="str">
        <f>IFERROR(IF(LEN(#REF!)=0,"",IF(CQ$29=#REF!,Milestone_Marker_Old,"")),"")</f>
        <v/>
      </c>
      <c r="DR15" s="37" t="str">
        <f>IFERROR(IF(LEN(#REF!)=0,"",IF(CR$29=#REF!,Milestone_Marker_Old,"")),"")</f>
        <v/>
      </c>
      <c r="DS15" s="37" t="str">
        <f>IFERROR(IF(LEN(#REF!)=0,"",IF(CS$29=#REF!,Milestone_Marker_Old,"")),"")</f>
        <v/>
      </c>
      <c r="DT15" s="37" t="str">
        <f>IFERROR(IF(LEN(#REF!)=0,"",IF(CT$29=#REF!,Milestone_Marker_Old,"")),"")</f>
        <v/>
      </c>
      <c r="DU15" s="37" t="str">
        <f>IFERROR(IF(LEN(#REF!)=0,"",IF(CU$29=#REF!,Milestone_Marker_Old,"")),"")</f>
        <v/>
      </c>
    </row>
    <row r="16" spans="1:125" s="42" customFormat="1" ht="20.100000000000001" customHeight="1">
      <c r="A16" s="119" t="str">
        <f>Profit!$E$1&amp;" Your Home"</f>
        <v>Buy Your Home</v>
      </c>
      <c r="B16" s="120">
        <f t="shared" si="3"/>
        <v>8</v>
      </c>
      <c r="C16" s="121"/>
      <c r="D16" s="119"/>
      <c r="E16" s="119" t="s">
        <v>435</v>
      </c>
      <c r="F16" s="120">
        <v>0</v>
      </c>
      <c r="G16" s="122">
        <f>+'Electrical Fixtures'!F23</f>
        <v>0</v>
      </c>
      <c r="H16" s="122">
        <f t="shared" si="0"/>
        <v>0</v>
      </c>
      <c r="I16" s="123"/>
      <c r="J16" s="122"/>
      <c r="K16" s="124"/>
      <c r="L16" s="122"/>
      <c r="M16" s="122"/>
      <c r="N16" s="123"/>
      <c r="O16" s="122">
        <f t="shared" si="1"/>
        <v>0</v>
      </c>
      <c r="R16" s="36"/>
      <c r="S16" s="36"/>
      <c r="T16" s="36"/>
      <c r="U16" s="36"/>
      <c r="V16" s="36"/>
      <c r="W16" s="36"/>
      <c r="X16" s="36"/>
      <c r="Y16" s="36"/>
      <c r="Z16" s="36"/>
      <c r="AA16" s="36"/>
      <c r="AB16" s="36"/>
      <c r="AC16" s="36"/>
      <c r="AD16" s="36"/>
      <c r="AE16" s="36"/>
      <c r="AF16" s="36"/>
      <c r="AG16" s="36"/>
      <c r="AH16" s="36"/>
      <c r="AI16" s="36"/>
      <c r="AP16" s="37" t="str">
        <f>IFERROR(IF(LEN(#REF!)=0,"",IF(P$29=#REF!,Milestone_Marker_Old,"")),"")</f>
        <v/>
      </c>
      <c r="AQ16" s="37" t="str">
        <f>IFERROR(IF(LEN(#REF!)=0,"",IF(Q$29=#REF!,Milestone_Marker_Old,"")),"")</f>
        <v/>
      </c>
      <c r="AR16" s="37" t="str">
        <f>IFERROR(IF(LEN(#REF!)=0,"",IF(R$29=#REF!,Milestone_Marker_Old,"")),"")</f>
        <v/>
      </c>
      <c r="AS16" s="37" t="str">
        <f>IFERROR(IF(LEN(#REF!)=0,"",IF(S$29=#REF!,Milestone_Marker_Old,"")),"")</f>
        <v/>
      </c>
      <c r="AT16" s="37" t="str">
        <f>IFERROR(IF(LEN(#REF!)=0,"",IF(T$29=#REF!,Milestone_Marker_Old,"")),"")</f>
        <v/>
      </c>
      <c r="AU16" s="37" t="str">
        <f>IFERROR(IF(LEN(#REF!)=0,"",IF(U$29=#REF!,Milestone_Marker_Old,"")),"")</f>
        <v/>
      </c>
      <c r="AV16" s="37" t="str">
        <f>IFERROR(IF(LEN(#REF!)=0,"",IF(V$29=#REF!,Milestone_Marker_Old,"")),"")</f>
        <v/>
      </c>
      <c r="AW16" s="37" t="str">
        <f>IFERROR(IF(LEN(#REF!)=0,"",IF(W$29=#REF!,Milestone_Marker_Old,"")),"")</f>
        <v/>
      </c>
      <c r="AX16" s="37" t="str">
        <f>IFERROR(IF(LEN(#REF!)=0,"",IF(X$29=#REF!,Milestone_Marker_Old,"")),"")</f>
        <v/>
      </c>
      <c r="AY16" s="37" t="str">
        <f>IFERROR(IF(LEN(#REF!)=0,"",IF(Y$29=#REF!,Milestone_Marker_Old,"")),"")</f>
        <v/>
      </c>
      <c r="AZ16" s="37" t="str">
        <f>IFERROR(IF(LEN(#REF!)=0,"",IF(Z$29=#REF!,Milestone_Marker_Old,"")),"")</f>
        <v/>
      </c>
      <c r="BA16" s="37" t="str">
        <f>IFERROR(IF(LEN(#REF!)=0,"",IF(AA$29=#REF!,Milestone_Marker_Old,"")),"")</f>
        <v/>
      </c>
      <c r="BB16" s="37" t="str">
        <f>IFERROR(IF(LEN(#REF!)=0,"",IF(AB$29=#REF!,Milestone_Marker_Old,"")),"")</f>
        <v/>
      </c>
      <c r="BC16" s="37" t="str">
        <f>IFERROR(IF(LEN(#REF!)=0,"",IF(AC$29=#REF!,Milestone_Marker_Old,"")),"")</f>
        <v/>
      </c>
      <c r="BD16" s="37" t="str">
        <f>IFERROR(IF(LEN(#REF!)=0,"",IF(AD$29=#REF!,Milestone_Marker_Old,"")),"")</f>
        <v/>
      </c>
      <c r="BE16" s="37" t="str">
        <f>IFERROR(IF(LEN(#REF!)=0,"",IF(AE$29=#REF!,Milestone_Marker_Old,"")),"")</f>
        <v/>
      </c>
      <c r="BF16" s="37" t="str">
        <f>IFERROR(IF(LEN(#REF!)=0,"",IF(AF$29=#REF!,Milestone_Marker_Old,"")),"")</f>
        <v/>
      </c>
      <c r="BG16" s="37" t="str">
        <f>IFERROR(IF(LEN(#REF!)=0,"",IF(AG$29=#REF!,Milestone_Marker_Old,"")),"")</f>
        <v/>
      </c>
      <c r="BH16" s="37" t="str">
        <f>IFERROR(IF(LEN(#REF!)=0,"",IF(AH$29=#REF!,Milestone_Marker_Old,"")),"")</f>
        <v/>
      </c>
      <c r="BI16" s="37" t="str">
        <f>IFERROR(IF(LEN(#REF!)=0,"",IF(AI$29=#REF!,Milestone_Marker_Old,"")),"")</f>
        <v/>
      </c>
      <c r="BJ16" s="37" t="str">
        <f>IFERROR(IF(LEN(#REF!)=0,"",IF(AJ$29=#REF!,Milestone_Marker_Old,"")),"")</f>
        <v/>
      </c>
      <c r="BK16" s="37" t="str">
        <f>IFERROR(IF(LEN(#REF!)=0,"",IF(AK$29=#REF!,Milestone_Marker_Old,"")),"")</f>
        <v/>
      </c>
      <c r="BL16" s="37" t="str">
        <f>IFERROR(IF(LEN(#REF!)=0,"",IF(AL$29=#REF!,Milestone_Marker_Old,"")),"")</f>
        <v/>
      </c>
      <c r="BM16" s="37" t="str">
        <f>IFERROR(IF(LEN(#REF!)=0,"",IF(AM$29=#REF!,Milestone_Marker_Old,"")),"")</f>
        <v/>
      </c>
      <c r="BN16" s="37" t="str">
        <f>IFERROR(IF(LEN(#REF!)=0,"",IF(AN$29=#REF!,Milestone_Marker_Old,"")),"")</f>
        <v/>
      </c>
      <c r="BO16" s="37" t="str">
        <f>IFERROR(IF(LEN(#REF!)=0,"",IF(AO$29=#REF!,Milestone_Marker_Old,"")),"")</f>
        <v/>
      </c>
      <c r="BP16" s="37" t="str">
        <f>IFERROR(IF(LEN(#REF!)=0,"",IF(AP$29=#REF!,Milestone_Marker_Old,"")),"")</f>
        <v/>
      </c>
      <c r="BQ16" s="37" t="str">
        <f>IFERROR(IF(LEN(#REF!)=0,"",IF(AQ$29=#REF!,Milestone_Marker_Old,"")),"")</f>
        <v/>
      </c>
      <c r="BR16" s="37" t="str">
        <f>IFERROR(IF(LEN(#REF!)=0,"",IF(AR$29=#REF!,Milestone_Marker_Old,"")),"")</f>
        <v/>
      </c>
      <c r="BS16" s="37" t="str">
        <f>IFERROR(IF(LEN(#REF!)=0,"",IF(AS$29=#REF!,Milestone_Marker_Old,"")),"")</f>
        <v/>
      </c>
      <c r="BT16" s="37" t="str">
        <f>IFERROR(IF(LEN(#REF!)=0,"",IF(AT$29=#REF!,Milestone_Marker_Old,"")),"")</f>
        <v/>
      </c>
      <c r="BU16" s="37" t="str">
        <f>IFERROR(IF(LEN(#REF!)=0,"",IF(AU$29=#REF!,Milestone_Marker_Old,"")),"")</f>
        <v/>
      </c>
      <c r="BV16" s="37" t="str">
        <f>IFERROR(IF(LEN(#REF!)=0,"",IF(AV$29=#REF!,Milestone_Marker_Old,"")),"")</f>
        <v/>
      </c>
      <c r="BW16" s="37" t="str">
        <f>IFERROR(IF(LEN(#REF!)=0,"",IF(AW$29=#REF!,Milestone_Marker_Old,"")),"")</f>
        <v/>
      </c>
      <c r="BX16" s="37" t="str">
        <f>IFERROR(IF(LEN(#REF!)=0,"",IF(AX$29=#REF!,Milestone_Marker_Old,"")),"")</f>
        <v/>
      </c>
      <c r="BY16" s="37" t="str">
        <f>IFERROR(IF(LEN(#REF!)=0,"",IF(AY$29=#REF!,Milestone_Marker_Old,"")),"")</f>
        <v/>
      </c>
      <c r="BZ16" s="37" t="str">
        <f>IFERROR(IF(LEN(#REF!)=0,"",IF(AZ$29=#REF!,Milestone_Marker_Old,"")),"")</f>
        <v/>
      </c>
      <c r="CA16" s="37" t="str">
        <f>IFERROR(IF(LEN(#REF!)=0,"",IF(BA$29=#REF!,Milestone_Marker_Old,"")),"")</f>
        <v/>
      </c>
      <c r="CB16" s="37" t="str">
        <f>IFERROR(IF(LEN(#REF!)=0,"",IF(BB$29=#REF!,Milestone_Marker_Old,"")),"")</f>
        <v/>
      </c>
      <c r="CC16" s="37" t="str">
        <f>IFERROR(IF(LEN(#REF!)=0,"",IF(BC$29=#REF!,Milestone_Marker_Old,"")),"")</f>
        <v/>
      </c>
      <c r="CD16" s="37" t="str">
        <f>IFERROR(IF(LEN(#REF!)=0,"",IF(BD$29=#REF!,Milestone_Marker_Old,"")),"")</f>
        <v/>
      </c>
      <c r="CE16" s="37" t="str">
        <f>IFERROR(IF(LEN(#REF!)=0,"",IF(BE$29=#REF!,Milestone_Marker_Old,"")),"")</f>
        <v/>
      </c>
      <c r="CF16" s="37" t="str">
        <f>IFERROR(IF(LEN(#REF!)=0,"",IF(BF$29=#REF!,Milestone_Marker_Old,"")),"")</f>
        <v/>
      </c>
      <c r="CG16" s="37" t="str">
        <f>IFERROR(IF(LEN(#REF!)=0,"",IF(BG$29=#REF!,Milestone_Marker_Old,"")),"")</f>
        <v/>
      </c>
      <c r="CH16" s="37" t="str">
        <f>IFERROR(IF(LEN(#REF!)=0,"",IF(BH$29=#REF!,Milestone_Marker_Old,"")),"")</f>
        <v/>
      </c>
      <c r="CI16" s="37" t="str">
        <f>IFERROR(IF(LEN(#REF!)=0,"",IF(BI$29=#REF!,Milestone_Marker_Old,"")),"")</f>
        <v/>
      </c>
      <c r="CJ16" s="37" t="str">
        <f>IFERROR(IF(LEN(#REF!)=0,"",IF(BJ$29=#REF!,Milestone_Marker_Old,"")),"")</f>
        <v/>
      </c>
      <c r="CK16" s="37" t="str">
        <f>IFERROR(IF(LEN(#REF!)=0,"",IF(BK$29=#REF!,Milestone_Marker_Old,"")),"")</f>
        <v/>
      </c>
      <c r="CL16" s="37" t="str">
        <f>IFERROR(IF(LEN(#REF!)=0,"",IF(BL$29=#REF!,Milestone_Marker_Old,"")),"")</f>
        <v/>
      </c>
      <c r="CM16" s="37" t="str">
        <f>IFERROR(IF(LEN(#REF!)=0,"",IF(BM$29=#REF!,Milestone_Marker_Old,"")),"")</f>
        <v/>
      </c>
      <c r="CN16" s="37" t="str">
        <f>IFERROR(IF(LEN(#REF!)=0,"",IF(BN$29=#REF!,Milestone_Marker_Old,"")),"")</f>
        <v/>
      </c>
      <c r="CO16" s="37" t="str">
        <f>IFERROR(IF(LEN(#REF!)=0,"",IF(BO$29=#REF!,Milestone_Marker_Old,"")),"")</f>
        <v/>
      </c>
      <c r="CP16" s="37" t="str">
        <f>IFERROR(IF(LEN(#REF!)=0,"",IF(BP$29=#REF!,Milestone_Marker_Old,"")),"")</f>
        <v/>
      </c>
      <c r="CQ16" s="37" t="str">
        <f>IFERROR(IF(LEN(#REF!)=0,"",IF(BQ$29=#REF!,Milestone_Marker_Old,"")),"")</f>
        <v/>
      </c>
      <c r="CR16" s="37" t="str">
        <f>IFERROR(IF(LEN(#REF!)=0,"",IF(BR$29=#REF!,Milestone_Marker_Old,"")),"")</f>
        <v/>
      </c>
      <c r="CS16" s="37" t="str">
        <f>IFERROR(IF(LEN(#REF!)=0,"",IF(BS$29=#REF!,Milestone_Marker_Old,"")),"")</f>
        <v/>
      </c>
      <c r="CT16" s="37" t="str">
        <f>IFERROR(IF(LEN(#REF!)=0,"",IF(BT$29=#REF!,Milestone_Marker_Old,"")),"")</f>
        <v/>
      </c>
      <c r="CU16" s="37" t="str">
        <f>IFERROR(IF(LEN(#REF!)=0,"",IF(BU$29=#REF!,Milestone_Marker_Old,"")),"")</f>
        <v/>
      </c>
      <c r="CV16" s="37" t="str">
        <f>IFERROR(IF(LEN(#REF!)=0,"",IF(BV$29=#REF!,Milestone_Marker_Old,"")),"")</f>
        <v/>
      </c>
      <c r="CW16" s="37" t="str">
        <f>IFERROR(IF(LEN(#REF!)=0,"",IF(BW$29=#REF!,Milestone_Marker_Old,"")),"")</f>
        <v/>
      </c>
      <c r="CX16" s="37" t="str">
        <f>IFERROR(IF(LEN(#REF!)=0,"",IF(BX$29=#REF!,Milestone_Marker_Old,"")),"")</f>
        <v/>
      </c>
      <c r="CY16" s="37" t="str">
        <f>IFERROR(IF(LEN(#REF!)=0,"",IF(BY$29=#REF!,Milestone_Marker_Old,"")),"")</f>
        <v/>
      </c>
      <c r="CZ16" s="37" t="str">
        <f>IFERROR(IF(LEN(#REF!)=0,"",IF(BZ$29=#REF!,Milestone_Marker_Old,"")),"")</f>
        <v/>
      </c>
      <c r="DA16" s="37" t="str">
        <f>IFERROR(IF(LEN(#REF!)=0,"",IF(CA$29=#REF!,Milestone_Marker_Old,"")),"")</f>
        <v/>
      </c>
      <c r="DB16" s="37" t="str">
        <f>IFERROR(IF(LEN(#REF!)=0,"",IF(CB$29=#REF!,Milestone_Marker_Old,"")),"")</f>
        <v/>
      </c>
      <c r="DC16" s="37" t="str">
        <f>IFERROR(IF(LEN(#REF!)=0,"",IF(CC$29=#REF!,Milestone_Marker_Old,"")),"")</f>
        <v/>
      </c>
      <c r="DD16" s="37" t="str">
        <f>IFERROR(IF(LEN(#REF!)=0,"",IF(CD$29=#REF!,Milestone_Marker_Old,"")),"")</f>
        <v/>
      </c>
      <c r="DE16" s="37" t="str">
        <f>IFERROR(IF(LEN(#REF!)=0,"",IF(CE$29=#REF!,Milestone_Marker_Old,"")),"")</f>
        <v/>
      </c>
      <c r="DF16" s="37" t="str">
        <f>IFERROR(IF(LEN(#REF!)=0,"",IF(CF$29=#REF!,Milestone_Marker_Old,"")),"")</f>
        <v/>
      </c>
      <c r="DG16" s="37" t="str">
        <f>IFERROR(IF(LEN(#REF!)=0,"",IF(CG$29=#REF!,Milestone_Marker_Old,"")),"")</f>
        <v/>
      </c>
      <c r="DH16" s="37" t="str">
        <f>IFERROR(IF(LEN(#REF!)=0,"",IF(CH$29=#REF!,Milestone_Marker_Old,"")),"")</f>
        <v/>
      </c>
      <c r="DI16" s="37" t="str">
        <f>IFERROR(IF(LEN(#REF!)=0,"",IF(CI$29=#REF!,Milestone_Marker_Old,"")),"")</f>
        <v/>
      </c>
      <c r="DJ16" s="37" t="str">
        <f>IFERROR(IF(LEN(#REF!)=0,"",IF(CJ$29=#REF!,Milestone_Marker_Old,"")),"")</f>
        <v/>
      </c>
      <c r="DK16" s="37" t="str">
        <f>IFERROR(IF(LEN(#REF!)=0,"",IF(CK$29=#REF!,Milestone_Marker_Old,"")),"")</f>
        <v/>
      </c>
      <c r="DL16" s="37" t="str">
        <f>IFERROR(IF(LEN(#REF!)=0,"",IF(CL$29=#REF!,Milestone_Marker_Old,"")),"")</f>
        <v/>
      </c>
      <c r="DM16" s="37" t="str">
        <f>IFERROR(IF(LEN(#REF!)=0,"",IF(CM$29=#REF!,Milestone_Marker_Old,"")),"")</f>
        <v/>
      </c>
      <c r="DN16" s="37" t="str">
        <f>IFERROR(IF(LEN(#REF!)=0,"",IF(CN$29=#REF!,Milestone_Marker_Old,"")),"")</f>
        <v/>
      </c>
      <c r="DO16" s="37" t="str">
        <f>IFERROR(IF(LEN(#REF!)=0,"",IF(CO$29=#REF!,Milestone_Marker_Old,"")),"")</f>
        <v/>
      </c>
      <c r="DP16" s="37" t="str">
        <f>IFERROR(IF(LEN(#REF!)=0,"",IF(CP$29=#REF!,Milestone_Marker_Old,"")),"")</f>
        <v/>
      </c>
      <c r="DQ16" s="37" t="str">
        <f>IFERROR(IF(LEN(#REF!)=0,"",IF(CQ$29=#REF!,Milestone_Marker_Old,"")),"")</f>
        <v/>
      </c>
      <c r="DR16" s="37" t="str">
        <f>IFERROR(IF(LEN(#REF!)=0,"",IF(CR$29=#REF!,Milestone_Marker_Old,"")),"")</f>
        <v/>
      </c>
      <c r="DS16" s="37" t="str">
        <f>IFERROR(IF(LEN(#REF!)=0,"",IF(CS$29=#REF!,Milestone_Marker_Old,"")),"")</f>
        <v/>
      </c>
      <c r="DT16" s="37" t="str">
        <f>IFERROR(IF(LEN(#REF!)=0,"",IF(CT$29=#REF!,Milestone_Marker_Old,"")),"")</f>
        <v/>
      </c>
      <c r="DU16" s="37" t="str">
        <f>IFERROR(IF(LEN(#REF!)=0,"",IF(CU$29=#REF!,Milestone_Marker_Old,"")),"")</f>
        <v/>
      </c>
    </row>
    <row r="17" spans="1:125" s="42" customFormat="1" ht="20.100000000000001" customHeight="1">
      <c r="A17" s="119" t="str">
        <f>Profit!$E$1&amp;" Your Home"</f>
        <v>Buy Your Home</v>
      </c>
      <c r="B17" s="120">
        <f t="shared" si="3"/>
        <v>9</v>
      </c>
      <c r="C17" s="121"/>
      <c r="D17" s="119"/>
      <c r="E17" s="119" t="s">
        <v>436</v>
      </c>
      <c r="F17" s="120">
        <v>1</v>
      </c>
      <c r="G17" s="122">
        <f>+Exterior!D16</f>
        <v>61.44</v>
      </c>
      <c r="H17" s="122">
        <f t="shared" si="0"/>
        <v>61.44</v>
      </c>
      <c r="I17" s="123"/>
      <c r="J17" s="122"/>
      <c r="K17" s="124"/>
      <c r="L17" s="122"/>
      <c r="M17" s="122"/>
      <c r="N17" s="123"/>
      <c r="O17" s="122">
        <f t="shared" ref="O17" si="4">IF(I17="Yes",H17,0)</f>
        <v>0</v>
      </c>
      <c r="R17" s="36"/>
      <c r="S17" s="36"/>
      <c r="T17" s="36"/>
      <c r="U17" s="36"/>
      <c r="V17" s="36"/>
      <c r="W17" s="36"/>
      <c r="X17" s="36"/>
      <c r="Y17" s="36"/>
      <c r="Z17" s="36"/>
      <c r="AA17" s="36"/>
      <c r="AB17" s="36"/>
      <c r="AC17" s="36"/>
      <c r="AD17" s="36"/>
      <c r="AE17" s="36"/>
      <c r="AF17" s="36"/>
      <c r="AG17" s="36"/>
      <c r="AH17" s="36"/>
      <c r="AI17" s="36"/>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row>
    <row r="18" spans="1:125" s="42" customFormat="1" ht="20.100000000000001" customHeight="1">
      <c r="A18" s="119" t="str">
        <f>Profit!$E$1&amp;" Your Home"</f>
        <v>Buy Your Home</v>
      </c>
      <c r="B18" s="120">
        <f t="shared" si="3"/>
        <v>10</v>
      </c>
      <c r="C18" s="121"/>
      <c r="D18" s="119"/>
      <c r="E18" s="119" t="s">
        <v>437</v>
      </c>
      <c r="F18" s="120">
        <v>0</v>
      </c>
      <c r="G18" s="122">
        <f>+Landscape!G17</f>
        <v>0</v>
      </c>
      <c r="H18" s="122">
        <f t="shared" ref="H18" si="5">+F18*G18</f>
        <v>0</v>
      </c>
      <c r="I18" s="123"/>
      <c r="J18" s="122"/>
      <c r="K18" s="124"/>
      <c r="L18" s="122"/>
      <c r="M18" s="122"/>
      <c r="N18" s="123"/>
      <c r="O18" s="122">
        <f t="shared" ref="O18" si="6">IF(I18="Yes",H18,0)</f>
        <v>0</v>
      </c>
      <c r="R18" s="36"/>
      <c r="S18" s="36"/>
      <c r="T18" s="36"/>
      <c r="U18" s="36"/>
      <c r="V18" s="36"/>
      <c r="W18" s="36"/>
      <c r="X18" s="36"/>
      <c r="Y18" s="36"/>
      <c r="Z18" s="36"/>
      <c r="AA18" s="36"/>
      <c r="AB18" s="36"/>
      <c r="AC18" s="36"/>
      <c r="AD18" s="36"/>
      <c r="AE18" s="36"/>
      <c r="AF18" s="36"/>
      <c r="AG18" s="36"/>
      <c r="AH18" s="36"/>
      <c r="AI18" s="36"/>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row>
    <row r="19" spans="1:125" s="42" customFormat="1" ht="20.100000000000001" customHeight="1">
      <c r="A19" s="119" t="str">
        <f>Profit!$E$1&amp;" Your Home"</f>
        <v>Buy Your Home</v>
      </c>
      <c r="B19" s="120">
        <f t="shared" si="3"/>
        <v>11</v>
      </c>
      <c r="C19" s="121"/>
      <c r="D19" s="119"/>
      <c r="E19" s="119" t="s">
        <v>438</v>
      </c>
      <c r="F19" s="120">
        <v>0</v>
      </c>
      <c r="G19" s="122">
        <f>+'Demo &amp; Trash Haul'!F29</f>
        <v>0</v>
      </c>
      <c r="H19" s="122">
        <f t="shared" si="0"/>
        <v>0</v>
      </c>
      <c r="I19" s="123"/>
      <c r="J19" s="122"/>
      <c r="K19" s="124"/>
      <c r="L19" s="122"/>
      <c r="M19" s="122"/>
      <c r="N19" s="123"/>
      <c r="O19" s="122">
        <f t="shared" si="1"/>
        <v>0</v>
      </c>
      <c r="R19" s="36"/>
      <c r="S19" s="36"/>
      <c r="T19" s="36"/>
      <c r="U19" s="36"/>
      <c r="V19" s="36"/>
      <c r="W19" s="36"/>
      <c r="X19" s="36"/>
      <c r="Y19" s="36"/>
      <c r="Z19" s="36"/>
      <c r="AA19" s="36"/>
      <c r="AB19" s="36"/>
      <c r="AC19" s="36"/>
      <c r="AD19" s="36"/>
      <c r="AE19" s="36"/>
      <c r="AF19" s="36"/>
      <c r="AG19" s="36"/>
      <c r="AH19" s="36"/>
      <c r="AI19" s="36"/>
      <c r="AP19" s="37" t="str">
        <f>IFERROR(IF(LEN(#REF!)=0,"",IF(P$29=#REF!,Milestone_Marker_Old,"")),"")</f>
        <v/>
      </c>
      <c r="AQ19" s="37" t="str">
        <f>IFERROR(IF(LEN(#REF!)=0,"",IF(Q$29=#REF!,Milestone_Marker_Old,"")),"")</f>
        <v/>
      </c>
      <c r="AR19" s="37" t="str">
        <f>IFERROR(IF(LEN(#REF!)=0,"",IF(R$29=#REF!,Milestone_Marker_Old,"")),"")</f>
        <v/>
      </c>
      <c r="AS19" s="37" t="str">
        <f>IFERROR(IF(LEN(#REF!)=0,"",IF(S$29=#REF!,Milestone_Marker_Old,"")),"")</f>
        <v/>
      </c>
      <c r="AT19" s="37" t="str">
        <f>IFERROR(IF(LEN(#REF!)=0,"",IF(T$29=#REF!,Milestone_Marker_Old,"")),"")</f>
        <v/>
      </c>
      <c r="AU19" s="37" t="str">
        <f>IFERROR(IF(LEN(#REF!)=0,"",IF(U$29=#REF!,Milestone_Marker_Old,"")),"")</f>
        <v/>
      </c>
      <c r="AV19" s="37" t="str">
        <f>IFERROR(IF(LEN(#REF!)=0,"",IF(V$29=#REF!,Milestone_Marker_Old,"")),"")</f>
        <v/>
      </c>
      <c r="AW19" s="37" t="str">
        <f>IFERROR(IF(LEN(#REF!)=0,"",IF(W$29=#REF!,Milestone_Marker_Old,"")),"")</f>
        <v/>
      </c>
      <c r="AX19" s="37" t="str">
        <f>IFERROR(IF(LEN(#REF!)=0,"",IF(X$29=#REF!,Milestone_Marker_Old,"")),"")</f>
        <v/>
      </c>
      <c r="AY19" s="37" t="str">
        <f>IFERROR(IF(LEN(#REF!)=0,"",IF(Y$29=#REF!,Milestone_Marker_Old,"")),"")</f>
        <v/>
      </c>
      <c r="AZ19" s="37" t="str">
        <f>IFERROR(IF(LEN(#REF!)=0,"",IF(Z$29=#REF!,Milestone_Marker_Old,"")),"")</f>
        <v/>
      </c>
      <c r="BA19" s="37" t="str">
        <f>IFERROR(IF(LEN(#REF!)=0,"",IF(AA$29=#REF!,Milestone_Marker_Old,"")),"")</f>
        <v/>
      </c>
      <c r="BB19" s="37" t="str">
        <f>IFERROR(IF(LEN(#REF!)=0,"",IF(AB$29=#REF!,Milestone_Marker_Old,"")),"")</f>
        <v/>
      </c>
      <c r="BC19" s="37" t="str">
        <f>IFERROR(IF(LEN(#REF!)=0,"",IF(AC$29=#REF!,Milestone_Marker_Old,"")),"")</f>
        <v/>
      </c>
      <c r="BD19" s="37" t="str">
        <f>IFERROR(IF(LEN(#REF!)=0,"",IF(AD$29=#REF!,Milestone_Marker_Old,"")),"")</f>
        <v/>
      </c>
      <c r="BE19" s="37" t="str">
        <f>IFERROR(IF(LEN(#REF!)=0,"",IF(AE$29=#REF!,Milestone_Marker_Old,"")),"")</f>
        <v/>
      </c>
      <c r="BF19" s="37" t="str">
        <f>IFERROR(IF(LEN(#REF!)=0,"",IF(AF$29=#REF!,Milestone_Marker_Old,"")),"")</f>
        <v/>
      </c>
      <c r="BG19" s="37" t="str">
        <f>IFERROR(IF(LEN(#REF!)=0,"",IF(AG$29=#REF!,Milestone_Marker_Old,"")),"")</f>
        <v/>
      </c>
      <c r="BH19" s="37" t="str">
        <f>IFERROR(IF(LEN(#REF!)=0,"",IF(AH$29=#REF!,Milestone_Marker_Old,"")),"")</f>
        <v/>
      </c>
      <c r="BI19" s="37" t="str">
        <f>IFERROR(IF(LEN(#REF!)=0,"",IF(AI$29=#REF!,Milestone_Marker_Old,"")),"")</f>
        <v/>
      </c>
      <c r="BJ19" s="37" t="str">
        <f>IFERROR(IF(LEN(#REF!)=0,"",IF(AJ$29=#REF!,Milestone_Marker_Old,"")),"")</f>
        <v/>
      </c>
      <c r="BK19" s="37" t="str">
        <f>IFERROR(IF(LEN(#REF!)=0,"",IF(AK$29=#REF!,Milestone_Marker_Old,"")),"")</f>
        <v/>
      </c>
      <c r="BL19" s="37" t="str">
        <f>IFERROR(IF(LEN(#REF!)=0,"",IF(AL$29=#REF!,Milestone_Marker_Old,"")),"")</f>
        <v/>
      </c>
      <c r="BM19" s="37" t="str">
        <f>IFERROR(IF(LEN(#REF!)=0,"",IF(AM$29=#REF!,Milestone_Marker_Old,"")),"")</f>
        <v/>
      </c>
      <c r="BN19" s="37" t="str">
        <f>IFERROR(IF(LEN(#REF!)=0,"",IF(AN$29=#REF!,Milestone_Marker_Old,"")),"")</f>
        <v/>
      </c>
      <c r="BO19" s="37" t="str">
        <f>IFERROR(IF(LEN(#REF!)=0,"",IF(AO$29=#REF!,Milestone_Marker_Old,"")),"")</f>
        <v/>
      </c>
      <c r="BP19" s="37" t="str">
        <f>IFERROR(IF(LEN(#REF!)=0,"",IF(AP$29=#REF!,Milestone_Marker_Old,"")),"")</f>
        <v/>
      </c>
      <c r="BQ19" s="37" t="str">
        <f>IFERROR(IF(LEN(#REF!)=0,"",IF(AQ$29=#REF!,Milestone_Marker_Old,"")),"")</f>
        <v/>
      </c>
      <c r="BR19" s="37" t="str">
        <f>IFERROR(IF(LEN(#REF!)=0,"",IF(AR$29=#REF!,Milestone_Marker_Old,"")),"")</f>
        <v/>
      </c>
      <c r="BS19" s="37" t="str">
        <f>IFERROR(IF(LEN(#REF!)=0,"",IF(AS$29=#REF!,Milestone_Marker_Old,"")),"")</f>
        <v/>
      </c>
      <c r="BT19" s="37" t="str">
        <f>IFERROR(IF(LEN(#REF!)=0,"",IF(AT$29=#REF!,Milestone_Marker_Old,"")),"")</f>
        <v/>
      </c>
      <c r="BU19" s="37" t="str">
        <f>IFERROR(IF(LEN(#REF!)=0,"",IF(AU$29=#REF!,Milestone_Marker_Old,"")),"")</f>
        <v/>
      </c>
      <c r="BV19" s="37" t="str">
        <f>IFERROR(IF(LEN(#REF!)=0,"",IF(AV$29=#REF!,Milestone_Marker_Old,"")),"")</f>
        <v/>
      </c>
      <c r="BW19" s="37" t="str">
        <f>IFERROR(IF(LEN(#REF!)=0,"",IF(AW$29=#REF!,Milestone_Marker_Old,"")),"")</f>
        <v/>
      </c>
      <c r="BX19" s="37" t="str">
        <f>IFERROR(IF(LEN(#REF!)=0,"",IF(AX$29=#REF!,Milestone_Marker_Old,"")),"")</f>
        <v/>
      </c>
      <c r="BY19" s="37" t="str">
        <f>IFERROR(IF(LEN(#REF!)=0,"",IF(AY$29=#REF!,Milestone_Marker_Old,"")),"")</f>
        <v/>
      </c>
      <c r="BZ19" s="37" t="str">
        <f>IFERROR(IF(LEN(#REF!)=0,"",IF(AZ$29=#REF!,Milestone_Marker_Old,"")),"")</f>
        <v/>
      </c>
      <c r="CA19" s="37" t="str">
        <f>IFERROR(IF(LEN(#REF!)=0,"",IF(BA$29=#REF!,Milestone_Marker_Old,"")),"")</f>
        <v/>
      </c>
      <c r="CB19" s="37" t="str">
        <f>IFERROR(IF(LEN(#REF!)=0,"",IF(BB$29=#REF!,Milestone_Marker_Old,"")),"")</f>
        <v/>
      </c>
      <c r="CC19" s="37" t="str">
        <f>IFERROR(IF(LEN(#REF!)=0,"",IF(BC$29=#REF!,Milestone_Marker_Old,"")),"")</f>
        <v/>
      </c>
      <c r="CD19" s="37" t="str">
        <f>IFERROR(IF(LEN(#REF!)=0,"",IF(BD$29=#REF!,Milestone_Marker_Old,"")),"")</f>
        <v/>
      </c>
      <c r="CE19" s="37" t="str">
        <f>IFERROR(IF(LEN(#REF!)=0,"",IF(BE$29=#REF!,Milestone_Marker_Old,"")),"")</f>
        <v/>
      </c>
      <c r="CF19" s="37" t="str">
        <f>IFERROR(IF(LEN(#REF!)=0,"",IF(BF$29=#REF!,Milestone_Marker_Old,"")),"")</f>
        <v/>
      </c>
      <c r="CG19" s="37" t="str">
        <f>IFERROR(IF(LEN(#REF!)=0,"",IF(BG$29=#REF!,Milestone_Marker_Old,"")),"")</f>
        <v/>
      </c>
      <c r="CH19" s="37" t="str">
        <f>IFERROR(IF(LEN(#REF!)=0,"",IF(BH$29=#REF!,Milestone_Marker_Old,"")),"")</f>
        <v/>
      </c>
      <c r="CI19" s="37" t="str">
        <f>IFERROR(IF(LEN(#REF!)=0,"",IF(BI$29=#REF!,Milestone_Marker_Old,"")),"")</f>
        <v/>
      </c>
      <c r="CJ19" s="37" t="str">
        <f>IFERROR(IF(LEN(#REF!)=0,"",IF(BJ$29=#REF!,Milestone_Marker_Old,"")),"")</f>
        <v/>
      </c>
      <c r="CK19" s="37" t="str">
        <f>IFERROR(IF(LEN(#REF!)=0,"",IF(BK$29=#REF!,Milestone_Marker_Old,"")),"")</f>
        <v/>
      </c>
      <c r="CL19" s="37" t="str">
        <f>IFERROR(IF(LEN(#REF!)=0,"",IF(BL$29=#REF!,Milestone_Marker_Old,"")),"")</f>
        <v/>
      </c>
      <c r="CM19" s="37" t="str">
        <f>IFERROR(IF(LEN(#REF!)=0,"",IF(BM$29=#REF!,Milestone_Marker_Old,"")),"")</f>
        <v/>
      </c>
      <c r="CN19" s="37" t="str">
        <f>IFERROR(IF(LEN(#REF!)=0,"",IF(BN$29=#REF!,Milestone_Marker_Old,"")),"")</f>
        <v/>
      </c>
      <c r="CO19" s="37" t="str">
        <f>IFERROR(IF(LEN(#REF!)=0,"",IF(BO$29=#REF!,Milestone_Marker_Old,"")),"")</f>
        <v/>
      </c>
      <c r="CP19" s="37" t="str">
        <f>IFERROR(IF(LEN(#REF!)=0,"",IF(BP$29=#REF!,Milestone_Marker_Old,"")),"")</f>
        <v/>
      </c>
      <c r="CQ19" s="37" t="str">
        <f>IFERROR(IF(LEN(#REF!)=0,"",IF(BQ$29=#REF!,Milestone_Marker_Old,"")),"")</f>
        <v/>
      </c>
      <c r="CR19" s="37" t="str">
        <f>IFERROR(IF(LEN(#REF!)=0,"",IF(BR$29=#REF!,Milestone_Marker_Old,"")),"")</f>
        <v/>
      </c>
      <c r="CS19" s="37" t="str">
        <f>IFERROR(IF(LEN(#REF!)=0,"",IF(BS$29=#REF!,Milestone_Marker_Old,"")),"")</f>
        <v/>
      </c>
      <c r="CT19" s="37" t="str">
        <f>IFERROR(IF(LEN(#REF!)=0,"",IF(BT$29=#REF!,Milestone_Marker_Old,"")),"")</f>
        <v/>
      </c>
      <c r="CU19" s="37" t="str">
        <f>IFERROR(IF(LEN(#REF!)=0,"",IF(BU$29=#REF!,Milestone_Marker_Old,"")),"")</f>
        <v/>
      </c>
      <c r="CV19" s="37" t="str">
        <f>IFERROR(IF(LEN(#REF!)=0,"",IF(BV$29=#REF!,Milestone_Marker_Old,"")),"")</f>
        <v/>
      </c>
      <c r="CW19" s="37" t="str">
        <f>IFERROR(IF(LEN(#REF!)=0,"",IF(BW$29=#REF!,Milestone_Marker_Old,"")),"")</f>
        <v/>
      </c>
      <c r="CX19" s="37" t="str">
        <f>IFERROR(IF(LEN(#REF!)=0,"",IF(BX$29=#REF!,Milestone_Marker_Old,"")),"")</f>
        <v/>
      </c>
      <c r="CY19" s="37" t="str">
        <f>IFERROR(IF(LEN(#REF!)=0,"",IF(BY$29=#REF!,Milestone_Marker_Old,"")),"")</f>
        <v/>
      </c>
      <c r="CZ19" s="37" t="str">
        <f>IFERROR(IF(LEN(#REF!)=0,"",IF(BZ$29=#REF!,Milestone_Marker_Old,"")),"")</f>
        <v/>
      </c>
      <c r="DA19" s="37" t="str">
        <f>IFERROR(IF(LEN(#REF!)=0,"",IF(CA$29=#REF!,Milestone_Marker_Old,"")),"")</f>
        <v/>
      </c>
      <c r="DB19" s="37" t="str">
        <f>IFERROR(IF(LEN(#REF!)=0,"",IF(CB$29=#REF!,Milestone_Marker_Old,"")),"")</f>
        <v/>
      </c>
      <c r="DC19" s="37" t="str">
        <f>IFERROR(IF(LEN(#REF!)=0,"",IF(CC$29=#REF!,Milestone_Marker_Old,"")),"")</f>
        <v/>
      </c>
      <c r="DD19" s="37" t="str">
        <f>IFERROR(IF(LEN(#REF!)=0,"",IF(CD$29=#REF!,Milestone_Marker_Old,"")),"")</f>
        <v/>
      </c>
      <c r="DE19" s="37" t="str">
        <f>IFERROR(IF(LEN(#REF!)=0,"",IF(CE$29=#REF!,Milestone_Marker_Old,"")),"")</f>
        <v/>
      </c>
      <c r="DF19" s="37" t="str">
        <f>IFERROR(IF(LEN(#REF!)=0,"",IF(CF$29=#REF!,Milestone_Marker_Old,"")),"")</f>
        <v/>
      </c>
      <c r="DG19" s="37" t="str">
        <f>IFERROR(IF(LEN(#REF!)=0,"",IF(CG$29=#REF!,Milestone_Marker_Old,"")),"")</f>
        <v/>
      </c>
      <c r="DH19" s="37" t="str">
        <f>IFERROR(IF(LEN(#REF!)=0,"",IF(CH$29=#REF!,Milestone_Marker_Old,"")),"")</f>
        <v/>
      </c>
      <c r="DI19" s="37" t="str">
        <f>IFERROR(IF(LEN(#REF!)=0,"",IF(CI$29=#REF!,Milestone_Marker_Old,"")),"")</f>
        <v/>
      </c>
      <c r="DJ19" s="37" t="str">
        <f>IFERROR(IF(LEN(#REF!)=0,"",IF(CJ$29=#REF!,Milestone_Marker_Old,"")),"")</f>
        <v/>
      </c>
      <c r="DK19" s="37" t="str">
        <f>IFERROR(IF(LEN(#REF!)=0,"",IF(CK$29=#REF!,Milestone_Marker_Old,"")),"")</f>
        <v/>
      </c>
      <c r="DL19" s="37" t="str">
        <f>IFERROR(IF(LEN(#REF!)=0,"",IF(CL$29=#REF!,Milestone_Marker_Old,"")),"")</f>
        <v/>
      </c>
      <c r="DM19" s="37" t="str">
        <f>IFERROR(IF(LEN(#REF!)=0,"",IF(CM$29=#REF!,Milestone_Marker_Old,"")),"")</f>
        <v/>
      </c>
      <c r="DN19" s="37" t="str">
        <f>IFERROR(IF(LEN(#REF!)=0,"",IF(CN$29=#REF!,Milestone_Marker_Old,"")),"")</f>
        <v/>
      </c>
      <c r="DO19" s="37" t="str">
        <f>IFERROR(IF(LEN(#REF!)=0,"",IF(CO$29=#REF!,Milestone_Marker_Old,"")),"")</f>
        <v/>
      </c>
      <c r="DP19" s="37" t="str">
        <f>IFERROR(IF(LEN(#REF!)=0,"",IF(CP$29=#REF!,Milestone_Marker_Old,"")),"")</f>
        <v/>
      </c>
      <c r="DQ19" s="37" t="str">
        <f>IFERROR(IF(LEN(#REF!)=0,"",IF(CQ$29=#REF!,Milestone_Marker_Old,"")),"")</f>
        <v/>
      </c>
      <c r="DR19" s="37" t="str">
        <f>IFERROR(IF(LEN(#REF!)=0,"",IF(CR$29=#REF!,Milestone_Marker_Old,"")),"")</f>
        <v/>
      </c>
      <c r="DS19" s="37" t="str">
        <f>IFERROR(IF(LEN(#REF!)=0,"",IF(CS$29=#REF!,Milestone_Marker_Old,"")),"")</f>
        <v/>
      </c>
      <c r="DT19" s="37" t="str">
        <f>IFERROR(IF(LEN(#REF!)=0,"",IF(CT$29=#REF!,Milestone_Marker_Old,"")),"")</f>
        <v/>
      </c>
      <c r="DU19" s="37" t="str">
        <f>IFERROR(IF(LEN(#REF!)=0,"",IF(CU$29=#REF!,Milestone_Marker_Old,"")),"")</f>
        <v/>
      </c>
    </row>
    <row r="20" spans="1:125" ht="20.100000000000001" customHeight="1">
      <c r="A20" s="119" t="str">
        <f>Profit!$E$1&amp;" Your Home"</f>
        <v>Buy Your Home</v>
      </c>
      <c r="B20" s="120">
        <f t="shared" si="3"/>
        <v>12</v>
      </c>
      <c r="C20" s="121"/>
      <c r="D20" s="119"/>
      <c r="E20" s="119" t="s">
        <v>439</v>
      </c>
      <c r="F20" s="120">
        <v>0</v>
      </c>
      <c r="G20" s="122">
        <f>+'Demo &amp; Trash Haul'!F30</f>
        <v>0</v>
      </c>
      <c r="H20" s="122">
        <f t="shared" si="0"/>
        <v>0</v>
      </c>
      <c r="I20" s="123"/>
      <c r="J20" s="122"/>
      <c r="K20" s="124"/>
      <c r="L20" s="122"/>
      <c r="M20" s="122"/>
      <c r="N20" s="123"/>
      <c r="O20" s="122">
        <f t="shared" si="1"/>
        <v>0</v>
      </c>
      <c r="AP20" s="37" t="str">
        <f>IFERROR(IF(LEN(#REF!)=0,"",IF(P$29=#REF!,Milestone_Marker_Old,"")),"")</f>
        <v/>
      </c>
      <c r="AQ20" s="37" t="str">
        <f>IFERROR(IF(LEN(#REF!)=0,"",IF(Q$29=#REF!,Milestone_Marker_Old,"")),"")</f>
        <v/>
      </c>
      <c r="AR20" s="37" t="str">
        <f>IFERROR(IF(LEN(#REF!)=0,"",IF(R$29=#REF!,Milestone_Marker_Old,"")),"")</f>
        <v/>
      </c>
      <c r="AS20" s="37" t="str">
        <f>IFERROR(IF(LEN(#REF!)=0,"",IF(S$29=#REF!,Milestone_Marker_Old,"")),"")</f>
        <v/>
      </c>
      <c r="AT20" s="37" t="str">
        <f>IFERROR(IF(LEN(#REF!)=0,"",IF(T$29=#REF!,Milestone_Marker_Old,"")),"")</f>
        <v/>
      </c>
      <c r="AU20" s="37" t="str">
        <f>IFERROR(IF(LEN(#REF!)=0,"",IF(U$29=#REF!,Milestone_Marker_Old,"")),"")</f>
        <v/>
      </c>
      <c r="AV20" s="37" t="str">
        <f>IFERROR(IF(LEN(#REF!)=0,"",IF(V$29=#REF!,Milestone_Marker_Old,"")),"")</f>
        <v/>
      </c>
      <c r="AW20" s="37" t="str">
        <f>IFERROR(IF(LEN(#REF!)=0,"",IF(W$29=#REF!,Milestone_Marker_Old,"")),"")</f>
        <v/>
      </c>
      <c r="AX20" s="37" t="str">
        <f>IFERROR(IF(LEN(#REF!)=0,"",IF(X$29=#REF!,Milestone_Marker_Old,"")),"")</f>
        <v/>
      </c>
      <c r="AY20" s="37" t="str">
        <f>IFERROR(IF(LEN(#REF!)=0,"",IF(Y$29=#REF!,Milestone_Marker_Old,"")),"")</f>
        <v/>
      </c>
      <c r="AZ20" s="37" t="str">
        <f>IFERROR(IF(LEN(#REF!)=0,"",IF(Z$29=#REF!,Milestone_Marker_Old,"")),"")</f>
        <v/>
      </c>
      <c r="BA20" s="37" t="str">
        <f>IFERROR(IF(LEN(#REF!)=0,"",IF(AA$29=#REF!,Milestone_Marker_Old,"")),"")</f>
        <v/>
      </c>
      <c r="BB20" s="37" t="str">
        <f>IFERROR(IF(LEN(#REF!)=0,"",IF(AB$29=#REF!,Milestone_Marker_Old,"")),"")</f>
        <v/>
      </c>
      <c r="BC20" s="37" t="str">
        <f>IFERROR(IF(LEN(#REF!)=0,"",IF(AC$29=#REF!,Milestone_Marker_Old,"")),"")</f>
        <v/>
      </c>
      <c r="BD20" s="37" t="str">
        <f>IFERROR(IF(LEN(#REF!)=0,"",IF(AD$29=#REF!,Milestone_Marker_Old,"")),"")</f>
        <v/>
      </c>
      <c r="BE20" s="37" t="str">
        <f>IFERROR(IF(LEN(#REF!)=0,"",IF(AE$29=#REF!,Milestone_Marker_Old,"")),"")</f>
        <v/>
      </c>
      <c r="BF20" s="37" t="str">
        <f>IFERROR(IF(LEN(#REF!)=0,"",IF(AF$29=#REF!,Milestone_Marker_Old,"")),"")</f>
        <v/>
      </c>
      <c r="BG20" s="37" t="str">
        <f>IFERROR(IF(LEN(#REF!)=0,"",IF(AG$29=#REF!,Milestone_Marker_Old,"")),"")</f>
        <v/>
      </c>
      <c r="BH20" s="37" t="str">
        <f>IFERROR(IF(LEN(#REF!)=0,"",IF(AH$29=#REF!,Milestone_Marker_Old,"")),"")</f>
        <v/>
      </c>
      <c r="BI20" s="37" t="str">
        <f>IFERROR(IF(LEN(#REF!)=0,"",IF(AI$29=#REF!,Milestone_Marker_Old,"")),"")</f>
        <v/>
      </c>
      <c r="BJ20" s="37" t="str">
        <f>IFERROR(IF(LEN(#REF!)=0,"",IF(AJ$29=#REF!,Milestone_Marker_Old,"")),"")</f>
        <v/>
      </c>
      <c r="BK20" s="37" t="str">
        <f>IFERROR(IF(LEN(#REF!)=0,"",IF(AK$29=#REF!,Milestone_Marker_Old,"")),"")</f>
        <v/>
      </c>
      <c r="BL20" s="37" t="str">
        <f>IFERROR(IF(LEN(#REF!)=0,"",IF(AL$29=#REF!,Milestone_Marker_Old,"")),"")</f>
        <v/>
      </c>
      <c r="BM20" s="37" t="str">
        <f>IFERROR(IF(LEN(#REF!)=0,"",IF(AM$29=#REF!,Milestone_Marker_Old,"")),"")</f>
        <v/>
      </c>
      <c r="BN20" s="37" t="str">
        <f>IFERROR(IF(LEN(#REF!)=0,"",IF(AN$29=#REF!,Milestone_Marker_Old,"")),"")</f>
        <v/>
      </c>
      <c r="BO20" s="37" t="str">
        <f>IFERROR(IF(LEN(#REF!)=0,"",IF(AO$29=#REF!,Milestone_Marker_Old,"")),"")</f>
        <v/>
      </c>
      <c r="BP20" s="37" t="str">
        <f>IFERROR(IF(LEN(#REF!)=0,"",IF(AP$29=#REF!,Milestone_Marker_Old,"")),"")</f>
        <v/>
      </c>
      <c r="BQ20" s="37" t="str">
        <f>IFERROR(IF(LEN(#REF!)=0,"",IF(AQ$29=#REF!,Milestone_Marker_Old,"")),"")</f>
        <v/>
      </c>
      <c r="BR20" s="37" t="str">
        <f>IFERROR(IF(LEN(#REF!)=0,"",IF(AR$29=#REF!,Milestone_Marker_Old,"")),"")</f>
        <v/>
      </c>
      <c r="BS20" s="37" t="str">
        <f>IFERROR(IF(LEN(#REF!)=0,"",IF(AS$29=#REF!,Milestone_Marker_Old,"")),"")</f>
        <v/>
      </c>
      <c r="BT20" s="37" t="str">
        <f>IFERROR(IF(LEN(#REF!)=0,"",IF(AT$29=#REF!,Milestone_Marker_Old,"")),"")</f>
        <v/>
      </c>
      <c r="BU20" s="37" t="str">
        <f>IFERROR(IF(LEN(#REF!)=0,"",IF(AU$29=#REF!,Milestone_Marker_Old,"")),"")</f>
        <v/>
      </c>
      <c r="BV20" s="37" t="str">
        <f>IFERROR(IF(LEN(#REF!)=0,"",IF(AV$29=#REF!,Milestone_Marker_Old,"")),"")</f>
        <v/>
      </c>
      <c r="BW20" s="37" t="str">
        <f>IFERROR(IF(LEN(#REF!)=0,"",IF(AW$29=#REF!,Milestone_Marker_Old,"")),"")</f>
        <v/>
      </c>
      <c r="BX20" s="37" t="str">
        <f>IFERROR(IF(LEN(#REF!)=0,"",IF(AX$29=#REF!,Milestone_Marker_Old,"")),"")</f>
        <v/>
      </c>
      <c r="BY20" s="37" t="str">
        <f>IFERROR(IF(LEN(#REF!)=0,"",IF(AY$29=#REF!,Milestone_Marker_Old,"")),"")</f>
        <v/>
      </c>
      <c r="BZ20" s="37" t="str">
        <f>IFERROR(IF(LEN(#REF!)=0,"",IF(AZ$29=#REF!,Milestone_Marker_Old,"")),"")</f>
        <v/>
      </c>
      <c r="CA20" s="37" t="str">
        <f>IFERROR(IF(LEN(#REF!)=0,"",IF(BA$29=#REF!,Milestone_Marker_Old,"")),"")</f>
        <v/>
      </c>
      <c r="CB20" s="37" t="str">
        <f>IFERROR(IF(LEN(#REF!)=0,"",IF(BB$29=#REF!,Milestone_Marker_Old,"")),"")</f>
        <v/>
      </c>
      <c r="CC20" s="37" t="str">
        <f>IFERROR(IF(LEN(#REF!)=0,"",IF(BC$29=#REF!,Milestone_Marker_Old,"")),"")</f>
        <v/>
      </c>
      <c r="CD20" s="37" t="str">
        <f>IFERROR(IF(LEN(#REF!)=0,"",IF(BD$29=#REF!,Milestone_Marker_Old,"")),"")</f>
        <v/>
      </c>
      <c r="CE20" s="37" t="str">
        <f>IFERROR(IF(LEN(#REF!)=0,"",IF(BE$29=#REF!,Milestone_Marker_Old,"")),"")</f>
        <v/>
      </c>
      <c r="CF20" s="37" t="str">
        <f>IFERROR(IF(LEN(#REF!)=0,"",IF(BF$29=#REF!,Milestone_Marker_Old,"")),"")</f>
        <v/>
      </c>
      <c r="CG20" s="37" t="str">
        <f>IFERROR(IF(LEN(#REF!)=0,"",IF(BG$29=#REF!,Milestone_Marker_Old,"")),"")</f>
        <v/>
      </c>
      <c r="CH20" s="37" t="str">
        <f>IFERROR(IF(LEN(#REF!)=0,"",IF(BH$29=#REF!,Milestone_Marker_Old,"")),"")</f>
        <v/>
      </c>
      <c r="CI20" s="37" t="str">
        <f>IFERROR(IF(LEN(#REF!)=0,"",IF(BI$29=#REF!,Milestone_Marker_Old,"")),"")</f>
        <v/>
      </c>
      <c r="CJ20" s="37" t="str">
        <f>IFERROR(IF(LEN(#REF!)=0,"",IF(BJ$29=#REF!,Milestone_Marker_Old,"")),"")</f>
        <v/>
      </c>
      <c r="CK20" s="37" t="str">
        <f>IFERROR(IF(LEN(#REF!)=0,"",IF(BK$29=#REF!,Milestone_Marker_Old,"")),"")</f>
        <v/>
      </c>
      <c r="CL20" s="37" t="str">
        <f>IFERROR(IF(LEN(#REF!)=0,"",IF(BL$29=#REF!,Milestone_Marker_Old,"")),"")</f>
        <v/>
      </c>
      <c r="CM20" s="37" t="str">
        <f>IFERROR(IF(LEN(#REF!)=0,"",IF(BM$29=#REF!,Milestone_Marker_Old,"")),"")</f>
        <v/>
      </c>
      <c r="CN20" s="37" t="str">
        <f>IFERROR(IF(LEN(#REF!)=0,"",IF(BN$29=#REF!,Milestone_Marker_Old,"")),"")</f>
        <v/>
      </c>
      <c r="CO20" s="37" t="str">
        <f>IFERROR(IF(LEN(#REF!)=0,"",IF(BO$29=#REF!,Milestone_Marker_Old,"")),"")</f>
        <v/>
      </c>
      <c r="CP20" s="37" t="str">
        <f>IFERROR(IF(LEN(#REF!)=0,"",IF(BP$29=#REF!,Milestone_Marker_Old,"")),"")</f>
        <v/>
      </c>
      <c r="CQ20" s="37" t="str">
        <f>IFERROR(IF(LEN(#REF!)=0,"",IF(BQ$29=#REF!,Milestone_Marker_Old,"")),"")</f>
        <v/>
      </c>
      <c r="CR20" s="37" t="str">
        <f>IFERROR(IF(LEN(#REF!)=0,"",IF(BR$29=#REF!,Milestone_Marker_Old,"")),"")</f>
        <v/>
      </c>
      <c r="CS20" s="37" t="str">
        <f>IFERROR(IF(LEN(#REF!)=0,"",IF(BS$29=#REF!,Milestone_Marker_Old,"")),"")</f>
        <v/>
      </c>
      <c r="CT20" s="37" t="str">
        <f>IFERROR(IF(LEN(#REF!)=0,"",IF(BT$29=#REF!,Milestone_Marker_Old,"")),"")</f>
        <v/>
      </c>
      <c r="CU20" s="37" t="str">
        <f>IFERROR(IF(LEN(#REF!)=0,"",IF(BU$29=#REF!,Milestone_Marker_Old,"")),"")</f>
        <v/>
      </c>
      <c r="CV20" s="37" t="str">
        <f>IFERROR(IF(LEN(#REF!)=0,"",IF(BV$29=#REF!,Milestone_Marker_Old,"")),"")</f>
        <v/>
      </c>
      <c r="CW20" s="37" t="str">
        <f>IFERROR(IF(LEN(#REF!)=0,"",IF(BW$29=#REF!,Milestone_Marker_Old,"")),"")</f>
        <v/>
      </c>
      <c r="CX20" s="37" t="str">
        <f>IFERROR(IF(LEN(#REF!)=0,"",IF(BX$29=#REF!,Milestone_Marker_Old,"")),"")</f>
        <v/>
      </c>
      <c r="CY20" s="37" t="str">
        <f>IFERROR(IF(LEN(#REF!)=0,"",IF(BY$29=#REF!,Milestone_Marker_Old,"")),"")</f>
        <v/>
      </c>
      <c r="CZ20" s="37" t="str">
        <f>IFERROR(IF(LEN(#REF!)=0,"",IF(BZ$29=#REF!,Milestone_Marker_Old,"")),"")</f>
        <v/>
      </c>
      <c r="DA20" s="37" t="str">
        <f>IFERROR(IF(LEN(#REF!)=0,"",IF(CA$29=#REF!,Milestone_Marker_Old,"")),"")</f>
        <v/>
      </c>
      <c r="DB20" s="37" t="str">
        <f>IFERROR(IF(LEN(#REF!)=0,"",IF(CB$29=#REF!,Milestone_Marker_Old,"")),"")</f>
        <v/>
      </c>
      <c r="DC20" s="37" t="str">
        <f>IFERROR(IF(LEN(#REF!)=0,"",IF(CC$29=#REF!,Milestone_Marker_Old,"")),"")</f>
        <v/>
      </c>
      <c r="DD20" s="37" t="str">
        <f>IFERROR(IF(LEN(#REF!)=0,"",IF(CD$29=#REF!,Milestone_Marker_Old,"")),"")</f>
        <v/>
      </c>
      <c r="DE20" s="37" t="str">
        <f>IFERROR(IF(LEN(#REF!)=0,"",IF(CE$29=#REF!,Milestone_Marker_Old,"")),"")</f>
        <v/>
      </c>
      <c r="DF20" s="37" t="str">
        <f>IFERROR(IF(LEN(#REF!)=0,"",IF(CF$29=#REF!,Milestone_Marker_Old,"")),"")</f>
        <v/>
      </c>
      <c r="DG20" s="37" t="str">
        <f>IFERROR(IF(LEN(#REF!)=0,"",IF(CG$29=#REF!,Milestone_Marker_Old,"")),"")</f>
        <v/>
      </c>
      <c r="DH20" s="37" t="str">
        <f>IFERROR(IF(LEN(#REF!)=0,"",IF(CH$29=#REF!,Milestone_Marker_Old,"")),"")</f>
        <v/>
      </c>
      <c r="DI20" s="37" t="str">
        <f>IFERROR(IF(LEN(#REF!)=0,"",IF(CI$29=#REF!,Milestone_Marker_Old,"")),"")</f>
        <v/>
      </c>
      <c r="DJ20" s="37" t="str">
        <f>IFERROR(IF(LEN(#REF!)=0,"",IF(CJ$29=#REF!,Milestone_Marker_Old,"")),"")</f>
        <v/>
      </c>
      <c r="DK20" s="37" t="str">
        <f>IFERROR(IF(LEN(#REF!)=0,"",IF(CK$29=#REF!,Milestone_Marker_Old,"")),"")</f>
        <v/>
      </c>
      <c r="DL20" s="37" t="str">
        <f>IFERROR(IF(LEN(#REF!)=0,"",IF(CL$29=#REF!,Milestone_Marker_Old,"")),"")</f>
        <v/>
      </c>
      <c r="DM20" s="37" t="str">
        <f>IFERROR(IF(LEN(#REF!)=0,"",IF(CM$29=#REF!,Milestone_Marker_Old,"")),"")</f>
        <v/>
      </c>
      <c r="DN20" s="37" t="str">
        <f>IFERROR(IF(LEN(#REF!)=0,"",IF(CN$29=#REF!,Milestone_Marker_Old,"")),"")</f>
        <v/>
      </c>
      <c r="DO20" s="37" t="str">
        <f>IFERROR(IF(LEN(#REF!)=0,"",IF(CO$29=#REF!,Milestone_Marker_Old,"")),"")</f>
        <v/>
      </c>
      <c r="DP20" s="37" t="str">
        <f>IFERROR(IF(LEN(#REF!)=0,"",IF(CP$29=#REF!,Milestone_Marker_Old,"")),"")</f>
        <v/>
      </c>
      <c r="DQ20" s="37" t="str">
        <f>IFERROR(IF(LEN(#REF!)=0,"",IF(CQ$29=#REF!,Milestone_Marker_Old,"")),"")</f>
        <v/>
      </c>
      <c r="DR20" s="37" t="str">
        <f>IFERROR(IF(LEN(#REF!)=0,"",IF(CR$29=#REF!,Milestone_Marker_Old,"")),"")</f>
        <v/>
      </c>
      <c r="DS20" s="37" t="str">
        <f>IFERROR(IF(LEN(#REF!)=0,"",IF(CS$29=#REF!,Milestone_Marker_Old,"")),"")</f>
        <v/>
      </c>
      <c r="DT20" s="37" t="str">
        <f>IFERROR(IF(LEN(#REF!)=0,"",IF(CT$29=#REF!,Milestone_Marker_Old,"")),"")</f>
        <v/>
      </c>
      <c r="DU20" s="37" t="str">
        <f>IFERROR(IF(LEN(#REF!)=0,"",IF(CU$29=#REF!,Milestone_Marker_Old,"")),"")</f>
        <v/>
      </c>
    </row>
    <row r="21" spans="1:125" ht="20.100000000000001" customHeight="1">
      <c r="A21" s="119" t="str">
        <f>Profit!$E$1&amp;" Your Home"</f>
        <v>Buy Your Home</v>
      </c>
      <c r="B21" s="120">
        <f t="shared" si="3"/>
        <v>13</v>
      </c>
      <c r="C21" s="121"/>
      <c r="D21" s="119"/>
      <c r="E21" s="119" t="s">
        <v>440</v>
      </c>
      <c r="F21" s="120">
        <v>0</v>
      </c>
      <c r="G21" s="122">
        <v>0</v>
      </c>
      <c r="H21" s="122">
        <f t="shared" si="0"/>
        <v>0</v>
      </c>
      <c r="I21" s="123"/>
      <c r="J21" s="122"/>
      <c r="K21" s="124"/>
      <c r="L21" s="122"/>
      <c r="M21" s="122"/>
      <c r="N21" s="123"/>
      <c r="O21" s="122">
        <f t="shared" si="1"/>
        <v>0</v>
      </c>
      <c r="AP21" s="37" t="str">
        <f>IFERROR(IF(LEN(#REF!)=0,"",IF(P$29=#REF!,Milestone_Marker_Old,"")),"")</f>
        <v/>
      </c>
      <c r="AQ21" s="37" t="str">
        <f>IFERROR(IF(LEN(#REF!)=0,"",IF(Q$29=#REF!,Milestone_Marker_Old,"")),"")</f>
        <v/>
      </c>
      <c r="AR21" s="37" t="str">
        <f>IFERROR(IF(LEN(#REF!)=0,"",IF(R$29=#REF!,Milestone_Marker_Old,"")),"")</f>
        <v/>
      </c>
      <c r="AS21" s="37" t="str">
        <f>IFERROR(IF(LEN(#REF!)=0,"",IF(S$29=#REF!,Milestone_Marker_Old,"")),"")</f>
        <v/>
      </c>
      <c r="AT21" s="37" t="str">
        <f>IFERROR(IF(LEN(#REF!)=0,"",IF(T$29=#REF!,Milestone_Marker_Old,"")),"")</f>
        <v/>
      </c>
      <c r="AU21" s="37" t="str">
        <f>IFERROR(IF(LEN(#REF!)=0,"",IF(U$29=#REF!,Milestone_Marker_Old,"")),"")</f>
        <v/>
      </c>
      <c r="AV21" s="37" t="str">
        <f>IFERROR(IF(LEN(#REF!)=0,"",IF(V$29=#REF!,Milestone_Marker_Old,"")),"")</f>
        <v/>
      </c>
      <c r="AW21" s="37" t="str">
        <f>IFERROR(IF(LEN(#REF!)=0,"",IF(W$29=#REF!,Milestone_Marker_Old,"")),"")</f>
        <v/>
      </c>
      <c r="AX21" s="37" t="str">
        <f>IFERROR(IF(LEN(#REF!)=0,"",IF(X$29=#REF!,Milestone_Marker_Old,"")),"")</f>
        <v/>
      </c>
      <c r="AY21" s="37" t="str">
        <f>IFERROR(IF(LEN(#REF!)=0,"",IF(Y$29=#REF!,Milestone_Marker_Old,"")),"")</f>
        <v/>
      </c>
      <c r="AZ21" s="37" t="str">
        <f>IFERROR(IF(LEN(#REF!)=0,"",IF(Z$29=#REF!,Milestone_Marker_Old,"")),"")</f>
        <v/>
      </c>
      <c r="BA21" s="37" t="str">
        <f>IFERROR(IF(LEN(#REF!)=0,"",IF(AA$29=#REF!,Milestone_Marker_Old,"")),"")</f>
        <v/>
      </c>
      <c r="BB21" s="37" t="str">
        <f>IFERROR(IF(LEN(#REF!)=0,"",IF(AB$29=#REF!,Milestone_Marker_Old,"")),"")</f>
        <v/>
      </c>
      <c r="BC21" s="37" t="str">
        <f>IFERROR(IF(LEN(#REF!)=0,"",IF(AC$29=#REF!,Milestone_Marker_Old,"")),"")</f>
        <v/>
      </c>
      <c r="BD21" s="37" t="str">
        <f>IFERROR(IF(LEN(#REF!)=0,"",IF(AD$29=#REF!,Milestone_Marker_Old,"")),"")</f>
        <v/>
      </c>
      <c r="BE21" s="37" t="str">
        <f>IFERROR(IF(LEN(#REF!)=0,"",IF(AE$29=#REF!,Milestone_Marker_Old,"")),"")</f>
        <v/>
      </c>
      <c r="BF21" s="37" t="str">
        <f>IFERROR(IF(LEN(#REF!)=0,"",IF(AF$29=#REF!,Milestone_Marker_Old,"")),"")</f>
        <v/>
      </c>
      <c r="BG21" s="37" t="str">
        <f>IFERROR(IF(LEN(#REF!)=0,"",IF(AG$29=#REF!,Milestone_Marker_Old,"")),"")</f>
        <v/>
      </c>
      <c r="BH21" s="37" t="str">
        <f>IFERROR(IF(LEN(#REF!)=0,"",IF(AH$29=#REF!,Milestone_Marker_Old,"")),"")</f>
        <v/>
      </c>
      <c r="BI21" s="37" t="str">
        <f>IFERROR(IF(LEN(#REF!)=0,"",IF(AI$29=#REF!,Milestone_Marker_Old,"")),"")</f>
        <v/>
      </c>
      <c r="BJ21" s="37" t="str">
        <f>IFERROR(IF(LEN(#REF!)=0,"",IF(AJ$29=#REF!,Milestone_Marker_Old,"")),"")</f>
        <v/>
      </c>
      <c r="BK21" s="37" t="str">
        <f>IFERROR(IF(LEN(#REF!)=0,"",IF(AK$29=#REF!,Milestone_Marker_Old,"")),"")</f>
        <v/>
      </c>
      <c r="BL21" s="37" t="str">
        <f>IFERROR(IF(LEN(#REF!)=0,"",IF(AL$29=#REF!,Milestone_Marker_Old,"")),"")</f>
        <v/>
      </c>
      <c r="BM21" s="37" t="str">
        <f>IFERROR(IF(LEN(#REF!)=0,"",IF(AM$29=#REF!,Milestone_Marker_Old,"")),"")</f>
        <v/>
      </c>
      <c r="BN21" s="37" t="str">
        <f>IFERROR(IF(LEN(#REF!)=0,"",IF(AN$29=#REF!,Milestone_Marker_Old,"")),"")</f>
        <v/>
      </c>
      <c r="BO21" s="37" t="str">
        <f>IFERROR(IF(LEN(#REF!)=0,"",IF(AO$29=#REF!,Milestone_Marker_Old,"")),"")</f>
        <v/>
      </c>
      <c r="BP21" s="37" t="str">
        <f>IFERROR(IF(LEN(#REF!)=0,"",IF(AP$29=#REF!,Milestone_Marker_Old,"")),"")</f>
        <v/>
      </c>
      <c r="BQ21" s="37" t="str">
        <f>IFERROR(IF(LEN(#REF!)=0,"",IF(AQ$29=#REF!,Milestone_Marker_Old,"")),"")</f>
        <v/>
      </c>
      <c r="BR21" s="37" t="str">
        <f>IFERROR(IF(LEN(#REF!)=0,"",IF(AR$29=#REF!,Milestone_Marker_Old,"")),"")</f>
        <v/>
      </c>
      <c r="BS21" s="37" t="str">
        <f>IFERROR(IF(LEN(#REF!)=0,"",IF(AS$29=#REF!,Milestone_Marker_Old,"")),"")</f>
        <v/>
      </c>
      <c r="BT21" s="37" t="str">
        <f>IFERROR(IF(LEN(#REF!)=0,"",IF(AT$29=#REF!,Milestone_Marker_Old,"")),"")</f>
        <v/>
      </c>
      <c r="BU21" s="37" t="str">
        <f>IFERROR(IF(LEN(#REF!)=0,"",IF(AU$29=#REF!,Milestone_Marker_Old,"")),"")</f>
        <v/>
      </c>
      <c r="BV21" s="37" t="str">
        <f>IFERROR(IF(LEN(#REF!)=0,"",IF(AV$29=#REF!,Milestone_Marker_Old,"")),"")</f>
        <v/>
      </c>
      <c r="BW21" s="37" t="str">
        <f>IFERROR(IF(LEN(#REF!)=0,"",IF(AW$29=#REF!,Milestone_Marker_Old,"")),"")</f>
        <v/>
      </c>
      <c r="BX21" s="37" t="str">
        <f>IFERROR(IF(LEN(#REF!)=0,"",IF(AX$29=#REF!,Milestone_Marker_Old,"")),"")</f>
        <v/>
      </c>
      <c r="BY21" s="37" t="str">
        <f>IFERROR(IF(LEN(#REF!)=0,"",IF(AY$29=#REF!,Milestone_Marker_Old,"")),"")</f>
        <v/>
      </c>
      <c r="BZ21" s="37" t="str">
        <f>IFERROR(IF(LEN(#REF!)=0,"",IF(AZ$29=#REF!,Milestone_Marker_Old,"")),"")</f>
        <v/>
      </c>
      <c r="CA21" s="37" t="str">
        <f>IFERROR(IF(LEN(#REF!)=0,"",IF(BA$29=#REF!,Milestone_Marker_Old,"")),"")</f>
        <v/>
      </c>
      <c r="CB21" s="37" t="str">
        <f>IFERROR(IF(LEN(#REF!)=0,"",IF(BB$29=#REF!,Milestone_Marker_Old,"")),"")</f>
        <v/>
      </c>
      <c r="CC21" s="37" t="str">
        <f>IFERROR(IF(LEN(#REF!)=0,"",IF(BC$29=#REF!,Milestone_Marker_Old,"")),"")</f>
        <v/>
      </c>
      <c r="CD21" s="37" t="str">
        <f>IFERROR(IF(LEN(#REF!)=0,"",IF(BD$29=#REF!,Milestone_Marker_Old,"")),"")</f>
        <v/>
      </c>
      <c r="CE21" s="37" t="str">
        <f>IFERROR(IF(LEN(#REF!)=0,"",IF(BE$29=#REF!,Milestone_Marker_Old,"")),"")</f>
        <v/>
      </c>
      <c r="CF21" s="37" t="str">
        <f>IFERROR(IF(LEN(#REF!)=0,"",IF(BF$29=#REF!,Milestone_Marker_Old,"")),"")</f>
        <v/>
      </c>
      <c r="CG21" s="37" t="str">
        <f>IFERROR(IF(LEN(#REF!)=0,"",IF(BG$29=#REF!,Milestone_Marker_Old,"")),"")</f>
        <v/>
      </c>
      <c r="CH21" s="37" t="str">
        <f>IFERROR(IF(LEN(#REF!)=0,"",IF(BH$29=#REF!,Milestone_Marker_Old,"")),"")</f>
        <v/>
      </c>
      <c r="CI21" s="37" t="str">
        <f>IFERROR(IF(LEN(#REF!)=0,"",IF(BI$29=#REF!,Milestone_Marker_Old,"")),"")</f>
        <v/>
      </c>
      <c r="CJ21" s="37" t="str">
        <f>IFERROR(IF(LEN(#REF!)=0,"",IF(BJ$29=#REF!,Milestone_Marker_Old,"")),"")</f>
        <v/>
      </c>
      <c r="CK21" s="37" t="str">
        <f>IFERROR(IF(LEN(#REF!)=0,"",IF(BK$29=#REF!,Milestone_Marker_Old,"")),"")</f>
        <v/>
      </c>
      <c r="CL21" s="37" t="str">
        <f>IFERROR(IF(LEN(#REF!)=0,"",IF(BL$29=#REF!,Milestone_Marker_Old,"")),"")</f>
        <v/>
      </c>
      <c r="CM21" s="37" t="str">
        <f>IFERROR(IF(LEN(#REF!)=0,"",IF(BM$29=#REF!,Milestone_Marker_Old,"")),"")</f>
        <v/>
      </c>
      <c r="CN21" s="37" t="str">
        <f>IFERROR(IF(LEN(#REF!)=0,"",IF(BN$29=#REF!,Milestone_Marker_Old,"")),"")</f>
        <v/>
      </c>
      <c r="CO21" s="37" t="str">
        <f>IFERROR(IF(LEN(#REF!)=0,"",IF(BO$29=#REF!,Milestone_Marker_Old,"")),"")</f>
        <v/>
      </c>
      <c r="CP21" s="37" t="str">
        <f>IFERROR(IF(LEN(#REF!)=0,"",IF(BP$29=#REF!,Milestone_Marker_Old,"")),"")</f>
        <v/>
      </c>
      <c r="CQ21" s="37" t="str">
        <f>IFERROR(IF(LEN(#REF!)=0,"",IF(BQ$29=#REF!,Milestone_Marker_Old,"")),"")</f>
        <v/>
      </c>
      <c r="CR21" s="37" t="str">
        <f>IFERROR(IF(LEN(#REF!)=0,"",IF(BR$29=#REF!,Milestone_Marker_Old,"")),"")</f>
        <v/>
      </c>
      <c r="CS21" s="37" t="str">
        <f>IFERROR(IF(LEN(#REF!)=0,"",IF(BS$29=#REF!,Milestone_Marker_Old,"")),"")</f>
        <v/>
      </c>
      <c r="CT21" s="37" t="str">
        <f>IFERROR(IF(LEN(#REF!)=0,"",IF(BT$29=#REF!,Milestone_Marker_Old,"")),"")</f>
        <v/>
      </c>
      <c r="CU21" s="37" t="str">
        <f>IFERROR(IF(LEN(#REF!)=0,"",IF(BU$29=#REF!,Milestone_Marker_Old,"")),"")</f>
        <v/>
      </c>
      <c r="CV21" s="37" t="str">
        <f>IFERROR(IF(LEN(#REF!)=0,"",IF(BV$29=#REF!,Milestone_Marker_Old,"")),"")</f>
        <v/>
      </c>
      <c r="CW21" s="37" t="str">
        <f>IFERROR(IF(LEN(#REF!)=0,"",IF(BW$29=#REF!,Milestone_Marker_Old,"")),"")</f>
        <v/>
      </c>
      <c r="CX21" s="37" t="str">
        <f>IFERROR(IF(LEN(#REF!)=0,"",IF(BX$29=#REF!,Milestone_Marker_Old,"")),"")</f>
        <v/>
      </c>
      <c r="CY21" s="37" t="str">
        <f>IFERROR(IF(LEN(#REF!)=0,"",IF(BY$29=#REF!,Milestone_Marker_Old,"")),"")</f>
        <v/>
      </c>
      <c r="CZ21" s="37" t="str">
        <f>IFERROR(IF(LEN(#REF!)=0,"",IF(BZ$29=#REF!,Milestone_Marker_Old,"")),"")</f>
        <v/>
      </c>
      <c r="DA21" s="37" t="str">
        <f>IFERROR(IF(LEN(#REF!)=0,"",IF(CA$29=#REF!,Milestone_Marker_Old,"")),"")</f>
        <v/>
      </c>
      <c r="DB21" s="37" t="str">
        <f>IFERROR(IF(LEN(#REF!)=0,"",IF(CB$29=#REF!,Milestone_Marker_Old,"")),"")</f>
        <v/>
      </c>
      <c r="DC21" s="37" t="str">
        <f>IFERROR(IF(LEN(#REF!)=0,"",IF(CC$29=#REF!,Milestone_Marker_Old,"")),"")</f>
        <v/>
      </c>
      <c r="DD21" s="37" t="str">
        <f>IFERROR(IF(LEN(#REF!)=0,"",IF(CD$29=#REF!,Milestone_Marker_Old,"")),"")</f>
        <v/>
      </c>
      <c r="DE21" s="37" t="str">
        <f>IFERROR(IF(LEN(#REF!)=0,"",IF(CE$29=#REF!,Milestone_Marker_Old,"")),"")</f>
        <v/>
      </c>
      <c r="DF21" s="37" t="str">
        <f>IFERROR(IF(LEN(#REF!)=0,"",IF(CF$29=#REF!,Milestone_Marker_Old,"")),"")</f>
        <v/>
      </c>
      <c r="DG21" s="37" t="str">
        <f>IFERROR(IF(LEN(#REF!)=0,"",IF(CG$29=#REF!,Milestone_Marker_Old,"")),"")</f>
        <v/>
      </c>
      <c r="DH21" s="37" t="str">
        <f>IFERROR(IF(LEN(#REF!)=0,"",IF(CH$29=#REF!,Milestone_Marker_Old,"")),"")</f>
        <v/>
      </c>
      <c r="DI21" s="37" t="str">
        <f>IFERROR(IF(LEN(#REF!)=0,"",IF(CI$29=#REF!,Milestone_Marker_Old,"")),"")</f>
        <v/>
      </c>
      <c r="DJ21" s="37" t="str">
        <f>IFERROR(IF(LEN(#REF!)=0,"",IF(CJ$29=#REF!,Milestone_Marker_Old,"")),"")</f>
        <v/>
      </c>
      <c r="DK21" s="37" t="str">
        <f>IFERROR(IF(LEN(#REF!)=0,"",IF(CK$29=#REF!,Milestone_Marker_Old,"")),"")</f>
        <v/>
      </c>
      <c r="DL21" s="37" t="str">
        <f>IFERROR(IF(LEN(#REF!)=0,"",IF(CL$29=#REF!,Milestone_Marker_Old,"")),"")</f>
        <v/>
      </c>
      <c r="DM21" s="37" t="str">
        <f>IFERROR(IF(LEN(#REF!)=0,"",IF(CM$29=#REF!,Milestone_Marker_Old,"")),"")</f>
        <v/>
      </c>
      <c r="DN21" s="37" t="str">
        <f>IFERROR(IF(LEN(#REF!)=0,"",IF(CN$29=#REF!,Milestone_Marker_Old,"")),"")</f>
        <v/>
      </c>
      <c r="DO21" s="37" t="str">
        <f>IFERROR(IF(LEN(#REF!)=0,"",IF(CO$29=#REF!,Milestone_Marker_Old,"")),"")</f>
        <v/>
      </c>
      <c r="DP21" s="37" t="str">
        <f>IFERROR(IF(LEN(#REF!)=0,"",IF(CP$29=#REF!,Milestone_Marker_Old,"")),"")</f>
        <v/>
      </c>
      <c r="DQ21" s="37" t="str">
        <f>IFERROR(IF(LEN(#REF!)=0,"",IF(CQ$29=#REF!,Milestone_Marker_Old,"")),"")</f>
        <v/>
      </c>
      <c r="DR21" s="37" t="str">
        <f>IFERROR(IF(LEN(#REF!)=0,"",IF(CR$29=#REF!,Milestone_Marker_Old,"")),"")</f>
        <v/>
      </c>
      <c r="DS21" s="37" t="str">
        <f>IFERROR(IF(LEN(#REF!)=0,"",IF(CS$29=#REF!,Milestone_Marker_Old,"")),"")</f>
        <v/>
      </c>
      <c r="DT21" s="37" t="str">
        <f>IFERROR(IF(LEN(#REF!)=0,"",IF(CT$29=#REF!,Milestone_Marker_Old,"")),"")</f>
        <v/>
      </c>
      <c r="DU21" s="37" t="str">
        <f>IFERROR(IF(LEN(#REF!)=0,"",IF(CU$29=#REF!,Milestone_Marker_Old,"")),"")</f>
        <v/>
      </c>
    </row>
    <row r="22" spans="1:125" s="42" customFormat="1" ht="20.100000000000001" customHeight="1">
      <c r="A22" s="119" t="str">
        <f>Profit!$E$1&amp;" Your Home"</f>
        <v>Buy Your Home</v>
      </c>
      <c r="B22" s="120">
        <f t="shared" si="3"/>
        <v>14</v>
      </c>
      <c r="C22" s="121"/>
      <c r="D22" s="119"/>
      <c r="E22" s="119" t="s">
        <v>441</v>
      </c>
      <c r="F22" s="120">
        <v>0</v>
      </c>
      <c r="G22" s="122">
        <f>+'Demo &amp; Trash Haul'!F32</f>
        <v>0</v>
      </c>
      <c r="H22" s="122">
        <f t="shared" si="0"/>
        <v>0</v>
      </c>
      <c r="I22" s="123"/>
      <c r="J22" s="122"/>
      <c r="K22" s="124"/>
      <c r="L22" s="122"/>
      <c r="M22" s="122"/>
      <c r="N22" s="123"/>
      <c r="O22" s="122">
        <f t="shared" si="1"/>
        <v>0</v>
      </c>
      <c r="R22" s="36"/>
      <c r="S22" s="36"/>
      <c r="T22" s="36"/>
      <c r="U22" s="36"/>
      <c r="V22" s="36"/>
      <c r="W22" s="36"/>
      <c r="X22" s="36"/>
      <c r="Y22" s="36"/>
      <c r="Z22" s="36"/>
      <c r="AA22" s="36"/>
      <c r="AB22" s="36"/>
      <c r="AC22" s="36"/>
      <c r="AD22" s="36"/>
      <c r="AE22" s="36"/>
      <c r="AF22" s="36"/>
      <c r="AG22" s="36"/>
      <c r="AH22" s="36"/>
      <c r="AI22" s="36"/>
      <c r="AP22" s="37" t="str">
        <f>IFERROR(IF(LEN(#REF!)=0,"",IF(P$29=#REF!,Milestone_Marker_Old,"")),"")</f>
        <v/>
      </c>
      <c r="AQ22" s="37" t="str">
        <f>IFERROR(IF(LEN(#REF!)=0,"",IF(Q$29=#REF!,Milestone_Marker_Old,"")),"")</f>
        <v/>
      </c>
      <c r="AR22" s="37" t="str">
        <f>IFERROR(IF(LEN(#REF!)=0,"",IF(R$29=#REF!,Milestone_Marker_Old,"")),"")</f>
        <v/>
      </c>
      <c r="AS22" s="37" t="str">
        <f>IFERROR(IF(LEN(#REF!)=0,"",IF(S$29=#REF!,Milestone_Marker_Old,"")),"")</f>
        <v/>
      </c>
      <c r="AT22" s="37" t="str">
        <f>IFERROR(IF(LEN(#REF!)=0,"",IF(T$29=#REF!,Milestone_Marker_Old,"")),"")</f>
        <v/>
      </c>
      <c r="AU22" s="37" t="str">
        <f>IFERROR(IF(LEN(#REF!)=0,"",IF(U$29=#REF!,Milestone_Marker_Old,"")),"")</f>
        <v/>
      </c>
      <c r="AV22" s="37" t="str">
        <f>IFERROR(IF(LEN(#REF!)=0,"",IF(V$29=#REF!,Milestone_Marker_Old,"")),"")</f>
        <v/>
      </c>
      <c r="AW22" s="37" t="str">
        <f>IFERROR(IF(LEN(#REF!)=0,"",IF(W$29=#REF!,Milestone_Marker_Old,"")),"")</f>
        <v/>
      </c>
      <c r="AX22" s="37" t="str">
        <f>IFERROR(IF(LEN(#REF!)=0,"",IF(X$29=#REF!,Milestone_Marker_Old,"")),"")</f>
        <v/>
      </c>
      <c r="AY22" s="37" t="str">
        <f>IFERROR(IF(LEN(#REF!)=0,"",IF(Y$29=#REF!,Milestone_Marker_Old,"")),"")</f>
        <v/>
      </c>
      <c r="AZ22" s="37" t="str">
        <f>IFERROR(IF(LEN(#REF!)=0,"",IF(Z$29=#REF!,Milestone_Marker_Old,"")),"")</f>
        <v/>
      </c>
      <c r="BA22" s="37" t="str">
        <f>IFERROR(IF(LEN(#REF!)=0,"",IF(AA$29=#REF!,Milestone_Marker_Old,"")),"")</f>
        <v/>
      </c>
      <c r="BB22" s="37" t="str">
        <f>IFERROR(IF(LEN(#REF!)=0,"",IF(AB$29=#REF!,Milestone_Marker_Old,"")),"")</f>
        <v/>
      </c>
      <c r="BC22" s="37" t="str">
        <f>IFERROR(IF(LEN(#REF!)=0,"",IF(AC$29=#REF!,Milestone_Marker_Old,"")),"")</f>
        <v/>
      </c>
      <c r="BD22" s="37" t="str">
        <f>IFERROR(IF(LEN(#REF!)=0,"",IF(AD$29=#REF!,Milestone_Marker_Old,"")),"")</f>
        <v/>
      </c>
      <c r="BE22" s="37" t="str">
        <f>IFERROR(IF(LEN(#REF!)=0,"",IF(AE$29=#REF!,Milestone_Marker_Old,"")),"")</f>
        <v/>
      </c>
      <c r="BF22" s="37" t="str">
        <f>IFERROR(IF(LEN(#REF!)=0,"",IF(AF$29=#REF!,Milestone_Marker_Old,"")),"")</f>
        <v/>
      </c>
      <c r="BG22" s="37" t="str">
        <f>IFERROR(IF(LEN(#REF!)=0,"",IF(AG$29=#REF!,Milestone_Marker_Old,"")),"")</f>
        <v/>
      </c>
      <c r="BH22" s="37" t="str">
        <f>IFERROR(IF(LEN(#REF!)=0,"",IF(AH$29=#REF!,Milestone_Marker_Old,"")),"")</f>
        <v/>
      </c>
      <c r="BI22" s="37" t="str">
        <f>IFERROR(IF(LEN(#REF!)=0,"",IF(AI$29=#REF!,Milestone_Marker_Old,"")),"")</f>
        <v/>
      </c>
      <c r="BJ22" s="37" t="str">
        <f>IFERROR(IF(LEN(#REF!)=0,"",IF(AJ$29=#REF!,Milestone_Marker_Old,"")),"")</f>
        <v/>
      </c>
      <c r="BK22" s="37" t="str">
        <f>IFERROR(IF(LEN(#REF!)=0,"",IF(AK$29=#REF!,Milestone_Marker_Old,"")),"")</f>
        <v/>
      </c>
      <c r="BL22" s="37" t="str">
        <f>IFERROR(IF(LEN(#REF!)=0,"",IF(AL$29=#REF!,Milestone_Marker_Old,"")),"")</f>
        <v/>
      </c>
      <c r="BM22" s="37" t="str">
        <f>IFERROR(IF(LEN(#REF!)=0,"",IF(AM$29=#REF!,Milestone_Marker_Old,"")),"")</f>
        <v/>
      </c>
      <c r="BN22" s="37" t="str">
        <f>IFERROR(IF(LEN(#REF!)=0,"",IF(AN$29=#REF!,Milestone_Marker_Old,"")),"")</f>
        <v/>
      </c>
      <c r="BO22" s="37" t="str">
        <f>IFERROR(IF(LEN(#REF!)=0,"",IF(AO$29=#REF!,Milestone_Marker_Old,"")),"")</f>
        <v/>
      </c>
      <c r="BP22" s="37" t="str">
        <f>IFERROR(IF(LEN(#REF!)=0,"",IF(AP$29=#REF!,Milestone_Marker_Old,"")),"")</f>
        <v/>
      </c>
      <c r="BQ22" s="37" t="str">
        <f>IFERROR(IF(LEN(#REF!)=0,"",IF(AQ$29=#REF!,Milestone_Marker_Old,"")),"")</f>
        <v/>
      </c>
      <c r="BR22" s="37" t="str">
        <f>IFERROR(IF(LEN(#REF!)=0,"",IF(AR$29=#REF!,Milestone_Marker_Old,"")),"")</f>
        <v/>
      </c>
      <c r="BS22" s="37" t="str">
        <f>IFERROR(IF(LEN(#REF!)=0,"",IF(AS$29=#REF!,Milestone_Marker_Old,"")),"")</f>
        <v/>
      </c>
      <c r="BT22" s="37" t="str">
        <f>IFERROR(IF(LEN(#REF!)=0,"",IF(AT$29=#REF!,Milestone_Marker_Old,"")),"")</f>
        <v/>
      </c>
      <c r="BU22" s="37" t="str">
        <f>IFERROR(IF(LEN(#REF!)=0,"",IF(AU$29=#REF!,Milestone_Marker_Old,"")),"")</f>
        <v/>
      </c>
      <c r="BV22" s="37" t="str">
        <f>IFERROR(IF(LEN(#REF!)=0,"",IF(AV$29=#REF!,Milestone_Marker_Old,"")),"")</f>
        <v/>
      </c>
      <c r="BW22" s="37" t="str">
        <f>IFERROR(IF(LEN(#REF!)=0,"",IF(AW$29=#REF!,Milestone_Marker_Old,"")),"")</f>
        <v/>
      </c>
      <c r="BX22" s="37" t="str">
        <f>IFERROR(IF(LEN(#REF!)=0,"",IF(AX$29=#REF!,Milestone_Marker_Old,"")),"")</f>
        <v/>
      </c>
      <c r="BY22" s="37" t="str">
        <f>IFERROR(IF(LEN(#REF!)=0,"",IF(AY$29=#REF!,Milestone_Marker_Old,"")),"")</f>
        <v/>
      </c>
      <c r="BZ22" s="37" t="str">
        <f>IFERROR(IF(LEN(#REF!)=0,"",IF(AZ$29=#REF!,Milestone_Marker_Old,"")),"")</f>
        <v/>
      </c>
      <c r="CA22" s="37" t="str">
        <f>IFERROR(IF(LEN(#REF!)=0,"",IF(BA$29=#REF!,Milestone_Marker_Old,"")),"")</f>
        <v/>
      </c>
      <c r="CB22" s="37" t="str">
        <f>IFERROR(IF(LEN(#REF!)=0,"",IF(BB$29=#REF!,Milestone_Marker_Old,"")),"")</f>
        <v/>
      </c>
      <c r="CC22" s="37" t="str">
        <f>IFERROR(IF(LEN(#REF!)=0,"",IF(BC$29=#REF!,Milestone_Marker_Old,"")),"")</f>
        <v/>
      </c>
      <c r="CD22" s="37" t="str">
        <f>IFERROR(IF(LEN(#REF!)=0,"",IF(BD$29=#REF!,Milestone_Marker_Old,"")),"")</f>
        <v/>
      </c>
      <c r="CE22" s="37" t="str">
        <f>IFERROR(IF(LEN(#REF!)=0,"",IF(BE$29=#REF!,Milestone_Marker_Old,"")),"")</f>
        <v/>
      </c>
      <c r="CF22" s="37" t="str">
        <f>IFERROR(IF(LEN(#REF!)=0,"",IF(BF$29=#REF!,Milestone_Marker_Old,"")),"")</f>
        <v/>
      </c>
      <c r="CG22" s="37" t="str">
        <f>IFERROR(IF(LEN(#REF!)=0,"",IF(BG$29=#REF!,Milestone_Marker_Old,"")),"")</f>
        <v/>
      </c>
      <c r="CH22" s="37" t="str">
        <f>IFERROR(IF(LEN(#REF!)=0,"",IF(BH$29=#REF!,Milestone_Marker_Old,"")),"")</f>
        <v/>
      </c>
      <c r="CI22" s="37" t="str">
        <f>IFERROR(IF(LEN(#REF!)=0,"",IF(BI$29=#REF!,Milestone_Marker_Old,"")),"")</f>
        <v/>
      </c>
      <c r="CJ22" s="37" t="str">
        <f>IFERROR(IF(LEN(#REF!)=0,"",IF(BJ$29=#REF!,Milestone_Marker_Old,"")),"")</f>
        <v/>
      </c>
      <c r="CK22" s="37" t="str">
        <f>IFERROR(IF(LEN(#REF!)=0,"",IF(BK$29=#REF!,Milestone_Marker_Old,"")),"")</f>
        <v/>
      </c>
      <c r="CL22" s="37" t="str">
        <f>IFERROR(IF(LEN(#REF!)=0,"",IF(BL$29=#REF!,Milestone_Marker_Old,"")),"")</f>
        <v/>
      </c>
      <c r="CM22" s="37" t="str">
        <f>IFERROR(IF(LEN(#REF!)=0,"",IF(BM$29=#REF!,Milestone_Marker_Old,"")),"")</f>
        <v/>
      </c>
      <c r="CN22" s="37" t="str">
        <f>IFERROR(IF(LEN(#REF!)=0,"",IF(BN$29=#REF!,Milestone_Marker_Old,"")),"")</f>
        <v/>
      </c>
      <c r="CO22" s="37" t="str">
        <f>IFERROR(IF(LEN(#REF!)=0,"",IF(BO$29=#REF!,Milestone_Marker_Old,"")),"")</f>
        <v/>
      </c>
      <c r="CP22" s="37" t="str">
        <f>IFERROR(IF(LEN(#REF!)=0,"",IF(BP$29=#REF!,Milestone_Marker_Old,"")),"")</f>
        <v/>
      </c>
      <c r="CQ22" s="37" t="str">
        <f>IFERROR(IF(LEN(#REF!)=0,"",IF(BQ$29=#REF!,Milestone_Marker_Old,"")),"")</f>
        <v/>
      </c>
      <c r="CR22" s="37" t="str">
        <f>IFERROR(IF(LEN(#REF!)=0,"",IF(BR$29=#REF!,Milestone_Marker_Old,"")),"")</f>
        <v/>
      </c>
      <c r="CS22" s="37" t="str">
        <f>IFERROR(IF(LEN(#REF!)=0,"",IF(BS$29=#REF!,Milestone_Marker_Old,"")),"")</f>
        <v/>
      </c>
      <c r="CT22" s="37" t="str">
        <f>IFERROR(IF(LEN(#REF!)=0,"",IF(BT$29=#REF!,Milestone_Marker_Old,"")),"")</f>
        <v/>
      </c>
      <c r="CU22" s="37" t="str">
        <f>IFERROR(IF(LEN(#REF!)=0,"",IF(BU$29=#REF!,Milestone_Marker_Old,"")),"")</f>
        <v/>
      </c>
      <c r="CV22" s="37" t="str">
        <f>IFERROR(IF(LEN(#REF!)=0,"",IF(BV$29=#REF!,Milestone_Marker_Old,"")),"")</f>
        <v/>
      </c>
      <c r="CW22" s="37" t="str">
        <f>IFERROR(IF(LEN(#REF!)=0,"",IF(BW$29=#REF!,Milestone_Marker_Old,"")),"")</f>
        <v/>
      </c>
      <c r="CX22" s="37" t="str">
        <f>IFERROR(IF(LEN(#REF!)=0,"",IF(BX$29=#REF!,Milestone_Marker_Old,"")),"")</f>
        <v/>
      </c>
      <c r="CY22" s="37" t="str">
        <f>IFERROR(IF(LEN(#REF!)=0,"",IF(BY$29=#REF!,Milestone_Marker_Old,"")),"")</f>
        <v/>
      </c>
      <c r="CZ22" s="37" t="str">
        <f>IFERROR(IF(LEN(#REF!)=0,"",IF(BZ$29=#REF!,Milestone_Marker_Old,"")),"")</f>
        <v/>
      </c>
      <c r="DA22" s="37" t="str">
        <f>IFERROR(IF(LEN(#REF!)=0,"",IF(CA$29=#REF!,Milestone_Marker_Old,"")),"")</f>
        <v/>
      </c>
      <c r="DB22" s="37" t="str">
        <f>IFERROR(IF(LEN(#REF!)=0,"",IF(CB$29=#REF!,Milestone_Marker_Old,"")),"")</f>
        <v/>
      </c>
      <c r="DC22" s="37" t="str">
        <f>IFERROR(IF(LEN(#REF!)=0,"",IF(CC$29=#REF!,Milestone_Marker_Old,"")),"")</f>
        <v/>
      </c>
      <c r="DD22" s="37" t="str">
        <f>IFERROR(IF(LEN(#REF!)=0,"",IF(CD$29=#REF!,Milestone_Marker_Old,"")),"")</f>
        <v/>
      </c>
      <c r="DE22" s="37" t="str">
        <f>IFERROR(IF(LEN(#REF!)=0,"",IF(CE$29=#REF!,Milestone_Marker_Old,"")),"")</f>
        <v/>
      </c>
      <c r="DF22" s="37" t="str">
        <f>IFERROR(IF(LEN(#REF!)=0,"",IF(CF$29=#REF!,Milestone_Marker_Old,"")),"")</f>
        <v/>
      </c>
      <c r="DG22" s="37" t="str">
        <f>IFERROR(IF(LEN(#REF!)=0,"",IF(CG$29=#REF!,Milestone_Marker_Old,"")),"")</f>
        <v/>
      </c>
      <c r="DH22" s="37" t="str">
        <f>IFERROR(IF(LEN(#REF!)=0,"",IF(CH$29=#REF!,Milestone_Marker_Old,"")),"")</f>
        <v/>
      </c>
      <c r="DI22" s="37" t="str">
        <f>IFERROR(IF(LEN(#REF!)=0,"",IF(CI$29=#REF!,Milestone_Marker_Old,"")),"")</f>
        <v/>
      </c>
      <c r="DJ22" s="37" t="str">
        <f>IFERROR(IF(LEN(#REF!)=0,"",IF(CJ$29=#REF!,Milestone_Marker_Old,"")),"")</f>
        <v/>
      </c>
      <c r="DK22" s="37" t="str">
        <f>IFERROR(IF(LEN(#REF!)=0,"",IF(CK$29=#REF!,Milestone_Marker_Old,"")),"")</f>
        <v/>
      </c>
      <c r="DL22" s="37" t="str">
        <f>IFERROR(IF(LEN(#REF!)=0,"",IF(CL$29=#REF!,Milestone_Marker_Old,"")),"")</f>
        <v/>
      </c>
      <c r="DM22" s="37" t="str">
        <f>IFERROR(IF(LEN(#REF!)=0,"",IF(CM$29=#REF!,Milestone_Marker_Old,"")),"")</f>
        <v/>
      </c>
      <c r="DN22" s="37" t="str">
        <f>IFERROR(IF(LEN(#REF!)=0,"",IF(CN$29=#REF!,Milestone_Marker_Old,"")),"")</f>
        <v/>
      </c>
      <c r="DO22" s="37" t="str">
        <f>IFERROR(IF(LEN(#REF!)=0,"",IF(CO$29=#REF!,Milestone_Marker_Old,"")),"")</f>
        <v/>
      </c>
      <c r="DP22" s="37" t="str">
        <f>IFERROR(IF(LEN(#REF!)=0,"",IF(CP$29=#REF!,Milestone_Marker_Old,"")),"")</f>
        <v/>
      </c>
      <c r="DQ22" s="37" t="str">
        <f>IFERROR(IF(LEN(#REF!)=0,"",IF(CQ$29=#REF!,Milestone_Marker_Old,"")),"")</f>
        <v/>
      </c>
      <c r="DR22" s="37" t="str">
        <f>IFERROR(IF(LEN(#REF!)=0,"",IF(CR$29=#REF!,Milestone_Marker_Old,"")),"")</f>
        <v/>
      </c>
      <c r="DS22" s="37" t="str">
        <f>IFERROR(IF(LEN(#REF!)=0,"",IF(CS$29=#REF!,Milestone_Marker_Old,"")),"")</f>
        <v/>
      </c>
      <c r="DT22" s="37" t="str">
        <f>IFERROR(IF(LEN(#REF!)=0,"",IF(CT$29=#REF!,Milestone_Marker_Old,"")),"")</f>
        <v/>
      </c>
      <c r="DU22" s="37" t="str">
        <f>IFERROR(IF(LEN(#REF!)=0,"",IF(CU$29=#REF!,Milestone_Marker_Old,"")),"")</f>
        <v/>
      </c>
    </row>
    <row r="23" spans="1:125" s="42" customFormat="1" ht="21">
      <c r="A23" s="125"/>
      <c r="B23" s="126"/>
      <c r="C23" s="127"/>
      <c r="D23" s="127"/>
      <c r="E23" s="128" t="str">
        <f>Profit!E1&amp;" Your Home's Paid Contractors"</f>
        <v>Buy Your Home's Paid Contractors</v>
      </c>
      <c r="F23" s="129"/>
      <c r="G23" s="127"/>
      <c r="H23" s="127"/>
      <c r="I23" s="127"/>
      <c r="J23" s="127"/>
      <c r="K23" s="130"/>
      <c r="L23" s="127"/>
      <c r="M23" s="127"/>
      <c r="N23" s="127"/>
      <c r="O23" s="127"/>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37" t="str">
        <f>IFERROR(IF(LEN(#REF!)=0,"",IF(P$29=#REF!,Milestone_Marker_Old,"")),"")</f>
        <v/>
      </c>
      <c r="AQ23" s="37" t="str">
        <f>IFERROR(IF(LEN(#REF!)=0,"",IF(Q$29=#REF!,Milestone_Marker_Old,"")),"")</f>
        <v/>
      </c>
      <c r="AR23" s="37" t="str">
        <f>IFERROR(IF(LEN(#REF!)=0,"",IF(R$29=#REF!,Milestone_Marker_Old,"")),"")</f>
        <v/>
      </c>
      <c r="AS23" s="37" t="str">
        <f>IFERROR(IF(LEN(#REF!)=0,"",IF(S$29=#REF!,Milestone_Marker_Old,"")),"")</f>
        <v/>
      </c>
      <c r="AT23" s="37" t="str">
        <f>IFERROR(IF(LEN(#REF!)=0,"",IF(T$29=#REF!,Milestone_Marker_Old,"")),"")</f>
        <v/>
      </c>
      <c r="AU23" s="37" t="str">
        <f>IFERROR(IF(LEN(#REF!)=0,"",IF(U$29=#REF!,Milestone_Marker_Old,"")),"")</f>
        <v/>
      </c>
      <c r="AV23" s="37" t="str">
        <f>IFERROR(IF(LEN(#REF!)=0,"",IF(V$29=#REF!,Milestone_Marker_Old,"")),"")</f>
        <v/>
      </c>
      <c r="AW23" s="37" t="str">
        <f>IFERROR(IF(LEN(#REF!)=0,"",IF(W$29=#REF!,Milestone_Marker_Old,"")),"")</f>
        <v/>
      </c>
      <c r="AX23" s="37" t="str">
        <f>IFERROR(IF(LEN(#REF!)=0,"",IF(X$29=#REF!,Milestone_Marker_Old,"")),"")</f>
        <v/>
      </c>
      <c r="AY23" s="37" t="str">
        <f>IFERROR(IF(LEN(#REF!)=0,"",IF(Y$29=#REF!,Milestone_Marker_Old,"")),"")</f>
        <v/>
      </c>
      <c r="AZ23" s="37" t="str">
        <f>IFERROR(IF(LEN(#REF!)=0,"",IF(Z$29=#REF!,Milestone_Marker_Old,"")),"")</f>
        <v/>
      </c>
      <c r="BA23" s="37" t="str">
        <f>IFERROR(IF(LEN(#REF!)=0,"",IF(AA$29=#REF!,Milestone_Marker_Old,"")),"")</f>
        <v/>
      </c>
      <c r="BB23" s="37" t="str">
        <f>IFERROR(IF(LEN(#REF!)=0,"",IF(AB$29=#REF!,Milestone_Marker_Old,"")),"")</f>
        <v/>
      </c>
      <c r="BC23" s="37" t="str">
        <f>IFERROR(IF(LEN(#REF!)=0,"",IF(AC$29=#REF!,Milestone_Marker_Old,"")),"")</f>
        <v/>
      </c>
      <c r="BD23" s="37" t="str">
        <f>IFERROR(IF(LEN(#REF!)=0,"",IF(AD$29=#REF!,Milestone_Marker_Old,"")),"")</f>
        <v/>
      </c>
      <c r="BE23" s="37" t="str">
        <f>IFERROR(IF(LEN(#REF!)=0,"",IF(AE$29=#REF!,Milestone_Marker_Old,"")),"")</f>
        <v/>
      </c>
      <c r="BF23" s="37" t="str">
        <f>IFERROR(IF(LEN(#REF!)=0,"",IF(AF$29=#REF!,Milestone_Marker_Old,"")),"")</f>
        <v/>
      </c>
      <c r="BG23" s="37" t="str">
        <f>IFERROR(IF(LEN(#REF!)=0,"",IF(AG$29=#REF!,Milestone_Marker_Old,"")),"")</f>
        <v/>
      </c>
      <c r="BH23" s="37" t="str">
        <f>IFERROR(IF(LEN(#REF!)=0,"",IF(AH$29=#REF!,Milestone_Marker_Old,"")),"")</f>
        <v/>
      </c>
      <c r="BI23" s="37" t="str">
        <f>IFERROR(IF(LEN(#REF!)=0,"",IF(AI$29=#REF!,Milestone_Marker_Old,"")),"")</f>
        <v/>
      </c>
      <c r="BJ23" s="37" t="str">
        <f>IFERROR(IF(LEN(#REF!)=0,"",IF(AJ$29=#REF!,Milestone_Marker_Old,"")),"")</f>
        <v/>
      </c>
      <c r="BK23" s="37" t="str">
        <f>IFERROR(IF(LEN(#REF!)=0,"",IF(AK$29=#REF!,Milestone_Marker_Old,"")),"")</f>
        <v/>
      </c>
      <c r="BL23" s="37" t="str">
        <f>IFERROR(IF(LEN(#REF!)=0,"",IF(AL$29=#REF!,Milestone_Marker_Old,"")),"")</f>
        <v/>
      </c>
      <c r="BM23" s="37" t="str">
        <f>IFERROR(IF(LEN(#REF!)=0,"",IF(AM$29=#REF!,Milestone_Marker_Old,"")),"")</f>
        <v/>
      </c>
      <c r="BN23" s="37" t="str">
        <f>IFERROR(IF(LEN(#REF!)=0,"",IF(AN$29=#REF!,Milestone_Marker_Old,"")),"")</f>
        <v/>
      </c>
      <c r="BO23" s="37" t="str">
        <f>IFERROR(IF(LEN(#REF!)=0,"",IF(AO$29=#REF!,Milestone_Marker_Old,"")),"")</f>
        <v/>
      </c>
      <c r="BP23" s="37" t="str">
        <f>IFERROR(IF(LEN(#REF!)=0,"",IF(AP$29=#REF!,Milestone_Marker_Old,"")),"")</f>
        <v/>
      </c>
      <c r="BQ23" s="37" t="str">
        <f>IFERROR(IF(LEN(#REF!)=0,"",IF(AQ$29=#REF!,Milestone_Marker_Old,"")),"")</f>
        <v/>
      </c>
      <c r="BR23" s="37" t="str">
        <f>IFERROR(IF(LEN(#REF!)=0,"",IF(AR$29=#REF!,Milestone_Marker_Old,"")),"")</f>
        <v/>
      </c>
      <c r="BS23" s="37" t="str">
        <f>IFERROR(IF(LEN(#REF!)=0,"",IF(AS$29=#REF!,Milestone_Marker_Old,"")),"")</f>
        <v/>
      </c>
      <c r="BT23" s="37" t="str">
        <f>IFERROR(IF(LEN(#REF!)=0,"",IF(AT$29=#REF!,Milestone_Marker_Old,"")),"")</f>
        <v/>
      </c>
      <c r="BU23" s="37" t="str">
        <f>IFERROR(IF(LEN(#REF!)=0,"",IF(AU$29=#REF!,Milestone_Marker_Old,"")),"")</f>
        <v/>
      </c>
      <c r="BV23" s="37" t="str">
        <f>IFERROR(IF(LEN(#REF!)=0,"",IF(AV$29=#REF!,Milestone_Marker_Old,"")),"")</f>
        <v/>
      </c>
      <c r="BW23" s="37" t="str">
        <f>IFERROR(IF(LEN(#REF!)=0,"",IF(AW$29=#REF!,Milestone_Marker_Old,"")),"")</f>
        <v/>
      </c>
      <c r="BX23" s="37" t="str">
        <f>IFERROR(IF(LEN(#REF!)=0,"",IF(AX$29=#REF!,Milestone_Marker_Old,"")),"")</f>
        <v/>
      </c>
      <c r="BY23" s="37" t="str">
        <f>IFERROR(IF(LEN(#REF!)=0,"",IF(AY$29=#REF!,Milestone_Marker_Old,"")),"")</f>
        <v/>
      </c>
      <c r="BZ23" s="37" t="str">
        <f>IFERROR(IF(LEN(#REF!)=0,"",IF(AZ$29=#REF!,Milestone_Marker_Old,"")),"")</f>
        <v/>
      </c>
      <c r="CA23" s="37" t="str">
        <f>IFERROR(IF(LEN(#REF!)=0,"",IF(BA$29=#REF!,Milestone_Marker_Old,"")),"")</f>
        <v/>
      </c>
      <c r="CB23" s="37" t="str">
        <f>IFERROR(IF(LEN(#REF!)=0,"",IF(BB$29=#REF!,Milestone_Marker_Old,"")),"")</f>
        <v/>
      </c>
      <c r="CC23" s="37" t="str">
        <f>IFERROR(IF(LEN(#REF!)=0,"",IF(BC$29=#REF!,Milestone_Marker_Old,"")),"")</f>
        <v/>
      </c>
      <c r="CD23" s="37" t="str">
        <f>IFERROR(IF(LEN(#REF!)=0,"",IF(BD$29=#REF!,Milestone_Marker_Old,"")),"")</f>
        <v/>
      </c>
      <c r="CE23" s="37" t="str">
        <f>IFERROR(IF(LEN(#REF!)=0,"",IF(BE$29=#REF!,Milestone_Marker_Old,"")),"")</f>
        <v/>
      </c>
      <c r="CF23" s="37" t="str">
        <f>IFERROR(IF(LEN(#REF!)=0,"",IF(BF$29=#REF!,Milestone_Marker_Old,"")),"")</f>
        <v/>
      </c>
      <c r="CG23" s="37" t="str">
        <f>IFERROR(IF(LEN(#REF!)=0,"",IF(BG$29=#REF!,Milestone_Marker_Old,"")),"")</f>
        <v/>
      </c>
      <c r="CH23" s="37" t="str">
        <f>IFERROR(IF(LEN(#REF!)=0,"",IF(BH$29=#REF!,Milestone_Marker_Old,"")),"")</f>
        <v/>
      </c>
      <c r="CI23" s="37" t="str">
        <f>IFERROR(IF(LEN(#REF!)=0,"",IF(BI$29=#REF!,Milestone_Marker_Old,"")),"")</f>
        <v/>
      </c>
      <c r="CJ23" s="37" t="str">
        <f>IFERROR(IF(LEN(#REF!)=0,"",IF(BJ$29=#REF!,Milestone_Marker_Old,"")),"")</f>
        <v/>
      </c>
      <c r="CK23" s="37" t="str">
        <f>IFERROR(IF(LEN(#REF!)=0,"",IF(BK$29=#REF!,Milestone_Marker_Old,"")),"")</f>
        <v/>
      </c>
      <c r="CL23" s="37" t="str">
        <f>IFERROR(IF(LEN(#REF!)=0,"",IF(BL$29=#REF!,Milestone_Marker_Old,"")),"")</f>
        <v/>
      </c>
      <c r="CM23" s="37" t="str">
        <f>IFERROR(IF(LEN(#REF!)=0,"",IF(BM$29=#REF!,Milestone_Marker_Old,"")),"")</f>
        <v/>
      </c>
      <c r="CN23" s="37" t="str">
        <f>IFERROR(IF(LEN(#REF!)=0,"",IF(BN$29=#REF!,Milestone_Marker_Old,"")),"")</f>
        <v/>
      </c>
      <c r="CO23" s="37" t="str">
        <f>IFERROR(IF(LEN(#REF!)=0,"",IF(BO$29=#REF!,Milestone_Marker_Old,"")),"")</f>
        <v/>
      </c>
      <c r="CP23" s="37" t="str">
        <f>IFERROR(IF(LEN(#REF!)=0,"",IF(BP$29=#REF!,Milestone_Marker_Old,"")),"")</f>
        <v/>
      </c>
      <c r="CQ23" s="37" t="str">
        <f>IFERROR(IF(LEN(#REF!)=0,"",IF(BQ$29=#REF!,Milestone_Marker_Old,"")),"")</f>
        <v/>
      </c>
      <c r="CR23" s="37" t="str">
        <f>IFERROR(IF(LEN(#REF!)=0,"",IF(BR$29=#REF!,Milestone_Marker_Old,"")),"")</f>
        <v/>
      </c>
      <c r="CS23" s="37" t="str">
        <f>IFERROR(IF(LEN(#REF!)=0,"",IF(BS$29=#REF!,Milestone_Marker_Old,"")),"")</f>
        <v/>
      </c>
      <c r="CT23" s="37" t="str">
        <f>IFERROR(IF(LEN(#REF!)=0,"",IF(BT$29=#REF!,Milestone_Marker_Old,"")),"")</f>
        <v/>
      </c>
      <c r="CU23" s="37" t="str">
        <f>IFERROR(IF(LEN(#REF!)=0,"",IF(BU$29=#REF!,Milestone_Marker_Old,"")),"")</f>
        <v/>
      </c>
      <c r="CV23" s="37" t="str">
        <f>IFERROR(IF(LEN(#REF!)=0,"",IF(BV$29=#REF!,Milestone_Marker_Old,"")),"")</f>
        <v/>
      </c>
      <c r="CW23" s="37" t="str">
        <f>IFERROR(IF(LEN(#REF!)=0,"",IF(BW$29=#REF!,Milestone_Marker_Old,"")),"")</f>
        <v/>
      </c>
      <c r="CX23" s="37" t="str">
        <f>IFERROR(IF(LEN(#REF!)=0,"",IF(BX$29=#REF!,Milestone_Marker_Old,"")),"")</f>
        <v/>
      </c>
      <c r="CY23" s="37" t="str">
        <f>IFERROR(IF(LEN(#REF!)=0,"",IF(BY$29=#REF!,Milestone_Marker_Old,"")),"")</f>
        <v/>
      </c>
      <c r="CZ23" s="37" t="str">
        <f>IFERROR(IF(LEN(#REF!)=0,"",IF(BZ$29=#REF!,Milestone_Marker_Old,"")),"")</f>
        <v/>
      </c>
      <c r="DA23" s="37" t="str">
        <f>IFERROR(IF(LEN(#REF!)=0,"",IF(CA$29=#REF!,Milestone_Marker_Old,"")),"")</f>
        <v/>
      </c>
      <c r="DB23" s="37" t="str">
        <f>IFERROR(IF(LEN(#REF!)=0,"",IF(CB$29=#REF!,Milestone_Marker_Old,"")),"")</f>
        <v/>
      </c>
      <c r="DC23" s="37" t="str">
        <f>IFERROR(IF(LEN(#REF!)=0,"",IF(CC$29=#REF!,Milestone_Marker_Old,"")),"")</f>
        <v/>
      </c>
      <c r="DD23" s="37" t="str">
        <f>IFERROR(IF(LEN(#REF!)=0,"",IF(CD$29=#REF!,Milestone_Marker_Old,"")),"")</f>
        <v/>
      </c>
      <c r="DE23" s="37" t="str">
        <f>IFERROR(IF(LEN(#REF!)=0,"",IF(CE$29=#REF!,Milestone_Marker_Old,"")),"")</f>
        <v/>
      </c>
      <c r="DF23" s="37" t="str">
        <f>IFERROR(IF(LEN(#REF!)=0,"",IF(CF$29=#REF!,Milestone_Marker_Old,"")),"")</f>
        <v/>
      </c>
      <c r="DG23" s="37" t="str">
        <f>IFERROR(IF(LEN(#REF!)=0,"",IF(CG$29=#REF!,Milestone_Marker_Old,"")),"")</f>
        <v/>
      </c>
      <c r="DH23" s="37" t="str">
        <f>IFERROR(IF(LEN(#REF!)=0,"",IF(CH$29=#REF!,Milestone_Marker_Old,"")),"")</f>
        <v/>
      </c>
      <c r="DI23" s="37" t="str">
        <f>IFERROR(IF(LEN(#REF!)=0,"",IF(CI$29=#REF!,Milestone_Marker_Old,"")),"")</f>
        <v/>
      </c>
      <c r="DJ23" s="37" t="str">
        <f>IFERROR(IF(LEN(#REF!)=0,"",IF(CJ$29=#REF!,Milestone_Marker_Old,"")),"")</f>
        <v/>
      </c>
      <c r="DK23" s="37" t="str">
        <f>IFERROR(IF(LEN(#REF!)=0,"",IF(CK$29=#REF!,Milestone_Marker_Old,"")),"")</f>
        <v/>
      </c>
      <c r="DL23" s="37" t="str">
        <f>IFERROR(IF(LEN(#REF!)=0,"",IF(CL$29=#REF!,Milestone_Marker_Old,"")),"")</f>
        <v/>
      </c>
      <c r="DM23" s="37" t="str">
        <f>IFERROR(IF(LEN(#REF!)=0,"",IF(CM$29=#REF!,Milestone_Marker_Old,"")),"")</f>
        <v/>
      </c>
      <c r="DN23" s="37" t="str">
        <f>IFERROR(IF(LEN(#REF!)=0,"",IF(CN$29=#REF!,Milestone_Marker_Old,"")),"")</f>
        <v/>
      </c>
      <c r="DO23" s="37" t="str">
        <f>IFERROR(IF(LEN(#REF!)=0,"",IF(CO$29=#REF!,Milestone_Marker_Old,"")),"")</f>
        <v/>
      </c>
      <c r="DP23" s="37" t="str">
        <f>IFERROR(IF(LEN(#REF!)=0,"",IF(CP$29=#REF!,Milestone_Marker_Old,"")),"")</f>
        <v/>
      </c>
      <c r="DQ23" s="37" t="str">
        <f>IFERROR(IF(LEN(#REF!)=0,"",IF(CQ$29=#REF!,Milestone_Marker_Old,"")),"")</f>
        <v/>
      </c>
      <c r="DR23" s="37" t="str">
        <f>IFERROR(IF(LEN(#REF!)=0,"",IF(CR$29=#REF!,Milestone_Marker_Old,"")),"")</f>
        <v/>
      </c>
      <c r="DS23" s="37" t="str">
        <f>IFERROR(IF(LEN(#REF!)=0,"",IF(CS$29=#REF!,Milestone_Marker_Old,"")),"")</f>
        <v/>
      </c>
      <c r="DT23" s="37" t="str">
        <f>IFERROR(IF(LEN(#REF!)=0,"",IF(CT$29=#REF!,Milestone_Marker_Old,"")),"")</f>
        <v/>
      </c>
      <c r="DU23" s="37" t="str">
        <f>IFERROR(IF(LEN(#REF!)=0,"",IF(CU$29=#REF!,Milestone_Marker_Old,"")),"")</f>
        <v/>
      </c>
    </row>
    <row r="24" spans="1:125" s="42" customFormat="1" ht="20.100000000000001" customHeight="1" thickBot="1">
      <c r="A24" s="131" t="s">
        <v>442</v>
      </c>
      <c r="B24" s="132">
        <f>+B22+1</f>
        <v>15</v>
      </c>
      <c r="C24" s="133"/>
      <c r="D24" s="134"/>
      <c r="E24" s="135" t="s">
        <v>443</v>
      </c>
      <c r="F24" s="136">
        <v>0</v>
      </c>
      <c r="G24" s="137">
        <f>3743.62*2</f>
        <v>7487.24</v>
      </c>
      <c r="H24" s="137">
        <f>+F24*G24</f>
        <v>0</v>
      </c>
      <c r="I24" s="138"/>
      <c r="J24" s="138"/>
      <c r="K24" s="139"/>
      <c r="L24" s="138"/>
      <c r="M24" s="138"/>
      <c r="N24" s="138"/>
      <c r="O24" s="138">
        <f t="shared" ref="O24:O27" si="7">IF(I24="Yes",H24,0)</f>
        <v>0</v>
      </c>
      <c r="R24" s="76"/>
      <c r="S24" s="76"/>
      <c r="T24" s="76"/>
      <c r="U24" s="76"/>
      <c r="V24" s="76"/>
      <c r="W24" s="76"/>
      <c r="X24" s="76"/>
      <c r="Y24" s="76"/>
      <c r="Z24" s="76"/>
      <c r="AA24" s="625" t="s">
        <v>444</v>
      </c>
      <c r="AB24" s="626"/>
      <c r="AC24" s="626"/>
      <c r="AD24" s="626"/>
      <c r="AE24" s="626"/>
      <c r="AF24" s="626"/>
      <c r="AG24" s="626"/>
      <c r="AH24" s="626"/>
      <c r="AI24" s="75"/>
      <c r="AJ24" s="75"/>
      <c r="AK24" s="75"/>
      <c r="AL24" s="75"/>
      <c r="AM24" s="75"/>
      <c r="AN24" s="75"/>
      <c r="AO24" s="75"/>
      <c r="AP24" s="75" t="str">
        <f>IFERROR(IF(LEN(#REF!)=0,"",IF(P$29=#REF!,Milestone_Marker_Old,"")),"")</f>
        <v/>
      </c>
      <c r="AQ24" s="37" t="str">
        <f>IFERROR(IF(LEN(#REF!)=0,"",IF(Q$29=#REF!,Milestone_Marker_Old,"")),"")</f>
        <v/>
      </c>
      <c r="AR24" s="37" t="str">
        <f>IFERROR(IF(LEN(#REF!)=0,"",IF(R$29=#REF!,Milestone_Marker_Old,"")),"")</f>
        <v/>
      </c>
      <c r="AS24" s="37" t="str">
        <f>IFERROR(IF(LEN(#REF!)=0,"",IF(S$29=#REF!,Milestone_Marker_Old,"")),"")</f>
        <v/>
      </c>
      <c r="AT24" s="37" t="str">
        <f>IFERROR(IF(LEN(#REF!)=0,"",IF(T$29=#REF!,Milestone_Marker_Old,"")),"")</f>
        <v/>
      </c>
      <c r="AU24" s="37" t="str">
        <f>IFERROR(IF(LEN(#REF!)=0,"",IF(U$29=#REF!,Milestone_Marker_Old,"")),"")</f>
        <v/>
      </c>
      <c r="AV24" s="37" t="str">
        <f>IFERROR(IF(LEN(#REF!)=0,"",IF(V$29=#REF!,Milestone_Marker_Old,"")),"")</f>
        <v/>
      </c>
      <c r="AW24" s="37" t="str">
        <f>IFERROR(IF(LEN(#REF!)=0,"",IF(W$29=#REF!,Milestone_Marker_Old,"")),"")</f>
        <v/>
      </c>
      <c r="AX24" s="37" t="str">
        <f>IFERROR(IF(LEN(#REF!)=0,"",IF(X$29=#REF!,Milestone_Marker_Old,"")),"")</f>
        <v/>
      </c>
      <c r="AY24" s="37" t="str">
        <f>IFERROR(IF(LEN(#REF!)=0,"",IF(Y$29=#REF!,Milestone_Marker_Old,"")),"")</f>
        <v/>
      </c>
      <c r="AZ24" s="37" t="str">
        <f>IFERROR(IF(LEN(#REF!)=0,"",IF(Z$29=#REF!,Milestone_Marker_Old,"")),"")</f>
        <v/>
      </c>
      <c r="BA24" s="37" t="str">
        <f>IFERROR(IF(LEN(#REF!)=0,"",IF(AA$29=#REF!,Milestone_Marker_Old,"")),"")</f>
        <v/>
      </c>
      <c r="BB24" s="37" t="str">
        <f>IFERROR(IF(LEN(#REF!)=0,"",IF(AB$29=#REF!,Milestone_Marker_Old,"")),"")</f>
        <v/>
      </c>
      <c r="BC24" s="37" t="str">
        <f>IFERROR(IF(LEN(#REF!)=0,"",IF(AC$29=#REF!,Milestone_Marker_Old,"")),"")</f>
        <v/>
      </c>
      <c r="BD24" s="37" t="str">
        <f>IFERROR(IF(LEN(#REF!)=0,"",IF(AD$29=#REF!,Milestone_Marker_Old,"")),"")</f>
        <v/>
      </c>
      <c r="BE24" s="37" t="str">
        <f>IFERROR(IF(LEN(#REF!)=0,"",IF(AE$29=#REF!,Milestone_Marker_Old,"")),"")</f>
        <v/>
      </c>
      <c r="BF24" s="37" t="str">
        <f>IFERROR(IF(LEN(#REF!)=0,"",IF(AF$29=#REF!,Milestone_Marker_Old,"")),"")</f>
        <v/>
      </c>
      <c r="BG24" s="37" t="str">
        <f>IFERROR(IF(LEN(#REF!)=0,"",IF(AG$29=#REF!,Milestone_Marker_Old,"")),"")</f>
        <v/>
      </c>
      <c r="BH24" s="37" t="str">
        <f>IFERROR(IF(LEN(#REF!)=0,"",IF(AH$29=#REF!,Milestone_Marker_Old,"")),"")</f>
        <v/>
      </c>
      <c r="BI24" s="37" t="str">
        <f>IFERROR(IF(LEN(#REF!)=0,"",IF(AI$29=#REF!,Milestone_Marker_Old,"")),"")</f>
        <v/>
      </c>
      <c r="BJ24" s="37" t="str">
        <f>IFERROR(IF(LEN(#REF!)=0,"",IF(AJ$29=#REF!,Milestone_Marker_Old,"")),"")</f>
        <v/>
      </c>
      <c r="BK24" s="37" t="str">
        <f>IFERROR(IF(LEN(#REF!)=0,"",IF(AK$29=#REF!,Milestone_Marker_Old,"")),"")</f>
        <v/>
      </c>
      <c r="BL24" s="37" t="str">
        <f>IFERROR(IF(LEN(#REF!)=0,"",IF(AL$29=#REF!,Milestone_Marker_Old,"")),"")</f>
        <v/>
      </c>
      <c r="BM24" s="37" t="str">
        <f>IFERROR(IF(LEN(#REF!)=0,"",IF(AM$29=#REF!,Milestone_Marker_Old,"")),"")</f>
        <v/>
      </c>
      <c r="BN24" s="37" t="str">
        <f>IFERROR(IF(LEN(#REF!)=0,"",IF(AN$29=#REF!,Milestone_Marker_Old,"")),"")</f>
        <v/>
      </c>
      <c r="BO24" s="37" t="str">
        <f>IFERROR(IF(LEN(#REF!)=0,"",IF(AO$29=#REF!,Milestone_Marker_Old,"")),"")</f>
        <v/>
      </c>
      <c r="BP24" s="37" t="str">
        <f>IFERROR(IF(LEN(#REF!)=0,"",IF(AP$29=#REF!,Milestone_Marker_Old,"")),"")</f>
        <v/>
      </c>
      <c r="BQ24" s="37" t="str">
        <f>IFERROR(IF(LEN(#REF!)=0,"",IF(AQ$29=#REF!,Milestone_Marker_Old,"")),"")</f>
        <v/>
      </c>
      <c r="BR24" s="37" t="str">
        <f>IFERROR(IF(LEN(#REF!)=0,"",IF(AR$29=#REF!,Milestone_Marker_Old,"")),"")</f>
        <v/>
      </c>
      <c r="BS24" s="37" t="str">
        <f>IFERROR(IF(LEN(#REF!)=0,"",IF(AS$29=#REF!,Milestone_Marker_Old,"")),"")</f>
        <v/>
      </c>
      <c r="BT24" s="37" t="str">
        <f>IFERROR(IF(LEN(#REF!)=0,"",IF(AT$29=#REF!,Milestone_Marker_Old,"")),"")</f>
        <v/>
      </c>
      <c r="BU24" s="37" t="str">
        <f>IFERROR(IF(LEN(#REF!)=0,"",IF(AU$29=#REF!,Milestone_Marker_Old,"")),"")</f>
        <v/>
      </c>
      <c r="BV24" s="37" t="str">
        <f>IFERROR(IF(LEN(#REF!)=0,"",IF(AV$29=#REF!,Milestone_Marker_Old,"")),"")</f>
        <v/>
      </c>
      <c r="BW24" s="37" t="str">
        <f>IFERROR(IF(LEN(#REF!)=0,"",IF(AW$29=#REF!,Milestone_Marker_Old,"")),"")</f>
        <v/>
      </c>
      <c r="BX24" s="37" t="str">
        <f>IFERROR(IF(LEN(#REF!)=0,"",IF(AX$29=#REF!,Milestone_Marker_Old,"")),"")</f>
        <v/>
      </c>
      <c r="BY24" s="37" t="str">
        <f>IFERROR(IF(LEN(#REF!)=0,"",IF(AY$29=#REF!,Milestone_Marker_Old,"")),"")</f>
        <v/>
      </c>
      <c r="BZ24" s="37" t="str">
        <f>IFERROR(IF(LEN(#REF!)=0,"",IF(AZ$29=#REF!,Milestone_Marker_Old,"")),"")</f>
        <v/>
      </c>
      <c r="CA24" s="37" t="str">
        <f>IFERROR(IF(LEN(#REF!)=0,"",IF(BA$29=#REF!,Milestone_Marker_Old,"")),"")</f>
        <v/>
      </c>
      <c r="CB24" s="37" t="str">
        <f>IFERROR(IF(LEN(#REF!)=0,"",IF(BB$29=#REF!,Milestone_Marker_Old,"")),"")</f>
        <v/>
      </c>
      <c r="CC24" s="37" t="str">
        <f>IFERROR(IF(LEN(#REF!)=0,"",IF(BC$29=#REF!,Milestone_Marker_Old,"")),"")</f>
        <v/>
      </c>
      <c r="CD24" s="37" t="str">
        <f>IFERROR(IF(LEN(#REF!)=0,"",IF(BD$29=#REF!,Milestone_Marker_Old,"")),"")</f>
        <v/>
      </c>
      <c r="CE24" s="37" t="str">
        <f>IFERROR(IF(LEN(#REF!)=0,"",IF(BE$29=#REF!,Milestone_Marker_Old,"")),"")</f>
        <v/>
      </c>
      <c r="CF24" s="37" t="str">
        <f>IFERROR(IF(LEN(#REF!)=0,"",IF(BF$29=#REF!,Milestone_Marker_Old,"")),"")</f>
        <v/>
      </c>
      <c r="CG24" s="37" t="str">
        <f>IFERROR(IF(LEN(#REF!)=0,"",IF(BG$29=#REF!,Milestone_Marker_Old,"")),"")</f>
        <v/>
      </c>
      <c r="CH24" s="37" t="str">
        <f>IFERROR(IF(LEN(#REF!)=0,"",IF(BH$29=#REF!,Milestone_Marker_Old,"")),"")</f>
        <v/>
      </c>
      <c r="CI24" s="37" t="str">
        <f>IFERROR(IF(LEN(#REF!)=0,"",IF(BI$29=#REF!,Milestone_Marker_Old,"")),"")</f>
        <v/>
      </c>
      <c r="CJ24" s="37" t="str">
        <f>IFERROR(IF(LEN(#REF!)=0,"",IF(BJ$29=#REF!,Milestone_Marker_Old,"")),"")</f>
        <v/>
      </c>
      <c r="CK24" s="37" t="str">
        <f>IFERROR(IF(LEN(#REF!)=0,"",IF(BK$29=#REF!,Milestone_Marker_Old,"")),"")</f>
        <v/>
      </c>
      <c r="CL24" s="37" t="str">
        <f>IFERROR(IF(LEN(#REF!)=0,"",IF(BL$29=#REF!,Milestone_Marker_Old,"")),"")</f>
        <v/>
      </c>
      <c r="CM24" s="37" t="str">
        <f>IFERROR(IF(LEN(#REF!)=0,"",IF(BM$29=#REF!,Milestone_Marker_Old,"")),"")</f>
        <v/>
      </c>
      <c r="CN24" s="37" t="str">
        <f>IFERROR(IF(LEN(#REF!)=0,"",IF(BN$29=#REF!,Milestone_Marker_Old,"")),"")</f>
        <v/>
      </c>
      <c r="CO24" s="37" t="str">
        <f>IFERROR(IF(LEN(#REF!)=0,"",IF(BO$29=#REF!,Milestone_Marker_Old,"")),"")</f>
        <v/>
      </c>
      <c r="CP24" s="37" t="str">
        <f>IFERROR(IF(LEN(#REF!)=0,"",IF(BP$29=#REF!,Milestone_Marker_Old,"")),"")</f>
        <v/>
      </c>
      <c r="CQ24" s="37" t="str">
        <f>IFERROR(IF(LEN(#REF!)=0,"",IF(BQ$29=#REF!,Milestone_Marker_Old,"")),"")</f>
        <v/>
      </c>
      <c r="CR24" s="37" t="str">
        <f>IFERROR(IF(LEN(#REF!)=0,"",IF(BR$29=#REF!,Milestone_Marker_Old,"")),"")</f>
        <v/>
      </c>
      <c r="CS24" s="37" t="str">
        <f>IFERROR(IF(LEN(#REF!)=0,"",IF(BS$29=#REF!,Milestone_Marker_Old,"")),"")</f>
        <v/>
      </c>
      <c r="CT24" s="37" t="str">
        <f>IFERROR(IF(LEN(#REF!)=0,"",IF(BT$29=#REF!,Milestone_Marker_Old,"")),"")</f>
        <v/>
      </c>
      <c r="CU24" s="37" t="str">
        <f>IFERROR(IF(LEN(#REF!)=0,"",IF(BU$29=#REF!,Milestone_Marker_Old,"")),"")</f>
        <v/>
      </c>
      <c r="CV24" s="37" t="str">
        <f>IFERROR(IF(LEN(#REF!)=0,"",IF(BV$29=#REF!,Milestone_Marker_Old,"")),"")</f>
        <v/>
      </c>
      <c r="CW24" s="37" t="str">
        <f>IFERROR(IF(LEN(#REF!)=0,"",IF(BW$29=#REF!,Milestone_Marker_Old,"")),"")</f>
        <v/>
      </c>
      <c r="CX24" s="37" t="str">
        <f>IFERROR(IF(LEN(#REF!)=0,"",IF(BX$29=#REF!,Milestone_Marker_Old,"")),"")</f>
        <v/>
      </c>
      <c r="CY24" s="37" t="str">
        <f>IFERROR(IF(LEN(#REF!)=0,"",IF(BY$29=#REF!,Milestone_Marker_Old,"")),"")</f>
        <v/>
      </c>
      <c r="CZ24" s="37" t="str">
        <f>IFERROR(IF(LEN(#REF!)=0,"",IF(BZ$29=#REF!,Milestone_Marker_Old,"")),"")</f>
        <v/>
      </c>
      <c r="DA24" s="37" t="str">
        <f>IFERROR(IF(LEN(#REF!)=0,"",IF(CA$29=#REF!,Milestone_Marker_Old,"")),"")</f>
        <v/>
      </c>
      <c r="DB24" s="37" t="str">
        <f>IFERROR(IF(LEN(#REF!)=0,"",IF(CB$29=#REF!,Milestone_Marker_Old,"")),"")</f>
        <v/>
      </c>
      <c r="DC24" s="37" t="str">
        <f>IFERROR(IF(LEN(#REF!)=0,"",IF(CC$29=#REF!,Milestone_Marker_Old,"")),"")</f>
        <v/>
      </c>
      <c r="DD24" s="37" t="str">
        <f>IFERROR(IF(LEN(#REF!)=0,"",IF(CD$29=#REF!,Milestone_Marker_Old,"")),"")</f>
        <v/>
      </c>
      <c r="DE24" s="37" t="str">
        <f>IFERROR(IF(LEN(#REF!)=0,"",IF(CE$29=#REF!,Milestone_Marker_Old,"")),"")</f>
        <v/>
      </c>
      <c r="DF24" s="37" t="str">
        <f>IFERROR(IF(LEN(#REF!)=0,"",IF(CF$29=#REF!,Milestone_Marker_Old,"")),"")</f>
        <v/>
      </c>
      <c r="DG24" s="37" t="str">
        <f>IFERROR(IF(LEN(#REF!)=0,"",IF(CG$29=#REF!,Milestone_Marker_Old,"")),"")</f>
        <v/>
      </c>
      <c r="DH24" s="37" t="str">
        <f>IFERROR(IF(LEN(#REF!)=0,"",IF(CH$29=#REF!,Milestone_Marker_Old,"")),"")</f>
        <v/>
      </c>
      <c r="DI24" s="37" t="str">
        <f>IFERROR(IF(LEN(#REF!)=0,"",IF(CI$29=#REF!,Milestone_Marker_Old,"")),"")</f>
        <v/>
      </c>
      <c r="DJ24" s="37" t="str">
        <f>IFERROR(IF(LEN(#REF!)=0,"",IF(CJ$29=#REF!,Milestone_Marker_Old,"")),"")</f>
        <v/>
      </c>
      <c r="DK24" s="37" t="str">
        <f>IFERROR(IF(LEN(#REF!)=0,"",IF(CK$29=#REF!,Milestone_Marker_Old,"")),"")</f>
        <v/>
      </c>
      <c r="DL24" s="37" t="str">
        <f>IFERROR(IF(LEN(#REF!)=0,"",IF(CL$29=#REF!,Milestone_Marker_Old,"")),"")</f>
        <v/>
      </c>
      <c r="DM24" s="37" t="str">
        <f>IFERROR(IF(LEN(#REF!)=0,"",IF(CM$29=#REF!,Milestone_Marker_Old,"")),"")</f>
        <v/>
      </c>
      <c r="DN24" s="37" t="str">
        <f>IFERROR(IF(LEN(#REF!)=0,"",IF(CN$29=#REF!,Milestone_Marker_Old,"")),"")</f>
        <v/>
      </c>
      <c r="DO24" s="37" t="str">
        <f>IFERROR(IF(LEN(#REF!)=0,"",IF(CO$29=#REF!,Milestone_Marker_Old,"")),"")</f>
        <v/>
      </c>
      <c r="DP24" s="37" t="str">
        <f>IFERROR(IF(LEN(#REF!)=0,"",IF(CP$29=#REF!,Milestone_Marker_Old,"")),"")</f>
        <v/>
      </c>
      <c r="DQ24" s="37" t="str">
        <f>IFERROR(IF(LEN(#REF!)=0,"",IF(CQ$29=#REF!,Milestone_Marker_Old,"")),"")</f>
        <v/>
      </c>
      <c r="DR24" s="37" t="str">
        <f>IFERROR(IF(LEN(#REF!)=0,"",IF(CR$29=#REF!,Milestone_Marker_Old,"")),"")</f>
        <v/>
      </c>
      <c r="DS24" s="37" t="str">
        <f>IFERROR(IF(LEN(#REF!)=0,"",IF(CS$29=#REF!,Milestone_Marker_Old,"")),"")</f>
        <v/>
      </c>
      <c r="DT24" s="37" t="str">
        <f>IFERROR(IF(LEN(#REF!)=0,"",IF(CT$29=#REF!,Milestone_Marker_Old,"")),"")</f>
        <v/>
      </c>
      <c r="DU24" s="37" t="str">
        <f>IFERROR(IF(LEN(#REF!)=0,"",IF(CU$29=#REF!,Milestone_Marker_Old,"")),"")</f>
        <v/>
      </c>
    </row>
    <row r="25" spans="1:125" s="42" customFormat="1" ht="20.100000000000001" customHeight="1">
      <c r="A25" s="131" t="s">
        <v>442</v>
      </c>
      <c r="B25" s="132">
        <f>+B24+1</f>
        <v>16</v>
      </c>
      <c r="C25" s="133"/>
      <c r="D25" s="134"/>
      <c r="E25" s="135" t="s">
        <v>443</v>
      </c>
      <c r="F25" s="136">
        <v>0</v>
      </c>
      <c r="G25" s="137">
        <v>400</v>
      </c>
      <c r="H25" s="137">
        <f>+F25*G25</f>
        <v>0</v>
      </c>
      <c r="I25" s="138"/>
      <c r="J25" s="138"/>
      <c r="K25" s="139"/>
      <c r="L25" s="138"/>
      <c r="M25" s="138"/>
      <c r="N25" s="138"/>
      <c r="O25" s="138">
        <f t="shared" si="7"/>
        <v>0</v>
      </c>
      <c r="R25" s="76"/>
      <c r="S25" s="76"/>
      <c r="T25" s="76"/>
      <c r="U25" s="76"/>
      <c r="V25" s="76"/>
      <c r="W25" s="76"/>
      <c r="X25" s="76"/>
      <c r="Y25" s="76"/>
      <c r="Z25" s="76"/>
      <c r="AA25" s="626"/>
      <c r="AB25" s="626"/>
      <c r="AC25" s="626"/>
      <c r="AD25" s="626"/>
      <c r="AE25" s="626"/>
      <c r="AF25" s="626"/>
      <c r="AG25" s="626"/>
      <c r="AH25" s="626"/>
      <c r="AI25" s="75"/>
      <c r="AJ25" s="75"/>
      <c r="AK25" s="75"/>
      <c r="AL25" s="75"/>
      <c r="AM25" s="75"/>
      <c r="AN25" s="75"/>
      <c r="AO25" s="75"/>
      <c r="AP25" s="75" t="str">
        <f>IFERROR(IF(LEN(#REF!)=0,"",IF(P$29=#REF!,Milestone_Marker_Old,"")),"")</f>
        <v/>
      </c>
      <c r="AQ25" s="37" t="str">
        <f>IFERROR(IF(LEN(#REF!)=0,"",IF(Q$29=#REF!,Milestone_Marker_Old,"")),"")</f>
        <v/>
      </c>
      <c r="AR25" s="37" t="str">
        <f>IFERROR(IF(LEN(#REF!)=0,"",IF(R$29=#REF!,Milestone_Marker_Old,"")),"")</f>
        <v/>
      </c>
      <c r="AS25" s="37" t="str">
        <f>IFERROR(IF(LEN(#REF!)=0,"",IF(S$29=#REF!,Milestone_Marker_Old,"")),"")</f>
        <v/>
      </c>
      <c r="AT25" s="37" t="str">
        <f>IFERROR(IF(LEN(#REF!)=0,"",IF(T$29=#REF!,Milestone_Marker_Old,"")),"")</f>
        <v/>
      </c>
      <c r="AU25" s="37" t="str">
        <f>IFERROR(IF(LEN(#REF!)=0,"",IF(U$29=#REF!,Milestone_Marker_Old,"")),"")</f>
        <v/>
      </c>
      <c r="AV25" s="37" t="str">
        <f>IFERROR(IF(LEN(#REF!)=0,"",IF(V$29=#REF!,Milestone_Marker_Old,"")),"")</f>
        <v/>
      </c>
      <c r="AW25" s="37" t="str">
        <f>IFERROR(IF(LEN(#REF!)=0,"",IF(W$29=#REF!,Milestone_Marker_Old,"")),"")</f>
        <v/>
      </c>
      <c r="AX25" s="37" t="str">
        <f>IFERROR(IF(LEN(#REF!)=0,"",IF(X$29=#REF!,Milestone_Marker_Old,"")),"")</f>
        <v/>
      </c>
      <c r="AY25" s="37" t="str">
        <f>IFERROR(IF(LEN(#REF!)=0,"",IF(Y$29=#REF!,Milestone_Marker_Old,"")),"")</f>
        <v/>
      </c>
      <c r="AZ25" s="37" t="str">
        <f>IFERROR(IF(LEN(#REF!)=0,"",IF(Z$29=#REF!,Milestone_Marker_Old,"")),"")</f>
        <v/>
      </c>
      <c r="BA25" s="37" t="str">
        <f>IFERROR(IF(LEN(#REF!)=0,"",IF(AA$29=#REF!,Milestone_Marker_Old,"")),"")</f>
        <v/>
      </c>
      <c r="BB25" s="37" t="str">
        <f>IFERROR(IF(LEN(#REF!)=0,"",IF(AB$29=#REF!,Milestone_Marker_Old,"")),"")</f>
        <v/>
      </c>
      <c r="BC25" s="37" t="str">
        <f>IFERROR(IF(LEN(#REF!)=0,"",IF(AC$29=#REF!,Milestone_Marker_Old,"")),"")</f>
        <v/>
      </c>
      <c r="BD25" s="37" t="str">
        <f>IFERROR(IF(LEN(#REF!)=0,"",IF(AD$29=#REF!,Milestone_Marker_Old,"")),"")</f>
        <v/>
      </c>
      <c r="BE25" s="37" t="str">
        <f>IFERROR(IF(LEN(#REF!)=0,"",IF(AE$29=#REF!,Milestone_Marker_Old,"")),"")</f>
        <v/>
      </c>
      <c r="BF25" s="37" t="str">
        <f>IFERROR(IF(LEN(#REF!)=0,"",IF(AF$29=#REF!,Milestone_Marker_Old,"")),"")</f>
        <v/>
      </c>
      <c r="BG25" s="37" t="str">
        <f>IFERROR(IF(LEN(#REF!)=0,"",IF(AG$29=#REF!,Milestone_Marker_Old,"")),"")</f>
        <v/>
      </c>
      <c r="BH25" s="37" t="str">
        <f>IFERROR(IF(LEN(#REF!)=0,"",IF(AH$29=#REF!,Milestone_Marker_Old,"")),"")</f>
        <v/>
      </c>
      <c r="BI25" s="37" t="str">
        <f>IFERROR(IF(LEN(#REF!)=0,"",IF(AI$29=#REF!,Milestone_Marker_Old,"")),"")</f>
        <v/>
      </c>
      <c r="BJ25" s="37" t="str">
        <f>IFERROR(IF(LEN(#REF!)=0,"",IF(AJ$29=#REF!,Milestone_Marker_Old,"")),"")</f>
        <v/>
      </c>
      <c r="BK25" s="37" t="str">
        <f>IFERROR(IF(LEN(#REF!)=0,"",IF(AK$29=#REF!,Milestone_Marker_Old,"")),"")</f>
        <v/>
      </c>
      <c r="BL25" s="37" t="str">
        <f>IFERROR(IF(LEN(#REF!)=0,"",IF(AL$29=#REF!,Milestone_Marker_Old,"")),"")</f>
        <v/>
      </c>
      <c r="BM25" s="37" t="str">
        <f>IFERROR(IF(LEN(#REF!)=0,"",IF(AM$29=#REF!,Milestone_Marker_Old,"")),"")</f>
        <v/>
      </c>
      <c r="BN25" s="37" t="str">
        <f>IFERROR(IF(LEN(#REF!)=0,"",IF(AN$29=#REF!,Milestone_Marker_Old,"")),"")</f>
        <v/>
      </c>
      <c r="BO25" s="37" t="str">
        <f>IFERROR(IF(LEN(#REF!)=0,"",IF(AO$29=#REF!,Milestone_Marker_Old,"")),"")</f>
        <v/>
      </c>
      <c r="BP25" s="37" t="str">
        <f>IFERROR(IF(LEN(#REF!)=0,"",IF(AP$29=#REF!,Milestone_Marker_Old,"")),"")</f>
        <v/>
      </c>
      <c r="BQ25" s="37" t="str">
        <f>IFERROR(IF(LEN(#REF!)=0,"",IF(AQ$29=#REF!,Milestone_Marker_Old,"")),"")</f>
        <v/>
      </c>
      <c r="BR25" s="37" t="str">
        <f>IFERROR(IF(LEN(#REF!)=0,"",IF(AR$29=#REF!,Milestone_Marker_Old,"")),"")</f>
        <v/>
      </c>
      <c r="BS25" s="37" t="str">
        <f>IFERROR(IF(LEN(#REF!)=0,"",IF(AS$29=#REF!,Milestone_Marker_Old,"")),"")</f>
        <v/>
      </c>
      <c r="BT25" s="37" t="str">
        <f>IFERROR(IF(LEN(#REF!)=0,"",IF(AT$29=#REF!,Milestone_Marker_Old,"")),"")</f>
        <v/>
      </c>
      <c r="BU25" s="37" t="str">
        <f>IFERROR(IF(LEN(#REF!)=0,"",IF(AU$29=#REF!,Milestone_Marker_Old,"")),"")</f>
        <v/>
      </c>
      <c r="BV25" s="37" t="str">
        <f>IFERROR(IF(LEN(#REF!)=0,"",IF(AV$29=#REF!,Milestone_Marker_Old,"")),"")</f>
        <v/>
      </c>
      <c r="BW25" s="37" t="str">
        <f>IFERROR(IF(LEN(#REF!)=0,"",IF(AW$29=#REF!,Milestone_Marker_Old,"")),"")</f>
        <v/>
      </c>
      <c r="BX25" s="37" t="str">
        <f>IFERROR(IF(LEN(#REF!)=0,"",IF(AX$29=#REF!,Milestone_Marker_Old,"")),"")</f>
        <v/>
      </c>
      <c r="BY25" s="37" t="str">
        <f>IFERROR(IF(LEN(#REF!)=0,"",IF(AY$29=#REF!,Milestone_Marker_Old,"")),"")</f>
        <v/>
      </c>
      <c r="BZ25" s="37" t="str">
        <f>IFERROR(IF(LEN(#REF!)=0,"",IF(AZ$29=#REF!,Milestone_Marker_Old,"")),"")</f>
        <v/>
      </c>
      <c r="CA25" s="37" t="str">
        <f>IFERROR(IF(LEN(#REF!)=0,"",IF(BA$29=#REF!,Milestone_Marker_Old,"")),"")</f>
        <v/>
      </c>
      <c r="CB25" s="37" t="str">
        <f>IFERROR(IF(LEN(#REF!)=0,"",IF(BB$29=#REF!,Milestone_Marker_Old,"")),"")</f>
        <v/>
      </c>
      <c r="CC25" s="37" t="str">
        <f>IFERROR(IF(LEN(#REF!)=0,"",IF(BC$29=#REF!,Milestone_Marker_Old,"")),"")</f>
        <v/>
      </c>
      <c r="CD25" s="37" t="str">
        <f>IFERROR(IF(LEN(#REF!)=0,"",IF(BD$29=#REF!,Milestone_Marker_Old,"")),"")</f>
        <v/>
      </c>
      <c r="CE25" s="37" t="str">
        <f>IFERROR(IF(LEN(#REF!)=0,"",IF(BE$29=#REF!,Milestone_Marker_Old,"")),"")</f>
        <v/>
      </c>
      <c r="CF25" s="37" t="str">
        <f>IFERROR(IF(LEN(#REF!)=0,"",IF(BF$29=#REF!,Milestone_Marker_Old,"")),"")</f>
        <v/>
      </c>
      <c r="CG25" s="37" t="str">
        <f>IFERROR(IF(LEN(#REF!)=0,"",IF(BG$29=#REF!,Milestone_Marker_Old,"")),"")</f>
        <v/>
      </c>
      <c r="CH25" s="37" t="str">
        <f>IFERROR(IF(LEN(#REF!)=0,"",IF(BH$29=#REF!,Milestone_Marker_Old,"")),"")</f>
        <v/>
      </c>
      <c r="CI25" s="37" t="str">
        <f>IFERROR(IF(LEN(#REF!)=0,"",IF(BI$29=#REF!,Milestone_Marker_Old,"")),"")</f>
        <v/>
      </c>
      <c r="CJ25" s="37" t="str">
        <f>IFERROR(IF(LEN(#REF!)=0,"",IF(BJ$29=#REF!,Milestone_Marker_Old,"")),"")</f>
        <v/>
      </c>
      <c r="CK25" s="37" t="str">
        <f>IFERROR(IF(LEN(#REF!)=0,"",IF(BK$29=#REF!,Milestone_Marker_Old,"")),"")</f>
        <v/>
      </c>
      <c r="CL25" s="37" t="str">
        <f>IFERROR(IF(LEN(#REF!)=0,"",IF(BL$29=#REF!,Milestone_Marker_Old,"")),"")</f>
        <v/>
      </c>
      <c r="CM25" s="37" t="str">
        <f>IFERROR(IF(LEN(#REF!)=0,"",IF(BM$29=#REF!,Milestone_Marker_Old,"")),"")</f>
        <v/>
      </c>
      <c r="CN25" s="37" t="str">
        <f>IFERROR(IF(LEN(#REF!)=0,"",IF(BN$29=#REF!,Milestone_Marker_Old,"")),"")</f>
        <v/>
      </c>
      <c r="CO25" s="37" t="str">
        <f>IFERROR(IF(LEN(#REF!)=0,"",IF(BO$29=#REF!,Milestone_Marker_Old,"")),"")</f>
        <v/>
      </c>
      <c r="CP25" s="37" t="str">
        <f>IFERROR(IF(LEN(#REF!)=0,"",IF(BP$29=#REF!,Milestone_Marker_Old,"")),"")</f>
        <v/>
      </c>
      <c r="CQ25" s="37" t="str">
        <f>IFERROR(IF(LEN(#REF!)=0,"",IF(BQ$29=#REF!,Milestone_Marker_Old,"")),"")</f>
        <v/>
      </c>
      <c r="CR25" s="37" t="str">
        <f>IFERROR(IF(LEN(#REF!)=0,"",IF(BR$29=#REF!,Milestone_Marker_Old,"")),"")</f>
        <v/>
      </c>
      <c r="CS25" s="37" t="str">
        <f>IFERROR(IF(LEN(#REF!)=0,"",IF(BS$29=#REF!,Milestone_Marker_Old,"")),"")</f>
        <v/>
      </c>
      <c r="CT25" s="37" t="str">
        <f>IFERROR(IF(LEN(#REF!)=0,"",IF(BT$29=#REF!,Milestone_Marker_Old,"")),"")</f>
        <v/>
      </c>
      <c r="CU25" s="37" t="str">
        <f>IFERROR(IF(LEN(#REF!)=0,"",IF(BU$29=#REF!,Milestone_Marker_Old,"")),"")</f>
        <v/>
      </c>
      <c r="CV25" s="37" t="str">
        <f>IFERROR(IF(LEN(#REF!)=0,"",IF(BV$29=#REF!,Milestone_Marker_Old,"")),"")</f>
        <v/>
      </c>
      <c r="CW25" s="37" t="str">
        <f>IFERROR(IF(LEN(#REF!)=0,"",IF(BW$29=#REF!,Milestone_Marker_Old,"")),"")</f>
        <v/>
      </c>
      <c r="CX25" s="37" t="str">
        <f>IFERROR(IF(LEN(#REF!)=0,"",IF(BX$29=#REF!,Milestone_Marker_Old,"")),"")</f>
        <v/>
      </c>
      <c r="CY25" s="37" t="str">
        <f>IFERROR(IF(LEN(#REF!)=0,"",IF(BY$29=#REF!,Milestone_Marker_Old,"")),"")</f>
        <v/>
      </c>
      <c r="CZ25" s="37" t="str">
        <f>IFERROR(IF(LEN(#REF!)=0,"",IF(BZ$29=#REF!,Milestone_Marker_Old,"")),"")</f>
        <v/>
      </c>
      <c r="DA25" s="37" t="str">
        <f>IFERROR(IF(LEN(#REF!)=0,"",IF(CA$29=#REF!,Milestone_Marker_Old,"")),"")</f>
        <v/>
      </c>
      <c r="DB25" s="37" t="str">
        <f>IFERROR(IF(LEN(#REF!)=0,"",IF(CB$29=#REF!,Milestone_Marker_Old,"")),"")</f>
        <v/>
      </c>
      <c r="DC25" s="37" t="str">
        <f>IFERROR(IF(LEN(#REF!)=0,"",IF(CC$29=#REF!,Milestone_Marker_Old,"")),"")</f>
        <v/>
      </c>
      <c r="DD25" s="37" t="str">
        <f>IFERROR(IF(LEN(#REF!)=0,"",IF(CD$29=#REF!,Milestone_Marker_Old,"")),"")</f>
        <v/>
      </c>
      <c r="DE25" s="37" t="str">
        <f>IFERROR(IF(LEN(#REF!)=0,"",IF(CE$29=#REF!,Milestone_Marker_Old,"")),"")</f>
        <v/>
      </c>
      <c r="DF25" s="37" t="str">
        <f>IFERROR(IF(LEN(#REF!)=0,"",IF(CF$29=#REF!,Milestone_Marker_Old,"")),"")</f>
        <v/>
      </c>
      <c r="DG25" s="37" t="str">
        <f>IFERROR(IF(LEN(#REF!)=0,"",IF(CG$29=#REF!,Milestone_Marker_Old,"")),"")</f>
        <v/>
      </c>
      <c r="DH25" s="37" t="str">
        <f>IFERROR(IF(LEN(#REF!)=0,"",IF(CH$29=#REF!,Milestone_Marker_Old,"")),"")</f>
        <v/>
      </c>
      <c r="DI25" s="37" t="str">
        <f>IFERROR(IF(LEN(#REF!)=0,"",IF(CI$29=#REF!,Milestone_Marker_Old,"")),"")</f>
        <v/>
      </c>
      <c r="DJ25" s="37" t="str">
        <f>IFERROR(IF(LEN(#REF!)=0,"",IF(CJ$29=#REF!,Milestone_Marker_Old,"")),"")</f>
        <v/>
      </c>
      <c r="DK25" s="37" t="str">
        <f>IFERROR(IF(LEN(#REF!)=0,"",IF(CK$29=#REF!,Milestone_Marker_Old,"")),"")</f>
        <v/>
      </c>
      <c r="DL25" s="37" t="str">
        <f>IFERROR(IF(LEN(#REF!)=0,"",IF(CL$29=#REF!,Milestone_Marker_Old,"")),"")</f>
        <v/>
      </c>
      <c r="DM25" s="37" t="str">
        <f>IFERROR(IF(LEN(#REF!)=0,"",IF(CM$29=#REF!,Milestone_Marker_Old,"")),"")</f>
        <v/>
      </c>
      <c r="DN25" s="37" t="str">
        <f>IFERROR(IF(LEN(#REF!)=0,"",IF(CN$29=#REF!,Milestone_Marker_Old,"")),"")</f>
        <v/>
      </c>
      <c r="DO25" s="37" t="str">
        <f>IFERROR(IF(LEN(#REF!)=0,"",IF(CO$29=#REF!,Milestone_Marker_Old,"")),"")</f>
        <v/>
      </c>
      <c r="DP25" s="37" t="str">
        <f>IFERROR(IF(LEN(#REF!)=0,"",IF(CP$29=#REF!,Milestone_Marker_Old,"")),"")</f>
        <v/>
      </c>
      <c r="DQ25" s="37" t="str">
        <f>IFERROR(IF(LEN(#REF!)=0,"",IF(CQ$29=#REF!,Milestone_Marker_Old,"")),"")</f>
        <v/>
      </c>
      <c r="DR25" s="37" t="str">
        <f>IFERROR(IF(LEN(#REF!)=0,"",IF(CR$29=#REF!,Milestone_Marker_Old,"")),"")</f>
        <v/>
      </c>
      <c r="DS25" s="37" t="str">
        <f>IFERROR(IF(LEN(#REF!)=0,"",IF(CS$29=#REF!,Milestone_Marker_Old,"")),"")</f>
        <v/>
      </c>
      <c r="DT25" s="37" t="str">
        <f>IFERROR(IF(LEN(#REF!)=0,"",IF(CT$29=#REF!,Milestone_Marker_Old,"")),"")</f>
        <v/>
      </c>
      <c r="DU25" s="37" t="str">
        <f>IFERROR(IF(LEN(#REF!)=0,"",IF(CU$29=#REF!,Milestone_Marker_Old,"")),"")</f>
        <v/>
      </c>
    </row>
    <row r="26" spans="1:125" s="42" customFormat="1" ht="20.100000000000001" customHeight="1">
      <c r="A26" s="131" t="s">
        <v>445</v>
      </c>
      <c r="B26" s="132">
        <f>+B25+1</f>
        <v>17</v>
      </c>
      <c r="C26" s="133"/>
      <c r="D26" s="134"/>
      <c r="E26" s="135" t="s">
        <v>446</v>
      </c>
      <c r="F26" s="136">
        <v>1</v>
      </c>
      <c r="G26" s="137">
        <f>+HVAC!F13</f>
        <v>0</v>
      </c>
      <c r="H26" s="137">
        <f>+F26*G26</f>
        <v>0</v>
      </c>
      <c r="I26" s="138"/>
      <c r="J26" s="138"/>
      <c r="K26" s="139"/>
      <c r="L26" s="138"/>
      <c r="M26" s="138"/>
      <c r="N26" s="138"/>
      <c r="O26" s="138">
        <f t="shared" si="7"/>
        <v>0</v>
      </c>
      <c r="R26" s="76"/>
      <c r="S26" s="76"/>
      <c r="T26" s="76"/>
      <c r="U26" s="76"/>
      <c r="V26" s="76"/>
      <c r="W26" s="76"/>
      <c r="X26" s="76"/>
      <c r="Y26" s="76"/>
      <c r="Z26" s="76"/>
      <c r="AB26" s="102">
        <v>0</v>
      </c>
      <c r="AC26" s="75"/>
      <c r="AD26" s="75"/>
      <c r="AE26" s="75"/>
      <c r="AF26" s="75"/>
      <c r="AG26" s="75"/>
      <c r="AH26" s="75"/>
      <c r="AI26" s="75"/>
      <c r="AJ26" s="75"/>
      <c r="AK26" s="75"/>
      <c r="AL26" s="75"/>
      <c r="AM26" s="75"/>
      <c r="AN26" s="75"/>
      <c r="AO26" s="75"/>
      <c r="AP26" s="75"/>
    </row>
    <row r="27" spans="1:125" s="42" customFormat="1" ht="20.100000000000001" customHeight="1">
      <c r="A27" s="131" t="s">
        <v>445</v>
      </c>
      <c r="B27" s="132">
        <f>+B26+1</f>
        <v>18</v>
      </c>
      <c r="C27" s="133"/>
      <c r="D27" s="134"/>
      <c r="E27" s="135" t="s">
        <v>447</v>
      </c>
      <c r="F27" s="136">
        <v>0</v>
      </c>
      <c r="G27" s="137">
        <v>4598</v>
      </c>
      <c r="H27" s="137">
        <f>+F27*G27</f>
        <v>0</v>
      </c>
      <c r="I27" s="138"/>
      <c r="J27" s="138"/>
      <c r="K27" s="139"/>
      <c r="L27" s="138"/>
      <c r="M27" s="138"/>
      <c r="N27" s="138"/>
      <c r="O27" s="138">
        <f t="shared" si="7"/>
        <v>0</v>
      </c>
      <c r="R27" s="76"/>
      <c r="S27" s="76"/>
      <c r="T27" s="76"/>
      <c r="U27" s="76"/>
      <c r="V27" s="76"/>
      <c r="W27" s="76"/>
      <c r="X27" s="76"/>
      <c r="Y27" s="76"/>
      <c r="Z27" s="76"/>
    </row>
    <row r="28" spans="1:125" s="42" customFormat="1" ht="21.75" thickBot="1">
      <c r="A28" s="140"/>
      <c r="B28" s="141"/>
      <c r="C28" s="140"/>
      <c r="D28" s="140"/>
      <c r="E28" s="128" t="s">
        <v>448</v>
      </c>
      <c r="F28" s="140"/>
      <c r="G28" s="140"/>
      <c r="H28" s="140"/>
      <c r="I28" s="140"/>
      <c r="J28" s="140"/>
      <c r="K28" s="142"/>
      <c r="L28" s="140"/>
      <c r="M28" s="140"/>
      <c r="N28" s="140"/>
      <c r="O28" s="140"/>
      <c r="P28" s="92" t="str">
        <f ca="1">IF(TEXT(Project_Start,"mmmm")=TEXT(P29,"mmmm"),"",TEXT(P29,"mmmm"))</f>
        <v/>
      </c>
      <c r="Q28" s="92" t="str">
        <f t="shared" ref="Q28:AV28" ca="1" si="8">IF(TEXT(P29,"mmmm")=TEXT(Q29,"mmmm"),"",TEXT(Q29,"mmmm"))</f>
        <v/>
      </c>
      <c r="R28" s="92" t="str">
        <f t="shared" ca="1" si="8"/>
        <v/>
      </c>
      <c r="S28" s="92" t="str">
        <f t="shared" ca="1" si="8"/>
        <v/>
      </c>
      <c r="T28" s="92" t="str">
        <f t="shared" ca="1" si="8"/>
        <v/>
      </c>
      <c r="U28" s="92" t="str">
        <f t="shared" ca="1" si="8"/>
        <v/>
      </c>
      <c r="V28" s="92" t="str">
        <f t="shared" ca="1" si="8"/>
        <v/>
      </c>
      <c r="W28" s="92" t="str">
        <f t="shared" ca="1" si="8"/>
        <v/>
      </c>
      <c r="X28" s="92" t="str">
        <f t="shared" ca="1" si="8"/>
        <v/>
      </c>
      <c r="Y28" s="92" t="str">
        <f t="shared" ca="1" si="8"/>
        <v/>
      </c>
      <c r="Z28" s="92" t="str">
        <f t="shared" ca="1" si="8"/>
        <v/>
      </c>
      <c r="AA28" s="92" t="str">
        <f t="shared" ca="1" si="8"/>
        <v/>
      </c>
      <c r="AB28" s="92" t="str">
        <f t="shared" ca="1" si="8"/>
        <v/>
      </c>
      <c r="AC28" s="92" t="str">
        <f t="shared" ca="1" si="8"/>
        <v/>
      </c>
      <c r="AD28" s="92" t="str">
        <f t="shared" ca="1" si="8"/>
        <v/>
      </c>
      <c r="AE28" s="92" t="str">
        <f t="shared" ca="1" si="8"/>
        <v/>
      </c>
      <c r="AF28" s="92" t="str">
        <f t="shared" ca="1" si="8"/>
        <v/>
      </c>
      <c r="AG28" s="92" t="str">
        <f t="shared" ca="1" si="8"/>
        <v/>
      </c>
      <c r="AH28" s="92" t="str">
        <f t="shared" ca="1" si="8"/>
        <v/>
      </c>
      <c r="AI28" s="92" t="str">
        <f t="shared" ca="1" si="8"/>
        <v/>
      </c>
      <c r="AJ28" s="92" t="str">
        <f t="shared" ca="1" si="8"/>
        <v/>
      </c>
      <c r="AK28" s="92" t="str">
        <f t="shared" ca="1" si="8"/>
        <v/>
      </c>
      <c r="AL28" s="92" t="str">
        <f t="shared" ca="1" si="8"/>
        <v/>
      </c>
      <c r="AM28" s="92" t="str">
        <f t="shared" ca="1" si="8"/>
        <v/>
      </c>
      <c r="AN28" s="92" t="str">
        <f t="shared" ca="1" si="8"/>
        <v/>
      </c>
      <c r="AO28" s="92" t="str">
        <f t="shared" ca="1" si="8"/>
        <v/>
      </c>
      <c r="AP28" s="92" t="str">
        <f t="shared" ca="1" si="8"/>
        <v/>
      </c>
      <c r="AQ28" s="92" t="str">
        <f t="shared" ca="1" si="8"/>
        <v/>
      </c>
      <c r="AR28" s="92" t="str">
        <f t="shared" ca="1" si="8"/>
        <v/>
      </c>
      <c r="AS28" s="92" t="str">
        <f t="shared" ca="1" si="8"/>
        <v/>
      </c>
      <c r="AT28" s="92" t="str">
        <f t="shared" ca="1" si="8"/>
        <v/>
      </c>
      <c r="AU28" s="92" t="str">
        <f t="shared" ca="1" si="8"/>
        <v/>
      </c>
      <c r="AV28" s="92" t="str">
        <f t="shared" ca="1" si="8"/>
        <v>February</v>
      </c>
      <c r="AW28" s="92" t="str">
        <f t="shared" ref="AW28:CB28" ca="1" si="9">IF(TEXT(AV29,"mmmm")=TEXT(AW29,"mmmm"),"",TEXT(AW29,"mmmm"))</f>
        <v/>
      </c>
      <c r="AX28" s="92" t="str">
        <f t="shared" ca="1" si="9"/>
        <v/>
      </c>
      <c r="AY28" s="92" t="str">
        <f t="shared" ca="1" si="9"/>
        <v/>
      </c>
      <c r="AZ28" s="92" t="str">
        <f t="shared" ca="1" si="9"/>
        <v/>
      </c>
      <c r="BA28" s="92" t="str">
        <f t="shared" ca="1" si="9"/>
        <v/>
      </c>
      <c r="BB28" s="92" t="str">
        <f t="shared" ca="1" si="9"/>
        <v/>
      </c>
      <c r="BC28" s="92" t="str">
        <f t="shared" ca="1" si="9"/>
        <v/>
      </c>
      <c r="BD28" s="92" t="str">
        <f t="shared" ca="1" si="9"/>
        <v/>
      </c>
      <c r="BE28" s="92" t="str">
        <f t="shared" ca="1" si="9"/>
        <v/>
      </c>
      <c r="BF28" s="92" t="str">
        <f t="shared" ca="1" si="9"/>
        <v/>
      </c>
      <c r="BG28" s="92" t="str">
        <f t="shared" ca="1" si="9"/>
        <v/>
      </c>
      <c r="BH28" s="92" t="str">
        <f t="shared" ca="1" si="9"/>
        <v/>
      </c>
      <c r="BI28" s="92" t="str">
        <f t="shared" ca="1" si="9"/>
        <v/>
      </c>
      <c r="BJ28" s="92" t="str">
        <f t="shared" ca="1" si="9"/>
        <v/>
      </c>
      <c r="BK28" s="92" t="str">
        <f t="shared" ca="1" si="9"/>
        <v/>
      </c>
      <c r="BL28" s="92" t="str">
        <f t="shared" ca="1" si="9"/>
        <v/>
      </c>
      <c r="BM28" s="92" t="str">
        <f t="shared" ca="1" si="9"/>
        <v/>
      </c>
      <c r="BN28" s="92" t="str">
        <f t="shared" ca="1" si="9"/>
        <v/>
      </c>
      <c r="BO28" s="92" t="str">
        <f t="shared" ca="1" si="9"/>
        <v/>
      </c>
      <c r="BP28" s="92" t="str">
        <f t="shared" ca="1" si="9"/>
        <v/>
      </c>
      <c r="BQ28" s="92" t="str">
        <f t="shared" ca="1" si="9"/>
        <v/>
      </c>
      <c r="BR28" s="92" t="str">
        <f t="shared" ca="1" si="9"/>
        <v/>
      </c>
      <c r="BS28" s="92" t="str">
        <f t="shared" ca="1" si="9"/>
        <v/>
      </c>
      <c r="BT28" s="92" t="str">
        <f t="shared" ca="1" si="9"/>
        <v/>
      </c>
      <c r="BU28" s="92" t="str">
        <f t="shared" ca="1" si="9"/>
        <v/>
      </c>
      <c r="BV28" s="92" t="str">
        <f t="shared" ca="1" si="9"/>
        <v/>
      </c>
      <c r="BW28" s="92" t="str">
        <f t="shared" ca="1" si="9"/>
        <v/>
      </c>
      <c r="BX28" s="92" t="str">
        <f t="shared" ca="1" si="9"/>
        <v/>
      </c>
      <c r="BY28" s="92" t="str">
        <f t="shared" ca="1" si="9"/>
        <v>March</v>
      </c>
      <c r="BZ28" s="92" t="str">
        <f t="shared" ca="1" si="9"/>
        <v/>
      </c>
      <c r="CA28" s="92" t="str">
        <f t="shared" ca="1" si="9"/>
        <v/>
      </c>
      <c r="CB28" s="92" t="str">
        <f t="shared" ca="1" si="9"/>
        <v/>
      </c>
      <c r="CC28" s="92" t="str">
        <f t="shared" ref="CC28:CU28" ca="1" si="10">IF(TEXT(CB29,"mmmm")=TEXT(CC29,"mmmm"),"",TEXT(CC29,"mmmm"))</f>
        <v/>
      </c>
      <c r="CD28" s="92" t="str">
        <f t="shared" ca="1" si="10"/>
        <v/>
      </c>
      <c r="CE28" s="92" t="str">
        <f t="shared" ca="1" si="10"/>
        <v/>
      </c>
      <c r="CF28" s="92" t="str">
        <f t="shared" ca="1" si="10"/>
        <v/>
      </c>
      <c r="CG28" s="92" t="str">
        <f t="shared" ca="1" si="10"/>
        <v/>
      </c>
      <c r="CH28" s="92" t="str">
        <f t="shared" ca="1" si="10"/>
        <v/>
      </c>
      <c r="CI28" s="92" t="str">
        <f t="shared" ca="1" si="10"/>
        <v/>
      </c>
      <c r="CJ28" s="92" t="str">
        <f t="shared" ca="1" si="10"/>
        <v/>
      </c>
      <c r="CK28" s="92" t="str">
        <f t="shared" ca="1" si="10"/>
        <v/>
      </c>
      <c r="CL28" s="92" t="str">
        <f t="shared" ca="1" si="10"/>
        <v/>
      </c>
      <c r="CM28" s="92" t="str">
        <f t="shared" ca="1" si="10"/>
        <v/>
      </c>
      <c r="CN28" s="92" t="str">
        <f t="shared" ca="1" si="10"/>
        <v/>
      </c>
      <c r="CO28" s="92" t="str">
        <f t="shared" ca="1" si="10"/>
        <v/>
      </c>
      <c r="CP28" s="92" t="str">
        <f t="shared" ca="1" si="10"/>
        <v/>
      </c>
      <c r="CQ28" s="92" t="str">
        <f t="shared" ca="1" si="10"/>
        <v/>
      </c>
      <c r="CR28" s="92" t="str">
        <f t="shared" ca="1" si="10"/>
        <v/>
      </c>
      <c r="CS28" s="92" t="str">
        <f t="shared" ca="1" si="10"/>
        <v/>
      </c>
      <c r="CT28" s="92" t="str">
        <f t="shared" ca="1" si="10"/>
        <v/>
      </c>
      <c r="CU28" s="92" t="str">
        <f t="shared" ca="1" si="10"/>
        <v/>
      </c>
    </row>
    <row r="29" spans="1:125" s="88" customFormat="1" ht="34.5" customHeight="1" thickTop="1">
      <c r="A29" s="143" t="s">
        <v>402</v>
      </c>
      <c r="B29" s="143" t="s">
        <v>403</v>
      </c>
      <c r="C29" s="143" t="s">
        <v>404</v>
      </c>
      <c r="D29" s="143" t="s">
        <v>405</v>
      </c>
      <c r="E29" s="143" t="s">
        <v>406</v>
      </c>
      <c r="F29" s="143" t="s">
        <v>364</v>
      </c>
      <c r="G29" s="144" t="s">
        <v>365</v>
      </c>
      <c r="H29" s="144" t="s">
        <v>407</v>
      </c>
      <c r="I29" s="143" t="s">
        <v>408</v>
      </c>
      <c r="J29" s="143" t="s">
        <v>409</v>
      </c>
      <c r="K29" s="145" t="s">
        <v>410</v>
      </c>
      <c r="L29" s="143" t="s">
        <v>411</v>
      </c>
      <c r="M29" s="143" t="s">
        <v>412</v>
      </c>
      <c r="N29" s="143" t="s">
        <v>151</v>
      </c>
      <c r="O29" s="143" t="s">
        <v>426</v>
      </c>
      <c r="P29" s="96">
        <f ca="1">IFERROR(Project_Start+Scrolling_Increment,TODAY())</f>
        <v>0</v>
      </c>
      <c r="Q29" s="96">
        <f t="shared" ref="Q29:AV29" ca="1" si="11">+P29+1</f>
        <v>1</v>
      </c>
      <c r="R29" s="96">
        <f t="shared" ca="1" si="11"/>
        <v>2</v>
      </c>
      <c r="S29" s="96">
        <f t="shared" ca="1" si="11"/>
        <v>3</v>
      </c>
      <c r="T29" s="96">
        <f t="shared" ca="1" si="11"/>
        <v>4</v>
      </c>
      <c r="U29" s="96">
        <f t="shared" ca="1" si="11"/>
        <v>5</v>
      </c>
      <c r="V29" s="96">
        <f t="shared" ca="1" si="11"/>
        <v>6</v>
      </c>
      <c r="W29" s="96">
        <f t="shared" ca="1" si="11"/>
        <v>7</v>
      </c>
      <c r="X29" s="96">
        <f t="shared" ca="1" si="11"/>
        <v>8</v>
      </c>
      <c r="Y29" s="96">
        <f t="shared" ca="1" si="11"/>
        <v>9</v>
      </c>
      <c r="Z29" s="96">
        <f t="shared" ca="1" si="11"/>
        <v>10</v>
      </c>
      <c r="AA29" s="96">
        <f t="shared" ca="1" si="11"/>
        <v>11</v>
      </c>
      <c r="AB29" s="96">
        <f t="shared" ca="1" si="11"/>
        <v>12</v>
      </c>
      <c r="AC29" s="96">
        <f t="shared" ca="1" si="11"/>
        <v>13</v>
      </c>
      <c r="AD29" s="96">
        <f t="shared" ca="1" si="11"/>
        <v>14</v>
      </c>
      <c r="AE29" s="96">
        <f t="shared" ca="1" si="11"/>
        <v>15</v>
      </c>
      <c r="AF29" s="96">
        <f t="shared" ca="1" si="11"/>
        <v>16</v>
      </c>
      <c r="AG29" s="96">
        <f t="shared" ca="1" si="11"/>
        <v>17</v>
      </c>
      <c r="AH29" s="96">
        <f t="shared" ca="1" si="11"/>
        <v>18</v>
      </c>
      <c r="AI29" s="96">
        <f t="shared" ca="1" si="11"/>
        <v>19</v>
      </c>
      <c r="AJ29" s="96">
        <f t="shared" ca="1" si="11"/>
        <v>20</v>
      </c>
      <c r="AK29" s="96">
        <f t="shared" ca="1" si="11"/>
        <v>21</v>
      </c>
      <c r="AL29" s="96">
        <f t="shared" ca="1" si="11"/>
        <v>22</v>
      </c>
      <c r="AM29" s="96">
        <f t="shared" ca="1" si="11"/>
        <v>23</v>
      </c>
      <c r="AN29" s="96">
        <f t="shared" ca="1" si="11"/>
        <v>24</v>
      </c>
      <c r="AO29" s="96">
        <f t="shared" ca="1" si="11"/>
        <v>25</v>
      </c>
      <c r="AP29" s="96">
        <f t="shared" ca="1" si="11"/>
        <v>26</v>
      </c>
      <c r="AQ29" s="96">
        <f t="shared" ca="1" si="11"/>
        <v>27</v>
      </c>
      <c r="AR29" s="96">
        <f t="shared" ca="1" si="11"/>
        <v>28</v>
      </c>
      <c r="AS29" s="96">
        <f t="shared" ca="1" si="11"/>
        <v>29</v>
      </c>
      <c r="AT29" s="96">
        <f t="shared" ca="1" si="11"/>
        <v>30</v>
      </c>
      <c r="AU29" s="96">
        <f t="shared" ca="1" si="11"/>
        <v>31</v>
      </c>
      <c r="AV29" s="96">
        <f t="shared" ca="1" si="11"/>
        <v>32</v>
      </c>
      <c r="AW29" s="96">
        <f t="shared" ref="AW29:CB29" ca="1" si="12">+AV29+1</f>
        <v>33</v>
      </c>
      <c r="AX29" s="96">
        <f t="shared" ca="1" si="12"/>
        <v>34</v>
      </c>
      <c r="AY29" s="96">
        <f t="shared" ca="1" si="12"/>
        <v>35</v>
      </c>
      <c r="AZ29" s="96">
        <f t="shared" ca="1" si="12"/>
        <v>36</v>
      </c>
      <c r="BA29" s="96">
        <f t="shared" ca="1" si="12"/>
        <v>37</v>
      </c>
      <c r="BB29" s="96">
        <f t="shared" ca="1" si="12"/>
        <v>38</v>
      </c>
      <c r="BC29" s="96">
        <f t="shared" ca="1" si="12"/>
        <v>39</v>
      </c>
      <c r="BD29" s="96">
        <f t="shared" ca="1" si="12"/>
        <v>40</v>
      </c>
      <c r="BE29" s="96">
        <f t="shared" ca="1" si="12"/>
        <v>41</v>
      </c>
      <c r="BF29" s="96">
        <f t="shared" ca="1" si="12"/>
        <v>42</v>
      </c>
      <c r="BG29" s="96">
        <f t="shared" ca="1" si="12"/>
        <v>43</v>
      </c>
      <c r="BH29" s="96">
        <f t="shared" ca="1" si="12"/>
        <v>44</v>
      </c>
      <c r="BI29" s="96">
        <f t="shared" ca="1" si="12"/>
        <v>45</v>
      </c>
      <c r="BJ29" s="96">
        <f t="shared" ca="1" si="12"/>
        <v>46</v>
      </c>
      <c r="BK29" s="96">
        <f t="shared" ca="1" si="12"/>
        <v>47</v>
      </c>
      <c r="BL29" s="96">
        <f t="shared" ca="1" si="12"/>
        <v>48</v>
      </c>
      <c r="BM29" s="96">
        <f t="shared" ca="1" si="12"/>
        <v>49</v>
      </c>
      <c r="BN29" s="96">
        <f t="shared" ca="1" si="12"/>
        <v>50</v>
      </c>
      <c r="BO29" s="96">
        <f t="shared" ca="1" si="12"/>
        <v>51</v>
      </c>
      <c r="BP29" s="96">
        <f t="shared" ca="1" si="12"/>
        <v>52</v>
      </c>
      <c r="BQ29" s="96">
        <f t="shared" ca="1" si="12"/>
        <v>53</v>
      </c>
      <c r="BR29" s="96">
        <f t="shared" ca="1" si="12"/>
        <v>54</v>
      </c>
      <c r="BS29" s="96">
        <f t="shared" ca="1" si="12"/>
        <v>55</v>
      </c>
      <c r="BT29" s="96">
        <f t="shared" ca="1" si="12"/>
        <v>56</v>
      </c>
      <c r="BU29" s="96">
        <f t="shared" ca="1" si="12"/>
        <v>57</v>
      </c>
      <c r="BV29" s="96">
        <f t="shared" ca="1" si="12"/>
        <v>58</v>
      </c>
      <c r="BW29" s="96">
        <f t="shared" ca="1" si="12"/>
        <v>59</v>
      </c>
      <c r="BX29" s="96">
        <f t="shared" ca="1" si="12"/>
        <v>60</v>
      </c>
      <c r="BY29" s="96">
        <f t="shared" ca="1" si="12"/>
        <v>61</v>
      </c>
      <c r="BZ29" s="96">
        <f t="shared" ca="1" si="12"/>
        <v>62</v>
      </c>
      <c r="CA29" s="96">
        <f t="shared" ca="1" si="12"/>
        <v>63</v>
      </c>
      <c r="CB29" s="96">
        <f t="shared" ca="1" si="12"/>
        <v>64</v>
      </c>
      <c r="CC29" s="96">
        <f t="shared" ref="CC29:CU29" ca="1" si="13">+CB29+1</f>
        <v>65</v>
      </c>
      <c r="CD29" s="96">
        <f t="shared" ca="1" si="13"/>
        <v>66</v>
      </c>
      <c r="CE29" s="96">
        <f t="shared" ca="1" si="13"/>
        <v>67</v>
      </c>
      <c r="CF29" s="96">
        <f t="shared" ca="1" si="13"/>
        <v>68</v>
      </c>
      <c r="CG29" s="96">
        <f t="shared" ca="1" si="13"/>
        <v>69</v>
      </c>
      <c r="CH29" s="96">
        <f t="shared" ca="1" si="13"/>
        <v>70</v>
      </c>
      <c r="CI29" s="96">
        <f t="shared" ca="1" si="13"/>
        <v>71</v>
      </c>
      <c r="CJ29" s="96">
        <f t="shared" ca="1" si="13"/>
        <v>72</v>
      </c>
      <c r="CK29" s="96">
        <f t="shared" ca="1" si="13"/>
        <v>73</v>
      </c>
      <c r="CL29" s="96">
        <f t="shared" ca="1" si="13"/>
        <v>74</v>
      </c>
      <c r="CM29" s="96">
        <f t="shared" ca="1" si="13"/>
        <v>75</v>
      </c>
      <c r="CN29" s="96">
        <f t="shared" ca="1" si="13"/>
        <v>76</v>
      </c>
      <c r="CO29" s="96">
        <f t="shared" ca="1" si="13"/>
        <v>77</v>
      </c>
      <c r="CP29" s="96">
        <f t="shared" ca="1" si="13"/>
        <v>78</v>
      </c>
      <c r="CQ29" s="96">
        <f t="shared" ca="1" si="13"/>
        <v>79</v>
      </c>
      <c r="CR29" s="96">
        <f t="shared" ca="1" si="13"/>
        <v>80</v>
      </c>
      <c r="CS29" s="96">
        <f t="shared" ca="1" si="13"/>
        <v>81</v>
      </c>
      <c r="CT29" s="96">
        <f t="shared" ca="1" si="13"/>
        <v>82</v>
      </c>
      <c r="CU29" s="96">
        <f t="shared" ca="1" si="13"/>
        <v>83</v>
      </c>
    </row>
    <row r="30" spans="1:125" s="42" customFormat="1" ht="20.100000000000001" customHeight="1">
      <c r="A30" t="s">
        <v>449</v>
      </c>
      <c r="B30">
        <v>1</v>
      </c>
      <c r="C30" t="s">
        <v>366</v>
      </c>
      <c r="D30" t="s">
        <v>366</v>
      </c>
      <c r="E30" t="s">
        <v>367</v>
      </c>
      <c r="F30">
        <v>0</v>
      </c>
      <c r="G30" s="11"/>
      <c r="H30" s="26"/>
      <c r="I30"/>
      <c r="J30"/>
      <c r="K30" s="402"/>
      <c r="L30"/>
      <c r="M30"/>
      <c r="N30"/>
      <c r="O30" s="26"/>
      <c r="P30" s="37">
        <f ca="1">IFERROR(+IF(P$29=ProposalToGnatt[[#This Row],[Start Date]],Milestone_Marker,IF(AND(P$29&gt;ProposalToGnatt[[#This Row],[Start Date]],P$29&lt;ProposalToGnatt[[#This Row],[Start Date]]+ProposalToGnatt[[#This Row],[Days]]),$G$5,"")),"")</f>
        <v>1</v>
      </c>
      <c r="Q30" s="37" t="str">
        <f ca="1">IFERROR(+IF(Q$29=ProposalToGnatt[[#This Row],[Start Date]],Milestone_Marker,IF(AND(Q$29&gt;ProposalToGnatt[[#This Row],[Start Date]],Q$29&lt;ProposalToGnatt[[#This Row],[Start Date]]+ProposalToGnatt[[#This Row],[Days]]),$G$5,"")),"")</f>
        <v/>
      </c>
      <c r="R30" s="37" t="str">
        <f ca="1">IFERROR(+IF(R$29=ProposalToGnatt[[#This Row],[Start Date]],Milestone_Marker,IF(AND(R$29&gt;ProposalToGnatt[[#This Row],[Start Date]],R$29&lt;ProposalToGnatt[[#This Row],[Start Date]]+ProposalToGnatt[[#This Row],[Days]]),$G$5,"")),"")</f>
        <v/>
      </c>
      <c r="S30" s="37" t="str">
        <f ca="1">IFERROR(+IF(S$29=ProposalToGnatt[[#This Row],[Start Date]],Milestone_Marker,IF(AND(S$29&gt;ProposalToGnatt[[#This Row],[Start Date]],S$29&lt;ProposalToGnatt[[#This Row],[Start Date]]+ProposalToGnatt[[#This Row],[Days]]),$G$5,"")),"")</f>
        <v/>
      </c>
      <c r="T30" s="37" t="str">
        <f ca="1">IFERROR(+IF(T$29=ProposalToGnatt[[#This Row],[Start Date]],Milestone_Marker,IF(AND(T$29&gt;ProposalToGnatt[[#This Row],[Start Date]],T$29&lt;ProposalToGnatt[[#This Row],[Start Date]]+ProposalToGnatt[[#This Row],[Days]]),$G$5,"")),"")</f>
        <v/>
      </c>
      <c r="U30" s="37" t="str">
        <f ca="1">IFERROR(+IF(U$29=ProposalToGnatt[[#This Row],[Start Date]],Milestone_Marker,IF(AND(U$29&gt;ProposalToGnatt[[#This Row],[Start Date]],U$29&lt;ProposalToGnatt[[#This Row],[Start Date]]+ProposalToGnatt[[#This Row],[Days]]),$G$5,"")),"")</f>
        <v/>
      </c>
      <c r="V30" s="37" t="str">
        <f ca="1">IFERROR(+IF(V$29=ProposalToGnatt[[#This Row],[Start Date]],Milestone_Marker,IF(AND(V$29&gt;ProposalToGnatt[[#This Row],[Start Date]],V$29&lt;ProposalToGnatt[[#This Row],[Start Date]]+ProposalToGnatt[[#This Row],[Days]]),$G$5,"")),"")</f>
        <v/>
      </c>
      <c r="W30" s="37" t="str">
        <f ca="1">IFERROR(+IF(W$29=ProposalToGnatt[[#This Row],[Start Date]],Milestone_Marker,IF(AND(W$29&gt;ProposalToGnatt[[#This Row],[Start Date]],W$29&lt;ProposalToGnatt[[#This Row],[Start Date]]+ProposalToGnatt[[#This Row],[Days]]),$G$5,"")),"")</f>
        <v/>
      </c>
      <c r="X30" s="37" t="str">
        <f ca="1">IFERROR(+IF(X$29=ProposalToGnatt[[#This Row],[Start Date]],Milestone_Marker,IF(AND(X$29&gt;ProposalToGnatt[[#This Row],[Start Date]],X$29&lt;ProposalToGnatt[[#This Row],[Start Date]]+ProposalToGnatt[[#This Row],[Days]]),$G$5,"")),"")</f>
        <v/>
      </c>
      <c r="Y30" s="37" t="str">
        <f ca="1">IFERROR(+IF(Y$29=ProposalToGnatt[[#This Row],[Start Date]],Milestone_Marker,IF(AND(Y$29&gt;ProposalToGnatt[[#This Row],[Start Date]],Y$29&lt;ProposalToGnatt[[#This Row],[Start Date]]+ProposalToGnatt[[#This Row],[Days]]),$G$5,"")),"")</f>
        <v/>
      </c>
      <c r="Z30" s="37" t="str">
        <f ca="1">IFERROR(+IF(Z$29=ProposalToGnatt[[#This Row],[Start Date]],Milestone_Marker,IF(AND(Z$29&gt;ProposalToGnatt[[#This Row],[Start Date]],Z$29&lt;ProposalToGnatt[[#This Row],[Start Date]]+ProposalToGnatt[[#This Row],[Days]]),$G$5,"")),"")</f>
        <v/>
      </c>
      <c r="AA30" s="37" t="str">
        <f ca="1">IFERROR(+IF(AA$29=ProposalToGnatt[[#This Row],[Start Date]],Milestone_Marker,IF(AND(AA$29&gt;ProposalToGnatt[[#This Row],[Start Date]],AA$29&lt;ProposalToGnatt[[#This Row],[Start Date]]+ProposalToGnatt[[#This Row],[Days]]),$G$5,"")),"")</f>
        <v/>
      </c>
      <c r="AB30" s="37" t="str">
        <f ca="1">IFERROR(+IF(AB$29=ProposalToGnatt[[#This Row],[Start Date]],Milestone_Marker,IF(AND(AB$29&gt;ProposalToGnatt[[#This Row],[Start Date]],AB$29&lt;ProposalToGnatt[[#This Row],[Start Date]]+ProposalToGnatt[[#This Row],[Days]]),$G$5,"")),"")</f>
        <v/>
      </c>
      <c r="AC30" s="37" t="str">
        <f ca="1">IFERROR(+IF(AC$29=ProposalToGnatt[[#This Row],[Start Date]],Milestone_Marker,IF(AND(AC$29&gt;ProposalToGnatt[[#This Row],[Start Date]],AC$29&lt;ProposalToGnatt[[#This Row],[Start Date]]+ProposalToGnatt[[#This Row],[Days]]),$G$5,"")),"")</f>
        <v/>
      </c>
      <c r="AD30" s="37" t="str">
        <f ca="1">IFERROR(+IF(AD$29=ProposalToGnatt[[#This Row],[Start Date]],Milestone_Marker,IF(AND(AD$29&gt;ProposalToGnatt[[#This Row],[Start Date]],AD$29&lt;ProposalToGnatt[[#This Row],[Start Date]]+ProposalToGnatt[[#This Row],[Days]]),$G$5,"")),"")</f>
        <v/>
      </c>
      <c r="AE30" s="37" t="str">
        <f ca="1">IFERROR(+IF(AE$29=ProposalToGnatt[[#This Row],[Start Date]],Milestone_Marker,IF(AND(AE$29&gt;ProposalToGnatt[[#This Row],[Start Date]],AE$29&lt;ProposalToGnatt[[#This Row],[Start Date]]+ProposalToGnatt[[#This Row],[Days]]),$G$5,"")),"")</f>
        <v/>
      </c>
      <c r="AF30" s="37" t="str">
        <f ca="1">IFERROR(+IF(AF$29=ProposalToGnatt[[#This Row],[Start Date]],Milestone_Marker,IF(AND(AF$29&gt;ProposalToGnatt[[#This Row],[Start Date]],AF$29&lt;ProposalToGnatt[[#This Row],[Start Date]]+ProposalToGnatt[[#This Row],[Days]]),$G$5,"")),"")</f>
        <v/>
      </c>
      <c r="AG30" s="37" t="str">
        <f ca="1">IFERROR(+IF(AG$29=ProposalToGnatt[[#This Row],[Start Date]],Milestone_Marker,IF(AND(AG$29&gt;ProposalToGnatt[[#This Row],[Start Date]],AG$29&lt;ProposalToGnatt[[#This Row],[Start Date]]+ProposalToGnatt[[#This Row],[Days]]),$G$5,"")),"")</f>
        <v/>
      </c>
      <c r="AH30" s="37" t="str">
        <f ca="1">IFERROR(+IF(AH$29=ProposalToGnatt[[#This Row],[Start Date]],Milestone_Marker,IF(AND(AH$29&gt;ProposalToGnatt[[#This Row],[Start Date]],AH$29&lt;ProposalToGnatt[[#This Row],[Start Date]]+ProposalToGnatt[[#This Row],[Days]]),$G$5,"")),"")</f>
        <v/>
      </c>
      <c r="AI30" s="37" t="str">
        <f ca="1">IFERROR(+IF(AI$29=ProposalToGnatt[[#This Row],[Start Date]],Milestone_Marker,IF(AND(AI$29&gt;ProposalToGnatt[[#This Row],[Start Date]],AI$29&lt;ProposalToGnatt[[#This Row],[Start Date]]+ProposalToGnatt[[#This Row],[Days]]),$G$5,"")),"")</f>
        <v/>
      </c>
      <c r="AJ30" s="37" t="str">
        <f ca="1">IFERROR(+IF(AJ$29=ProposalToGnatt[[#This Row],[Start Date]],Milestone_Marker,IF(AND(AJ$29&gt;ProposalToGnatt[[#This Row],[Start Date]],AJ$29&lt;ProposalToGnatt[[#This Row],[Start Date]]+ProposalToGnatt[[#This Row],[Days]]),$G$5,"")),"")</f>
        <v/>
      </c>
      <c r="AK30" s="37" t="str">
        <f ca="1">IFERROR(+IF(AK$29=ProposalToGnatt[[#This Row],[Start Date]],Milestone_Marker,IF(AND(AK$29&gt;ProposalToGnatt[[#This Row],[Start Date]],AK$29&lt;ProposalToGnatt[[#This Row],[Start Date]]+ProposalToGnatt[[#This Row],[Days]]),$G$5,"")),"")</f>
        <v/>
      </c>
      <c r="AL30" s="37" t="str">
        <f ca="1">IFERROR(+IF(AL$29=ProposalToGnatt[[#This Row],[Start Date]],Milestone_Marker,IF(AND(AL$29&gt;ProposalToGnatt[[#This Row],[Start Date]],AL$29&lt;ProposalToGnatt[[#This Row],[Start Date]]+ProposalToGnatt[[#This Row],[Days]]),$G$5,"")),"")</f>
        <v/>
      </c>
      <c r="AM30" s="37" t="str">
        <f ca="1">IFERROR(+IF(AM$29=ProposalToGnatt[[#This Row],[Start Date]],Milestone_Marker,IF(AND(AM$29&gt;ProposalToGnatt[[#This Row],[Start Date]],AM$29&lt;ProposalToGnatt[[#This Row],[Start Date]]+ProposalToGnatt[[#This Row],[Days]]),$G$5,"")),"")</f>
        <v/>
      </c>
      <c r="AN30" s="37" t="str">
        <f ca="1">IFERROR(+IF(AN$29=ProposalToGnatt[[#This Row],[Start Date]],Milestone_Marker,IF(AND(AN$29&gt;ProposalToGnatt[[#This Row],[Start Date]],AN$29&lt;ProposalToGnatt[[#This Row],[Start Date]]+ProposalToGnatt[[#This Row],[Days]]),$G$5,"")),"")</f>
        <v/>
      </c>
      <c r="AO30" s="37" t="str">
        <f ca="1">IFERROR(+IF(AO$29=ProposalToGnatt[[#This Row],[Start Date]],Milestone_Marker,IF(AND(AO$29&gt;ProposalToGnatt[[#This Row],[Start Date]],AO$29&lt;ProposalToGnatt[[#This Row],[Start Date]]+ProposalToGnatt[[#This Row],[Days]]),$G$5,"")),"")</f>
        <v/>
      </c>
      <c r="AP30" s="37" t="str">
        <f ca="1">IFERROR(+IF(AP$29=ProposalToGnatt[[#This Row],[Start Date]],Milestone_Marker,IF(AND(AP$29&gt;ProposalToGnatt[[#This Row],[Start Date]],AP$29&lt;ProposalToGnatt[[#This Row],[Start Date]]+ProposalToGnatt[[#This Row],[Days]]),$G$5,"")),"")</f>
        <v/>
      </c>
      <c r="AQ30" s="37" t="str">
        <f ca="1">IFERROR(+IF(AQ$29=ProposalToGnatt[[#This Row],[Start Date]],Milestone_Marker,IF(AND(AQ$29&gt;ProposalToGnatt[[#This Row],[Start Date]],AQ$29&lt;ProposalToGnatt[[#This Row],[Start Date]]+ProposalToGnatt[[#This Row],[Days]]),$G$5,"")),"")</f>
        <v/>
      </c>
      <c r="AR30" s="37" t="str">
        <f ca="1">IFERROR(+IF(AR$29=ProposalToGnatt[[#This Row],[Start Date]],Milestone_Marker,IF(AND(AR$29&gt;ProposalToGnatt[[#This Row],[Start Date]],AR$29&lt;ProposalToGnatt[[#This Row],[Start Date]]+ProposalToGnatt[[#This Row],[Days]]),$G$5,"")),"")</f>
        <v/>
      </c>
      <c r="AS30" s="37" t="str">
        <f ca="1">IFERROR(+IF(AS$29=ProposalToGnatt[[#This Row],[Start Date]],Milestone_Marker,IF(AND(AS$29&gt;ProposalToGnatt[[#This Row],[Start Date]],AS$29&lt;ProposalToGnatt[[#This Row],[Start Date]]+ProposalToGnatt[[#This Row],[Days]]),$G$5,"")),"")</f>
        <v/>
      </c>
      <c r="AT30" s="37" t="str">
        <f ca="1">IFERROR(+IF(AT$29=ProposalToGnatt[[#This Row],[Start Date]],Milestone_Marker,IF(AND(AT$29&gt;ProposalToGnatt[[#This Row],[Start Date]],AT$29&lt;ProposalToGnatt[[#This Row],[Start Date]]+ProposalToGnatt[[#This Row],[Days]]),$G$5,"")),"")</f>
        <v/>
      </c>
      <c r="AU30" s="37" t="str">
        <f ca="1">IFERROR(+IF(AU$29=ProposalToGnatt[[#This Row],[Start Date]],Milestone_Marker,IF(AND(AU$29&gt;ProposalToGnatt[[#This Row],[Start Date]],AU$29&lt;ProposalToGnatt[[#This Row],[Start Date]]+ProposalToGnatt[[#This Row],[Days]]),$G$5,"")),"")</f>
        <v/>
      </c>
      <c r="AV30" s="37" t="str">
        <f ca="1">IFERROR(+IF(AV$29=ProposalToGnatt[[#This Row],[Start Date]],Milestone_Marker,IF(AND(AV$29&gt;ProposalToGnatt[[#This Row],[Start Date]],AV$29&lt;ProposalToGnatt[[#This Row],[Start Date]]+ProposalToGnatt[[#This Row],[Days]]),$G$5,"")),"")</f>
        <v/>
      </c>
      <c r="AW30" s="37" t="str">
        <f ca="1">IFERROR(+IF(AW$29=ProposalToGnatt[[#This Row],[Start Date]],Milestone_Marker,IF(AND(AW$29&gt;ProposalToGnatt[[#This Row],[Start Date]],AW$29&lt;ProposalToGnatt[[#This Row],[Start Date]]+ProposalToGnatt[[#This Row],[Days]]),$G$5,"")),"")</f>
        <v/>
      </c>
      <c r="AX30" s="37" t="str">
        <f ca="1">IFERROR(+IF(AX$29=ProposalToGnatt[[#This Row],[Start Date]],Milestone_Marker,IF(AND(AX$29&gt;ProposalToGnatt[[#This Row],[Start Date]],AX$29&lt;ProposalToGnatt[[#This Row],[Start Date]]+ProposalToGnatt[[#This Row],[Days]]),$G$5,"")),"")</f>
        <v/>
      </c>
      <c r="AY30" s="37" t="str">
        <f ca="1">IFERROR(+IF(AY$29=ProposalToGnatt[[#This Row],[Start Date]],Milestone_Marker,IF(AND(AY$29&gt;ProposalToGnatt[[#This Row],[Start Date]],AY$29&lt;ProposalToGnatt[[#This Row],[Start Date]]+ProposalToGnatt[[#This Row],[Days]]),$G$5,"")),"")</f>
        <v/>
      </c>
      <c r="AZ30" s="37" t="str">
        <f ca="1">IFERROR(+IF(AZ$29=ProposalToGnatt[[#This Row],[Start Date]],Milestone_Marker,IF(AND(AZ$29&gt;ProposalToGnatt[[#This Row],[Start Date]],AZ$29&lt;ProposalToGnatt[[#This Row],[Start Date]]+ProposalToGnatt[[#This Row],[Days]]),$G$5,"")),"")</f>
        <v/>
      </c>
      <c r="BA30" s="37" t="str">
        <f ca="1">IFERROR(+IF(BA$29=ProposalToGnatt[[#This Row],[Start Date]],Milestone_Marker,IF(AND(BA$29&gt;ProposalToGnatt[[#This Row],[Start Date]],BA$29&lt;ProposalToGnatt[[#This Row],[Start Date]]+ProposalToGnatt[[#This Row],[Days]]),$G$5,"")),"")</f>
        <v/>
      </c>
      <c r="BB30" s="37" t="str">
        <f ca="1">IFERROR(+IF(BB$29=ProposalToGnatt[[#This Row],[Start Date]],Milestone_Marker,IF(AND(BB$29&gt;ProposalToGnatt[[#This Row],[Start Date]],BB$29&lt;ProposalToGnatt[[#This Row],[Start Date]]+ProposalToGnatt[[#This Row],[Days]]),$G$5,"")),"")</f>
        <v/>
      </c>
      <c r="BC30" s="37" t="str">
        <f ca="1">IFERROR(+IF(BC$29=ProposalToGnatt[[#This Row],[Start Date]],Milestone_Marker,IF(AND(BC$29&gt;ProposalToGnatt[[#This Row],[Start Date]],BC$29&lt;ProposalToGnatt[[#This Row],[Start Date]]+ProposalToGnatt[[#This Row],[Days]]),$G$5,"")),"")</f>
        <v/>
      </c>
      <c r="BD30" s="37" t="str">
        <f ca="1">IFERROR(+IF(BD$29=ProposalToGnatt[[#This Row],[Start Date]],Milestone_Marker,IF(AND(BD$29&gt;ProposalToGnatt[[#This Row],[Start Date]],BD$29&lt;ProposalToGnatt[[#This Row],[Start Date]]+ProposalToGnatt[[#This Row],[Days]]),$G$5,"")),"")</f>
        <v/>
      </c>
      <c r="BE30" s="37" t="str">
        <f ca="1">IFERROR(+IF(BE$29=ProposalToGnatt[[#This Row],[Start Date]],Milestone_Marker,IF(AND(BE$29&gt;ProposalToGnatt[[#This Row],[Start Date]],BE$29&lt;ProposalToGnatt[[#This Row],[Start Date]]+ProposalToGnatt[[#This Row],[Days]]),$G$5,"")),"")</f>
        <v/>
      </c>
      <c r="BF30" s="37" t="str">
        <f ca="1">IFERROR(+IF(BF$29=ProposalToGnatt[[#This Row],[Start Date]],Milestone_Marker,IF(AND(BF$29&gt;ProposalToGnatt[[#This Row],[Start Date]],BF$29&lt;ProposalToGnatt[[#This Row],[Start Date]]+ProposalToGnatt[[#This Row],[Days]]),$G$5,"")),"")</f>
        <v/>
      </c>
      <c r="BG30" s="37" t="str">
        <f ca="1">IFERROR(+IF(BG$29=ProposalToGnatt[[#This Row],[Start Date]],Milestone_Marker,IF(AND(BG$29&gt;ProposalToGnatt[[#This Row],[Start Date]],BG$29&lt;ProposalToGnatt[[#This Row],[Start Date]]+ProposalToGnatt[[#This Row],[Days]]),$G$5,"")),"")</f>
        <v/>
      </c>
      <c r="BH30" s="37" t="str">
        <f ca="1">IFERROR(+IF(BH$29=ProposalToGnatt[[#This Row],[Start Date]],Milestone_Marker,IF(AND(BH$29&gt;ProposalToGnatt[[#This Row],[Start Date]],BH$29&lt;ProposalToGnatt[[#This Row],[Start Date]]+ProposalToGnatt[[#This Row],[Days]]),$G$5,"")),"")</f>
        <v/>
      </c>
      <c r="BI30" s="37" t="str">
        <f ca="1">IFERROR(+IF(BI$29=ProposalToGnatt[[#This Row],[Start Date]],Milestone_Marker,IF(AND(BI$29&gt;ProposalToGnatt[[#This Row],[Start Date]],BI$29&lt;ProposalToGnatt[[#This Row],[Start Date]]+ProposalToGnatt[[#This Row],[Days]]),$G$5,"")),"")</f>
        <v/>
      </c>
      <c r="BJ30" s="37" t="str">
        <f ca="1">IFERROR(+IF(BJ$29=ProposalToGnatt[[#This Row],[Start Date]],Milestone_Marker,IF(AND(BJ$29&gt;ProposalToGnatt[[#This Row],[Start Date]],BJ$29&lt;ProposalToGnatt[[#This Row],[Start Date]]+ProposalToGnatt[[#This Row],[Days]]),$G$5,"")),"")</f>
        <v/>
      </c>
      <c r="BK30" s="37" t="str">
        <f ca="1">IFERROR(+IF(BK$29=ProposalToGnatt[[#This Row],[Start Date]],Milestone_Marker,IF(AND(BK$29&gt;ProposalToGnatt[[#This Row],[Start Date]],BK$29&lt;ProposalToGnatt[[#This Row],[Start Date]]+ProposalToGnatt[[#This Row],[Days]]),$G$5,"")),"")</f>
        <v/>
      </c>
      <c r="BL30" s="37" t="str">
        <f ca="1">IFERROR(+IF(BL$29=ProposalToGnatt[[#This Row],[Start Date]],Milestone_Marker,IF(AND(BL$29&gt;ProposalToGnatt[[#This Row],[Start Date]],BL$29&lt;ProposalToGnatt[[#This Row],[Start Date]]+ProposalToGnatt[[#This Row],[Days]]),$G$5,"")),"")</f>
        <v/>
      </c>
      <c r="BM30" s="37" t="str">
        <f ca="1">IFERROR(+IF(BM$29=ProposalToGnatt[[#This Row],[Start Date]],Milestone_Marker,IF(AND(BM$29&gt;ProposalToGnatt[[#This Row],[Start Date]],BM$29&lt;ProposalToGnatt[[#This Row],[Start Date]]+ProposalToGnatt[[#This Row],[Days]]),$G$5,"")),"")</f>
        <v/>
      </c>
      <c r="BN30" s="37" t="str">
        <f ca="1">IFERROR(+IF(BN$29=ProposalToGnatt[[#This Row],[Start Date]],Milestone_Marker,IF(AND(BN$29&gt;ProposalToGnatt[[#This Row],[Start Date]],BN$29&lt;ProposalToGnatt[[#This Row],[Start Date]]+ProposalToGnatt[[#This Row],[Days]]),$G$5,"")),"")</f>
        <v/>
      </c>
      <c r="BO30" s="37" t="str">
        <f ca="1">IFERROR(+IF(BO$29=ProposalToGnatt[[#This Row],[Start Date]],Milestone_Marker,IF(AND(BO$29&gt;ProposalToGnatt[[#This Row],[Start Date]],BO$29&lt;ProposalToGnatt[[#This Row],[Start Date]]+ProposalToGnatt[[#This Row],[Days]]),$G$5,"")),"")</f>
        <v/>
      </c>
      <c r="BP30" s="37" t="str">
        <f ca="1">IFERROR(+IF(BP$29=ProposalToGnatt[[#This Row],[Start Date]],Milestone_Marker,IF(AND(BP$29&gt;ProposalToGnatt[[#This Row],[Start Date]],BP$29&lt;ProposalToGnatt[[#This Row],[Start Date]]+ProposalToGnatt[[#This Row],[Days]]),$G$5,"")),"")</f>
        <v/>
      </c>
      <c r="BQ30" s="37" t="str">
        <f ca="1">IFERROR(+IF(BQ$29=ProposalToGnatt[[#This Row],[Start Date]],Milestone_Marker,IF(AND(BQ$29&gt;ProposalToGnatt[[#This Row],[Start Date]],BQ$29&lt;ProposalToGnatt[[#This Row],[Start Date]]+ProposalToGnatt[[#This Row],[Days]]),$G$5,"")),"")</f>
        <v/>
      </c>
      <c r="BR30" s="37" t="str">
        <f ca="1">IFERROR(+IF(BR$29=ProposalToGnatt[[#This Row],[Start Date]],Milestone_Marker,IF(AND(BR$29&gt;ProposalToGnatt[[#This Row],[Start Date]],BR$29&lt;ProposalToGnatt[[#This Row],[Start Date]]+ProposalToGnatt[[#This Row],[Days]]),$G$5,"")),"")</f>
        <v/>
      </c>
      <c r="BS30" s="37" t="str">
        <f ca="1">IFERROR(+IF(BS$29=ProposalToGnatt[[#This Row],[Start Date]],Milestone_Marker,IF(AND(BS$29&gt;ProposalToGnatt[[#This Row],[Start Date]],BS$29&lt;ProposalToGnatt[[#This Row],[Start Date]]+ProposalToGnatt[[#This Row],[Days]]),$G$5,"")),"")</f>
        <v/>
      </c>
      <c r="BT30" s="37" t="str">
        <f ca="1">IFERROR(+IF(BT$29=ProposalToGnatt[[#This Row],[Start Date]],Milestone_Marker,IF(AND(BT$29&gt;ProposalToGnatt[[#This Row],[Start Date]],BT$29&lt;ProposalToGnatt[[#This Row],[Start Date]]+ProposalToGnatt[[#This Row],[Days]]),$G$5,"")),"")</f>
        <v/>
      </c>
      <c r="BU30" s="37" t="str">
        <f ca="1">IFERROR(+IF(BU$29=ProposalToGnatt[[#This Row],[Start Date]],Milestone_Marker,IF(AND(BU$29&gt;ProposalToGnatt[[#This Row],[Start Date]],BU$29&lt;ProposalToGnatt[[#This Row],[Start Date]]+ProposalToGnatt[[#This Row],[Days]]),$G$5,"")),"")</f>
        <v/>
      </c>
      <c r="BV30" s="37" t="str">
        <f ca="1">IFERROR(+IF(BV$29=ProposalToGnatt[[#This Row],[Start Date]],Milestone_Marker,IF(AND(BV$29&gt;ProposalToGnatt[[#This Row],[Start Date]],BV$29&lt;ProposalToGnatt[[#This Row],[Start Date]]+ProposalToGnatt[[#This Row],[Days]]),$G$5,"")),"")</f>
        <v/>
      </c>
      <c r="BW30" s="37" t="str">
        <f ca="1">IFERROR(+IF(BW$29=ProposalToGnatt[[#This Row],[Start Date]],Milestone_Marker,IF(AND(BW$29&gt;ProposalToGnatt[[#This Row],[Start Date]],BW$29&lt;ProposalToGnatt[[#This Row],[Start Date]]+ProposalToGnatt[[#This Row],[Days]]),$G$5,"")),"")</f>
        <v/>
      </c>
      <c r="BX30" s="37" t="str">
        <f ca="1">IFERROR(+IF(BX$29=ProposalToGnatt[[#This Row],[Start Date]],Milestone_Marker,IF(AND(BX$29&gt;ProposalToGnatt[[#This Row],[Start Date]],BX$29&lt;ProposalToGnatt[[#This Row],[Start Date]]+ProposalToGnatt[[#This Row],[Days]]),$G$5,"")),"")</f>
        <v/>
      </c>
      <c r="BY30" s="37" t="str">
        <f ca="1">IFERROR(+IF(BY$29=ProposalToGnatt[[#This Row],[Start Date]],Milestone_Marker,IF(AND(BY$29&gt;ProposalToGnatt[[#This Row],[Start Date]],BY$29&lt;ProposalToGnatt[[#This Row],[Start Date]]+ProposalToGnatt[[#This Row],[Days]]),$G$5,"")),"")</f>
        <v/>
      </c>
      <c r="BZ30" s="37" t="str">
        <f ca="1">IFERROR(+IF(BZ$29=ProposalToGnatt[[#This Row],[Start Date]],Milestone_Marker,IF(AND(BZ$29&gt;ProposalToGnatt[[#This Row],[Start Date]],BZ$29&lt;ProposalToGnatt[[#This Row],[Start Date]]+ProposalToGnatt[[#This Row],[Days]]),$G$5,"")),"")</f>
        <v/>
      </c>
      <c r="CA30" s="37" t="str">
        <f ca="1">IFERROR(+IF(CA$29=ProposalToGnatt[[#This Row],[Start Date]],Milestone_Marker,IF(AND(CA$29&gt;ProposalToGnatt[[#This Row],[Start Date]],CA$29&lt;ProposalToGnatt[[#This Row],[Start Date]]+ProposalToGnatt[[#This Row],[Days]]),$G$5,"")),"")</f>
        <v/>
      </c>
      <c r="CB30" s="37" t="str">
        <f ca="1">IFERROR(+IF(CB$29=ProposalToGnatt[[#This Row],[Start Date]],Milestone_Marker,IF(AND(CB$29&gt;ProposalToGnatt[[#This Row],[Start Date]],CB$29&lt;ProposalToGnatt[[#This Row],[Start Date]]+ProposalToGnatt[[#This Row],[Days]]),$G$5,"")),"")</f>
        <v/>
      </c>
      <c r="CC30" s="37" t="str">
        <f ca="1">IFERROR(+IF(CC$29=ProposalToGnatt[[#This Row],[Start Date]],Milestone_Marker,IF(AND(CC$29&gt;ProposalToGnatt[[#This Row],[Start Date]],CC$29&lt;ProposalToGnatt[[#This Row],[Start Date]]+ProposalToGnatt[[#This Row],[Days]]),$G$5,"")),"")</f>
        <v/>
      </c>
      <c r="CD30" s="37" t="str">
        <f ca="1">IFERROR(+IF(CD$29=ProposalToGnatt[[#This Row],[Start Date]],Milestone_Marker,IF(AND(CD$29&gt;ProposalToGnatt[[#This Row],[Start Date]],CD$29&lt;ProposalToGnatt[[#This Row],[Start Date]]+ProposalToGnatt[[#This Row],[Days]]),$G$5,"")),"")</f>
        <v/>
      </c>
      <c r="CE30" s="37" t="str">
        <f ca="1">IFERROR(+IF(CE$29=ProposalToGnatt[[#This Row],[Start Date]],Milestone_Marker,IF(AND(CE$29&gt;ProposalToGnatt[[#This Row],[Start Date]],CE$29&lt;ProposalToGnatt[[#This Row],[Start Date]]+ProposalToGnatt[[#This Row],[Days]]),$G$5,"")),"")</f>
        <v/>
      </c>
      <c r="CF30" s="37" t="str">
        <f ca="1">IFERROR(+IF(CF$29=ProposalToGnatt[[#This Row],[Start Date]],Milestone_Marker,IF(AND(CF$29&gt;ProposalToGnatt[[#This Row],[Start Date]],CF$29&lt;ProposalToGnatt[[#This Row],[Start Date]]+ProposalToGnatt[[#This Row],[Days]]),$G$5,"")),"")</f>
        <v/>
      </c>
      <c r="CG30" s="37" t="str">
        <f ca="1">IFERROR(+IF(CG$29=ProposalToGnatt[[#This Row],[Start Date]],Milestone_Marker,IF(AND(CG$29&gt;ProposalToGnatt[[#This Row],[Start Date]],CG$29&lt;ProposalToGnatt[[#This Row],[Start Date]]+ProposalToGnatt[[#This Row],[Days]]),$G$5,"")),"")</f>
        <v/>
      </c>
      <c r="CH30" s="37" t="str">
        <f ca="1">IFERROR(+IF(CH$29=ProposalToGnatt[[#This Row],[Start Date]],Milestone_Marker,IF(AND(CH$29&gt;ProposalToGnatt[[#This Row],[Start Date]],CH$29&lt;ProposalToGnatt[[#This Row],[Start Date]]+ProposalToGnatt[[#This Row],[Days]]),$G$5,"")),"")</f>
        <v/>
      </c>
      <c r="CI30" s="37" t="str">
        <f ca="1">IFERROR(+IF(CI$29=ProposalToGnatt[[#This Row],[Start Date]],Milestone_Marker,IF(AND(CI$29&gt;ProposalToGnatt[[#This Row],[Start Date]],CI$29&lt;ProposalToGnatt[[#This Row],[Start Date]]+ProposalToGnatt[[#This Row],[Days]]),$G$5,"")),"")</f>
        <v/>
      </c>
      <c r="CJ30" s="37" t="str">
        <f ca="1">IFERROR(+IF(CJ$29=ProposalToGnatt[[#This Row],[Start Date]],Milestone_Marker,IF(AND(CJ$29&gt;ProposalToGnatt[[#This Row],[Start Date]],CJ$29&lt;ProposalToGnatt[[#This Row],[Start Date]]+ProposalToGnatt[[#This Row],[Days]]),$G$5,"")),"")</f>
        <v/>
      </c>
      <c r="CK30" s="37" t="str">
        <f ca="1">IFERROR(+IF(CK$29=ProposalToGnatt[[#This Row],[Start Date]],Milestone_Marker,IF(AND(CK$29&gt;ProposalToGnatt[[#This Row],[Start Date]],CK$29&lt;ProposalToGnatt[[#This Row],[Start Date]]+ProposalToGnatt[[#This Row],[Days]]),$G$5,"")),"")</f>
        <v/>
      </c>
      <c r="CL30" s="37" t="str">
        <f ca="1">IFERROR(+IF(CL$29=ProposalToGnatt[[#This Row],[Start Date]],Milestone_Marker,IF(AND(CL$29&gt;ProposalToGnatt[[#This Row],[Start Date]],CL$29&lt;ProposalToGnatt[[#This Row],[Start Date]]+ProposalToGnatt[[#This Row],[Days]]),$G$5,"")),"")</f>
        <v/>
      </c>
      <c r="CM30" s="37" t="str">
        <f ca="1">IFERROR(+IF(CM$29=ProposalToGnatt[[#This Row],[Start Date]],Milestone_Marker,IF(AND(CM$29&gt;ProposalToGnatt[[#This Row],[Start Date]],CM$29&lt;ProposalToGnatt[[#This Row],[Start Date]]+ProposalToGnatt[[#This Row],[Days]]),$G$5,"")),"")</f>
        <v/>
      </c>
      <c r="CN30" s="37" t="str">
        <f ca="1">IFERROR(+IF(CN$29=ProposalToGnatt[[#This Row],[Start Date]],Milestone_Marker,IF(AND(CN$29&gt;ProposalToGnatt[[#This Row],[Start Date]],CN$29&lt;ProposalToGnatt[[#This Row],[Start Date]]+ProposalToGnatt[[#This Row],[Days]]),$G$5,"")),"")</f>
        <v/>
      </c>
      <c r="CO30" s="37" t="str">
        <f ca="1">IFERROR(+IF(CO$29=ProposalToGnatt[[#This Row],[Start Date]],Milestone_Marker,IF(AND(CO$29&gt;ProposalToGnatt[[#This Row],[Start Date]],CO$29&lt;ProposalToGnatt[[#This Row],[Start Date]]+ProposalToGnatt[[#This Row],[Days]]),$G$5,"")),"")</f>
        <v/>
      </c>
      <c r="CP30" s="37" t="str">
        <f ca="1">IFERROR(+IF(CP$29=ProposalToGnatt[[#This Row],[Start Date]],Milestone_Marker,IF(AND(CP$29&gt;ProposalToGnatt[[#This Row],[Start Date]],CP$29&lt;ProposalToGnatt[[#This Row],[Start Date]]+ProposalToGnatt[[#This Row],[Days]]),$G$5,"")),"")</f>
        <v/>
      </c>
      <c r="CQ30" s="37" t="str">
        <f ca="1">IFERROR(+IF(CQ$29=ProposalToGnatt[[#This Row],[Start Date]],Milestone_Marker,IF(AND(CQ$29&gt;ProposalToGnatt[[#This Row],[Start Date]],CQ$29&lt;ProposalToGnatt[[#This Row],[Start Date]]+ProposalToGnatt[[#This Row],[Days]]),$G$5,"")),"")</f>
        <v/>
      </c>
      <c r="CR30" s="37" t="str">
        <f ca="1">IFERROR(+IF(CR$29=ProposalToGnatt[[#This Row],[Start Date]],Milestone_Marker,IF(AND(CR$29&gt;ProposalToGnatt[[#This Row],[Start Date]],CR$29&lt;ProposalToGnatt[[#This Row],[Start Date]]+ProposalToGnatt[[#This Row],[Days]]),$G$5,"")),"")</f>
        <v/>
      </c>
      <c r="CS30" s="37" t="str">
        <f ca="1">IFERROR(+IF(CS$29=ProposalToGnatt[[#This Row],[Start Date]],Milestone_Marker,IF(AND(CS$29&gt;ProposalToGnatt[[#This Row],[Start Date]],CS$29&lt;ProposalToGnatt[[#This Row],[Start Date]]+ProposalToGnatt[[#This Row],[Days]]),$G$5,"")),"")</f>
        <v/>
      </c>
      <c r="CT30" s="37" t="str">
        <f ca="1">IFERROR(+IF(CT$29=ProposalToGnatt[[#This Row],[Start Date]],Milestone_Marker,IF(AND(CT$29&gt;ProposalToGnatt[[#This Row],[Start Date]],CT$29&lt;ProposalToGnatt[[#This Row],[Start Date]]+ProposalToGnatt[[#This Row],[Days]]),$G$5,"")),"")</f>
        <v/>
      </c>
      <c r="CU30" s="37" t="str">
        <f ca="1">IFERROR(+IF(CU$29=ProposalToGnatt[[#This Row],[Start Date]],Milestone_Marker,IF(AND(CU$29&gt;ProposalToGnatt[[#This Row],[Start Date]],CU$29&lt;ProposalToGnatt[[#This Row],[Start Date]]+ProposalToGnatt[[#This Row],[Days]]),$G$5,"")),"")</f>
        <v/>
      </c>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row>
    <row r="31" spans="1:125" s="42" customFormat="1" ht="20.100000000000001" customHeight="1">
      <c r="A31" t="s">
        <v>449</v>
      </c>
      <c r="B31">
        <v>2</v>
      </c>
      <c r="C31" t="s">
        <v>368</v>
      </c>
      <c r="D31" t="s">
        <v>369</v>
      </c>
      <c r="E31" t="s">
        <v>370</v>
      </c>
      <c r="F31">
        <v>0</v>
      </c>
      <c r="G31" s="11"/>
      <c r="H31" s="26"/>
      <c r="I31"/>
      <c r="J31"/>
      <c r="K31" s="402"/>
      <c r="L31"/>
      <c r="M31"/>
      <c r="N31"/>
      <c r="O31" s="26"/>
      <c r="P31" s="37">
        <f ca="1">IFERROR(+IF(P$29=ProposalToGnatt[[#This Row],[Start Date]],Milestone_Marker,IF(AND(P$29&gt;ProposalToGnatt[[#This Row],[Start Date]],P$29&lt;ProposalToGnatt[[#This Row],[Start Date]]+ProposalToGnatt[[#This Row],[Days]]),$G$5,"")),"")</f>
        <v>1</v>
      </c>
      <c r="Q31" s="37" t="str">
        <f ca="1">IFERROR(+IF(Q$29=ProposalToGnatt[[#This Row],[Start Date]],Milestone_Marker,IF(AND(Q$29&gt;ProposalToGnatt[[#This Row],[Start Date]],Q$29&lt;ProposalToGnatt[[#This Row],[Start Date]]+ProposalToGnatt[[#This Row],[Days]]),$G$5,"")),"")</f>
        <v/>
      </c>
      <c r="R31" s="37" t="str">
        <f ca="1">IFERROR(+IF(R$29=ProposalToGnatt[[#This Row],[Start Date]],Milestone_Marker,IF(AND(R$29&gt;ProposalToGnatt[[#This Row],[Start Date]],R$29&lt;ProposalToGnatt[[#This Row],[Start Date]]+ProposalToGnatt[[#This Row],[Days]]),$G$5,"")),"")</f>
        <v/>
      </c>
      <c r="S31" s="37" t="str">
        <f ca="1">IFERROR(+IF(S$29=ProposalToGnatt[[#This Row],[Start Date]],Milestone_Marker,IF(AND(S$29&gt;ProposalToGnatt[[#This Row],[Start Date]],S$29&lt;ProposalToGnatt[[#This Row],[Start Date]]+ProposalToGnatt[[#This Row],[Days]]),$G$5,"")),"")</f>
        <v/>
      </c>
      <c r="T31" s="37" t="str">
        <f ca="1">IFERROR(+IF(T$29=ProposalToGnatt[[#This Row],[Start Date]],Milestone_Marker,IF(AND(T$29&gt;ProposalToGnatt[[#This Row],[Start Date]],T$29&lt;ProposalToGnatt[[#This Row],[Start Date]]+ProposalToGnatt[[#This Row],[Days]]),$G$5,"")),"")</f>
        <v/>
      </c>
      <c r="U31" s="37" t="str">
        <f ca="1">IFERROR(+IF(U$29=ProposalToGnatt[[#This Row],[Start Date]],Milestone_Marker,IF(AND(U$29&gt;ProposalToGnatt[[#This Row],[Start Date]],U$29&lt;ProposalToGnatt[[#This Row],[Start Date]]+ProposalToGnatt[[#This Row],[Days]]),$G$5,"")),"")</f>
        <v/>
      </c>
      <c r="V31" s="37" t="str">
        <f ca="1">IFERROR(+IF(V$29=ProposalToGnatt[[#This Row],[Start Date]],Milestone_Marker,IF(AND(V$29&gt;ProposalToGnatt[[#This Row],[Start Date]],V$29&lt;ProposalToGnatt[[#This Row],[Start Date]]+ProposalToGnatt[[#This Row],[Days]]),$G$5,"")),"")</f>
        <v/>
      </c>
      <c r="W31" s="37" t="str">
        <f ca="1">IFERROR(+IF(W$29=ProposalToGnatt[[#This Row],[Start Date]],Milestone_Marker,IF(AND(W$29&gt;ProposalToGnatt[[#This Row],[Start Date]],W$29&lt;ProposalToGnatt[[#This Row],[Start Date]]+ProposalToGnatt[[#This Row],[Days]]),$G$5,"")),"")</f>
        <v/>
      </c>
      <c r="X31" s="37" t="str">
        <f ca="1">IFERROR(+IF(X$29=ProposalToGnatt[[#This Row],[Start Date]],Milestone_Marker,IF(AND(X$29&gt;ProposalToGnatt[[#This Row],[Start Date]],X$29&lt;ProposalToGnatt[[#This Row],[Start Date]]+ProposalToGnatt[[#This Row],[Days]]),$G$5,"")),"")</f>
        <v/>
      </c>
      <c r="Y31" s="37" t="str">
        <f ca="1">IFERROR(+IF(Y$29=ProposalToGnatt[[#This Row],[Start Date]],Milestone_Marker,IF(AND(Y$29&gt;ProposalToGnatt[[#This Row],[Start Date]],Y$29&lt;ProposalToGnatt[[#This Row],[Start Date]]+ProposalToGnatt[[#This Row],[Days]]),$G$5,"")),"")</f>
        <v/>
      </c>
      <c r="Z31" s="37" t="str">
        <f ca="1">IFERROR(+IF(Z$29=ProposalToGnatt[[#This Row],[Start Date]],Milestone_Marker,IF(AND(Z$29&gt;ProposalToGnatt[[#This Row],[Start Date]],Z$29&lt;ProposalToGnatt[[#This Row],[Start Date]]+ProposalToGnatt[[#This Row],[Days]]),$G$5,"")),"")</f>
        <v/>
      </c>
      <c r="AA31" s="37" t="str">
        <f ca="1">IFERROR(+IF(AA$29=ProposalToGnatt[[#This Row],[Start Date]],Milestone_Marker,IF(AND(AA$29&gt;ProposalToGnatt[[#This Row],[Start Date]],AA$29&lt;ProposalToGnatt[[#This Row],[Start Date]]+ProposalToGnatt[[#This Row],[Days]]),$G$5,"")),"")</f>
        <v/>
      </c>
      <c r="AB31" s="37" t="str">
        <f ca="1">IFERROR(+IF(AB$29=ProposalToGnatt[[#This Row],[Start Date]],Milestone_Marker,IF(AND(AB$29&gt;ProposalToGnatt[[#This Row],[Start Date]],AB$29&lt;ProposalToGnatt[[#This Row],[Start Date]]+ProposalToGnatt[[#This Row],[Days]]),$G$5,"")),"")</f>
        <v/>
      </c>
      <c r="AC31" s="37" t="str">
        <f ca="1">IFERROR(+IF(AC$29=ProposalToGnatt[[#This Row],[Start Date]],Milestone_Marker,IF(AND(AC$29&gt;ProposalToGnatt[[#This Row],[Start Date]],AC$29&lt;ProposalToGnatt[[#This Row],[Start Date]]+ProposalToGnatt[[#This Row],[Days]]),$G$5,"")),"")</f>
        <v/>
      </c>
      <c r="AD31" s="37" t="str">
        <f ca="1">IFERROR(+IF(AD$29=ProposalToGnatt[[#This Row],[Start Date]],Milestone_Marker,IF(AND(AD$29&gt;ProposalToGnatt[[#This Row],[Start Date]],AD$29&lt;ProposalToGnatt[[#This Row],[Start Date]]+ProposalToGnatt[[#This Row],[Days]]),$G$5,"")),"")</f>
        <v/>
      </c>
      <c r="AE31" s="37" t="str">
        <f ca="1">IFERROR(+IF(AE$29=ProposalToGnatt[[#This Row],[Start Date]],Milestone_Marker,IF(AND(AE$29&gt;ProposalToGnatt[[#This Row],[Start Date]],AE$29&lt;ProposalToGnatt[[#This Row],[Start Date]]+ProposalToGnatt[[#This Row],[Days]]),$G$5,"")),"")</f>
        <v/>
      </c>
      <c r="AF31" s="37" t="str">
        <f ca="1">IFERROR(+IF(AF$29=ProposalToGnatt[[#This Row],[Start Date]],Milestone_Marker,IF(AND(AF$29&gt;ProposalToGnatt[[#This Row],[Start Date]],AF$29&lt;ProposalToGnatt[[#This Row],[Start Date]]+ProposalToGnatt[[#This Row],[Days]]),$G$5,"")),"")</f>
        <v/>
      </c>
      <c r="AG31" s="37" t="str">
        <f ca="1">IFERROR(+IF(AG$29=ProposalToGnatt[[#This Row],[Start Date]],Milestone_Marker,IF(AND(AG$29&gt;ProposalToGnatt[[#This Row],[Start Date]],AG$29&lt;ProposalToGnatt[[#This Row],[Start Date]]+ProposalToGnatt[[#This Row],[Days]]),$G$5,"")),"")</f>
        <v/>
      </c>
      <c r="AH31" s="37" t="str">
        <f ca="1">IFERROR(+IF(AH$29=ProposalToGnatt[[#This Row],[Start Date]],Milestone_Marker,IF(AND(AH$29&gt;ProposalToGnatt[[#This Row],[Start Date]],AH$29&lt;ProposalToGnatt[[#This Row],[Start Date]]+ProposalToGnatt[[#This Row],[Days]]),$G$5,"")),"")</f>
        <v/>
      </c>
      <c r="AI31" s="37" t="str">
        <f ca="1">IFERROR(+IF(AI$29=ProposalToGnatt[[#This Row],[Start Date]],Milestone_Marker,IF(AND(AI$29&gt;ProposalToGnatt[[#This Row],[Start Date]],AI$29&lt;ProposalToGnatt[[#This Row],[Start Date]]+ProposalToGnatt[[#This Row],[Days]]),$G$5,"")),"")</f>
        <v/>
      </c>
      <c r="AJ31" s="37" t="str">
        <f ca="1">IFERROR(+IF(AJ$29=ProposalToGnatt[[#This Row],[Start Date]],Milestone_Marker,IF(AND(AJ$29&gt;ProposalToGnatt[[#This Row],[Start Date]],AJ$29&lt;ProposalToGnatt[[#This Row],[Start Date]]+ProposalToGnatt[[#This Row],[Days]]),$G$5,"")),"")</f>
        <v/>
      </c>
      <c r="AK31" s="37" t="str">
        <f ca="1">IFERROR(+IF(AK$29=ProposalToGnatt[[#This Row],[Start Date]],Milestone_Marker,IF(AND(AK$29&gt;ProposalToGnatt[[#This Row],[Start Date]],AK$29&lt;ProposalToGnatt[[#This Row],[Start Date]]+ProposalToGnatt[[#This Row],[Days]]),$G$5,"")),"")</f>
        <v/>
      </c>
      <c r="AL31" s="37" t="str">
        <f ca="1">IFERROR(+IF(AL$29=ProposalToGnatt[[#This Row],[Start Date]],Milestone_Marker,IF(AND(AL$29&gt;ProposalToGnatt[[#This Row],[Start Date]],AL$29&lt;ProposalToGnatt[[#This Row],[Start Date]]+ProposalToGnatt[[#This Row],[Days]]),$G$5,"")),"")</f>
        <v/>
      </c>
      <c r="AM31" s="37" t="str">
        <f ca="1">IFERROR(+IF(AM$29=ProposalToGnatt[[#This Row],[Start Date]],Milestone_Marker,IF(AND(AM$29&gt;ProposalToGnatt[[#This Row],[Start Date]],AM$29&lt;ProposalToGnatt[[#This Row],[Start Date]]+ProposalToGnatt[[#This Row],[Days]]),$G$5,"")),"")</f>
        <v/>
      </c>
      <c r="AN31" s="37" t="str">
        <f ca="1">IFERROR(+IF(AN$29=ProposalToGnatt[[#This Row],[Start Date]],Milestone_Marker,IF(AND(AN$29&gt;ProposalToGnatt[[#This Row],[Start Date]],AN$29&lt;ProposalToGnatt[[#This Row],[Start Date]]+ProposalToGnatt[[#This Row],[Days]]),$G$5,"")),"")</f>
        <v/>
      </c>
      <c r="AO31" s="37" t="str">
        <f ca="1">IFERROR(+IF(AO$29=ProposalToGnatt[[#This Row],[Start Date]],Milestone_Marker,IF(AND(AO$29&gt;ProposalToGnatt[[#This Row],[Start Date]],AO$29&lt;ProposalToGnatt[[#This Row],[Start Date]]+ProposalToGnatt[[#This Row],[Days]]),$G$5,"")),"")</f>
        <v/>
      </c>
      <c r="AP31" s="37" t="str">
        <f ca="1">IFERROR(+IF(AP$29=ProposalToGnatt[[#This Row],[Start Date]],Milestone_Marker,IF(AND(AP$29&gt;ProposalToGnatt[[#This Row],[Start Date]],AP$29&lt;ProposalToGnatt[[#This Row],[Start Date]]+ProposalToGnatt[[#This Row],[Days]]),$G$5,"")),"")</f>
        <v/>
      </c>
      <c r="AQ31" s="37" t="str">
        <f ca="1">IFERROR(+IF(AQ$29=ProposalToGnatt[[#This Row],[Start Date]],Milestone_Marker,IF(AND(AQ$29&gt;ProposalToGnatt[[#This Row],[Start Date]],AQ$29&lt;ProposalToGnatt[[#This Row],[Start Date]]+ProposalToGnatt[[#This Row],[Days]]),$G$5,"")),"")</f>
        <v/>
      </c>
      <c r="AR31" s="37" t="str">
        <f ca="1">IFERROR(+IF(AR$29=ProposalToGnatt[[#This Row],[Start Date]],Milestone_Marker,IF(AND(AR$29&gt;ProposalToGnatt[[#This Row],[Start Date]],AR$29&lt;ProposalToGnatt[[#This Row],[Start Date]]+ProposalToGnatt[[#This Row],[Days]]),$G$5,"")),"")</f>
        <v/>
      </c>
      <c r="AS31" s="37" t="str">
        <f ca="1">IFERROR(+IF(AS$29=ProposalToGnatt[[#This Row],[Start Date]],Milestone_Marker,IF(AND(AS$29&gt;ProposalToGnatt[[#This Row],[Start Date]],AS$29&lt;ProposalToGnatt[[#This Row],[Start Date]]+ProposalToGnatt[[#This Row],[Days]]),$G$5,"")),"")</f>
        <v/>
      </c>
      <c r="AT31" s="37" t="str">
        <f ca="1">IFERROR(+IF(AT$29=ProposalToGnatt[[#This Row],[Start Date]],Milestone_Marker,IF(AND(AT$29&gt;ProposalToGnatt[[#This Row],[Start Date]],AT$29&lt;ProposalToGnatt[[#This Row],[Start Date]]+ProposalToGnatt[[#This Row],[Days]]),$G$5,"")),"")</f>
        <v/>
      </c>
      <c r="AU31" s="37" t="str">
        <f ca="1">IFERROR(+IF(AU$29=ProposalToGnatt[[#This Row],[Start Date]],Milestone_Marker,IF(AND(AU$29&gt;ProposalToGnatt[[#This Row],[Start Date]],AU$29&lt;ProposalToGnatt[[#This Row],[Start Date]]+ProposalToGnatt[[#This Row],[Days]]),$G$5,"")),"")</f>
        <v/>
      </c>
      <c r="AV31" s="37" t="str">
        <f ca="1">IFERROR(+IF(AV$29=ProposalToGnatt[[#This Row],[Start Date]],Milestone_Marker,IF(AND(AV$29&gt;ProposalToGnatt[[#This Row],[Start Date]],AV$29&lt;ProposalToGnatt[[#This Row],[Start Date]]+ProposalToGnatt[[#This Row],[Days]]),$G$5,"")),"")</f>
        <v/>
      </c>
      <c r="AW31" s="37" t="str">
        <f ca="1">IFERROR(+IF(AW$29=ProposalToGnatt[[#This Row],[Start Date]],Milestone_Marker,IF(AND(AW$29&gt;ProposalToGnatt[[#This Row],[Start Date]],AW$29&lt;ProposalToGnatt[[#This Row],[Start Date]]+ProposalToGnatt[[#This Row],[Days]]),$G$5,"")),"")</f>
        <v/>
      </c>
      <c r="AX31" s="37" t="str">
        <f ca="1">IFERROR(+IF(AX$29=ProposalToGnatt[[#This Row],[Start Date]],Milestone_Marker,IF(AND(AX$29&gt;ProposalToGnatt[[#This Row],[Start Date]],AX$29&lt;ProposalToGnatt[[#This Row],[Start Date]]+ProposalToGnatt[[#This Row],[Days]]),$G$5,"")),"")</f>
        <v/>
      </c>
      <c r="AY31" s="37" t="str">
        <f ca="1">IFERROR(+IF(AY$29=ProposalToGnatt[[#This Row],[Start Date]],Milestone_Marker,IF(AND(AY$29&gt;ProposalToGnatt[[#This Row],[Start Date]],AY$29&lt;ProposalToGnatt[[#This Row],[Start Date]]+ProposalToGnatt[[#This Row],[Days]]),$G$5,"")),"")</f>
        <v/>
      </c>
      <c r="AZ31" s="37" t="str">
        <f ca="1">IFERROR(+IF(AZ$29=ProposalToGnatt[[#This Row],[Start Date]],Milestone_Marker,IF(AND(AZ$29&gt;ProposalToGnatt[[#This Row],[Start Date]],AZ$29&lt;ProposalToGnatt[[#This Row],[Start Date]]+ProposalToGnatt[[#This Row],[Days]]),$G$5,"")),"")</f>
        <v/>
      </c>
      <c r="BA31" s="37" t="str">
        <f ca="1">IFERROR(+IF(BA$29=ProposalToGnatt[[#This Row],[Start Date]],Milestone_Marker,IF(AND(BA$29&gt;ProposalToGnatt[[#This Row],[Start Date]],BA$29&lt;ProposalToGnatt[[#This Row],[Start Date]]+ProposalToGnatt[[#This Row],[Days]]),$G$5,"")),"")</f>
        <v/>
      </c>
      <c r="BB31" s="37" t="str">
        <f ca="1">IFERROR(+IF(BB$29=ProposalToGnatt[[#This Row],[Start Date]],Milestone_Marker,IF(AND(BB$29&gt;ProposalToGnatt[[#This Row],[Start Date]],BB$29&lt;ProposalToGnatt[[#This Row],[Start Date]]+ProposalToGnatt[[#This Row],[Days]]),$G$5,"")),"")</f>
        <v/>
      </c>
      <c r="BC31" s="37" t="str">
        <f ca="1">IFERROR(+IF(BC$29=ProposalToGnatt[[#This Row],[Start Date]],Milestone_Marker,IF(AND(BC$29&gt;ProposalToGnatt[[#This Row],[Start Date]],BC$29&lt;ProposalToGnatt[[#This Row],[Start Date]]+ProposalToGnatt[[#This Row],[Days]]),$G$5,"")),"")</f>
        <v/>
      </c>
      <c r="BD31" s="37" t="str">
        <f ca="1">IFERROR(+IF(BD$29=ProposalToGnatt[[#This Row],[Start Date]],Milestone_Marker,IF(AND(BD$29&gt;ProposalToGnatt[[#This Row],[Start Date]],BD$29&lt;ProposalToGnatt[[#This Row],[Start Date]]+ProposalToGnatt[[#This Row],[Days]]),$G$5,"")),"")</f>
        <v/>
      </c>
      <c r="BE31" s="37" t="str">
        <f ca="1">IFERROR(+IF(BE$29=ProposalToGnatt[[#This Row],[Start Date]],Milestone_Marker,IF(AND(BE$29&gt;ProposalToGnatt[[#This Row],[Start Date]],BE$29&lt;ProposalToGnatt[[#This Row],[Start Date]]+ProposalToGnatt[[#This Row],[Days]]),$G$5,"")),"")</f>
        <v/>
      </c>
      <c r="BF31" s="37" t="str">
        <f ca="1">IFERROR(+IF(BF$29=ProposalToGnatt[[#This Row],[Start Date]],Milestone_Marker,IF(AND(BF$29&gt;ProposalToGnatt[[#This Row],[Start Date]],BF$29&lt;ProposalToGnatt[[#This Row],[Start Date]]+ProposalToGnatt[[#This Row],[Days]]),$G$5,"")),"")</f>
        <v/>
      </c>
      <c r="BG31" s="37" t="str">
        <f ca="1">IFERROR(+IF(BG$29=ProposalToGnatt[[#This Row],[Start Date]],Milestone_Marker,IF(AND(BG$29&gt;ProposalToGnatt[[#This Row],[Start Date]],BG$29&lt;ProposalToGnatt[[#This Row],[Start Date]]+ProposalToGnatt[[#This Row],[Days]]),$G$5,"")),"")</f>
        <v/>
      </c>
      <c r="BH31" s="37" t="str">
        <f ca="1">IFERROR(+IF(BH$29=ProposalToGnatt[[#This Row],[Start Date]],Milestone_Marker,IF(AND(BH$29&gt;ProposalToGnatt[[#This Row],[Start Date]],BH$29&lt;ProposalToGnatt[[#This Row],[Start Date]]+ProposalToGnatt[[#This Row],[Days]]),$G$5,"")),"")</f>
        <v/>
      </c>
      <c r="BI31" s="37" t="str">
        <f ca="1">IFERROR(+IF(BI$29=ProposalToGnatt[[#This Row],[Start Date]],Milestone_Marker,IF(AND(BI$29&gt;ProposalToGnatt[[#This Row],[Start Date]],BI$29&lt;ProposalToGnatt[[#This Row],[Start Date]]+ProposalToGnatt[[#This Row],[Days]]),$G$5,"")),"")</f>
        <v/>
      </c>
      <c r="BJ31" s="37" t="str">
        <f ca="1">IFERROR(+IF(BJ$29=ProposalToGnatt[[#This Row],[Start Date]],Milestone_Marker,IF(AND(BJ$29&gt;ProposalToGnatt[[#This Row],[Start Date]],BJ$29&lt;ProposalToGnatt[[#This Row],[Start Date]]+ProposalToGnatt[[#This Row],[Days]]),$G$5,"")),"")</f>
        <v/>
      </c>
      <c r="BK31" s="37" t="str">
        <f ca="1">IFERROR(+IF(BK$29=ProposalToGnatt[[#This Row],[Start Date]],Milestone_Marker,IF(AND(BK$29&gt;ProposalToGnatt[[#This Row],[Start Date]],BK$29&lt;ProposalToGnatt[[#This Row],[Start Date]]+ProposalToGnatt[[#This Row],[Days]]),$G$5,"")),"")</f>
        <v/>
      </c>
      <c r="BL31" s="37" t="str">
        <f ca="1">IFERROR(+IF(BL$29=ProposalToGnatt[[#This Row],[Start Date]],Milestone_Marker,IF(AND(BL$29&gt;ProposalToGnatt[[#This Row],[Start Date]],BL$29&lt;ProposalToGnatt[[#This Row],[Start Date]]+ProposalToGnatt[[#This Row],[Days]]),$G$5,"")),"")</f>
        <v/>
      </c>
      <c r="BM31" s="37" t="str">
        <f ca="1">IFERROR(+IF(BM$29=ProposalToGnatt[[#This Row],[Start Date]],Milestone_Marker,IF(AND(BM$29&gt;ProposalToGnatt[[#This Row],[Start Date]],BM$29&lt;ProposalToGnatt[[#This Row],[Start Date]]+ProposalToGnatt[[#This Row],[Days]]),$G$5,"")),"")</f>
        <v/>
      </c>
      <c r="BN31" s="37" t="str">
        <f ca="1">IFERROR(+IF(BN$29=ProposalToGnatt[[#This Row],[Start Date]],Milestone_Marker,IF(AND(BN$29&gt;ProposalToGnatt[[#This Row],[Start Date]],BN$29&lt;ProposalToGnatt[[#This Row],[Start Date]]+ProposalToGnatt[[#This Row],[Days]]),$G$5,"")),"")</f>
        <v/>
      </c>
      <c r="BO31" s="37" t="str">
        <f ca="1">IFERROR(+IF(BO$29=ProposalToGnatt[[#This Row],[Start Date]],Milestone_Marker,IF(AND(BO$29&gt;ProposalToGnatt[[#This Row],[Start Date]],BO$29&lt;ProposalToGnatt[[#This Row],[Start Date]]+ProposalToGnatt[[#This Row],[Days]]),$G$5,"")),"")</f>
        <v/>
      </c>
      <c r="BP31" s="37" t="str">
        <f ca="1">IFERROR(+IF(BP$29=ProposalToGnatt[[#This Row],[Start Date]],Milestone_Marker,IF(AND(BP$29&gt;ProposalToGnatt[[#This Row],[Start Date]],BP$29&lt;ProposalToGnatt[[#This Row],[Start Date]]+ProposalToGnatt[[#This Row],[Days]]),$G$5,"")),"")</f>
        <v/>
      </c>
      <c r="BQ31" s="37" t="str">
        <f ca="1">IFERROR(+IF(BQ$29=ProposalToGnatt[[#This Row],[Start Date]],Milestone_Marker,IF(AND(BQ$29&gt;ProposalToGnatt[[#This Row],[Start Date]],BQ$29&lt;ProposalToGnatt[[#This Row],[Start Date]]+ProposalToGnatt[[#This Row],[Days]]),$G$5,"")),"")</f>
        <v/>
      </c>
      <c r="BR31" s="37" t="str">
        <f ca="1">IFERROR(+IF(BR$29=ProposalToGnatt[[#This Row],[Start Date]],Milestone_Marker,IF(AND(BR$29&gt;ProposalToGnatt[[#This Row],[Start Date]],BR$29&lt;ProposalToGnatt[[#This Row],[Start Date]]+ProposalToGnatt[[#This Row],[Days]]),$G$5,"")),"")</f>
        <v/>
      </c>
      <c r="BS31" s="37" t="str">
        <f ca="1">IFERROR(+IF(BS$29=ProposalToGnatt[[#This Row],[Start Date]],Milestone_Marker,IF(AND(BS$29&gt;ProposalToGnatt[[#This Row],[Start Date]],BS$29&lt;ProposalToGnatt[[#This Row],[Start Date]]+ProposalToGnatt[[#This Row],[Days]]),$G$5,"")),"")</f>
        <v/>
      </c>
      <c r="BT31" s="37" t="str">
        <f ca="1">IFERROR(+IF(BT$29=ProposalToGnatt[[#This Row],[Start Date]],Milestone_Marker,IF(AND(BT$29&gt;ProposalToGnatt[[#This Row],[Start Date]],BT$29&lt;ProposalToGnatt[[#This Row],[Start Date]]+ProposalToGnatt[[#This Row],[Days]]),$G$5,"")),"")</f>
        <v/>
      </c>
      <c r="BU31" s="37" t="str">
        <f ca="1">IFERROR(+IF(BU$29=ProposalToGnatt[[#This Row],[Start Date]],Milestone_Marker,IF(AND(BU$29&gt;ProposalToGnatt[[#This Row],[Start Date]],BU$29&lt;ProposalToGnatt[[#This Row],[Start Date]]+ProposalToGnatt[[#This Row],[Days]]),$G$5,"")),"")</f>
        <v/>
      </c>
      <c r="BV31" s="37" t="str">
        <f ca="1">IFERROR(+IF(BV$29=ProposalToGnatt[[#This Row],[Start Date]],Milestone_Marker,IF(AND(BV$29&gt;ProposalToGnatt[[#This Row],[Start Date]],BV$29&lt;ProposalToGnatt[[#This Row],[Start Date]]+ProposalToGnatt[[#This Row],[Days]]),$G$5,"")),"")</f>
        <v/>
      </c>
      <c r="BW31" s="37" t="str">
        <f ca="1">IFERROR(+IF(BW$29=ProposalToGnatt[[#This Row],[Start Date]],Milestone_Marker,IF(AND(BW$29&gt;ProposalToGnatt[[#This Row],[Start Date]],BW$29&lt;ProposalToGnatt[[#This Row],[Start Date]]+ProposalToGnatt[[#This Row],[Days]]),$G$5,"")),"")</f>
        <v/>
      </c>
      <c r="BX31" s="37" t="str">
        <f ca="1">IFERROR(+IF(BX$29=ProposalToGnatt[[#This Row],[Start Date]],Milestone_Marker,IF(AND(BX$29&gt;ProposalToGnatt[[#This Row],[Start Date]],BX$29&lt;ProposalToGnatt[[#This Row],[Start Date]]+ProposalToGnatt[[#This Row],[Days]]),$G$5,"")),"")</f>
        <v/>
      </c>
      <c r="BY31" s="37" t="str">
        <f ca="1">IFERROR(+IF(BY$29=ProposalToGnatt[[#This Row],[Start Date]],Milestone_Marker,IF(AND(BY$29&gt;ProposalToGnatt[[#This Row],[Start Date]],BY$29&lt;ProposalToGnatt[[#This Row],[Start Date]]+ProposalToGnatt[[#This Row],[Days]]),$G$5,"")),"")</f>
        <v/>
      </c>
      <c r="BZ31" s="37" t="str">
        <f ca="1">IFERROR(+IF(BZ$29=ProposalToGnatt[[#This Row],[Start Date]],Milestone_Marker,IF(AND(BZ$29&gt;ProposalToGnatt[[#This Row],[Start Date]],BZ$29&lt;ProposalToGnatt[[#This Row],[Start Date]]+ProposalToGnatt[[#This Row],[Days]]),$G$5,"")),"")</f>
        <v/>
      </c>
      <c r="CA31" s="37" t="str">
        <f ca="1">IFERROR(+IF(CA$29=ProposalToGnatt[[#This Row],[Start Date]],Milestone_Marker,IF(AND(CA$29&gt;ProposalToGnatt[[#This Row],[Start Date]],CA$29&lt;ProposalToGnatt[[#This Row],[Start Date]]+ProposalToGnatt[[#This Row],[Days]]),$G$5,"")),"")</f>
        <v/>
      </c>
      <c r="CB31" s="37" t="str">
        <f ca="1">IFERROR(+IF(CB$29=ProposalToGnatt[[#This Row],[Start Date]],Milestone_Marker,IF(AND(CB$29&gt;ProposalToGnatt[[#This Row],[Start Date]],CB$29&lt;ProposalToGnatt[[#This Row],[Start Date]]+ProposalToGnatt[[#This Row],[Days]]),$G$5,"")),"")</f>
        <v/>
      </c>
      <c r="CC31" s="37" t="str">
        <f ca="1">IFERROR(+IF(CC$29=ProposalToGnatt[[#This Row],[Start Date]],Milestone_Marker,IF(AND(CC$29&gt;ProposalToGnatt[[#This Row],[Start Date]],CC$29&lt;ProposalToGnatt[[#This Row],[Start Date]]+ProposalToGnatt[[#This Row],[Days]]),$G$5,"")),"")</f>
        <v/>
      </c>
      <c r="CD31" s="37" t="str">
        <f ca="1">IFERROR(+IF(CD$29=ProposalToGnatt[[#This Row],[Start Date]],Milestone_Marker,IF(AND(CD$29&gt;ProposalToGnatt[[#This Row],[Start Date]],CD$29&lt;ProposalToGnatt[[#This Row],[Start Date]]+ProposalToGnatt[[#This Row],[Days]]),$G$5,"")),"")</f>
        <v/>
      </c>
      <c r="CE31" s="37" t="str">
        <f ca="1">IFERROR(+IF(CE$29=ProposalToGnatt[[#This Row],[Start Date]],Milestone_Marker,IF(AND(CE$29&gt;ProposalToGnatt[[#This Row],[Start Date]],CE$29&lt;ProposalToGnatt[[#This Row],[Start Date]]+ProposalToGnatt[[#This Row],[Days]]),$G$5,"")),"")</f>
        <v/>
      </c>
      <c r="CF31" s="37" t="str">
        <f ca="1">IFERROR(+IF(CF$29=ProposalToGnatt[[#This Row],[Start Date]],Milestone_Marker,IF(AND(CF$29&gt;ProposalToGnatt[[#This Row],[Start Date]],CF$29&lt;ProposalToGnatt[[#This Row],[Start Date]]+ProposalToGnatt[[#This Row],[Days]]),$G$5,"")),"")</f>
        <v/>
      </c>
      <c r="CG31" s="37" t="str">
        <f ca="1">IFERROR(+IF(CG$29=ProposalToGnatt[[#This Row],[Start Date]],Milestone_Marker,IF(AND(CG$29&gt;ProposalToGnatt[[#This Row],[Start Date]],CG$29&lt;ProposalToGnatt[[#This Row],[Start Date]]+ProposalToGnatt[[#This Row],[Days]]),$G$5,"")),"")</f>
        <v/>
      </c>
      <c r="CH31" s="37" t="str">
        <f ca="1">IFERROR(+IF(CH$29=ProposalToGnatt[[#This Row],[Start Date]],Milestone_Marker,IF(AND(CH$29&gt;ProposalToGnatt[[#This Row],[Start Date]],CH$29&lt;ProposalToGnatt[[#This Row],[Start Date]]+ProposalToGnatt[[#This Row],[Days]]),$G$5,"")),"")</f>
        <v/>
      </c>
      <c r="CI31" s="37" t="str">
        <f ca="1">IFERROR(+IF(CI$29=ProposalToGnatt[[#This Row],[Start Date]],Milestone_Marker,IF(AND(CI$29&gt;ProposalToGnatt[[#This Row],[Start Date]],CI$29&lt;ProposalToGnatt[[#This Row],[Start Date]]+ProposalToGnatt[[#This Row],[Days]]),$G$5,"")),"")</f>
        <v/>
      </c>
      <c r="CJ31" s="37" t="str">
        <f ca="1">IFERROR(+IF(CJ$29=ProposalToGnatt[[#This Row],[Start Date]],Milestone_Marker,IF(AND(CJ$29&gt;ProposalToGnatt[[#This Row],[Start Date]],CJ$29&lt;ProposalToGnatt[[#This Row],[Start Date]]+ProposalToGnatt[[#This Row],[Days]]),$G$5,"")),"")</f>
        <v/>
      </c>
      <c r="CK31" s="37" t="str">
        <f ca="1">IFERROR(+IF(CK$29=ProposalToGnatt[[#This Row],[Start Date]],Milestone_Marker,IF(AND(CK$29&gt;ProposalToGnatt[[#This Row],[Start Date]],CK$29&lt;ProposalToGnatt[[#This Row],[Start Date]]+ProposalToGnatt[[#This Row],[Days]]),$G$5,"")),"")</f>
        <v/>
      </c>
      <c r="CL31" s="37" t="str">
        <f ca="1">IFERROR(+IF(CL$29=ProposalToGnatt[[#This Row],[Start Date]],Milestone_Marker,IF(AND(CL$29&gt;ProposalToGnatt[[#This Row],[Start Date]],CL$29&lt;ProposalToGnatt[[#This Row],[Start Date]]+ProposalToGnatt[[#This Row],[Days]]),$G$5,"")),"")</f>
        <v/>
      </c>
      <c r="CM31" s="37" t="str">
        <f ca="1">IFERROR(+IF(CM$29=ProposalToGnatt[[#This Row],[Start Date]],Milestone_Marker,IF(AND(CM$29&gt;ProposalToGnatt[[#This Row],[Start Date]],CM$29&lt;ProposalToGnatt[[#This Row],[Start Date]]+ProposalToGnatt[[#This Row],[Days]]),$G$5,"")),"")</f>
        <v/>
      </c>
      <c r="CN31" s="37" t="str">
        <f ca="1">IFERROR(+IF(CN$29=ProposalToGnatt[[#This Row],[Start Date]],Milestone_Marker,IF(AND(CN$29&gt;ProposalToGnatt[[#This Row],[Start Date]],CN$29&lt;ProposalToGnatt[[#This Row],[Start Date]]+ProposalToGnatt[[#This Row],[Days]]),$G$5,"")),"")</f>
        <v/>
      </c>
      <c r="CO31" s="37" t="str">
        <f ca="1">IFERROR(+IF(CO$29=ProposalToGnatt[[#This Row],[Start Date]],Milestone_Marker,IF(AND(CO$29&gt;ProposalToGnatt[[#This Row],[Start Date]],CO$29&lt;ProposalToGnatt[[#This Row],[Start Date]]+ProposalToGnatt[[#This Row],[Days]]),$G$5,"")),"")</f>
        <v/>
      </c>
      <c r="CP31" s="37" t="str">
        <f ca="1">IFERROR(+IF(CP$29=ProposalToGnatt[[#This Row],[Start Date]],Milestone_Marker,IF(AND(CP$29&gt;ProposalToGnatt[[#This Row],[Start Date]],CP$29&lt;ProposalToGnatt[[#This Row],[Start Date]]+ProposalToGnatt[[#This Row],[Days]]),$G$5,"")),"")</f>
        <v/>
      </c>
      <c r="CQ31" s="37" t="str">
        <f ca="1">IFERROR(+IF(CQ$29=ProposalToGnatt[[#This Row],[Start Date]],Milestone_Marker,IF(AND(CQ$29&gt;ProposalToGnatt[[#This Row],[Start Date]],CQ$29&lt;ProposalToGnatt[[#This Row],[Start Date]]+ProposalToGnatt[[#This Row],[Days]]),$G$5,"")),"")</f>
        <v/>
      </c>
      <c r="CR31" s="37" t="str">
        <f ca="1">IFERROR(+IF(CR$29=ProposalToGnatt[[#This Row],[Start Date]],Milestone_Marker,IF(AND(CR$29&gt;ProposalToGnatt[[#This Row],[Start Date]],CR$29&lt;ProposalToGnatt[[#This Row],[Start Date]]+ProposalToGnatt[[#This Row],[Days]]),$G$5,"")),"")</f>
        <v/>
      </c>
      <c r="CS31" s="37" t="str">
        <f ca="1">IFERROR(+IF(CS$29=ProposalToGnatt[[#This Row],[Start Date]],Milestone_Marker,IF(AND(CS$29&gt;ProposalToGnatt[[#This Row],[Start Date]],CS$29&lt;ProposalToGnatt[[#This Row],[Start Date]]+ProposalToGnatt[[#This Row],[Days]]),$G$5,"")),"")</f>
        <v/>
      </c>
      <c r="CT31" s="37" t="str">
        <f ca="1">IFERROR(+IF(CT$29=ProposalToGnatt[[#This Row],[Start Date]],Milestone_Marker,IF(AND(CT$29&gt;ProposalToGnatt[[#This Row],[Start Date]],CT$29&lt;ProposalToGnatt[[#This Row],[Start Date]]+ProposalToGnatt[[#This Row],[Days]]),$G$5,"")),"")</f>
        <v/>
      </c>
      <c r="CU31" s="37" t="str">
        <f ca="1">IFERROR(+IF(CU$29=ProposalToGnatt[[#This Row],[Start Date]],Milestone_Marker,IF(AND(CU$29&gt;ProposalToGnatt[[#This Row],[Start Date]],CU$29&lt;ProposalToGnatt[[#This Row],[Start Date]]+ProposalToGnatt[[#This Row],[Days]]),$G$5,"")),"")</f>
        <v/>
      </c>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row>
    <row r="32" spans="1:125" s="42" customFormat="1" ht="20.100000000000001" customHeight="1">
      <c r="A32" t="s">
        <v>449</v>
      </c>
      <c r="B32">
        <v>3</v>
      </c>
      <c r="C32" t="s">
        <v>368</v>
      </c>
      <c r="D32" t="s">
        <v>371</v>
      </c>
      <c r="E32" t="s">
        <v>371</v>
      </c>
      <c r="F32">
        <v>0</v>
      </c>
      <c r="G32" s="11"/>
      <c r="H32" s="26"/>
      <c r="I32"/>
      <c r="J32"/>
      <c r="K32" s="402"/>
      <c r="L32"/>
      <c r="M32"/>
      <c r="N32"/>
      <c r="O32" s="26"/>
      <c r="P32" s="37">
        <f ca="1">IFERROR(+IF(P$29=ProposalToGnatt[[#This Row],[Start Date]],Milestone_Marker,IF(AND(P$29&gt;ProposalToGnatt[[#This Row],[Start Date]],P$29&lt;ProposalToGnatt[[#This Row],[Start Date]]+ProposalToGnatt[[#This Row],[Days]]),$G$5,"")),"")</f>
        <v>1</v>
      </c>
      <c r="Q32" s="37" t="str">
        <f ca="1">IFERROR(+IF(Q$29=ProposalToGnatt[[#This Row],[Start Date]],Milestone_Marker,IF(AND(Q$29&gt;ProposalToGnatt[[#This Row],[Start Date]],Q$29&lt;ProposalToGnatt[[#This Row],[Start Date]]+ProposalToGnatt[[#This Row],[Days]]),$G$5,"")),"")</f>
        <v/>
      </c>
      <c r="R32" s="37" t="str">
        <f ca="1">IFERROR(+IF(R$29=ProposalToGnatt[[#This Row],[Start Date]],Milestone_Marker,IF(AND(R$29&gt;ProposalToGnatt[[#This Row],[Start Date]],R$29&lt;ProposalToGnatt[[#This Row],[Start Date]]+ProposalToGnatt[[#This Row],[Days]]),$G$5,"")),"")</f>
        <v/>
      </c>
      <c r="S32" s="37" t="str">
        <f ca="1">IFERROR(+IF(S$29=ProposalToGnatt[[#This Row],[Start Date]],Milestone_Marker,IF(AND(S$29&gt;ProposalToGnatt[[#This Row],[Start Date]],S$29&lt;ProposalToGnatt[[#This Row],[Start Date]]+ProposalToGnatt[[#This Row],[Days]]),$G$5,"")),"")</f>
        <v/>
      </c>
      <c r="T32" s="37" t="str">
        <f ca="1">IFERROR(+IF(T$29=ProposalToGnatt[[#This Row],[Start Date]],Milestone_Marker,IF(AND(T$29&gt;ProposalToGnatt[[#This Row],[Start Date]],T$29&lt;ProposalToGnatt[[#This Row],[Start Date]]+ProposalToGnatt[[#This Row],[Days]]),$G$5,"")),"")</f>
        <v/>
      </c>
      <c r="U32" s="37" t="str">
        <f ca="1">IFERROR(+IF(U$29=ProposalToGnatt[[#This Row],[Start Date]],Milestone_Marker,IF(AND(U$29&gt;ProposalToGnatt[[#This Row],[Start Date]],U$29&lt;ProposalToGnatt[[#This Row],[Start Date]]+ProposalToGnatt[[#This Row],[Days]]),$G$5,"")),"")</f>
        <v/>
      </c>
      <c r="V32" s="37" t="str">
        <f ca="1">IFERROR(+IF(V$29=ProposalToGnatt[[#This Row],[Start Date]],Milestone_Marker,IF(AND(V$29&gt;ProposalToGnatt[[#This Row],[Start Date]],V$29&lt;ProposalToGnatt[[#This Row],[Start Date]]+ProposalToGnatt[[#This Row],[Days]]),$G$5,"")),"")</f>
        <v/>
      </c>
      <c r="W32" s="37" t="str">
        <f ca="1">IFERROR(+IF(W$29=ProposalToGnatt[[#This Row],[Start Date]],Milestone_Marker,IF(AND(W$29&gt;ProposalToGnatt[[#This Row],[Start Date]],W$29&lt;ProposalToGnatt[[#This Row],[Start Date]]+ProposalToGnatt[[#This Row],[Days]]),$G$5,"")),"")</f>
        <v/>
      </c>
      <c r="X32" s="37" t="str">
        <f ca="1">IFERROR(+IF(X$29=ProposalToGnatt[[#This Row],[Start Date]],Milestone_Marker,IF(AND(X$29&gt;ProposalToGnatt[[#This Row],[Start Date]],X$29&lt;ProposalToGnatt[[#This Row],[Start Date]]+ProposalToGnatt[[#This Row],[Days]]),$G$5,"")),"")</f>
        <v/>
      </c>
      <c r="Y32" s="37" t="str">
        <f ca="1">IFERROR(+IF(Y$29=ProposalToGnatt[[#This Row],[Start Date]],Milestone_Marker,IF(AND(Y$29&gt;ProposalToGnatt[[#This Row],[Start Date]],Y$29&lt;ProposalToGnatt[[#This Row],[Start Date]]+ProposalToGnatt[[#This Row],[Days]]),$G$5,"")),"")</f>
        <v/>
      </c>
      <c r="Z32" s="37" t="str">
        <f ca="1">IFERROR(+IF(Z$29=ProposalToGnatt[[#This Row],[Start Date]],Milestone_Marker,IF(AND(Z$29&gt;ProposalToGnatt[[#This Row],[Start Date]],Z$29&lt;ProposalToGnatt[[#This Row],[Start Date]]+ProposalToGnatt[[#This Row],[Days]]),$G$5,"")),"")</f>
        <v/>
      </c>
      <c r="AA32" s="37" t="str">
        <f ca="1">IFERROR(+IF(AA$29=ProposalToGnatt[[#This Row],[Start Date]],Milestone_Marker,IF(AND(AA$29&gt;ProposalToGnatt[[#This Row],[Start Date]],AA$29&lt;ProposalToGnatt[[#This Row],[Start Date]]+ProposalToGnatt[[#This Row],[Days]]),$G$5,"")),"")</f>
        <v/>
      </c>
      <c r="AB32" s="37" t="str">
        <f ca="1">IFERROR(+IF(AB$29=ProposalToGnatt[[#This Row],[Start Date]],Milestone_Marker,IF(AND(AB$29&gt;ProposalToGnatt[[#This Row],[Start Date]],AB$29&lt;ProposalToGnatt[[#This Row],[Start Date]]+ProposalToGnatt[[#This Row],[Days]]),$G$5,"")),"")</f>
        <v/>
      </c>
      <c r="AC32" s="37" t="str">
        <f ca="1">IFERROR(+IF(AC$29=ProposalToGnatt[[#This Row],[Start Date]],Milestone_Marker,IF(AND(AC$29&gt;ProposalToGnatt[[#This Row],[Start Date]],AC$29&lt;ProposalToGnatt[[#This Row],[Start Date]]+ProposalToGnatt[[#This Row],[Days]]),$G$5,"")),"")</f>
        <v/>
      </c>
      <c r="AD32" s="37" t="str">
        <f ca="1">IFERROR(+IF(AD$29=ProposalToGnatt[[#This Row],[Start Date]],Milestone_Marker,IF(AND(AD$29&gt;ProposalToGnatt[[#This Row],[Start Date]],AD$29&lt;ProposalToGnatt[[#This Row],[Start Date]]+ProposalToGnatt[[#This Row],[Days]]),$G$5,"")),"")</f>
        <v/>
      </c>
      <c r="AE32" s="37" t="str">
        <f ca="1">IFERROR(+IF(AE$29=ProposalToGnatt[[#This Row],[Start Date]],Milestone_Marker,IF(AND(AE$29&gt;ProposalToGnatt[[#This Row],[Start Date]],AE$29&lt;ProposalToGnatt[[#This Row],[Start Date]]+ProposalToGnatt[[#This Row],[Days]]),$G$5,"")),"")</f>
        <v/>
      </c>
      <c r="AF32" s="37" t="str">
        <f ca="1">IFERROR(+IF(AF$29=ProposalToGnatt[[#This Row],[Start Date]],Milestone_Marker,IF(AND(AF$29&gt;ProposalToGnatt[[#This Row],[Start Date]],AF$29&lt;ProposalToGnatt[[#This Row],[Start Date]]+ProposalToGnatt[[#This Row],[Days]]),$G$5,"")),"")</f>
        <v/>
      </c>
      <c r="AG32" s="37" t="str">
        <f ca="1">IFERROR(+IF(AG$29=ProposalToGnatt[[#This Row],[Start Date]],Milestone_Marker,IF(AND(AG$29&gt;ProposalToGnatt[[#This Row],[Start Date]],AG$29&lt;ProposalToGnatt[[#This Row],[Start Date]]+ProposalToGnatt[[#This Row],[Days]]),$G$5,"")),"")</f>
        <v/>
      </c>
      <c r="AH32" s="37" t="str">
        <f ca="1">IFERROR(+IF(AH$29=ProposalToGnatt[[#This Row],[Start Date]],Milestone_Marker,IF(AND(AH$29&gt;ProposalToGnatt[[#This Row],[Start Date]],AH$29&lt;ProposalToGnatt[[#This Row],[Start Date]]+ProposalToGnatt[[#This Row],[Days]]),$G$5,"")),"")</f>
        <v/>
      </c>
      <c r="AI32" s="37" t="str">
        <f ca="1">IFERROR(+IF(AI$29=ProposalToGnatt[[#This Row],[Start Date]],Milestone_Marker,IF(AND(AI$29&gt;ProposalToGnatt[[#This Row],[Start Date]],AI$29&lt;ProposalToGnatt[[#This Row],[Start Date]]+ProposalToGnatt[[#This Row],[Days]]),$G$5,"")),"")</f>
        <v/>
      </c>
      <c r="AJ32" s="37" t="str">
        <f ca="1">IFERROR(+IF(AJ$29=ProposalToGnatt[[#This Row],[Start Date]],Milestone_Marker,IF(AND(AJ$29&gt;ProposalToGnatt[[#This Row],[Start Date]],AJ$29&lt;ProposalToGnatt[[#This Row],[Start Date]]+ProposalToGnatt[[#This Row],[Days]]),$G$5,"")),"")</f>
        <v/>
      </c>
      <c r="AK32" s="37" t="str">
        <f ca="1">IFERROR(+IF(AK$29=ProposalToGnatt[[#This Row],[Start Date]],Milestone_Marker,IF(AND(AK$29&gt;ProposalToGnatt[[#This Row],[Start Date]],AK$29&lt;ProposalToGnatt[[#This Row],[Start Date]]+ProposalToGnatt[[#This Row],[Days]]),$G$5,"")),"")</f>
        <v/>
      </c>
      <c r="AL32" s="37" t="str">
        <f ca="1">IFERROR(+IF(AL$29=ProposalToGnatt[[#This Row],[Start Date]],Milestone_Marker,IF(AND(AL$29&gt;ProposalToGnatt[[#This Row],[Start Date]],AL$29&lt;ProposalToGnatt[[#This Row],[Start Date]]+ProposalToGnatt[[#This Row],[Days]]),$G$5,"")),"")</f>
        <v/>
      </c>
      <c r="AM32" s="37" t="str">
        <f ca="1">IFERROR(+IF(AM$29=ProposalToGnatt[[#This Row],[Start Date]],Milestone_Marker,IF(AND(AM$29&gt;ProposalToGnatt[[#This Row],[Start Date]],AM$29&lt;ProposalToGnatt[[#This Row],[Start Date]]+ProposalToGnatt[[#This Row],[Days]]),$G$5,"")),"")</f>
        <v/>
      </c>
      <c r="AN32" s="37" t="str">
        <f ca="1">IFERROR(+IF(AN$29=ProposalToGnatt[[#This Row],[Start Date]],Milestone_Marker,IF(AND(AN$29&gt;ProposalToGnatt[[#This Row],[Start Date]],AN$29&lt;ProposalToGnatt[[#This Row],[Start Date]]+ProposalToGnatt[[#This Row],[Days]]),$G$5,"")),"")</f>
        <v/>
      </c>
      <c r="AO32" s="37" t="str">
        <f ca="1">IFERROR(+IF(AO$29=ProposalToGnatt[[#This Row],[Start Date]],Milestone_Marker,IF(AND(AO$29&gt;ProposalToGnatt[[#This Row],[Start Date]],AO$29&lt;ProposalToGnatt[[#This Row],[Start Date]]+ProposalToGnatt[[#This Row],[Days]]),$G$5,"")),"")</f>
        <v/>
      </c>
      <c r="AP32" s="37" t="str">
        <f ca="1">IFERROR(+IF(AP$29=ProposalToGnatt[[#This Row],[Start Date]],Milestone_Marker,IF(AND(AP$29&gt;ProposalToGnatt[[#This Row],[Start Date]],AP$29&lt;ProposalToGnatt[[#This Row],[Start Date]]+ProposalToGnatt[[#This Row],[Days]]),$G$5,"")),"")</f>
        <v/>
      </c>
      <c r="AQ32" s="37" t="str">
        <f ca="1">IFERROR(+IF(AQ$29=ProposalToGnatt[[#This Row],[Start Date]],Milestone_Marker,IF(AND(AQ$29&gt;ProposalToGnatt[[#This Row],[Start Date]],AQ$29&lt;ProposalToGnatt[[#This Row],[Start Date]]+ProposalToGnatt[[#This Row],[Days]]),$G$5,"")),"")</f>
        <v/>
      </c>
      <c r="AR32" s="37" t="str">
        <f ca="1">IFERROR(+IF(AR$29=ProposalToGnatt[[#This Row],[Start Date]],Milestone_Marker,IF(AND(AR$29&gt;ProposalToGnatt[[#This Row],[Start Date]],AR$29&lt;ProposalToGnatt[[#This Row],[Start Date]]+ProposalToGnatt[[#This Row],[Days]]),$G$5,"")),"")</f>
        <v/>
      </c>
      <c r="AS32" s="37" t="str">
        <f ca="1">IFERROR(+IF(AS$29=ProposalToGnatt[[#This Row],[Start Date]],Milestone_Marker,IF(AND(AS$29&gt;ProposalToGnatt[[#This Row],[Start Date]],AS$29&lt;ProposalToGnatt[[#This Row],[Start Date]]+ProposalToGnatt[[#This Row],[Days]]),$G$5,"")),"")</f>
        <v/>
      </c>
      <c r="AT32" s="37" t="str">
        <f ca="1">IFERROR(+IF(AT$29=ProposalToGnatt[[#This Row],[Start Date]],Milestone_Marker,IF(AND(AT$29&gt;ProposalToGnatt[[#This Row],[Start Date]],AT$29&lt;ProposalToGnatt[[#This Row],[Start Date]]+ProposalToGnatt[[#This Row],[Days]]),$G$5,"")),"")</f>
        <v/>
      </c>
      <c r="AU32" s="37" t="str">
        <f ca="1">IFERROR(+IF(AU$29=ProposalToGnatt[[#This Row],[Start Date]],Milestone_Marker,IF(AND(AU$29&gt;ProposalToGnatt[[#This Row],[Start Date]],AU$29&lt;ProposalToGnatt[[#This Row],[Start Date]]+ProposalToGnatt[[#This Row],[Days]]),$G$5,"")),"")</f>
        <v/>
      </c>
      <c r="AV32" s="37" t="str">
        <f ca="1">IFERROR(+IF(AV$29=ProposalToGnatt[[#This Row],[Start Date]],Milestone_Marker,IF(AND(AV$29&gt;ProposalToGnatt[[#This Row],[Start Date]],AV$29&lt;ProposalToGnatt[[#This Row],[Start Date]]+ProposalToGnatt[[#This Row],[Days]]),$G$5,"")),"")</f>
        <v/>
      </c>
      <c r="AW32" s="37" t="str">
        <f ca="1">IFERROR(+IF(AW$29=ProposalToGnatt[[#This Row],[Start Date]],Milestone_Marker,IF(AND(AW$29&gt;ProposalToGnatt[[#This Row],[Start Date]],AW$29&lt;ProposalToGnatt[[#This Row],[Start Date]]+ProposalToGnatt[[#This Row],[Days]]),$G$5,"")),"")</f>
        <v/>
      </c>
      <c r="AX32" s="37" t="str">
        <f ca="1">IFERROR(+IF(AX$29=ProposalToGnatt[[#This Row],[Start Date]],Milestone_Marker,IF(AND(AX$29&gt;ProposalToGnatt[[#This Row],[Start Date]],AX$29&lt;ProposalToGnatt[[#This Row],[Start Date]]+ProposalToGnatt[[#This Row],[Days]]),$G$5,"")),"")</f>
        <v/>
      </c>
      <c r="AY32" s="37" t="str">
        <f ca="1">IFERROR(+IF(AY$29=ProposalToGnatt[[#This Row],[Start Date]],Milestone_Marker,IF(AND(AY$29&gt;ProposalToGnatt[[#This Row],[Start Date]],AY$29&lt;ProposalToGnatt[[#This Row],[Start Date]]+ProposalToGnatt[[#This Row],[Days]]),$G$5,"")),"")</f>
        <v/>
      </c>
      <c r="AZ32" s="37" t="str">
        <f ca="1">IFERROR(+IF(AZ$29=ProposalToGnatt[[#This Row],[Start Date]],Milestone_Marker,IF(AND(AZ$29&gt;ProposalToGnatt[[#This Row],[Start Date]],AZ$29&lt;ProposalToGnatt[[#This Row],[Start Date]]+ProposalToGnatt[[#This Row],[Days]]),$G$5,"")),"")</f>
        <v/>
      </c>
      <c r="BA32" s="37" t="str">
        <f ca="1">IFERROR(+IF(BA$29=ProposalToGnatt[[#This Row],[Start Date]],Milestone_Marker,IF(AND(BA$29&gt;ProposalToGnatt[[#This Row],[Start Date]],BA$29&lt;ProposalToGnatt[[#This Row],[Start Date]]+ProposalToGnatt[[#This Row],[Days]]),$G$5,"")),"")</f>
        <v/>
      </c>
      <c r="BB32" s="37" t="str">
        <f ca="1">IFERROR(+IF(BB$29=ProposalToGnatt[[#This Row],[Start Date]],Milestone_Marker,IF(AND(BB$29&gt;ProposalToGnatt[[#This Row],[Start Date]],BB$29&lt;ProposalToGnatt[[#This Row],[Start Date]]+ProposalToGnatt[[#This Row],[Days]]),$G$5,"")),"")</f>
        <v/>
      </c>
      <c r="BC32" s="37" t="str">
        <f ca="1">IFERROR(+IF(BC$29=ProposalToGnatt[[#This Row],[Start Date]],Milestone_Marker,IF(AND(BC$29&gt;ProposalToGnatt[[#This Row],[Start Date]],BC$29&lt;ProposalToGnatt[[#This Row],[Start Date]]+ProposalToGnatt[[#This Row],[Days]]),$G$5,"")),"")</f>
        <v/>
      </c>
      <c r="BD32" s="37" t="str">
        <f ca="1">IFERROR(+IF(BD$29=ProposalToGnatt[[#This Row],[Start Date]],Milestone_Marker,IF(AND(BD$29&gt;ProposalToGnatt[[#This Row],[Start Date]],BD$29&lt;ProposalToGnatt[[#This Row],[Start Date]]+ProposalToGnatt[[#This Row],[Days]]),$G$5,"")),"")</f>
        <v/>
      </c>
      <c r="BE32" s="37" t="str">
        <f ca="1">IFERROR(+IF(BE$29=ProposalToGnatt[[#This Row],[Start Date]],Milestone_Marker,IF(AND(BE$29&gt;ProposalToGnatt[[#This Row],[Start Date]],BE$29&lt;ProposalToGnatt[[#This Row],[Start Date]]+ProposalToGnatt[[#This Row],[Days]]),$G$5,"")),"")</f>
        <v/>
      </c>
      <c r="BF32" s="37" t="str">
        <f ca="1">IFERROR(+IF(BF$29=ProposalToGnatt[[#This Row],[Start Date]],Milestone_Marker,IF(AND(BF$29&gt;ProposalToGnatt[[#This Row],[Start Date]],BF$29&lt;ProposalToGnatt[[#This Row],[Start Date]]+ProposalToGnatt[[#This Row],[Days]]),$G$5,"")),"")</f>
        <v/>
      </c>
      <c r="BG32" s="37" t="str">
        <f ca="1">IFERROR(+IF(BG$29=ProposalToGnatt[[#This Row],[Start Date]],Milestone_Marker,IF(AND(BG$29&gt;ProposalToGnatt[[#This Row],[Start Date]],BG$29&lt;ProposalToGnatt[[#This Row],[Start Date]]+ProposalToGnatt[[#This Row],[Days]]),$G$5,"")),"")</f>
        <v/>
      </c>
      <c r="BH32" s="37" t="str">
        <f ca="1">IFERROR(+IF(BH$29=ProposalToGnatt[[#This Row],[Start Date]],Milestone_Marker,IF(AND(BH$29&gt;ProposalToGnatt[[#This Row],[Start Date]],BH$29&lt;ProposalToGnatt[[#This Row],[Start Date]]+ProposalToGnatt[[#This Row],[Days]]),$G$5,"")),"")</f>
        <v/>
      </c>
      <c r="BI32" s="37" t="str">
        <f ca="1">IFERROR(+IF(BI$29=ProposalToGnatt[[#This Row],[Start Date]],Milestone_Marker,IF(AND(BI$29&gt;ProposalToGnatt[[#This Row],[Start Date]],BI$29&lt;ProposalToGnatt[[#This Row],[Start Date]]+ProposalToGnatt[[#This Row],[Days]]),$G$5,"")),"")</f>
        <v/>
      </c>
      <c r="BJ32" s="37" t="str">
        <f ca="1">IFERROR(+IF(BJ$29=ProposalToGnatt[[#This Row],[Start Date]],Milestone_Marker,IF(AND(BJ$29&gt;ProposalToGnatt[[#This Row],[Start Date]],BJ$29&lt;ProposalToGnatt[[#This Row],[Start Date]]+ProposalToGnatt[[#This Row],[Days]]),$G$5,"")),"")</f>
        <v/>
      </c>
      <c r="BK32" s="37" t="str">
        <f ca="1">IFERROR(+IF(BK$29=ProposalToGnatt[[#This Row],[Start Date]],Milestone_Marker,IF(AND(BK$29&gt;ProposalToGnatt[[#This Row],[Start Date]],BK$29&lt;ProposalToGnatt[[#This Row],[Start Date]]+ProposalToGnatt[[#This Row],[Days]]),$G$5,"")),"")</f>
        <v/>
      </c>
      <c r="BL32" s="37" t="str">
        <f ca="1">IFERROR(+IF(BL$29=ProposalToGnatt[[#This Row],[Start Date]],Milestone_Marker,IF(AND(BL$29&gt;ProposalToGnatt[[#This Row],[Start Date]],BL$29&lt;ProposalToGnatt[[#This Row],[Start Date]]+ProposalToGnatt[[#This Row],[Days]]),$G$5,"")),"")</f>
        <v/>
      </c>
      <c r="BM32" s="37" t="str">
        <f ca="1">IFERROR(+IF(BM$29=ProposalToGnatt[[#This Row],[Start Date]],Milestone_Marker,IF(AND(BM$29&gt;ProposalToGnatt[[#This Row],[Start Date]],BM$29&lt;ProposalToGnatt[[#This Row],[Start Date]]+ProposalToGnatt[[#This Row],[Days]]),$G$5,"")),"")</f>
        <v/>
      </c>
      <c r="BN32" s="37" t="str">
        <f ca="1">IFERROR(+IF(BN$29=ProposalToGnatt[[#This Row],[Start Date]],Milestone_Marker,IF(AND(BN$29&gt;ProposalToGnatt[[#This Row],[Start Date]],BN$29&lt;ProposalToGnatt[[#This Row],[Start Date]]+ProposalToGnatt[[#This Row],[Days]]),$G$5,"")),"")</f>
        <v/>
      </c>
      <c r="BO32" s="37" t="str">
        <f ca="1">IFERROR(+IF(BO$29=ProposalToGnatt[[#This Row],[Start Date]],Milestone_Marker,IF(AND(BO$29&gt;ProposalToGnatt[[#This Row],[Start Date]],BO$29&lt;ProposalToGnatt[[#This Row],[Start Date]]+ProposalToGnatt[[#This Row],[Days]]),$G$5,"")),"")</f>
        <v/>
      </c>
      <c r="BP32" s="37" t="str">
        <f ca="1">IFERROR(+IF(BP$29=ProposalToGnatt[[#This Row],[Start Date]],Milestone_Marker,IF(AND(BP$29&gt;ProposalToGnatt[[#This Row],[Start Date]],BP$29&lt;ProposalToGnatt[[#This Row],[Start Date]]+ProposalToGnatt[[#This Row],[Days]]),$G$5,"")),"")</f>
        <v/>
      </c>
      <c r="BQ32" s="37" t="str">
        <f ca="1">IFERROR(+IF(BQ$29=ProposalToGnatt[[#This Row],[Start Date]],Milestone_Marker,IF(AND(BQ$29&gt;ProposalToGnatt[[#This Row],[Start Date]],BQ$29&lt;ProposalToGnatt[[#This Row],[Start Date]]+ProposalToGnatt[[#This Row],[Days]]),$G$5,"")),"")</f>
        <v/>
      </c>
      <c r="BR32" s="37" t="str">
        <f ca="1">IFERROR(+IF(BR$29=ProposalToGnatt[[#This Row],[Start Date]],Milestone_Marker,IF(AND(BR$29&gt;ProposalToGnatt[[#This Row],[Start Date]],BR$29&lt;ProposalToGnatt[[#This Row],[Start Date]]+ProposalToGnatt[[#This Row],[Days]]),$G$5,"")),"")</f>
        <v/>
      </c>
      <c r="BS32" s="37" t="str">
        <f ca="1">IFERROR(+IF(BS$29=ProposalToGnatt[[#This Row],[Start Date]],Milestone_Marker,IF(AND(BS$29&gt;ProposalToGnatt[[#This Row],[Start Date]],BS$29&lt;ProposalToGnatt[[#This Row],[Start Date]]+ProposalToGnatt[[#This Row],[Days]]),$G$5,"")),"")</f>
        <v/>
      </c>
      <c r="BT32" s="37" t="str">
        <f ca="1">IFERROR(+IF(BT$29=ProposalToGnatt[[#This Row],[Start Date]],Milestone_Marker,IF(AND(BT$29&gt;ProposalToGnatt[[#This Row],[Start Date]],BT$29&lt;ProposalToGnatt[[#This Row],[Start Date]]+ProposalToGnatt[[#This Row],[Days]]),$G$5,"")),"")</f>
        <v/>
      </c>
      <c r="BU32" s="37" t="str">
        <f ca="1">IFERROR(+IF(BU$29=ProposalToGnatt[[#This Row],[Start Date]],Milestone_Marker,IF(AND(BU$29&gt;ProposalToGnatt[[#This Row],[Start Date]],BU$29&lt;ProposalToGnatt[[#This Row],[Start Date]]+ProposalToGnatt[[#This Row],[Days]]),$G$5,"")),"")</f>
        <v/>
      </c>
      <c r="BV32" s="37" t="str">
        <f ca="1">IFERROR(+IF(BV$29=ProposalToGnatt[[#This Row],[Start Date]],Milestone_Marker,IF(AND(BV$29&gt;ProposalToGnatt[[#This Row],[Start Date]],BV$29&lt;ProposalToGnatt[[#This Row],[Start Date]]+ProposalToGnatt[[#This Row],[Days]]),$G$5,"")),"")</f>
        <v/>
      </c>
      <c r="BW32" s="37" t="str">
        <f ca="1">IFERROR(+IF(BW$29=ProposalToGnatt[[#This Row],[Start Date]],Milestone_Marker,IF(AND(BW$29&gt;ProposalToGnatt[[#This Row],[Start Date]],BW$29&lt;ProposalToGnatt[[#This Row],[Start Date]]+ProposalToGnatt[[#This Row],[Days]]),$G$5,"")),"")</f>
        <v/>
      </c>
      <c r="BX32" s="37" t="str">
        <f ca="1">IFERROR(+IF(BX$29=ProposalToGnatt[[#This Row],[Start Date]],Milestone_Marker,IF(AND(BX$29&gt;ProposalToGnatt[[#This Row],[Start Date]],BX$29&lt;ProposalToGnatt[[#This Row],[Start Date]]+ProposalToGnatt[[#This Row],[Days]]),$G$5,"")),"")</f>
        <v/>
      </c>
      <c r="BY32" s="37" t="str">
        <f ca="1">IFERROR(+IF(BY$29=ProposalToGnatt[[#This Row],[Start Date]],Milestone_Marker,IF(AND(BY$29&gt;ProposalToGnatt[[#This Row],[Start Date]],BY$29&lt;ProposalToGnatt[[#This Row],[Start Date]]+ProposalToGnatt[[#This Row],[Days]]),$G$5,"")),"")</f>
        <v/>
      </c>
      <c r="BZ32" s="37" t="str">
        <f ca="1">IFERROR(+IF(BZ$29=ProposalToGnatt[[#This Row],[Start Date]],Milestone_Marker,IF(AND(BZ$29&gt;ProposalToGnatt[[#This Row],[Start Date]],BZ$29&lt;ProposalToGnatt[[#This Row],[Start Date]]+ProposalToGnatt[[#This Row],[Days]]),$G$5,"")),"")</f>
        <v/>
      </c>
      <c r="CA32" s="37" t="str">
        <f ca="1">IFERROR(+IF(CA$29=ProposalToGnatt[[#This Row],[Start Date]],Milestone_Marker,IF(AND(CA$29&gt;ProposalToGnatt[[#This Row],[Start Date]],CA$29&lt;ProposalToGnatt[[#This Row],[Start Date]]+ProposalToGnatt[[#This Row],[Days]]),$G$5,"")),"")</f>
        <v/>
      </c>
      <c r="CB32" s="37" t="str">
        <f ca="1">IFERROR(+IF(CB$29=ProposalToGnatt[[#This Row],[Start Date]],Milestone_Marker,IF(AND(CB$29&gt;ProposalToGnatt[[#This Row],[Start Date]],CB$29&lt;ProposalToGnatt[[#This Row],[Start Date]]+ProposalToGnatt[[#This Row],[Days]]),$G$5,"")),"")</f>
        <v/>
      </c>
      <c r="CC32" s="37" t="str">
        <f ca="1">IFERROR(+IF(CC$29=ProposalToGnatt[[#This Row],[Start Date]],Milestone_Marker,IF(AND(CC$29&gt;ProposalToGnatt[[#This Row],[Start Date]],CC$29&lt;ProposalToGnatt[[#This Row],[Start Date]]+ProposalToGnatt[[#This Row],[Days]]),$G$5,"")),"")</f>
        <v/>
      </c>
      <c r="CD32" s="37" t="str">
        <f ca="1">IFERROR(+IF(CD$29=ProposalToGnatt[[#This Row],[Start Date]],Milestone_Marker,IF(AND(CD$29&gt;ProposalToGnatt[[#This Row],[Start Date]],CD$29&lt;ProposalToGnatt[[#This Row],[Start Date]]+ProposalToGnatt[[#This Row],[Days]]),$G$5,"")),"")</f>
        <v/>
      </c>
      <c r="CE32" s="37" t="str">
        <f ca="1">IFERROR(+IF(CE$29=ProposalToGnatt[[#This Row],[Start Date]],Milestone_Marker,IF(AND(CE$29&gt;ProposalToGnatt[[#This Row],[Start Date]],CE$29&lt;ProposalToGnatt[[#This Row],[Start Date]]+ProposalToGnatt[[#This Row],[Days]]),$G$5,"")),"")</f>
        <v/>
      </c>
      <c r="CF32" s="37" t="str">
        <f ca="1">IFERROR(+IF(CF$29=ProposalToGnatt[[#This Row],[Start Date]],Milestone_Marker,IF(AND(CF$29&gt;ProposalToGnatt[[#This Row],[Start Date]],CF$29&lt;ProposalToGnatt[[#This Row],[Start Date]]+ProposalToGnatt[[#This Row],[Days]]),$G$5,"")),"")</f>
        <v/>
      </c>
      <c r="CG32" s="37" t="str">
        <f ca="1">IFERROR(+IF(CG$29=ProposalToGnatt[[#This Row],[Start Date]],Milestone_Marker,IF(AND(CG$29&gt;ProposalToGnatt[[#This Row],[Start Date]],CG$29&lt;ProposalToGnatt[[#This Row],[Start Date]]+ProposalToGnatt[[#This Row],[Days]]),$G$5,"")),"")</f>
        <v/>
      </c>
      <c r="CH32" s="37" t="str">
        <f ca="1">IFERROR(+IF(CH$29=ProposalToGnatt[[#This Row],[Start Date]],Milestone_Marker,IF(AND(CH$29&gt;ProposalToGnatt[[#This Row],[Start Date]],CH$29&lt;ProposalToGnatt[[#This Row],[Start Date]]+ProposalToGnatt[[#This Row],[Days]]),$G$5,"")),"")</f>
        <v/>
      </c>
      <c r="CI32" s="37" t="str">
        <f ca="1">IFERROR(+IF(CI$29=ProposalToGnatt[[#This Row],[Start Date]],Milestone_Marker,IF(AND(CI$29&gt;ProposalToGnatt[[#This Row],[Start Date]],CI$29&lt;ProposalToGnatt[[#This Row],[Start Date]]+ProposalToGnatt[[#This Row],[Days]]),$G$5,"")),"")</f>
        <v/>
      </c>
      <c r="CJ32" s="37" t="str">
        <f ca="1">IFERROR(+IF(CJ$29=ProposalToGnatt[[#This Row],[Start Date]],Milestone_Marker,IF(AND(CJ$29&gt;ProposalToGnatt[[#This Row],[Start Date]],CJ$29&lt;ProposalToGnatt[[#This Row],[Start Date]]+ProposalToGnatt[[#This Row],[Days]]),$G$5,"")),"")</f>
        <v/>
      </c>
      <c r="CK32" s="37" t="str">
        <f ca="1">IFERROR(+IF(CK$29=ProposalToGnatt[[#This Row],[Start Date]],Milestone_Marker,IF(AND(CK$29&gt;ProposalToGnatt[[#This Row],[Start Date]],CK$29&lt;ProposalToGnatt[[#This Row],[Start Date]]+ProposalToGnatt[[#This Row],[Days]]),$G$5,"")),"")</f>
        <v/>
      </c>
      <c r="CL32" s="37" t="str">
        <f ca="1">IFERROR(+IF(CL$29=ProposalToGnatt[[#This Row],[Start Date]],Milestone_Marker,IF(AND(CL$29&gt;ProposalToGnatt[[#This Row],[Start Date]],CL$29&lt;ProposalToGnatt[[#This Row],[Start Date]]+ProposalToGnatt[[#This Row],[Days]]),$G$5,"")),"")</f>
        <v/>
      </c>
      <c r="CM32" s="37" t="str">
        <f ca="1">IFERROR(+IF(CM$29=ProposalToGnatt[[#This Row],[Start Date]],Milestone_Marker,IF(AND(CM$29&gt;ProposalToGnatt[[#This Row],[Start Date]],CM$29&lt;ProposalToGnatt[[#This Row],[Start Date]]+ProposalToGnatt[[#This Row],[Days]]),$G$5,"")),"")</f>
        <v/>
      </c>
      <c r="CN32" s="37" t="str">
        <f ca="1">IFERROR(+IF(CN$29=ProposalToGnatt[[#This Row],[Start Date]],Milestone_Marker,IF(AND(CN$29&gt;ProposalToGnatt[[#This Row],[Start Date]],CN$29&lt;ProposalToGnatt[[#This Row],[Start Date]]+ProposalToGnatt[[#This Row],[Days]]),$G$5,"")),"")</f>
        <v/>
      </c>
      <c r="CO32" s="37" t="str">
        <f ca="1">IFERROR(+IF(CO$29=ProposalToGnatt[[#This Row],[Start Date]],Milestone_Marker,IF(AND(CO$29&gt;ProposalToGnatt[[#This Row],[Start Date]],CO$29&lt;ProposalToGnatt[[#This Row],[Start Date]]+ProposalToGnatt[[#This Row],[Days]]),$G$5,"")),"")</f>
        <v/>
      </c>
      <c r="CP32" s="37" t="str">
        <f ca="1">IFERROR(+IF(CP$29=ProposalToGnatt[[#This Row],[Start Date]],Milestone_Marker,IF(AND(CP$29&gt;ProposalToGnatt[[#This Row],[Start Date]],CP$29&lt;ProposalToGnatt[[#This Row],[Start Date]]+ProposalToGnatt[[#This Row],[Days]]),$G$5,"")),"")</f>
        <v/>
      </c>
      <c r="CQ32" s="37" t="str">
        <f ca="1">IFERROR(+IF(CQ$29=ProposalToGnatt[[#This Row],[Start Date]],Milestone_Marker,IF(AND(CQ$29&gt;ProposalToGnatt[[#This Row],[Start Date]],CQ$29&lt;ProposalToGnatt[[#This Row],[Start Date]]+ProposalToGnatt[[#This Row],[Days]]),$G$5,"")),"")</f>
        <v/>
      </c>
      <c r="CR32" s="37" t="str">
        <f ca="1">IFERROR(+IF(CR$29=ProposalToGnatt[[#This Row],[Start Date]],Milestone_Marker,IF(AND(CR$29&gt;ProposalToGnatt[[#This Row],[Start Date]],CR$29&lt;ProposalToGnatt[[#This Row],[Start Date]]+ProposalToGnatt[[#This Row],[Days]]),$G$5,"")),"")</f>
        <v/>
      </c>
      <c r="CS32" s="37" t="str">
        <f ca="1">IFERROR(+IF(CS$29=ProposalToGnatt[[#This Row],[Start Date]],Milestone_Marker,IF(AND(CS$29&gt;ProposalToGnatt[[#This Row],[Start Date]],CS$29&lt;ProposalToGnatt[[#This Row],[Start Date]]+ProposalToGnatt[[#This Row],[Days]]),$G$5,"")),"")</f>
        <v/>
      </c>
      <c r="CT32" s="37" t="str">
        <f ca="1">IFERROR(+IF(CT$29=ProposalToGnatt[[#This Row],[Start Date]],Milestone_Marker,IF(AND(CT$29&gt;ProposalToGnatt[[#This Row],[Start Date]],CT$29&lt;ProposalToGnatt[[#This Row],[Start Date]]+ProposalToGnatt[[#This Row],[Days]]),$G$5,"")),"")</f>
        <v/>
      </c>
      <c r="CU32" s="37" t="str">
        <f ca="1">IFERROR(+IF(CU$29=ProposalToGnatt[[#This Row],[Start Date]],Milestone_Marker,IF(AND(CU$29&gt;ProposalToGnatt[[#This Row],[Start Date]],CU$29&lt;ProposalToGnatt[[#This Row],[Start Date]]+ProposalToGnatt[[#This Row],[Days]]),$G$5,"")),"")</f>
        <v/>
      </c>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row>
    <row r="33" spans="1:125" s="42" customFormat="1" ht="20.100000000000001" customHeight="1">
      <c r="A33" t="s">
        <v>450</v>
      </c>
      <c r="B33">
        <v>4</v>
      </c>
      <c r="C33"/>
      <c r="D33" t="s">
        <v>372</v>
      </c>
      <c r="E33" t="s">
        <v>373</v>
      </c>
      <c r="F33">
        <v>6</v>
      </c>
      <c r="G33" s="11"/>
      <c r="H33" s="26"/>
      <c r="I33"/>
      <c r="J33"/>
      <c r="K33" s="402"/>
      <c r="L33"/>
      <c r="M33"/>
      <c r="N33"/>
      <c r="O33" s="26"/>
      <c r="P33" s="37">
        <f ca="1">IFERROR(+IF(P$29=ProposalToGnatt[[#This Row],[Start Date]],Milestone_Marker,IF(AND(P$29&gt;ProposalToGnatt[[#This Row],[Start Date]],P$29&lt;ProposalToGnatt[[#This Row],[Start Date]]+ProposalToGnatt[[#This Row],[Days]]),$G$5,"")),"")</f>
        <v>1</v>
      </c>
      <c r="Q33" s="37" t="str">
        <f ca="1">IFERROR(+IF(Q$29=ProposalToGnatt[[#This Row],[Start Date]],Milestone_Marker,IF(AND(Q$29&gt;ProposalToGnatt[[#This Row],[Start Date]],Q$29&lt;ProposalToGnatt[[#This Row],[Start Date]]+ProposalToGnatt[[#This Row],[Days]]),$G$5,"")),"")</f>
        <v/>
      </c>
      <c r="R33" s="37" t="str">
        <f ca="1">IFERROR(+IF(R$29=ProposalToGnatt[[#This Row],[Start Date]],Milestone_Marker,IF(AND(R$29&gt;ProposalToGnatt[[#This Row],[Start Date]],R$29&lt;ProposalToGnatt[[#This Row],[Start Date]]+ProposalToGnatt[[#This Row],[Days]]),$G$5,"")),"")</f>
        <v/>
      </c>
      <c r="S33" s="37" t="str">
        <f ca="1">IFERROR(+IF(S$29=ProposalToGnatt[[#This Row],[Start Date]],Milestone_Marker,IF(AND(S$29&gt;ProposalToGnatt[[#This Row],[Start Date]],S$29&lt;ProposalToGnatt[[#This Row],[Start Date]]+ProposalToGnatt[[#This Row],[Days]]),$G$5,"")),"")</f>
        <v/>
      </c>
      <c r="T33" s="37" t="str">
        <f ca="1">IFERROR(+IF(T$29=ProposalToGnatt[[#This Row],[Start Date]],Milestone_Marker,IF(AND(T$29&gt;ProposalToGnatt[[#This Row],[Start Date]],T$29&lt;ProposalToGnatt[[#This Row],[Start Date]]+ProposalToGnatt[[#This Row],[Days]]),$G$5,"")),"")</f>
        <v/>
      </c>
      <c r="U33" s="37" t="str">
        <f ca="1">IFERROR(+IF(U$29=ProposalToGnatt[[#This Row],[Start Date]],Milestone_Marker,IF(AND(U$29&gt;ProposalToGnatt[[#This Row],[Start Date]],U$29&lt;ProposalToGnatt[[#This Row],[Start Date]]+ProposalToGnatt[[#This Row],[Days]]),$G$5,"")),"")</f>
        <v/>
      </c>
      <c r="V33" s="37" t="str">
        <f ca="1">IFERROR(+IF(V$29=ProposalToGnatt[[#This Row],[Start Date]],Milestone_Marker,IF(AND(V$29&gt;ProposalToGnatt[[#This Row],[Start Date]],V$29&lt;ProposalToGnatt[[#This Row],[Start Date]]+ProposalToGnatt[[#This Row],[Days]]),$G$5,"")),"")</f>
        <v/>
      </c>
      <c r="W33" s="37" t="str">
        <f ca="1">IFERROR(+IF(W$29=ProposalToGnatt[[#This Row],[Start Date]],Milestone_Marker,IF(AND(W$29&gt;ProposalToGnatt[[#This Row],[Start Date]],W$29&lt;ProposalToGnatt[[#This Row],[Start Date]]+ProposalToGnatt[[#This Row],[Days]]),$G$5,"")),"")</f>
        <v/>
      </c>
      <c r="X33" s="37" t="str">
        <f ca="1">IFERROR(+IF(X$29=ProposalToGnatt[[#This Row],[Start Date]],Milestone_Marker,IF(AND(X$29&gt;ProposalToGnatt[[#This Row],[Start Date]],X$29&lt;ProposalToGnatt[[#This Row],[Start Date]]+ProposalToGnatt[[#This Row],[Days]]),$G$5,"")),"")</f>
        <v/>
      </c>
      <c r="Y33" s="37" t="str">
        <f ca="1">IFERROR(+IF(Y$29=ProposalToGnatt[[#This Row],[Start Date]],Milestone_Marker,IF(AND(Y$29&gt;ProposalToGnatt[[#This Row],[Start Date]],Y$29&lt;ProposalToGnatt[[#This Row],[Start Date]]+ProposalToGnatt[[#This Row],[Days]]),$G$5,"")),"")</f>
        <v/>
      </c>
      <c r="Z33" s="37" t="str">
        <f ca="1">IFERROR(+IF(Z$29=ProposalToGnatt[[#This Row],[Start Date]],Milestone_Marker,IF(AND(Z$29&gt;ProposalToGnatt[[#This Row],[Start Date]],Z$29&lt;ProposalToGnatt[[#This Row],[Start Date]]+ProposalToGnatt[[#This Row],[Days]]),$G$5,"")),"")</f>
        <v/>
      </c>
      <c r="AA33" s="37" t="str">
        <f ca="1">IFERROR(+IF(AA$29=ProposalToGnatt[[#This Row],[Start Date]],Milestone_Marker,IF(AND(AA$29&gt;ProposalToGnatt[[#This Row],[Start Date]],AA$29&lt;ProposalToGnatt[[#This Row],[Start Date]]+ProposalToGnatt[[#This Row],[Days]]),$G$5,"")),"")</f>
        <v/>
      </c>
      <c r="AB33" s="37" t="str">
        <f ca="1">IFERROR(+IF(AB$29=ProposalToGnatt[[#This Row],[Start Date]],Milestone_Marker,IF(AND(AB$29&gt;ProposalToGnatt[[#This Row],[Start Date]],AB$29&lt;ProposalToGnatt[[#This Row],[Start Date]]+ProposalToGnatt[[#This Row],[Days]]),$G$5,"")),"")</f>
        <v/>
      </c>
      <c r="AC33" s="37" t="str">
        <f ca="1">IFERROR(+IF(AC$29=ProposalToGnatt[[#This Row],[Start Date]],Milestone_Marker,IF(AND(AC$29&gt;ProposalToGnatt[[#This Row],[Start Date]],AC$29&lt;ProposalToGnatt[[#This Row],[Start Date]]+ProposalToGnatt[[#This Row],[Days]]),$G$5,"")),"")</f>
        <v/>
      </c>
      <c r="AD33" s="37" t="str">
        <f ca="1">IFERROR(+IF(AD$29=ProposalToGnatt[[#This Row],[Start Date]],Milestone_Marker,IF(AND(AD$29&gt;ProposalToGnatt[[#This Row],[Start Date]],AD$29&lt;ProposalToGnatt[[#This Row],[Start Date]]+ProposalToGnatt[[#This Row],[Days]]),$G$5,"")),"")</f>
        <v/>
      </c>
      <c r="AE33" s="37" t="str">
        <f ca="1">IFERROR(+IF(AE$29=ProposalToGnatt[[#This Row],[Start Date]],Milestone_Marker,IF(AND(AE$29&gt;ProposalToGnatt[[#This Row],[Start Date]],AE$29&lt;ProposalToGnatt[[#This Row],[Start Date]]+ProposalToGnatt[[#This Row],[Days]]),$G$5,"")),"")</f>
        <v/>
      </c>
      <c r="AF33" s="37" t="str">
        <f ca="1">IFERROR(+IF(AF$29=ProposalToGnatt[[#This Row],[Start Date]],Milestone_Marker,IF(AND(AF$29&gt;ProposalToGnatt[[#This Row],[Start Date]],AF$29&lt;ProposalToGnatt[[#This Row],[Start Date]]+ProposalToGnatt[[#This Row],[Days]]),$G$5,"")),"")</f>
        <v/>
      </c>
      <c r="AG33" s="37" t="str">
        <f ca="1">IFERROR(+IF(AG$29=ProposalToGnatt[[#This Row],[Start Date]],Milestone_Marker,IF(AND(AG$29&gt;ProposalToGnatt[[#This Row],[Start Date]],AG$29&lt;ProposalToGnatt[[#This Row],[Start Date]]+ProposalToGnatt[[#This Row],[Days]]),$G$5,"")),"")</f>
        <v/>
      </c>
      <c r="AH33" s="37" t="str">
        <f ca="1">IFERROR(+IF(AH$29=ProposalToGnatt[[#This Row],[Start Date]],Milestone_Marker,IF(AND(AH$29&gt;ProposalToGnatt[[#This Row],[Start Date]],AH$29&lt;ProposalToGnatt[[#This Row],[Start Date]]+ProposalToGnatt[[#This Row],[Days]]),$G$5,"")),"")</f>
        <v/>
      </c>
      <c r="AI33" s="37" t="str">
        <f ca="1">IFERROR(+IF(AI$29=ProposalToGnatt[[#This Row],[Start Date]],Milestone_Marker,IF(AND(AI$29&gt;ProposalToGnatt[[#This Row],[Start Date]],AI$29&lt;ProposalToGnatt[[#This Row],[Start Date]]+ProposalToGnatt[[#This Row],[Days]]),$G$5,"")),"")</f>
        <v/>
      </c>
      <c r="AJ33" s="37" t="str">
        <f ca="1">IFERROR(+IF(AJ$29=ProposalToGnatt[[#This Row],[Start Date]],Milestone_Marker,IF(AND(AJ$29&gt;ProposalToGnatt[[#This Row],[Start Date]],AJ$29&lt;ProposalToGnatt[[#This Row],[Start Date]]+ProposalToGnatt[[#This Row],[Days]]),$G$5,"")),"")</f>
        <v/>
      </c>
      <c r="AK33" s="37" t="str">
        <f ca="1">IFERROR(+IF(AK$29=ProposalToGnatt[[#This Row],[Start Date]],Milestone_Marker,IF(AND(AK$29&gt;ProposalToGnatt[[#This Row],[Start Date]],AK$29&lt;ProposalToGnatt[[#This Row],[Start Date]]+ProposalToGnatt[[#This Row],[Days]]),$G$5,"")),"")</f>
        <v/>
      </c>
      <c r="AL33" s="37" t="str">
        <f ca="1">IFERROR(+IF(AL$29=ProposalToGnatt[[#This Row],[Start Date]],Milestone_Marker,IF(AND(AL$29&gt;ProposalToGnatt[[#This Row],[Start Date]],AL$29&lt;ProposalToGnatt[[#This Row],[Start Date]]+ProposalToGnatt[[#This Row],[Days]]),$G$5,"")),"")</f>
        <v/>
      </c>
      <c r="AM33" s="37" t="str">
        <f ca="1">IFERROR(+IF(AM$29=ProposalToGnatt[[#This Row],[Start Date]],Milestone_Marker,IF(AND(AM$29&gt;ProposalToGnatt[[#This Row],[Start Date]],AM$29&lt;ProposalToGnatt[[#This Row],[Start Date]]+ProposalToGnatt[[#This Row],[Days]]),$G$5,"")),"")</f>
        <v/>
      </c>
      <c r="AN33" s="37" t="str">
        <f ca="1">IFERROR(+IF(AN$29=ProposalToGnatt[[#This Row],[Start Date]],Milestone_Marker,IF(AND(AN$29&gt;ProposalToGnatt[[#This Row],[Start Date]],AN$29&lt;ProposalToGnatt[[#This Row],[Start Date]]+ProposalToGnatt[[#This Row],[Days]]),$G$5,"")),"")</f>
        <v/>
      </c>
      <c r="AO33" s="37" t="str">
        <f ca="1">IFERROR(+IF(AO$29=ProposalToGnatt[[#This Row],[Start Date]],Milestone_Marker,IF(AND(AO$29&gt;ProposalToGnatt[[#This Row],[Start Date]],AO$29&lt;ProposalToGnatt[[#This Row],[Start Date]]+ProposalToGnatt[[#This Row],[Days]]),$G$5,"")),"")</f>
        <v/>
      </c>
      <c r="AP33" s="37" t="str">
        <f ca="1">IFERROR(+IF(AP$29=ProposalToGnatt[[#This Row],[Start Date]],Milestone_Marker,IF(AND(AP$29&gt;ProposalToGnatt[[#This Row],[Start Date]],AP$29&lt;ProposalToGnatt[[#This Row],[Start Date]]+ProposalToGnatt[[#This Row],[Days]]),$G$5,"")),"")</f>
        <v/>
      </c>
      <c r="AQ33" s="37" t="str">
        <f ca="1">IFERROR(+IF(AQ$29=ProposalToGnatt[[#This Row],[Start Date]],Milestone_Marker,IF(AND(AQ$29&gt;ProposalToGnatt[[#This Row],[Start Date]],AQ$29&lt;ProposalToGnatt[[#This Row],[Start Date]]+ProposalToGnatt[[#This Row],[Days]]),$G$5,"")),"")</f>
        <v/>
      </c>
      <c r="AR33" s="37" t="str">
        <f ca="1">IFERROR(+IF(AR$29=ProposalToGnatt[[#This Row],[Start Date]],Milestone_Marker,IF(AND(AR$29&gt;ProposalToGnatt[[#This Row],[Start Date]],AR$29&lt;ProposalToGnatt[[#This Row],[Start Date]]+ProposalToGnatt[[#This Row],[Days]]),$G$5,"")),"")</f>
        <v/>
      </c>
      <c r="AS33" s="37" t="str">
        <f ca="1">IFERROR(+IF(AS$29=ProposalToGnatt[[#This Row],[Start Date]],Milestone_Marker,IF(AND(AS$29&gt;ProposalToGnatt[[#This Row],[Start Date]],AS$29&lt;ProposalToGnatt[[#This Row],[Start Date]]+ProposalToGnatt[[#This Row],[Days]]),$G$5,"")),"")</f>
        <v/>
      </c>
      <c r="AT33" s="37" t="str">
        <f ca="1">IFERROR(+IF(AT$29=ProposalToGnatt[[#This Row],[Start Date]],Milestone_Marker,IF(AND(AT$29&gt;ProposalToGnatt[[#This Row],[Start Date]],AT$29&lt;ProposalToGnatt[[#This Row],[Start Date]]+ProposalToGnatt[[#This Row],[Days]]),$G$5,"")),"")</f>
        <v/>
      </c>
      <c r="AU33" s="37" t="str">
        <f ca="1">IFERROR(+IF(AU$29=ProposalToGnatt[[#This Row],[Start Date]],Milestone_Marker,IF(AND(AU$29&gt;ProposalToGnatt[[#This Row],[Start Date]],AU$29&lt;ProposalToGnatt[[#This Row],[Start Date]]+ProposalToGnatt[[#This Row],[Days]]),$G$5,"")),"")</f>
        <v/>
      </c>
      <c r="AV33" s="37" t="str">
        <f ca="1">IFERROR(+IF(AV$29=ProposalToGnatt[[#This Row],[Start Date]],Milestone_Marker,IF(AND(AV$29&gt;ProposalToGnatt[[#This Row],[Start Date]],AV$29&lt;ProposalToGnatt[[#This Row],[Start Date]]+ProposalToGnatt[[#This Row],[Days]]),$G$5,"")),"")</f>
        <v/>
      </c>
      <c r="AW33" s="37" t="str">
        <f ca="1">IFERROR(+IF(AW$29=ProposalToGnatt[[#This Row],[Start Date]],Milestone_Marker,IF(AND(AW$29&gt;ProposalToGnatt[[#This Row],[Start Date]],AW$29&lt;ProposalToGnatt[[#This Row],[Start Date]]+ProposalToGnatt[[#This Row],[Days]]),$G$5,"")),"")</f>
        <v/>
      </c>
      <c r="AX33" s="37" t="str">
        <f ca="1">IFERROR(+IF(AX$29=ProposalToGnatt[[#This Row],[Start Date]],Milestone_Marker,IF(AND(AX$29&gt;ProposalToGnatt[[#This Row],[Start Date]],AX$29&lt;ProposalToGnatt[[#This Row],[Start Date]]+ProposalToGnatt[[#This Row],[Days]]),$G$5,"")),"")</f>
        <v/>
      </c>
      <c r="AY33" s="37" t="str">
        <f ca="1">IFERROR(+IF(AY$29=ProposalToGnatt[[#This Row],[Start Date]],Milestone_Marker,IF(AND(AY$29&gt;ProposalToGnatt[[#This Row],[Start Date]],AY$29&lt;ProposalToGnatt[[#This Row],[Start Date]]+ProposalToGnatt[[#This Row],[Days]]),$G$5,"")),"")</f>
        <v/>
      </c>
      <c r="AZ33" s="37" t="str">
        <f ca="1">IFERROR(+IF(AZ$29=ProposalToGnatt[[#This Row],[Start Date]],Milestone_Marker,IF(AND(AZ$29&gt;ProposalToGnatt[[#This Row],[Start Date]],AZ$29&lt;ProposalToGnatt[[#This Row],[Start Date]]+ProposalToGnatt[[#This Row],[Days]]),$G$5,"")),"")</f>
        <v/>
      </c>
      <c r="BA33" s="37" t="str">
        <f ca="1">IFERROR(+IF(BA$29=ProposalToGnatt[[#This Row],[Start Date]],Milestone_Marker,IF(AND(BA$29&gt;ProposalToGnatt[[#This Row],[Start Date]],BA$29&lt;ProposalToGnatt[[#This Row],[Start Date]]+ProposalToGnatt[[#This Row],[Days]]),$G$5,"")),"")</f>
        <v/>
      </c>
      <c r="BB33" s="37" t="str">
        <f ca="1">IFERROR(+IF(BB$29=ProposalToGnatt[[#This Row],[Start Date]],Milestone_Marker,IF(AND(BB$29&gt;ProposalToGnatt[[#This Row],[Start Date]],BB$29&lt;ProposalToGnatt[[#This Row],[Start Date]]+ProposalToGnatt[[#This Row],[Days]]),$G$5,"")),"")</f>
        <v/>
      </c>
      <c r="BC33" s="37" t="str">
        <f ca="1">IFERROR(+IF(BC$29=ProposalToGnatt[[#This Row],[Start Date]],Milestone_Marker,IF(AND(BC$29&gt;ProposalToGnatt[[#This Row],[Start Date]],BC$29&lt;ProposalToGnatt[[#This Row],[Start Date]]+ProposalToGnatt[[#This Row],[Days]]),$G$5,"")),"")</f>
        <v/>
      </c>
      <c r="BD33" s="37" t="str">
        <f ca="1">IFERROR(+IF(BD$29=ProposalToGnatt[[#This Row],[Start Date]],Milestone_Marker,IF(AND(BD$29&gt;ProposalToGnatt[[#This Row],[Start Date]],BD$29&lt;ProposalToGnatt[[#This Row],[Start Date]]+ProposalToGnatt[[#This Row],[Days]]),$G$5,"")),"")</f>
        <v/>
      </c>
      <c r="BE33" s="37" t="str">
        <f ca="1">IFERROR(+IF(BE$29=ProposalToGnatt[[#This Row],[Start Date]],Milestone_Marker,IF(AND(BE$29&gt;ProposalToGnatt[[#This Row],[Start Date]],BE$29&lt;ProposalToGnatt[[#This Row],[Start Date]]+ProposalToGnatt[[#This Row],[Days]]),$G$5,"")),"")</f>
        <v/>
      </c>
      <c r="BF33" s="37" t="str">
        <f ca="1">IFERROR(+IF(BF$29=ProposalToGnatt[[#This Row],[Start Date]],Milestone_Marker,IF(AND(BF$29&gt;ProposalToGnatt[[#This Row],[Start Date]],BF$29&lt;ProposalToGnatt[[#This Row],[Start Date]]+ProposalToGnatt[[#This Row],[Days]]),$G$5,"")),"")</f>
        <v/>
      </c>
      <c r="BG33" s="37" t="str">
        <f ca="1">IFERROR(+IF(BG$29=ProposalToGnatt[[#This Row],[Start Date]],Milestone_Marker,IF(AND(BG$29&gt;ProposalToGnatt[[#This Row],[Start Date]],BG$29&lt;ProposalToGnatt[[#This Row],[Start Date]]+ProposalToGnatt[[#This Row],[Days]]),$G$5,"")),"")</f>
        <v/>
      </c>
      <c r="BH33" s="37" t="str">
        <f ca="1">IFERROR(+IF(BH$29=ProposalToGnatt[[#This Row],[Start Date]],Milestone_Marker,IF(AND(BH$29&gt;ProposalToGnatt[[#This Row],[Start Date]],BH$29&lt;ProposalToGnatt[[#This Row],[Start Date]]+ProposalToGnatt[[#This Row],[Days]]),$G$5,"")),"")</f>
        <v/>
      </c>
      <c r="BI33" s="37" t="str">
        <f ca="1">IFERROR(+IF(BI$29=ProposalToGnatt[[#This Row],[Start Date]],Milestone_Marker,IF(AND(BI$29&gt;ProposalToGnatt[[#This Row],[Start Date]],BI$29&lt;ProposalToGnatt[[#This Row],[Start Date]]+ProposalToGnatt[[#This Row],[Days]]),$G$5,"")),"")</f>
        <v/>
      </c>
      <c r="BJ33" s="37" t="str">
        <f ca="1">IFERROR(+IF(BJ$29=ProposalToGnatt[[#This Row],[Start Date]],Milestone_Marker,IF(AND(BJ$29&gt;ProposalToGnatt[[#This Row],[Start Date]],BJ$29&lt;ProposalToGnatt[[#This Row],[Start Date]]+ProposalToGnatt[[#This Row],[Days]]),$G$5,"")),"")</f>
        <v/>
      </c>
      <c r="BK33" s="37" t="str">
        <f ca="1">IFERROR(+IF(BK$29=ProposalToGnatt[[#This Row],[Start Date]],Milestone_Marker,IF(AND(BK$29&gt;ProposalToGnatt[[#This Row],[Start Date]],BK$29&lt;ProposalToGnatt[[#This Row],[Start Date]]+ProposalToGnatt[[#This Row],[Days]]),$G$5,"")),"")</f>
        <v/>
      </c>
      <c r="BL33" s="37" t="str">
        <f ca="1">IFERROR(+IF(BL$29=ProposalToGnatt[[#This Row],[Start Date]],Milestone_Marker,IF(AND(BL$29&gt;ProposalToGnatt[[#This Row],[Start Date]],BL$29&lt;ProposalToGnatt[[#This Row],[Start Date]]+ProposalToGnatt[[#This Row],[Days]]),$G$5,"")),"")</f>
        <v/>
      </c>
      <c r="BM33" s="37" t="str">
        <f ca="1">IFERROR(+IF(BM$29=ProposalToGnatt[[#This Row],[Start Date]],Milestone_Marker,IF(AND(BM$29&gt;ProposalToGnatt[[#This Row],[Start Date]],BM$29&lt;ProposalToGnatt[[#This Row],[Start Date]]+ProposalToGnatt[[#This Row],[Days]]),$G$5,"")),"")</f>
        <v/>
      </c>
      <c r="BN33" s="37" t="str">
        <f ca="1">IFERROR(+IF(BN$29=ProposalToGnatt[[#This Row],[Start Date]],Milestone_Marker,IF(AND(BN$29&gt;ProposalToGnatt[[#This Row],[Start Date]],BN$29&lt;ProposalToGnatt[[#This Row],[Start Date]]+ProposalToGnatt[[#This Row],[Days]]),$G$5,"")),"")</f>
        <v/>
      </c>
      <c r="BO33" s="37" t="str">
        <f ca="1">IFERROR(+IF(BO$29=ProposalToGnatt[[#This Row],[Start Date]],Milestone_Marker,IF(AND(BO$29&gt;ProposalToGnatt[[#This Row],[Start Date]],BO$29&lt;ProposalToGnatt[[#This Row],[Start Date]]+ProposalToGnatt[[#This Row],[Days]]),$G$5,"")),"")</f>
        <v/>
      </c>
      <c r="BP33" s="37" t="str">
        <f ca="1">IFERROR(+IF(BP$29=ProposalToGnatt[[#This Row],[Start Date]],Milestone_Marker,IF(AND(BP$29&gt;ProposalToGnatt[[#This Row],[Start Date]],BP$29&lt;ProposalToGnatt[[#This Row],[Start Date]]+ProposalToGnatt[[#This Row],[Days]]),$G$5,"")),"")</f>
        <v/>
      </c>
      <c r="BQ33" s="37" t="str">
        <f ca="1">IFERROR(+IF(BQ$29=ProposalToGnatt[[#This Row],[Start Date]],Milestone_Marker,IF(AND(BQ$29&gt;ProposalToGnatt[[#This Row],[Start Date]],BQ$29&lt;ProposalToGnatt[[#This Row],[Start Date]]+ProposalToGnatt[[#This Row],[Days]]),$G$5,"")),"")</f>
        <v/>
      </c>
      <c r="BR33" s="37" t="str">
        <f ca="1">IFERROR(+IF(BR$29=ProposalToGnatt[[#This Row],[Start Date]],Milestone_Marker,IF(AND(BR$29&gt;ProposalToGnatt[[#This Row],[Start Date]],BR$29&lt;ProposalToGnatt[[#This Row],[Start Date]]+ProposalToGnatt[[#This Row],[Days]]),$G$5,"")),"")</f>
        <v/>
      </c>
      <c r="BS33" s="37" t="str">
        <f ca="1">IFERROR(+IF(BS$29=ProposalToGnatt[[#This Row],[Start Date]],Milestone_Marker,IF(AND(BS$29&gt;ProposalToGnatt[[#This Row],[Start Date]],BS$29&lt;ProposalToGnatt[[#This Row],[Start Date]]+ProposalToGnatt[[#This Row],[Days]]),$G$5,"")),"")</f>
        <v/>
      </c>
      <c r="BT33" s="37" t="str">
        <f ca="1">IFERROR(+IF(BT$29=ProposalToGnatt[[#This Row],[Start Date]],Milestone_Marker,IF(AND(BT$29&gt;ProposalToGnatt[[#This Row],[Start Date]],BT$29&lt;ProposalToGnatt[[#This Row],[Start Date]]+ProposalToGnatt[[#This Row],[Days]]),$G$5,"")),"")</f>
        <v/>
      </c>
      <c r="BU33" s="37" t="str">
        <f ca="1">IFERROR(+IF(BU$29=ProposalToGnatt[[#This Row],[Start Date]],Milestone_Marker,IF(AND(BU$29&gt;ProposalToGnatt[[#This Row],[Start Date]],BU$29&lt;ProposalToGnatt[[#This Row],[Start Date]]+ProposalToGnatt[[#This Row],[Days]]),$G$5,"")),"")</f>
        <v/>
      </c>
      <c r="BV33" s="37" t="str">
        <f ca="1">IFERROR(+IF(BV$29=ProposalToGnatt[[#This Row],[Start Date]],Milestone_Marker,IF(AND(BV$29&gt;ProposalToGnatt[[#This Row],[Start Date]],BV$29&lt;ProposalToGnatt[[#This Row],[Start Date]]+ProposalToGnatt[[#This Row],[Days]]),$G$5,"")),"")</f>
        <v/>
      </c>
      <c r="BW33" s="37" t="str">
        <f ca="1">IFERROR(+IF(BW$29=ProposalToGnatt[[#This Row],[Start Date]],Milestone_Marker,IF(AND(BW$29&gt;ProposalToGnatt[[#This Row],[Start Date]],BW$29&lt;ProposalToGnatt[[#This Row],[Start Date]]+ProposalToGnatt[[#This Row],[Days]]),$G$5,"")),"")</f>
        <v/>
      </c>
      <c r="BX33" s="37" t="str">
        <f ca="1">IFERROR(+IF(BX$29=ProposalToGnatt[[#This Row],[Start Date]],Milestone_Marker,IF(AND(BX$29&gt;ProposalToGnatt[[#This Row],[Start Date]],BX$29&lt;ProposalToGnatt[[#This Row],[Start Date]]+ProposalToGnatt[[#This Row],[Days]]),$G$5,"")),"")</f>
        <v/>
      </c>
      <c r="BY33" s="37" t="str">
        <f ca="1">IFERROR(+IF(BY$29=ProposalToGnatt[[#This Row],[Start Date]],Milestone_Marker,IF(AND(BY$29&gt;ProposalToGnatt[[#This Row],[Start Date]],BY$29&lt;ProposalToGnatt[[#This Row],[Start Date]]+ProposalToGnatt[[#This Row],[Days]]),$G$5,"")),"")</f>
        <v/>
      </c>
      <c r="BZ33" s="37" t="str">
        <f ca="1">IFERROR(+IF(BZ$29=ProposalToGnatt[[#This Row],[Start Date]],Milestone_Marker,IF(AND(BZ$29&gt;ProposalToGnatt[[#This Row],[Start Date]],BZ$29&lt;ProposalToGnatt[[#This Row],[Start Date]]+ProposalToGnatt[[#This Row],[Days]]),$G$5,"")),"")</f>
        <v/>
      </c>
      <c r="CA33" s="37" t="str">
        <f ca="1">IFERROR(+IF(CA$29=ProposalToGnatt[[#This Row],[Start Date]],Milestone_Marker,IF(AND(CA$29&gt;ProposalToGnatt[[#This Row],[Start Date]],CA$29&lt;ProposalToGnatt[[#This Row],[Start Date]]+ProposalToGnatt[[#This Row],[Days]]),$G$5,"")),"")</f>
        <v/>
      </c>
      <c r="CB33" s="37" t="str">
        <f ca="1">IFERROR(+IF(CB$29=ProposalToGnatt[[#This Row],[Start Date]],Milestone_Marker,IF(AND(CB$29&gt;ProposalToGnatt[[#This Row],[Start Date]],CB$29&lt;ProposalToGnatt[[#This Row],[Start Date]]+ProposalToGnatt[[#This Row],[Days]]),$G$5,"")),"")</f>
        <v/>
      </c>
      <c r="CC33" s="37" t="str">
        <f ca="1">IFERROR(+IF(CC$29=ProposalToGnatt[[#This Row],[Start Date]],Milestone_Marker,IF(AND(CC$29&gt;ProposalToGnatt[[#This Row],[Start Date]],CC$29&lt;ProposalToGnatt[[#This Row],[Start Date]]+ProposalToGnatt[[#This Row],[Days]]),$G$5,"")),"")</f>
        <v/>
      </c>
      <c r="CD33" s="37" t="str">
        <f ca="1">IFERROR(+IF(CD$29=ProposalToGnatt[[#This Row],[Start Date]],Milestone_Marker,IF(AND(CD$29&gt;ProposalToGnatt[[#This Row],[Start Date]],CD$29&lt;ProposalToGnatt[[#This Row],[Start Date]]+ProposalToGnatt[[#This Row],[Days]]),$G$5,"")),"")</f>
        <v/>
      </c>
      <c r="CE33" s="37" t="str">
        <f ca="1">IFERROR(+IF(CE$29=ProposalToGnatt[[#This Row],[Start Date]],Milestone_Marker,IF(AND(CE$29&gt;ProposalToGnatt[[#This Row],[Start Date]],CE$29&lt;ProposalToGnatt[[#This Row],[Start Date]]+ProposalToGnatt[[#This Row],[Days]]),$G$5,"")),"")</f>
        <v/>
      </c>
      <c r="CF33" s="37" t="str">
        <f ca="1">IFERROR(+IF(CF$29=ProposalToGnatt[[#This Row],[Start Date]],Milestone_Marker,IF(AND(CF$29&gt;ProposalToGnatt[[#This Row],[Start Date]],CF$29&lt;ProposalToGnatt[[#This Row],[Start Date]]+ProposalToGnatt[[#This Row],[Days]]),$G$5,"")),"")</f>
        <v/>
      </c>
      <c r="CG33" s="37" t="str">
        <f ca="1">IFERROR(+IF(CG$29=ProposalToGnatt[[#This Row],[Start Date]],Milestone_Marker,IF(AND(CG$29&gt;ProposalToGnatt[[#This Row],[Start Date]],CG$29&lt;ProposalToGnatt[[#This Row],[Start Date]]+ProposalToGnatt[[#This Row],[Days]]),$G$5,"")),"")</f>
        <v/>
      </c>
      <c r="CH33" s="37" t="str">
        <f ca="1">IFERROR(+IF(CH$29=ProposalToGnatt[[#This Row],[Start Date]],Milestone_Marker,IF(AND(CH$29&gt;ProposalToGnatt[[#This Row],[Start Date]],CH$29&lt;ProposalToGnatt[[#This Row],[Start Date]]+ProposalToGnatt[[#This Row],[Days]]),$G$5,"")),"")</f>
        <v/>
      </c>
      <c r="CI33" s="37" t="str">
        <f ca="1">IFERROR(+IF(CI$29=ProposalToGnatt[[#This Row],[Start Date]],Milestone_Marker,IF(AND(CI$29&gt;ProposalToGnatt[[#This Row],[Start Date]],CI$29&lt;ProposalToGnatt[[#This Row],[Start Date]]+ProposalToGnatt[[#This Row],[Days]]),$G$5,"")),"")</f>
        <v/>
      </c>
      <c r="CJ33" s="37" t="str">
        <f ca="1">IFERROR(+IF(CJ$29=ProposalToGnatt[[#This Row],[Start Date]],Milestone_Marker,IF(AND(CJ$29&gt;ProposalToGnatt[[#This Row],[Start Date]],CJ$29&lt;ProposalToGnatt[[#This Row],[Start Date]]+ProposalToGnatt[[#This Row],[Days]]),$G$5,"")),"")</f>
        <v/>
      </c>
      <c r="CK33" s="37" t="str">
        <f ca="1">IFERROR(+IF(CK$29=ProposalToGnatt[[#This Row],[Start Date]],Milestone_Marker,IF(AND(CK$29&gt;ProposalToGnatt[[#This Row],[Start Date]],CK$29&lt;ProposalToGnatt[[#This Row],[Start Date]]+ProposalToGnatt[[#This Row],[Days]]),$G$5,"")),"")</f>
        <v/>
      </c>
      <c r="CL33" s="37" t="str">
        <f ca="1">IFERROR(+IF(CL$29=ProposalToGnatt[[#This Row],[Start Date]],Milestone_Marker,IF(AND(CL$29&gt;ProposalToGnatt[[#This Row],[Start Date]],CL$29&lt;ProposalToGnatt[[#This Row],[Start Date]]+ProposalToGnatt[[#This Row],[Days]]),$G$5,"")),"")</f>
        <v/>
      </c>
      <c r="CM33" s="37" t="str">
        <f ca="1">IFERROR(+IF(CM$29=ProposalToGnatt[[#This Row],[Start Date]],Milestone_Marker,IF(AND(CM$29&gt;ProposalToGnatt[[#This Row],[Start Date]],CM$29&lt;ProposalToGnatt[[#This Row],[Start Date]]+ProposalToGnatt[[#This Row],[Days]]),$G$5,"")),"")</f>
        <v/>
      </c>
      <c r="CN33" s="37" t="str">
        <f ca="1">IFERROR(+IF(CN$29=ProposalToGnatt[[#This Row],[Start Date]],Milestone_Marker,IF(AND(CN$29&gt;ProposalToGnatt[[#This Row],[Start Date]],CN$29&lt;ProposalToGnatt[[#This Row],[Start Date]]+ProposalToGnatt[[#This Row],[Days]]),$G$5,"")),"")</f>
        <v/>
      </c>
      <c r="CO33" s="37" t="str">
        <f ca="1">IFERROR(+IF(CO$29=ProposalToGnatt[[#This Row],[Start Date]],Milestone_Marker,IF(AND(CO$29&gt;ProposalToGnatt[[#This Row],[Start Date]],CO$29&lt;ProposalToGnatt[[#This Row],[Start Date]]+ProposalToGnatt[[#This Row],[Days]]),$G$5,"")),"")</f>
        <v/>
      </c>
      <c r="CP33" s="37" t="str">
        <f ca="1">IFERROR(+IF(CP$29=ProposalToGnatt[[#This Row],[Start Date]],Milestone_Marker,IF(AND(CP$29&gt;ProposalToGnatt[[#This Row],[Start Date]],CP$29&lt;ProposalToGnatt[[#This Row],[Start Date]]+ProposalToGnatt[[#This Row],[Days]]),$G$5,"")),"")</f>
        <v/>
      </c>
      <c r="CQ33" s="37" t="str">
        <f ca="1">IFERROR(+IF(CQ$29=ProposalToGnatt[[#This Row],[Start Date]],Milestone_Marker,IF(AND(CQ$29&gt;ProposalToGnatt[[#This Row],[Start Date]],CQ$29&lt;ProposalToGnatt[[#This Row],[Start Date]]+ProposalToGnatt[[#This Row],[Days]]),$G$5,"")),"")</f>
        <v/>
      </c>
      <c r="CR33" s="37" t="str">
        <f ca="1">IFERROR(+IF(CR$29=ProposalToGnatt[[#This Row],[Start Date]],Milestone_Marker,IF(AND(CR$29&gt;ProposalToGnatt[[#This Row],[Start Date]],CR$29&lt;ProposalToGnatt[[#This Row],[Start Date]]+ProposalToGnatt[[#This Row],[Days]]),$G$5,"")),"")</f>
        <v/>
      </c>
      <c r="CS33" s="37" t="str">
        <f ca="1">IFERROR(+IF(CS$29=ProposalToGnatt[[#This Row],[Start Date]],Milestone_Marker,IF(AND(CS$29&gt;ProposalToGnatt[[#This Row],[Start Date]],CS$29&lt;ProposalToGnatt[[#This Row],[Start Date]]+ProposalToGnatt[[#This Row],[Days]]),$G$5,"")),"")</f>
        <v/>
      </c>
      <c r="CT33" s="37" t="str">
        <f ca="1">IFERROR(+IF(CT$29=ProposalToGnatt[[#This Row],[Start Date]],Milestone_Marker,IF(AND(CT$29&gt;ProposalToGnatt[[#This Row],[Start Date]],CT$29&lt;ProposalToGnatt[[#This Row],[Start Date]]+ProposalToGnatt[[#This Row],[Days]]),$G$5,"")),"")</f>
        <v/>
      </c>
      <c r="CU33" s="37" t="str">
        <f ca="1">IFERROR(+IF(CU$29=ProposalToGnatt[[#This Row],[Start Date]],Milestone_Marker,IF(AND(CU$29&gt;ProposalToGnatt[[#This Row],[Start Date]],CU$29&lt;ProposalToGnatt[[#This Row],[Start Date]]+ProposalToGnatt[[#This Row],[Days]]),$G$5,"")),"")</f>
        <v/>
      </c>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row>
    <row r="34" spans="1:125" s="42" customFormat="1" ht="20.100000000000001" customHeight="1">
      <c r="A34" t="s">
        <v>449</v>
      </c>
      <c r="B34">
        <v>5</v>
      </c>
      <c r="C34" t="s">
        <v>333</v>
      </c>
      <c r="D34" t="s">
        <v>374</v>
      </c>
      <c r="E34" t="s">
        <v>333</v>
      </c>
      <c r="F34">
        <v>0</v>
      </c>
      <c r="G34" s="11">
        <v>0</v>
      </c>
      <c r="H34" s="26">
        <v>0</v>
      </c>
      <c r="I34"/>
      <c r="J34"/>
      <c r="K34" s="402"/>
      <c r="L34"/>
      <c r="M34"/>
      <c r="N34"/>
      <c r="O34" s="26"/>
      <c r="P34" s="37">
        <f ca="1">IFERROR(+IF(P$29=ProposalToGnatt[[#This Row],[Start Date]],Milestone_Marker,IF(AND(P$29&gt;ProposalToGnatt[[#This Row],[Start Date]],P$29&lt;ProposalToGnatt[[#This Row],[Start Date]]+ProposalToGnatt[[#This Row],[Days]]),$G$5,"")),"")</f>
        <v>1</v>
      </c>
      <c r="Q34" s="37" t="str">
        <f ca="1">IFERROR(+IF(Q$29=ProposalToGnatt[[#This Row],[Start Date]],Milestone_Marker,IF(AND(Q$29&gt;ProposalToGnatt[[#This Row],[Start Date]],Q$29&lt;ProposalToGnatt[[#This Row],[Start Date]]+ProposalToGnatt[[#This Row],[Days]]),$G$5,"")),"")</f>
        <v/>
      </c>
      <c r="R34" s="37" t="str">
        <f ca="1">IFERROR(+IF(R$29=ProposalToGnatt[[#This Row],[Start Date]],Milestone_Marker,IF(AND(R$29&gt;ProposalToGnatt[[#This Row],[Start Date]],R$29&lt;ProposalToGnatt[[#This Row],[Start Date]]+ProposalToGnatt[[#This Row],[Days]]),$G$5,"")),"")</f>
        <v/>
      </c>
      <c r="S34" s="37" t="str">
        <f ca="1">IFERROR(+IF(S$29=ProposalToGnatt[[#This Row],[Start Date]],Milestone_Marker,IF(AND(S$29&gt;ProposalToGnatt[[#This Row],[Start Date]],S$29&lt;ProposalToGnatt[[#This Row],[Start Date]]+ProposalToGnatt[[#This Row],[Days]]),$G$5,"")),"")</f>
        <v/>
      </c>
      <c r="T34" s="37" t="str">
        <f ca="1">IFERROR(+IF(T$29=ProposalToGnatt[[#This Row],[Start Date]],Milestone_Marker,IF(AND(T$29&gt;ProposalToGnatt[[#This Row],[Start Date]],T$29&lt;ProposalToGnatt[[#This Row],[Start Date]]+ProposalToGnatt[[#This Row],[Days]]),$G$5,"")),"")</f>
        <v/>
      </c>
      <c r="U34" s="37" t="str">
        <f ca="1">IFERROR(+IF(U$29=ProposalToGnatt[[#This Row],[Start Date]],Milestone_Marker,IF(AND(U$29&gt;ProposalToGnatt[[#This Row],[Start Date]],U$29&lt;ProposalToGnatt[[#This Row],[Start Date]]+ProposalToGnatt[[#This Row],[Days]]),$G$5,"")),"")</f>
        <v/>
      </c>
      <c r="V34" s="37" t="str">
        <f ca="1">IFERROR(+IF(V$29=ProposalToGnatt[[#This Row],[Start Date]],Milestone_Marker,IF(AND(V$29&gt;ProposalToGnatt[[#This Row],[Start Date]],V$29&lt;ProposalToGnatt[[#This Row],[Start Date]]+ProposalToGnatt[[#This Row],[Days]]),$G$5,"")),"")</f>
        <v/>
      </c>
      <c r="W34" s="37" t="str">
        <f ca="1">IFERROR(+IF(W$29=ProposalToGnatt[[#This Row],[Start Date]],Milestone_Marker,IF(AND(W$29&gt;ProposalToGnatt[[#This Row],[Start Date]],W$29&lt;ProposalToGnatt[[#This Row],[Start Date]]+ProposalToGnatt[[#This Row],[Days]]),$G$5,"")),"")</f>
        <v/>
      </c>
      <c r="X34" s="37" t="str">
        <f ca="1">IFERROR(+IF(X$29=ProposalToGnatt[[#This Row],[Start Date]],Milestone_Marker,IF(AND(X$29&gt;ProposalToGnatt[[#This Row],[Start Date]],X$29&lt;ProposalToGnatt[[#This Row],[Start Date]]+ProposalToGnatt[[#This Row],[Days]]),$G$5,"")),"")</f>
        <v/>
      </c>
      <c r="Y34" s="37" t="str">
        <f ca="1">IFERROR(+IF(Y$29=ProposalToGnatt[[#This Row],[Start Date]],Milestone_Marker,IF(AND(Y$29&gt;ProposalToGnatt[[#This Row],[Start Date]],Y$29&lt;ProposalToGnatt[[#This Row],[Start Date]]+ProposalToGnatt[[#This Row],[Days]]),$G$5,"")),"")</f>
        <v/>
      </c>
      <c r="Z34" s="37" t="str">
        <f ca="1">IFERROR(+IF(Z$29=ProposalToGnatt[[#This Row],[Start Date]],Milestone_Marker,IF(AND(Z$29&gt;ProposalToGnatt[[#This Row],[Start Date]],Z$29&lt;ProposalToGnatt[[#This Row],[Start Date]]+ProposalToGnatt[[#This Row],[Days]]),$G$5,"")),"")</f>
        <v/>
      </c>
      <c r="AA34" s="37" t="str">
        <f ca="1">IFERROR(+IF(AA$29=ProposalToGnatt[[#This Row],[Start Date]],Milestone_Marker,IF(AND(AA$29&gt;ProposalToGnatt[[#This Row],[Start Date]],AA$29&lt;ProposalToGnatt[[#This Row],[Start Date]]+ProposalToGnatt[[#This Row],[Days]]),$G$5,"")),"")</f>
        <v/>
      </c>
      <c r="AB34" s="37" t="str">
        <f ca="1">IFERROR(+IF(AB$29=ProposalToGnatt[[#This Row],[Start Date]],Milestone_Marker,IF(AND(AB$29&gt;ProposalToGnatt[[#This Row],[Start Date]],AB$29&lt;ProposalToGnatt[[#This Row],[Start Date]]+ProposalToGnatt[[#This Row],[Days]]),$G$5,"")),"")</f>
        <v/>
      </c>
      <c r="AC34" s="37" t="str">
        <f ca="1">IFERROR(+IF(AC$29=ProposalToGnatt[[#This Row],[Start Date]],Milestone_Marker,IF(AND(AC$29&gt;ProposalToGnatt[[#This Row],[Start Date]],AC$29&lt;ProposalToGnatt[[#This Row],[Start Date]]+ProposalToGnatt[[#This Row],[Days]]),$G$5,"")),"")</f>
        <v/>
      </c>
      <c r="AD34" s="37" t="str">
        <f ca="1">IFERROR(+IF(AD$29=ProposalToGnatt[[#This Row],[Start Date]],Milestone_Marker,IF(AND(AD$29&gt;ProposalToGnatt[[#This Row],[Start Date]],AD$29&lt;ProposalToGnatt[[#This Row],[Start Date]]+ProposalToGnatt[[#This Row],[Days]]),$G$5,"")),"")</f>
        <v/>
      </c>
      <c r="AE34" s="37" t="str">
        <f ca="1">IFERROR(+IF(AE$29=ProposalToGnatt[[#This Row],[Start Date]],Milestone_Marker,IF(AND(AE$29&gt;ProposalToGnatt[[#This Row],[Start Date]],AE$29&lt;ProposalToGnatt[[#This Row],[Start Date]]+ProposalToGnatt[[#This Row],[Days]]),$G$5,"")),"")</f>
        <v/>
      </c>
      <c r="AF34" s="37" t="str">
        <f ca="1">IFERROR(+IF(AF$29=ProposalToGnatt[[#This Row],[Start Date]],Milestone_Marker,IF(AND(AF$29&gt;ProposalToGnatt[[#This Row],[Start Date]],AF$29&lt;ProposalToGnatt[[#This Row],[Start Date]]+ProposalToGnatt[[#This Row],[Days]]),$G$5,"")),"")</f>
        <v/>
      </c>
      <c r="AG34" s="37" t="str">
        <f ca="1">IFERROR(+IF(AG$29=ProposalToGnatt[[#This Row],[Start Date]],Milestone_Marker,IF(AND(AG$29&gt;ProposalToGnatt[[#This Row],[Start Date]],AG$29&lt;ProposalToGnatt[[#This Row],[Start Date]]+ProposalToGnatt[[#This Row],[Days]]),$G$5,"")),"")</f>
        <v/>
      </c>
      <c r="AH34" s="37" t="str">
        <f ca="1">IFERROR(+IF(AH$29=ProposalToGnatt[[#This Row],[Start Date]],Milestone_Marker,IF(AND(AH$29&gt;ProposalToGnatt[[#This Row],[Start Date]],AH$29&lt;ProposalToGnatt[[#This Row],[Start Date]]+ProposalToGnatt[[#This Row],[Days]]),$G$5,"")),"")</f>
        <v/>
      </c>
      <c r="AI34" s="37" t="str">
        <f ca="1">IFERROR(+IF(AI$29=ProposalToGnatt[[#This Row],[Start Date]],Milestone_Marker,IF(AND(AI$29&gt;ProposalToGnatt[[#This Row],[Start Date]],AI$29&lt;ProposalToGnatt[[#This Row],[Start Date]]+ProposalToGnatt[[#This Row],[Days]]),$G$5,"")),"")</f>
        <v/>
      </c>
      <c r="AJ34" s="37" t="str">
        <f ca="1">IFERROR(+IF(AJ$29=ProposalToGnatt[[#This Row],[Start Date]],Milestone_Marker,IF(AND(AJ$29&gt;ProposalToGnatt[[#This Row],[Start Date]],AJ$29&lt;ProposalToGnatt[[#This Row],[Start Date]]+ProposalToGnatt[[#This Row],[Days]]),$G$5,"")),"")</f>
        <v/>
      </c>
      <c r="AK34" s="37" t="str">
        <f ca="1">IFERROR(+IF(AK$29=ProposalToGnatt[[#This Row],[Start Date]],Milestone_Marker,IF(AND(AK$29&gt;ProposalToGnatt[[#This Row],[Start Date]],AK$29&lt;ProposalToGnatt[[#This Row],[Start Date]]+ProposalToGnatt[[#This Row],[Days]]),$G$5,"")),"")</f>
        <v/>
      </c>
      <c r="AL34" s="37" t="str">
        <f ca="1">IFERROR(+IF(AL$29=ProposalToGnatt[[#This Row],[Start Date]],Milestone_Marker,IF(AND(AL$29&gt;ProposalToGnatt[[#This Row],[Start Date]],AL$29&lt;ProposalToGnatt[[#This Row],[Start Date]]+ProposalToGnatt[[#This Row],[Days]]),$G$5,"")),"")</f>
        <v/>
      </c>
      <c r="AM34" s="37" t="str">
        <f ca="1">IFERROR(+IF(AM$29=ProposalToGnatt[[#This Row],[Start Date]],Milestone_Marker,IF(AND(AM$29&gt;ProposalToGnatt[[#This Row],[Start Date]],AM$29&lt;ProposalToGnatt[[#This Row],[Start Date]]+ProposalToGnatt[[#This Row],[Days]]),$G$5,"")),"")</f>
        <v/>
      </c>
      <c r="AN34" s="37" t="str">
        <f ca="1">IFERROR(+IF(AN$29=ProposalToGnatt[[#This Row],[Start Date]],Milestone_Marker,IF(AND(AN$29&gt;ProposalToGnatt[[#This Row],[Start Date]],AN$29&lt;ProposalToGnatt[[#This Row],[Start Date]]+ProposalToGnatt[[#This Row],[Days]]),$G$5,"")),"")</f>
        <v/>
      </c>
      <c r="AO34" s="37" t="str">
        <f ca="1">IFERROR(+IF(AO$29=ProposalToGnatt[[#This Row],[Start Date]],Milestone_Marker,IF(AND(AO$29&gt;ProposalToGnatt[[#This Row],[Start Date]],AO$29&lt;ProposalToGnatt[[#This Row],[Start Date]]+ProposalToGnatt[[#This Row],[Days]]),$G$5,"")),"")</f>
        <v/>
      </c>
      <c r="AP34" s="37" t="str">
        <f ca="1">IFERROR(+IF(AP$29=ProposalToGnatt[[#This Row],[Start Date]],Milestone_Marker,IF(AND(AP$29&gt;ProposalToGnatt[[#This Row],[Start Date]],AP$29&lt;ProposalToGnatt[[#This Row],[Start Date]]+ProposalToGnatt[[#This Row],[Days]]),$G$5,"")),"")</f>
        <v/>
      </c>
      <c r="AQ34" s="37" t="str">
        <f ca="1">IFERROR(+IF(AQ$29=ProposalToGnatt[[#This Row],[Start Date]],Milestone_Marker,IF(AND(AQ$29&gt;ProposalToGnatt[[#This Row],[Start Date]],AQ$29&lt;ProposalToGnatt[[#This Row],[Start Date]]+ProposalToGnatt[[#This Row],[Days]]),$G$5,"")),"")</f>
        <v/>
      </c>
      <c r="AR34" s="37" t="str">
        <f ca="1">IFERROR(+IF(AR$29=ProposalToGnatt[[#This Row],[Start Date]],Milestone_Marker,IF(AND(AR$29&gt;ProposalToGnatt[[#This Row],[Start Date]],AR$29&lt;ProposalToGnatt[[#This Row],[Start Date]]+ProposalToGnatt[[#This Row],[Days]]),$G$5,"")),"")</f>
        <v/>
      </c>
      <c r="AS34" s="37" t="str">
        <f ca="1">IFERROR(+IF(AS$29=ProposalToGnatt[[#This Row],[Start Date]],Milestone_Marker,IF(AND(AS$29&gt;ProposalToGnatt[[#This Row],[Start Date]],AS$29&lt;ProposalToGnatt[[#This Row],[Start Date]]+ProposalToGnatt[[#This Row],[Days]]),$G$5,"")),"")</f>
        <v/>
      </c>
      <c r="AT34" s="37" t="str">
        <f ca="1">IFERROR(+IF(AT$29=ProposalToGnatt[[#This Row],[Start Date]],Milestone_Marker,IF(AND(AT$29&gt;ProposalToGnatt[[#This Row],[Start Date]],AT$29&lt;ProposalToGnatt[[#This Row],[Start Date]]+ProposalToGnatt[[#This Row],[Days]]),$G$5,"")),"")</f>
        <v/>
      </c>
      <c r="AU34" s="37" t="str">
        <f ca="1">IFERROR(+IF(AU$29=ProposalToGnatt[[#This Row],[Start Date]],Milestone_Marker,IF(AND(AU$29&gt;ProposalToGnatt[[#This Row],[Start Date]],AU$29&lt;ProposalToGnatt[[#This Row],[Start Date]]+ProposalToGnatt[[#This Row],[Days]]),$G$5,"")),"")</f>
        <v/>
      </c>
      <c r="AV34" s="37" t="str">
        <f ca="1">IFERROR(+IF(AV$29=ProposalToGnatt[[#This Row],[Start Date]],Milestone_Marker,IF(AND(AV$29&gt;ProposalToGnatt[[#This Row],[Start Date]],AV$29&lt;ProposalToGnatt[[#This Row],[Start Date]]+ProposalToGnatt[[#This Row],[Days]]),$G$5,"")),"")</f>
        <v/>
      </c>
      <c r="AW34" s="37" t="str">
        <f ca="1">IFERROR(+IF(AW$29=ProposalToGnatt[[#This Row],[Start Date]],Milestone_Marker,IF(AND(AW$29&gt;ProposalToGnatt[[#This Row],[Start Date]],AW$29&lt;ProposalToGnatt[[#This Row],[Start Date]]+ProposalToGnatt[[#This Row],[Days]]),$G$5,"")),"")</f>
        <v/>
      </c>
      <c r="AX34" s="37" t="str">
        <f ca="1">IFERROR(+IF(AX$29=ProposalToGnatt[[#This Row],[Start Date]],Milestone_Marker,IF(AND(AX$29&gt;ProposalToGnatt[[#This Row],[Start Date]],AX$29&lt;ProposalToGnatt[[#This Row],[Start Date]]+ProposalToGnatt[[#This Row],[Days]]),$G$5,"")),"")</f>
        <v/>
      </c>
      <c r="AY34" s="37" t="str">
        <f ca="1">IFERROR(+IF(AY$29=ProposalToGnatt[[#This Row],[Start Date]],Milestone_Marker,IF(AND(AY$29&gt;ProposalToGnatt[[#This Row],[Start Date]],AY$29&lt;ProposalToGnatt[[#This Row],[Start Date]]+ProposalToGnatt[[#This Row],[Days]]),$G$5,"")),"")</f>
        <v/>
      </c>
      <c r="AZ34" s="37" t="str">
        <f ca="1">IFERROR(+IF(AZ$29=ProposalToGnatt[[#This Row],[Start Date]],Milestone_Marker,IF(AND(AZ$29&gt;ProposalToGnatt[[#This Row],[Start Date]],AZ$29&lt;ProposalToGnatt[[#This Row],[Start Date]]+ProposalToGnatt[[#This Row],[Days]]),$G$5,"")),"")</f>
        <v/>
      </c>
      <c r="BA34" s="37" t="str">
        <f ca="1">IFERROR(+IF(BA$29=ProposalToGnatt[[#This Row],[Start Date]],Milestone_Marker,IF(AND(BA$29&gt;ProposalToGnatt[[#This Row],[Start Date]],BA$29&lt;ProposalToGnatt[[#This Row],[Start Date]]+ProposalToGnatt[[#This Row],[Days]]),$G$5,"")),"")</f>
        <v/>
      </c>
      <c r="BB34" s="37" t="str">
        <f ca="1">IFERROR(+IF(BB$29=ProposalToGnatt[[#This Row],[Start Date]],Milestone_Marker,IF(AND(BB$29&gt;ProposalToGnatt[[#This Row],[Start Date]],BB$29&lt;ProposalToGnatt[[#This Row],[Start Date]]+ProposalToGnatt[[#This Row],[Days]]),$G$5,"")),"")</f>
        <v/>
      </c>
      <c r="BC34" s="37" t="str">
        <f ca="1">IFERROR(+IF(BC$29=ProposalToGnatt[[#This Row],[Start Date]],Milestone_Marker,IF(AND(BC$29&gt;ProposalToGnatt[[#This Row],[Start Date]],BC$29&lt;ProposalToGnatt[[#This Row],[Start Date]]+ProposalToGnatt[[#This Row],[Days]]),$G$5,"")),"")</f>
        <v/>
      </c>
      <c r="BD34" s="37" t="str">
        <f ca="1">IFERROR(+IF(BD$29=ProposalToGnatt[[#This Row],[Start Date]],Milestone_Marker,IF(AND(BD$29&gt;ProposalToGnatt[[#This Row],[Start Date]],BD$29&lt;ProposalToGnatt[[#This Row],[Start Date]]+ProposalToGnatt[[#This Row],[Days]]),$G$5,"")),"")</f>
        <v/>
      </c>
      <c r="BE34" s="37" t="str">
        <f ca="1">IFERROR(+IF(BE$29=ProposalToGnatt[[#This Row],[Start Date]],Milestone_Marker,IF(AND(BE$29&gt;ProposalToGnatt[[#This Row],[Start Date]],BE$29&lt;ProposalToGnatt[[#This Row],[Start Date]]+ProposalToGnatt[[#This Row],[Days]]),$G$5,"")),"")</f>
        <v/>
      </c>
      <c r="BF34" s="37" t="str">
        <f ca="1">IFERROR(+IF(BF$29=ProposalToGnatt[[#This Row],[Start Date]],Milestone_Marker,IF(AND(BF$29&gt;ProposalToGnatt[[#This Row],[Start Date]],BF$29&lt;ProposalToGnatt[[#This Row],[Start Date]]+ProposalToGnatt[[#This Row],[Days]]),$G$5,"")),"")</f>
        <v/>
      </c>
      <c r="BG34" s="37" t="str">
        <f ca="1">IFERROR(+IF(BG$29=ProposalToGnatt[[#This Row],[Start Date]],Milestone_Marker,IF(AND(BG$29&gt;ProposalToGnatt[[#This Row],[Start Date]],BG$29&lt;ProposalToGnatt[[#This Row],[Start Date]]+ProposalToGnatt[[#This Row],[Days]]),$G$5,"")),"")</f>
        <v/>
      </c>
      <c r="BH34" s="37" t="str">
        <f ca="1">IFERROR(+IF(BH$29=ProposalToGnatt[[#This Row],[Start Date]],Milestone_Marker,IF(AND(BH$29&gt;ProposalToGnatt[[#This Row],[Start Date]],BH$29&lt;ProposalToGnatt[[#This Row],[Start Date]]+ProposalToGnatt[[#This Row],[Days]]),$G$5,"")),"")</f>
        <v/>
      </c>
      <c r="BI34" s="37" t="str">
        <f ca="1">IFERROR(+IF(BI$29=ProposalToGnatt[[#This Row],[Start Date]],Milestone_Marker,IF(AND(BI$29&gt;ProposalToGnatt[[#This Row],[Start Date]],BI$29&lt;ProposalToGnatt[[#This Row],[Start Date]]+ProposalToGnatt[[#This Row],[Days]]),$G$5,"")),"")</f>
        <v/>
      </c>
      <c r="BJ34" s="37" t="str">
        <f ca="1">IFERROR(+IF(BJ$29=ProposalToGnatt[[#This Row],[Start Date]],Milestone_Marker,IF(AND(BJ$29&gt;ProposalToGnatt[[#This Row],[Start Date]],BJ$29&lt;ProposalToGnatt[[#This Row],[Start Date]]+ProposalToGnatt[[#This Row],[Days]]),$G$5,"")),"")</f>
        <v/>
      </c>
      <c r="BK34" s="37" t="str">
        <f ca="1">IFERROR(+IF(BK$29=ProposalToGnatt[[#This Row],[Start Date]],Milestone_Marker,IF(AND(BK$29&gt;ProposalToGnatt[[#This Row],[Start Date]],BK$29&lt;ProposalToGnatt[[#This Row],[Start Date]]+ProposalToGnatt[[#This Row],[Days]]),$G$5,"")),"")</f>
        <v/>
      </c>
      <c r="BL34" s="37" t="str">
        <f ca="1">IFERROR(+IF(BL$29=ProposalToGnatt[[#This Row],[Start Date]],Milestone_Marker,IF(AND(BL$29&gt;ProposalToGnatt[[#This Row],[Start Date]],BL$29&lt;ProposalToGnatt[[#This Row],[Start Date]]+ProposalToGnatt[[#This Row],[Days]]),$G$5,"")),"")</f>
        <v/>
      </c>
      <c r="BM34" s="37" t="str">
        <f ca="1">IFERROR(+IF(BM$29=ProposalToGnatt[[#This Row],[Start Date]],Milestone_Marker,IF(AND(BM$29&gt;ProposalToGnatt[[#This Row],[Start Date]],BM$29&lt;ProposalToGnatt[[#This Row],[Start Date]]+ProposalToGnatt[[#This Row],[Days]]),$G$5,"")),"")</f>
        <v/>
      </c>
      <c r="BN34" s="37" t="str">
        <f ca="1">IFERROR(+IF(BN$29=ProposalToGnatt[[#This Row],[Start Date]],Milestone_Marker,IF(AND(BN$29&gt;ProposalToGnatt[[#This Row],[Start Date]],BN$29&lt;ProposalToGnatt[[#This Row],[Start Date]]+ProposalToGnatt[[#This Row],[Days]]),$G$5,"")),"")</f>
        <v/>
      </c>
      <c r="BO34" s="37" t="str">
        <f ca="1">IFERROR(+IF(BO$29=ProposalToGnatt[[#This Row],[Start Date]],Milestone_Marker,IF(AND(BO$29&gt;ProposalToGnatt[[#This Row],[Start Date]],BO$29&lt;ProposalToGnatt[[#This Row],[Start Date]]+ProposalToGnatt[[#This Row],[Days]]),$G$5,"")),"")</f>
        <v/>
      </c>
      <c r="BP34" s="37" t="str">
        <f ca="1">IFERROR(+IF(BP$29=ProposalToGnatt[[#This Row],[Start Date]],Milestone_Marker,IF(AND(BP$29&gt;ProposalToGnatt[[#This Row],[Start Date]],BP$29&lt;ProposalToGnatt[[#This Row],[Start Date]]+ProposalToGnatt[[#This Row],[Days]]),$G$5,"")),"")</f>
        <v/>
      </c>
      <c r="BQ34" s="37" t="str">
        <f ca="1">IFERROR(+IF(BQ$29=ProposalToGnatt[[#This Row],[Start Date]],Milestone_Marker,IF(AND(BQ$29&gt;ProposalToGnatt[[#This Row],[Start Date]],BQ$29&lt;ProposalToGnatt[[#This Row],[Start Date]]+ProposalToGnatt[[#This Row],[Days]]),$G$5,"")),"")</f>
        <v/>
      </c>
      <c r="BR34" s="37" t="str">
        <f ca="1">IFERROR(+IF(BR$29=ProposalToGnatt[[#This Row],[Start Date]],Milestone_Marker,IF(AND(BR$29&gt;ProposalToGnatt[[#This Row],[Start Date]],BR$29&lt;ProposalToGnatt[[#This Row],[Start Date]]+ProposalToGnatt[[#This Row],[Days]]),$G$5,"")),"")</f>
        <v/>
      </c>
      <c r="BS34" s="37" t="str">
        <f ca="1">IFERROR(+IF(BS$29=ProposalToGnatt[[#This Row],[Start Date]],Milestone_Marker,IF(AND(BS$29&gt;ProposalToGnatt[[#This Row],[Start Date]],BS$29&lt;ProposalToGnatt[[#This Row],[Start Date]]+ProposalToGnatt[[#This Row],[Days]]),$G$5,"")),"")</f>
        <v/>
      </c>
      <c r="BT34" s="37" t="str">
        <f ca="1">IFERROR(+IF(BT$29=ProposalToGnatt[[#This Row],[Start Date]],Milestone_Marker,IF(AND(BT$29&gt;ProposalToGnatt[[#This Row],[Start Date]],BT$29&lt;ProposalToGnatt[[#This Row],[Start Date]]+ProposalToGnatt[[#This Row],[Days]]),$G$5,"")),"")</f>
        <v/>
      </c>
      <c r="BU34" s="37" t="str">
        <f ca="1">IFERROR(+IF(BU$29=ProposalToGnatt[[#This Row],[Start Date]],Milestone_Marker,IF(AND(BU$29&gt;ProposalToGnatt[[#This Row],[Start Date]],BU$29&lt;ProposalToGnatt[[#This Row],[Start Date]]+ProposalToGnatt[[#This Row],[Days]]),$G$5,"")),"")</f>
        <v/>
      </c>
      <c r="BV34" s="37" t="str">
        <f ca="1">IFERROR(+IF(BV$29=ProposalToGnatt[[#This Row],[Start Date]],Milestone_Marker,IF(AND(BV$29&gt;ProposalToGnatt[[#This Row],[Start Date]],BV$29&lt;ProposalToGnatt[[#This Row],[Start Date]]+ProposalToGnatt[[#This Row],[Days]]),$G$5,"")),"")</f>
        <v/>
      </c>
      <c r="BW34" s="37" t="str">
        <f ca="1">IFERROR(+IF(BW$29=ProposalToGnatt[[#This Row],[Start Date]],Milestone_Marker,IF(AND(BW$29&gt;ProposalToGnatt[[#This Row],[Start Date]],BW$29&lt;ProposalToGnatt[[#This Row],[Start Date]]+ProposalToGnatt[[#This Row],[Days]]),$G$5,"")),"")</f>
        <v/>
      </c>
      <c r="BX34" s="37" t="str">
        <f ca="1">IFERROR(+IF(BX$29=ProposalToGnatt[[#This Row],[Start Date]],Milestone_Marker,IF(AND(BX$29&gt;ProposalToGnatt[[#This Row],[Start Date]],BX$29&lt;ProposalToGnatt[[#This Row],[Start Date]]+ProposalToGnatt[[#This Row],[Days]]),$G$5,"")),"")</f>
        <v/>
      </c>
      <c r="BY34" s="37" t="str">
        <f ca="1">IFERROR(+IF(BY$29=ProposalToGnatt[[#This Row],[Start Date]],Milestone_Marker,IF(AND(BY$29&gt;ProposalToGnatt[[#This Row],[Start Date]],BY$29&lt;ProposalToGnatt[[#This Row],[Start Date]]+ProposalToGnatt[[#This Row],[Days]]),$G$5,"")),"")</f>
        <v/>
      </c>
      <c r="BZ34" s="37" t="str">
        <f ca="1">IFERROR(+IF(BZ$29=ProposalToGnatt[[#This Row],[Start Date]],Milestone_Marker,IF(AND(BZ$29&gt;ProposalToGnatt[[#This Row],[Start Date]],BZ$29&lt;ProposalToGnatt[[#This Row],[Start Date]]+ProposalToGnatt[[#This Row],[Days]]),$G$5,"")),"")</f>
        <v/>
      </c>
      <c r="CA34" s="37" t="str">
        <f ca="1">IFERROR(+IF(CA$29=ProposalToGnatt[[#This Row],[Start Date]],Milestone_Marker,IF(AND(CA$29&gt;ProposalToGnatt[[#This Row],[Start Date]],CA$29&lt;ProposalToGnatt[[#This Row],[Start Date]]+ProposalToGnatt[[#This Row],[Days]]),$G$5,"")),"")</f>
        <v/>
      </c>
      <c r="CB34" s="37" t="str">
        <f ca="1">IFERROR(+IF(CB$29=ProposalToGnatt[[#This Row],[Start Date]],Milestone_Marker,IF(AND(CB$29&gt;ProposalToGnatt[[#This Row],[Start Date]],CB$29&lt;ProposalToGnatt[[#This Row],[Start Date]]+ProposalToGnatt[[#This Row],[Days]]),$G$5,"")),"")</f>
        <v/>
      </c>
      <c r="CC34" s="37" t="str">
        <f ca="1">IFERROR(+IF(CC$29=ProposalToGnatt[[#This Row],[Start Date]],Milestone_Marker,IF(AND(CC$29&gt;ProposalToGnatt[[#This Row],[Start Date]],CC$29&lt;ProposalToGnatt[[#This Row],[Start Date]]+ProposalToGnatt[[#This Row],[Days]]),$G$5,"")),"")</f>
        <v/>
      </c>
      <c r="CD34" s="37" t="str">
        <f ca="1">IFERROR(+IF(CD$29=ProposalToGnatt[[#This Row],[Start Date]],Milestone_Marker,IF(AND(CD$29&gt;ProposalToGnatt[[#This Row],[Start Date]],CD$29&lt;ProposalToGnatt[[#This Row],[Start Date]]+ProposalToGnatt[[#This Row],[Days]]),$G$5,"")),"")</f>
        <v/>
      </c>
      <c r="CE34" s="37" t="str">
        <f ca="1">IFERROR(+IF(CE$29=ProposalToGnatt[[#This Row],[Start Date]],Milestone_Marker,IF(AND(CE$29&gt;ProposalToGnatt[[#This Row],[Start Date]],CE$29&lt;ProposalToGnatt[[#This Row],[Start Date]]+ProposalToGnatt[[#This Row],[Days]]),$G$5,"")),"")</f>
        <v/>
      </c>
      <c r="CF34" s="37" t="str">
        <f ca="1">IFERROR(+IF(CF$29=ProposalToGnatt[[#This Row],[Start Date]],Milestone_Marker,IF(AND(CF$29&gt;ProposalToGnatt[[#This Row],[Start Date]],CF$29&lt;ProposalToGnatt[[#This Row],[Start Date]]+ProposalToGnatt[[#This Row],[Days]]),$G$5,"")),"")</f>
        <v/>
      </c>
      <c r="CG34" s="37" t="str">
        <f ca="1">IFERROR(+IF(CG$29=ProposalToGnatt[[#This Row],[Start Date]],Milestone_Marker,IF(AND(CG$29&gt;ProposalToGnatt[[#This Row],[Start Date]],CG$29&lt;ProposalToGnatt[[#This Row],[Start Date]]+ProposalToGnatt[[#This Row],[Days]]),$G$5,"")),"")</f>
        <v/>
      </c>
      <c r="CH34" s="37" t="str">
        <f ca="1">IFERROR(+IF(CH$29=ProposalToGnatt[[#This Row],[Start Date]],Milestone_Marker,IF(AND(CH$29&gt;ProposalToGnatt[[#This Row],[Start Date]],CH$29&lt;ProposalToGnatt[[#This Row],[Start Date]]+ProposalToGnatt[[#This Row],[Days]]),$G$5,"")),"")</f>
        <v/>
      </c>
      <c r="CI34" s="37" t="str">
        <f ca="1">IFERROR(+IF(CI$29=ProposalToGnatt[[#This Row],[Start Date]],Milestone_Marker,IF(AND(CI$29&gt;ProposalToGnatt[[#This Row],[Start Date]],CI$29&lt;ProposalToGnatt[[#This Row],[Start Date]]+ProposalToGnatt[[#This Row],[Days]]),$G$5,"")),"")</f>
        <v/>
      </c>
      <c r="CJ34" s="37" t="str">
        <f ca="1">IFERROR(+IF(CJ$29=ProposalToGnatt[[#This Row],[Start Date]],Milestone_Marker,IF(AND(CJ$29&gt;ProposalToGnatt[[#This Row],[Start Date]],CJ$29&lt;ProposalToGnatt[[#This Row],[Start Date]]+ProposalToGnatt[[#This Row],[Days]]),$G$5,"")),"")</f>
        <v/>
      </c>
      <c r="CK34" s="37" t="str">
        <f ca="1">IFERROR(+IF(CK$29=ProposalToGnatt[[#This Row],[Start Date]],Milestone_Marker,IF(AND(CK$29&gt;ProposalToGnatt[[#This Row],[Start Date]],CK$29&lt;ProposalToGnatt[[#This Row],[Start Date]]+ProposalToGnatt[[#This Row],[Days]]),$G$5,"")),"")</f>
        <v/>
      </c>
      <c r="CL34" s="37" t="str">
        <f ca="1">IFERROR(+IF(CL$29=ProposalToGnatt[[#This Row],[Start Date]],Milestone_Marker,IF(AND(CL$29&gt;ProposalToGnatt[[#This Row],[Start Date]],CL$29&lt;ProposalToGnatt[[#This Row],[Start Date]]+ProposalToGnatt[[#This Row],[Days]]),$G$5,"")),"")</f>
        <v/>
      </c>
      <c r="CM34" s="37" t="str">
        <f ca="1">IFERROR(+IF(CM$29=ProposalToGnatt[[#This Row],[Start Date]],Milestone_Marker,IF(AND(CM$29&gt;ProposalToGnatt[[#This Row],[Start Date]],CM$29&lt;ProposalToGnatt[[#This Row],[Start Date]]+ProposalToGnatt[[#This Row],[Days]]),$G$5,"")),"")</f>
        <v/>
      </c>
      <c r="CN34" s="37" t="str">
        <f ca="1">IFERROR(+IF(CN$29=ProposalToGnatt[[#This Row],[Start Date]],Milestone_Marker,IF(AND(CN$29&gt;ProposalToGnatt[[#This Row],[Start Date]],CN$29&lt;ProposalToGnatt[[#This Row],[Start Date]]+ProposalToGnatt[[#This Row],[Days]]),$G$5,"")),"")</f>
        <v/>
      </c>
      <c r="CO34" s="37" t="str">
        <f ca="1">IFERROR(+IF(CO$29=ProposalToGnatt[[#This Row],[Start Date]],Milestone_Marker,IF(AND(CO$29&gt;ProposalToGnatt[[#This Row],[Start Date]],CO$29&lt;ProposalToGnatt[[#This Row],[Start Date]]+ProposalToGnatt[[#This Row],[Days]]),$G$5,"")),"")</f>
        <v/>
      </c>
      <c r="CP34" s="37" t="str">
        <f ca="1">IFERROR(+IF(CP$29=ProposalToGnatt[[#This Row],[Start Date]],Milestone_Marker,IF(AND(CP$29&gt;ProposalToGnatt[[#This Row],[Start Date]],CP$29&lt;ProposalToGnatt[[#This Row],[Start Date]]+ProposalToGnatt[[#This Row],[Days]]),$G$5,"")),"")</f>
        <v/>
      </c>
      <c r="CQ34" s="37" t="str">
        <f ca="1">IFERROR(+IF(CQ$29=ProposalToGnatt[[#This Row],[Start Date]],Milestone_Marker,IF(AND(CQ$29&gt;ProposalToGnatt[[#This Row],[Start Date]],CQ$29&lt;ProposalToGnatt[[#This Row],[Start Date]]+ProposalToGnatt[[#This Row],[Days]]),$G$5,"")),"")</f>
        <v/>
      </c>
      <c r="CR34" s="37" t="str">
        <f ca="1">IFERROR(+IF(CR$29=ProposalToGnatt[[#This Row],[Start Date]],Milestone_Marker,IF(AND(CR$29&gt;ProposalToGnatt[[#This Row],[Start Date]],CR$29&lt;ProposalToGnatt[[#This Row],[Start Date]]+ProposalToGnatt[[#This Row],[Days]]),$G$5,"")),"")</f>
        <v/>
      </c>
      <c r="CS34" s="37" t="str">
        <f ca="1">IFERROR(+IF(CS$29=ProposalToGnatt[[#This Row],[Start Date]],Milestone_Marker,IF(AND(CS$29&gt;ProposalToGnatt[[#This Row],[Start Date]],CS$29&lt;ProposalToGnatt[[#This Row],[Start Date]]+ProposalToGnatt[[#This Row],[Days]]),$G$5,"")),"")</f>
        <v/>
      </c>
      <c r="CT34" s="37" t="str">
        <f ca="1">IFERROR(+IF(CT$29=ProposalToGnatt[[#This Row],[Start Date]],Milestone_Marker,IF(AND(CT$29&gt;ProposalToGnatt[[#This Row],[Start Date]],CT$29&lt;ProposalToGnatt[[#This Row],[Start Date]]+ProposalToGnatt[[#This Row],[Days]]),$G$5,"")),"")</f>
        <v/>
      </c>
      <c r="CU34" s="37" t="str">
        <f ca="1">IFERROR(+IF(CU$29=ProposalToGnatt[[#This Row],[Start Date]],Milestone_Marker,IF(AND(CU$29&gt;ProposalToGnatt[[#This Row],[Start Date]],CU$29&lt;ProposalToGnatt[[#This Row],[Start Date]]+ProposalToGnatt[[#This Row],[Days]]),$G$5,"")),"")</f>
        <v/>
      </c>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row>
    <row r="35" spans="1:125" s="42" customFormat="1" ht="20.100000000000001" customHeight="1">
      <c r="A35" t="s">
        <v>449</v>
      </c>
      <c r="B35">
        <v>6</v>
      </c>
      <c r="C35" t="s">
        <v>285</v>
      </c>
      <c r="D35" t="s">
        <v>374</v>
      </c>
      <c r="E35" t="s">
        <v>375</v>
      </c>
      <c r="F35">
        <v>0</v>
      </c>
      <c r="G35" s="11">
        <v>200</v>
      </c>
      <c r="H35" s="26">
        <v>0</v>
      </c>
      <c r="I35"/>
      <c r="J35"/>
      <c r="K35" s="402"/>
      <c r="L35"/>
      <c r="M35"/>
      <c r="N35"/>
      <c r="O35" s="26"/>
      <c r="P35" s="37">
        <f ca="1">IFERROR(+IF(P$29=ProposalToGnatt[[#This Row],[Start Date]],Milestone_Marker,IF(AND(P$29&gt;ProposalToGnatt[[#This Row],[Start Date]],P$29&lt;ProposalToGnatt[[#This Row],[Start Date]]+ProposalToGnatt[[#This Row],[Days]]),$G$5,"")),"")</f>
        <v>1</v>
      </c>
      <c r="Q35" s="37" t="str">
        <f ca="1">IFERROR(+IF(Q$29=ProposalToGnatt[[#This Row],[Start Date]],Milestone_Marker,IF(AND(Q$29&gt;ProposalToGnatt[[#This Row],[Start Date]],Q$29&lt;ProposalToGnatt[[#This Row],[Start Date]]+ProposalToGnatt[[#This Row],[Days]]),$G$5,"")),"")</f>
        <v/>
      </c>
      <c r="R35" s="37" t="str">
        <f ca="1">IFERROR(+IF(R$29=ProposalToGnatt[[#This Row],[Start Date]],Milestone_Marker,IF(AND(R$29&gt;ProposalToGnatt[[#This Row],[Start Date]],R$29&lt;ProposalToGnatt[[#This Row],[Start Date]]+ProposalToGnatt[[#This Row],[Days]]),$G$5,"")),"")</f>
        <v/>
      </c>
      <c r="S35" s="37" t="str">
        <f ca="1">IFERROR(+IF(S$29=ProposalToGnatt[[#This Row],[Start Date]],Milestone_Marker,IF(AND(S$29&gt;ProposalToGnatt[[#This Row],[Start Date]],S$29&lt;ProposalToGnatt[[#This Row],[Start Date]]+ProposalToGnatt[[#This Row],[Days]]),$G$5,"")),"")</f>
        <v/>
      </c>
      <c r="T35" s="37" t="str">
        <f ca="1">IFERROR(+IF(T$29=ProposalToGnatt[[#This Row],[Start Date]],Milestone_Marker,IF(AND(T$29&gt;ProposalToGnatt[[#This Row],[Start Date]],T$29&lt;ProposalToGnatt[[#This Row],[Start Date]]+ProposalToGnatt[[#This Row],[Days]]),$G$5,"")),"")</f>
        <v/>
      </c>
      <c r="U35" s="37" t="str">
        <f ca="1">IFERROR(+IF(U$29=ProposalToGnatt[[#This Row],[Start Date]],Milestone_Marker,IF(AND(U$29&gt;ProposalToGnatt[[#This Row],[Start Date]],U$29&lt;ProposalToGnatt[[#This Row],[Start Date]]+ProposalToGnatt[[#This Row],[Days]]),$G$5,"")),"")</f>
        <v/>
      </c>
      <c r="V35" s="37" t="str">
        <f ca="1">IFERROR(+IF(V$29=ProposalToGnatt[[#This Row],[Start Date]],Milestone_Marker,IF(AND(V$29&gt;ProposalToGnatt[[#This Row],[Start Date]],V$29&lt;ProposalToGnatt[[#This Row],[Start Date]]+ProposalToGnatt[[#This Row],[Days]]),$G$5,"")),"")</f>
        <v/>
      </c>
      <c r="W35" s="37" t="str">
        <f ca="1">IFERROR(+IF(W$29=ProposalToGnatt[[#This Row],[Start Date]],Milestone_Marker,IF(AND(W$29&gt;ProposalToGnatt[[#This Row],[Start Date]],W$29&lt;ProposalToGnatt[[#This Row],[Start Date]]+ProposalToGnatt[[#This Row],[Days]]),$G$5,"")),"")</f>
        <v/>
      </c>
      <c r="X35" s="37" t="str">
        <f ca="1">IFERROR(+IF(X$29=ProposalToGnatt[[#This Row],[Start Date]],Milestone_Marker,IF(AND(X$29&gt;ProposalToGnatt[[#This Row],[Start Date]],X$29&lt;ProposalToGnatt[[#This Row],[Start Date]]+ProposalToGnatt[[#This Row],[Days]]),$G$5,"")),"")</f>
        <v/>
      </c>
      <c r="Y35" s="37" t="str">
        <f ca="1">IFERROR(+IF(Y$29=ProposalToGnatt[[#This Row],[Start Date]],Milestone_Marker,IF(AND(Y$29&gt;ProposalToGnatt[[#This Row],[Start Date]],Y$29&lt;ProposalToGnatt[[#This Row],[Start Date]]+ProposalToGnatt[[#This Row],[Days]]),$G$5,"")),"")</f>
        <v/>
      </c>
      <c r="Z35" s="37" t="str">
        <f ca="1">IFERROR(+IF(Z$29=ProposalToGnatt[[#This Row],[Start Date]],Milestone_Marker,IF(AND(Z$29&gt;ProposalToGnatt[[#This Row],[Start Date]],Z$29&lt;ProposalToGnatt[[#This Row],[Start Date]]+ProposalToGnatt[[#This Row],[Days]]),$G$5,"")),"")</f>
        <v/>
      </c>
      <c r="AA35" s="37" t="str">
        <f ca="1">IFERROR(+IF(AA$29=ProposalToGnatt[[#This Row],[Start Date]],Milestone_Marker,IF(AND(AA$29&gt;ProposalToGnatt[[#This Row],[Start Date]],AA$29&lt;ProposalToGnatt[[#This Row],[Start Date]]+ProposalToGnatt[[#This Row],[Days]]),$G$5,"")),"")</f>
        <v/>
      </c>
      <c r="AB35" s="37" t="str">
        <f ca="1">IFERROR(+IF(AB$29=ProposalToGnatt[[#This Row],[Start Date]],Milestone_Marker,IF(AND(AB$29&gt;ProposalToGnatt[[#This Row],[Start Date]],AB$29&lt;ProposalToGnatt[[#This Row],[Start Date]]+ProposalToGnatt[[#This Row],[Days]]),$G$5,"")),"")</f>
        <v/>
      </c>
      <c r="AC35" s="37" t="str">
        <f ca="1">IFERROR(+IF(AC$29=ProposalToGnatt[[#This Row],[Start Date]],Milestone_Marker,IF(AND(AC$29&gt;ProposalToGnatt[[#This Row],[Start Date]],AC$29&lt;ProposalToGnatt[[#This Row],[Start Date]]+ProposalToGnatt[[#This Row],[Days]]),$G$5,"")),"")</f>
        <v/>
      </c>
      <c r="AD35" s="37" t="str">
        <f ca="1">IFERROR(+IF(AD$29=ProposalToGnatt[[#This Row],[Start Date]],Milestone_Marker,IF(AND(AD$29&gt;ProposalToGnatt[[#This Row],[Start Date]],AD$29&lt;ProposalToGnatt[[#This Row],[Start Date]]+ProposalToGnatt[[#This Row],[Days]]),$G$5,"")),"")</f>
        <v/>
      </c>
      <c r="AE35" s="37" t="str">
        <f ca="1">IFERROR(+IF(AE$29=ProposalToGnatt[[#This Row],[Start Date]],Milestone_Marker,IF(AND(AE$29&gt;ProposalToGnatt[[#This Row],[Start Date]],AE$29&lt;ProposalToGnatt[[#This Row],[Start Date]]+ProposalToGnatt[[#This Row],[Days]]),$G$5,"")),"")</f>
        <v/>
      </c>
      <c r="AF35" s="37" t="str">
        <f ca="1">IFERROR(+IF(AF$29=ProposalToGnatt[[#This Row],[Start Date]],Milestone_Marker,IF(AND(AF$29&gt;ProposalToGnatt[[#This Row],[Start Date]],AF$29&lt;ProposalToGnatt[[#This Row],[Start Date]]+ProposalToGnatt[[#This Row],[Days]]),$G$5,"")),"")</f>
        <v/>
      </c>
      <c r="AG35" s="37" t="str">
        <f ca="1">IFERROR(+IF(AG$29=ProposalToGnatt[[#This Row],[Start Date]],Milestone_Marker,IF(AND(AG$29&gt;ProposalToGnatt[[#This Row],[Start Date]],AG$29&lt;ProposalToGnatt[[#This Row],[Start Date]]+ProposalToGnatt[[#This Row],[Days]]),$G$5,"")),"")</f>
        <v/>
      </c>
      <c r="AH35" s="37" t="str">
        <f ca="1">IFERROR(+IF(AH$29=ProposalToGnatt[[#This Row],[Start Date]],Milestone_Marker,IF(AND(AH$29&gt;ProposalToGnatt[[#This Row],[Start Date]],AH$29&lt;ProposalToGnatt[[#This Row],[Start Date]]+ProposalToGnatt[[#This Row],[Days]]),$G$5,"")),"")</f>
        <v/>
      </c>
      <c r="AI35" s="37" t="str">
        <f ca="1">IFERROR(+IF(AI$29=ProposalToGnatt[[#This Row],[Start Date]],Milestone_Marker,IF(AND(AI$29&gt;ProposalToGnatt[[#This Row],[Start Date]],AI$29&lt;ProposalToGnatt[[#This Row],[Start Date]]+ProposalToGnatt[[#This Row],[Days]]),$G$5,"")),"")</f>
        <v/>
      </c>
      <c r="AJ35" s="37" t="str">
        <f ca="1">IFERROR(+IF(AJ$29=ProposalToGnatt[[#This Row],[Start Date]],Milestone_Marker,IF(AND(AJ$29&gt;ProposalToGnatt[[#This Row],[Start Date]],AJ$29&lt;ProposalToGnatt[[#This Row],[Start Date]]+ProposalToGnatt[[#This Row],[Days]]),$G$5,"")),"")</f>
        <v/>
      </c>
      <c r="AK35" s="37" t="str">
        <f ca="1">IFERROR(+IF(AK$29=ProposalToGnatt[[#This Row],[Start Date]],Milestone_Marker,IF(AND(AK$29&gt;ProposalToGnatt[[#This Row],[Start Date]],AK$29&lt;ProposalToGnatt[[#This Row],[Start Date]]+ProposalToGnatt[[#This Row],[Days]]),$G$5,"")),"")</f>
        <v/>
      </c>
      <c r="AL35" s="37" t="str">
        <f ca="1">IFERROR(+IF(AL$29=ProposalToGnatt[[#This Row],[Start Date]],Milestone_Marker,IF(AND(AL$29&gt;ProposalToGnatt[[#This Row],[Start Date]],AL$29&lt;ProposalToGnatt[[#This Row],[Start Date]]+ProposalToGnatt[[#This Row],[Days]]),$G$5,"")),"")</f>
        <v/>
      </c>
      <c r="AM35" s="37" t="str">
        <f ca="1">IFERROR(+IF(AM$29=ProposalToGnatt[[#This Row],[Start Date]],Milestone_Marker,IF(AND(AM$29&gt;ProposalToGnatt[[#This Row],[Start Date]],AM$29&lt;ProposalToGnatt[[#This Row],[Start Date]]+ProposalToGnatt[[#This Row],[Days]]),$G$5,"")),"")</f>
        <v/>
      </c>
      <c r="AN35" s="37" t="str">
        <f ca="1">IFERROR(+IF(AN$29=ProposalToGnatt[[#This Row],[Start Date]],Milestone_Marker,IF(AND(AN$29&gt;ProposalToGnatt[[#This Row],[Start Date]],AN$29&lt;ProposalToGnatt[[#This Row],[Start Date]]+ProposalToGnatt[[#This Row],[Days]]),$G$5,"")),"")</f>
        <v/>
      </c>
      <c r="AO35" s="37" t="str">
        <f ca="1">IFERROR(+IF(AO$29=ProposalToGnatt[[#This Row],[Start Date]],Milestone_Marker,IF(AND(AO$29&gt;ProposalToGnatt[[#This Row],[Start Date]],AO$29&lt;ProposalToGnatt[[#This Row],[Start Date]]+ProposalToGnatt[[#This Row],[Days]]),$G$5,"")),"")</f>
        <v/>
      </c>
      <c r="AP35" s="37" t="str">
        <f ca="1">IFERROR(+IF(AP$29=ProposalToGnatt[[#This Row],[Start Date]],Milestone_Marker,IF(AND(AP$29&gt;ProposalToGnatt[[#This Row],[Start Date]],AP$29&lt;ProposalToGnatt[[#This Row],[Start Date]]+ProposalToGnatt[[#This Row],[Days]]),$G$5,"")),"")</f>
        <v/>
      </c>
      <c r="AQ35" s="37" t="str">
        <f ca="1">IFERROR(+IF(AQ$29=ProposalToGnatt[[#This Row],[Start Date]],Milestone_Marker,IF(AND(AQ$29&gt;ProposalToGnatt[[#This Row],[Start Date]],AQ$29&lt;ProposalToGnatt[[#This Row],[Start Date]]+ProposalToGnatt[[#This Row],[Days]]),$G$5,"")),"")</f>
        <v/>
      </c>
      <c r="AR35" s="37" t="str">
        <f ca="1">IFERROR(+IF(AR$29=ProposalToGnatt[[#This Row],[Start Date]],Milestone_Marker,IF(AND(AR$29&gt;ProposalToGnatt[[#This Row],[Start Date]],AR$29&lt;ProposalToGnatt[[#This Row],[Start Date]]+ProposalToGnatt[[#This Row],[Days]]),$G$5,"")),"")</f>
        <v/>
      </c>
      <c r="AS35" s="37" t="str">
        <f ca="1">IFERROR(+IF(AS$29=ProposalToGnatt[[#This Row],[Start Date]],Milestone_Marker,IF(AND(AS$29&gt;ProposalToGnatt[[#This Row],[Start Date]],AS$29&lt;ProposalToGnatt[[#This Row],[Start Date]]+ProposalToGnatt[[#This Row],[Days]]),$G$5,"")),"")</f>
        <v/>
      </c>
      <c r="AT35" s="37" t="str">
        <f ca="1">IFERROR(+IF(AT$29=ProposalToGnatt[[#This Row],[Start Date]],Milestone_Marker,IF(AND(AT$29&gt;ProposalToGnatt[[#This Row],[Start Date]],AT$29&lt;ProposalToGnatt[[#This Row],[Start Date]]+ProposalToGnatt[[#This Row],[Days]]),$G$5,"")),"")</f>
        <v/>
      </c>
      <c r="AU35" s="37" t="str">
        <f ca="1">IFERROR(+IF(AU$29=ProposalToGnatt[[#This Row],[Start Date]],Milestone_Marker,IF(AND(AU$29&gt;ProposalToGnatt[[#This Row],[Start Date]],AU$29&lt;ProposalToGnatt[[#This Row],[Start Date]]+ProposalToGnatt[[#This Row],[Days]]),$G$5,"")),"")</f>
        <v/>
      </c>
      <c r="AV35" s="37" t="str">
        <f ca="1">IFERROR(+IF(AV$29=ProposalToGnatt[[#This Row],[Start Date]],Milestone_Marker,IF(AND(AV$29&gt;ProposalToGnatt[[#This Row],[Start Date]],AV$29&lt;ProposalToGnatt[[#This Row],[Start Date]]+ProposalToGnatt[[#This Row],[Days]]),$G$5,"")),"")</f>
        <v/>
      </c>
      <c r="AW35" s="37" t="str">
        <f ca="1">IFERROR(+IF(AW$29=ProposalToGnatt[[#This Row],[Start Date]],Milestone_Marker,IF(AND(AW$29&gt;ProposalToGnatt[[#This Row],[Start Date]],AW$29&lt;ProposalToGnatt[[#This Row],[Start Date]]+ProposalToGnatt[[#This Row],[Days]]),$G$5,"")),"")</f>
        <v/>
      </c>
      <c r="AX35" s="37" t="str">
        <f ca="1">IFERROR(+IF(AX$29=ProposalToGnatt[[#This Row],[Start Date]],Milestone_Marker,IF(AND(AX$29&gt;ProposalToGnatt[[#This Row],[Start Date]],AX$29&lt;ProposalToGnatt[[#This Row],[Start Date]]+ProposalToGnatt[[#This Row],[Days]]),$G$5,"")),"")</f>
        <v/>
      </c>
      <c r="AY35" s="37" t="str">
        <f ca="1">IFERROR(+IF(AY$29=ProposalToGnatt[[#This Row],[Start Date]],Milestone_Marker,IF(AND(AY$29&gt;ProposalToGnatt[[#This Row],[Start Date]],AY$29&lt;ProposalToGnatt[[#This Row],[Start Date]]+ProposalToGnatt[[#This Row],[Days]]),$G$5,"")),"")</f>
        <v/>
      </c>
      <c r="AZ35" s="37" t="str">
        <f ca="1">IFERROR(+IF(AZ$29=ProposalToGnatt[[#This Row],[Start Date]],Milestone_Marker,IF(AND(AZ$29&gt;ProposalToGnatt[[#This Row],[Start Date]],AZ$29&lt;ProposalToGnatt[[#This Row],[Start Date]]+ProposalToGnatt[[#This Row],[Days]]),$G$5,"")),"")</f>
        <v/>
      </c>
      <c r="BA35" s="37" t="str">
        <f ca="1">IFERROR(+IF(BA$29=ProposalToGnatt[[#This Row],[Start Date]],Milestone_Marker,IF(AND(BA$29&gt;ProposalToGnatt[[#This Row],[Start Date]],BA$29&lt;ProposalToGnatt[[#This Row],[Start Date]]+ProposalToGnatt[[#This Row],[Days]]),$G$5,"")),"")</f>
        <v/>
      </c>
      <c r="BB35" s="37" t="str">
        <f ca="1">IFERROR(+IF(BB$29=ProposalToGnatt[[#This Row],[Start Date]],Milestone_Marker,IF(AND(BB$29&gt;ProposalToGnatt[[#This Row],[Start Date]],BB$29&lt;ProposalToGnatt[[#This Row],[Start Date]]+ProposalToGnatt[[#This Row],[Days]]),$G$5,"")),"")</f>
        <v/>
      </c>
      <c r="BC35" s="37" t="str">
        <f ca="1">IFERROR(+IF(BC$29=ProposalToGnatt[[#This Row],[Start Date]],Milestone_Marker,IF(AND(BC$29&gt;ProposalToGnatt[[#This Row],[Start Date]],BC$29&lt;ProposalToGnatt[[#This Row],[Start Date]]+ProposalToGnatt[[#This Row],[Days]]),$G$5,"")),"")</f>
        <v/>
      </c>
      <c r="BD35" s="37" t="str">
        <f ca="1">IFERROR(+IF(BD$29=ProposalToGnatt[[#This Row],[Start Date]],Milestone_Marker,IF(AND(BD$29&gt;ProposalToGnatt[[#This Row],[Start Date]],BD$29&lt;ProposalToGnatt[[#This Row],[Start Date]]+ProposalToGnatt[[#This Row],[Days]]),$G$5,"")),"")</f>
        <v/>
      </c>
      <c r="BE35" s="37" t="str">
        <f ca="1">IFERROR(+IF(BE$29=ProposalToGnatt[[#This Row],[Start Date]],Milestone_Marker,IF(AND(BE$29&gt;ProposalToGnatt[[#This Row],[Start Date]],BE$29&lt;ProposalToGnatt[[#This Row],[Start Date]]+ProposalToGnatt[[#This Row],[Days]]),$G$5,"")),"")</f>
        <v/>
      </c>
      <c r="BF35" s="37" t="str">
        <f ca="1">IFERROR(+IF(BF$29=ProposalToGnatt[[#This Row],[Start Date]],Milestone_Marker,IF(AND(BF$29&gt;ProposalToGnatt[[#This Row],[Start Date]],BF$29&lt;ProposalToGnatt[[#This Row],[Start Date]]+ProposalToGnatt[[#This Row],[Days]]),$G$5,"")),"")</f>
        <v/>
      </c>
      <c r="BG35" s="37" t="str">
        <f ca="1">IFERROR(+IF(BG$29=ProposalToGnatt[[#This Row],[Start Date]],Milestone_Marker,IF(AND(BG$29&gt;ProposalToGnatt[[#This Row],[Start Date]],BG$29&lt;ProposalToGnatt[[#This Row],[Start Date]]+ProposalToGnatt[[#This Row],[Days]]),$G$5,"")),"")</f>
        <v/>
      </c>
      <c r="BH35" s="37" t="str">
        <f ca="1">IFERROR(+IF(BH$29=ProposalToGnatt[[#This Row],[Start Date]],Milestone_Marker,IF(AND(BH$29&gt;ProposalToGnatt[[#This Row],[Start Date]],BH$29&lt;ProposalToGnatt[[#This Row],[Start Date]]+ProposalToGnatt[[#This Row],[Days]]),$G$5,"")),"")</f>
        <v/>
      </c>
      <c r="BI35" s="37" t="str">
        <f ca="1">IFERROR(+IF(BI$29=ProposalToGnatt[[#This Row],[Start Date]],Milestone_Marker,IF(AND(BI$29&gt;ProposalToGnatt[[#This Row],[Start Date]],BI$29&lt;ProposalToGnatt[[#This Row],[Start Date]]+ProposalToGnatt[[#This Row],[Days]]),$G$5,"")),"")</f>
        <v/>
      </c>
      <c r="BJ35" s="37" t="str">
        <f ca="1">IFERROR(+IF(BJ$29=ProposalToGnatt[[#This Row],[Start Date]],Milestone_Marker,IF(AND(BJ$29&gt;ProposalToGnatt[[#This Row],[Start Date]],BJ$29&lt;ProposalToGnatt[[#This Row],[Start Date]]+ProposalToGnatt[[#This Row],[Days]]),$G$5,"")),"")</f>
        <v/>
      </c>
      <c r="BK35" s="37" t="str">
        <f ca="1">IFERROR(+IF(BK$29=ProposalToGnatt[[#This Row],[Start Date]],Milestone_Marker,IF(AND(BK$29&gt;ProposalToGnatt[[#This Row],[Start Date]],BK$29&lt;ProposalToGnatt[[#This Row],[Start Date]]+ProposalToGnatt[[#This Row],[Days]]),$G$5,"")),"")</f>
        <v/>
      </c>
      <c r="BL35" s="37" t="str">
        <f ca="1">IFERROR(+IF(BL$29=ProposalToGnatt[[#This Row],[Start Date]],Milestone_Marker,IF(AND(BL$29&gt;ProposalToGnatt[[#This Row],[Start Date]],BL$29&lt;ProposalToGnatt[[#This Row],[Start Date]]+ProposalToGnatt[[#This Row],[Days]]),$G$5,"")),"")</f>
        <v/>
      </c>
      <c r="BM35" s="37" t="str">
        <f ca="1">IFERROR(+IF(BM$29=ProposalToGnatt[[#This Row],[Start Date]],Milestone_Marker,IF(AND(BM$29&gt;ProposalToGnatt[[#This Row],[Start Date]],BM$29&lt;ProposalToGnatt[[#This Row],[Start Date]]+ProposalToGnatt[[#This Row],[Days]]),$G$5,"")),"")</f>
        <v/>
      </c>
      <c r="BN35" s="37" t="str">
        <f ca="1">IFERROR(+IF(BN$29=ProposalToGnatt[[#This Row],[Start Date]],Milestone_Marker,IF(AND(BN$29&gt;ProposalToGnatt[[#This Row],[Start Date]],BN$29&lt;ProposalToGnatt[[#This Row],[Start Date]]+ProposalToGnatt[[#This Row],[Days]]),$G$5,"")),"")</f>
        <v/>
      </c>
      <c r="BO35" s="37" t="str">
        <f ca="1">IFERROR(+IF(BO$29=ProposalToGnatt[[#This Row],[Start Date]],Milestone_Marker,IF(AND(BO$29&gt;ProposalToGnatt[[#This Row],[Start Date]],BO$29&lt;ProposalToGnatt[[#This Row],[Start Date]]+ProposalToGnatt[[#This Row],[Days]]),$G$5,"")),"")</f>
        <v/>
      </c>
      <c r="BP35" s="37" t="str">
        <f ca="1">IFERROR(+IF(BP$29=ProposalToGnatt[[#This Row],[Start Date]],Milestone_Marker,IF(AND(BP$29&gt;ProposalToGnatt[[#This Row],[Start Date]],BP$29&lt;ProposalToGnatt[[#This Row],[Start Date]]+ProposalToGnatt[[#This Row],[Days]]),$G$5,"")),"")</f>
        <v/>
      </c>
      <c r="BQ35" s="37" t="str">
        <f ca="1">IFERROR(+IF(BQ$29=ProposalToGnatt[[#This Row],[Start Date]],Milestone_Marker,IF(AND(BQ$29&gt;ProposalToGnatt[[#This Row],[Start Date]],BQ$29&lt;ProposalToGnatt[[#This Row],[Start Date]]+ProposalToGnatt[[#This Row],[Days]]),$G$5,"")),"")</f>
        <v/>
      </c>
      <c r="BR35" s="37" t="str">
        <f ca="1">IFERROR(+IF(BR$29=ProposalToGnatt[[#This Row],[Start Date]],Milestone_Marker,IF(AND(BR$29&gt;ProposalToGnatt[[#This Row],[Start Date]],BR$29&lt;ProposalToGnatt[[#This Row],[Start Date]]+ProposalToGnatt[[#This Row],[Days]]),$G$5,"")),"")</f>
        <v/>
      </c>
      <c r="BS35" s="37" t="str">
        <f ca="1">IFERROR(+IF(BS$29=ProposalToGnatt[[#This Row],[Start Date]],Milestone_Marker,IF(AND(BS$29&gt;ProposalToGnatt[[#This Row],[Start Date]],BS$29&lt;ProposalToGnatt[[#This Row],[Start Date]]+ProposalToGnatt[[#This Row],[Days]]),$G$5,"")),"")</f>
        <v/>
      </c>
      <c r="BT35" s="37" t="str">
        <f ca="1">IFERROR(+IF(BT$29=ProposalToGnatt[[#This Row],[Start Date]],Milestone_Marker,IF(AND(BT$29&gt;ProposalToGnatt[[#This Row],[Start Date]],BT$29&lt;ProposalToGnatt[[#This Row],[Start Date]]+ProposalToGnatt[[#This Row],[Days]]),$G$5,"")),"")</f>
        <v/>
      </c>
      <c r="BU35" s="37" t="str">
        <f ca="1">IFERROR(+IF(BU$29=ProposalToGnatt[[#This Row],[Start Date]],Milestone_Marker,IF(AND(BU$29&gt;ProposalToGnatt[[#This Row],[Start Date]],BU$29&lt;ProposalToGnatt[[#This Row],[Start Date]]+ProposalToGnatt[[#This Row],[Days]]),$G$5,"")),"")</f>
        <v/>
      </c>
      <c r="BV35" s="37" t="str">
        <f ca="1">IFERROR(+IF(BV$29=ProposalToGnatt[[#This Row],[Start Date]],Milestone_Marker,IF(AND(BV$29&gt;ProposalToGnatt[[#This Row],[Start Date]],BV$29&lt;ProposalToGnatt[[#This Row],[Start Date]]+ProposalToGnatt[[#This Row],[Days]]),$G$5,"")),"")</f>
        <v/>
      </c>
      <c r="BW35" s="37" t="str">
        <f ca="1">IFERROR(+IF(BW$29=ProposalToGnatt[[#This Row],[Start Date]],Milestone_Marker,IF(AND(BW$29&gt;ProposalToGnatt[[#This Row],[Start Date]],BW$29&lt;ProposalToGnatt[[#This Row],[Start Date]]+ProposalToGnatt[[#This Row],[Days]]),$G$5,"")),"")</f>
        <v/>
      </c>
      <c r="BX35" s="37" t="str">
        <f ca="1">IFERROR(+IF(BX$29=ProposalToGnatt[[#This Row],[Start Date]],Milestone_Marker,IF(AND(BX$29&gt;ProposalToGnatt[[#This Row],[Start Date]],BX$29&lt;ProposalToGnatt[[#This Row],[Start Date]]+ProposalToGnatt[[#This Row],[Days]]),$G$5,"")),"")</f>
        <v/>
      </c>
      <c r="BY35" s="37" t="str">
        <f ca="1">IFERROR(+IF(BY$29=ProposalToGnatt[[#This Row],[Start Date]],Milestone_Marker,IF(AND(BY$29&gt;ProposalToGnatt[[#This Row],[Start Date]],BY$29&lt;ProposalToGnatt[[#This Row],[Start Date]]+ProposalToGnatt[[#This Row],[Days]]),$G$5,"")),"")</f>
        <v/>
      </c>
      <c r="BZ35" s="37" t="str">
        <f ca="1">IFERROR(+IF(BZ$29=ProposalToGnatt[[#This Row],[Start Date]],Milestone_Marker,IF(AND(BZ$29&gt;ProposalToGnatt[[#This Row],[Start Date]],BZ$29&lt;ProposalToGnatt[[#This Row],[Start Date]]+ProposalToGnatt[[#This Row],[Days]]),$G$5,"")),"")</f>
        <v/>
      </c>
      <c r="CA35" s="37" t="str">
        <f ca="1">IFERROR(+IF(CA$29=ProposalToGnatt[[#This Row],[Start Date]],Milestone_Marker,IF(AND(CA$29&gt;ProposalToGnatt[[#This Row],[Start Date]],CA$29&lt;ProposalToGnatt[[#This Row],[Start Date]]+ProposalToGnatt[[#This Row],[Days]]),$G$5,"")),"")</f>
        <v/>
      </c>
      <c r="CB35" s="37" t="str">
        <f ca="1">IFERROR(+IF(CB$29=ProposalToGnatt[[#This Row],[Start Date]],Milestone_Marker,IF(AND(CB$29&gt;ProposalToGnatt[[#This Row],[Start Date]],CB$29&lt;ProposalToGnatt[[#This Row],[Start Date]]+ProposalToGnatt[[#This Row],[Days]]),$G$5,"")),"")</f>
        <v/>
      </c>
      <c r="CC35" s="37" t="str">
        <f ca="1">IFERROR(+IF(CC$29=ProposalToGnatt[[#This Row],[Start Date]],Milestone_Marker,IF(AND(CC$29&gt;ProposalToGnatt[[#This Row],[Start Date]],CC$29&lt;ProposalToGnatt[[#This Row],[Start Date]]+ProposalToGnatt[[#This Row],[Days]]),$G$5,"")),"")</f>
        <v/>
      </c>
      <c r="CD35" s="37" t="str">
        <f ca="1">IFERROR(+IF(CD$29=ProposalToGnatt[[#This Row],[Start Date]],Milestone_Marker,IF(AND(CD$29&gt;ProposalToGnatt[[#This Row],[Start Date]],CD$29&lt;ProposalToGnatt[[#This Row],[Start Date]]+ProposalToGnatt[[#This Row],[Days]]),$G$5,"")),"")</f>
        <v/>
      </c>
      <c r="CE35" s="37" t="str">
        <f ca="1">IFERROR(+IF(CE$29=ProposalToGnatt[[#This Row],[Start Date]],Milestone_Marker,IF(AND(CE$29&gt;ProposalToGnatt[[#This Row],[Start Date]],CE$29&lt;ProposalToGnatt[[#This Row],[Start Date]]+ProposalToGnatt[[#This Row],[Days]]),$G$5,"")),"")</f>
        <v/>
      </c>
      <c r="CF35" s="37" t="str">
        <f ca="1">IFERROR(+IF(CF$29=ProposalToGnatt[[#This Row],[Start Date]],Milestone_Marker,IF(AND(CF$29&gt;ProposalToGnatt[[#This Row],[Start Date]],CF$29&lt;ProposalToGnatt[[#This Row],[Start Date]]+ProposalToGnatt[[#This Row],[Days]]),$G$5,"")),"")</f>
        <v/>
      </c>
      <c r="CG35" s="37" t="str">
        <f ca="1">IFERROR(+IF(CG$29=ProposalToGnatt[[#This Row],[Start Date]],Milestone_Marker,IF(AND(CG$29&gt;ProposalToGnatt[[#This Row],[Start Date]],CG$29&lt;ProposalToGnatt[[#This Row],[Start Date]]+ProposalToGnatt[[#This Row],[Days]]),$G$5,"")),"")</f>
        <v/>
      </c>
      <c r="CH35" s="37" t="str">
        <f ca="1">IFERROR(+IF(CH$29=ProposalToGnatt[[#This Row],[Start Date]],Milestone_Marker,IF(AND(CH$29&gt;ProposalToGnatt[[#This Row],[Start Date]],CH$29&lt;ProposalToGnatt[[#This Row],[Start Date]]+ProposalToGnatt[[#This Row],[Days]]),$G$5,"")),"")</f>
        <v/>
      </c>
      <c r="CI35" s="37" t="str">
        <f ca="1">IFERROR(+IF(CI$29=ProposalToGnatt[[#This Row],[Start Date]],Milestone_Marker,IF(AND(CI$29&gt;ProposalToGnatt[[#This Row],[Start Date]],CI$29&lt;ProposalToGnatt[[#This Row],[Start Date]]+ProposalToGnatt[[#This Row],[Days]]),$G$5,"")),"")</f>
        <v/>
      </c>
      <c r="CJ35" s="37" t="str">
        <f ca="1">IFERROR(+IF(CJ$29=ProposalToGnatt[[#This Row],[Start Date]],Milestone_Marker,IF(AND(CJ$29&gt;ProposalToGnatt[[#This Row],[Start Date]],CJ$29&lt;ProposalToGnatt[[#This Row],[Start Date]]+ProposalToGnatt[[#This Row],[Days]]),$G$5,"")),"")</f>
        <v/>
      </c>
      <c r="CK35" s="37" t="str">
        <f ca="1">IFERROR(+IF(CK$29=ProposalToGnatt[[#This Row],[Start Date]],Milestone_Marker,IF(AND(CK$29&gt;ProposalToGnatt[[#This Row],[Start Date]],CK$29&lt;ProposalToGnatt[[#This Row],[Start Date]]+ProposalToGnatt[[#This Row],[Days]]),$G$5,"")),"")</f>
        <v/>
      </c>
      <c r="CL35" s="37" t="str">
        <f ca="1">IFERROR(+IF(CL$29=ProposalToGnatt[[#This Row],[Start Date]],Milestone_Marker,IF(AND(CL$29&gt;ProposalToGnatt[[#This Row],[Start Date]],CL$29&lt;ProposalToGnatt[[#This Row],[Start Date]]+ProposalToGnatt[[#This Row],[Days]]),$G$5,"")),"")</f>
        <v/>
      </c>
      <c r="CM35" s="37" t="str">
        <f ca="1">IFERROR(+IF(CM$29=ProposalToGnatt[[#This Row],[Start Date]],Milestone_Marker,IF(AND(CM$29&gt;ProposalToGnatt[[#This Row],[Start Date]],CM$29&lt;ProposalToGnatt[[#This Row],[Start Date]]+ProposalToGnatt[[#This Row],[Days]]),$G$5,"")),"")</f>
        <v/>
      </c>
      <c r="CN35" s="37" t="str">
        <f ca="1">IFERROR(+IF(CN$29=ProposalToGnatt[[#This Row],[Start Date]],Milestone_Marker,IF(AND(CN$29&gt;ProposalToGnatt[[#This Row],[Start Date]],CN$29&lt;ProposalToGnatt[[#This Row],[Start Date]]+ProposalToGnatt[[#This Row],[Days]]),$G$5,"")),"")</f>
        <v/>
      </c>
      <c r="CO35" s="37" t="str">
        <f ca="1">IFERROR(+IF(CO$29=ProposalToGnatt[[#This Row],[Start Date]],Milestone_Marker,IF(AND(CO$29&gt;ProposalToGnatt[[#This Row],[Start Date]],CO$29&lt;ProposalToGnatt[[#This Row],[Start Date]]+ProposalToGnatt[[#This Row],[Days]]),$G$5,"")),"")</f>
        <v/>
      </c>
      <c r="CP35" s="37" t="str">
        <f ca="1">IFERROR(+IF(CP$29=ProposalToGnatt[[#This Row],[Start Date]],Milestone_Marker,IF(AND(CP$29&gt;ProposalToGnatt[[#This Row],[Start Date]],CP$29&lt;ProposalToGnatt[[#This Row],[Start Date]]+ProposalToGnatt[[#This Row],[Days]]),$G$5,"")),"")</f>
        <v/>
      </c>
      <c r="CQ35" s="37" t="str">
        <f ca="1">IFERROR(+IF(CQ$29=ProposalToGnatt[[#This Row],[Start Date]],Milestone_Marker,IF(AND(CQ$29&gt;ProposalToGnatt[[#This Row],[Start Date]],CQ$29&lt;ProposalToGnatt[[#This Row],[Start Date]]+ProposalToGnatt[[#This Row],[Days]]),$G$5,"")),"")</f>
        <v/>
      </c>
      <c r="CR35" s="37" t="str">
        <f ca="1">IFERROR(+IF(CR$29=ProposalToGnatt[[#This Row],[Start Date]],Milestone_Marker,IF(AND(CR$29&gt;ProposalToGnatt[[#This Row],[Start Date]],CR$29&lt;ProposalToGnatt[[#This Row],[Start Date]]+ProposalToGnatt[[#This Row],[Days]]),$G$5,"")),"")</f>
        <v/>
      </c>
      <c r="CS35" s="37" t="str">
        <f ca="1">IFERROR(+IF(CS$29=ProposalToGnatt[[#This Row],[Start Date]],Milestone_Marker,IF(AND(CS$29&gt;ProposalToGnatt[[#This Row],[Start Date]],CS$29&lt;ProposalToGnatt[[#This Row],[Start Date]]+ProposalToGnatt[[#This Row],[Days]]),$G$5,"")),"")</f>
        <v/>
      </c>
      <c r="CT35" s="37" t="str">
        <f ca="1">IFERROR(+IF(CT$29=ProposalToGnatt[[#This Row],[Start Date]],Milestone_Marker,IF(AND(CT$29&gt;ProposalToGnatt[[#This Row],[Start Date]],CT$29&lt;ProposalToGnatt[[#This Row],[Start Date]]+ProposalToGnatt[[#This Row],[Days]]),$G$5,"")),"")</f>
        <v/>
      </c>
      <c r="CU35" s="37" t="str">
        <f ca="1">IFERROR(+IF(CU$29=ProposalToGnatt[[#This Row],[Start Date]],Milestone_Marker,IF(AND(CU$29&gt;ProposalToGnatt[[#This Row],[Start Date]],CU$29&lt;ProposalToGnatt[[#This Row],[Start Date]]+ProposalToGnatt[[#This Row],[Days]]),$G$5,"")),"")</f>
        <v/>
      </c>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37"/>
      <c r="DU35" s="37"/>
    </row>
    <row r="36" spans="1:125" s="42" customFormat="1" ht="20.100000000000001" customHeight="1">
      <c r="A36" t="s">
        <v>449</v>
      </c>
      <c r="B36">
        <v>7</v>
      </c>
      <c r="C36" t="s">
        <v>308</v>
      </c>
      <c r="D36" t="s">
        <v>374</v>
      </c>
      <c r="E36" t="s">
        <v>376</v>
      </c>
      <c r="F36">
        <v>0</v>
      </c>
      <c r="G36" s="11">
        <v>200</v>
      </c>
      <c r="H36" s="26">
        <v>0</v>
      </c>
      <c r="I36"/>
      <c r="J36"/>
      <c r="K36" s="402"/>
      <c r="L36"/>
      <c r="M36"/>
      <c r="N36"/>
      <c r="O36" s="26"/>
      <c r="P36" s="37">
        <f ca="1">IFERROR(+IF(P$29=ProposalToGnatt[[#This Row],[Start Date]],Milestone_Marker,IF(AND(P$29&gt;ProposalToGnatt[[#This Row],[Start Date]],P$29&lt;ProposalToGnatt[[#This Row],[Start Date]]+ProposalToGnatt[[#This Row],[Days]]),$G$5,"")),"")</f>
        <v>1</v>
      </c>
      <c r="Q36" s="37" t="str">
        <f ca="1">IFERROR(+IF(Q$29=ProposalToGnatt[[#This Row],[Start Date]],Milestone_Marker,IF(AND(Q$29&gt;ProposalToGnatt[[#This Row],[Start Date]],Q$29&lt;ProposalToGnatt[[#This Row],[Start Date]]+ProposalToGnatt[[#This Row],[Days]]),$G$5,"")),"")</f>
        <v/>
      </c>
      <c r="R36" s="37" t="str">
        <f ca="1">IFERROR(+IF(R$29=ProposalToGnatt[[#This Row],[Start Date]],Milestone_Marker,IF(AND(R$29&gt;ProposalToGnatt[[#This Row],[Start Date]],R$29&lt;ProposalToGnatt[[#This Row],[Start Date]]+ProposalToGnatt[[#This Row],[Days]]),$G$5,"")),"")</f>
        <v/>
      </c>
      <c r="S36" s="37" t="str">
        <f ca="1">IFERROR(+IF(S$29=ProposalToGnatt[[#This Row],[Start Date]],Milestone_Marker,IF(AND(S$29&gt;ProposalToGnatt[[#This Row],[Start Date]],S$29&lt;ProposalToGnatt[[#This Row],[Start Date]]+ProposalToGnatt[[#This Row],[Days]]),$G$5,"")),"")</f>
        <v/>
      </c>
      <c r="T36" s="37" t="str">
        <f ca="1">IFERROR(+IF(T$29=ProposalToGnatt[[#This Row],[Start Date]],Milestone_Marker,IF(AND(T$29&gt;ProposalToGnatt[[#This Row],[Start Date]],T$29&lt;ProposalToGnatt[[#This Row],[Start Date]]+ProposalToGnatt[[#This Row],[Days]]),$G$5,"")),"")</f>
        <v/>
      </c>
      <c r="U36" s="37" t="str">
        <f ca="1">IFERROR(+IF(U$29=ProposalToGnatt[[#This Row],[Start Date]],Milestone_Marker,IF(AND(U$29&gt;ProposalToGnatt[[#This Row],[Start Date]],U$29&lt;ProposalToGnatt[[#This Row],[Start Date]]+ProposalToGnatt[[#This Row],[Days]]),$G$5,"")),"")</f>
        <v/>
      </c>
      <c r="V36" s="37" t="str">
        <f ca="1">IFERROR(+IF(V$29=ProposalToGnatt[[#This Row],[Start Date]],Milestone_Marker,IF(AND(V$29&gt;ProposalToGnatt[[#This Row],[Start Date]],V$29&lt;ProposalToGnatt[[#This Row],[Start Date]]+ProposalToGnatt[[#This Row],[Days]]),$G$5,"")),"")</f>
        <v/>
      </c>
      <c r="W36" s="37" t="str">
        <f ca="1">IFERROR(+IF(W$29=ProposalToGnatt[[#This Row],[Start Date]],Milestone_Marker,IF(AND(W$29&gt;ProposalToGnatt[[#This Row],[Start Date]],W$29&lt;ProposalToGnatt[[#This Row],[Start Date]]+ProposalToGnatt[[#This Row],[Days]]),$G$5,"")),"")</f>
        <v/>
      </c>
      <c r="X36" s="37" t="str">
        <f ca="1">IFERROR(+IF(X$29=ProposalToGnatt[[#This Row],[Start Date]],Milestone_Marker,IF(AND(X$29&gt;ProposalToGnatt[[#This Row],[Start Date]],X$29&lt;ProposalToGnatt[[#This Row],[Start Date]]+ProposalToGnatt[[#This Row],[Days]]),$G$5,"")),"")</f>
        <v/>
      </c>
      <c r="Y36" s="37" t="str">
        <f ca="1">IFERROR(+IF(Y$29=ProposalToGnatt[[#This Row],[Start Date]],Milestone_Marker,IF(AND(Y$29&gt;ProposalToGnatt[[#This Row],[Start Date]],Y$29&lt;ProposalToGnatt[[#This Row],[Start Date]]+ProposalToGnatt[[#This Row],[Days]]),$G$5,"")),"")</f>
        <v/>
      </c>
      <c r="Z36" s="37" t="str">
        <f ca="1">IFERROR(+IF(Z$29=ProposalToGnatt[[#This Row],[Start Date]],Milestone_Marker,IF(AND(Z$29&gt;ProposalToGnatt[[#This Row],[Start Date]],Z$29&lt;ProposalToGnatt[[#This Row],[Start Date]]+ProposalToGnatt[[#This Row],[Days]]),$G$5,"")),"")</f>
        <v/>
      </c>
      <c r="AA36" s="37" t="str">
        <f ca="1">IFERROR(+IF(AA$29=ProposalToGnatt[[#This Row],[Start Date]],Milestone_Marker,IF(AND(AA$29&gt;ProposalToGnatt[[#This Row],[Start Date]],AA$29&lt;ProposalToGnatt[[#This Row],[Start Date]]+ProposalToGnatt[[#This Row],[Days]]),$G$5,"")),"")</f>
        <v/>
      </c>
      <c r="AB36" s="37" t="str">
        <f ca="1">IFERROR(+IF(AB$29=ProposalToGnatt[[#This Row],[Start Date]],Milestone_Marker,IF(AND(AB$29&gt;ProposalToGnatt[[#This Row],[Start Date]],AB$29&lt;ProposalToGnatt[[#This Row],[Start Date]]+ProposalToGnatt[[#This Row],[Days]]),$G$5,"")),"")</f>
        <v/>
      </c>
      <c r="AC36" s="37" t="str">
        <f ca="1">IFERROR(+IF(AC$29=ProposalToGnatt[[#This Row],[Start Date]],Milestone_Marker,IF(AND(AC$29&gt;ProposalToGnatt[[#This Row],[Start Date]],AC$29&lt;ProposalToGnatt[[#This Row],[Start Date]]+ProposalToGnatt[[#This Row],[Days]]),$G$5,"")),"")</f>
        <v/>
      </c>
      <c r="AD36" s="37" t="str">
        <f ca="1">IFERROR(+IF(AD$29=ProposalToGnatt[[#This Row],[Start Date]],Milestone_Marker,IF(AND(AD$29&gt;ProposalToGnatt[[#This Row],[Start Date]],AD$29&lt;ProposalToGnatt[[#This Row],[Start Date]]+ProposalToGnatt[[#This Row],[Days]]),$G$5,"")),"")</f>
        <v/>
      </c>
      <c r="AE36" s="37" t="str">
        <f ca="1">IFERROR(+IF(AE$29=ProposalToGnatt[[#This Row],[Start Date]],Milestone_Marker,IF(AND(AE$29&gt;ProposalToGnatt[[#This Row],[Start Date]],AE$29&lt;ProposalToGnatt[[#This Row],[Start Date]]+ProposalToGnatt[[#This Row],[Days]]),$G$5,"")),"")</f>
        <v/>
      </c>
      <c r="AF36" s="37" t="str">
        <f ca="1">IFERROR(+IF(AF$29=ProposalToGnatt[[#This Row],[Start Date]],Milestone_Marker,IF(AND(AF$29&gt;ProposalToGnatt[[#This Row],[Start Date]],AF$29&lt;ProposalToGnatt[[#This Row],[Start Date]]+ProposalToGnatt[[#This Row],[Days]]),$G$5,"")),"")</f>
        <v/>
      </c>
      <c r="AG36" s="37" t="str">
        <f ca="1">IFERROR(+IF(AG$29=ProposalToGnatt[[#This Row],[Start Date]],Milestone_Marker,IF(AND(AG$29&gt;ProposalToGnatt[[#This Row],[Start Date]],AG$29&lt;ProposalToGnatt[[#This Row],[Start Date]]+ProposalToGnatt[[#This Row],[Days]]),$G$5,"")),"")</f>
        <v/>
      </c>
      <c r="AH36" s="37" t="str">
        <f ca="1">IFERROR(+IF(AH$29=ProposalToGnatt[[#This Row],[Start Date]],Milestone_Marker,IF(AND(AH$29&gt;ProposalToGnatt[[#This Row],[Start Date]],AH$29&lt;ProposalToGnatt[[#This Row],[Start Date]]+ProposalToGnatt[[#This Row],[Days]]),$G$5,"")),"")</f>
        <v/>
      </c>
      <c r="AI36" s="37" t="str">
        <f ca="1">IFERROR(+IF(AI$29=ProposalToGnatt[[#This Row],[Start Date]],Milestone_Marker,IF(AND(AI$29&gt;ProposalToGnatt[[#This Row],[Start Date]],AI$29&lt;ProposalToGnatt[[#This Row],[Start Date]]+ProposalToGnatt[[#This Row],[Days]]),$G$5,"")),"")</f>
        <v/>
      </c>
      <c r="AJ36" s="37" t="str">
        <f ca="1">IFERROR(+IF(AJ$29=ProposalToGnatt[[#This Row],[Start Date]],Milestone_Marker,IF(AND(AJ$29&gt;ProposalToGnatt[[#This Row],[Start Date]],AJ$29&lt;ProposalToGnatt[[#This Row],[Start Date]]+ProposalToGnatt[[#This Row],[Days]]),$G$5,"")),"")</f>
        <v/>
      </c>
      <c r="AK36" s="37" t="str">
        <f ca="1">IFERROR(+IF(AK$29=ProposalToGnatt[[#This Row],[Start Date]],Milestone_Marker,IF(AND(AK$29&gt;ProposalToGnatt[[#This Row],[Start Date]],AK$29&lt;ProposalToGnatt[[#This Row],[Start Date]]+ProposalToGnatt[[#This Row],[Days]]),$G$5,"")),"")</f>
        <v/>
      </c>
      <c r="AL36" s="37" t="str">
        <f ca="1">IFERROR(+IF(AL$29=ProposalToGnatt[[#This Row],[Start Date]],Milestone_Marker,IF(AND(AL$29&gt;ProposalToGnatt[[#This Row],[Start Date]],AL$29&lt;ProposalToGnatt[[#This Row],[Start Date]]+ProposalToGnatt[[#This Row],[Days]]),$G$5,"")),"")</f>
        <v/>
      </c>
      <c r="AM36" s="37" t="str">
        <f ca="1">IFERROR(+IF(AM$29=ProposalToGnatt[[#This Row],[Start Date]],Milestone_Marker,IF(AND(AM$29&gt;ProposalToGnatt[[#This Row],[Start Date]],AM$29&lt;ProposalToGnatt[[#This Row],[Start Date]]+ProposalToGnatt[[#This Row],[Days]]),$G$5,"")),"")</f>
        <v/>
      </c>
      <c r="AN36" s="37" t="str">
        <f ca="1">IFERROR(+IF(AN$29=ProposalToGnatt[[#This Row],[Start Date]],Milestone_Marker,IF(AND(AN$29&gt;ProposalToGnatt[[#This Row],[Start Date]],AN$29&lt;ProposalToGnatt[[#This Row],[Start Date]]+ProposalToGnatt[[#This Row],[Days]]),$G$5,"")),"")</f>
        <v/>
      </c>
      <c r="AO36" s="37" t="str">
        <f ca="1">IFERROR(+IF(AO$29=ProposalToGnatt[[#This Row],[Start Date]],Milestone_Marker,IF(AND(AO$29&gt;ProposalToGnatt[[#This Row],[Start Date]],AO$29&lt;ProposalToGnatt[[#This Row],[Start Date]]+ProposalToGnatt[[#This Row],[Days]]),$G$5,"")),"")</f>
        <v/>
      </c>
      <c r="AP36" s="37" t="str">
        <f ca="1">IFERROR(+IF(AP$29=ProposalToGnatt[[#This Row],[Start Date]],Milestone_Marker,IF(AND(AP$29&gt;ProposalToGnatt[[#This Row],[Start Date]],AP$29&lt;ProposalToGnatt[[#This Row],[Start Date]]+ProposalToGnatt[[#This Row],[Days]]),$G$5,"")),"")</f>
        <v/>
      </c>
      <c r="AQ36" s="37" t="str">
        <f ca="1">IFERROR(+IF(AQ$29=ProposalToGnatt[[#This Row],[Start Date]],Milestone_Marker,IF(AND(AQ$29&gt;ProposalToGnatt[[#This Row],[Start Date]],AQ$29&lt;ProposalToGnatt[[#This Row],[Start Date]]+ProposalToGnatt[[#This Row],[Days]]),$G$5,"")),"")</f>
        <v/>
      </c>
      <c r="AR36" s="37" t="str">
        <f ca="1">IFERROR(+IF(AR$29=ProposalToGnatt[[#This Row],[Start Date]],Milestone_Marker,IF(AND(AR$29&gt;ProposalToGnatt[[#This Row],[Start Date]],AR$29&lt;ProposalToGnatt[[#This Row],[Start Date]]+ProposalToGnatt[[#This Row],[Days]]),$G$5,"")),"")</f>
        <v/>
      </c>
      <c r="AS36" s="37" t="str">
        <f ca="1">IFERROR(+IF(AS$29=ProposalToGnatt[[#This Row],[Start Date]],Milestone_Marker,IF(AND(AS$29&gt;ProposalToGnatt[[#This Row],[Start Date]],AS$29&lt;ProposalToGnatt[[#This Row],[Start Date]]+ProposalToGnatt[[#This Row],[Days]]),$G$5,"")),"")</f>
        <v/>
      </c>
      <c r="AT36" s="37" t="str">
        <f ca="1">IFERROR(+IF(AT$29=ProposalToGnatt[[#This Row],[Start Date]],Milestone_Marker,IF(AND(AT$29&gt;ProposalToGnatt[[#This Row],[Start Date]],AT$29&lt;ProposalToGnatt[[#This Row],[Start Date]]+ProposalToGnatt[[#This Row],[Days]]),$G$5,"")),"")</f>
        <v/>
      </c>
      <c r="AU36" s="37" t="str">
        <f ca="1">IFERROR(+IF(AU$29=ProposalToGnatt[[#This Row],[Start Date]],Milestone_Marker,IF(AND(AU$29&gt;ProposalToGnatt[[#This Row],[Start Date]],AU$29&lt;ProposalToGnatt[[#This Row],[Start Date]]+ProposalToGnatt[[#This Row],[Days]]),$G$5,"")),"")</f>
        <v/>
      </c>
      <c r="AV36" s="37" t="str">
        <f ca="1">IFERROR(+IF(AV$29=ProposalToGnatt[[#This Row],[Start Date]],Milestone_Marker,IF(AND(AV$29&gt;ProposalToGnatt[[#This Row],[Start Date]],AV$29&lt;ProposalToGnatt[[#This Row],[Start Date]]+ProposalToGnatt[[#This Row],[Days]]),$G$5,"")),"")</f>
        <v/>
      </c>
      <c r="AW36" s="37" t="str">
        <f ca="1">IFERROR(+IF(AW$29=ProposalToGnatt[[#This Row],[Start Date]],Milestone_Marker,IF(AND(AW$29&gt;ProposalToGnatt[[#This Row],[Start Date]],AW$29&lt;ProposalToGnatt[[#This Row],[Start Date]]+ProposalToGnatt[[#This Row],[Days]]),$G$5,"")),"")</f>
        <v/>
      </c>
      <c r="AX36" s="37" t="str">
        <f ca="1">IFERROR(+IF(AX$29=ProposalToGnatt[[#This Row],[Start Date]],Milestone_Marker,IF(AND(AX$29&gt;ProposalToGnatt[[#This Row],[Start Date]],AX$29&lt;ProposalToGnatt[[#This Row],[Start Date]]+ProposalToGnatt[[#This Row],[Days]]),$G$5,"")),"")</f>
        <v/>
      </c>
      <c r="AY36" s="37" t="str">
        <f ca="1">IFERROR(+IF(AY$29=ProposalToGnatt[[#This Row],[Start Date]],Milestone_Marker,IF(AND(AY$29&gt;ProposalToGnatt[[#This Row],[Start Date]],AY$29&lt;ProposalToGnatt[[#This Row],[Start Date]]+ProposalToGnatt[[#This Row],[Days]]),$G$5,"")),"")</f>
        <v/>
      </c>
      <c r="AZ36" s="37" t="str">
        <f ca="1">IFERROR(+IF(AZ$29=ProposalToGnatt[[#This Row],[Start Date]],Milestone_Marker,IF(AND(AZ$29&gt;ProposalToGnatt[[#This Row],[Start Date]],AZ$29&lt;ProposalToGnatt[[#This Row],[Start Date]]+ProposalToGnatt[[#This Row],[Days]]),$G$5,"")),"")</f>
        <v/>
      </c>
      <c r="BA36" s="37" t="str">
        <f ca="1">IFERROR(+IF(BA$29=ProposalToGnatt[[#This Row],[Start Date]],Milestone_Marker,IF(AND(BA$29&gt;ProposalToGnatt[[#This Row],[Start Date]],BA$29&lt;ProposalToGnatt[[#This Row],[Start Date]]+ProposalToGnatt[[#This Row],[Days]]),$G$5,"")),"")</f>
        <v/>
      </c>
      <c r="BB36" s="37" t="str">
        <f ca="1">IFERROR(+IF(BB$29=ProposalToGnatt[[#This Row],[Start Date]],Milestone_Marker,IF(AND(BB$29&gt;ProposalToGnatt[[#This Row],[Start Date]],BB$29&lt;ProposalToGnatt[[#This Row],[Start Date]]+ProposalToGnatt[[#This Row],[Days]]),$G$5,"")),"")</f>
        <v/>
      </c>
      <c r="BC36" s="37" t="str">
        <f ca="1">IFERROR(+IF(BC$29=ProposalToGnatt[[#This Row],[Start Date]],Milestone_Marker,IF(AND(BC$29&gt;ProposalToGnatt[[#This Row],[Start Date]],BC$29&lt;ProposalToGnatt[[#This Row],[Start Date]]+ProposalToGnatt[[#This Row],[Days]]),$G$5,"")),"")</f>
        <v/>
      </c>
      <c r="BD36" s="37" t="str">
        <f ca="1">IFERROR(+IF(BD$29=ProposalToGnatt[[#This Row],[Start Date]],Milestone_Marker,IF(AND(BD$29&gt;ProposalToGnatt[[#This Row],[Start Date]],BD$29&lt;ProposalToGnatt[[#This Row],[Start Date]]+ProposalToGnatt[[#This Row],[Days]]),$G$5,"")),"")</f>
        <v/>
      </c>
      <c r="BE36" s="37" t="str">
        <f ca="1">IFERROR(+IF(BE$29=ProposalToGnatt[[#This Row],[Start Date]],Milestone_Marker,IF(AND(BE$29&gt;ProposalToGnatt[[#This Row],[Start Date]],BE$29&lt;ProposalToGnatt[[#This Row],[Start Date]]+ProposalToGnatt[[#This Row],[Days]]),$G$5,"")),"")</f>
        <v/>
      </c>
      <c r="BF36" s="37" t="str">
        <f ca="1">IFERROR(+IF(BF$29=ProposalToGnatt[[#This Row],[Start Date]],Milestone_Marker,IF(AND(BF$29&gt;ProposalToGnatt[[#This Row],[Start Date]],BF$29&lt;ProposalToGnatt[[#This Row],[Start Date]]+ProposalToGnatt[[#This Row],[Days]]),$G$5,"")),"")</f>
        <v/>
      </c>
      <c r="BG36" s="37" t="str">
        <f ca="1">IFERROR(+IF(BG$29=ProposalToGnatt[[#This Row],[Start Date]],Milestone_Marker,IF(AND(BG$29&gt;ProposalToGnatt[[#This Row],[Start Date]],BG$29&lt;ProposalToGnatt[[#This Row],[Start Date]]+ProposalToGnatt[[#This Row],[Days]]),$G$5,"")),"")</f>
        <v/>
      </c>
      <c r="BH36" s="37" t="str">
        <f ca="1">IFERROR(+IF(BH$29=ProposalToGnatt[[#This Row],[Start Date]],Milestone_Marker,IF(AND(BH$29&gt;ProposalToGnatt[[#This Row],[Start Date]],BH$29&lt;ProposalToGnatt[[#This Row],[Start Date]]+ProposalToGnatt[[#This Row],[Days]]),$G$5,"")),"")</f>
        <v/>
      </c>
      <c r="BI36" s="37" t="str">
        <f ca="1">IFERROR(+IF(BI$29=ProposalToGnatt[[#This Row],[Start Date]],Milestone_Marker,IF(AND(BI$29&gt;ProposalToGnatt[[#This Row],[Start Date]],BI$29&lt;ProposalToGnatt[[#This Row],[Start Date]]+ProposalToGnatt[[#This Row],[Days]]),$G$5,"")),"")</f>
        <v/>
      </c>
      <c r="BJ36" s="37" t="str">
        <f ca="1">IFERROR(+IF(BJ$29=ProposalToGnatt[[#This Row],[Start Date]],Milestone_Marker,IF(AND(BJ$29&gt;ProposalToGnatt[[#This Row],[Start Date]],BJ$29&lt;ProposalToGnatt[[#This Row],[Start Date]]+ProposalToGnatt[[#This Row],[Days]]),$G$5,"")),"")</f>
        <v/>
      </c>
      <c r="BK36" s="37" t="str">
        <f ca="1">IFERROR(+IF(BK$29=ProposalToGnatt[[#This Row],[Start Date]],Milestone_Marker,IF(AND(BK$29&gt;ProposalToGnatt[[#This Row],[Start Date]],BK$29&lt;ProposalToGnatt[[#This Row],[Start Date]]+ProposalToGnatt[[#This Row],[Days]]),$G$5,"")),"")</f>
        <v/>
      </c>
      <c r="BL36" s="37" t="str">
        <f ca="1">IFERROR(+IF(BL$29=ProposalToGnatt[[#This Row],[Start Date]],Milestone_Marker,IF(AND(BL$29&gt;ProposalToGnatt[[#This Row],[Start Date]],BL$29&lt;ProposalToGnatt[[#This Row],[Start Date]]+ProposalToGnatt[[#This Row],[Days]]),$G$5,"")),"")</f>
        <v/>
      </c>
      <c r="BM36" s="37" t="str">
        <f ca="1">IFERROR(+IF(BM$29=ProposalToGnatt[[#This Row],[Start Date]],Milestone_Marker,IF(AND(BM$29&gt;ProposalToGnatt[[#This Row],[Start Date]],BM$29&lt;ProposalToGnatt[[#This Row],[Start Date]]+ProposalToGnatt[[#This Row],[Days]]),$G$5,"")),"")</f>
        <v/>
      </c>
      <c r="BN36" s="37" t="str">
        <f ca="1">IFERROR(+IF(BN$29=ProposalToGnatt[[#This Row],[Start Date]],Milestone_Marker,IF(AND(BN$29&gt;ProposalToGnatt[[#This Row],[Start Date]],BN$29&lt;ProposalToGnatt[[#This Row],[Start Date]]+ProposalToGnatt[[#This Row],[Days]]),$G$5,"")),"")</f>
        <v/>
      </c>
      <c r="BO36" s="37" t="str">
        <f ca="1">IFERROR(+IF(BO$29=ProposalToGnatt[[#This Row],[Start Date]],Milestone_Marker,IF(AND(BO$29&gt;ProposalToGnatt[[#This Row],[Start Date]],BO$29&lt;ProposalToGnatt[[#This Row],[Start Date]]+ProposalToGnatt[[#This Row],[Days]]),$G$5,"")),"")</f>
        <v/>
      </c>
      <c r="BP36" s="37" t="str">
        <f ca="1">IFERROR(+IF(BP$29=ProposalToGnatt[[#This Row],[Start Date]],Milestone_Marker,IF(AND(BP$29&gt;ProposalToGnatt[[#This Row],[Start Date]],BP$29&lt;ProposalToGnatt[[#This Row],[Start Date]]+ProposalToGnatt[[#This Row],[Days]]),$G$5,"")),"")</f>
        <v/>
      </c>
      <c r="BQ36" s="37" t="str">
        <f ca="1">IFERROR(+IF(BQ$29=ProposalToGnatt[[#This Row],[Start Date]],Milestone_Marker,IF(AND(BQ$29&gt;ProposalToGnatt[[#This Row],[Start Date]],BQ$29&lt;ProposalToGnatt[[#This Row],[Start Date]]+ProposalToGnatt[[#This Row],[Days]]),$G$5,"")),"")</f>
        <v/>
      </c>
      <c r="BR36" s="37" t="str">
        <f ca="1">IFERROR(+IF(BR$29=ProposalToGnatt[[#This Row],[Start Date]],Milestone_Marker,IF(AND(BR$29&gt;ProposalToGnatt[[#This Row],[Start Date]],BR$29&lt;ProposalToGnatt[[#This Row],[Start Date]]+ProposalToGnatt[[#This Row],[Days]]),$G$5,"")),"")</f>
        <v/>
      </c>
      <c r="BS36" s="37" t="str">
        <f ca="1">IFERROR(+IF(BS$29=ProposalToGnatt[[#This Row],[Start Date]],Milestone_Marker,IF(AND(BS$29&gt;ProposalToGnatt[[#This Row],[Start Date]],BS$29&lt;ProposalToGnatt[[#This Row],[Start Date]]+ProposalToGnatt[[#This Row],[Days]]),$G$5,"")),"")</f>
        <v/>
      </c>
      <c r="BT36" s="37" t="str">
        <f ca="1">IFERROR(+IF(BT$29=ProposalToGnatt[[#This Row],[Start Date]],Milestone_Marker,IF(AND(BT$29&gt;ProposalToGnatt[[#This Row],[Start Date]],BT$29&lt;ProposalToGnatt[[#This Row],[Start Date]]+ProposalToGnatt[[#This Row],[Days]]),$G$5,"")),"")</f>
        <v/>
      </c>
      <c r="BU36" s="37" t="str">
        <f ca="1">IFERROR(+IF(BU$29=ProposalToGnatt[[#This Row],[Start Date]],Milestone_Marker,IF(AND(BU$29&gt;ProposalToGnatt[[#This Row],[Start Date]],BU$29&lt;ProposalToGnatt[[#This Row],[Start Date]]+ProposalToGnatt[[#This Row],[Days]]),$G$5,"")),"")</f>
        <v/>
      </c>
      <c r="BV36" s="37" t="str">
        <f ca="1">IFERROR(+IF(BV$29=ProposalToGnatt[[#This Row],[Start Date]],Milestone_Marker,IF(AND(BV$29&gt;ProposalToGnatt[[#This Row],[Start Date]],BV$29&lt;ProposalToGnatt[[#This Row],[Start Date]]+ProposalToGnatt[[#This Row],[Days]]),$G$5,"")),"")</f>
        <v/>
      </c>
      <c r="BW36" s="37" t="str">
        <f ca="1">IFERROR(+IF(BW$29=ProposalToGnatt[[#This Row],[Start Date]],Milestone_Marker,IF(AND(BW$29&gt;ProposalToGnatt[[#This Row],[Start Date]],BW$29&lt;ProposalToGnatt[[#This Row],[Start Date]]+ProposalToGnatt[[#This Row],[Days]]),$G$5,"")),"")</f>
        <v/>
      </c>
      <c r="BX36" s="37" t="str">
        <f ca="1">IFERROR(+IF(BX$29=ProposalToGnatt[[#This Row],[Start Date]],Milestone_Marker,IF(AND(BX$29&gt;ProposalToGnatt[[#This Row],[Start Date]],BX$29&lt;ProposalToGnatt[[#This Row],[Start Date]]+ProposalToGnatt[[#This Row],[Days]]),$G$5,"")),"")</f>
        <v/>
      </c>
      <c r="BY36" s="37" t="str">
        <f ca="1">IFERROR(+IF(BY$29=ProposalToGnatt[[#This Row],[Start Date]],Milestone_Marker,IF(AND(BY$29&gt;ProposalToGnatt[[#This Row],[Start Date]],BY$29&lt;ProposalToGnatt[[#This Row],[Start Date]]+ProposalToGnatt[[#This Row],[Days]]),$G$5,"")),"")</f>
        <v/>
      </c>
      <c r="BZ36" s="37" t="str">
        <f ca="1">IFERROR(+IF(BZ$29=ProposalToGnatt[[#This Row],[Start Date]],Milestone_Marker,IF(AND(BZ$29&gt;ProposalToGnatt[[#This Row],[Start Date]],BZ$29&lt;ProposalToGnatt[[#This Row],[Start Date]]+ProposalToGnatt[[#This Row],[Days]]),$G$5,"")),"")</f>
        <v/>
      </c>
      <c r="CA36" s="37" t="str">
        <f ca="1">IFERROR(+IF(CA$29=ProposalToGnatt[[#This Row],[Start Date]],Milestone_Marker,IF(AND(CA$29&gt;ProposalToGnatt[[#This Row],[Start Date]],CA$29&lt;ProposalToGnatt[[#This Row],[Start Date]]+ProposalToGnatt[[#This Row],[Days]]),$G$5,"")),"")</f>
        <v/>
      </c>
      <c r="CB36" s="37" t="str">
        <f ca="1">IFERROR(+IF(CB$29=ProposalToGnatt[[#This Row],[Start Date]],Milestone_Marker,IF(AND(CB$29&gt;ProposalToGnatt[[#This Row],[Start Date]],CB$29&lt;ProposalToGnatt[[#This Row],[Start Date]]+ProposalToGnatt[[#This Row],[Days]]),$G$5,"")),"")</f>
        <v/>
      </c>
      <c r="CC36" s="37" t="str">
        <f ca="1">IFERROR(+IF(CC$29=ProposalToGnatt[[#This Row],[Start Date]],Milestone_Marker,IF(AND(CC$29&gt;ProposalToGnatt[[#This Row],[Start Date]],CC$29&lt;ProposalToGnatt[[#This Row],[Start Date]]+ProposalToGnatt[[#This Row],[Days]]),$G$5,"")),"")</f>
        <v/>
      </c>
      <c r="CD36" s="37" t="str">
        <f ca="1">IFERROR(+IF(CD$29=ProposalToGnatt[[#This Row],[Start Date]],Milestone_Marker,IF(AND(CD$29&gt;ProposalToGnatt[[#This Row],[Start Date]],CD$29&lt;ProposalToGnatt[[#This Row],[Start Date]]+ProposalToGnatt[[#This Row],[Days]]),$G$5,"")),"")</f>
        <v/>
      </c>
      <c r="CE36" s="37" t="str">
        <f ca="1">IFERROR(+IF(CE$29=ProposalToGnatt[[#This Row],[Start Date]],Milestone_Marker,IF(AND(CE$29&gt;ProposalToGnatt[[#This Row],[Start Date]],CE$29&lt;ProposalToGnatt[[#This Row],[Start Date]]+ProposalToGnatt[[#This Row],[Days]]),$G$5,"")),"")</f>
        <v/>
      </c>
      <c r="CF36" s="37" t="str">
        <f ca="1">IFERROR(+IF(CF$29=ProposalToGnatt[[#This Row],[Start Date]],Milestone_Marker,IF(AND(CF$29&gt;ProposalToGnatt[[#This Row],[Start Date]],CF$29&lt;ProposalToGnatt[[#This Row],[Start Date]]+ProposalToGnatt[[#This Row],[Days]]),$G$5,"")),"")</f>
        <v/>
      </c>
      <c r="CG36" s="37" t="str">
        <f ca="1">IFERROR(+IF(CG$29=ProposalToGnatt[[#This Row],[Start Date]],Milestone_Marker,IF(AND(CG$29&gt;ProposalToGnatt[[#This Row],[Start Date]],CG$29&lt;ProposalToGnatt[[#This Row],[Start Date]]+ProposalToGnatt[[#This Row],[Days]]),$G$5,"")),"")</f>
        <v/>
      </c>
      <c r="CH36" s="37" t="str">
        <f ca="1">IFERROR(+IF(CH$29=ProposalToGnatt[[#This Row],[Start Date]],Milestone_Marker,IF(AND(CH$29&gt;ProposalToGnatt[[#This Row],[Start Date]],CH$29&lt;ProposalToGnatt[[#This Row],[Start Date]]+ProposalToGnatt[[#This Row],[Days]]),$G$5,"")),"")</f>
        <v/>
      </c>
      <c r="CI36" s="37" t="str">
        <f ca="1">IFERROR(+IF(CI$29=ProposalToGnatt[[#This Row],[Start Date]],Milestone_Marker,IF(AND(CI$29&gt;ProposalToGnatt[[#This Row],[Start Date]],CI$29&lt;ProposalToGnatt[[#This Row],[Start Date]]+ProposalToGnatt[[#This Row],[Days]]),$G$5,"")),"")</f>
        <v/>
      </c>
      <c r="CJ36" s="37" t="str">
        <f ca="1">IFERROR(+IF(CJ$29=ProposalToGnatt[[#This Row],[Start Date]],Milestone_Marker,IF(AND(CJ$29&gt;ProposalToGnatt[[#This Row],[Start Date]],CJ$29&lt;ProposalToGnatt[[#This Row],[Start Date]]+ProposalToGnatt[[#This Row],[Days]]),$G$5,"")),"")</f>
        <v/>
      </c>
      <c r="CK36" s="37" t="str">
        <f ca="1">IFERROR(+IF(CK$29=ProposalToGnatt[[#This Row],[Start Date]],Milestone_Marker,IF(AND(CK$29&gt;ProposalToGnatt[[#This Row],[Start Date]],CK$29&lt;ProposalToGnatt[[#This Row],[Start Date]]+ProposalToGnatt[[#This Row],[Days]]),$G$5,"")),"")</f>
        <v/>
      </c>
      <c r="CL36" s="37" t="str">
        <f ca="1">IFERROR(+IF(CL$29=ProposalToGnatt[[#This Row],[Start Date]],Milestone_Marker,IF(AND(CL$29&gt;ProposalToGnatt[[#This Row],[Start Date]],CL$29&lt;ProposalToGnatt[[#This Row],[Start Date]]+ProposalToGnatt[[#This Row],[Days]]),$G$5,"")),"")</f>
        <v/>
      </c>
      <c r="CM36" s="37" t="str">
        <f ca="1">IFERROR(+IF(CM$29=ProposalToGnatt[[#This Row],[Start Date]],Milestone_Marker,IF(AND(CM$29&gt;ProposalToGnatt[[#This Row],[Start Date]],CM$29&lt;ProposalToGnatt[[#This Row],[Start Date]]+ProposalToGnatt[[#This Row],[Days]]),$G$5,"")),"")</f>
        <v/>
      </c>
      <c r="CN36" s="37" t="str">
        <f ca="1">IFERROR(+IF(CN$29=ProposalToGnatt[[#This Row],[Start Date]],Milestone_Marker,IF(AND(CN$29&gt;ProposalToGnatt[[#This Row],[Start Date]],CN$29&lt;ProposalToGnatt[[#This Row],[Start Date]]+ProposalToGnatt[[#This Row],[Days]]),$G$5,"")),"")</f>
        <v/>
      </c>
      <c r="CO36" s="37" t="str">
        <f ca="1">IFERROR(+IF(CO$29=ProposalToGnatt[[#This Row],[Start Date]],Milestone_Marker,IF(AND(CO$29&gt;ProposalToGnatt[[#This Row],[Start Date]],CO$29&lt;ProposalToGnatt[[#This Row],[Start Date]]+ProposalToGnatt[[#This Row],[Days]]),$G$5,"")),"")</f>
        <v/>
      </c>
      <c r="CP36" s="37" t="str">
        <f ca="1">IFERROR(+IF(CP$29=ProposalToGnatt[[#This Row],[Start Date]],Milestone_Marker,IF(AND(CP$29&gt;ProposalToGnatt[[#This Row],[Start Date]],CP$29&lt;ProposalToGnatt[[#This Row],[Start Date]]+ProposalToGnatt[[#This Row],[Days]]),$G$5,"")),"")</f>
        <v/>
      </c>
      <c r="CQ36" s="37" t="str">
        <f ca="1">IFERROR(+IF(CQ$29=ProposalToGnatt[[#This Row],[Start Date]],Milestone_Marker,IF(AND(CQ$29&gt;ProposalToGnatt[[#This Row],[Start Date]],CQ$29&lt;ProposalToGnatt[[#This Row],[Start Date]]+ProposalToGnatt[[#This Row],[Days]]),$G$5,"")),"")</f>
        <v/>
      </c>
      <c r="CR36" s="37" t="str">
        <f ca="1">IFERROR(+IF(CR$29=ProposalToGnatt[[#This Row],[Start Date]],Milestone_Marker,IF(AND(CR$29&gt;ProposalToGnatt[[#This Row],[Start Date]],CR$29&lt;ProposalToGnatt[[#This Row],[Start Date]]+ProposalToGnatt[[#This Row],[Days]]),$G$5,"")),"")</f>
        <v/>
      </c>
      <c r="CS36" s="37" t="str">
        <f ca="1">IFERROR(+IF(CS$29=ProposalToGnatt[[#This Row],[Start Date]],Milestone_Marker,IF(AND(CS$29&gt;ProposalToGnatt[[#This Row],[Start Date]],CS$29&lt;ProposalToGnatt[[#This Row],[Start Date]]+ProposalToGnatt[[#This Row],[Days]]),$G$5,"")),"")</f>
        <v/>
      </c>
      <c r="CT36" s="37" t="str">
        <f ca="1">IFERROR(+IF(CT$29=ProposalToGnatt[[#This Row],[Start Date]],Milestone_Marker,IF(AND(CT$29&gt;ProposalToGnatt[[#This Row],[Start Date]],CT$29&lt;ProposalToGnatt[[#This Row],[Start Date]]+ProposalToGnatt[[#This Row],[Days]]),$G$5,"")),"")</f>
        <v/>
      </c>
      <c r="CU36" s="37" t="str">
        <f ca="1">IFERROR(+IF(CU$29=ProposalToGnatt[[#This Row],[Start Date]],Milestone_Marker,IF(AND(CU$29&gt;ProposalToGnatt[[#This Row],[Start Date]],CU$29&lt;ProposalToGnatt[[#This Row],[Start Date]]+ProposalToGnatt[[#This Row],[Days]]),$G$5,"")),"")</f>
        <v/>
      </c>
      <c r="CV36" s="37"/>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row>
    <row r="37" spans="1:125" s="42" customFormat="1" ht="20.100000000000001" customHeight="1">
      <c r="A37" t="s">
        <v>449</v>
      </c>
      <c r="B37">
        <v>8</v>
      </c>
      <c r="C37" t="s">
        <v>301</v>
      </c>
      <c r="D37" t="s">
        <v>374</v>
      </c>
      <c r="E37" t="s">
        <v>377</v>
      </c>
      <c r="F37">
        <v>0</v>
      </c>
      <c r="G37" s="11">
        <v>200</v>
      </c>
      <c r="H37" s="26">
        <v>0</v>
      </c>
      <c r="I37"/>
      <c r="J37"/>
      <c r="K37" s="402"/>
      <c r="L37"/>
      <c r="M37"/>
      <c r="N37"/>
      <c r="O37" s="26"/>
      <c r="P37" s="37">
        <f ca="1">IFERROR(+IF(P$29=ProposalToGnatt[[#This Row],[Start Date]],Milestone_Marker,IF(AND(P$29&gt;ProposalToGnatt[[#This Row],[Start Date]],P$29&lt;ProposalToGnatt[[#This Row],[Start Date]]+ProposalToGnatt[[#This Row],[Days]]),$G$5,"")),"")</f>
        <v>1</v>
      </c>
      <c r="Q37" s="37" t="str">
        <f ca="1">IFERROR(+IF(Q$29=ProposalToGnatt[[#This Row],[Start Date]],Milestone_Marker,IF(AND(Q$29&gt;ProposalToGnatt[[#This Row],[Start Date]],Q$29&lt;ProposalToGnatt[[#This Row],[Start Date]]+ProposalToGnatt[[#This Row],[Days]]),$G$5,"")),"")</f>
        <v/>
      </c>
      <c r="R37" s="37" t="str">
        <f ca="1">IFERROR(+IF(R$29=ProposalToGnatt[[#This Row],[Start Date]],Milestone_Marker,IF(AND(R$29&gt;ProposalToGnatt[[#This Row],[Start Date]],R$29&lt;ProposalToGnatt[[#This Row],[Start Date]]+ProposalToGnatt[[#This Row],[Days]]),$G$5,"")),"")</f>
        <v/>
      </c>
      <c r="S37" s="37" t="str">
        <f ca="1">IFERROR(+IF(S$29=ProposalToGnatt[[#This Row],[Start Date]],Milestone_Marker,IF(AND(S$29&gt;ProposalToGnatt[[#This Row],[Start Date]],S$29&lt;ProposalToGnatt[[#This Row],[Start Date]]+ProposalToGnatt[[#This Row],[Days]]),$G$5,"")),"")</f>
        <v/>
      </c>
      <c r="T37" s="37" t="str">
        <f ca="1">IFERROR(+IF(T$29=ProposalToGnatt[[#This Row],[Start Date]],Milestone_Marker,IF(AND(T$29&gt;ProposalToGnatt[[#This Row],[Start Date]],T$29&lt;ProposalToGnatt[[#This Row],[Start Date]]+ProposalToGnatt[[#This Row],[Days]]),$G$5,"")),"")</f>
        <v/>
      </c>
      <c r="U37" s="37" t="str">
        <f ca="1">IFERROR(+IF(U$29=ProposalToGnatt[[#This Row],[Start Date]],Milestone_Marker,IF(AND(U$29&gt;ProposalToGnatt[[#This Row],[Start Date]],U$29&lt;ProposalToGnatt[[#This Row],[Start Date]]+ProposalToGnatt[[#This Row],[Days]]),$G$5,"")),"")</f>
        <v/>
      </c>
      <c r="V37" s="37" t="str">
        <f ca="1">IFERROR(+IF(V$29=ProposalToGnatt[[#This Row],[Start Date]],Milestone_Marker,IF(AND(V$29&gt;ProposalToGnatt[[#This Row],[Start Date]],V$29&lt;ProposalToGnatt[[#This Row],[Start Date]]+ProposalToGnatt[[#This Row],[Days]]),$G$5,"")),"")</f>
        <v/>
      </c>
      <c r="W37" s="37" t="str">
        <f ca="1">IFERROR(+IF(W$29=ProposalToGnatt[[#This Row],[Start Date]],Milestone_Marker,IF(AND(W$29&gt;ProposalToGnatt[[#This Row],[Start Date]],W$29&lt;ProposalToGnatt[[#This Row],[Start Date]]+ProposalToGnatt[[#This Row],[Days]]),$G$5,"")),"")</f>
        <v/>
      </c>
      <c r="X37" s="37" t="str">
        <f ca="1">IFERROR(+IF(X$29=ProposalToGnatt[[#This Row],[Start Date]],Milestone_Marker,IF(AND(X$29&gt;ProposalToGnatt[[#This Row],[Start Date]],X$29&lt;ProposalToGnatt[[#This Row],[Start Date]]+ProposalToGnatt[[#This Row],[Days]]),$G$5,"")),"")</f>
        <v/>
      </c>
      <c r="Y37" s="37" t="str">
        <f ca="1">IFERROR(+IF(Y$29=ProposalToGnatt[[#This Row],[Start Date]],Milestone_Marker,IF(AND(Y$29&gt;ProposalToGnatt[[#This Row],[Start Date]],Y$29&lt;ProposalToGnatt[[#This Row],[Start Date]]+ProposalToGnatt[[#This Row],[Days]]),$G$5,"")),"")</f>
        <v/>
      </c>
      <c r="Z37" s="37" t="str">
        <f ca="1">IFERROR(+IF(Z$29=ProposalToGnatt[[#This Row],[Start Date]],Milestone_Marker,IF(AND(Z$29&gt;ProposalToGnatt[[#This Row],[Start Date]],Z$29&lt;ProposalToGnatt[[#This Row],[Start Date]]+ProposalToGnatt[[#This Row],[Days]]),$G$5,"")),"")</f>
        <v/>
      </c>
      <c r="AA37" s="37" t="str">
        <f ca="1">IFERROR(+IF(AA$29=ProposalToGnatt[[#This Row],[Start Date]],Milestone_Marker,IF(AND(AA$29&gt;ProposalToGnatt[[#This Row],[Start Date]],AA$29&lt;ProposalToGnatt[[#This Row],[Start Date]]+ProposalToGnatt[[#This Row],[Days]]),$G$5,"")),"")</f>
        <v/>
      </c>
      <c r="AB37" s="37" t="str">
        <f ca="1">IFERROR(+IF(AB$29=ProposalToGnatt[[#This Row],[Start Date]],Milestone_Marker,IF(AND(AB$29&gt;ProposalToGnatt[[#This Row],[Start Date]],AB$29&lt;ProposalToGnatt[[#This Row],[Start Date]]+ProposalToGnatt[[#This Row],[Days]]),$G$5,"")),"")</f>
        <v/>
      </c>
      <c r="AC37" s="37" t="str">
        <f ca="1">IFERROR(+IF(AC$29=ProposalToGnatt[[#This Row],[Start Date]],Milestone_Marker,IF(AND(AC$29&gt;ProposalToGnatt[[#This Row],[Start Date]],AC$29&lt;ProposalToGnatt[[#This Row],[Start Date]]+ProposalToGnatt[[#This Row],[Days]]),$G$5,"")),"")</f>
        <v/>
      </c>
      <c r="AD37" s="37" t="str">
        <f ca="1">IFERROR(+IF(AD$29=ProposalToGnatt[[#This Row],[Start Date]],Milestone_Marker,IF(AND(AD$29&gt;ProposalToGnatt[[#This Row],[Start Date]],AD$29&lt;ProposalToGnatt[[#This Row],[Start Date]]+ProposalToGnatt[[#This Row],[Days]]),$G$5,"")),"")</f>
        <v/>
      </c>
      <c r="AE37" s="37" t="str">
        <f ca="1">IFERROR(+IF(AE$29=ProposalToGnatt[[#This Row],[Start Date]],Milestone_Marker,IF(AND(AE$29&gt;ProposalToGnatt[[#This Row],[Start Date]],AE$29&lt;ProposalToGnatt[[#This Row],[Start Date]]+ProposalToGnatt[[#This Row],[Days]]),$G$5,"")),"")</f>
        <v/>
      </c>
      <c r="AF37" s="37" t="str">
        <f ca="1">IFERROR(+IF(AF$29=ProposalToGnatt[[#This Row],[Start Date]],Milestone_Marker,IF(AND(AF$29&gt;ProposalToGnatt[[#This Row],[Start Date]],AF$29&lt;ProposalToGnatt[[#This Row],[Start Date]]+ProposalToGnatt[[#This Row],[Days]]),$G$5,"")),"")</f>
        <v/>
      </c>
      <c r="AG37" s="37" t="str">
        <f ca="1">IFERROR(+IF(AG$29=ProposalToGnatt[[#This Row],[Start Date]],Milestone_Marker,IF(AND(AG$29&gt;ProposalToGnatt[[#This Row],[Start Date]],AG$29&lt;ProposalToGnatt[[#This Row],[Start Date]]+ProposalToGnatt[[#This Row],[Days]]),$G$5,"")),"")</f>
        <v/>
      </c>
      <c r="AH37" s="37" t="str">
        <f ca="1">IFERROR(+IF(AH$29=ProposalToGnatt[[#This Row],[Start Date]],Milestone_Marker,IF(AND(AH$29&gt;ProposalToGnatt[[#This Row],[Start Date]],AH$29&lt;ProposalToGnatt[[#This Row],[Start Date]]+ProposalToGnatt[[#This Row],[Days]]),$G$5,"")),"")</f>
        <v/>
      </c>
      <c r="AI37" s="37" t="str">
        <f ca="1">IFERROR(+IF(AI$29=ProposalToGnatt[[#This Row],[Start Date]],Milestone_Marker,IF(AND(AI$29&gt;ProposalToGnatt[[#This Row],[Start Date]],AI$29&lt;ProposalToGnatt[[#This Row],[Start Date]]+ProposalToGnatt[[#This Row],[Days]]),$G$5,"")),"")</f>
        <v/>
      </c>
      <c r="AJ37" s="37" t="str">
        <f ca="1">IFERROR(+IF(AJ$29=ProposalToGnatt[[#This Row],[Start Date]],Milestone_Marker,IF(AND(AJ$29&gt;ProposalToGnatt[[#This Row],[Start Date]],AJ$29&lt;ProposalToGnatt[[#This Row],[Start Date]]+ProposalToGnatt[[#This Row],[Days]]),$G$5,"")),"")</f>
        <v/>
      </c>
      <c r="AK37" s="37" t="str">
        <f ca="1">IFERROR(+IF(AK$29=ProposalToGnatt[[#This Row],[Start Date]],Milestone_Marker,IF(AND(AK$29&gt;ProposalToGnatt[[#This Row],[Start Date]],AK$29&lt;ProposalToGnatt[[#This Row],[Start Date]]+ProposalToGnatt[[#This Row],[Days]]),$G$5,"")),"")</f>
        <v/>
      </c>
      <c r="AL37" s="37" t="str">
        <f ca="1">IFERROR(+IF(AL$29=ProposalToGnatt[[#This Row],[Start Date]],Milestone_Marker,IF(AND(AL$29&gt;ProposalToGnatt[[#This Row],[Start Date]],AL$29&lt;ProposalToGnatt[[#This Row],[Start Date]]+ProposalToGnatt[[#This Row],[Days]]),$G$5,"")),"")</f>
        <v/>
      </c>
      <c r="AM37" s="37" t="str">
        <f ca="1">IFERROR(+IF(AM$29=ProposalToGnatt[[#This Row],[Start Date]],Milestone_Marker,IF(AND(AM$29&gt;ProposalToGnatt[[#This Row],[Start Date]],AM$29&lt;ProposalToGnatt[[#This Row],[Start Date]]+ProposalToGnatt[[#This Row],[Days]]),$G$5,"")),"")</f>
        <v/>
      </c>
      <c r="AN37" s="37" t="str">
        <f ca="1">IFERROR(+IF(AN$29=ProposalToGnatt[[#This Row],[Start Date]],Milestone_Marker,IF(AND(AN$29&gt;ProposalToGnatt[[#This Row],[Start Date]],AN$29&lt;ProposalToGnatt[[#This Row],[Start Date]]+ProposalToGnatt[[#This Row],[Days]]),$G$5,"")),"")</f>
        <v/>
      </c>
      <c r="AO37" s="37" t="str">
        <f ca="1">IFERROR(+IF(AO$29=ProposalToGnatt[[#This Row],[Start Date]],Milestone_Marker,IF(AND(AO$29&gt;ProposalToGnatt[[#This Row],[Start Date]],AO$29&lt;ProposalToGnatt[[#This Row],[Start Date]]+ProposalToGnatt[[#This Row],[Days]]),$G$5,"")),"")</f>
        <v/>
      </c>
      <c r="AP37" s="37" t="str">
        <f ca="1">IFERROR(+IF(AP$29=ProposalToGnatt[[#This Row],[Start Date]],Milestone_Marker,IF(AND(AP$29&gt;ProposalToGnatt[[#This Row],[Start Date]],AP$29&lt;ProposalToGnatt[[#This Row],[Start Date]]+ProposalToGnatt[[#This Row],[Days]]),$G$5,"")),"")</f>
        <v/>
      </c>
      <c r="AQ37" s="37" t="str">
        <f ca="1">IFERROR(+IF(AQ$29=ProposalToGnatt[[#This Row],[Start Date]],Milestone_Marker,IF(AND(AQ$29&gt;ProposalToGnatt[[#This Row],[Start Date]],AQ$29&lt;ProposalToGnatt[[#This Row],[Start Date]]+ProposalToGnatt[[#This Row],[Days]]),$G$5,"")),"")</f>
        <v/>
      </c>
      <c r="AR37" s="37" t="str">
        <f ca="1">IFERROR(+IF(AR$29=ProposalToGnatt[[#This Row],[Start Date]],Milestone_Marker,IF(AND(AR$29&gt;ProposalToGnatt[[#This Row],[Start Date]],AR$29&lt;ProposalToGnatt[[#This Row],[Start Date]]+ProposalToGnatt[[#This Row],[Days]]),$G$5,"")),"")</f>
        <v/>
      </c>
      <c r="AS37" s="37" t="str">
        <f ca="1">IFERROR(+IF(AS$29=ProposalToGnatt[[#This Row],[Start Date]],Milestone_Marker,IF(AND(AS$29&gt;ProposalToGnatt[[#This Row],[Start Date]],AS$29&lt;ProposalToGnatt[[#This Row],[Start Date]]+ProposalToGnatt[[#This Row],[Days]]),$G$5,"")),"")</f>
        <v/>
      </c>
      <c r="AT37" s="37" t="str">
        <f ca="1">IFERROR(+IF(AT$29=ProposalToGnatt[[#This Row],[Start Date]],Milestone_Marker,IF(AND(AT$29&gt;ProposalToGnatt[[#This Row],[Start Date]],AT$29&lt;ProposalToGnatt[[#This Row],[Start Date]]+ProposalToGnatt[[#This Row],[Days]]),$G$5,"")),"")</f>
        <v/>
      </c>
      <c r="AU37" s="37" t="str">
        <f ca="1">IFERROR(+IF(AU$29=ProposalToGnatt[[#This Row],[Start Date]],Milestone_Marker,IF(AND(AU$29&gt;ProposalToGnatt[[#This Row],[Start Date]],AU$29&lt;ProposalToGnatt[[#This Row],[Start Date]]+ProposalToGnatt[[#This Row],[Days]]),$G$5,"")),"")</f>
        <v/>
      </c>
      <c r="AV37" s="37" t="str">
        <f ca="1">IFERROR(+IF(AV$29=ProposalToGnatt[[#This Row],[Start Date]],Milestone_Marker,IF(AND(AV$29&gt;ProposalToGnatt[[#This Row],[Start Date]],AV$29&lt;ProposalToGnatt[[#This Row],[Start Date]]+ProposalToGnatt[[#This Row],[Days]]),$G$5,"")),"")</f>
        <v/>
      </c>
      <c r="AW37" s="37" t="str">
        <f ca="1">IFERROR(+IF(AW$29=ProposalToGnatt[[#This Row],[Start Date]],Milestone_Marker,IF(AND(AW$29&gt;ProposalToGnatt[[#This Row],[Start Date]],AW$29&lt;ProposalToGnatt[[#This Row],[Start Date]]+ProposalToGnatt[[#This Row],[Days]]),$G$5,"")),"")</f>
        <v/>
      </c>
      <c r="AX37" s="37" t="str">
        <f ca="1">IFERROR(+IF(AX$29=ProposalToGnatt[[#This Row],[Start Date]],Milestone_Marker,IF(AND(AX$29&gt;ProposalToGnatt[[#This Row],[Start Date]],AX$29&lt;ProposalToGnatt[[#This Row],[Start Date]]+ProposalToGnatt[[#This Row],[Days]]),$G$5,"")),"")</f>
        <v/>
      </c>
      <c r="AY37" s="37" t="str">
        <f ca="1">IFERROR(+IF(AY$29=ProposalToGnatt[[#This Row],[Start Date]],Milestone_Marker,IF(AND(AY$29&gt;ProposalToGnatt[[#This Row],[Start Date]],AY$29&lt;ProposalToGnatt[[#This Row],[Start Date]]+ProposalToGnatt[[#This Row],[Days]]),$G$5,"")),"")</f>
        <v/>
      </c>
      <c r="AZ37" s="37" t="str">
        <f ca="1">IFERROR(+IF(AZ$29=ProposalToGnatt[[#This Row],[Start Date]],Milestone_Marker,IF(AND(AZ$29&gt;ProposalToGnatt[[#This Row],[Start Date]],AZ$29&lt;ProposalToGnatt[[#This Row],[Start Date]]+ProposalToGnatt[[#This Row],[Days]]),$G$5,"")),"")</f>
        <v/>
      </c>
      <c r="BA37" s="37" t="str">
        <f ca="1">IFERROR(+IF(BA$29=ProposalToGnatt[[#This Row],[Start Date]],Milestone_Marker,IF(AND(BA$29&gt;ProposalToGnatt[[#This Row],[Start Date]],BA$29&lt;ProposalToGnatt[[#This Row],[Start Date]]+ProposalToGnatt[[#This Row],[Days]]),$G$5,"")),"")</f>
        <v/>
      </c>
      <c r="BB37" s="37" t="str">
        <f ca="1">IFERROR(+IF(BB$29=ProposalToGnatt[[#This Row],[Start Date]],Milestone_Marker,IF(AND(BB$29&gt;ProposalToGnatt[[#This Row],[Start Date]],BB$29&lt;ProposalToGnatt[[#This Row],[Start Date]]+ProposalToGnatt[[#This Row],[Days]]),$G$5,"")),"")</f>
        <v/>
      </c>
      <c r="BC37" s="37" t="str">
        <f ca="1">IFERROR(+IF(BC$29=ProposalToGnatt[[#This Row],[Start Date]],Milestone_Marker,IF(AND(BC$29&gt;ProposalToGnatt[[#This Row],[Start Date]],BC$29&lt;ProposalToGnatt[[#This Row],[Start Date]]+ProposalToGnatt[[#This Row],[Days]]),$G$5,"")),"")</f>
        <v/>
      </c>
      <c r="BD37" s="37" t="str">
        <f ca="1">IFERROR(+IF(BD$29=ProposalToGnatt[[#This Row],[Start Date]],Milestone_Marker,IF(AND(BD$29&gt;ProposalToGnatt[[#This Row],[Start Date]],BD$29&lt;ProposalToGnatt[[#This Row],[Start Date]]+ProposalToGnatt[[#This Row],[Days]]),$G$5,"")),"")</f>
        <v/>
      </c>
      <c r="BE37" s="37" t="str">
        <f ca="1">IFERROR(+IF(BE$29=ProposalToGnatt[[#This Row],[Start Date]],Milestone_Marker,IF(AND(BE$29&gt;ProposalToGnatt[[#This Row],[Start Date]],BE$29&lt;ProposalToGnatt[[#This Row],[Start Date]]+ProposalToGnatt[[#This Row],[Days]]),$G$5,"")),"")</f>
        <v/>
      </c>
      <c r="BF37" s="37" t="str">
        <f ca="1">IFERROR(+IF(BF$29=ProposalToGnatt[[#This Row],[Start Date]],Milestone_Marker,IF(AND(BF$29&gt;ProposalToGnatt[[#This Row],[Start Date]],BF$29&lt;ProposalToGnatt[[#This Row],[Start Date]]+ProposalToGnatt[[#This Row],[Days]]),$G$5,"")),"")</f>
        <v/>
      </c>
      <c r="BG37" s="37" t="str">
        <f ca="1">IFERROR(+IF(BG$29=ProposalToGnatt[[#This Row],[Start Date]],Milestone_Marker,IF(AND(BG$29&gt;ProposalToGnatt[[#This Row],[Start Date]],BG$29&lt;ProposalToGnatt[[#This Row],[Start Date]]+ProposalToGnatt[[#This Row],[Days]]),$G$5,"")),"")</f>
        <v/>
      </c>
      <c r="BH37" s="37" t="str">
        <f ca="1">IFERROR(+IF(BH$29=ProposalToGnatt[[#This Row],[Start Date]],Milestone_Marker,IF(AND(BH$29&gt;ProposalToGnatt[[#This Row],[Start Date]],BH$29&lt;ProposalToGnatt[[#This Row],[Start Date]]+ProposalToGnatt[[#This Row],[Days]]),$G$5,"")),"")</f>
        <v/>
      </c>
      <c r="BI37" s="37" t="str">
        <f ca="1">IFERROR(+IF(BI$29=ProposalToGnatt[[#This Row],[Start Date]],Milestone_Marker,IF(AND(BI$29&gt;ProposalToGnatt[[#This Row],[Start Date]],BI$29&lt;ProposalToGnatt[[#This Row],[Start Date]]+ProposalToGnatt[[#This Row],[Days]]),$G$5,"")),"")</f>
        <v/>
      </c>
      <c r="BJ37" s="37" t="str">
        <f ca="1">IFERROR(+IF(BJ$29=ProposalToGnatt[[#This Row],[Start Date]],Milestone_Marker,IF(AND(BJ$29&gt;ProposalToGnatt[[#This Row],[Start Date]],BJ$29&lt;ProposalToGnatt[[#This Row],[Start Date]]+ProposalToGnatt[[#This Row],[Days]]),$G$5,"")),"")</f>
        <v/>
      </c>
      <c r="BK37" s="37" t="str">
        <f ca="1">IFERROR(+IF(BK$29=ProposalToGnatt[[#This Row],[Start Date]],Milestone_Marker,IF(AND(BK$29&gt;ProposalToGnatt[[#This Row],[Start Date]],BK$29&lt;ProposalToGnatt[[#This Row],[Start Date]]+ProposalToGnatt[[#This Row],[Days]]),$G$5,"")),"")</f>
        <v/>
      </c>
      <c r="BL37" s="37" t="str">
        <f ca="1">IFERROR(+IF(BL$29=ProposalToGnatt[[#This Row],[Start Date]],Milestone_Marker,IF(AND(BL$29&gt;ProposalToGnatt[[#This Row],[Start Date]],BL$29&lt;ProposalToGnatt[[#This Row],[Start Date]]+ProposalToGnatt[[#This Row],[Days]]),$G$5,"")),"")</f>
        <v/>
      </c>
      <c r="BM37" s="37" t="str">
        <f ca="1">IFERROR(+IF(BM$29=ProposalToGnatt[[#This Row],[Start Date]],Milestone_Marker,IF(AND(BM$29&gt;ProposalToGnatt[[#This Row],[Start Date]],BM$29&lt;ProposalToGnatt[[#This Row],[Start Date]]+ProposalToGnatt[[#This Row],[Days]]),$G$5,"")),"")</f>
        <v/>
      </c>
      <c r="BN37" s="37" t="str">
        <f ca="1">IFERROR(+IF(BN$29=ProposalToGnatt[[#This Row],[Start Date]],Milestone_Marker,IF(AND(BN$29&gt;ProposalToGnatt[[#This Row],[Start Date]],BN$29&lt;ProposalToGnatt[[#This Row],[Start Date]]+ProposalToGnatt[[#This Row],[Days]]),$G$5,"")),"")</f>
        <v/>
      </c>
      <c r="BO37" s="37" t="str">
        <f ca="1">IFERROR(+IF(BO$29=ProposalToGnatt[[#This Row],[Start Date]],Milestone_Marker,IF(AND(BO$29&gt;ProposalToGnatt[[#This Row],[Start Date]],BO$29&lt;ProposalToGnatt[[#This Row],[Start Date]]+ProposalToGnatt[[#This Row],[Days]]),$G$5,"")),"")</f>
        <v/>
      </c>
      <c r="BP37" s="37" t="str">
        <f ca="1">IFERROR(+IF(BP$29=ProposalToGnatt[[#This Row],[Start Date]],Milestone_Marker,IF(AND(BP$29&gt;ProposalToGnatt[[#This Row],[Start Date]],BP$29&lt;ProposalToGnatt[[#This Row],[Start Date]]+ProposalToGnatt[[#This Row],[Days]]),$G$5,"")),"")</f>
        <v/>
      </c>
      <c r="BQ37" s="37" t="str">
        <f ca="1">IFERROR(+IF(BQ$29=ProposalToGnatt[[#This Row],[Start Date]],Milestone_Marker,IF(AND(BQ$29&gt;ProposalToGnatt[[#This Row],[Start Date]],BQ$29&lt;ProposalToGnatt[[#This Row],[Start Date]]+ProposalToGnatt[[#This Row],[Days]]),$G$5,"")),"")</f>
        <v/>
      </c>
      <c r="BR37" s="37" t="str">
        <f ca="1">IFERROR(+IF(BR$29=ProposalToGnatt[[#This Row],[Start Date]],Milestone_Marker,IF(AND(BR$29&gt;ProposalToGnatt[[#This Row],[Start Date]],BR$29&lt;ProposalToGnatt[[#This Row],[Start Date]]+ProposalToGnatt[[#This Row],[Days]]),$G$5,"")),"")</f>
        <v/>
      </c>
      <c r="BS37" s="37" t="str">
        <f ca="1">IFERROR(+IF(BS$29=ProposalToGnatt[[#This Row],[Start Date]],Milestone_Marker,IF(AND(BS$29&gt;ProposalToGnatt[[#This Row],[Start Date]],BS$29&lt;ProposalToGnatt[[#This Row],[Start Date]]+ProposalToGnatt[[#This Row],[Days]]),$G$5,"")),"")</f>
        <v/>
      </c>
      <c r="BT37" s="37" t="str">
        <f ca="1">IFERROR(+IF(BT$29=ProposalToGnatt[[#This Row],[Start Date]],Milestone_Marker,IF(AND(BT$29&gt;ProposalToGnatt[[#This Row],[Start Date]],BT$29&lt;ProposalToGnatt[[#This Row],[Start Date]]+ProposalToGnatt[[#This Row],[Days]]),$G$5,"")),"")</f>
        <v/>
      </c>
      <c r="BU37" s="37" t="str">
        <f ca="1">IFERROR(+IF(BU$29=ProposalToGnatt[[#This Row],[Start Date]],Milestone_Marker,IF(AND(BU$29&gt;ProposalToGnatt[[#This Row],[Start Date]],BU$29&lt;ProposalToGnatt[[#This Row],[Start Date]]+ProposalToGnatt[[#This Row],[Days]]),$G$5,"")),"")</f>
        <v/>
      </c>
      <c r="BV37" s="37" t="str">
        <f ca="1">IFERROR(+IF(BV$29=ProposalToGnatt[[#This Row],[Start Date]],Milestone_Marker,IF(AND(BV$29&gt;ProposalToGnatt[[#This Row],[Start Date]],BV$29&lt;ProposalToGnatt[[#This Row],[Start Date]]+ProposalToGnatt[[#This Row],[Days]]),$G$5,"")),"")</f>
        <v/>
      </c>
      <c r="BW37" s="37" t="str">
        <f ca="1">IFERROR(+IF(BW$29=ProposalToGnatt[[#This Row],[Start Date]],Milestone_Marker,IF(AND(BW$29&gt;ProposalToGnatt[[#This Row],[Start Date]],BW$29&lt;ProposalToGnatt[[#This Row],[Start Date]]+ProposalToGnatt[[#This Row],[Days]]),$G$5,"")),"")</f>
        <v/>
      </c>
      <c r="BX37" s="37" t="str">
        <f ca="1">IFERROR(+IF(BX$29=ProposalToGnatt[[#This Row],[Start Date]],Milestone_Marker,IF(AND(BX$29&gt;ProposalToGnatt[[#This Row],[Start Date]],BX$29&lt;ProposalToGnatt[[#This Row],[Start Date]]+ProposalToGnatt[[#This Row],[Days]]),$G$5,"")),"")</f>
        <v/>
      </c>
      <c r="BY37" s="37" t="str">
        <f ca="1">IFERROR(+IF(BY$29=ProposalToGnatt[[#This Row],[Start Date]],Milestone_Marker,IF(AND(BY$29&gt;ProposalToGnatt[[#This Row],[Start Date]],BY$29&lt;ProposalToGnatt[[#This Row],[Start Date]]+ProposalToGnatt[[#This Row],[Days]]),$G$5,"")),"")</f>
        <v/>
      </c>
      <c r="BZ37" s="37" t="str">
        <f ca="1">IFERROR(+IF(BZ$29=ProposalToGnatt[[#This Row],[Start Date]],Milestone_Marker,IF(AND(BZ$29&gt;ProposalToGnatt[[#This Row],[Start Date]],BZ$29&lt;ProposalToGnatt[[#This Row],[Start Date]]+ProposalToGnatt[[#This Row],[Days]]),$G$5,"")),"")</f>
        <v/>
      </c>
      <c r="CA37" s="37" t="str">
        <f ca="1">IFERROR(+IF(CA$29=ProposalToGnatt[[#This Row],[Start Date]],Milestone_Marker,IF(AND(CA$29&gt;ProposalToGnatt[[#This Row],[Start Date]],CA$29&lt;ProposalToGnatt[[#This Row],[Start Date]]+ProposalToGnatt[[#This Row],[Days]]),$G$5,"")),"")</f>
        <v/>
      </c>
      <c r="CB37" s="37" t="str">
        <f ca="1">IFERROR(+IF(CB$29=ProposalToGnatt[[#This Row],[Start Date]],Milestone_Marker,IF(AND(CB$29&gt;ProposalToGnatt[[#This Row],[Start Date]],CB$29&lt;ProposalToGnatt[[#This Row],[Start Date]]+ProposalToGnatt[[#This Row],[Days]]),$G$5,"")),"")</f>
        <v/>
      </c>
      <c r="CC37" s="37" t="str">
        <f ca="1">IFERROR(+IF(CC$29=ProposalToGnatt[[#This Row],[Start Date]],Milestone_Marker,IF(AND(CC$29&gt;ProposalToGnatt[[#This Row],[Start Date]],CC$29&lt;ProposalToGnatt[[#This Row],[Start Date]]+ProposalToGnatt[[#This Row],[Days]]),$G$5,"")),"")</f>
        <v/>
      </c>
      <c r="CD37" s="37" t="str">
        <f ca="1">IFERROR(+IF(CD$29=ProposalToGnatt[[#This Row],[Start Date]],Milestone_Marker,IF(AND(CD$29&gt;ProposalToGnatt[[#This Row],[Start Date]],CD$29&lt;ProposalToGnatt[[#This Row],[Start Date]]+ProposalToGnatt[[#This Row],[Days]]),$G$5,"")),"")</f>
        <v/>
      </c>
      <c r="CE37" s="37" t="str">
        <f ca="1">IFERROR(+IF(CE$29=ProposalToGnatt[[#This Row],[Start Date]],Milestone_Marker,IF(AND(CE$29&gt;ProposalToGnatt[[#This Row],[Start Date]],CE$29&lt;ProposalToGnatt[[#This Row],[Start Date]]+ProposalToGnatt[[#This Row],[Days]]),$G$5,"")),"")</f>
        <v/>
      </c>
      <c r="CF37" s="37" t="str">
        <f ca="1">IFERROR(+IF(CF$29=ProposalToGnatt[[#This Row],[Start Date]],Milestone_Marker,IF(AND(CF$29&gt;ProposalToGnatt[[#This Row],[Start Date]],CF$29&lt;ProposalToGnatt[[#This Row],[Start Date]]+ProposalToGnatt[[#This Row],[Days]]),$G$5,"")),"")</f>
        <v/>
      </c>
      <c r="CG37" s="37" t="str">
        <f ca="1">IFERROR(+IF(CG$29=ProposalToGnatt[[#This Row],[Start Date]],Milestone_Marker,IF(AND(CG$29&gt;ProposalToGnatt[[#This Row],[Start Date]],CG$29&lt;ProposalToGnatt[[#This Row],[Start Date]]+ProposalToGnatt[[#This Row],[Days]]),$G$5,"")),"")</f>
        <v/>
      </c>
      <c r="CH37" s="37" t="str">
        <f ca="1">IFERROR(+IF(CH$29=ProposalToGnatt[[#This Row],[Start Date]],Milestone_Marker,IF(AND(CH$29&gt;ProposalToGnatt[[#This Row],[Start Date]],CH$29&lt;ProposalToGnatt[[#This Row],[Start Date]]+ProposalToGnatt[[#This Row],[Days]]),$G$5,"")),"")</f>
        <v/>
      </c>
      <c r="CI37" s="37" t="str">
        <f ca="1">IFERROR(+IF(CI$29=ProposalToGnatt[[#This Row],[Start Date]],Milestone_Marker,IF(AND(CI$29&gt;ProposalToGnatt[[#This Row],[Start Date]],CI$29&lt;ProposalToGnatt[[#This Row],[Start Date]]+ProposalToGnatt[[#This Row],[Days]]),$G$5,"")),"")</f>
        <v/>
      </c>
      <c r="CJ37" s="37" t="str">
        <f ca="1">IFERROR(+IF(CJ$29=ProposalToGnatt[[#This Row],[Start Date]],Milestone_Marker,IF(AND(CJ$29&gt;ProposalToGnatt[[#This Row],[Start Date]],CJ$29&lt;ProposalToGnatt[[#This Row],[Start Date]]+ProposalToGnatt[[#This Row],[Days]]),$G$5,"")),"")</f>
        <v/>
      </c>
      <c r="CK37" s="37" t="str">
        <f ca="1">IFERROR(+IF(CK$29=ProposalToGnatt[[#This Row],[Start Date]],Milestone_Marker,IF(AND(CK$29&gt;ProposalToGnatt[[#This Row],[Start Date]],CK$29&lt;ProposalToGnatt[[#This Row],[Start Date]]+ProposalToGnatt[[#This Row],[Days]]),$G$5,"")),"")</f>
        <v/>
      </c>
      <c r="CL37" s="37" t="str">
        <f ca="1">IFERROR(+IF(CL$29=ProposalToGnatt[[#This Row],[Start Date]],Milestone_Marker,IF(AND(CL$29&gt;ProposalToGnatt[[#This Row],[Start Date]],CL$29&lt;ProposalToGnatt[[#This Row],[Start Date]]+ProposalToGnatt[[#This Row],[Days]]),$G$5,"")),"")</f>
        <v/>
      </c>
      <c r="CM37" s="37" t="str">
        <f ca="1">IFERROR(+IF(CM$29=ProposalToGnatt[[#This Row],[Start Date]],Milestone_Marker,IF(AND(CM$29&gt;ProposalToGnatt[[#This Row],[Start Date]],CM$29&lt;ProposalToGnatt[[#This Row],[Start Date]]+ProposalToGnatt[[#This Row],[Days]]),$G$5,"")),"")</f>
        <v/>
      </c>
      <c r="CN37" s="37" t="str">
        <f ca="1">IFERROR(+IF(CN$29=ProposalToGnatt[[#This Row],[Start Date]],Milestone_Marker,IF(AND(CN$29&gt;ProposalToGnatt[[#This Row],[Start Date]],CN$29&lt;ProposalToGnatt[[#This Row],[Start Date]]+ProposalToGnatt[[#This Row],[Days]]),$G$5,"")),"")</f>
        <v/>
      </c>
      <c r="CO37" s="37" t="str">
        <f ca="1">IFERROR(+IF(CO$29=ProposalToGnatt[[#This Row],[Start Date]],Milestone_Marker,IF(AND(CO$29&gt;ProposalToGnatt[[#This Row],[Start Date]],CO$29&lt;ProposalToGnatt[[#This Row],[Start Date]]+ProposalToGnatt[[#This Row],[Days]]),$G$5,"")),"")</f>
        <v/>
      </c>
      <c r="CP37" s="37" t="str">
        <f ca="1">IFERROR(+IF(CP$29=ProposalToGnatt[[#This Row],[Start Date]],Milestone_Marker,IF(AND(CP$29&gt;ProposalToGnatt[[#This Row],[Start Date]],CP$29&lt;ProposalToGnatt[[#This Row],[Start Date]]+ProposalToGnatt[[#This Row],[Days]]),$G$5,"")),"")</f>
        <v/>
      </c>
      <c r="CQ37" s="37" t="str">
        <f ca="1">IFERROR(+IF(CQ$29=ProposalToGnatt[[#This Row],[Start Date]],Milestone_Marker,IF(AND(CQ$29&gt;ProposalToGnatt[[#This Row],[Start Date]],CQ$29&lt;ProposalToGnatt[[#This Row],[Start Date]]+ProposalToGnatt[[#This Row],[Days]]),$G$5,"")),"")</f>
        <v/>
      </c>
      <c r="CR37" s="37" t="str">
        <f ca="1">IFERROR(+IF(CR$29=ProposalToGnatt[[#This Row],[Start Date]],Milestone_Marker,IF(AND(CR$29&gt;ProposalToGnatt[[#This Row],[Start Date]],CR$29&lt;ProposalToGnatt[[#This Row],[Start Date]]+ProposalToGnatt[[#This Row],[Days]]),$G$5,"")),"")</f>
        <v/>
      </c>
      <c r="CS37" s="37" t="str">
        <f ca="1">IFERROR(+IF(CS$29=ProposalToGnatt[[#This Row],[Start Date]],Milestone_Marker,IF(AND(CS$29&gt;ProposalToGnatt[[#This Row],[Start Date]],CS$29&lt;ProposalToGnatt[[#This Row],[Start Date]]+ProposalToGnatt[[#This Row],[Days]]),$G$5,"")),"")</f>
        <v/>
      </c>
      <c r="CT37" s="37" t="str">
        <f ca="1">IFERROR(+IF(CT$29=ProposalToGnatt[[#This Row],[Start Date]],Milestone_Marker,IF(AND(CT$29&gt;ProposalToGnatt[[#This Row],[Start Date]],CT$29&lt;ProposalToGnatt[[#This Row],[Start Date]]+ProposalToGnatt[[#This Row],[Days]]),$G$5,"")),"")</f>
        <v/>
      </c>
      <c r="CU37" s="37" t="str">
        <f ca="1">IFERROR(+IF(CU$29=ProposalToGnatt[[#This Row],[Start Date]],Milestone_Marker,IF(AND(CU$29&gt;ProposalToGnatt[[#This Row],[Start Date]],CU$29&lt;ProposalToGnatt[[#This Row],[Start Date]]+ProposalToGnatt[[#This Row],[Days]]),$G$5,"")),"")</f>
        <v/>
      </c>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row>
    <row r="38" spans="1:125" s="42" customFormat="1" ht="20.100000000000001" customHeight="1">
      <c r="A38" t="s">
        <v>449</v>
      </c>
      <c r="B38">
        <v>9</v>
      </c>
      <c r="C38" t="s">
        <v>378</v>
      </c>
      <c r="D38" t="s">
        <v>374</v>
      </c>
      <c r="E38" t="s">
        <v>379</v>
      </c>
      <c r="F38">
        <v>0</v>
      </c>
      <c r="G38" s="11">
        <v>135</v>
      </c>
      <c r="H38" s="26">
        <v>0</v>
      </c>
      <c r="I38"/>
      <c r="J38"/>
      <c r="K38" s="402"/>
      <c r="L38"/>
      <c r="M38"/>
      <c r="N38"/>
      <c r="O38" s="26"/>
      <c r="P38" s="37">
        <f ca="1">IFERROR(+IF(P$29=ProposalToGnatt[[#This Row],[Start Date]],Milestone_Marker,IF(AND(P$29&gt;ProposalToGnatt[[#This Row],[Start Date]],P$29&lt;ProposalToGnatt[[#This Row],[Start Date]]+ProposalToGnatt[[#This Row],[Days]]),$G$5,"")),"")</f>
        <v>1</v>
      </c>
      <c r="Q38" s="37" t="str">
        <f ca="1">IFERROR(+IF(Q$29=ProposalToGnatt[[#This Row],[Start Date]],Milestone_Marker,IF(AND(Q$29&gt;ProposalToGnatt[[#This Row],[Start Date]],Q$29&lt;ProposalToGnatt[[#This Row],[Start Date]]+ProposalToGnatt[[#This Row],[Days]]),$G$5,"")),"")</f>
        <v/>
      </c>
      <c r="R38" s="37" t="str">
        <f ca="1">IFERROR(+IF(R$29=ProposalToGnatt[[#This Row],[Start Date]],Milestone_Marker,IF(AND(R$29&gt;ProposalToGnatt[[#This Row],[Start Date]],R$29&lt;ProposalToGnatt[[#This Row],[Start Date]]+ProposalToGnatt[[#This Row],[Days]]),$G$5,"")),"")</f>
        <v/>
      </c>
      <c r="S38" s="37" t="str">
        <f ca="1">IFERROR(+IF(S$29=ProposalToGnatt[[#This Row],[Start Date]],Milestone_Marker,IF(AND(S$29&gt;ProposalToGnatt[[#This Row],[Start Date]],S$29&lt;ProposalToGnatt[[#This Row],[Start Date]]+ProposalToGnatt[[#This Row],[Days]]),$G$5,"")),"")</f>
        <v/>
      </c>
      <c r="T38" s="37" t="str">
        <f ca="1">IFERROR(+IF(T$29=ProposalToGnatt[[#This Row],[Start Date]],Milestone_Marker,IF(AND(T$29&gt;ProposalToGnatt[[#This Row],[Start Date]],T$29&lt;ProposalToGnatt[[#This Row],[Start Date]]+ProposalToGnatt[[#This Row],[Days]]),$G$5,"")),"")</f>
        <v/>
      </c>
      <c r="U38" s="37" t="str">
        <f ca="1">IFERROR(+IF(U$29=ProposalToGnatt[[#This Row],[Start Date]],Milestone_Marker,IF(AND(U$29&gt;ProposalToGnatt[[#This Row],[Start Date]],U$29&lt;ProposalToGnatt[[#This Row],[Start Date]]+ProposalToGnatt[[#This Row],[Days]]),$G$5,"")),"")</f>
        <v/>
      </c>
      <c r="V38" s="37" t="str">
        <f ca="1">IFERROR(+IF(V$29=ProposalToGnatt[[#This Row],[Start Date]],Milestone_Marker,IF(AND(V$29&gt;ProposalToGnatt[[#This Row],[Start Date]],V$29&lt;ProposalToGnatt[[#This Row],[Start Date]]+ProposalToGnatt[[#This Row],[Days]]),$G$5,"")),"")</f>
        <v/>
      </c>
      <c r="W38" s="37" t="str">
        <f ca="1">IFERROR(+IF(W$29=ProposalToGnatt[[#This Row],[Start Date]],Milestone_Marker,IF(AND(W$29&gt;ProposalToGnatt[[#This Row],[Start Date]],W$29&lt;ProposalToGnatt[[#This Row],[Start Date]]+ProposalToGnatt[[#This Row],[Days]]),$G$5,"")),"")</f>
        <v/>
      </c>
      <c r="X38" s="37" t="str">
        <f ca="1">IFERROR(+IF(X$29=ProposalToGnatt[[#This Row],[Start Date]],Milestone_Marker,IF(AND(X$29&gt;ProposalToGnatt[[#This Row],[Start Date]],X$29&lt;ProposalToGnatt[[#This Row],[Start Date]]+ProposalToGnatt[[#This Row],[Days]]),$G$5,"")),"")</f>
        <v/>
      </c>
      <c r="Y38" s="37" t="str">
        <f ca="1">IFERROR(+IF(Y$29=ProposalToGnatt[[#This Row],[Start Date]],Milestone_Marker,IF(AND(Y$29&gt;ProposalToGnatt[[#This Row],[Start Date]],Y$29&lt;ProposalToGnatt[[#This Row],[Start Date]]+ProposalToGnatt[[#This Row],[Days]]),$G$5,"")),"")</f>
        <v/>
      </c>
      <c r="Z38" s="37" t="str">
        <f ca="1">IFERROR(+IF(Z$29=ProposalToGnatt[[#This Row],[Start Date]],Milestone_Marker,IF(AND(Z$29&gt;ProposalToGnatt[[#This Row],[Start Date]],Z$29&lt;ProposalToGnatt[[#This Row],[Start Date]]+ProposalToGnatt[[#This Row],[Days]]),$G$5,"")),"")</f>
        <v/>
      </c>
      <c r="AA38" s="37" t="str">
        <f ca="1">IFERROR(+IF(AA$29=ProposalToGnatt[[#This Row],[Start Date]],Milestone_Marker,IF(AND(AA$29&gt;ProposalToGnatt[[#This Row],[Start Date]],AA$29&lt;ProposalToGnatt[[#This Row],[Start Date]]+ProposalToGnatt[[#This Row],[Days]]),$G$5,"")),"")</f>
        <v/>
      </c>
      <c r="AB38" s="37" t="str">
        <f ca="1">IFERROR(+IF(AB$29=ProposalToGnatt[[#This Row],[Start Date]],Milestone_Marker,IF(AND(AB$29&gt;ProposalToGnatt[[#This Row],[Start Date]],AB$29&lt;ProposalToGnatt[[#This Row],[Start Date]]+ProposalToGnatt[[#This Row],[Days]]),$G$5,"")),"")</f>
        <v/>
      </c>
      <c r="AC38" s="37" t="str">
        <f ca="1">IFERROR(+IF(AC$29=ProposalToGnatt[[#This Row],[Start Date]],Milestone_Marker,IF(AND(AC$29&gt;ProposalToGnatt[[#This Row],[Start Date]],AC$29&lt;ProposalToGnatt[[#This Row],[Start Date]]+ProposalToGnatt[[#This Row],[Days]]),$G$5,"")),"")</f>
        <v/>
      </c>
      <c r="AD38" s="37" t="str">
        <f ca="1">IFERROR(+IF(AD$29=ProposalToGnatt[[#This Row],[Start Date]],Milestone_Marker,IF(AND(AD$29&gt;ProposalToGnatt[[#This Row],[Start Date]],AD$29&lt;ProposalToGnatt[[#This Row],[Start Date]]+ProposalToGnatt[[#This Row],[Days]]),$G$5,"")),"")</f>
        <v/>
      </c>
      <c r="AE38" s="37" t="str">
        <f ca="1">IFERROR(+IF(AE$29=ProposalToGnatt[[#This Row],[Start Date]],Milestone_Marker,IF(AND(AE$29&gt;ProposalToGnatt[[#This Row],[Start Date]],AE$29&lt;ProposalToGnatt[[#This Row],[Start Date]]+ProposalToGnatt[[#This Row],[Days]]),$G$5,"")),"")</f>
        <v/>
      </c>
      <c r="AF38" s="37" t="str">
        <f ca="1">IFERROR(+IF(AF$29=ProposalToGnatt[[#This Row],[Start Date]],Milestone_Marker,IF(AND(AF$29&gt;ProposalToGnatt[[#This Row],[Start Date]],AF$29&lt;ProposalToGnatt[[#This Row],[Start Date]]+ProposalToGnatt[[#This Row],[Days]]),$G$5,"")),"")</f>
        <v/>
      </c>
      <c r="AG38" s="37" t="str">
        <f ca="1">IFERROR(+IF(AG$29=ProposalToGnatt[[#This Row],[Start Date]],Milestone_Marker,IF(AND(AG$29&gt;ProposalToGnatt[[#This Row],[Start Date]],AG$29&lt;ProposalToGnatt[[#This Row],[Start Date]]+ProposalToGnatt[[#This Row],[Days]]),$G$5,"")),"")</f>
        <v/>
      </c>
      <c r="AH38" s="37" t="str">
        <f ca="1">IFERROR(+IF(AH$29=ProposalToGnatt[[#This Row],[Start Date]],Milestone_Marker,IF(AND(AH$29&gt;ProposalToGnatt[[#This Row],[Start Date]],AH$29&lt;ProposalToGnatt[[#This Row],[Start Date]]+ProposalToGnatt[[#This Row],[Days]]),$G$5,"")),"")</f>
        <v/>
      </c>
      <c r="AI38" s="37" t="str">
        <f ca="1">IFERROR(+IF(AI$29=ProposalToGnatt[[#This Row],[Start Date]],Milestone_Marker,IF(AND(AI$29&gt;ProposalToGnatt[[#This Row],[Start Date]],AI$29&lt;ProposalToGnatt[[#This Row],[Start Date]]+ProposalToGnatt[[#This Row],[Days]]),$G$5,"")),"")</f>
        <v/>
      </c>
      <c r="AJ38" s="37" t="str">
        <f ca="1">IFERROR(+IF(AJ$29=ProposalToGnatt[[#This Row],[Start Date]],Milestone_Marker,IF(AND(AJ$29&gt;ProposalToGnatt[[#This Row],[Start Date]],AJ$29&lt;ProposalToGnatt[[#This Row],[Start Date]]+ProposalToGnatt[[#This Row],[Days]]),$G$5,"")),"")</f>
        <v/>
      </c>
      <c r="AK38" s="37" t="str">
        <f ca="1">IFERROR(+IF(AK$29=ProposalToGnatt[[#This Row],[Start Date]],Milestone_Marker,IF(AND(AK$29&gt;ProposalToGnatt[[#This Row],[Start Date]],AK$29&lt;ProposalToGnatt[[#This Row],[Start Date]]+ProposalToGnatt[[#This Row],[Days]]),$G$5,"")),"")</f>
        <v/>
      </c>
      <c r="AL38" s="37" t="str">
        <f ca="1">IFERROR(+IF(AL$29=ProposalToGnatt[[#This Row],[Start Date]],Milestone_Marker,IF(AND(AL$29&gt;ProposalToGnatt[[#This Row],[Start Date]],AL$29&lt;ProposalToGnatt[[#This Row],[Start Date]]+ProposalToGnatt[[#This Row],[Days]]),$G$5,"")),"")</f>
        <v/>
      </c>
      <c r="AM38" s="37" t="str">
        <f ca="1">IFERROR(+IF(AM$29=ProposalToGnatt[[#This Row],[Start Date]],Milestone_Marker,IF(AND(AM$29&gt;ProposalToGnatt[[#This Row],[Start Date]],AM$29&lt;ProposalToGnatt[[#This Row],[Start Date]]+ProposalToGnatt[[#This Row],[Days]]),$G$5,"")),"")</f>
        <v/>
      </c>
      <c r="AN38" s="37" t="str">
        <f ca="1">IFERROR(+IF(AN$29=ProposalToGnatt[[#This Row],[Start Date]],Milestone_Marker,IF(AND(AN$29&gt;ProposalToGnatt[[#This Row],[Start Date]],AN$29&lt;ProposalToGnatt[[#This Row],[Start Date]]+ProposalToGnatt[[#This Row],[Days]]),$G$5,"")),"")</f>
        <v/>
      </c>
      <c r="AO38" s="37" t="str">
        <f ca="1">IFERROR(+IF(AO$29=ProposalToGnatt[[#This Row],[Start Date]],Milestone_Marker,IF(AND(AO$29&gt;ProposalToGnatt[[#This Row],[Start Date]],AO$29&lt;ProposalToGnatt[[#This Row],[Start Date]]+ProposalToGnatt[[#This Row],[Days]]),$G$5,"")),"")</f>
        <v/>
      </c>
      <c r="AP38" s="37" t="str">
        <f ca="1">IFERROR(+IF(AP$29=ProposalToGnatt[[#This Row],[Start Date]],Milestone_Marker,IF(AND(AP$29&gt;ProposalToGnatt[[#This Row],[Start Date]],AP$29&lt;ProposalToGnatt[[#This Row],[Start Date]]+ProposalToGnatt[[#This Row],[Days]]),$G$5,"")),"")</f>
        <v/>
      </c>
      <c r="AQ38" s="37" t="str">
        <f ca="1">IFERROR(+IF(AQ$29=ProposalToGnatt[[#This Row],[Start Date]],Milestone_Marker,IF(AND(AQ$29&gt;ProposalToGnatt[[#This Row],[Start Date]],AQ$29&lt;ProposalToGnatt[[#This Row],[Start Date]]+ProposalToGnatt[[#This Row],[Days]]),$G$5,"")),"")</f>
        <v/>
      </c>
      <c r="AR38" s="37" t="str">
        <f ca="1">IFERROR(+IF(AR$29=ProposalToGnatt[[#This Row],[Start Date]],Milestone_Marker,IF(AND(AR$29&gt;ProposalToGnatt[[#This Row],[Start Date]],AR$29&lt;ProposalToGnatt[[#This Row],[Start Date]]+ProposalToGnatt[[#This Row],[Days]]),$G$5,"")),"")</f>
        <v/>
      </c>
      <c r="AS38" s="37" t="str">
        <f ca="1">IFERROR(+IF(AS$29=ProposalToGnatt[[#This Row],[Start Date]],Milestone_Marker,IF(AND(AS$29&gt;ProposalToGnatt[[#This Row],[Start Date]],AS$29&lt;ProposalToGnatt[[#This Row],[Start Date]]+ProposalToGnatt[[#This Row],[Days]]),$G$5,"")),"")</f>
        <v/>
      </c>
      <c r="AT38" s="37" t="str">
        <f ca="1">IFERROR(+IF(AT$29=ProposalToGnatt[[#This Row],[Start Date]],Milestone_Marker,IF(AND(AT$29&gt;ProposalToGnatt[[#This Row],[Start Date]],AT$29&lt;ProposalToGnatt[[#This Row],[Start Date]]+ProposalToGnatt[[#This Row],[Days]]),$G$5,"")),"")</f>
        <v/>
      </c>
      <c r="AU38" s="37" t="str">
        <f ca="1">IFERROR(+IF(AU$29=ProposalToGnatt[[#This Row],[Start Date]],Milestone_Marker,IF(AND(AU$29&gt;ProposalToGnatt[[#This Row],[Start Date]],AU$29&lt;ProposalToGnatt[[#This Row],[Start Date]]+ProposalToGnatt[[#This Row],[Days]]),$G$5,"")),"")</f>
        <v/>
      </c>
      <c r="AV38" s="37" t="str">
        <f ca="1">IFERROR(+IF(AV$29=ProposalToGnatt[[#This Row],[Start Date]],Milestone_Marker,IF(AND(AV$29&gt;ProposalToGnatt[[#This Row],[Start Date]],AV$29&lt;ProposalToGnatt[[#This Row],[Start Date]]+ProposalToGnatt[[#This Row],[Days]]),$G$5,"")),"")</f>
        <v/>
      </c>
      <c r="AW38" s="37" t="str">
        <f ca="1">IFERROR(+IF(AW$29=ProposalToGnatt[[#This Row],[Start Date]],Milestone_Marker,IF(AND(AW$29&gt;ProposalToGnatt[[#This Row],[Start Date]],AW$29&lt;ProposalToGnatt[[#This Row],[Start Date]]+ProposalToGnatt[[#This Row],[Days]]),$G$5,"")),"")</f>
        <v/>
      </c>
      <c r="AX38" s="37" t="str">
        <f ca="1">IFERROR(+IF(AX$29=ProposalToGnatt[[#This Row],[Start Date]],Milestone_Marker,IF(AND(AX$29&gt;ProposalToGnatt[[#This Row],[Start Date]],AX$29&lt;ProposalToGnatt[[#This Row],[Start Date]]+ProposalToGnatt[[#This Row],[Days]]),$G$5,"")),"")</f>
        <v/>
      </c>
      <c r="AY38" s="37" t="str">
        <f ca="1">IFERROR(+IF(AY$29=ProposalToGnatt[[#This Row],[Start Date]],Milestone_Marker,IF(AND(AY$29&gt;ProposalToGnatt[[#This Row],[Start Date]],AY$29&lt;ProposalToGnatt[[#This Row],[Start Date]]+ProposalToGnatt[[#This Row],[Days]]),$G$5,"")),"")</f>
        <v/>
      </c>
      <c r="AZ38" s="37" t="str">
        <f ca="1">IFERROR(+IF(AZ$29=ProposalToGnatt[[#This Row],[Start Date]],Milestone_Marker,IF(AND(AZ$29&gt;ProposalToGnatt[[#This Row],[Start Date]],AZ$29&lt;ProposalToGnatt[[#This Row],[Start Date]]+ProposalToGnatt[[#This Row],[Days]]),$G$5,"")),"")</f>
        <v/>
      </c>
      <c r="BA38" s="37" t="str">
        <f ca="1">IFERROR(+IF(BA$29=ProposalToGnatt[[#This Row],[Start Date]],Milestone_Marker,IF(AND(BA$29&gt;ProposalToGnatt[[#This Row],[Start Date]],BA$29&lt;ProposalToGnatt[[#This Row],[Start Date]]+ProposalToGnatt[[#This Row],[Days]]),$G$5,"")),"")</f>
        <v/>
      </c>
      <c r="BB38" s="37" t="str">
        <f ca="1">IFERROR(+IF(BB$29=ProposalToGnatt[[#This Row],[Start Date]],Milestone_Marker,IF(AND(BB$29&gt;ProposalToGnatt[[#This Row],[Start Date]],BB$29&lt;ProposalToGnatt[[#This Row],[Start Date]]+ProposalToGnatt[[#This Row],[Days]]),$G$5,"")),"")</f>
        <v/>
      </c>
      <c r="BC38" s="37" t="str">
        <f ca="1">IFERROR(+IF(BC$29=ProposalToGnatt[[#This Row],[Start Date]],Milestone_Marker,IF(AND(BC$29&gt;ProposalToGnatt[[#This Row],[Start Date]],BC$29&lt;ProposalToGnatt[[#This Row],[Start Date]]+ProposalToGnatt[[#This Row],[Days]]),$G$5,"")),"")</f>
        <v/>
      </c>
      <c r="BD38" s="37" t="str">
        <f ca="1">IFERROR(+IF(BD$29=ProposalToGnatt[[#This Row],[Start Date]],Milestone_Marker,IF(AND(BD$29&gt;ProposalToGnatt[[#This Row],[Start Date]],BD$29&lt;ProposalToGnatt[[#This Row],[Start Date]]+ProposalToGnatt[[#This Row],[Days]]),$G$5,"")),"")</f>
        <v/>
      </c>
      <c r="BE38" s="37" t="str">
        <f ca="1">IFERROR(+IF(BE$29=ProposalToGnatt[[#This Row],[Start Date]],Milestone_Marker,IF(AND(BE$29&gt;ProposalToGnatt[[#This Row],[Start Date]],BE$29&lt;ProposalToGnatt[[#This Row],[Start Date]]+ProposalToGnatt[[#This Row],[Days]]),$G$5,"")),"")</f>
        <v/>
      </c>
      <c r="BF38" s="37" t="str">
        <f ca="1">IFERROR(+IF(BF$29=ProposalToGnatt[[#This Row],[Start Date]],Milestone_Marker,IF(AND(BF$29&gt;ProposalToGnatt[[#This Row],[Start Date]],BF$29&lt;ProposalToGnatt[[#This Row],[Start Date]]+ProposalToGnatt[[#This Row],[Days]]),$G$5,"")),"")</f>
        <v/>
      </c>
      <c r="BG38" s="37" t="str">
        <f ca="1">IFERROR(+IF(BG$29=ProposalToGnatt[[#This Row],[Start Date]],Milestone_Marker,IF(AND(BG$29&gt;ProposalToGnatt[[#This Row],[Start Date]],BG$29&lt;ProposalToGnatt[[#This Row],[Start Date]]+ProposalToGnatt[[#This Row],[Days]]),$G$5,"")),"")</f>
        <v/>
      </c>
      <c r="BH38" s="37" t="str">
        <f ca="1">IFERROR(+IF(BH$29=ProposalToGnatt[[#This Row],[Start Date]],Milestone_Marker,IF(AND(BH$29&gt;ProposalToGnatt[[#This Row],[Start Date]],BH$29&lt;ProposalToGnatt[[#This Row],[Start Date]]+ProposalToGnatt[[#This Row],[Days]]),$G$5,"")),"")</f>
        <v/>
      </c>
      <c r="BI38" s="37" t="str">
        <f ca="1">IFERROR(+IF(BI$29=ProposalToGnatt[[#This Row],[Start Date]],Milestone_Marker,IF(AND(BI$29&gt;ProposalToGnatt[[#This Row],[Start Date]],BI$29&lt;ProposalToGnatt[[#This Row],[Start Date]]+ProposalToGnatt[[#This Row],[Days]]),$G$5,"")),"")</f>
        <v/>
      </c>
      <c r="BJ38" s="37" t="str">
        <f ca="1">IFERROR(+IF(BJ$29=ProposalToGnatt[[#This Row],[Start Date]],Milestone_Marker,IF(AND(BJ$29&gt;ProposalToGnatt[[#This Row],[Start Date]],BJ$29&lt;ProposalToGnatt[[#This Row],[Start Date]]+ProposalToGnatt[[#This Row],[Days]]),$G$5,"")),"")</f>
        <v/>
      </c>
      <c r="BK38" s="37" t="str">
        <f ca="1">IFERROR(+IF(BK$29=ProposalToGnatt[[#This Row],[Start Date]],Milestone_Marker,IF(AND(BK$29&gt;ProposalToGnatt[[#This Row],[Start Date]],BK$29&lt;ProposalToGnatt[[#This Row],[Start Date]]+ProposalToGnatt[[#This Row],[Days]]),$G$5,"")),"")</f>
        <v/>
      </c>
      <c r="BL38" s="37" t="str">
        <f ca="1">IFERROR(+IF(BL$29=ProposalToGnatt[[#This Row],[Start Date]],Milestone_Marker,IF(AND(BL$29&gt;ProposalToGnatt[[#This Row],[Start Date]],BL$29&lt;ProposalToGnatt[[#This Row],[Start Date]]+ProposalToGnatt[[#This Row],[Days]]),$G$5,"")),"")</f>
        <v/>
      </c>
      <c r="BM38" s="37" t="str">
        <f ca="1">IFERROR(+IF(BM$29=ProposalToGnatt[[#This Row],[Start Date]],Milestone_Marker,IF(AND(BM$29&gt;ProposalToGnatt[[#This Row],[Start Date]],BM$29&lt;ProposalToGnatt[[#This Row],[Start Date]]+ProposalToGnatt[[#This Row],[Days]]),$G$5,"")),"")</f>
        <v/>
      </c>
      <c r="BN38" s="37" t="str">
        <f ca="1">IFERROR(+IF(BN$29=ProposalToGnatt[[#This Row],[Start Date]],Milestone_Marker,IF(AND(BN$29&gt;ProposalToGnatt[[#This Row],[Start Date]],BN$29&lt;ProposalToGnatt[[#This Row],[Start Date]]+ProposalToGnatt[[#This Row],[Days]]),$G$5,"")),"")</f>
        <v/>
      </c>
      <c r="BO38" s="37" t="str">
        <f ca="1">IFERROR(+IF(BO$29=ProposalToGnatt[[#This Row],[Start Date]],Milestone_Marker,IF(AND(BO$29&gt;ProposalToGnatt[[#This Row],[Start Date]],BO$29&lt;ProposalToGnatt[[#This Row],[Start Date]]+ProposalToGnatt[[#This Row],[Days]]),$G$5,"")),"")</f>
        <v/>
      </c>
      <c r="BP38" s="37" t="str">
        <f ca="1">IFERROR(+IF(BP$29=ProposalToGnatt[[#This Row],[Start Date]],Milestone_Marker,IF(AND(BP$29&gt;ProposalToGnatt[[#This Row],[Start Date]],BP$29&lt;ProposalToGnatt[[#This Row],[Start Date]]+ProposalToGnatt[[#This Row],[Days]]),$G$5,"")),"")</f>
        <v/>
      </c>
      <c r="BQ38" s="37" t="str">
        <f ca="1">IFERROR(+IF(BQ$29=ProposalToGnatt[[#This Row],[Start Date]],Milestone_Marker,IF(AND(BQ$29&gt;ProposalToGnatt[[#This Row],[Start Date]],BQ$29&lt;ProposalToGnatt[[#This Row],[Start Date]]+ProposalToGnatt[[#This Row],[Days]]),$G$5,"")),"")</f>
        <v/>
      </c>
      <c r="BR38" s="37" t="str">
        <f ca="1">IFERROR(+IF(BR$29=ProposalToGnatt[[#This Row],[Start Date]],Milestone_Marker,IF(AND(BR$29&gt;ProposalToGnatt[[#This Row],[Start Date]],BR$29&lt;ProposalToGnatt[[#This Row],[Start Date]]+ProposalToGnatt[[#This Row],[Days]]),$G$5,"")),"")</f>
        <v/>
      </c>
      <c r="BS38" s="37" t="str">
        <f ca="1">IFERROR(+IF(BS$29=ProposalToGnatt[[#This Row],[Start Date]],Milestone_Marker,IF(AND(BS$29&gt;ProposalToGnatt[[#This Row],[Start Date]],BS$29&lt;ProposalToGnatt[[#This Row],[Start Date]]+ProposalToGnatt[[#This Row],[Days]]),$G$5,"")),"")</f>
        <v/>
      </c>
      <c r="BT38" s="37" t="str">
        <f ca="1">IFERROR(+IF(BT$29=ProposalToGnatt[[#This Row],[Start Date]],Milestone_Marker,IF(AND(BT$29&gt;ProposalToGnatt[[#This Row],[Start Date]],BT$29&lt;ProposalToGnatt[[#This Row],[Start Date]]+ProposalToGnatt[[#This Row],[Days]]),$G$5,"")),"")</f>
        <v/>
      </c>
      <c r="BU38" s="37" t="str">
        <f ca="1">IFERROR(+IF(BU$29=ProposalToGnatt[[#This Row],[Start Date]],Milestone_Marker,IF(AND(BU$29&gt;ProposalToGnatt[[#This Row],[Start Date]],BU$29&lt;ProposalToGnatt[[#This Row],[Start Date]]+ProposalToGnatt[[#This Row],[Days]]),$G$5,"")),"")</f>
        <v/>
      </c>
      <c r="BV38" s="37" t="str">
        <f ca="1">IFERROR(+IF(BV$29=ProposalToGnatt[[#This Row],[Start Date]],Milestone_Marker,IF(AND(BV$29&gt;ProposalToGnatt[[#This Row],[Start Date]],BV$29&lt;ProposalToGnatt[[#This Row],[Start Date]]+ProposalToGnatt[[#This Row],[Days]]),$G$5,"")),"")</f>
        <v/>
      </c>
      <c r="BW38" s="37" t="str">
        <f ca="1">IFERROR(+IF(BW$29=ProposalToGnatt[[#This Row],[Start Date]],Milestone_Marker,IF(AND(BW$29&gt;ProposalToGnatt[[#This Row],[Start Date]],BW$29&lt;ProposalToGnatt[[#This Row],[Start Date]]+ProposalToGnatt[[#This Row],[Days]]),$G$5,"")),"")</f>
        <v/>
      </c>
      <c r="BX38" s="37" t="str">
        <f ca="1">IFERROR(+IF(BX$29=ProposalToGnatt[[#This Row],[Start Date]],Milestone_Marker,IF(AND(BX$29&gt;ProposalToGnatt[[#This Row],[Start Date]],BX$29&lt;ProposalToGnatt[[#This Row],[Start Date]]+ProposalToGnatt[[#This Row],[Days]]),$G$5,"")),"")</f>
        <v/>
      </c>
      <c r="BY38" s="37" t="str">
        <f ca="1">IFERROR(+IF(BY$29=ProposalToGnatt[[#This Row],[Start Date]],Milestone_Marker,IF(AND(BY$29&gt;ProposalToGnatt[[#This Row],[Start Date]],BY$29&lt;ProposalToGnatt[[#This Row],[Start Date]]+ProposalToGnatt[[#This Row],[Days]]),$G$5,"")),"")</f>
        <v/>
      </c>
      <c r="BZ38" s="37" t="str">
        <f ca="1">IFERROR(+IF(BZ$29=ProposalToGnatt[[#This Row],[Start Date]],Milestone_Marker,IF(AND(BZ$29&gt;ProposalToGnatt[[#This Row],[Start Date]],BZ$29&lt;ProposalToGnatt[[#This Row],[Start Date]]+ProposalToGnatt[[#This Row],[Days]]),$G$5,"")),"")</f>
        <v/>
      </c>
      <c r="CA38" s="37" t="str">
        <f ca="1">IFERROR(+IF(CA$29=ProposalToGnatt[[#This Row],[Start Date]],Milestone_Marker,IF(AND(CA$29&gt;ProposalToGnatt[[#This Row],[Start Date]],CA$29&lt;ProposalToGnatt[[#This Row],[Start Date]]+ProposalToGnatt[[#This Row],[Days]]),$G$5,"")),"")</f>
        <v/>
      </c>
      <c r="CB38" s="37" t="str">
        <f ca="1">IFERROR(+IF(CB$29=ProposalToGnatt[[#This Row],[Start Date]],Milestone_Marker,IF(AND(CB$29&gt;ProposalToGnatt[[#This Row],[Start Date]],CB$29&lt;ProposalToGnatt[[#This Row],[Start Date]]+ProposalToGnatt[[#This Row],[Days]]),$G$5,"")),"")</f>
        <v/>
      </c>
      <c r="CC38" s="37" t="str">
        <f ca="1">IFERROR(+IF(CC$29=ProposalToGnatt[[#This Row],[Start Date]],Milestone_Marker,IF(AND(CC$29&gt;ProposalToGnatt[[#This Row],[Start Date]],CC$29&lt;ProposalToGnatt[[#This Row],[Start Date]]+ProposalToGnatt[[#This Row],[Days]]),$G$5,"")),"")</f>
        <v/>
      </c>
      <c r="CD38" s="37" t="str">
        <f ca="1">IFERROR(+IF(CD$29=ProposalToGnatt[[#This Row],[Start Date]],Milestone_Marker,IF(AND(CD$29&gt;ProposalToGnatt[[#This Row],[Start Date]],CD$29&lt;ProposalToGnatt[[#This Row],[Start Date]]+ProposalToGnatt[[#This Row],[Days]]),$G$5,"")),"")</f>
        <v/>
      </c>
      <c r="CE38" s="37" t="str">
        <f ca="1">IFERROR(+IF(CE$29=ProposalToGnatt[[#This Row],[Start Date]],Milestone_Marker,IF(AND(CE$29&gt;ProposalToGnatt[[#This Row],[Start Date]],CE$29&lt;ProposalToGnatt[[#This Row],[Start Date]]+ProposalToGnatt[[#This Row],[Days]]),$G$5,"")),"")</f>
        <v/>
      </c>
      <c r="CF38" s="37" t="str">
        <f ca="1">IFERROR(+IF(CF$29=ProposalToGnatt[[#This Row],[Start Date]],Milestone_Marker,IF(AND(CF$29&gt;ProposalToGnatt[[#This Row],[Start Date]],CF$29&lt;ProposalToGnatt[[#This Row],[Start Date]]+ProposalToGnatt[[#This Row],[Days]]),$G$5,"")),"")</f>
        <v/>
      </c>
      <c r="CG38" s="37" t="str">
        <f ca="1">IFERROR(+IF(CG$29=ProposalToGnatt[[#This Row],[Start Date]],Milestone_Marker,IF(AND(CG$29&gt;ProposalToGnatt[[#This Row],[Start Date]],CG$29&lt;ProposalToGnatt[[#This Row],[Start Date]]+ProposalToGnatt[[#This Row],[Days]]),$G$5,"")),"")</f>
        <v/>
      </c>
      <c r="CH38" s="37" t="str">
        <f ca="1">IFERROR(+IF(CH$29=ProposalToGnatt[[#This Row],[Start Date]],Milestone_Marker,IF(AND(CH$29&gt;ProposalToGnatt[[#This Row],[Start Date]],CH$29&lt;ProposalToGnatt[[#This Row],[Start Date]]+ProposalToGnatt[[#This Row],[Days]]),$G$5,"")),"")</f>
        <v/>
      </c>
      <c r="CI38" s="37" t="str">
        <f ca="1">IFERROR(+IF(CI$29=ProposalToGnatt[[#This Row],[Start Date]],Milestone_Marker,IF(AND(CI$29&gt;ProposalToGnatt[[#This Row],[Start Date]],CI$29&lt;ProposalToGnatt[[#This Row],[Start Date]]+ProposalToGnatt[[#This Row],[Days]]),$G$5,"")),"")</f>
        <v/>
      </c>
      <c r="CJ38" s="37" t="str">
        <f ca="1">IFERROR(+IF(CJ$29=ProposalToGnatt[[#This Row],[Start Date]],Milestone_Marker,IF(AND(CJ$29&gt;ProposalToGnatt[[#This Row],[Start Date]],CJ$29&lt;ProposalToGnatt[[#This Row],[Start Date]]+ProposalToGnatt[[#This Row],[Days]]),$G$5,"")),"")</f>
        <v/>
      </c>
      <c r="CK38" s="37" t="str">
        <f ca="1">IFERROR(+IF(CK$29=ProposalToGnatt[[#This Row],[Start Date]],Milestone_Marker,IF(AND(CK$29&gt;ProposalToGnatt[[#This Row],[Start Date]],CK$29&lt;ProposalToGnatt[[#This Row],[Start Date]]+ProposalToGnatt[[#This Row],[Days]]),$G$5,"")),"")</f>
        <v/>
      </c>
      <c r="CL38" s="37" t="str">
        <f ca="1">IFERROR(+IF(CL$29=ProposalToGnatt[[#This Row],[Start Date]],Milestone_Marker,IF(AND(CL$29&gt;ProposalToGnatt[[#This Row],[Start Date]],CL$29&lt;ProposalToGnatt[[#This Row],[Start Date]]+ProposalToGnatt[[#This Row],[Days]]),$G$5,"")),"")</f>
        <v/>
      </c>
      <c r="CM38" s="37" t="str">
        <f ca="1">IFERROR(+IF(CM$29=ProposalToGnatt[[#This Row],[Start Date]],Milestone_Marker,IF(AND(CM$29&gt;ProposalToGnatt[[#This Row],[Start Date]],CM$29&lt;ProposalToGnatt[[#This Row],[Start Date]]+ProposalToGnatt[[#This Row],[Days]]),$G$5,"")),"")</f>
        <v/>
      </c>
      <c r="CN38" s="37" t="str">
        <f ca="1">IFERROR(+IF(CN$29=ProposalToGnatt[[#This Row],[Start Date]],Milestone_Marker,IF(AND(CN$29&gt;ProposalToGnatt[[#This Row],[Start Date]],CN$29&lt;ProposalToGnatt[[#This Row],[Start Date]]+ProposalToGnatt[[#This Row],[Days]]),$G$5,"")),"")</f>
        <v/>
      </c>
      <c r="CO38" s="37" t="str">
        <f ca="1">IFERROR(+IF(CO$29=ProposalToGnatt[[#This Row],[Start Date]],Milestone_Marker,IF(AND(CO$29&gt;ProposalToGnatt[[#This Row],[Start Date]],CO$29&lt;ProposalToGnatt[[#This Row],[Start Date]]+ProposalToGnatt[[#This Row],[Days]]),$G$5,"")),"")</f>
        <v/>
      </c>
      <c r="CP38" s="37" t="str">
        <f ca="1">IFERROR(+IF(CP$29=ProposalToGnatt[[#This Row],[Start Date]],Milestone_Marker,IF(AND(CP$29&gt;ProposalToGnatt[[#This Row],[Start Date]],CP$29&lt;ProposalToGnatt[[#This Row],[Start Date]]+ProposalToGnatt[[#This Row],[Days]]),$G$5,"")),"")</f>
        <v/>
      </c>
      <c r="CQ38" s="37" t="str">
        <f ca="1">IFERROR(+IF(CQ$29=ProposalToGnatt[[#This Row],[Start Date]],Milestone_Marker,IF(AND(CQ$29&gt;ProposalToGnatt[[#This Row],[Start Date]],CQ$29&lt;ProposalToGnatt[[#This Row],[Start Date]]+ProposalToGnatt[[#This Row],[Days]]),$G$5,"")),"")</f>
        <v/>
      </c>
      <c r="CR38" s="37" t="str">
        <f ca="1">IFERROR(+IF(CR$29=ProposalToGnatt[[#This Row],[Start Date]],Milestone_Marker,IF(AND(CR$29&gt;ProposalToGnatt[[#This Row],[Start Date]],CR$29&lt;ProposalToGnatt[[#This Row],[Start Date]]+ProposalToGnatt[[#This Row],[Days]]),$G$5,"")),"")</f>
        <v/>
      </c>
      <c r="CS38" s="37" t="str">
        <f ca="1">IFERROR(+IF(CS$29=ProposalToGnatt[[#This Row],[Start Date]],Milestone_Marker,IF(AND(CS$29&gt;ProposalToGnatt[[#This Row],[Start Date]],CS$29&lt;ProposalToGnatt[[#This Row],[Start Date]]+ProposalToGnatt[[#This Row],[Days]]),$G$5,"")),"")</f>
        <v/>
      </c>
      <c r="CT38" s="37" t="str">
        <f ca="1">IFERROR(+IF(CT$29=ProposalToGnatt[[#This Row],[Start Date]],Milestone_Marker,IF(AND(CT$29&gt;ProposalToGnatt[[#This Row],[Start Date]],CT$29&lt;ProposalToGnatt[[#This Row],[Start Date]]+ProposalToGnatt[[#This Row],[Days]]),$G$5,"")),"")</f>
        <v/>
      </c>
      <c r="CU38" s="37" t="str">
        <f ca="1">IFERROR(+IF(CU$29=ProposalToGnatt[[#This Row],[Start Date]],Milestone_Marker,IF(AND(CU$29&gt;ProposalToGnatt[[#This Row],[Start Date]],CU$29&lt;ProposalToGnatt[[#This Row],[Start Date]]+ProposalToGnatt[[#This Row],[Days]]),$G$5,"")),"")</f>
        <v/>
      </c>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row>
    <row r="39" spans="1:125" s="42" customFormat="1" ht="20.100000000000001" customHeight="1">
      <c r="A39" t="s">
        <v>450</v>
      </c>
      <c r="B39">
        <v>10</v>
      </c>
      <c r="C39"/>
      <c r="D39"/>
      <c r="E39" t="s">
        <v>380</v>
      </c>
      <c r="F39">
        <v>1</v>
      </c>
      <c r="G39" s="11">
        <v>0</v>
      </c>
      <c r="H39" s="26">
        <v>0</v>
      </c>
      <c r="I39"/>
      <c r="J39"/>
      <c r="K39" s="402"/>
      <c r="L39"/>
      <c r="M39"/>
      <c r="N39"/>
      <c r="O39" s="26"/>
      <c r="P39" s="37">
        <f ca="1">IFERROR(+IF(P$29=ProposalToGnatt[[#This Row],[Start Date]],Milestone_Marker,IF(AND(P$29&gt;ProposalToGnatt[[#This Row],[Start Date]],P$29&lt;ProposalToGnatt[[#This Row],[Start Date]]+ProposalToGnatt[[#This Row],[Days]]),$G$5,"")),"")</f>
        <v>1</v>
      </c>
      <c r="Q39" s="37" t="str">
        <f ca="1">IFERROR(+IF(Q$29=ProposalToGnatt[[#This Row],[Start Date]],Milestone_Marker,IF(AND(Q$29&gt;ProposalToGnatt[[#This Row],[Start Date]],Q$29&lt;ProposalToGnatt[[#This Row],[Start Date]]+ProposalToGnatt[[#This Row],[Days]]),$G$5,"")),"")</f>
        <v/>
      </c>
      <c r="R39" s="37" t="str">
        <f ca="1">IFERROR(+IF(R$29=ProposalToGnatt[[#This Row],[Start Date]],Milestone_Marker,IF(AND(R$29&gt;ProposalToGnatt[[#This Row],[Start Date]],R$29&lt;ProposalToGnatt[[#This Row],[Start Date]]+ProposalToGnatt[[#This Row],[Days]]),$G$5,"")),"")</f>
        <v/>
      </c>
      <c r="S39" s="37" t="str">
        <f ca="1">IFERROR(+IF(S$29=ProposalToGnatt[[#This Row],[Start Date]],Milestone_Marker,IF(AND(S$29&gt;ProposalToGnatt[[#This Row],[Start Date]],S$29&lt;ProposalToGnatt[[#This Row],[Start Date]]+ProposalToGnatt[[#This Row],[Days]]),$G$5,"")),"")</f>
        <v/>
      </c>
      <c r="T39" s="37" t="str">
        <f ca="1">IFERROR(+IF(T$29=ProposalToGnatt[[#This Row],[Start Date]],Milestone_Marker,IF(AND(T$29&gt;ProposalToGnatt[[#This Row],[Start Date]],T$29&lt;ProposalToGnatt[[#This Row],[Start Date]]+ProposalToGnatt[[#This Row],[Days]]),$G$5,"")),"")</f>
        <v/>
      </c>
      <c r="U39" s="37" t="str">
        <f ca="1">IFERROR(+IF(U$29=ProposalToGnatt[[#This Row],[Start Date]],Milestone_Marker,IF(AND(U$29&gt;ProposalToGnatt[[#This Row],[Start Date]],U$29&lt;ProposalToGnatt[[#This Row],[Start Date]]+ProposalToGnatt[[#This Row],[Days]]),$G$5,"")),"")</f>
        <v/>
      </c>
      <c r="V39" s="37" t="str">
        <f ca="1">IFERROR(+IF(V$29=ProposalToGnatt[[#This Row],[Start Date]],Milestone_Marker,IF(AND(V$29&gt;ProposalToGnatt[[#This Row],[Start Date]],V$29&lt;ProposalToGnatt[[#This Row],[Start Date]]+ProposalToGnatt[[#This Row],[Days]]),$G$5,"")),"")</f>
        <v/>
      </c>
      <c r="W39" s="37" t="str">
        <f ca="1">IFERROR(+IF(W$29=ProposalToGnatt[[#This Row],[Start Date]],Milestone_Marker,IF(AND(W$29&gt;ProposalToGnatt[[#This Row],[Start Date]],W$29&lt;ProposalToGnatt[[#This Row],[Start Date]]+ProposalToGnatt[[#This Row],[Days]]),$G$5,"")),"")</f>
        <v/>
      </c>
      <c r="X39" s="37" t="str">
        <f ca="1">IFERROR(+IF(X$29=ProposalToGnatt[[#This Row],[Start Date]],Milestone_Marker,IF(AND(X$29&gt;ProposalToGnatt[[#This Row],[Start Date]],X$29&lt;ProposalToGnatt[[#This Row],[Start Date]]+ProposalToGnatt[[#This Row],[Days]]),$G$5,"")),"")</f>
        <v/>
      </c>
      <c r="Y39" s="37" t="str">
        <f ca="1">IFERROR(+IF(Y$29=ProposalToGnatt[[#This Row],[Start Date]],Milestone_Marker,IF(AND(Y$29&gt;ProposalToGnatt[[#This Row],[Start Date]],Y$29&lt;ProposalToGnatt[[#This Row],[Start Date]]+ProposalToGnatt[[#This Row],[Days]]),$G$5,"")),"")</f>
        <v/>
      </c>
      <c r="Z39" s="37" t="str">
        <f ca="1">IFERROR(+IF(Z$29=ProposalToGnatt[[#This Row],[Start Date]],Milestone_Marker,IF(AND(Z$29&gt;ProposalToGnatt[[#This Row],[Start Date]],Z$29&lt;ProposalToGnatt[[#This Row],[Start Date]]+ProposalToGnatt[[#This Row],[Days]]),$G$5,"")),"")</f>
        <v/>
      </c>
      <c r="AA39" s="37" t="str">
        <f ca="1">IFERROR(+IF(AA$29=ProposalToGnatt[[#This Row],[Start Date]],Milestone_Marker,IF(AND(AA$29&gt;ProposalToGnatt[[#This Row],[Start Date]],AA$29&lt;ProposalToGnatt[[#This Row],[Start Date]]+ProposalToGnatt[[#This Row],[Days]]),$G$5,"")),"")</f>
        <v/>
      </c>
      <c r="AB39" s="37" t="str">
        <f ca="1">IFERROR(+IF(AB$29=ProposalToGnatt[[#This Row],[Start Date]],Milestone_Marker,IF(AND(AB$29&gt;ProposalToGnatt[[#This Row],[Start Date]],AB$29&lt;ProposalToGnatt[[#This Row],[Start Date]]+ProposalToGnatt[[#This Row],[Days]]),$G$5,"")),"")</f>
        <v/>
      </c>
      <c r="AC39" s="37" t="str">
        <f ca="1">IFERROR(+IF(AC$29=ProposalToGnatt[[#This Row],[Start Date]],Milestone_Marker,IF(AND(AC$29&gt;ProposalToGnatt[[#This Row],[Start Date]],AC$29&lt;ProposalToGnatt[[#This Row],[Start Date]]+ProposalToGnatt[[#This Row],[Days]]),$G$5,"")),"")</f>
        <v/>
      </c>
      <c r="AD39" s="37" t="str">
        <f ca="1">IFERROR(+IF(AD$29=ProposalToGnatt[[#This Row],[Start Date]],Milestone_Marker,IF(AND(AD$29&gt;ProposalToGnatt[[#This Row],[Start Date]],AD$29&lt;ProposalToGnatt[[#This Row],[Start Date]]+ProposalToGnatt[[#This Row],[Days]]),$G$5,"")),"")</f>
        <v/>
      </c>
      <c r="AE39" s="37" t="str">
        <f ca="1">IFERROR(+IF(AE$29=ProposalToGnatt[[#This Row],[Start Date]],Milestone_Marker,IF(AND(AE$29&gt;ProposalToGnatt[[#This Row],[Start Date]],AE$29&lt;ProposalToGnatt[[#This Row],[Start Date]]+ProposalToGnatt[[#This Row],[Days]]),$G$5,"")),"")</f>
        <v/>
      </c>
      <c r="AF39" s="37" t="str">
        <f ca="1">IFERROR(+IF(AF$29=ProposalToGnatt[[#This Row],[Start Date]],Milestone_Marker,IF(AND(AF$29&gt;ProposalToGnatt[[#This Row],[Start Date]],AF$29&lt;ProposalToGnatt[[#This Row],[Start Date]]+ProposalToGnatt[[#This Row],[Days]]),$G$5,"")),"")</f>
        <v/>
      </c>
      <c r="AG39" s="37" t="str">
        <f ca="1">IFERROR(+IF(AG$29=ProposalToGnatt[[#This Row],[Start Date]],Milestone_Marker,IF(AND(AG$29&gt;ProposalToGnatt[[#This Row],[Start Date]],AG$29&lt;ProposalToGnatt[[#This Row],[Start Date]]+ProposalToGnatt[[#This Row],[Days]]),$G$5,"")),"")</f>
        <v/>
      </c>
      <c r="AH39" s="37" t="str">
        <f ca="1">IFERROR(+IF(AH$29=ProposalToGnatt[[#This Row],[Start Date]],Milestone_Marker,IF(AND(AH$29&gt;ProposalToGnatt[[#This Row],[Start Date]],AH$29&lt;ProposalToGnatt[[#This Row],[Start Date]]+ProposalToGnatt[[#This Row],[Days]]),$G$5,"")),"")</f>
        <v/>
      </c>
      <c r="AI39" s="37" t="str">
        <f ca="1">IFERROR(+IF(AI$29=ProposalToGnatt[[#This Row],[Start Date]],Milestone_Marker,IF(AND(AI$29&gt;ProposalToGnatt[[#This Row],[Start Date]],AI$29&lt;ProposalToGnatt[[#This Row],[Start Date]]+ProposalToGnatt[[#This Row],[Days]]),$G$5,"")),"")</f>
        <v/>
      </c>
      <c r="AJ39" s="37" t="str">
        <f ca="1">IFERROR(+IF(AJ$29=ProposalToGnatt[[#This Row],[Start Date]],Milestone_Marker,IF(AND(AJ$29&gt;ProposalToGnatt[[#This Row],[Start Date]],AJ$29&lt;ProposalToGnatt[[#This Row],[Start Date]]+ProposalToGnatt[[#This Row],[Days]]),$G$5,"")),"")</f>
        <v/>
      </c>
      <c r="AK39" s="37" t="str">
        <f ca="1">IFERROR(+IF(AK$29=ProposalToGnatt[[#This Row],[Start Date]],Milestone_Marker,IF(AND(AK$29&gt;ProposalToGnatt[[#This Row],[Start Date]],AK$29&lt;ProposalToGnatt[[#This Row],[Start Date]]+ProposalToGnatt[[#This Row],[Days]]),$G$5,"")),"")</f>
        <v/>
      </c>
      <c r="AL39" s="37" t="str">
        <f ca="1">IFERROR(+IF(AL$29=ProposalToGnatt[[#This Row],[Start Date]],Milestone_Marker,IF(AND(AL$29&gt;ProposalToGnatt[[#This Row],[Start Date]],AL$29&lt;ProposalToGnatt[[#This Row],[Start Date]]+ProposalToGnatt[[#This Row],[Days]]),$G$5,"")),"")</f>
        <v/>
      </c>
      <c r="AM39" s="37" t="str">
        <f ca="1">IFERROR(+IF(AM$29=ProposalToGnatt[[#This Row],[Start Date]],Milestone_Marker,IF(AND(AM$29&gt;ProposalToGnatt[[#This Row],[Start Date]],AM$29&lt;ProposalToGnatt[[#This Row],[Start Date]]+ProposalToGnatt[[#This Row],[Days]]),$G$5,"")),"")</f>
        <v/>
      </c>
      <c r="AN39" s="37" t="str">
        <f ca="1">IFERROR(+IF(AN$29=ProposalToGnatt[[#This Row],[Start Date]],Milestone_Marker,IF(AND(AN$29&gt;ProposalToGnatt[[#This Row],[Start Date]],AN$29&lt;ProposalToGnatt[[#This Row],[Start Date]]+ProposalToGnatt[[#This Row],[Days]]),$G$5,"")),"")</f>
        <v/>
      </c>
      <c r="AO39" s="37" t="str">
        <f ca="1">IFERROR(+IF(AO$29=ProposalToGnatt[[#This Row],[Start Date]],Milestone_Marker,IF(AND(AO$29&gt;ProposalToGnatt[[#This Row],[Start Date]],AO$29&lt;ProposalToGnatt[[#This Row],[Start Date]]+ProposalToGnatt[[#This Row],[Days]]),$G$5,"")),"")</f>
        <v/>
      </c>
      <c r="AP39" s="37" t="str">
        <f ca="1">IFERROR(+IF(AP$29=ProposalToGnatt[[#This Row],[Start Date]],Milestone_Marker,IF(AND(AP$29&gt;ProposalToGnatt[[#This Row],[Start Date]],AP$29&lt;ProposalToGnatt[[#This Row],[Start Date]]+ProposalToGnatt[[#This Row],[Days]]),$G$5,"")),"")</f>
        <v/>
      </c>
      <c r="AQ39" s="37" t="str">
        <f ca="1">IFERROR(+IF(AQ$29=ProposalToGnatt[[#This Row],[Start Date]],Milestone_Marker,IF(AND(AQ$29&gt;ProposalToGnatt[[#This Row],[Start Date]],AQ$29&lt;ProposalToGnatt[[#This Row],[Start Date]]+ProposalToGnatt[[#This Row],[Days]]),$G$5,"")),"")</f>
        <v/>
      </c>
      <c r="AR39" s="37" t="str">
        <f ca="1">IFERROR(+IF(AR$29=ProposalToGnatt[[#This Row],[Start Date]],Milestone_Marker,IF(AND(AR$29&gt;ProposalToGnatt[[#This Row],[Start Date]],AR$29&lt;ProposalToGnatt[[#This Row],[Start Date]]+ProposalToGnatt[[#This Row],[Days]]),$G$5,"")),"")</f>
        <v/>
      </c>
      <c r="AS39" s="37" t="str">
        <f ca="1">IFERROR(+IF(AS$29=ProposalToGnatt[[#This Row],[Start Date]],Milestone_Marker,IF(AND(AS$29&gt;ProposalToGnatt[[#This Row],[Start Date]],AS$29&lt;ProposalToGnatt[[#This Row],[Start Date]]+ProposalToGnatt[[#This Row],[Days]]),$G$5,"")),"")</f>
        <v/>
      </c>
      <c r="AT39" s="37" t="str">
        <f ca="1">IFERROR(+IF(AT$29=ProposalToGnatt[[#This Row],[Start Date]],Milestone_Marker,IF(AND(AT$29&gt;ProposalToGnatt[[#This Row],[Start Date]],AT$29&lt;ProposalToGnatt[[#This Row],[Start Date]]+ProposalToGnatt[[#This Row],[Days]]),$G$5,"")),"")</f>
        <v/>
      </c>
      <c r="AU39" s="37" t="str">
        <f ca="1">IFERROR(+IF(AU$29=ProposalToGnatt[[#This Row],[Start Date]],Milestone_Marker,IF(AND(AU$29&gt;ProposalToGnatt[[#This Row],[Start Date]],AU$29&lt;ProposalToGnatt[[#This Row],[Start Date]]+ProposalToGnatt[[#This Row],[Days]]),$G$5,"")),"")</f>
        <v/>
      </c>
      <c r="AV39" s="37" t="str">
        <f ca="1">IFERROR(+IF(AV$29=ProposalToGnatt[[#This Row],[Start Date]],Milestone_Marker,IF(AND(AV$29&gt;ProposalToGnatt[[#This Row],[Start Date]],AV$29&lt;ProposalToGnatt[[#This Row],[Start Date]]+ProposalToGnatt[[#This Row],[Days]]),$G$5,"")),"")</f>
        <v/>
      </c>
      <c r="AW39" s="37" t="str">
        <f ca="1">IFERROR(+IF(AW$29=ProposalToGnatt[[#This Row],[Start Date]],Milestone_Marker,IF(AND(AW$29&gt;ProposalToGnatt[[#This Row],[Start Date]],AW$29&lt;ProposalToGnatt[[#This Row],[Start Date]]+ProposalToGnatt[[#This Row],[Days]]),$G$5,"")),"")</f>
        <v/>
      </c>
      <c r="AX39" s="37" t="str">
        <f ca="1">IFERROR(+IF(AX$29=ProposalToGnatt[[#This Row],[Start Date]],Milestone_Marker,IF(AND(AX$29&gt;ProposalToGnatt[[#This Row],[Start Date]],AX$29&lt;ProposalToGnatt[[#This Row],[Start Date]]+ProposalToGnatt[[#This Row],[Days]]),$G$5,"")),"")</f>
        <v/>
      </c>
      <c r="AY39" s="37" t="str">
        <f ca="1">IFERROR(+IF(AY$29=ProposalToGnatt[[#This Row],[Start Date]],Milestone_Marker,IF(AND(AY$29&gt;ProposalToGnatt[[#This Row],[Start Date]],AY$29&lt;ProposalToGnatt[[#This Row],[Start Date]]+ProposalToGnatt[[#This Row],[Days]]),$G$5,"")),"")</f>
        <v/>
      </c>
      <c r="AZ39" s="37" t="str">
        <f ca="1">IFERROR(+IF(AZ$29=ProposalToGnatt[[#This Row],[Start Date]],Milestone_Marker,IF(AND(AZ$29&gt;ProposalToGnatt[[#This Row],[Start Date]],AZ$29&lt;ProposalToGnatt[[#This Row],[Start Date]]+ProposalToGnatt[[#This Row],[Days]]),$G$5,"")),"")</f>
        <v/>
      </c>
      <c r="BA39" s="37" t="str">
        <f ca="1">IFERROR(+IF(BA$29=ProposalToGnatt[[#This Row],[Start Date]],Milestone_Marker,IF(AND(BA$29&gt;ProposalToGnatt[[#This Row],[Start Date]],BA$29&lt;ProposalToGnatt[[#This Row],[Start Date]]+ProposalToGnatt[[#This Row],[Days]]),$G$5,"")),"")</f>
        <v/>
      </c>
      <c r="BB39" s="37" t="str">
        <f ca="1">IFERROR(+IF(BB$29=ProposalToGnatt[[#This Row],[Start Date]],Milestone_Marker,IF(AND(BB$29&gt;ProposalToGnatt[[#This Row],[Start Date]],BB$29&lt;ProposalToGnatt[[#This Row],[Start Date]]+ProposalToGnatt[[#This Row],[Days]]),$G$5,"")),"")</f>
        <v/>
      </c>
      <c r="BC39" s="37" t="str">
        <f ca="1">IFERROR(+IF(BC$29=ProposalToGnatt[[#This Row],[Start Date]],Milestone_Marker,IF(AND(BC$29&gt;ProposalToGnatt[[#This Row],[Start Date]],BC$29&lt;ProposalToGnatt[[#This Row],[Start Date]]+ProposalToGnatt[[#This Row],[Days]]),$G$5,"")),"")</f>
        <v/>
      </c>
      <c r="BD39" s="37" t="str">
        <f ca="1">IFERROR(+IF(BD$29=ProposalToGnatt[[#This Row],[Start Date]],Milestone_Marker,IF(AND(BD$29&gt;ProposalToGnatt[[#This Row],[Start Date]],BD$29&lt;ProposalToGnatt[[#This Row],[Start Date]]+ProposalToGnatt[[#This Row],[Days]]),$G$5,"")),"")</f>
        <v/>
      </c>
      <c r="BE39" s="37" t="str">
        <f ca="1">IFERROR(+IF(BE$29=ProposalToGnatt[[#This Row],[Start Date]],Milestone_Marker,IF(AND(BE$29&gt;ProposalToGnatt[[#This Row],[Start Date]],BE$29&lt;ProposalToGnatt[[#This Row],[Start Date]]+ProposalToGnatt[[#This Row],[Days]]),$G$5,"")),"")</f>
        <v/>
      </c>
      <c r="BF39" s="37" t="str">
        <f ca="1">IFERROR(+IF(BF$29=ProposalToGnatt[[#This Row],[Start Date]],Milestone_Marker,IF(AND(BF$29&gt;ProposalToGnatt[[#This Row],[Start Date]],BF$29&lt;ProposalToGnatt[[#This Row],[Start Date]]+ProposalToGnatt[[#This Row],[Days]]),$G$5,"")),"")</f>
        <v/>
      </c>
      <c r="BG39" s="37" t="str">
        <f ca="1">IFERROR(+IF(BG$29=ProposalToGnatt[[#This Row],[Start Date]],Milestone_Marker,IF(AND(BG$29&gt;ProposalToGnatt[[#This Row],[Start Date]],BG$29&lt;ProposalToGnatt[[#This Row],[Start Date]]+ProposalToGnatt[[#This Row],[Days]]),$G$5,"")),"")</f>
        <v/>
      </c>
      <c r="BH39" s="37" t="str">
        <f ca="1">IFERROR(+IF(BH$29=ProposalToGnatt[[#This Row],[Start Date]],Milestone_Marker,IF(AND(BH$29&gt;ProposalToGnatt[[#This Row],[Start Date]],BH$29&lt;ProposalToGnatt[[#This Row],[Start Date]]+ProposalToGnatt[[#This Row],[Days]]),$G$5,"")),"")</f>
        <v/>
      </c>
      <c r="BI39" s="37" t="str">
        <f ca="1">IFERROR(+IF(BI$29=ProposalToGnatt[[#This Row],[Start Date]],Milestone_Marker,IF(AND(BI$29&gt;ProposalToGnatt[[#This Row],[Start Date]],BI$29&lt;ProposalToGnatt[[#This Row],[Start Date]]+ProposalToGnatt[[#This Row],[Days]]),$G$5,"")),"")</f>
        <v/>
      </c>
      <c r="BJ39" s="37" t="str">
        <f ca="1">IFERROR(+IF(BJ$29=ProposalToGnatt[[#This Row],[Start Date]],Milestone_Marker,IF(AND(BJ$29&gt;ProposalToGnatt[[#This Row],[Start Date]],BJ$29&lt;ProposalToGnatt[[#This Row],[Start Date]]+ProposalToGnatt[[#This Row],[Days]]),$G$5,"")),"")</f>
        <v/>
      </c>
      <c r="BK39" s="37" t="str">
        <f ca="1">IFERROR(+IF(BK$29=ProposalToGnatt[[#This Row],[Start Date]],Milestone_Marker,IF(AND(BK$29&gt;ProposalToGnatt[[#This Row],[Start Date]],BK$29&lt;ProposalToGnatt[[#This Row],[Start Date]]+ProposalToGnatt[[#This Row],[Days]]),$G$5,"")),"")</f>
        <v/>
      </c>
      <c r="BL39" s="37" t="str">
        <f ca="1">IFERROR(+IF(BL$29=ProposalToGnatt[[#This Row],[Start Date]],Milestone_Marker,IF(AND(BL$29&gt;ProposalToGnatt[[#This Row],[Start Date]],BL$29&lt;ProposalToGnatt[[#This Row],[Start Date]]+ProposalToGnatt[[#This Row],[Days]]),$G$5,"")),"")</f>
        <v/>
      </c>
      <c r="BM39" s="37" t="str">
        <f ca="1">IFERROR(+IF(BM$29=ProposalToGnatt[[#This Row],[Start Date]],Milestone_Marker,IF(AND(BM$29&gt;ProposalToGnatt[[#This Row],[Start Date]],BM$29&lt;ProposalToGnatt[[#This Row],[Start Date]]+ProposalToGnatt[[#This Row],[Days]]),$G$5,"")),"")</f>
        <v/>
      </c>
      <c r="BN39" s="37" t="str">
        <f ca="1">IFERROR(+IF(BN$29=ProposalToGnatt[[#This Row],[Start Date]],Milestone_Marker,IF(AND(BN$29&gt;ProposalToGnatt[[#This Row],[Start Date]],BN$29&lt;ProposalToGnatt[[#This Row],[Start Date]]+ProposalToGnatt[[#This Row],[Days]]),$G$5,"")),"")</f>
        <v/>
      </c>
      <c r="BO39" s="37" t="str">
        <f ca="1">IFERROR(+IF(BO$29=ProposalToGnatt[[#This Row],[Start Date]],Milestone_Marker,IF(AND(BO$29&gt;ProposalToGnatt[[#This Row],[Start Date]],BO$29&lt;ProposalToGnatt[[#This Row],[Start Date]]+ProposalToGnatt[[#This Row],[Days]]),$G$5,"")),"")</f>
        <v/>
      </c>
      <c r="BP39" s="37" t="str">
        <f ca="1">IFERROR(+IF(BP$29=ProposalToGnatt[[#This Row],[Start Date]],Milestone_Marker,IF(AND(BP$29&gt;ProposalToGnatt[[#This Row],[Start Date]],BP$29&lt;ProposalToGnatt[[#This Row],[Start Date]]+ProposalToGnatt[[#This Row],[Days]]),$G$5,"")),"")</f>
        <v/>
      </c>
      <c r="BQ39" s="37" t="str">
        <f ca="1">IFERROR(+IF(BQ$29=ProposalToGnatt[[#This Row],[Start Date]],Milestone_Marker,IF(AND(BQ$29&gt;ProposalToGnatt[[#This Row],[Start Date]],BQ$29&lt;ProposalToGnatt[[#This Row],[Start Date]]+ProposalToGnatt[[#This Row],[Days]]),$G$5,"")),"")</f>
        <v/>
      </c>
      <c r="BR39" s="37" t="str">
        <f ca="1">IFERROR(+IF(BR$29=ProposalToGnatt[[#This Row],[Start Date]],Milestone_Marker,IF(AND(BR$29&gt;ProposalToGnatt[[#This Row],[Start Date]],BR$29&lt;ProposalToGnatt[[#This Row],[Start Date]]+ProposalToGnatt[[#This Row],[Days]]),$G$5,"")),"")</f>
        <v/>
      </c>
      <c r="BS39" s="37" t="str">
        <f ca="1">IFERROR(+IF(BS$29=ProposalToGnatt[[#This Row],[Start Date]],Milestone_Marker,IF(AND(BS$29&gt;ProposalToGnatt[[#This Row],[Start Date]],BS$29&lt;ProposalToGnatt[[#This Row],[Start Date]]+ProposalToGnatt[[#This Row],[Days]]),$G$5,"")),"")</f>
        <v/>
      </c>
      <c r="BT39" s="37" t="str">
        <f ca="1">IFERROR(+IF(BT$29=ProposalToGnatt[[#This Row],[Start Date]],Milestone_Marker,IF(AND(BT$29&gt;ProposalToGnatt[[#This Row],[Start Date]],BT$29&lt;ProposalToGnatt[[#This Row],[Start Date]]+ProposalToGnatt[[#This Row],[Days]]),$G$5,"")),"")</f>
        <v/>
      </c>
      <c r="BU39" s="37" t="str">
        <f ca="1">IFERROR(+IF(BU$29=ProposalToGnatt[[#This Row],[Start Date]],Milestone_Marker,IF(AND(BU$29&gt;ProposalToGnatt[[#This Row],[Start Date]],BU$29&lt;ProposalToGnatt[[#This Row],[Start Date]]+ProposalToGnatt[[#This Row],[Days]]),$G$5,"")),"")</f>
        <v/>
      </c>
      <c r="BV39" s="37" t="str">
        <f ca="1">IFERROR(+IF(BV$29=ProposalToGnatt[[#This Row],[Start Date]],Milestone_Marker,IF(AND(BV$29&gt;ProposalToGnatt[[#This Row],[Start Date]],BV$29&lt;ProposalToGnatt[[#This Row],[Start Date]]+ProposalToGnatt[[#This Row],[Days]]),$G$5,"")),"")</f>
        <v/>
      </c>
      <c r="BW39" s="37" t="str">
        <f ca="1">IFERROR(+IF(BW$29=ProposalToGnatt[[#This Row],[Start Date]],Milestone_Marker,IF(AND(BW$29&gt;ProposalToGnatt[[#This Row],[Start Date]],BW$29&lt;ProposalToGnatt[[#This Row],[Start Date]]+ProposalToGnatt[[#This Row],[Days]]),$G$5,"")),"")</f>
        <v/>
      </c>
      <c r="BX39" s="37" t="str">
        <f ca="1">IFERROR(+IF(BX$29=ProposalToGnatt[[#This Row],[Start Date]],Milestone_Marker,IF(AND(BX$29&gt;ProposalToGnatt[[#This Row],[Start Date]],BX$29&lt;ProposalToGnatt[[#This Row],[Start Date]]+ProposalToGnatt[[#This Row],[Days]]),$G$5,"")),"")</f>
        <v/>
      </c>
      <c r="BY39" s="37" t="str">
        <f ca="1">IFERROR(+IF(BY$29=ProposalToGnatt[[#This Row],[Start Date]],Milestone_Marker,IF(AND(BY$29&gt;ProposalToGnatt[[#This Row],[Start Date]],BY$29&lt;ProposalToGnatt[[#This Row],[Start Date]]+ProposalToGnatt[[#This Row],[Days]]),$G$5,"")),"")</f>
        <v/>
      </c>
      <c r="BZ39" s="37" t="str">
        <f ca="1">IFERROR(+IF(BZ$29=ProposalToGnatt[[#This Row],[Start Date]],Milestone_Marker,IF(AND(BZ$29&gt;ProposalToGnatt[[#This Row],[Start Date]],BZ$29&lt;ProposalToGnatt[[#This Row],[Start Date]]+ProposalToGnatt[[#This Row],[Days]]),$G$5,"")),"")</f>
        <v/>
      </c>
      <c r="CA39" s="37" t="str">
        <f ca="1">IFERROR(+IF(CA$29=ProposalToGnatt[[#This Row],[Start Date]],Milestone_Marker,IF(AND(CA$29&gt;ProposalToGnatt[[#This Row],[Start Date]],CA$29&lt;ProposalToGnatt[[#This Row],[Start Date]]+ProposalToGnatt[[#This Row],[Days]]),$G$5,"")),"")</f>
        <v/>
      </c>
      <c r="CB39" s="37" t="str">
        <f ca="1">IFERROR(+IF(CB$29=ProposalToGnatt[[#This Row],[Start Date]],Milestone_Marker,IF(AND(CB$29&gt;ProposalToGnatt[[#This Row],[Start Date]],CB$29&lt;ProposalToGnatt[[#This Row],[Start Date]]+ProposalToGnatt[[#This Row],[Days]]),$G$5,"")),"")</f>
        <v/>
      </c>
      <c r="CC39" s="37" t="str">
        <f ca="1">IFERROR(+IF(CC$29=ProposalToGnatt[[#This Row],[Start Date]],Milestone_Marker,IF(AND(CC$29&gt;ProposalToGnatt[[#This Row],[Start Date]],CC$29&lt;ProposalToGnatt[[#This Row],[Start Date]]+ProposalToGnatt[[#This Row],[Days]]),$G$5,"")),"")</f>
        <v/>
      </c>
      <c r="CD39" s="37" t="str">
        <f ca="1">IFERROR(+IF(CD$29=ProposalToGnatt[[#This Row],[Start Date]],Milestone_Marker,IF(AND(CD$29&gt;ProposalToGnatt[[#This Row],[Start Date]],CD$29&lt;ProposalToGnatt[[#This Row],[Start Date]]+ProposalToGnatt[[#This Row],[Days]]),$G$5,"")),"")</f>
        <v/>
      </c>
      <c r="CE39" s="37" t="str">
        <f ca="1">IFERROR(+IF(CE$29=ProposalToGnatt[[#This Row],[Start Date]],Milestone_Marker,IF(AND(CE$29&gt;ProposalToGnatt[[#This Row],[Start Date]],CE$29&lt;ProposalToGnatt[[#This Row],[Start Date]]+ProposalToGnatt[[#This Row],[Days]]),$G$5,"")),"")</f>
        <v/>
      </c>
      <c r="CF39" s="37" t="str">
        <f ca="1">IFERROR(+IF(CF$29=ProposalToGnatt[[#This Row],[Start Date]],Milestone_Marker,IF(AND(CF$29&gt;ProposalToGnatt[[#This Row],[Start Date]],CF$29&lt;ProposalToGnatt[[#This Row],[Start Date]]+ProposalToGnatt[[#This Row],[Days]]),$G$5,"")),"")</f>
        <v/>
      </c>
      <c r="CG39" s="37" t="str">
        <f ca="1">IFERROR(+IF(CG$29=ProposalToGnatt[[#This Row],[Start Date]],Milestone_Marker,IF(AND(CG$29&gt;ProposalToGnatt[[#This Row],[Start Date]],CG$29&lt;ProposalToGnatt[[#This Row],[Start Date]]+ProposalToGnatt[[#This Row],[Days]]),$G$5,"")),"")</f>
        <v/>
      </c>
      <c r="CH39" s="37" t="str">
        <f ca="1">IFERROR(+IF(CH$29=ProposalToGnatt[[#This Row],[Start Date]],Milestone_Marker,IF(AND(CH$29&gt;ProposalToGnatt[[#This Row],[Start Date]],CH$29&lt;ProposalToGnatt[[#This Row],[Start Date]]+ProposalToGnatt[[#This Row],[Days]]),$G$5,"")),"")</f>
        <v/>
      </c>
      <c r="CI39" s="37" t="str">
        <f ca="1">IFERROR(+IF(CI$29=ProposalToGnatt[[#This Row],[Start Date]],Milestone_Marker,IF(AND(CI$29&gt;ProposalToGnatt[[#This Row],[Start Date]],CI$29&lt;ProposalToGnatt[[#This Row],[Start Date]]+ProposalToGnatt[[#This Row],[Days]]),$G$5,"")),"")</f>
        <v/>
      </c>
      <c r="CJ39" s="37" t="str">
        <f ca="1">IFERROR(+IF(CJ$29=ProposalToGnatt[[#This Row],[Start Date]],Milestone_Marker,IF(AND(CJ$29&gt;ProposalToGnatt[[#This Row],[Start Date]],CJ$29&lt;ProposalToGnatt[[#This Row],[Start Date]]+ProposalToGnatt[[#This Row],[Days]]),$G$5,"")),"")</f>
        <v/>
      </c>
      <c r="CK39" s="37" t="str">
        <f ca="1">IFERROR(+IF(CK$29=ProposalToGnatt[[#This Row],[Start Date]],Milestone_Marker,IF(AND(CK$29&gt;ProposalToGnatt[[#This Row],[Start Date]],CK$29&lt;ProposalToGnatt[[#This Row],[Start Date]]+ProposalToGnatt[[#This Row],[Days]]),$G$5,"")),"")</f>
        <v/>
      </c>
      <c r="CL39" s="37" t="str">
        <f ca="1">IFERROR(+IF(CL$29=ProposalToGnatt[[#This Row],[Start Date]],Milestone_Marker,IF(AND(CL$29&gt;ProposalToGnatt[[#This Row],[Start Date]],CL$29&lt;ProposalToGnatt[[#This Row],[Start Date]]+ProposalToGnatt[[#This Row],[Days]]),$G$5,"")),"")</f>
        <v/>
      </c>
      <c r="CM39" s="37" t="str">
        <f ca="1">IFERROR(+IF(CM$29=ProposalToGnatt[[#This Row],[Start Date]],Milestone_Marker,IF(AND(CM$29&gt;ProposalToGnatt[[#This Row],[Start Date]],CM$29&lt;ProposalToGnatt[[#This Row],[Start Date]]+ProposalToGnatt[[#This Row],[Days]]),$G$5,"")),"")</f>
        <v/>
      </c>
      <c r="CN39" s="37" t="str">
        <f ca="1">IFERROR(+IF(CN$29=ProposalToGnatt[[#This Row],[Start Date]],Milestone_Marker,IF(AND(CN$29&gt;ProposalToGnatt[[#This Row],[Start Date]],CN$29&lt;ProposalToGnatt[[#This Row],[Start Date]]+ProposalToGnatt[[#This Row],[Days]]),$G$5,"")),"")</f>
        <v/>
      </c>
      <c r="CO39" s="37" t="str">
        <f ca="1">IFERROR(+IF(CO$29=ProposalToGnatt[[#This Row],[Start Date]],Milestone_Marker,IF(AND(CO$29&gt;ProposalToGnatt[[#This Row],[Start Date]],CO$29&lt;ProposalToGnatt[[#This Row],[Start Date]]+ProposalToGnatt[[#This Row],[Days]]),$G$5,"")),"")</f>
        <v/>
      </c>
      <c r="CP39" s="37" t="str">
        <f ca="1">IFERROR(+IF(CP$29=ProposalToGnatt[[#This Row],[Start Date]],Milestone_Marker,IF(AND(CP$29&gt;ProposalToGnatt[[#This Row],[Start Date]],CP$29&lt;ProposalToGnatt[[#This Row],[Start Date]]+ProposalToGnatt[[#This Row],[Days]]),$G$5,"")),"")</f>
        <v/>
      </c>
      <c r="CQ39" s="37" t="str">
        <f ca="1">IFERROR(+IF(CQ$29=ProposalToGnatt[[#This Row],[Start Date]],Milestone_Marker,IF(AND(CQ$29&gt;ProposalToGnatt[[#This Row],[Start Date]],CQ$29&lt;ProposalToGnatt[[#This Row],[Start Date]]+ProposalToGnatt[[#This Row],[Days]]),$G$5,"")),"")</f>
        <v/>
      </c>
      <c r="CR39" s="37" t="str">
        <f ca="1">IFERROR(+IF(CR$29=ProposalToGnatt[[#This Row],[Start Date]],Milestone_Marker,IF(AND(CR$29&gt;ProposalToGnatt[[#This Row],[Start Date]],CR$29&lt;ProposalToGnatt[[#This Row],[Start Date]]+ProposalToGnatt[[#This Row],[Days]]),$G$5,"")),"")</f>
        <v/>
      </c>
      <c r="CS39" s="37" t="str">
        <f ca="1">IFERROR(+IF(CS$29=ProposalToGnatt[[#This Row],[Start Date]],Milestone_Marker,IF(AND(CS$29&gt;ProposalToGnatt[[#This Row],[Start Date]],CS$29&lt;ProposalToGnatt[[#This Row],[Start Date]]+ProposalToGnatt[[#This Row],[Days]]),$G$5,"")),"")</f>
        <v/>
      </c>
      <c r="CT39" s="37" t="str">
        <f ca="1">IFERROR(+IF(CT$29=ProposalToGnatt[[#This Row],[Start Date]],Milestone_Marker,IF(AND(CT$29&gt;ProposalToGnatt[[#This Row],[Start Date]],CT$29&lt;ProposalToGnatt[[#This Row],[Start Date]]+ProposalToGnatt[[#This Row],[Days]]),$G$5,"")),"")</f>
        <v/>
      </c>
      <c r="CU39" s="37" t="str">
        <f ca="1">IFERROR(+IF(CU$29=ProposalToGnatt[[#This Row],[Start Date]],Milestone_Marker,IF(AND(CU$29&gt;ProposalToGnatt[[#This Row],[Start Date]],CU$29&lt;ProposalToGnatt[[#This Row],[Start Date]]+ProposalToGnatt[[#This Row],[Days]]),$G$5,"")),"")</f>
        <v/>
      </c>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row>
    <row r="40" spans="1:125" s="42" customFormat="1" ht="20.100000000000001" customHeight="1">
      <c r="A40" t="s">
        <v>450</v>
      </c>
      <c r="B40">
        <v>11</v>
      </c>
      <c r="C40"/>
      <c r="D40"/>
      <c r="E40" t="s">
        <v>381</v>
      </c>
      <c r="F40">
        <v>0</v>
      </c>
      <c r="G40" s="11">
        <v>0</v>
      </c>
      <c r="H40" s="26">
        <v>0</v>
      </c>
      <c r="I40"/>
      <c r="J40"/>
      <c r="K40" s="402"/>
      <c r="L40"/>
      <c r="M40"/>
      <c r="N40"/>
      <c r="O40" s="26"/>
      <c r="P40" s="37">
        <f ca="1">IFERROR(+IF(P$29=ProposalToGnatt[[#This Row],[Start Date]],Milestone_Marker,IF(AND(P$29&gt;ProposalToGnatt[[#This Row],[Start Date]],P$29&lt;ProposalToGnatt[[#This Row],[Start Date]]+ProposalToGnatt[[#This Row],[Days]]),$G$5,"")),"")</f>
        <v>1</v>
      </c>
      <c r="Q40" s="37" t="str">
        <f ca="1">IFERROR(+IF(Q$29=ProposalToGnatt[[#This Row],[Start Date]],Milestone_Marker,IF(AND(Q$29&gt;ProposalToGnatt[[#This Row],[Start Date]],Q$29&lt;ProposalToGnatt[[#This Row],[Start Date]]+ProposalToGnatt[[#This Row],[Days]]),$G$5,"")),"")</f>
        <v/>
      </c>
      <c r="R40" s="37" t="str">
        <f ca="1">IFERROR(+IF(R$29=ProposalToGnatt[[#This Row],[Start Date]],Milestone_Marker,IF(AND(R$29&gt;ProposalToGnatt[[#This Row],[Start Date]],R$29&lt;ProposalToGnatt[[#This Row],[Start Date]]+ProposalToGnatt[[#This Row],[Days]]),$G$5,"")),"")</f>
        <v/>
      </c>
      <c r="S40" s="37" t="str">
        <f ca="1">IFERROR(+IF(S$29=ProposalToGnatt[[#This Row],[Start Date]],Milestone_Marker,IF(AND(S$29&gt;ProposalToGnatt[[#This Row],[Start Date]],S$29&lt;ProposalToGnatt[[#This Row],[Start Date]]+ProposalToGnatt[[#This Row],[Days]]),$G$5,"")),"")</f>
        <v/>
      </c>
      <c r="T40" s="37" t="str">
        <f ca="1">IFERROR(+IF(T$29=ProposalToGnatt[[#This Row],[Start Date]],Milestone_Marker,IF(AND(T$29&gt;ProposalToGnatt[[#This Row],[Start Date]],T$29&lt;ProposalToGnatt[[#This Row],[Start Date]]+ProposalToGnatt[[#This Row],[Days]]),$G$5,"")),"")</f>
        <v/>
      </c>
      <c r="U40" s="37" t="str">
        <f ca="1">IFERROR(+IF(U$29=ProposalToGnatt[[#This Row],[Start Date]],Milestone_Marker,IF(AND(U$29&gt;ProposalToGnatt[[#This Row],[Start Date]],U$29&lt;ProposalToGnatt[[#This Row],[Start Date]]+ProposalToGnatt[[#This Row],[Days]]),$G$5,"")),"")</f>
        <v/>
      </c>
      <c r="V40" s="37" t="str">
        <f ca="1">IFERROR(+IF(V$29=ProposalToGnatt[[#This Row],[Start Date]],Milestone_Marker,IF(AND(V$29&gt;ProposalToGnatt[[#This Row],[Start Date]],V$29&lt;ProposalToGnatt[[#This Row],[Start Date]]+ProposalToGnatt[[#This Row],[Days]]),$G$5,"")),"")</f>
        <v/>
      </c>
      <c r="W40" s="37" t="str">
        <f ca="1">IFERROR(+IF(W$29=ProposalToGnatt[[#This Row],[Start Date]],Milestone_Marker,IF(AND(W$29&gt;ProposalToGnatt[[#This Row],[Start Date]],W$29&lt;ProposalToGnatt[[#This Row],[Start Date]]+ProposalToGnatt[[#This Row],[Days]]),$G$5,"")),"")</f>
        <v/>
      </c>
      <c r="X40" s="37" t="str">
        <f ca="1">IFERROR(+IF(X$29=ProposalToGnatt[[#This Row],[Start Date]],Milestone_Marker,IF(AND(X$29&gt;ProposalToGnatt[[#This Row],[Start Date]],X$29&lt;ProposalToGnatt[[#This Row],[Start Date]]+ProposalToGnatt[[#This Row],[Days]]),$G$5,"")),"")</f>
        <v/>
      </c>
      <c r="Y40" s="37" t="str">
        <f ca="1">IFERROR(+IF(Y$29=ProposalToGnatt[[#This Row],[Start Date]],Milestone_Marker,IF(AND(Y$29&gt;ProposalToGnatt[[#This Row],[Start Date]],Y$29&lt;ProposalToGnatt[[#This Row],[Start Date]]+ProposalToGnatt[[#This Row],[Days]]),$G$5,"")),"")</f>
        <v/>
      </c>
      <c r="Z40" s="37" t="str">
        <f ca="1">IFERROR(+IF(Z$29=ProposalToGnatt[[#This Row],[Start Date]],Milestone_Marker,IF(AND(Z$29&gt;ProposalToGnatt[[#This Row],[Start Date]],Z$29&lt;ProposalToGnatt[[#This Row],[Start Date]]+ProposalToGnatt[[#This Row],[Days]]),$G$5,"")),"")</f>
        <v/>
      </c>
      <c r="AA40" s="37" t="str">
        <f ca="1">IFERROR(+IF(AA$29=ProposalToGnatt[[#This Row],[Start Date]],Milestone_Marker,IF(AND(AA$29&gt;ProposalToGnatt[[#This Row],[Start Date]],AA$29&lt;ProposalToGnatt[[#This Row],[Start Date]]+ProposalToGnatt[[#This Row],[Days]]),$G$5,"")),"")</f>
        <v/>
      </c>
      <c r="AB40" s="37" t="str">
        <f ca="1">IFERROR(+IF(AB$29=ProposalToGnatt[[#This Row],[Start Date]],Milestone_Marker,IF(AND(AB$29&gt;ProposalToGnatt[[#This Row],[Start Date]],AB$29&lt;ProposalToGnatt[[#This Row],[Start Date]]+ProposalToGnatt[[#This Row],[Days]]),$G$5,"")),"")</f>
        <v/>
      </c>
      <c r="AC40" s="37" t="str">
        <f ca="1">IFERROR(+IF(AC$29=ProposalToGnatt[[#This Row],[Start Date]],Milestone_Marker,IF(AND(AC$29&gt;ProposalToGnatt[[#This Row],[Start Date]],AC$29&lt;ProposalToGnatt[[#This Row],[Start Date]]+ProposalToGnatt[[#This Row],[Days]]),$G$5,"")),"")</f>
        <v/>
      </c>
      <c r="AD40" s="37" t="str">
        <f ca="1">IFERROR(+IF(AD$29=ProposalToGnatt[[#This Row],[Start Date]],Milestone_Marker,IF(AND(AD$29&gt;ProposalToGnatt[[#This Row],[Start Date]],AD$29&lt;ProposalToGnatt[[#This Row],[Start Date]]+ProposalToGnatt[[#This Row],[Days]]),$G$5,"")),"")</f>
        <v/>
      </c>
      <c r="AE40" s="37" t="str">
        <f ca="1">IFERROR(+IF(AE$29=ProposalToGnatt[[#This Row],[Start Date]],Milestone_Marker,IF(AND(AE$29&gt;ProposalToGnatt[[#This Row],[Start Date]],AE$29&lt;ProposalToGnatt[[#This Row],[Start Date]]+ProposalToGnatt[[#This Row],[Days]]),$G$5,"")),"")</f>
        <v/>
      </c>
      <c r="AF40" s="37" t="str">
        <f ca="1">IFERROR(+IF(AF$29=ProposalToGnatt[[#This Row],[Start Date]],Milestone_Marker,IF(AND(AF$29&gt;ProposalToGnatt[[#This Row],[Start Date]],AF$29&lt;ProposalToGnatt[[#This Row],[Start Date]]+ProposalToGnatt[[#This Row],[Days]]),$G$5,"")),"")</f>
        <v/>
      </c>
      <c r="AG40" s="37" t="str">
        <f ca="1">IFERROR(+IF(AG$29=ProposalToGnatt[[#This Row],[Start Date]],Milestone_Marker,IF(AND(AG$29&gt;ProposalToGnatt[[#This Row],[Start Date]],AG$29&lt;ProposalToGnatt[[#This Row],[Start Date]]+ProposalToGnatt[[#This Row],[Days]]),$G$5,"")),"")</f>
        <v/>
      </c>
      <c r="AH40" s="37" t="str">
        <f ca="1">IFERROR(+IF(AH$29=ProposalToGnatt[[#This Row],[Start Date]],Milestone_Marker,IF(AND(AH$29&gt;ProposalToGnatt[[#This Row],[Start Date]],AH$29&lt;ProposalToGnatt[[#This Row],[Start Date]]+ProposalToGnatt[[#This Row],[Days]]),$G$5,"")),"")</f>
        <v/>
      </c>
      <c r="AI40" s="37" t="str">
        <f ca="1">IFERROR(+IF(AI$29=ProposalToGnatt[[#This Row],[Start Date]],Milestone_Marker,IF(AND(AI$29&gt;ProposalToGnatt[[#This Row],[Start Date]],AI$29&lt;ProposalToGnatt[[#This Row],[Start Date]]+ProposalToGnatt[[#This Row],[Days]]),$G$5,"")),"")</f>
        <v/>
      </c>
      <c r="AJ40" s="37" t="str">
        <f ca="1">IFERROR(+IF(AJ$29=ProposalToGnatt[[#This Row],[Start Date]],Milestone_Marker,IF(AND(AJ$29&gt;ProposalToGnatt[[#This Row],[Start Date]],AJ$29&lt;ProposalToGnatt[[#This Row],[Start Date]]+ProposalToGnatt[[#This Row],[Days]]),$G$5,"")),"")</f>
        <v/>
      </c>
      <c r="AK40" s="37" t="str">
        <f ca="1">IFERROR(+IF(AK$29=ProposalToGnatt[[#This Row],[Start Date]],Milestone_Marker,IF(AND(AK$29&gt;ProposalToGnatt[[#This Row],[Start Date]],AK$29&lt;ProposalToGnatt[[#This Row],[Start Date]]+ProposalToGnatt[[#This Row],[Days]]),$G$5,"")),"")</f>
        <v/>
      </c>
      <c r="AL40" s="37" t="str">
        <f ca="1">IFERROR(+IF(AL$29=ProposalToGnatt[[#This Row],[Start Date]],Milestone_Marker,IF(AND(AL$29&gt;ProposalToGnatt[[#This Row],[Start Date]],AL$29&lt;ProposalToGnatt[[#This Row],[Start Date]]+ProposalToGnatt[[#This Row],[Days]]),$G$5,"")),"")</f>
        <v/>
      </c>
      <c r="AM40" s="37" t="str">
        <f ca="1">IFERROR(+IF(AM$29=ProposalToGnatt[[#This Row],[Start Date]],Milestone_Marker,IF(AND(AM$29&gt;ProposalToGnatt[[#This Row],[Start Date]],AM$29&lt;ProposalToGnatt[[#This Row],[Start Date]]+ProposalToGnatt[[#This Row],[Days]]),$G$5,"")),"")</f>
        <v/>
      </c>
      <c r="AN40" s="37" t="str">
        <f ca="1">IFERROR(+IF(AN$29=ProposalToGnatt[[#This Row],[Start Date]],Milestone_Marker,IF(AND(AN$29&gt;ProposalToGnatt[[#This Row],[Start Date]],AN$29&lt;ProposalToGnatt[[#This Row],[Start Date]]+ProposalToGnatt[[#This Row],[Days]]),$G$5,"")),"")</f>
        <v/>
      </c>
      <c r="AO40" s="37" t="str">
        <f ca="1">IFERROR(+IF(AO$29=ProposalToGnatt[[#This Row],[Start Date]],Milestone_Marker,IF(AND(AO$29&gt;ProposalToGnatt[[#This Row],[Start Date]],AO$29&lt;ProposalToGnatt[[#This Row],[Start Date]]+ProposalToGnatt[[#This Row],[Days]]),$G$5,"")),"")</f>
        <v/>
      </c>
      <c r="AP40" s="37" t="str">
        <f ca="1">IFERROR(+IF(AP$29=ProposalToGnatt[[#This Row],[Start Date]],Milestone_Marker,IF(AND(AP$29&gt;ProposalToGnatt[[#This Row],[Start Date]],AP$29&lt;ProposalToGnatt[[#This Row],[Start Date]]+ProposalToGnatt[[#This Row],[Days]]),$G$5,"")),"")</f>
        <v/>
      </c>
      <c r="AQ40" s="37" t="str">
        <f ca="1">IFERROR(+IF(AQ$29=ProposalToGnatt[[#This Row],[Start Date]],Milestone_Marker,IF(AND(AQ$29&gt;ProposalToGnatt[[#This Row],[Start Date]],AQ$29&lt;ProposalToGnatt[[#This Row],[Start Date]]+ProposalToGnatt[[#This Row],[Days]]),$G$5,"")),"")</f>
        <v/>
      </c>
      <c r="AR40" s="37" t="str">
        <f ca="1">IFERROR(+IF(AR$29=ProposalToGnatt[[#This Row],[Start Date]],Milestone_Marker,IF(AND(AR$29&gt;ProposalToGnatt[[#This Row],[Start Date]],AR$29&lt;ProposalToGnatt[[#This Row],[Start Date]]+ProposalToGnatt[[#This Row],[Days]]),$G$5,"")),"")</f>
        <v/>
      </c>
      <c r="AS40" s="37" t="str">
        <f ca="1">IFERROR(+IF(AS$29=ProposalToGnatt[[#This Row],[Start Date]],Milestone_Marker,IF(AND(AS$29&gt;ProposalToGnatt[[#This Row],[Start Date]],AS$29&lt;ProposalToGnatt[[#This Row],[Start Date]]+ProposalToGnatt[[#This Row],[Days]]),$G$5,"")),"")</f>
        <v/>
      </c>
      <c r="AT40" s="37" t="str">
        <f ca="1">IFERROR(+IF(AT$29=ProposalToGnatt[[#This Row],[Start Date]],Milestone_Marker,IF(AND(AT$29&gt;ProposalToGnatt[[#This Row],[Start Date]],AT$29&lt;ProposalToGnatt[[#This Row],[Start Date]]+ProposalToGnatt[[#This Row],[Days]]),$G$5,"")),"")</f>
        <v/>
      </c>
      <c r="AU40" s="37" t="str">
        <f ca="1">IFERROR(+IF(AU$29=ProposalToGnatt[[#This Row],[Start Date]],Milestone_Marker,IF(AND(AU$29&gt;ProposalToGnatt[[#This Row],[Start Date]],AU$29&lt;ProposalToGnatt[[#This Row],[Start Date]]+ProposalToGnatt[[#This Row],[Days]]),$G$5,"")),"")</f>
        <v/>
      </c>
      <c r="AV40" s="37" t="str">
        <f ca="1">IFERROR(+IF(AV$29=ProposalToGnatt[[#This Row],[Start Date]],Milestone_Marker,IF(AND(AV$29&gt;ProposalToGnatt[[#This Row],[Start Date]],AV$29&lt;ProposalToGnatt[[#This Row],[Start Date]]+ProposalToGnatt[[#This Row],[Days]]),$G$5,"")),"")</f>
        <v/>
      </c>
      <c r="AW40" s="37" t="str">
        <f ca="1">IFERROR(+IF(AW$29=ProposalToGnatt[[#This Row],[Start Date]],Milestone_Marker,IF(AND(AW$29&gt;ProposalToGnatt[[#This Row],[Start Date]],AW$29&lt;ProposalToGnatt[[#This Row],[Start Date]]+ProposalToGnatt[[#This Row],[Days]]),$G$5,"")),"")</f>
        <v/>
      </c>
      <c r="AX40" s="37" t="str">
        <f ca="1">IFERROR(+IF(AX$29=ProposalToGnatt[[#This Row],[Start Date]],Milestone_Marker,IF(AND(AX$29&gt;ProposalToGnatt[[#This Row],[Start Date]],AX$29&lt;ProposalToGnatt[[#This Row],[Start Date]]+ProposalToGnatt[[#This Row],[Days]]),$G$5,"")),"")</f>
        <v/>
      </c>
      <c r="AY40" s="37" t="str">
        <f ca="1">IFERROR(+IF(AY$29=ProposalToGnatt[[#This Row],[Start Date]],Milestone_Marker,IF(AND(AY$29&gt;ProposalToGnatt[[#This Row],[Start Date]],AY$29&lt;ProposalToGnatt[[#This Row],[Start Date]]+ProposalToGnatt[[#This Row],[Days]]),$G$5,"")),"")</f>
        <v/>
      </c>
      <c r="AZ40" s="37" t="str">
        <f ca="1">IFERROR(+IF(AZ$29=ProposalToGnatt[[#This Row],[Start Date]],Milestone_Marker,IF(AND(AZ$29&gt;ProposalToGnatt[[#This Row],[Start Date]],AZ$29&lt;ProposalToGnatt[[#This Row],[Start Date]]+ProposalToGnatt[[#This Row],[Days]]),$G$5,"")),"")</f>
        <v/>
      </c>
      <c r="BA40" s="37" t="str">
        <f ca="1">IFERROR(+IF(BA$29=ProposalToGnatt[[#This Row],[Start Date]],Milestone_Marker,IF(AND(BA$29&gt;ProposalToGnatt[[#This Row],[Start Date]],BA$29&lt;ProposalToGnatt[[#This Row],[Start Date]]+ProposalToGnatt[[#This Row],[Days]]),$G$5,"")),"")</f>
        <v/>
      </c>
      <c r="BB40" s="37" t="str">
        <f ca="1">IFERROR(+IF(BB$29=ProposalToGnatt[[#This Row],[Start Date]],Milestone_Marker,IF(AND(BB$29&gt;ProposalToGnatt[[#This Row],[Start Date]],BB$29&lt;ProposalToGnatt[[#This Row],[Start Date]]+ProposalToGnatt[[#This Row],[Days]]),$G$5,"")),"")</f>
        <v/>
      </c>
      <c r="BC40" s="37" t="str">
        <f ca="1">IFERROR(+IF(BC$29=ProposalToGnatt[[#This Row],[Start Date]],Milestone_Marker,IF(AND(BC$29&gt;ProposalToGnatt[[#This Row],[Start Date]],BC$29&lt;ProposalToGnatt[[#This Row],[Start Date]]+ProposalToGnatt[[#This Row],[Days]]),$G$5,"")),"")</f>
        <v/>
      </c>
      <c r="BD40" s="37" t="str">
        <f ca="1">IFERROR(+IF(BD$29=ProposalToGnatt[[#This Row],[Start Date]],Milestone_Marker,IF(AND(BD$29&gt;ProposalToGnatt[[#This Row],[Start Date]],BD$29&lt;ProposalToGnatt[[#This Row],[Start Date]]+ProposalToGnatt[[#This Row],[Days]]),$G$5,"")),"")</f>
        <v/>
      </c>
      <c r="BE40" s="37" t="str">
        <f ca="1">IFERROR(+IF(BE$29=ProposalToGnatt[[#This Row],[Start Date]],Milestone_Marker,IF(AND(BE$29&gt;ProposalToGnatt[[#This Row],[Start Date]],BE$29&lt;ProposalToGnatt[[#This Row],[Start Date]]+ProposalToGnatt[[#This Row],[Days]]),$G$5,"")),"")</f>
        <v/>
      </c>
      <c r="BF40" s="37" t="str">
        <f ca="1">IFERROR(+IF(BF$29=ProposalToGnatt[[#This Row],[Start Date]],Milestone_Marker,IF(AND(BF$29&gt;ProposalToGnatt[[#This Row],[Start Date]],BF$29&lt;ProposalToGnatt[[#This Row],[Start Date]]+ProposalToGnatt[[#This Row],[Days]]),$G$5,"")),"")</f>
        <v/>
      </c>
      <c r="BG40" s="37" t="str">
        <f ca="1">IFERROR(+IF(BG$29=ProposalToGnatt[[#This Row],[Start Date]],Milestone_Marker,IF(AND(BG$29&gt;ProposalToGnatt[[#This Row],[Start Date]],BG$29&lt;ProposalToGnatt[[#This Row],[Start Date]]+ProposalToGnatt[[#This Row],[Days]]),$G$5,"")),"")</f>
        <v/>
      </c>
      <c r="BH40" s="37" t="str">
        <f ca="1">IFERROR(+IF(BH$29=ProposalToGnatt[[#This Row],[Start Date]],Milestone_Marker,IF(AND(BH$29&gt;ProposalToGnatt[[#This Row],[Start Date]],BH$29&lt;ProposalToGnatt[[#This Row],[Start Date]]+ProposalToGnatt[[#This Row],[Days]]),$G$5,"")),"")</f>
        <v/>
      </c>
      <c r="BI40" s="37" t="str">
        <f ca="1">IFERROR(+IF(BI$29=ProposalToGnatt[[#This Row],[Start Date]],Milestone_Marker,IF(AND(BI$29&gt;ProposalToGnatt[[#This Row],[Start Date]],BI$29&lt;ProposalToGnatt[[#This Row],[Start Date]]+ProposalToGnatt[[#This Row],[Days]]),$G$5,"")),"")</f>
        <v/>
      </c>
      <c r="BJ40" s="37" t="str">
        <f ca="1">IFERROR(+IF(BJ$29=ProposalToGnatt[[#This Row],[Start Date]],Milestone_Marker,IF(AND(BJ$29&gt;ProposalToGnatt[[#This Row],[Start Date]],BJ$29&lt;ProposalToGnatt[[#This Row],[Start Date]]+ProposalToGnatt[[#This Row],[Days]]),$G$5,"")),"")</f>
        <v/>
      </c>
      <c r="BK40" s="37" t="str">
        <f ca="1">IFERROR(+IF(BK$29=ProposalToGnatt[[#This Row],[Start Date]],Milestone_Marker,IF(AND(BK$29&gt;ProposalToGnatt[[#This Row],[Start Date]],BK$29&lt;ProposalToGnatt[[#This Row],[Start Date]]+ProposalToGnatt[[#This Row],[Days]]),$G$5,"")),"")</f>
        <v/>
      </c>
      <c r="BL40" s="37" t="str">
        <f ca="1">IFERROR(+IF(BL$29=ProposalToGnatt[[#This Row],[Start Date]],Milestone_Marker,IF(AND(BL$29&gt;ProposalToGnatt[[#This Row],[Start Date]],BL$29&lt;ProposalToGnatt[[#This Row],[Start Date]]+ProposalToGnatt[[#This Row],[Days]]),$G$5,"")),"")</f>
        <v/>
      </c>
      <c r="BM40" s="37" t="str">
        <f ca="1">IFERROR(+IF(BM$29=ProposalToGnatt[[#This Row],[Start Date]],Milestone_Marker,IF(AND(BM$29&gt;ProposalToGnatt[[#This Row],[Start Date]],BM$29&lt;ProposalToGnatt[[#This Row],[Start Date]]+ProposalToGnatt[[#This Row],[Days]]),$G$5,"")),"")</f>
        <v/>
      </c>
      <c r="BN40" s="37" t="str">
        <f ca="1">IFERROR(+IF(BN$29=ProposalToGnatt[[#This Row],[Start Date]],Milestone_Marker,IF(AND(BN$29&gt;ProposalToGnatt[[#This Row],[Start Date]],BN$29&lt;ProposalToGnatt[[#This Row],[Start Date]]+ProposalToGnatt[[#This Row],[Days]]),$G$5,"")),"")</f>
        <v/>
      </c>
      <c r="BO40" s="37" t="str">
        <f ca="1">IFERROR(+IF(BO$29=ProposalToGnatt[[#This Row],[Start Date]],Milestone_Marker,IF(AND(BO$29&gt;ProposalToGnatt[[#This Row],[Start Date]],BO$29&lt;ProposalToGnatt[[#This Row],[Start Date]]+ProposalToGnatt[[#This Row],[Days]]),$G$5,"")),"")</f>
        <v/>
      </c>
      <c r="BP40" s="37" t="str">
        <f ca="1">IFERROR(+IF(BP$29=ProposalToGnatt[[#This Row],[Start Date]],Milestone_Marker,IF(AND(BP$29&gt;ProposalToGnatt[[#This Row],[Start Date]],BP$29&lt;ProposalToGnatt[[#This Row],[Start Date]]+ProposalToGnatt[[#This Row],[Days]]),$G$5,"")),"")</f>
        <v/>
      </c>
      <c r="BQ40" s="37" t="str">
        <f ca="1">IFERROR(+IF(BQ$29=ProposalToGnatt[[#This Row],[Start Date]],Milestone_Marker,IF(AND(BQ$29&gt;ProposalToGnatt[[#This Row],[Start Date]],BQ$29&lt;ProposalToGnatt[[#This Row],[Start Date]]+ProposalToGnatt[[#This Row],[Days]]),$G$5,"")),"")</f>
        <v/>
      </c>
      <c r="BR40" s="37" t="str">
        <f ca="1">IFERROR(+IF(BR$29=ProposalToGnatt[[#This Row],[Start Date]],Milestone_Marker,IF(AND(BR$29&gt;ProposalToGnatt[[#This Row],[Start Date]],BR$29&lt;ProposalToGnatt[[#This Row],[Start Date]]+ProposalToGnatt[[#This Row],[Days]]),$G$5,"")),"")</f>
        <v/>
      </c>
      <c r="BS40" s="37" t="str">
        <f ca="1">IFERROR(+IF(BS$29=ProposalToGnatt[[#This Row],[Start Date]],Milestone_Marker,IF(AND(BS$29&gt;ProposalToGnatt[[#This Row],[Start Date]],BS$29&lt;ProposalToGnatt[[#This Row],[Start Date]]+ProposalToGnatt[[#This Row],[Days]]),$G$5,"")),"")</f>
        <v/>
      </c>
      <c r="BT40" s="37" t="str">
        <f ca="1">IFERROR(+IF(BT$29=ProposalToGnatt[[#This Row],[Start Date]],Milestone_Marker,IF(AND(BT$29&gt;ProposalToGnatt[[#This Row],[Start Date]],BT$29&lt;ProposalToGnatt[[#This Row],[Start Date]]+ProposalToGnatt[[#This Row],[Days]]),$G$5,"")),"")</f>
        <v/>
      </c>
      <c r="BU40" s="37" t="str">
        <f ca="1">IFERROR(+IF(BU$29=ProposalToGnatt[[#This Row],[Start Date]],Milestone_Marker,IF(AND(BU$29&gt;ProposalToGnatt[[#This Row],[Start Date]],BU$29&lt;ProposalToGnatt[[#This Row],[Start Date]]+ProposalToGnatt[[#This Row],[Days]]),$G$5,"")),"")</f>
        <v/>
      </c>
      <c r="BV40" s="37" t="str">
        <f ca="1">IFERROR(+IF(BV$29=ProposalToGnatt[[#This Row],[Start Date]],Milestone_Marker,IF(AND(BV$29&gt;ProposalToGnatt[[#This Row],[Start Date]],BV$29&lt;ProposalToGnatt[[#This Row],[Start Date]]+ProposalToGnatt[[#This Row],[Days]]),$G$5,"")),"")</f>
        <v/>
      </c>
      <c r="BW40" s="37" t="str">
        <f ca="1">IFERROR(+IF(BW$29=ProposalToGnatt[[#This Row],[Start Date]],Milestone_Marker,IF(AND(BW$29&gt;ProposalToGnatt[[#This Row],[Start Date]],BW$29&lt;ProposalToGnatt[[#This Row],[Start Date]]+ProposalToGnatt[[#This Row],[Days]]),$G$5,"")),"")</f>
        <v/>
      </c>
      <c r="BX40" s="37" t="str">
        <f ca="1">IFERROR(+IF(BX$29=ProposalToGnatt[[#This Row],[Start Date]],Milestone_Marker,IF(AND(BX$29&gt;ProposalToGnatt[[#This Row],[Start Date]],BX$29&lt;ProposalToGnatt[[#This Row],[Start Date]]+ProposalToGnatt[[#This Row],[Days]]),$G$5,"")),"")</f>
        <v/>
      </c>
      <c r="BY40" s="37" t="str">
        <f ca="1">IFERROR(+IF(BY$29=ProposalToGnatt[[#This Row],[Start Date]],Milestone_Marker,IF(AND(BY$29&gt;ProposalToGnatt[[#This Row],[Start Date]],BY$29&lt;ProposalToGnatt[[#This Row],[Start Date]]+ProposalToGnatt[[#This Row],[Days]]),$G$5,"")),"")</f>
        <v/>
      </c>
      <c r="BZ40" s="37" t="str">
        <f ca="1">IFERROR(+IF(BZ$29=ProposalToGnatt[[#This Row],[Start Date]],Milestone_Marker,IF(AND(BZ$29&gt;ProposalToGnatt[[#This Row],[Start Date]],BZ$29&lt;ProposalToGnatt[[#This Row],[Start Date]]+ProposalToGnatt[[#This Row],[Days]]),$G$5,"")),"")</f>
        <v/>
      </c>
      <c r="CA40" s="37" t="str">
        <f ca="1">IFERROR(+IF(CA$29=ProposalToGnatt[[#This Row],[Start Date]],Milestone_Marker,IF(AND(CA$29&gt;ProposalToGnatt[[#This Row],[Start Date]],CA$29&lt;ProposalToGnatt[[#This Row],[Start Date]]+ProposalToGnatt[[#This Row],[Days]]),$G$5,"")),"")</f>
        <v/>
      </c>
      <c r="CB40" s="37" t="str">
        <f ca="1">IFERROR(+IF(CB$29=ProposalToGnatt[[#This Row],[Start Date]],Milestone_Marker,IF(AND(CB$29&gt;ProposalToGnatt[[#This Row],[Start Date]],CB$29&lt;ProposalToGnatt[[#This Row],[Start Date]]+ProposalToGnatt[[#This Row],[Days]]),$G$5,"")),"")</f>
        <v/>
      </c>
      <c r="CC40" s="37" t="str">
        <f ca="1">IFERROR(+IF(CC$29=ProposalToGnatt[[#This Row],[Start Date]],Milestone_Marker,IF(AND(CC$29&gt;ProposalToGnatt[[#This Row],[Start Date]],CC$29&lt;ProposalToGnatt[[#This Row],[Start Date]]+ProposalToGnatt[[#This Row],[Days]]),$G$5,"")),"")</f>
        <v/>
      </c>
      <c r="CD40" s="37" t="str">
        <f ca="1">IFERROR(+IF(CD$29=ProposalToGnatt[[#This Row],[Start Date]],Milestone_Marker,IF(AND(CD$29&gt;ProposalToGnatt[[#This Row],[Start Date]],CD$29&lt;ProposalToGnatt[[#This Row],[Start Date]]+ProposalToGnatt[[#This Row],[Days]]),$G$5,"")),"")</f>
        <v/>
      </c>
      <c r="CE40" s="37" t="str">
        <f ca="1">IFERROR(+IF(CE$29=ProposalToGnatt[[#This Row],[Start Date]],Milestone_Marker,IF(AND(CE$29&gt;ProposalToGnatt[[#This Row],[Start Date]],CE$29&lt;ProposalToGnatt[[#This Row],[Start Date]]+ProposalToGnatt[[#This Row],[Days]]),$G$5,"")),"")</f>
        <v/>
      </c>
      <c r="CF40" s="37" t="str">
        <f ca="1">IFERROR(+IF(CF$29=ProposalToGnatt[[#This Row],[Start Date]],Milestone_Marker,IF(AND(CF$29&gt;ProposalToGnatt[[#This Row],[Start Date]],CF$29&lt;ProposalToGnatt[[#This Row],[Start Date]]+ProposalToGnatt[[#This Row],[Days]]),$G$5,"")),"")</f>
        <v/>
      </c>
      <c r="CG40" s="37" t="str">
        <f ca="1">IFERROR(+IF(CG$29=ProposalToGnatt[[#This Row],[Start Date]],Milestone_Marker,IF(AND(CG$29&gt;ProposalToGnatt[[#This Row],[Start Date]],CG$29&lt;ProposalToGnatt[[#This Row],[Start Date]]+ProposalToGnatt[[#This Row],[Days]]),$G$5,"")),"")</f>
        <v/>
      </c>
      <c r="CH40" s="37" t="str">
        <f ca="1">IFERROR(+IF(CH$29=ProposalToGnatt[[#This Row],[Start Date]],Milestone_Marker,IF(AND(CH$29&gt;ProposalToGnatt[[#This Row],[Start Date]],CH$29&lt;ProposalToGnatt[[#This Row],[Start Date]]+ProposalToGnatt[[#This Row],[Days]]),$G$5,"")),"")</f>
        <v/>
      </c>
      <c r="CI40" s="37" t="str">
        <f ca="1">IFERROR(+IF(CI$29=ProposalToGnatt[[#This Row],[Start Date]],Milestone_Marker,IF(AND(CI$29&gt;ProposalToGnatt[[#This Row],[Start Date]],CI$29&lt;ProposalToGnatt[[#This Row],[Start Date]]+ProposalToGnatt[[#This Row],[Days]]),$G$5,"")),"")</f>
        <v/>
      </c>
      <c r="CJ40" s="37" t="str">
        <f ca="1">IFERROR(+IF(CJ$29=ProposalToGnatt[[#This Row],[Start Date]],Milestone_Marker,IF(AND(CJ$29&gt;ProposalToGnatt[[#This Row],[Start Date]],CJ$29&lt;ProposalToGnatt[[#This Row],[Start Date]]+ProposalToGnatt[[#This Row],[Days]]),$G$5,"")),"")</f>
        <v/>
      </c>
      <c r="CK40" s="37" t="str">
        <f ca="1">IFERROR(+IF(CK$29=ProposalToGnatt[[#This Row],[Start Date]],Milestone_Marker,IF(AND(CK$29&gt;ProposalToGnatt[[#This Row],[Start Date]],CK$29&lt;ProposalToGnatt[[#This Row],[Start Date]]+ProposalToGnatt[[#This Row],[Days]]),$G$5,"")),"")</f>
        <v/>
      </c>
      <c r="CL40" s="37" t="str">
        <f ca="1">IFERROR(+IF(CL$29=ProposalToGnatt[[#This Row],[Start Date]],Milestone_Marker,IF(AND(CL$29&gt;ProposalToGnatt[[#This Row],[Start Date]],CL$29&lt;ProposalToGnatt[[#This Row],[Start Date]]+ProposalToGnatt[[#This Row],[Days]]),$G$5,"")),"")</f>
        <v/>
      </c>
      <c r="CM40" s="37" t="str">
        <f ca="1">IFERROR(+IF(CM$29=ProposalToGnatt[[#This Row],[Start Date]],Milestone_Marker,IF(AND(CM$29&gt;ProposalToGnatt[[#This Row],[Start Date]],CM$29&lt;ProposalToGnatt[[#This Row],[Start Date]]+ProposalToGnatt[[#This Row],[Days]]),$G$5,"")),"")</f>
        <v/>
      </c>
      <c r="CN40" s="37" t="str">
        <f ca="1">IFERROR(+IF(CN$29=ProposalToGnatt[[#This Row],[Start Date]],Milestone_Marker,IF(AND(CN$29&gt;ProposalToGnatt[[#This Row],[Start Date]],CN$29&lt;ProposalToGnatt[[#This Row],[Start Date]]+ProposalToGnatt[[#This Row],[Days]]),$G$5,"")),"")</f>
        <v/>
      </c>
      <c r="CO40" s="37" t="str">
        <f ca="1">IFERROR(+IF(CO$29=ProposalToGnatt[[#This Row],[Start Date]],Milestone_Marker,IF(AND(CO$29&gt;ProposalToGnatt[[#This Row],[Start Date]],CO$29&lt;ProposalToGnatt[[#This Row],[Start Date]]+ProposalToGnatt[[#This Row],[Days]]),$G$5,"")),"")</f>
        <v/>
      </c>
      <c r="CP40" s="37" t="str">
        <f ca="1">IFERROR(+IF(CP$29=ProposalToGnatt[[#This Row],[Start Date]],Milestone_Marker,IF(AND(CP$29&gt;ProposalToGnatt[[#This Row],[Start Date]],CP$29&lt;ProposalToGnatt[[#This Row],[Start Date]]+ProposalToGnatt[[#This Row],[Days]]),$G$5,"")),"")</f>
        <v/>
      </c>
      <c r="CQ40" s="37" t="str">
        <f ca="1">IFERROR(+IF(CQ$29=ProposalToGnatt[[#This Row],[Start Date]],Milestone_Marker,IF(AND(CQ$29&gt;ProposalToGnatt[[#This Row],[Start Date]],CQ$29&lt;ProposalToGnatt[[#This Row],[Start Date]]+ProposalToGnatt[[#This Row],[Days]]),$G$5,"")),"")</f>
        <v/>
      </c>
      <c r="CR40" s="37" t="str">
        <f ca="1">IFERROR(+IF(CR$29=ProposalToGnatt[[#This Row],[Start Date]],Milestone_Marker,IF(AND(CR$29&gt;ProposalToGnatt[[#This Row],[Start Date]],CR$29&lt;ProposalToGnatt[[#This Row],[Start Date]]+ProposalToGnatt[[#This Row],[Days]]),$G$5,"")),"")</f>
        <v/>
      </c>
      <c r="CS40" s="37" t="str">
        <f ca="1">IFERROR(+IF(CS$29=ProposalToGnatt[[#This Row],[Start Date]],Milestone_Marker,IF(AND(CS$29&gt;ProposalToGnatt[[#This Row],[Start Date]],CS$29&lt;ProposalToGnatt[[#This Row],[Start Date]]+ProposalToGnatt[[#This Row],[Days]]),$G$5,"")),"")</f>
        <v/>
      </c>
      <c r="CT40" s="37" t="str">
        <f ca="1">IFERROR(+IF(CT$29=ProposalToGnatt[[#This Row],[Start Date]],Milestone_Marker,IF(AND(CT$29&gt;ProposalToGnatt[[#This Row],[Start Date]],CT$29&lt;ProposalToGnatt[[#This Row],[Start Date]]+ProposalToGnatt[[#This Row],[Days]]),$G$5,"")),"")</f>
        <v/>
      </c>
      <c r="CU40" s="37" t="str">
        <f ca="1">IFERROR(+IF(CU$29=ProposalToGnatt[[#This Row],[Start Date]],Milestone_Marker,IF(AND(CU$29&gt;ProposalToGnatt[[#This Row],[Start Date]],CU$29&lt;ProposalToGnatt[[#This Row],[Start Date]]+ProposalToGnatt[[#This Row],[Days]]),$G$5,"")),"")</f>
        <v/>
      </c>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row>
    <row r="41" spans="1:125" s="42" customFormat="1" ht="20.100000000000001" customHeight="1">
      <c r="A41" t="s">
        <v>449</v>
      </c>
      <c r="B41">
        <v>12</v>
      </c>
      <c r="C41" t="s">
        <v>255</v>
      </c>
      <c r="D41"/>
      <c r="E41"/>
      <c r="F41"/>
      <c r="G41" s="11"/>
      <c r="H41" s="26"/>
      <c r="I41"/>
      <c r="J41"/>
      <c r="K41" s="402"/>
      <c r="L41"/>
      <c r="M41"/>
      <c r="N41"/>
      <c r="O41" s="26"/>
      <c r="P41" s="37">
        <f ca="1">IFERROR(+IF(P$29=ProposalToGnatt[[#This Row],[Start Date]],Milestone_Marker,IF(AND(P$29&gt;ProposalToGnatt[[#This Row],[Start Date]],P$29&lt;ProposalToGnatt[[#This Row],[Start Date]]+ProposalToGnatt[[#This Row],[Days]]),$G$5,"")),"")</f>
        <v>1</v>
      </c>
      <c r="Q41" s="37" t="str">
        <f ca="1">IFERROR(+IF(Q$29=ProposalToGnatt[[#This Row],[Start Date]],Milestone_Marker,IF(AND(Q$29&gt;ProposalToGnatt[[#This Row],[Start Date]],Q$29&lt;ProposalToGnatt[[#This Row],[Start Date]]+ProposalToGnatt[[#This Row],[Days]]),$G$5,"")),"")</f>
        <v/>
      </c>
      <c r="R41" s="37" t="str">
        <f ca="1">IFERROR(+IF(R$29=ProposalToGnatt[[#This Row],[Start Date]],Milestone_Marker,IF(AND(R$29&gt;ProposalToGnatt[[#This Row],[Start Date]],R$29&lt;ProposalToGnatt[[#This Row],[Start Date]]+ProposalToGnatt[[#This Row],[Days]]),$G$5,"")),"")</f>
        <v/>
      </c>
      <c r="S41" s="37" t="str">
        <f ca="1">IFERROR(+IF(S$29=ProposalToGnatt[[#This Row],[Start Date]],Milestone_Marker,IF(AND(S$29&gt;ProposalToGnatt[[#This Row],[Start Date]],S$29&lt;ProposalToGnatt[[#This Row],[Start Date]]+ProposalToGnatt[[#This Row],[Days]]),$G$5,"")),"")</f>
        <v/>
      </c>
      <c r="T41" s="37" t="str">
        <f ca="1">IFERROR(+IF(T$29=ProposalToGnatt[[#This Row],[Start Date]],Milestone_Marker,IF(AND(T$29&gt;ProposalToGnatt[[#This Row],[Start Date]],T$29&lt;ProposalToGnatt[[#This Row],[Start Date]]+ProposalToGnatt[[#This Row],[Days]]),$G$5,"")),"")</f>
        <v/>
      </c>
      <c r="U41" s="37" t="str">
        <f ca="1">IFERROR(+IF(U$29=ProposalToGnatt[[#This Row],[Start Date]],Milestone_Marker,IF(AND(U$29&gt;ProposalToGnatt[[#This Row],[Start Date]],U$29&lt;ProposalToGnatt[[#This Row],[Start Date]]+ProposalToGnatt[[#This Row],[Days]]),$G$5,"")),"")</f>
        <v/>
      </c>
      <c r="V41" s="37" t="str">
        <f ca="1">IFERROR(+IF(V$29=ProposalToGnatt[[#This Row],[Start Date]],Milestone_Marker,IF(AND(V$29&gt;ProposalToGnatt[[#This Row],[Start Date]],V$29&lt;ProposalToGnatt[[#This Row],[Start Date]]+ProposalToGnatt[[#This Row],[Days]]),$G$5,"")),"")</f>
        <v/>
      </c>
      <c r="W41" s="37" t="str">
        <f ca="1">IFERROR(+IF(W$29=ProposalToGnatt[[#This Row],[Start Date]],Milestone_Marker,IF(AND(W$29&gt;ProposalToGnatt[[#This Row],[Start Date]],W$29&lt;ProposalToGnatt[[#This Row],[Start Date]]+ProposalToGnatt[[#This Row],[Days]]),$G$5,"")),"")</f>
        <v/>
      </c>
      <c r="X41" s="37" t="str">
        <f ca="1">IFERROR(+IF(X$29=ProposalToGnatt[[#This Row],[Start Date]],Milestone_Marker,IF(AND(X$29&gt;ProposalToGnatt[[#This Row],[Start Date]],X$29&lt;ProposalToGnatt[[#This Row],[Start Date]]+ProposalToGnatt[[#This Row],[Days]]),$G$5,"")),"")</f>
        <v/>
      </c>
      <c r="Y41" s="37" t="str">
        <f ca="1">IFERROR(+IF(Y$29=ProposalToGnatt[[#This Row],[Start Date]],Milestone_Marker,IF(AND(Y$29&gt;ProposalToGnatt[[#This Row],[Start Date]],Y$29&lt;ProposalToGnatt[[#This Row],[Start Date]]+ProposalToGnatt[[#This Row],[Days]]),$G$5,"")),"")</f>
        <v/>
      </c>
      <c r="Z41" s="37" t="str">
        <f ca="1">IFERROR(+IF(Z$29=ProposalToGnatt[[#This Row],[Start Date]],Milestone_Marker,IF(AND(Z$29&gt;ProposalToGnatt[[#This Row],[Start Date]],Z$29&lt;ProposalToGnatt[[#This Row],[Start Date]]+ProposalToGnatt[[#This Row],[Days]]),$G$5,"")),"")</f>
        <v/>
      </c>
      <c r="AA41" s="37" t="str">
        <f ca="1">IFERROR(+IF(AA$29=ProposalToGnatt[[#This Row],[Start Date]],Milestone_Marker,IF(AND(AA$29&gt;ProposalToGnatt[[#This Row],[Start Date]],AA$29&lt;ProposalToGnatt[[#This Row],[Start Date]]+ProposalToGnatt[[#This Row],[Days]]),$G$5,"")),"")</f>
        <v/>
      </c>
      <c r="AB41" s="37" t="str">
        <f ca="1">IFERROR(+IF(AB$29=ProposalToGnatt[[#This Row],[Start Date]],Milestone_Marker,IF(AND(AB$29&gt;ProposalToGnatt[[#This Row],[Start Date]],AB$29&lt;ProposalToGnatt[[#This Row],[Start Date]]+ProposalToGnatt[[#This Row],[Days]]),$G$5,"")),"")</f>
        <v/>
      </c>
      <c r="AC41" s="37" t="str">
        <f ca="1">IFERROR(+IF(AC$29=ProposalToGnatt[[#This Row],[Start Date]],Milestone_Marker,IF(AND(AC$29&gt;ProposalToGnatt[[#This Row],[Start Date]],AC$29&lt;ProposalToGnatt[[#This Row],[Start Date]]+ProposalToGnatt[[#This Row],[Days]]),$G$5,"")),"")</f>
        <v/>
      </c>
      <c r="AD41" s="37" t="str">
        <f ca="1">IFERROR(+IF(AD$29=ProposalToGnatt[[#This Row],[Start Date]],Milestone_Marker,IF(AND(AD$29&gt;ProposalToGnatt[[#This Row],[Start Date]],AD$29&lt;ProposalToGnatt[[#This Row],[Start Date]]+ProposalToGnatt[[#This Row],[Days]]),$G$5,"")),"")</f>
        <v/>
      </c>
      <c r="AE41" s="37" t="str">
        <f ca="1">IFERROR(+IF(AE$29=ProposalToGnatt[[#This Row],[Start Date]],Milestone_Marker,IF(AND(AE$29&gt;ProposalToGnatt[[#This Row],[Start Date]],AE$29&lt;ProposalToGnatt[[#This Row],[Start Date]]+ProposalToGnatt[[#This Row],[Days]]),$G$5,"")),"")</f>
        <v/>
      </c>
      <c r="AF41" s="37" t="str">
        <f ca="1">IFERROR(+IF(AF$29=ProposalToGnatt[[#This Row],[Start Date]],Milestone_Marker,IF(AND(AF$29&gt;ProposalToGnatt[[#This Row],[Start Date]],AF$29&lt;ProposalToGnatt[[#This Row],[Start Date]]+ProposalToGnatt[[#This Row],[Days]]),$G$5,"")),"")</f>
        <v/>
      </c>
      <c r="AG41" s="37" t="str">
        <f ca="1">IFERROR(+IF(AG$29=ProposalToGnatt[[#This Row],[Start Date]],Milestone_Marker,IF(AND(AG$29&gt;ProposalToGnatt[[#This Row],[Start Date]],AG$29&lt;ProposalToGnatt[[#This Row],[Start Date]]+ProposalToGnatt[[#This Row],[Days]]),$G$5,"")),"")</f>
        <v/>
      </c>
      <c r="AH41" s="37" t="str">
        <f ca="1">IFERROR(+IF(AH$29=ProposalToGnatt[[#This Row],[Start Date]],Milestone_Marker,IF(AND(AH$29&gt;ProposalToGnatt[[#This Row],[Start Date]],AH$29&lt;ProposalToGnatt[[#This Row],[Start Date]]+ProposalToGnatt[[#This Row],[Days]]),$G$5,"")),"")</f>
        <v/>
      </c>
      <c r="AI41" s="37" t="str">
        <f ca="1">IFERROR(+IF(AI$29=ProposalToGnatt[[#This Row],[Start Date]],Milestone_Marker,IF(AND(AI$29&gt;ProposalToGnatt[[#This Row],[Start Date]],AI$29&lt;ProposalToGnatt[[#This Row],[Start Date]]+ProposalToGnatt[[#This Row],[Days]]),$G$5,"")),"")</f>
        <v/>
      </c>
      <c r="AJ41" s="37" t="str">
        <f ca="1">IFERROR(+IF(AJ$29=ProposalToGnatt[[#This Row],[Start Date]],Milestone_Marker,IF(AND(AJ$29&gt;ProposalToGnatt[[#This Row],[Start Date]],AJ$29&lt;ProposalToGnatt[[#This Row],[Start Date]]+ProposalToGnatt[[#This Row],[Days]]),$G$5,"")),"")</f>
        <v/>
      </c>
      <c r="AK41" s="37" t="str">
        <f ca="1">IFERROR(+IF(AK$29=ProposalToGnatt[[#This Row],[Start Date]],Milestone_Marker,IF(AND(AK$29&gt;ProposalToGnatt[[#This Row],[Start Date]],AK$29&lt;ProposalToGnatt[[#This Row],[Start Date]]+ProposalToGnatt[[#This Row],[Days]]),$G$5,"")),"")</f>
        <v/>
      </c>
      <c r="AL41" s="37" t="str">
        <f ca="1">IFERROR(+IF(AL$29=ProposalToGnatt[[#This Row],[Start Date]],Milestone_Marker,IF(AND(AL$29&gt;ProposalToGnatt[[#This Row],[Start Date]],AL$29&lt;ProposalToGnatt[[#This Row],[Start Date]]+ProposalToGnatt[[#This Row],[Days]]),$G$5,"")),"")</f>
        <v/>
      </c>
      <c r="AM41" s="37" t="str">
        <f ca="1">IFERROR(+IF(AM$29=ProposalToGnatt[[#This Row],[Start Date]],Milestone_Marker,IF(AND(AM$29&gt;ProposalToGnatt[[#This Row],[Start Date]],AM$29&lt;ProposalToGnatt[[#This Row],[Start Date]]+ProposalToGnatt[[#This Row],[Days]]),$G$5,"")),"")</f>
        <v/>
      </c>
      <c r="AN41" s="37" t="str">
        <f ca="1">IFERROR(+IF(AN$29=ProposalToGnatt[[#This Row],[Start Date]],Milestone_Marker,IF(AND(AN$29&gt;ProposalToGnatt[[#This Row],[Start Date]],AN$29&lt;ProposalToGnatt[[#This Row],[Start Date]]+ProposalToGnatt[[#This Row],[Days]]),$G$5,"")),"")</f>
        <v/>
      </c>
      <c r="AO41" s="37" t="str">
        <f ca="1">IFERROR(+IF(AO$29=ProposalToGnatt[[#This Row],[Start Date]],Milestone_Marker,IF(AND(AO$29&gt;ProposalToGnatt[[#This Row],[Start Date]],AO$29&lt;ProposalToGnatt[[#This Row],[Start Date]]+ProposalToGnatt[[#This Row],[Days]]),$G$5,"")),"")</f>
        <v/>
      </c>
      <c r="AP41" s="37" t="str">
        <f ca="1">IFERROR(+IF(AP$29=ProposalToGnatt[[#This Row],[Start Date]],Milestone_Marker,IF(AND(AP$29&gt;ProposalToGnatt[[#This Row],[Start Date]],AP$29&lt;ProposalToGnatt[[#This Row],[Start Date]]+ProposalToGnatt[[#This Row],[Days]]),$G$5,"")),"")</f>
        <v/>
      </c>
      <c r="AQ41" s="37" t="str">
        <f ca="1">IFERROR(+IF(AQ$29=ProposalToGnatt[[#This Row],[Start Date]],Milestone_Marker,IF(AND(AQ$29&gt;ProposalToGnatt[[#This Row],[Start Date]],AQ$29&lt;ProposalToGnatt[[#This Row],[Start Date]]+ProposalToGnatt[[#This Row],[Days]]),$G$5,"")),"")</f>
        <v/>
      </c>
      <c r="AR41" s="37" t="str">
        <f ca="1">IFERROR(+IF(AR$29=ProposalToGnatt[[#This Row],[Start Date]],Milestone_Marker,IF(AND(AR$29&gt;ProposalToGnatt[[#This Row],[Start Date]],AR$29&lt;ProposalToGnatt[[#This Row],[Start Date]]+ProposalToGnatt[[#This Row],[Days]]),$G$5,"")),"")</f>
        <v/>
      </c>
      <c r="AS41" s="37" t="str">
        <f ca="1">IFERROR(+IF(AS$29=ProposalToGnatt[[#This Row],[Start Date]],Milestone_Marker,IF(AND(AS$29&gt;ProposalToGnatt[[#This Row],[Start Date]],AS$29&lt;ProposalToGnatt[[#This Row],[Start Date]]+ProposalToGnatt[[#This Row],[Days]]),$G$5,"")),"")</f>
        <v/>
      </c>
      <c r="AT41" s="37" t="str">
        <f ca="1">IFERROR(+IF(AT$29=ProposalToGnatt[[#This Row],[Start Date]],Milestone_Marker,IF(AND(AT$29&gt;ProposalToGnatt[[#This Row],[Start Date]],AT$29&lt;ProposalToGnatt[[#This Row],[Start Date]]+ProposalToGnatt[[#This Row],[Days]]),$G$5,"")),"")</f>
        <v/>
      </c>
      <c r="AU41" s="37" t="str">
        <f ca="1">IFERROR(+IF(AU$29=ProposalToGnatt[[#This Row],[Start Date]],Milestone_Marker,IF(AND(AU$29&gt;ProposalToGnatt[[#This Row],[Start Date]],AU$29&lt;ProposalToGnatt[[#This Row],[Start Date]]+ProposalToGnatt[[#This Row],[Days]]),$G$5,"")),"")</f>
        <v/>
      </c>
      <c r="AV41" s="37" t="str">
        <f ca="1">IFERROR(+IF(AV$29=ProposalToGnatt[[#This Row],[Start Date]],Milestone_Marker,IF(AND(AV$29&gt;ProposalToGnatt[[#This Row],[Start Date]],AV$29&lt;ProposalToGnatt[[#This Row],[Start Date]]+ProposalToGnatt[[#This Row],[Days]]),$G$5,"")),"")</f>
        <v/>
      </c>
      <c r="AW41" s="37" t="str">
        <f ca="1">IFERROR(+IF(AW$29=ProposalToGnatt[[#This Row],[Start Date]],Milestone_Marker,IF(AND(AW$29&gt;ProposalToGnatt[[#This Row],[Start Date]],AW$29&lt;ProposalToGnatt[[#This Row],[Start Date]]+ProposalToGnatt[[#This Row],[Days]]),$G$5,"")),"")</f>
        <v/>
      </c>
      <c r="AX41" s="37" t="str">
        <f ca="1">IFERROR(+IF(AX$29=ProposalToGnatt[[#This Row],[Start Date]],Milestone_Marker,IF(AND(AX$29&gt;ProposalToGnatt[[#This Row],[Start Date]],AX$29&lt;ProposalToGnatt[[#This Row],[Start Date]]+ProposalToGnatt[[#This Row],[Days]]),$G$5,"")),"")</f>
        <v/>
      </c>
      <c r="AY41" s="37" t="str">
        <f ca="1">IFERROR(+IF(AY$29=ProposalToGnatt[[#This Row],[Start Date]],Milestone_Marker,IF(AND(AY$29&gt;ProposalToGnatt[[#This Row],[Start Date]],AY$29&lt;ProposalToGnatt[[#This Row],[Start Date]]+ProposalToGnatt[[#This Row],[Days]]),$G$5,"")),"")</f>
        <v/>
      </c>
      <c r="AZ41" s="37" t="str">
        <f ca="1">IFERROR(+IF(AZ$29=ProposalToGnatt[[#This Row],[Start Date]],Milestone_Marker,IF(AND(AZ$29&gt;ProposalToGnatt[[#This Row],[Start Date]],AZ$29&lt;ProposalToGnatt[[#This Row],[Start Date]]+ProposalToGnatt[[#This Row],[Days]]),$G$5,"")),"")</f>
        <v/>
      </c>
      <c r="BA41" s="37" t="str">
        <f ca="1">IFERROR(+IF(BA$29=ProposalToGnatt[[#This Row],[Start Date]],Milestone_Marker,IF(AND(BA$29&gt;ProposalToGnatt[[#This Row],[Start Date]],BA$29&lt;ProposalToGnatt[[#This Row],[Start Date]]+ProposalToGnatt[[#This Row],[Days]]),$G$5,"")),"")</f>
        <v/>
      </c>
      <c r="BB41" s="37" t="str">
        <f ca="1">IFERROR(+IF(BB$29=ProposalToGnatt[[#This Row],[Start Date]],Milestone_Marker,IF(AND(BB$29&gt;ProposalToGnatt[[#This Row],[Start Date]],BB$29&lt;ProposalToGnatt[[#This Row],[Start Date]]+ProposalToGnatt[[#This Row],[Days]]),$G$5,"")),"")</f>
        <v/>
      </c>
      <c r="BC41" s="37" t="str">
        <f ca="1">IFERROR(+IF(BC$29=ProposalToGnatt[[#This Row],[Start Date]],Milestone_Marker,IF(AND(BC$29&gt;ProposalToGnatt[[#This Row],[Start Date]],BC$29&lt;ProposalToGnatt[[#This Row],[Start Date]]+ProposalToGnatt[[#This Row],[Days]]),$G$5,"")),"")</f>
        <v/>
      </c>
      <c r="BD41" s="37" t="str">
        <f ca="1">IFERROR(+IF(BD$29=ProposalToGnatt[[#This Row],[Start Date]],Milestone_Marker,IF(AND(BD$29&gt;ProposalToGnatt[[#This Row],[Start Date]],BD$29&lt;ProposalToGnatt[[#This Row],[Start Date]]+ProposalToGnatt[[#This Row],[Days]]),$G$5,"")),"")</f>
        <v/>
      </c>
      <c r="BE41" s="37" t="str">
        <f ca="1">IFERROR(+IF(BE$29=ProposalToGnatt[[#This Row],[Start Date]],Milestone_Marker,IF(AND(BE$29&gt;ProposalToGnatt[[#This Row],[Start Date]],BE$29&lt;ProposalToGnatt[[#This Row],[Start Date]]+ProposalToGnatt[[#This Row],[Days]]),$G$5,"")),"")</f>
        <v/>
      </c>
      <c r="BF41" s="37" t="str">
        <f ca="1">IFERROR(+IF(BF$29=ProposalToGnatt[[#This Row],[Start Date]],Milestone_Marker,IF(AND(BF$29&gt;ProposalToGnatt[[#This Row],[Start Date]],BF$29&lt;ProposalToGnatt[[#This Row],[Start Date]]+ProposalToGnatt[[#This Row],[Days]]),$G$5,"")),"")</f>
        <v/>
      </c>
      <c r="BG41" s="37" t="str">
        <f ca="1">IFERROR(+IF(BG$29=ProposalToGnatt[[#This Row],[Start Date]],Milestone_Marker,IF(AND(BG$29&gt;ProposalToGnatt[[#This Row],[Start Date]],BG$29&lt;ProposalToGnatt[[#This Row],[Start Date]]+ProposalToGnatt[[#This Row],[Days]]),$G$5,"")),"")</f>
        <v/>
      </c>
      <c r="BH41" s="37" t="str">
        <f ca="1">IFERROR(+IF(BH$29=ProposalToGnatt[[#This Row],[Start Date]],Milestone_Marker,IF(AND(BH$29&gt;ProposalToGnatt[[#This Row],[Start Date]],BH$29&lt;ProposalToGnatt[[#This Row],[Start Date]]+ProposalToGnatt[[#This Row],[Days]]),$G$5,"")),"")</f>
        <v/>
      </c>
      <c r="BI41" s="37" t="str">
        <f ca="1">IFERROR(+IF(BI$29=ProposalToGnatt[[#This Row],[Start Date]],Milestone_Marker,IF(AND(BI$29&gt;ProposalToGnatt[[#This Row],[Start Date]],BI$29&lt;ProposalToGnatt[[#This Row],[Start Date]]+ProposalToGnatt[[#This Row],[Days]]),$G$5,"")),"")</f>
        <v/>
      </c>
      <c r="BJ41" s="37" t="str">
        <f ca="1">IFERROR(+IF(BJ$29=ProposalToGnatt[[#This Row],[Start Date]],Milestone_Marker,IF(AND(BJ$29&gt;ProposalToGnatt[[#This Row],[Start Date]],BJ$29&lt;ProposalToGnatt[[#This Row],[Start Date]]+ProposalToGnatt[[#This Row],[Days]]),$G$5,"")),"")</f>
        <v/>
      </c>
      <c r="BK41" s="37" t="str">
        <f ca="1">IFERROR(+IF(BK$29=ProposalToGnatt[[#This Row],[Start Date]],Milestone_Marker,IF(AND(BK$29&gt;ProposalToGnatt[[#This Row],[Start Date]],BK$29&lt;ProposalToGnatt[[#This Row],[Start Date]]+ProposalToGnatt[[#This Row],[Days]]),$G$5,"")),"")</f>
        <v/>
      </c>
      <c r="BL41" s="37" t="str">
        <f ca="1">IFERROR(+IF(BL$29=ProposalToGnatt[[#This Row],[Start Date]],Milestone_Marker,IF(AND(BL$29&gt;ProposalToGnatt[[#This Row],[Start Date]],BL$29&lt;ProposalToGnatt[[#This Row],[Start Date]]+ProposalToGnatt[[#This Row],[Days]]),$G$5,"")),"")</f>
        <v/>
      </c>
      <c r="BM41" s="37" t="str">
        <f ca="1">IFERROR(+IF(BM$29=ProposalToGnatt[[#This Row],[Start Date]],Milestone_Marker,IF(AND(BM$29&gt;ProposalToGnatt[[#This Row],[Start Date]],BM$29&lt;ProposalToGnatt[[#This Row],[Start Date]]+ProposalToGnatt[[#This Row],[Days]]),$G$5,"")),"")</f>
        <v/>
      </c>
      <c r="BN41" s="37" t="str">
        <f ca="1">IFERROR(+IF(BN$29=ProposalToGnatt[[#This Row],[Start Date]],Milestone_Marker,IF(AND(BN$29&gt;ProposalToGnatt[[#This Row],[Start Date]],BN$29&lt;ProposalToGnatt[[#This Row],[Start Date]]+ProposalToGnatt[[#This Row],[Days]]),$G$5,"")),"")</f>
        <v/>
      </c>
      <c r="BO41" s="37" t="str">
        <f ca="1">IFERROR(+IF(BO$29=ProposalToGnatt[[#This Row],[Start Date]],Milestone_Marker,IF(AND(BO$29&gt;ProposalToGnatt[[#This Row],[Start Date]],BO$29&lt;ProposalToGnatt[[#This Row],[Start Date]]+ProposalToGnatt[[#This Row],[Days]]),$G$5,"")),"")</f>
        <v/>
      </c>
      <c r="BP41" s="37" t="str">
        <f ca="1">IFERROR(+IF(BP$29=ProposalToGnatt[[#This Row],[Start Date]],Milestone_Marker,IF(AND(BP$29&gt;ProposalToGnatt[[#This Row],[Start Date]],BP$29&lt;ProposalToGnatt[[#This Row],[Start Date]]+ProposalToGnatt[[#This Row],[Days]]),$G$5,"")),"")</f>
        <v/>
      </c>
      <c r="BQ41" s="37" t="str">
        <f ca="1">IFERROR(+IF(BQ$29=ProposalToGnatt[[#This Row],[Start Date]],Milestone_Marker,IF(AND(BQ$29&gt;ProposalToGnatt[[#This Row],[Start Date]],BQ$29&lt;ProposalToGnatt[[#This Row],[Start Date]]+ProposalToGnatt[[#This Row],[Days]]),$G$5,"")),"")</f>
        <v/>
      </c>
      <c r="BR41" s="37" t="str">
        <f ca="1">IFERROR(+IF(BR$29=ProposalToGnatt[[#This Row],[Start Date]],Milestone_Marker,IF(AND(BR$29&gt;ProposalToGnatt[[#This Row],[Start Date]],BR$29&lt;ProposalToGnatt[[#This Row],[Start Date]]+ProposalToGnatt[[#This Row],[Days]]),$G$5,"")),"")</f>
        <v/>
      </c>
      <c r="BS41" s="37" t="str">
        <f ca="1">IFERROR(+IF(BS$29=ProposalToGnatt[[#This Row],[Start Date]],Milestone_Marker,IF(AND(BS$29&gt;ProposalToGnatt[[#This Row],[Start Date]],BS$29&lt;ProposalToGnatt[[#This Row],[Start Date]]+ProposalToGnatt[[#This Row],[Days]]),$G$5,"")),"")</f>
        <v/>
      </c>
      <c r="BT41" s="37" t="str">
        <f ca="1">IFERROR(+IF(BT$29=ProposalToGnatt[[#This Row],[Start Date]],Milestone_Marker,IF(AND(BT$29&gt;ProposalToGnatt[[#This Row],[Start Date]],BT$29&lt;ProposalToGnatt[[#This Row],[Start Date]]+ProposalToGnatt[[#This Row],[Days]]),$G$5,"")),"")</f>
        <v/>
      </c>
      <c r="BU41" s="37" t="str">
        <f ca="1">IFERROR(+IF(BU$29=ProposalToGnatt[[#This Row],[Start Date]],Milestone_Marker,IF(AND(BU$29&gt;ProposalToGnatt[[#This Row],[Start Date]],BU$29&lt;ProposalToGnatt[[#This Row],[Start Date]]+ProposalToGnatt[[#This Row],[Days]]),$G$5,"")),"")</f>
        <v/>
      </c>
      <c r="BV41" s="37" t="str">
        <f ca="1">IFERROR(+IF(BV$29=ProposalToGnatt[[#This Row],[Start Date]],Milestone_Marker,IF(AND(BV$29&gt;ProposalToGnatt[[#This Row],[Start Date]],BV$29&lt;ProposalToGnatt[[#This Row],[Start Date]]+ProposalToGnatt[[#This Row],[Days]]),$G$5,"")),"")</f>
        <v/>
      </c>
      <c r="BW41" s="37" t="str">
        <f ca="1">IFERROR(+IF(BW$29=ProposalToGnatt[[#This Row],[Start Date]],Milestone_Marker,IF(AND(BW$29&gt;ProposalToGnatt[[#This Row],[Start Date]],BW$29&lt;ProposalToGnatt[[#This Row],[Start Date]]+ProposalToGnatt[[#This Row],[Days]]),$G$5,"")),"")</f>
        <v/>
      </c>
      <c r="BX41" s="37" t="str">
        <f ca="1">IFERROR(+IF(BX$29=ProposalToGnatt[[#This Row],[Start Date]],Milestone_Marker,IF(AND(BX$29&gt;ProposalToGnatt[[#This Row],[Start Date]],BX$29&lt;ProposalToGnatt[[#This Row],[Start Date]]+ProposalToGnatt[[#This Row],[Days]]),$G$5,"")),"")</f>
        <v/>
      </c>
      <c r="BY41" s="37" t="str">
        <f ca="1">IFERROR(+IF(BY$29=ProposalToGnatt[[#This Row],[Start Date]],Milestone_Marker,IF(AND(BY$29&gt;ProposalToGnatt[[#This Row],[Start Date]],BY$29&lt;ProposalToGnatt[[#This Row],[Start Date]]+ProposalToGnatt[[#This Row],[Days]]),$G$5,"")),"")</f>
        <v/>
      </c>
      <c r="BZ41" s="37" t="str">
        <f ca="1">IFERROR(+IF(BZ$29=ProposalToGnatt[[#This Row],[Start Date]],Milestone_Marker,IF(AND(BZ$29&gt;ProposalToGnatt[[#This Row],[Start Date]],BZ$29&lt;ProposalToGnatt[[#This Row],[Start Date]]+ProposalToGnatt[[#This Row],[Days]]),$G$5,"")),"")</f>
        <v/>
      </c>
      <c r="CA41" s="37" t="str">
        <f ca="1">IFERROR(+IF(CA$29=ProposalToGnatt[[#This Row],[Start Date]],Milestone_Marker,IF(AND(CA$29&gt;ProposalToGnatt[[#This Row],[Start Date]],CA$29&lt;ProposalToGnatt[[#This Row],[Start Date]]+ProposalToGnatt[[#This Row],[Days]]),$G$5,"")),"")</f>
        <v/>
      </c>
      <c r="CB41" s="37" t="str">
        <f ca="1">IFERROR(+IF(CB$29=ProposalToGnatt[[#This Row],[Start Date]],Milestone_Marker,IF(AND(CB$29&gt;ProposalToGnatt[[#This Row],[Start Date]],CB$29&lt;ProposalToGnatt[[#This Row],[Start Date]]+ProposalToGnatt[[#This Row],[Days]]),$G$5,"")),"")</f>
        <v/>
      </c>
      <c r="CC41" s="37" t="str">
        <f ca="1">IFERROR(+IF(CC$29=ProposalToGnatt[[#This Row],[Start Date]],Milestone_Marker,IF(AND(CC$29&gt;ProposalToGnatt[[#This Row],[Start Date]],CC$29&lt;ProposalToGnatt[[#This Row],[Start Date]]+ProposalToGnatt[[#This Row],[Days]]),$G$5,"")),"")</f>
        <v/>
      </c>
      <c r="CD41" s="37" t="str">
        <f ca="1">IFERROR(+IF(CD$29=ProposalToGnatt[[#This Row],[Start Date]],Milestone_Marker,IF(AND(CD$29&gt;ProposalToGnatt[[#This Row],[Start Date]],CD$29&lt;ProposalToGnatt[[#This Row],[Start Date]]+ProposalToGnatt[[#This Row],[Days]]),$G$5,"")),"")</f>
        <v/>
      </c>
      <c r="CE41" s="37" t="str">
        <f ca="1">IFERROR(+IF(CE$29=ProposalToGnatt[[#This Row],[Start Date]],Milestone_Marker,IF(AND(CE$29&gt;ProposalToGnatt[[#This Row],[Start Date]],CE$29&lt;ProposalToGnatt[[#This Row],[Start Date]]+ProposalToGnatt[[#This Row],[Days]]),$G$5,"")),"")</f>
        <v/>
      </c>
      <c r="CF41" s="37" t="str">
        <f ca="1">IFERROR(+IF(CF$29=ProposalToGnatt[[#This Row],[Start Date]],Milestone_Marker,IF(AND(CF$29&gt;ProposalToGnatt[[#This Row],[Start Date]],CF$29&lt;ProposalToGnatt[[#This Row],[Start Date]]+ProposalToGnatt[[#This Row],[Days]]),$G$5,"")),"")</f>
        <v/>
      </c>
      <c r="CG41" s="37" t="str">
        <f ca="1">IFERROR(+IF(CG$29=ProposalToGnatt[[#This Row],[Start Date]],Milestone_Marker,IF(AND(CG$29&gt;ProposalToGnatt[[#This Row],[Start Date]],CG$29&lt;ProposalToGnatt[[#This Row],[Start Date]]+ProposalToGnatt[[#This Row],[Days]]),$G$5,"")),"")</f>
        <v/>
      </c>
      <c r="CH41" s="37" t="str">
        <f ca="1">IFERROR(+IF(CH$29=ProposalToGnatt[[#This Row],[Start Date]],Milestone_Marker,IF(AND(CH$29&gt;ProposalToGnatt[[#This Row],[Start Date]],CH$29&lt;ProposalToGnatt[[#This Row],[Start Date]]+ProposalToGnatt[[#This Row],[Days]]),$G$5,"")),"")</f>
        <v/>
      </c>
      <c r="CI41" s="37" t="str">
        <f ca="1">IFERROR(+IF(CI$29=ProposalToGnatt[[#This Row],[Start Date]],Milestone_Marker,IF(AND(CI$29&gt;ProposalToGnatt[[#This Row],[Start Date]],CI$29&lt;ProposalToGnatt[[#This Row],[Start Date]]+ProposalToGnatt[[#This Row],[Days]]),$G$5,"")),"")</f>
        <v/>
      </c>
      <c r="CJ41" s="37" t="str">
        <f ca="1">IFERROR(+IF(CJ$29=ProposalToGnatt[[#This Row],[Start Date]],Milestone_Marker,IF(AND(CJ$29&gt;ProposalToGnatt[[#This Row],[Start Date]],CJ$29&lt;ProposalToGnatt[[#This Row],[Start Date]]+ProposalToGnatt[[#This Row],[Days]]),$G$5,"")),"")</f>
        <v/>
      </c>
      <c r="CK41" s="37" t="str">
        <f ca="1">IFERROR(+IF(CK$29=ProposalToGnatt[[#This Row],[Start Date]],Milestone_Marker,IF(AND(CK$29&gt;ProposalToGnatt[[#This Row],[Start Date]],CK$29&lt;ProposalToGnatt[[#This Row],[Start Date]]+ProposalToGnatt[[#This Row],[Days]]),$G$5,"")),"")</f>
        <v/>
      </c>
      <c r="CL41" s="37" t="str">
        <f ca="1">IFERROR(+IF(CL$29=ProposalToGnatt[[#This Row],[Start Date]],Milestone_Marker,IF(AND(CL$29&gt;ProposalToGnatt[[#This Row],[Start Date]],CL$29&lt;ProposalToGnatt[[#This Row],[Start Date]]+ProposalToGnatt[[#This Row],[Days]]),$G$5,"")),"")</f>
        <v/>
      </c>
      <c r="CM41" s="37" t="str">
        <f ca="1">IFERROR(+IF(CM$29=ProposalToGnatt[[#This Row],[Start Date]],Milestone_Marker,IF(AND(CM$29&gt;ProposalToGnatt[[#This Row],[Start Date]],CM$29&lt;ProposalToGnatt[[#This Row],[Start Date]]+ProposalToGnatt[[#This Row],[Days]]),$G$5,"")),"")</f>
        <v/>
      </c>
      <c r="CN41" s="37" t="str">
        <f ca="1">IFERROR(+IF(CN$29=ProposalToGnatt[[#This Row],[Start Date]],Milestone_Marker,IF(AND(CN$29&gt;ProposalToGnatt[[#This Row],[Start Date]],CN$29&lt;ProposalToGnatt[[#This Row],[Start Date]]+ProposalToGnatt[[#This Row],[Days]]),$G$5,"")),"")</f>
        <v/>
      </c>
      <c r="CO41" s="37" t="str">
        <f ca="1">IFERROR(+IF(CO$29=ProposalToGnatt[[#This Row],[Start Date]],Milestone_Marker,IF(AND(CO$29&gt;ProposalToGnatt[[#This Row],[Start Date]],CO$29&lt;ProposalToGnatt[[#This Row],[Start Date]]+ProposalToGnatt[[#This Row],[Days]]),$G$5,"")),"")</f>
        <v/>
      </c>
      <c r="CP41" s="37" t="str">
        <f ca="1">IFERROR(+IF(CP$29=ProposalToGnatt[[#This Row],[Start Date]],Milestone_Marker,IF(AND(CP$29&gt;ProposalToGnatt[[#This Row],[Start Date]],CP$29&lt;ProposalToGnatt[[#This Row],[Start Date]]+ProposalToGnatt[[#This Row],[Days]]),$G$5,"")),"")</f>
        <v/>
      </c>
      <c r="CQ41" s="37" t="str">
        <f ca="1">IFERROR(+IF(CQ$29=ProposalToGnatt[[#This Row],[Start Date]],Milestone_Marker,IF(AND(CQ$29&gt;ProposalToGnatt[[#This Row],[Start Date]],CQ$29&lt;ProposalToGnatt[[#This Row],[Start Date]]+ProposalToGnatt[[#This Row],[Days]]),$G$5,"")),"")</f>
        <v/>
      </c>
      <c r="CR41" s="37" t="str">
        <f ca="1">IFERROR(+IF(CR$29=ProposalToGnatt[[#This Row],[Start Date]],Milestone_Marker,IF(AND(CR$29&gt;ProposalToGnatt[[#This Row],[Start Date]],CR$29&lt;ProposalToGnatt[[#This Row],[Start Date]]+ProposalToGnatt[[#This Row],[Days]]),$G$5,"")),"")</f>
        <v/>
      </c>
      <c r="CS41" s="37" t="str">
        <f ca="1">IFERROR(+IF(CS$29=ProposalToGnatt[[#This Row],[Start Date]],Milestone_Marker,IF(AND(CS$29&gt;ProposalToGnatt[[#This Row],[Start Date]],CS$29&lt;ProposalToGnatt[[#This Row],[Start Date]]+ProposalToGnatt[[#This Row],[Days]]),$G$5,"")),"")</f>
        <v/>
      </c>
      <c r="CT41" s="37" t="str">
        <f ca="1">IFERROR(+IF(CT$29=ProposalToGnatt[[#This Row],[Start Date]],Milestone_Marker,IF(AND(CT$29&gt;ProposalToGnatt[[#This Row],[Start Date]],CT$29&lt;ProposalToGnatt[[#This Row],[Start Date]]+ProposalToGnatt[[#This Row],[Days]]),$G$5,"")),"")</f>
        <v/>
      </c>
      <c r="CU41" s="37" t="str">
        <f ca="1">IFERROR(+IF(CU$29=ProposalToGnatt[[#This Row],[Start Date]],Milestone_Marker,IF(AND(CU$29&gt;ProposalToGnatt[[#This Row],[Start Date]],CU$29&lt;ProposalToGnatt[[#This Row],[Start Date]]+ProposalToGnatt[[#This Row],[Days]]),$G$5,"")),"")</f>
        <v/>
      </c>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37"/>
      <c r="DU41" s="37"/>
    </row>
    <row r="42" spans="1:125" s="42" customFormat="1" ht="15">
      <c r="A42" t="s">
        <v>449</v>
      </c>
      <c r="B42">
        <v>13</v>
      </c>
      <c r="C42" t="s">
        <v>255</v>
      </c>
      <c r="D42"/>
      <c r="E42"/>
      <c r="F42"/>
      <c r="G42" s="11"/>
      <c r="H42" s="26"/>
      <c r="I42"/>
      <c r="J42"/>
      <c r="K42" s="402"/>
      <c r="L42"/>
      <c r="M42"/>
      <c r="N42"/>
      <c r="O42" s="26"/>
      <c r="P42" s="37">
        <f ca="1">IFERROR(+IF(P$29=ProposalToGnatt[[#This Row],[Start Date]],Milestone_Marker,IF(AND(P$29&gt;ProposalToGnatt[[#This Row],[Start Date]],P$29&lt;ProposalToGnatt[[#This Row],[Start Date]]+ProposalToGnatt[[#This Row],[Days]]),$G$5,"")),"")</f>
        <v>1</v>
      </c>
      <c r="Q42" s="37" t="str">
        <f ca="1">IFERROR(+IF(Q$29=ProposalToGnatt[[#This Row],[Start Date]],Milestone_Marker,IF(AND(Q$29&gt;ProposalToGnatt[[#This Row],[Start Date]],Q$29&lt;ProposalToGnatt[[#This Row],[Start Date]]+ProposalToGnatt[[#This Row],[Days]]),$G$5,"")),"")</f>
        <v/>
      </c>
      <c r="R42" s="37" t="str">
        <f ca="1">IFERROR(+IF(R$29=ProposalToGnatt[[#This Row],[Start Date]],Milestone_Marker,IF(AND(R$29&gt;ProposalToGnatt[[#This Row],[Start Date]],R$29&lt;ProposalToGnatt[[#This Row],[Start Date]]+ProposalToGnatt[[#This Row],[Days]]),$G$5,"")),"")</f>
        <v/>
      </c>
      <c r="S42" s="37" t="str">
        <f ca="1">IFERROR(+IF(S$29=ProposalToGnatt[[#This Row],[Start Date]],Milestone_Marker,IF(AND(S$29&gt;ProposalToGnatt[[#This Row],[Start Date]],S$29&lt;ProposalToGnatt[[#This Row],[Start Date]]+ProposalToGnatt[[#This Row],[Days]]),$G$5,"")),"")</f>
        <v/>
      </c>
      <c r="T42" s="37" t="str">
        <f ca="1">IFERROR(+IF(T$29=ProposalToGnatt[[#This Row],[Start Date]],Milestone_Marker,IF(AND(T$29&gt;ProposalToGnatt[[#This Row],[Start Date]],T$29&lt;ProposalToGnatt[[#This Row],[Start Date]]+ProposalToGnatt[[#This Row],[Days]]),$G$5,"")),"")</f>
        <v/>
      </c>
      <c r="U42" s="37" t="str">
        <f ca="1">IFERROR(+IF(U$29=ProposalToGnatt[[#This Row],[Start Date]],Milestone_Marker,IF(AND(U$29&gt;ProposalToGnatt[[#This Row],[Start Date]],U$29&lt;ProposalToGnatt[[#This Row],[Start Date]]+ProposalToGnatt[[#This Row],[Days]]),$G$5,"")),"")</f>
        <v/>
      </c>
      <c r="V42" s="37" t="str">
        <f ca="1">IFERROR(+IF(V$29=ProposalToGnatt[[#This Row],[Start Date]],Milestone_Marker,IF(AND(V$29&gt;ProposalToGnatt[[#This Row],[Start Date]],V$29&lt;ProposalToGnatt[[#This Row],[Start Date]]+ProposalToGnatt[[#This Row],[Days]]),$G$5,"")),"")</f>
        <v/>
      </c>
      <c r="W42" s="37" t="str">
        <f ca="1">IFERROR(+IF(W$29=ProposalToGnatt[[#This Row],[Start Date]],Milestone_Marker,IF(AND(W$29&gt;ProposalToGnatt[[#This Row],[Start Date]],W$29&lt;ProposalToGnatt[[#This Row],[Start Date]]+ProposalToGnatt[[#This Row],[Days]]),$G$5,"")),"")</f>
        <v/>
      </c>
      <c r="X42" s="37" t="str">
        <f ca="1">IFERROR(+IF(X$29=ProposalToGnatt[[#This Row],[Start Date]],Milestone_Marker,IF(AND(X$29&gt;ProposalToGnatt[[#This Row],[Start Date]],X$29&lt;ProposalToGnatt[[#This Row],[Start Date]]+ProposalToGnatt[[#This Row],[Days]]),$G$5,"")),"")</f>
        <v/>
      </c>
      <c r="Y42" s="37" t="str">
        <f ca="1">IFERROR(+IF(Y$29=ProposalToGnatt[[#This Row],[Start Date]],Milestone_Marker,IF(AND(Y$29&gt;ProposalToGnatt[[#This Row],[Start Date]],Y$29&lt;ProposalToGnatt[[#This Row],[Start Date]]+ProposalToGnatt[[#This Row],[Days]]),$G$5,"")),"")</f>
        <v/>
      </c>
      <c r="Z42" s="37" t="str">
        <f ca="1">IFERROR(+IF(Z$29=ProposalToGnatt[[#This Row],[Start Date]],Milestone_Marker,IF(AND(Z$29&gt;ProposalToGnatt[[#This Row],[Start Date]],Z$29&lt;ProposalToGnatt[[#This Row],[Start Date]]+ProposalToGnatt[[#This Row],[Days]]),$G$5,"")),"")</f>
        <v/>
      </c>
      <c r="AA42" s="37" t="str">
        <f ca="1">IFERROR(+IF(AA$29=ProposalToGnatt[[#This Row],[Start Date]],Milestone_Marker,IF(AND(AA$29&gt;ProposalToGnatt[[#This Row],[Start Date]],AA$29&lt;ProposalToGnatt[[#This Row],[Start Date]]+ProposalToGnatt[[#This Row],[Days]]),$G$5,"")),"")</f>
        <v/>
      </c>
      <c r="AB42" s="37" t="str">
        <f ca="1">IFERROR(+IF(AB$29=ProposalToGnatt[[#This Row],[Start Date]],Milestone_Marker,IF(AND(AB$29&gt;ProposalToGnatt[[#This Row],[Start Date]],AB$29&lt;ProposalToGnatt[[#This Row],[Start Date]]+ProposalToGnatt[[#This Row],[Days]]),$G$5,"")),"")</f>
        <v/>
      </c>
      <c r="AC42" s="37" t="str">
        <f ca="1">IFERROR(+IF(AC$29=ProposalToGnatt[[#This Row],[Start Date]],Milestone_Marker,IF(AND(AC$29&gt;ProposalToGnatt[[#This Row],[Start Date]],AC$29&lt;ProposalToGnatt[[#This Row],[Start Date]]+ProposalToGnatt[[#This Row],[Days]]),$G$5,"")),"")</f>
        <v/>
      </c>
      <c r="AD42" s="37" t="str">
        <f ca="1">IFERROR(+IF(AD$29=ProposalToGnatt[[#This Row],[Start Date]],Milestone_Marker,IF(AND(AD$29&gt;ProposalToGnatt[[#This Row],[Start Date]],AD$29&lt;ProposalToGnatt[[#This Row],[Start Date]]+ProposalToGnatt[[#This Row],[Days]]),$G$5,"")),"")</f>
        <v/>
      </c>
      <c r="AE42" s="37" t="str">
        <f ca="1">IFERROR(+IF(AE$29=ProposalToGnatt[[#This Row],[Start Date]],Milestone_Marker,IF(AND(AE$29&gt;ProposalToGnatt[[#This Row],[Start Date]],AE$29&lt;ProposalToGnatt[[#This Row],[Start Date]]+ProposalToGnatt[[#This Row],[Days]]),$G$5,"")),"")</f>
        <v/>
      </c>
      <c r="AF42" s="37" t="str">
        <f ca="1">IFERROR(+IF(AF$29=ProposalToGnatt[[#This Row],[Start Date]],Milestone_Marker,IF(AND(AF$29&gt;ProposalToGnatt[[#This Row],[Start Date]],AF$29&lt;ProposalToGnatt[[#This Row],[Start Date]]+ProposalToGnatt[[#This Row],[Days]]),$G$5,"")),"")</f>
        <v/>
      </c>
      <c r="AG42" s="37" t="str">
        <f ca="1">IFERROR(+IF(AG$29=ProposalToGnatt[[#This Row],[Start Date]],Milestone_Marker,IF(AND(AG$29&gt;ProposalToGnatt[[#This Row],[Start Date]],AG$29&lt;ProposalToGnatt[[#This Row],[Start Date]]+ProposalToGnatt[[#This Row],[Days]]),$G$5,"")),"")</f>
        <v/>
      </c>
      <c r="AH42" s="37" t="str">
        <f ca="1">IFERROR(+IF(AH$29=ProposalToGnatt[[#This Row],[Start Date]],Milestone_Marker,IF(AND(AH$29&gt;ProposalToGnatt[[#This Row],[Start Date]],AH$29&lt;ProposalToGnatt[[#This Row],[Start Date]]+ProposalToGnatt[[#This Row],[Days]]),$G$5,"")),"")</f>
        <v/>
      </c>
      <c r="AI42" s="37" t="str">
        <f ca="1">IFERROR(+IF(AI$29=ProposalToGnatt[[#This Row],[Start Date]],Milestone_Marker,IF(AND(AI$29&gt;ProposalToGnatt[[#This Row],[Start Date]],AI$29&lt;ProposalToGnatt[[#This Row],[Start Date]]+ProposalToGnatt[[#This Row],[Days]]),$G$5,"")),"")</f>
        <v/>
      </c>
      <c r="AJ42" s="37" t="str">
        <f ca="1">IFERROR(+IF(AJ$29=ProposalToGnatt[[#This Row],[Start Date]],Milestone_Marker,IF(AND(AJ$29&gt;ProposalToGnatt[[#This Row],[Start Date]],AJ$29&lt;ProposalToGnatt[[#This Row],[Start Date]]+ProposalToGnatt[[#This Row],[Days]]),$G$5,"")),"")</f>
        <v/>
      </c>
      <c r="AK42" s="37" t="str">
        <f ca="1">IFERROR(+IF(AK$29=ProposalToGnatt[[#This Row],[Start Date]],Milestone_Marker,IF(AND(AK$29&gt;ProposalToGnatt[[#This Row],[Start Date]],AK$29&lt;ProposalToGnatt[[#This Row],[Start Date]]+ProposalToGnatt[[#This Row],[Days]]),$G$5,"")),"")</f>
        <v/>
      </c>
      <c r="AL42" s="37" t="str">
        <f ca="1">IFERROR(+IF(AL$29=ProposalToGnatt[[#This Row],[Start Date]],Milestone_Marker,IF(AND(AL$29&gt;ProposalToGnatt[[#This Row],[Start Date]],AL$29&lt;ProposalToGnatt[[#This Row],[Start Date]]+ProposalToGnatt[[#This Row],[Days]]),$G$5,"")),"")</f>
        <v/>
      </c>
      <c r="AM42" s="37" t="str">
        <f ca="1">IFERROR(+IF(AM$29=ProposalToGnatt[[#This Row],[Start Date]],Milestone_Marker,IF(AND(AM$29&gt;ProposalToGnatt[[#This Row],[Start Date]],AM$29&lt;ProposalToGnatt[[#This Row],[Start Date]]+ProposalToGnatt[[#This Row],[Days]]),$G$5,"")),"")</f>
        <v/>
      </c>
      <c r="AN42" s="37" t="str">
        <f ca="1">IFERROR(+IF(AN$29=ProposalToGnatt[[#This Row],[Start Date]],Milestone_Marker,IF(AND(AN$29&gt;ProposalToGnatt[[#This Row],[Start Date]],AN$29&lt;ProposalToGnatt[[#This Row],[Start Date]]+ProposalToGnatt[[#This Row],[Days]]),$G$5,"")),"")</f>
        <v/>
      </c>
      <c r="AO42" s="37" t="str">
        <f ca="1">IFERROR(+IF(AO$29=ProposalToGnatt[[#This Row],[Start Date]],Milestone_Marker,IF(AND(AO$29&gt;ProposalToGnatt[[#This Row],[Start Date]],AO$29&lt;ProposalToGnatt[[#This Row],[Start Date]]+ProposalToGnatt[[#This Row],[Days]]),$G$5,"")),"")</f>
        <v/>
      </c>
      <c r="AP42" s="37" t="str">
        <f ca="1">IFERROR(+IF(AP$29=ProposalToGnatt[[#This Row],[Start Date]],Milestone_Marker,IF(AND(AP$29&gt;ProposalToGnatt[[#This Row],[Start Date]],AP$29&lt;ProposalToGnatt[[#This Row],[Start Date]]+ProposalToGnatt[[#This Row],[Days]]),$G$5,"")),"")</f>
        <v/>
      </c>
      <c r="AQ42" s="37" t="str">
        <f ca="1">IFERROR(+IF(AQ$29=ProposalToGnatt[[#This Row],[Start Date]],Milestone_Marker,IF(AND(AQ$29&gt;ProposalToGnatt[[#This Row],[Start Date]],AQ$29&lt;ProposalToGnatt[[#This Row],[Start Date]]+ProposalToGnatt[[#This Row],[Days]]),$G$5,"")),"")</f>
        <v/>
      </c>
      <c r="AR42" s="37" t="str">
        <f ca="1">IFERROR(+IF(AR$29=ProposalToGnatt[[#This Row],[Start Date]],Milestone_Marker,IF(AND(AR$29&gt;ProposalToGnatt[[#This Row],[Start Date]],AR$29&lt;ProposalToGnatt[[#This Row],[Start Date]]+ProposalToGnatt[[#This Row],[Days]]),$G$5,"")),"")</f>
        <v/>
      </c>
      <c r="AS42" s="37" t="str">
        <f ca="1">IFERROR(+IF(AS$29=ProposalToGnatt[[#This Row],[Start Date]],Milestone_Marker,IF(AND(AS$29&gt;ProposalToGnatt[[#This Row],[Start Date]],AS$29&lt;ProposalToGnatt[[#This Row],[Start Date]]+ProposalToGnatt[[#This Row],[Days]]),$G$5,"")),"")</f>
        <v/>
      </c>
      <c r="AT42" s="37" t="str">
        <f ca="1">IFERROR(+IF(AT$29=ProposalToGnatt[[#This Row],[Start Date]],Milestone_Marker,IF(AND(AT$29&gt;ProposalToGnatt[[#This Row],[Start Date]],AT$29&lt;ProposalToGnatt[[#This Row],[Start Date]]+ProposalToGnatt[[#This Row],[Days]]),$G$5,"")),"")</f>
        <v/>
      </c>
      <c r="AU42" s="37" t="str">
        <f ca="1">IFERROR(+IF(AU$29=ProposalToGnatt[[#This Row],[Start Date]],Milestone_Marker,IF(AND(AU$29&gt;ProposalToGnatt[[#This Row],[Start Date]],AU$29&lt;ProposalToGnatt[[#This Row],[Start Date]]+ProposalToGnatt[[#This Row],[Days]]),$G$5,"")),"")</f>
        <v/>
      </c>
      <c r="AV42" s="37" t="str">
        <f ca="1">IFERROR(+IF(AV$29=ProposalToGnatt[[#This Row],[Start Date]],Milestone_Marker,IF(AND(AV$29&gt;ProposalToGnatt[[#This Row],[Start Date]],AV$29&lt;ProposalToGnatt[[#This Row],[Start Date]]+ProposalToGnatt[[#This Row],[Days]]),$G$5,"")),"")</f>
        <v/>
      </c>
      <c r="AW42" s="37" t="str">
        <f ca="1">IFERROR(+IF(AW$29=ProposalToGnatt[[#This Row],[Start Date]],Milestone_Marker,IF(AND(AW$29&gt;ProposalToGnatt[[#This Row],[Start Date]],AW$29&lt;ProposalToGnatt[[#This Row],[Start Date]]+ProposalToGnatt[[#This Row],[Days]]),$G$5,"")),"")</f>
        <v/>
      </c>
      <c r="AX42" s="37" t="str">
        <f ca="1">IFERROR(+IF(AX$29=ProposalToGnatt[[#This Row],[Start Date]],Milestone_Marker,IF(AND(AX$29&gt;ProposalToGnatt[[#This Row],[Start Date]],AX$29&lt;ProposalToGnatt[[#This Row],[Start Date]]+ProposalToGnatt[[#This Row],[Days]]),$G$5,"")),"")</f>
        <v/>
      </c>
      <c r="AY42" s="37" t="str">
        <f ca="1">IFERROR(+IF(AY$29=ProposalToGnatt[[#This Row],[Start Date]],Milestone_Marker,IF(AND(AY$29&gt;ProposalToGnatt[[#This Row],[Start Date]],AY$29&lt;ProposalToGnatt[[#This Row],[Start Date]]+ProposalToGnatt[[#This Row],[Days]]),$G$5,"")),"")</f>
        <v/>
      </c>
      <c r="AZ42" s="37" t="str">
        <f ca="1">IFERROR(+IF(AZ$29=ProposalToGnatt[[#This Row],[Start Date]],Milestone_Marker,IF(AND(AZ$29&gt;ProposalToGnatt[[#This Row],[Start Date]],AZ$29&lt;ProposalToGnatt[[#This Row],[Start Date]]+ProposalToGnatt[[#This Row],[Days]]),$G$5,"")),"")</f>
        <v/>
      </c>
      <c r="BA42" s="37" t="str">
        <f ca="1">IFERROR(+IF(BA$29=ProposalToGnatt[[#This Row],[Start Date]],Milestone_Marker,IF(AND(BA$29&gt;ProposalToGnatt[[#This Row],[Start Date]],BA$29&lt;ProposalToGnatt[[#This Row],[Start Date]]+ProposalToGnatt[[#This Row],[Days]]),$G$5,"")),"")</f>
        <v/>
      </c>
      <c r="BB42" s="37" t="str">
        <f ca="1">IFERROR(+IF(BB$29=ProposalToGnatt[[#This Row],[Start Date]],Milestone_Marker,IF(AND(BB$29&gt;ProposalToGnatt[[#This Row],[Start Date]],BB$29&lt;ProposalToGnatt[[#This Row],[Start Date]]+ProposalToGnatt[[#This Row],[Days]]),$G$5,"")),"")</f>
        <v/>
      </c>
      <c r="BC42" s="37" t="str">
        <f ca="1">IFERROR(+IF(BC$29=ProposalToGnatt[[#This Row],[Start Date]],Milestone_Marker,IF(AND(BC$29&gt;ProposalToGnatt[[#This Row],[Start Date]],BC$29&lt;ProposalToGnatt[[#This Row],[Start Date]]+ProposalToGnatt[[#This Row],[Days]]),$G$5,"")),"")</f>
        <v/>
      </c>
      <c r="BD42" s="37" t="str">
        <f ca="1">IFERROR(+IF(BD$29=ProposalToGnatt[[#This Row],[Start Date]],Milestone_Marker,IF(AND(BD$29&gt;ProposalToGnatt[[#This Row],[Start Date]],BD$29&lt;ProposalToGnatt[[#This Row],[Start Date]]+ProposalToGnatt[[#This Row],[Days]]),$G$5,"")),"")</f>
        <v/>
      </c>
      <c r="BE42" s="37" t="str">
        <f ca="1">IFERROR(+IF(BE$29=ProposalToGnatt[[#This Row],[Start Date]],Milestone_Marker,IF(AND(BE$29&gt;ProposalToGnatt[[#This Row],[Start Date]],BE$29&lt;ProposalToGnatt[[#This Row],[Start Date]]+ProposalToGnatt[[#This Row],[Days]]),$G$5,"")),"")</f>
        <v/>
      </c>
      <c r="BF42" s="37" t="str">
        <f ca="1">IFERROR(+IF(BF$29=ProposalToGnatt[[#This Row],[Start Date]],Milestone_Marker,IF(AND(BF$29&gt;ProposalToGnatt[[#This Row],[Start Date]],BF$29&lt;ProposalToGnatt[[#This Row],[Start Date]]+ProposalToGnatt[[#This Row],[Days]]),$G$5,"")),"")</f>
        <v/>
      </c>
      <c r="BG42" s="37" t="str">
        <f ca="1">IFERROR(+IF(BG$29=ProposalToGnatt[[#This Row],[Start Date]],Milestone_Marker,IF(AND(BG$29&gt;ProposalToGnatt[[#This Row],[Start Date]],BG$29&lt;ProposalToGnatt[[#This Row],[Start Date]]+ProposalToGnatt[[#This Row],[Days]]),$G$5,"")),"")</f>
        <v/>
      </c>
      <c r="BH42" s="37" t="str">
        <f ca="1">IFERROR(+IF(BH$29=ProposalToGnatt[[#This Row],[Start Date]],Milestone_Marker,IF(AND(BH$29&gt;ProposalToGnatt[[#This Row],[Start Date]],BH$29&lt;ProposalToGnatt[[#This Row],[Start Date]]+ProposalToGnatt[[#This Row],[Days]]),$G$5,"")),"")</f>
        <v/>
      </c>
      <c r="BI42" s="37" t="str">
        <f ca="1">IFERROR(+IF(BI$29=ProposalToGnatt[[#This Row],[Start Date]],Milestone_Marker,IF(AND(BI$29&gt;ProposalToGnatt[[#This Row],[Start Date]],BI$29&lt;ProposalToGnatt[[#This Row],[Start Date]]+ProposalToGnatt[[#This Row],[Days]]),$G$5,"")),"")</f>
        <v/>
      </c>
      <c r="BJ42" s="37" t="str">
        <f ca="1">IFERROR(+IF(BJ$29=ProposalToGnatt[[#This Row],[Start Date]],Milestone_Marker,IF(AND(BJ$29&gt;ProposalToGnatt[[#This Row],[Start Date]],BJ$29&lt;ProposalToGnatt[[#This Row],[Start Date]]+ProposalToGnatt[[#This Row],[Days]]),$G$5,"")),"")</f>
        <v/>
      </c>
      <c r="BK42" s="37" t="str">
        <f ca="1">IFERROR(+IF(BK$29=ProposalToGnatt[[#This Row],[Start Date]],Milestone_Marker,IF(AND(BK$29&gt;ProposalToGnatt[[#This Row],[Start Date]],BK$29&lt;ProposalToGnatt[[#This Row],[Start Date]]+ProposalToGnatt[[#This Row],[Days]]),$G$5,"")),"")</f>
        <v/>
      </c>
      <c r="BL42" s="37" t="str">
        <f ca="1">IFERROR(+IF(BL$29=ProposalToGnatt[[#This Row],[Start Date]],Milestone_Marker,IF(AND(BL$29&gt;ProposalToGnatt[[#This Row],[Start Date]],BL$29&lt;ProposalToGnatt[[#This Row],[Start Date]]+ProposalToGnatt[[#This Row],[Days]]),$G$5,"")),"")</f>
        <v/>
      </c>
      <c r="BM42" s="37" t="str">
        <f ca="1">IFERROR(+IF(BM$29=ProposalToGnatt[[#This Row],[Start Date]],Milestone_Marker,IF(AND(BM$29&gt;ProposalToGnatt[[#This Row],[Start Date]],BM$29&lt;ProposalToGnatt[[#This Row],[Start Date]]+ProposalToGnatt[[#This Row],[Days]]),$G$5,"")),"")</f>
        <v/>
      </c>
      <c r="BN42" s="37" t="str">
        <f ca="1">IFERROR(+IF(BN$29=ProposalToGnatt[[#This Row],[Start Date]],Milestone_Marker,IF(AND(BN$29&gt;ProposalToGnatt[[#This Row],[Start Date]],BN$29&lt;ProposalToGnatt[[#This Row],[Start Date]]+ProposalToGnatt[[#This Row],[Days]]),$G$5,"")),"")</f>
        <v/>
      </c>
      <c r="BO42" s="37" t="str">
        <f ca="1">IFERROR(+IF(BO$29=ProposalToGnatt[[#This Row],[Start Date]],Milestone_Marker,IF(AND(BO$29&gt;ProposalToGnatt[[#This Row],[Start Date]],BO$29&lt;ProposalToGnatt[[#This Row],[Start Date]]+ProposalToGnatt[[#This Row],[Days]]),$G$5,"")),"")</f>
        <v/>
      </c>
      <c r="BP42" s="37" t="str">
        <f ca="1">IFERROR(+IF(BP$29=ProposalToGnatt[[#This Row],[Start Date]],Milestone_Marker,IF(AND(BP$29&gt;ProposalToGnatt[[#This Row],[Start Date]],BP$29&lt;ProposalToGnatt[[#This Row],[Start Date]]+ProposalToGnatt[[#This Row],[Days]]),$G$5,"")),"")</f>
        <v/>
      </c>
      <c r="BQ42" s="37" t="str">
        <f ca="1">IFERROR(+IF(BQ$29=ProposalToGnatt[[#This Row],[Start Date]],Milestone_Marker,IF(AND(BQ$29&gt;ProposalToGnatt[[#This Row],[Start Date]],BQ$29&lt;ProposalToGnatt[[#This Row],[Start Date]]+ProposalToGnatt[[#This Row],[Days]]),$G$5,"")),"")</f>
        <v/>
      </c>
      <c r="BR42" s="37" t="str">
        <f ca="1">IFERROR(+IF(BR$29=ProposalToGnatt[[#This Row],[Start Date]],Milestone_Marker,IF(AND(BR$29&gt;ProposalToGnatt[[#This Row],[Start Date]],BR$29&lt;ProposalToGnatt[[#This Row],[Start Date]]+ProposalToGnatt[[#This Row],[Days]]),$G$5,"")),"")</f>
        <v/>
      </c>
      <c r="BS42" s="37" t="str">
        <f ca="1">IFERROR(+IF(BS$29=ProposalToGnatt[[#This Row],[Start Date]],Milestone_Marker,IF(AND(BS$29&gt;ProposalToGnatt[[#This Row],[Start Date]],BS$29&lt;ProposalToGnatt[[#This Row],[Start Date]]+ProposalToGnatt[[#This Row],[Days]]),$G$5,"")),"")</f>
        <v/>
      </c>
      <c r="BT42" s="37" t="str">
        <f ca="1">IFERROR(+IF(BT$29=ProposalToGnatt[[#This Row],[Start Date]],Milestone_Marker,IF(AND(BT$29&gt;ProposalToGnatt[[#This Row],[Start Date]],BT$29&lt;ProposalToGnatt[[#This Row],[Start Date]]+ProposalToGnatt[[#This Row],[Days]]),$G$5,"")),"")</f>
        <v/>
      </c>
      <c r="BU42" s="37" t="str">
        <f ca="1">IFERROR(+IF(BU$29=ProposalToGnatt[[#This Row],[Start Date]],Milestone_Marker,IF(AND(BU$29&gt;ProposalToGnatt[[#This Row],[Start Date]],BU$29&lt;ProposalToGnatt[[#This Row],[Start Date]]+ProposalToGnatt[[#This Row],[Days]]),$G$5,"")),"")</f>
        <v/>
      </c>
      <c r="BV42" s="37" t="str">
        <f ca="1">IFERROR(+IF(BV$29=ProposalToGnatt[[#This Row],[Start Date]],Milestone_Marker,IF(AND(BV$29&gt;ProposalToGnatt[[#This Row],[Start Date]],BV$29&lt;ProposalToGnatt[[#This Row],[Start Date]]+ProposalToGnatt[[#This Row],[Days]]),$G$5,"")),"")</f>
        <v/>
      </c>
      <c r="BW42" s="37" t="str">
        <f ca="1">IFERROR(+IF(BW$29=ProposalToGnatt[[#This Row],[Start Date]],Milestone_Marker,IF(AND(BW$29&gt;ProposalToGnatt[[#This Row],[Start Date]],BW$29&lt;ProposalToGnatt[[#This Row],[Start Date]]+ProposalToGnatt[[#This Row],[Days]]),$G$5,"")),"")</f>
        <v/>
      </c>
      <c r="BX42" s="37" t="str">
        <f ca="1">IFERROR(+IF(BX$29=ProposalToGnatt[[#This Row],[Start Date]],Milestone_Marker,IF(AND(BX$29&gt;ProposalToGnatt[[#This Row],[Start Date]],BX$29&lt;ProposalToGnatt[[#This Row],[Start Date]]+ProposalToGnatt[[#This Row],[Days]]),$G$5,"")),"")</f>
        <v/>
      </c>
      <c r="BY42" s="37" t="str">
        <f ca="1">IFERROR(+IF(BY$29=ProposalToGnatt[[#This Row],[Start Date]],Milestone_Marker,IF(AND(BY$29&gt;ProposalToGnatt[[#This Row],[Start Date]],BY$29&lt;ProposalToGnatt[[#This Row],[Start Date]]+ProposalToGnatt[[#This Row],[Days]]),$G$5,"")),"")</f>
        <v/>
      </c>
      <c r="BZ42" s="37" t="str">
        <f ca="1">IFERROR(+IF(BZ$29=ProposalToGnatt[[#This Row],[Start Date]],Milestone_Marker,IF(AND(BZ$29&gt;ProposalToGnatt[[#This Row],[Start Date]],BZ$29&lt;ProposalToGnatt[[#This Row],[Start Date]]+ProposalToGnatt[[#This Row],[Days]]),$G$5,"")),"")</f>
        <v/>
      </c>
      <c r="CA42" s="37" t="str">
        <f ca="1">IFERROR(+IF(CA$29=ProposalToGnatt[[#This Row],[Start Date]],Milestone_Marker,IF(AND(CA$29&gt;ProposalToGnatt[[#This Row],[Start Date]],CA$29&lt;ProposalToGnatt[[#This Row],[Start Date]]+ProposalToGnatt[[#This Row],[Days]]),$G$5,"")),"")</f>
        <v/>
      </c>
      <c r="CB42" s="37" t="str">
        <f ca="1">IFERROR(+IF(CB$29=ProposalToGnatt[[#This Row],[Start Date]],Milestone_Marker,IF(AND(CB$29&gt;ProposalToGnatt[[#This Row],[Start Date]],CB$29&lt;ProposalToGnatt[[#This Row],[Start Date]]+ProposalToGnatt[[#This Row],[Days]]),$G$5,"")),"")</f>
        <v/>
      </c>
      <c r="CC42" s="37" t="str">
        <f ca="1">IFERROR(+IF(CC$29=ProposalToGnatt[[#This Row],[Start Date]],Milestone_Marker,IF(AND(CC$29&gt;ProposalToGnatt[[#This Row],[Start Date]],CC$29&lt;ProposalToGnatt[[#This Row],[Start Date]]+ProposalToGnatt[[#This Row],[Days]]),$G$5,"")),"")</f>
        <v/>
      </c>
      <c r="CD42" s="37" t="str">
        <f ca="1">IFERROR(+IF(CD$29=ProposalToGnatt[[#This Row],[Start Date]],Milestone_Marker,IF(AND(CD$29&gt;ProposalToGnatt[[#This Row],[Start Date]],CD$29&lt;ProposalToGnatt[[#This Row],[Start Date]]+ProposalToGnatt[[#This Row],[Days]]),$G$5,"")),"")</f>
        <v/>
      </c>
      <c r="CE42" s="37" t="str">
        <f ca="1">IFERROR(+IF(CE$29=ProposalToGnatt[[#This Row],[Start Date]],Milestone_Marker,IF(AND(CE$29&gt;ProposalToGnatt[[#This Row],[Start Date]],CE$29&lt;ProposalToGnatt[[#This Row],[Start Date]]+ProposalToGnatt[[#This Row],[Days]]),$G$5,"")),"")</f>
        <v/>
      </c>
      <c r="CF42" s="37" t="str">
        <f ca="1">IFERROR(+IF(CF$29=ProposalToGnatt[[#This Row],[Start Date]],Milestone_Marker,IF(AND(CF$29&gt;ProposalToGnatt[[#This Row],[Start Date]],CF$29&lt;ProposalToGnatt[[#This Row],[Start Date]]+ProposalToGnatt[[#This Row],[Days]]),$G$5,"")),"")</f>
        <v/>
      </c>
      <c r="CG42" s="37" t="str">
        <f ca="1">IFERROR(+IF(CG$29=ProposalToGnatt[[#This Row],[Start Date]],Milestone_Marker,IF(AND(CG$29&gt;ProposalToGnatt[[#This Row],[Start Date]],CG$29&lt;ProposalToGnatt[[#This Row],[Start Date]]+ProposalToGnatt[[#This Row],[Days]]),$G$5,"")),"")</f>
        <v/>
      </c>
      <c r="CH42" s="37" t="str">
        <f ca="1">IFERROR(+IF(CH$29=ProposalToGnatt[[#This Row],[Start Date]],Milestone_Marker,IF(AND(CH$29&gt;ProposalToGnatt[[#This Row],[Start Date]],CH$29&lt;ProposalToGnatt[[#This Row],[Start Date]]+ProposalToGnatt[[#This Row],[Days]]),$G$5,"")),"")</f>
        <v/>
      </c>
      <c r="CI42" s="37" t="str">
        <f ca="1">IFERROR(+IF(CI$29=ProposalToGnatt[[#This Row],[Start Date]],Milestone_Marker,IF(AND(CI$29&gt;ProposalToGnatt[[#This Row],[Start Date]],CI$29&lt;ProposalToGnatt[[#This Row],[Start Date]]+ProposalToGnatt[[#This Row],[Days]]),$G$5,"")),"")</f>
        <v/>
      </c>
      <c r="CJ42" s="37" t="str">
        <f ca="1">IFERROR(+IF(CJ$29=ProposalToGnatt[[#This Row],[Start Date]],Milestone_Marker,IF(AND(CJ$29&gt;ProposalToGnatt[[#This Row],[Start Date]],CJ$29&lt;ProposalToGnatt[[#This Row],[Start Date]]+ProposalToGnatt[[#This Row],[Days]]),$G$5,"")),"")</f>
        <v/>
      </c>
      <c r="CK42" s="37" t="str">
        <f ca="1">IFERROR(+IF(CK$29=ProposalToGnatt[[#This Row],[Start Date]],Milestone_Marker,IF(AND(CK$29&gt;ProposalToGnatt[[#This Row],[Start Date]],CK$29&lt;ProposalToGnatt[[#This Row],[Start Date]]+ProposalToGnatt[[#This Row],[Days]]),$G$5,"")),"")</f>
        <v/>
      </c>
      <c r="CL42" s="37" t="str">
        <f ca="1">IFERROR(+IF(CL$29=ProposalToGnatt[[#This Row],[Start Date]],Milestone_Marker,IF(AND(CL$29&gt;ProposalToGnatt[[#This Row],[Start Date]],CL$29&lt;ProposalToGnatt[[#This Row],[Start Date]]+ProposalToGnatt[[#This Row],[Days]]),$G$5,"")),"")</f>
        <v/>
      </c>
      <c r="CM42" s="37" t="str">
        <f ca="1">IFERROR(+IF(CM$29=ProposalToGnatt[[#This Row],[Start Date]],Milestone_Marker,IF(AND(CM$29&gt;ProposalToGnatt[[#This Row],[Start Date]],CM$29&lt;ProposalToGnatt[[#This Row],[Start Date]]+ProposalToGnatt[[#This Row],[Days]]),$G$5,"")),"")</f>
        <v/>
      </c>
      <c r="CN42" s="37" t="str">
        <f ca="1">IFERROR(+IF(CN$29=ProposalToGnatt[[#This Row],[Start Date]],Milestone_Marker,IF(AND(CN$29&gt;ProposalToGnatt[[#This Row],[Start Date]],CN$29&lt;ProposalToGnatt[[#This Row],[Start Date]]+ProposalToGnatt[[#This Row],[Days]]),$G$5,"")),"")</f>
        <v/>
      </c>
      <c r="CO42" s="37" t="str">
        <f ca="1">IFERROR(+IF(CO$29=ProposalToGnatt[[#This Row],[Start Date]],Milestone_Marker,IF(AND(CO$29&gt;ProposalToGnatt[[#This Row],[Start Date]],CO$29&lt;ProposalToGnatt[[#This Row],[Start Date]]+ProposalToGnatt[[#This Row],[Days]]),$G$5,"")),"")</f>
        <v/>
      </c>
      <c r="CP42" s="37" t="str">
        <f ca="1">IFERROR(+IF(CP$29=ProposalToGnatt[[#This Row],[Start Date]],Milestone_Marker,IF(AND(CP$29&gt;ProposalToGnatt[[#This Row],[Start Date]],CP$29&lt;ProposalToGnatt[[#This Row],[Start Date]]+ProposalToGnatt[[#This Row],[Days]]),$G$5,"")),"")</f>
        <v/>
      </c>
      <c r="CQ42" s="37" t="str">
        <f ca="1">IFERROR(+IF(CQ$29=ProposalToGnatt[[#This Row],[Start Date]],Milestone_Marker,IF(AND(CQ$29&gt;ProposalToGnatt[[#This Row],[Start Date]],CQ$29&lt;ProposalToGnatt[[#This Row],[Start Date]]+ProposalToGnatt[[#This Row],[Days]]),$G$5,"")),"")</f>
        <v/>
      </c>
      <c r="CR42" s="37" t="str">
        <f ca="1">IFERROR(+IF(CR$29=ProposalToGnatt[[#This Row],[Start Date]],Milestone_Marker,IF(AND(CR$29&gt;ProposalToGnatt[[#This Row],[Start Date]],CR$29&lt;ProposalToGnatt[[#This Row],[Start Date]]+ProposalToGnatt[[#This Row],[Days]]),$G$5,"")),"")</f>
        <v/>
      </c>
      <c r="CS42" s="37" t="str">
        <f ca="1">IFERROR(+IF(CS$29=ProposalToGnatt[[#This Row],[Start Date]],Milestone_Marker,IF(AND(CS$29&gt;ProposalToGnatt[[#This Row],[Start Date]],CS$29&lt;ProposalToGnatt[[#This Row],[Start Date]]+ProposalToGnatt[[#This Row],[Days]]),$G$5,"")),"")</f>
        <v/>
      </c>
      <c r="CT42" s="37" t="str">
        <f ca="1">IFERROR(+IF(CT$29=ProposalToGnatt[[#This Row],[Start Date]],Milestone_Marker,IF(AND(CT$29&gt;ProposalToGnatt[[#This Row],[Start Date]],CT$29&lt;ProposalToGnatt[[#This Row],[Start Date]]+ProposalToGnatt[[#This Row],[Days]]),$G$5,"")),"")</f>
        <v/>
      </c>
      <c r="CU42" s="37" t="str">
        <f ca="1">IFERROR(+IF(CU$29=ProposalToGnatt[[#This Row],[Start Date]],Milestone_Marker,IF(AND(CU$29&gt;ProposalToGnatt[[#This Row],[Start Date]],CU$29&lt;ProposalToGnatt[[#This Row],[Start Date]]+ProposalToGnatt[[#This Row],[Days]]),$G$5,"")),"")</f>
        <v/>
      </c>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7"/>
      <c r="DT42" s="37"/>
      <c r="DU42" s="37"/>
    </row>
    <row r="43" spans="1:125" s="42" customFormat="1" ht="15">
      <c r="A43" t="s">
        <v>449</v>
      </c>
      <c r="B43">
        <v>14</v>
      </c>
      <c r="C43" t="s">
        <v>250</v>
      </c>
      <c r="D43"/>
      <c r="E43"/>
      <c r="F43"/>
      <c r="G43" s="11"/>
      <c r="H43" s="26"/>
      <c r="I43"/>
      <c r="J43"/>
      <c r="K43" s="402"/>
      <c r="L43"/>
      <c r="M43"/>
      <c r="N43"/>
      <c r="O43" s="26"/>
      <c r="P43" s="37">
        <f ca="1">IFERROR(+IF(P$29=ProposalToGnatt[[#This Row],[Start Date]],Milestone_Marker,IF(AND(P$29&gt;ProposalToGnatt[[#This Row],[Start Date]],P$29&lt;ProposalToGnatt[[#This Row],[Start Date]]+ProposalToGnatt[[#This Row],[Days]]),$G$5,"")),"")</f>
        <v>1</v>
      </c>
      <c r="Q43" s="37" t="str">
        <f ca="1">IFERROR(+IF(Q$29=ProposalToGnatt[[#This Row],[Start Date]],Milestone_Marker,IF(AND(Q$29&gt;ProposalToGnatt[[#This Row],[Start Date]],Q$29&lt;ProposalToGnatt[[#This Row],[Start Date]]+ProposalToGnatt[[#This Row],[Days]]),$G$5,"")),"")</f>
        <v/>
      </c>
      <c r="R43" s="37" t="str">
        <f ca="1">IFERROR(+IF(R$29=ProposalToGnatt[[#This Row],[Start Date]],Milestone_Marker,IF(AND(R$29&gt;ProposalToGnatt[[#This Row],[Start Date]],R$29&lt;ProposalToGnatt[[#This Row],[Start Date]]+ProposalToGnatt[[#This Row],[Days]]),$G$5,"")),"")</f>
        <v/>
      </c>
      <c r="S43" s="37" t="str">
        <f ca="1">IFERROR(+IF(S$29=ProposalToGnatt[[#This Row],[Start Date]],Milestone_Marker,IF(AND(S$29&gt;ProposalToGnatt[[#This Row],[Start Date]],S$29&lt;ProposalToGnatt[[#This Row],[Start Date]]+ProposalToGnatt[[#This Row],[Days]]),$G$5,"")),"")</f>
        <v/>
      </c>
      <c r="T43" s="37" t="str">
        <f ca="1">IFERROR(+IF(T$29=ProposalToGnatt[[#This Row],[Start Date]],Milestone_Marker,IF(AND(T$29&gt;ProposalToGnatt[[#This Row],[Start Date]],T$29&lt;ProposalToGnatt[[#This Row],[Start Date]]+ProposalToGnatt[[#This Row],[Days]]),$G$5,"")),"")</f>
        <v/>
      </c>
      <c r="U43" s="37" t="str">
        <f ca="1">IFERROR(+IF(U$29=ProposalToGnatt[[#This Row],[Start Date]],Milestone_Marker,IF(AND(U$29&gt;ProposalToGnatt[[#This Row],[Start Date]],U$29&lt;ProposalToGnatt[[#This Row],[Start Date]]+ProposalToGnatt[[#This Row],[Days]]),$G$5,"")),"")</f>
        <v/>
      </c>
      <c r="V43" s="37" t="str">
        <f ca="1">IFERROR(+IF(V$29=ProposalToGnatt[[#This Row],[Start Date]],Milestone_Marker,IF(AND(V$29&gt;ProposalToGnatt[[#This Row],[Start Date]],V$29&lt;ProposalToGnatt[[#This Row],[Start Date]]+ProposalToGnatt[[#This Row],[Days]]),$G$5,"")),"")</f>
        <v/>
      </c>
      <c r="W43" s="37" t="str">
        <f ca="1">IFERROR(+IF(W$29=ProposalToGnatt[[#This Row],[Start Date]],Milestone_Marker,IF(AND(W$29&gt;ProposalToGnatt[[#This Row],[Start Date]],W$29&lt;ProposalToGnatt[[#This Row],[Start Date]]+ProposalToGnatt[[#This Row],[Days]]),$G$5,"")),"")</f>
        <v/>
      </c>
      <c r="X43" s="37" t="str">
        <f ca="1">IFERROR(+IF(X$29=ProposalToGnatt[[#This Row],[Start Date]],Milestone_Marker,IF(AND(X$29&gt;ProposalToGnatt[[#This Row],[Start Date]],X$29&lt;ProposalToGnatt[[#This Row],[Start Date]]+ProposalToGnatt[[#This Row],[Days]]),$G$5,"")),"")</f>
        <v/>
      </c>
      <c r="Y43" s="37" t="str">
        <f ca="1">IFERROR(+IF(Y$29=ProposalToGnatt[[#This Row],[Start Date]],Milestone_Marker,IF(AND(Y$29&gt;ProposalToGnatt[[#This Row],[Start Date]],Y$29&lt;ProposalToGnatt[[#This Row],[Start Date]]+ProposalToGnatt[[#This Row],[Days]]),$G$5,"")),"")</f>
        <v/>
      </c>
      <c r="Z43" s="37" t="str">
        <f ca="1">IFERROR(+IF(Z$29=ProposalToGnatt[[#This Row],[Start Date]],Milestone_Marker,IF(AND(Z$29&gt;ProposalToGnatt[[#This Row],[Start Date]],Z$29&lt;ProposalToGnatt[[#This Row],[Start Date]]+ProposalToGnatt[[#This Row],[Days]]),$G$5,"")),"")</f>
        <v/>
      </c>
      <c r="AA43" s="37" t="str">
        <f ca="1">IFERROR(+IF(AA$29=ProposalToGnatt[[#This Row],[Start Date]],Milestone_Marker,IF(AND(AA$29&gt;ProposalToGnatt[[#This Row],[Start Date]],AA$29&lt;ProposalToGnatt[[#This Row],[Start Date]]+ProposalToGnatt[[#This Row],[Days]]),$G$5,"")),"")</f>
        <v/>
      </c>
      <c r="AB43" s="37" t="str">
        <f ca="1">IFERROR(+IF(AB$29=ProposalToGnatt[[#This Row],[Start Date]],Milestone_Marker,IF(AND(AB$29&gt;ProposalToGnatt[[#This Row],[Start Date]],AB$29&lt;ProposalToGnatt[[#This Row],[Start Date]]+ProposalToGnatt[[#This Row],[Days]]),$G$5,"")),"")</f>
        <v/>
      </c>
      <c r="AC43" s="37" t="str">
        <f ca="1">IFERROR(+IF(AC$29=ProposalToGnatt[[#This Row],[Start Date]],Milestone_Marker,IF(AND(AC$29&gt;ProposalToGnatt[[#This Row],[Start Date]],AC$29&lt;ProposalToGnatt[[#This Row],[Start Date]]+ProposalToGnatt[[#This Row],[Days]]),$G$5,"")),"")</f>
        <v/>
      </c>
      <c r="AD43" s="37" t="str">
        <f ca="1">IFERROR(+IF(AD$29=ProposalToGnatt[[#This Row],[Start Date]],Milestone_Marker,IF(AND(AD$29&gt;ProposalToGnatt[[#This Row],[Start Date]],AD$29&lt;ProposalToGnatt[[#This Row],[Start Date]]+ProposalToGnatt[[#This Row],[Days]]),$G$5,"")),"")</f>
        <v/>
      </c>
      <c r="AE43" s="37" t="str">
        <f ca="1">IFERROR(+IF(AE$29=ProposalToGnatt[[#This Row],[Start Date]],Milestone_Marker,IF(AND(AE$29&gt;ProposalToGnatt[[#This Row],[Start Date]],AE$29&lt;ProposalToGnatt[[#This Row],[Start Date]]+ProposalToGnatt[[#This Row],[Days]]),$G$5,"")),"")</f>
        <v/>
      </c>
      <c r="AF43" s="37" t="str">
        <f ca="1">IFERROR(+IF(AF$29=ProposalToGnatt[[#This Row],[Start Date]],Milestone_Marker,IF(AND(AF$29&gt;ProposalToGnatt[[#This Row],[Start Date]],AF$29&lt;ProposalToGnatt[[#This Row],[Start Date]]+ProposalToGnatt[[#This Row],[Days]]),$G$5,"")),"")</f>
        <v/>
      </c>
      <c r="AG43" s="37" t="str">
        <f ca="1">IFERROR(+IF(AG$29=ProposalToGnatt[[#This Row],[Start Date]],Milestone_Marker,IF(AND(AG$29&gt;ProposalToGnatt[[#This Row],[Start Date]],AG$29&lt;ProposalToGnatt[[#This Row],[Start Date]]+ProposalToGnatt[[#This Row],[Days]]),$G$5,"")),"")</f>
        <v/>
      </c>
      <c r="AH43" s="37" t="str">
        <f ca="1">IFERROR(+IF(AH$29=ProposalToGnatt[[#This Row],[Start Date]],Milestone_Marker,IF(AND(AH$29&gt;ProposalToGnatt[[#This Row],[Start Date]],AH$29&lt;ProposalToGnatt[[#This Row],[Start Date]]+ProposalToGnatt[[#This Row],[Days]]),$G$5,"")),"")</f>
        <v/>
      </c>
      <c r="AI43" s="37" t="str">
        <f ca="1">IFERROR(+IF(AI$29=ProposalToGnatt[[#This Row],[Start Date]],Milestone_Marker,IF(AND(AI$29&gt;ProposalToGnatt[[#This Row],[Start Date]],AI$29&lt;ProposalToGnatt[[#This Row],[Start Date]]+ProposalToGnatt[[#This Row],[Days]]),$G$5,"")),"")</f>
        <v/>
      </c>
      <c r="AJ43" s="37" t="str">
        <f ca="1">IFERROR(+IF(AJ$29=ProposalToGnatt[[#This Row],[Start Date]],Milestone_Marker,IF(AND(AJ$29&gt;ProposalToGnatt[[#This Row],[Start Date]],AJ$29&lt;ProposalToGnatt[[#This Row],[Start Date]]+ProposalToGnatt[[#This Row],[Days]]),$G$5,"")),"")</f>
        <v/>
      </c>
      <c r="AK43" s="37" t="str">
        <f ca="1">IFERROR(+IF(AK$29=ProposalToGnatt[[#This Row],[Start Date]],Milestone_Marker,IF(AND(AK$29&gt;ProposalToGnatt[[#This Row],[Start Date]],AK$29&lt;ProposalToGnatt[[#This Row],[Start Date]]+ProposalToGnatt[[#This Row],[Days]]),$G$5,"")),"")</f>
        <v/>
      </c>
      <c r="AL43" s="37" t="str">
        <f ca="1">IFERROR(+IF(AL$29=ProposalToGnatt[[#This Row],[Start Date]],Milestone_Marker,IF(AND(AL$29&gt;ProposalToGnatt[[#This Row],[Start Date]],AL$29&lt;ProposalToGnatt[[#This Row],[Start Date]]+ProposalToGnatt[[#This Row],[Days]]),$G$5,"")),"")</f>
        <v/>
      </c>
      <c r="AM43" s="37" t="str">
        <f ca="1">IFERROR(+IF(AM$29=ProposalToGnatt[[#This Row],[Start Date]],Milestone_Marker,IF(AND(AM$29&gt;ProposalToGnatt[[#This Row],[Start Date]],AM$29&lt;ProposalToGnatt[[#This Row],[Start Date]]+ProposalToGnatt[[#This Row],[Days]]),$G$5,"")),"")</f>
        <v/>
      </c>
      <c r="AN43" s="37" t="str">
        <f ca="1">IFERROR(+IF(AN$29=ProposalToGnatt[[#This Row],[Start Date]],Milestone_Marker,IF(AND(AN$29&gt;ProposalToGnatt[[#This Row],[Start Date]],AN$29&lt;ProposalToGnatt[[#This Row],[Start Date]]+ProposalToGnatt[[#This Row],[Days]]),$G$5,"")),"")</f>
        <v/>
      </c>
      <c r="AO43" s="37" t="str">
        <f ca="1">IFERROR(+IF(AO$29=ProposalToGnatt[[#This Row],[Start Date]],Milestone_Marker,IF(AND(AO$29&gt;ProposalToGnatt[[#This Row],[Start Date]],AO$29&lt;ProposalToGnatt[[#This Row],[Start Date]]+ProposalToGnatt[[#This Row],[Days]]),$G$5,"")),"")</f>
        <v/>
      </c>
      <c r="AP43" s="37" t="str">
        <f ca="1">IFERROR(+IF(AP$29=ProposalToGnatt[[#This Row],[Start Date]],Milestone_Marker,IF(AND(AP$29&gt;ProposalToGnatt[[#This Row],[Start Date]],AP$29&lt;ProposalToGnatt[[#This Row],[Start Date]]+ProposalToGnatt[[#This Row],[Days]]),$G$5,"")),"")</f>
        <v/>
      </c>
      <c r="AQ43" s="37" t="str">
        <f ca="1">IFERROR(+IF(AQ$29=ProposalToGnatt[[#This Row],[Start Date]],Milestone_Marker,IF(AND(AQ$29&gt;ProposalToGnatt[[#This Row],[Start Date]],AQ$29&lt;ProposalToGnatt[[#This Row],[Start Date]]+ProposalToGnatt[[#This Row],[Days]]),$G$5,"")),"")</f>
        <v/>
      </c>
      <c r="AR43" s="37" t="str">
        <f ca="1">IFERROR(+IF(AR$29=ProposalToGnatt[[#This Row],[Start Date]],Milestone_Marker,IF(AND(AR$29&gt;ProposalToGnatt[[#This Row],[Start Date]],AR$29&lt;ProposalToGnatt[[#This Row],[Start Date]]+ProposalToGnatt[[#This Row],[Days]]),$G$5,"")),"")</f>
        <v/>
      </c>
      <c r="AS43" s="37" t="str">
        <f ca="1">IFERROR(+IF(AS$29=ProposalToGnatt[[#This Row],[Start Date]],Milestone_Marker,IF(AND(AS$29&gt;ProposalToGnatt[[#This Row],[Start Date]],AS$29&lt;ProposalToGnatt[[#This Row],[Start Date]]+ProposalToGnatt[[#This Row],[Days]]),$G$5,"")),"")</f>
        <v/>
      </c>
      <c r="AT43" s="37" t="str">
        <f ca="1">IFERROR(+IF(AT$29=ProposalToGnatt[[#This Row],[Start Date]],Milestone_Marker,IF(AND(AT$29&gt;ProposalToGnatt[[#This Row],[Start Date]],AT$29&lt;ProposalToGnatt[[#This Row],[Start Date]]+ProposalToGnatt[[#This Row],[Days]]),$G$5,"")),"")</f>
        <v/>
      </c>
      <c r="AU43" s="37" t="str">
        <f ca="1">IFERROR(+IF(AU$29=ProposalToGnatt[[#This Row],[Start Date]],Milestone_Marker,IF(AND(AU$29&gt;ProposalToGnatt[[#This Row],[Start Date]],AU$29&lt;ProposalToGnatt[[#This Row],[Start Date]]+ProposalToGnatt[[#This Row],[Days]]),$G$5,"")),"")</f>
        <v/>
      </c>
      <c r="AV43" s="37" t="str">
        <f ca="1">IFERROR(+IF(AV$29=ProposalToGnatt[[#This Row],[Start Date]],Milestone_Marker,IF(AND(AV$29&gt;ProposalToGnatt[[#This Row],[Start Date]],AV$29&lt;ProposalToGnatt[[#This Row],[Start Date]]+ProposalToGnatt[[#This Row],[Days]]),$G$5,"")),"")</f>
        <v/>
      </c>
      <c r="AW43" s="37" t="str">
        <f ca="1">IFERROR(+IF(AW$29=ProposalToGnatt[[#This Row],[Start Date]],Milestone_Marker,IF(AND(AW$29&gt;ProposalToGnatt[[#This Row],[Start Date]],AW$29&lt;ProposalToGnatt[[#This Row],[Start Date]]+ProposalToGnatt[[#This Row],[Days]]),$G$5,"")),"")</f>
        <v/>
      </c>
      <c r="AX43" s="37" t="str">
        <f ca="1">IFERROR(+IF(AX$29=ProposalToGnatt[[#This Row],[Start Date]],Milestone_Marker,IF(AND(AX$29&gt;ProposalToGnatt[[#This Row],[Start Date]],AX$29&lt;ProposalToGnatt[[#This Row],[Start Date]]+ProposalToGnatt[[#This Row],[Days]]),$G$5,"")),"")</f>
        <v/>
      </c>
      <c r="AY43" s="37" t="str">
        <f ca="1">IFERROR(+IF(AY$29=ProposalToGnatt[[#This Row],[Start Date]],Milestone_Marker,IF(AND(AY$29&gt;ProposalToGnatt[[#This Row],[Start Date]],AY$29&lt;ProposalToGnatt[[#This Row],[Start Date]]+ProposalToGnatt[[#This Row],[Days]]),$G$5,"")),"")</f>
        <v/>
      </c>
      <c r="AZ43" s="37" t="str">
        <f ca="1">IFERROR(+IF(AZ$29=ProposalToGnatt[[#This Row],[Start Date]],Milestone_Marker,IF(AND(AZ$29&gt;ProposalToGnatt[[#This Row],[Start Date]],AZ$29&lt;ProposalToGnatt[[#This Row],[Start Date]]+ProposalToGnatt[[#This Row],[Days]]),$G$5,"")),"")</f>
        <v/>
      </c>
      <c r="BA43" s="37" t="str">
        <f ca="1">IFERROR(+IF(BA$29=ProposalToGnatt[[#This Row],[Start Date]],Milestone_Marker,IF(AND(BA$29&gt;ProposalToGnatt[[#This Row],[Start Date]],BA$29&lt;ProposalToGnatt[[#This Row],[Start Date]]+ProposalToGnatt[[#This Row],[Days]]),$G$5,"")),"")</f>
        <v/>
      </c>
      <c r="BB43" s="37" t="str">
        <f ca="1">IFERROR(+IF(BB$29=ProposalToGnatt[[#This Row],[Start Date]],Milestone_Marker,IF(AND(BB$29&gt;ProposalToGnatt[[#This Row],[Start Date]],BB$29&lt;ProposalToGnatt[[#This Row],[Start Date]]+ProposalToGnatt[[#This Row],[Days]]),$G$5,"")),"")</f>
        <v/>
      </c>
      <c r="BC43" s="37" t="str">
        <f ca="1">IFERROR(+IF(BC$29=ProposalToGnatt[[#This Row],[Start Date]],Milestone_Marker,IF(AND(BC$29&gt;ProposalToGnatt[[#This Row],[Start Date]],BC$29&lt;ProposalToGnatt[[#This Row],[Start Date]]+ProposalToGnatt[[#This Row],[Days]]),$G$5,"")),"")</f>
        <v/>
      </c>
      <c r="BD43" s="37" t="str">
        <f ca="1">IFERROR(+IF(BD$29=ProposalToGnatt[[#This Row],[Start Date]],Milestone_Marker,IF(AND(BD$29&gt;ProposalToGnatt[[#This Row],[Start Date]],BD$29&lt;ProposalToGnatt[[#This Row],[Start Date]]+ProposalToGnatt[[#This Row],[Days]]),$G$5,"")),"")</f>
        <v/>
      </c>
      <c r="BE43" s="37" t="str">
        <f ca="1">IFERROR(+IF(BE$29=ProposalToGnatt[[#This Row],[Start Date]],Milestone_Marker,IF(AND(BE$29&gt;ProposalToGnatt[[#This Row],[Start Date]],BE$29&lt;ProposalToGnatt[[#This Row],[Start Date]]+ProposalToGnatt[[#This Row],[Days]]),$G$5,"")),"")</f>
        <v/>
      </c>
      <c r="BF43" s="37" t="str">
        <f ca="1">IFERROR(+IF(BF$29=ProposalToGnatt[[#This Row],[Start Date]],Milestone_Marker,IF(AND(BF$29&gt;ProposalToGnatt[[#This Row],[Start Date]],BF$29&lt;ProposalToGnatt[[#This Row],[Start Date]]+ProposalToGnatt[[#This Row],[Days]]),$G$5,"")),"")</f>
        <v/>
      </c>
      <c r="BG43" s="37" t="str">
        <f ca="1">IFERROR(+IF(BG$29=ProposalToGnatt[[#This Row],[Start Date]],Milestone_Marker,IF(AND(BG$29&gt;ProposalToGnatt[[#This Row],[Start Date]],BG$29&lt;ProposalToGnatt[[#This Row],[Start Date]]+ProposalToGnatt[[#This Row],[Days]]),$G$5,"")),"")</f>
        <v/>
      </c>
      <c r="BH43" s="37" t="str">
        <f ca="1">IFERROR(+IF(BH$29=ProposalToGnatt[[#This Row],[Start Date]],Milestone_Marker,IF(AND(BH$29&gt;ProposalToGnatt[[#This Row],[Start Date]],BH$29&lt;ProposalToGnatt[[#This Row],[Start Date]]+ProposalToGnatt[[#This Row],[Days]]),$G$5,"")),"")</f>
        <v/>
      </c>
      <c r="BI43" s="37" t="str">
        <f ca="1">IFERROR(+IF(BI$29=ProposalToGnatt[[#This Row],[Start Date]],Milestone_Marker,IF(AND(BI$29&gt;ProposalToGnatt[[#This Row],[Start Date]],BI$29&lt;ProposalToGnatt[[#This Row],[Start Date]]+ProposalToGnatt[[#This Row],[Days]]),$G$5,"")),"")</f>
        <v/>
      </c>
      <c r="BJ43" s="37" t="str">
        <f ca="1">IFERROR(+IF(BJ$29=ProposalToGnatt[[#This Row],[Start Date]],Milestone_Marker,IF(AND(BJ$29&gt;ProposalToGnatt[[#This Row],[Start Date]],BJ$29&lt;ProposalToGnatt[[#This Row],[Start Date]]+ProposalToGnatt[[#This Row],[Days]]),$G$5,"")),"")</f>
        <v/>
      </c>
      <c r="BK43" s="37" t="str">
        <f ca="1">IFERROR(+IF(BK$29=ProposalToGnatt[[#This Row],[Start Date]],Milestone_Marker,IF(AND(BK$29&gt;ProposalToGnatt[[#This Row],[Start Date]],BK$29&lt;ProposalToGnatt[[#This Row],[Start Date]]+ProposalToGnatt[[#This Row],[Days]]),$G$5,"")),"")</f>
        <v/>
      </c>
      <c r="BL43" s="37" t="str">
        <f ca="1">IFERROR(+IF(BL$29=ProposalToGnatt[[#This Row],[Start Date]],Milestone_Marker,IF(AND(BL$29&gt;ProposalToGnatt[[#This Row],[Start Date]],BL$29&lt;ProposalToGnatt[[#This Row],[Start Date]]+ProposalToGnatt[[#This Row],[Days]]),$G$5,"")),"")</f>
        <v/>
      </c>
      <c r="BM43" s="37" t="str">
        <f ca="1">IFERROR(+IF(BM$29=ProposalToGnatt[[#This Row],[Start Date]],Milestone_Marker,IF(AND(BM$29&gt;ProposalToGnatt[[#This Row],[Start Date]],BM$29&lt;ProposalToGnatt[[#This Row],[Start Date]]+ProposalToGnatt[[#This Row],[Days]]),$G$5,"")),"")</f>
        <v/>
      </c>
      <c r="BN43" s="37" t="str">
        <f ca="1">IFERROR(+IF(BN$29=ProposalToGnatt[[#This Row],[Start Date]],Milestone_Marker,IF(AND(BN$29&gt;ProposalToGnatt[[#This Row],[Start Date]],BN$29&lt;ProposalToGnatt[[#This Row],[Start Date]]+ProposalToGnatt[[#This Row],[Days]]),$G$5,"")),"")</f>
        <v/>
      </c>
      <c r="BO43" s="37" t="str">
        <f ca="1">IFERROR(+IF(BO$29=ProposalToGnatt[[#This Row],[Start Date]],Milestone_Marker,IF(AND(BO$29&gt;ProposalToGnatt[[#This Row],[Start Date]],BO$29&lt;ProposalToGnatt[[#This Row],[Start Date]]+ProposalToGnatt[[#This Row],[Days]]),$G$5,"")),"")</f>
        <v/>
      </c>
      <c r="BP43" s="37" t="str">
        <f ca="1">IFERROR(+IF(BP$29=ProposalToGnatt[[#This Row],[Start Date]],Milestone_Marker,IF(AND(BP$29&gt;ProposalToGnatt[[#This Row],[Start Date]],BP$29&lt;ProposalToGnatt[[#This Row],[Start Date]]+ProposalToGnatt[[#This Row],[Days]]),$G$5,"")),"")</f>
        <v/>
      </c>
      <c r="BQ43" s="37" t="str">
        <f ca="1">IFERROR(+IF(BQ$29=ProposalToGnatt[[#This Row],[Start Date]],Milestone_Marker,IF(AND(BQ$29&gt;ProposalToGnatt[[#This Row],[Start Date]],BQ$29&lt;ProposalToGnatt[[#This Row],[Start Date]]+ProposalToGnatt[[#This Row],[Days]]),$G$5,"")),"")</f>
        <v/>
      </c>
      <c r="BR43" s="37" t="str">
        <f ca="1">IFERROR(+IF(BR$29=ProposalToGnatt[[#This Row],[Start Date]],Milestone_Marker,IF(AND(BR$29&gt;ProposalToGnatt[[#This Row],[Start Date]],BR$29&lt;ProposalToGnatt[[#This Row],[Start Date]]+ProposalToGnatt[[#This Row],[Days]]),$G$5,"")),"")</f>
        <v/>
      </c>
      <c r="BS43" s="37" t="str">
        <f ca="1">IFERROR(+IF(BS$29=ProposalToGnatt[[#This Row],[Start Date]],Milestone_Marker,IF(AND(BS$29&gt;ProposalToGnatt[[#This Row],[Start Date]],BS$29&lt;ProposalToGnatt[[#This Row],[Start Date]]+ProposalToGnatt[[#This Row],[Days]]),$G$5,"")),"")</f>
        <v/>
      </c>
      <c r="BT43" s="37" t="str">
        <f ca="1">IFERROR(+IF(BT$29=ProposalToGnatt[[#This Row],[Start Date]],Milestone_Marker,IF(AND(BT$29&gt;ProposalToGnatt[[#This Row],[Start Date]],BT$29&lt;ProposalToGnatt[[#This Row],[Start Date]]+ProposalToGnatt[[#This Row],[Days]]),$G$5,"")),"")</f>
        <v/>
      </c>
      <c r="BU43" s="37" t="str">
        <f ca="1">IFERROR(+IF(BU$29=ProposalToGnatt[[#This Row],[Start Date]],Milestone_Marker,IF(AND(BU$29&gt;ProposalToGnatt[[#This Row],[Start Date]],BU$29&lt;ProposalToGnatt[[#This Row],[Start Date]]+ProposalToGnatt[[#This Row],[Days]]),$G$5,"")),"")</f>
        <v/>
      </c>
      <c r="BV43" s="37" t="str">
        <f ca="1">IFERROR(+IF(BV$29=ProposalToGnatt[[#This Row],[Start Date]],Milestone_Marker,IF(AND(BV$29&gt;ProposalToGnatt[[#This Row],[Start Date]],BV$29&lt;ProposalToGnatt[[#This Row],[Start Date]]+ProposalToGnatt[[#This Row],[Days]]),$G$5,"")),"")</f>
        <v/>
      </c>
      <c r="BW43" s="37" t="str">
        <f ca="1">IFERROR(+IF(BW$29=ProposalToGnatt[[#This Row],[Start Date]],Milestone_Marker,IF(AND(BW$29&gt;ProposalToGnatt[[#This Row],[Start Date]],BW$29&lt;ProposalToGnatt[[#This Row],[Start Date]]+ProposalToGnatt[[#This Row],[Days]]),$G$5,"")),"")</f>
        <v/>
      </c>
      <c r="BX43" s="37" t="str">
        <f ca="1">IFERROR(+IF(BX$29=ProposalToGnatt[[#This Row],[Start Date]],Milestone_Marker,IF(AND(BX$29&gt;ProposalToGnatt[[#This Row],[Start Date]],BX$29&lt;ProposalToGnatt[[#This Row],[Start Date]]+ProposalToGnatt[[#This Row],[Days]]),$G$5,"")),"")</f>
        <v/>
      </c>
      <c r="BY43" s="37" t="str">
        <f ca="1">IFERROR(+IF(BY$29=ProposalToGnatt[[#This Row],[Start Date]],Milestone_Marker,IF(AND(BY$29&gt;ProposalToGnatt[[#This Row],[Start Date]],BY$29&lt;ProposalToGnatt[[#This Row],[Start Date]]+ProposalToGnatt[[#This Row],[Days]]),$G$5,"")),"")</f>
        <v/>
      </c>
      <c r="BZ43" s="37" t="str">
        <f ca="1">IFERROR(+IF(BZ$29=ProposalToGnatt[[#This Row],[Start Date]],Milestone_Marker,IF(AND(BZ$29&gt;ProposalToGnatt[[#This Row],[Start Date]],BZ$29&lt;ProposalToGnatt[[#This Row],[Start Date]]+ProposalToGnatt[[#This Row],[Days]]),$G$5,"")),"")</f>
        <v/>
      </c>
      <c r="CA43" s="37" t="str">
        <f ca="1">IFERROR(+IF(CA$29=ProposalToGnatt[[#This Row],[Start Date]],Milestone_Marker,IF(AND(CA$29&gt;ProposalToGnatt[[#This Row],[Start Date]],CA$29&lt;ProposalToGnatt[[#This Row],[Start Date]]+ProposalToGnatt[[#This Row],[Days]]),$G$5,"")),"")</f>
        <v/>
      </c>
      <c r="CB43" s="37" t="str">
        <f ca="1">IFERROR(+IF(CB$29=ProposalToGnatt[[#This Row],[Start Date]],Milestone_Marker,IF(AND(CB$29&gt;ProposalToGnatt[[#This Row],[Start Date]],CB$29&lt;ProposalToGnatt[[#This Row],[Start Date]]+ProposalToGnatt[[#This Row],[Days]]),$G$5,"")),"")</f>
        <v/>
      </c>
      <c r="CC43" s="37" t="str">
        <f ca="1">IFERROR(+IF(CC$29=ProposalToGnatt[[#This Row],[Start Date]],Milestone_Marker,IF(AND(CC$29&gt;ProposalToGnatt[[#This Row],[Start Date]],CC$29&lt;ProposalToGnatt[[#This Row],[Start Date]]+ProposalToGnatt[[#This Row],[Days]]),$G$5,"")),"")</f>
        <v/>
      </c>
      <c r="CD43" s="37" t="str">
        <f ca="1">IFERROR(+IF(CD$29=ProposalToGnatt[[#This Row],[Start Date]],Milestone_Marker,IF(AND(CD$29&gt;ProposalToGnatt[[#This Row],[Start Date]],CD$29&lt;ProposalToGnatt[[#This Row],[Start Date]]+ProposalToGnatt[[#This Row],[Days]]),$G$5,"")),"")</f>
        <v/>
      </c>
      <c r="CE43" s="37" t="str">
        <f ca="1">IFERROR(+IF(CE$29=ProposalToGnatt[[#This Row],[Start Date]],Milestone_Marker,IF(AND(CE$29&gt;ProposalToGnatt[[#This Row],[Start Date]],CE$29&lt;ProposalToGnatt[[#This Row],[Start Date]]+ProposalToGnatt[[#This Row],[Days]]),$G$5,"")),"")</f>
        <v/>
      </c>
      <c r="CF43" s="37" t="str">
        <f ca="1">IFERROR(+IF(CF$29=ProposalToGnatt[[#This Row],[Start Date]],Milestone_Marker,IF(AND(CF$29&gt;ProposalToGnatt[[#This Row],[Start Date]],CF$29&lt;ProposalToGnatt[[#This Row],[Start Date]]+ProposalToGnatt[[#This Row],[Days]]),$G$5,"")),"")</f>
        <v/>
      </c>
      <c r="CG43" s="37" t="str">
        <f ca="1">IFERROR(+IF(CG$29=ProposalToGnatt[[#This Row],[Start Date]],Milestone_Marker,IF(AND(CG$29&gt;ProposalToGnatt[[#This Row],[Start Date]],CG$29&lt;ProposalToGnatt[[#This Row],[Start Date]]+ProposalToGnatt[[#This Row],[Days]]),$G$5,"")),"")</f>
        <v/>
      </c>
      <c r="CH43" s="37" t="str">
        <f ca="1">IFERROR(+IF(CH$29=ProposalToGnatt[[#This Row],[Start Date]],Milestone_Marker,IF(AND(CH$29&gt;ProposalToGnatt[[#This Row],[Start Date]],CH$29&lt;ProposalToGnatt[[#This Row],[Start Date]]+ProposalToGnatt[[#This Row],[Days]]),$G$5,"")),"")</f>
        <v/>
      </c>
      <c r="CI43" s="37" t="str">
        <f ca="1">IFERROR(+IF(CI$29=ProposalToGnatt[[#This Row],[Start Date]],Milestone_Marker,IF(AND(CI$29&gt;ProposalToGnatt[[#This Row],[Start Date]],CI$29&lt;ProposalToGnatt[[#This Row],[Start Date]]+ProposalToGnatt[[#This Row],[Days]]),$G$5,"")),"")</f>
        <v/>
      </c>
      <c r="CJ43" s="37" t="str">
        <f ca="1">IFERROR(+IF(CJ$29=ProposalToGnatt[[#This Row],[Start Date]],Milestone_Marker,IF(AND(CJ$29&gt;ProposalToGnatt[[#This Row],[Start Date]],CJ$29&lt;ProposalToGnatt[[#This Row],[Start Date]]+ProposalToGnatt[[#This Row],[Days]]),$G$5,"")),"")</f>
        <v/>
      </c>
      <c r="CK43" s="37" t="str">
        <f ca="1">IFERROR(+IF(CK$29=ProposalToGnatt[[#This Row],[Start Date]],Milestone_Marker,IF(AND(CK$29&gt;ProposalToGnatt[[#This Row],[Start Date]],CK$29&lt;ProposalToGnatt[[#This Row],[Start Date]]+ProposalToGnatt[[#This Row],[Days]]),$G$5,"")),"")</f>
        <v/>
      </c>
      <c r="CL43" s="37" t="str">
        <f ca="1">IFERROR(+IF(CL$29=ProposalToGnatt[[#This Row],[Start Date]],Milestone_Marker,IF(AND(CL$29&gt;ProposalToGnatt[[#This Row],[Start Date]],CL$29&lt;ProposalToGnatt[[#This Row],[Start Date]]+ProposalToGnatt[[#This Row],[Days]]),$G$5,"")),"")</f>
        <v/>
      </c>
      <c r="CM43" s="37" t="str">
        <f ca="1">IFERROR(+IF(CM$29=ProposalToGnatt[[#This Row],[Start Date]],Milestone_Marker,IF(AND(CM$29&gt;ProposalToGnatt[[#This Row],[Start Date]],CM$29&lt;ProposalToGnatt[[#This Row],[Start Date]]+ProposalToGnatt[[#This Row],[Days]]),$G$5,"")),"")</f>
        <v/>
      </c>
      <c r="CN43" s="37" t="str">
        <f ca="1">IFERROR(+IF(CN$29=ProposalToGnatt[[#This Row],[Start Date]],Milestone_Marker,IF(AND(CN$29&gt;ProposalToGnatt[[#This Row],[Start Date]],CN$29&lt;ProposalToGnatt[[#This Row],[Start Date]]+ProposalToGnatt[[#This Row],[Days]]),$G$5,"")),"")</f>
        <v/>
      </c>
      <c r="CO43" s="37" t="str">
        <f ca="1">IFERROR(+IF(CO$29=ProposalToGnatt[[#This Row],[Start Date]],Milestone_Marker,IF(AND(CO$29&gt;ProposalToGnatt[[#This Row],[Start Date]],CO$29&lt;ProposalToGnatt[[#This Row],[Start Date]]+ProposalToGnatt[[#This Row],[Days]]),$G$5,"")),"")</f>
        <v/>
      </c>
      <c r="CP43" s="37" t="str">
        <f ca="1">IFERROR(+IF(CP$29=ProposalToGnatt[[#This Row],[Start Date]],Milestone_Marker,IF(AND(CP$29&gt;ProposalToGnatt[[#This Row],[Start Date]],CP$29&lt;ProposalToGnatt[[#This Row],[Start Date]]+ProposalToGnatt[[#This Row],[Days]]),$G$5,"")),"")</f>
        <v/>
      </c>
      <c r="CQ43" s="37" t="str">
        <f ca="1">IFERROR(+IF(CQ$29=ProposalToGnatt[[#This Row],[Start Date]],Milestone_Marker,IF(AND(CQ$29&gt;ProposalToGnatt[[#This Row],[Start Date]],CQ$29&lt;ProposalToGnatt[[#This Row],[Start Date]]+ProposalToGnatt[[#This Row],[Days]]),$G$5,"")),"")</f>
        <v/>
      </c>
      <c r="CR43" s="37" t="str">
        <f ca="1">IFERROR(+IF(CR$29=ProposalToGnatt[[#This Row],[Start Date]],Milestone_Marker,IF(AND(CR$29&gt;ProposalToGnatt[[#This Row],[Start Date]],CR$29&lt;ProposalToGnatt[[#This Row],[Start Date]]+ProposalToGnatt[[#This Row],[Days]]),$G$5,"")),"")</f>
        <v/>
      </c>
      <c r="CS43" s="37" t="str">
        <f ca="1">IFERROR(+IF(CS$29=ProposalToGnatt[[#This Row],[Start Date]],Milestone_Marker,IF(AND(CS$29&gt;ProposalToGnatt[[#This Row],[Start Date]],CS$29&lt;ProposalToGnatt[[#This Row],[Start Date]]+ProposalToGnatt[[#This Row],[Days]]),$G$5,"")),"")</f>
        <v/>
      </c>
      <c r="CT43" s="37" t="str">
        <f ca="1">IFERROR(+IF(CT$29=ProposalToGnatt[[#This Row],[Start Date]],Milestone_Marker,IF(AND(CT$29&gt;ProposalToGnatt[[#This Row],[Start Date]],CT$29&lt;ProposalToGnatt[[#This Row],[Start Date]]+ProposalToGnatt[[#This Row],[Days]]),$G$5,"")),"")</f>
        <v/>
      </c>
      <c r="CU43" s="37" t="str">
        <f ca="1">IFERROR(+IF(CU$29=ProposalToGnatt[[#This Row],[Start Date]],Milestone_Marker,IF(AND(CU$29&gt;ProposalToGnatt[[#This Row],[Start Date]],CU$29&lt;ProposalToGnatt[[#This Row],[Start Date]]+ProposalToGnatt[[#This Row],[Days]]),$G$5,"")),"")</f>
        <v/>
      </c>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row>
    <row r="44" spans="1:125" s="42" customFormat="1" ht="15" customHeight="1">
      <c r="A44" t="s">
        <v>449</v>
      </c>
      <c r="B44">
        <v>15</v>
      </c>
      <c r="C44" t="s">
        <v>382</v>
      </c>
      <c r="D44"/>
      <c r="E44"/>
      <c r="F44"/>
      <c r="G44" s="11"/>
      <c r="H44" s="26"/>
      <c r="I44"/>
      <c r="J44"/>
      <c r="K44" s="402"/>
      <c r="L44"/>
      <c r="M44"/>
      <c r="N44"/>
      <c r="O44" s="26"/>
      <c r="P44" s="37">
        <f ca="1">IFERROR(+IF(P$29=ProposalToGnatt[[#This Row],[Start Date]],Milestone_Marker,IF(AND(P$29&gt;ProposalToGnatt[[#This Row],[Start Date]],P$29&lt;ProposalToGnatt[[#This Row],[Start Date]]+ProposalToGnatt[[#This Row],[Days]]),$G$5,"")),"")</f>
        <v>1</v>
      </c>
      <c r="Q44" s="37" t="str">
        <f ca="1">IFERROR(+IF(Q$29=ProposalToGnatt[[#This Row],[Start Date]],Milestone_Marker,IF(AND(Q$29&gt;ProposalToGnatt[[#This Row],[Start Date]],Q$29&lt;ProposalToGnatt[[#This Row],[Start Date]]+ProposalToGnatt[[#This Row],[Days]]),$G$5,"")),"")</f>
        <v/>
      </c>
      <c r="R44" s="37" t="str">
        <f ca="1">IFERROR(+IF(R$29=ProposalToGnatt[[#This Row],[Start Date]],Milestone_Marker,IF(AND(R$29&gt;ProposalToGnatt[[#This Row],[Start Date]],R$29&lt;ProposalToGnatt[[#This Row],[Start Date]]+ProposalToGnatt[[#This Row],[Days]]),$G$5,"")),"")</f>
        <v/>
      </c>
      <c r="S44" s="37" t="str">
        <f ca="1">IFERROR(+IF(S$29=ProposalToGnatt[[#This Row],[Start Date]],Milestone_Marker,IF(AND(S$29&gt;ProposalToGnatt[[#This Row],[Start Date]],S$29&lt;ProposalToGnatt[[#This Row],[Start Date]]+ProposalToGnatt[[#This Row],[Days]]),$G$5,"")),"")</f>
        <v/>
      </c>
      <c r="T44" s="37" t="str">
        <f ca="1">IFERROR(+IF(T$29=ProposalToGnatt[[#This Row],[Start Date]],Milestone_Marker,IF(AND(T$29&gt;ProposalToGnatt[[#This Row],[Start Date]],T$29&lt;ProposalToGnatt[[#This Row],[Start Date]]+ProposalToGnatt[[#This Row],[Days]]),$G$5,"")),"")</f>
        <v/>
      </c>
      <c r="U44" s="37" t="str">
        <f ca="1">IFERROR(+IF(U$29=ProposalToGnatt[[#This Row],[Start Date]],Milestone_Marker,IF(AND(U$29&gt;ProposalToGnatt[[#This Row],[Start Date]],U$29&lt;ProposalToGnatt[[#This Row],[Start Date]]+ProposalToGnatt[[#This Row],[Days]]),$G$5,"")),"")</f>
        <v/>
      </c>
      <c r="V44" s="37" t="str">
        <f ca="1">IFERROR(+IF(V$29=ProposalToGnatt[[#This Row],[Start Date]],Milestone_Marker,IF(AND(V$29&gt;ProposalToGnatt[[#This Row],[Start Date]],V$29&lt;ProposalToGnatt[[#This Row],[Start Date]]+ProposalToGnatt[[#This Row],[Days]]),$G$5,"")),"")</f>
        <v/>
      </c>
      <c r="W44" s="37" t="str">
        <f ca="1">IFERROR(+IF(W$29=ProposalToGnatt[[#This Row],[Start Date]],Milestone_Marker,IF(AND(W$29&gt;ProposalToGnatt[[#This Row],[Start Date]],W$29&lt;ProposalToGnatt[[#This Row],[Start Date]]+ProposalToGnatt[[#This Row],[Days]]),$G$5,"")),"")</f>
        <v/>
      </c>
      <c r="X44" s="37" t="str">
        <f ca="1">IFERROR(+IF(X$29=ProposalToGnatt[[#This Row],[Start Date]],Milestone_Marker,IF(AND(X$29&gt;ProposalToGnatt[[#This Row],[Start Date]],X$29&lt;ProposalToGnatt[[#This Row],[Start Date]]+ProposalToGnatt[[#This Row],[Days]]),$G$5,"")),"")</f>
        <v/>
      </c>
      <c r="Y44" s="37" t="str">
        <f ca="1">IFERROR(+IF(Y$29=ProposalToGnatt[[#This Row],[Start Date]],Milestone_Marker,IF(AND(Y$29&gt;ProposalToGnatt[[#This Row],[Start Date]],Y$29&lt;ProposalToGnatt[[#This Row],[Start Date]]+ProposalToGnatt[[#This Row],[Days]]),$G$5,"")),"")</f>
        <v/>
      </c>
      <c r="Z44" s="37" t="str">
        <f ca="1">IFERROR(+IF(Z$29=ProposalToGnatt[[#This Row],[Start Date]],Milestone_Marker,IF(AND(Z$29&gt;ProposalToGnatt[[#This Row],[Start Date]],Z$29&lt;ProposalToGnatt[[#This Row],[Start Date]]+ProposalToGnatt[[#This Row],[Days]]),$G$5,"")),"")</f>
        <v/>
      </c>
      <c r="AA44" s="37" t="str">
        <f ca="1">IFERROR(+IF(AA$29=ProposalToGnatt[[#This Row],[Start Date]],Milestone_Marker,IF(AND(AA$29&gt;ProposalToGnatt[[#This Row],[Start Date]],AA$29&lt;ProposalToGnatt[[#This Row],[Start Date]]+ProposalToGnatt[[#This Row],[Days]]),$G$5,"")),"")</f>
        <v/>
      </c>
      <c r="AB44" s="37" t="str">
        <f ca="1">IFERROR(+IF(AB$29=ProposalToGnatt[[#This Row],[Start Date]],Milestone_Marker,IF(AND(AB$29&gt;ProposalToGnatt[[#This Row],[Start Date]],AB$29&lt;ProposalToGnatt[[#This Row],[Start Date]]+ProposalToGnatt[[#This Row],[Days]]),$G$5,"")),"")</f>
        <v/>
      </c>
      <c r="AC44" s="37" t="str">
        <f ca="1">IFERROR(+IF(AC$29=ProposalToGnatt[[#This Row],[Start Date]],Milestone_Marker,IF(AND(AC$29&gt;ProposalToGnatt[[#This Row],[Start Date]],AC$29&lt;ProposalToGnatt[[#This Row],[Start Date]]+ProposalToGnatt[[#This Row],[Days]]),$G$5,"")),"")</f>
        <v/>
      </c>
      <c r="AD44" s="37" t="str">
        <f ca="1">IFERROR(+IF(AD$29=ProposalToGnatt[[#This Row],[Start Date]],Milestone_Marker,IF(AND(AD$29&gt;ProposalToGnatt[[#This Row],[Start Date]],AD$29&lt;ProposalToGnatt[[#This Row],[Start Date]]+ProposalToGnatt[[#This Row],[Days]]),$G$5,"")),"")</f>
        <v/>
      </c>
      <c r="AE44" s="37" t="str">
        <f ca="1">IFERROR(+IF(AE$29=ProposalToGnatt[[#This Row],[Start Date]],Milestone_Marker,IF(AND(AE$29&gt;ProposalToGnatt[[#This Row],[Start Date]],AE$29&lt;ProposalToGnatt[[#This Row],[Start Date]]+ProposalToGnatt[[#This Row],[Days]]),$G$5,"")),"")</f>
        <v/>
      </c>
      <c r="AF44" s="37" t="str">
        <f ca="1">IFERROR(+IF(AF$29=ProposalToGnatt[[#This Row],[Start Date]],Milestone_Marker,IF(AND(AF$29&gt;ProposalToGnatt[[#This Row],[Start Date]],AF$29&lt;ProposalToGnatt[[#This Row],[Start Date]]+ProposalToGnatt[[#This Row],[Days]]),$G$5,"")),"")</f>
        <v/>
      </c>
      <c r="AG44" s="37" t="str">
        <f ca="1">IFERROR(+IF(AG$29=ProposalToGnatt[[#This Row],[Start Date]],Milestone_Marker,IF(AND(AG$29&gt;ProposalToGnatt[[#This Row],[Start Date]],AG$29&lt;ProposalToGnatt[[#This Row],[Start Date]]+ProposalToGnatt[[#This Row],[Days]]),$G$5,"")),"")</f>
        <v/>
      </c>
      <c r="AH44" s="37" t="str">
        <f ca="1">IFERROR(+IF(AH$29=ProposalToGnatt[[#This Row],[Start Date]],Milestone_Marker,IF(AND(AH$29&gt;ProposalToGnatt[[#This Row],[Start Date]],AH$29&lt;ProposalToGnatt[[#This Row],[Start Date]]+ProposalToGnatt[[#This Row],[Days]]),$G$5,"")),"")</f>
        <v/>
      </c>
      <c r="AI44" s="37" t="str">
        <f ca="1">IFERROR(+IF(AI$29=ProposalToGnatt[[#This Row],[Start Date]],Milestone_Marker,IF(AND(AI$29&gt;ProposalToGnatt[[#This Row],[Start Date]],AI$29&lt;ProposalToGnatt[[#This Row],[Start Date]]+ProposalToGnatt[[#This Row],[Days]]),$G$5,"")),"")</f>
        <v/>
      </c>
      <c r="AJ44" s="37" t="str">
        <f ca="1">IFERROR(+IF(AJ$29=ProposalToGnatt[[#This Row],[Start Date]],Milestone_Marker,IF(AND(AJ$29&gt;ProposalToGnatt[[#This Row],[Start Date]],AJ$29&lt;ProposalToGnatt[[#This Row],[Start Date]]+ProposalToGnatt[[#This Row],[Days]]),$G$5,"")),"")</f>
        <v/>
      </c>
      <c r="AK44" s="37" t="str">
        <f ca="1">IFERROR(+IF(AK$29=ProposalToGnatt[[#This Row],[Start Date]],Milestone_Marker,IF(AND(AK$29&gt;ProposalToGnatt[[#This Row],[Start Date]],AK$29&lt;ProposalToGnatt[[#This Row],[Start Date]]+ProposalToGnatt[[#This Row],[Days]]),$G$5,"")),"")</f>
        <v/>
      </c>
      <c r="AL44" s="37" t="str">
        <f ca="1">IFERROR(+IF(AL$29=ProposalToGnatt[[#This Row],[Start Date]],Milestone_Marker,IF(AND(AL$29&gt;ProposalToGnatt[[#This Row],[Start Date]],AL$29&lt;ProposalToGnatt[[#This Row],[Start Date]]+ProposalToGnatt[[#This Row],[Days]]),$G$5,"")),"")</f>
        <v/>
      </c>
      <c r="AM44" s="37" t="str">
        <f ca="1">IFERROR(+IF(AM$29=ProposalToGnatt[[#This Row],[Start Date]],Milestone_Marker,IF(AND(AM$29&gt;ProposalToGnatt[[#This Row],[Start Date]],AM$29&lt;ProposalToGnatt[[#This Row],[Start Date]]+ProposalToGnatt[[#This Row],[Days]]),$G$5,"")),"")</f>
        <v/>
      </c>
      <c r="AN44" s="37" t="str">
        <f ca="1">IFERROR(+IF(AN$29=ProposalToGnatt[[#This Row],[Start Date]],Milestone_Marker,IF(AND(AN$29&gt;ProposalToGnatt[[#This Row],[Start Date]],AN$29&lt;ProposalToGnatt[[#This Row],[Start Date]]+ProposalToGnatt[[#This Row],[Days]]),$G$5,"")),"")</f>
        <v/>
      </c>
      <c r="AO44" s="37" t="str">
        <f ca="1">IFERROR(+IF(AO$29=ProposalToGnatt[[#This Row],[Start Date]],Milestone_Marker,IF(AND(AO$29&gt;ProposalToGnatt[[#This Row],[Start Date]],AO$29&lt;ProposalToGnatt[[#This Row],[Start Date]]+ProposalToGnatt[[#This Row],[Days]]),$G$5,"")),"")</f>
        <v/>
      </c>
      <c r="AP44" s="37" t="str">
        <f ca="1">IFERROR(+IF(AP$29=ProposalToGnatt[[#This Row],[Start Date]],Milestone_Marker,IF(AND(AP$29&gt;ProposalToGnatt[[#This Row],[Start Date]],AP$29&lt;ProposalToGnatt[[#This Row],[Start Date]]+ProposalToGnatt[[#This Row],[Days]]),$G$5,"")),"")</f>
        <v/>
      </c>
      <c r="AQ44" s="37" t="str">
        <f ca="1">IFERROR(+IF(AQ$29=ProposalToGnatt[[#This Row],[Start Date]],Milestone_Marker,IF(AND(AQ$29&gt;ProposalToGnatt[[#This Row],[Start Date]],AQ$29&lt;ProposalToGnatt[[#This Row],[Start Date]]+ProposalToGnatt[[#This Row],[Days]]),$G$5,"")),"")</f>
        <v/>
      </c>
      <c r="AR44" s="37" t="str">
        <f ca="1">IFERROR(+IF(AR$29=ProposalToGnatt[[#This Row],[Start Date]],Milestone_Marker,IF(AND(AR$29&gt;ProposalToGnatt[[#This Row],[Start Date]],AR$29&lt;ProposalToGnatt[[#This Row],[Start Date]]+ProposalToGnatt[[#This Row],[Days]]),$G$5,"")),"")</f>
        <v/>
      </c>
      <c r="AS44" s="37" t="str">
        <f ca="1">IFERROR(+IF(AS$29=ProposalToGnatt[[#This Row],[Start Date]],Milestone_Marker,IF(AND(AS$29&gt;ProposalToGnatt[[#This Row],[Start Date]],AS$29&lt;ProposalToGnatt[[#This Row],[Start Date]]+ProposalToGnatt[[#This Row],[Days]]),$G$5,"")),"")</f>
        <v/>
      </c>
      <c r="AT44" s="37" t="str">
        <f ca="1">IFERROR(+IF(AT$29=ProposalToGnatt[[#This Row],[Start Date]],Milestone_Marker,IF(AND(AT$29&gt;ProposalToGnatt[[#This Row],[Start Date]],AT$29&lt;ProposalToGnatt[[#This Row],[Start Date]]+ProposalToGnatt[[#This Row],[Days]]),$G$5,"")),"")</f>
        <v/>
      </c>
      <c r="AU44" s="37" t="str">
        <f ca="1">IFERROR(+IF(AU$29=ProposalToGnatt[[#This Row],[Start Date]],Milestone_Marker,IF(AND(AU$29&gt;ProposalToGnatt[[#This Row],[Start Date]],AU$29&lt;ProposalToGnatt[[#This Row],[Start Date]]+ProposalToGnatt[[#This Row],[Days]]),$G$5,"")),"")</f>
        <v/>
      </c>
      <c r="AV44" s="37" t="str">
        <f ca="1">IFERROR(+IF(AV$29=ProposalToGnatt[[#This Row],[Start Date]],Milestone_Marker,IF(AND(AV$29&gt;ProposalToGnatt[[#This Row],[Start Date]],AV$29&lt;ProposalToGnatt[[#This Row],[Start Date]]+ProposalToGnatt[[#This Row],[Days]]),$G$5,"")),"")</f>
        <v/>
      </c>
      <c r="AW44" s="37" t="str">
        <f ca="1">IFERROR(+IF(AW$29=ProposalToGnatt[[#This Row],[Start Date]],Milestone_Marker,IF(AND(AW$29&gt;ProposalToGnatt[[#This Row],[Start Date]],AW$29&lt;ProposalToGnatt[[#This Row],[Start Date]]+ProposalToGnatt[[#This Row],[Days]]),$G$5,"")),"")</f>
        <v/>
      </c>
      <c r="AX44" s="37" t="str">
        <f ca="1">IFERROR(+IF(AX$29=ProposalToGnatt[[#This Row],[Start Date]],Milestone_Marker,IF(AND(AX$29&gt;ProposalToGnatt[[#This Row],[Start Date]],AX$29&lt;ProposalToGnatt[[#This Row],[Start Date]]+ProposalToGnatt[[#This Row],[Days]]),$G$5,"")),"")</f>
        <v/>
      </c>
      <c r="AY44" s="37" t="str">
        <f ca="1">IFERROR(+IF(AY$29=ProposalToGnatt[[#This Row],[Start Date]],Milestone_Marker,IF(AND(AY$29&gt;ProposalToGnatt[[#This Row],[Start Date]],AY$29&lt;ProposalToGnatt[[#This Row],[Start Date]]+ProposalToGnatt[[#This Row],[Days]]),$G$5,"")),"")</f>
        <v/>
      </c>
      <c r="AZ44" s="37" t="str">
        <f ca="1">IFERROR(+IF(AZ$29=ProposalToGnatt[[#This Row],[Start Date]],Milestone_Marker,IF(AND(AZ$29&gt;ProposalToGnatt[[#This Row],[Start Date]],AZ$29&lt;ProposalToGnatt[[#This Row],[Start Date]]+ProposalToGnatt[[#This Row],[Days]]),$G$5,"")),"")</f>
        <v/>
      </c>
      <c r="BA44" s="37" t="str">
        <f ca="1">IFERROR(+IF(BA$29=ProposalToGnatt[[#This Row],[Start Date]],Milestone_Marker,IF(AND(BA$29&gt;ProposalToGnatt[[#This Row],[Start Date]],BA$29&lt;ProposalToGnatt[[#This Row],[Start Date]]+ProposalToGnatt[[#This Row],[Days]]),$G$5,"")),"")</f>
        <v/>
      </c>
      <c r="BB44" s="37" t="str">
        <f ca="1">IFERROR(+IF(BB$29=ProposalToGnatt[[#This Row],[Start Date]],Milestone_Marker,IF(AND(BB$29&gt;ProposalToGnatt[[#This Row],[Start Date]],BB$29&lt;ProposalToGnatt[[#This Row],[Start Date]]+ProposalToGnatt[[#This Row],[Days]]),$G$5,"")),"")</f>
        <v/>
      </c>
      <c r="BC44" s="37" t="str">
        <f ca="1">IFERROR(+IF(BC$29=ProposalToGnatt[[#This Row],[Start Date]],Milestone_Marker,IF(AND(BC$29&gt;ProposalToGnatt[[#This Row],[Start Date]],BC$29&lt;ProposalToGnatt[[#This Row],[Start Date]]+ProposalToGnatt[[#This Row],[Days]]),$G$5,"")),"")</f>
        <v/>
      </c>
      <c r="BD44" s="37" t="str">
        <f ca="1">IFERROR(+IF(BD$29=ProposalToGnatt[[#This Row],[Start Date]],Milestone_Marker,IF(AND(BD$29&gt;ProposalToGnatt[[#This Row],[Start Date]],BD$29&lt;ProposalToGnatt[[#This Row],[Start Date]]+ProposalToGnatt[[#This Row],[Days]]),$G$5,"")),"")</f>
        <v/>
      </c>
      <c r="BE44" s="37" t="str">
        <f ca="1">IFERROR(+IF(BE$29=ProposalToGnatt[[#This Row],[Start Date]],Milestone_Marker,IF(AND(BE$29&gt;ProposalToGnatt[[#This Row],[Start Date]],BE$29&lt;ProposalToGnatt[[#This Row],[Start Date]]+ProposalToGnatt[[#This Row],[Days]]),$G$5,"")),"")</f>
        <v/>
      </c>
      <c r="BF44" s="37" t="str">
        <f ca="1">IFERROR(+IF(BF$29=ProposalToGnatt[[#This Row],[Start Date]],Milestone_Marker,IF(AND(BF$29&gt;ProposalToGnatt[[#This Row],[Start Date]],BF$29&lt;ProposalToGnatt[[#This Row],[Start Date]]+ProposalToGnatt[[#This Row],[Days]]),$G$5,"")),"")</f>
        <v/>
      </c>
      <c r="BG44" s="37" t="str">
        <f ca="1">IFERROR(+IF(BG$29=ProposalToGnatt[[#This Row],[Start Date]],Milestone_Marker,IF(AND(BG$29&gt;ProposalToGnatt[[#This Row],[Start Date]],BG$29&lt;ProposalToGnatt[[#This Row],[Start Date]]+ProposalToGnatt[[#This Row],[Days]]),$G$5,"")),"")</f>
        <v/>
      </c>
      <c r="BH44" s="37" t="str">
        <f ca="1">IFERROR(+IF(BH$29=ProposalToGnatt[[#This Row],[Start Date]],Milestone_Marker,IF(AND(BH$29&gt;ProposalToGnatt[[#This Row],[Start Date]],BH$29&lt;ProposalToGnatt[[#This Row],[Start Date]]+ProposalToGnatt[[#This Row],[Days]]),$G$5,"")),"")</f>
        <v/>
      </c>
      <c r="BI44" s="37" t="str">
        <f ca="1">IFERROR(+IF(BI$29=ProposalToGnatt[[#This Row],[Start Date]],Milestone_Marker,IF(AND(BI$29&gt;ProposalToGnatt[[#This Row],[Start Date]],BI$29&lt;ProposalToGnatt[[#This Row],[Start Date]]+ProposalToGnatt[[#This Row],[Days]]),$G$5,"")),"")</f>
        <v/>
      </c>
      <c r="BJ44" s="37" t="str">
        <f ca="1">IFERROR(+IF(BJ$29=ProposalToGnatt[[#This Row],[Start Date]],Milestone_Marker,IF(AND(BJ$29&gt;ProposalToGnatt[[#This Row],[Start Date]],BJ$29&lt;ProposalToGnatt[[#This Row],[Start Date]]+ProposalToGnatt[[#This Row],[Days]]),$G$5,"")),"")</f>
        <v/>
      </c>
      <c r="BK44" s="37" t="str">
        <f ca="1">IFERROR(+IF(BK$29=ProposalToGnatt[[#This Row],[Start Date]],Milestone_Marker,IF(AND(BK$29&gt;ProposalToGnatt[[#This Row],[Start Date]],BK$29&lt;ProposalToGnatt[[#This Row],[Start Date]]+ProposalToGnatt[[#This Row],[Days]]),$G$5,"")),"")</f>
        <v/>
      </c>
      <c r="BL44" s="37" t="str">
        <f ca="1">IFERROR(+IF(BL$29=ProposalToGnatt[[#This Row],[Start Date]],Milestone_Marker,IF(AND(BL$29&gt;ProposalToGnatt[[#This Row],[Start Date]],BL$29&lt;ProposalToGnatt[[#This Row],[Start Date]]+ProposalToGnatt[[#This Row],[Days]]),$G$5,"")),"")</f>
        <v/>
      </c>
      <c r="BM44" s="37" t="str">
        <f ca="1">IFERROR(+IF(BM$29=ProposalToGnatt[[#This Row],[Start Date]],Milestone_Marker,IF(AND(BM$29&gt;ProposalToGnatt[[#This Row],[Start Date]],BM$29&lt;ProposalToGnatt[[#This Row],[Start Date]]+ProposalToGnatt[[#This Row],[Days]]),$G$5,"")),"")</f>
        <v/>
      </c>
      <c r="BN44" s="37" t="str">
        <f ca="1">IFERROR(+IF(BN$29=ProposalToGnatt[[#This Row],[Start Date]],Milestone_Marker,IF(AND(BN$29&gt;ProposalToGnatt[[#This Row],[Start Date]],BN$29&lt;ProposalToGnatt[[#This Row],[Start Date]]+ProposalToGnatt[[#This Row],[Days]]),$G$5,"")),"")</f>
        <v/>
      </c>
      <c r="BO44" s="37" t="str">
        <f ca="1">IFERROR(+IF(BO$29=ProposalToGnatt[[#This Row],[Start Date]],Milestone_Marker,IF(AND(BO$29&gt;ProposalToGnatt[[#This Row],[Start Date]],BO$29&lt;ProposalToGnatt[[#This Row],[Start Date]]+ProposalToGnatt[[#This Row],[Days]]),$G$5,"")),"")</f>
        <v/>
      </c>
      <c r="BP44" s="37" t="str">
        <f ca="1">IFERROR(+IF(BP$29=ProposalToGnatt[[#This Row],[Start Date]],Milestone_Marker,IF(AND(BP$29&gt;ProposalToGnatt[[#This Row],[Start Date]],BP$29&lt;ProposalToGnatt[[#This Row],[Start Date]]+ProposalToGnatt[[#This Row],[Days]]),$G$5,"")),"")</f>
        <v/>
      </c>
      <c r="BQ44" s="37" t="str">
        <f ca="1">IFERROR(+IF(BQ$29=ProposalToGnatt[[#This Row],[Start Date]],Milestone_Marker,IF(AND(BQ$29&gt;ProposalToGnatt[[#This Row],[Start Date]],BQ$29&lt;ProposalToGnatt[[#This Row],[Start Date]]+ProposalToGnatt[[#This Row],[Days]]),$G$5,"")),"")</f>
        <v/>
      </c>
      <c r="BR44" s="37" t="str">
        <f ca="1">IFERROR(+IF(BR$29=ProposalToGnatt[[#This Row],[Start Date]],Milestone_Marker,IF(AND(BR$29&gt;ProposalToGnatt[[#This Row],[Start Date]],BR$29&lt;ProposalToGnatt[[#This Row],[Start Date]]+ProposalToGnatt[[#This Row],[Days]]),$G$5,"")),"")</f>
        <v/>
      </c>
      <c r="BS44" s="37" t="str">
        <f ca="1">IFERROR(+IF(BS$29=ProposalToGnatt[[#This Row],[Start Date]],Milestone_Marker,IF(AND(BS$29&gt;ProposalToGnatt[[#This Row],[Start Date]],BS$29&lt;ProposalToGnatt[[#This Row],[Start Date]]+ProposalToGnatt[[#This Row],[Days]]),$G$5,"")),"")</f>
        <v/>
      </c>
      <c r="BT44" s="37" t="str">
        <f ca="1">IFERROR(+IF(BT$29=ProposalToGnatt[[#This Row],[Start Date]],Milestone_Marker,IF(AND(BT$29&gt;ProposalToGnatt[[#This Row],[Start Date]],BT$29&lt;ProposalToGnatt[[#This Row],[Start Date]]+ProposalToGnatt[[#This Row],[Days]]),$G$5,"")),"")</f>
        <v/>
      </c>
      <c r="BU44" s="37" t="str">
        <f ca="1">IFERROR(+IF(BU$29=ProposalToGnatt[[#This Row],[Start Date]],Milestone_Marker,IF(AND(BU$29&gt;ProposalToGnatt[[#This Row],[Start Date]],BU$29&lt;ProposalToGnatt[[#This Row],[Start Date]]+ProposalToGnatt[[#This Row],[Days]]),$G$5,"")),"")</f>
        <v/>
      </c>
      <c r="BV44" s="37" t="str">
        <f ca="1">IFERROR(+IF(BV$29=ProposalToGnatt[[#This Row],[Start Date]],Milestone_Marker,IF(AND(BV$29&gt;ProposalToGnatt[[#This Row],[Start Date]],BV$29&lt;ProposalToGnatt[[#This Row],[Start Date]]+ProposalToGnatt[[#This Row],[Days]]),$G$5,"")),"")</f>
        <v/>
      </c>
      <c r="BW44" s="37" t="str">
        <f ca="1">IFERROR(+IF(BW$29=ProposalToGnatt[[#This Row],[Start Date]],Milestone_Marker,IF(AND(BW$29&gt;ProposalToGnatt[[#This Row],[Start Date]],BW$29&lt;ProposalToGnatt[[#This Row],[Start Date]]+ProposalToGnatt[[#This Row],[Days]]),$G$5,"")),"")</f>
        <v/>
      </c>
      <c r="BX44" s="37" t="str">
        <f ca="1">IFERROR(+IF(BX$29=ProposalToGnatt[[#This Row],[Start Date]],Milestone_Marker,IF(AND(BX$29&gt;ProposalToGnatt[[#This Row],[Start Date]],BX$29&lt;ProposalToGnatt[[#This Row],[Start Date]]+ProposalToGnatt[[#This Row],[Days]]),$G$5,"")),"")</f>
        <v/>
      </c>
      <c r="BY44" s="37" t="str">
        <f ca="1">IFERROR(+IF(BY$29=ProposalToGnatt[[#This Row],[Start Date]],Milestone_Marker,IF(AND(BY$29&gt;ProposalToGnatt[[#This Row],[Start Date]],BY$29&lt;ProposalToGnatt[[#This Row],[Start Date]]+ProposalToGnatt[[#This Row],[Days]]),$G$5,"")),"")</f>
        <v/>
      </c>
      <c r="BZ44" s="37" t="str">
        <f ca="1">IFERROR(+IF(BZ$29=ProposalToGnatt[[#This Row],[Start Date]],Milestone_Marker,IF(AND(BZ$29&gt;ProposalToGnatt[[#This Row],[Start Date]],BZ$29&lt;ProposalToGnatt[[#This Row],[Start Date]]+ProposalToGnatt[[#This Row],[Days]]),$G$5,"")),"")</f>
        <v/>
      </c>
      <c r="CA44" s="37" t="str">
        <f ca="1">IFERROR(+IF(CA$29=ProposalToGnatt[[#This Row],[Start Date]],Milestone_Marker,IF(AND(CA$29&gt;ProposalToGnatt[[#This Row],[Start Date]],CA$29&lt;ProposalToGnatt[[#This Row],[Start Date]]+ProposalToGnatt[[#This Row],[Days]]),$G$5,"")),"")</f>
        <v/>
      </c>
      <c r="CB44" s="37" t="str">
        <f ca="1">IFERROR(+IF(CB$29=ProposalToGnatt[[#This Row],[Start Date]],Milestone_Marker,IF(AND(CB$29&gt;ProposalToGnatt[[#This Row],[Start Date]],CB$29&lt;ProposalToGnatt[[#This Row],[Start Date]]+ProposalToGnatt[[#This Row],[Days]]),$G$5,"")),"")</f>
        <v/>
      </c>
      <c r="CC44" s="37" t="str">
        <f ca="1">IFERROR(+IF(CC$29=ProposalToGnatt[[#This Row],[Start Date]],Milestone_Marker,IF(AND(CC$29&gt;ProposalToGnatt[[#This Row],[Start Date]],CC$29&lt;ProposalToGnatt[[#This Row],[Start Date]]+ProposalToGnatt[[#This Row],[Days]]),$G$5,"")),"")</f>
        <v/>
      </c>
      <c r="CD44" s="37" t="str">
        <f ca="1">IFERROR(+IF(CD$29=ProposalToGnatt[[#This Row],[Start Date]],Milestone_Marker,IF(AND(CD$29&gt;ProposalToGnatt[[#This Row],[Start Date]],CD$29&lt;ProposalToGnatt[[#This Row],[Start Date]]+ProposalToGnatt[[#This Row],[Days]]),$G$5,"")),"")</f>
        <v/>
      </c>
      <c r="CE44" s="37" t="str">
        <f ca="1">IFERROR(+IF(CE$29=ProposalToGnatt[[#This Row],[Start Date]],Milestone_Marker,IF(AND(CE$29&gt;ProposalToGnatt[[#This Row],[Start Date]],CE$29&lt;ProposalToGnatt[[#This Row],[Start Date]]+ProposalToGnatt[[#This Row],[Days]]),$G$5,"")),"")</f>
        <v/>
      </c>
      <c r="CF44" s="37" t="str">
        <f ca="1">IFERROR(+IF(CF$29=ProposalToGnatt[[#This Row],[Start Date]],Milestone_Marker,IF(AND(CF$29&gt;ProposalToGnatt[[#This Row],[Start Date]],CF$29&lt;ProposalToGnatt[[#This Row],[Start Date]]+ProposalToGnatt[[#This Row],[Days]]),$G$5,"")),"")</f>
        <v/>
      </c>
      <c r="CG44" s="37" t="str">
        <f ca="1">IFERROR(+IF(CG$29=ProposalToGnatt[[#This Row],[Start Date]],Milestone_Marker,IF(AND(CG$29&gt;ProposalToGnatt[[#This Row],[Start Date]],CG$29&lt;ProposalToGnatt[[#This Row],[Start Date]]+ProposalToGnatt[[#This Row],[Days]]),$G$5,"")),"")</f>
        <v/>
      </c>
      <c r="CH44" s="37" t="str">
        <f ca="1">IFERROR(+IF(CH$29=ProposalToGnatt[[#This Row],[Start Date]],Milestone_Marker,IF(AND(CH$29&gt;ProposalToGnatt[[#This Row],[Start Date]],CH$29&lt;ProposalToGnatt[[#This Row],[Start Date]]+ProposalToGnatt[[#This Row],[Days]]),$G$5,"")),"")</f>
        <v/>
      </c>
      <c r="CI44" s="37" t="str">
        <f ca="1">IFERROR(+IF(CI$29=ProposalToGnatt[[#This Row],[Start Date]],Milestone_Marker,IF(AND(CI$29&gt;ProposalToGnatt[[#This Row],[Start Date]],CI$29&lt;ProposalToGnatt[[#This Row],[Start Date]]+ProposalToGnatt[[#This Row],[Days]]),$G$5,"")),"")</f>
        <v/>
      </c>
      <c r="CJ44" s="37" t="str">
        <f ca="1">IFERROR(+IF(CJ$29=ProposalToGnatt[[#This Row],[Start Date]],Milestone_Marker,IF(AND(CJ$29&gt;ProposalToGnatt[[#This Row],[Start Date]],CJ$29&lt;ProposalToGnatt[[#This Row],[Start Date]]+ProposalToGnatt[[#This Row],[Days]]),$G$5,"")),"")</f>
        <v/>
      </c>
      <c r="CK44" s="37" t="str">
        <f ca="1">IFERROR(+IF(CK$29=ProposalToGnatt[[#This Row],[Start Date]],Milestone_Marker,IF(AND(CK$29&gt;ProposalToGnatt[[#This Row],[Start Date]],CK$29&lt;ProposalToGnatt[[#This Row],[Start Date]]+ProposalToGnatt[[#This Row],[Days]]),$G$5,"")),"")</f>
        <v/>
      </c>
      <c r="CL44" s="37" t="str">
        <f ca="1">IFERROR(+IF(CL$29=ProposalToGnatt[[#This Row],[Start Date]],Milestone_Marker,IF(AND(CL$29&gt;ProposalToGnatt[[#This Row],[Start Date]],CL$29&lt;ProposalToGnatt[[#This Row],[Start Date]]+ProposalToGnatt[[#This Row],[Days]]),$G$5,"")),"")</f>
        <v/>
      </c>
      <c r="CM44" s="37" t="str">
        <f ca="1">IFERROR(+IF(CM$29=ProposalToGnatt[[#This Row],[Start Date]],Milestone_Marker,IF(AND(CM$29&gt;ProposalToGnatt[[#This Row],[Start Date]],CM$29&lt;ProposalToGnatt[[#This Row],[Start Date]]+ProposalToGnatt[[#This Row],[Days]]),$G$5,"")),"")</f>
        <v/>
      </c>
      <c r="CN44" s="37" t="str">
        <f ca="1">IFERROR(+IF(CN$29=ProposalToGnatt[[#This Row],[Start Date]],Milestone_Marker,IF(AND(CN$29&gt;ProposalToGnatt[[#This Row],[Start Date]],CN$29&lt;ProposalToGnatt[[#This Row],[Start Date]]+ProposalToGnatt[[#This Row],[Days]]),$G$5,"")),"")</f>
        <v/>
      </c>
      <c r="CO44" s="37" t="str">
        <f ca="1">IFERROR(+IF(CO$29=ProposalToGnatt[[#This Row],[Start Date]],Milestone_Marker,IF(AND(CO$29&gt;ProposalToGnatt[[#This Row],[Start Date]],CO$29&lt;ProposalToGnatt[[#This Row],[Start Date]]+ProposalToGnatt[[#This Row],[Days]]),$G$5,"")),"")</f>
        <v/>
      </c>
      <c r="CP44" s="37" t="str">
        <f ca="1">IFERROR(+IF(CP$29=ProposalToGnatt[[#This Row],[Start Date]],Milestone_Marker,IF(AND(CP$29&gt;ProposalToGnatt[[#This Row],[Start Date]],CP$29&lt;ProposalToGnatt[[#This Row],[Start Date]]+ProposalToGnatt[[#This Row],[Days]]),$G$5,"")),"")</f>
        <v/>
      </c>
      <c r="CQ44" s="37" t="str">
        <f ca="1">IFERROR(+IF(CQ$29=ProposalToGnatt[[#This Row],[Start Date]],Milestone_Marker,IF(AND(CQ$29&gt;ProposalToGnatt[[#This Row],[Start Date]],CQ$29&lt;ProposalToGnatt[[#This Row],[Start Date]]+ProposalToGnatt[[#This Row],[Days]]),$G$5,"")),"")</f>
        <v/>
      </c>
      <c r="CR44" s="37" t="str">
        <f ca="1">IFERROR(+IF(CR$29=ProposalToGnatt[[#This Row],[Start Date]],Milestone_Marker,IF(AND(CR$29&gt;ProposalToGnatt[[#This Row],[Start Date]],CR$29&lt;ProposalToGnatt[[#This Row],[Start Date]]+ProposalToGnatt[[#This Row],[Days]]),$G$5,"")),"")</f>
        <v/>
      </c>
      <c r="CS44" s="37" t="str">
        <f ca="1">IFERROR(+IF(CS$29=ProposalToGnatt[[#This Row],[Start Date]],Milestone_Marker,IF(AND(CS$29&gt;ProposalToGnatt[[#This Row],[Start Date]],CS$29&lt;ProposalToGnatt[[#This Row],[Start Date]]+ProposalToGnatt[[#This Row],[Days]]),$G$5,"")),"")</f>
        <v/>
      </c>
      <c r="CT44" s="37" t="str">
        <f ca="1">IFERROR(+IF(CT$29=ProposalToGnatt[[#This Row],[Start Date]],Milestone_Marker,IF(AND(CT$29&gt;ProposalToGnatt[[#This Row],[Start Date]],CT$29&lt;ProposalToGnatt[[#This Row],[Start Date]]+ProposalToGnatt[[#This Row],[Days]]),$G$5,"")),"")</f>
        <v/>
      </c>
      <c r="CU44" s="37" t="str">
        <f ca="1">IFERROR(+IF(CU$29=ProposalToGnatt[[#This Row],[Start Date]],Milestone_Marker,IF(AND(CU$29&gt;ProposalToGnatt[[#This Row],[Start Date]],CU$29&lt;ProposalToGnatt[[#This Row],[Start Date]]+ProposalToGnatt[[#This Row],[Days]]),$G$5,"")),"")</f>
        <v/>
      </c>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row>
    <row r="45" spans="1:125" s="42" customFormat="1" ht="15">
      <c r="A45" t="s">
        <v>449</v>
      </c>
      <c r="B45">
        <v>16</v>
      </c>
      <c r="C45" t="s">
        <v>382</v>
      </c>
      <c r="D45"/>
      <c r="E45"/>
      <c r="F45"/>
      <c r="G45" s="11"/>
      <c r="H45" s="26"/>
      <c r="I45" s="406"/>
      <c r="J45"/>
      <c r="K45" s="402"/>
      <c r="L45"/>
      <c r="M45"/>
      <c r="N45"/>
      <c r="O45" s="26"/>
      <c r="P45" s="37">
        <f ca="1">IFERROR(+IF(P$29=ProposalToGnatt[[#This Row],[Start Date]],Milestone_Marker,IF(AND(P$29&gt;ProposalToGnatt[[#This Row],[Start Date]],P$29&lt;ProposalToGnatt[[#This Row],[Start Date]]+ProposalToGnatt[[#This Row],[Days]]),$G$5,"")),"")</f>
        <v>1</v>
      </c>
      <c r="Q45" s="37" t="str">
        <f ca="1">IFERROR(+IF(Q$29=ProposalToGnatt[[#This Row],[Start Date]],Milestone_Marker,IF(AND(Q$29&gt;ProposalToGnatt[[#This Row],[Start Date]],Q$29&lt;ProposalToGnatt[[#This Row],[Start Date]]+ProposalToGnatt[[#This Row],[Days]]),$G$5,"")),"")</f>
        <v/>
      </c>
      <c r="R45" s="37" t="str">
        <f ca="1">IFERROR(+IF(R$29=ProposalToGnatt[[#This Row],[Start Date]],Milestone_Marker,IF(AND(R$29&gt;ProposalToGnatt[[#This Row],[Start Date]],R$29&lt;ProposalToGnatt[[#This Row],[Start Date]]+ProposalToGnatt[[#This Row],[Days]]),$G$5,"")),"")</f>
        <v/>
      </c>
      <c r="S45" s="37" t="str">
        <f ca="1">IFERROR(+IF(S$29=ProposalToGnatt[[#This Row],[Start Date]],Milestone_Marker,IF(AND(S$29&gt;ProposalToGnatt[[#This Row],[Start Date]],S$29&lt;ProposalToGnatt[[#This Row],[Start Date]]+ProposalToGnatt[[#This Row],[Days]]),$G$5,"")),"")</f>
        <v/>
      </c>
      <c r="T45" s="37" t="str">
        <f ca="1">IFERROR(+IF(T$29=ProposalToGnatt[[#This Row],[Start Date]],Milestone_Marker,IF(AND(T$29&gt;ProposalToGnatt[[#This Row],[Start Date]],T$29&lt;ProposalToGnatt[[#This Row],[Start Date]]+ProposalToGnatt[[#This Row],[Days]]),$G$5,"")),"")</f>
        <v/>
      </c>
      <c r="U45" s="37" t="str">
        <f ca="1">IFERROR(+IF(U$29=ProposalToGnatt[[#This Row],[Start Date]],Milestone_Marker,IF(AND(U$29&gt;ProposalToGnatt[[#This Row],[Start Date]],U$29&lt;ProposalToGnatt[[#This Row],[Start Date]]+ProposalToGnatt[[#This Row],[Days]]),$G$5,"")),"")</f>
        <v/>
      </c>
      <c r="V45" s="37" t="str">
        <f ca="1">IFERROR(+IF(V$29=ProposalToGnatt[[#This Row],[Start Date]],Milestone_Marker,IF(AND(V$29&gt;ProposalToGnatt[[#This Row],[Start Date]],V$29&lt;ProposalToGnatt[[#This Row],[Start Date]]+ProposalToGnatt[[#This Row],[Days]]),$G$5,"")),"")</f>
        <v/>
      </c>
      <c r="W45" s="37" t="str">
        <f ca="1">IFERROR(+IF(W$29=ProposalToGnatt[[#This Row],[Start Date]],Milestone_Marker,IF(AND(W$29&gt;ProposalToGnatt[[#This Row],[Start Date]],W$29&lt;ProposalToGnatt[[#This Row],[Start Date]]+ProposalToGnatt[[#This Row],[Days]]),$G$5,"")),"")</f>
        <v/>
      </c>
      <c r="X45" s="37" t="str">
        <f ca="1">IFERROR(+IF(X$29=ProposalToGnatt[[#This Row],[Start Date]],Milestone_Marker,IF(AND(X$29&gt;ProposalToGnatt[[#This Row],[Start Date]],X$29&lt;ProposalToGnatt[[#This Row],[Start Date]]+ProposalToGnatt[[#This Row],[Days]]),$G$5,"")),"")</f>
        <v/>
      </c>
      <c r="Y45" s="37" t="str">
        <f ca="1">IFERROR(+IF(Y$29=ProposalToGnatt[[#This Row],[Start Date]],Milestone_Marker,IF(AND(Y$29&gt;ProposalToGnatt[[#This Row],[Start Date]],Y$29&lt;ProposalToGnatt[[#This Row],[Start Date]]+ProposalToGnatt[[#This Row],[Days]]),$G$5,"")),"")</f>
        <v/>
      </c>
      <c r="Z45" s="37" t="str">
        <f ca="1">IFERROR(+IF(Z$29=ProposalToGnatt[[#This Row],[Start Date]],Milestone_Marker,IF(AND(Z$29&gt;ProposalToGnatt[[#This Row],[Start Date]],Z$29&lt;ProposalToGnatt[[#This Row],[Start Date]]+ProposalToGnatt[[#This Row],[Days]]),$G$5,"")),"")</f>
        <v/>
      </c>
      <c r="AA45" s="37" t="str">
        <f ca="1">IFERROR(+IF(AA$29=ProposalToGnatt[[#This Row],[Start Date]],Milestone_Marker,IF(AND(AA$29&gt;ProposalToGnatt[[#This Row],[Start Date]],AA$29&lt;ProposalToGnatt[[#This Row],[Start Date]]+ProposalToGnatt[[#This Row],[Days]]),$G$5,"")),"")</f>
        <v/>
      </c>
      <c r="AB45" s="37" t="str">
        <f ca="1">IFERROR(+IF(AB$29=ProposalToGnatt[[#This Row],[Start Date]],Milestone_Marker,IF(AND(AB$29&gt;ProposalToGnatt[[#This Row],[Start Date]],AB$29&lt;ProposalToGnatt[[#This Row],[Start Date]]+ProposalToGnatt[[#This Row],[Days]]),$G$5,"")),"")</f>
        <v/>
      </c>
      <c r="AC45" s="37" t="str">
        <f ca="1">IFERROR(+IF(AC$29=ProposalToGnatt[[#This Row],[Start Date]],Milestone_Marker,IF(AND(AC$29&gt;ProposalToGnatt[[#This Row],[Start Date]],AC$29&lt;ProposalToGnatt[[#This Row],[Start Date]]+ProposalToGnatt[[#This Row],[Days]]),$G$5,"")),"")</f>
        <v/>
      </c>
      <c r="AD45" s="37" t="str">
        <f ca="1">IFERROR(+IF(AD$29=ProposalToGnatt[[#This Row],[Start Date]],Milestone_Marker,IF(AND(AD$29&gt;ProposalToGnatt[[#This Row],[Start Date]],AD$29&lt;ProposalToGnatt[[#This Row],[Start Date]]+ProposalToGnatt[[#This Row],[Days]]),$G$5,"")),"")</f>
        <v/>
      </c>
      <c r="AE45" s="37" t="str">
        <f ca="1">IFERROR(+IF(AE$29=ProposalToGnatt[[#This Row],[Start Date]],Milestone_Marker,IF(AND(AE$29&gt;ProposalToGnatt[[#This Row],[Start Date]],AE$29&lt;ProposalToGnatt[[#This Row],[Start Date]]+ProposalToGnatt[[#This Row],[Days]]),$G$5,"")),"")</f>
        <v/>
      </c>
      <c r="AF45" s="37" t="str">
        <f ca="1">IFERROR(+IF(AF$29=ProposalToGnatt[[#This Row],[Start Date]],Milestone_Marker,IF(AND(AF$29&gt;ProposalToGnatt[[#This Row],[Start Date]],AF$29&lt;ProposalToGnatt[[#This Row],[Start Date]]+ProposalToGnatt[[#This Row],[Days]]),$G$5,"")),"")</f>
        <v/>
      </c>
      <c r="AG45" s="37" t="str">
        <f ca="1">IFERROR(+IF(AG$29=ProposalToGnatt[[#This Row],[Start Date]],Milestone_Marker,IF(AND(AG$29&gt;ProposalToGnatt[[#This Row],[Start Date]],AG$29&lt;ProposalToGnatt[[#This Row],[Start Date]]+ProposalToGnatt[[#This Row],[Days]]),$G$5,"")),"")</f>
        <v/>
      </c>
      <c r="AH45" s="37" t="str">
        <f ca="1">IFERROR(+IF(AH$29=ProposalToGnatt[[#This Row],[Start Date]],Milestone_Marker,IF(AND(AH$29&gt;ProposalToGnatt[[#This Row],[Start Date]],AH$29&lt;ProposalToGnatt[[#This Row],[Start Date]]+ProposalToGnatt[[#This Row],[Days]]),$G$5,"")),"")</f>
        <v/>
      </c>
      <c r="AI45" s="37" t="str">
        <f ca="1">IFERROR(+IF(AI$29=ProposalToGnatt[[#This Row],[Start Date]],Milestone_Marker,IF(AND(AI$29&gt;ProposalToGnatt[[#This Row],[Start Date]],AI$29&lt;ProposalToGnatt[[#This Row],[Start Date]]+ProposalToGnatt[[#This Row],[Days]]),$G$5,"")),"")</f>
        <v/>
      </c>
      <c r="AJ45" s="37" t="str">
        <f ca="1">IFERROR(+IF(AJ$29=ProposalToGnatt[[#This Row],[Start Date]],Milestone_Marker,IF(AND(AJ$29&gt;ProposalToGnatt[[#This Row],[Start Date]],AJ$29&lt;ProposalToGnatt[[#This Row],[Start Date]]+ProposalToGnatt[[#This Row],[Days]]),$G$5,"")),"")</f>
        <v/>
      </c>
      <c r="AK45" s="37" t="str">
        <f ca="1">IFERROR(+IF(AK$29=ProposalToGnatt[[#This Row],[Start Date]],Milestone_Marker,IF(AND(AK$29&gt;ProposalToGnatt[[#This Row],[Start Date]],AK$29&lt;ProposalToGnatt[[#This Row],[Start Date]]+ProposalToGnatt[[#This Row],[Days]]),$G$5,"")),"")</f>
        <v/>
      </c>
      <c r="AL45" s="37" t="str">
        <f ca="1">IFERROR(+IF(AL$29=ProposalToGnatt[[#This Row],[Start Date]],Milestone_Marker,IF(AND(AL$29&gt;ProposalToGnatt[[#This Row],[Start Date]],AL$29&lt;ProposalToGnatt[[#This Row],[Start Date]]+ProposalToGnatt[[#This Row],[Days]]),$G$5,"")),"")</f>
        <v/>
      </c>
      <c r="AM45" s="37" t="str">
        <f ca="1">IFERROR(+IF(AM$29=ProposalToGnatt[[#This Row],[Start Date]],Milestone_Marker,IF(AND(AM$29&gt;ProposalToGnatt[[#This Row],[Start Date]],AM$29&lt;ProposalToGnatt[[#This Row],[Start Date]]+ProposalToGnatt[[#This Row],[Days]]),$G$5,"")),"")</f>
        <v/>
      </c>
      <c r="AN45" s="37" t="str">
        <f ca="1">IFERROR(+IF(AN$29=ProposalToGnatt[[#This Row],[Start Date]],Milestone_Marker,IF(AND(AN$29&gt;ProposalToGnatt[[#This Row],[Start Date]],AN$29&lt;ProposalToGnatt[[#This Row],[Start Date]]+ProposalToGnatt[[#This Row],[Days]]),$G$5,"")),"")</f>
        <v/>
      </c>
      <c r="AO45" s="37" t="str">
        <f ca="1">IFERROR(+IF(AO$29=ProposalToGnatt[[#This Row],[Start Date]],Milestone_Marker,IF(AND(AO$29&gt;ProposalToGnatt[[#This Row],[Start Date]],AO$29&lt;ProposalToGnatt[[#This Row],[Start Date]]+ProposalToGnatt[[#This Row],[Days]]),$G$5,"")),"")</f>
        <v/>
      </c>
      <c r="AP45" s="37" t="str">
        <f ca="1">IFERROR(+IF(AP$29=ProposalToGnatt[[#This Row],[Start Date]],Milestone_Marker,IF(AND(AP$29&gt;ProposalToGnatt[[#This Row],[Start Date]],AP$29&lt;ProposalToGnatt[[#This Row],[Start Date]]+ProposalToGnatt[[#This Row],[Days]]),$G$5,"")),"")</f>
        <v/>
      </c>
      <c r="AQ45" s="37" t="str">
        <f ca="1">IFERROR(+IF(AQ$29=ProposalToGnatt[[#This Row],[Start Date]],Milestone_Marker,IF(AND(AQ$29&gt;ProposalToGnatt[[#This Row],[Start Date]],AQ$29&lt;ProposalToGnatt[[#This Row],[Start Date]]+ProposalToGnatt[[#This Row],[Days]]),$G$5,"")),"")</f>
        <v/>
      </c>
      <c r="AR45" s="37" t="str">
        <f ca="1">IFERROR(+IF(AR$29=ProposalToGnatt[[#This Row],[Start Date]],Milestone_Marker,IF(AND(AR$29&gt;ProposalToGnatt[[#This Row],[Start Date]],AR$29&lt;ProposalToGnatt[[#This Row],[Start Date]]+ProposalToGnatt[[#This Row],[Days]]),$G$5,"")),"")</f>
        <v/>
      </c>
      <c r="AS45" s="37" t="str">
        <f ca="1">IFERROR(+IF(AS$29=ProposalToGnatt[[#This Row],[Start Date]],Milestone_Marker,IF(AND(AS$29&gt;ProposalToGnatt[[#This Row],[Start Date]],AS$29&lt;ProposalToGnatt[[#This Row],[Start Date]]+ProposalToGnatt[[#This Row],[Days]]),$G$5,"")),"")</f>
        <v/>
      </c>
      <c r="AT45" s="37" t="str">
        <f ca="1">IFERROR(+IF(AT$29=ProposalToGnatt[[#This Row],[Start Date]],Milestone_Marker,IF(AND(AT$29&gt;ProposalToGnatt[[#This Row],[Start Date]],AT$29&lt;ProposalToGnatt[[#This Row],[Start Date]]+ProposalToGnatt[[#This Row],[Days]]),$G$5,"")),"")</f>
        <v/>
      </c>
      <c r="AU45" s="37" t="str">
        <f ca="1">IFERROR(+IF(AU$29=ProposalToGnatt[[#This Row],[Start Date]],Milestone_Marker,IF(AND(AU$29&gt;ProposalToGnatt[[#This Row],[Start Date]],AU$29&lt;ProposalToGnatt[[#This Row],[Start Date]]+ProposalToGnatt[[#This Row],[Days]]),$G$5,"")),"")</f>
        <v/>
      </c>
      <c r="AV45" s="37" t="str">
        <f ca="1">IFERROR(+IF(AV$29=ProposalToGnatt[[#This Row],[Start Date]],Milestone_Marker,IF(AND(AV$29&gt;ProposalToGnatt[[#This Row],[Start Date]],AV$29&lt;ProposalToGnatt[[#This Row],[Start Date]]+ProposalToGnatt[[#This Row],[Days]]),$G$5,"")),"")</f>
        <v/>
      </c>
      <c r="AW45" s="37" t="str">
        <f ca="1">IFERROR(+IF(AW$29=ProposalToGnatt[[#This Row],[Start Date]],Milestone_Marker,IF(AND(AW$29&gt;ProposalToGnatt[[#This Row],[Start Date]],AW$29&lt;ProposalToGnatt[[#This Row],[Start Date]]+ProposalToGnatt[[#This Row],[Days]]),$G$5,"")),"")</f>
        <v/>
      </c>
      <c r="AX45" s="37" t="str">
        <f ca="1">IFERROR(+IF(AX$29=ProposalToGnatt[[#This Row],[Start Date]],Milestone_Marker,IF(AND(AX$29&gt;ProposalToGnatt[[#This Row],[Start Date]],AX$29&lt;ProposalToGnatt[[#This Row],[Start Date]]+ProposalToGnatt[[#This Row],[Days]]),$G$5,"")),"")</f>
        <v/>
      </c>
      <c r="AY45" s="37" t="str">
        <f ca="1">IFERROR(+IF(AY$29=ProposalToGnatt[[#This Row],[Start Date]],Milestone_Marker,IF(AND(AY$29&gt;ProposalToGnatt[[#This Row],[Start Date]],AY$29&lt;ProposalToGnatt[[#This Row],[Start Date]]+ProposalToGnatt[[#This Row],[Days]]),$G$5,"")),"")</f>
        <v/>
      </c>
      <c r="AZ45" s="37" t="str">
        <f ca="1">IFERROR(+IF(AZ$29=ProposalToGnatt[[#This Row],[Start Date]],Milestone_Marker,IF(AND(AZ$29&gt;ProposalToGnatt[[#This Row],[Start Date]],AZ$29&lt;ProposalToGnatt[[#This Row],[Start Date]]+ProposalToGnatt[[#This Row],[Days]]),$G$5,"")),"")</f>
        <v/>
      </c>
      <c r="BA45" s="37" t="str">
        <f ca="1">IFERROR(+IF(BA$29=ProposalToGnatt[[#This Row],[Start Date]],Milestone_Marker,IF(AND(BA$29&gt;ProposalToGnatt[[#This Row],[Start Date]],BA$29&lt;ProposalToGnatt[[#This Row],[Start Date]]+ProposalToGnatt[[#This Row],[Days]]),$G$5,"")),"")</f>
        <v/>
      </c>
      <c r="BB45" s="37" t="str">
        <f ca="1">IFERROR(+IF(BB$29=ProposalToGnatt[[#This Row],[Start Date]],Milestone_Marker,IF(AND(BB$29&gt;ProposalToGnatt[[#This Row],[Start Date]],BB$29&lt;ProposalToGnatt[[#This Row],[Start Date]]+ProposalToGnatt[[#This Row],[Days]]),$G$5,"")),"")</f>
        <v/>
      </c>
      <c r="BC45" s="37" t="str">
        <f ca="1">IFERROR(+IF(BC$29=ProposalToGnatt[[#This Row],[Start Date]],Milestone_Marker,IF(AND(BC$29&gt;ProposalToGnatt[[#This Row],[Start Date]],BC$29&lt;ProposalToGnatt[[#This Row],[Start Date]]+ProposalToGnatt[[#This Row],[Days]]),$G$5,"")),"")</f>
        <v/>
      </c>
      <c r="BD45" s="37" t="str">
        <f ca="1">IFERROR(+IF(BD$29=ProposalToGnatt[[#This Row],[Start Date]],Milestone_Marker,IF(AND(BD$29&gt;ProposalToGnatt[[#This Row],[Start Date]],BD$29&lt;ProposalToGnatt[[#This Row],[Start Date]]+ProposalToGnatt[[#This Row],[Days]]),$G$5,"")),"")</f>
        <v/>
      </c>
      <c r="BE45" s="37" t="str">
        <f ca="1">IFERROR(+IF(BE$29=ProposalToGnatt[[#This Row],[Start Date]],Milestone_Marker,IF(AND(BE$29&gt;ProposalToGnatt[[#This Row],[Start Date]],BE$29&lt;ProposalToGnatt[[#This Row],[Start Date]]+ProposalToGnatt[[#This Row],[Days]]),$G$5,"")),"")</f>
        <v/>
      </c>
      <c r="BF45" s="37" t="str">
        <f ca="1">IFERROR(+IF(BF$29=ProposalToGnatt[[#This Row],[Start Date]],Milestone_Marker,IF(AND(BF$29&gt;ProposalToGnatt[[#This Row],[Start Date]],BF$29&lt;ProposalToGnatt[[#This Row],[Start Date]]+ProposalToGnatt[[#This Row],[Days]]),$G$5,"")),"")</f>
        <v/>
      </c>
      <c r="BG45" s="37" t="str">
        <f ca="1">IFERROR(+IF(BG$29=ProposalToGnatt[[#This Row],[Start Date]],Milestone_Marker,IF(AND(BG$29&gt;ProposalToGnatt[[#This Row],[Start Date]],BG$29&lt;ProposalToGnatt[[#This Row],[Start Date]]+ProposalToGnatt[[#This Row],[Days]]),$G$5,"")),"")</f>
        <v/>
      </c>
      <c r="BH45" s="37" t="str">
        <f ca="1">IFERROR(+IF(BH$29=ProposalToGnatt[[#This Row],[Start Date]],Milestone_Marker,IF(AND(BH$29&gt;ProposalToGnatt[[#This Row],[Start Date]],BH$29&lt;ProposalToGnatt[[#This Row],[Start Date]]+ProposalToGnatt[[#This Row],[Days]]),$G$5,"")),"")</f>
        <v/>
      </c>
      <c r="BI45" s="37" t="str">
        <f ca="1">IFERROR(+IF(BI$29=ProposalToGnatt[[#This Row],[Start Date]],Milestone_Marker,IF(AND(BI$29&gt;ProposalToGnatt[[#This Row],[Start Date]],BI$29&lt;ProposalToGnatt[[#This Row],[Start Date]]+ProposalToGnatt[[#This Row],[Days]]),$G$5,"")),"")</f>
        <v/>
      </c>
      <c r="BJ45" s="37" t="str">
        <f ca="1">IFERROR(+IF(BJ$29=ProposalToGnatt[[#This Row],[Start Date]],Milestone_Marker,IF(AND(BJ$29&gt;ProposalToGnatt[[#This Row],[Start Date]],BJ$29&lt;ProposalToGnatt[[#This Row],[Start Date]]+ProposalToGnatt[[#This Row],[Days]]),$G$5,"")),"")</f>
        <v/>
      </c>
      <c r="BK45" s="37" t="str">
        <f ca="1">IFERROR(+IF(BK$29=ProposalToGnatt[[#This Row],[Start Date]],Milestone_Marker,IF(AND(BK$29&gt;ProposalToGnatt[[#This Row],[Start Date]],BK$29&lt;ProposalToGnatt[[#This Row],[Start Date]]+ProposalToGnatt[[#This Row],[Days]]),$G$5,"")),"")</f>
        <v/>
      </c>
      <c r="BL45" s="37" t="str">
        <f ca="1">IFERROR(+IF(BL$29=ProposalToGnatt[[#This Row],[Start Date]],Milestone_Marker,IF(AND(BL$29&gt;ProposalToGnatt[[#This Row],[Start Date]],BL$29&lt;ProposalToGnatt[[#This Row],[Start Date]]+ProposalToGnatt[[#This Row],[Days]]),$G$5,"")),"")</f>
        <v/>
      </c>
      <c r="BM45" s="37" t="str">
        <f ca="1">IFERROR(+IF(BM$29=ProposalToGnatt[[#This Row],[Start Date]],Milestone_Marker,IF(AND(BM$29&gt;ProposalToGnatt[[#This Row],[Start Date]],BM$29&lt;ProposalToGnatt[[#This Row],[Start Date]]+ProposalToGnatt[[#This Row],[Days]]),$G$5,"")),"")</f>
        <v/>
      </c>
      <c r="BN45" s="37" t="str">
        <f ca="1">IFERROR(+IF(BN$29=ProposalToGnatt[[#This Row],[Start Date]],Milestone_Marker,IF(AND(BN$29&gt;ProposalToGnatt[[#This Row],[Start Date]],BN$29&lt;ProposalToGnatt[[#This Row],[Start Date]]+ProposalToGnatt[[#This Row],[Days]]),$G$5,"")),"")</f>
        <v/>
      </c>
      <c r="BO45" s="37" t="str">
        <f ca="1">IFERROR(+IF(BO$29=ProposalToGnatt[[#This Row],[Start Date]],Milestone_Marker,IF(AND(BO$29&gt;ProposalToGnatt[[#This Row],[Start Date]],BO$29&lt;ProposalToGnatt[[#This Row],[Start Date]]+ProposalToGnatt[[#This Row],[Days]]),$G$5,"")),"")</f>
        <v/>
      </c>
      <c r="BP45" s="37" t="str">
        <f ca="1">IFERROR(+IF(BP$29=ProposalToGnatt[[#This Row],[Start Date]],Milestone_Marker,IF(AND(BP$29&gt;ProposalToGnatt[[#This Row],[Start Date]],BP$29&lt;ProposalToGnatt[[#This Row],[Start Date]]+ProposalToGnatt[[#This Row],[Days]]),$G$5,"")),"")</f>
        <v/>
      </c>
      <c r="BQ45" s="37" t="str">
        <f ca="1">IFERROR(+IF(BQ$29=ProposalToGnatt[[#This Row],[Start Date]],Milestone_Marker,IF(AND(BQ$29&gt;ProposalToGnatt[[#This Row],[Start Date]],BQ$29&lt;ProposalToGnatt[[#This Row],[Start Date]]+ProposalToGnatt[[#This Row],[Days]]),$G$5,"")),"")</f>
        <v/>
      </c>
      <c r="BR45" s="37" t="str">
        <f ca="1">IFERROR(+IF(BR$29=ProposalToGnatt[[#This Row],[Start Date]],Milestone_Marker,IF(AND(BR$29&gt;ProposalToGnatt[[#This Row],[Start Date]],BR$29&lt;ProposalToGnatt[[#This Row],[Start Date]]+ProposalToGnatt[[#This Row],[Days]]),$G$5,"")),"")</f>
        <v/>
      </c>
      <c r="BS45" s="37" t="str">
        <f ca="1">IFERROR(+IF(BS$29=ProposalToGnatt[[#This Row],[Start Date]],Milestone_Marker,IF(AND(BS$29&gt;ProposalToGnatt[[#This Row],[Start Date]],BS$29&lt;ProposalToGnatt[[#This Row],[Start Date]]+ProposalToGnatt[[#This Row],[Days]]),$G$5,"")),"")</f>
        <v/>
      </c>
      <c r="BT45" s="37" t="str">
        <f ca="1">IFERROR(+IF(BT$29=ProposalToGnatt[[#This Row],[Start Date]],Milestone_Marker,IF(AND(BT$29&gt;ProposalToGnatt[[#This Row],[Start Date]],BT$29&lt;ProposalToGnatt[[#This Row],[Start Date]]+ProposalToGnatt[[#This Row],[Days]]),$G$5,"")),"")</f>
        <v/>
      </c>
      <c r="BU45" s="37" t="str">
        <f ca="1">IFERROR(+IF(BU$29=ProposalToGnatt[[#This Row],[Start Date]],Milestone_Marker,IF(AND(BU$29&gt;ProposalToGnatt[[#This Row],[Start Date]],BU$29&lt;ProposalToGnatt[[#This Row],[Start Date]]+ProposalToGnatt[[#This Row],[Days]]),$G$5,"")),"")</f>
        <v/>
      </c>
      <c r="BV45" s="37" t="str">
        <f ca="1">IFERROR(+IF(BV$29=ProposalToGnatt[[#This Row],[Start Date]],Milestone_Marker,IF(AND(BV$29&gt;ProposalToGnatt[[#This Row],[Start Date]],BV$29&lt;ProposalToGnatt[[#This Row],[Start Date]]+ProposalToGnatt[[#This Row],[Days]]),$G$5,"")),"")</f>
        <v/>
      </c>
      <c r="BW45" s="37" t="str">
        <f ca="1">IFERROR(+IF(BW$29=ProposalToGnatt[[#This Row],[Start Date]],Milestone_Marker,IF(AND(BW$29&gt;ProposalToGnatt[[#This Row],[Start Date]],BW$29&lt;ProposalToGnatt[[#This Row],[Start Date]]+ProposalToGnatt[[#This Row],[Days]]),$G$5,"")),"")</f>
        <v/>
      </c>
      <c r="BX45" s="37" t="str">
        <f ca="1">IFERROR(+IF(BX$29=ProposalToGnatt[[#This Row],[Start Date]],Milestone_Marker,IF(AND(BX$29&gt;ProposalToGnatt[[#This Row],[Start Date]],BX$29&lt;ProposalToGnatt[[#This Row],[Start Date]]+ProposalToGnatt[[#This Row],[Days]]),$G$5,"")),"")</f>
        <v/>
      </c>
      <c r="BY45" s="37" t="str">
        <f ca="1">IFERROR(+IF(BY$29=ProposalToGnatt[[#This Row],[Start Date]],Milestone_Marker,IF(AND(BY$29&gt;ProposalToGnatt[[#This Row],[Start Date]],BY$29&lt;ProposalToGnatt[[#This Row],[Start Date]]+ProposalToGnatt[[#This Row],[Days]]),$G$5,"")),"")</f>
        <v/>
      </c>
      <c r="BZ45" s="37" t="str">
        <f ca="1">IFERROR(+IF(BZ$29=ProposalToGnatt[[#This Row],[Start Date]],Milestone_Marker,IF(AND(BZ$29&gt;ProposalToGnatt[[#This Row],[Start Date]],BZ$29&lt;ProposalToGnatt[[#This Row],[Start Date]]+ProposalToGnatt[[#This Row],[Days]]),$G$5,"")),"")</f>
        <v/>
      </c>
      <c r="CA45" s="37" t="str">
        <f ca="1">IFERROR(+IF(CA$29=ProposalToGnatt[[#This Row],[Start Date]],Milestone_Marker,IF(AND(CA$29&gt;ProposalToGnatt[[#This Row],[Start Date]],CA$29&lt;ProposalToGnatt[[#This Row],[Start Date]]+ProposalToGnatt[[#This Row],[Days]]),$G$5,"")),"")</f>
        <v/>
      </c>
      <c r="CB45" s="37" t="str">
        <f ca="1">IFERROR(+IF(CB$29=ProposalToGnatt[[#This Row],[Start Date]],Milestone_Marker,IF(AND(CB$29&gt;ProposalToGnatt[[#This Row],[Start Date]],CB$29&lt;ProposalToGnatt[[#This Row],[Start Date]]+ProposalToGnatt[[#This Row],[Days]]),$G$5,"")),"")</f>
        <v/>
      </c>
      <c r="CC45" s="37" t="str">
        <f ca="1">IFERROR(+IF(CC$29=ProposalToGnatt[[#This Row],[Start Date]],Milestone_Marker,IF(AND(CC$29&gt;ProposalToGnatt[[#This Row],[Start Date]],CC$29&lt;ProposalToGnatt[[#This Row],[Start Date]]+ProposalToGnatt[[#This Row],[Days]]),$G$5,"")),"")</f>
        <v/>
      </c>
      <c r="CD45" s="37" t="str">
        <f ca="1">IFERROR(+IF(CD$29=ProposalToGnatt[[#This Row],[Start Date]],Milestone_Marker,IF(AND(CD$29&gt;ProposalToGnatt[[#This Row],[Start Date]],CD$29&lt;ProposalToGnatt[[#This Row],[Start Date]]+ProposalToGnatt[[#This Row],[Days]]),$G$5,"")),"")</f>
        <v/>
      </c>
      <c r="CE45" s="37" t="str">
        <f ca="1">IFERROR(+IF(CE$29=ProposalToGnatt[[#This Row],[Start Date]],Milestone_Marker,IF(AND(CE$29&gt;ProposalToGnatt[[#This Row],[Start Date]],CE$29&lt;ProposalToGnatt[[#This Row],[Start Date]]+ProposalToGnatt[[#This Row],[Days]]),$G$5,"")),"")</f>
        <v/>
      </c>
      <c r="CF45" s="37" t="str">
        <f ca="1">IFERROR(+IF(CF$29=ProposalToGnatt[[#This Row],[Start Date]],Milestone_Marker,IF(AND(CF$29&gt;ProposalToGnatt[[#This Row],[Start Date]],CF$29&lt;ProposalToGnatt[[#This Row],[Start Date]]+ProposalToGnatt[[#This Row],[Days]]),$G$5,"")),"")</f>
        <v/>
      </c>
      <c r="CG45" s="37" t="str">
        <f ca="1">IFERROR(+IF(CG$29=ProposalToGnatt[[#This Row],[Start Date]],Milestone_Marker,IF(AND(CG$29&gt;ProposalToGnatt[[#This Row],[Start Date]],CG$29&lt;ProposalToGnatt[[#This Row],[Start Date]]+ProposalToGnatt[[#This Row],[Days]]),$G$5,"")),"")</f>
        <v/>
      </c>
      <c r="CH45" s="37" t="str">
        <f ca="1">IFERROR(+IF(CH$29=ProposalToGnatt[[#This Row],[Start Date]],Milestone_Marker,IF(AND(CH$29&gt;ProposalToGnatt[[#This Row],[Start Date]],CH$29&lt;ProposalToGnatt[[#This Row],[Start Date]]+ProposalToGnatt[[#This Row],[Days]]),$G$5,"")),"")</f>
        <v/>
      </c>
      <c r="CI45" s="37" t="str">
        <f ca="1">IFERROR(+IF(CI$29=ProposalToGnatt[[#This Row],[Start Date]],Milestone_Marker,IF(AND(CI$29&gt;ProposalToGnatt[[#This Row],[Start Date]],CI$29&lt;ProposalToGnatt[[#This Row],[Start Date]]+ProposalToGnatt[[#This Row],[Days]]),$G$5,"")),"")</f>
        <v/>
      </c>
      <c r="CJ45" s="37" t="str">
        <f ca="1">IFERROR(+IF(CJ$29=ProposalToGnatt[[#This Row],[Start Date]],Milestone_Marker,IF(AND(CJ$29&gt;ProposalToGnatt[[#This Row],[Start Date]],CJ$29&lt;ProposalToGnatt[[#This Row],[Start Date]]+ProposalToGnatt[[#This Row],[Days]]),$G$5,"")),"")</f>
        <v/>
      </c>
      <c r="CK45" s="37" t="str">
        <f ca="1">IFERROR(+IF(CK$29=ProposalToGnatt[[#This Row],[Start Date]],Milestone_Marker,IF(AND(CK$29&gt;ProposalToGnatt[[#This Row],[Start Date]],CK$29&lt;ProposalToGnatt[[#This Row],[Start Date]]+ProposalToGnatt[[#This Row],[Days]]),$G$5,"")),"")</f>
        <v/>
      </c>
      <c r="CL45" s="37" t="str">
        <f ca="1">IFERROR(+IF(CL$29=ProposalToGnatt[[#This Row],[Start Date]],Milestone_Marker,IF(AND(CL$29&gt;ProposalToGnatt[[#This Row],[Start Date]],CL$29&lt;ProposalToGnatt[[#This Row],[Start Date]]+ProposalToGnatt[[#This Row],[Days]]),$G$5,"")),"")</f>
        <v/>
      </c>
      <c r="CM45" s="37" t="str">
        <f ca="1">IFERROR(+IF(CM$29=ProposalToGnatt[[#This Row],[Start Date]],Milestone_Marker,IF(AND(CM$29&gt;ProposalToGnatt[[#This Row],[Start Date]],CM$29&lt;ProposalToGnatt[[#This Row],[Start Date]]+ProposalToGnatt[[#This Row],[Days]]),$G$5,"")),"")</f>
        <v/>
      </c>
      <c r="CN45" s="37" t="str">
        <f ca="1">IFERROR(+IF(CN$29=ProposalToGnatt[[#This Row],[Start Date]],Milestone_Marker,IF(AND(CN$29&gt;ProposalToGnatt[[#This Row],[Start Date]],CN$29&lt;ProposalToGnatt[[#This Row],[Start Date]]+ProposalToGnatt[[#This Row],[Days]]),$G$5,"")),"")</f>
        <v/>
      </c>
      <c r="CO45" s="37" t="str">
        <f ca="1">IFERROR(+IF(CO$29=ProposalToGnatt[[#This Row],[Start Date]],Milestone_Marker,IF(AND(CO$29&gt;ProposalToGnatt[[#This Row],[Start Date]],CO$29&lt;ProposalToGnatt[[#This Row],[Start Date]]+ProposalToGnatt[[#This Row],[Days]]),$G$5,"")),"")</f>
        <v/>
      </c>
      <c r="CP45" s="37" t="str">
        <f ca="1">IFERROR(+IF(CP$29=ProposalToGnatt[[#This Row],[Start Date]],Milestone_Marker,IF(AND(CP$29&gt;ProposalToGnatt[[#This Row],[Start Date]],CP$29&lt;ProposalToGnatt[[#This Row],[Start Date]]+ProposalToGnatt[[#This Row],[Days]]),$G$5,"")),"")</f>
        <v/>
      </c>
      <c r="CQ45" s="37" t="str">
        <f ca="1">IFERROR(+IF(CQ$29=ProposalToGnatt[[#This Row],[Start Date]],Milestone_Marker,IF(AND(CQ$29&gt;ProposalToGnatt[[#This Row],[Start Date]],CQ$29&lt;ProposalToGnatt[[#This Row],[Start Date]]+ProposalToGnatt[[#This Row],[Days]]),$G$5,"")),"")</f>
        <v/>
      </c>
      <c r="CR45" s="37" t="str">
        <f ca="1">IFERROR(+IF(CR$29=ProposalToGnatt[[#This Row],[Start Date]],Milestone_Marker,IF(AND(CR$29&gt;ProposalToGnatt[[#This Row],[Start Date]],CR$29&lt;ProposalToGnatt[[#This Row],[Start Date]]+ProposalToGnatt[[#This Row],[Days]]),$G$5,"")),"")</f>
        <v/>
      </c>
      <c r="CS45" s="37" t="str">
        <f ca="1">IFERROR(+IF(CS$29=ProposalToGnatt[[#This Row],[Start Date]],Milestone_Marker,IF(AND(CS$29&gt;ProposalToGnatt[[#This Row],[Start Date]],CS$29&lt;ProposalToGnatt[[#This Row],[Start Date]]+ProposalToGnatt[[#This Row],[Days]]),$G$5,"")),"")</f>
        <v/>
      </c>
      <c r="CT45" s="37" t="str">
        <f ca="1">IFERROR(+IF(CT$29=ProposalToGnatt[[#This Row],[Start Date]],Milestone_Marker,IF(AND(CT$29&gt;ProposalToGnatt[[#This Row],[Start Date]],CT$29&lt;ProposalToGnatt[[#This Row],[Start Date]]+ProposalToGnatt[[#This Row],[Days]]),$G$5,"")),"")</f>
        <v/>
      </c>
      <c r="CU45" s="37" t="str">
        <f ca="1">IFERROR(+IF(CU$29=ProposalToGnatt[[#This Row],[Start Date]],Milestone_Marker,IF(AND(CU$29&gt;ProposalToGnatt[[#This Row],[Start Date]],CU$29&lt;ProposalToGnatt[[#This Row],[Start Date]]+ProposalToGnatt[[#This Row],[Days]]),$G$5,"")),"")</f>
        <v/>
      </c>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c r="DT45" s="37"/>
      <c r="DU45" s="37"/>
    </row>
    <row r="46" spans="1:125" s="42" customFormat="1" ht="15">
      <c r="A46"/>
      <c r="B46"/>
      <c r="C46"/>
      <c r="D46"/>
      <c r="E46"/>
      <c r="F46"/>
      <c r="G46" s="11"/>
      <c r="H46" s="26"/>
      <c r="I46"/>
      <c r="J46"/>
      <c r="K46" s="402"/>
      <c r="L46"/>
      <c r="M46"/>
      <c r="N46"/>
      <c r="O46" s="26"/>
      <c r="P46" s="37" t="str">
        <f ca="1">IFERROR(+IF(P$29=ProposalToGnatt[[#This Row],[Start Date]],Milestone_Marker,IF(AND(P$29&gt;ProposalToGnatt[[#This Row],[Start Date]],P$29&lt;ProposalToGnatt[[#This Row],[Start Date]]+ProposalToGnatt[[#This Row],[Days]]),$G$5,"")),"")</f>
        <v/>
      </c>
      <c r="Q46" s="37" t="str">
        <f ca="1">IFERROR(+IF(Q$29=ProposalToGnatt[[#This Row],[Start Date]],Milestone_Marker,IF(AND(Q$29&gt;ProposalToGnatt[[#This Row],[Start Date]],Q$29&lt;ProposalToGnatt[[#This Row],[Start Date]]+ProposalToGnatt[[#This Row],[Days]]),$G$5,"")),"")</f>
        <v/>
      </c>
      <c r="R46" s="37" t="str">
        <f ca="1">IFERROR(+IF(R$29=ProposalToGnatt[[#This Row],[Start Date]],Milestone_Marker,IF(AND(R$29&gt;ProposalToGnatt[[#This Row],[Start Date]],R$29&lt;ProposalToGnatt[[#This Row],[Start Date]]+ProposalToGnatt[[#This Row],[Days]]),$G$5,"")),"")</f>
        <v/>
      </c>
      <c r="S46" s="37" t="str">
        <f ca="1">IFERROR(+IF(S$29=ProposalToGnatt[[#This Row],[Start Date]],Milestone_Marker,IF(AND(S$29&gt;ProposalToGnatt[[#This Row],[Start Date]],S$29&lt;ProposalToGnatt[[#This Row],[Start Date]]+ProposalToGnatt[[#This Row],[Days]]),$G$5,"")),"")</f>
        <v/>
      </c>
      <c r="T46" s="37" t="str">
        <f ca="1">IFERROR(+IF(T$29=ProposalToGnatt[[#This Row],[Start Date]],Milestone_Marker,IF(AND(T$29&gt;ProposalToGnatt[[#This Row],[Start Date]],T$29&lt;ProposalToGnatt[[#This Row],[Start Date]]+ProposalToGnatt[[#This Row],[Days]]),$G$5,"")),"")</f>
        <v/>
      </c>
      <c r="U46" s="37" t="str">
        <f ca="1">IFERROR(+IF(U$29=ProposalToGnatt[[#This Row],[Start Date]],Milestone_Marker,IF(AND(U$29&gt;ProposalToGnatt[[#This Row],[Start Date]],U$29&lt;ProposalToGnatt[[#This Row],[Start Date]]+ProposalToGnatt[[#This Row],[Days]]),$G$5,"")),"")</f>
        <v/>
      </c>
      <c r="V46" s="37" t="str">
        <f ca="1">IFERROR(+IF(V$29=ProposalToGnatt[[#This Row],[Start Date]],Milestone_Marker,IF(AND(V$29&gt;ProposalToGnatt[[#This Row],[Start Date]],V$29&lt;ProposalToGnatt[[#This Row],[Start Date]]+ProposalToGnatt[[#This Row],[Days]]),$G$5,"")),"")</f>
        <v/>
      </c>
      <c r="W46" s="37" t="str">
        <f ca="1">IFERROR(+IF(W$29=ProposalToGnatt[[#This Row],[Start Date]],Milestone_Marker,IF(AND(W$29&gt;ProposalToGnatt[[#This Row],[Start Date]],W$29&lt;ProposalToGnatt[[#This Row],[Start Date]]+ProposalToGnatt[[#This Row],[Days]]),$G$5,"")),"")</f>
        <v/>
      </c>
      <c r="X46" s="37" t="str">
        <f ca="1">IFERROR(+IF(X$29=ProposalToGnatt[[#This Row],[Start Date]],Milestone_Marker,IF(AND(X$29&gt;ProposalToGnatt[[#This Row],[Start Date]],X$29&lt;ProposalToGnatt[[#This Row],[Start Date]]+ProposalToGnatt[[#This Row],[Days]]),$G$5,"")),"")</f>
        <v/>
      </c>
      <c r="Y46" s="37" t="str">
        <f ca="1">IFERROR(+IF(Y$29=ProposalToGnatt[[#This Row],[Start Date]],Milestone_Marker,IF(AND(Y$29&gt;ProposalToGnatt[[#This Row],[Start Date]],Y$29&lt;ProposalToGnatt[[#This Row],[Start Date]]+ProposalToGnatt[[#This Row],[Days]]),$G$5,"")),"")</f>
        <v/>
      </c>
      <c r="Z46" s="37" t="str">
        <f ca="1">IFERROR(+IF(Z$29=ProposalToGnatt[[#This Row],[Start Date]],Milestone_Marker,IF(AND(Z$29&gt;ProposalToGnatt[[#This Row],[Start Date]],Z$29&lt;ProposalToGnatt[[#This Row],[Start Date]]+ProposalToGnatt[[#This Row],[Days]]),$G$5,"")),"")</f>
        <v/>
      </c>
      <c r="AA46" s="37" t="str">
        <f ca="1">IFERROR(+IF(AA$29=ProposalToGnatt[[#This Row],[Start Date]],Milestone_Marker,IF(AND(AA$29&gt;ProposalToGnatt[[#This Row],[Start Date]],AA$29&lt;ProposalToGnatt[[#This Row],[Start Date]]+ProposalToGnatt[[#This Row],[Days]]),$G$5,"")),"")</f>
        <v/>
      </c>
      <c r="AB46" s="37" t="str">
        <f ca="1">IFERROR(+IF(AB$29=ProposalToGnatt[[#This Row],[Start Date]],Milestone_Marker,IF(AND(AB$29&gt;ProposalToGnatt[[#This Row],[Start Date]],AB$29&lt;ProposalToGnatt[[#This Row],[Start Date]]+ProposalToGnatt[[#This Row],[Days]]),$G$5,"")),"")</f>
        <v/>
      </c>
      <c r="AC46" s="37" t="str">
        <f ca="1">IFERROR(+IF(AC$29=ProposalToGnatt[[#This Row],[Start Date]],Milestone_Marker,IF(AND(AC$29&gt;ProposalToGnatt[[#This Row],[Start Date]],AC$29&lt;ProposalToGnatt[[#This Row],[Start Date]]+ProposalToGnatt[[#This Row],[Days]]),$G$5,"")),"")</f>
        <v/>
      </c>
      <c r="AD46" s="37" t="str">
        <f ca="1">IFERROR(+IF(AD$29=ProposalToGnatt[[#This Row],[Start Date]],Milestone_Marker,IF(AND(AD$29&gt;ProposalToGnatt[[#This Row],[Start Date]],AD$29&lt;ProposalToGnatt[[#This Row],[Start Date]]+ProposalToGnatt[[#This Row],[Days]]),$G$5,"")),"")</f>
        <v/>
      </c>
      <c r="AE46" s="37" t="str">
        <f ca="1">IFERROR(+IF(AE$29=ProposalToGnatt[[#This Row],[Start Date]],Milestone_Marker,IF(AND(AE$29&gt;ProposalToGnatt[[#This Row],[Start Date]],AE$29&lt;ProposalToGnatt[[#This Row],[Start Date]]+ProposalToGnatt[[#This Row],[Days]]),$G$5,"")),"")</f>
        <v/>
      </c>
      <c r="AF46" s="37" t="str">
        <f ca="1">IFERROR(+IF(AF$29=ProposalToGnatt[[#This Row],[Start Date]],Milestone_Marker,IF(AND(AF$29&gt;ProposalToGnatt[[#This Row],[Start Date]],AF$29&lt;ProposalToGnatt[[#This Row],[Start Date]]+ProposalToGnatt[[#This Row],[Days]]),$G$5,"")),"")</f>
        <v/>
      </c>
      <c r="AG46" s="37" t="str">
        <f ca="1">IFERROR(+IF(AG$29=ProposalToGnatt[[#This Row],[Start Date]],Milestone_Marker,IF(AND(AG$29&gt;ProposalToGnatt[[#This Row],[Start Date]],AG$29&lt;ProposalToGnatt[[#This Row],[Start Date]]+ProposalToGnatt[[#This Row],[Days]]),$G$5,"")),"")</f>
        <v/>
      </c>
      <c r="AH46" s="37" t="str">
        <f ca="1">IFERROR(+IF(AH$29=ProposalToGnatt[[#This Row],[Start Date]],Milestone_Marker,IF(AND(AH$29&gt;ProposalToGnatt[[#This Row],[Start Date]],AH$29&lt;ProposalToGnatt[[#This Row],[Start Date]]+ProposalToGnatt[[#This Row],[Days]]),$G$5,"")),"")</f>
        <v/>
      </c>
      <c r="AI46" s="37" t="str">
        <f ca="1">IFERROR(+IF(AI$29=ProposalToGnatt[[#This Row],[Start Date]],Milestone_Marker,IF(AND(AI$29&gt;ProposalToGnatt[[#This Row],[Start Date]],AI$29&lt;ProposalToGnatt[[#This Row],[Start Date]]+ProposalToGnatt[[#This Row],[Days]]),$G$5,"")),"")</f>
        <v/>
      </c>
      <c r="AJ46" s="37" t="str">
        <f ca="1">IFERROR(+IF(AJ$29=ProposalToGnatt[[#This Row],[Start Date]],Milestone_Marker,IF(AND(AJ$29&gt;ProposalToGnatt[[#This Row],[Start Date]],AJ$29&lt;ProposalToGnatt[[#This Row],[Start Date]]+ProposalToGnatt[[#This Row],[Days]]),$G$5,"")),"")</f>
        <v/>
      </c>
      <c r="AK46" s="37" t="str">
        <f ca="1">IFERROR(+IF(AK$29=ProposalToGnatt[[#This Row],[Start Date]],Milestone_Marker,IF(AND(AK$29&gt;ProposalToGnatt[[#This Row],[Start Date]],AK$29&lt;ProposalToGnatt[[#This Row],[Start Date]]+ProposalToGnatt[[#This Row],[Days]]),$G$5,"")),"")</f>
        <v/>
      </c>
      <c r="AL46" s="37" t="str">
        <f ca="1">IFERROR(+IF(AL$29=ProposalToGnatt[[#This Row],[Start Date]],Milestone_Marker,IF(AND(AL$29&gt;ProposalToGnatt[[#This Row],[Start Date]],AL$29&lt;ProposalToGnatt[[#This Row],[Start Date]]+ProposalToGnatt[[#This Row],[Days]]),$G$5,"")),"")</f>
        <v/>
      </c>
      <c r="AM46" s="37" t="str">
        <f ca="1">IFERROR(+IF(AM$29=ProposalToGnatt[[#This Row],[Start Date]],Milestone_Marker,IF(AND(AM$29&gt;ProposalToGnatt[[#This Row],[Start Date]],AM$29&lt;ProposalToGnatt[[#This Row],[Start Date]]+ProposalToGnatt[[#This Row],[Days]]),$G$5,"")),"")</f>
        <v/>
      </c>
      <c r="AN46" s="37" t="str">
        <f ca="1">IFERROR(+IF(AN$29=ProposalToGnatt[[#This Row],[Start Date]],Milestone_Marker,IF(AND(AN$29&gt;ProposalToGnatt[[#This Row],[Start Date]],AN$29&lt;ProposalToGnatt[[#This Row],[Start Date]]+ProposalToGnatt[[#This Row],[Days]]),$G$5,"")),"")</f>
        <v/>
      </c>
      <c r="AO46" s="37" t="str">
        <f ca="1">IFERROR(+IF(AO$29=ProposalToGnatt[[#This Row],[Start Date]],Milestone_Marker,IF(AND(AO$29&gt;ProposalToGnatt[[#This Row],[Start Date]],AO$29&lt;ProposalToGnatt[[#This Row],[Start Date]]+ProposalToGnatt[[#This Row],[Days]]),$G$5,"")),"")</f>
        <v/>
      </c>
      <c r="AP46" s="37" t="str">
        <f ca="1">IFERROR(+IF(AP$29=ProposalToGnatt[[#This Row],[Start Date]],Milestone_Marker,IF(AND(AP$29&gt;ProposalToGnatt[[#This Row],[Start Date]],AP$29&lt;ProposalToGnatt[[#This Row],[Start Date]]+ProposalToGnatt[[#This Row],[Days]]),$G$5,"")),"")</f>
        <v/>
      </c>
      <c r="AQ46" s="37" t="str">
        <f ca="1">IFERROR(+IF(AQ$29=ProposalToGnatt[[#This Row],[Start Date]],Milestone_Marker,IF(AND(AQ$29&gt;ProposalToGnatt[[#This Row],[Start Date]],AQ$29&lt;ProposalToGnatt[[#This Row],[Start Date]]+ProposalToGnatt[[#This Row],[Days]]),$G$5,"")),"")</f>
        <v/>
      </c>
      <c r="AR46" s="37" t="str">
        <f ca="1">IFERROR(+IF(AR$29=ProposalToGnatt[[#This Row],[Start Date]],Milestone_Marker,IF(AND(AR$29&gt;ProposalToGnatt[[#This Row],[Start Date]],AR$29&lt;ProposalToGnatt[[#This Row],[Start Date]]+ProposalToGnatt[[#This Row],[Days]]),$G$5,"")),"")</f>
        <v/>
      </c>
      <c r="AS46" s="37" t="str">
        <f ca="1">IFERROR(+IF(AS$29=ProposalToGnatt[[#This Row],[Start Date]],Milestone_Marker,IF(AND(AS$29&gt;ProposalToGnatt[[#This Row],[Start Date]],AS$29&lt;ProposalToGnatt[[#This Row],[Start Date]]+ProposalToGnatt[[#This Row],[Days]]),$G$5,"")),"")</f>
        <v/>
      </c>
      <c r="AT46" s="37" t="str">
        <f ca="1">IFERROR(+IF(AT$29=ProposalToGnatt[[#This Row],[Start Date]],Milestone_Marker,IF(AND(AT$29&gt;ProposalToGnatt[[#This Row],[Start Date]],AT$29&lt;ProposalToGnatt[[#This Row],[Start Date]]+ProposalToGnatt[[#This Row],[Days]]),$G$5,"")),"")</f>
        <v/>
      </c>
      <c r="AU46" s="37" t="str">
        <f ca="1">IFERROR(+IF(AU$29=ProposalToGnatt[[#This Row],[Start Date]],Milestone_Marker,IF(AND(AU$29&gt;ProposalToGnatt[[#This Row],[Start Date]],AU$29&lt;ProposalToGnatt[[#This Row],[Start Date]]+ProposalToGnatt[[#This Row],[Days]]),$G$5,"")),"")</f>
        <v/>
      </c>
      <c r="AV46" s="37" t="str">
        <f ca="1">IFERROR(+IF(AV$29=ProposalToGnatt[[#This Row],[Start Date]],Milestone_Marker,IF(AND(AV$29&gt;ProposalToGnatt[[#This Row],[Start Date]],AV$29&lt;ProposalToGnatt[[#This Row],[Start Date]]+ProposalToGnatt[[#This Row],[Days]]),$G$5,"")),"")</f>
        <v/>
      </c>
      <c r="AW46" s="37" t="str">
        <f ca="1">IFERROR(+IF(AW$29=ProposalToGnatt[[#This Row],[Start Date]],Milestone_Marker,IF(AND(AW$29&gt;ProposalToGnatt[[#This Row],[Start Date]],AW$29&lt;ProposalToGnatt[[#This Row],[Start Date]]+ProposalToGnatt[[#This Row],[Days]]),$G$5,"")),"")</f>
        <v/>
      </c>
      <c r="AX46" s="37" t="str">
        <f ca="1">IFERROR(+IF(AX$29=ProposalToGnatt[[#This Row],[Start Date]],Milestone_Marker,IF(AND(AX$29&gt;ProposalToGnatt[[#This Row],[Start Date]],AX$29&lt;ProposalToGnatt[[#This Row],[Start Date]]+ProposalToGnatt[[#This Row],[Days]]),$G$5,"")),"")</f>
        <v/>
      </c>
      <c r="AY46" s="37" t="str">
        <f ca="1">IFERROR(+IF(AY$29=ProposalToGnatt[[#This Row],[Start Date]],Milestone_Marker,IF(AND(AY$29&gt;ProposalToGnatt[[#This Row],[Start Date]],AY$29&lt;ProposalToGnatt[[#This Row],[Start Date]]+ProposalToGnatt[[#This Row],[Days]]),$G$5,"")),"")</f>
        <v/>
      </c>
      <c r="AZ46" s="37" t="str">
        <f ca="1">IFERROR(+IF(AZ$29=ProposalToGnatt[[#This Row],[Start Date]],Milestone_Marker,IF(AND(AZ$29&gt;ProposalToGnatt[[#This Row],[Start Date]],AZ$29&lt;ProposalToGnatt[[#This Row],[Start Date]]+ProposalToGnatt[[#This Row],[Days]]),$G$5,"")),"")</f>
        <v/>
      </c>
      <c r="BA46" s="37" t="str">
        <f ca="1">IFERROR(+IF(BA$29=ProposalToGnatt[[#This Row],[Start Date]],Milestone_Marker,IF(AND(BA$29&gt;ProposalToGnatt[[#This Row],[Start Date]],BA$29&lt;ProposalToGnatt[[#This Row],[Start Date]]+ProposalToGnatt[[#This Row],[Days]]),$G$5,"")),"")</f>
        <v/>
      </c>
      <c r="BB46" s="37" t="str">
        <f ca="1">IFERROR(+IF(BB$29=ProposalToGnatt[[#This Row],[Start Date]],Milestone_Marker,IF(AND(BB$29&gt;ProposalToGnatt[[#This Row],[Start Date]],BB$29&lt;ProposalToGnatt[[#This Row],[Start Date]]+ProposalToGnatt[[#This Row],[Days]]),$G$5,"")),"")</f>
        <v/>
      </c>
      <c r="BC46" s="37" t="str">
        <f ca="1">IFERROR(+IF(BC$29=ProposalToGnatt[[#This Row],[Start Date]],Milestone_Marker,IF(AND(BC$29&gt;ProposalToGnatt[[#This Row],[Start Date]],BC$29&lt;ProposalToGnatt[[#This Row],[Start Date]]+ProposalToGnatt[[#This Row],[Days]]),$G$5,"")),"")</f>
        <v/>
      </c>
      <c r="BD46" s="37" t="str">
        <f ca="1">IFERROR(+IF(BD$29=ProposalToGnatt[[#This Row],[Start Date]],Milestone_Marker,IF(AND(BD$29&gt;ProposalToGnatt[[#This Row],[Start Date]],BD$29&lt;ProposalToGnatt[[#This Row],[Start Date]]+ProposalToGnatt[[#This Row],[Days]]),$G$5,"")),"")</f>
        <v/>
      </c>
      <c r="BE46" s="37" t="str">
        <f ca="1">IFERROR(+IF(BE$29=ProposalToGnatt[[#This Row],[Start Date]],Milestone_Marker,IF(AND(BE$29&gt;ProposalToGnatt[[#This Row],[Start Date]],BE$29&lt;ProposalToGnatt[[#This Row],[Start Date]]+ProposalToGnatt[[#This Row],[Days]]),$G$5,"")),"")</f>
        <v/>
      </c>
      <c r="BF46" s="37" t="str">
        <f ca="1">IFERROR(+IF(BF$29=ProposalToGnatt[[#This Row],[Start Date]],Milestone_Marker,IF(AND(BF$29&gt;ProposalToGnatt[[#This Row],[Start Date]],BF$29&lt;ProposalToGnatt[[#This Row],[Start Date]]+ProposalToGnatt[[#This Row],[Days]]),$G$5,"")),"")</f>
        <v/>
      </c>
      <c r="BG46" s="37" t="str">
        <f ca="1">IFERROR(+IF(BG$29=ProposalToGnatt[[#This Row],[Start Date]],Milestone_Marker,IF(AND(BG$29&gt;ProposalToGnatt[[#This Row],[Start Date]],BG$29&lt;ProposalToGnatt[[#This Row],[Start Date]]+ProposalToGnatt[[#This Row],[Days]]),$G$5,"")),"")</f>
        <v/>
      </c>
      <c r="BH46" s="37" t="str">
        <f ca="1">IFERROR(+IF(BH$29=ProposalToGnatt[[#This Row],[Start Date]],Milestone_Marker,IF(AND(BH$29&gt;ProposalToGnatt[[#This Row],[Start Date]],BH$29&lt;ProposalToGnatt[[#This Row],[Start Date]]+ProposalToGnatt[[#This Row],[Days]]),$G$5,"")),"")</f>
        <v/>
      </c>
      <c r="BI46" s="37" t="str">
        <f ca="1">IFERROR(+IF(BI$29=ProposalToGnatt[[#This Row],[Start Date]],Milestone_Marker,IF(AND(BI$29&gt;ProposalToGnatt[[#This Row],[Start Date]],BI$29&lt;ProposalToGnatt[[#This Row],[Start Date]]+ProposalToGnatt[[#This Row],[Days]]),$G$5,"")),"")</f>
        <v/>
      </c>
      <c r="BJ46" s="37" t="str">
        <f ca="1">IFERROR(+IF(BJ$29=ProposalToGnatt[[#This Row],[Start Date]],Milestone_Marker,IF(AND(BJ$29&gt;ProposalToGnatt[[#This Row],[Start Date]],BJ$29&lt;ProposalToGnatt[[#This Row],[Start Date]]+ProposalToGnatt[[#This Row],[Days]]),$G$5,"")),"")</f>
        <v/>
      </c>
      <c r="BK46" s="37" t="str">
        <f ca="1">IFERROR(+IF(BK$29=ProposalToGnatt[[#This Row],[Start Date]],Milestone_Marker,IF(AND(BK$29&gt;ProposalToGnatt[[#This Row],[Start Date]],BK$29&lt;ProposalToGnatt[[#This Row],[Start Date]]+ProposalToGnatt[[#This Row],[Days]]),$G$5,"")),"")</f>
        <v/>
      </c>
      <c r="BL46" s="37" t="str">
        <f ca="1">IFERROR(+IF(BL$29=ProposalToGnatt[[#This Row],[Start Date]],Milestone_Marker,IF(AND(BL$29&gt;ProposalToGnatt[[#This Row],[Start Date]],BL$29&lt;ProposalToGnatt[[#This Row],[Start Date]]+ProposalToGnatt[[#This Row],[Days]]),$G$5,"")),"")</f>
        <v/>
      </c>
      <c r="BM46" s="37" t="str">
        <f ca="1">IFERROR(+IF(BM$29=ProposalToGnatt[[#This Row],[Start Date]],Milestone_Marker,IF(AND(BM$29&gt;ProposalToGnatt[[#This Row],[Start Date]],BM$29&lt;ProposalToGnatt[[#This Row],[Start Date]]+ProposalToGnatt[[#This Row],[Days]]),$G$5,"")),"")</f>
        <v/>
      </c>
      <c r="BN46" s="37" t="str">
        <f ca="1">IFERROR(+IF(BN$29=ProposalToGnatt[[#This Row],[Start Date]],Milestone_Marker,IF(AND(BN$29&gt;ProposalToGnatt[[#This Row],[Start Date]],BN$29&lt;ProposalToGnatt[[#This Row],[Start Date]]+ProposalToGnatt[[#This Row],[Days]]),$G$5,"")),"")</f>
        <v/>
      </c>
      <c r="BO46" s="37" t="str">
        <f ca="1">IFERROR(+IF(BO$29=ProposalToGnatt[[#This Row],[Start Date]],Milestone_Marker,IF(AND(BO$29&gt;ProposalToGnatt[[#This Row],[Start Date]],BO$29&lt;ProposalToGnatt[[#This Row],[Start Date]]+ProposalToGnatt[[#This Row],[Days]]),$G$5,"")),"")</f>
        <v/>
      </c>
      <c r="BP46" s="37" t="str">
        <f ca="1">IFERROR(+IF(BP$29=ProposalToGnatt[[#This Row],[Start Date]],Milestone_Marker,IF(AND(BP$29&gt;ProposalToGnatt[[#This Row],[Start Date]],BP$29&lt;ProposalToGnatt[[#This Row],[Start Date]]+ProposalToGnatt[[#This Row],[Days]]),$G$5,"")),"")</f>
        <v/>
      </c>
      <c r="BQ46" s="37" t="str">
        <f ca="1">IFERROR(+IF(BQ$29=ProposalToGnatt[[#This Row],[Start Date]],Milestone_Marker,IF(AND(BQ$29&gt;ProposalToGnatt[[#This Row],[Start Date]],BQ$29&lt;ProposalToGnatt[[#This Row],[Start Date]]+ProposalToGnatt[[#This Row],[Days]]),$G$5,"")),"")</f>
        <v/>
      </c>
      <c r="BR46" s="37" t="str">
        <f ca="1">IFERROR(+IF(BR$29=ProposalToGnatt[[#This Row],[Start Date]],Milestone_Marker,IF(AND(BR$29&gt;ProposalToGnatt[[#This Row],[Start Date]],BR$29&lt;ProposalToGnatt[[#This Row],[Start Date]]+ProposalToGnatt[[#This Row],[Days]]),$G$5,"")),"")</f>
        <v/>
      </c>
      <c r="BS46" s="37" t="str">
        <f ca="1">IFERROR(+IF(BS$29=ProposalToGnatt[[#This Row],[Start Date]],Milestone_Marker,IF(AND(BS$29&gt;ProposalToGnatt[[#This Row],[Start Date]],BS$29&lt;ProposalToGnatt[[#This Row],[Start Date]]+ProposalToGnatt[[#This Row],[Days]]),$G$5,"")),"")</f>
        <v/>
      </c>
      <c r="BT46" s="37" t="str">
        <f ca="1">IFERROR(+IF(BT$29=ProposalToGnatt[[#This Row],[Start Date]],Milestone_Marker,IF(AND(BT$29&gt;ProposalToGnatt[[#This Row],[Start Date]],BT$29&lt;ProposalToGnatt[[#This Row],[Start Date]]+ProposalToGnatt[[#This Row],[Days]]),$G$5,"")),"")</f>
        <v/>
      </c>
      <c r="BU46" s="37" t="str">
        <f ca="1">IFERROR(+IF(BU$29=ProposalToGnatt[[#This Row],[Start Date]],Milestone_Marker,IF(AND(BU$29&gt;ProposalToGnatt[[#This Row],[Start Date]],BU$29&lt;ProposalToGnatt[[#This Row],[Start Date]]+ProposalToGnatt[[#This Row],[Days]]),$G$5,"")),"")</f>
        <v/>
      </c>
      <c r="BV46" s="37" t="str">
        <f ca="1">IFERROR(+IF(BV$29=ProposalToGnatt[[#This Row],[Start Date]],Milestone_Marker,IF(AND(BV$29&gt;ProposalToGnatt[[#This Row],[Start Date]],BV$29&lt;ProposalToGnatt[[#This Row],[Start Date]]+ProposalToGnatt[[#This Row],[Days]]),$G$5,"")),"")</f>
        <v/>
      </c>
      <c r="BW46" s="37" t="str">
        <f ca="1">IFERROR(+IF(BW$29=ProposalToGnatt[[#This Row],[Start Date]],Milestone_Marker,IF(AND(BW$29&gt;ProposalToGnatt[[#This Row],[Start Date]],BW$29&lt;ProposalToGnatt[[#This Row],[Start Date]]+ProposalToGnatt[[#This Row],[Days]]),$G$5,"")),"")</f>
        <v/>
      </c>
      <c r="BX46" s="37" t="str">
        <f ca="1">IFERROR(+IF(BX$29=ProposalToGnatt[[#This Row],[Start Date]],Milestone_Marker,IF(AND(BX$29&gt;ProposalToGnatt[[#This Row],[Start Date]],BX$29&lt;ProposalToGnatt[[#This Row],[Start Date]]+ProposalToGnatt[[#This Row],[Days]]),$G$5,"")),"")</f>
        <v/>
      </c>
      <c r="BY46" s="37" t="str">
        <f ca="1">IFERROR(+IF(BY$29=ProposalToGnatt[[#This Row],[Start Date]],Milestone_Marker,IF(AND(BY$29&gt;ProposalToGnatt[[#This Row],[Start Date]],BY$29&lt;ProposalToGnatt[[#This Row],[Start Date]]+ProposalToGnatt[[#This Row],[Days]]),$G$5,"")),"")</f>
        <v/>
      </c>
      <c r="BZ46" s="37" t="str">
        <f ca="1">IFERROR(+IF(BZ$29=ProposalToGnatt[[#This Row],[Start Date]],Milestone_Marker,IF(AND(BZ$29&gt;ProposalToGnatt[[#This Row],[Start Date]],BZ$29&lt;ProposalToGnatt[[#This Row],[Start Date]]+ProposalToGnatt[[#This Row],[Days]]),$G$5,"")),"")</f>
        <v/>
      </c>
      <c r="CA46" s="37" t="str">
        <f ca="1">IFERROR(+IF(CA$29=ProposalToGnatt[[#This Row],[Start Date]],Milestone_Marker,IF(AND(CA$29&gt;ProposalToGnatt[[#This Row],[Start Date]],CA$29&lt;ProposalToGnatt[[#This Row],[Start Date]]+ProposalToGnatt[[#This Row],[Days]]),$G$5,"")),"")</f>
        <v/>
      </c>
      <c r="CB46" s="37" t="str">
        <f ca="1">IFERROR(+IF(CB$29=ProposalToGnatt[[#This Row],[Start Date]],Milestone_Marker,IF(AND(CB$29&gt;ProposalToGnatt[[#This Row],[Start Date]],CB$29&lt;ProposalToGnatt[[#This Row],[Start Date]]+ProposalToGnatt[[#This Row],[Days]]),$G$5,"")),"")</f>
        <v/>
      </c>
      <c r="CC46" s="37" t="str">
        <f ca="1">IFERROR(+IF(CC$29=ProposalToGnatt[[#This Row],[Start Date]],Milestone_Marker,IF(AND(CC$29&gt;ProposalToGnatt[[#This Row],[Start Date]],CC$29&lt;ProposalToGnatt[[#This Row],[Start Date]]+ProposalToGnatt[[#This Row],[Days]]),$G$5,"")),"")</f>
        <v/>
      </c>
      <c r="CD46" s="37" t="str">
        <f ca="1">IFERROR(+IF(CD$29=ProposalToGnatt[[#This Row],[Start Date]],Milestone_Marker,IF(AND(CD$29&gt;ProposalToGnatt[[#This Row],[Start Date]],CD$29&lt;ProposalToGnatt[[#This Row],[Start Date]]+ProposalToGnatt[[#This Row],[Days]]),$G$5,"")),"")</f>
        <v/>
      </c>
      <c r="CE46" s="37" t="str">
        <f ca="1">IFERROR(+IF(CE$29=ProposalToGnatt[[#This Row],[Start Date]],Milestone_Marker,IF(AND(CE$29&gt;ProposalToGnatt[[#This Row],[Start Date]],CE$29&lt;ProposalToGnatt[[#This Row],[Start Date]]+ProposalToGnatt[[#This Row],[Days]]),$G$5,"")),"")</f>
        <v/>
      </c>
      <c r="CF46" s="37" t="str">
        <f ca="1">IFERROR(+IF(CF$29=ProposalToGnatt[[#This Row],[Start Date]],Milestone_Marker,IF(AND(CF$29&gt;ProposalToGnatt[[#This Row],[Start Date]],CF$29&lt;ProposalToGnatt[[#This Row],[Start Date]]+ProposalToGnatt[[#This Row],[Days]]),$G$5,"")),"")</f>
        <v/>
      </c>
      <c r="CG46" s="37" t="str">
        <f ca="1">IFERROR(+IF(CG$29=ProposalToGnatt[[#This Row],[Start Date]],Milestone_Marker,IF(AND(CG$29&gt;ProposalToGnatt[[#This Row],[Start Date]],CG$29&lt;ProposalToGnatt[[#This Row],[Start Date]]+ProposalToGnatt[[#This Row],[Days]]),$G$5,"")),"")</f>
        <v/>
      </c>
      <c r="CH46" s="37" t="str">
        <f ca="1">IFERROR(+IF(CH$29=ProposalToGnatt[[#This Row],[Start Date]],Milestone_Marker,IF(AND(CH$29&gt;ProposalToGnatt[[#This Row],[Start Date]],CH$29&lt;ProposalToGnatt[[#This Row],[Start Date]]+ProposalToGnatt[[#This Row],[Days]]),$G$5,"")),"")</f>
        <v/>
      </c>
      <c r="CI46" s="37" t="str">
        <f ca="1">IFERROR(+IF(CI$29=ProposalToGnatt[[#This Row],[Start Date]],Milestone_Marker,IF(AND(CI$29&gt;ProposalToGnatt[[#This Row],[Start Date]],CI$29&lt;ProposalToGnatt[[#This Row],[Start Date]]+ProposalToGnatt[[#This Row],[Days]]),$G$5,"")),"")</f>
        <v/>
      </c>
      <c r="CJ46" s="37" t="str">
        <f ca="1">IFERROR(+IF(CJ$29=ProposalToGnatt[[#This Row],[Start Date]],Milestone_Marker,IF(AND(CJ$29&gt;ProposalToGnatt[[#This Row],[Start Date]],CJ$29&lt;ProposalToGnatt[[#This Row],[Start Date]]+ProposalToGnatt[[#This Row],[Days]]),$G$5,"")),"")</f>
        <v/>
      </c>
      <c r="CK46" s="37" t="str">
        <f ca="1">IFERROR(+IF(CK$29=ProposalToGnatt[[#This Row],[Start Date]],Milestone_Marker,IF(AND(CK$29&gt;ProposalToGnatt[[#This Row],[Start Date]],CK$29&lt;ProposalToGnatt[[#This Row],[Start Date]]+ProposalToGnatt[[#This Row],[Days]]),$G$5,"")),"")</f>
        <v/>
      </c>
      <c r="CL46" s="37" t="str">
        <f ca="1">IFERROR(+IF(CL$29=ProposalToGnatt[[#This Row],[Start Date]],Milestone_Marker,IF(AND(CL$29&gt;ProposalToGnatt[[#This Row],[Start Date]],CL$29&lt;ProposalToGnatt[[#This Row],[Start Date]]+ProposalToGnatt[[#This Row],[Days]]),$G$5,"")),"")</f>
        <v/>
      </c>
      <c r="CM46" s="37" t="str">
        <f ca="1">IFERROR(+IF(CM$29=ProposalToGnatt[[#This Row],[Start Date]],Milestone_Marker,IF(AND(CM$29&gt;ProposalToGnatt[[#This Row],[Start Date]],CM$29&lt;ProposalToGnatt[[#This Row],[Start Date]]+ProposalToGnatt[[#This Row],[Days]]),$G$5,"")),"")</f>
        <v/>
      </c>
      <c r="CN46" s="37" t="str">
        <f ca="1">IFERROR(+IF(CN$29=ProposalToGnatt[[#This Row],[Start Date]],Milestone_Marker,IF(AND(CN$29&gt;ProposalToGnatt[[#This Row],[Start Date]],CN$29&lt;ProposalToGnatt[[#This Row],[Start Date]]+ProposalToGnatt[[#This Row],[Days]]),$G$5,"")),"")</f>
        <v/>
      </c>
      <c r="CO46" s="37" t="str">
        <f ca="1">IFERROR(+IF(CO$29=ProposalToGnatt[[#This Row],[Start Date]],Milestone_Marker,IF(AND(CO$29&gt;ProposalToGnatt[[#This Row],[Start Date]],CO$29&lt;ProposalToGnatt[[#This Row],[Start Date]]+ProposalToGnatt[[#This Row],[Days]]),$G$5,"")),"")</f>
        <v/>
      </c>
      <c r="CP46" s="37" t="str">
        <f ca="1">IFERROR(+IF(CP$29=ProposalToGnatt[[#This Row],[Start Date]],Milestone_Marker,IF(AND(CP$29&gt;ProposalToGnatt[[#This Row],[Start Date]],CP$29&lt;ProposalToGnatt[[#This Row],[Start Date]]+ProposalToGnatt[[#This Row],[Days]]),$G$5,"")),"")</f>
        <v/>
      </c>
      <c r="CQ46" s="37" t="str">
        <f ca="1">IFERROR(+IF(CQ$29=ProposalToGnatt[[#This Row],[Start Date]],Milestone_Marker,IF(AND(CQ$29&gt;ProposalToGnatt[[#This Row],[Start Date]],CQ$29&lt;ProposalToGnatt[[#This Row],[Start Date]]+ProposalToGnatt[[#This Row],[Days]]),$G$5,"")),"")</f>
        <v/>
      </c>
      <c r="CR46" s="37" t="str">
        <f ca="1">IFERROR(+IF(CR$29=ProposalToGnatt[[#This Row],[Start Date]],Milestone_Marker,IF(AND(CR$29&gt;ProposalToGnatt[[#This Row],[Start Date]],CR$29&lt;ProposalToGnatt[[#This Row],[Start Date]]+ProposalToGnatt[[#This Row],[Days]]),$G$5,"")),"")</f>
        <v/>
      </c>
      <c r="CS46" s="37" t="str">
        <f ca="1">IFERROR(+IF(CS$29=ProposalToGnatt[[#This Row],[Start Date]],Milestone_Marker,IF(AND(CS$29&gt;ProposalToGnatt[[#This Row],[Start Date]],CS$29&lt;ProposalToGnatt[[#This Row],[Start Date]]+ProposalToGnatt[[#This Row],[Days]]),$G$5,"")),"")</f>
        <v/>
      </c>
      <c r="CT46" s="37" t="str">
        <f ca="1">IFERROR(+IF(CT$29=ProposalToGnatt[[#This Row],[Start Date]],Milestone_Marker,IF(AND(CT$29&gt;ProposalToGnatt[[#This Row],[Start Date]],CT$29&lt;ProposalToGnatt[[#This Row],[Start Date]]+ProposalToGnatt[[#This Row],[Days]]),$G$5,"")),"")</f>
        <v/>
      </c>
      <c r="CU46" s="37" t="str">
        <f ca="1">IFERROR(+IF(CU$29=ProposalToGnatt[[#This Row],[Start Date]],Milestone_Marker,IF(AND(CU$29&gt;ProposalToGnatt[[#This Row],[Start Date]],CU$29&lt;ProposalToGnatt[[#This Row],[Start Date]]+ProposalToGnatt[[#This Row],[Days]]),$G$5,"")),"")</f>
        <v/>
      </c>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row>
    <row r="47" spans="1:125" s="42" customFormat="1" ht="15">
      <c r="A47"/>
      <c r="B47"/>
      <c r="C47"/>
      <c r="D47"/>
      <c r="E47"/>
      <c r="F47"/>
      <c r="G47" s="11"/>
      <c r="H47" s="26"/>
      <c r="I47"/>
      <c r="J47"/>
      <c r="K47" s="402"/>
      <c r="L47"/>
      <c r="M47"/>
      <c r="N47"/>
      <c r="O47" s="26"/>
      <c r="P47" s="37" t="str">
        <f ca="1">IFERROR(+IF(P$29=ProposalToGnatt[[#This Row],[Start Date]],Milestone_Marker,IF(AND(P$29&gt;ProposalToGnatt[[#This Row],[Start Date]],P$29&lt;ProposalToGnatt[[#This Row],[Start Date]]+ProposalToGnatt[[#This Row],[Days]]),$G$5,"")),"")</f>
        <v/>
      </c>
      <c r="Q47" s="37" t="str">
        <f ca="1">IFERROR(+IF(Q$29=ProposalToGnatt[[#This Row],[Start Date]],Milestone_Marker,IF(AND(Q$29&gt;ProposalToGnatt[[#This Row],[Start Date]],Q$29&lt;ProposalToGnatt[[#This Row],[Start Date]]+ProposalToGnatt[[#This Row],[Days]]),$G$5,"")),"")</f>
        <v/>
      </c>
      <c r="R47" s="37" t="str">
        <f ca="1">IFERROR(+IF(R$29=ProposalToGnatt[[#This Row],[Start Date]],Milestone_Marker,IF(AND(R$29&gt;ProposalToGnatt[[#This Row],[Start Date]],R$29&lt;ProposalToGnatt[[#This Row],[Start Date]]+ProposalToGnatt[[#This Row],[Days]]),$G$5,"")),"")</f>
        <v/>
      </c>
      <c r="S47" s="37" t="str">
        <f ca="1">IFERROR(+IF(S$29=ProposalToGnatt[[#This Row],[Start Date]],Milestone_Marker,IF(AND(S$29&gt;ProposalToGnatt[[#This Row],[Start Date]],S$29&lt;ProposalToGnatt[[#This Row],[Start Date]]+ProposalToGnatt[[#This Row],[Days]]),$G$5,"")),"")</f>
        <v/>
      </c>
      <c r="T47" s="37" t="str">
        <f ca="1">IFERROR(+IF(T$29=ProposalToGnatt[[#This Row],[Start Date]],Milestone_Marker,IF(AND(T$29&gt;ProposalToGnatt[[#This Row],[Start Date]],T$29&lt;ProposalToGnatt[[#This Row],[Start Date]]+ProposalToGnatt[[#This Row],[Days]]),$G$5,"")),"")</f>
        <v/>
      </c>
      <c r="U47" s="37" t="str">
        <f ca="1">IFERROR(+IF(U$29=ProposalToGnatt[[#This Row],[Start Date]],Milestone_Marker,IF(AND(U$29&gt;ProposalToGnatt[[#This Row],[Start Date]],U$29&lt;ProposalToGnatt[[#This Row],[Start Date]]+ProposalToGnatt[[#This Row],[Days]]),$G$5,"")),"")</f>
        <v/>
      </c>
      <c r="V47" s="37" t="str">
        <f ca="1">IFERROR(+IF(V$29=ProposalToGnatt[[#This Row],[Start Date]],Milestone_Marker,IF(AND(V$29&gt;ProposalToGnatt[[#This Row],[Start Date]],V$29&lt;ProposalToGnatt[[#This Row],[Start Date]]+ProposalToGnatt[[#This Row],[Days]]),$G$5,"")),"")</f>
        <v/>
      </c>
      <c r="W47" s="37" t="str">
        <f ca="1">IFERROR(+IF(W$29=ProposalToGnatt[[#This Row],[Start Date]],Milestone_Marker,IF(AND(W$29&gt;ProposalToGnatt[[#This Row],[Start Date]],W$29&lt;ProposalToGnatt[[#This Row],[Start Date]]+ProposalToGnatt[[#This Row],[Days]]),$G$5,"")),"")</f>
        <v/>
      </c>
      <c r="X47" s="37" t="str">
        <f ca="1">IFERROR(+IF(X$29=ProposalToGnatt[[#This Row],[Start Date]],Milestone_Marker,IF(AND(X$29&gt;ProposalToGnatt[[#This Row],[Start Date]],X$29&lt;ProposalToGnatt[[#This Row],[Start Date]]+ProposalToGnatt[[#This Row],[Days]]),$G$5,"")),"")</f>
        <v/>
      </c>
      <c r="Y47" s="37" t="str">
        <f ca="1">IFERROR(+IF(Y$29=ProposalToGnatt[[#This Row],[Start Date]],Milestone_Marker,IF(AND(Y$29&gt;ProposalToGnatt[[#This Row],[Start Date]],Y$29&lt;ProposalToGnatt[[#This Row],[Start Date]]+ProposalToGnatt[[#This Row],[Days]]),$G$5,"")),"")</f>
        <v/>
      </c>
      <c r="Z47" s="37" t="str">
        <f ca="1">IFERROR(+IF(Z$29=ProposalToGnatt[[#This Row],[Start Date]],Milestone_Marker,IF(AND(Z$29&gt;ProposalToGnatt[[#This Row],[Start Date]],Z$29&lt;ProposalToGnatt[[#This Row],[Start Date]]+ProposalToGnatt[[#This Row],[Days]]),$G$5,"")),"")</f>
        <v/>
      </c>
      <c r="AA47" s="37" t="str">
        <f ca="1">IFERROR(+IF(AA$29=ProposalToGnatt[[#This Row],[Start Date]],Milestone_Marker,IF(AND(AA$29&gt;ProposalToGnatt[[#This Row],[Start Date]],AA$29&lt;ProposalToGnatt[[#This Row],[Start Date]]+ProposalToGnatt[[#This Row],[Days]]),$G$5,"")),"")</f>
        <v/>
      </c>
      <c r="AB47" s="37" t="str">
        <f ca="1">IFERROR(+IF(AB$29=ProposalToGnatt[[#This Row],[Start Date]],Milestone_Marker,IF(AND(AB$29&gt;ProposalToGnatt[[#This Row],[Start Date]],AB$29&lt;ProposalToGnatt[[#This Row],[Start Date]]+ProposalToGnatt[[#This Row],[Days]]),$G$5,"")),"")</f>
        <v/>
      </c>
      <c r="AC47" s="37" t="str">
        <f ca="1">IFERROR(+IF(AC$29=ProposalToGnatt[[#This Row],[Start Date]],Milestone_Marker,IF(AND(AC$29&gt;ProposalToGnatt[[#This Row],[Start Date]],AC$29&lt;ProposalToGnatt[[#This Row],[Start Date]]+ProposalToGnatt[[#This Row],[Days]]),$G$5,"")),"")</f>
        <v/>
      </c>
      <c r="AD47" s="37" t="str">
        <f ca="1">IFERROR(+IF(AD$29=ProposalToGnatt[[#This Row],[Start Date]],Milestone_Marker,IF(AND(AD$29&gt;ProposalToGnatt[[#This Row],[Start Date]],AD$29&lt;ProposalToGnatt[[#This Row],[Start Date]]+ProposalToGnatt[[#This Row],[Days]]),$G$5,"")),"")</f>
        <v/>
      </c>
      <c r="AE47" s="37" t="str">
        <f ca="1">IFERROR(+IF(AE$29=ProposalToGnatt[[#This Row],[Start Date]],Milestone_Marker,IF(AND(AE$29&gt;ProposalToGnatt[[#This Row],[Start Date]],AE$29&lt;ProposalToGnatt[[#This Row],[Start Date]]+ProposalToGnatt[[#This Row],[Days]]),$G$5,"")),"")</f>
        <v/>
      </c>
      <c r="AF47" s="37" t="str">
        <f ca="1">IFERROR(+IF(AF$29=ProposalToGnatt[[#This Row],[Start Date]],Milestone_Marker,IF(AND(AF$29&gt;ProposalToGnatt[[#This Row],[Start Date]],AF$29&lt;ProposalToGnatt[[#This Row],[Start Date]]+ProposalToGnatt[[#This Row],[Days]]),$G$5,"")),"")</f>
        <v/>
      </c>
      <c r="AG47" s="37" t="str">
        <f ca="1">IFERROR(+IF(AG$29=ProposalToGnatt[[#This Row],[Start Date]],Milestone_Marker,IF(AND(AG$29&gt;ProposalToGnatt[[#This Row],[Start Date]],AG$29&lt;ProposalToGnatt[[#This Row],[Start Date]]+ProposalToGnatt[[#This Row],[Days]]),$G$5,"")),"")</f>
        <v/>
      </c>
      <c r="AH47" s="37" t="str">
        <f ca="1">IFERROR(+IF(AH$29=ProposalToGnatt[[#This Row],[Start Date]],Milestone_Marker,IF(AND(AH$29&gt;ProposalToGnatt[[#This Row],[Start Date]],AH$29&lt;ProposalToGnatt[[#This Row],[Start Date]]+ProposalToGnatt[[#This Row],[Days]]),$G$5,"")),"")</f>
        <v/>
      </c>
      <c r="AI47" s="37" t="str">
        <f ca="1">IFERROR(+IF(AI$29=ProposalToGnatt[[#This Row],[Start Date]],Milestone_Marker,IF(AND(AI$29&gt;ProposalToGnatt[[#This Row],[Start Date]],AI$29&lt;ProposalToGnatt[[#This Row],[Start Date]]+ProposalToGnatt[[#This Row],[Days]]),$G$5,"")),"")</f>
        <v/>
      </c>
      <c r="AJ47" s="37" t="str">
        <f ca="1">IFERROR(+IF(AJ$29=ProposalToGnatt[[#This Row],[Start Date]],Milestone_Marker,IF(AND(AJ$29&gt;ProposalToGnatt[[#This Row],[Start Date]],AJ$29&lt;ProposalToGnatt[[#This Row],[Start Date]]+ProposalToGnatt[[#This Row],[Days]]),$G$5,"")),"")</f>
        <v/>
      </c>
      <c r="AK47" s="37" t="str">
        <f ca="1">IFERROR(+IF(AK$29=ProposalToGnatt[[#This Row],[Start Date]],Milestone_Marker,IF(AND(AK$29&gt;ProposalToGnatt[[#This Row],[Start Date]],AK$29&lt;ProposalToGnatt[[#This Row],[Start Date]]+ProposalToGnatt[[#This Row],[Days]]),$G$5,"")),"")</f>
        <v/>
      </c>
      <c r="AL47" s="37" t="str">
        <f ca="1">IFERROR(+IF(AL$29=ProposalToGnatt[[#This Row],[Start Date]],Milestone_Marker,IF(AND(AL$29&gt;ProposalToGnatt[[#This Row],[Start Date]],AL$29&lt;ProposalToGnatt[[#This Row],[Start Date]]+ProposalToGnatt[[#This Row],[Days]]),$G$5,"")),"")</f>
        <v/>
      </c>
      <c r="AM47" s="37" t="str">
        <f ca="1">IFERROR(+IF(AM$29=ProposalToGnatt[[#This Row],[Start Date]],Milestone_Marker,IF(AND(AM$29&gt;ProposalToGnatt[[#This Row],[Start Date]],AM$29&lt;ProposalToGnatt[[#This Row],[Start Date]]+ProposalToGnatt[[#This Row],[Days]]),$G$5,"")),"")</f>
        <v/>
      </c>
      <c r="AN47" s="37" t="str">
        <f ca="1">IFERROR(+IF(AN$29=ProposalToGnatt[[#This Row],[Start Date]],Milestone_Marker,IF(AND(AN$29&gt;ProposalToGnatt[[#This Row],[Start Date]],AN$29&lt;ProposalToGnatt[[#This Row],[Start Date]]+ProposalToGnatt[[#This Row],[Days]]),$G$5,"")),"")</f>
        <v/>
      </c>
      <c r="AO47" s="37" t="str">
        <f ca="1">IFERROR(+IF(AO$29=ProposalToGnatt[[#This Row],[Start Date]],Milestone_Marker,IF(AND(AO$29&gt;ProposalToGnatt[[#This Row],[Start Date]],AO$29&lt;ProposalToGnatt[[#This Row],[Start Date]]+ProposalToGnatt[[#This Row],[Days]]),$G$5,"")),"")</f>
        <v/>
      </c>
      <c r="AP47" s="37" t="str">
        <f ca="1">IFERROR(+IF(AP$29=ProposalToGnatt[[#This Row],[Start Date]],Milestone_Marker,IF(AND(AP$29&gt;ProposalToGnatt[[#This Row],[Start Date]],AP$29&lt;ProposalToGnatt[[#This Row],[Start Date]]+ProposalToGnatt[[#This Row],[Days]]),$G$5,"")),"")</f>
        <v/>
      </c>
      <c r="AQ47" s="37" t="str">
        <f ca="1">IFERROR(+IF(AQ$29=ProposalToGnatt[[#This Row],[Start Date]],Milestone_Marker,IF(AND(AQ$29&gt;ProposalToGnatt[[#This Row],[Start Date]],AQ$29&lt;ProposalToGnatt[[#This Row],[Start Date]]+ProposalToGnatt[[#This Row],[Days]]),$G$5,"")),"")</f>
        <v/>
      </c>
      <c r="AR47" s="37" t="str">
        <f ca="1">IFERROR(+IF(AR$29=ProposalToGnatt[[#This Row],[Start Date]],Milestone_Marker,IF(AND(AR$29&gt;ProposalToGnatt[[#This Row],[Start Date]],AR$29&lt;ProposalToGnatt[[#This Row],[Start Date]]+ProposalToGnatt[[#This Row],[Days]]),$G$5,"")),"")</f>
        <v/>
      </c>
      <c r="AS47" s="37" t="str">
        <f ca="1">IFERROR(+IF(AS$29=ProposalToGnatt[[#This Row],[Start Date]],Milestone_Marker,IF(AND(AS$29&gt;ProposalToGnatt[[#This Row],[Start Date]],AS$29&lt;ProposalToGnatt[[#This Row],[Start Date]]+ProposalToGnatt[[#This Row],[Days]]),$G$5,"")),"")</f>
        <v/>
      </c>
      <c r="AT47" s="37" t="str">
        <f ca="1">IFERROR(+IF(AT$29=ProposalToGnatt[[#This Row],[Start Date]],Milestone_Marker,IF(AND(AT$29&gt;ProposalToGnatt[[#This Row],[Start Date]],AT$29&lt;ProposalToGnatt[[#This Row],[Start Date]]+ProposalToGnatt[[#This Row],[Days]]),$G$5,"")),"")</f>
        <v/>
      </c>
      <c r="AU47" s="37" t="str">
        <f ca="1">IFERROR(+IF(AU$29=ProposalToGnatt[[#This Row],[Start Date]],Milestone_Marker,IF(AND(AU$29&gt;ProposalToGnatt[[#This Row],[Start Date]],AU$29&lt;ProposalToGnatt[[#This Row],[Start Date]]+ProposalToGnatt[[#This Row],[Days]]),$G$5,"")),"")</f>
        <v/>
      </c>
      <c r="AV47" s="37" t="str">
        <f ca="1">IFERROR(+IF(AV$29=ProposalToGnatt[[#This Row],[Start Date]],Milestone_Marker,IF(AND(AV$29&gt;ProposalToGnatt[[#This Row],[Start Date]],AV$29&lt;ProposalToGnatt[[#This Row],[Start Date]]+ProposalToGnatt[[#This Row],[Days]]),$G$5,"")),"")</f>
        <v/>
      </c>
      <c r="AW47" s="37" t="str">
        <f ca="1">IFERROR(+IF(AW$29=ProposalToGnatt[[#This Row],[Start Date]],Milestone_Marker,IF(AND(AW$29&gt;ProposalToGnatt[[#This Row],[Start Date]],AW$29&lt;ProposalToGnatt[[#This Row],[Start Date]]+ProposalToGnatt[[#This Row],[Days]]),$G$5,"")),"")</f>
        <v/>
      </c>
      <c r="AX47" s="37" t="str">
        <f ca="1">IFERROR(+IF(AX$29=ProposalToGnatt[[#This Row],[Start Date]],Milestone_Marker,IF(AND(AX$29&gt;ProposalToGnatt[[#This Row],[Start Date]],AX$29&lt;ProposalToGnatt[[#This Row],[Start Date]]+ProposalToGnatt[[#This Row],[Days]]),$G$5,"")),"")</f>
        <v/>
      </c>
      <c r="AY47" s="37" t="str">
        <f ca="1">IFERROR(+IF(AY$29=ProposalToGnatt[[#This Row],[Start Date]],Milestone_Marker,IF(AND(AY$29&gt;ProposalToGnatt[[#This Row],[Start Date]],AY$29&lt;ProposalToGnatt[[#This Row],[Start Date]]+ProposalToGnatt[[#This Row],[Days]]),$G$5,"")),"")</f>
        <v/>
      </c>
      <c r="AZ47" s="37" t="str">
        <f ca="1">IFERROR(+IF(AZ$29=ProposalToGnatt[[#This Row],[Start Date]],Milestone_Marker,IF(AND(AZ$29&gt;ProposalToGnatt[[#This Row],[Start Date]],AZ$29&lt;ProposalToGnatt[[#This Row],[Start Date]]+ProposalToGnatt[[#This Row],[Days]]),$G$5,"")),"")</f>
        <v/>
      </c>
      <c r="BA47" s="37" t="str">
        <f ca="1">IFERROR(+IF(BA$29=ProposalToGnatt[[#This Row],[Start Date]],Milestone_Marker,IF(AND(BA$29&gt;ProposalToGnatt[[#This Row],[Start Date]],BA$29&lt;ProposalToGnatt[[#This Row],[Start Date]]+ProposalToGnatt[[#This Row],[Days]]),$G$5,"")),"")</f>
        <v/>
      </c>
      <c r="BB47" s="37" t="str">
        <f ca="1">IFERROR(+IF(BB$29=ProposalToGnatt[[#This Row],[Start Date]],Milestone_Marker,IF(AND(BB$29&gt;ProposalToGnatt[[#This Row],[Start Date]],BB$29&lt;ProposalToGnatt[[#This Row],[Start Date]]+ProposalToGnatt[[#This Row],[Days]]),$G$5,"")),"")</f>
        <v/>
      </c>
      <c r="BC47" s="37" t="str">
        <f ca="1">IFERROR(+IF(BC$29=ProposalToGnatt[[#This Row],[Start Date]],Milestone_Marker,IF(AND(BC$29&gt;ProposalToGnatt[[#This Row],[Start Date]],BC$29&lt;ProposalToGnatt[[#This Row],[Start Date]]+ProposalToGnatt[[#This Row],[Days]]),$G$5,"")),"")</f>
        <v/>
      </c>
      <c r="BD47" s="37" t="str">
        <f ca="1">IFERROR(+IF(BD$29=ProposalToGnatt[[#This Row],[Start Date]],Milestone_Marker,IF(AND(BD$29&gt;ProposalToGnatt[[#This Row],[Start Date]],BD$29&lt;ProposalToGnatt[[#This Row],[Start Date]]+ProposalToGnatt[[#This Row],[Days]]),$G$5,"")),"")</f>
        <v/>
      </c>
      <c r="BE47" s="37" t="str">
        <f ca="1">IFERROR(+IF(BE$29=ProposalToGnatt[[#This Row],[Start Date]],Milestone_Marker,IF(AND(BE$29&gt;ProposalToGnatt[[#This Row],[Start Date]],BE$29&lt;ProposalToGnatt[[#This Row],[Start Date]]+ProposalToGnatt[[#This Row],[Days]]),$G$5,"")),"")</f>
        <v/>
      </c>
      <c r="BF47" s="37" t="str">
        <f ca="1">IFERROR(+IF(BF$29=ProposalToGnatt[[#This Row],[Start Date]],Milestone_Marker,IF(AND(BF$29&gt;ProposalToGnatt[[#This Row],[Start Date]],BF$29&lt;ProposalToGnatt[[#This Row],[Start Date]]+ProposalToGnatt[[#This Row],[Days]]),$G$5,"")),"")</f>
        <v/>
      </c>
      <c r="BG47" s="37" t="str">
        <f ca="1">IFERROR(+IF(BG$29=ProposalToGnatt[[#This Row],[Start Date]],Milestone_Marker,IF(AND(BG$29&gt;ProposalToGnatt[[#This Row],[Start Date]],BG$29&lt;ProposalToGnatt[[#This Row],[Start Date]]+ProposalToGnatt[[#This Row],[Days]]),$G$5,"")),"")</f>
        <v/>
      </c>
      <c r="BH47" s="37" t="str">
        <f ca="1">IFERROR(+IF(BH$29=ProposalToGnatt[[#This Row],[Start Date]],Milestone_Marker,IF(AND(BH$29&gt;ProposalToGnatt[[#This Row],[Start Date]],BH$29&lt;ProposalToGnatt[[#This Row],[Start Date]]+ProposalToGnatt[[#This Row],[Days]]),$G$5,"")),"")</f>
        <v/>
      </c>
      <c r="BI47" s="37" t="str">
        <f ca="1">IFERROR(+IF(BI$29=ProposalToGnatt[[#This Row],[Start Date]],Milestone_Marker,IF(AND(BI$29&gt;ProposalToGnatt[[#This Row],[Start Date]],BI$29&lt;ProposalToGnatt[[#This Row],[Start Date]]+ProposalToGnatt[[#This Row],[Days]]),$G$5,"")),"")</f>
        <v/>
      </c>
      <c r="BJ47" s="37" t="str">
        <f ca="1">IFERROR(+IF(BJ$29=ProposalToGnatt[[#This Row],[Start Date]],Milestone_Marker,IF(AND(BJ$29&gt;ProposalToGnatt[[#This Row],[Start Date]],BJ$29&lt;ProposalToGnatt[[#This Row],[Start Date]]+ProposalToGnatt[[#This Row],[Days]]),$G$5,"")),"")</f>
        <v/>
      </c>
      <c r="BK47" s="37" t="str">
        <f ca="1">IFERROR(+IF(BK$29=ProposalToGnatt[[#This Row],[Start Date]],Milestone_Marker,IF(AND(BK$29&gt;ProposalToGnatt[[#This Row],[Start Date]],BK$29&lt;ProposalToGnatt[[#This Row],[Start Date]]+ProposalToGnatt[[#This Row],[Days]]),$G$5,"")),"")</f>
        <v/>
      </c>
      <c r="BL47" s="37" t="str">
        <f ca="1">IFERROR(+IF(BL$29=ProposalToGnatt[[#This Row],[Start Date]],Milestone_Marker,IF(AND(BL$29&gt;ProposalToGnatt[[#This Row],[Start Date]],BL$29&lt;ProposalToGnatt[[#This Row],[Start Date]]+ProposalToGnatt[[#This Row],[Days]]),$G$5,"")),"")</f>
        <v/>
      </c>
      <c r="BM47" s="37" t="str">
        <f ca="1">IFERROR(+IF(BM$29=ProposalToGnatt[[#This Row],[Start Date]],Milestone_Marker,IF(AND(BM$29&gt;ProposalToGnatt[[#This Row],[Start Date]],BM$29&lt;ProposalToGnatt[[#This Row],[Start Date]]+ProposalToGnatt[[#This Row],[Days]]),$G$5,"")),"")</f>
        <v/>
      </c>
      <c r="BN47" s="37" t="str">
        <f ca="1">IFERROR(+IF(BN$29=ProposalToGnatt[[#This Row],[Start Date]],Milestone_Marker,IF(AND(BN$29&gt;ProposalToGnatt[[#This Row],[Start Date]],BN$29&lt;ProposalToGnatt[[#This Row],[Start Date]]+ProposalToGnatt[[#This Row],[Days]]),$G$5,"")),"")</f>
        <v/>
      </c>
      <c r="BO47" s="37" t="str">
        <f ca="1">IFERROR(+IF(BO$29=ProposalToGnatt[[#This Row],[Start Date]],Milestone_Marker,IF(AND(BO$29&gt;ProposalToGnatt[[#This Row],[Start Date]],BO$29&lt;ProposalToGnatt[[#This Row],[Start Date]]+ProposalToGnatt[[#This Row],[Days]]),$G$5,"")),"")</f>
        <v/>
      </c>
      <c r="BP47" s="37" t="str">
        <f ca="1">IFERROR(+IF(BP$29=ProposalToGnatt[[#This Row],[Start Date]],Milestone_Marker,IF(AND(BP$29&gt;ProposalToGnatt[[#This Row],[Start Date]],BP$29&lt;ProposalToGnatt[[#This Row],[Start Date]]+ProposalToGnatt[[#This Row],[Days]]),$G$5,"")),"")</f>
        <v/>
      </c>
      <c r="BQ47" s="37" t="str">
        <f ca="1">IFERROR(+IF(BQ$29=ProposalToGnatt[[#This Row],[Start Date]],Milestone_Marker,IF(AND(BQ$29&gt;ProposalToGnatt[[#This Row],[Start Date]],BQ$29&lt;ProposalToGnatt[[#This Row],[Start Date]]+ProposalToGnatt[[#This Row],[Days]]),$G$5,"")),"")</f>
        <v/>
      </c>
      <c r="BR47" s="37" t="str">
        <f ca="1">IFERROR(+IF(BR$29=ProposalToGnatt[[#This Row],[Start Date]],Milestone_Marker,IF(AND(BR$29&gt;ProposalToGnatt[[#This Row],[Start Date]],BR$29&lt;ProposalToGnatt[[#This Row],[Start Date]]+ProposalToGnatt[[#This Row],[Days]]),$G$5,"")),"")</f>
        <v/>
      </c>
      <c r="BS47" s="37" t="str">
        <f ca="1">IFERROR(+IF(BS$29=ProposalToGnatt[[#This Row],[Start Date]],Milestone_Marker,IF(AND(BS$29&gt;ProposalToGnatt[[#This Row],[Start Date]],BS$29&lt;ProposalToGnatt[[#This Row],[Start Date]]+ProposalToGnatt[[#This Row],[Days]]),$G$5,"")),"")</f>
        <v/>
      </c>
      <c r="BT47" s="37" t="str">
        <f ca="1">IFERROR(+IF(BT$29=ProposalToGnatt[[#This Row],[Start Date]],Milestone_Marker,IF(AND(BT$29&gt;ProposalToGnatt[[#This Row],[Start Date]],BT$29&lt;ProposalToGnatt[[#This Row],[Start Date]]+ProposalToGnatt[[#This Row],[Days]]),$G$5,"")),"")</f>
        <v/>
      </c>
      <c r="BU47" s="37" t="str">
        <f ca="1">IFERROR(+IF(BU$29=ProposalToGnatt[[#This Row],[Start Date]],Milestone_Marker,IF(AND(BU$29&gt;ProposalToGnatt[[#This Row],[Start Date]],BU$29&lt;ProposalToGnatt[[#This Row],[Start Date]]+ProposalToGnatt[[#This Row],[Days]]),$G$5,"")),"")</f>
        <v/>
      </c>
      <c r="BV47" s="37" t="str">
        <f ca="1">IFERROR(+IF(BV$29=ProposalToGnatt[[#This Row],[Start Date]],Milestone_Marker,IF(AND(BV$29&gt;ProposalToGnatt[[#This Row],[Start Date]],BV$29&lt;ProposalToGnatt[[#This Row],[Start Date]]+ProposalToGnatt[[#This Row],[Days]]),$G$5,"")),"")</f>
        <v/>
      </c>
      <c r="BW47" s="37" t="str">
        <f ca="1">IFERROR(+IF(BW$29=ProposalToGnatt[[#This Row],[Start Date]],Milestone_Marker,IF(AND(BW$29&gt;ProposalToGnatt[[#This Row],[Start Date]],BW$29&lt;ProposalToGnatt[[#This Row],[Start Date]]+ProposalToGnatt[[#This Row],[Days]]),$G$5,"")),"")</f>
        <v/>
      </c>
      <c r="BX47" s="37" t="str">
        <f ca="1">IFERROR(+IF(BX$29=ProposalToGnatt[[#This Row],[Start Date]],Milestone_Marker,IF(AND(BX$29&gt;ProposalToGnatt[[#This Row],[Start Date]],BX$29&lt;ProposalToGnatt[[#This Row],[Start Date]]+ProposalToGnatt[[#This Row],[Days]]),$G$5,"")),"")</f>
        <v/>
      </c>
      <c r="BY47" s="37" t="str">
        <f ca="1">IFERROR(+IF(BY$29=ProposalToGnatt[[#This Row],[Start Date]],Milestone_Marker,IF(AND(BY$29&gt;ProposalToGnatt[[#This Row],[Start Date]],BY$29&lt;ProposalToGnatt[[#This Row],[Start Date]]+ProposalToGnatt[[#This Row],[Days]]),$G$5,"")),"")</f>
        <v/>
      </c>
      <c r="BZ47" s="37" t="str">
        <f ca="1">IFERROR(+IF(BZ$29=ProposalToGnatt[[#This Row],[Start Date]],Milestone_Marker,IF(AND(BZ$29&gt;ProposalToGnatt[[#This Row],[Start Date]],BZ$29&lt;ProposalToGnatt[[#This Row],[Start Date]]+ProposalToGnatt[[#This Row],[Days]]),$G$5,"")),"")</f>
        <v/>
      </c>
      <c r="CA47" s="37" t="str">
        <f ca="1">IFERROR(+IF(CA$29=ProposalToGnatt[[#This Row],[Start Date]],Milestone_Marker,IF(AND(CA$29&gt;ProposalToGnatt[[#This Row],[Start Date]],CA$29&lt;ProposalToGnatt[[#This Row],[Start Date]]+ProposalToGnatt[[#This Row],[Days]]),$G$5,"")),"")</f>
        <v/>
      </c>
      <c r="CB47" s="37" t="str">
        <f ca="1">IFERROR(+IF(CB$29=ProposalToGnatt[[#This Row],[Start Date]],Milestone_Marker,IF(AND(CB$29&gt;ProposalToGnatt[[#This Row],[Start Date]],CB$29&lt;ProposalToGnatt[[#This Row],[Start Date]]+ProposalToGnatt[[#This Row],[Days]]),$G$5,"")),"")</f>
        <v/>
      </c>
      <c r="CC47" s="37" t="str">
        <f ca="1">IFERROR(+IF(CC$29=ProposalToGnatt[[#This Row],[Start Date]],Milestone_Marker,IF(AND(CC$29&gt;ProposalToGnatt[[#This Row],[Start Date]],CC$29&lt;ProposalToGnatt[[#This Row],[Start Date]]+ProposalToGnatt[[#This Row],[Days]]),$G$5,"")),"")</f>
        <v/>
      </c>
      <c r="CD47" s="37" t="str">
        <f ca="1">IFERROR(+IF(CD$29=ProposalToGnatt[[#This Row],[Start Date]],Milestone_Marker,IF(AND(CD$29&gt;ProposalToGnatt[[#This Row],[Start Date]],CD$29&lt;ProposalToGnatt[[#This Row],[Start Date]]+ProposalToGnatt[[#This Row],[Days]]),$G$5,"")),"")</f>
        <v/>
      </c>
      <c r="CE47" s="37" t="str">
        <f ca="1">IFERROR(+IF(CE$29=ProposalToGnatt[[#This Row],[Start Date]],Milestone_Marker,IF(AND(CE$29&gt;ProposalToGnatt[[#This Row],[Start Date]],CE$29&lt;ProposalToGnatt[[#This Row],[Start Date]]+ProposalToGnatt[[#This Row],[Days]]),$G$5,"")),"")</f>
        <v/>
      </c>
      <c r="CF47" s="37" t="str">
        <f ca="1">IFERROR(+IF(CF$29=ProposalToGnatt[[#This Row],[Start Date]],Milestone_Marker,IF(AND(CF$29&gt;ProposalToGnatt[[#This Row],[Start Date]],CF$29&lt;ProposalToGnatt[[#This Row],[Start Date]]+ProposalToGnatt[[#This Row],[Days]]),$G$5,"")),"")</f>
        <v/>
      </c>
      <c r="CG47" s="37" t="str">
        <f ca="1">IFERROR(+IF(CG$29=ProposalToGnatt[[#This Row],[Start Date]],Milestone_Marker,IF(AND(CG$29&gt;ProposalToGnatt[[#This Row],[Start Date]],CG$29&lt;ProposalToGnatt[[#This Row],[Start Date]]+ProposalToGnatt[[#This Row],[Days]]),$G$5,"")),"")</f>
        <v/>
      </c>
      <c r="CH47" s="37" t="str">
        <f ca="1">IFERROR(+IF(CH$29=ProposalToGnatt[[#This Row],[Start Date]],Milestone_Marker,IF(AND(CH$29&gt;ProposalToGnatt[[#This Row],[Start Date]],CH$29&lt;ProposalToGnatt[[#This Row],[Start Date]]+ProposalToGnatt[[#This Row],[Days]]),$G$5,"")),"")</f>
        <v/>
      </c>
      <c r="CI47" s="37" t="str">
        <f ca="1">IFERROR(+IF(CI$29=ProposalToGnatt[[#This Row],[Start Date]],Milestone_Marker,IF(AND(CI$29&gt;ProposalToGnatt[[#This Row],[Start Date]],CI$29&lt;ProposalToGnatt[[#This Row],[Start Date]]+ProposalToGnatt[[#This Row],[Days]]),$G$5,"")),"")</f>
        <v/>
      </c>
      <c r="CJ47" s="37" t="str">
        <f ca="1">IFERROR(+IF(CJ$29=ProposalToGnatt[[#This Row],[Start Date]],Milestone_Marker,IF(AND(CJ$29&gt;ProposalToGnatt[[#This Row],[Start Date]],CJ$29&lt;ProposalToGnatt[[#This Row],[Start Date]]+ProposalToGnatt[[#This Row],[Days]]),$G$5,"")),"")</f>
        <v/>
      </c>
      <c r="CK47" s="37" t="str">
        <f ca="1">IFERROR(+IF(CK$29=ProposalToGnatt[[#This Row],[Start Date]],Milestone_Marker,IF(AND(CK$29&gt;ProposalToGnatt[[#This Row],[Start Date]],CK$29&lt;ProposalToGnatt[[#This Row],[Start Date]]+ProposalToGnatt[[#This Row],[Days]]),$G$5,"")),"")</f>
        <v/>
      </c>
      <c r="CL47" s="37" t="str">
        <f ca="1">IFERROR(+IF(CL$29=ProposalToGnatt[[#This Row],[Start Date]],Milestone_Marker,IF(AND(CL$29&gt;ProposalToGnatt[[#This Row],[Start Date]],CL$29&lt;ProposalToGnatt[[#This Row],[Start Date]]+ProposalToGnatt[[#This Row],[Days]]),$G$5,"")),"")</f>
        <v/>
      </c>
      <c r="CM47" s="37" t="str">
        <f ca="1">IFERROR(+IF(CM$29=ProposalToGnatt[[#This Row],[Start Date]],Milestone_Marker,IF(AND(CM$29&gt;ProposalToGnatt[[#This Row],[Start Date]],CM$29&lt;ProposalToGnatt[[#This Row],[Start Date]]+ProposalToGnatt[[#This Row],[Days]]),$G$5,"")),"")</f>
        <v/>
      </c>
      <c r="CN47" s="37" t="str">
        <f ca="1">IFERROR(+IF(CN$29=ProposalToGnatt[[#This Row],[Start Date]],Milestone_Marker,IF(AND(CN$29&gt;ProposalToGnatt[[#This Row],[Start Date]],CN$29&lt;ProposalToGnatt[[#This Row],[Start Date]]+ProposalToGnatt[[#This Row],[Days]]),$G$5,"")),"")</f>
        <v/>
      </c>
      <c r="CO47" s="37" t="str">
        <f ca="1">IFERROR(+IF(CO$29=ProposalToGnatt[[#This Row],[Start Date]],Milestone_Marker,IF(AND(CO$29&gt;ProposalToGnatt[[#This Row],[Start Date]],CO$29&lt;ProposalToGnatt[[#This Row],[Start Date]]+ProposalToGnatt[[#This Row],[Days]]),$G$5,"")),"")</f>
        <v/>
      </c>
      <c r="CP47" s="37" t="str">
        <f ca="1">IFERROR(+IF(CP$29=ProposalToGnatt[[#This Row],[Start Date]],Milestone_Marker,IF(AND(CP$29&gt;ProposalToGnatt[[#This Row],[Start Date]],CP$29&lt;ProposalToGnatt[[#This Row],[Start Date]]+ProposalToGnatt[[#This Row],[Days]]),$G$5,"")),"")</f>
        <v/>
      </c>
      <c r="CQ47" s="37" t="str">
        <f ca="1">IFERROR(+IF(CQ$29=ProposalToGnatt[[#This Row],[Start Date]],Milestone_Marker,IF(AND(CQ$29&gt;ProposalToGnatt[[#This Row],[Start Date]],CQ$29&lt;ProposalToGnatt[[#This Row],[Start Date]]+ProposalToGnatt[[#This Row],[Days]]),$G$5,"")),"")</f>
        <v/>
      </c>
      <c r="CR47" s="37" t="str">
        <f ca="1">IFERROR(+IF(CR$29=ProposalToGnatt[[#This Row],[Start Date]],Milestone_Marker,IF(AND(CR$29&gt;ProposalToGnatt[[#This Row],[Start Date]],CR$29&lt;ProposalToGnatt[[#This Row],[Start Date]]+ProposalToGnatt[[#This Row],[Days]]),$G$5,"")),"")</f>
        <v/>
      </c>
      <c r="CS47" s="37" t="str">
        <f ca="1">IFERROR(+IF(CS$29=ProposalToGnatt[[#This Row],[Start Date]],Milestone_Marker,IF(AND(CS$29&gt;ProposalToGnatt[[#This Row],[Start Date]],CS$29&lt;ProposalToGnatt[[#This Row],[Start Date]]+ProposalToGnatt[[#This Row],[Days]]),$G$5,"")),"")</f>
        <v/>
      </c>
      <c r="CT47" s="37" t="str">
        <f ca="1">IFERROR(+IF(CT$29=ProposalToGnatt[[#This Row],[Start Date]],Milestone_Marker,IF(AND(CT$29&gt;ProposalToGnatt[[#This Row],[Start Date]],CT$29&lt;ProposalToGnatt[[#This Row],[Start Date]]+ProposalToGnatt[[#This Row],[Days]]),$G$5,"")),"")</f>
        <v/>
      </c>
      <c r="CU47" s="37" t="str">
        <f ca="1">IFERROR(+IF(CU$29=ProposalToGnatt[[#This Row],[Start Date]],Milestone_Marker,IF(AND(CU$29&gt;ProposalToGnatt[[#This Row],[Start Date]],CU$29&lt;ProposalToGnatt[[#This Row],[Start Date]]+ProposalToGnatt[[#This Row],[Days]]),$G$5,"")),"")</f>
        <v/>
      </c>
      <c r="CV47" s="37"/>
      <c r="CW47" s="37"/>
      <c r="CX47" s="37"/>
      <c r="CY47" s="37"/>
      <c r="CZ47" s="37"/>
      <c r="DA47" s="37"/>
      <c r="DB47" s="37"/>
      <c r="DC47" s="37"/>
      <c r="DD47" s="37"/>
      <c r="DE47" s="37"/>
      <c r="DF47" s="37"/>
      <c r="DG47" s="37"/>
      <c r="DH47" s="37"/>
      <c r="DI47" s="37"/>
      <c r="DJ47" s="37"/>
      <c r="DK47" s="37"/>
      <c r="DL47" s="37"/>
      <c r="DM47" s="37"/>
      <c r="DN47" s="37"/>
      <c r="DO47" s="37"/>
      <c r="DP47" s="37"/>
      <c r="DQ47" s="37"/>
      <c r="DR47" s="37"/>
      <c r="DS47" s="37"/>
      <c r="DT47" s="37"/>
      <c r="DU47" s="37"/>
    </row>
    <row r="48" spans="1:125" s="42" customFormat="1" ht="15">
      <c r="A48"/>
      <c r="B48"/>
      <c r="C48"/>
      <c r="D48"/>
      <c r="E48"/>
      <c r="F48"/>
      <c r="G48" s="11"/>
      <c r="H48" s="26"/>
      <c r="I48"/>
      <c r="J48"/>
      <c r="K48" s="402"/>
      <c r="L48"/>
      <c r="M48"/>
      <c r="N48"/>
      <c r="O48" s="26"/>
      <c r="P48" s="37" t="str">
        <f ca="1">IFERROR(+IF(P$29=ProposalToGnatt[[#This Row],[Start Date]],Milestone_Marker,IF(AND(P$29&gt;ProposalToGnatt[[#This Row],[Start Date]],P$29&lt;ProposalToGnatt[[#This Row],[Start Date]]+ProposalToGnatt[[#This Row],[Days]]),$G$5,"")),"")</f>
        <v/>
      </c>
      <c r="Q48" s="37" t="str">
        <f ca="1">IFERROR(+IF(Q$29=ProposalToGnatt[[#This Row],[Start Date]],Milestone_Marker,IF(AND(Q$29&gt;ProposalToGnatt[[#This Row],[Start Date]],Q$29&lt;ProposalToGnatt[[#This Row],[Start Date]]+ProposalToGnatt[[#This Row],[Days]]),$G$5,"")),"")</f>
        <v/>
      </c>
      <c r="R48" s="37" t="str">
        <f ca="1">IFERROR(+IF(R$29=ProposalToGnatt[[#This Row],[Start Date]],Milestone_Marker,IF(AND(R$29&gt;ProposalToGnatt[[#This Row],[Start Date]],R$29&lt;ProposalToGnatt[[#This Row],[Start Date]]+ProposalToGnatt[[#This Row],[Days]]),$G$5,"")),"")</f>
        <v/>
      </c>
      <c r="S48" s="37" t="str">
        <f ca="1">IFERROR(+IF(S$29=ProposalToGnatt[[#This Row],[Start Date]],Milestone_Marker,IF(AND(S$29&gt;ProposalToGnatt[[#This Row],[Start Date]],S$29&lt;ProposalToGnatt[[#This Row],[Start Date]]+ProposalToGnatt[[#This Row],[Days]]),$G$5,"")),"")</f>
        <v/>
      </c>
      <c r="T48" s="37" t="str">
        <f ca="1">IFERROR(+IF(T$29=ProposalToGnatt[[#This Row],[Start Date]],Milestone_Marker,IF(AND(T$29&gt;ProposalToGnatt[[#This Row],[Start Date]],T$29&lt;ProposalToGnatt[[#This Row],[Start Date]]+ProposalToGnatt[[#This Row],[Days]]),$G$5,"")),"")</f>
        <v/>
      </c>
      <c r="U48" s="37" t="str">
        <f ca="1">IFERROR(+IF(U$29=ProposalToGnatt[[#This Row],[Start Date]],Milestone_Marker,IF(AND(U$29&gt;ProposalToGnatt[[#This Row],[Start Date]],U$29&lt;ProposalToGnatt[[#This Row],[Start Date]]+ProposalToGnatt[[#This Row],[Days]]),$G$5,"")),"")</f>
        <v/>
      </c>
      <c r="V48" s="37" t="str">
        <f ca="1">IFERROR(+IF(V$29=ProposalToGnatt[[#This Row],[Start Date]],Milestone_Marker,IF(AND(V$29&gt;ProposalToGnatt[[#This Row],[Start Date]],V$29&lt;ProposalToGnatt[[#This Row],[Start Date]]+ProposalToGnatt[[#This Row],[Days]]),$G$5,"")),"")</f>
        <v/>
      </c>
      <c r="W48" s="37" t="str">
        <f ca="1">IFERROR(+IF(W$29=ProposalToGnatt[[#This Row],[Start Date]],Milestone_Marker,IF(AND(W$29&gt;ProposalToGnatt[[#This Row],[Start Date]],W$29&lt;ProposalToGnatt[[#This Row],[Start Date]]+ProposalToGnatt[[#This Row],[Days]]),$G$5,"")),"")</f>
        <v/>
      </c>
      <c r="X48" s="37" t="str">
        <f ca="1">IFERROR(+IF(X$29=ProposalToGnatt[[#This Row],[Start Date]],Milestone_Marker,IF(AND(X$29&gt;ProposalToGnatt[[#This Row],[Start Date]],X$29&lt;ProposalToGnatt[[#This Row],[Start Date]]+ProposalToGnatt[[#This Row],[Days]]),$G$5,"")),"")</f>
        <v/>
      </c>
      <c r="Y48" s="37" t="str">
        <f ca="1">IFERROR(+IF(Y$29=ProposalToGnatt[[#This Row],[Start Date]],Milestone_Marker,IF(AND(Y$29&gt;ProposalToGnatt[[#This Row],[Start Date]],Y$29&lt;ProposalToGnatt[[#This Row],[Start Date]]+ProposalToGnatt[[#This Row],[Days]]),$G$5,"")),"")</f>
        <v/>
      </c>
      <c r="Z48" s="37" t="str">
        <f ca="1">IFERROR(+IF(Z$29=ProposalToGnatt[[#This Row],[Start Date]],Milestone_Marker,IF(AND(Z$29&gt;ProposalToGnatt[[#This Row],[Start Date]],Z$29&lt;ProposalToGnatt[[#This Row],[Start Date]]+ProposalToGnatt[[#This Row],[Days]]),$G$5,"")),"")</f>
        <v/>
      </c>
      <c r="AA48" s="37" t="str">
        <f ca="1">IFERROR(+IF(AA$29=ProposalToGnatt[[#This Row],[Start Date]],Milestone_Marker,IF(AND(AA$29&gt;ProposalToGnatt[[#This Row],[Start Date]],AA$29&lt;ProposalToGnatt[[#This Row],[Start Date]]+ProposalToGnatt[[#This Row],[Days]]),$G$5,"")),"")</f>
        <v/>
      </c>
      <c r="AB48" s="37" t="str">
        <f ca="1">IFERROR(+IF(AB$29=ProposalToGnatt[[#This Row],[Start Date]],Milestone_Marker,IF(AND(AB$29&gt;ProposalToGnatt[[#This Row],[Start Date]],AB$29&lt;ProposalToGnatt[[#This Row],[Start Date]]+ProposalToGnatt[[#This Row],[Days]]),$G$5,"")),"")</f>
        <v/>
      </c>
      <c r="AC48" s="37" t="str">
        <f ca="1">IFERROR(+IF(AC$29=ProposalToGnatt[[#This Row],[Start Date]],Milestone_Marker,IF(AND(AC$29&gt;ProposalToGnatt[[#This Row],[Start Date]],AC$29&lt;ProposalToGnatt[[#This Row],[Start Date]]+ProposalToGnatt[[#This Row],[Days]]),$G$5,"")),"")</f>
        <v/>
      </c>
      <c r="AD48" s="37" t="str">
        <f ca="1">IFERROR(+IF(AD$29=ProposalToGnatt[[#This Row],[Start Date]],Milestone_Marker,IF(AND(AD$29&gt;ProposalToGnatt[[#This Row],[Start Date]],AD$29&lt;ProposalToGnatt[[#This Row],[Start Date]]+ProposalToGnatt[[#This Row],[Days]]),$G$5,"")),"")</f>
        <v/>
      </c>
      <c r="AE48" s="37" t="str">
        <f ca="1">IFERROR(+IF(AE$29=ProposalToGnatt[[#This Row],[Start Date]],Milestone_Marker,IF(AND(AE$29&gt;ProposalToGnatt[[#This Row],[Start Date]],AE$29&lt;ProposalToGnatt[[#This Row],[Start Date]]+ProposalToGnatt[[#This Row],[Days]]),$G$5,"")),"")</f>
        <v/>
      </c>
      <c r="AF48" s="37" t="str">
        <f ca="1">IFERROR(+IF(AF$29=ProposalToGnatt[[#This Row],[Start Date]],Milestone_Marker,IF(AND(AF$29&gt;ProposalToGnatt[[#This Row],[Start Date]],AF$29&lt;ProposalToGnatt[[#This Row],[Start Date]]+ProposalToGnatt[[#This Row],[Days]]),$G$5,"")),"")</f>
        <v/>
      </c>
      <c r="AG48" s="37" t="str">
        <f ca="1">IFERROR(+IF(AG$29=ProposalToGnatt[[#This Row],[Start Date]],Milestone_Marker,IF(AND(AG$29&gt;ProposalToGnatt[[#This Row],[Start Date]],AG$29&lt;ProposalToGnatt[[#This Row],[Start Date]]+ProposalToGnatt[[#This Row],[Days]]),$G$5,"")),"")</f>
        <v/>
      </c>
      <c r="AH48" s="37" t="str">
        <f ca="1">IFERROR(+IF(AH$29=ProposalToGnatt[[#This Row],[Start Date]],Milestone_Marker,IF(AND(AH$29&gt;ProposalToGnatt[[#This Row],[Start Date]],AH$29&lt;ProposalToGnatt[[#This Row],[Start Date]]+ProposalToGnatt[[#This Row],[Days]]),$G$5,"")),"")</f>
        <v/>
      </c>
      <c r="AI48" s="37" t="str">
        <f ca="1">IFERROR(+IF(AI$29=ProposalToGnatt[[#This Row],[Start Date]],Milestone_Marker,IF(AND(AI$29&gt;ProposalToGnatt[[#This Row],[Start Date]],AI$29&lt;ProposalToGnatt[[#This Row],[Start Date]]+ProposalToGnatt[[#This Row],[Days]]),$G$5,"")),"")</f>
        <v/>
      </c>
      <c r="AJ48" s="37" t="str">
        <f ca="1">IFERROR(+IF(AJ$29=ProposalToGnatt[[#This Row],[Start Date]],Milestone_Marker,IF(AND(AJ$29&gt;ProposalToGnatt[[#This Row],[Start Date]],AJ$29&lt;ProposalToGnatt[[#This Row],[Start Date]]+ProposalToGnatt[[#This Row],[Days]]),$G$5,"")),"")</f>
        <v/>
      </c>
      <c r="AK48" s="37" t="str">
        <f ca="1">IFERROR(+IF(AK$29=ProposalToGnatt[[#This Row],[Start Date]],Milestone_Marker,IF(AND(AK$29&gt;ProposalToGnatt[[#This Row],[Start Date]],AK$29&lt;ProposalToGnatt[[#This Row],[Start Date]]+ProposalToGnatt[[#This Row],[Days]]),$G$5,"")),"")</f>
        <v/>
      </c>
      <c r="AL48" s="37" t="str">
        <f ca="1">IFERROR(+IF(AL$29=ProposalToGnatt[[#This Row],[Start Date]],Milestone_Marker,IF(AND(AL$29&gt;ProposalToGnatt[[#This Row],[Start Date]],AL$29&lt;ProposalToGnatt[[#This Row],[Start Date]]+ProposalToGnatt[[#This Row],[Days]]),$G$5,"")),"")</f>
        <v/>
      </c>
      <c r="AM48" s="37" t="str">
        <f ca="1">IFERROR(+IF(AM$29=ProposalToGnatt[[#This Row],[Start Date]],Milestone_Marker,IF(AND(AM$29&gt;ProposalToGnatt[[#This Row],[Start Date]],AM$29&lt;ProposalToGnatt[[#This Row],[Start Date]]+ProposalToGnatt[[#This Row],[Days]]),$G$5,"")),"")</f>
        <v/>
      </c>
      <c r="AN48" s="37" t="str">
        <f ca="1">IFERROR(+IF(AN$29=ProposalToGnatt[[#This Row],[Start Date]],Milestone_Marker,IF(AND(AN$29&gt;ProposalToGnatt[[#This Row],[Start Date]],AN$29&lt;ProposalToGnatt[[#This Row],[Start Date]]+ProposalToGnatt[[#This Row],[Days]]),$G$5,"")),"")</f>
        <v/>
      </c>
      <c r="AO48" s="37" t="str">
        <f ca="1">IFERROR(+IF(AO$29=ProposalToGnatt[[#This Row],[Start Date]],Milestone_Marker,IF(AND(AO$29&gt;ProposalToGnatt[[#This Row],[Start Date]],AO$29&lt;ProposalToGnatt[[#This Row],[Start Date]]+ProposalToGnatt[[#This Row],[Days]]),$G$5,"")),"")</f>
        <v/>
      </c>
      <c r="AP48" s="37" t="str">
        <f ca="1">IFERROR(+IF(AP$29=ProposalToGnatt[[#This Row],[Start Date]],Milestone_Marker,IF(AND(AP$29&gt;ProposalToGnatt[[#This Row],[Start Date]],AP$29&lt;ProposalToGnatt[[#This Row],[Start Date]]+ProposalToGnatt[[#This Row],[Days]]),$G$5,"")),"")</f>
        <v/>
      </c>
      <c r="AQ48" s="37" t="str">
        <f ca="1">IFERROR(+IF(AQ$29=ProposalToGnatt[[#This Row],[Start Date]],Milestone_Marker,IF(AND(AQ$29&gt;ProposalToGnatt[[#This Row],[Start Date]],AQ$29&lt;ProposalToGnatt[[#This Row],[Start Date]]+ProposalToGnatt[[#This Row],[Days]]),$G$5,"")),"")</f>
        <v/>
      </c>
      <c r="AR48" s="37" t="str">
        <f ca="1">IFERROR(+IF(AR$29=ProposalToGnatt[[#This Row],[Start Date]],Milestone_Marker,IF(AND(AR$29&gt;ProposalToGnatt[[#This Row],[Start Date]],AR$29&lt;ProposalToGnatt[[#This Row],[Start Date]]+ProposalToGnatt[[#This Row],[Days]]),$G$5,"")),"")</f>
        <v/>
      </c>
      <c r="AS48" s="37" t="str">
        <f ca="1">IFERROR(+IF(AS$29=ProposalToGnatt[[#This Row],[Start Date]],Milestone_Marker,IF(AND(AS$29&gt;ProposalToGnatt[[#This Row],[Start Date]],AS$29&lt;ProposalToGnatt[[#This Row],[Start Date]]+ProposalToGnatt[[#This Row],[Days]]),$G$5,"")),"")</f>
        <v/>
      </c>
      <c r="AT48" s="37" t="str">
        <f ca="1">IFERROR(+IF(AT$29=ProposalToGnatt[[#This Row],[Start Date]],Milestone_Marker,IF(AND(AT$29&gt;ProposalToGnatt[[#This Row],[Start Date]],AT$29&lt;ProposalToGnatt[[#This Row],[Start Date]]+ProposalToGnatt[[#This Row],[Days]]),$G$5,"")),"")</f>
        <v/>
      </c>
      <c r="AU48" s="37" t="str">
        <f ca="1">IFERROR(+IF(AU$29=ProposalToGnatt[[#This Row],[Start Date]],Milestone_Marker,IF(AND(AU$29&gt;ProposalToGnatt[[#This Row],[Start Date]],AU$29&lt;ProposalToGnatt[[#This Row],[Start Date]]+ProposalToGnatt[[#This Row],[Days]]),$G$5,"")),"")</f>
        <v/>
      </c>
      <c r="AV48" s="37" t="str">
        <f ca="1">IFERROR(+IF(AV$29=ProposalToGnatt[[#This Row],[Start Date]],Milestone_Marker,IF(AND(AV$29&gt;ProposalToGnatt[[#This Row],[Start Date]],AV$29&lt;ProposalToGnatt[[#This Row],[Start Date]]+ProposalToGnatt[[#This Row],[Days]]),$G$5,"")),"")</f>
        <v/>
      </c>
      <c r="AW48" s="37" t="str">
        <f ca="1">IFERROR(+IF(AW$29=ProposalToGnatt[[#This Row],[Start Date]],Milestone_Marker,IF(AND(AW$29&gt;ProposalToGnatt[[#This Row],[Start Date]],AW$29&lt;ProposalToGnatt[[#This Row],[Start Date]]+ProposalToGnatt[[#This Row],[Days]]),$G$5,"")),"")</f>
        <v/>
      </c>
      <c r="AX48" s="37" t="str">
        <f ca="1">IFERROR(+IF(AX$29=ProposalToGnatt[[#This Row],[Start Date]],Milestone_Marker,IF(AND(AX$29&gt;ProposalToGnatt[[#This Row],[Start Date]],AX$29&lt;ProposalToGnatt[[#This Row],[Start Date]]+ProposalToGnatt[[#This Row],[Days]]),$G$5,"")),"")</f>
        <v/>
      </c>
      <c r="AY48" s="37" t="str">
        <f ca="1">IFERROR(+IF(AY$29=ProposalToGnatt[[#This Row],[Start Date]],Milestone_Marker,IF(AND(AY$29&gt;ProposalToGnatt[[#This Row],[Start Date]],AY$29&lt;ProposalToGnatt[[#This Row],[Start Date]]+ProposalToGnatt[[#This Row],[Days]]),$G$5,"")),"")</f>
        <v/>
      </c>
      <c r="AZ48" s="37" t="str">
        <f ca="1">IFERROR(+IF(AZ$29=ProposalToGnatt[[#This Row],[Start Date]],Milestone_Marker,IF(AND(AZ$29&gt;ProposalToGnatt[[#This Row],[Start Date]],AZ$29&lt;ProposalToGnatt[[#This Row],[Start Date]]+ProposalToGnatt[[#This Row],[Days]]),$G$5,"")),"")</f>
        <v/>
      </c>
      <c r="BA48" s="37" t="str">
        <f ca="1">IFERROR(+IF(BA$29=ProposalToGnatt[[#This Row],[Start Date]],Milestone_Marker,IF(AND(BA$29&gt;ProposalToGnatt[[#This Row],[Start Date]],BA$29&lt;ProposalToGnatt[[#This Row],[Start Date]]+ProposalToGnatt[[#This Row],[Days]]),$G$5,"")),"")</f>
        <v/>
      </c>
      <c r="BB48" s="37" t="str">
        <f ca="1">IFERROR(+IF(BB$29=ProposalToGnatt[[#This Row],[Start Date]],Milestone_Marker,IF(AND(BB$29&gt;ProposalToGnatt[[#This Row],[Start Date]],BB$29&lt;ProposalToGnatt[[#This Row],[Start Date]]+ProposalToGnatt[[#This Row],[Days]]),$G$5,"")),"")</f>
        <v/>
      </c>
      <c r="BC48" s="37" t="str">
        <f ca="1">IFERROR(+IF(BC$29=ProposalToGnatt[[#This Row],[Start Date]],Milestone_Marker,IF(AND(BC$29&gt;ProposalToGnatt[[#This Row],[Start Date]],BC$29&lt;ProposalToGnatt[[#This Row],[Start Date]]+ProposalToGnatt[[#This Row],[Days]]),$G$5,"")),"")</f>
        <v/>
      </c>
      <c r="BD48" s="37" t="str">
        <f ca="1">IFERROR(+IF(BD$29=ProposalToGnatt[[#This Row],[Start Date]],Milestone_Marker,IF(AND(BD$29&gt;ProposalToGnatt[[#This Row],[Start Date]],BD$29&lt;ProposalToGnatt[[#This Row],[Start Date]]+ProposalToGnatt[[#This Row],[Days]]),$G$5,"")),"")</f>
        <v/>
      </c>
      <c r="BE48" s="37" t="str">
        <f ca="1">IFERROR(+IF(BE$29=ProposalToGnatt[[#This Row],[Start Date]],Milestone_Marker,IF(AND(BE$29&gt;ProposalToGnatt[[#This Row],[Start Date]],BE$29&lt;ProposalToGnatt[[#This Row],[Start Date]]+ProposalToGnatt[[#This Row],[Days]]),$G$5,"")),"")</f>
        <v/>
      </c>
      <c r="BF48" s="37" t="str">
        <f ca="1">IFERROR(+IF(BF$29=ProposalToGnatt[[#This Row],[Start Date]],Milestone_Marker,IF(AND(BF$29&gt;ProposalToGnatt[[#This Row],[Start Date]],BF$29&lt;ProposalToGnatt[[#This Row],[Start Date]]+ProposalToGnatt[[#This Row],[Days]]),$G$5,"")),"")</f>
        <v/>
      </c>
      <c r="BG48" s="37" t="str">
        <f ca="1">IFERROR(+IF(BG$29=ProposalToGnatt[[#This Row],[Start Date]],Milestone_Marker,IF(AND(BG$29&gt;ProposalToGnatt[[#This Row],[Start Date]],BG$29&lt;ProposalToGnatt[[#This Row],[Start Date]]+ProposalToGnatt[[#This Row],[Days]]),$G$5,"")),"")</f>
        <v/>
      </c>
      <c r="BH48" s="37" t="str">
        <f ca="1">IFERROR(+IF(BH$29=ProposalToGnatt[[#This Row],[Start Date]],Milestone_Marker,IF(AND(BH$29&gt;ProposalToGnatt[[#This Row],[Start Date]],BH$29&lt;ProposalToGnatt[[#This Row],[Start Date]]+ProposalToGnatt[[#This Row],[Days]]),$G$5,"")),"")</f>
        <v/>
      </c>
      <c r="BI48" s="37" t="str">
        <f ca="1">IFERROR(+IF(BI$29=ProposalToGnatt[[#This Row],[Start Date]],Milestone_Marker,IF(AND(BI$29&gt;ProposalToGnatt[[#This Row],[Start Date]],BI$29&lt;ProposalToGnatt[[#This Row],[Start Date]]+ProposalToGnatt[[#This Row],[Days]]),$G$5,"")),"")</f>
        <v/>
      </c>
      <c r="BJ48" s="37" t="str">
        <f ca="1">IFERROR(+IF(BJ$29=ProposalToGnatt[[#This Row],[Start Date]],Milestone_Marker,IF(AND(BJ$29&gt;ProposalToGnatt[[#This Row],[Start Date]],BJ$29&lt;ProposalToGnatt[[#This Row],[Start Date]]+ProposalToGnatt[[#This Row],[Days]]),$G$5,"")),"")</f>
        <v/>
      </c>
      <c r="BK48" s="37" t="str">
        <f ca="1">IFERROR(+IF(BK$29=ProposalToGnatt[[#This Row],[Start Date]],Milestone_Marker,IF(AND(BK$29&gt;ProposalToGnatt[[#This Row],[Start Date]],BK$29&lt;ProposalToGnatt[[#This Row],[Start Date]]+ProposalToGnatt[[#This Row],[Days]]),$G$5,"")),"")</f>
        <v/>
      </c>
      <c r="BL48" s="37" t="str">
        <f ca="1">IFERROR(+IF(BL$29=ProposalToGnatt[[#This Row],[Start Date]],Milestone_Marker,IF(AND(BL$29&gt;ProposalToGnatt[[#This Row],[Start Date]],BL$29&lt;ProposalToGnatt[[#This Row],[Start Date]]+ProposalToGnatt[[#This Row],[Days]]),$G$5,"")),"")</f>
        <v/>
      </c>
      <c r="BM48" s="37" t="str">
        <f ca="1">IFERROR(+IF(BM$29=ProposalToGnatt[[#This Row],[Start Date]],Milestone_Marker,IF(AND(BM$29&gt;ProposalToGnatt[[#This Row],[Start Date]],BM$29&lt;ProposalToGnatt[[#This Row],[Start Date]]+ProposalToGnatt[[#This Row],[Days]]),$G$5,"")),"")</f>
        <v/>
      </c>
      <c r="BN48" s="37" t="str">
        <f ca="1">IFERROR(+IF(BN$29=ProposalToGnatt[[#This Row],[Start Date]],Milestone_Marker,IF(AND(BN$29&gt;ProposalToGnatt[[#This Row],[Start Date]],BN$29&lt;ProposalToGnatt[[#This Row],[Start Date]]+ProposalToGnatt[[#This Row],[Days]]),$G$5,"")),"")</f>
        <v/>
      </c>
      <c r="BO48" s="37" t="str">
        <f ca="1">IFERROR(+IF(BO$29=ProposalToGnatt[[#This Row],[Start Date]],Milestone_Marker,IF(AND(BO$29&gt;ProposalToGnatt[[#This Row],[Start Date]],BO$29&lt;ProposalToGnatt[[#This Row],[Start Date]]+ProposalToGnatt[[#This Row],[Days]]),$G$5,"")),"")</f>
        <v/>
      </c>
      <c r="BP48" s="37" t="str">
        <f ca="1">IFERROR(+IF(BP$29=ProposalToGnatt[[#This Row],[Start Date]],Milestone_Marker,IF(AND(BP$29&gt;ProposalToGnatt[[#This Row],[Start Date]],BP$29&lt;ProposalToGnatt[[#This Row],[Start Date]]+ProposalToGnatt[[#This Row],[Days]]),$G$5,"")),"")</f>
        <v/>
      </c>
      <c r="BQ48" s="37" t="str">
        <f ca="1">IFERROR(+IF(BQ$29=ProposalToGnatt[[#This Row],[Start Date]],Milestone_Marker,IF(AND(BQ$29&gt;ProposalToGnatt[[#This Row],[Start Date]],BQ$29&lt;ProposalToGnatt[[#This Row],[Start Date]]+ProposalToGnatt[[#This Row],[Days]]),$G$5,"")),"")</f>
        <v/>
      </c>
      <c r="BR48" s="37" t="str">
        <f ca="1">IFERROR(+IF(BR$29=ProposalToGnatt[[#This Row],[Start Date]],Milestone_Marker,IF(AND(BR$29&gt;ProposalToGnatt[[#This Row],[Start Date]],BR$29&lt;ProposalToGnatt[[#This Row],[Start Date]]+ProposalToGnatt[[#This Row],[Days]]),$G$5,"")),"")</f>
        <v/>
      </c>
      <c r="BS48" s="37" t="str">
        <f ca="1">IFERROR(+IF(BS$29=ProposalToGnatt[[#This Row],[Start Date]],Milestone_Marker,IF(AND(BS$29&gt;ProposalToGnatt[[#This Row],[Start Date]],BS$29&lt;ProposalToGnatt[[#This Row],[Start Date]]+ProposalToGnatt[[#This Row],[Days]]),$G$5,"")),"")</f>
        <v/>
      </c>
      <c r="BT48" s="37" t="str">
        <f ca="1">IFERROR(+IF(BT$29=ProposalToGnatt[[#This Row],[Start Date]],Milestone_Marker,IF(AND(BT$29&gt;ProposalToGnatt[[#This Row],[Start Date]],BT$29&lt;ProposalToGnatt[[#This Row],[Start Date]]+ProposalToGnatt[[#This Row],[Days]]),$G$5,"")),"")</f>
        <v/>
      </c>
      <c r="BU48" s="37" t="str">
        <f ca="1">IFERROR(+IF(BU$29=ProposalToGnatt[[#This Row],[Start Date]],Milestone_Marker,IF(AND(BU$29&gt;ProposalToGnatt[[#This Row],[Start Date]],BU$29&lt;ProposalToGnatt[[#This Row],[Start Date]]+ProposalToGnatt[[#This Row],[Days]]),$G$5,"")),"")</f>
        <v/>
      </c>
      <c r="BV48" s="37" t="str">
        <f ca="1">IFERROR(+IF(BV$29=ProposalToGnatt[[#This Row],[Start Date]],Milestone_Marker,IF(AND(BV$29&gt;ProposalToGnatt[[#This Row],[Start Date]],BV$29&lt;ProposalToGnatt[[#This Row],[Start Date]]+ProposalToGnatt[[#This Row],[Days]]),$G$5,"")),"")</f>
        <v/>
      </c>
      <c r="BW48" s="37" t="str">
        <f ca="1">IFERROR(+IF(BW$29=ProposalToGnatt[[#This Row],[Start Date]],Milestone_Marker,IF(AND(BW$29&gt;ProposalToGnatt[[#This Row],[Start Date]],BW$29&lt;ProposalToGnatt[[#This Row],[Start Date]]+ProposalToGnatt[[#This Row],[Days]]),$G$5,"")),"")</f>
        <v/>
      </c>
      <c r="BX48" s="37" t="str">
        <f ca="1">IFERROR(+IF(BX$29=ProposalToGnatt[[#This Row],[Start Date]],Milestone_Marker,IF(AND(BX$29&gt;ProposalToGnatt[[#This Row],[Start Date]],BX$29&lt;ProposalToGnatt[[#This Row],[Start Date]]+ProposalToGnatt[[#This Row],[Days]]),$G$5,"")),"")</f>
        <v/>
      </c>
      <c r="BY48" s="37" t="str">
        <f ca="1">IFERROR(+IF(BY$29=ProposalToGnatt[[#This Row],[Start Date]],Milestone_Marker,IF(AND(BY$29&gt;ProposalToGnatt[[#This Row],[Start Date]],BY$29&lt;ProposalToGnatt[[#This Row],[Start Date]]+ProposalToGnatt[[#This Row],[Days]]),$G$5,"")),"")</f>
        <v/>
      </c>
      <c r="BZ48" s="37" t="str">
        <f ca="1">IFERROR(+IF(BZ$29=ProposalToGnatt[[#This Row],[Start Date]],Milestone_Marker,IF(AND(BZ$29&gt;ProposalToGnatt[[#This Row],[Start Date]],BZ$29&lt;ProposalToGnatt[[#This Row],[Start Date]]+ProposalToGnatt[[#This Row],[Days]]),$G$5,"")),"")</f>
        <v/>
      </c>
      <c r="CA48" s="37" t="str">
        <f ca="1">IFERROR(+IF(CA$29=ProposalToGnatt[[#This Row],[Start Date]],Milestone_Marker,IF(AND(CA$29&gt;ProposalToGnatt[[#This Row],[Start Date]],CA$29&lt;ProposalToGnatt[[#This Row],[Start Date]]+ProposalToGnatt[[#This Row],[Days]]),$G$5,"")),"")</f>
        <v/>
      </c>
      <c r="CB48" s="37" t="str">
        <f ca="1">IFERROR(+IF(CB$29=ProposalToGnatt[[#This Row],[Start Date]],Milestone_Marker,IF(AND(CB$29&gt;ProposalToGnatt[[#This Row],[Start Date]],CB$29&lt;ProposalToGnatt[[#This Row],[Start Date]]+ProposalToGnatt[[#This Row],[Days]]),$G$5,"")),"")</f>
        <v/>
      </c>
      <c r="CC48" s="37" t="str">
        <f ca="1">IFERROR(+IF(CC$29=ProposalToGnatt[[#This Row],[Start Date]],Milestone_Marker,IF(AND(CC$29&gt;ProposalToGnatt[[#This Row],[Start Date]],CC$29&lt;ProposalToGnatt[[#This Row],[Start Date]]+ProposalToGnatt[[#This Row],[Days]]),$G$5,"")),"")</f>
        <v/>
      </c>
      <c r="CD48" s="37" t="str">
        <f ca="1">IFERROR(+IF(CD$29=ProposalToGnatt[[#This Row],[Start Date]],Milestone_Marker,IF(AND(CD$29&gt;ProposalToGnatt[[#This Row],[Start Date]],CD$29&lt;ProposalToGnatt[[#This Row],[Start Date]]+ProposalToGnatt[[#This Row],[Days]]),$G$5,"")),"")</f>
        <v/>
      </c>
      <c r="CE48" s="37" t="str">
        <f ca="1">IFERROR(+IF(CE$29=ProposalToGnatt[[#This Row],[Start Date]],Milestone_Marker,IF(AND(CE$29&gt;ProposalToGnatt[[#This Row],[Start Date]],CE$29&lt;ProposalToGnatt[[#This Row],[Start Date]]+ProposalToGnatt[[#This Row],[Days]]),$G$5,"")),"")</f>
        <v/>
      </c>
      <c r="CF48" s="37" t="str">
        <f ca="1">IFERROR(+IF(CF$29=ProposalToGnatt[[#This Row],[Start Date]],Milestone_Marker,IF(AND(CF$29&gt;ProposalToGnatt[[#This Row],[Start Date]],CF$29&lt;ProposalToGnatt[[#This Row],[Start Date]]+ProposalToGnatt[[#This Row],[Days]]),$G$5,"")),"")</f>
        <v/>
      </c>
      <c r="CG48" s="37" t="str">
        <f ca="1">IFERROR(+IF(CG$29=ProposalToGnatt[[#This Row],[Start Date]],Milestone_Marker,IF(AND(CG$29&gt;ProposalToGnatt[[#This Row],[Start Date]],CG$29&lt;ProposalToGnatt[[#This Row],[Start Date]]+ProposalToGnatt[[#This Row],[Days]]),$G$5,"")),"")</f>
        <v/>
      </c>
      <c r="CH48" s="37" t="str">
        <f ca="1">IFERROR(+IF(CH$29=ProposalToGnatt[[#This Row],[Start Date]],Milestone_Marker,IF(AND(CH$29&gt;ProposalToGnatt[[#This Row],[Start Date]],CH$29&lt;ProposalToGnatt[[#This Row],[Start Date]]+ProposalToGnatt[[#This Row],[Days]]),$G$5,"")),"")</f>
        <v/>
      </c>
      <c r="CI48" s="37" t="str">
        <f ca="1">IFERROR(+IF(CI$29=ProposalToGnatt[[#This Row],[Start Date]],Milestone_Marker,IF(AND(CI$29&gt;ProposalToGnatt[[#This Row],[Start Date]],CI$29&lt;ProposalToGnatt[[#This Row],[Start Date]]+ProposalToGnatt[[#This Row],[Days]]),$G$5,"")),"")</f>
        <v/>
      </c>
      <c r="CJ48" s="37" t="str">
        <f ca="1">IFERROR(+IF(CJ$29=ProposalToGnatt[[#This Row],[Start Date]],Milestone_Marker,IF(AND(CJ$29&gt;ProposalToGnatt[[#This Row],[Start Date]],CJ$29&lt;ProposalToGnatt[[#This Row],[Start Date]]+ProposalToGnatt[[#This Row],[Days]]),$G$5,"")),"")</f>
        <v/>
      </c>
      <c r="CK48" s="37" t="str">
        <f ca="1">IFERROR(+IF(CK$29=ProposalToGnatt[[#This Row],[Start Date]],Milestone_Marker,IF(AND(CK$29&gt;ProposalToGnatt[[#This Row],[Start Date]],CK$29&lt;ProposalToGnatt[[#This Row],[Start Date]]+ProposalToGnatt[[#This Row],[Days]]),$G$5,"")),"")</f>
        <v/>
      </c>
      <c r="CL48" s="37" t="str">
        <f ca="1">IFERROR(+IF(CL$29=ProposalToGnatt[[#This Row],[Start Date]],Milestone_Marker,IF(AND(CL$29&gt;ProposalToGnatt[[#This Row],[Start Date]],CL$29&lt;ProposalToGnatt[[#This Row],[Start Date]]+ProposalToGnatt[[#This Row],[Days]]),$G$5,"")),"")</f>
        <v/>
      </c>
      <c r="CM48" s="37" t="str">
        <f ca="1">IFERROR(+IF(CM$29=ProposalToGnatt[[#This Row],[Start Date]],Milestone_Marker,IF(AND(CM$29&gt;ProposalToGnatt[[#This Row],[Start Date]],CM$29&lt;ProposalToGnatt[[#This Row],[Start Date]]+ProposalToGnatt[[#This Row],[Days]]),$G$5,"")),"")</f>
        <v/>
      </c>
      <c r="CN48" s="37" t="str">
        <f ca="1">IFERROR(+IF(CN$29=ProposalToGnatt[[#This Row],[Start Date]],Milestone_Marker,IF(AND(CN$29&gt;ProposalToGnatt[[#This Row],[Start Date]],CN$29&lt;ProposalToGnatt[[#This Row],[Start Date]]+ProposalToGnatt[[#This Row],[Days]]),$G$5,"")),"")</f>
        <v/>
      </c>
      <c r="CO48" s="37" t="str">
        <f ca="1">IFERROR(+IF(CO$29=ProposalToGnatt[[#This Row],[Start Date]],Milestone_Marker,IF(AND(CO$29&gt;ProposalToGnatt[[#This Row],[Start Date]],CO$29&lt;ProposalToGnatt[[#This Row],[Start Date]]+ProposalToGnatt[[#This Row],[Days]]),$G$5,"")),"")</f>
        <v/>
      </c>
      <c r="CP48" s="37" t="str">
        <f ca="1">IFERROR(+IF(CP$29=ProposalToGnatt[[#This Row],[Start Date]],Milestone_Marker,IF(AND(CP$29&gt;ProposalToGnatt[[#This Row],[Start Date]],CP$29&lt;ProposalToGnatt[[#This Row],[Start Date]]+ProposalToGnatt[[#This Row],[Days]]),$G$5,"")),"")</f>
        <v/>
      </c>
      <c r="CQ48" s="37" t="str">
        <f ca="1">IFERROR(+IF(CQ$29=ProposalToGnatt[[#This Row],[Start Date]],Milestone_Marker,IF(AND(CQ$29&gt;ProposalToGnatt[[#This Row],[Start Date]],CQ$29&lt;ProposalToGnatt[[#This Row],[Start Date]]+ProposalToGnatt[[#This Row],[Days]]),$G$5,"")),"")</f>
        <v/>
      </c>
      <c r="CR48" s="37" t="str">
        <f ca="1">IFERROR(+IF(CR$29=ProposalToGnatt[[#This Row],[Start Date]],Milestone_Marker,IF(AND(CR$29&gt;ProposalToGnatt[[#This Row],[Start Date]],CR$29&lt;ProposalToGnatt[[#This Row],[Start Date]]+ProposalToGnatt[[#This Row],[Days]]),$G$5,"")),"")</f>
        <v/>
      </c>
      <c r="CS48" s="37" t="str">
        <f ca="1">IFERROR(+IF(CS$29=ProposalToGnatt[[#This Row],[Start Date]],Milestone_Marker,IF(AND(CS$29&gt;ProposalToGnatt[[#This Row],[Start Date]],CS$29&lt;ProposalToGnatt[[#This Row],[Start Date]]+ProposalToGnatt[[#This Row],[Days]]),$G$5,"")),"")</f>
        <v/>
      </c>
      <c r="CT48" s="37" t="str">
        <f ca="1">IFERROR(+IF(CT$29=ProposalToGnatt[[#This Row],[Start Date]],Milestone_Marker,IF(AND(CT$29&gt;ProposalToGnatt[[#This Row],[Start Date]],CT$29&lt;ProposalToGnatt[[#This Row],[Start Date]]+ProposalToGnatt[[#This Row],[Days]]),$G$5,"")),"")</f>
        <v/>
      </c>
      <c r="CU48" s="37" t="str">
        <f ca="1">IFERROR(+IF(CU$29=ProposalToGnatt[[#This Row],[Start Date]],Milestone_Marker,IF(AND(CU$29&gt;ProposalToGnatt[[#This Row],[Start Date]],CU$29&lt;ProposalToGnatt[[#This Row],[Start Date]]+ProposalToGnatt[[#This Row],[Days]]),$G$5,"")),"")</f>
        <v/>
      </c>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row>
    <row r="49" spans="1:125" s="42" customFormat="1" ht="15">
      <c r="A49"/>
      <c r="B49"/>
      <c r="C49"/>
      <c r="D49"/>
      <c r="E49"/>
      <c r="F49"/>
      <c r="G49" s="11"/>
      <c r="H49" s="26"/>
      <c r="I49"/>
      <c r="J49"/>
      <c r="K49" s="402"/>
      <c r="L49"/>
      <c r="M49"/>
      <c r="N49"/>
      <c r="O49" s="26"/>
      <c r="P49" s="37" t="str">
        <f ca="1">IFERROR(+IF(P$29=ProposalToGnatt[[#This Row],[Start Date]],Milestone_Marker,IF(AND(P$29&gt;ProposalToGnatt[[#This Row],[Start Date]],P$29&lt;ProposalToGnatt[[#This Row],[Start Date]]+ProposalToGnatt[[#This Row],[Days]]),$G$5,"")),"")</f>
        <v/>
      </c>
      <c r="Q49" s="37" t="str">
        <f ca="1">IFERROR(+IF(Q$29=ProposalToGnatt[[#This Row],[Start Date]],Milestone_Marker,IF(AND(Q$29&gt;ProposalToGnatt[[#This Row],[Start Date]],Q$29&lt;ProposalToGnatt[[#This Row],[Start Date]]+ProposalToGnatt[[#This Row],[Days]]),$G$5,"")),"")</f>
        <v/>
      </c>
      <c r="R49" s="37" t="str">
        <f ca="1">IFERROR(+IF(R$29=ProposalToGnatt[[#This Row],[Start Date]],Milestone_Marker,IF(AND(R$29&gt;ProposalToGnatt[[#This Row],[Start Date]],R$29&lt;ProposalToGnatt[[#This Row],[Start Date]]+ProposalToGnatt[[#This Row],[Days]]),$G$5,"")),"")</f>
        <v/>
      </c>
      <c r="S49" s="37" t="str">
        <f ca="1">IFERROR(+IF(S$29=ProposalToGnatt[[#This Row],[Start Date]],Milestone_Marker,IF(AND(S$29&gt;ProposalToGnatt[[#This Row],[Start Date]],S$29&lt;ProposalToGnatt[[#This Row],[Start Date]]+ProposalToGnatt[[#This Row],[Days]]),$G$5,"")),"")</f>
        <v/>
      </c>
      <c r="T49" s="37" t="str">
        <f ca="1">IFERROR(+IF(T$29=ProposalToGnatt[[#This Row],[Start Date]],Milestone_Marker,IF(AND(T$29&gt;ProposalToGnatt[[#This Row],[Start Date]],T$29&lt;ProposalToGnatt[[#This Row],[Start Date]]+ProposalToGnatt[[#This Row],[Days]]),$G$5,"")),"")</f>
        <v/>
      </c>
      <c r="U49" s="37" t="str">
        <f ca="1">IFERROR(+IF(U$29=ProposalToGnatt[[#This Row],[Start Date]],Milestone_Marker,IF(AND(U$29&gt;ProposalToGnatt[[#This Row],[Start Date]],U$29&lt;ProposalToGnatt[[#This Row],[Start Date]]+ProposalToGnatt[[#This Row],[Days]]),$G$5,"")),"")</f>
        <v/>
      </c>
      <c r="V49" s="37" t="str">
        <f ca="1">IFERROR(+IF(V$29=ProposalToGnatt[[#This Row],[Start Date]],Milestone_Marker,IF(AND(V$29&gt;ProposalToGnatt[[#This Row],[Start Date]],V$29&lt;ProposalToGnatt[[#This Row],[Start Date]]+ProposalToGnatt[[#This Row],[Days]]),$G$5,"")),"")</f>
        <v/>
      </c>
      <c r="W49" s="37" t="str">
        <f ca="1">IFERROR(+IF(W$29=ProposalToGnatt[[#This Row],[Start Date]],Milestone_Marker,IF(AND(W$29&gt;ProposalToGnatt[[#This Row],[Start Date]],W$29&lt;ProposalToGnatt[[#This Row],[Start Date]]+ProposalToGnatt[[#This Row],[Days]]),$G$5,"")),"")</f>
        <v/>
      </c>
      <c r="X49" s="37" t="str">
        <f ca="1">IFERROR(+IF(X$29=ProposalToGnatt[[#This Row],[Start Date]],Milestone_Marker,IF(AND(X$29&gt;ProposalToGnatt[[#This Row],[Start Date]],X$29&lt;ProposalToGnatt[[#This Row],[Start Date]]+ProposalToGnatt[[#This Row],[Days]]),$G$5,"")),"")</f>
        <v/>
      </c>
      <c r="Y49" s="37" t="str">
        <f ca="1">IFERROR(+IF(Y$29=ProposalToGnatt[[#This Row],[Start Date]],Milestone_Marker,IF(AND(Y$29&gt;ProposalToGnatt[[#This Row],[Start Date]],Y$29&lt;ProposalToGnatt[[#This Row],[Start Date]]+ProposalToGnatt[[#This Row],[Days]]),$G$5,"")),"")</f>
        <v/>
      </c>
      <c r="Z49" s="37" t="str">
        <f ca="1">IFERROR(+IF(Z$29=ProposalToGnatt[[#This Row],[Start Date]],Milestone_Marker,IF(AND(Z$29&gt;ProposalToGnatt[[#This Row],[Start Date]],Z$29&lt;ProposalToGnatt[[#This Row],[Start Date]]+ProposalToGnatt[[#This Row],[Days]]),$G$5,"")),"")</f>
        <v/>
      </c>
      <c r="AA49" s="37" t="str">
        <f ca="1">IFERROR(+IF(AA$29=ProposalToGnatt[[#This Row],[Start Date]],Milestone_Marker,IF(AND(AA$29&gt;ProposalToGnatt[[#This Row],[Start Date]],AA$29&lt;ProposalToGnatt[[#This Row],[Start Date]]+ProposalToGnatt[[#This Row],[Days]]),$G$5,"")),"")</f>
        <v/>
      </c>
      <c r="AB49" s="37" t="str">
        <f ca="1">IFERROR(+IF(AB$29=ProposalToGnatt[[#This Row],[Start Date]],Milestone_Marker,IF(AND(AB$29&gt;ProposalToGnatt[[#This Row],[Start Date]],AB$29&lt;ProposalToGnatt[[#This Row],[Start Date]]+ProposalToGnatt[[#This Row],[Days]]),$G$5,"")),"")</f>
        <v/>
      </c>
      <c r="AC49" s="37" t="str">
        <f ca="1">IFERROR(+IF(AC$29=ProposalToGnatt[[#This Row],[Start Date]],Milestone_Marker,IF(AND(AC$29&gt;ProposalToGnatt[[#This Row],[Start Date]],AC$29&lt;ProposalToGnatt[[#This Row],[Start Date]]+ProposalToGnatt[[#This Row],[Days]]),$G$5,"")),"")</f>
        <v/>
      </c>
      <c r="AD49" s="37" t="str">
        <f ca="1">IFERROR(+IF(AD$29=ProposalToGnatt[[#This Row],[Start Date]],Milestone_Marker,IF(AND(AD$29&gt;ProposalToGnatt[[#This Row],[Start Date]],AD$29&lt;ProposalToGnatt[[#This Row],[Start Date]]+ProposalToGnatt[[#This Row],[Days]]),$G$5,"")),"")</f>
        <v/>
      </c>
      <c r="AE49" s="37" t="str">
        <f ca="1">IFERROR(+IF(AE$29=ProposalToGnatt[[#This Row],[Start Date]],Milestone_Marker,IF(AND(AE$29&gt;ProposalToGnatt[[#This Row],[Start Date]],AE$29&lt;ProposalToGnatt[[#This Row],[Start Date]]+ProposalToGnatt[[#This Row],[Days]]),$G$5,"")),"")</f>
        <v/>
      </c>
      <c r="AF49" s="37" t="str">
        <f ca="1">IFERROR(+IF(AF$29=ProposalToGnatt[[#This Row],[Start Date]],Milestone_Marker,IF(AND(AF$29&gt;ProposalToGnatt[[#This Row],[Start Date]],AF$29&lt;ProposalToGnatt[[#This Row],[Start Date]]+ProposalToGnatt[[#This Row],[Days]]),$G$5,"")),"")</f>
        <v/>
      </c>
      <c r="AG49" s="37" t="str">
        <f ca="1">IFERROR(+IF(AG$29=ProposalToGnatt[[#This Row],[Start Date]],Milestone_Marker,IF(AND(AG$29&gt;ProposalToGnatt[[#This Row],[Start Date]],AG$29&lt;ProposalToGnatt[[#This Row],[Start Date]]+ProposalToGnatt[[#This Row],[Days]]),$G$5,"")),"")</f>
        <v/>
      </c>
      <c r="AH49" s="37" t="str">
        <f ca="1">IFERROR(+IF(AH$29=ProposalToGnatt[[#This Row],[Start Date]],Milestone_Marker,IF(AND(AH$29&gt;ProposalToGnatt[[#This Row],[Start Date]],AH$29&lt;ProposalToGnatt[[#This Row],[Start Date]]+ProposalToGnatt[[#This Row],[Days]]),$G$5,"")),"")</f>
        <v/>
      </c>
      <c r="AI49" s="37" t="str">
        <f ca="1">IFERROR(+IF(AI$29=ProposalToGnatt[[#This Row],[Start Date]],Milestone_Marker,IF(AND(AI$29&gt;ProposalToGnatt[[#This Row],[Start Date]],AI$29&lt;ProposalToGnatt[[#This Row],[Start Date]]+ProposalToGnatt[[#This Row],[Days]]),$G$5,"")),"")</f>
        <v/>
      </c>
      <c r="AJ49" s="37" t="str">
        <f ca="1">IFERROR(+IF(AJ$29=ProposalToGnatt[[#This Row],[Start Date]],Milestone_Marker,IF(AND(AJ$29&gt;ProposalToGnatt[[#This Row],[Start Date]],AJ$29&lt;ProposalToGnatt[[#This Row],[Start Date]]+ProposalToGnatt[[#This Row],[Days]]),$G$5,"")),"")</f>
        <v/>
      </c>
      <c r="AK49" s="37" t="str">
        <f ca="1">IFERROR(+IF(AK$29=ProposalToGnatt[[#This Row],[Start Date]],Milestone_Marker,IF(AND(AK$29&gt;ProposalToGnatt[[#This Row],[Start Date]],AK$29&lt;ProposalToGnatt[[#This Row],[Start Date]]+ProposalToGnatt[[#This Row],[Days]]),$G$5,"")),"")</f>
        <v/>
      </c>
      <c r="AL49" s="37" t="str">
        <f ca="1">IFERROR(+IF(AL$29=ProposalToGnatt[[#This Row],[Start Date]],Milestone_Marker,IF(AND(AL$29&gt;ProposalToGnatt[[#This Row],[Start Date]],AL$29&lt;ProposalToGnatt[[#This Row],[Start Date]]+ProposalToGnatt[[#This Row],[Days]]),$G$5,"")),"")</f>
        <v/>
      </c>
      <c r="AM49" s="37" t="str">
        <f ca="1">IFERROR(+IF(AM$29=ProposalToGnatt[[#This Row],[Start Date]],Milestone_Marker,IF(AND(AM$29&gt;ProposalToGnatt[[#This Row],[Start Date]],AM$29&lt;ProposalToGnatt[[#This Row],[Start Date]]+ProposalToGnatt[[#This Row],[Days]]),$G$5,"")),"")</f>
        <v/>
      </c>
      <c r="AN49" s="37" t="str">
        <f ca="1">IFERROR(+IF(AN$29=ProposalToGnatt[[#This Row],[Start Date]],Milestone_Marker,IF(AND(AN$29&gt;ProposalToGnatt[[#This Row],[Start Date]],AN$29&lt;ProposalToGnatt[[#This Row],[Start Date]]+ProposalToGnatt[[#This Row],[Days]]),$G$5,"")),"")</f>
        <v/>
      </c>
      <c r="AO49" s="37" t="str">
        <f ca="1">IFERROR(+IF(AO$29=ProposalToGnatt[[#This Row],[Start Date]],Milestone_Marker,IF(AND(AO$29&gt;ProposalToGnatt[[#This Row],[Start Date]],AO$29&lt;ProposalToGnatt[[#This Row],[Start Date]]+ProposalToGnatt[[#This Row],[Days]]),$G$5,"")),"")</f>
        <v/>
      </c>
      <c r="AP49" s="37" t="str">
        <f ca="1">IFERROR(+IF(AP$29=ProposalToGnatt[[#This Row],[Start Date]],Milestone_Marker,IF(AND(AP$29&gt;ProposalToGnatt[[#This Row],[Start Date]],AP$29&lt;ProposalToGnatt[[#This Row],[Start Date]]+ProposalToGnatt[[#This Row],[Days]]),$G$5,"")),"")</f>
        <v/>
      </c>
      <c r="AQ49" s="37" t="str">
        <f ca="1">IFERROR(+IF(AQ$29=ProposalToGnatt[[#This Row],[Start Date]],Milestone_Marker,IF(AND(AQ$29&gt;ProposalToGnatt[[#This Row],[Start Date]],AQ$29&lt;ProposalToGnatt[[#This Row],[Start Date]]+ProposalToGnatt[[#This Row],[Days]]),$G$5,"")),"")</f>
        <v/>
      </c>
      <c r="AR49" s="37" t="str">
        <f ca="1">IFERROR(+IF(AR$29=ProposalToGnatt[[#This Row],[Start Date]],Milestone_Marker,IF(AND(AR$29&gt;ProposalToGnatt[[#This Row],[Start Date]],AR$29&lt;ProposalToGnatt[[#This Row],[Start Date]]+ProposalToGnatt[[#This Row],[Days]]),$G$5,"")),"")</f>
        <v/>
      </c>
      <c r="AS49" s="37" t="str">
        <f ca="1">IFERROR(+IF(AS$29=ProposalToGnatt[[#This Row],[Start Date]],Milestone_Marker,IF(AND(AS$29&gt;ProposalToGnatt[[#This Row],[Start Date]],AS$29&lt;ProposalToGnatt[[#This Row],[Start Date]]+ProposalToGnatt[[#This Row],[Days]]),$G$5,"")),"")</f>
        <v/>
      </c>
      <c r="AT49" s="37" t="str">
        <f ca="1">IFERROR(+IF(AT$29=ProposalToGnatt[[#This Row],[Start Date]],Milestone_Marker,IF(AND(AT$29&gt;ProposalToGnatt[[#This Row],[Start Date]],AT$29&lt;ProposalToGnatt[[#This Row],[Start Date]]+ProposalToGnatt[[#This Row],[Days]]),$G$5,"")),"")</f>
        <v/>
      </c>
      <c r="AU49" s="37" t="str">
        <f ca="1">IFERROR(+IF(AU$29=ProposalToGnatt[[#This Row],[Start Date]],Milestone_Marker,IF(AND(AU$29&gt;ProposalToGnatt[[#This Row],[Start Date]],AU$29&lt;ProposalToGnatt[[#This Row],[Start Date]]+ProposalToGnatt[[#This Row],[Days]]),$G$5,"")),"")</f>
        <v/>
      </c>
      <c r="AV49" s="37" t="str">
        <f ca="1">IFERROR(+IF(AV$29=ProposalToGnatt[[#This Row],[Start Date]],Milestone_Marker,IF(AND(AV$29&gt;ProposalToGnatt[[#This Row],[Start Date]],AV$29&lt;ProposalToGnatt[[#This Row],[Start Date]]+ProposalToGnatt[[#This Row],[Days]]),$G$5,"")),"")</f>
        <v/>
      </c>
      <c r="AW49" s="37" t="str">
        <f ca="1">IFERROR(+IF(AW$29=ProposalToGnatt[[#This Row],[Start Date]],Milestone_Marker,IF(AND(AW$29&gt;ProposalToGnatt[[#This Row],[Start Date]],AW$29&lt;ProposalToGnatt[[#This Row],[Start Date]]+ProposalToGnatt[[#This Row],[Days]]),$G$5,"")),"")</f>
        <v/>
      </c>
      <c r="AX49" s="37" t="str">
        <f ca="1">IFERROR(+IF(AX$29=ProposalToGnatt[[#This Row],[Start Date]],Milestone_Marker,IF(AND(AX$29&gt;ProposalToGnatt[[#This Row],[Start Date]],AX$29&lt;ProposalToGnatt[[#This Row],[Start Date]]+ProposalToGnatt[[#This Row],[Days]]),$G$5,"")),"")</f>
        <v/>
      </c>
      <c r="AY49" s="37" t="str">
        <f ca="1">IFERROR(+IF(AY$29=ProposalToGnatt[[#This Row],[Start Date]],Milestone_Marker,IF(AND(AY$29&gt;ProposalToGnatt[[#This Row],[Start Date]],AY$29&lt;ProposalToGnatt[[#This Row],[Start Date]]+ProposalToGnatt[[#This Row],[Days]]),$G$5,"")),"")</f>
        <v/>
      </c>
      <c r="AZ49" s="37" t="str">
        <f ca="1">IFERROR(+IF(AZ$29=ProposalToGnatt[[#This Row],[Start Date]],Milestone_Marker,IF(AND(AZ$29&gt;ProposalToGnatt[[#This Row],[Start Date]],AZ$29&lt;ProposalToGnatt[[#This Row],[Start Date]]+ProposalToGnatt[[#This Row],[Days]]),$G$5,"")),"")</f>
        <v/>
      </c>
      <c r="BA49" s="37" t="str">
        <f ca="1">IFERROR(+IF(BA$29=ProposalToGnatt[[#This Row],[Start Date]],Milestone_Marker,IF(AND(BA$29&gt;ProposalToGnatt[[#This Row],[Start Date]],BA$29&lt;ProposalToGnatt[[#This Row],[Start Date]]+ProposalToGnatt[[#This Row],[Days]]),$G$5,"")),"")</f>
        <v/>
      </c>
      <c r="BB49" s="37" t="str">
        <f ca="1">IFERROR(+IF(BB$29=ProposalToGnatt[[#This Row],[Start Date]],Milestone_Marker,IF(AND(BB$29&gt;ProposalToGnatt[[#This Row],[Start Date]],BB$29&lt;ProposalToGnatt[[#This Row],[Start Date]]+ProposalToGnatt[[#This Row],[Days]]),$G$5,"")),"")</f>
        <v/>
      </c>
      <c r="BC49" s="37" t="str">
        <f ca="1">IFERROR(+IF(BC$29=ProposalToGnatt[[#This Row],[Start Date]],Milestone_Marker,IF(AND(BC$29&gt;ProposalToGnatt[[#This Row],[Start Date]],BC$29&lt;ProposalToGnatt[[#This Row],[Start Date]]+ProposalToGnatt[[#This Row],[Days]]),$G$5,"")),"")</f>
        <v/>
      </c>
      <c r="BD49" s="37" t="str">
        <f ca="1">IFERROR(+IF(BD$29=ProposalToGnatt[[#This Row],[Start Date]],Milestone_Marker,IF(AND(BD$29&gt;ProposalToGnatt[[#This Row],[Start Date]],BD$29&lt;ProposalToGnatt[[#This Row],[Start Date]]+ProposalToGnatt[[#This Row],[Days]]),$G$5,"")),"")</f>
        <v/>
      </c>
      <c r="BE49" s="37" t="str">
        <f ca="1">IFERROR(+IF(BE$29=ProposalToGnatt[[#This Row],[Start Date]],Milestone_Marker,IF(AND(BE$29&gt;ProposalToGnatt[[#This Row],[Start Date]],BE$29&lt;ProposalToGnatt[[#This Row],[Start Date]]+ProposalToGnatt[[#This Row],[Days]]),$G$5,"")),"")</f>
        <v/>
      </c>
      <c r="BF49" s="37" t="str">
        <f ca="1">IFERROR(+IF(BF$29=ProposalToGnatt[[#This Row],[Start Date]],Milestone_Marker,IF(AND(BF$29&gt;ProposalToGnatt[[#This Row],[Start Date]],BF$29&lt;ProposalToGnatt[[#This Row],[Start Date]]+ProposalToGnatt[[#This Row],[Days]]),$G$5,"")),"")</f>
        <v/>
      </c>
      <c r="BG49" s="37" t="str">
        <f ca="1">IFERROR(+IF(BG$29=ProposalToGnatt[[#This Row],[Start Date]],Milestone_Marker,IF(AND(BG$29&gt;ProposalToGnatt[[#This Row],[Start Date]],BG$29&lt;ProposalToGnatt[[#This Row],[Start Date]]+ProposalToGnatt[[#This Row],[Days]]),$G$5,"")),"")</f>
        <v/>
      </c>
      <c r="BH49" s="37" t="str">
        <f ca="1">IFERROR(+IF(BH$29=ProposalToGnatt[[#This Row],[Start Date]],Milestone_Marker,IF(AND(BH$29&gt;ProposalToGnatt[[#This Row],[Start Date]],BH$29&lt;ProposalToGnatt[[#This Row],[Start Date]]+ProposalToGnatt[[#This Row],[Days]]),$G$5,"")),"")</f>
        <v/>
      </c>
      <c r="BI49" s="37" t="str">
        <f ca="1">IFERROR(+IF(BI$29=ProposalToGnatt[[#This Row],[Start Date]],Milestone_Marker,IF(AND(BI$29&gt;ProposalToGnatt[[#This Row],[Start Date]],BI$29&lt;ProposalToGnatt[[#This Row],[Start Date]]+ProposalToGnatt[[#This Row],[Days]]),$G$5,"")),"")</f>
        <v/>
      </c>
      <c r="BJ49" s="37" t="str">
        <f ca="1">IFERROR(+IF(BJ$29=ProposalToGnatt[[#This Row],[Start Date]],Milestone_Marker,IF(AND(BJ$29&gt;ProposalToGnatt[[#This Row],[Start Date]],BJ$29&lt;ProposalToGnatt[[#This Row],[Start Date]]+ProposalToGnatt[[#This Row],[Days]]),$G$5,"")),"")</f>
        <v/>
      </c>
      <c r="BK49" s="37" t="str">
        <f ca="1">IFERROR(+IF(BK$29=ProposalToGnatt[[#This Row],[Start Date]],Milestone_Marker,IF(AND(BK$29&gt;ProposalToGnatt[[#This Row],[Start Date]],BK$29&lt;ProposalToGnatt[[#This Row],[Start Date]]+ProposalToGnatt[[#This Row],[Days]]),$G$5,"")),"")</f>
        <v/>
      </c>
      <c r="BL49" s="37" t="str">
        <f ca="1">IFERROR(+IF(BL$29=ProposalToGnatt[[#This Row],[Start Date]],Milestone_Marker,IF(AND(BL$29&gt;ProposalToGnatt[[#This Row],[Start Date]],BL$29&lt;ProposalToGnatt[[#This Row],[Start Date]]+ProposalToGnatt[[#This Row],[Days]]),$G$5,"")),"")</f>
        <v/>
      </c>
      <c r="BM49" s="37" t="str">
        <f ca="1">IFERROR(+IF(BM$29=ProposalToGnatt[[#This Row],[Start Date]],Milestone_Marker,IF(AND(BM$29&gt;ProposalToGnatt[[#This Row],[Start Date]],BM$29&lt;ProposalToGnatt[[#This Row],[Start Date]]+ProposalToGnatt[[#This Row],[Days]]),$G$5,"")),"")</f>
        <v/>
      </c>
      <c r="BN49" s="37" t="str">
        <f ca="1">IFERROR(+IF(BN$29=ProposalToGnatt[[#This Row],[Start Date]],Milestone_Marker,IF(AND(BN$29&gt;ProposalToGnatt[[#This Row],[Start Date]],BN$29&lt;ProposalToGnatt[[#This Row],[Start Date]]+ProposalToGnatt[[#This Row],[Days]]),$G$5,"")),"")</f>
        <v/>
      </c>
      <c r="BO49" s="37" t="str">
        <f ca="1">IFERROR(+IF(BO$29=ProposalToGnatt[[#This Row],[Start Date]],Milestone_Marker,IF(AND(BO$29&gt;ProposalToGnatt[[#This Row],[Start Date]],BO$29&lt;ProposalToGnatt[[#This Row],[Start Date]]+ProposalToGnatt[[#This Row],[Days]]),$G$5,"")),"")</f>
        <v/>
      </c>
      <c r="BP49" s="37" t="str">
        <f ca="1">IFERROR(+IF(BP$29=ProposalToGnatt[[#This Row],[Start Date]],Milestone_Marker,IF(AND(BP$29&gt;ProposalToGnatt[[#This Row],[Start Date]],BP$29&lt;ProposalToGnatt[[#This Row],[Start Date]]+ProposalToGnatt[[#This Row],[Days]]),$G$5,"")),"")</f>
        <v/>
      </c>
      <c r="BQ49" s="37" t="str">
        <f ca="1">IFERROR(+IF(BQ$29=ProposalToGnatt[[#This Row],[Start Date]],Milestone_Marker,IF(AND(BQ$29&gt;ProposalToGnatt[[#This Row],[Start Date]],BQ$29&lt;ProposalToGnatt[[#This Row],[Start Date]]+ProposalToGnatt[[#This Row],[Days]]),$G$5,"")),"")</f>
        <v/>
      </c>
      <c r="BR49" s="37" t="str">
        <f ca="1">IFERROR(+IF(BR$29=ProposalToGnatt[[#This Row],[Start Date]],Milestone_Marker,IF(AND(BR$29&gt;ProposalToGnatt[[#This Row],[Start Date]],BR$29&lt;ProposalToGnatt[[#This Row],[Start Date]]+ProposalToGnatt[[#This Row],[Days]]),$G$5,"")),"")</f>
        <v/>
      </c>
      <c r="BS49" s="37" t="str">
        <f ca="1">IFERROR(+IF(BS$29=ProposalToGnatt[[#This Row],[Start Date]],Milestone_Marker,IF(AND(BS$29&gt;ProposalToGnatt[[#This Row],[Start Date]],BS$29&lt;ProposalToGnatt[[#This Row],[Start Date]]+ProposalToGnatt[[#This Row],[Days]]),$G$5,"")),"")</f>
        <v/>
      </c>
      <c r="BT49" s="37" t="str">
        <f ca="1">IFERROR(+IF(BT$29=ProposalToGnatt[[#This Row],[Start Date]],Milestone_Marker,IF(AND(BT$29&gt;ProposalToGnatt[[#This Row],[Start Date]],BT$29&lt;ProposalToGnatt[[#This Row],[Start Date]]+ProposalToGnatt[[#This Row],[Days]]),$G$5,"")),"")</f>
        <v/>
      </c>
      <c r="BU49" s="37" t="str">
        <f ca="1">IFERROR(+IF(BU$29=ProposalToGnatt[[#This Row],[Start Date]],Milestone_Marker,IF(AND(BU$29&gt;ProposalToGnatt[[#This Row],[Start Date]],BU$29&lt;ProposalToGnatt[[#This Row],[Start Date]]+ProposalToGnatt[[#This Row],[Days]]),$G$5,"")),"")</f>
        <v/>
      </c>
      <c r="BV49" s="37" t="str">
        <f ca="1">IFERROR(+IF(BV$29=ProposalToGnatt[[#This Row],[Start Date]],Milestone_Marker,IF(AND(BV$29&gt;ProposalToGnatt[[#This Row],[Start Date]],BV$29&lt;ProposalToGnatt[[#This Row],[Start Date]]+ProposalToGnatt[[#This Row],[Days]]),$G$5,"")),"")</f>
        <v/>
      </c>
      <c r="BW49" s="37" t="str">
        <f ca="1">IFERROR(+IF(BW$29=ProposalToGnatt[[#This Row],[Start Date]],Milestone_Marker,IF(AND(BW$29&gt;ProposalToGnatt[[#This Row],[Start Date]],BW$29&lt;ProposalToGnatt[[#This Row],[Start Date]]+ProposalToGnatt[[#This Row],[Days]]),$G$5,"")),"")</f>
        <v/>
      </c>
      <c r="BX49" s="37" t="str">
        <f ca="1">IFERROR(+IF(BX$29=ProposalToGnatt[[#This Row],[Start Date]],Milestone_Marker,IF(AND(BX$29&gt;ProposalToGnatt[[#This Row],[Start Date]],BX$29&lt;ProposalToGnatt[[#This Row],[Start Date]]+ProposalToGnatt[[#This Row],[Days]]),$G$5,"")),"")</f>
        <v/>
      </c>
      <c r="BY49" s="37" t="str">
        <f ca="1">IFERROR(+IF(BY$29=ProposalToGnatt[[#This Row],[Start Date]],Milestone_Marker,IF(AND(BY$29&gt;ProposalToGnatt[[#This Row],[Start Date]],BY$29&lt;ProposalToGnatt[[#This Row],[Start Date]]+ProposalToGnatt[[#This Row],[Days]]),$G$5,"")),"")</f>
        <v/>
      </c>
      <c r="BZ49" s="37" t="str">
        <f ca="1">IFERROR(+IF(BZ$29=ProposalToGnatt[[#This Row],[Start Date]],Milestone_Marker,IF(AND(BZ$29&gt;ProposalToGnatt[[#This Row],[Start Date]],BZ$29&lt;ProposalToGnatt[[#This Row],[Start Date]]+ProposalToGnatt[[#This Row],[Days]]),$G$5,"")),"")</f>
        <v/>
      </c>
      <c r="CA49" s="37" t="str">
        <f ca="1">IFERROR(+IF(CA$29=ProposalToGnatt[[#This Row],[Start Date]],Milestone_Marker,IF(AND(CA$29&gt;ProposalToGnatt[[#This Row],[Start Date]],CA$29&lt;ProposalToGnatt[[#This Row],[Start Date]]+ProposalToGnatt[[#This Row],[Days]]),$G$5,"")),"")</f>
        <v/>
      </c>
      <c r="CB49" s="37" t="str">
        <f ca="1">IFERROR(+IF(CB$29=ProposalToGnatt[[#This Row],[Start Date]],Milestone_Marker,IF(AND(CB$29&gt;ProposalToGnatt[[#This Row],[Start Date]],CB$29&lt;ProposalToGnatt[[#This Row],[Start Date]]+ProposalToGnatt[[#This Row],[Days]]),$G$5,"")),"")</f>
        <v/>
      </c>
      <c r="CC49" s="37" t="str">
        <f ca="1">IFERROR(+IF(CC$29=ProposalToGnatt[[#This Row],[Start Date]],Milestone_Marker,IF(AND(CC$29&gt;ProposalToGnatt[[#This Row],[Start Date]],CC$29&lt;ProposalToGnatt[[#This Row],[Start Date]]+ProposalToGnatt[[#This Row],[Days]]),$G$5,"")),"")</f>
        <v/>
      </c>
      <c r="CD49" s="37" t="str">
        <f ca="1">IFERROR(+IF(CD$29=ProposalToGnatt[[#This Row],[Start Date]],Milestone_Marker,IF(AND(CD$29&gt;ProposalToGnatt[[#This Row],[Start Date]],CD$29&lt;ProposalToGnatt[[#This Row],[Start Date]]+ProposalToGnatt[[#This Row],[Days]]),$G$5,"")),"")</f>
        <v/>
      </c>
      <c r="CE49" s="37" t="str">
        <f ca="1">IFERROR(+IF(CE$29=ProposalToGnatt[[#This Row],[Start Date]],Milestone_Marker,IF(AND(CE$29&gt;ProposalToGnatt[[#This Row],[Start Date]],CE$29&lt;ProposalToGnatt[[#This Row],[Start Date]]+ProposalToGnatt[[#This Row],[Days]]),$G$5,"")),"")</f>
        <v/>
      </c>
      <c r="CF49" s="37" t="str">
        <f ca="1">IFERROR(+IF(CF$29=ProposalToGnatt[[#This Row],[Start Date]],Milestone_Marker,IF(AND(CF$29&gt;ProposalToGnatt[[#This Row],[Start Date]],CF$29&lt;ProposalToGnatt[[#This Row],[Start Date]]+ProposalToGnatt[[#This Row],[Days]]),$G$5,"")),"")</f>
        <v/>
      </c>
      <c r="CG49" s="37" t="str">
        <f ca="1">IFERROR(+IF(CG$29=ProposalToGnatt[[#This Row],[Start Date]],Milestone_Marker,IF(AND(CG$29&gt;ProposalToGnatt[[#This Row],[Start Date]],CG$29&lt;ProposalToGnatt[[#This Row],[Start Date]]+ProposalToGnatt[[#This Row],[Days]]),$G$5,"")),"")</f>
        <v/>
      </c>
      <c r="CH49" s="37" t="str">
        <f ca="1">IFERROR(+IF(CH$29=ProposalToGnatt[[#This Row],[Start Date]],Milestone_Marker,IF(AND(CH$29&gt;ProposalToGnatt[[#This Row],[Start Date]],CH$29&lt;ProposalToGnatt[[#This Row],[Start Date]]+ProposalToGnatt[[#This Row],[Days]]),$G$5,"")),"")</f>
        <v/>
      </c>
      <c r="CI49" s="37" t="str">
        <f ca="1">IFERROR(+IF(CI$29=ProposalToGnatt[[#This Row],[Start Date]],Milestone_Marker,IF(AND(CI$29&gt;ProposalToGnatt[[#This Row],[Start Date]],CI$29&lt;ProposalToGnatt[[#This Row],[Start Date]]+ProposalToGnatt[[#This Row],[Days]]),$G$5,"")),"")</f>
        <v/>
      </c>
      <c r="CJ49" s="37" t="str">
        <f ca="1">IFERROR(+IF(CJ$29=ProposalToGnatt[[#This Row],[Start Date]],Milestone_Marker,IF(AND(CJ$29&gt;ProposalToGnatt[[#This Row],[Start Date]],CJ$29&lt;ProposalToGnatt[[#This Row],[Start Date]]+ProposalToGnatt[[#This Row],[Days]]),$G$5,"")),"")</f>
        <v/>
      </c>
      <c r="CK49" s="37" t="str">
        <f ca="1">IFERROR(+IF(CK$29=ProposalToGnatt[[#This Row],[Start Date]],Milestone_Marker,IF(AND(CK$29&gt;ProposalToGnatt[[#This Row],[Start Date]],CK$29&lt;ProposalToGnatt[[#This Row],[Start Date]]+ProposalToGnatt[[#This Row],[Days]]),$G$5,"")),"")</f>
        <v/>
      </c>
      <c r="CL49" s="37" t="str">
        <f ca="1">IFERROR(+IF(CL$29=ProposalToGnatt[[#This Row],[Start Date]],Milestone_Marker,IF(AND(CL$29&gt;ProposalToGnatt[[#This Row],[Start Date]],CL$29&lt;ProposalToGnatt[[#This Row],[Start Date]]+ProposalToGnatt[[#This Row],[Days]]),$G$5,"")),"")</f>
        <v/>
      </c>
      <c r="CM49" s="37" t="str">
        <f ca="1">IFERROR(+IF(CM$29=ProposalToGnatt[[#This Row],[Start Date]],Milestone_Marker,IF(AND(CM$29&gt;ProposalToGnatt[[#This Row],[Start Date]],CM$29&lt;ProposalToGnatt[[#This Row],[Start Date]]+ProposalToGnatt[[#This Row],[Days]]),$G$5,"")),"")</f>
        <v/>
      </c>
      <c r="CN49" s="37" t="str">
        <f ca="1">IFERROR(+IF(CN$29=ProposalToGnatt[[#This Row],[Start Date]],Milestone_Marker,IF(AND(CN$29&gt;ProposalToGnatt[[#This Row],[Start Date]],CN$29&lt;ProposalToGnatt[[#This Row],[Start Date]]+ProposalToGnatt[[#This Row],[Days]]),$G$5,"")),"")</f>
        <v/>
      </c>
      <c r="CO49" s="37" t="str">
        <f ca="1">IFERROR(+IF(CO$29=ProposalToGnatt[[#This Row],[Start Date]],Milestone_Marker,IF(AND(CO$29&gt;ProposalToGnatt[[#This Row],[Start Date]],CO$29&lt;ProposalToGnatt[[#This Row],[Start Date]]+ProposalToGnatt[[#This Row],[Days]]),$G$5,"")),"")</f>
        <v/>
      </c>
      <c r="CP49" s="37" t="str">
        <f ca="1">IFERROR(+IF(CP$29=ProposalToGnatt[[#This Row],[Start Date]],Milestone_Marker,IF(AND(CP$29&gt;ProposalToGnatt[[#This Row],[Start Date]],CP$29&lt;ProposalToGnatt[[#This Row],[Start Date]]+ProposalToGnatt[[#This Row],[Days]]),$G$5,"")),"")</f>
        <v/>
      </c>
      <c r="CQ49" s="37" t="str">
        <f ca="1">IFERROR(+IF(CQ$29=ProposalToGnatt[[#This Row],[Start Date]],Milestone_Marker,IF(AND(CQ$29&gt;ProposalToGnatt[[#This Row],[Start Date]],CQ$29&lt;ProposalToGnatt[[#This Row],[Start Date]]+ProposalToGnatt[[#This Row],[Days]]),$G$5,"")),"")</f>
        <v/>
      </c>
      <c r="CR49" s="37" t="str">
        <f ca="1">IFERROR(+IF(CR$29=ProposalToGnatt[[#This Row],[Start Date]],Milestone_Marker,IF(AND(CR$29&gt;ProposalToGnatt[[#This Row],[Start Date]],CR$29&lt;ProposalToGnatt[[#This Row],[Start Date]]+ProposalToGnatt[[#This Row],[Days]]),$G$5,"")),"")</f>
        <v/>
      </c>
      <c r="CS49" s="37" t="str">
        <f ca="1">IFERROR(+IF(CS$29=ProposalToGnatt[[#This Row],[Start Date]],Milestone_Marker,IF(AND(CS$29&gt;ProposalToGnatt[[#This Row],[Start Date]],CS$29&lt;ProposalToGnatt[[#This Row],[Start Date]]+ProposalToGnatt[[#This Row],[Days]]),$G$5,"")),"")</f>
        <v/>
      </c>
      <c r="CT49" s="37" t="str">
        <f ca="1">IFERROR(+IF(CT$29=ProposalToGnatt[[#This Row],[Start Date]],Milestone_Marker,IF(AND(CT$29&gt;ProposalToGnatt[[#This Row],[Start Date]],CT$29&lt;ProposalToGnatt[[#This Row],[Start Date]]+ProposalToGnatt[[#This Row],[Days]]),$G$5,"")),"")</f>
        <v/>
      </c>
      <c r="CU49" s="37" t="str">
        <f ca="1">IFERROR(+IF(CU$29=ProposalToGnatt[[#This Row],[Start Date]],Milestone_Marker,IF(AND(CU$29&gt;ProposalToGnatt[[#This Row],[Start Date]],CU$29&lt;ProposalToGnatt[[#This Row],[Start Date]]+ProposalToGnatt[[#This Row],[Days]]),$G$5,"")),"")</f>
        <v/>
      </c>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row>
    <row r="50" spans="1:125" s="42" customFormat="1" ht="15">
      <c r="A50"/>
      <c r="B50"/>
      <c r="C50"/>
      <c r="D50"/>
      <c r="E50"/>
      <c r="F50"/>
      <c r="G50" s="11"/>
      <c r="H50" s="26"/>
      <c r="I50"/>
      <c r="J50"/>
      <c r="K50" s="402"/>
      <c r="L50"/>
      <c r="M50"/>
      <c r="N50"/>
      <c r="O50" s="26"/>
      <c r="P50" s="37" t="str">
        <f ca="1">IFERROR(+IF(P$29=ProposalToGnatt[[#This Row],[Start Date]],Milestone_Marker,IF(AND(P$29&gt;ProposalToGnatt[[#This Row],[Start Date]],P$29&lt;ProposalToGnatt[[#This Row],[Start Date]]+ProposalToGnatt[[#This Row],[Days]]),$G$5,"")),"")</f>
        <v/>
      </c>
      <c r="Q50" s="37" t="str">
        <f ca="1">IFERROR(+IF(Q$29=ProposalToGnatt[[#This Row],[Start Date]],Milestone_Marker,IF(AND(Q$29&gt;ProposalToGnatt[[#This Row],[Start Date]],Q$29&lt;ProposalToGnatt[[#This Row],[Start Date]]+ProposalToGnatt[[#This Row],[Days]]),$G$5,"")),"")</f>
        <v/>
      </c>
      <c r="R50" s="37" t="str">
        <f ca="1">IFERROR(+IF(R$29=ProposalToGnatt[[#This Row],[Start Date]],Milestone_Marker,IF(AND(R$29&gt;ProposalToGnatt[[#This Row],[Start Date]],R$29&lt;ProposalToGnatt[[#This Row],[Start Date]]+ProposalToGnatt[[#This Row],[Days]]),$G$5,"")),"")</f>
        <v/>
      </c>
      <c r="S50" s="37" t="str">
        <f ca="1">IFERROR(+IF(S$29=ProposalToGnatt[[#This Row],[Start Date]],Milestone_Marker,IF(AND(S$29&gt;ProposalToGnatt[[#This Row],[Start Date]],S$29&lt;ProposalToGnatt[[#This Row],[Start Date]]+ProposalToGnatt[[#This Row],[Days]]),$G$5,"")),"")</f>
        <v/>
      </c>
      <c r="T50" s="37" t="str">
        <f ca="1">IFERROR(+IF(T$29=ProposalToGnatt[[#This Row],[Start Date]],Milestone_Marker,IF(AND(T$29&gt;ProposalToGnatt[[#This Row],[Start Date]],T$29&lt;ProposalToGnatt[[#This Row],[Start Date]]+ProposalToGnatt[[#This Row],[Days]]),$G$5,"")),"")</f>
        <v/>
      </c>
      <c r="U50" s="37" t="str">
        <f ca="1">IFERROR(+IF(U$29=ProposalToGnatt[[#This Row],[Start Date]],Milestone_Marker,IF(AND(U$29&gt;ProposalToGnatt[[#This Row],[Start Date]],U$29&lt;ProposalToGnatt[[#This Row],[Start Date]]+ProposalToGnatt[[#This Row],[Days]]),$G$5,"")),"")</f>
        <v/>
      </c>
      <c r="V50" s="37" t="str">
        <f ca="1">IFERROR(+IF(V$29=ProposalToGnatt[[#This Row],[Start Date]],Milestone_Marker,IF(AND(V$29&gt;ProposalToGnatt[[#This Row],[Start Date]],V$29&lt;ProposalToGnatt[[#This Row],[Start Date]]+ProposalToGnatt[[#This Row],[Days]]),$G$5,"")),"")</f>
        <v/>
      </c>
      <c r="W50" s="37" t="str">
        <f ca="1">IFERROR(+IF(W$29=ProposalToGnatt[[#This Row],[Start Date]],Milestone_Marker,IF(AND(W$29&gt;ProposalToGnatt[[#This Row],[Start Date]],W$29&lt;ProposalToGnatt[[#This Row],[Start Date]]+ProposalToGnatt[[#This Row],[Days]]),$G$5,"")),"")</f>
        <v/>
      </c>
      <c r="X50" s="37" t="str">
        <f ca="1">IFERROR(+IF(X$29=ProposalToGnatt[[#This Row],[Start Date]],Milestone_Marker,IF(AND(X$29&gt;ProposalToGnatt[[#This Row],[Start Date]],X$29&lt;ProposalToGnatt[[#This Row],[Start Date]]+ProposalToGnatt[[#This Row],[Days]]),$G$5,"")),"")</f>
        <v/>
      </c>
      <c r="Y50" s="37" t="str">
        <f ca="1">IFERROR(+IF(Y$29=ProposalToGnatt[[#This Row],[Start Date]],Milestone_Marker,IF(AND(Y$29&gt;ProposalToGnatt[[#This Row],[Start Date]],Y$29&lt;ProposalToGnatt[[#This Row],[Start Date]]+ProposalToGnatt[[#This Row],[Days]]),$G$5,"")),"")</f>
        <v/>
      </c>
      <c r="Z50" s="37" t="str">
        <f ca="1">IFERROR(+IF(Z$29=ProposalToGnatt[[#This Row],[Start Date]],Milestone_Marker,IF(AND(Z$29&gt;ProposalToGnatt[[#This Row],[Start Date]],Z$29&lt;ProposalToGnatt[[#This Row],[Start Date]]+ProposalToGnatt[[#This Row],[Days]]),$G$5,"")),"")</f>
        <v/>
      </c>
      <c r="AA50" s="37" t="str">
        <f ca="1">IFERROR(+IF(AA$29=ProposalToGnatt[[#This Row],[Start Date]],Milestone_Marker,IF(AND(AA$29&gt;ProposalToGnatt[[#This Row],[Start Date]],AA$29&lt;ProposalToGnatt[[#This Row],[Start Date]]+ProposalToGnatt[[#This Row],[Days]]),$G$5,"")),"")</f>
        <v/>
      </c>
      <c r="AB50" s="37" t="str">
        <f ca="1">IFERROR(+IF(AB$29=ProposalToGnatt[[#This Row],[Start Date]],Milestone_Marker,IF(AND(AB$29&gt;ProposalToGnatt[[#This Row],[Start Date]],AB$29&lt;ProposalToGnatt[[#This Row],[Start Date]]+ProposalToGnatt[[#This Row],[Days]]),$G$5,"")),"")</f>
        <v/>
      </c>
      <c r="AC50" s="37" t="str">
        <f ca="1">IFERROR(+IF(AC$29=ProposalToGnatt[[#This Row],[Start Date]],Milestone_Marker,IF(AND(AC$29&gt;ProposalToGnatt[[#This Row],[Start Date]],AC$29&lt;ProposalToGnatt[[#This Row],[Start Date]]+ProposalToGnatt[[#This Row],[Days]]),$G$5,"")),"")</f>
        <v/>
      </c>
      <c r="AD50" s="37" t="str">
        <f ca="1">IFERROR(+IF(AD$29=ProposalToGnatt[[#This Row],[Start Date]],Milestone_Marker,IF(AND(AD$29&gt;ProposalToGnatt[[#This Row],[Start Date]],AD$29&lt;ProposalToGnatt[[#This Row],[Start Date]]+ProposalToGnatt[[#This Row],[Days]]),$G$5,"")),"")</f>
        <v/>
      </c>
      <c r="AE50" s="37" t="str">
        <f ca="1">IFERROR(+IF(AE$29=ProposalToGnatt[[#This Row],[Start Date]],Milestone_Marker,IF(AND(AE$29&gt;ProposalToGnatt[[#This Row],[Start Date]],AE$29&lt;ProposalToGnatt[[#This Row],[Start Date]]+ProposalToGnatt[[#This Row],[Days]]),$G$5,"")),"")</f>
        <v/>
      </c>
      <c r="AF50" s="37" t="str">
        <f ca="1">IFERROR(+IF(AF$29=ProposalToGnatt[[#This Row],[Start Date]],Milestone_Marker,IF(AND(AF$29&gt;ProposalToGnatt[[#This Row],[Start Date]],AF$29&lt;ProposalToGnatt[[#This Row],[Start Date]]+ProposalToGnatt[[#This Row],[Days]]),$G$5,"")),"")</f>
        <v/>
      </c>
      <c r="AG50" s="37" t="str">
        <f ca="1">IFERROR(+IF(AG$29=ProposalToGnatt[[#This Row],[Start Date]],Milestone_Marker,IF(AND(AG$29&gt;ProposalToGnatt[[#This Row],[Start Date]],AG$29&lt;ProposalToGnatt[[#This Row],[Start Date]]+ProposalToGnatt[[#This Row],[Days]]),$G$5,"")),"")</f>
        <v/>
      </c>
      <c r="AH50" s="37" t="str">
        <f ca="1">IFERROR(+IF(AH$29=ProposalToGnatt[[#This Row],[Start Date]],Milestone_Marker,IF(AND(AH$29&gt;ProposalToGnatt[[#This Row],[Start Date]],AH$29&lt;ProposalToGnatt[[#This Row],[Start Date]]+ProposalToGnatt[[#This Row],[Days]]),$G$5,"")),"")</f>
        <v/>
      </c>
      <c r="AI50" s="37" t="str">
        <f ca="1">IFERROR(+IF(AI$29=ProposalToGnatt[[#This Row],[Start Date]],Milestone_Marker,IF(AND(AI$29&gt;ProposalToGnatt[[#This Row],[Start Date]],AI$29&lt;ProposalToGnatt[[#This Row],[Start Date]]+ProposalToGnatt[[#This Row],[Days]]),$G$5,"")),"")</f>
        <v/>
      </c>
      <c r="AJ50" s="37" t="str">
        <f ca="1">IFERROR(+IF(AJ$29=ProposalToGnatt[[#This Row],[Start Date]],Milestone_Marker,IF(AND(AJ$29&gt;ProposalToGnatt[[#This Row],[Start Date]],AJ$29&lt;ProposalToGnatt[[#This Row],[Start Date]]+ProposalToGnatt[[#This Row],[Days]]),$G$5,"")),"")</f>
        <v/>
      </c>
      <c r="AK50" s="37" t="str">
        <f ca="1">IFERROR(+IF(AK$29=ProposalToGnatt[[#This Row],[Start Date]],Milestone_Marker,IF(AND(AK$29&gt;ProposalToGnatt[[#This Row],[Start Date]],AK$29&lt;ProposalToGnatt[[#This Row],[Start Date]]+ProposalToGnatt[[#This Row],[Days]]),$G$5,"")),"")</f>
        <v/>
      </c>
      <c r="AL50" s="37" t="str">
        <f ca="1">IFERROR(+IF(AL$29=ProposalToGnatt[[#This Row],[Start Date]],Milestone_Marker,IF(AND(AL$29&gt;ProposalToGnatt[[#This Row],[Start Date]],AL$29&lt;ProposalToGnatt[[#This Row],[Start Date]]+ProposalToGnatt[[#This Row],[Days]]),$G$5,"")),"")</f>
        <v/>
      </c>
      <c r="AM50" s="37" t="str">
        <f ca="1">IFERROR(+IF(AM$29=ProposalToGnatt[[#This Row],[Start Date]],Milestone_Marker,IF(AND(AM$29&gt;ProposalToGnatt[[#This Row],[Start Date]],AM$29&lt;ProposalToGnatt[[#This Row],[Start Date]]+ProposalToGnatt[[#This Row],[Days]]),$G$5,"")),"")</f>
        <v/>
      </c>
      <c r="AN50" s="37" t="str">
        <f ca="1">IFERROR(+IF(AN$29=ProposalToGnatt[[#This Row],[Start Date]],Milestone_Marker,IF(AND(AN$29&gt;ProposalToGnatt[[#This Row],[Start Date]],AN$29&lt;ProposalToGnatt[[#This Row],[Start Date]]+ProposalToGnatt[[#This Row],[Days]]),$G$5,"")),"")</f>
        <v/>
      </c>
      <c r="AO50" s="37" t="str">
        <f ca="1">IFERROR(+IF(AO$29=ProposalToGnatt[[#This Row],[Start Date]],Milestone_Marker,IF(AND(AO$29&gt;ProposalToGnatt[[#This Row],[Start Date]],AO$29&lt;ProposalToGnatt[[#This Row],[Start Date]]+ProposalToGnatt[[#This Row],[Days]]),$G$5,"")),"")</f>
        <v/>
      </c>
      <c r="AP50" s="37" t="str">
        <f ca="1">IFERROR(+IF(AP$29=ProposalToGnatt[[#This Row],[Start Date]],Milestone_Marker,IF(AND(AP$29&gt;ProposalToGnatt[[#This Row],[Start Date]],AP$29&lt;ProposalToGnatt[[#This Row],[Start Date]]+ProposalToGnatt[[#This Row],[Days]]),$G$5,"")),"")</f>
        <v/>
      </c>
      <c r="AQ50" s="37" t="str">
        <f ca="1">IFERROR(+IF(AQ$29=ProposalToGnatt[[#This Row],[Start Date]],Milestone_Marker,IF(AND(AQ$29&gt;ProposalToGnatt[[#This Row],[Start Date]],AQ$29&lt;ProposalToGnatt[[#This Row],[Start Date]]+ProposalToGnatt[[#This Row],[Days]]),$G$5,"")),"")</f>
        <v/>
      </c>
      <c r="AR50" s="37" t="str">
        <f ca="1">IFERROR(+IF(AR$29=ProposalToGnatt[[#This Row],[Start Date]],Milestone_Marker,IF(AND(AR$29&gt;ProposalToGnatt[[#This Row],[Start Date]],AR$29&lt;ProposalToGnatt[[#This Row],[Start Date]]+ProposalToGnatt[[#This Row],[Days]]),$G$5,"")),"")</f>
        <v/>
      </c>
      <c r="AS50" s="37" t="str">
        <f ca="1">IFERROR(+IF(AS$29=ProposalToGnatt[[#This Row],[Start Date]],Milestone_Marker,IF(AND(AS$29&gt;ProposalToGnatt[[#This Row],[Start Date]],AS$29&lt;ProposalToGnatt[[#This Row],[Start Date]]+ProposalToGnatt[[#This Row],[Days]]),$G$5,"")),"")</f>
        <v/>
      </c>
      <c r="AT50" s="37" t="str">
        <f ca="1">IFERROR(+IF(AT$29=ProposalToGnatt[[#This Row],[Start Date]],Milestone_Marker,IF(AND(AT$29&gt;ProposalToGnatt[[#This Row],[Start Date]],AT$29&lt;ProposalToGnatt[[#This Row],[Start Date]]+ProposalToGnatt[[#This Row],[Days]]),$G$5,"")),"")</f>
        <v/>
      </c>
      <c r="AU50" s="37" t="str">
        <f ca="1">IFERROR(+IF(AU$29=ProposalToGnatt[[#This Row],[Start Date]],Milestone_Marker,IF(AND(AU$29&gt;ProposalToGnatt[[#This Row],[Start Date]],AU$29&lt;ProposalToGnatt[[#This Row],[Start Date]]+ProposalToGnatt[[#This Row],[Days]]),$G$5,"")),"")</f>
        <v/>
      </c>
      <c r="AV50" s="37" t="str">
        <f ca="1">IFERROR(+IF(AV$29=ProposalToGnatt[[#This Row],[Start Date]],Milestone_Marker,IF(AND(AV$29&gt;ProposalToGnatt[[#This Row],[Start Date]],AV$29&lt;ProposalToGnatt[[#This Row],[Start Date]]+ProposalToGnatt[[#This Row],[Days]]),$G$5,"")),"")</f>
        <v/>
      </c>
      <c r="AW50" s="37" t="str">
        <f ca="1">IFERROR(+IF(AW$29=ProposalToGnatt[[#This Row],[Start Date]],Milestone_Marker,IF(AND(AW$29&gt;ProposalToGnatt[[#This Row],[Start Date]],AW$29&lt;ProposalToGnatt[[#This Row],[Start Date]]+ProposalToGnatt[[#This Row],[Days]]),$G$5,"")),"")</f>
        <v/>
      </c>
      <c r="AX50" s="37" t="str">
        <f ca="1">IFERROR(+IF(AX$29=ProposalToGnatt[[#This Row],[Start Date]],Milestone_Marker,IF(AND(AX$29&gt;ProposalToGnatt[[#This Row],[Start Date]],AX$29&lt;ProposalToGnatt[[#This Row],[Start Date]]+ProposalToGnatt[[#This Row],[Days]]),$G$5,"")),"")</f>
        <v/>
      </c>
      <c r="AY50" s="37" t="str">
        <f ca="1">IFERROR(+IF(AY$29=ProposalToGnatt[[#This Row],[Start Date]],Milestone_Marker,IF(AND(AY$29&gt;ProposalToGnatt[[#This Row],[Start Date]],AY$29&lt;ProposalToGnatt[[#This Row],[Start Date]]+ProposalToGnatt[[#This Row],[Days]]),$G$5,"")),"")</f>
        <v/>
      </c>
      <c r="AZ50" s="37" t="str">
        <f ca="1">IFERROR(+IF(AZ$29=ProposalToGnatt[[#This Row],[Start Date]],Milestone_Marker,IF(AND(AZ$29&gt;ProposalToGnatt[[#This Row],[Start Date]],AZ$29&lt;ProposalToGnatt[[#This Row],[Start Date]]+ProposalToGnatt[[#This Row],[Days]]),$G$5,"")),"")</f>
        <v/>
      </c>
      <c r="BA50" s="37" t="str">
        <f ca="1">IFERROR(+IF(BA$29=ProposalToGnatt[[#This Row],[Start Date]],Milestone_Marker,IF(AND(BA$29&gt;ProposalToGnatt[[#This Row],[Start Date]],BA$29&lt;ProposalToGnatt[[#This Row],[Start Date]]+ProposalToGnatt[[#This Row],[Days]]),$G$5,"")),"")</f>
        <v/>
      </c>
      <c r="BB50" s="37" t="str">
        <f ca="1">IFERROR(+IF(BB$29=ProposalToGnatt[[#This Row],[Start Date]],Milestone_Marker,IF(AND(BB$29&gt;ProposalToGnatt[[#This Row],[Start Date]],BB$29&lt;ProposalToGnatt[[#This Row],[Start Date]]+ProposalToGnatt[[#This Row],[Days]]),$G$5,"")),"")</f>
        <v/>
      </c>
      <c r="BC50" s="37" t="str">
        <f ca="1">IFERROR(+IF(BC$29=ProposalToGnatt[[#This Row],[Start Date]],Milestone_Marker,IF(AND(BC$29&gt;ProposalToGnatt[[#This Row],[Start Date]],BC$29&lt;ProposalToGnatt[[#This Row],[Start Date]]+ProposalToGnatt[[#This Row],[Days]]),$G$5,"")),"")</f>
        <v/>
      </c>
      <c r="BD50" s="37" t="str">
        <f ca="1">IFERROR(+IF(BD$29=ProposalToGnatt[[#This Row],[Start Date]],Milestone_Marker,IF(AND(BD$29&gt;ProposalToGnatt[[#This Row],[Start Date]],BD$29&lt;ProposalToGnatt[[#This Row],[Start Date]]+ProposalToGnatt[[#This Row],[Days]]),$G$5,"")),"")</f>
        <v/>
      </c>
      <c r="BE50" s="37" t="str">
        <f ca="1">IFERROR(+IF(BE$29=ProposalToGnatt[[#This Row],[Start Date]],Milestone_Marker,IF(AND(BE$29&gt;ProposalToGnatt[[#This Row],[Start Date]],BE$29&lt;ProposalToGnatt[[#This Row],[Start Date]]+ProposalToGnatt[[#This Row],[Days]]),$G$5,"")),"")</f>
        <v/>
      </c>
      <c r="BF50" s="37" t="str">
        <f ca="1">IFERROR(+IF(BF$29=ProposalToGnatt[[#This Row],[Start Date]],Milestone_Marker,IF(AND(BF$29&gt;ProposalToGnatt[[#This Row],[Start Date]],BF$29&lt;ProposalToGnatt[[#This Row],[Start Date]]+ProposalToGnatt[[#This Row],[Days]]),$G$5,"")),"")</f>
        <v/>
      </c>
      <c r="BG50" s="37" t="str">
        <f ca="1">IFERROR(+IF(BG$29=ProposalToGnatt[[#This Row],[Start Date]],Milestone_Marker,IF(AND(BG$29&gt;ProposalToGnatt[[#This Row],[Start Date]],BG$29&lt;ProposalToGnatt[[#This Row],[Start Date]]+ProposalToGnatt[[#This Row],[Days]]),$G$5,"")),"")</f>
        <v/>
      </c>
      <c r="BH50" s="37" t="str">
        <f ca="1">IFERROR(+IF(BH$29=ProposalToGnatt[[#This Row],[Start Date]],Milestone_Marker,IF(AND(BH$29&gt;ProposalToGnatt[[#This Row],[Start Date]],BH$29&lt;ProposalToGnatt[[#This Row],[Start Date]]+ProposalToGnatt[[#This Row],[Days]]),$G$5,"")),"")</f>
        <v/>
      </c>
      <c r="BI50" s="37" t="str">
        <f ca="1">IFERROR(+IF(BI$29=ProposalToGnatt[[#This Row],[Start Date]],Milestone_Marker,IF(AND(BI$29&gt;ProposalToGnatt[[#This Row],[Start Date]],BI$29&lt;ProposalToGnatt[[#This Row],[Start Date]]+ProposalToGnatt[[#This Row],[Days]]),$G$5,"")),"")</f>
        <v/>
      </c>
      <c r="BJ50" s="37" t="str">
        <f ca="1">IFERROR(+IF(BJ$29=ProposalToGnatt[[#This Row],[Start Date]],Milestone_Marker,IF(AND(BJ$29&gt;ProposalToGnatt[[#This Row],[Start Date]],BJ$29&lt;ProposalToGnatt[[#This Row],[Start Date]]+ProposalToGnatt[[#This Row],[Days]]),$G$5,"")),"")</f>
        <v/>
      </c>
      <c r="BK50" s="37" t="str">
        <f ca="1">IFERROR(+IF(BK$29=ProposalToGnatt[[#This Row],[Start Date]],Milestone_Marker,IF(AND(BK$29&gt;ProposalToGnatt[[#This Row],[Start Date]],BK$29&lt;ProposalToGnatt[[#This Row],[Start Date]]+ProposalToGnatt[[#This Row],[Days]]),$G$5,"")),"")</f>
        <v/>
      </c>
      <c r="BL50" s="37" t="str">
        <f ca="1">IFERROR(+IF(BL$29=ProposalToGnatt[[#This Row],[Start Date]],Milestone_Marker,IF(AND(BL$29&gt;ProposalToGnatt[[#This Row],[Start Date]],BL$29&lt;ProposalToGnatt[[#This Row],[Start Date]]+ProposalToGnatt[[#This Row],[Days]]),$G$5,"")),"")</f>
        <v/>
      </c>
      <c r="BM50" s="37" t="str">
        <f ca="1">IFERROR(+IF(BM$29=ProposalToGnatt[[#This Row],[Start Date]],Milestone_Marker,IF(AND(BM$29&gt;ProposalToGnatt[[#This Row],[Start Date]],BM$29&lt;ProposalToGnatt[[#This Row],[Start Date]]+ProposalToGnatt[[#This Row],[Days]]),$G$5,"")),"")</f>
        <v/>
      </c>
      <c r="BN50" s="37" t="str">
        <f ca="1">IFERROR(+IF(BN$29=ProposalToGnatt[[#This Row],[Start Date]],Milestone_Marker,IF(AND(BN$29&gt;ProposalToGnatt[[#This Row],[Start Date]],BN$29&lt;ProposalToGnatt[[#This Row],[Start Date]]+ProposalToGnatt[[#This Row],[Days]]),$G$5,"")),"")</f>
        <v/>
      </c>
      <c r="BO50" s="37" t="str">
        <f ca="1">IFERROR(+IF(BO$29=ProposalToGnatt[[#This Row],[Start Date]],Milestone_Marker,IF(AND(BO$29&gt;ProposalToGnatt[[#This Row],[Start Date]],BO$29&lt;ProposalToGnatt[[#This Row],[Start Date]]+ProposalToGnatt[[#This Row],[Days]]),$G$5,"")),"")</f>
        <v/>
      </c>
      <c r="BP50" s="37" t="str">
        <f ca="1">IFERROR(+IF(BP$29=ProposalToGnatt[[#This Row],[Start Date]],Milestone_Marker,IF(AND(BP$29&gt;ProposalToGnatt[[#This Row],[Start Date]],BP$29&lt;ProposalToGnatt[[#This Row],[Start Date]]+ProposalToGnatt[[#This Row],[Days]]),$G$5,"")),"")</f>
        <v/>
      </c>
      <c r="BQ50" s="37" t="str">
        <f ca="1">IFERROR(+IF(BQ$29=ProposalToGnatt[[#This Row],[Start Date]],Milestone_Marker,IF(AND(BQ$29&gt;ProposalToGnatt[[#This Row],[Start Date]],BQ$29&lt;ProposalToGnatt[[#This Row],[Start Date]]+ProposalToGnatt[[#This Row],[Days]]),$G$5,"")),"")</f>
        <v/>
      </c>
      <c r="BR50" s="37" t="str">
        <f ca="1">IFERROR(+IF(BR$29=ProposalToGnatt[[#This Row],[Start Date]],Milestone_Marker,IF(AND(BR$29&gt;ProposalToGnatt[[#This Row],[Start Date]],BR$29&lt;ProposalToGnatt[[#This Row],[Start Date]]+ProposalToGnatt[[#This Row],[Days]]),$G$5,"")),"")</f>
        <v/>
      </c>
      <c r="BS50" s="37" t="str">
        <f ca="1">IFERROR(+IF(BS$29=ProposalToGnatt[[#This Row],[Start Date]],Milestone_Marker,IF(AND(BS$29&gt;ProposalToGnatt[[#This Row],[Start Date]],BS$29&lt;ProposalToGnatt[[#This Row],[Start Date]]+ProposalToGnatt[[#This Row],[Days]]),$G$5,"")),"")</f>
        <v/>
      </c>
      <c r="BT50" s="37" t="str">
        <f ca="1">IFERROR(+IF(BT$29=ProposalToGnatt[[#This Row],[Start Date]],Milestone_Marker,IF(AND(BT$29&gt;ProposalToGnatt[[#This Row],[Start Date]],BT$29&lt;ProposalToGnatt[[#This Row],[Start Date]]+ProposalToGnatt[[#This Row],[Days]]),$G$5,"")),"")</f>
        <v/>
      </c>
      <c r="BU50" s="37" t="str">
        <f ca="1">IFERROR(+IF(BU$29=ProposalToGnatt[[#This Row],[Start Date]],Milestone_Marker,IF(AND(BU$29&gt;ProposalToGnatt[[#This Row],[Start Date]],BU$29&lt;ProposalToGnatt[[#This Row],[Start Date]]+ProposalToGnatt[[#This Row],[Days]]),$G$5,"")),"")</f>
        <v/>
      </c>
      <c r="BV50" s="37" t="str">
        <f ca="1">IFERROR(+IF(BV$29=ProposalToGnatt[[#This Row],[Start Date]],Milestone_Marker,IF(AND(BV$29&gt;ProposalToGnatt[[#This Row],[Start Date]],BV$29&lt;ProposalToGnatt[[#This Row],[Start Date]]+ProposalToGnatt[[#This Row],[Days]]),$G$5,"")),"")</f>
        <v/>
      </c>
      <c r="BW50" s="37" t="str">
        <f ca="1">IFERROR(+IF(BW$29=ProposalToGnatt[[#This Row],[Start Date]],Milestone_Marker,IF(AND(BW$29&gt;ProposalToGnatt[[#This Row],[Start Date]],BW$29&lt;ProposalToGnatt[[#This Row],[Start Date]]+ProposalToGnatt[[#This Row],[Days]]),$G$5,"")),"")</f>
        <v/>
      </c>
      <c r="BX50" s="37" t="str">
        <f ca="1">IFERROR(+IF(BX$29=ProposalToGnatt[[#This Row],[Start Date]],Milestone_Marker,IF(AND(BX$29&gt;ProposalToGnatt[[#This Row],[Start Date]],BX$29&lt;ProposalToGnatt[[#This Row],[Start Date]]+ProposalToGnatt[[#This Row],[Days]]),$G$5,"")),"")</f>
        <v/>
      </c>
      <c r="BY50" s="37" t="str">
        <f ca="1">IFERROR(+IF(BY$29=ProposalToGnatt[[#This Row],[Start Date]],Milestone_Marker,IF(AND(BY$29&gt;ProposalToGnatt[[#This Row],[Start Date]],BY$29&lt;ProposalToGnatt[[#This Row],[Start Date]]+ProposalToGnatt[[#This Row],[Days]]),$G$5,"")),"")</f>
        <v/>
      </c>
      <c r="BZ50" s="37" t="str">
        <f ca="1">IFERROR(+IF(BZ$29=ProposalToGnatt[[#This Row],[Start Date]],Milestone_Marker,IF(AND(BZ$29&gt;ProposalToGnatt[[#This Row],[Start Date]],BZ$29&lt;ProposalToGnatt[[#This Row],[Start Date]]+ProposalToGnatt[[#This Row],[Days]]),$G$5,"")),"")</f>
        <v/>
      </c>
      <c r="CA50" s="37" t="str">
        <f ca="1">IFERROR(+IF(CA$29=ProposalToGnatt[[#This Row],[Start Date]],Milestone_Marker,IF(AND(CA$29&gt;ProposalToGnatt[[#This Row],[Start Date]],CA$29&lt;ProposalToGnatt[[#This Row],[Start Date]]+ProposalToGnatt[[#This Row],[Days]]),$G$5,"")),"")</f>
        <v/>
      </c>
      <c r="CB50" s="37" t="str">
        <f ca="1">IFERROR(+IF(CB$29=ProposalToGnatt[[#This Row],[Start Date]],Milestone_Marker,IF(AND(CB$29&gt;ProposalToGnatt[[#This Row],[Start Date]],CB$29&lt;ProposalToGnatt[[#This Row],[Start Date]]+ProposalToGnatt[[#This Row],[Days]]),$G$5,"")),"")</f>
        <v/>
      </c>
      <c r="CC50" s="37" t="str">
        <f ca="1">IFERROR(+IF(CC$29=ProposalToGnatt[[#This Row],[Start Date]],Milestone_Marker,IF(AND(CC$29&gt;ProposalToGnatt[[#This Row],[Start Date]],CC$29&lt;ProposalToGnatt[[#This Row],[Start Date]]+ProposalToGnatt[[#This Row],[Days]]),$G$5,"")),"")</f>
        <v/>
      </c>
      <c r="CD50" s="37" t="str">
        <f ca="1">IFERROR(+IF(CD$29=ProposalToGnatt[[#This Row],[Start Date]],Milestone_Marker,IF(AND(CD$29&gt;ProposalToGnatt[[#This Row],[Start Date]],CD$29&lt;ProposalToGnatt[[#This Row],[Start Date]]+ProposalToGnatt[[#This Row],[Days]]),$G$5,"")),"")</f>
        <v/>
      </c>
      <c r="CE50" s="37" t="str">
        <f ca="1">IFERROR(+IF(CE$29=ProposalToGnatt[[#This Row],[Start Date]],Milestone_Marker,IF(AND(CE$29&gt;ProposalToGnatt[[#This Row],[Start Date]],CE$29&lt;ProposalToGnatt[[#This Row],[Start Date]]+ProposalToGnatt[[#This Row],[Days]]),$G$5,"")),"")</f>
        <v/>
      </c>
      <c r="CF50" s="37" t="str">
        <f ca="1">IFERROR(+IF(CF$29=ProposalToGnatt[[#This Row],[Start Date]],Milestone_Marker,IF(AND(CF$29&gt;ProposalToGnatt[[#This Row],[Start Date]],CF$29&lt;ProposalToGnatt[[#This Row],[Start Date]]+ProposalToGnatt[[#This Row],[Days]]),$G$5,"")),"")</f>
        <v/>
      </c>
      <c r="CG50" s="37" t="str">
        <f ca="1">IFERROR(+IF(CG$29=ProposalToGnatt[[#This Row],[Start Date]],Milestone_Marker,IF(AND(CG$29&gt;ProposalToGnatt[[#This Row],[Start Date]],CG$29&lt;ProposalToGnatt[[#This Row],[Start Date]]+ProposalToGnatt[[#This Row],[Days]]),$G$5,"")),"")</f>
        <v/>
      </c>
      <c r="CH50" s="37" t="str">
        <f ca="1">IFERROR(+IF(CH$29=ProposalToGnatt[[#This Row],[Start Date]],Milestone_Marker,IF(AND(CH$29&gt;ProposalToGnatt[[#This Row],[Start Date]],CH$29&lt;ProposalToGnatt[[#This Row],[Start Date]]+ProposalToGnatt[[#This Row],[Days]]),$G$5,"")),"")</f>
        <v/>
      </c>
      <c r="CI50" s="37" t="str">
        <f ca="1">IFERROR(+IF(CI$29=ProposalToGnatt[[#This Row],[Start Date]],Milestone_Marker,IF(AND(CI$29&gt;ProposalToGnatt[[#This Row],[Start Date]],CI$29&lt;ProposalToGnatt[[#This Row],[Start Date]]+ProposalToGnatt[[#This Row],[Days]]),$G$5,"")),"")</f>
        <v/>
      </c>
      <c r="CJ50" s="37" t="str">
        <f ca="1">IFERROR(+IF(CJ$29=ProposalToGnatt[[#This Row],[Start Date]],Milestone_Marker,IF(AND(CJ$29&gt;ProposalToGnatt[[#This Row],[Start Date]],CJ$29&lt;ProposalToGnatt[[#This Row],[Start Date]]+ProposalToGnatt[[#This Row],[Days]]),$G$5,"")),"")</f>
        <v/>
      </c>
      <c r="CK50" s="37" t="str">
        <f ca="1">IFERROR(+IF(CK$29=ProposalToGnatt[[#This Row],[Start Date]],Milestone_Marker,IF(AND(CK$29&gt;ProposalToGnatt[[#This Row],[Start Date]],CK$29&lt;ProposalToGnatt[[#This Row],[Start Date]]+ProposalToGnatt[[#This Row],[Days]]),$G$5,"")),"")</f>
        <v/>
      </c>
      <c r="CL50" s="37" t="str">
        <f ca="1">IFERROR(+IF(CL$29=ProposalToGnatt[[#This Row],[Start Date]],Milestone_Marker,IF(AND(CL$29&gt;ProposalToGnatt[[#This Row],[Start Date]],CL$29&lt;ProposalToGnatt[[#This Row],[Start Date]]+ProposalToGnatt[[#This Row],[Days]]),$G$5,"")),"")</f>
        <v/>
      </c>
      <c r="CM50" s="37" t="str">
        <f ca="1">IFERROR(+IF(CM$29=ProposalToGnatt[[#This Row],[Start Date]],Milestone_Marker,IF(AND(CM$29&gt;ProposalToGnatt[[#This Row],[Start Date]],CM$29&lt;ProposalToGnatt[[#This Row],[Start Date]]+ProposalToGnatt[[#This Row],[Days]]),$G$5,"")),"")</f>
        <v/>
      </c>
      <c r="CN50" s="37" t="str">
        <f ca="1">IFERROR(+IF(CN$29=ProposalToGnatt[[#This Row],[Start Date]],Milestone_Marker,IF(AND(CN$29&gt;ProposalToGnatt[[#This Row],[Start Date]],CN$29&lt;ProposalToGnatt[[#This Row],[Start Date]]+ProposalToGnatt[[#This Row],[Days]]),$G$5,"")),"")</f>
        <v/>
      </c>
      <c r="CO50" s="37" t="str">
        <f ca="1">IFERROR(+IF(CO$29=ProposalToGnatt[[#This Row],[Start Date]],Milestone_Marker,IF(AND(CO$29&gt;ProposalToGnatt[[#This Row],[Start Date]],CO$29&lt;ProposalToGnatt[[#This Row],[Start Date]]+ProposalToGnatt[[#This Row],[Days]]),$G$5,"")),"")</f>
        <v/>
      </c>
      <c r="CP50" s="37" t="str">
        <f ca="1">IFERROR(+IF(CP$29=ProposalToGnatt[[#This Row],[Start Date]],Milestone_Marker,IF(AND(CP$29&gt;ProposalToGnatt[[#This Row],[Start Date]],CP$29&lt;ProposalToGnatt[[#This Row],[Start Date]]+ProposalToGnatt[[#This Row],[Days]]),$G$5,"")),"")</f>
        <v/>
      </c>
      <c r="CQ50" s="37" t="str">
        <f ca="1">IFERROR(+IF(CQ$29=ProposalToGnatt[[#This Row],[Start Date]],Milestone_Marker,IF(AND(CQ$29&gt;ProposalToGnatt[[#This Row],[Start Date]],CQ$29&lt;ProposalToGnatt[[#This Row],[Start Date]]+ProposalToGnatt[[#This Row],[Days]]),$G$5,"")),"")</f>
        <v/>
      </c>
      <c r="CR50" s="37" t="str">
        <f ca="1">IFERROR(+IF(CR$29=ProposalToGnatt[[#This Row],[Start Date]],Milestone_Marker,IF(AND(CR$29&gt;ProposalToGnatt[[#This Row],[Start Date]],CR$29&lt;ProposalToGnatt[[#This Row],[Start Date]]+ProposalToGnatt[[#This Row],[Days]]),$G$5,"")),"")</f>
        <v/>
      </c>
      <c r="CS50" s="37" t="str">
        <f ca="1">IFERROR(+IF(CS$29=ProposalToGnatt[[#This Row],[Start Date]],Milestone_Marker,IF(AND(CS$29&gt;ProposalToGnatt[[#This Row],[Start Date]],CS$29&lt;ProposalToGnatt[[#This Row],[Start Date]]+ProposalToGnatt[[#This Row],[Days]]),$G$5,"")),"")</f>
        <v/>
      </c>
      <c r="CT50" s="37" t="str">
        <f ca="1">IFERROR(+IF(CT$29=ProposalToGnatt[[#This Row],[Start Date]],Milestone_Marker,IF(AND(CT$29&gt;ProposalToGnatt[[#This Row],[Start Date]],CT$29&lt;ProposalToGnatt[[#This Row],[Start Date]]+ProposalToGnatt[[#This Row],[Days]]),$G$5,"")),"")</f>
        <v/>
      </c>
      <c r="CU50" s="37" t="str">
        <f ca="1">IFERROR(+IF(CU$29=ProposalToGnatt[[#This Row],[Start Date]],Milestone_Marker,IF(AND(CU$29&gt;ProposalToGnatt[[#This Row],[Start Date]],CU$29&lt;ProposalToGnatt[[#This Row],[Start Date]]+ProposalToGnatt[[#This Row],[Days]]),$G$5,"")),"")</f>
        <v/>
      </c>
      <c r="CV50" s="37"/>
      <c r="CW50" s="37"/>
      <c r="CX50" s="37"/>
      <c r="CY50" s="37"/>
      <c r="CZ50" s="37"/>
      <c r="DA50" s="37"/>
      <c r="DB50" s="37"/>
      <c r="DC50" s="37"/>
      <c r="DD50" s="37"/>
      <c r="DE50" s="37"/>
      <c r="DF50" s="37"/>
      <c r="DG50" s="37"/>
      <c r="DH50" s="37"/>
      <c r="DI50" s="37"/>
      <c r="DJ50" s="37"/>
      <c r="DK50" s="37"/>
      <c r="DL50" s="37"/>
      <c r="DM50" s="37"/>
      <c r="DN50" s="37"/>
      <c r="DO50" s="37"/>
      <c r="DP50" s="37"/>
      <c r="DQ50" s="37"/>
      <c r="DR50" s="37"/>
      <c r="DS50" s="37"/>
      <c r="DT50" s="37"/>
      <c r="DU50" s="37"/>
    </row>
    <row r="51" spans="1:125" s="42" customFormat="1" ht="15">
      <c r="A51"/>
      <c r="B51"/>
      <c r="C51"/>
      <c r="D51"/>
      <c r="E51"/>
      <c r="F51"/>
      <c r="G51" s="11"/>
      <c r="H51" s="26"/>
      <c r="I51"/>
      <c r="J51"/>
      <c r="K51" s="402"/>
      <c r="L51"/>
      <c r="M51"/>
      <c r="N51"/>
      <c r="O51" s="26"/>
      <c r="P51" s="37" t="str">
        <f ca="1">IFERROR(+IF(P$29=ProposalToGnatt[[#This Row],[Start Date]],Milestone_Marker,IF(AND(P$29&gt;ProposalToGnatt[[#This Row],[Start Date]],P$29&lt;ProposalToGnatt[[#This Row],[Start Date]]+ProposalToGnatt[[#This Row],[Days]]),$G$5,"")),"")</f>
        <v/>
      </c>
      <c r="Q51" s="37" t="str">
        <f ca="1">IFERROR(+IF(Q$29=ProposalToGnatt[[#This Row],[Start Date]],Milestone_Marker,IF(AND(Q$29&gt;ProposalToGnatt[[#This Row],[Start Date]],Q$29&lt;ProposalToGnatt[[#This Row],[Start Date]]+ProposalToGnatt[[#This Row],[Days]]),$G$5,"")),"")</f>
        <v/>
      </c>
      <c r="R51" s="37" t="str">
        <f ca="1">IFERROR(+IF(R$29=ProposalToGnatt[[#This Row],[Start Date]],Milestone_Marker,IF(AND(R$29&gt;ProposalToGnatt[[#This Row],[Start Date]],R$29&lt;ProposalToGnatt[[#This Row],[Start Date]]+ProposalToGnatt[[#This Row],[Days]]),$G$5,"")),"")</f>
        <v/>
      </c>
      <c r="S51" s="37" t="str">
        <f ca="1">IFERROR(+IF(S$29=ProposalToGnatt[[#This Row],[Start Date]],Milestone_Marker,IF(AND(S$29&gt;ProposalToGnatt[[#This Row],[Start Date]],S$29&lt;ProposalToGnatt[[#This Row],[Start Date]]+ProposalToGnatt[[#This Row],[Days]]),$G$5,"")),"")</f>
        <v/>
      </c>
      <c r="T51" s="37" t="str">
        <f ca="1">IFERROR(+IF(T$29=ProposalToGnatt[[#This Row],[Start Date]],Milestone_Marker,IF(AND(T$29&gt;ProposalToGnatt[[#This Row],[Start Date]],T$29&lt;ProposalToGnatt[[#This Row],[Start Date]]+ProposalToGnatt[[#This Row],[Days]]),$G$5,"")),"")</f>
        <v/>
      </c>
      <c r="U51" s="37" t="str">
        <f ca="1">IFERROR(+IF(U$29=ProposalToGnatt[[#This Row],[Start Date]],Milestone_Marker,IF(AND(U$29&gt;ProposalToGnatt[[#This Row],[Start Date]],U$29&lt;ProposalToGnatt[[#This Row],[Start Date]]+ProposalToGnatt[[#This Row],[Days]]),$G$5,"")),"")</f>
        <v/>
      </c>
      <c r="V51" s="37" t="str">
        <f ca="1">IFERROR(+IF(V$29=ProposalToGnatt[[#This Row],[Start Date]],Milestone_Marker,IF(AND(V$29&gt;ProposalToGnatt[[#This Row],[Start Date]],V$29&lt;ProposalToGnatt[[#This Row],[Start Date]]+ProposalToGnatt[[#This Row],[Days]]),$G$5,"")),"")</f>
        <v/>
      </c>
      <c r="W51" s="37" t="str">
        <f ca="1">IFERROR(+IF(W$29=ProposalToGnatt[[#This Row],[Start Date]],Milestone_Marker,IF(AND(W$29&gt;ProposalToGnatt[[#This Row],[Start Date]],W$29&lt;ProposalToGnatt[[#This Row],[Start Date]]+ProposalToGnatt[[#This Row],[Days]]),$G$5,"")),"")</f>
        <v/>
      </c>
      <c r="X51" s="37" t="str">
        <f ca="1">IFERROR(+IF(X$29=ProposalToGnatt[[#This Row],[Start Date]],Milestone_Marker,IF(AND(X$29&gt;ProposalToGnatt[[#This Row],[Start Date]],X$29&lt;ProposalToGnatt[[#This Row],[Start Date]]+ProposalToGnatt[[#This Row],[Days]]),$G$5,"")),"")</f>
        <v/>
      </c>
      <c r="Y51" s="37" t="str">
        <f ca="1">IFERROR(+IF(Y$29=ProposalToGnatt[[#This Row],[Start Date]],Milestone_Marker,IF(AND(Y$29&gt;ProposalToGnatt[[#This Row],[Start Date]],Y$29&lt;ProposalToGnatt[[#This Row],[Start Date]]+ProposalToGnatt[[#This Row],[Days]]),$G$5,"")),"")</f>
        <v/>
      </c>
      <c r="Z51" s="37" t="str">
        <f ca="1">IFERROR(+IF(Z$29=ProposalToGnatt[[#This Row],[Start Date]],Milestone_Marker,IF(AND(Z$29&gt;ProposalToGnatt[[#This Row],[Start Date]],Z$29&lt;ProposalToGnatt[[#This Row],[Start Date]]+ProposalToGnatt[[#This Row],[Days]]),$G$5,"")),"")</f>
        <v/>
      </c>
      <c r="AA51" s="37" t="str">
        <f ca="1">IFERROR(+IF(AA$29=ProposalToGnatt[[#This Row],[Start Date]],Milestone_Marker,IF(AND(AA$29&gt;ProposalToGnatt[[#This Row],[Start Date]],AA$29&lt;ProposalToGnatt[[#This Row],[Start Date]]+ProposalToGnatt[[#This Row],[Days]]),$G$5,"")),"")</f>
        <v/>
      </c>
      <c r="AB51" s="37" t="str">
        <f ca="1">IFERROR(+IF(AB$29=ProposalToGnatt[[#This Row],[Start Date]],Milestone_Marker,IF(AND(AB$29&gt;ProposalToGnatt[[#This Row],[Start Date]],AB$29&lt;ProposalToGnatt[[#This Row],[Start Date]]+ProposalToGnatt[[#This Row],[Days]]),$G$5,"")),"")</f>
        <v/>
      </c>
      <c r="AC51" s="37" t="str">
        <f ca="1">IFERROR(+IF(AC$29=ProposalToGnatt[[#This Row],[Start Date]],Milestone_Marker,IF(AND(AC$29&gt;ProposalToGnatt[[#This Row],[Start Date]],AC$29&lt;ProposalToGnatt[[#This Row],[Start Date]]+ProposalToGnatt[[#This Row],[Days]]),$G$5,"")),"")</f>
        <v/>
      </c>
      <c r="AD51" s="37" t="str">
        <f ca="1">IFERROR(+IF(AD$29=ProposalToGnatt[[#This Row],[Start Date]],Milestone_Marker,IF(AND(AD$29&gt;ProposalToGnatt[[#This Row],[Start Date]],AD$29&lt;ProposalToGnatt[[#This Row],[Start Date]]+ProposalToGnatt[[#This Row],[Days]]),$G$5,"")),"")</f>
        <v/>
      </c>
      <c r="AE51" s="37" t="str">
        <f ca="1">IFERROR(+IF(AE$29=ProposalToGnatt[[#This Row],[Start Date]],Milestone_Marker,IF(AND(AE$29&gt;ProposalToGnatt[[#This Row],[Start Date]],AE$29&lt;ProposalToGnatt[[#This Row],[Start Date]]+ProposalToGnatt[[#This Row],[Days]]),$G$5,"")),"")</f>
        <v/>
      </c>
      <c r="AF51" s="37" t="str">
        <f ca="1">IFERROR(+IF(AF$29=ProposalToGnatt[[#This Row],[Start Date]],Milestone_Marker,IF(AND(AF$29&gt;ProposalToGnatt[[#This Row],[Start Date]],AF$29&lt;ProposalToGnatt[[#This Row],[Start Date]]+ProposalToGnatt[[#This Row],[Days]]),$G$5,"")),"")</f>
        <v/>
      </c>
      <c r="AG51" s="37" t="str">
        <f ca="1">IFERROR(+IF(AG$29=ProposalToGnatt[[#This Row],[Start Date]],Milestone_Marker,IF(AND(AG$29&gt;ProposalToGnatt[[#This Row],[Start Date]],AG$29&lt;ProposalToGnatt[[#This Row],[Start Date]]+ProposalToGnatt[[#This Row],[Days]]),$G$5,"")),"")</f>
        <v/>
      </c>
      <c r="AH51" s="37" t="str">
        <f ca="1">IFERROR(+IF(AH$29=ProposalToGnatt[[#This Row],[Start Date]],Milestone_Marker,IF(AND(AH$29&gt;ProposalToGnatt[[#This Row],[Start Date]],AH$29&lt;ProposalToGnatt[[#This Row],[Start Date]]+ProposalToGnatt[[#This Row],[Days]]),$G$5,"")),"")</f>
        <v/>
      </c>
      <c r="AI51" s="37" t="str">
        <f ca="1">IFERROR(+IF(AI$29=ProposalToGnatt[[#This Row],[Start Date]],Milestone_Marker,IF(AND(AI$29&gt;ProposalToGnatt[[#This Row],[Start Date]],AI$29&lt;ProposalToGnatt[[#This Row],[Start Date]]+ProposalToGnatt[[#This Row],[Days]]),$G$5,"")),"")</f>
        <v/>
      </c>
      <c r="AJ51" s="37" t="str">
        <f ca="1">IFERROR(+IF(AJ$29=ProposalToGnatt[[#This Row],[Start Date]],Milestone_Marker,IF(AND(AJ$29&gt;ProposalToGnatt[[#This Row],[Start Date]],AJ$29&lt;ProposalToGnatt[[#This Row],[Start Date]]+ProposalToGnatt[[#This Row],[Days]]),$G$5,"")),"")</f>
        <v/>
      </c>
      <c r="AK51" s="37" t="str">
        <f ca="1">IFERROR(+IF(AK$29=ProposalToGnatt[[#This Row],[Start Date]],Milestone_Marker,IF(AND(AK$29&gt;ProposalToGnatt[[#This Row],[Start Date]],AK$29&lt;ProposalToGnatt[[#This Row],[Start Date]]+ProposalToGnatt[[#This Row],[Days]]),$G$5,"")),"")</f>
        <v/>
      </c>
      <c r="AL51" s="37" t="str">
        <f ca="1">IFERROR(+IF(AL$29=ProposalToGnatt[[#This Row],[Start Date]],Milestone_Marker,IF(AND(AL$29&gt;ProposalToGnatt[[#This Row],[Start Date]],AL$29&lt;ProposalToGnatt[[#This Row],[Start Date]]+ProposalToGnatt[[#This Row],[Days]]),$G$5,"")),"")</f>
        <v/>
      </c>
      <c r="AM51" s="37" t="str">
        <f ca="1">IFERROR(+IF(AM$29=ProposalToGnatt[[#This Row],[Start Date]],Milestone_Marker,IF(AND(AM$29&gt;ProposalToGnatt[[#This Row],[Start Date]],AM$29&lt;ProposalToGnatt[[#This Row],[Start Date]]+ProposalToGnatt[[#This Row],[Days]]),$G$5,"")),"")</f>
        <v/>
      </c>
      <c r="AN51" s="37" t="str">
        <f ca="1">IFERROR(+IF(AN$29=ProposalToGnatt[[#This Row],[Start Date]],Milestone_Marker,IF(AND(AN$29&gt;ProposalToGnatt[[#This Row],[Start Date]],AN$29&lt;ProposalToGnatt[[#This Row],[Start Date]]+ProposalToGnatt[[#This Row],[Days]]),$G$5,"")),"")</f>
        <v/>
      </c>
      <c r="AO51" s="37" t="str">
        <f ca="1">IFERROR(+IF(AO$29=ProposalToGnatt[[#This Row],[Start Date]],Milestone_Marker,IF(AND(AO$29&gt;ProposalToGnatt[[#This Row],[Start Date]],AO$29&lt;ProposalToGnatt[[#This Row],[Start Date]]+ProposalToGnatt[[#This Row],[Days]]),$G$5,"")),"")</f>
        <v/>
      </c>
      <c r="AP51" s="37" t="str">
        <f ca="1">IFERROR(+IF(AP$29=ProposalToGnatt[[#This Row],[Start Date]],Milestone_Marker,IF(AND(AP$29&gt;ProposalToGnatt[[#This Row],[Start Date]],AP$29&lt;ProposalToGnatt[[#This Row],[Start Date]]+ProposalToGnatt[[#This Row],[Days]]),$G$5,"")),"")</f>
        <v/>
      </c>
      <c r="AQ51" s="37" t="str">
        <f ca="1">IFERROR(+IF(AQ$29=ProposalToGnatt[[#This Row],[Start Date]],Milestone_Marker,IF(AND(AQ$29&gt;ProposalToGnatt[[#This Row],[Start Date]],AQ$29&lt;ProposalToGnatt[[#This Row],[Start Date]]+ProposalToGnatt[[#This Row],[Days]]),$G$5,"")),"")</f>
        <v/>
      </c>
      <c r="AR51" s="37" t="str">
        <f ca="1">IFERROR(+IF(AR$29=ProposalToGnatt[[#This Row],[Start Date]],Milestone_Marker,IF(AND(AR$29&gt;ProposalToGnatt[[#This Row],[Start Date]],AR$29&lt;ProposalToGnatt[[#This Row],[Start Date]]+ProposalToGnatt[[#This Row],[Days]]),$G$5,"")),"")</f>
        <v/>
      </c>
      <c r="AS51" s="37" t="str">
        <f ca="1">IFERROR(+IF(AS$29=ProposalToGnatt[[#This Row],[Start Date]],Milestone_Marker,IF(AND(AS$29&gt;ProposalToGnatt[[#This Row],[Start Date]],AS$29&lt;ProposalToGnatt[[#This Row],[Start Date]]+ProposalToGnatt[[#This Row],[Days]]),$G$5,"")),"")</f>
        <v/>
      </c>
      <c r="AT51" s="37" t="str">
        <f ca="1">IFERROR(+IF(AT$29=ProposalToGnatt[[#This Row],[Start Date]],Milestone_Marker,IF(AND(AT$29&gt;ProposalToGnatt[[#This Row],[Start Date]],AT$29&lt;ProposalToGnatt[[#This Row],[Start Date]]+ProposalToGnatt[[#This Row],[Days]]),$G$5,"")),"")</f>
        <v/>
      </c>
      <c r="AU51" s="37" t="str">
        <f ca="1">IFERROR(+IF(AU$29=ProposalToGnatt[[#This Row],[Start Date]],Milestone_Marker,IF(AND(AU$29&gt;ProposalToGnatt[[#This Row],[Start Date]],AU$29&lt;ProposalToGnatt[[#This Row],[Start Date]]+ProposalToGnatt[[#This Row],[Days]]),$G$5,"")),"")</f>
        <v/>
      </c>
      <c r="AV51" s="37" t="str">
        <f ca="1">IFERROR(+IF(AV$29=ProposalToGnatt[[#This Row],[Start Date]],Milestone_Marker,IF(AND(AV$29&gt;ProposalToGnatt[[#This Row],[Start Date]],AV$29&lt;ProposalToGnatt[[#This Row],[Start Date]]+ProposalToGnatt[[#This Row],[Days]]),$G$5,"")),"")</f>
        <v/>
      </c>
      <c r="AW51" s="37" t="str">
        <f ca="1">IFERROR(+IF(AW$29=ProposalToGnatt[[#This Row],[Start Date]],Milestone_Marker,IF(AND(AW$29&gt;ProposalToGnatt[[#This Row],[Start Date]],AW$29&lt;ProposalToGnatt[[#This Row],[Start Date]]+ProposalToGnatt[[#This Row],[Days]]),$G$5,"")),"")</f>
        <v/>
      </c>
      <c r="AX51" s="37" t="str">
        <f ca="1">IFERROR(+IF(AX$29=ProposalToGnatt[[#This Row],[Start Date]],Milestone_Marker,IF(AND(AX$29&gt;ProposalToGnatt[[#This Row],[Start Date]],AX$29&lt;ProposalToGnatt[[#This Row],[Start Date]]+ProposalToGnatt[[#This Row],[Days]]),$G$5,"")),"")</f>
        <v/>
      </c>
      <c r="AY51" s="37" t="str">
        <f ca="1">IFERROR(+IF(AY$29=ProposalToGnatt[[#This Row],[Start Date]],Milestone_Marker,IF(AND(AY$29&gt;ProposalToGnatt[[#This Row],[Start Date]],AY$29&lt;ProposalToGnatt[[#This Row],[Start Date]]+ProposalToGnatt[[#This Row],[Days]]),$G$5,"")),"")</f>
        <v/>
      </c>
      <c r="AZ51" s="37" t="str">
        <f ca="1">IFERROR(+IF(AZ$29=ProposalToGnatt[[#This Row],[Start Date]],Milestone_Marker,IF(AND(AZ$29&gt;ProposalToGnatt[[#This Row],[Start Date]],AZ$29&lt;ProposalToGnatt[[#This Row],[Start Date]]+ProposalToGnatt[[#This Row],[Days]]),$G$5,"")),"")</f>
        <v/>
      </c>
      <c r="BA51" s="37" t="str">
        <f ca="1">IFERROR(+IF(BA$29=ProposalToGnatt[[#This Row],[Start Date]],Milestone_Marker,IF(AND(BA$29&gt;ProposalToGnatt[[#This Row],[Start Date]],BA$29&lt;ProposalToGnatt[[#This Row],[Start Date]]+ProposalToGnatt[[#This Row],[Days]]),$G$5,"")),"")</f>
        <v/>
      </c>
      <c r="BB51" s="37" t="str">
        <f ca="1">IFERROR(+IF(BB$29=ProposalToGnatt[[#This Row],[Start Date]],Milestone_Marker,IF(AND(BB$29&gt;ProposalToGnatt[[#This Row],[Start Date]],BB$29&lt;ProposalToGnatt[[#This Row],[Start Date]]+ProposalToGnatt[[#This Row],[Days]]),$G$5,"")),"")</f>
        <v/>
      </c>
      <c r="BC51" s="37" t="str">
        <f ca="1">IFERROR(+IF(BC$29=ProposalToGnatt[[#This Row],[Start Date]],Milestone_Marker,IF(AND(BC$29&gt;ProposalToGnatt[[#This Row],[Start Date]],BC$29&lt;ProposalToGnatt[[#This Row],[Start Date]]+ProposalToGnatt[[#This Row],[Days]]),$G$5,"")),"")</f>
        <v/>
      </c>
      <c r="BD51" s="37" t="str">
        <f ca="1">IFERROR(+IF(BD$29=ProposalToGnatt[[#This Row],[Start Date]],Milestone_Marker,IF(AND(BD$29&gt;ProposalToGnatt[[#This Row],[Start Date]],BD$29&lt;ProposalToGnatt[[#This Row],[Start Date]]+ProposalToGnatt[[#This Row],[Days]]),$G$5,"")),"")</f>
        <v/>
      </c>
      <c r="BE51" s="37" t="str">
        <f ca="1">IFERROR(+IF(BE$29=ProposalToGnatt[[#This Row],[Start Date]],Milestone_Marker,IF(AND(BE$29&gt;ProposalToGnatt[[#This Row],[Start Date]],BE$29&lt;ProposalToGnatt[[#This Row],[Start Date]]+ProposalToGnatt[[#This Row],[Days]]),$G$5,"")),"")</f>
        <v/>
      </c>
      <c r="BF51" s="37" t="str">
        <f ca="1">IFERROR(+IF(BF$29=ProposalToGnatt[[#This Row],[Start Date]],Milestone_Marker,IF(AND(BF$29&gt;ProposalToGnatt[[#This Row],[Start Date]],BF$29&lt;ProposalToGnatt[[#This Row],[Start Date]]+ProposalToGnatt[[#This Row],[Days]]),$G$5,"")),"")</f>
        <v/>
      </c>
      <c r="BG51" s="37" t="str">
        <f ca="1">IFERROR(+IF(BG$29=ProposalToGnatt[[#This Row],[Start Date]],Milestone_Marker,IF(AND(BG$29&gt;ProposalToGnatt[[#This Row],[Start Date]],BG$29&lt;ProposalToGnatt[[#This Row],[Start Date]]+ProposalToGnatt[[#This Row],[Days]]),$G$5,"")),"")</f>
        <v/>
      </c>
      <c r="BH51" s="37" t="str">
        <f ca="1">IFERROR(+IF(BH$29=ProposalToGnatt[[#This Row],[Start Date]],Milestone_Marker,IF(AND(BH$29&gt;ProposalToGnatt[[#This Row],[Start Date]],BH$29&lt;ProposalToGnatt[[#This Row],[Start Date]]+ProposalToGnatt[[#This Row],[Days]]),$G$5,"")),"")</f>
        <v/>
      </c>
      <c r="BI51" s="37" t="str">
        <f ca="1">IFERROR(+IF(BI$29=ProposalToGnatt[[#This Row],[Start Date]],Milestone_Marker,IF(AND(BI$29&gt;ProposalToGnatt[[#This Row],[Start Date]],BI$29&lt;ProposalToGnatt[[#This Row],[Start Date]]+ProposalToGnatt[[#This Row],[Days]]),$G$5,"")),"")</f>
        <v/>
      </c>
      <c r="BJ51" s="37" t="str">
        <f ca="1">IFERROR(+IF(BJ$29=ProposalToGnatt[[#This Row],[Start Date]],Milestone_Marker,IF(AND(BJ$29&gt;ProposalToGnatt[[#This Row],[Start Date]],BJ$29&lt;ProposalToGnatt[[#This Row],[Start Date]]+ProposalToGnatt[[#This Row],[Days]]),$G$5,"")),"")</f>
        <v/>
      </c>
      <c r="BK51" s="37" t="str">
        <f ca="1">IFERROR(+IF(BK$29=ProposalToGnatt[[#This Row],[Start Date]],Milestone_Marker,IF(AND(BK$29&gt;ProposalToGnatt[[#This Row],[Start Date]],BK$29&lt;ProposalToGnatt[[#This Row],[Start Date]]+ProposalToGnatt[[#This Row],[Days]]),$G$5,"")),"")</f>
        <v/>
      </c>
      <c r="BL51" s="37" t="str">
        <f ca="1">IFERROR(+IF(BL$29=ProposalToGnatt[[#This Row],[Start Date]],Milestone_Marker,IF(AND(BL$29&gt;ProposalToGnatt[[#This Row],[Start Date]],BL$29&lt;ProposalToGnatt[[#This Row],[Start Date]]+ProposalToGnatt[[#This Row],[Days]]),$G$5,"")),"")</f>
        <v/>
      </c>
      <c r="BM51" s="37" t="str">
        <f ca="1">IFERROR(+IF(BM$29=ProposalToGnatt[[#This Row],[Start Date]],Milestone_Marker,IF(AND(BM$29&gt;ProposalToGnatt[[#This Row],[Start Date]],BM$29&lt;ProposalToGnatt[[#This Row],[Start Date]]+ProposalToGnatt[[#This Row],[Days]]),$G$5,"")),"")</f>
        <v/>
      </c>
      <c r="BN51" s="37" t="str">
        <f ca="1">IFERROR(+IF(BN$29=ProposalToGnatt[[#This Row],[Start Date]],Milestone_Marker,IF(AND(BN$29&gt;ProposalToGnatt[[#This Row],[Start Date]],BN$29&lt;ProposalToGnatt[[#This Row],[Start Date]]+ProposalToGnatt[[#This Row],[Days]]),$G$5,"")),"")</f>
        <v/>
      </c>
      <c r="BO51" s="37" t="str">
        <f ca="1">IFERROR(+IF(BO$29=ProposalToGnatt[[#This Row],[Start Date]],Milestone_Marker,IF(AND(BO$29&gt;ProposalToGnatt[[#This Row],[Start Date]],BO$29&lt;ProposalToGnatt[[#This Row],[Start Date]]+ProposalToGnatt[[#This Row],[Days]]),$G$5,"")),"")</f>
        <v/>
      </c>
      <c r="BP51" s="37" t="str">
        <f ca="1">IFERROR(+IF(BP$29=ProposalToGnatt[[#This Row],[Start Date]],Milestone_Marker,IF(AND(BP$29&gt;ProposalToGnatt[[#This Row],[Start Date]],BP$29&lt;ProposalToGnatt[[#This Row],[Start Date]]+ProposalToGnatt[[#This Row],[Days]]),$G$5,"")),"")</f>
        <v/>
      </c>
      <c r="BQ51" s="37" t="str">
        <f ca="1">IFERROR(+IF(BQ$29=ProposalToGnatt[[#This Row],[Start Date]],Milestone_Marker,IF(AND(BQ$29&gt;ProposalToGnatt[[#This Row],[Start Date]],BQ$29&lt;ProposalToGnatt[[#This Row],[Start Date]]+ProposalToGnatt[[#This Row],[Days]]),$G$5,"")),"")</f>
        <v/>
      </c>
      <c r="BR51" s="37" t="str">
        <f ca="1">IFERROR(+IF(BR$29=ProposalToGnatt[[#This Row],[Start Date]],Milestone_Marker,IF(AND(BR$29&gt;ProposalToGnatt[[#This Row],[Start Date]],BR$29&lt;ProposalToGnatt[[#This Row],[Start Date]]+ProposalToGnatt[[#This Row],[Days]]),$G$5,"")),"")</f>
        <v/>
      </c>
      <c r="BS51" s="37" t="str">
        <f ca="1">IFERROR(+IF(BS$29=ProposalToGnatt[[#This Row],[Start Date]],Milestone_Marker,IF(AND(BS$29&gt;ProposalToGnatt[[#This Row],[Start Date]],BS$29&lt;ProposalToGnatt[[#This Row],[Start Date]]+ProposalToGnatt[[#This Row],[Days]]),$G$5,"")),"")</f>
        <v/>
      </c>
      <c r="BT51" s="37" t="str">
        <f ca="1">IFERROR(+IF(BT$29=ProposalToGnatt[[#This Row],[Start Date]],Milestone_Marker,IF(AND(BT$29&gt;ProposalToGnatt[[#This Row],[Start Date]],BT$29&lt;ProposalToGnatt[[#This Row],[Start Date]]+ProposalToGnatt[[#This Row],[Days]]),$G$5,"")),"")</f>
        <v/>
      </c>
      <c r="BU51" s="37" t="str">
        <f ca="1">IFERROR(+IF(BU$29=ProposalToGnatt[[#This Row],[Start Date]],Milestone_Marker,IF(AND(BU$29&gt;ProposalToGnatt[[#This Row],[Start Date]],BU$29&lt;ProposalToGnatt[[#This Row],[Start Date]]+ProposalToGnatt[[#This Row],[Days]]),$G$5,"")),"")</f>
        <v/>
      </c>
      <c r="BV51" s="37" t="str">
        <f ca="1">IFERROR(+IF(BV$29=ProposalToGnatt[[#This Row],[Start Date]],Milestone_Marker,IF(AND(BV$29&gt;ProposalToGnatt[[#This Row],[Start Date]],BV$29&lt;ProposalToGnatt[[#This Row],[Start Date]]+ProposalToGnatt[[#This Row],[Days]]),$G$5,"")),"")</f>
        <v/>
      </c>
      <c r="BW51" s="37" t="str">
        <f ca="1">IFERROR(+IF(BW$29=ProposalToGnatt[[#This Row],[Start Date]],Milestone_Marker,IF(AND(BW$29&gt;ProposalToGnatt[[#This Row],[Start Date]],BW$29&lt;ProposalToGnatt[[#This Row],[Start Date]]+ProposalToGnatt[[#This Row],[Days]]),$G$5,"")),"")</f>
        <v/>
      </c>
      <c r="BX51" s="37" t="str">
        <f ca="1">IFERROR(+IF(BX$29=ProposalToGnatt[[#This Row],[Start Date]],Milestone_Marker,IF(AND(BX$29&gt;ProposalToGnatt[[#This Row],[Start Date]],BX$29&lt;ProposalToGnatt[[#This Row],[Start Date]]+ProposalToGnatt[[#This Row],[Days]]),$G$5,"")),"")</f>
        <v/>
      </c>
      <c r="BY51" s="37" t="str">
        <f ca="1">IFERROR(+IF(BY$29=ProposalToGnatt[[#This Row],[Start Date]],Milestone_Marker,IF(AND(BY$29&gt;ProposalToGnatt[[#This Row],[Start Date]],BY$29&lt;ProposalToGnatt[[#This Row],[Start Date]]+ProposalToGnatt[[#This Row],[Days]]),$G$5,"")),"")</f>
        <v/>
      </c>
      <c r="BZ51" s="37" t="str">
        <f ca="1">IFERROR(+IF(BZ$29=ProposalToGnatt[[#This Row],[Start Date]],Milestone_Marker,IF(AND(BZ$29&gt;ProposalToGnatt[[#This Row],[Start Date]],BZ$29&lt;ProposalToGnatt[[#This Row],[Start Date]]+ProposalToGnatt[[#This Row],[Days]]),$G$5,"")),"")</f>
        <v/>
      </c>
      <c r="CA51" s="37" t="str">
        <f ca="1">IFERROR(+IF(CA$29=ProposalToGnatt[[#This Row],[Start Date]],Milestone_Marker,IF(AND(CA$29&gt;ProposalToGnatt[[#This Row],[Start Date]],CA$29&lt;ProposalToGnatt[[#This Row],[Start Date]]+ProposalToGnatt[[#This Row],[Days]]),$G$5,"")),"")</f>
        <v/>
      </c>
      <c r="CB51" s="37" t="str">
        <f ca="1">IFERROR(+IF(CB$29=ProposalToGnatt[[#This Row],[Start Date]],Milestone_Marker,IF(AND(CB$29&gt;ProposalToGnatt[[#This Row],[Start Date]],CB$29&lt;ProposalToGnatt[[#This Row],[Start Date]]+ProposalToGnatt[[#This Row],[Days]]),$G$5,"")),"")</f>
        <v/>
      </c>
      <c r="CC51" s="37" t="str">
        <f ca="1">IFERROR(+IF(CC$29=ProposalToGnatt[[#This Row],[Start Date]],Milestone_Marker,IF(AND(CC$29&gt;ProposalToGnatt[[#This Row],[Start Date]],CC$29&lt;ProposalToGnatt[[#This Row],[Start Date]]+ProposalToGnatt[[#This Row],[Days]]),$G$5,"")),"")</f>
        <v/>
      </c>
      <c r="CD51" s="37" t="str">
        <f ca="1">IFERROR(+IF(CD$29=ProposalToGnatt[[#This Row],[Start Date]],Milestone_Marker,IF(AND(CD$29&gt;ProposalToGnatt[[#This Row],[Start Date]],CD$29&lt;ProposalToGnatt[[#This Row],[Start Date]]+ProposalToGnatt[[#This Row],[Days]]),$G$5,"")),"")</f>
        <v/>
      </c>
      <c r="CE51" s="37" t="str">
        <f ca="1">IFERROR(+IF(CE$29=ProposalToGnatt[[#This Row],[Start Date]],Milestone_Marker,IF(AND(CE$29&gt;ProposalToGnatt[[#This Row],[Start Date]],CE$29&lt;ProposalToGnatt[[#This Row],[Start Date]]+ProposalToGnatt[[#This Row],[Days]]),$G$5,"")),"")</f>
        <v/>
      </c>
      <c r="CF51" s="37" t="str">
        <f ca="1">IFERROR(+IF(CF$29=ProposalToGnatt[[#This Row],[Start Date]],Milestone_Marker,IF(AND(CF$29&gt;ProposalToGnatt[[#This Row],[Start Date]],CF$29&lt;ProposalToGnatt[[#This Row],[Start Date]]+ProposalToGnatt[[#This Row],[Days]]),$G$5,"")),"")</f>
        <v/>
      </c>
      <c r="CG51" s="37" t="str">
        <f ca="1">IFERROR(+IF(CG$29=ProposalToGnatt[[#This Row],[Start Date]],Milestone_Marker,IF(AND(CG$29&gt;ProposalToGnatt[[#This Row],[Start Date]],CG$29&lt;ProposalToGnatt[[#This Row],[Start Date]]+ProposalToGnatt[[#This Row],[Days]]),$G$5,"")),"")</f>
        <v/>
      </c>
      <c r="CH51" s="37" t="str">
        <f ca="1">IFERROR(+IF(CH$29=ProposalToGnatt[[#This Row],[Start Date]],Milestone_Marker,IF(AND(CH$29&gt;ProposalToGnatt[[#This Row],[Start Date]],CH$29&lt;ProposalToGnatt[[#This Row],[Start Date]]+ProposalToGnatt[[#This Row],[Days]]),$G$5,"")),"")</f>
        <v/>
      </c>
      <c r="CI51" s="37" t="str">
        <f ca="1">IFERROR(+IF(CI$29=ProposalToGnatt[[#This Row],[Start Date]],Milestone_Marker,IF(AND(CI$29&gt;ProposalToGnatt[[#This Row],[Start Date]],CI$29&lt;ProposalToGnatt[[#This Row],[Start Date]]+ProposalToGnatt[[#This Row],[Days]]),$G$5,"")),"")</f>
        <v/>
      </c>
      <c r="CJ51" s="37" t="str">
        <f ca="1">IFERROR(+IF(CJ$29=ProposalToGnatt[[#This Row],[Start Date]],Milestone_Marker,IF(AND(CJ$29&gt;ProposalToGnatt[[#This Row],[Start Date]],CJ$29&lt;ProposalToGnatt[[#This Row],[Start Date]]+ProposalToGnatt[[#This Row],[Days]]),$G$5,"")),"")</f>
        <v/>
      </c>
      <c r="CK51" s="37" t="str">
        <f ca="1">IFERROR(+IF(CK$29=ProposalToGnatt[[#This Row],[Start Date]],Milestone_Marker,IF(AND(CK$29&gt;ProposalToGnatt[[#This Row],[Start Date]],CK$29&lt;ProposalToGnatt[[#This Row],[Start Date]]+ProposalToGnatt[[#This Row],[Days]]),$G$5,"")),"")</f>
        <v/>
      </c>
      <c r="CL51" s="37" t="str">
        <f ca="1">IFERROR(+IF(CL$29=ProposalToGnatt[[#This Row],[Start Date]],Milestone_Marker,IF(AND(CL$29&gt;ProposalToGnatt[[#This Row],[Start Date]],CL$29&lt;ProposalToGnatt[[#This Row],[Start Date]]+ProposalToGnatt[[#This Row],[Days]]),$G$5,"")),"")</f>
        <v/>
      </c>
      <c r="CM51" s="37" t="str">
        <f ca="1">IFERROR(+IF(CM$29=ProposalToGnatt[[#This Row],[Start Date]],Milestone_Marker,IF(AND(CM$29&gt;ProposalToGnatt[[#This Row],[Start Date]],CM$29&lt;ProposalToGnatt[[#This Row],[Start Date]]+ProposalToGnatt[[#This Row],[Days]]),$G$5,"")),"")</f>
        <v/>
      </c>
      <c r="CN51" s="37" t="str">
        <f ca="1">IFERROR(+IF(CN$29=ProposalToGnatt[[#This Row],[Start Date]],Milestone_Marker,IF(AND(CN$29&gt;ProposalToGnatt[[#This Row],[Start Date]],CN$29&lt;ProposalToGnatt[[#This Row],[Start Date]]+ProposalToGnatt[[#This Row],[Days]]),$G$5,"")),"")</f>
        <v/>
      </c>
      <c r="CO51" s="37" t="str">
        <f ca="1">IFERROR(+IF(CO$29=ProposalToGnatt[[#This Row],[Start Date]],Milestone_Marker,IF(AND(CO$29&gt;ProposalToGnatt[[#This Row],[Start Date]],CO$29&lt;ProposalToGnatt[[#This Row],[Start Date]]+ProposalToGnatt[[#This Row],[Days]]),$G$5,"")),"")</f>
        <v/>
      </c>
      <c r="CP51" s="37" t="str">
        <f ca="1">IFERROR(+IF(CP$29=ProposalToGnatt[[#This Row],[Start Date]],Milestone_Marker,IF(AND(CP$29&gt;ProposalToGnatt[[#This Row],[Start Date]],CP$29&lt;ProposalToGnatt[[#This Row],[Start Date]]+ProposalToGnatt[[#This Row],[Days]]),$G$5,"")),"")</f>
        <v/>
      </c>
      <c r="CQ51" s="37" t="str">
        <f ca="1">IFERROR(+IF(CQ$29=ProposalToGnatt[[#This Row],[Start Date]],Milestone_Marker,IF(AND(CQ$29&gt;ProposalToGnatt[[#This Row],[Start Date]],CQ$29&lt;ProposalToGnatt[[#This Row],[Start Date]]+ProposalToGnatt[[#This Row],[Days]]),$G$5,"")),"")</f>
        <v/>
      </c>
      <c r="CR51" s="37" t="str">
        <f ca="1">IFERROR(+IF(CR$29=ProposalToGnatt[[#This Row],[Start Date]],Milestone_Marker,IF(AND(CR$29&gt;ProposalToGnatt[[#This Row],[Start Date]],CR$29&lt;ProposalToGnatt[[#This Row],[Start Date]]+ProposalToGnatt[[#This Row],[Days]]),$G$5,"")),"")</f>
        <v/>
      </c>
      <c r="CS51" s="37" t="str">
        <f ca="1">IFERROR(+IF(CS$29=ProposalToGnatt[[#This Row],[Start Date]],Milestone_Marker,IF(AND(CS$29&gt;ProposalToGnatt[[#This Row],[Start Date]],CS$29&lt;ProposalToGnatt[[#This Row],[Start Date]]+ProposalToGnatt[[#This Row],[Days]]),$G$5,"")),"")</f>
        <v/>
      </c>
      <c r="CT51" s="37" t="str">
        <f ca="1">IFERROR(+IF(CT$29=ProposalToGnatt[[#This Row],[Start Date]],Milestone_Marker,IF(AND(CT$29&gt;ProposalToGnatt[[#This Row],[Start Date]],CT$29&lt;ProposalToGnatt[[#This Row],[Start Date]]+ProposalToGnatt[[#This Row],[Days]]),$G$5,"")),"")</f>
        <v/>
      </c>
      <c r="CU51" s="37" t="str">
        <f ca="1">IFERROR(+IF(CU$29=ProposalToGnatt[[#This Row],[Start Date]],Milestone_Marker,IF(AND(CU$29&gt;ProposalToGnatt[[#This Row],[Start Date]],CU$29&lt;ProposalToGnatt[[#This Row],[Start Date]]+ProposalToGnatt[[#This Row],[Days]]),$G$5,"")),"")</f>
        <v/>
      </c>
      <c r="CV51" s="37"/>
      <c r="CW51" s="37"/>
      <c r="CX51" s="37"/>
      <c r="CY51" s="37"/>
      <c r="CZ51" s="37"/>
      <c r="DA51" s="37"/>
      <c r="DB51" s="37"/>
      <c r="DC51" s="37"/>
      <c r="DD51" s="37"/>
      <c r="DE51" s="37"/>
      <c r="DF51" s="37"/>
      <c r="DG51" s="37"/>
      <c r="DH51" s="37"/>
      <c r="DI51" s="37"/>
      <c r="DJ51" s="37"/>
      <c r="DK51" s="37"/>
      <c r="DL51" s="37"/>
      <c r="DM51" s="37"/>
      <c r="DN51" s="37"/>
      <c r="DO51" s="37"/>
      <c r="DP51" s="37"/>
      <c r="DQ51" s="37"/>
      <c r="DR51" s="37"/>
      <c r="DS51" s="37"/>
      <c r="DT51" s="37"/>
      <c r="DU51" s="37"/>
    </row>
    <row r="52" spans="1:125" s="42" customFormat="1" ht="15">
      <c r="A52"/>
      <c r="B52"/>
      <c r="C52"/>
      <c r="D52"/>
      <c r="E52"/>
      <c r="F52"/>
      <c r="G52" s="11"/>
      <c r="H52" s="26"/>
      <c r="I52"/>
      <c r="J52"/>
      <c r="K52" s="402"/>
      <c r="L52"/>
      <c r="M52"/>
      <c r="N52"/>
      <c r="O52" s="26"/>
      <c r="P52" s="37" t="str">
        <f ca="1">IFERROR(+IF(P$29=ProposalToGnatt[[#This Row],[Start Date]],Milestone_Marker,IF(AND(P$29&gt;ProposalToGnatt[[#This Row],[Start Date]],P$29&lt;ProposalToGnatt[[#This Row],[Start Date]]+ProposalToGnatt[[#This Row],[Days]]),$G$5,"")),"")</f>
        <v/>
      </c>
      <c r="Q52" s="37" t="str">
        <f ca="1">IFERROR(+IF(Q$29=ProposalToGnatt[[#This Row],[Start Date]],Milestone_Marker,IF(AND(Q$29&gt;ProposalToGnatt[[#This Row],[Start Date]],Q$29&lt;ProposalToGnatt[[#This Row],[Start Date]]+ProposalToGnatt[[#This Row],[Days]]),$G$5,"")),"")</f>
        <v/>
      </c>
      <c r="R52" s="37" t="str">
        <f ca="1">IFERROR(+IF(R$29=ProposalToGnatt[[#This Row],[Start Date]],Milestone_Marker,IF(AND(R$29&gt;ProposalToGnatt[[#This Row],[Start Date]],R$29&lt;ProposalToGnatt[[#This Row],[Start Date]]+ProposalToGnatt[[#This Row],[Days]]),$G$5,"")),"")</f>
        <v/>
      </c>
      <c r="S52" s="37" t="str">
        <f ca="1">IFERROR(+IF(S$29=ProposalToGnatt[[#This Row],[Start Date]],Milestone_Marker,IF(AND(S$29&gt;ProposalToGnatt[[#This Row],[Start Date]],S$29&lt;ProposalToGnatt[[#This Row],[Start Date]]+ProposalToGnatt[[#This Row],[Days]]),$G$5,"")),"")</f>
        <v/>
      </c>
      <c r="T52" s="37" t="str">
        <f ca="1">IFERROR(+IF(T$29=ProposalToGnatt[[#This Row],[Start Date]],Milestone_Marker,IF(AND(T$29&gt;ProposalToGnatt[[#This Row],[Start Date]],T$29&lt;ProposalToGnatt[[#This Row],[Start Date]]+ProposalToGnatt[[#This Row],[Days]]),$G$5,"")),"")</f>
        <v/>
      </c>
      <c r="U52" s="37" t="str">
        <f ca="1">IFERROR(+IF(U$29=ProposalToGnatt[[#This Row],[Start Date]],Milestone_Marker,IF(AND(U$29&gt;ProposalToGnatt[[#This Row],[Start Date]],U$29&lt;ProposalToGnatt[[#This Row],[Start Date]]+ProposalToGnatt[[#This Row],[Days]]),$G$5,"")),"")</f>
        <v/>
      </c>
      <c r="V52" s="37" t="str">
        <f ca="1">IFERROR(+IF(V$29=ProposalToGnatt[[#This Row],[Start Date]],Milestone_Marker,IF(AND(V$29&gt;ProposalToGnatt[[#This Row],[Start Date]],V$29&lt;ProposalToGnatt[[#This Row],[Start Date]]+ProposalToGnatt[[#This Row],[Days]]),$G$5,"")),"")</f>
        <v/>
      </c>
      <c r="W52" s="37" t="str">
        <f ca="1">IFERROR(+IF(W$29=ProposalToGnatt[[#This Row],[Start Date]],Milestone_Marker,IF(AND(W$29&gt;ProposalToGnatt[[#This Row],[Start Date]],W$29&lt;ProposalToGnatt[[#This Row],[Start Date]]+ProposalToGnatt[[#This Row],[Days]]),$G$5,"")),"")</f>
        <v/>
      </c>
      <c r="X52" s="37" t="str">
        <f ca="1">IFERROR(+IF(X$29=ProposalToGnatt[[#This Row],[Start Date]],Milestone_Marker,IF(AND(X$29&gt;ProposalToGnatt[[#This Row],[Start Date]],X$29&lt;ProposalToGnatt[[#This Row],[Start Date]]+ProposalToGnatt[[#This Row],[Days]]),$G$5,"")),"")</f>
        <v/>
      </c>
      <c r="Y52" s="37" t="str">
        <f ca="1">IFERROR(+IF(Y$29=ProposalToGnatt[[#This Row],[Start Date]],Milestone_Marker,IF(AND(Y$29&gt;ProposalToGnatt[[#This Row],[Start Date]],Y$29&lt;ProposalToGnatt[[#This Row],[Start Date]]+ProposalToGnatt[[#This Row],[Days]]),$G$5,"")),"")</f>
        <v/>
      </c>
      <c r="Z52" s="37" t="str">
        <f ca="1">IFERROR(+IF(Z$29=ProposalToGnatt[[#This Row],[Start Date]],Milestone_Marker,IF(AND(Z$29&gt;ProposalToGnatt[[#This Row],[Start Date]],Z$29&lt;ProposalToGnatt[[#This Row],[Start Date]]+ProposalToGnatt[[#This Row],[Days]]),$G$5,"")),"")</f>
        <v/>
      </c>
      <c r="AA52" s="37" t="str">
        <f ca="1">IFERROR(+IF(AA$29=ProposalToGnatt[[#This Row],[Start Date]],Milestone_Marker,IF(AND(AA$29&gt;ProposalToGnatt[[#This Row],[Start Date]],AA$29&lt;ProposalToGnatt[[#This Row],[Start Date]]+ProposalToGnatt[[#This Row],[Days]]),$G$5,"")),"")</f>
        <v/>
      </c>
      <c r="AB52" s="37" t="str">
        <f ca="1">IFERROR(+IF(AB$29=ProposalToGnatt[[#This Row],[Start Date]],Milestone_Marker,IF(AND(AB$29&gt;ProposalToGnatt[[#This Row],[Start Date]],AB$29&lt;ProposalToGnatt[[#This Row],[Start Date]]+ProposalToGnatt[[#This Row],[Days]]),$G$5,"")),"")</f>
        <v/>
      </c>
      <c r="AC52" s="37" t="str">
        <f ca="1">IFERROR(+IF(AC$29=ProposalToGnatt[[#This Row],[Start Date]],Milestone_Marker,IF(AND(AC$29&gt;ProposalToGnatt[[#This Row],[Start Date]],AC$29&lt;ProposalToGnatt[[#This Row],[Start Date]]+ProposalToGnatt[[#This Row],[Days]]),$G$5,"")),"")</f>
        <v/>
      </c>
      <c r="AD52" s="37" t="str">
        <f ca="1">IFERROR(+IF(AD$29=ProposalToGnatt[[#This Row],[Start Date]],Milestone_Marker,IF(AND(AD$29&gt;ProposalToGnatt[[#This Row],[Start Date]],AD$29&lt;ProposalToGnatt[[#This Row],[Start Date]]+ProposalToGnatt[[#This Row],[Days]]),$G$5,"")),"")</f>
        <v/>
      </c>
      <c r="AE52" s="37" t="str">
        <f ca="1">IFERROR(+IF(AE$29=ProposalToGnatt[[#This Row],[Start Date]],Milestone_Marker,IF(AND(AE$29&gt;ProposalToGnatt[[#This Row],[Start Date]],AE$29&lt;ProposalToGnatt[[#This Row],[Start Date]]+ProposalToGnatt[[#This Row],[Days]]),$G$5,"")),"")</f>
        <v/>
      </c>
      <c r="AF52" s="37" t="str">
        <f ca="1">IFERROR(+IF(AF$29=ProposalToGnatt[[#This Row],[Start Date]],Milestone_Marker,IF(AND(AF$29&gt;ProposalToGnatt[[#This Row],[Start Date]],AF$29&lt;ProposalToGnatt[[#This Row],[Start Date]]+ProposalToGnatt[[#This Row],[Days]]),$G$5,"")),"")</f>
        <v/>
      </c>
      <c r="AG52" s="37" t="str">
        <f ca="1">IFERROR(+IF(AG$29=ProposalToGnatt[[#This Row],[Start Date]],Milestone_Marker,IF(AND(AG$29&gt;ProposalToGnatt[[#This Row],[Start Date]],AG$29&lt;ProposalToGnatt[[#This Row],[Start Date]]+ProposalToGnatt[[#This Row],[Days]]),$G$5,"")),"")</f>
        <v/>
      </c>
      <c r="AH52" s="37" t="str">
        <f ca="1">IFERROR(+IF(AH$29=ProposalToGnatt[[#This Row],[Start Date]],Milestone_Marker,IF(AND(AH$29&gt;ProposalToGnatt[[#This Row],[Start Date]],AH$29&lt;ProposalToGnatt[[#This Row],[Start Date]]+ProposalToGnatt[[#This Row],[Days]]),$G$5,"")),"")</f>
        <v/>
      </c>
      <c r="AI52" s="37" t="str">
        <f ca="1">IFERROR(+IF(AI$29=ProposalToGnatt[[#This Row],[Start Date]],Milestone_Marker,IF(AND(AI$29&gt;ProposalToGnatt[[#This Row],[Start Date]],AI$29&lt;ProposalToGnatt[[#This Row],[Start Date]]+ProposalToGnatt[[#This Row],[Days]]),$G$5,"")),"")</f>
        <v/>
      </c>
      <c r="AJ52" s="37" t="str">
        <f ca="1">IFERROR(+IF(AJ$29=ProposalToGnatt[[#This Row],[Start Date]],Milestone_Marker,IF(AND(AJ$29&gt;ProposalToGnatt[[#This Row],[Start Date]],AJ$29&lt;ProposalToGnatt[[#This Row],[Start Date]]+ProposalToGnatt[[#This Row],[Days]]),$G$5,"")),"")</f>
        <v/>
      </c>
      <c r="AK52" s="37" t="str">
        <f ca="1">IFERROR(+IF(AK$29=ProposalToGnatt[[#This Row],[Start Date]],Milestone_Marker,IF(AND(AK$29&gt;ProposalToGnatt[[#This Row],[Start Date]],AK$29&lt;ProposalToGnatt[[#This Row],[Start Date]]+ProposalToGnatt[[#This Row],[Days]]),$G$5,"")),"")</f>
        <v/>
      </c>
      <c r="AL52" s="37" t="str">
        <f ca="1">IFERROR(+IF(AL$29=ProposalToGnatt[[#This Row],[Start Date]],Milestone_Marker,IF(AND(AL$29&gt;ProposalToGnatt[[#This Row],[Start Date]],AL$29&lt;ProposalToGnatt[[#This Row],[Start Date]]+ProposalToGnatt[[#This Row],[Days]]),$G$5,"")),"")</f>
        <v/>
      </c>
      <c r="AM52" s="37" t="str">
        <f ca="1">IFERROR(+IF(AM$29=ProposalToGnatt[[#This Row],[Start Date]],Milestone_Marker,IF(AND(AM$29&gt;ProposalToGnatt[[#This Row],[Start Date]],AM$29&lt;ProposalToGnatt[[#This Row],[Start Date]]+ProposalToGnatt[[#This Row],[Days]]),$G$5,"")),"")</f>
        <v/>
      </c>
      <c r="AN52" s="37" t="str">
        <f ca="1">IFERROR(+IF(AN$29=ProposalToGnatt[[#This Row],[Start Date]],Milestone_Marker,IF(AND(AN$29&gt;ProposalToGnatt[[#This Row],[Start Date]],AN$29&lt;ProposalToGnatt[[#This Row],[Start Date]]+ProposalToGnatt[[#This Row],[Days]]),$G$5,"")),"")</f>
        <v/>
      </c>
      <c r="AO52" s="37" t="str">
        <f ca="1">IFERROR(+IF(AO$29=ProposalToGnatt[[#This Row],[Start Date]],Milestone_Marker,IF(AND(AO$29&gt;ProposalToGnatt[[#This Row],[Start Date]],AO$29&lt;ProposalToGnatt[[#This Row],[Start Date]]+ProposalToGnatt[[#This Row],[Days]]),$G$5,"")),"")</f>
        <v/>
      </c>
      <c r="AP52" s="37" t="str">
        <f ca="1">IFERROR(+IF(AP$29=ProposalToGnatt[[#This Row],[Start Date]],Milestone_Marker,IF(AND(AP$29&gt;ProposalToGnatt[[#This Row],[Start Date]],AP$29&lt;ProposalToGnatt[[#This Row],[Start Date]]+ProposalToGnatt[[#This Row],[Days]]),$G$5,"")),"")</f>
        <v/>
      </c>
      <c r="AQ52" s="37" t="str">
        <f ca="1">IFERROR(+IF(AQ$29=ProposalToGnatt[[#This Row],[Start Date]],Milestone_Marker,IF(AND(AQ$29&gt;ProposalToGnatt[[#This Row],[Start Date]],AQ$29&lt;ProposalToGnatt[[#This Row],[Start Date]]+ProposalToGnatt[[#This Row],[Days]]),$G$5,"")),"")</f>
        <v/>
      </c>
      <c r="AR52" s="37" t="str">
        <f ca="1">IFERROR(+IF(AR$29=ProposalToGnatt[[#This Row],[Start Date]],Milestone_Marker,IF(AND(AR$29&gt;ProposalToGnatt[[#This Row],[Start Date]],AR$29&lt;ProposalToGnatt[[#This Row],[Start Date]]+ProposalToGnatt[[#This Row],[Days]]),$G$5,"")),"")</f>
        <v/>
      </c>
      <c r="AS52" s="37" t="str">
        <f ca="1">IFERROR(+IF(AS$29=ProposalToGnatt[[#This Row],[Start Date]],Milestone_Marker,IF(AND(AS$29&gt;ProposalToGnatt[[#This Row],[Start Date]],AS$29&lt;ProposalToGnatt[[#This Row],[Start Date]]+ProposalToGnatt[[#This Row],[Days]]),$G$5,"")),"")</f>
        <v/>
      </c>
      <c r="AT52" s="37" t="str">
        <f ca="1">IFERROR(+IF(AT$29=ProposalToGnatt[[#This Row],[Start Date]],Milestone_Marker,IF(AND(AT$29&gt;ProposalToGnatt[[#This Row],[Start Date]],AT$29&lt;ProposalToGnatt[[#This Row],[Start Date]]+ProposalToGnatt[[#This Row],[Days]]),$G$5,"")),"")</f>
        <v/>
      </c>
      <c r="AU52" s="37" t="str">
        <f ca="1">IFERROR(+IF(AU$29=ProposalToGnatt[[#This Row],[Start Date]],Milestone_Marker,IF(AND(AU$29&gt;ProposalToGnatt[[#This Row],[Start Date]],AU$29&lt;ProposalToGnatt[[#This Row],[Start Date]]+ProposalToGnatt[[#This Row],[Days]]),$G$5,"")),"")</f>
        <v/>
      </c>
      <c r="AV52" s="37" t="str">
        <f ca="1">IFERROR(+IF(AV$29=ProposalToGnatt[[#This Row],[Start Date]],Milestone_Marker,IF(AND(AV$29&gt;ProposalToGnatt[[#This Row],[Start Date]],AV$29&lt;ProposalToGnatt[[#This Row],[Start Date]]+ProposalToGnatt[[#This Row],[Days]]),$G$5,"")),"")</f>
        <v/>
      </c>
      <c r="AW52" s="37" t="str">
        <f ca="1">IFERROR(+IF(AW$29=ProposalToGnatt[[#This Row],[Start Date]],Milestone_Marker,IF(AND(AW$29&gt;ProposalToGnatt[[#This Row],[Start Date]],AW$29&lt;ProposalToGnatt[[#This Row],[Start Date]]+ProposalToGnatt[[#This Row],[Days]]),$G$5,"")),"")</f>
        <v/>
      </c>
      <c r="AX52" s="37" t="str">
        <f ca="1">IFERROR(+IF(AX$29=ProposalToGnatt[[#This Row],[Start Date]],Milestone_Marker,IF(AND(AX$29&gt;ProposalToGnatt[[#This Row],[Start Date]],AX$29&lt;ProposalToGnatt[[#This Row],[Start Date]]+ProposalToGnatt[[#This Row],[Days]]),$G$5,"")),"")</f>
        <v/>
      </c>
      <c r="AY52" s="37" t="str">
        <f ca="1">IFERROR(+IF(AY$29=ProposalToGnatt[[#This Row],[Start Date]],Milestone_Marker,IF(AND(AY$29&gt;ProposalToGnatt[[#This Row],[Start Date]],AY$29&lt;ProposalToGnatt[[#This Row],[Start Date]]+ProposalToGnatt[[#This Row],[Days]]),$G$5,"")),"")</f>
        <v/>
      </c>
      <c r="AZ52" s="37" t="str">
        <f ca="1">IFERROR(+IF(AZ$29=ProposalToGnatt[[#This Row],[Start Date]],Milestone_Marker,IF(AND(AZ$29&gt;ProposalToGnatt[[#This Row],[Start Date]],AZ$29&lt;ProposalToGnatt[[#This Row],[Start Date]]+ProposalToGnatt[[#This Row],[Days]]),$G$5,"")),"")</f>
        <v/>
      </c>
      <c r="BA52" s="37" t="str">
        <f ca="1">IFERROR(+IF(BA$29=ProposalToGnatt[[#This Row],[Start Date]],Milestone_Marker,IF(AND(BA$29&gt;ProposalToGnatt[[#This Row],[Start Date]],BA$29&lt;ProposalToGnatt[[#This Row],[Start Date]]+ProposalToGnatt[[#This Row],[Days]]),$G$5,"")),"")</f>
        <v/>
      </c>
      <c r="BB52" s="37" t="str">
        <f ca="1">IFERROR(+IF(BB$29=ProposalToGnatt[[#This Row],[Start Date]],Milestone_Marker,IF(AND(BB$29&gt;ProposalToGnatt[[#This Row],[Start Date]],BB$29&lt;ProposalToGnatt[[#This Row],[Start Date]]+ProposalToGnatt[[#This Row],[Days]]),$G$5,"")),"")</f>
        <v/>
      </c>
      <c r="BC52" s="37" t="str">
        <f ca="1">IFERROR(+IF(BC$29=ProposalToGnatt[[#This Row],[Start Date]],Milestone_Marker,IF(AND(BC$29&gt;ProposalToGnatt[[#This Row],[Start Date]],BC$29&lt;ProposalToGnatt[[#This Row],[Start Date]]+ProposalToGnatt[[#This Row],[Days]]),$G$5,"")),"")</f>
        <v/>
      </c>
      <c r="BD52" s="37" t="str">
        <f ca="1">IFERROR(+IF(BD$29=ProposalToGnatt[[#This Row],[Start Date]],Milestone_Marker,IF(AND(BD$29&gt;ProposalToGnatt[[#This Row],[Start Date]],BD$29&lt;ProposalToGnatt[[#This Row],[Start Date]]+ProposalToGnatt[[#This Row],[Days]]),$G$5,"")),"")</f>
        <v/>
      </c>
      <c r="BE52" s="37" t="str">
        <f ca="1">IFERROR(+IF(BE$29=ProposalToGnatt[[#This Row],[Start Date]],Milestone_Marker,IF(AND(BE$29&gt;ProposalToGnatt[[#This Row],[Start Date]],BE$29&lt;ProposalToGnatt[[#This Row],[Start Date]]+ProposalToGnatt[[#This Row],[Days]]),$G$5,"")),"")</f>
        <v/>
      </c>
      <c r="BF52" s="37" t="str">
        <f ca="1">IFERROR(+IF(BF$29=ProposalToGnatt[[#This Row],[Start Date]],Milestone_Marker,IF(AND(BF$29&gt;ProposalToGnatt[[#This Row],[Start Date]],BF$29&lt;ProposalToGnatt[[#This Row],[Start Date]]+ProposalToGnatt[[#This Row],[Days]]),$G$5,"")),"")</f>
        <v/>
      </c>
      <c r="BG52" s="37" t="str">
        <f ca="1">IFERROR(+IF(BG$29=ProposalToGnatt[[#This Row],[Start Date]],Milestone_Marker,IF(AND(BG$29&gt;ProposalToGnatt[[#This Row],[Start Date]],BG$29&lt;ProposalToGnatt[[#This Row],[Start Date]]+ProposalToGnatt[[#This Row],[Days]]),$G$5,"")),"")</f>
        <v/>
      </c>
      <c r="BH52" s="37" t="str">
        <f ca="1">IFERROR(+IF(BH$29=ProposalToGnatt[[#This Row],[Start Date]],Milestone_Marker,IF(AND(BH$29&gt;ProposalToGnatt[[#This Row],[Start Date]],BH$29&lt;ProposalToGnatt[[#This Row],[Start Date]]+ProposalToGnatt[[#This Row],[Days]]),$G$5,"")),"")</f>
        <v/>
      </c>
      <c r="BI52" s="37" t="str">
        <f ca="1">IFERROR(+IF(BI$29=ProposalToGnatt[[#This Row],[Start Date]],Milestone_Marker,IF(AND(BI$29&gt;ProposalToGnatt[[#This Row],[Start Date]],BI$29&lt;ProposalToGnatt[[#This Row],[Start Date]]+ProposalToGnatt[[#This Row],[Days]]),$G$5,"")),"")</f>
        <v/>
      </c>
      <c r="BJ52" s="37" t="str">
        <f ca="1">IFERROR(+IF(BJ$29=ProposalToGnatt[[#This Row],[Start Date]],Milestone_Marker,IF(AND(BJ$29&gt;ProposalToGnatt[[#This Row],[Start Date]],BJ$29&lt;ProposalToGnatt[[#This Row],[Start Date]]+ProposalToGnatt[[#This Row],[Days]]),$G$5,"")),"")</f>
        <v/>
      </c>
      <c r="BK52" s="37" t="str">
        <f ca="1">IFERROR(+IF(BK$29=ProposalToGnatt[[#This Row],[Start Date]],Milestone_Marker,IF(AND(BK$29&gt;ProposalToGnatt[[#This Row],[Start Date]],BK$29&lt;ProposalToGnatt[[#This Row],[Start Date]]+ProposalToGnatt[[#This Row],[Days]]),$G$5,"")),"")</f>
        <v/>
      </c>
      <c r="BL52" s="37" t="str">
        <f ca="1">IFERROR(+IF(BL$29=ProposalToGnatt[[#This Row],[Start Date]],Milestone_Marker,IF(AND(BL$29&gt;ProposalToGnatt[[#This Row],[Start Date]],BL$29&lt;ProposalToGnatt[[#This Row],[Start Date]]+ProposalToGnatt[[#This Row],[Days]]),$G$5,"")),"")</f>
        <v/>
      </c>
      <c r="BM52" s="37" t="str">
        <f ca="1">IFERROR(+IF(BM$29=ProposalToGnatt[[#This Row],[Start Date]],Milestone_Marker,IF(AND(BM$29&gt;ProposalToGnatt[[#This Row],[Start Date]],BM$29&lt;ProposalToGnatt[[#This Row],[Start Date]]+ProposalToGnatt[[#This Row],[Days]]),$G$5,"")),"")</f>
        <v/>
      </c>
      <c r="BN52" s="37" t="str">
        <f ca="1">IFERROR(+IF(BN$29=ProposalToGnatt[[#This Row],[Start Date]],Milestone_Marker,IF(AND(BN$29&gt;ProposalToGnatt[[#This Row],[Start Date]],BN$29&lt;ProposalToGnatt[[#This Row],[Start Date]]+ProposalToGnatt[[#This Row],[Days]]),$G$5,"")),"")</f>
        <v/>
      </c>
      <c r="BO52" s="37" t="str">
        <f ca="1">IFERROR(+IF(BO$29=ProposalToGnatt[[#This Row],[Start Date]],Milestone_Marker,IF(AND(BO$29&gt;ProposalToGnatt[[#This Row],[Start Date]],BO$29&lt;ProposalToGnatt[[#This Row],[Start Date]]+ProposalToGnatt[[#This Row],[Days]]),$G$5,"")),"")</f>
        <v/>
      </c>
      <c r="BP52" s="37" t="str">
        <f ca="1">IFERROR(+IF(BP$29=ProposalToGnatt[[#This Row],[Start Date]],Milestone_Marker,IF(AND(BP$29&gt;ProposalToGnatt[[#This Row],[Start Date]],BP$29&lt;ProposalToGnatt[[#This Row],[Start Date]]+ProposalToGnatt[[#This Row],[Days]]),$G$5,"")),"")</f>
        <v/>
      </c>
      <c r="BQ52" s="37" t="str">
        <f ca="1">IFERROR(+IF(BQ$29=ProposalToGnatt[[#This Row],[Start Date]],Milestone_Marker,IF(AND(BQ$29&gt;ProposalToGnatt[[#This Row],[Start Date]],BQ$29&lt;ProposalToGnatt[[#This Row],[Start Date]]+ProposalToGnatt[[#This Row],[Days]]),$G$5,"")),"")</f>
        <v/>
      </c>
      <c r="BR52" s="37" t="str">
        <f ca="1">IFERROR(+IF(BR$29=ProposalToGnatt[[#This Row],[Start Date]],Milestone_Marker,IF(AND(BR$29&gt;ProposalToGnatt[[#This Row],[Start Date]],BR$29&lt;ProposalToGnatt[[#This Row],[Start Date]]+ProposalToGnatt[[#This Row],[Days]]),$G$5,"")),"")</f>
        <v/>
      </c>
      <c r="BS52" s="37" t="str">
        <f ca="1">IFERROR(+IF(BS$29=ProposalToGnatt[[#This Row],[Start Date]],Milestone_Marker,IF(AND(BS$29&gt;ProposalToGnatt[[#This Row],[Start Date]],BS$29&lt;ProposalToGnatt[[#This Row],[Start Date]]+ProposalToGnatt[[#This Row],[Days]]),$G$5,"")),"")</f>
        <v/>
      </c>
      <c r="BT52" s="37" t="str">
        <f ca="1">IFERROR(+IF(BT$29=ProposalToGnatt[[#This Row],[Start Date]],Milestone_Marker,IF(AND(BT$29&gt;ProposalToGnatt[[#This Row],[Start Date]],BT$29&lt;ProposalToGnatt[[#This Row],[Start Date]]+ProposalToGnatt[[#This Row],[Days]]),$G$5,"")),"")</f>
        <v/>
      </c>
      <c r="BU52" s="37" t="str">
        <f ca="1">IFERROR(+IF(BU$29=ProposalToGnatt[[#This Row],[Start Date]],Milestone_Marker,IF(AND(BU$29&gt;ProposalToGnatt[[#This Row],[Start Date]],BU$29&lt;ProposalToGnatt[[#This Row],[Start Date]]+ProposalToGnatt[[#This Row],[Days]]),$G$5,"")),"")</f>
        <v/>
      </c>
      <c r="BV52" s="37" t="str">
        <f ca="1">IFERROR(+IF(BV$29=ProposalToGnatt[[#This Row],[Start Date]],Milestone_Marker,IF(AND(BV$29&gt;ProposalToGnatt[[#This Row],[Start Date]],BV$29&lt;ProposalToGnatt[[#This Row],[Start Date]]+ProposalToGnatt[[#This Row],[Days]]),$G$5,"")),"")</f>
        <v/>
      </c>
      <c r="BW52" s="37" t="str">
        <f ca="1">IFERROR(+IF(BW$29=ProposalToGnatt[[#This Row],[Start Date]],Milestone_Marker,IF(AND(BW$29&gt;ProposalToGnatt[[#This Row],[Start Date]],BW$29&lt;ProposalToGnatt[[#This Row],[Start Date]]+ProposalToGnatt[[#This Row],[Days]]),$G$5,"")),"")</f>
        <v/>
      </c>
      <c r="BX52" s="37" t="str">
        <f ca="1">IFERROR(+IF(BX$29=ProposalToGnatt[[#This Row],[Start Date]],Milestone_Marker,IF(AND(BX$29&gt;ProposalToGnatt[[#This Row],[Start Date]],BX$29&lt;ProposalToGnatt[[#This Row],[Start Date]]+ProposalToGnatt[[#This Row],[Days]]),$G$5,"")),"")</f>
        <v/>
      </c>
      <c r="BY52" s="37" t="str">
        <f ca="1">IFERROR(+IF(BY$29=ProposalToGnatt[[#This Row],[Start Date]],Milestone_Marker,IF(AND(BY$29&gt;ProposalToGnatt[[#This Row],[Start Date]],BY$29&lt;ProposalToGnatt[[#This Row],[Start Date]]+ProposalToGnatt[[#This Row],[Days]]),$G$5,"")),"")</f>
        <v/>
      </c>
      <c r="BZ52" s="37" t="str">
        <f ca="1">IFERROR(+IF(BZ$29=ProposalToGnatt[[#This Row],[Start Date]],Milestone_Marker,IF(AND(BZ$29&gt;ProposalToGnatt[[#This Row],[Start Date]],BZ$29&lt;ProposalToGnatt[[#This Row],[Start Date]]+ProposalToGnatt[[#This Row],[Days]]),$G$5,"")),"")</f>
        <v/>
      </c>
      <c r="CA52" s="37" t="str">
        <f ca="1">IFERROR(+IF(CA$29=ProposalToGnatt[[#This Row],[Start Date]],Milestone_Marker,IF(AND(CA$29&gt;ProposalToGnatt[[#This Row],[Start Date]],CA$29&lt;ProposalToGnatt[[#This Row],[Start Date]]+ProposalToGnatt[[#This Row],[Days]]),$G$5,"")),"")</f>
        <v/>
      </c>
      <c r="CB52" s="37" t="str">
        <f ca="1">IFERROR(+IF(CB$29=ProposalToGnatt[[#This Row],[Start Date]],Milestone_Marker,IF(AND(CB$29&gt;ProposalToGnatt[[#This Row],[Start Date]],CB$29&lt;ProposalToGnatt[[#This Row],[Start Date]]+ProposalToGnatt[[#This Row],[Days]]),$G$5,"")),"")</f>
        <v/>
      </c>
      <c r="CC52" s="37" t="str">
        <f ca="1">IFERROR(+IF(CC$29=ProposalToGnatt[[#This Row],[Start Date]],Milestone_Marker,IF(AND(CC$29&gt;ProposalToGnatt[[#This Row],[Start Date]],CC$29&lt;ProposalToGnatt[[#This Row],[Start Date]]+ProposalToGnatt[[#This Row],[Days]]),$G$5,"")),"")</f>
        <v/>
      </c>
      <c r="CD52" s="37" t="str">
        <f ca="1">IFERROR(+IF(CD$29=ProposalToGnatt[[#This Row],[Start Date]],Milestone_Marker,IF(AND(CD$29&gt;ProposalToGnatt[[#This Row],[Start Date]],CD$29&lt;ProposalToGnatt[[#This Row],[Start Date]]+ProposalToGnatt[[#This Row],[Days]]),$G$5,"")),"")</f>
        <v/>
      </c>
      <c r="CE52" s="37" t="str">
        <f ca="1">IFERROR(+IF(CE$29=ProposalToGnatt[[#This Row],[Start Date]],Milestone_Marker,IF(AND(CE$29&gt;ProposalToGnatt[[#This Row],[Start Date]],CE$29&lt;ProposalToGnatt[[#This Row],[Start Date]]+ProposalToGnatt[[#This Row],[Days]]),$G$5,"")),"")</f>
        <v/>
      </c>
      <c r="CF52" s="37" t="str">
        <f ca="1">IFERROR(+IF(CF$29=ProposalToGnatt[[#This Row],[Start Date]],Milestone_Marker,IF(AND(CF$29&gt;ProposalToGnatt[[#This Row],[Start Date]],CF$29&lt;ProposalToGnatt[[#This Row],[Start Date]]+ProposalToGnatt[[#This Row],[Days]]),$G$5,"")),"")</f>
        <v/>
      </c>
      <c r="CG52" s="37" t="str">
        <f ca="1">IFERROR(+IF(CG$29=ProposalToGnatt[[#This Row],[Start Date]],Milestone_Marker,IF(AND(CG$29&gt;ProposalToGnatt[[#This Row],[Start Date]],CG$29&lt;ProposalToGnatt[[#This Row],[Start Date]]+ProposalToGnatt[[#This Row],[Days]]),$G$5,"")),"")</f>
        <v/>
      </c>
      <c r="CH52" s="37" t="str">
        <f ca="1">IFERROR(+IF(CH$29=ProposalToGnatt[[#This Row],[Start Date]],Milestone_Marker,IF(AND(CH$29&gt;ProposalToGnatt[[#This Row],[Start Date]],CH$29&lt;ProposalToGnatt[[#This Row],[Start Date]]+ProposalToGnatt[[#This Row],[Days]]),$G$5,"")),"")</f>
        <v/>
      </c>
      <c r="CI52" s="37" t="str">
        <f ca="1">IFERROR(+IF(CI$29=ProposalToGnatt[[#This Row],[Start Date]],Milestone_Marker,IF(AND(CI$29&gt;ProposalToGnatt[[#This Row],[Start Date]],CI$29&lt;ProposalToGnatt[[#This Row],[Start Date]]+ProposalToGnatt[[#This Row],[Days]]),$G$5,"")),"")</f>
        <v/>
      </c>
      <c r="CJ52" s="37" t="str">
        <f ca="1">IFERROR(+IF(CJ$29=ProposalToGnatt[[#This Row],[Start Date]],Milestone_Marker,IF(AND(CJ$29&gt;ProposalToGnatt[[#This Row],[Start Date]],CJ$29&lt;ProposalToGnatt[[#This Row],[Start Date]]+ProposalToGnatt[[#This Row],[Days]]),$G$5,"")),"")</f>
        <v/>
      </c>
      <c r="CK52" s="37" t="str">
        <f ca="1">IFERROR(+IF(CK$29=ProposalToGnatt[[#This Row],[Start Date]],Milestone_Marker,IF(AND(CK$29&gt;ProposalToGnatt[[#This Row],[Start Date]],CK$29&lt;ProposalToGnatt[[#This Row],[Start Date]]+ProposalToGnatt[[#This Row],[Days]]),$G$5,"")),"")</f>
        <v/>
      </c>
      <c r="CL52" s="37" t="str">
        <f ca="1">IFERROR(+IF(CL$29=ProposalToGnatt[[#This Row],[Start Date]],Milestone_Marker,IF(AND(CL$29&gt;ProposalToGnatt[[#This Row],[Start Date]],CL$29&lt;ProposalToGnatt[[#This Row],[Start Date]]+ProposalToGnatt[[#This Row],[Days]]),$G$5,"")),"")</f>
        <v/>
      </c>
      <c r="CM52" s="37" t="str">
        <f ca="1">IFERROR(+IF(CM$29=ProposalToGnatt[[#This Row],[Start Date]],Milestone_Marker,IF(AND(CM$29&gt;ProposalToGnatt[[#This Row],[Start Date]],CM$29&lt;ProposalToGnatt[[#This Row],[Start Date]]+ProposalToGnatt[[#This Row],[Days]]),$G$5,"")),"")</f>
        <v/>
      </c>
      <c r="CN52" s="37" t="str">
        <f ca="1">IFERROR(+IF(CN$29=ProposalToGnatt[[#This Row],[Start Date]],Milestone_Marker,IF(AND(CN$29&gt;ProposalToGnatt[[#This Row],[Start Date]],CN$29&lt;ProposalToGnatt[[#This Row],[Start Date]]+ProposalToGnatt[[#This Row],[Days]]),$G$5,"")),"")</f>
        <v/>
      </c>
      <c r="CO52" s="37" t="str">
        <f ca="1">IFERROR(+IF(CO$29=ProposalToGnatt[[#This Row],[Start Date]],Milestone_Marker,IF(AND(CO$29&gt;ProposalToGnatt[[#This Row],[Start Date]],CO$29&lt;ProposalToGnatt[[#This Row],[Start Date]]+ProposalToGnatt[[#This Row],[Days]]),$G$5,"")),"")</f>
        <v/>
      </c>
      <c r="CP52" s="37" t="str">
        <f ca="1">IFERROR(+IF(CP$29=ProposalToGnatt[[#This Row],[Start Date]],Milestone_Marker,IF(AND(CP$29&gt;ProposalToGnatt[[#This Row],[Start Date]],CP$29&lt;ProposalToGnatt[[#This Row],[Start Date]]+ProposalToGnatt[[#This Row],[Days]]),$G$5,"")),"")</f>
        <v/>
      </c>
      <c r="CQ52" s="37" t="str">
        <f ca="1">IFERROR(+IF(CQ$29=ProposalToGnatt[[#This Row],[Start Date]],Milestone_Marker,IF(AND(CQ$29&gt;ProposalToGnatt[[#This Row],[Start Date]],CQ$29&lt;ProposalToGnatt[[#This Row],[Start Date]]+ProposalToGnatt[[#This Row],[Days]]),$G$5,"")),"")</f>
        <v/>
      </c>
      <c r="CR52" s="37" t="str">
        <f ca="1">IFERROR(+IF(CR$29=ProposalToGnatt[[#This Row],[Start Date]],Milestone_Marker,IF(AND(CR$29&gt;ProposalToGnatt[[#This Row],[Start Date]],CR$29&lt;ProposalToGnatt[[#This Row],[Start Date]]+ProposalToGnatt[[#This Row],[Days]]),$G$5,"")),"")</f>
        <v/>
      </c>
      <c r="CS52" s="37" t="str">
        <f ca="1">IFERROR(+IF(CS$29=ProposalToGnatt[[#This Row],[Start Date]],Milestone_Marker,IF(AND(CS$29&gt;ProposalToGnatt[[#This Row],[Start Date]],CS$29&lt;ProposalToGnatt[[#This Row],[Start Date]]+ProposalToGnatt[[#This Row],[Days]]),$G$5,"")),"")</f>
        <v/>
      </c>
      <c r="CT52" s="37" t="str">
        <f ca="1">IFERROR(+IF(CT$29=ProposalToGnatt[[#This Row],[Start Date]],Milestone_Marker,IF(AND(CT$29&gt;ProposalToGnatt[[#This Row],[Start Date]],CT$29&lt;ProposalToGnatt[[#This Row],[Start Date]]+ProposalToGnatt[[#This Row],[Days]]),$G$5,"")),"")</f>
        <v/>
      </c>
      <c r="CU52" s="37" t="str">
        <f ca="1">IFERROR(+IF(CU$29=ProposalToGnatt[[#This Row],[Start Date]],Milestone_Marker,IF(AND(CU$29&gt;ProposalToGnatt[[#This Row],[Start Date]],CU$29&lt;ProposalToGnatt[[#This Row],[Start Date]]+ProposalToGnatt[[#This Row],[Days]]),$G$5,"")),"")</f>
        <v/>
      </c>
      <c r="CV52" s="37"/>
      <c r="CW52" s="37"/>
      <c r="CX52" s="37"/>
      <c r="CY52" s="37"/>
      <c r="CZ52" s="37"/>
      <c r="DA52" s="37"/>
      <c r="DB52" s="37"/>
      <c r="DC52" s="37"/>
      <c r="DD52" s="37"/>
      <c r="DE52" s="37"/>
      <c r="DF52" s="37"/>
      <c r="DG52" s="37"/>
      <c r="DH52" s="37"/>
      <c r="DI52" s="37"/>
      <c r="DJ52" s="37"/>
      <c r="DK52" s="37"/>
      <c r="DL52" s="37"/>
      <c r="DM52" s="37"/>
      <c r="DN52" s="37"/>
      <c r="DO52" s="37"/>
      <c r="DP52" s="37"/>
      <c r="DQ52" s="37"/>
      <c r="DR52" s="37"/>
      <c r="DS52" s="37"/>
      <c r="DT52" s="37"/>
      <c r="DU52" s="37"/>
    </row>
    <row r="53" spans="1:125" s="42" customFormat="1" ht="15">
      <c r="A53"/>
      <c r="B53"/>
      <c r="C53"/>
      <c r="D53"/>
      <c r="E53"/>
      <c r="F53"/>
      <c r="G53" s="11"/>
      <c r="H53" s="26"/>
      <c r="I53"/>
      <c r="J53"/>
      <c r="K53" s="402"/>
      <c r="L53"/>
      <c r="M53"/>
      <c r="N53"/>
      <c r="O53" s="26"/>
      <c r="P53" s="37" t="str">
        <f ca="1">IFERROR(+IF(P$29=ProposalToGnatt[[#This Row],[Start Date]],Milestone_Marker,IF(AND(P$29&gt;ProposalToGnatt[[#This Row],[Start Date]],P$29&lt;ProposalToGnatt[[#This Row],[Start Date]]+ProposalToGnatt[[#This Row],[Days]]),$G$5,"")),"")</f>
        <v/>
      </c>
      <c r="Q53" s="37" t="str">
        <f ca="1">IFERROR(+IF(Q$29=ProposalToGnatt[[#This Row],[Start Date]],Milestone_Marker,IF(AND(Q$29&gt;ProposalToGnatt[[#This Row],[Start Date]],Q$29&lt;ProposalToGnatt[[#This Row],[Start Date]]+ProposalToGnatt[[#This Row],[Days]]),$G$5,"")),"")</f>
        <v/>
      </c>
      <c r="R53" s="37" t="str">
        <f ca="1">IFERROR(+IF(R$29=ProposalToGnatt[[#This Row],[Start Date]],Milestone_Marker,IF(AND(R$29&gt;ProposalToGnatt[[#This Row],[Start Date]],R$29&lt;ProposalToGnatt[[#This Row],[Start Date]]+ProposalToGnatt[[#This Row],[Days]]),$G$5,"")),"")</f>
        <v/>
      </c>
      <c r="S53" s="37" t="str">
        <f ca="1">IFERROR(+IF(S$29=ProposalToGnatt[[#This Row],[Start Date]],Milestone_Marker,IF(AND(S$29&gt;ProposalToGnatt[[#This Row],[Start Date]],S$29&lt;ProposalToGnatt[[#This Row],[Start Date]]+ProposalToGnatt[[#This Row],[Days]]),$G$5,"")),"")</f>
        <v/>
      </c>
      <c r="T53" s="37" t="str">
        <f ca="1">IFERROR(+IF(T$29=ProposalToGnatt[[#This Row],[Start Date]],Milestone_Marker,IF(AND(T$29&gt;ProposalToGnatt[[#This Row],[Start Date]],T$29&lt;ProposalToGnatt[[#This Row],[Start Date]]+ProposalToGnatt[[#This Row],[Days]]),$G$5,"")),"")</f>
        <v/>
      </c>
      <c r="U53" s="37" t="str">
        <f ca="1">IFERROR(+IF(U$29=ProposalToGnatt[[#This Row],[Start Date]],Milestone_Marker,IF(AND(U$29&gt;ProposalToGnatt[[#This Row],[Start Date]],U$29&lt;ProposalToGnatt[[#This Row],[Start Date]]+ProposalToGnatt[[#This Row],[Days]]),$G$5,"")),"")</f>
        <v/>
      </c>
      <c r="V53" s="37" t="str">
        <f ca="1">IFERROR(+IF(V$29=ProposalToGnatt[[#This Row],[Start Date]],Milestone_Marker,IF(AND(V$29&gt;ProposalToGnatt[[#This Row],[Start Date]],V$29&lt;ProposalToGnatt[[#This Row],[Start Date]]+ProposalToGnatt[[#This Row],[Days]]),$G$5,"")),"")</f>
        <v/>
      </c>
      <c r="W53" s="37" t="str">
        <f ca="1">IFERROR(+IF(W$29=ProposalToGnatt[[#This Row],[Start Date]],Milestone_Marker,IF(AND(W$29&gt;ProposalToGnatt[[#This Row],[Start Date]],W$29&lt;ProposalToGnatt[[#This Row],[Start Date]]+ProposalToGnatt[[#This Row],[Days]]),$G$5,"")),"")</f>
        <v/>
      </c>
      <c r="X53" s="37" t="str">
        <f ca="1">IFERROR(+IF(X$29=ProposalToGnatt[[#This Row],[Start Date]],Milestone_Marker,IF(AND(X$29&gt;ProposalToGnatt[[#This Row],[Start Date]],X$29&lt;ProposalToGnatt[[#This Row],[Start Date]]+ProposalToGnatt[[#This Row],[Days]]),$G$5,"")),"")</f>
        <v/>
      </c>
      <c r="Y53" s="37" t="str">
        <f ca="1">IFERROR(+IF(Y$29=ProposalToGnatt[[#This Row],[Start Date]],Milestone_Marker,IF(AND(Y$29&gt;ProposalToGnatt[[#This Row],[Start Date]],Y$29&lt;ProposalToGnatt[[#This Row],[Start Date]]+ProposalToGnatt[[#This Row],[Days]]),$G$5,"")),"")</f>
        <v/>
      </c>
      <c r="Z53" s="37" t="str">
        <f ca="1">IFERROR(+IF(Z$29=ProposalToGnatt[[#This Row],[Start Date]],Milestone_Marker,IF(AND(Z$29&gt;ProposalToGnatt[[#This Row],[Start Date]],Z$29&lt;ProposalToGnatt[[#This Row],[Start Date]]+ProposalToGnatt[[#This Row],[Days]]),$G$5,"")),"")</f>
        <v/>
      </c>
      <c r="AA53" s="37" t="str">
        <f ca="1">IFERROR(+IF(AA$29=ProposalToGnatt[[#This Row],[Start Date]],Milestone_Marker,IF(AND(AA$29&gt;ProposalToGnatt[[#This Row],[Start Date]],AA$29&lt;ProposalToGnatt[[#This Row],[Start Date]]+ProposalToGnatt[[#This Row],[Days]]),$G$5,"")),"")</f>
        <v/>
      </c>
      <c r="AB53" s="37" t="str">
        <f ca="1">IFERROR(+IF(AB$29=ProposalToGnatt[[#This Row],[Start Date]],Milestone_Marker,IF(AND(AB$29&gt;ProposalToGnatt[[#This Row],[Start Date]],AB$29&lt;ProposalToGnatt[[#This Row],[Start Date]]+ProposalToGnatt[[#This Row],[Days]]),$G$5,"")),"")</f>
        <v/>
      </c>
      <c r="AC53" s="37" t="str">
        <f ca="1">IFERROR(+IF(AC$29=ProposalToGnatt[[#This Row],[Start Date]],Milestone_Marker,IF(AND(AC$29&gt;ProposalToGnatt[[#This Row],[Start Date]],AC$29&lt;ProposalToGnatt[[#This Row],[Start Date]]+ProposalToGnatt[[#This Row],[Days]]),$G$5,"")),"")</f>
        <v/>
      </c>
      <c r="AD53" s="37" t="str">
        <f ca="1">IFERROR(+IF(AD$29=ProposalToGnatt[[#This Row],[Start Date]],Milestone_Marker,IF(AND(AD$29&gt;ProposalToGnatt[[#This Row],[Start Date]],AD$29&lt;ProposalToGnatt[[#This Row],[Start Date]]+ProposalToGnatt[[#This Row],[Days]]),$G$5,"")),"")</f>
        <v/>
      </c>
      <c r="AE53" s="37" t="str">
        <f ca="1">IFERROR(+IF(AE$29=ProposalToGnatt[[#This Row],[Start Date]],Milestone_Marker,IF(AND(AE$29&gt;ProposalToGnatt[[#This Row],[Start Date]],AE$29&lt;ProposalToGnatt[[#This Row],[Start Date]]+ProposalToGnatt[[#This Row],[Days]]),$G$5,"")),"")</f>
        <v/>
      </c>
      <c r="AF53" s="37" t="str">
        <f ca="1">IFERROR(+IF(AF$29=ProposalToGnatt[[#This Row],[Start Date]],Milestone_Marker,IF(AND(AF$29&gt;ProposalToGnatt[[#This Row],[Start Date]],AF$29&lt;ProposalToGnatt[[#This Row],[Start Date]]+ProposalToGnatt[[#This Row],[Days]]),$G$5,"")),"")</f>
        <v/>
      </c>
      <c r="AG53" s="37" t="str">
        <f ca="1">IFERROR(+IF(AG$29=ProposalToGnatt[[#This Row],[Start Date]],Milestone_Marker,IF(AND(AG$29&gt;ProposalToGnatt[[#This Row],[Start Date]],AG$29&lt;ProposalToGnatt[[#This Row],[Start Date]]+ProposalToGnatt[[#This Row],[Days]]),$G$5,"")),"")</f>
        <v/>
      </c>
      <c r="AH53" s="37" t="str">
        <f ca="1">IFERROR(+IF(AH$29=ProposalToGnatt[[#This Row],[Start Date]],Milestone_Marker,IF(AND(AH$29&gt;ProposalToGnatt[[#This Row],[Start Date]],AH$29&lt;ProposalToGnatt[[#This Row],[Start Date]]+ProposalToGnatt[[#This Row],[Days]]),$G$5,"")),"")</f>
        <v/>
      </c>
      <c r="AI53" s="37" t="str">
        <f ca="1">IFERROR(+IF(AI$29=ProposalToGnatt[[#This Row],[Start Date]],Milestone_Marker,IF(AND(AI$29&gt;ProposalToGnatt[[#This Row],[Start Date]],AI$29&lt;ProposalToGnatt[[#This Row],[Start Date]]+ProposalToGnatt[[#This Row],[Days]]),$G$5,"")),"")</f>
        <v/>
      </c>
      <c r="AJ53" s="37" t="str">
        <f ca="1">IFERROR(+IF(AJ$29=ProposalToGnatt[[#This Row],[Start Date]],Milestone_Marker,IF(AND(AJ$29&gt;ProposalToGnatt[[#This Row],[Start Date]],AJ$29&lt;ProposalToGnatt[[#This Row],[Start Date]]+ProposalToGnatt[[#This Row],[Days]]),$G$5,"")),"")</f>
        <v/>
      </c>
      <c r="AK53" s="37" t="str">
        <f ca="1">IFERROR(+IF(AK$29=ProposalToGnatt[[#This Row],[Start Date]],Milestone_Marker,IF(AND(AK$29&gt;ProposalToGnatt[[#This Row],[Start Date]],AK$29&lt;ProposalToGnatt[[#This Row],[Start Date]]+ProposalToGnatt[[#This Row],[Days]]),$G$5,"")),"")</f>
        <v/>
      </c>
      <c r="AL53" s="37" t="str">
        <f ca="1">IFERROR(+IF(AL$29=ProposalToGnatt[[#This Row],[Start Date]],Milestone_Marker,IF(AND(AL$29&gt;ProposalToGnatt[[#This Row],[Start Date]],AL$29&lt;ProposalToGnatt[[#This Row],[Start Date]]+ProposalToGnatt[[#This Row],[Days]]),$G$5,"")),"")</f>
        <v/>
      </c>
      <c r="AM53" s="37" t="str">
        <f ca="1">IFERROR(+IF(AM$29=ProposalToGnatt[[#This Row],[Start Date]],Milestone_Marker,IF(AND(AM$29&gt;ProposalToGnatt[[#This Row],[Start Date]],AM$29&lt;ProposalToGnatt[[#This Row],[Start Date]]+ProposalToGnatt[[#This Row],[Days]]),$G$5,"")),"")</f>
        <v/>
      </c>
      <c r="AN53" s="37" t="str">
        <f ca="1">IFERROR(+IF(AN$29=ProposalToGnatt[[#This Row],[Start Date]],Milestone_Marker,IF(AND(AN$29&gt;ProposalToGnatt[[#This Row],[Start Date]],AN$29&lt;ProposalToGnatt[[#This Row],[Start Date]]+ProposalToGnatt[[#This Row],[Days]]),$G$5,"")),"")</f>
        <v/>
      </c>
      <c r="AO53" s="37" t="str">
        <f ca="1">IFERROR(+IF(AO$29=ProposalToGnatt[[#This Row],[Start Date]],Milestone_Marker,IF(AND(AO$29&gt;ProposalToGnatt[[#This Row],[Start Date]],AO$29&lt;ProposalToGnatt[[#This Row],[Start Date]]+ProposalToGnatt[[#This Row],[Days]]),$G$5,"")),"")</f>
        <v/>
      </c>
      <c r="AP53" s="37" t="str">
        <f ca="1">IFERROR(+IF(AP$29=ProposalToGnatt[[#This Row],[Start Date]],Milestone_Marker,IF(AND(AP$29&gt;ProposalToGnatt[[#This Row],[Start Date]],AP$29&lt;ProposalToGnatt[[#This Row],[Start Date]]+ProposalToGnatt[[#This Row],[Days]]),$G$5,"")),"")</f>
        <v/>
      </c>
      <c r="AQ53" s="37" t="str">
        <f ca="1">IFERROR(+IF(AQ$29=ProposalToGnatt[[#This Row],[Start Date]],Milestone_Marker,IF(AND(AQ$29&gt;ProposalToGnatt[[#This Row],[Start Date]],AQ$29&lt;ProposalToGnatt[[#This Row],[Start Date]]+ProposalToGnatt[[#This Row],[Days]]),$G$5,"")),"")</f>
        <v/>
      </c>
      <c r="AR53" s="37" t="str">
        <f ca="1">IFERROR(+IF(AR$29=ProposalToGnatt[[#This Row],[Start Date]],Milestone_Marker,IF(AND(AR$29&gt;ProposalToGnatt[[#This Row],[Start Date]],AR$29&lt;ProposalToGnatt[[#This Row],[Start Date]]+ProposalToGnatt[[#This Row],[Days]]),$G$5,"")),"")</f>
        <v/>
      </c>
      <c r="AS53" s="37" t="str">
        <f ca="1">IFERROR(+IF(AS$29=ProposalToGnatt[[#This Row],[Start Date]],Milestone_Marker,IF(AND(AS$29&gt;ProposalToGnatt[[#This Row],[Start Date]],AS$29&lt;ProposalToGnatt[[#This Row],[Start Date]]+ProposalToGnatt[[#This Row],[Days]]),$G$5,"")),"")</f>
        <v/>
      </c>
      <c r="AT53" s="37" t="str">
        <f ca="1">IFERROR(+IF(AT$29=ProposalToGnatt[[#This Row],[Start Date]],Milestone_Marker,IF(AND(AT$29&gt;ProposalToGnatt[[#This Row],[Start Date]],AT$29&lt;ProposalToGnatt[[#This Row],[Start Date]]+ProposalToGnatt[[#This Row],[Days]]),$G$5,"")),"")</f>
        <v/>
      </c>
      <c r="AU53" s="37" t="str">
        <f ca="1">IFERROR(+IF(AU$29=ProposalToGnatt[[#This Row],[Start Date]],Milestone_Marker,IF(AND(AU$29&gt;ProposalToGnatt[[#This Row],[Start Date]],AU$29&lt;ProposalToGnatt[[#This Row],[Start Date]]+ProposalToGnatt[[#This Row],[Days]]),$G$5,"")),"")</f>
        <v/>
      </c>
      <c r="AV53" s="37" t="str">
        <f ca="1">IFERROR(+IF(AV$29=ProposalToGnatt[[#This Row],[Start Date]],Milestone_Marker,IF(AND(AV$29&gt;ProposalToGnatt[[#This Row],[Start Date]],AV$29&lt;ProposalToGnatt[[#This Row],[Start Date]]+ProposalToGnatt[[#This Row],[Days]]),$G$5,"")),"")</f>
        <v/>
      </c>
      <c r="AW53" s="37" t="str">
        <f ca="1">IFERROR(+IF(AW$29=ProposalToGnatt[[#This Row],[Start Date]],Milestone_Marker,IF(AND(AW$29&gt;ProposalToGnatt[[#This Row],[Start Date]],AW$29&lt;ProposalToGnatt[[#This Row],[Start Date]]+ProposalToGnatt[[#This Row],[Days]]),$G$5,"")),"")</f>
        <v/>
      </c>
      <c r="AX53" s="37" t="str">
        <f ca="1">IFERROR(+IF(AX$29=ProposalToGnatt[[#This Row],[Start Date]],Milestone_Marker,IF(AND(AX$29&gt;ProposalToGnatt[[#This Row],[Start Date]],AX$29&lt;ProposalToGnatt[[#This Row],[Start Date]]+ProposalToGnatt[[#This Row],[Days]]),$G$5,"")),"")</f>
        <v/>
      </c>
      <c r="AY53" s="37" t="str">
        <f ca="1">IFERROR(+IF(AY$29=ProposalToGnatt[[#This Row],[Start Date]],Milestone_Marker,IF(AND(AY$29&gt;ProposalToGnatt[[#This Row],[Start Date]],AY$29&lt;ProposalToGnatt[[#This Row],[Start Date]]+ProposalToGnatt[[#This Row],[Days]]),$G$5,"")),"")</f>
        <v/>
      </c>
      <c r="AZ53" s="37" t="str">
        <f ca="1">IFERROR(+IF(AZ$29=ProposalToGnatt[[#This Row],[Start Date]],Milestone_Marker,IF(AND(AZ$29&gt;ProposalToGnatt[[#This Row],[Start Date]],AZ$29&lt;ProposalToGnatt[[#This Row],[Start Date]]+ProposalToGnatt[[#This Row],[Days]]),$G$5,"")),"")</f>
        <v/>
      </c>
      <c r="BA53" s="37" t="str">
        <f ca="1">IFERROR(+IF(BA$29=ProposalToGnatt[[#This Row],[Start Date]],Milestone_Marker,IF(AND(BA$29&gt;ProposalToGnatt[[#This Row],[Start Date]],BA$29&lt;ProposalToGnatt[[#This Row],[Start Date]]+ProposalToGnatt[[#This Row],[Days]]),$G$5,"")),"")</f>
        <v/>
      </c>
      <c r="BB53" s="37" t="str">
        <f ca="1">IFERROR(+IF(BB$29=ProposalToGnatt[[#This Row],[Start Date]],Milestone_Marker,IF(AND(BB$29&gt;ProposalToGnatt[[#This Row],[Start Date]],BB$29&lt;ProposalToGnatt[[#This Row],[Start Date]]+ProposalToGnatt[[#This Row],[Days]]),$G$5,"")),"")</f>
        <v/>
      </c>
      <c r="BC53" s="37" t="str">
        <f ca="1">IFERROR(+IF(BC$29=ProposalToGnatt[[#This Row],[Start Date]],Milestone_Marker,IF(AND(BC$29&gt;ProposalToGnatt[[#This Row],[Start Date]],BC$29&lt;ProposalToGnatt[[#This Row],[Start Date]]+ProposalToGnatt[[#This Row],[Days]]),$G$5,"")),"")</f>
        <v/>
      </c>
      <c r="BD53" s="37" t="str">
        <f ca="1">IFERROR(+IF(BD$29=ProposalToGnatt[[#This Row],[Start Date]],Milestone_Marker,IF(AND(BD$29&gt;ProposalToGnatt[[#This Row],[Start Date]],BD$29&lt;ProposalToGnatt[[#This Row],[Start Date]]+ProposalToGnatt[[#This Row],[Days]]),$G$5,"")),"")</f>
        <v/>
      </c>
      <c r="BE53" s="37" t="str">
        <f ca="1">IFERROR(+IF(BE$29=ProposalToGnatt[[#This Row],[Start Date]],Milestone_Marker,IF(AND(BE$29&gt;ProposalToGnatt[[#This Row],[Start Date]],BE$29&lt;ProposalToGnatt[[#This Row],[Start Date]]+ProposalToGnatt[[#This Row],[Days]]),$G$5,"")),"")</f>
        <v/>
      </c>
      <c r="BF53" s="37" t="str">
        <f ca="1">IFERROR(+IF(BF$29=ProposalToGnatt[[#This Row],[Start Date]],Milestone_Marker,IF(AND(BF$29&gt;ProposalToGnatt[[#This Row],[Start Date]],BF$29&lt;ProposalToGnatt[[#This Row],[Start Date]]+ProposalToGnatt[[#This Row],[Days]]),$G$5,"")),"")</f>
        <v/>
      </c>
      <c r="BG53" s="37" t="str">
        <f ca="1">IFERROR(+IF(BG$29=ProposalToGnatt[[#This Row],[Start Date]],Milestone_Marker,IF(AND(BG$29&gt;ProposalToGnatt[[#This Row],[Start Date]],BG$29&lt;ProposalToGnatt[[#This Row],[Start Date]]+ProposalToGnatt[[#This Row],[Days]]),$G$5,"")),"")</f>
        <v/>
      </c>
      <c r="BH53" s="37" t="str">
        <f ca="1">IFERROR(+IF(BH$29=ProposalToGnatt[[#This Row],[Start Date]],Milestone_Marker,IF(AND(BH$29&gt;ProposalToGnatt[[#This Row],[Start Date]],BH$29&lt;ProposalToGnatt[[#This Row],[Start Date]]+ProposalToGnatt[[#This Row],[Days]]),$G$5,"")),"")</f>
        <v/>
      </c>
      <c r="BI53" s="37" t="str">
        <f ca="1">IFERROR(+IF(BI$29=ProposalToGnatt[[#This Row],[Start Date]],Milestone_Marker,IF(AND(BI$29&gt;ProposalToGnatt[[#This Row],[Start Date]],BI$29&lt;ProposalToGnatt[[#This Row],[Start Date]]+ProposalToGnatt[[#This Row],[Days]]),$G$5,"")),"")</f>
        <v/>
      </c>
      <c r="BJ53" s="37" t="str">
        <f ca="1">IFERROR(+IF(BJ$29=ProposalToGnatt[[#This Row],[Start Date]],Milestone_Marker,IF(AND(BJ$29&gt;ProposalToGnatt[[#This Row],[Start Date]],BJ$29&lt;ProposalToGnatt[[#This Row],[Start Date]]+ProposalToGnatt[[#This Row],[Days]]),$G$5,"")),"")</f>
        <v/>
      </c>
      <c r="BK53" s="37" t="str">
        <f ca="1">IFERROR(+IF(BK$29=ProposalToGnatt[[#This Row],[Start Date]],Milestone_Marker,IF(AND(BK$29&gt;ProposalToGnatt[[#This Row],[Start Date]],BK$29&lt;ProposalToGnatt[[#This Row],[Start Date]]+ProposalToGnatt[[#This Row],[Days]]),$G$5,"")),"")</f>
        <v/>
      </c>
      <c r="BL53" s="37" t="str">
        <f ca="1">IFERROR(+IF(BL$29=ProposalToGnatt[[#This Row],[Start Date]],Milestone_Marker,IF(AND(BL$29&gt;ProposalToGnatt[[#This Row],[Start Date]],BL$29&lt;ProposalToGnatt[[#This Row],[Start Date]]+ProposalToGnatt[[#This Row],[Days]]),$G$5,"")),"")</f>
        <v/>
      </c>
      <c r="BM53" s="37" t="str">
        <f ca="1">IFERROR(+IF(BM$29=ProposalToGnatt[[#This Row],[Start Date]],Milestone_Marker,IF(AND(BM$29&gt;ProposalToGnatt[[#This Row],[Start Date]],BM$29&lt;ProposalToGnatt[[#This Row],[Start Date]]+ProposalToGnatt[[#This Row],[Days]]),$G$5,"")),"")</f>
        <v/>
      </c>
      <c r="BN53" s="37" t="str">
        <f ca="1">IFERROR(+IF(BN$29=ProposalToGnatt[[#This Row],[Start Date]],Milestone_Marker,IF(AND(BN$29&gt;ProposalToGnatt[[#This Row],[Start Date]],BN$29&lt;ProposalToGnatt[[#This Row],[Start Date]]+ProposalToGnatt[[#This Row],[Days]]),$G$5,"")),"")</f>
        <v/>
      </c>
      <c r="BO53" s="37" t="str">
        <f ca="1">IFERROR(+IF(BO$29=ProposalToGnatt[[#This Row],[Start Date]],Milestone_Marker,IF(AND(BO$29&gt;ProposalToGnatt[[#This Row],[Start Date]],BO$29&lt;ProposalToGnatt[[#This Row],[Start Date]]+ProposalToGnatt[[#This Row],[Days]]),$G$5,"")),"")</f>
        <v/>
      </c>
      <c r="BP53" s="37" t="str">
        <f ca="1">IFERROR(+IF(BP$29=ProposalToGnatt[[#This Row],[Start Date]],Milestone_Marker,IF(AND(BP$29&gt;ProposalToGnatt[[#This Row],[Start Date]],BP$29&lt;ProposalToGnatt[[#This Row],[Start Date]]+ProposalToGnatt[[#This Row],[Days]]),$G$5,"")),"")</f>
        <v/>
      </c>
      <c r="BQ53" s="37" t="str">
        <f ca="1">IFERROR(+IF(BQ$29=ProposalToGnatt[[#This Row],[Start Date]],Milestone_Marker,IF(AND(BQ$29&gt;ProposalToGnatt[[#This Row],[Start Date]],BQ$29&lt;ProposalToGnatt[[#This Row],[Start Date]]+ProposalToGnatt[[#This Row],[Days]]),$G$5,"")),"")</f>
        <v/>
      </c>
      <c r="BR53" s="37" t="str">
        <f ca="1">IFERROR(+IF(BR$29=ProposalToGnatt[[#This Row],[Start Date]],Milestone_Marker,IF(AND(BR$29&gt;ProposalToGnatt[[#This Row],[Start Date]],BR$29&lt;ProposalToGnatt[[#This Row],[Start Date]]+ProposalToGnatt[[#This Row],[Days]]),$G$5,"")),"")</f>
        <v/>
      </c>
      <c r="BS53" s="37" t="str">
        <f ca="1">IFERROR(+IF(BS$29=ProposalToGnatt[[#This Row],[Start Date]],Milestone_Marker,IF(AND(BS$29&gt;ProposalToGnatt[[#This Row],[Start Date]],BS$29&lt;ProposalToGnatt[[#This Row],[Start Date]]+ProposalToGnatt[[#This Row],[Days]]),$G$5,"")),"")</f>
        <v/>
      </c>
      <c r="BT53" s="37" t="str">
        <f ca="1">IFERROR(+IF(BT$29=ProposalToGnatt[[#This Row],[Start Date]],Milestone_Marker,IF(AND(BT$29&gt;ProposalToGnatt[[#This Row],[Start Date]],BT$29&lt;ProposalToGnatt[[#This Row],[Start Date]]+ProposalToGnatt[[#This Row],[Days]]),$G$5,"")),"")</f>
        <v/>
      </c>
      <c r="BU53" s="37" t="str">
        <f ca="1">IFERROR(+IF(BU$29=ProposalToGnatt[[#This Row],[Start Date]],Milestone_Marker,IF(AND(BU$29&gt;ProposalToGnatt[[#This Row],[Start Date]],BU$29&lt;ProposalToGnatt[[#This Row],[Start Date]]+ProposalToGnatt[[#This Row],[Days]]),$G$5,"")),"")</f>
        <v/>
      </c>
      <c r="BV53" s="37" t="str">
        <f ca="1">IFERROR(+IF(BV$29=ProposalToGnatt[[#This Row],[Start Date]],Milestone_Marker,IF(AND(BV$29&gt;ProposalToGnatt[[#This Row],[Start Date]],BV$29&lt;ProposalToGnatt[[#This Row],[Start Date]]+ProposalToGnatt[[#This Row],[Days]]),$G$5,"")),"")</f>
        <v/>
      </c>
      <c r="BW53" s="37" t="str">
        <f ca="1">IFERROR(+IF(BW$29=ProposalToGnatt[[#This Row],[Start Date]],Milestone_Marker,IF(AND(BW$29&gt;ProposalToGnatt[[#This Row],[Start Date]],BW$29&lt;ProposalToGnatt[[#This Row],[Start Date]]+ProposalToGnatt[[#This Row],[Days]]),$G$5,"")),"")</f>
        <v/>
      </c>
      <c r="BX53" s="37" t="str">
        <f ca="1">IFERROR(+IF(BX$29=ProposalToGnatt[[#This Row],[Start Date]],Milestone_Marker,IF(AND(BX$29&gt;ProposalToGnatt[[#This Row],[Start Date]],BX$29&lt;ProposalToGnatt[[#This Row],[Start Date]]+ProposalToGnatt[[#This Row],[Days]]),$G$5,"")),"")</f>
        <v/>
      </c>
      <c r="BY53" s="37" t="str">
        <f ca="1">IFERROR(+IF(BY$29=ProposalToGnatt[[#This Row],[Start Date]],Milestone_Marker,IF(AND(BY$29&gt;ProposalToGnatt[[#This Row],[Start Date]],BY$29&lt;ProposalToGnatt[[#This Row],[Start Date]]+ProposalToGnatt[[#This Row],[Days]]),$G$5,"")),"")</f>
        <v/>
      </c>
      <c r="BZ53" s="37" t="str">
        <f ca="1">IFERROR(+IF(BZ$29=ProposalToGnatt[[#This Row],[Start Date]],Milestone_Marker,IF(AND(BZ$29&gt;ProposalToGnatt[[#This Row],[Start Date]],BZ$29&lt;ProposalToGnatt[[#This Row],[Start Date]]+ProposalToGnatt[[#This Row],[Days]]),$G$5,"")),"")</f>
        <v/>
      </c>
      <c r="CA53" s="37" t="str">
        <f ca="1">IFERROR(+IF(CA$29=ProposalToGnatt[[#This Row],[Start Date]],Milestone_Marker,IF(AND(CA$29&gt;ProposalToGnatt[[#This Row],[Start Date]],CA$29&lt;ProposalToGnatt[[#This Row],[Start Date]]+ProposalToGnatt[[#This Row],[Days]]),$G$5,"")),"")</f>
        <v/>
      </c>
      <c r="CB53" s="37" t="str">
        <f ca="1">IFERROR(+IF(CB$29=ProposalToGnatt[[#This Row],[Start Date]],Milestone_Marker,IF(AND(CB$29&gt;ProposalToGnatt[[#This Row],[Start Date]],CB$29&lt;ProposalToGnatt[[#This Row],[Start Date]]+ProposalToGnatt[[#This Row],[Days]]),$G$5,"")),"")</f>
        <v/>
      </c>
      <c r="CC53" s="37" t="str">
        <f ca="1">IFERROR(+IF(CC$29=ProposalToGnatt[[#This Row],[Start Date]],Milestone_Marker,IF(AND(CC$29&gt;ProposalToGnatt[[#This Row],[Start Date]],CC$29&lt;ProposalToGnatt[[#This Row],[Start Date]]+ProposalToGnatt[[#This Row],[Days]]),$G$5,"")),"")</f>
        <v/>
      </c>
      <c r="CD53" s="37" t="str">
        <f ca="1">IFERROR(+IF(CD$29=ProposalToGnatt[[#This Row],[Start Date]],Milestone_Marker,IF(AND(CD$29&gt;ProposalToGnatt[[#This Row],[Start Date]],CD$29&lt;ProposalToGnatt[[#This Row],[Start Date]]+ProposalToGnatt[[#This Row],[Days]]),$G$5,"")),"")</f>
        <v/>
      </c>
      <c r="CE53" s="37" t="str">
        <f ca="1">IFERROR(+IF(CE$29=ProposalToGnatt[[#This Row],[Start Date]],Milestone_Marker,IF(AND(CE$29&gt;ProposalToGnatt[[#This Row],[Start Date]],CE$29&lt;ProposalToGnatt[[#This Row],[Start Date]]+ProposalToGnatt[[#This Row],[Days]]),$G$5,"")),"")</f>
        <v/>
      </c>
      <c r="CF53" s="37" t="str">
        <f ca="1">IFERROR(+IF(CF$29=ProposalToGnatt[[#This Row],[Start Date]],Milestone_Marker,IF(AND(CF$29&gt;ProposalToGnatt[[#This Row],[Start Date]],CF$29&lt;ProposalToGnatt[[#This Row],[Start Date]]+ProposalToGnatt[[#This Row],[Days]]),$G$5,"")),"")</f>
        <v/>
      </c>
      <c r="CG53" s="37" t="str">
        <f ca="1">IFERROR(+IF(CG$29=ProposalToGnatt[[#This Row],[Start Date]],Milestone_Marker,IF(AND(CG$29&gt;ProposalToGnatt[[#This Row],[Start Date]],CG$29&lt;ProposalToGnatt[[#This Row],[Start Date]]+ProposalToGnatt[[#This Row],[Days]]),$G$5,"")),"")</f>
        <v/>
      </c>
      <c r="CH53" s="37" t="str">
        <f ca="1">IFERROR(+IF(CH$29=ProposalToGnatt[[#This Row],[Start Date]],Milestone_Marker,IF(AND(CH$29&gt;ProposalToGnatt[[#This Row],[Start Date]],CH$29&lt;ProposalToGnatt[[#This Row],[Start Date]]+ProposalToGnatt[[#This Row],[Days]]),$G$5,"")),"")</f>
        <v/>
      </c>
      <c r="CI53" s="37" t="str">
        <f ca="1">IFERROR(+IF(CI$29=ProposalToGnatt[[#This Row],[Start Date]],Milestone_Marker,IF(AND(CI$29&gt;ProposalToGnatt[[#This Row],[Start Date]],CI$29&lt;ProposalToGnatt[[#This Row],[Start Date]]+ProposalToGnatt[[#This Row],[Days]]),$G$5,"")),"")</f>
        <v/>
      </c>
      <c r="CJ53" s="37" t="str">
        <f ca="1">IFERROR(+IF(CJ$29=ProposalToGnatt[[#This Row],[Start Date]],Milestone_Marker,IF(AND(CJ$29&gt;ProposalToGnatt[[#This Row],[Start Date]],CJ$29&lt;ProposalToGnatt[[#This Row],[Start Date]]+ProposalToGnatt[[#This Row],[Days]]),$G$5,"")),"")</f>
        <v/>
      </c>
      <c r="CK53" s="37" t="str">
        <f ca="1">IFERROR(+IF(CK$29=ProposalToGnatt[[#This Row],[Start Date]],Milestone_Marker,IF(AND(CK$29&gt;ProposalToGnatt[[#This Row],[Start Date]],CK$29&lt;ProposalToGnatt[[#This Row],[Start Date]]+ProposalToGnatt[[#This Row],[Days]]),$G$5,"")),"")</f>
        <v/>
      </c>
      <c r="CL53" s="37" t="str">
        <f ca="1">IFERROR(+IF(CL$29=ProposalToGnatt[[#This Row],[Start Date]],Milestone_Marker,IF(AND(CL$29&gt;ProposalToGnatt[[#This Row],[Start Date]],CL$29&lt;ProposalToGnatt[[#This Row],[Start Date]]+ProposalToGnatt[[#This Row],[Days]]),$G$5,"")),"")</f>
        <v/>
      </c>
      <c r="CM53" s="37" t="str">
        <f ca="1">IFERROR(+IF(CM$29=ProposalToGnatt[[#This Row],[Start Date]],Milestone_Marker,IF(AND(CM$29&gt;ProposalToGnatt[[#This Row],[Start Date]],CM$29&lt;ProposalToGnatt[[#This Row],[Start Date]]+ProposalToGnatt[[#This Row],[Days]]),$G$5,"")),"")</f>
        <v/>
      </c>
      <c r="CN53" s="37" t="str">
        <f ca="1">IFERROR(+IF(CN$29=ProposalToGnatt[[#This Row],[Start Date]],Milestone_Marker,IF(AND(CN$29&gt;ProposalToGnatt[[#This Row],[Start Date]],CN$29&lt;ProposalToGnatt[[#This Row],[Start Date]]+ProposalToGnatt[[#This Row],[Days]]),$G$5,"")),"")</f>
        <v/>
      </c>
      <c r="CO53" s="37" t="str">
        <f ca="1">IFERROR(+IF(CO$29=ProposalToGnatt[[#This Row],[Start Date]],Milestone_Marker,IF(AND(CO$29&gt;ProposalToGnatt[[#This Row],[Start Date]],CO$29&lt;ProposalToGnatt[[#This Row],[Start Date]]+ProposalToGnatt[[#This Row],[Days]]),$G$5,"")),"")</f>
        <v/>
      </c>
      <c r="CP53" s="37" t="str">
        <f ca="1">IFERROR(+IF(CP$29=ProposalToGnatt[[#This Row],[Start Date]],Milestone_Marker,IF(AND(CP$29&gt;ProposalToGnatt[[#This Row],[Start Date]],CP$29&lt;ProposalToGnatt[[#This Row],[Start Date]]+ProposalToGnatt[[#This Row],[Days]]),$G$5,"")),"")</f>
        <v/>
      </c>
      <c r="CQ53" s="37" t="str">
        <f ca="1">IFERROR(+IF(CQ$29=ProposalToGnatt[[#This Row],[Start Date]],Milestone_Marker,IF(AND(CQ$29&gt;ProposalToGnatt[[#This Row],[Start Date]],CQ$29&lt;ProposalToGnatt[[#This Row],[Start Date]]+ProposalToGnatt[[#This Row],[Days]]),$G$5,"")),"")</f>
        <v/>
      </c>
      <c r="CR53" s="37" t="str">
        <f ca="1">IFERROR(+IF(CR$29=ProposalToGnatt[[#This Row],[Start Date]],Milestone_Marker,IF(AND(CR$29&gt;ProposalToGnatt[[#This Row],[Start Date]],CR$29&lt;ProposalToGnatt[[#This Row],[Start Date]]+ProposalToGnatt[[#This Row],[Days]]),$G$5,"")),"")</f>
        <v/>
      </c>
      <c r="CS53" s="37" t="str">
        <f ca="1">IFERROR(+IF(CS$29=ProposalToGnatt[[#This Row],[Start Date]],Milestone_Marker,IF(AND(CS$29&gt;ProposalToGnatt[[#This Row],[Start Date]],CS$29&lt;ProposalToGnatt[[#This Row],[Start Date]]+ProposalToGnatt[[#This Row],[Days]]),$G$5,"")),"")</f>
        <v/>
      </c>
      <c r="CT53" s="37" t="str">
        <f ca="1">IFERROR(+IF(CT$29=ProposalToGnatt[[#This Row],[Start Date]],Milestone_Marker,IF(AND(CT$29&gt;ProposalToGnatt[[#This Row],[Start Date]],CT$29&lt;ProposalToGnatt[[#This Row],[Start Date]]+ProposalToGnatt[[#This Row],[Days]]),$G$5,"")),"")</f>
        <v/>
      </c>
      <c r="CU53" s="37" t="str">
        <f ca="1">IFERROR(+IF(CU$29=ProposalToGnatt[[#This Row],[Start Date]],Milestone_Marker,IF(AND(CU$29&gt;ProposalToGnatt[[#This Row],[Start Date]],CU$29&lt;ProposalToGnatt[[#This Row],[Start Date]]+ProposalToGnatt[[#This Row],[Days]]),$G$5,"")),"")</f>
        <v/>
      </c>
      <c r="CV53" s="37"/>
      <c r="CW53" s="37"/>
      <c r="CX53" s="37"/>
      <c r="CY53" s="37"/>
      <c r="CZ53" s="37"/>
      <c r="DA53" s="37"/>
      <c r="DB53" s="37"/>
      <c r="DC53" s="37"/>
      <c r="DD53" s="37"/>
      <c r="DE53" s="37"/>
      <c r="DF53" s="37"/>
      <c r="DG53" s="37"/>
      <c r="DH53" s="37"/>
      <c r="DI53" s="37"/>
      <c r="DJ53" s="37"/>
      <c r="DK53" s="37"/>
      <c r="DL53" s="37"/>
      <c r="DM53" s="37"/>
      <c r="DN53" s="37"/>
      <c r="DO53" s="37"/>
      <c r="DP53" s="37"/>
      <c r="DQ53" s="37"/>
      <c r="DR53" s="37"/>
      <c r="DS53" s="37"/>
      <c r="DT53" s="37"/>
      <c r="DU53" s="37"/>
    </row>
    <row r="54" spans="1:125" s="42" customFormat="1" ht="15">
      <c r="A54"/>
      <c r="B54"/>
      <c r="C54"/>
      <c r="D54"/>
      <c r="E54"/>
      <c r="F54"/>
      <c r="G54" s="11"/>
      <c r="H54" s="26"/>
      <c r="I54"/>
      <c r="J54"/>
      <c r="K54" s="402"/>
      <c r="L54"/>
      <c r="M54"/>
      <c r="N54"/>
      <c r="O54" s="26"/>
      <c r="P54" s="37" t="str">
        <f ca="1">IFERROR(+IF(P$29=ProposalToGnatt[[#This Row],[Start Date]],Milestone_Marker,IF(AND(P$29&gt;ProposalToGnatt[[#This Row],[Start Date]],P$29&lt;ProposalToGnatt[[#This Row],[Start Date]]+ProposalToGnatt[[#This Row],[Days]]),$G$5,"")),"")</f>
        <v/>
      </c>
      <c r="Q54" s="37" t="str">
        <f ca="1">IFERROR(+IF(Q$29=ProposalToGnatt[[#This Row],[Start Date]],Milestone_Marker,IF(AND(Q$29&gt;ProposalToGnatt[[#This Row],[Start Date]],Q$29&lt;ProposalToGnatt[[#This Row],[Start Date]]+ProposalToGnatt[[#This Row],[Days]]),$G$5,"")),"")</f>
        <v/>
      </c>
      <c r="R54" s="37" t="str">
        <f ca="1">IFERROR(+IF(R$29=ProposalToGnatt[[#This Row],[Start Date]],Milestone_Marker,IF(AND(R$29&gt;ProposalToGnatt[[#This Row],[Start Date]],R$29&lt;ProposalToGnatt[[#This Row],[Start Date]]+ProposalToGnatt[[#This Row],[Days]]),$G$5,"")),"")</f>
        <v/>
      </c>
      <c r="S54" s="37" t="str">
        <f ca="1">IFERROR(+IF(S$29=ProposalToGnatt[[#This Row],[Start Date]],Milestone_Marker,IF(AND(S$29&gt;ProposalToGnatt[[#This Row],[Start Date]],S$29&lt;ProposalToGnatt[[#This Row],[Start Date]]+ProposalToGnatt[[#This Row],[Days]]),$G$5,"")),"")</f>
        <v/>
      </c>
      <c r="T54" s="37" t="str">
        <f ca="1">IFERROR(+IF(T$29=ProposalToGnatt[[#This Row],[Start Date]],Milestone_Marker,IF(AND(T$29&gt;ProposalToGnatt[[#This Row],[Start Date]],T$29&lt;ProposalToGnatt[[#This Row],[Start Date]]+ProposalToGnatt[[#This Row],[Days]]),$G$5,"")),"")</f>
        <v/>
      </c>
      <c r="U54" s="37" t="str">
        <f ca="1">IFERROR(+IF(U$29=ProposalToGnatt[[#This Row],[Start Date]],Milestone_Marker,IF(AND(U$29&gt;ProposalToGnatt[[#This Row],[Start Date]],U$29&lt;ProposalToGnatt[[#This Row],[Start Date]]+ProposalToGnatt[[#This Row],[Days]]),$G$5,"")),"")</f>
        <v/>
      </c>
      <c r="V54" s="37" t="str">
        <f ca="1">IFERROR(+IF(V$29=ProposalToGnatt[[#This Row],[Start Date]],Milestone_Marker,IF(AND(V$29&gt;ProposalToGnatt[[#This Row],[Start Date]],V$29&lt;ProposalToGnatt[[#This Row],[Start Date]]+ProposalToGnatt[[#This Row],[Days]]),$G$5,"")),"")</f>
        <v/>
      </c>
      <c r="W54" s="37" t="str">
        <f ca="1">IFERROR(+IF(W$29=ProposalToGnatt[[#This Row],[Start Date]],Milestone_Marker,IF(AND(W$29&gt;ProposalToGnatt[[#This Row],[Start Date]],W$29&lt;ProposalToGnatt[[#This Row],[Start Date]]+ProposalToGnatt[[#This Row],[Days]]),$G$5,"")),"")</f>
        <v/>
      </c>
      <c r="X54" s="37" t="str">
        <f ca="1">IFERROR(+IF(X$29=ProposalToGnatt[[#This Row],[Start Date]],Milestone_Marker,IF(AND(X$29&gt;ProposalToGnatt[[#This Row],[Start Date]],X$29&lt;ProposalToGnatt[[#This Row],[Start Date]]+ProposalToGnatt[[#This Row],[Days]]),$G$5,"")),"")</f>
        <v/>
      </c>
      <c r="Y54" s="37" t="str">
        <f ca="1">IFERROR(+IF(Y$29=ProposalToGnatt[[#This Row],[Start Date]],Milestone_Marker,IF(AND(Y$29&gt;ProposalToGnatt[[#This Row],[Start Date]],Y$29&lt;ProposalToGnatt[[#This Row],[Start Date]]+ProposalToGnatt[[#This Row],[Days]]),$G$5,"")),"")</f>
        <v/>
      </c>
      <c r="Z54" s="37" t="str">
        <f ca="1">IFERROR(+IF(Z$29=ProposalToGnatt[[#This Row],[Start Date]],Milestone_Marker,IF(AND(Z$29&gt;ProposalToGnatt[[#This Row],[Start Date]],Z$29&lt;ProposalToGnatt[[#This Row],[Start Date]]+ProposalToGnatt[[#This Row],[Days]]),$G$5,"")),"")</f>
        <v/>
      </c>
      <c r="AA54" s="37" t="str">
        <f ca="1">IFERROR(+IF(AA$29=ProposalToGnatt[[#This Row],[Start Date]],Milestone_Marker,IF(AND(AA$29&gt;ProposalToGnatt[[#This Row],[Start Date]],AA$29&lt;ProposalToGnatt[[#This Row],[Start Date]]+ProposalToGnatt[[#This Row],[Days]]),$G$5,"")),"")</f>
        <v/>
      </c>
      <c r="AB54" s="37" t="str">
        <f ca="1">IFERROR(+IF(AB$29=ProposalToGnatt[[#This Row],[Start Date]],Milestone_Marker,IF(AND(AB$29&gt;ProposalToGnatt[[#This Row],[Start Date]],AB$29&lt;ProposalToGnatt[[#This Row],[Start Date]]+ProposalToGnatt[[#This Row],[Days]]),$G$5,"")),"")</f>
        <v/>
      </c>
      <c r="AC54" s="37" t="str">
        <f ca="1">IFERROR(+IF(AC$29=ProposalToGnatt[[#This Row],[Start Date]],Milestone_Marker,IF(AND(AC$29&gt;ProposalToGnatt[[#This Row],[Start Date]],AC$29&lt;ProposalToGnatt[[#This Row],[Start Date]]+ProposalToGnatt[[#This Row],[Days]]),$G$5,"")),"")</f>
        <v/>
      </c>
      <c r="AD54" s="37" t="str">
        <f ca="1">IFERROR(+IF(AD$29=ProposalToGnatt[[#This Row],[Start Date]],Milestone_Marker,IF(AND(AD$29&gt;ProposalToGnatt[[#This Row],[Start Date]],AD$29&lt;ProposalToGnatt[[#This Row],[Start Date]]+ProposalToGnatt[[#This Row],[Days]]),$G$5,"")),"")</f>
        <v/>
      </c>
      <c r="AE54" s="37" t="str">
        <f ca="1">IFERROR(+IF(AE$29=ProposalToGnatt[[#This Row],[Start Date]],Milestone_Marker,IF(AND(AE$29&gt;ProposalToGnatt[[#This Row],[Start Date]],AE$29&lt;ProposalToGnatt[[#This Row],[Start Date]]+ProposalToGnatt[[#This Row],[Days]]),$G$5,"")),"")</f>
        <v/>
      </c>
      <c r="AF54" s="37" t="str">
        <f ca="1">IFERROR(+IF(AF$29=ProposalToGnatt[[#This Row],[Start Date]],Milestone_Marker,IF(AND(AF$29&gt;ProposalToGnatt[[#This Row],[Start Date]],AF$29&lt;ProposalToGnatt[[#This Row],[Start Date]]+ProposalToGnatt[[#This Row],[Days]]),$G$5,"")),"")</f>
        <v/>
      </c>
      <c r="AG54" s="37" t="str">
        <f ca="1">IFERROR(+IF(AG$29=ProposalToGnatt[[#This Row],[Start Date]],Milestone_Marker,IF(AND(AG$29&gt;ProposalToGnatt[[#This Row],[Start Date]],AG$29&lt;ProposalToGnatt[[#This Row],[Start Date]]+ProposalToGnatt[[#This Row],[Days]]),$G$5,"")),"")</f>
        <v/>
      </c>
      <c r="AH54" s="37" t="str">
        <f ca="1">IFERROR(+IF(AH$29=ProposalToGnatt[[#This Row],[Start Date]],Milestone_Marker,IF(AND(AH$29&gt;ProposalToGnatt[[#This Row],[Start Date]],AH$29&lt;ProposalToGnatt[[#This Row],[Start Date]]+ProposalToGnatt[[#This Row],[Days]]),$G$5,"")),"")</f>
        <v/>
      </c>
      <c r="AI54" s="37" t="str">
        <f ca="1">IFERROR(+IF(AI$29=ProposalToGnatt[[#This Row],[Start Date]],Milestone_Marker,IF(AND(AI$29&gt;ProposalToGnatt[[#This Row],[Start Date]],AI$29&lt;ProposalToGnatt[[#This Row],[Start Date]]+ProposalToGnatt[[#This Row],[Days]]),$G$5,"")),"")</f>
        <v/>
      </c>
      <c r="AJ54" s="37" t="str">
        <f ca="1">IFERROR(+IF(AJ$29=ProposalToGnatt[[#This Row],[Start Date]],Milestone_Marker,IF(AND(AJ$29&gt;ProposalToGnatt[[#This Row],[Start Date]],AJ$29&lt;ProposalToGnatt[[#This Row],[Start Date]]+ProposalToGnatt[[#This Row],[Days]]),$G$5,"")),"")</f>
        <v/>
      </c>
      <c r="AK54" s="37" t="str">
        <f ca="1">IFERROR(+IF(AK$29=ProposalToGnatt[[#This Row],[Start Date]],Milestone_Marker,IF(AND(AK$29&gt;ProposalToGnatt[[#This Row],[Start Date]],AK$29&lt;ProposalToGnatt[[#This Row],[Start Date]]+ProposalToGnatt[[#This Row],[Days]]),$G$5,"")),"")</f>
        <v/>
      </c>
      <c r="AL54" s="37" t="str">
        <f ca="1">IFERROR(+IF(AL$29=ProposalToGnatt[[#This Row],[Start Date]],Milestone_Marker,IF(AND(AL$29&gt;ProposalToGnatt[[#This Row],[Start Date]],AL$29&lt;ProposalToGnatt[[#This Row],[Start Date]]+ProposalToGnatt[[#This Row],[Days]]),$G$5,"")),"")</f>
        <v/>
      </c>
      <c r="AM54" s="37" t="str">
        <f ca="1">IFERROR(+IF(AM$29=ProposalToGnatt[[#This Row],[Start Date]],Milestone_Marker,IF(AND(AM$29&gt;ProposalToGnatt[[#This Row],[Start Date]],AM$29&lt;ProposalToGnatt[[#This Row],[Start Date]]+ProposalToGnatt[[#This Row],[Days]]),$G$5,"")),"")</f>
        <v/>
      </c>
      <c r="AN54" s="37" t="str">
        <f ca="1">IFERROR(+IF(AN$29=ProposalToGnatt[[#This Row],[Start Date]],Milestone_Marker,IF(AND(AN$29&gt;ProposalToGnatt[[#This Row],[Start Date]],AN$29&lt;ProposalToGnatt[[#This Row],[Start Date]]+ProposalToGnatt[[#This Row],[Days]]),$G$5,"")),"")</f>
        <v/>
      </c>
      <c r="AO54" s="37" t="str">
        <f ca="1">IFERROR(+IF(AO$29=ProposalToGnatt[[#This Row],[Start Date]],Milestone_Marker,IF(AND(AO$29&gt;ProposalToGnatt[[#This Row],[Start Date]],AO$29&lt;ProposalToGnatt[[#This Row],[Start Date]]+ProposalToGnatt[[#This Row],[Days]]),$G$5,"")),"")</f>
        <v/>
      </c>
      <c r="AP54" s="37" t="str">
        <f ca="1">IFERROR(+IF(AP$29=ProposalToGnatt[[#This Row],[Start Date]],Milestone_Marker,IF(AND(AP$29&gt;ProposalToGnatt[[#This Row],[Start Date]],AP$29&lt;ProposalToGnatt[[#This Row],[Start Date]]+ProposalToGnatt[[#This Row],[Days]]),$G$5,"")),"")</f>
        <v/>
      </c>
      <c r="AQ54" s="37" t="str">
        <f ca="1">IFERROR(+IF(AQ$29=ProposalToGnatt[[#This Row],[Start Date]],Milestone_Marker,IF(AND(AQ$29&gt;ProposalToGnatt[[#This Row],[Start Date]],AQ$29&lt;ProposalToGnatt[[#This Row],[Start Date]]+ProposalToGnatt[[#This Row],[Days]]),$G$5,"")),"")</f>
        <v/>
      </c>
      <c r="AR54" s="37" t="str">
        <f ca="1">IFERROR(+IF(AR$29=ProposalToGnatt[[#This Row],[Start Date]],Milestone_Marker,IF(AND(AR$29&gt;ProposalToGnatt[[#This Row],[Start Date]],AR$29&lt;ProposalToGnatt[[#This Row],[Start Date]]+ProposalToGnatt[[#This Row],[Days]]),$G$5,"")),"")</f>
        <v/>
      </c>
      <c r="AS54" s="37" t="str">
        <f ca="1">IFERROR(+IF(AS$29=ProposalToGnatt[[#This Row],[Start Date]],Milestone_Marker,IF(AND(AS$29&gt;ProposalToGnatt[[#This Row],[Start Date]],AS$29&lt;ProposalToGnatt[[#This Row],[Start Date]]+ProposalToGnatt[[#This Row],[Days]]),$G$5,"")),"")</f>
        <v/>
      </c>
      <c r="AT54" s="37" t="str">
        <f ca="1">IFERROR(+IF(AT$29=ProposalToGnatt[[#This Row],[Start Date]],Milestone_Marker,IF(AND(AT$29&gt;ProposalToGnatt[[#This Row],[Start Date]],AT$29&lt;ProposalToGnatt[[#This Row],[Start Date]]+ProposalToGnatt[[#This Row],[Days]]),$G$5,"")),"")</f>
        <v/>
      </c>
      <c r="AU54" s="37" t="str">
        <f ca="1">IFERROR(+IF(AU$29=ProposalToGnatt[[#This Row],[Start Date]],Milestone_Marker,IF(AND(AU$29&gt;ProposalToGnatt[[#This Row],[Start Date]],AU$29&lt;ProposalToGnatt[[#This Row],[Start Date]]+ProposalToGnatt[[#This Row],[Days]]),$G$5,"")),"")</f>
        <v/>
      </c>
      <c r="AV54" s="37" t="str">
        <f ca="1">IFERROR(+IF(AV$29=ProposalToGnatt[[#This Row],[Start Date]],Milestone_Marker,IF(AND(AV$29&gt;ProposalToGnatt[[#This Row],[Start Date]],AV$29&lt;ProposalToGnatt[[#This Row],[Start Date]]+ProposalToGnatt[[#This Row],[Days]]),$G$5,"")),"")</f>
        <v/>
      </c>
      <c r="AW54" s="37" t="str">
        <f ca="1">IFERROR(+IF(AW$29=ProposalToGnatt[[#This Row],[Start Date]],Milestone_Marker,IF(AND(AW$29&gt;ProposalToGnatt[[#This Row],[Start Date]],AW$29&lt;ProposalToGnatt[[#This Row],[Start Date]]+ProposalToGnatt[[#This Row],[Days]]),$G$5,"")),"")</f>
        <v/>
      </c>
      <c r="AX54" s="37" t="str">
        <f ca="1">IFERROR(+IF(AX$29=ProposalToGnatt[[#This Row],[Start Date]],Milestone_Marker,IF(AND(AX$29&gt;ProposalToGnatt[[#This Row],[Start Date]],AX$29&lt;ProposalToGnatt[[#This Row],[Start Date]]+ProposalToGnatt[[#This Row],[Days]]),$G$5,"")),"")</f>
        <v/>
      </c>
      <c r="AY54" s="37" t="str">
        <f ca="1">IFERROR(+IF(AY$29=ProposalToGnatt[[#This Row],[Start Date]],Milestone_Marker,IF(AND(AY$29&gt;ProposalToGnatt[[#This Row],[Start Date]],AY$29&lt;ProposalToGnatt[[#This Row],[Start Date]]+ProposalToGnatt[[#This Row],[Days]]),$G$5,"")),"")</f>
        <v/>
      </c>
      <c r="AZ54" s="37" t="str">
        <f ca="1">IFERROR(+IF(AZ$29=ProposalToGnatt[[#This Row],[Start Date]],Milestone_Marker,IF(AND(AZ$29&gt;ProposalToGnatt[[#This Row],[Start Date]],AZ$29&lt;ProposalToGnatt[[#This Row],[Start Date]]+ProposalToGnatt[[#This Row],[Days]]),$G$5,"")),"")</f>
        <v/>
      </c>
      <c r="BA54" s="37" t="str">
        <f ca="1">IFERROR(+IF(BA$29=ProposalToGnatt[[#This Row],[Start Date]],Milestone_Marker,IF(AND(BA$29&gt;ProposalToGnatt[[#This Row],[Start Date]],BA$29&lt;ProposalToGnatt[[#This Row],[Start Date]]+ProposalToGnatt[[#This Row],[Days]]),$G$5,"")),"")</f>
        <v/>
      </c>
      <c r="BB54" s="37" t="str">
        <f ca="1">IFERROR(+IF(BB$29=ProposalToGnatt[[#This Row],[Start Date]],Milestone_Marker,IF(AND(BB$29&gt;ProposalToGnatt[[#This Row],[Start Date]],BB$29&lt;ProposalToGnatt[[#This Row],[Start Date]]+ProposalToGnatt[[#This Row],[Days]]),$G$5,"")),"")</f>
        <v/>
      </c>
      <c r="BC54" s="37" t="str">
        <f ca="1">IFERROR(+IF(BC$29=ProposalToGnatt[[#This Row],[Start Date]],Milestone_Marker,IF(AND(BC$29&gt;ProposalToGnatt[[#This Row],[Start Date]],BC$29&lt;ProposalToGnatt[[#This Row],[Start Date]]+ProposalToGnatt[[#This Row],[Days]]),$G$5,"")),"")</f>
        <v/>
      </c>
      <c r="BD54" s="37" t="str">
        <f ca="1">IFERROR(+IF(BD$29=ProposalToGnatt[[#This Row],[Start Date]],Milestone_Marker,IF(AND(BD$29&gt;ProposalToGnatt[[#This Row],[Start Date]],BD$29&lt;ProposalToGnatt[[#This Row],[Start Date]]+ProposalToGnatt[[#This Row],[Days]]),$G$5,"")),"")</f>
        <v/>
      </c>
      <c r="BE54" s="37" t="str">
        <f ca="1">IFERROR(+IF(BE$29=ProposalToGnatt[[#This Row],[Start Date]],Milestone_Marker,IF(AND(BE$29&gt;ProposalToGnatt[[#This Row],[Start Date]],BE$29&lt;ProposalToGnatt[[#This Row],[Start Date]]+ProposalToGnatt[[#This Row],[Days]]),$G$5,"")),"")</f>
        <v/>
      </c>
      <c r="BF54" s="37" t="str">
        <f ca="1">IFERROR(+IF(BF$29=ProposalToGnatt[[#This Row],[Start Date]],Milestone_Marker,IF(AND(BF$29&gt;ProposalToGnatt[[#This Row],[Start Date]],BF$29&lt;ProposalToGnatt[[#This Row],[Start Date]]+ProposalToGnatt[[#This Row],[Days]]),$G$5,"")),"")</f>
        <v/>
      </c>
      <c r="BG54" s="37" t="str">
        <f ca="1">IFERROR(+IF(BG$29=ProposalToGnatt[[#This Row],[Start Date]],Milestone_Marker,IF(AND(BG$29&gt;ProposalToGnatt[[#This Row],[Start Date]],BG$29&lt;ProposalToGnatt[[#This Row],[Start Date]]+ProposalToGnatt[[#This Row],[Days]]),$G$5,"")),"")</f>
        <v/>
      </c>
      <c r="BH54" s="37" t="str">
        <f ca="1">IFERROR(+IF(BH$29=ProposalToGnatt[[#This Row],[Start Date]],Milestone_Marker,IF(AND(BH$29&gt;ProposalToGnatt[[#This Row],[Start Date]],BH$29&lt;ProposalToGnatt[[#This Row],[Start Date]]+ProposalToGnatt[[#This Row],[Days]]),$G$5,"")),"")</f>
        <v/>
      </c>
      <c r="BI54" s="37" t="str">
        <f ca="1">IFERROR(+IF(BI$29=ProposalToGnatt[[#This Row],[Start Date]],Milestone_Marker,IF(AND(BI$29&gt;ProposalToGnatt[[#This Row],[Start Date]],BI$29&lt;ProposalToGnatt[[#This Row],[Start Date]]+ProposalToGnatt[[#This Row],[Days]]),$G$5,"")),"")</f>
        <v/>
      </c>
      <c r="BJ54" s="37" t="str">
        <f ca="1">IFERROR(+IF(BJ$29=ProposalToGnatt[[#This Row],[Start Date]],Milestone_Marker,IF(AND(BJ$29&gt;ProposalToGnatt[[#This Row],[Start Date]],BJ$29&lt;ProposalToGnatt[[#This Row],[Start Date]]+ProposalToGnatt[[#This Row],[Days]]),$G$5,"")),"")</f>
        <v/>
      </c>
      <c r="BK54" s="37" t="str">
        <f ca="1">IFERROR(+IF(BK$29=ProposalToGnatt[[#This Row],[Start Date]],Milestone_Marker,IF(AND(BK$29&gt;ProposalToGnatt[[#This Row],[Start Date]],BK$29&lt;ProposalToGnatt[[#This Row],[Start Date]]+ProposalToGnatt[[#This Row],[Days]]),$G$5,"")),"")</f>
        <v/>
      </c>
      <c r="BL54" s="37" t="str">
        <f ca="1">IFERROR(+IF(BL$29=ProposalToGnatt[[#This Row],[Start Date]],Milestone_Marker,IF(AND(BL$29&gt;ProposalToGnatt[[#This Row],[Start Date]],BL$29&lt;ProposalToGnatt[[#This Row],[Start Date]]+ProposalToGnatt[[#This Row],[Days]]),$G$5,"")),"")</f>
        <v/>
      </c>
      <c r="BM54" s="37" t="str">
        <f ca="1">IFERROR(+IF(BM$29=ProposalToGnatt[[#This Row],[Start Date]],Milestone_Marker,IF(AND(BM$29&gt;ProposalToGnatt[[#This Row],[Start Date]],BM$29&lt;ProposalToGnatt[[#This Row],[Start Date]]+ProposalToGnatt[[#This Row],[Days]]),$G$5,"")),"")</f>
        <v/>
      </c>
      <c r="BN54" s="37" t="str">
        <f ca="1">IFERROR(+IF(BN$29=ProposalToGnatt[[#This Row],[Start Date]],Milestone_Marker,IF(AND(BN$29&gt;ProposalToGnatt[[#This Row],[Start Date]],BN$29&lt;ProposalToGnatt[[#This Row],[Start Date]]+ProposalToGnatt[[#This Row],[Days]]),$G$5,"")),"")</f>
        <v/>
      </c>
      <c r="BO54" s="37" t="str">
        <f ca="1">IFERROR(+IF(BO$29=ProposalToGnatt[[#This Row],[Start Date]],Milestone_Marker,IF(AND(BO$29&gt;ProposalToGnatt[[#This Row],[Start Date]],BO$29&lt;ProposalToGnatt[[#This Row],[Start Date]]+ProposalToGnatt[[#This Row],[Days]]),$G$5,"")),"")</f>
        <v/>
      </c>
      <c r="BP54" s="37" t="str">
        <f ca="1">IFERROR(+IF(BP$29=ProposalToGnatt[[#This Row],[Start Date]],Milestone_Marker,IF(AND(BP$29&gt;ProposalToGnatt[[#This Row],[Start Date]],BP$29&lt;ProposalToGnatt[[#This Row],[Start Date]]+ProposalToGnatt[[#This Row],[Days]]),$G$5,"")),"")</f>
        <v/>
      </c>
      <c r="BQ54" s="37" t="str">
        <f ca="1">IFERROR(+IF(BQ$29=ProposalToGnatt[[#This Row],[Start Date]],Milestone_Marker,IF(AND(BQ$29&gt;ProposalToGnatt[[#This Row],[Start Date]],BQ$29&lt;ProposalToGnatt[[#This Row],[Start Date]]+ProposalToGnatt[[#This Row],[Days]]),$G$5,"")),"")</f>
        <v/>
      </c>
      <c r="BR54" s="37" t="str">
        <f ca="1">IFERROR(+IF(BR$29=ProposalToGnatt[[#This Row],[Start Date]],Milestone_Marker,IF(AND(BR$29&gt;ProposalToGnatt[[#This Row],[Start Date]],BR$29&lt;ProposalToGnatt[[#This Row],[Start Date]]+ProposalToGnatt[[#This Row],[Days]]),$G$5,"")),"")</f>
        <v/>
      </c>
      <c r="BS54" s="37" t="str">
        <f ca="1">IFERROR(+IF(BS$29=ProposalToGnatt[[#This Row],[Start Date]],Milestone_Marker,IF(AND(BS$29&gt;ProposalToGnatt[[#This Row],[Start Date]],BS$29&lt;ProposalToGnatt[[#This Row],[Start Date]]+ProposalToGnatt[[#This Row],[Days]]),$G$5,"")),"")</f>
        <v/>
      </c>
      <c r="BT54" s="37" t="str">
        <f ca="1">IFERROR(+IF(BT$29=ProposalToGnatt[[#This Row],[Start Date]],Milestone_Marker,IF(AND(BT$29&gt;ProposalToGnatt[[#This Row],[Start Date]],BT$29&lt;ProposalToGnatt[[#This Row],[Start Date]]+ProposalToGnatt[[#This Row],[Days]]),$G$5,"")),"")</f>
        <v/>
      </c>
      <c r="BU54" s="37" t="str">
        <f ca="1">IFERROR(+IF(BU$29=ProposalToGnatt[[#This Row],[Start Date]],Milestone_Marker,IF(AND(BU$29&gt;ProposalToGnatt[[#This Row],[Start Date]],BU$29&lt;ProposalToGnatt[[#This Row],[Start Date]]+ProposalToGnatt[[#This Row],[Days]]),$G$5,"")),"")</f>
        <v/>
      </c>
      <c r="BV54" s="37" t="str">
        <f ca="1">IFERROR(+IF(BV$29=ProposalToGnatt[[#This Row],[Start Date]],Milestone_Marker,IF(AND(BV$29&gt;ProposalToGnatt[[#This Row],[Start Date]],BV$29&lt;ProposalToGnatt[[#This Row],[Start Date]]+ProposalToGnatt[[#This Row],[Days]]),$G$5,"")),"")</f>
        <v/>
      </c>
      <c r="BW54" s="37" t="str">
        <f ca="1">IFERROR(+IF(BW$29=ProposalToGnatt[[#This Row],[Start Date]],Milestone_Marker,IF(AND(BW$29&gt;ProposalToGnatt[[#This Row],[Start Date]],BW$29&lt;ProposalToGnatt[[#This Row],[Start Date]]+ProposalToGnatt[[#This Row],[Days]]),$G$5,"")),"")</f>
        <v/>
      </c>
      <c r="BX54" s="37" t="str">
        <f ca="1">IFERROR(+IF(BX$29=ProposalToGnatt[[#This Row],[Start Date]],Milestone_Marker,IF(AND(BX$29&gt;ProposalToGnatt[[#This Row],[Start Date]],BX$29&lt;ProposalToGnatt[[#This Row],[Start Date]]+ProposalToGnatt[[#This Row],[Days]]),$G$5,"")),"")</f>
        <v/>
      </c>
      <c r="BY54" s="37" t="str">
        <f ca="1">IFERROR(+IF(BY$29=ProposalToGnatt[[#This Row],[Start Date]],Milestone_Marker,IF(AND(BY$29&gt;ProposalToGnatt[[#This Row],[Start Date]],BY$29&lt;ProposalToGnatt[[#This Row],[Start Date]]+ProposalToGnatt[[#This Row],[Days]]),$G$5,"")),"")</f>
        <v/>
      </c>
      <c r="BZ54" s="37" t="str">
        <f ca="1">IFERROR(+IF(BZ$29=ProposalToGnatt[[#This Row],[Start Date]],Milestone_Marker,IF(AND(BZ$29&gt;ProposalToGnatt[[#This Row],[Start Date]],BZ$29&lt;ProposalToGnatt[[#This Row],[Start Date]]+ProposalToGnatt[[#This Row],[Days]]),$G$5,"")),"")</f>
        <v/>
      </c>
      <c r="CA54" s="37" t="str">
        <f ca="1">IFERROR(+IF(CA$29=ProposalToGnatt[[#This Row],[Start Date]],Milestone_Marker,IF(AND(CA$29&gt;ProposalToGnatt[[#This Row],[Start Date]],CA$29&lt;ProposalToGnatt[[#This Row],[Start Date]]+ProposalToGnatt[[#This Row],[Days]]),$G$5,"")),"")</f>
        <v/>
      </c>
      <c r="CB54" s="37" t="str">
        <f ca="1">IFERROR(+IF(CB$29=ProposalToGnatt[[#This Row],[Start Date]],Milestone_Marker,IF(AND(CB$29&gt;ProposalToGnatt[[#This Row],[Start Date]],CB$29&lt;ProposalToGnatt[[#This Row],[Start Date]]+ProposalToGnatt[[#This Row],[Days]]),$G$5,"")),"")</f>
        <v/>
      </c>
      <c r="CC54" s="37" t="str">
        <f ca="1">IFERROR(+IF(CC$29=ProposalToGnatt[[#This Row],[Start Date]],Milestone_Marker,IF(AND(CC$29&gt;ProposalToGnatt[[#This Row],[Start Date]],CC$29&lt;ProposalToGnatt[[#This Row],[Start Date]]+ProposalToGnatt[[#This Row],[Days]]),$G$5,"")),"")</f>
        <v/>
      </c>
      <c r="CD54" s="37" t="str">
        <f ca="1">IFERROR(+IF(CD$29=ProposalToGnatt[[#This Row],[Start Date]],Milestone_Marker,IF(AND(CD$29&gt;ProposalToGnatt[[#This Row],[Start Date]],CD$29&lt;ProposalToGnatt[[#This Row],[Start Date]]+ProposalToGnatt[[#This Row],[Days]]),$G$5,"")),"")</f>
        <v/>
      </c>
      <c r="CE54" s="37" t="str">
        <f ca="1">IFERROR(+IF(CE$29=ProposalToGnatt[[#This Row],[Start Date]],Milestone_Marker,IF(AND(CE$29&gt;ProposalToGnatt[[#This Row],[Start Date]],CE$29&lt;ProposalToGnatt[[#This Row],[Start Date]]+ProposalToGnatt[[#This Row],[Days]]),$G$5,"")),"")</f>
        <v/>
      </c>
      <c r="CF54" s="37" t="str">
        <f ca="1">IFERROR(+IF(CF$29=ProposalToGnatt[[#This Row],[Start Date]],Milestone_Marker,IF(AND(CF$29&gt;ProposalToGnatt[[#This Row],[Start Date]],CF$29&lt;ProposalToGnatt[[#This Row],[Start Date]]+ProposalToGnatt[[#This Row],[Days]]),$G$5,"")),"")</f>
        <v/>
      </c>
      <c r="CG54" s="37" t="str">
        <f ca="1">IFERROR(+IF(CG$29=ProposalToGnatt[[#This Row],[Start Date]],Milestone_Marker,IF(AND(CG$29&gt;ProposalToGnatt[[#This Row],[Start Date]],CG$29&lt;ProposalToGnatt[[#This Row],[Start Date]]+ProposalToGnatt[[#This Row],[Days]]),$G$5,"")),"")</f>
        <v/>
      </c>
      <c r="CH54" s="37" t="str">
        <f ca="1">IFERROR(+IF(CH$29=ProposalToGnatt[[#This Row],[Start Date]],Milestone_Marker,IF(AND(CH$29&gt;ProposalToGnatt[[#This Row],[Start Date]],CH$29&lt;ProposalToGnatt[[#This Row],[Start Date]]+ProposalToGnatt[[#This Row],[Days]]),$G$5,"")),"")</f>
        <v/>
      </c>
      <c r="CI54" s="37" t="str">
        <f ca="1">IFERROR(+IF(CI$29=ProposalToGnatt[[#This Row],[Start Date]],Milestone_Marker,IF(AND(CI$29&gt;ProposalToGnatt[[#This Row],[Start Date]],CI$29&lt;ProposalToGnatt[[#This Row],[Start Date]]+ProposalToGnatt[[#This Row],[Days]]),$G$5,"")),"")</f>
        <v/>
      </c>
      <c r="CJ54" s="37" t="str">
        <f ca="1">IFERROR(+IF(CJ$29=ProposalToGnatt[[#This Row],[Start Date]],Milestone_Marker,IF(AND(CJ$29&gt;ProposalToGnatt[[#This Row],[Start Date]],CJ$29&lt;ProposalToGnatt[[#This Row],[Start Date]]+ProposalToGnatt[[#This Row],[Days]]),$G$5,"")),"")</f>
        <v/>
      </c>
      <c r="CK54" s="37" t="str">
        <f ca="1">IFERROR(+IF(CK$29=ProposalToGnatt[[#This Row],[Start Date]],Milestone_Marker,IF(AND(CK$29&gt;ProposalToGnatt[[#This Row],[Start Date]],CK$29&lt;ProposalToGnatt[[#This Row],[Start Date]]+ProposalToGnatt[[#This Row],[Days]]),$G$5,"")),"")</f>
        <v/>
      </c>
      <c r="CL54" s="37" t="str">
        <f ca="1">IFERROR(+IF(CL$29=ProposalToGnatt[[#This Row],[Start Date]],Milestone_Marker,IF(AND(CL$29&gt;ProposalToGnatt[[#This Row],[Start Date]],CL$29&lt;ProposalToGnatt[[#This Row],[Start Date]]+ProposalToGnatt[[#This Row],[Days]]),$G$5,"")),"")</f>
        <v/>
      </c>
      <c r="CM54" s="37" t="str">
        <f ca="1">IFERROR(+IF(CM$29=ProposalToGnatt[[#This Row],[Start Date]],Milestone_Marker,IF(AND(CM$29&gt;ProposalToGnatt[[#This Row],[Start Date]],CM$29&lt;ProposalToGnatt[[#This Row],[Start Date]]+ProposalToGnatt[[#This Row],[Days]]),$G$5,"")),"")</f>
        <v/>
      </c>
      <c r="CN54" s="37" t="str">
        <f ca="1">IFERROR(+IF(CN$29=ProposalToGnatt[[#This Row],[Start Date]],Milestone_Marker,IF(AND(CN$29&gt;ProposalToGnatt[[#This Row],[Start Date]],CN$29&lt;ProposalToGnatt[[#This Row],[Start Date]]+ProposalToGnatt[[#This Row],[Days]]),$G$5,"")),"")</f>
        <v/>
      </c>
      <c r="CO54" s="37" t="str">
        <f ca="1">IFERROR(+IF(CO$29=ProposalToGnatt[[#This Row],[Start Date]],Milestone_Marker,IF(AND(CO$29&gt;ProposalToGnatt[[#This Row],[Start Date]],CO$29&lt;ProposalToGnatt[[#This Row],[Start Date]]+ProposalToGnatt[[#This Row],[Days]]),$G$5,"")),"")</f>
        <v/>
      </c>
      <c r="CP54" s="37" t="str">
        <f ca="1">IFERROR(+IF(CP$29=ProposalToGnatt[[#This Row],[Start Date]],Milestone_Marker,IF(AND(CP$29&gt;ProposalToGnatt[[#This Row],[Start Date]],CP$29&lt;ProposalToGnatt[[#This Row],[Start Date]]+ProposalToGnatt[[#This Row],[Days]]),$G$5,"")),"")</f>
        <v/>
      </c>
      <c r="CQ54" s="37" t="str">
        <f ca="1">IFERROR(+IF(CQ$29=ProposalToGnatt[[#This Row],[Start Date]],Milestone_Marker,IF(AND(CQ$29&gt;ProposalToGnatt[[#This Row],[Start Date]],CQ$29&lt;ProposalToGnatt[[#This Row],[Start Date]]+ProposalToGnatt[[#This Row],[Days]]),$G$5,"")),"")</f>
        <v/>
      </c>
      <c r="CR54" s="37" t="str">
        <f ca="1">IFERROR(+IF(CR$29=ProposalToGnatt[[#This Row],[Start Date]],Milestone_Marker,IF(AND(CR$29&gt;ProposalToGnatt[[#This Row],[Start Date]],CR$29&lt;ProposalToGnatt[[#This Row],[Start Date]]+ProposalToGnatt[[#This Row],[Days]]),$G$5,"")),"")</f>
        <v/>
      </c>
      <c r="CS54" s="37" t="str">
        <f ca="1">IFERROR(+IF(CS$29=ProposalToGnatt[[#This Row],[Start Date]],Milestone_Marker,IF(AND(CS$29&gt;ProposalToGnatt[[#This Row],[Start Date]],CS$29&lt;ProposalToGnatt[[#This Row],[Start Date]]+ProposalToGnatt[[#This Row],[Days]]),$G$5,"")),"")</f>
        <v/>
      </c>
      <c r="CT54" s="37" t="str">
        <f ca="1">IFERROR(+IF(CT$29=ProposalToGnatt[[#This Row],[Start Date]],Milestone_Marker,IF(AND(CT$29&gt;ProposalToGnatt[[#This Row],[Start Date]],CT$29&lt;ProposalToGnatt[[#This Row],[Start Date]]+ProposalToGnatt[[#This Row],[Days]]),$G$5,"")),"")</f>
        <v/>
      </c>
      <c r="CU54" s="37" t="str">
        <f ca="1">IFERROR(+IF(CU$29=ProposalToGnatt[[#This Row],[Start Date]],Milestone_Marker,IF(AND(CU$29&gt;ProposalToGnatt[[#This Row],[Start Date]],CU$29&lt;ProposalToGnatt[[#This Row],[Start Date]]+ProposalToGnatt[[#This Row],[Days]]),$G$5,"")),"")</f>
        <v/>
      </c>
      <c r="CV54" s="37"/>
      <c r="CW54" s="37"/>
      <c r="CX54" s="37"/>
      <c r="CY54" s="37"/>
      <c r="CZ54" s="37"/>
      <c r="DA54" s="37"/>
      <c r="DB54" s="37"/>
      <c r="DC54" s="37"/>
      <c r="DD54" s="37"/>
      <c r="DE54" s="37"/>
      <c r="DF54" s="37"/>
      <c r="DG54" s="37"/>
      <c r="DH54" s="37"/>
      <c r="DI54" s="37"/>
      <c r="DJ54" s="37"/>
      <c r="DK54" s="37"/>
      <c r="DL54" s="37"/>
      <c r="DM54" s="37"/>
      <c r="DN54" s="37"/>
      <c r="DO54" s="37"/>
      <c r="DP54" s="37"/>
      <c r="DQ54" s="37"/>
      <c r="DR54" s="37"/>
      <c r="DS54" s="37"/>
      <c r="DT54" s="37"/>
      <c r="DU54" s="37"/>
    </row>
    <row r="55" spans="1:125" s="42" customFormat="1" ht="15">
      <c r="A55"/>
      <c r="B55"/>
      <c r="C55"/>
      <c r="D55"/>
      <c r="E55"/>
      <c r="F55"/>
      <c r="G55" s="11"/>
      <c r="H55" s="26"/>
      <c r="I55"/>
      <c r="J55"/>
      <c r="K55" s="402"/>
      <c r="L55"/>
      <c r="M55"/>
      <c r="N55"/>
      <c r="O55" s="26"/>
      <c r="P55" s="37" t="str">
        <f ca="1">IFERROR(+IF(P$29=ProposalToGnatt[[#This Row],[Start Date]],Milestone_Marker,IF(AND(P$29&gt;ProposalToGnatt[[#This Row],[Start Date]],P$29&lt;ProposalToGnatt[[#This Row],[Start Date]]+ProposalToGnatt[[#This Row],[Days]]),$G$5,"")),"")</f>
        <v/>
      </c>
      <c r="Q55" s="37" t="str">
        <f ca="1">IFERROR(+IF(Q$29=ProposalToGnatt[[#This Row],[Start Date]],Milestone_Marker,IF(AND(Q$29&gt;ProposalToGnatt[[#This Row],[Start Date]],Q$29&lt;ProposalToGnatt[[#This Row],[Start Date]]+ProposalToGnatt[[#This Row],[Days]]),$G$5,"")),"")</f>
        <v/>
      </c>
      <c r="R55" s="37" t="str">
        <f ca="1">IFERROR(+IF(R$29=ProposalToGnatt[[#This Row],[Start Date]],Milestone_Marker,IF(AND(R$29&gt;ProposalToGnatt[[#This Row],[Start Date]],R$29&lt;ProposalToGnatt[[#This Row],[Start Date]]+ProposalToGnatt[[#This Row],[Days]]),$G$5,"")),"")</f>
        <v/>
      </c>
      <c r="S55" s="37" t="str">
        <f ca="1">IFERROR(+IF(S$29=ProposalToGnatt[[#This Row],[Start Date]],Milestone_Marker,IF(AND(S$29&gt;ProposalToGnatt[[#This Row],[Start Date]],S$29&lt;ProposalToGnatt[[#This Row],[Start Date]]+ProposalToGnatt[[#This Row],[Days]]),$G$5,"")),"")</f>
        <v/>
      </c>
      <c r="T55" s="37" t="str">
        <f ca="1">IFERROR(+IF(T$29=ProposalToGnatt[[#This Row],[Start Date]],Milestone_Marker,IF(AND(T$29&gt;ProposalToGnatt[[#This Row],[Start Date]],T$29&lt;ProposalToGnatt[[#This Row],[Start Date]]+ProposalToGnatt[[#This Row],[Days]]),$G$5,"")),"")</f>
        <v/>
      </c>
      <c r="U55" s="37" t="str">
        <f ca="1">IFERROR(+IF(U$29=ProposalToGnatt[[#This Row],[Start Date]],Milestone_Marker,IF(AND(U$29&gt;ProposalToGnatt[[#This Row],[Start Date]],U$29&lt;ProposalToGnatt[[#This Row],[Start Date]]+ProposalToGnatt[[#This Row],[Days]]),$G$5,"")),"")</f>
        <v/>
      </c>
      <c r="V55" s="37" t="str">
        <f ca="1">IFERROR(+IF(V$29=ProposalToGnatt[[#This Row],[Start Date]],Milestone_Marker,IF(AND(V$29&gt;ProposalToGnatt[[#This Row],[Start Date]],V$29&lt;ProposalToGnatt[[#This Row],[Start Date]]+ProposalToGnatt[[#This Row],[Days]]),$G$5,"")),"")</f>
        <v/>
      </c>
      <c r="W55" s="37" t="str">
        <f ca="1">IFERROR(+IF(W$29=ProposalToGnatt[[#This Row],[Start Date]],Milestone_Marker,IF(AND(W$29&gt;ProposalToGnatt[[#This Row],[Start Date]],W$29&lt;ProposalToGnatt[[#This Row],[Start Date]]+ProposalToGnatt[[#This Row],[Days]]),$G$5,"")),"")</f>
        <v/>
      </c>
      <c r="X55" s="37" t="str">
        <f ca="1">IFERROR(+IF(X$29=ProposalToGnatt[[#This Row],[Start Date]],Milestone_Marker,IF(AND(X$29&gt;ProposalToGnatt[[#This Row],[Start Date]],X$29&lt;ProposalToGnatt[[#This Row],[Start Date]]+ProposalToGnatt[[#This Row],[Days]]),$G$5,"")),"")</f>
        <v/>
      </c>
      <c r="Y55" s="37" t="str">
        <f ca="1">IFERROR(+IF(Y$29=ProposalToGnatt[[#This Row],[Start Date]],Milestone_Marker,IF(AND(Y$29&gt;ProposalToGnatt[[#This Row],[Start Date]],Y$29&lt;ProposalToGnatt[[#This Row],[Start Date]]+ProposalToGnatt[[#This Row],[Days]]),$G$5,"")),"")</f>
        <v/>
      </c>
      <c r="Z55" s="37" t="str">
        <f ca="1">IFERROR(+IF(Z$29=ProposalToGnatt[[#This Row],[Start Date]],Milestone_Marker,IF(AND(Z$29&gt;ProposalToGnatt[[#This Row],[Start Date]],Z$29&lt;ProposalToGnatt[[#This Row],[Start Date]]+ProposalToGnatt[[#This Row],[Days]]),$G$5,"")),"")</f>
        <v/>
      </c>
      <c r="AA55" s="37" t="str">
        <f ca="1">IFERROR(+IF(AA$29=ProposalToGnatt[[#This Row],[Start Date]],Milestone_Marker,IF(AND(AA$29&gt;ProposalToGnatt[[#This Row],[Start Date]],AA$29&lt;ProposalToGnatt[[#This Row],[Start Date]]+ProposalToGnatt[[#This Row],[Days]]),$G$5,"")),"")</f>
        <v/>
      </c>
      <c r="AB55" s="37" t="str">
        <f ca="1">IFERROR(+IF(AB$29=ProposalToGnatt[[#This Row],[Start Date]],Milestone_Marker,IF(AND(AB$29&gt;ProposalToGnatt[[#This Row],[Start Date]],AB$29&lt;ProposalToGnatt[[#This Row],[Start Date]]+ProposalToGnatt[[#This Row],[Days]]),$G$5,"")),"")</f>
        <v/>
      </c>
      <c r="AC55" s="37" t="str">
        <f ca="1">IFERROR(+IF(AC$29=ProposalToGnatt[[#This Row],[Start Date]],Milestone_Marker,IF(AND(AC$29&gt;ProposalToGnatt[[#This Row],[Start Date]],AC$29&lt;ProposalToGnatt[[#This Row],[Start Date]]+ProposalToGnatt[[#This Row],[Days]]),$G$5,"")),"")</f>
        <v/>
      </c>
      <c r="AD55" s="37" t="str">
        <f ca="1">IFERROR(+IF(AD$29=ProposalToGnatt[[#This Row],[Start Date]],Milestone_Marker,IF(AND(AD$29&gt;ProposalToGnatt[[#This Row],[Start Date]],AD$29&lt;ProposalToGnatt[[#This Row],[Start Date]]+ProposalToGnatt[[#This Row],[Days]]),$G$5,"")),"")</f>
        <v/>
      </c>
      <c r="AE55" s="37" t="str">
        <f ca="1">IFERROR(+IF(AE$29=ProposalToGnatt[[#This Row],[Start Date]],Milestone_Marker,IF(AND(AE$29&gt;ProposalToGnatt[[#This Row],[Start Date]],AE$29&lt;ProposalToGnatt[[#This Row],[Start Date]]+ProposalToGnatt[[#This Row],[Days]]),$G$5,"")),"")</f>
        <v/>
      </c>
      <c r="AF55" s="37" t="str">
        <f ca="1">IFERROR(+IF(AF$29=ProposalToGnatt[[#This Row],[Start Date]],Milestone_Marker,IF(AND(AF$29&gt;ProposalToGnatt[[#This Row],[Start Date]],AF$29&lt;ProposalToGnatt[[#This Row],[Start Date]]+ProposalToGnatt[[#This Row],[Days]]),$G$5,"")),"")</f>
        <v/>
      </c>
      <c r="AG55" s="37" t="str">
        <f ca="1">IFERROR(+IF(AG$29=ProposalToGnatt[[#This Row],[Start Date]],Milestone_Marker,IF(AND(AG$29&gt;ProposalToGnatt[[#This Row],[Start Date]],AG$29&lt;ProposalToGnatt[[#This Row],[Start Date]]+ProposalToGnatt[[#This Row],[Days]]),$G$5,"")),"")</f>
        <v/>
      </c>
      <c r="AH55" s="37" t="str">
        <f ca="1">IFERROR(+IF(AH$29=ProposalToGnatt[[#This Row],[Start Date]],Milestone_Marker,IF(AND(AH$29&gt;ProposalToGnatt[[#This Row],[Start Date]],AH$29&lt;ProposalToGnatt[[#This Row],[Start Date]]+ProposalToGnatt[[#This Row],[Days]]),$G$5,"")),"")</f>
        <v/>
      </c>
      <c r="AI55" s="37" t="str">
        <f ca="1">IFERROR(+IF(AI$29=ProposalToGnatt[[#This Row],[Start Date]],Milestone_Marker,IF(AND(AI$29&gt;ProposalToGnatt[[#This Row],[Start Date]],AI$29&lt;ProposalToGnatt[[#This Row],[Start Date]]+ProposalToGnatt[[#This Row],[Days]]),$G$5,"")),"")</f>
        <v/>
      </c>
      <c r="AJ55" s="37" t="str">
        <f ca="1">IFERROR(+IF(AJ$29=ProposalToGnatt[[#This Row],[Start Date]],Milestone_Marker,IF(AND(AJ$29&gt;ProposalToGnatt[[#This Row],[Start Date]],AJ$29&lt;ProposalToGnatt[[#This Row],[Start Date]]+ProposalToGnatt[[#This Row],[Days]]),$G$5,"")),"")</f>
        <v/>
      </c>
      <c r="AK55" s="37" t="str">
        <f ca="1">IFERROR(+IF(AK$29=ProposalToGnatt[[#This Row],[Start Date]],Milestone_Marker,IF(AND(AK$29&gt;ProposalToGnatt[[#This Row],[Start Date]],AK$29&lt;ProposalToGnatt[[#This Row],[Start Date]]+ProposalToGnatt[[#This Row],[Days]]),$G$5,"")),"")</f>
        <v/>
      </c>
      <c r="AL55" s="37" t="str">
        <f ca="1">IFERROR(+IF(AL$29=ProposalToGnatt[[#This Row],[Start Date]],Milestone_Marker,IF(AND(AL$29&gt;ProposalToGnatt[[#This Row],[Start Date]],AL$29&lt;ProposalToGnatt[[#This Row],[Start Date]]+ProposalToGnatt[[#This Row],[Days]]),$G$5,"")),"")</f>
        <v/>
      </c>
      <c r="AM55" s="37" t="str">
        <f ca="1">IFERROR(+IF(AM$29=ProposalToGnatt[[#This Row],[Start Date]],Milestone_Marker,IF(AND(AM$29&gt;ProposalToGnatt[[#This Row],[Start Date]],AM$29&lt;ProposalToGnatt[[#This Row],[Start Date]]+ProposalToGnatt[[#This Row],[Days]]),$G$5,"")),"")</f>
        <v/>
      </c>
      <c r="AN55" s="37" t="str">
        <f ca="1">IFERROR(+IF(AN$29=ProposalToGnatt[[#This Row],[Start Date]],Milestone_Marker,IF(AND(AN$29&gt;ProposalToGnatt[[#This Row],[Start Date]],AN$29&lt;ProposalToGnatt[[#This Row],[Start Date]]+ProposalToGnatt[[#This Row],[Days]]),$G$5,"")),"")</f>
        <v/>
      </c>
      <c r="AO55" s="37" t="str">
        <f ca="1">IFERROR(+IF(AO$29=ProposalToGnatt[[#This Row],[Start Date]],Milestone_Marker,IF(AND(AO$29&gt;ProposalToGnatt[[#This Row],[Start Date]],AO$29&lt;ProposalToGnatt[[#This Row],[Start Date]]+ProposalToGnatt[[#This Row],[Days]]),$G$5,"")),"")</f>
        <v/>
      </c>
      <c r="AP55" s="37" t="str">
        <f ca="1">IFERROR(+IF(AP$29=ProposalToGnatt[[#This Row],[Start Date]],Milestone_Marker,IF(AND(AP$29&gt;ProposalToGnatt[[#This Row],[Start Date]],AP$29&lt;ProposalToGnatt[[#This Row],[Start Date]]+ProposalToGnatt[[#This Row],[Days]]),$G$5,"")),"")</f>
        <v/>
      </c>
      <c r="AQ55" s="37" t="str">
        <f ca="1">IFERROR(+IF(AQ$29=ProposalToGnatt[[#This Row],[Start Date]],Milestone_Marker,IF(AND(AQ$29&gt;ProposalToGnatt[[#This Row],[Start Date]],AQ$29&lt;ProposalToGnatt[[#This Row],[Start Date]]+ProposalToGnatt[[#This Row],[Days]]),$G$5,"")),"")</f>
        <v/>
      </c>
      <c r="AR55" s="37" t="str">
        <f ca="1">IFERROR(+IF(AR$29=ProposalToGnatt[[#This Row],[Start Date]],Milestone_Marker,IF(AND(AR$29&gt;ProposalToGnatt[[#This Row],[Start Date]],AR$29&lt;ProposalToGnatt[[#This Row],[Start Date]]+ProposalToGnatt[[#This Row],[Days]]),$G$5,"")),"")</f>
        <v/>
      </c>
      <c r="AS55" s="37" t="str">
        <f ca="1">IFERROR(+IF(AS$29=ProposalToGnatt[[#This Row],[Start Date]],Milestone_Marker,IF(AND(AS$29&gt;ProposalToGnatt[[#This Row],[Start Date]],AS$29&lt;ProposalToGnatt[[#This Row],[Start Date]]+ProposalToGnatt[[#This Row],[Days]]),$G$5,"")),"")</f>
        <v/>
      </c>
      <c r="AT55" s="37" t="str">
        <f ca="1">IFERROR(+IF(AT$29=ProposalToGnatt[[#This Row],[Start Date]],Milestone_Marker,IF(AND(AT$29&gt;ProposalToGnatt[[#This Row],[Start Date]],AT$29&lt;ProposalToGnatt[[#This Row],[Start Date]]+ProposalToGnatt[[#This Row],[Days]]),$G$5,"")),"")</f>
        <v/>
      </c>
      <c r="AU55" s="37" t="str">
        <f ca="1">IFERROR(+IF(AU$29=ProposalToGnatt[[#This Row],[Start Date]],Milestone_Marker,IF(AND(AU$29&gt;ProposalToGnatt[[#This Row],[Start Date]],AU$29&lt;ProposalToGnatt[[#This Row],[Start Date]]+ProposalToGnatt[[#This Row],[Days]]),$G$5,"")),"")</f>
        <v/>
      </c>
      <c r="AV55" s="37" t="str">
        <f ca="1">IFERROR(+IF(AV$29=ProposalToGnatt[[#This Row],[Start Date]],Milestone_Marker,IF(AND(AV$29&gt;ProposalToGnatt[[#This Row],[Start Date]],AV$29&lt;ProposalToGnatt[[#This Row],[Start Date]]+ProposalToGnatt[[#This Row],[Days]]),$G$5,"")),"")</f>
        <v/>
      </c>
      <c r="AW55" s="37" t="str">
        <f ca="1">IFERROR(+IF(AW$29=ProposalToGnatt[[#This Row],[Start Date]],Milestone_Marker,IF(AND(AW$29&gt;ProposalToGnatt[[#This Row],[Start Date]],AW$29&lt;ProposalToGnatt[[#This Row],[Start Date]]+ProposalToGnatt[[#This Row],[Days]]),$G$5,"")),"")</f>
        <v/>
      </c>
      <c r="AX55" s="37" t="str">
        <f ca="1">IFERROR(+IF(AX$29=ProposalToGnatt[[#This Row],[Start Date]],Milestone_Marker,IF(AND(AX$29&gt;ProposalToGnatt[[#This Row],[Start Date]],AX$29&lt;ProposalToGnatt[[#This Row],[Start Date]]+ProposalToGnatt[[#This Row],[Days]]),$G$5,"")),"")</f>
        <v/>
      </c>
      <c r="AY55" s="37" t="str">
        <f ca="1">IFERROR(+IF(AY$29=ProposalToGnatt[[#This Row],[Start Date]],Milestone_Marker,IF(AND(AY$29&gt;ProposalToGnatt[[#This Row],[Start Date]],AY$29&lt;ProposalToGnatt[[#This Row],[Start Date]]+ProposalToGnatt[[#This Row],[Days]]),$G$5,"")),"")</f>
        <v/>
      </c>
      <c r="AZ55" s="37" t="str">
        <f ca="1">IFERROR(+IF(AZ$29=ProposalToGnatt[[#This Row],[Start Date]],Milestone_Marker,IF(AND(AZ$29&gt;ProposalToGnatt[[#This Row],[Start Date]],AZ$29&lt;ProposalToGnatt[[#This Row],[Start Date]]+ProposalToGnatt[[#This Row],[Days]]),$G$5,"")),"")</f>
        <v/>
      </c>
      <c r="BA55" s="37" t="str">
        <f ca="1">IFERROR(+IF(BA$29=ProposalToGnatt[[#This Row],[Start Date]],Milestone_Marker,IF(AND(BA$29&gt;ProposalToGnatt[[#This Row],[Start Date]],BA$29&lt;ProposalToGnatt[[#This Row],[Start Date]]+ProposalToGnatt[[#This Row],[Days]]),$G$5,"")),"")</f>
        <v/>
      </c>
      <c r="BB55" s="37" t="str">
        <f ca="1">IFERROR(+IF(BB$29=ProposalToGnatt[[#This Row],[Start Date]],Milestone_Marker,IF(AND(BB$29&gt;ProposalToGnatt[[#This Row],[Start Date]],BB$29&lt;ProposalToGnatt[[#This Row],[Start Date]]+ProposalToGnatt[[#This Row],[Days]]),$G$5,"")),"")</f>
        <v/>
      </c>
      <c r="BC55" s="37" t="str">
        <f ca="1">IFERROR(+IF(BC$29=ProposalToGnatt[[#This Row],[Start Date]],Milestone_Marker,IF(AND(BC$29&gt;ProposalToGnatt[[#This Row],[Start Date]],BC$29&lt;ProposalToGnatt[[#This Row],[Start Date]]+ProposalToGnatt[[#This Row],[Days]]),$G$5,"")),"")</f>
        <v/>
      </c>
      <c r="BD55" s="37" t="str">
        <f ca="1">IFERROR(+IF(BD$29=ProposalToGnatt[[#This Row],[Start Date]],Milestone_Marker,IF(AND(BD$29&gt;ProposalToGnatt[[#This Row],[Start Date]],BD$29&lt;ProposalToGnatt[[#This Row],[Start Date]]+ProposalToGnatt[[#This Row],[Days]]),$G$5,"")),"")</f>
        <v/>
      </c>
      <c r="BE55" s="37" t="str">
        <f ca="1">IFERROR(+IF(BE$29=ProposalToGnatt[[#This Row],[Start Date]],Milestone_Marker,IF(AND(BE$29&gt;ProposalToGnatt[[#This Row],[Start Date]],BE$29&lt;ProposalToGnatt[[#This Row],[Start Date]]+ProposalToGnatt[[#This Row],[Days]]),$G$5,"")),"")</f>
        <v/>
      </c>
      <c r="BF55" s="37" t="str">
        <f ca="1">IFERROR(+IF(BF$29=ProposalToGnatt[[#This Row],[Start Date]],Milestone_Marker,IF(AND(BF$29&gt;ProposalToGnatt[[#This Row],[Start Date]],BF$29&lt;ProposalToGnatt[[#This Row],[Start Date]]+ProposalToGnatt[[#This Row],[Days]]),$G$5,"")),"")</f>
        <v/>
      </c>
      <c r="BG55" s="37" t="str">
        <f ca="1">IFERROR(+IF(BG$29=ProposalToGnatt[[#This Row],[Start Date]],Milestone_Marker,IF(AND(BG$29&gt;ProposalToGnatt[[#This Row],[Start Date]],BG$29&lt;ProposalToGnatt[[#This Row],[Start Date]]+ProposalToGnatt[[#This Row],[Days]]),$G$5,"")),"")</f>
        <v/>
      </c>
      <c r="BH55" s="37" t="str">
        <f ca="1">IFERROR(+IF(BH$29=ProposalToGnatt[[#This Row],[Start Date]],Milestone_Marker,IF(AND(BH$29&gt;ProposalToGnatt[[#This Row],[Start Date]],BH$29&lt;ProposalToGnatt[[#This Row],[Start Date]]+ProposalToGnatt[[#This Row],[Days]]),$G$5,"")),"")</f>
        <v/>
      </c>
      <c r="BI55" s="37" t="str">
        <f ca="1">IFERROR(+IF(BI$29=ProposalToGnatt[[#This Row],[Start Date]],Milestone_Marker,IF(AND(BI$29&gt;ProposalToGnatt[[#This Row],[Start Date]],BI$29&lt;ProposalToGnatt[[#This Row],[Start Date]]+ProposalToGnatt[[#This Row],[Days]]),$G$5,"")),"")</f>
        <v/>
      </c>
      <c r="BJ55" s="37" t="str">
        <f ca="1">IFERROR(+IF(BJ$29=ProposalToGnatt[[#This Row],[Start Date]],Milestone_Marker,IF(AND(BJ$29&gt;ProposalToGnatt[[#This Row],[Start Date]],BJ$29&lt;ProposalToGnatt[[#This Row],[Start Date]]+ProposalToGnatt[[#This Row],[Days]]),$G$5,"")),"")</f>
        <v/>
      </c>
      <c r="BK55" s="37" t="str">
        <f ca="1">IFERROR(+IF(BK$29=ProposalToGnatt[[#This Row],[Start Date]],Milestone_Marker,IF(AND(BK$29&gt;ProposalToGnatt[[#This Row],[Start Date]],BK$29&lt;ProposalToGnatt[[#This Row],[Start Date]]+ProposalToGnatt[[#This Row],[Days]]),$G$5,"")),"")</f>
        <v/>
      </c>
      <c r="BL55" s="37" t="str">
        <f ca="1">IFERROR(+IF(BL$29=ProposalToGnatt[[#This Row],[Start Date]],Milestone_Marker,IF(AND(BL$29&gt;ProposalToGnatt[[#This Row],[Start Date]],BL$29&lt;ProposalToGnatt[[#This Row],[Start Date]]+ProposalToGnatt[[#This Row],[Days]]),$G$5,"")),"")</f>
        <v/>
      </c>
      <c r="BM55" s="37" t="str">
        <f ca="1">IFERROR(+IF(BM$29=ProposalToGnatt[[#This Row],[Start Date]],Milestone_Marker,IF(AND(BM$29&gt;ProposalToGnatt[[#This Row],[Start Date]],BM$29&lt;ProposalToGnatt[[#This Row],[Start Date]]+ProposalToGnatt[[#This Row],[Days]]),$G$5,"")),"")</f>
        <v/>
      </c>
      <c r="BN55" s="37" t="str">
        <f ca="1">IFERROR(+IF(BN$29=ProposalToGnatt[[#This Row],[Start Date]],Milestone_Marker,IF(AND(BN$29&gt;ProposalToGnatt[[#This Row],[Start Date]],BN$29&lt;ProposalToGnatt[[#This Row],[Start Date]]+ProposalToGnatt[[#This Row],[Days]]),$G$5,"")),"")</f>
        <v/>
      </c>
      <c r="BO55" s="37" t="str">
        <f ca="1">IFERROR(+IF(BO$29=ProposalToGnatt[[#This Row],[Start Date]],Milestone_Marker,IF(AND(BO$29&gt;ProposalToGnatt[[#This Row],[Start Date]],BO$29&lt;ProposalToGnatt[[#This Row],[Start Date]]+ProposalToGnatt[[#This Row],[Days]]),$G$5,"")),"")</f>
        <v/>
      </c>
      <c r="BP55" s="37" t="str">
        <f ca="1">IFERROR(+IF(BP$29=ProposalToGnatt[[#This Row],[Start Date]],Milestone_Marker,IF(AND(BP$29&gt;ProposalToGnatt[[#This Row],[Start Date]],BP$29&lt;ProposalToGnatt[[#This Row],[Start Date]]+ProposalToGnatt[[#This Row],[Days]]),$G$5,"")),"")</f>
        <v/>
      </c>
      <c r="BQ55" s="37" t="str">
        <f ca="1">IFERROR(+IF(BQ$29=ProposalToGnatt[[#This Row],[Start Date]],Milestone_Marker,IF(AND(BQ$29&gt;ProposalToGnatt[[#This Row],[Start Date]],BQ$29&lt;ProposalToGnatt[[#This Row],[Start Date]]+ProposalToGnatt[[#This Row],[Days]]),$G$5,"")),"")</f>
        <v/>
      </c>
      <c r="BR55" s="37" t="str">
        <f ca="1">IFERROR(+IF(BR$29=ProposalToGnatt[[#This Row],[Start Date]],Milestone_Marker,IF(AND(BR$29&gt;ProposalToGnatt[[#This Row],[Start Date]],BR$29&lt;ProposalToGnatt[[#This Row],[Start Date]]+ProposalToGnatt[[#This Row],[Days]]),$G$5,"")),"")</f>
        <v/>
      </c>
      <c r="BS55" s="37" t="str">
        <f ca="1">IFERROR(+IF(BS$29=ProposalToGnatt[[#This Row],[Start Date]],Milestone_Marker,IF(AND(BS$29&gt;ProposalToGnatt[[#This Row],[Start Date]],BS$29&lt;ProposalToGnatt[[#This Row],[Start Date]]+ProposalToGnatt[[#This Row],[Days]]),$G$5,"")),"")</f>
        <v/>
      </c>
      <c r="BT55" s="37" t="str">
        <f ca="1">IFERROR(+IF(BT$29=ProposalToGnatt[[#This Row],[Start Date]],Milestone_Marker,IF(AND(BT$29&gt;ProposalToGnatt[[#This Row],[Start Date]],BT$29&lt;ProposalToGnatt[[#This Row],[Start Date]]+ProposalToGnatt[[#This Row],[Days]]),$G$5,"")),"")</f>
        <v/>
      </c>
      <c r="BU55" s="37" t="str">
        <f ca="1">IFERROR(+IF(BU$29=ProposalToGnatt[[#This Row],[Start Date]],Milestone_Marker,IF(AND(BU$29&gt;ProposalToGnatt[[#This Row],[Start Date]],BU$29&lt;ProposalToGnatt[[#This Row],[Start Date]]+ProposalToGnatt[[#This Row],[Days]]),$G$5,"")),"")</f>
        <v/>
      </c>
      <c r="BV55" s="37" t="str">
        <f ca="1">IFERROR(+IF(BV$29=ProposalToGnatt[[#This Row],[Start Date]],Milestone_Marker,IF(AND(BV$29&gt;ProposalToGnatt[[#This Row],[Start Date]],BV$29&lt;ProposalToGnatt[[#This Row],[Start Date]]+ProposalToGnatt[[#This Row],[Days]]),$G$5,"")),"")</f>
        <v/>
      </c>
      <c r="BW55" s="37" t="str">
        <f ca="1">IFERROR(+IF(BW$29=ProposalToGnatt[[#This Row],[Start Date]],Milestone_Marker,IF(AND(BW$29&gt;ProposalToGnatt[[#This Row],[Start Date]],BW$29&lt;ProposalToGnatt[[#This Row],[Start Date]]+ProposalToGnatt[[#This Row],[Days]]),$G$5,"")),"")</f>
        <v/>
      </c>
      <c r="BX55" s="37" t="str">
        <f ca="1">IFERROR(+IF(BX$29=ProposalToGnatt[[#This Row],[Start Date]],Milestone_Marker,IF(AND(BX$29&gt;ProposalToGnatt[[#This Row],[Start Date]],BX$29&lt;ProposalToGnatt[[#This Row],[Start Date]]+ProposalToGnatt[[#This Row],[Days]]),$G$5,"")),"")</f>
        <v/>
      </c>
      <c r="BY55" s="37" t="str">
        <f ca="1">IFERROR(+IF(BY$29=ProposalToGnatt[[#This Row],[Start Date]],Milestone_Marker,IF(AND(BY$29&gt;ProposalToGnatt[[#This Row],[Start Date]],BY$29&lt;ProposalToGnatt[[#This Row],[Start Date]]+ProposalToGnatt[[#This Row],[Days]]),$G$5,"")),"")</f>
        <v/>
      </c>
      <c r="BZ55" s="37" t="str">
        <f ca="1">IFERROR(+IF(BZ$29=ProposalToGnatt[[#This Row],[Start Date]],Milestone_Marker,IF(AND(BZ$29&gt;ProposalToGnatt[[#This Row],[Start Date]],BZ$29&lt;ProposalToGnatt[[#This Row],[Start Date]]+ProposalToGnatt[[#This Row],[Days]]),$G$5,"")),"")</f>
        <v/>
      </c>
      <c r="CA55" s="37" t="str">
        <f ca="1">IFERROR(+IF(CA$29=ProposalToGnatt[[#This Row],[Start Date]],Milestone_Marker,IF(AND(CA$29&gt;ProposalToGnatt[[#This Row],[Start Date]],CA$29&lt;ProposalToGnatt[[#This Row],[Start Date]]+ProposalToGnatt[[#This Row],[Days]]),$G$5,"")),"")</f>
        <v/>
      </c>
      <c r="CB55" s="37" t="str">
        <f ca="1">IFERROR(+IF(CB$29=ProposalToGnatt[[#This Row],[Start Date]],Milestone_Marker,IF(AND(CB$29&gt;ProposalToGnatt[[#This Row],[Start Date]],CB$29&lt;ProposalToGnatt[[#This Row],[Start Date]]+ProposalToGnatt[[#This Row],[Days]]),$G$5,"")),"")</f>
        <v/>
      </c>
      <c r="CC55" s="37" t="str">
        <f ca="1">IFERROR(+IF(CC$29=ProposalToGnatt[[#This Row],[Start Date]],Milestone_Marker,IF(AND(CC$29&gt;ProposalToGnatt[[#This Row],[Start Date]],CC$29&lt;ProposalToGnatt[[#This Row],[Start Date]]+ProposalToGnatt[[#This Row],[Days]]),$G$5,"")),"")</f>
        <v/>
      </c>
      <c r="CD55" s="37" t="str">
        <f ca="1">IFERROR(+IF(CD$29=ProposalToGnatt[[#This Row],[Start Date]],Milestone_Marker,IF(AND(CD$29&gt;ProposalToGnatt[[#This Row],[Start Date]],CD$29&lt;ProposalToGnatt[[#This Row],[Start Date]]+ProposalToGnatt[[#This Row],[Days]]),$G$5,"")),"")</f>
        <v/>
      </c>
      <c r="CE55" s="37" t="str">
        <f ca="1">IFERROR(+IF(CE$29=ProposalToGnatt[[#This Row],[Start Date]],Milestone_Marker,IF(AND(CE$29&gt;ProposalToGnatt[[#This Row],[Start Date]],CE$29&lt;ProposalToGnatt[[#This Row],[Start Date]]+ProposalToGnatt[[#This Row],[Days]]),$G$5,"")),"")</f>
        <v/>
      </c>
      <c r="CF55" s="37" t="str">
        <f ca="1">IFERROR(+IF(CF$29=ProposalToGnatt[[#This Row],[Start Date]],Milestone_Marker,IF(AND(CF$29&gt;ProposalToGnatt[[#This Row],[Start Date]],CF$29&lt;ProposalToGnatt[[#This Row],[Start Date]]+ProposalToGnatt[[#This Row],[Days]]),$G$5,"")),"")</f>
        <v/>
      </c>
      <c r="CG55" s="37" t="str">
        <f ca="1">IFERROR(+IF(CG$29=ProposalToGnatt[[#This Row],[Start Date]],Milestone_Marker,IF(AND(CG$29&gt;ProposalToGnatt[[#This Row],[Start Date]],CG$29&lt;ProposalToGnatt[[#This Row],[Start Date]]+ProposalToGnatt[[#This Row],[Days]]),$G$5,"")),"")</f>
        <v/>
      </c>
      <c r="CH55" s="37" t="str">
        <f ca="1">IFERROR(+IF(CH$29=ProposalToGnatt[[#This Row],[Start Date]],Milestone_Marker,IF(AND(CH$29&gt;ProposalToGnatt[[#This Row],[Start Date]],CH$29&lt;ProposalToGnatt[[#This Row],[Start Date]]+ProposalToGnatt[[#This Row],[Days]]),$G$5,"")),"")</f>
        <v/>
      </c>
      <c r="CI55" s="37" t="str">
        <f ca="1">IFERROR(+IF(CI$29=ProposalToGnatt[[#This Row],[Start Date]],Milestone_Marker,IF(AND(CI$29&gt;ProposalToGnatt[[#This Row],[Start Date]],CI$29&lt;ProposalToGnatt[[#This Row],[Start Date]]+ProposalToGnatt[[#This Row],[Days]]),$G$5,"")),"")</f>
        <v/>
      </c>
      <c r="CJ55" s="37" t="str">
        <f ca="1">IFERROR(+IF(CJ$29=ProposalToGnatt[[#This Row],[Start Date]],Milestone_Marker,IF(AND(CJ$29&gt;ProposalToGnatt[[#This Row],[Start Date]],CJ$29&lt;ProposalToGnatt[[#This Row],[Start Date]]+ProposalToGnatt[[#This Row],[Days]]),$G$5,"")),"")</f>
        <v/>
      </c>
      <c r="CK55" s="37" t="str">
        <f ca="1">IFERROR(+IF(CK$29=ProposalToGnatt[[#This Row],[Start Date]],Milestone_Marker,IF(AND(CK$29&gt;ProposalToGnatt[[#This Row],[Start Date]],CK$29&lt;ProposalToGnatt[[#This Row],[Start Date]]+ProposalToGnatt[[#This Row],[Days]]),$G$5,"")),"")</f>
        <v/>
      </c>
      <c r="CL55" s="37" t="str">
        <f ca="1">IFERROR(+IF(CL$29=ProposalToGnatt[[#This Row],[Start Date]],Milestone_Marker,IF(AND(CL$29&gt;ProposalToGnatt[[#This Row],[Start Date]],CL$29&lt;ProposalToGnatt[[#This Row],[Start Date]]+ProposalToGnatt[[#This Row],[Days]]),$G$5,"")),"")</f>
        <v/>
      </c>
      <c r="CM55" s="37" t="str">
        <f ca="1">IFERROR(+IF(CM$29=ProposalToGnatt[[#This Row],[Start Date]],Milestone_Marker,IF(AND(CM$29&gt;ProposalToGnatt[[#This Row],[Start Date]],CM$29&lt;ProposalToGnatt[[#This Row],[Start Date]]+ProposalToGnatt[[#This Row],[Days]]),$G$5,"")),"")</f>
        <v/>
      </c>
      <c r="CN55" s="37" t="str">
        <f ca="1">IFERROR(+IF(CN$29=ProposalToGnatt[[#This Row],[Start Date]],Milestone_Marker,IF(AND(CN$29&gt;ProposalToGnatt[[#This Row],[Start Date]],CN$29&lt;ProposalToGnatt[[#This Row],[Start Date]]+ProposalToGnatt[[#This Row],[Days]]),$G$5,"")),"")</f>
        <v/>
      </c>
      <c r="CO55" s="37" t="str">
        <f ca="1">IFERROR(+IF(CO$29=ProposalToGnatt[[#This Row],[Start Date]],Milestone_Marker,IF(AND(CO$29&gt;ProposalToGnatt[[#This Row],[Start Date]],CO$29&lt;ProposalToGnatt[[#This Row],[Start Date]]+ProposalToGnatt[[#This Row],[Days]]),$G$5,"")),"")</f>
        <v/>
      </c>
      <c r="CP55" s="37" t="str">
        <f ca="1">IFERROR(+IF(CP$29=ProposalToGnatt[[#This Row],[Start Date]],Milestone_Marker,IF(AND(CP$29&gt;ProposalToGnatt[[#This Row],[Start Date]],CP$29&lt;ProposalToGnatt[[#This Row],[Start Date]]+ProposalToGnatt[[#This Row],[Days]]),$G$5,"")),"")</f>
        <v/>
      </c>
      <c r="CQ55" s="37" t="str">
        <f ca="1">IFERROR(+IF(CQ$29=ProposalToGnatt[[#This Row],[Start Date]],Milestone_Marker,IF(AND(CQ$29&gt;ProposalToGnatt[[#This Row],[Start Date]],CQ$29&lt;ProposalToGnatt[[#This Row],[Start Date]]+ProposalToGnatt[[#This Row],[Days]]),$G$5,"")),"")</f>
        <v/>
      </c>
      <c r="CR55" s="37" t="str">
        <f ca="1">IFERROR(+IF(CR$29=ProposalToGnatt[[#This Row],[Start Date]],Milestone_Marker,IF(AND(CR$29&gt;ProposalToGnatt[[#This Row],[Start Date]],CR$29&lt;ProposalToGnatt[[#This Row],[Start Date]]+ProposalToGnatt[[#This Row],[Days]]),$G$5,"")),"")</f>
        <v/>
      </c>
      <c r="CS55" s="37" t="str">
        <f ca="1">IFERROR(+IF(CS$29=ProposalToGnatt[[#This Row],[Start Date]],Milestone_Marker,IF(AND(CS$29&gt;ProposalToGnatt[[#This Row],[Start Date]],CS$29&lt;ProposalToGnatt[[#This Row],[Start Date]]+ProposalToGnatt[[#This Row],[Days]]),$G$5,"")),"")</f>
        <v/>
      </c>
      <c r="CT55" s="37" t="str">
        <f ca="1">IFERROR(+IF(CT$29=ProposalToGnatt[[#This Row],[Start Date]],Milestone_Marker,IF(AND(CT$29&gt;ProposalToGnatt[[#This Row],[Start Date]],CT$29&lt;ProposalToGnatt[[#This Row],[Start Date]]+ProposalToGnatt[[#This Row],[Days]]),$G$5,"")),"")</f>
        <v/>
      </c>
      <c r="CU55" s="37" t="str">
        <f ca="1">IFERROR(+IF(CU$29=ProposalToGnatt[[#This Row],[Start Date]],Milestone_Marker,IF(AND(CU$29&gt;ProposalToGnatt[[#This Row],[Start Date]],CU$29&lt;ProposalToGnatt[[#This Row],[Start Date]]+ProposalToGnatt[[#This Row],[Days]]),$G$5,"")),"")</f>
        <v/>
      </c>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row>
    <row r="56" spans="1:125" s="42" customFormat="1" ht="15">
      <c r="A56"/>
      <c r="B56"/>
      <c r="C56"/>
      <c r="D56"/>
      <c r="E56"/>
      <c r="F56"/>
      <c r="G56" s="11"/>
      <c r="H56" s="26"/>
      <c r="I56"/>
      <c r="J56"/>
      <c r="K56" s="402"/>
      <c r="L56"/>
      <c r="M56"/>
      <c r="N56"/>
      <c r="O56" s="26"/>
      <c r="P56" s="37" t="str">
        <f ca="1">IFERROR(+IF(P$29=ProposalToGnatt[[#This Row],[Start Date]],Milestone_Marker,IF(AND(P$29&gt;ProposalToGnatt[[#This Row],[Start Date]],P$29&lt;ProposalToGnatt[[#This Row],[Start Date]]+ProposalToGnatt[[#This Row],[Days]]),$G$5,"")),"")</f>
        <v/>
      </c>
      <c r="Q56" s="37" t="str">
        <f ca="1">IFERROR(+IF(Q$29=ProposalToGnatt[[#This Row],[Start Date]],Milestone_Marker,IF(AND(Q$29&gt;ProposalToGnatt[[#This Row],[Start Date]],Q$29&lt;ProposalToGnatt[[#This Row],[Start Date]]+ProposalToGnatt[[#This Row],[Days]]),$G$5,"")),"")</f>
        <v/>
      </c>
      <c r="R56" s="37" t="str">
        <f ca="1">IFERROR(+IF(R$29=ProposalToGnatt[[#This Row],[Start Date]],Milestone_Marker,IF(AND(R$29&gt;ProposalToGnatt[[#This Row],[Start Date]],R$29&lt;ProposalToGnatt[[#This Row],[Start Date]]+ProposalToGnatt[[#This Row],[Days]]),$G$5,"")),"")</f>
        <v/>
      </c>
      <c r="S56" s="37" t="str">
        <f ca="1">IFERROR(+IF(S$29=ProposalToGnatt[[#This Row],[Start Date]],Milestone_Marker,IF(AND(S$29&gt;ProposalToGnatt[[#This Row],[Start Date]],S$29&lt;ProposalToGnatt[[#This Row],[Start Date]]+ProposalToGnatt[[#This Row],[Days]]),$G$5,"")),"")</f>
        <v/>
      </c>
      <c r="T56" s="37" t="str">
        <f ca="1">IFERROR(+IF(T$29=ProposalToGnatt[[#This Row],[Start Date]],Milestone_Marker,IF(AND(T$29&gt;ProposalToGnatt[[#This Row],[Start Date]],T$29&lt;ProposalToGnatt[[#This Row],[Start Date]]+ProposalToGnatt[[#This Row],[Days]]),$G$5,"")),"")</f>
        <v/>
      </c>
      <c r="U56" s="37" t="str">
        <f ca="1">IFERROR(+IF(U$29=ProposalToGnatt[[#This Row],[Start Date]],Milestone_Marker,IF(AND(U$29&gt;ProposalToGnatt[[#This Row],[Start Date]],U$29&lt;ProposalToGnatt[[#This Row],[Start Date]]+ProposalToGnatt[[#This Row],[Days]]),$G$5,"")),"")</f>
        <v/>
      </c>
      <c r="V56" s="37" t="str">
        <f ca="1">IFERROR(+IF(V$29=ProposalToGnatt[[#This Row],[Start Date]],Milestone_Marker,IF(AND(V$29&gt;ProposalToGnatt[[#This Row],[Start Date]],V$29&lt;ProposalToGnatt[[#This Row],[Start Date]]+ProposalToGnatt[[#This Row],[Days]]),$G$5,"")),"")</f>
        <v/>
      </c>
      <c r="W56" s="37" t="str">
        <f ca="1">IFERROR(+IF(W$29=ProposalToGnatt[[#This Row],[Start Date]],Milestone_Marker,IF(AND(W$29&gt;ProposalToGnatt[[#This Row],[Start Date]],W$29&lt;ProposalToGnatt[[#This Row],[Start Date]]+ProposalToGnatt[[#This Row],[Days]]),$G$5,"")),"")</f>
        <v/>
      </c>
      <c r="X56" s="37" t="str">
        <f ca="1">IFERROR(+IF(X$29=ProposalToGnatt[[#This Row],[Start Date]],Milestone_Marker,IF(AND(X$29&gt;ProposalToGnatt[[#This Row],[Start Date]],X$29&lt;ProposalToGnatt[[#This Row],[Start Date]]+ProposalToGnatt[[#This Row],[Days]]),$G$5,"")),"")</f>
        <v/>
      </c>
      <c r="Y56" s="37" t="str">
        <f ca="1">IFERROR(+IF(Y$29=ProposalToGnatt[[#This Row],[Start Date]],Milestone_Marker,IF(AND(Y$29&gt;ProposalToGnatt[[#This Row],[Start Date]],Y$29&lt;ProposalToGnatt[[#This Row],[Start Date]]+ProposalToGnatt[[#This Row],[Days]]),$G$5,"")),"")</f>
        <v/>
      </c>
      <c r="Z56" s="37" t="str">
        <f ca="1">IFERROR(+IF(Z$29=ProposalToGnatt[[#This Row],[Start Date]],Milestone_Marker,IF(AND(Z$29&gt;ProposalToGnatt[[#This Row],[Start Date]],Z$29&lt;ProposalToGnatt[[#This Row],[Start Date]]+ProposalToGnatt[[#This Row],[Days]]),$G$5,"")),"")</f>
        <v/>
      </c>
      <c r="AA56" s="37" t="str">
        <f ca="1">IFERROR(+IF(AA$29=ProposalToGnatt[[#This Row],[Start Date]],Milestone_Marker,IF(AND(AA$29&gt;ProposalToGnatt[[#This Row],[Start Date]],AA$29&lt;ProposalToGnatt[[#This Row],[Start Date]]+ProposalToGnatt[[#This Row],[Days]]),$G$5,"")),"")</f>
        <v/>
      </c>
      <c r="AB56" s="37" t="str">
        <f ca="1">IFERROR(+IF(AB$29=ProposalToGnatt[[#This Row],[Start Date]],Milestone_Marker,IF(AND(AB$29&gt;ProposalToGnatt[[#This Row],[Start Date]],AB$29&lt;ProposalToGnatt[[#This Row],[Start Date]]+ProposalToGnatt[[#This Row],[Days]]),$G$5,"")),"")</f>
        <v/>
      </c>
      <c r="AC56" s="37" t="str">
        <f ca="1">IFERROR(+IF(AC$29=ProposalToGnatt[[#This Row],[Start Date]],Milestone_Marker,IF(AND(AC$29&gt;ProposalToGnatt[[#This Row],[Start Date]],AC$29&lt;ProposalToGnatt[[#This Row],[Start Date]]+ProposalToGnatt[[#This Row],[Days]]),$G$5,"")),"")</f>
        <v/>
      </c>
      <c r="AD56" s="37" t="str">
        <f ca="1">IFERROR(+IF(AD$29=ProposalToGnatt[[#This Row],[Start Date]],Milestone_Marker,IF(AND(AD$29&gt;ProposalToGnatt[[#This Row],[Start Date]],AD$29&lt;ProposalToGnatt[[#This Row],[Start Date]]+ProposalToGnatt[[#This Row],[Days]]),$G$5,"")),"")</f>
        <v/>
      </c>
      <c r="AE56" s="37" t="str">
        <f ca="1">IFERROR(+IF(AE$29=ProposalToGnatt[[#This Row],[Start Date]],Milestone_Marker,IF(AND(AE$29&gt;ProposalToGnatt[[#This Row],[Start Date]],AE$29&lt;ProposalToGnatt[[#This Row],[Start Date]]+ProposalToGnatt[[#This Row],[Days]]),$G$5,"")),"")</f>
        <v/>
      </c>
      <c r="AF56" s="37" t="str">
        <f ca="1">IFERROR(+IF(AF$29=ProposalToGnatt[[#This Row],[Start Date]],Milestone_Marker,IF(AND(AF$29&gt;ProposalToGnatt[[#This Row],[Start Date]],AF$29&lt;ProposalToGnatt[[#This Row],[Start Date]]+ProposalToGnatt[[#This Row],[Days]]),$G$5,"")),"")</f>
        <v/>
      </c>
      <c r="AG56" s="37" t="str">
        <f ca="1">IFERROR(+IF(AG$29=ProposalToGnatt[[#This Row],[Start Date]],Milestone_Marker,IF(AND(AG$29&gt;ProposalToGnatt[[#This Row],[Start Date]],AG$29&lt;ProposalToGnatt[[#This Row],[Start Date]]+ProposalToGnatt[[#This Row],[Days]]),$G$5,"")),"")</f>
        <v/>
      </c>
      <c r="AH56" s="37" t="str">
        <f ca="1">IFERROR(+IF(AH$29=ProposalToGnatt[[#This Row],[Start Date]],Milestone_Marker,IF(AND(AH$29&gt;ProposalToGnatt[[#This Row],[Start Date]],AH$29&lt;ProposalToGnatt[[#This Row],[Start Date]]+ProposalToGnatt[[#This Row],[Days]]),$G$5,"")),"")</f>
        <v/>
      </c>
      <c r="AI56" s="37" t="str">
        <f ca="1">IFERROR(+IF(AI$29=ProposalToGnatt[[#This Row],[Start Date]],Milestone_Marker,IF(AND(AI$29&gt;ProposalToGnatt[[#This Row],[Start Date]],AI$29&lt;ProposalToGnatt[[#This Row],[Start Date]]+ProposalToGnatt[[#This Row],[Days]]),$G$5,"")),"")</f>
        <v/>
      </c>
      <c r="AJ56" s="37" t="str">
        <f ca="1">IFERROR(+IF(AJ$29=ProposalToGnatt[[#This Row],[Start Date]],Milestone_Marker,IF(AND(AJ$29&gt;ProposalToGnatt[[#This Row],[Start Date]],AJ$29&lt;ProposalToGnatt[[#This Row],[Start Date]]+ProposalToGnatt[[#This Row],[Days]]),$G$5,"")),"")</f>
        <v/>
      </c>
      <c r="AK56" s="37" t="str">
        <f ca="1">IFERROR(+IF(AK$29=ProposalToGnatt[[#This Row],[Start Date]],Milestone_Marker,IF(AND(AK$29&gt;ProposalToGnatt[[#This Row],[Start Date]],AK$29&lt;ProposalToGnatt[[#This Row],[Start Date]]+ProposalToGnatt[[#This Row],[Days]]),$G$5,"")),"")</f>
        <v/>
      </c>
      <c r="AL56" s="37" t="str">
        <f ca="1">IFERROR(+IF(AL$29=ProposalToGnatt[[#This Row],[Start Date]],Milestone_Marker,IF(AND(AL$29&gt;ProposalToGnatt[[#This Row],[Start Date]],AL$29&lt;ProposalToGnatt[[#This Row],[Start Date]]+ProposalToGnatt[[#This Row],[Days]]),$G$5,"")),"")</f>
        <v/>
      </c>
      <c r="AM56" s="37" t="str">
        <f ca="1">IFERROR(+IF(AM$29=ProposalToGnatt[[#This Row],[Start Date]],Milestone_Marker,IF(AND(AM$29&gt;ProposalToGnatt[[#This Row],[Start Date]],AM$29&lt;ProposalToGnatt[[#This Row],[Start Date]]+ProposalToGnatt[[#This Row],[Days]]),$G$5,"")),"")</f>
        <v/>
      </c>
      <c r="AN56" s="37" t="str">
        <f ca="1">IFERROR(+IF(AN$29=ProposalToGnatt[[#This Row],[Start Date]],Milestone_Marker,IF(AND(AN$29&gt;ProposalToGnatt[[#This Row],[Start Date]],AN$29&lt;ProposalToGnatt[[#This Row],[Start Date]]+ProposalToGnatt[[#This Row],[Days]]),$G$5,"")),"")</f>
        <v/>
      </c>
      <c r="AO56" s="37" t="str">
        <f ca="1">IFERROR(+IF(AO$29=ProposalToGnatt[[#This Row],[Start Date]],Milestone_Marker,IF(AND(AO$29&gt;ProposalToGnatt[[#This Row],[Start Date]],AO$29&lt;ProposalToGnatt[[#This Row],[Start Date]]+ProposalToGnatt[[#This Row],[Days]]),$G$5,"")),"")</f>
        <v/>
      </c>
      <c r="AP56" s="37" t="str">
        <f ca="1">IFERROR(+IF(AP$29=ProposalToGnatt[[#This Row],[Start Date]],Milestone_Marker,IF(AND(AP$29&gt;ProposalToGnatt[[#This Row],[Start Date]],AP$29&lt;ProposalToGnatt[[#This Row],[Start Date]]+ProposalToGnatt[[#This Row],[Days]]),$G$5,"")),"")</f>
        <v/>
      </c>
      <c r="AQ56" s="37" t="str">
        <f ca="1">IFERROR(+IF(AQ$29=ProposalToGnatt[[#This Row],[Start Date]],Milestone_Marker,IF(AND(AQ$29&gt;ProposalToGnatt[[#This Row],[Start Date]],AQ$29&lt;ProposalToGnatt[[#This Row],[Start Date]]+ProposalToGnatt[[#This Row],[Days]]),$G$5,"")),"")</f>
        <v/>
      </c>
      <c r="AR56" s="37" t="str">
        <f ca="1">IFERROR(+IF(AR$29=ProposalToGnatt[[#This Row],[Start Date]],Milestone_Marker,IF(AND(AR$29&gt;ProposalToGnatt[[#This Row],[Start Date]],AR$29&lt;ProposalToGnatt[[#This Row],[Start Date]]+ProposalToGnatt[[#This Row],[Days]]),$G$5,"")),"")</f>
        <v/>
      </c>
      <c r="AS56" s="37" t="str">
        <f ca="1">IFERROR(+IF(AS$29=ProposalToGnatt[[#This Row],[Start Date]],Milestone_Marker,IF(AND(AS$29&gt;ProposalToGnatt[[#This Row],[Start Date]],AS$29&lt;ProposalToGnatt[[#This Row],[Start Date]]+ProposalToGnatt[[#This Row],[Days]]),$G$5,"")),"")</f>
        <v/>
      </c>
      <c r="AT56" s="37" t="str">
        <f ca="1">IFERROR(+IF(AT$29=ProposalToGnatt[[#This Row],[Start Date]],Milestone_Marker,IF(AND(AT$29&gt;ProposalToGnatt[[#This Row],[Start Date]],AT$29&lt;ProposalToGnatt[[#This Row],[Start Date]]+ProposalToGnatt[[#This Row],[Days]]),$G$5,"")),"")</f>
        <v/>
      </c>
      <c r="AU56" s="37" t="str">
        <f ca="1">IFERROR(+IF(AU$29=ProposalToGnatt[[#This Row],[Start Date]],Milestone_Marker,IF(AND(AU$29&gt;ProposalToGnatt[[#This Row],[Start Date]],AU$29&lt;ProposalToGnatt[[#This Row],[Start Date]]+ProposalToGnatt[[#This Row],[Days]]),$G$5,"")),"")</f>
        <v/>
      </c>
      <c r="AV56" s="37" t="str">
        <f ca="1">IFERROR(+IF(AV$29=ProposalToGnatt[[#This Row],[Start Date]],Milestone_Marker,IF(AND(AV$29&gt;ProposalToGnatt[[#This Row],[Start Date]],AV$29&lt;ProposalToGnatt[[#This Row],[Start Date]]+ProposalToGnatt[[#This Row],[Days]]),$G$5,"")),"")</f>
        <v/>
      </c>
      <c r="AW56" s="37" t="str">
        <f ca="1">IFERROR(+IF(AW$29=ProposalToGnatt[[#This Row],[Start Date]],Milestone_Marker,IF(AND(AW$29&gt;ProposalToGnatt[[#This Row],[Start Date]],AW$29&lt;ProposalToGnatt[[#This Row],[Start Date]]+ProposalToGnatt[[#This Row],[Days]]),$G$5,"")),"")</f>
        <v/>
      </c>
      <c r="AX56" s="37" t="str">
        <f ca="1">IFERROR(+IF(AX$29=ProposalToGnatt[[#This Row],[Start Date]],Milestone_Marker,IF(AND(AX$29&gt;ProposalToGnatt[[#This Row],[Start Date]],AX$29&lt;ProposalToGnatt[[#This Row],[Start Date]]+ProposalToGnatt[[#This Row],[Days]]),$G$5,"")),"")</f>
        <v/>
      </c>
      <c r="AY56" s="37" t="str">
        <f ca="1">IFERROR(+IF(AY$29=ProposalToGnatt[[#This Row],[Start Date]],Milestone_Marker,IF(AND(AY$29&gt;ProposalToGnatt[[#This Row],[Start Date]],AY$29&lt;ProposalToGnatt[[#This Row],[Start Date]]+ProposalToGnatt[[#This Row],[Days]]),$G$5,"")),"")</f>
        <v/>
      </c>
      <c r="AZ56" s="37" t="str">
        <f ca="1">IFERROR(+IF(AZ$29=ProposalToGnatt[[#This Row],[Start Date]],Milestone_Marker,IF(AND(AZ$29&gt;ProposalToGnatt[[#This Row],[Start Date]],AZ$29&lt;ProposalToGnatt[[#This Row],[Start Date]]+ProposalToGnatt[[#This Row],[Days]]),$G$5,"")),"")</f>
        <v/>
      </c>
      <c r="BA56" s="37" t="str">
        <f ca="1">IFERROR(+IF(BA$29=ProposalToGnatt[[#This Row],[Start Date]],Milestone_Marker,IF(AND(BA$29&gt;ProposalToGnatt[[#This Row],[Start Date]],BA$29&lt;ProposalToGnatt[[#This Row],[Start Date]]+ProposalToGnatt[[#This Row],[Days]]),$G$5,"")),"")</f>
        <v/>
      </c>
      <c r="BB56" s="37" t="str">
        <f ca="1">IFERROR(+IF(BB$29=ProposalToGnatt[[#This Row],[Start Date]],Milestone_Marker,IF(AND(BB$29&gt;ProposalToGnatt[[#This Row],[Start Date]],BB$29&lt;ProposalToGnatt[[#This Row],[Start Date]]+ProposalToGnatt[[#This Row],[Days]]),$G$5,"")),"")</f>
        <v/>
      </c>
      <c r="BC56" s="37" t="str">
        <f ca="1">IFERROR(+IF(BC$29=ProposalToGnatt[[#This Row],[Start Date]],Milestone_Marker,IF(AND(BC$29&gt;ProposalToGnatt[[#This Row],[Start Date]],BC$29&lt;ProposalToGnatt[[#This Row],[Start Date]]+ProposalToGnatt[[#This Row],[Days]]),$G$5,"")),"")</f>
        <v/>
      </c>
      <c r="BD56" s="37" t="str">
        <f ca="1">IFERROR(+IF(BD$29=ProposalToGnatt[[#This Row],[Start Date]],Milestone_Marker,IF(AND(BD$29&gt;ProposalToGnatt[[#This Row],[Start Date]],BD$29&lt;ProposalToGnatt[[#This Row],[Start Date]]+ProposalToGnatt[[#This Row],[Days]]),$G$5,"")),"")</f>
        <v/>
      </c>
      <c r="BE56" s="37" t="str">
        <f ca="1">IFERROR(+IF(BE$29=ProposalToGnatt[[#This Row],[Start Date]],Milestone_Marker,IF(AND(BE$29&gt;ProposalToGnatt[[#This Row],[Start Date]],BE$29&lt;ProposalToGnatt[[#This Row],[Start Date]]+ProposalToGnatt[[#This Row],[Days]]),$G$5,"")),"")</f>
        <v/>
      </c>
      <c r="BF56" s="37" t="str">
        <f ca="1">IFERROR(+IF(BF$29=ProposalToGnatt[[#This Row],[Start Date]],Milestone_Marker,IF(AND(BF$29&gt;ProposalToGnatt[[#This Row],[Start Date]],BF$29&lt;ProposalToGnatt[[#This Row],[Start Date]]+ProposalToGnatt[[#This Row],[Days]]),$G$5,"")),"")</f>
        <v/>
      </c>
      <c r="BG56" s="37" t="str">
        <f ca="1">IFERROR(+IF(BG$29=ProposalToGnatt[[#This Row],[Start Date]],Milestone_Marker,IF(AND(BG$29&gt;ProposalToGnatt[[#This Row],[Start Date]],BG$29&lt;ProposalToGnatt[[#This Row],[Start Date]]+ProposalToGnatt[[#This Row],[Days]]),$G$5,"")),"")</f>
        <v/>
      </c>
      <c r="BH56" s="37" t="str">
        <f ca="1">IFERROR(+IF(BH$29=ProposalToGnatt[[#This Row],[Start Date]],Milestone_Marker,IF(AND(BH$29&gt;ProposalToGnatt[[#This Row],[Start Date]],BH$29&lt;ProposalToGnatt[[#This Row],[Start Date]]+ProposalToGnatt[[#This Row],[Days]]),$G$5,"")),"")</f>
        <v/>
      </c>
      <c r="BI56" s="37" t="str">
        <f ca="1">IFERROR(+IF(BI$29=ProposalToGnatt[[#This Row],[Start Date]],Milestone_Marker,IF(AND(BI$29&gt;ProposalToGnatt[[#This Row],[Start Date]],BI$29&lt;ProposalToGnatt[[#This Row],[Start Date]]+ProposalToGnatt[[#This Row],[Days]]),$G$5,"")),"")</f>
        <v/>
      </c>
      <c r="BJ56" s="37" t="str">
        <f ca="1">IFERROR(+IF(BJ$29=ProposalToGnatt[[#This Row],[Start Date]],Milestone_Marker,IF(AND(BJ$29&gt;ProposalToGnatt[[#This Row],[Start Date]],BJ$29&lt;ProposalToGnatt[[#This Row],[Start Date]]+ProposalToGnatt[[#This Row],[Days]]),$G$5,"")),"")</f>
        <v/>
      </c>
      <c r="BK56" s="37" t="str">
        <f ca="1">IFERROR(+IF(BK$29=ProposalToGnatt[[#This Row],[Start Date]],Milestone_Marker,IF(AND(BK$29&gt;ProposalToGnatt[[#This Row],[Start Date]],BK$29&lt;ProposalToGnatt[[#This Row],[Start Date]]+ProposalToGnatt[[#This Row],[Days]]),$G$5,"")),"")</f>
        <v/>
      </c>
      <c r="BL56" s="37" t="str">
        <f ca="1">IFERROR(+IF(BL$29=ProposalToGnatt[[#This Row],[Start Date]],Milestone_Marker,IF(AND(BL$29&gt;ProposalToGnatt[[#This Row],[Start Date]],BL$29&lt;ProposalToGnatt[[#This Row],[Start Date]]+ProposalToGnatt[[#This Row],[Days]]),$G$5,"")),"")</f>
        <v/>
      </c>
      <c r="BM56" s="37" t="str">
        <f ca="1">IFERROR(+IF(BM$29=ProposalToGnatt[[#This Row],[Start Date]],Milestone_Marker,IF(AND(BM$29&gt;ProposalToGnatt[[#This Row],[Start Date]],BM$29&lt;ProposalToGnatt[[#This Row],[Start Date]]+ProposalToGnatt[[#This Row],[Days]]),$G$5,"")),"")</f>
        <v/>
      </c>
      <c r="BN56" s="37" t="str">
        <f ca="1">IFERROR(+IF(BN$29=ProposalToGnatt[[#This Row],[Start Date]],Milestone_Marker,IF(AND(BN$29&gt;ProposalToGnatt[[#This Row],[Start Date]],BN$29&lt;ProposalToGnatt[[#This Row],[Start Date]]+ProposalToGnatt[[#This Row],[Days]]),$G$5,"")),"")</f>
        <v/>
      </c>
      <c r="BO56" s="37" t="str">
        <f ca="1">IFERROR(+IF(BO$29=ProposalToGnatt[[#This Row],[Start Date]],Milestone_Marker,IF(AND(BO$29&gt;ProposalToGnatt[[#This Row],[Start Date]],BO$29&lt;ProposalToGnatt[[#This Row],[Start Date]]+ProposalToGnatt[[#This Row],[Days]]),$G$5,"")),"")</f>
        <v/>
      </c>
      <c r="BP56" s="37" t="str">
        <f ca="1">IFERROR(+IF(BP$29=ProposalToGnatt[[#This Row],[Start Date]],Milestone_Marker,IF(AND(BP$29&gt;ProposalToGnatt[[#This Row],[Start Date]],BP$29&lt;ProposalToGnatt[[#This Row],[Start Date]]+ProposalToGnatt[[#This Row],[Days]]),$G$5,"")),"")</f>
        <v/>
      </c>
      <c r="BQ56" s="37" t="str">
        <f ca="1">IFERROR(+IF(BQ$29=ProposalToGnatt[[#This Row],[Start Date]],Milestone_Marker,IF(AND(BQ$29&gt;ProposalToGnatt[[#This Row],[Start Date]],BQ$29&lt;ProposalToGnatt[[#This Row],[Start Date]]+ProposalToGnatt[[#This Row],[Days]]),$G$5,"")),"")</f>
        <v/>
      </c>
      <c r="BR56" s="37" t="str">
        <f ca="1">IFERROR(+IF(BR$29=ProposalToGnatt[[#This Row],[Start Date]],Milestone_Marker,IF(AND(BR$29&gt;ProposalToGnatt[[#This Row],[Start Date]],BR$29&lt;ProposalToGnatt[[#This Row],[Start Date]]+ProposalToGnatt[[#This Row],[Days]]),$G$5,"")),"")</f>
        <v/>
      </c>
      <c r="BS56" s="37" t="str">
        <f ca="1">IFERROR(+IF(BS$29=ProposalToGnatt[[#This Row],[Start Date]],Milestone_Marker,IF(AND(BS$29&gt;ProposalToGnatt[[#This Row],[Start Date]],BS$29&lt;ProposalToGnatt[[#This Row],[Start Date]]+ProposalToGnatt[[#This Row],[Days]]),$G$5,"")),"")</f>
        <v/>
      </c>
      <c r="BT56" s="37" t="str">
        <f ca="1">IFERROR(+IF(BT$29=ProposalToGnatt[[#This Row],[Start Date]],Milestone_Marker,IF(AND(BT$29&gt;ProposalToGnatt[[#This Row],[Start Date]],BT$29&lt;ProposalToGnatt[[#This Row],[Start Date]]+ProposalToGnatt[[#This Row],[Days]]),$G$5,"")),"")</f>
        <v/>
      </c>
      <c r="BU56" s="37" t="str">
        <f ca="1">IFERROR(+IF(BU$29=ProposalToGnatt[[#This Row],[Start Date]],Milestone_Marker,IF(AND(BU$29&gt;ProposalToGnatt[[#This Row],[Start Date]],BU$29&lt;ProposalToGnatt[[#This Row],[Start Date]]+ProposalToGnatt[[#This Row],[Days]]),$G$5,"")),"")</f>
        <v/>
      </c>
      <c r="BV56" s="37" t="str">
        <f ca="1">IFERROR(+IF(BV$29=ProposalToGnatt[[#This Row],[Start Date]],Milestone_Marker,IF(AND(BV$29&gt;ProposalToGnatt[[#This Row],[Start Date]],BV$29&lt;ProposalToGnatt[[#This Row],[Start Date]]+ProposalToGnatt[[#This Row],[Days]]),$G$5,"")),"")</f>
        <v/>
      </c>
      <c r="BW56" s="37" t="str">
        <f ca="1">IFERROR(+IF(BW$29=ProposalToGnatt[[#This Row],[Start Date]],Milestone_Marker,IF(AND(BW$29&gt;ProposalToGnatt[[#This Row],[Start Date]],BW$29&lt;ProposalToGnatt[[#This Row],[Start Date]]+ProposalToGnatt[[#This Row],[Days]]),$G$5,"")),"")</f>
        <v/>
      </c>
      <c r="BX56" s="37" t="str">
        <f ca="1">IFERROR(+IF(BX$29=ProposalToGnatt[[#This Row],[Start Date]],Milestone_Marker,IF(AND(BX$29&gt;ProposalToGnatt[[#This Row],[Start Date]],BX$29&lt;ProposalToGnatt[[#This Row],[Start Date]]+ProposalToGnatt[[#This Row],[Days]]),$G$5,"")),"")</f>
        <v/>
      </c>
      <c r="BY56" s="37" t="str">
        <f ca="1">IFERROR(+IF(BY$29=ProposalToGnatt[[#This Row],[Start Date]],Milestone_Marker,IF(AND(BY$29&gt;ProposalToGnatt[[#This Row],[Start Date]],BY$29&lt;ProposalToGnatt[[#This Row],[Start Date]]+ProposalToGnatt[[#This Row],[Days]]),$G$5,"")),"")</f>
        <v/>
      </c>
      <c r="BZ56" s="37" t="str">
        <f ca="1">IFERROR(+IF(BZ$29=ProposalToGnatt[[#This Row],[Start Date]],Milestone_Marker,IF(AND(BZ$29&gt;ProposalToGnatt[[#This Row],[Start Date]],BZ$29&lt;ProposalToGnatt[[#This Row],[Start Date]]+ProposalToGnatt[[#This Row],[Days]]),$G$5,"")),"")</f>
        <v/>
      </c>
      <c r="CA56" s="37" t="str">
        <f ca="1">IFERROR(+IF(CA$29=ProposalToGnatt[[#This Row],[Start Date]],Milestone_Marker,IF(AND(CA$29&gt;ProposalToGnatt[[#This Row],[Start Date]],CA$29&lt;ProposalToGnatt[[#This Row],[Start Date]]+ProposalToGnatt[[#This Row],[Days]]),$G$5,"")),"")</f>
        <v/>
      </c>
      <c r="CB56" s="37" t="str">
        <f ca="1">IFERROR(+IF(CB$29=ProposalToGnatt[[#This Row],[Start Date]],Milestone_Marker,IF(AND(CB$29&gt;ProposalToGnatt[[#This Row],[Start Date]],CB$29&lt;ProposalToGnatt[[#This Row],[Start Date]]+ProposalToGnatt[[#This Row],[Days]]),$G$5,"")),"")</f>
        <v/>
      </c>
      <c r="CC56" s="37" t="str">
        <f ca="1">IFERROR(+IF(CC$29=ProposalToGnatt[[#This Row],[Start Date]],Milestone_Marker,IF(AND(CC$29&gt;ProposalToGnatt[[#This Row],[Start Date]],CC$29&lt;ProposalToGnatt[[#This Row],[Start Date]]+ProposalToGnatt[[#This Row],[Days]]),$G$5,"")),"")</f>
        <v/>
      </c>
      <c r="CD56" s="37" t="str">
        <f ca="1">IFERROR(+IF(CD$29=ProposalToGnatt[[#This Row],[Start Date]],Milestone_Marker,IF(AND(CD$29&gt;ProposalToGnatt[[#This Row],[Start Date]],CD$29&lt;ProposalToGnatt[[#This Row],[Start Date]]+ProposalToGnatt[[#This Row],[Days]]),$G$5,"")),"")</f>
        <v/>
      </c>
      <c r="CE56" s="37" t="str">
        <f ca="1">IFERROR(+IF(CE$29=ProposalToGnatt[[#This Row],[Start Date]],Milestone_Marker,IF(AND(CE$29&gt;ProposalToGnatt[[#This Row],[Start Date]],CE$29&lt;ProposalToGnatt[[#This Row],[Start Date]]+ProposalToGnatt[[#This Row],[Days]]),$G$5,"")),"")</f>
        <v/>
      </c>
      <c r="CF56" s="37" t="str">
        <f ca="1">IFERROR(+IF(CF$29=ProposalToGnatt[[#This Row],[Start Date]],Milestone_Marker,IF(AND(CF$29&gt;ProposalToGnatt[[#This Row],[Start Date]],CF$29&lt;ProposalToGnatt[[#This Row],[Start Date]]+ProposalToGnatt[[#This Row],[Days]]),$G$5,"")),"")</f>
        <v/>
      </c>
      <c r="CG56" s="37" t="str">
        <f ca="1">IFERROR(+IF(CG$29=ProposalToGnatt[[#This Row],[Start Date]],Milestone_Marker,IF(AND(CG$29&gt;ProposalToGnatt[[#This Row],[Start Date]],CG$29&lt;ProposalToGnatt[[#This Row],[Start Date]]+ProposalToGnatt[[#This Row],[Days]]),$G$5,"")),"")</f>
        <v/>
      </c>
      <c r="CH56" s="37" t="str">
        <f ca="1">IFERROR(+IF(CH$29=ProposalToGnatt[[#This Row],[Start Date]],Milestone_Marker,IF(AND(CH$29&gt;ProposalToGnatt[[#This Row],[Start Date]],CH$29&lt;ProposalToGnatt[[#This Row],[Start Date]]+ProposalToGnatt[[#This Row],[Days]]),$G$5,"")),"")</f>
        <v/>
      </c>
      <c r="CI56" s="37" t="str">
        <f ca="1">IFERROR(+IF(CI$29=ProposalToGnatt[[#This Row],[Start Date]],Milestone_Marker,IF(AND(CI$29&gt;ProposalToGnatt[[#This Row],[Start Date]],CI$29&lt;ProposalToGnatt[[#This Row],[Start Date]]+ProposalToGnatt[[#This Row],[Days]]),$G$5,"")),"")</f>
        <v/>
      </c>
      <c r="CJ56" s="37" t="str">
        <f ca="1">IFERROR(+IF(CJ$29=ProposalToGnatt[[#This Row],[Start Date]],Milestone_Marker,IF(AND(CJ$29&gt;ProposalToGnatt[[#This Row],[Start Date]],CJ$29&lt;ProposalToGnatt[[#This Row],[Start Date]]+ProposalToGnatt[[#This Row],[Days]]),$G$5,"")),"")</f>
        <v/>
      </c>
      <c r="CK56" s="37" t="str">
        <f ca="1">IFERROR(+IF(CK$29=ProposalToGnatt[[#This Row],[Start Date]],Milestone_Marker,IF(AND(CK$29&gt;ProposalToGnatt[[#This Row],[Start Date]],CK$29&lt;ProposalToGnatt[[#This Row],[Start Date]]+ProposalToGnatt[[#This Row],[Days]]),$G$5,"")),"")</f>
        <v/>
      </c>
      <c r="CL56" s="37" t="str">
        <f ca="1">IFERROR(+IF(CL$29=ProposalToGnatt[[#This Row],[Start Date]],Milestone_Marker,IF(AND(CL$29&gt;ProposalToGnatt[[#This Row],[Start Date]],CL$29&lt;ProposalToGnatt[[#This Row],[Start Date]]+ProposalToGnatt[[#This Row],[Days]]),$G$5,"")),"")</f>
        <v/>
      </c>
      <c r="CM56" s="37" t="str">
        <f ca="1">IFERROR(+IF(CM$29=ProposalToGnatt[[#This Row],[Start Date]],Milestone_Marker,IF(AND(CM$29&gt;ProposalToGnatt[[#This Row],[Start Date]],CM$29&lt;ProposalToGnatt[[#This Row],[Start Date]]+ProposalToGnatt[[#This Row],[Days]]),$G$5,"")),"")</f>
        <v/>
      </c>
      <c r="CN56" s="37" t="str">
        <f ca="1">IFERROR(+IF(CN$29=ProposalToGnatt[[#This Row],[Start Date]],Milestone_Marker,IF(AND(CN$29&gt;ProposalToGnatt[[#This Row],[Start Date]],CN$29&lt;ProposalToGnatt[[#This Row],[Start Date]]+ProposalToGnatt[[#This Row],[Days]]),$G$5,"")),"")</f>
        <v/>
      </c>
      <c r="CO56" s="37" t="str">
        <f ca="1">IFERROR(+IF(CO$29=ProposalToGnatt[[#This Row],[Start Date]],Milestone_Marker,IF(AND(CO$29&gt;ProposalToGnatt[[#This Row],[Start Date]],CO$29&lt;ProposalToGnatt[[#This Row],[Start Date]]+ProposalToGnatt[[#This Row],[Days]]),$G$5,"")),"")</f>
        <v/>
      </c>
      <c r="CP56" s="37" t="str">
        <f ca="1">IFERROR(+IF(CP$29=ProposalToGnatt[[#This Row],[Start Date]],Milestone_Marker,IF(AND(CP$29&gt;ProposalToGnatt[[#This Row],[Start Date]],CP$29&lt;ProposalToGnatt[[#This Row],[Start Date]]+ProposalToGnatt[[#This Row],[Days]]),$G$5,"")),"")</f>
        <v/>
      </c>
      <c r="CQ56" s="37" t="str">
        <f ca="1">IFERROR(+IF(CQ$29=ProposalToGnatt[[#This Row],[Start Date]],Milestone_Marker,IF(AND(CQ$29&gt;ProposalToGnatt[[#This Row],[Start Date]],CQ$29&lt;ProposalToGnatt[[#This Row],[Start Date]]+ProposalToGnatt[[#This Row],[Days]]),$G$5,"")),"")</f>
        <v/>
      </c>
      <c r="CR56" s="37" t="str">
        <f ca="1">IFERROR(+IF(CR$29=ProposalToGnatt[[#This Row],[Start Date]],Milestone_Marker,IF(AND(CR$29&gt;ProposalToGnatt[[#This Row],[Start Date]],CR$29&lt;ProposalToGnatt[[#This Row],[Start Date]]+ProposalToGnatt[[#This Row],[Days]]),$G$5,"")),"")</f>
        <v/>
      </c>
      <c r="CS56" s="37" t="str">
        <f ca="1">IFERROR(+IF(CS$29=ProposalToGnatt[[#This Row],[Start Date]],Milestone_Marker,IF(AND(CS$29&gt;ProposalToGnatt[[#This Row],[Start Date]],CS$29&lt;ProposalToGnatt[[#This Row],[Start Date]]+ProposalToGnatt[[#This Row],[Days]]),$G$5,"")),"")</f>
        <v/>
      </c>
      <c r="CT56" s="37" t="str">
        <f ca="1">IFERROR(+IF(CT$29=ProposalToGnatt[[#This Row],[Start Date]],Milestone_Marker,IF(AND(CT$29&gt;ProposalToGnatt[[#This Row],[Start Date]],CT$29&lt;ProposalToGnatt[[#This Row],[Start Date]]+ProposalToGnatt[[#This Row],[Days]]),$G$5,"")),"")</f>
        <v/>
      </c>
      <c r="CU56" s="37" t="str">
        <f ca="1">IFERROR(+IF(CU$29=ProposalToGnatt[[#This Row],[Start Date]],Milestone_Marker,IF(AND(CU$29&gt;ProposalToGnatt[[#This Row],[Start Date]],CU$29&lt;ProposalToGnatt[[#This Row],[Start Date]]+ProposalToGnatt[[#This Row],[Days]]),$G$5,"")),"")</f>
        <v/>
      </c>
      <c r="CV56" s="37"/>
      <c r="CW56" s="37"/>
      <c r="CX56" s="37"/>
      <c r="CY56" s="37"/>
      <c r="CZ56" s="37"/>
      <c r="DA56" s="37"/>
      <c r="DB56" s="37"/>
      <c r="DC56" s="37"/>
      <c r="DD56" s="37"/>
      <c r="DE56" s="37"/>
      <c r="DF56" s="37"/>
      <c r="DG56" s="37"/>
      <c r="DH56" s="37"/>
      <c r="DI56" s="37"/>
      <c r="DJ56" s="37"/>
      <c r="DK56" s="37"/>
      <c r="DL56" s="37"/>
      <c r="DM56" s="37"/>
      <c r="DN56" s="37"/>
      <c r="DO56" s="37"/>
      <c r="DP56" s="37"/>
      <c r="DQ56" s="37"/>
      <c r="DR56" s="37"/>
      <c r="DS56" s="37"/>
      <c r="DT56" s="37"/>
      <c r="DU56" s="37"/>
    </row>
    <row r="57" spans="1:125" s="42" customFormat="1" ht="15">
      <c r="A57"/>
      <c r="B57"/>
      <c r="C57"/>
      <c r="D57"/>
      <c r="E57"/>
      <c r="F57"/>
      <c r="G57" s="11"/>
      <c r="H57" s="26"/>
      <c r="I57"/>
      <c r="J57"/>
      <c r="K57" s="402"/>
      <c r="L57"/>
      <c r="M57"/>
      <c r="N57"/>
      <c r="O57" s="26"/>
      <c r="P57" s="37" t="str">
        <f ca="1">IFERROR(+IF(P$29=ProposalToGnatt[[#This Row],[Start Date]],Milestone_Marker,IF(AND(P$29&gt;ProposalToGnatt[[#This Row],[Start Date]],P$29&lt;ProposalToGnatt[[#This Row],[Start Date]]+ProposalToGnatt[[#This Row],[Days]]),$G$5,"")),"")</f>
        <v/>
      </c>
      <c r="Q57" s="37" t="str">
        <f ca="1">IFERROR(+IF(Q$29=ProposalToGnatt[[#This Row],[Start Date]],Milestone_Marker,IF(AND(Q$29&gt;ProposalToGnatt[[#This Row],[Start Date]],Q$29&lt;ProposalToGnatt[[#This Row],[Start Date]]+ProposalToGnatt[[#This Row],[Days]]),$G$5,"")),"")</f>
        <v/>
      </c>
      <c r="R57" s="37" t="str">
        <f ca="1">IFERROR(+IF(R$29=ProposalToGnatt[[#This Row],[Start Date]],Milestone_Marker,IF(AND(R$29&gt;ProposalToGnatt[[#This Row],[Start Date]],R$29&lt;ProposalToGnatt[[#This Row],[Start Date]]+ProposalToGnatt[[#This Row],[Days]]),$G$5,"")),"")</f>
        <v/>
      </c>
      <c r="S57" s="37" t="str">
        <f ca="1">IFERROR(+IF(S$29=ProposalToGnatt[[#This Row],[Start Date]],Milestone_Marker,IF(AND(S$29&gt;ProposalToGnatt[[#This Row],[Start Date]],S$29&lt;ProposalToGnatt[[#This Row],[Start Date]]+ProposalToGnatt[[#This Row],[Days]]),$G$5,"")),"")</f>
        <v/>
      </c>
      <c r="T57" s="37" t="str">
        <f ca="1">IFERROR(+IF(T$29=ProposalToGnatt[[#This Row],[Start Date]],Milestone_Marker,IF(AND(T$29&gt;ProposalToGnatt[[#This Row],[Start Date]],T$29&lt;ProposalToGnatt[[#This Row],[Start Date]]+ProposalToGnatt[[#This Row],[Days]]),$G$5,"")),"")</f>
        <v/>
      </c>
      <c r="U57" s="37" t="str">
        <f ca="1">IFERROR(+IF(U$29=ProposalToGnatt[[#This Row],[Start Date]],Milestone_Marker,IF(AND(U$29&gt;ProposalToGnatt[[#This Row],[Start Date]],U$29&lt;ProposalToGnatt[[#This Row],[Start Date]]+ProposalToGnatt[[#This Row],[Days]]),$G$5,"")),"")</f>
        <v/>
      </c>
      <c r="V57" s="37" t="str">
        <f ca="1">IFERROR(+IF(V$29=ProposalToGnatt[[#This Row],[Start Date]],Milestone_Marker,IF(AND(V$29&gt;ProposalToGnatt[[#This Row],[Start Date]],V$29&lt;ProposalToGnatt[[#This Row],[Start Date]]+ProposalToGnatt[[#This Row],[Days]]),$G$5,"")),"")</f>
        <v/>
      </c>
      <c r="W57" s="37" t="str">
        <f ca="1">IFERROR(+IF(W$29=ProposalToGnatt[[#This Row],[Start Date]],Milestone_Marker,IF(AND(W$29&gt;ProposalToGnatt[[#This Row],[Start Date]],W$29&lt;ProposalToGnatt[[#This Row],[Start Date]]+ProposalToGnatt[[#This Row],[Days]]),$G$5,"")),"")</f>
        <v/>
      </c>
      <c r="X57" s="37" t="str">
        <f ca="1">IFERROR(+IF(X$29=ProposalToGnatt[[#This Row],[Start Date]],Milestone_Marker,IF(AND(X$29&gt;ProposalToGnatt[[#This Row],[Start Date]],X$29&lt;ProposalToGnatt[[#This Row],[Start Date]]+ProposalToGnatt[[#This Row],[Days]]),$G$5,"")),"")</f>
        <v/>
      </c>
      <c r="Y57" s="37" t="str">
        <f ca="1">IFERROR(+IF(Y$29=ProposalToGnatt[[#This Row],[Start Date]],Milestone_Marker,IF(AND(Y$29&gt;ProposalToGnatt[[#This Row],[Start Date]],Y$29&lt;ProposalToGnatt[[#This Row],[Start Date]]+ProposalToGnatt[[#This Row],[Days]]),$G$5,"")),"")</f>
        <v/>
      </c>
      <c r="Z57" s="37" t="str">
        <f ca="1">IFERROR(+IF(Z$29=ProposalToGnatt[[#This Row],[Start Date]],Milestone_Marker,IF(AND(Z$29&gt;ProposalToGnatt[[#This Row],[Start Date]],Z$29&lt;ProposalToGnatt[[#This Row],[Start Date]]+ProposalToGnatt[[#This Row],[Days]]),$G$5,"")),"")</f>
        <v/>
      </c>
      <c r="AA57" s="37" t="str">
        <f ca="1">IFERROR(+IF(AA$29=ProposalToGnatt[[#This Row],[Start Date]],Milestone_Marker,IF(AND(AA$29&gt;ProposalToGnatt[[#This Row],[Start Date]],AA$29&lt;ProposalToGnatt[[#This Row],[Start Date]]+ProposalToGnatt[[#This Row],[Days]]),$G$5,"")),"")</f>
        <v/>
      </c>
      <c r="AB57" s="37" t="str">
        <f ca="1">IFERROR(+IF(AB$29=ProposalToGnatt[[#This Row],[Start Date]],Milestone_Marker,IF(AND(AB$29&gt;ProposalToGnatt[[#This Row],[Start Date]],AB$29&lt;ProposalToGnatt[[#This Row],[Start Date]]+ProposalToGnatt[[#This Row],[Days]]),$G$5,"")),"")</f>
        <v/>
      </c>
      <c r="AC57" s="37" t="str">
        <f ca="1">IFERROR(+IF(AC$29=ProposalToGnatt[[#This Row],[Start Date]],Milestone_Marker,IF(AND(AC$29&gt;ProposalToGnatt[[#This Row],[Start Date]],AC$29&lt;ProposalToGnatt[[#This Row],[Start Date]]+ProposalToGnatt[[#This Row],[Days]]),$G$5,"")),"")</f>
        <v/>
      </c>
      <c r="AD57" s="37" t="str">
        <f ca="1">IFERROR(+IF(AD$29=ProposalToGnatt[[#This Row],[Start Date]],Milestone_Marker,IF(AND(AD$29&gt;ProposalToGnatt[[#This Row],[Start Date]],AD$29&lt;ProposalToGnatt[[#This Row],[Start Date]]+ProposalToGnatt[[#This Row],[Days]]),$G$5,"")),"")</f>
        <v/>
      </c>
      <c r="AE57" s="37" t="str">
        <f ca="1">IFERROR(+IF(AE$29=ProposalToGnatt[[#This Row],[Start Date]],Milestone_Marker,IF(AND(AE$29&gt;ProposalToGnatt[[#This Row],[Start Date]],AE$29&lt;ProposalToGnatt[[#This Row],[Start Date]]+ProposalToGnatt[[#This Row],[Days]]),$G$5,"")),"")</f>
        <v/>
      </c>
      <c r="AF57" s="37" t="str">
        <f ca="1">IFERROR(+IF(AF$29=ProposalToGnatt[[#This Row],[Start Date]],Milestone_Marker,IF(AND(AF$29&gt;ProposalToGnatt[[#This Row],[Start Date]],AF$29&lt;ProposalToGnatt[[#This Row],[Start Date]]+ProposalToGnatt[[#This Row],[Days]]),$G$5,"")),"")</f>
        <v/>
      </c>
      <c r="AG57" s="37" t="str">
        <f ca="1">IFERROR(+IF(AG$29=ProposalToGnatt[[#This Row],[Start Date]],Milestone_Marker,IF(AND(AG$29&gt;ProposalToGnatt[[#This Row],[Start Date]],AG$29&lt;ProposalToGnatt[[#This Row],[Start Date]]+ProposalToGnatt[[#This Row],[Days]]),$G$5,"")),"")</f>
        <v/>
      </c>
      <c r="AH57" s="37" t="str">
        <f ca="1">IFERROR(+IF(AH$29=ProposalToGnatt[[#This Row],[Start Date]],Milestone_Marker,IF(AND(AH$29&gt;ProposalToGnatt[[#This Row],[Start Date]],AH$29&lt;ProposalToGnatt[[#This Row],[Start Date]]+ProposalToGnatt[[#This Row],[Days]]),$G$5,"")),"")</f>
        <v/>
      </c>
      <c r="AI57" s="37" t="str">
        <f ca="1">IFERROR(+IF(AI$29=ProposalToGnatt[[#This Row],[Start Date]],Milestone_Marker,IF(AND(AI$29&gt;ProposalToGnatt[[#This Row],[Start Date]],AI$29&lt;ProposalToGnatt[[#This Row],[Start Date]]+ProposalToGnatt[[#This Row],[Days]]),$G$5,"")),"")</f>
        <v/>
      </c>
      <c r="AJ57" s="37" t="str">
        <f ca="1">IFERROR(+IF(AJ$29=ProposalToGnatt[[#This Row],[Start Date]],Milestone_Marker,IF(AND(AJ$29&gt;ProposalToGnatt[[#This Row],[Start Date]],AJ$29&lt;ProposalToGnatt[[#This Row],[Start Date]]+ProposalToGnatt[[#This Row],[Days]]),$G$5,"")),"")</f>
        <v/>
      </c>
      <c r="AK57" s="37" t="str">
        <f ca="1">IFERROR(+IF(AK$29=ProposalToGnatt[[#This Row],[Start Date]],Milestone_Marker,IF(AND(AK$29&gt;ProposalToGnatt[[#This Row],[Start Date]],AK$29&lt;ProposalToGnatt[[#This Row],[Start Date]]+ProposalToGnatt[[#This Row],[Days]]),$G$5,"")),"")</f>
        <v/>
      </c>
      <c r="AL57" s="37" t="str">
        <f ca="1">IFERROR(+IF(AL$29=ProposalToGnatt[[#This Row],[Start Date]],Milestone_Marker,IF(AND(AL$29&gt;ProposalToGnatt[[#This Row],[Start Date]],AL$29&lt;ProposalToGnatt[[#This Row],[Start Date]]+ProposalToGnatt[[#This Row],[Days]]),$G$5,"")),"")</f>
        <v/>
      </c>
      <c r="AM57" s="37" t="str">
        <f ca="1">IFERROR(+IF(AM$29=ProposalToGnatt[[#This Row],[Start Date]],Milestone_Marker,IF(AND(AM$29&gt;ProposalToGnatt[[#This Row],[Start Date]],AM$29&lt;ProposalToGnatt[[#This Row],[Start Date]]+ProposalToGnatt[[#This Row],[Days]]),$G$5,"")),"")</f>
        <v/>
      </c>
      <c r="AN57" s="37" t="str">
        <f ca="1">IFERROR(+IF(AN$29=ProposalToGnatt[[#This Row],[Start Date]],Milestone_Marker,IF(AND(AN$29&gt;ProposalToGnatt[[#This Row],[Start Date]],AN$29&lt;ProposalToGnatt[[#This Row],[Start Date]]+ProposalToGnatt[[#This Row],[Days]]),$G$5,"")),"")</f>
        <v/>
      </c>
      <c r="AO57" s="37" t="str">
        <f ca="1">IFERROR(+IF(AO$29=ProposalToGnatt[[#This Row],[Start Date]],Milestone_Marker,IF(AND(AO$29&gt;ProposalToGnatt[[#This Row],[Start Date]],AO$29&lt;ProposalToGnatt[[#This Row],[Start Date]]+ProposalToGnatt[[#This Row],[Days]]),$G$5,"")),"")</f>
        <v/>
      </c>
      <c r="AP57" s="37" t="str">
        <f ca="1">IFERROR(+IF(AP$29=ProposalToGnatt[[#This Row],[Start Date]],Milestone_Marker,IF(AND(AP$29&gt;ProposalToGnatt[[#This Row],[Start Date]],AP$29&lt;ProposalToGnatt[[#This Row],[Start Date]]+ProposalToGnatt[[#This Row],[Days]]),$G$5,"")),"")</f>
        <v/>
      </c>
      <c r="AQ57" s="37" t="str">
        <f ca="1">IFERROR(+IF(AQ$29=ProposalToGnatt[[#This Row],[Start Date]],Milestone_Marker,IF(AND(AQ$29&gt;ProposalToGnatt[[#This Row],[Start Date]],AQ$29&lt;ProposalToGnatt[[#This Row],[Start Date]]+ProposalToGnatt[[#This Row],[Days]]),$G$5,"")),"")</f>
        <v/>
      </c>
      <c r="AR57" s="37" t="str">
        <f ca="1">IFERROR(+IF(AR$29=ProposalToGnatt[[#This Row],[Start Date]],Milestone_Marker,IF(AND(AR$29&gt;ProposalToGnatt[[#This Row],[Start Date]],AR$29&lt;ProposalToGnatt[[#This Row],[Start Date]]+ProposalToGnatt[[#This Row],[Days]]),$G$5,"")),"")</f>
        <v/>
      </c>
      <c r="AS57" s="37" t="str">
        <f ca="1">IFERROR(+IF(AS$29=ProposalToGnatt[[#This Row],[Start Date]],Milestone_Marker,IF(AND(AS$29&gt;ProposalToGnatt[[#This Row],[Start Date]],AS$29&lt;ProposalToGnatt[[#This Row],[Start Date]]+ProposalToGnatt[[#This Row],[Days]]),$G$5,"")),"")</f>
        <v/>
      </c>
      <c r="AT57" s="37" t="str">
        <f ca="1">IFERROR(+IF(AT$29=ProposalToGnatt[[#This Row],[Start Date]],Milestone_Marker,IF(AND(AT$29&gt;ProposalToGnatt[[#This Row],[Start Date]],AT$29&lt;ProposalToGnatt[[#This Row],[Start Date]]+ProposalToGnatt[[#This Row],[Days]]),$G$5,"")),"")</f>
        <v/>
      </c>
      <c r="AU57" s="37" t="str">
        <f ca="1">IFERROR(+IF(AU$29=ProposalToGnatt[[#This Row],[Start Date]],Milestone_Marker,IF(AND(AU$29&gt;ProposalToGnatt[[#This Row],[Start Date]],AU$29&lt;ProposalToGnatt[[#This Row],[Start Date]]+ProposalToGnatt[[#This Row],[Days]]),$G$5,"")),"")</f>
        <v/>
      </c>
      <c r="AV57" s="37" t="str">
        <f ca="1">IFERROR(+IF(AV$29=ProposalToGnatt[[#This Row],[Start Date]],Milestone_Marker,IF(AND(AV$29&gt;ProposalToGnatt[[#This Row],[Start Date]],AV$29&lt;ProposalToGnatt[[#This Row],[Start Date]]+ProposalToGnatt[[#This Row],[Days]]),$G$5,"")),"")</f>
        <v/>
      </c>
      <c r="AW57" s="37" t="str">
        <f ca="1">IFERROR(+IF(AW$29=ProposalToGnatt[[#This Row],[Start Date]],Milestone_Marker,IF(AND(AW$29&gt;ProposalToGnatt[[#This Row],[Start Date]],AW$29&lt;ProposalToGnatt[[#This Row],[Start Date]]+ProposalToGnatt[[#This Row],[Days]]),$G$5,"")),"")</f>
        <v/>
      </c>
      <c r="AX57" s="37" t="str">
        <f ca="1">IFERROR(+IF(AX$29=ProposalToGnatt[[#This Row],[Start Date]],Milestone_Marker,IF(AND(AX$29&gt;ProposalToGnatt[[#This Row],[Start Date]],AX$29&lt;ProposalToGnatt[[#This Row],[Start Date]]+ProposalToGnatt[[#This Row],[Days]]),$G$5,"")),"")</f>
        <v/>
      </c>
      <c r="AY57" s="37" t="str">
        <f ca="1">IFERROR(+IF(AY$29=ProposalToGnatt[[#This Row],[Start Date]],Milestone_Marker,IF(AND(AY$29&gt;ProposalToGnatt[[#This Row],[Start Date]],AY$29&lt;ProposalToGnatt[[#This Row],[Start Date]]+ProposalToGnatt[[#This Row],[Days]]),$G$5,"")),"")</f>
        <v/>
      </c>
      <c r="AZ57" s="37" t="str">
        <f ca="1">IFERROR(+IF(AZ$29=ProposalToGnatt[[#This Row],[Start Date]],Milestone_Marker,IF(AND(AZ$29&gt;ProposalToGnatt[[#This Row],[Start Date]],AZ$29&lt;ProposalToGnatt[[#This Row],[Start Date]]+ProposalToGnatt[[#This Row],[Days]]),$G$5,"")),"")</f>
        <v/>
      </c>
      <c r="BA57" s="37" t="str">
        <f ca="1">IFERROR(+IF(BA$29=ProposalToGnatt[[#This Row],[Start Date]],Milestone_Marker,IF(AND(BA$29&gt;ProposalToGnatt[[#This Row],[Start Date]],BA$29&lt;ProposalToGnatt[[#This Row],[Start Date]]+ProposalToGnatt[[#This Row],[Days]]),$G$5,"")),"")</f>
        <v/>
      </c>
      <c r="BB57" s="37" t="str">
        <f ca="1">IFERROR(+IF(BB$29=ProposalToGnatt[[#This Row],[Start Date]],Milestone_Marker,IF(AND(BB$29&gt;ProposalToGnatt[[#This Row],[Start Date]],BB$29&lt;ProposalToGnatt[[#This Row],[Start Date]]+ProposalToGnatt[[#This Row],[Days]]),$G$5,"")),"")</f>
        <v/>
      </c>
      <c r="BC57" s="37" t="str">
        <f ca="1">IFERROR(+IF(BC$29=ProposalToGnatt[[#This Row],[Start Date]],Milestone_Marker,IF(AND(BC$29&gt;ProposalToGnatt[[#This Row],[Start Date]],BC$29&lt;ProposalToGnatt[[#This Row],[Start Date]]+ProposalToGnatt[[#This Row],[Days]]),$G$5,"")),"")</f>
        <v/>
      </c>
      <c r="BD57" s="37" t="str">
        <f ca="1">IFERROR(+IF(BD$29=ProposalToGnatt[[#This Row],[Start Date]],Milestone_Marker,IF(AND(BD$29&gt;ProposalToGnatt[[#This Row],[Start Date]],BD$29&lt;ProposalToGnatt[[#This Row],[Start Date]]+ProposalToGnatt[[#This Row],[Days]]),$G$5,"")),"")</f>
        <v/>
      </c>
      <c r="BE57" s="37" t="str">
        <f ca="1">IFERROR(+IF(BE$29=ProposalToGnatt[[#This Row],[Start Date]],Milestone_Marker,IF(AND(BE$29&gt;ProposalToGnatt[[#This Row],[Start Date]],BE$29&lt;ProposalToGnatt[[#This Row],[Start Date]]+ProposalToGnatt[[#This Row],[Days]]),$G$5,"")),"")</f>
        <v/>
      </c>
      <c r="BF57" s="37" t="str">
        <f ca="1">IFERROR(+IF(BF$29=ProposalToGnatt[[#This Row],[Start Date]],Milestone_Marker,IF(AND(BF$29&gt;ProposalToGnatt[[#This Row],[Start Date]],BF$29&lt;ProposalToGnatt[[#This Row],[Start Date]]+ProposalToGnatt[[#This Row],[Days]]),$G$5,"")),"")</f>
        <v/>
      </c>
      <c r="BG57" s="37" t="str">
        <f ca="1">IFERROR(+IF(BG$29=ProposalToGnatt[[#This Row],[Start Date]],Milestone_Marker,IF(AND(BG$29&gt;ProposalToGnatt[[#This Row],[Start Date]],BG$29&lt;ProposalToGnatt[[#This Row],[Start Date]]+ProposalToGnatt[[#This Row],[Days]]),$G$5,"")),"")</f>
        <v/>
      </c>
      <c r="BH57" s="37" t="str">
        <f ca="1">IFERROR(+IF(BH$29=ProposalToGnatt[[#This Row],[Start Date]],Milestone_Marker,IF(AND(BH$29&gt;ProposalToGnatt[[#This Row],[Start Date]],BH$29&lt;ProposalToGnatt[[#This Row],[Start Date]]+ProposalToGnatt[[#This Row],[Days]]),$G$5,"")),"")</f>
        <v/>
      </c>
      <c r="BI57" s="37" t="str">
        <f ca="1">IFERROR(+IF(BI$29=ProposalToGnatt[[#This Row],[Start Date]],Milestone_Marker,IF(AND(BI$29&gt;ProposalToGnatt[[#This Row],[Start Date]],BI$29&lt;ProposalToGnatt[[#This Row],[Start Date]]+ProposalToGnatt[[#This Row],[Days]]),$G$5,"")),"")</f>
        <v/>
      </c>
      <c r="BJ57" s="37" t="str">
        <f ca="1">IFERROR(+IF(BJ$29=ProposalToGnatt[[#This Row],[Start Date]],Milestone_Marker,IF(AND(BJ$29&gt;ProposalToGnatt[[#This Row],[Start Date]],BJ$29&lt;ProposalToGnatt[[#This Row],[Start Date]]+ProposalToGnatt[[#This Row],[Days]]),$G$5,"")),"")</f>
        <v/>
      </c>
      <c r="BK57" s="37" t="str">
        <f ca="1">IFERROR(+IF(BK$29=ProposalToGnatt[[#This Row],[Start Date]],Milestone_Marker,IF(AND(BK$29&gt;ProposalToGnatt[[#This Row],[Start Date]],BK$29&lt;ProposalToGnatt[[#This Row],[Start Date]]+ProposalToGnatt[[#This Row],[Days]]),$G$5,"")),"")</f>
        <v/>
      </c>
      <c r="BL57" s="37" t="str">
        <f ca="1">IFERROR(+IF(BL$29=ProposalToGnatt[[#This Row],[Start Date]],Milestone_Marker,IF(AND(BL$29&gt;ProposalToGnatt[[#This Row],[Start Date]],BL$29&lt;ProposalToGnatt[[#This Row],[Start Date]]+ProposalToGnatt[[#This Row],[Days]]),$G$5,"")),"")</f>
        <v/>
      </c>
      <c r="BM57" s="37" t="str">
        <f ca="1">IFERROR(+IF(BM$29=ProposalToGnatt[[#This Row],[Start Date]],Milestone_Marker,IF(AND(BM$29&gt;ProposalToGnatt[[#This Row],[Start Date]],BM$29&lt;ProposalToGnatt[[#This Row],[Start Date]]+ProposalToGnatt[[#This Row],[Days]]),$G$5,"")),"")</f>
        <v/>
      </c>
      <c r="BN57" s="37" t="str">
        <f ca="1">IFERROR(+IF(BN$29=ProposalToGnatt[[#This Row],[Start Date]],Milestone_Marker,IF(AND(BN$29&gt;ProposalToGnatt[[#This Row],[Start Date]],BN$29&lt;ProposalToGnatt[[#This Row],[Start Date]]+ProposalToGnatt[[#This Row],[Days]]),$G$5,"")),"")</f>
        <v/>
      </c>
      <c r="BO57" s="37" t="str">
        <f ca="1">IFERROR(+IF(BO$29=ProposalToGnatt[[#This Row],[Start Date]],Milestone_Marker,IF(AND(BO$29&gt;ProposalToGnatt[[#This Row],[Start Date]],BO$29&lt;ProposalToGnatt[[#This Row],[Start Date]]+ProposalToGnatt[[#This Row],[Days]]),$G$5,"")),"")</f>
        <v/>
      </c>
      <c r="BP57" s="37" t="str">
        <f ca="1">IFERROR(+IF(BP$29=ProposalToGnatt[[#This Row],[Start Date]],Milestone_Marker,IF(AND(BP$29&gt;ProposalToGnatt[[#This Row],[Start Date]],BP$29&lt;ProposalToGnatt[[#This Row],[Start Date]]+ProposalToGnatt[[#This Row],[Days]]),$G$5,"")),"")</f>
        <v/>
      </c>
      <c r="BQ57" s="37" t="str">
        <f ca="1">IFERROR(+IF(BQ$29=ProposalToGnatt[[#This Row],[Start Date]],Milestone_Marker,IF(AND(BQ$29&gt;ProposalToGnatt[[#This Row],[Start Date]],BQ$29&lt;ProposalToGnatt[[#This Row],[Start Date]]+ProposalToGnatt[[#This Row],[Days]]),$G$5,"")),"")</f>
        <v/>
      </c>
      <c r="BR57" s="37" t="str">
        <f ca="1">IFERROR(+IF(BR$29=ProposalToGnatt[[#This Row],[Start Date]],Milestone_Marker,IF(AND(BR$29&gt;ProposalToGnatt[[#This Row],[Start Date]],BR$29&lt;ProposalToGnatt[[#This Row],[Start Date]]+ProposalToGnatt[[#This Row],[Days]]),$G$5,"")),"")</f>
        <v/>
      </c>
      <c r="BS57" s="37" t="str">
        <f ca="1">IFERROR(+IF(BS$29=ProposalToGnatt[[#This Row],[Start Date]],Milestone_Marker,IF(AND(BS$29&gt;ProposalToGnatt[[#This Row],[Start Date]],BS$29&lt;ProposalToGnatt[[#This Row],[Start Date]]+ProposalToGnatt[[#This Row],[Days]]),$G$5,"")),"")</f>
        <v/>
      </c>
      <c r="BT57" s="37" t="str">
        <f ca="1">IFERROR(+IF(BT$29=ProposalToGnatt[[#This Row],[Start Date]],Milestone_Marker,IF(AND(BT$29&gt;ProposalToGnatt[[#This Row],[Start Date]],BT$29&lt;ProposalToGnatt[[#This Row],[Start Date]]+ProposalToGnatt[[#This Row],[Days]]),$G$5,"")),"")</f>
        <v/>
      </c>
      <c r="BU57" s="37" t="str">
        <f ca="1">IFERROR(+IF(BU$29=ProposalToGnatt[[#This Row],[Start Date]],Milestone_Marker,IF(AND(BU$29&gt;ProposalToGnatt[[#This Row],[Start Date]],BU$29&lt;ProposalToGnatt[[#This Row],[Start Date]]+ProposalToGnatt[[#This Row],[Days]]),$G$5,"")),"")</f>
        <v/>
      </c>
      <c r="BV57" s="37" t="str">
        <f ca="1">IFERROR(+IF(BV$29=ProposalToGnatt[[#This Row],[Start Date]],Milestone_Marker,IF(AND(BV$29&gt;ProposalToGnatt[[#This Row],[Start Date]],BV$29&lt;ProposalToGnatt[[#This Row],[Start Date]]+ProposalToGnatt[[#This Row],[Days]]),$G$5,"")),"")</f>
        <v/>
      </c>
      <c r="BW57" s="37" t="str">
        <f ca="1">IFERROR(+IF(BW$29=ProposalToGnatt[[#This Row],[Start Date]],Milestone_Marker,IF(AND(BW$29&gt;ProposalToGnatt[[#This Row],[Start Date]],BW$29&lt;ProposalToGnatt[[#This Row],[Start Date]]+ProposalToGnatt[[#This Row],[Days]]),$G$5,"")),"")</f>
        <v/>
      </c>
      <c r="BX57" s="37" t="str">
        <f ca="1">IFERROR(+IF(BX$29=ProposalToGnatt[[#This Row],[Start Date]],Milestone_Marker,IF(AND(BX$29&gt;ProposalToGnatt[[#This Row],[Start Date]],BX$29&lt;ProposalToGnatt[[#This Row],[Start Date]]+ProposalToGnatt[[#This Row],[Days]]),$G$5,"")),"")</f>
        <v/>
      </c>
      <c r="BY57" s="37" t="str">
        <f ca="1">IFERROR(+IF(BY$29=ProposalToGnatt[[#This Row],[Start Date]],Milestone_Marker,IF(AND(BY$29&gt;ProposalToGnatt[[#This Row],[Start Date]],BY$29&lt;ProposalToGnatt[[#This Row],[Start Date]]+ProposalToGnatt[[#This Row],[Days]]),$G$5,"")),"")</f>
        <v/>
      </c>
      <c r="BZ57" s="37" t="str">
        <f ca="1">IFERROR(+IF(BZ$29=ProposalToGnatt[[#This Row],[Start Date]],Milestone_Marker,IF(AND(BZ$29&gt;ProposalToGnatt[[#This Row],[Start Date]],BZ$29&lt;ProposalToGnatt[[#This Row],[Start Date]]+ProposalToGnatt[[#This Row],[Days]]),$G$5,"")),"")</f>
        <v/>
      </c>
      <c r="CA57" s="37" t="str">
        <f ca="1">IFERROR(+IF(CA$29=ProposalToGnatt[[#This Row],[Start Date]],Milestone_Marker,IF(AND(CA$29&gt;ProposalToGnatt[[#This Row],[Start Date]],CA$29&lt;ProposalToGnatt[[#This Row],[Start Date]]+ProposalToGnatt[[#This Row],[Days]]),$G$5,"")),"")</f>
        <v/>
      </c>
      <c r="CB57" s="37" t="str">
        <f ca="1">IFERROR(+IF(CB$29=ProposalToGnatt[[#This Row],[Start Date]],Milestone_Marker,IF(AND(CB$29&gt;ProposalToGnatt[[#This Row],[Start Date]],CB$29&lt;ProposalToGnatt[[#This Row],[Start Date]]+ProposalToGnatt[[#This Row],[Days]]),$G$5,"")),"")</f>
        <v/>
      </c>
      <c r="CC57" s="37" t="str">
        <f ca="1">IFERROR(+IF(CC$29=ProposalToGnatt[[#This Row],[Start Date]],Milestone_Marker,IF(AND(CC$29&gt;ProposalToGnatt[[#This Row],[Start Date]],CC$29&lt;ProposalToGnatt[[#This Row],[Start Date]]+ProposalToGnatt[[#This Row],[Days]]),$G$5,"")),"")</f>
        <v/>
      </c>
      <c r="CD57" s="37" t="str">
        <f ca="1">IFERROR(+IF(CD$29=ProposalToGnatt[[#This Row],[Start Date]],Milestone_Marker,IF(AND(CD$29&gt;ProposalToGnatt[[#This Row],[Start Date]],CD$29&lt;ProposalToGnatt[[#This Row],[Start Date]]+ProposalToGnatt[[#This Row],[Days]]),$G$5,"")),"")</f>
        <v/>
      </c>
      <c r="CE57" s="37" t="str">
        <f ca="1">IFERROR(+IF(CE$29=ProposalToGnatt[[#This Row],[Start Date]],Milestone_Marker,IF(AND(CE$29&gt;ProposalToGnatt[[#This Row],[Start Date]],CE$29&lt;ProposalToGnatt[[#This Row],[Start Date]]+ProposalToGnatt[[#This Row],[Days]]),$G$5,"")),"")</f>
        <v/>
      </c>
      <c r="CF57" s="37" t="str">
        <f ca="1">IFERROR(+IF(CF$29=ProposalToGnatt[[#This Row],[Start Date]],Milestone_Marker,IF(AND(CF$29&gt;ProposalToGnatt[[#This Row],[Start Date]],CF$29&lt;ProposalToGnatt[[#This Row],[Start Date]]+ProposalToGnatt[[#This Row],[Days]]),$G$5,"")),"")</f>
        <v/>
      </c>
      <c r="CG57" s="37" t="str">
        <f ca="1">IFERROR(+IF(CG$29=ProposalToGnatt[[#This Row],[Start Date]],Milestone_Marker,IF(AND(CG$29&gt;ProposalToGnatt[[#This Row],[Start Date]],CG$29&lt;ProposalToGnatt[[#This Row],[Start Date]]+ProposalToGnatt[[#This Row],[Days]]),$G$5,"")),"")</f>
        <v/>
      </c>
      <c r="CH57" s="37" t="str">
        <f ca="1">IFERROR(+IF(CH$29=ProposalToGnatt[[#This Row],[Start Date]],Milestone_Marker,IF(AND(CH$29&gt;ProposalToGnatt[[#This Row],[Start Date]],CH$29&lt;ProposalToGnatt[[#This Row],[Start Date]]+ProposalToGnatt[[#This Row],[Days]]),$G$5,"")),"")</f>
        <v/>
      </c>
      <c r="CI57" s="37" t="str">
        <f ca="1">IFERROR(+IF(CI$29=ProposalToGnatt[[#This Row],[Start Date]],Milestone_Marker,IF(AND(CI$29&gt;ProposalToGnatt[[#This Row],[Start Date]],CI$29&lt;ProposalToGnatt[[#This Row],[Start Date]]+ProposalToGnatt[[#This Row],[Days]]),$G$5,"")),"")</f>
        <v/>
      </c>
      <c r="CJ57" s="37" t="str">
        <f ca="1">IFERROR(+IF(CJ$29=ProposalToGnatt[[#This Row],[Start Date]],Milestone_Marker,IF(AND(CJ$29&gt;ProposalToGnatt[[#This Row],[Start Date]],CJ$29&lt;ProposalToGnatt[[#This Row],[Start Date]]+ProposalToGnatt[[#This Row],[Days]]),$G$5,"")),"")</f>
        <v/>
      </c>
      <c r="CK57" s="37" t="str">
        <f ca="1">IFERROR(+IF(CK$29=ProposalToGnatt[[#This Row],[Start Date]],Milestone_Marker,IF(AND(CK$29&gt;ProposalToGnatt[[#This Row],[Start Date]],CK$29&lt;ProposalToGnatt[[#This Row],[Start Date]]+ProposalToGnatt[[#This Row],[Days]]),$G$5,"")),"")</f>
        <v/>
      </c>
      <c r="CL57" s="37" t="str">
        <f ca="1">IFERROR(+IF(CL$29=ProposalToGnatt[[#This Row],[Start Date]],Milestone_Marker,IF(AND(CL$29&gt;ProposalToGnatt[[#This Row],[Start Date]],CL$29&lt;ProposalToGnatt[[#This Row],[Start Date]]+ProposalToGnatt[[#This Row],[Days]]),$G$5,"")),"")</f>
        <v/>
      </c>
      <c r="CM57" s="37" t="str">
        <f ca="1">IFERROR(+IF(CM$29=ProposalToGnatt[[#This Row],[Start Date]],Milestone_Marker,IF(AND(CM$29&gt;ProposalToGnatt[[#This Row],[Start Date]],CM$29&lt;ProposalToGnatt[[#This Row],[Start Date]]+ProposalToGnatt[[#This Row],[Days]]),$G$5,"")),"")</f>
        <v/>
      </c>
      <c r="CN57" s="37" t="str">
        <f ca="1">IFERROR(+IF(CN$29=ProposalToGnatt[[#This Row],[Start Date]],Milestone_Marker,IF(AND(CN$29&gt;ProposalToGnatt[[#This Row],[Start Date]],CN$29&lt;ProposalToGnatt[[#This Row],[Start Date]]+ProposalToGnatt[[#This Row],[Days]]),$G$5,"")),"")</f>
        <v/>
      </c>
      <c r="CO57" s="37" t="str">
        <f ca="1">IFERROR(+IF(CO$29=ProposalToGnatt[[#This Row],[Start Date]],Milestone_Marker,IF(AND(CO$29&gt;ProposalToGnatt[[#This Row],[Start Date]],CO$29&lt;ProposalToGnatt[[#This Row],[Start Date]]+ProposalToGnatt[[#This Row],[Days]]),$G$5,"")),"")</f>
        <v/>
      </c>
      <c r="CP57" s="37" t="str">
        <f ca="1">IFERROR(+IF(CP$29=ProposalToGnatt[[#This Row],[Start Date]],Milestone_Marker,IF(AND(CP$29&gt;ProposalToGnatt[[#This Row],[Start Date]],CP$29&lt;ProposalToGnatt[[#This Row],[Start Date]]+ProposalToGnatt[[#This Row],[Days]]),$G$5,"")),"")</f>
        <v/>
      </c>
      <c r="CQ57" s="37" t="str">
        <f ca="1">IFERROR(+IF(CQ$29=ProposalToGnatt[[#This Row],[Start Date]],Milestone_Marker,IF(AND(CQ$29&gt;ProposalToGnatt[[#This Row],[Start Date]],CQ$29&lt;ProposalToGnatt[[#This Row],[Start Date]]+ProposalToGnatt[[#This Row],[Days]]),$G$5,"")),"")</f>
        <v/>
      </c>
      <c r="CR57" s="37" t="str">
        <f ca="1">IFERROR(+IF(CR$29=ProposalToGnatt[[#This Row],[Start Date]],Milestone_Marker,IF(AND(CR$29&gt;ProposalToGnatt[[#This Row],[Start Date]],CR$29&lt;ProposalToGnatt[[#This Row],[Start Date]]+ProposalToGnatt[[#This Row],[Days]]),$G$5,"")),"")</f>
        <v/>
      </c>
      <c r="CS57" s="37" t="str">
        <f ca="1">IFERROR(+IF(CS$29=ProposalToGnatt[[#This Row],[Start Date]],Milestone_Marker,IF(AND(CS$29&gt;ProposalToGnatt[[#This Row],[Start Date]],CS$29&lt;ProposalToGnatt[[#This Row],[Start Date]]+ProposalToGnatt[[#This Row],[Days]]),$G$5,"")),"")</f>
        <v/>
      </c>
      <c r="CT57" s="37" t="str">
        <f ca="1">IFERROR(+IF(CT$29=ProposalToGnatt[[#This Row],[Start Date]],Milestone_Marker,IF(AND(CT$29&gt;ProposalToGnatt[[#This Row],[Start Date]],CT$29&lt;ProposalToGnatt[[#This Row],[Start Date]]+ProposalToGnatt[[#This Row],[Days]]),$G$5,"")),"")</f>
        <v/>
      </c>
      <c r="CU57" s="37" t="str">
        <f ca="1">IFERROR(+IF(CU$29=ProposalToGnatt[[#This Row],[Start Date]],Milestone_Marker,IF(AND(CU$29&gt;ProposalToGnatt[[#This Row],[Start Date]],CU$29&lt;ProposalToGnatt[[#This Row],[Start Date]]+ProposalToGnatt[[#This Row],[Days]]),$G$5,"")),"")</f>
        <v/>
      </c>
      <c r="CV57" s="37"/>
      <c r="CW57" s="37"/>
      <c r="CX57" s="37"/>
      <c r="CY57" s="37"/>
      <c r="CZ57" s="37"/>
      <c r="DA57" s="37"/>
      <c r="DB57" s="37"/>
      <c r="DC57" s="37"/>
      <c r="DD57" s="37"/>
      <c r="DE57" s="37"/>
      <c r="DF57" s="37"/>
      <c r="DG57" s="37"/>
      <c r="DH57" s="37"/>
      <c r="DI57" s="37"/>
      <c r="DJ57" s="37"/>
      <c r="DK57" s="37"/>
      <c r="DL57" s="37"/>
      <c r="DM57" s="37"/>
      <c r="DN57" s="37"/>
      <c r="DO57" s="37"/>
      <c r="DP57" s="37"/>
      <c r="DQ57" s="37"/>
      <c r="DR57" s="37"/>
      <c r="DS57" s="37"/>
      <c r="DT57" s="37"/>
      <c r="DU57" s="37"/>
    </row>
    <row r="58" spans="1:125" s="42" customFormat="1" ht="15">
      <c r="A58"/>
      <c r="B58"/>
      <c r="C58"/>
      <c r="D58"/>
      <c r="E58"/>
      <c r="F58"/>
      <c r="G58" s="11"/>
      <c r="H58" s="26"/>
      <c r="I58"/>
      <c r="J58"/>
      <c r="K58" s="402"/>
      <c r="L58"/>
      <c r="M58"/>
      <c r="N58"/>
      <c r="O58" s="26"/>
      <c r="P58" s="37" t="str">
        <f ca="1">IFERROR(+IF(P$29=ProposalToGnatt[[#This Row],[Start Date]],Milestone_Marker,IF(AND(P$29&gt;ProposalToGnatt[[#This Row],[Start Date]],P$29&lt;ProposalToGnatt[[#This Row],[Start Date]]+ProposalToGnatt[[#This Row],[Days]]),$G$5,"")),"")</f>
        <v/>
      </c>
      <c r="Q58" s="37" t="str">
        <f ca="1">IFERROR(+IF(Q$29=ProposalToGnatt[[#This Row],[Start Date]],Milestone_Marker,IF(AND(Q$29&gt;ProposalToGnatt[[#This Row],[Start Date]],Q$29&lt;ProposalToGnatt[[#This Row],[Start Date]]+ProposalToGnatt[[#This Row],[Days]]),$G$5,"")),"")</f>
        <v/>
      </c>
      <c r="R58" s="37" t="str">
        <f ca="1">IFERROR(+IF(R$29=ProposalToGnatt[[#This Row],[Start Date]],Milestone_Marker,IF(AND(R$29&gt;ProposalToGnatt[[#This Row],[Start Date]],R$29&lt;ProposalToGnatt[[#This Row],[Start Date]]+ProposalToGnatt[[#This Row],[Days]]),$G$5,"")),"")</f>
        <v/>
      </c>
      <c r="S58" s="37" t="str">
        <f ca="1">IFERROR(+IF(S$29=ProposalToGnatt[[#This Row],[Start Date]],Milestone_Marker,IF(AND(S$29&gt;ProposalToGnatt[[#This Row],[Start Date]],S$29&lt;ProposalToGnatt[[#This Row],[Start Date]]+ProposalToGnatt[[#This Row],[Days]]),$G$5,"")),"")</f>
        <v/>
      </c>
      <c r="T58" s="37" t="str">
        <f ca="1">IFERROR(+IF(T$29=ProposalToGnatt[[#This Row],[Start Date]],Milestone_Marker,IF(AND(T$29&gt;ProposalToGnatt[[#This Row],[Start Date]],T$29&lt;ProposalToGnatt[[#This Row],[Start Date]]+ProposalToGnatt[[#This Row],[Days]]),$G$5,"")),"")</f>
        <v/>
      </c>
      <c r="U58" s="37" t="str">
        <f ca="1">IFERROR(+IF(U$29=ProposalToGnatt[[#This Row],[Start Date]],Milestone_Marker,IF(AND(U$29&gt;ProposalToGnatt[[#This Row],[Start Date]],U$29&lt;ProposalToGnatt[[#This Row],[Start Date]]+ProposalToGnatt[[#This Row],[Days]]),$G$5,"")),"")</f>
        <v/>
      </c>
      <c r="V58" s="37" t="str">
        <f ca="1">IFERROR(+IF(V$29=ProposalToGnatt[[#This Row],[Start Date]],Milestone_Marker,IF(AND(V$29&gt;ProposalToGnatt[[#This Row],[Start Date]],V$29&lt;ProposalToGnatt[[#This Row],[Start Date]]+ProposalToGnatt[[#This Row],[Days]]),$G$5,"")),"")</f>
        <v/>
      </c>
      <c r="W58" s="37" t="str">
        <f ca="1">IFERROR(+IF(W$29=ProposalToGnatt[[#This Row],[Start Date]],Milestone_Marker,IF(AND(W$29&gt;ProposalToGnatt[[#This Row],[Start Date]],W$29&lt;ProposalToGnatt[[#This Row],[Start Date]]+ProposalToGnatt[[#This Row],[Days]]),$G$5,"")),"")</f>
        <v/>
      </c>
      <c r="X58" s="37" t="str">
        <f ca="1">IFERROR(+IF(X$29=ProposalToGnatt[[#This Row],[Start Date]],Milestone_Marker,IF(AND(X$29&gt;ProposalToGnatt[[#This Row],[Start Date]],X$29&lt;ProposalToGnatt[[#This Row],[Start Date]]+ProposalToGnatt[[#This Row],[Days]]),$G$5,"")),"")</f>
        <v/>
      </c>
      <c r="Y58" s="37" t="str">
        <f ca="1">IFERROR(+IF(Y$29=ProposalToGnatt[[#This Row],[Start Date]],Milestone_Marker,IF(AND(Y$29&gt;ProposalToGnatt[[#This Row],[Start Date]],Y$29&lt;ProposalToGnatt[[#This Row],[Start Date]]+ProposalToGnatt[[#This Row],[Days]]),$G$5,"")),"")</f>
        <v/>
      </c>
      <c r="Z58" s="37" t="str">
        <f ca="1">IFERROR(+IF(Z$29=ProposalToGnatt[[#This Row],[Start Date]],Milestone_Marker,IF(AND(Z$29&gt;ProposalToGnatt[[#This Row],[Start Date]],Z$29&lt;ProposalToGnatt[[#This Row],[Start Date]]+ProposalToGnatt[[#This Row],[Days]]),$G$5,"")),"")</f>
        <v/>
      </c>
      <c r="AA58" s="37" t="str">
        <f ca="1">IFERROR(+IF(AA$29=ProposalToGnatt[[#This Row],[Start Date]],Milestone_Marker,IF(AND(AA$29&gt;ProposalToGnatt[[#This Row],[Start Date]],AA$29&lt;ProposalToGnatt[[#This Row],[Start Date]]+ProposalToGnatt[[#This Row],[Days]]),$G$5,"")),"")</f>
        <v/>
      </c>
      <c r="AB58" s="37" t="str">
        <f ca="1">IFERROR(+IF(AB$29=ProposalToGnatt[[#This Row],[Start Date]],Milestone_Marker,IF(AND(AB$29&gt;ProposalToGnatt[[#This Row],[Start Date]],AB$29&lt;ProposalToGnatt[[#This Row],[Start Date]]+ProposalToGnatt[[#This Row],[Days]]),$G$5,"")),"")</f>
        <v/>
      </c>
      <c r="AC58" s="37" t="str">
        <f ca="1">IFERROR(+IF(AC$29=ProposalToGnatt[[#This Row],[Start Date]],Milestone_Marker,IF(AND(AC$29&gt;ProposalToGnatt[[#This Row],[Start Date]],AC$29&lt;ProposalToGnatt[[#This Row],[Start Date]]+ProposalToGnatt[[#This Row],[Days]]),$G$5,"")),"")</f>
        <v/>
      </c>
      <c r="AD58" s="37" t="str">
        <f ca="1">IFERROR(+IF(AD$29=ProposalToGnatt[[#This Row],[Start Date]],Milestone_Marker,IF(AND(AD$29&gt;ProposalToGnatt[[#This Row],[Start Date]],AD$29&lt;ProposalToGnatt[[#This Row],[Start Date]]+ProposalToGnatt[[#This Row],[Days]]),$G$5,"")),"")</f>
        <v/>
      </c>
      <c r="AE58" s="37" t="str">
        <f ca="1">IFERROR(+IF(AE$29=ProposalToGnatt[[#This Row],[Start Date]],Milestone_Marker,IF(AND(AE$29&gt;ProposalToGnatt[[#This Row],[Start Date]],AE$29&lt;ProposalToGnatt[[#This Row],[Start Date]]+ProposalToGnatt[[#This Row],[Days]]),$G$5,"")),"")</f>
        <v/>
      </c>
      <c r="AF58" s="37" t="str">
        <f ca="1">IFERROR(+IF(AF$29=ProposalToGnatt[[#This Row],[Start Date]],Milestone_Marker,IF(AND(AF$29&gt;ProposalToGnatt[[#This Row],[Start Date]],AF$29&lt;ProposalToGnatt[[#This Row],[Start Date]]+ProposalToGnatt[[#This Row],[Days]]),$G$5,"")),"")</f>
        <v/>
      </c>
      <c r="AG58" s="37" t="str">
        <f ca="1">IFERROR(+IF(AG$29=ProposalToGnatt[[#This Row],[Start Date]],Milestone_Marker,IF(AND(AG$29&gt;ProposalToGnatt[[#This Row],[Start Date]],AG$29&lt;ProposalToGnatt[[#This Row],[Start Date]]+ProposalToGnatt[[#This Row],[Days]]),$G$5,"")),"")</f>
        <v/>
      </c>
      <c r="AH58" s="37" t="str">
        <f ca="1">IFERROR(+IF(AH$29=ProposalToGnatt[[#This Row],[Start Date]],Milestone_Marker,IF(AND(AH$29&gt;ProposalToGnatt[[#This Row],[Start Date]],AH$29&lt;ProposalToGnatt[[#This Row],[Start Date]]+ProposalToGnatt[[#This Row],[Days]]),$G$5,"")),"")</f>
        <v/>
      </c>
      <c r="AI58" s="37" t="str">
        <f ca="1">IFERROR(+IF(AI$29=ProposalToGnatt[[#This Row],[Start Date]],Milestone_Marker,IF(AND(AI$29&gt;ProposalToGnatt[[#This Row],[Start Date]],AI$29&lt;ProposalToGnatt[[#This Row],[Start Date]]+ProposalToGnatt[[#This Row],[Days]]),$G$5,"")),"")</f>
        <v/>
      </c>
      <c r="AJ58" s="37" t="str">
        <f ca="1">IFERROR(+IF(AJ$29=ProposalToGnatt[[#This Row],[Start Date]],Milestone_Marker,IF(AND(AJ$29&gt;ProposalToGnatt[[#This Row],[Start Date]],AJ$29&lt;ProposalToGnatt[[#This Row],[Start Date]]+ProposalToGnatt[[#This Row],[Days]]),$G$5,"")),"")</f>
        <v/>
      </c>
      <c r="AK58" s="37" t="str">
        <f ca="1">IFERROR(+IF(AK$29=ProposalToGnatt[[#This Row],[Start Date]],Milestone_Marker,IF(AND(AK$29&gt;ProposalToGnatt[[#This Row],[Start Date]],AK$29&lt;ProposalToGnatt[[#This Row],[Start Date]]+ProposalToGnatt[[#This Row],[Days]]),$G$5,"")),"")</f>
        <v/>
      </c>
      <c r="AL58" s="37" t="str">
        <f ca="1">IFERROR(+IF(AL$29=ProposalToGnatt[[#This Row],[Start Date]],Milestone_Marker,IF(AND(AL$29&gt;ProposalToGnatt[[#This Row],[Start Date]],AL$29&lt;ProposalToGnatt[[#This Row],[Start Date]]+ProposalToGnatt[[#This Row],[Days]]),$G$5,"")),"")</f>
        <v/>
      </c>
      <c r="AM58" s="37" t="str">
        <f ca="1">IFERROR(+IF(AM$29=ProposalToGnatt[[#This Row],[Start Date]],Milestone_Marker,IF(AND(AM$29&gt;ProposalToGnatt[[#This Row],[Start Date]],AM$29&lt;ProposalToGnatt[[#This Row],[Start Date]]+ProposalToGnatt[[#This Row],[Days]]),$G$5,"")),"")</f>
        <v/>
      </c>
      <c r="AN58" s="37" t="str">
        <f ca="1">IFERROR(+IF(AN$29=ProposalToGnatt[[#This Row],[Start Date]],Milestone_Marker,IF(AND(AN$29&gt;ProposalToGnatt[[#This Row],[Start Date]],AN$29&lt;ProposalToGnatt[[#This Row],[Start Date]]+ProposalToGnatt[[#This Row],[Days]]),$G$5,"")),"")</f>
        <v/>
      </c>
      <c r="AO58" s="37" t="str">
        <f ca="1">IFERROR(+IF(AO$29=ProposalToGnatt[[#This Row],[Start Date]],Milestone_Marker,IF(AND(AO$29&gt;ProposalToGnatt[[#This Row],[Start Date]],AO$29&lt;ProposalToGnatt[[#This Row],[Start Date]]+ProposalToGnatt[[#This Row],[Days]]),$G$5,"")),"")</f>
        <v/>
      </c>
      <c r="AP58" s="37" t="str">
        <f ca="1">IFERROR(+IF(AP$29=ProposalToGnatt[[#This Row],[Start Date]],Milestone_Marker,IF(AND(AP$29&gt;ProposalToGnatt[[#This Row],[Start Date]],AP$29&lt;ProposalToGnatt[[#This Row],[Start Date]]+ProposalToGnatt[[#This Row],[Days]]),$G$5,"")),"")</f>
        <v/>
      </c>
      <c r="AQ58" s="37" t="str">
        <f ca="1">IFERROR(+IF(AQ$29=ProposalToGnatt[[#This Row],[Start Date]],Milestone_Marker,IF(AND(AQ$29&gt;ProposalToGnatt[[#This Row],[Start Date]],AQ$29&lt;ProposalToGnatt[[#This Row],[Start Date]]+ProposalToGnatt[[#This Row],[Days]]),$G$5,"")),"")</f>
        <v/>
      </c>
      <c r="AR58" s="37" t="str">
        <f ca="1">IFERROR(+IF(AR$29=ProposalToGnatt[[#This Row],[Start Date]],Milestone_Marker,IF(AND(AR$29&gt;ProposalToGnatt[[#This Row],[Start Date]],AR$29&lt;ProposalToGnatt[[#This Row],[Start Date]]+ProposalToGnatt[[#This Row],[Days]]),$G$5,"")),"")</f>
        <v/>
      </c>
      <c r="AS58" s="37" t="str">
        <f ca="1">IFERROR(+IF(AS$29=ProposalToGnatt[[#This Row],[Start Date]],Milestone_Marker,IF(AND(AS$29&gt;ProposalToGnatt[[#This Row],[Start Date]],AS$29&lt;ProposalToGnatt[[#This Row],[Start Date]]+ProposalToGnatt[[#This Row],[Days]]),$G$5,"")),"")</f>
        <v/>
      </c>
      <c r="AT58" s="37" t="str">
        <f ca="1">IFERROR(+IF(AT$29=ProposalToGnatt[[#This Row],[Start Date]],Milestone_Marker,IF(AND(AT$29&gt;ProposalToGnatt[[#This Row],[Start Date]],AT$29&lt;ProposalToGnatt[[#This Row],[Start Date]]+ProposalToGnatt[[#This Row],[Days]]),$G$5,"")),"")</f>
        <v/>
      </c>
      <c r="AU58" s="37" t="str">
        <f ca="1">IFERROR(+IF(AU$29=ProposalToGnatt[[#This Row],[Start Date]],Milestone_Marker,IF(AND(AU$29&gt;ProposalToGnatt[[#This Row],[Start Date]],AU$29&lt;ProposalToGnatt[[#This Row],[Start Date]]+ProposalToGnatt[[#This Row],[Days]]),$G$5,"")),"")</f>
        <v/>
      </c>
      <c r="AV58" s="37" t="str">
        <f ca="1">IFERROR(+IF(AV$29=ProposalToGnatt[[#This Row],[Start Date]],Milestone_Marker,IF(AND(AV$29&gt;ProposalToGnatt[[#This Row],[Start Date]],AV$29&lt;ProposalToGnatt[[#This Row],[Start Date]]+ProposalToGnatt[[#This Row],[Days]]),$G$5,"")),"")</f>
        <v/>
      </c>
      <c r="AW58" s="37" t="str">
        <f ca="1">IFERROR(+IF(AW$29=ProposalToGnatt[[#This Row],[Start Date]],Milestone_Marker,IF(AND(AW$29&gt;ProposalToGnatt[[#This Row],[Start Date]],AW$29&lt;ProposalToGnatt[[#This Row],[Start Date]]+ProposalToGnatt[[#This Row],[Days]]),$G$5,"")),"")</f>
        <v/>
      </c>
      <c r="AX58" s="37" t="str">
        <f ca="1">IFERROR(+IF(AX$29=ProposalToGnatt[[#This Row],[Start Date]],Milestone_Marker,IF(AND(AX$29&gt;ProposalToGnatt[[#This Row],[Start Date]],AX$29&lt;ProposalToGnatt[[#This Row],[Start Date]]+ProposalToGnatt[[#This Row],[Days]]),$G$5,"")),"")</f>
        <v/>
      </c>
      <c r="AY58" s="37" t="str">
        <f ca="1">IFERROR(+IF(AY$29=ProposalToGnatt[[#This Row],[Start Date]],Milestone_Marker,IF(AND(AY$29&gt;ProposalToGnatt[[#This Row],[Start Date]],AY$29&lt;ProposalToGnatt[[#This Row],[Start Date]]+ProposalToGnatt[[#This Row],[Days]]),$G$5,"")),"")</f>
        <v/>
      </c>
      <c r="AZ58" s="37" t="str">
        <f ca="1">IFERROR(+IF(AZ$29=ProposalToGnatt[[#This Row],[Start Date]],Milestone_Marker,IF(AND(AZ$29&gt;ProposalToGnatt[[#This Row],[Start Date]],AZ$29&lt;ProposalToGnatt[[#This Row],[Start Date]]+ProposalToGnatt[[#This Row],[Days]]),$G$5,"")),"")</f>
        <v/>
      </c>
      <c r="BA58" s="37" t="str">
        <f ca="1">IFERROR(+IF(BA$29=ProposalToGnatt[[#This Row],[Start Date]],Milestone_Marker,IF(AND(BA$29&gt;ProposalToGnatt[[#This Row],[Start Date]],BA$29&lt;ProposalToGnatt[[#This Row],[Start Date]]+ProposalToGnatt[[#This Row],[Days]]),$G$5,"")),"")</f>
        <v/>
      </c>
      <c r="BB58" s="37" t="str">
        <f ca="1">IFERROR(+IF(BB$29=ProposalToGnatt[[#This Row],[Start Date]],Milestone_Marker,IF(AND(BB$29&gt;ProposalToGnatt[[#This Row],[Start Date]],BB$29&lt;ProposalToGnatt[[#This Row],[Start Date]]+ProposalToGnatt[[#This Row],[Days]]),$G$5,"")),"")</f>
        <v/>
      </c>
      <c r="BC58" s="37" t="str">
        <f ca="1">IFERROR(+IF(BC$29=ProposalToGnatt[[#This Row],[Start Date]],Milestone_Marker,IF(AND(BC$29&gt;ProposalToGnatt[[#This Row],[Start Date]],BC$29&lt;ProposalToGnatt[[#This Row],[Start Date]]+ProposalToGnatt[[#This Row],[Days]]),$G$5,"")),"")</f>
        <v/>
      </c>
      <c r="BD58" s="37" t="str">
        <f ca="1">IFERROR(+IF(BD$29=ProposalToGnatt[[#This Row],[Start Date]],Milestone_Marker,IF(AND(BD$29&gt;ProposalToGnatt[[#This Row],[Start Date]],BD$29&lt;ProposalToGnatt[[#This Row],[Start Date]]+ProposalToGnatt[[#This Row],[Days]]),$G$5,"")),"")</f>
        <v/>
      </c>
      <c r="BE58" s="37" t="str">
        <f ca="1">IFERROR(+IF(BE$29=ProposalToGnatt[[#This Row],[Start Date]],Milestone_Marker,IF(AND(BE$29&gt;ProposalToGnatt[[#This Row],[Start Date]],BE$29&lt;ProposalToGnatt[[#This Row],[Start Date]]+ProposalToGnatt[[#This Row],[Days]]),$G$5,"")),"")</f>
        <v/>
      </c>
      <c r="BF58" s="37" t="str">
        <f ca="1">IFERROR(+IF(BF$29=ProposalToGnatt[[#This Row],[Start Date]],Milestone_Marker,IF(AND(BF$29&gt;ProposalToGnatt[[#This Row],[Start Date]],BF$29&lt;ProposalToGnatt[[#This Row],[Start Date]]+ProposalToGnatt[[#This Row],[Days]]),$G$5,"")),"")</f>
        <v/>
      </c>
      <c r="BG58" s="37" t="str">
        <f ca="1">IFERROR(+IF(BG$29=ProposalToGnatt[[#This Row],[Start Date]],Milestone_Marker,IF(AND(BG$29&gt;ProposalToGnatt[[#This Row],[Start Date]],BG$29&lt;ProposalToGnatt[[#This Row],[Start Date]]+ProposalToGnatt[[#This Row],[Days]]),$G$5,"")),"")</f>
        <v/>
      </c>
      <c r="BH58" s="37" t="str">
        <f ca="1">IFERROR(+IF(BH$29=ProposalToGnatt[[#This Row],[Start Date]],Milestone_Marker,IF(AND(BH$29&gt;ProposalToGnatt[[#This Row],[Start Date]],BH$29&lt;ProposalToGnatt[[#This Row],[Start Date]]+ProposalToGnatt[[#This Row],[Days]]),$G$5,"")),"")</f>
        <v/>
      </c>
      <c r="BI58" s="37" t="str">
        <f ca="1">IFERROR(+IF(BI$29=ProposalToGnatt[[#This Row],[Start Date]],Milestone_Marker,IF(AND(BI$29&gt;ProposalToGnatt[[#This Row],[Start Date]],BI$29&lt;ProposalToGnatt[[#This Row],[Start Date]]+ProposalToGnatt[[#This Row],[Days]]),$G$5,"")),"")</f>
        <v/>
      </c>
      <c r="BJ58" s="37" t="str">
        <f ca="1">IFERROR(+IF(BJ$29=ProposalToGnatt[[#This Row],[Start Date]],Milestone_Marker,IF(AND(BJ$29&gt;ProposalToGnatt[[#This Row],[Start Date]],BJ$29&lt;ProposalToGnatt[[#This Row],[Start Date]]+ProposalToGnatt[[#This Row],[Days]]),$G$5,"")),"")</f>
        <v/>
      </c>
      <c r="BK58" s="37" t="str">
        <f ca="1">IFERROR(+IF(BK$29=ProposalToGnatt[[#This Row],[Start Date]],Milestone_Marker,IF(AND(BK$29&gt;ProposalToGnatt[[#This Row],[Start Date]],BK$29&lt;ProposalToGnatt[[#This Row],[Start Date]]+ProposalToGnatt[[#This Row],[Days]]),$G$5,"")),"")</f>
        <v/>
      </c>
      <c r="BL58" s="37" t="str">
        <f ca="1">IFERROR(+IF(BL$29=ProposalToGnatt[[#This Row],[Start Date]],Milestone_Marker,IF(AND(BL$29&gt;ProposalToGnatt[[#This Row],[Start Date]],BL$29&lt;ProposalToGnatt[[#This Row],[Start Date]]+ProposalToGnatt[[#This Row],[Days]]),$G$5,"")),"")</f>
        <v/>
      </c>
      <c r="BM58" s="37" t="str">
        <f ca="1">IFERROR(+IF(BM$29=ProposalToGnatt[[#This Row],[Start Date]],Milestone_Marker,IF(AND(BM$29&gt;ProposalToGnatt[[#This Row],[Start Date]],BM$29&lt;ProposalToGnatt[[#This Row],[Start Date]]+ProposalToGnatt[[#This Row],[Days]]),$G$5,"")),"")</f>
        <v/>
      </c>
      <c r="BN58" s="37" t="str">
        <f ca="1">IFERROR(+IF(BN$29=ProposalToGnatt[[#This Row],[Start Date]],Milestone_Marker,IF(AND(BN$29&gt;ProposalToGnatt[[#This Row],[Start Date]],BN$29&lt;ProposalToGnatt[[#This Row],[Start Date]]+ProposalToGnatt[[#This Row],[Days]]),$G$5,"")),"")</f>
        <v/>
      </c>
      <c r="BO58" s="37" t="str">
        <f ca="1">IFERROR(+IF(BO$29=ProposalToGnatt[[#This Row],[Start Date]],Milestone_Marker,IF(AND(BO$29&gt;ProposalToGnatt[[#This Row],[Start Date]],BO$29&lt;ProposalToGnatt[[#This Row],[Start Date]]+ProposalToGnatt[[#This Row],[Days]]),$G$5,"")),"")</f>
        <v/>
      </c>
      <c r="BP58" s="37" t="str">
        <f ca="1">IFERROR(+IF(BP$29=ProposalToGnatt[[#This Row],[Start Date]],Milestone_Marker,IF(AND(BP$29&gt;ProposalToGnatt[[#This Row],[Start Date]],BP$29&lt;ProposalToGnatt[[#This Row],[Start Date]]+ProposalToGnatt[[#This Row],[Days]]),$G$5,"")),"")</f>
        <v/>
      </c>
      <c r="BQ58" s="37" t="str">
        <f ca="1">IFERROR(+IF(BQ$29=ProposalToGnatt[[#This Row],[Start Date]],Milestone_Marker,IF(AND(BQ$29&gt;ProposalToGnatt[[#This Row],[Start Date]],BQ$29&lt;ProposalToGnatt[[#This Row],[Start Date]]+ProposalToGnatt[[#This Row],[Days]]),$G$5,"")),"")</f>
        <v/>
      </c>
      <c r="BR58" s="37" t="str">
        <f ca="1">IFERROR(+IF(BR$29=ProposalToGnatt[[#This Row],[Start Date]],Milestone_Marker,IF(AND(BR$29&gt;ProposalToGnatt[[#This Row],[Start Date]],BR$29&lt;ProposalToGnatt[[#This Row],[Start Date]]+ProposalToGnatt[[#This Row],[Days]]),$G$5,"")),"")</f>
        <v/>
      </c>
      <c r="BS58" s="37" t="str">
        <f ca="1">IFERROR(+IF(BS$29=ProposalToGnatt[[#This Row],[Start Date]],Milestone_Marker,IF(AND(BS$29&gt;ProposalToGnatt[[#This Row],[Start Date]],BS$29&lt;ProposalToGnatt[[#This Row],[Start Date]]+ProposalToGnatt[[#This Row],[Days]]),$G$5,"")),"")</f>
        <v/>
      </c>
      <c r="BT58" s="37" t="str">
        <f ca="1">IFERROR(+IF(BT$29=ProposalToGnatt[[#This Row],[Start Date]],Milestone_Marker,IF(AND(BT$29&gt;ProposalToGnatt[[#This Row],[Start Date]],BT$29&lt;ProposalToGnatt[[#This Row],[Start Date]]+ProposalToGnatt[[#This Row],[Days]]),$G$5,"")),"")</f>
        <v/>
      </c>
      <c r="BU58" s="37" t="str">
        <f ca="1">IFERROR(+IF(BU$29=ProposalToGnatt[[#This Row],[Start Date]],Milestone_Marker,IF(AND(BU$29&gt;ProposalToGnatt[[#This Row],[Start Date]],BU$29&lt;ProposalToGnatt[[#This Row],[Start Date]]+ProposalToGnatt[[#This Row],[Days]]),$G$5,"")),"")</f>
        <v/>
      </c>
      <c r="BV58" s="37" t="str">
        <f ca="1">IFERROR(+IF(BV$29=ProposalToGnatt[[#This Row],[Start Date]],Milestone_Marker,IF(AND(BV$29&gt;ProposalToGnatt[[#This Row],[Start Date]],BV$29&lt;ProposalToGnatt[[#This Row],[Start Date]]+ProposalToGnatt[[#This Row],[Days]]),$G$5,"")),"")</f>
        <v/>
      </c>
      <c r="BW58" s="37" t="str">
        <f ca="1">IFERROR(+IF(BW$29=ProposalToGnatt[[#This Row],[Start Date]],Milestone_Marker,IF(AND(BW$29&gt;ProposalToGnatt[[#This Row],[Start Date]],BW$29&lt;ProposalToGnatt[[#This Row],[Start Date]]+ProposalToGnatt[[#This Row],[Days]]),$G$5,"")),"")</f>
        <v/>
      </c>
      <c r="BX58" s="37" t="str">
        <f ca="1">IFERROR(+IF(BX$29=ProposalToGnatt[[#This Row],[Start Date]],Milestone_Marker,IF(AND(BX$29&gt;ProposalToGnatt[[#This Row],[Start Date]],BX$29&lt;ProposalToGnatt[[#This Row],[Start Date]]+ProposalToGnatt[[#This Row],[Days]]),$G$5,"")),"")</f>
        <v/>
      </c>
      <c r="BY58" s="37" t="str">
        <f ca="1">IFERROR(+IF(BY$29=ProposalToGnatt[[#This Row],[Start Date]],Milestone_Marker,IF(AND(BY$29&gt;ProposalToGnatt[[#This Row],[Start Date]],BY$29&lt;ProposalToGnatt[[#This Row],[Start Date]]+ProposalToGnatt[[#This Row],[Days]]),$G$5,"")),"")</f>
        <v/>
      </c>
      <c r="BZ58" s="37" t="str">
        <f ca="1">IFERROR(+IF(BZ$29=ProposalToGnatt[[#This Row],[Start Date]],Milestone_Marker,IF(AND(BZ$29&gt;ProposalToGnatt[[#This Row],[Start Date]],BZ$29&lt;ProposalToGnatt[[#This Row],[Start Date]]+ProposalToGnatt[[#This Row],[Days]]),$G$5,"")),"")</f>
        <v/>
      </c>
      <c r="CA58" s="37" t="str">
        <f ca="1">IFERROR(+IF(CA$29=ProposalToGnatt[[#This Row],[Start Date]],Milestone_Marker,IF(AND(CA$29&gt;ProposalToGnatt[[#This Row],[Start Date]],CA$29&lt;ProposalToGnatt[[#This Row],[Start Date]]+ProposalToGnatt[[#This Row],[Days]]),$G$5,"")),"")</f>
        <v/>
      </c>
      <c r="CB58" s="37" t="str">
        <f ca="1">IFERROR(+IF(CB$29=ProposalToGnatt[[#This Row],[Start Date]],Milestone_Marker,IF(AND(CB$29&gt;ProposalToGnatt[[#This Row],[Start Date]],CB$29&lt;ProposalToGnatt[[#This Row],[Start Date]]+ProposalToGnatt[[#This Row],[Days]]),$G$5,"")),"")</f>
        <v/>
      </c>
      <c r="CC58" s="37" t="str">
        <f ca="1">IFERROR(+IF(CC$29=ProposalToGnatt[[#This Row],[Start Date]],Milestone_Marker,IF(AND(CC$29&gt;ProposalToGnatt[[#This Row],[Start Date]],CC$29&lt;ProposalToGnatt[[#This Row],[Start Date]]+ProposalToGnatt[[#This Row],[Days]]),$G$5,"")),"")</f>
        <v/>
      </c>
      <c r="CD58" s="37" t="str">
        <f ca="1">IFERROR(+IF(CD$29=ProposalToGnatt[[#This Row],[Start Date]],Milestone_Marker,IF(AND(CD$29&gt;ProposalToGnatt[[#This Row],[Start Date]],CD$29&lt;ProposalToGnatt[[#This Row],[Start Date]]+ProposalToGnatt[[#This Row],[Days]]),$G$5,"")),"")</f>
        <v/>
      </c>
      <c r="CE58" s="37" t="str">
        <f ca="1">IFERROR(+IF(CE$29=ProposalToGnatt[[#This Row],[Start Date]],Milestone_Marker,IF(AND(CE$29&gt;ProposalToGnatt[[#This Row],[Start Date]],CE$29&lt;ProposalToGnatt[[#This Row],[Start Date]]+ProposalToGnatt[[#This Row],[Days]]),$G$5,"")),"")</f>
        <v/>
      </c>
      <c r="CF58" s="37" t="str">
        <f ca="1">IFERROR(+IF(CF$29=ProposalToGnatt[[#This Row],[Start Date]],Milestone_Marker,IF(AND(CF$29&gt;ProposalToGnatt[[#This Row],[Start Date]],CF$29&lt;ProposalToGnatt[[#This Row],[Start Date]]+ProposalToGnatt[[#This Row],[Days]]),$G$5,"")),"")</f>
        <v/>
      </c>
      <c r="CG58" s="37" t="str">
        <f ca="1">IFERROR(+IF(CG$29=ProposalToGnatt[[#This Row],[Start Date]],Milestone_Marker,IF(AND(CG$29&gt;ProposalToGnatt[[#This Row],[Start Date]],CG$29&lt;ProposalToGnatt[[#This Row],[Start Date]]+ProposalToGnatt[[#This Row],[Days]]),$G$5,"")),"")</f>
        <v/>
      </c>
      <c r="CH58" s="37" t="str">
        <f ca="1">IFERROR(+IF(CH$29=ProposalToGnatt[[#This Row],[Start Date]],Milestone_Marker,IF(AND(CH$29&gt;ProposalToGnatt[[#This Row],[Start Date]],CH$29&lt;ProposalToGnatt[[#This Row],[Start Date]]+ProposalToGnatt[[#This Row],[Days]]),$G$5,"")),"")</f>
        <v/>
      </c>
      <c r="CI58" s="37" t="str">
        <f ca="1">IFERROR(+IF(CI$29=ProposalToGnatt[[#This Row],[Start Date]],Milestone_Marker,IF(AND(CI$29&gt;ProposalToGnatt[[#This Row],[Start Date]],CI$29&lt;ProposalToGnatt[[#This Row],[Start Date]]+ProposalToGnatt[[#This Row],[Days]]),$G$5,"")),"")</f>
        <v/>
      </c>
      <c r="CJ58" s="37" t="str">
        <f ca="1">IFERROR(+IF(CJ$29=ProposalToGnatt[[#This Row],[Start Date]],Milestone_Marker,IF(AND(CJ$29&gt;ProposalToGnatt[[#This Row],[Start Date]],CJ$29&lt;ProposalToGnatt[[#This Row],[Start Date]]+ProposalToGnatt[[#This Row],[Days]]),$G$5,"")),"")</f>
        <v/>
      </c>
      <c r="CK58" s="37" t="str">
        <f ca="1">IFERROR(+IF(CK$29=ProposalToGnatt[[#This Row],[Start Date]],Milestone_Marker,IF(AND(CK$29&gt;ProposalToGnatt[[#This Row],[Start Date]],CK$29&lt;ProposalToGnatt[[#This Row],[Start Date]]+ProposalToGnatt[[#This Row],[Days]]),$G$5,"")),"")</f>
        <v/>
      </c>
      <c r="CL58" s="37" t="str">
        <f ca="1">IFERROR(+IF(CL$29=ProposalToGnatt[[#This Row],[Start Date]],Milestone_Marker,IF(AND(CL$29&gt;ProposalToGnatt[[#This Row],[Start Date]],CL$29&lt;ProposalToGnatt[[#This Row],[Start Date]]+ProposalToGnatt[[#This Row],[Days]]),$G$5,"")),"")</f>
        <v/>
      </c>
      <c r="CM58" s="37" t="str">
        <f ca="1">IFERROR(+IF(CM$29=ProposalToGnatt[[#This Row],[Start Date]],Milestone_Marker,IF(AND(CM$29&gt;ProposalToGnatt[[#This Row],[Start Date]],CM$29&lt;ProposalToGnatt[[#This Row],[Start Date]]+ProposalToGnatt[[#This Row],[Days]]),$G$5,"")),"")</f>
        <v/>
      </c>
      <c r="CN58" s="37" t="str">
        <f ca="1">IFERROR(+IF(CN$29=ProposalToGnatt[[#This Row],[Start Date]],Milestone_Marker,IF(AND(CN$29&gt;ProposalToGnatt[[#This Row],[Start Date]],CN$29&lt;ProposalToGnatt[[#This Row],[Start Date]]+ProposalToGnatt[[#This Row],[Days]]),$G$5,"")),"")</f>
        <v/>
      </c>
      <c r="CO58" s="37" t="str">
        <f ca="1">IFERROR(+IF(CO$29=ProposalToGnatt[[#This Row],[Start Date]],Milestone_Marker,IF(AND(CO$29&gt;ProposalToGnatt[[#This Row],[Start Date]],CO$29&lt;ProposalToGnatt[[#This Row],[Start Date]]+ProposalToGnatt[[#This Row],[Days]]),$G$5,"")),"")</f>
        <v/>
      </c>
      <c r="CP58" s="37" t="str">
        <f ca="1">IFERROR(+IF(CP$29=ProposalToGnatt[[#This Row],[Start Date]],Milestone_Marker,IF(AND(CP$29&gt;ProposalToGnatt[[#This Row],[Start Date]],CP$29&lt;ProposalToGnatt[[#This Row],[Start Date]]+ProposalToGnatt[[#This Row],[Days]]),$G$5,"")),"")</f>
        <v/>
      </c>
      <c r="CQ58" s="37" t="str">
        <f ca="1">IFERROR(+IF(CQ$29=ProposalToGnatt[[#This Row],[Start Date]],Milestone_Marker,IF(AND(CQ$29&gt;ProposalToGnatt[[#This Row],[Start Date]],CQ$29&lt;ProposalToGnatt[[#This Row],[Start Date]]+ProposalToGnatt[[#This Row],[Days]]),$G$5,"")),"")</f>
        <v/>
      </c>
      <c r="CR58" s="37" t="str">
        <f ca="1">IFERROR(+IF(CR$29=ProposalToGnatt[[#This Row],[Start Date]],Milestone_Marker,IF(AND(CR$29&gt;ProposalToGnatt[[#This Row],[Start Date]],CR$29&lt;ProposalToGnatt[[#This Row],[Start Date]]+ProposalToGnatt[[#This Row],[Days]]),$G$5,"")),"")</f>
        <v/>
      </c>
      <c r="CS58" s="37" t="str">
        <f ca="1">IFERROR(+IF(CS$29=ProposalToGnatt[[#This Row],[Start Date]],Milestone_Marker,IF(AND(CS$29&gt;ProposalToGnatt[[#This Row],[Start Date]],CS$29&lt;ProposalToGnatt[[#This Row],[Start Date]]+ProposalToGnatt[[#This Row],[Days]]),$G$5,"")),"")</f>
        <v/>
      </c>
      <c r="CT58" s="37" t="str">
        <f ca="1">IFERROR(+IF(CT$29=ProposalToGnatt[[#This Row],[Start Date]],Milestone_Marker,IF(AND(CT$29&gt;ProposalToGnatt[[#This Row],[Start Date]],CT$29&lt;ProposalToGnatt[[#This Row],[Start Date]]+ProposalToGnatt[[#This Row],[Days]]),$G$5,"")),"")</f>
        <v/>
      </c>
      <c r="CU58" s="37" t="str">
        <f ca="1">IFERROR(+IF(CU$29=ProposalToGnatt[[#This Row],[Start Date]],Milestone_Marker,IF(AND(CU$29&gt;ProposalToGnatt[[#This Row],[Start Date]],CU$29&lt;ProposalToGnatt[[#This Row],[Start Date]]+ProposalToGnatt[[#This Row],[Days]]),$G$5,"")),"")</f>
        <v/>
      </c>
      <c r="CV58" s="37"/>
      <c r="CW58" s="37"/>
      <c r="CX58" s="37"/>
      <c r="CY58" s="37"/>
      <c r="CZ58" s="37"/>
      <c r="DA58" s="37"/>
      <c r="DB58" s="37"/>
      <c r="DC58" s="37"/>
      <c r="DD58" s="37"/>
      <c r="DE58" s="37"/>
      <c r="DF58" s="37"/>
      <c r="DG58" s="37"/>
      <c r="DH58" s="37"/>
      <c r="DI58" s="37"/>
      <c r="DJ58" s="37"/>
      <c r="DK58" s="37"/>
      <c r="DL58" s="37"/>
      <c r="DM58" s="37"/>
      <c r="DN58" s="37"/>
      <c r="DO58" s="37"/>
      <c r="DP58" s="37"/>
      <c r="DQ58" s="37"/>
      <c r="DR58" s="37"/>
      <c r="DS58" s="37"/>
      <c r="DT58" s="37"/>
      <c r="DU58" s="37"/>
    </row>
    <row r="59" spans="1:125" s="42" customFormat="1" ht="15">
      <c r="A59"/>
      <c r="B59"/>
      <c r="C59"/>
      <c r="D59"/>
      <c r="E59"/>
      <c r="F59"/>
      <c r="G59" s="11"/>
      <c r="H59" s="26"/>
      <c r="I59" s="405"/>
      <c r="J59"/>
      <c r="K59" s="402"/>
      <c r="L59"/>
      <c r="M59"/>
      <c r="N59"/>
      <c r="O59" s="26"/>
      <c r="P59" s="37" t="str">
        <f ca="1">IFERROR(+IF(P$29=ProposalToGnatt[[#This Row],[Start Date]],Milestone_Marker,IF(AND(P$29&gt;ProposalToGnatt[[#This Row],[Start Date]],P$29&lt;ProposalToGnatt[[#This Row],[Start Date]]+ProposalToGnatt[[#This Row],[Days]]),$G$5,"")),"")</f>
        <v/>
      </c>
      <c r="Q59" s="37" t="str">
        <f ca="1">IFERROR(+IF(Q$29=ProposalToGnatt[[#This Row],[Start Date]],Milestone_Marker,IF(AND(Q$29&gt;ProposalToGnatt[[#This Row],[Start Date]],Q$29&lt;ProposalToGnatt[[#This Row],[Start Date]]+ProposalToGnatt[[#This Row],[Days]]),$G$5,"")),"")</f>
        <v/>
      </c>
      <c r="R59" s="37" t="str">
        <f ca="1">IFERROR(+IF(R$29=ProposalToGnatt[[#This Row],[Start Date]],Milestone_Marker,IF(AND(R$29&gt;ProposalToGnatt[[#This Row],[Start Date]],R$29&lt;ProposalToGnatt[[#This Row],[Start Date]]+ProposalToGnatt[[#This Row],[Days]]),$G$5,"")),"")</f>
        <v/>
      </c>
      <c r="S59" s="37" t="str">
        <f ca="1">IFERROR(+IF(S$29=ProposalToGnatt[[#This Row],[Start Date]],Milestone_Marker,IF(AND(S$29&gt;ProposalToGnatt[[#This Row],[Start Date]],S$29&lt;ProposalToGnatt[[#This Row],[Start Date]]+ProposalToGnatt[[#This Row],[Days]]),$G$5,"")),"")</f>
        <v/>
      </c>
      <c r="T59" s="37" t="str">
        <f ca="1">IFERROR(+IF(T$29=ProposalToGnatt[[#This Row],[Start Date]],Milestone_Marker,IF(AND(T$29&gt;ProposalToGnatt[[#This Row],[Start Date]],T$29&lt;ProposalToGnatt[[#This Row],[Start Date]]+ProposalToGnatt[[#This Row],[Days]]),$G$5,"")),"")</f>
        <v/>
      </c>
      <c r="U59" s="37" t="str">
        <f ca="1">IFERROR(+IF(U$29=ProposalToGnatt[[#This Row],[Start Date]],Milestone_Marker,IF(AND(U$29&gt;ProposalToGnatt[[#This Row],[Start Date]],U$29&lt;ProposalToGnatt[[#This Row],[Start Date]]+ProposalToGnatt[[#This Row],[Days]]),$G$5,"")),"")</f>
        <v/>
      </c>
      <c r="V59" s="37" t="str">
        <f ca="1">IFERROR(+IF(V$29=ProposalToGnatt[[#This Row],[Start Date]],Milestone_Marker,IF(AND(V$29&gt;ProposalToGnatt[[#This Row],[Start Date]],V$29&lt;ProposalToGnatt[[#This Row],[Start Date]]+ProposalToGnatt[[#This Row],[Days]]),$G$5,"")),"")</f>
        <v/>
      </c>
      <c r="W59" s="37" t="str">
        <f ca="1">IFERROR(+IF(W$29=ProposalToGnatt[[#This Row],[Start Date]],Milestone_Marker,IF(AND(W$29&gt;ProposalToGnatt[[#This Row],[Start Date]],W$29&lt;ProposalToGnatt[[#This Row],[Start Date]]+ProposalToGnatt[[#This Row],[Days]]),$G$5,"")),"")</f>
        <v/>
      </c>
      <c r="X59" s="37" t="str">
        <f ca="1">IFERROR(+IF(X$29=ProposalToGnatt[[#This Row],[Start Date]],Milestone_Marker,IF(AND(X$29&gt;ProposalToGnatt[[#This Row],[Start Date]],X$29&lt;ProposalToGnatt[[#This Row],[Start Date]]+ProposalToGnatt[[#This Row],[Days]]),$G$5,"")),"")</f>
        <v/>
      </c>
      <c r="Y59" s="37" t="str">
        <f ca="1">IFERROR(+IF(Y$29=ProposalToGnatt[[#This Row],[Start Date]],Milestone_Marker,IF(AND(Y$29&gt;ProposalToGnatt[[#This Row],[Start Date]],Y$29&lt;ProposalToGnatt[[#This Row],[Start Date]]+ProposalToGnatt[[#This Row],[Days]]),$G$5,"")),"")</f>
        <v/>
      </c>
      <c r="Z59" s="37" t="str">
        <f ca="1">IFERROR(+IF(Z$29=ProposalToGnatt[[#This Row],[Start Date]],Milestone_Marker,IF(AND(Z$29&gt;ProposalToGnatt[[#This Row],[Start Date]],Z$29&lt;ProposalToGnatt[[#This Row],[Start Date]]+ProposalToGnatt[[#This Row],[Days]]),$G$5,"")),"")</f>
        <v/>
      </c>
      <c r="AA59" s="37" t="str">
        <f ca="1">IFERROR(+IF(AA$29=ProposalToGnatt[[#This Row],[Start Date]],Milestone_Marker,IF(AND(AA$29&gt;ProposalToGnatt[[#This Row],[Start Date]],AA$29&lt;ProposalToGnatt[[#This Row],[Start Date]]+ProposalToGnatt[[#This Row],[Days]]),$G$5,"")),"")</f>
        <v/>
      </c>
      <c r="AB59" s="37" t="str">
        <f ca="1">IFERROR(+IF(AB$29=ProposalToGnatt[[#This Row],[Start Date]],Milestone_Marker,IF(AND(AB$29&gt;ProposalToGnatt[[#This Row],[Start Date]],AB$29&lt;ProposalToGnatt[[#This Row],[Start Date]]+ProposalToGnatt[[#This Row],[Days]]),$G$5,"")),"")</f>
        <v/>
      </c>
      <c r="AC59" s="37" t="str">
        <f ca="1">IFERROR(+IF(AC$29=ProposalToGnatt[[#This Row],[Start Date]],Milestone_Marker,IF(AND(AC$29&gt;ProposalToGnatt[[#This Row],[Start Date]],AC$29&lt;ProposalToGnatt[[#This Row],[Start Date]]+ProposalToGnatt[[#This Row],[Days]]),$G$5,"")),"")</f>
        <v/>
      </c>
      <c r="AD59" s="37" t="str">
        <f ca="1">IFERROR(+IF(AD$29=ProposalToGnatt[[#This Row],[Start Date]],Milestone_Marker,IF(AND(AD$29&gt;ProposalToGnatt[[#This Row],[Start Date]],AD$29&lt;ProposalToGnatt[[#This Row],[Start Date]]+ProposalToGnatt[[#This Row],[Days]]),$G$5,"")),"")</f>
        <v/>
      </c>
      <c r="AE59" s="37" t="str">
        <f ca="1">IFERROR(+IF(AE$29=ProposalToGnatt[[#This Row],[Start Date]],Milestone_Marker,IF(AND(AE$29&gt;ProposalToGnatt[[#This Row],[Start Date]],AE$29&lt;ProposalToGnatt[[#This Row],[Start Date]]+ProposalToGnatt[[#This Row],[Days]]),$G$5,"")),"")</f>
        <v/>
      </c>
      <c r="AF59" s="37" t="str">
        <f ca="1">IFERROR(+IF(AF$29=ProposalToGnatt[[#This Row],[Start Date]],Milestone_Marker,IF(AND(AF$29&gt;ProposalToGnatt[[#This Row],[Start Date]],AF$29&lt;ProposalToGnatt[[#This Row],[Start Date]]+ProposalToGnatt[[#This Row],[Days]]),$G$5,"")),"")</f>
        <v/>
      </c>
      <c r="AG59" s="37" t="str">
        <f ca="1">IFERROR(+IF(AG$29=ProposalToGnatt[[#This Row],[Start Date]],Milestone_Marker,IF(AND(AG$29&gt;ProposalToGnatt[[#This Row],[Start Date]],AG$29&lt;ProposalToGnatt[[#This Row],[Start Date]]+ProposalToGnatt[[#This Row],[Days]]),$G$5,"")),"")</f>
        <v/>
      </c>
      <c r="AH59" s="37" t="str">
        <f ca="1">IFERROR(+IF(AH$29=ProposalToGnatt[[#This Row],[Start Date]],Milestone_Marker,IF(AND(AH$29&gt;ProposalToGnatt[[#This Row],[Start Date]],AH$29&lt;ProposalToGnatt[[#This Row],[Start Date]]+ProposalToGnatt[[#This Row],[Days]]),$G$5,"")),"")</f>
        <v/>
      </c>
      <c r="AI59" s="37" t="str">
        <f ca="1">IFERROR(+IF(AI$29=ProposalToGnatt[[#This Row],[Start Date]],Milestone_Marker,IF(AND(AI$29&gt;ProposalToGnatt[[#This Row],[Start Date]],AI$29&lt;ProposalToGnatt[[#This Row],[Start Date]]+ProposalToGnatt[[#This Row],[Days]]),$G$5,"")),"")</f>
        <v/>
      </c>
      <c r="AJ59" s="37" t="str">
        <f ca="1">IFERROR(+IF(AJ$29=ProposalToGnatt[[#This Row],[Start Date]],Milestone_Marker,IF(AND(AJ$29&gt;ProposalToGnatt[[#This Row],[Start Date]],AJ$29&lt;ProposalToGnatt[[#This Row],[Start Date]]+ProposalToGnatt[[#This Row],[Days]]),$G$5,"")),"")</f>
        <v/>
      </c>
      <c r="AK59" s="37" t="str">
        <f ca="1">IFERROR(+IF(AK$29=ProposalToGnatt[[#This Row],[Start Date]],Milestone_Marker,IF(AND(AK$29&gt;ProposalToGnatt[[#This Row],[Start Date]],AK$29&lt;ProposalToGnatt[[#This Row],[Start Date]]+ProposalToGnatt[[#This Row],[Days]]),$G$5,"")),"")</f>
        <v/>
      </c>
      <c r="AL59" s="37" t="str">
        <f ca="1">IFERROR(+IF(AL$29=ProposalToGnatt[[#This Row],[Start Date]],Milestone_Marker,IF(AND(AL$29&gt;ProposalToGnatt[[#This Row],[Start Date]],AL$29&lt;ProposalToGnatt[[#This Row],[Start Date]]+ProposalToGnatt[[#This Row],[Days]]),$G$5,"")),"")</f>
        <v/>
      </c>
      <c r="AM59" s="37" t="str">
        <f ca="1">IFERROR(+IF(AM$29=ProposalToGnatt[[#This Row],[Start Date]],Milestone_Marker,IF(AND(AM$29&gt;ProposalToGnatt[[#This Row],[Start Date]],AM$29&lt;ProposalToGnatt[[#This Row],[Start Date]]+ProposalToGnatt[[#This Row],[Days]]),$G$5,"")),"")</f>
        <v/>
      </c>
      <c r="AN59" s="37" t="str">
        <f ca="1">IFERROR(+IF(AN$29=ProposalToGnatt[[#This Row],[Start Date]],Milestone_Marker,IF(AND(AN$29&gt;ProposalToGnatt[[#This Row],[Start Date]],AN$29&lt;ProposalToGnatt[[#This Row],[Start Date]]+ProposalToGnatt[[#This Row],[Days]]),$G$5,"")),"")</f>
        <v/>
      </c>
      <c r="AO59" s="37" t="str">
        <f ca="1">IFERROR(+IF(AO$29=ProposalToGnatt[[#This Row],[Start Date]],Milestone_Marker,IF(AND(AO$29&gt;ProposalToGnatt[[#This Row],[Start Date]],AO$29&lt;ProposalToGnatt[[#This Row],[Start Date]]+ProposalToGnatt[[#This Row],[Days]]),$G$5,"")),"")</f>
        <v/>
      </c>
      <c r="AP59" s="37" t="str">
        <f ca="1">IFERROR(+IF(AP$29=ProposalToGnatt[[#This Row],[Start Date]],Milestone_Marker,IF(AND(AP$29&gt;ProposalToGnatt[[#This Row],[Start Date]],AP$29&lt;ProposalToGnatt[[#This Row],[Start Date]]+ProposalToGnatt[[#This Row],[Days]]),$G$5,"")),"")</f>
        <v/>
      </c>
      <c r="AQ59" s="37" t="str">
        <f ca="1">IFERROR(+IF(AQ$29=ProposalToGnatt[[#This Row],[Start Date]],Milestone_Marker,IF(AND(AQ$29&gt;ProposalToGnatt[[#This Row],[Start Date]],AQ$29&lt;ProposalToGnatt[[#This Row],[Start Date]]+ProposalToGnatt[[#This Row],[Days]]),$G$5,"")),"")</f>
        <v/>
      </c>
      <c r="AR59" s="37" t="str">
        <f ca="1">IFERROR(+IF(AR$29=ProposalToGnatt[[#This Row],[Start Date]],Milestone_Marker,IF(AND(AR$29&gt;ProposalToGnatt[[#This Row],[Start Date]],AR$29&lt;ProposalToGnatt[[#This Row],[Start Date]]+ProposalToGnatt[[#This Row],[Days]]),$G$5,"")),"")</f>
        <v/>
      </c>
      <c r="AS59" s="37" t="str">
        <f ca="1">IFERROR(+IF(AS$29=ProposalToGnatt[[#This Row],[Start Date]],Milestone_Marker,IF(AND(AS$29&gt;ProposalToGnatt[[#This Row],[Start Date]],AS$29&lt;ProposalToGnatt[[#This Row],[Start Date]]+ProposalToGnatt[[#This Row],[Days]]),$G$5,"")),"")</f>
        <v/>
      </c>
      <c r="AT59" s="37" t="str">
        <f ca="1">IFERROR(+IF(AT$29=ProposalToGnatt[[#This Row],[Start Date]],Milestone_Marker,IF(AND(AT$29&gt;ProposalToGnatt[[#This Row],[Start Date]],AT$29&lt;ProposalToGnatt[[#This Row],[Start Date]]+ProposalToGnatt[[#This Row],[Days]]),$G$5,"")),"")</f>
        <v/>
      </c>
      <c r="AU59" s="37" t="str">
        <f ca="1">IFERROR(+IF(AU$29=ProposalToGnatt[[#This Row],[Start Date]],Milestone_Marker,IF(AND(AU$29&gt;ProposalToGnatt[[#This Row],[Start Date]],AU$29&lt;ProposalToGnatt[[#This Row],[Start Date]]+ProposalToGnatt[[#This Row],[Days]]),$G$5,"")),"")</f>
        <v/>
      </c>
      <c r="AV59" s="37" t="str">
        <f ca="1">IFERROR(+IF(AV$29=ProposalToGnatt[[#This Row],[Start Date]],Milestone_Marker,IF(AND(AV$29&gt;ProposalToGnatt[[#This Row],[Start Date]],AV$29&lt;ProposalToGnatt[[#This Row],[Start Date]]+ProposalToGnatt[[#This Row],[Days]]),$G$5,"")),"")</f>
        <v/>
      </c>
      <c r="AW59" s="37" t="str">
        <f ca="1">IFERROR(+IF(AW$29=ProposalToGnatt[[#This Row],[Start Date]],Milestone_Marker,IF(AND(AW$29&gt;ProposalToGnatt[[#This Row],[Start Date]],AW$29&lt;ProposalToGnatt[[#This Row],[Start Date]]+ProposalToGnatt[[#This Row],[Days]]),$G$5,"")),"")</f>
        <v/>
      </c>
      <c r="AX59" s="37" t="str">
        <f ca="1">IFERROR(+IF(AX$29=ProposalToGnatt[[#This Row],[Start Date]],Milestone_Marker,IF(AND(AX$29&gt;ProposalToGnatt[[#This Row],[Start Date]],AX$29&lt;ProposalToGnatt[[#This Row],[Start Date]]+ProposalToGnatt[[#This Row],[Days]]),$G$5,"")),"")</f>
        <v/>
      </c>
      <c r="AY59" s="37" t="str">
        <f ca="1">IFERROR(+IF(AY$29=ProposalToGnatt[[#This Row],[Start Date]],Milestone_Marker,IF(AND(AY$29&gt;ProposalToGnatt[[#This Row],[Start Date]],AY$29&lt;ProposalToGnatt[[#This Row],[Start Date]]+ProposalToGnatt[[#This Row],[Days]]),$G$5,"")),"")</f>
        <v/>
      </c>
      <c r="AZ59" s="37" t="str">
        <f ca="1">IFERROR(+IF(AZ$29=ProposalToGnatt[[#This Row],[Start Date]],Milestone_Marker,IF(AND(AZ$29&gt;ProposalToGnatt[[#This Row],[Start Date]],AZ$29&lt;ProposalToGnatt[[#This Row],[Start Date]]+ProposalToGnatt[[#This Row],[Days]]),$G$5,"")),"")</f>
        <v/>
      </c>
      <c r="BA59" s="37" t="str">
        <f ca="1">IFERROR(+IF(BA$29=ProposalToGnatt[[#This Row],[Start Date]],Milestone_Marker,IF(AND(BA$29&gt;ProposalToGnatt[[#This Row],[Start Date]],BA$29&lt;ProposalToGnatt[[#This Row],[Start Date]]+ProposalToGnatt[[#This Row],[Days]]),$G$5,"")),"")</f>
        <v/>
      </c>
      <c r="BB59" s="37" t="str">
        <f ca="1">IFERROR(+IF(BB$29=ProposalToGnatt[[#This Row],[Start Date]],Milestone_Marker,IF(AND(BB$29&gt;ProposalToGnatt[[#This Row],[Start Date]],BB$29&lt;ProposalToGnatt[[#This Row],[Start Date]]+ProposalToGnatt[[#This Row],[Days]]),$G$5,"")),"")</f>
        <v/>
      </c>
      <c r="BC59" s="37" t="str">
        <f ca="1">IFERROR(+IF(BC$29=ProposalToGnatt[[#This Row],[Start Date]],Milestone_Marker,IF(AND(BC$29&gt;ProposalToGnatt[[#This Row],[Start Date]],BC$29&lt;ProposalToGnatt[[#This Row],[Start Date]]+ProposalToGnatt[[#This Row],[Days]]),$G$5,"")),"")</f>
        <v/>
      </c>
      <c r="BD59" s="37" t="str">
        <f ca="1">IFERROR(+IF(BD$29=ProposalToGnatt[[#This Row],[Start Date]],Milestone_Marker,IF(AND(BD$29&gt;ProposalToGnatt[[#This Row],[Start Date]],BD$29&lt;ProposalToGnatt[[#This Row],[Start Date]]+ProposalToGnatt[[#This Row],[Days]]),$G$5,"")),"")</f>
        <v/>
      </c>
      <c r="BE59" s="37" t="str">
        <f ca="1">IFERROR(+IF(BE$29=ProposalToGnatt[[#This Row],[Start Date]],Milestone_Marker,IF(AND(BE$29&gt;ProposalToGnatt[[#This Row],[Start Date]],BE$29&lt;ProposalToGnatt[[#This Row],[Start Date]]+ProposalToGnatt[[#This Row],[Days]]),$G$5,"")),"")</f>
        <v/>
      </c>
      <c r="BF59" s="37" t="str">
        <f ca="1">IFERROR(+IF(BF$29=ProposalToGnatt[[#This Row],[Start Date]],Milestone_Marker,IF(AND(BF$29&gt;ProposalToGnatt[[#This Row],[Start Date]],BF$29&lt;ProposalToGnatt[[#This Row],[Start Date]]+ProposalToGnatt[[#This Row],[Days]]),$G$5,"")),"")</f>
        <v/>
      </c>
      <c r="BG59" s="37" t="str">
        <f ca="1">IFERROR(+IF(BG$29=ProposalToGnatt[[#This Row],[Start Date]],Milestone_Marker,IF(AND(BG$29&gt;ProposalToGnatt[[#This Row],[Start Date]],BG$29&lt;ProposalToGnatt[[#This Row],[Start Date]]+ProposalToGnatt[[#This Row],[Days]]),$G$5,"")),"")</f>
        <v/>
      </c>
      <c r="BH59" s="37" t="str">
        <f ca="1">IFERROR(+IF(BH$29=ProposalToGnatt[[#This Row],[Start Date]],Milestone_Marker,IF(AND(BH$29&gt;ProposalToGnatt[[#This Row],[Start Date]],BH$29&lt;ProposalToGnatt[[#This Row],[Start Date]]+ProposalToGnatt[[#This Row],[Days]]),$G$5,"")),"")</f>
        <v/>
      </c>
      <c r="BI59" s="37" t="str">
        <f ca="1">IFERROR(+IF(BI$29=ProposalToGnatt[[#This Row],[Start Date]],Milestone_Marker,IF(AND(BI$29&gt;ProposalToGnatt[[#This Row],[Start Date]],BI$29&lt;ProposalToGnatt[[#This Row],[Start Date]]+ProposalToGnatt[[#This Row],[Days]]),$G$5,"")),"")</f>
        <v/>
      </c>
      <c r="BJ59" s="37" t="str">
        <f ca="1">IFERROR(+IF(BJ$29=ProposalToGnatt[[#This Row],[Start Date]],Milestone_Marker,IF(AND(BJ$29&gt;ProposalToGnatt[[#This Row],[Start Date]],BJ$29&lt;ProposalToGnatt[[#This Row],[Start Date]]+ProposalToGnatt[[#This Row],[Days]]),$G$5,"")),"")</f>
        <v/>
      </c>
      <c r="BK59" s="37" t="str">
        <f ca="1">IFERROR(+IF(BK$29=ProposalToGnatt[[#This Row],[Start Date]],Milestone_Marker,IF(AND(BK$29&gt;ProposalToGnatt[[#This Row],[Start Date]],BK$29&lt;ProposalToGnatt[[#This Row],[Start Date]]+ProposalToGnatt[[#This Row],[Days]]),$G$5,"")),"")</f>
        <v/>
      </c>
      <c r="BL59" s="37" t="str">
        <f ca="1">IFERROR(+IF(BL$29=ProposalToGnatt[[#This Row],[Start Date]],Milestone_Marker,IF(AND(BL$29&gt;ProposalToGnatt[[#This Row],[Start Date]],BL$29&lt;ProposalToGnatt[[#This Row],[Start Date]]+ProposalToGnatt[[#This Row],[Days]]),$G$5,"")),"")</f>
        <v/>
      </c>
      <c r="BM59" s="37" t="str">
        <f ca="1">IFERROR(+IF(BM$29=ProposalToGnatt[[#This Row],[Start Date]],Milestone_Marker,IF(AND(BM$29&gt;ProposalToGnatt[[#This Row],[Start Date]],BM$29&lt;ProposalToGnatt[[#This Row],[Start Date]]+ProposalToGnatt[[#This Row],[Days]]),$G$5,"")),"")</f>
        <v/>
      </c>
      <c r="BN59" s="37" t="str">
        <f ca="1">IFERROR(+IF(BN$29=ProposalToGnatt[[#This Row],[Start Date]],Milestone_Marker,IF(AND(BN$29&gt;ProposalToGnatt[[#This Row],[Start Date]],BN$29&lt;ProposalToGnatt[[#This Row],[Start Date]]+ProposalToGnatt[[#This Row],[Days]]),$G$5,"")),"")</f>
        <v/>
      </c>
      <c r="BO59" s="37" t="str">
        <f ca="1">IFERROR(+IF(BO$29=ProposalToGnatt[[#This Row],[Start Date]],Milestone_Marker,IF(AND(BO$29&gt;ProposalToGnatt[[#This Row],[Start Date]],BO$29&lt;ProposalToGnatt[[#This Row],[Start Date]]+ProposalToGnatt[[#This Row],[Days]]),$G$5,"")),"")</f>
        <v/>
      </c>
      <c r="BP59" s="37" t="str">
        <f ca="1">IFERROR(+IF(BP$29=ProposalToGnatt[[#This Row],[Start Date]],Milestone_Marker,IF(AND(BP$29&gt;ProposalToGnatt[[#This Row],[Start Date]],BP$29&lt;ProposalToGnatt[[#This Row],[Start Date]]+ProposalToGnatt[[#This Row],[Days]]),$G$5,"")),"")</f>
        <v/>
      </c>
      <c r="BQ59" s="37" t="str">
        <f ca="1">IFERROR(+IF(BQ$29=ProposalToGnatt[[#This Row],[Start Date]],Milestone_Marker,IF(AND(BQ$29&gt;ProposalToGnatt[[#This Row],[Start Date]],BQ$29&lt;ProposalToGnatt[[#This Row],[Start Date]]+ProposalToGnatt[[#This Row],[Days]]),$G$5,"")),"")</f>
        <v/>
      </c>
      <c r="BR59" s="37" t="str">
        <f ca="1">IFERROR(+IF(BR$29=ProposalToGnatt[[#This Row],[Start Date]],Milestone_Marker,IF(AND(BR$29&gt;ProposalToGnatt[[#This Row],[Start Date]],BR$29&lt;ProposalToGnatt[[#This Row],[Start Date]]+ProposalToGnatt[[#This Row],[Days]]),$G$5,"")),"")</f>
        <v/>
      </c>
      <c r="BS59" s="37" t="str">
        <f ca="1">IFERROR(+IF(BS$29=ProposalToGnatt[[#This Row],[Start Date]],Milestone_Marker,IF(AND(BS$29&gt;ProposalToGnatt[[#This Row],[Start Date]],BS$29&lt;ProposalToGnatt[[#This Row],[Start Date]]+ProposalToGnatt[[#This Row],[Days]]),$G$5,"")),"")</f>
        <v/>
      </c>
      <c r="BT59" s="37" t="str">
        <f ca="1">IFERROR(+IF(BT$29=ProposalToGnatt[[#This Row],[Start Date]],Milestone_Marker,IF(AND(BT$29&gt;ProposalToGnatt[[#This Row],[Start Date]],BT$29&lt;ProposalToGnatt[[#This Row],[Start Date]]+ProposalToGnatt[[#This Row],[Days]]),$G$5,"")),"")</f>
        <v/>
      </c>
      <c r="BU59" s="37" t="str">
        <f ca="1">IFERROR(+IF(BU$29=ProposalToGnatt[[#This Row],[Start Date]],Milestone_Marker,IF(AND(BU$29&gt;ProposalToGnatt[[#This Row],[Start Date]],BU$29&lt;ProposalToGnatt[[#This Row],[Start Date]]+ProposalToGnatt[[#This Row],[Days]]),$G$5,"")),"")</f>
        <v/>
      </c>
      <c r="BV59" s="37" t="str">
        <f ca="1">IFERROR(+IF(BV$29=ProposalToGnatt[[#This Row],[Start Date]],Milestone_Marker,IF(AND(BV$29&gt;ProposalToGnatt[[#This Row],[Start Date]],BV$29&lt;ProposalToGnatt[[#This Row],[Start Date]]+ProposalToGnatt[[#This Row],[Days]]),$G$5,"")),"")</f>
        <v/>
      </c>
      <c r="BW59" s="37" t="str">
        <f ca="1">IFERROR(+IF(BW$29=ProposalToGnatt[[#This Row],[Start Date]],Milestone_Marker,IF(AND(BW$29&gt;ProposalToGnatt[[#This Row],[Start Date]],BW$29&lt;ProposalToGnatt[[#This Row],[Start Date]]+ProposalToGnatt[[#This Row],[Days]]),$G$5,"")),"")</f>
        <v/>
      </c>
      <c r="BX59" s="37" t="str">
        <f ca="1">IFERROR(+IF(BX$29=ProposalToGnatt[[#This Row],[Start Date]],Milestone_Marker,IF(AND(BX$29&gt;ProposalToGnatt[[#This Row],[Start Date]],BX$29&lt;ProposalToGnatt[[#This Row],[Start Date]]+ProposalToGnatt[[#This Row],[Days]]),$G$5,"")),"")</f>
        <v/>
      </c>
      <c r="BY59" s="37" t="str">
        <f ca="1">IFERROR(+IF(BY$29=ProposalToGnatt[[#This Row],[Start Date]],Milestone_Marker,IF(AND(BY$29&gt;ProposalToGnatt[[#This Row],[Start Date]],BY$29&lt;ProposalToGnatt[[#This Row],[Start Date]]+ProposalToGnatt[[#This Row],[Days]]),$G$5,"")),"")</f>
        <v/>
      </c>
      <c r="BZ59" s="37" t="str">
        <f ca="1">IFERROR(+IF(BZ$29=ProposalToGnatt[[#This Row],[Start Date]],Milestone_Marker,IF(AND(BZ$29&gt;ProposalToGnatt[[#This Row],[Start Date]],BZ$29&lt;ProposalToGnatt[[#This Row],[Start Date]]+ProposalToGnatt[[#This Row],[Days]]),$G$5,"")),"")</f>
        <v/>
      </c>
      <c r="CA59" s="37" t="str">
        <f ca="1">IFERROR(+IF(CA$29=ProposalToGnatt[[#This Row],[Start Date]],Milestone_Marker,IF(AND(CA$29&gt;ProposalToGnatt[[#This Row],[Start Date]],CA$29&lt;ProposalToGnatt[[#This Row],[Start Date]]+ProposalToGnatt[[#This Row],[Days]]),$G$5,"")),"")</f>
        <v/>
      </c>
      <c r="CB59" s="37" t="str">
        <f ca="1">IFERROR(+IF(CB$29=ProposalToGnatt[[#This Row],[Start Date]],Milestone_Marker,IF(AND(CB$29&gt;ProposalToGnatt[[#This Row],[Start Date]],CB$29&lt;ProposalToGnatt[[#This Row],[Start Date]]+ProposalToGnatt[[#This Row],[Days]]),$G$5,"")),"")</f>
        <v/>
      </c>
      <c r="CC59" s="37" t="str">
        <f ca="1">IFERROR(+IF(CC$29=ProposalToGnatt[[#This Row],[Start Date]],Milestone_Marker,IF(AND(CC$29&gt;ProposalToGnatt[[#This Row],[Start Date]],CC$29&lt;ProposalToGnatt[[#This Row],[Start Date]]+ProposalToGnatt[[#This Row],[Days]]),$G$5,"")),"")</f>
        <v/>
      </c>
      <c r="CD59" s="37" t="str">
        <f ca="1">IFERROR(+IF(CD$29=ProposalToGnatt[[#This Row],[Start Date]],Milestone_Marker,IF(AND(CD$29&gt;ProposalToGnatt[[#This Row],[Start Date]],CD$29&lt;ProposalToGnatt[[#This Row],[Start Date]]+ProposalToGnatt[[#This Row],[Days]]),$G$5,"")),"")</f>
        <v/>
      </c>
      <c r="CE59" s="37" t="str">
        <f ca="1">IFERROR(+IF(CE$29=ProposalToGnatt[[#This Row],[Start Date]],Milestone_Marker,IF(AND(CE$29&gt;ProposalToGnatt[[#This Row],[Start Date]],CE$29&lt;ProposalToGnatt[[#This Row],[Start Date]]+ProposalToGnatt[[#This Row],[Days]]),$G$5,"")),"")</f>
        <v/>
      </c>
      <c r="CF59" s="37" t="str">
        <f ca="1">IFERROR(+IF(CF$29=ProposalToGnatt[[#This Row],[Start Date]],Milestone_Marker,IF(AND(CF$29&gt;ProposalToGnatt[[#This Row],[Start Date]],CF$29&lt;ProposalToGnatt[[#This Row],[Start Date]]+ProposalToGnatt[[#This Row],[Days]]),$G$5,"")),"")</f>
        <v/>
      </c>
      <c r="CG59" s="37" t="str">
        <f ca="1">IFERROR(+IF(CG$29=ProposalToGnatt[[#This Row],[Start Date]],Milestone_Marker,IF(AND(CG$29&gt;ProposalToGnatt[[#This Row],[Start Date]],CG$29&lt;ProposalToGnatt[[#This Row],[Start Date]]+ProposalToGnatt[[#This Row],[Days]]),$G$5,"")),"")</f>
        <v/>
      </c>
      <c r="CH59" s="37" t="str">
        <f ca="1">IFERROR(+IF(CH$29=ProposalToGnatt[[#This Row],[Start Date]],Milestone_Marker,IF(AND(CH$29&gt;ProposalToGnatt[[#This Row],[Start Date]],CH$29&lt;ProposalToGnatt[[#This Row],[Start Date]]+ProposalToGnatt[[#This Row],[Days]]),$G$5,"")),"")</f>
        <v/>
      </c>
      <c r="CI59" s="37" t="str">
        <f ca="1">IFERROR(+IF(CI$29=ProposalToGnatt[[#This Row],[Start Date]],Milestone_Marker,IF(AND(CI$29&gt;ProposalToGnatt[[#This Row],[Start Date]],CI$29&lt;ProposalToGnatt[[#This Row],[Start Date]]+ProposalToGnatt[[#This Row],[Days]]),$G$5,"")),"")</f>
        <v/>
      </c>
      <c r="CJ59" s="37" t="str">
        <f ca="1">IFERROR(+IF(CJ$29=ProposalToGnatt[[#This Row],[Start Date]],Milestone_Marker,IF(AND(CJ$29&gt;ProposalToGnatt[[#This Row],[Start Date]],CJ$29&lt;ProposalToGnatt[[#This Row],[Start Date]]+ProposalToGnatt[[#This Row],[Days]]),$G$5,"")),"")</f>
        <v/>
      </c>
      <c r="CK59" s="37" t="str">
        <f ca="1">IFERROR(+IF(CK$29=ProposalToGnatt[[#This Row],[Start Date]],Milestone_Marker,IF(AND(CK$29&gt;ProposalToGnatt[[#This Row],[Start Date]],CK$29&lt;ProposalToGnatt[[#This Row],[Start Date]]+ProposalToGnatt[[#This Row],[Days]]),$G$5,"")),"")</f>
        <v/>
      </c>
      <c r="CL59" s="37" t="str">
        <f ca="1">IFERROR(+IF(CL$29=ProposalToGnatt[[#This Row],[Start Date]],Milestone_Marker,IF(AND(CL$29&gt;ProposalToGnatt[[#This Row],[Start Date]],CL$29&lt;ProposalToGnatt[[#This Row],[Start Date]]+ProposalToGnatt[[#This Row],[Days]]),$G$5,"")),"")</f>
        <v/>
      </c>
      <c r="CM59" s="37" t="str">
        <f ca="1">IFERROR(+IF(CM$29=ProposalToGnatt[[#This Row],[Start Date]],Milestone_Marker,IF(AND(CM$29&gt;ProposalToGnatt[[#This Row],[Start Date]],CM$29&lt;ProposalToGnatt[[#This Row],[Start Date]]+ProposalToGnatt[[#This Row],[Days]]),$G$5,"")),"")</f>
        <v/>
      </c>
      <c r="CN59" s="37" t="str">
        <f ca="1">IFERROR(+IF(CN$29=ProposalToGnatt[[#This Row],[Start Date]],Milestone_Marker,IF(AND(CN$29&gt;ProposalToGnatt[[#This Row],[Start Date]],CN$29&lt;ProposalToGnatt[[#This Row],[Start Date]]+ProposalToGnatt[[#This Row],[Days]]),$G$5,"")),"")</f>
        <v/>
      </c>
      <c r="CO59" s="37" t="str">
        <f ca="1">IFERROR(+IF(CO$29=ProposalToGnatt[[#This Row],[Start Date]],Milestone_Marker,IF(AND(CO$29&gt;ProposalToGnatt[[#This Row],[Start Date]],CO$29&lt;ProposalToGnatt[[#This Row],[Start Date]]+ProposalToGnatt[[#This Row],[Days]]),$G$5,"")),"")</f>
        <v/>
      </c>
      <c r="CP59" s="37" t="str">
        <f ca="1">IFERROR(+IF(CP$29=ProposalToGnatt[[#This Row],[Start Date]],Milestone_Marker,IF(AND(CP$29&gt;ProposalToGnatt[[#This Row],[Start Date]],CP$29&lt;ProposalToGnatt[[#This Row],[Start Date]]+ProposalToGnatt[[#This Row],[Days]]),$G$5,"")),"")</f>
        <v/>
      </c>
      <c r="CQ59" s="37" t="str">
        <f ca="1">IFERROR(+IF(CQ$29=ProposalToGnatt[[#This Row],[Start Date]],Milestone_Marker,IF(AND(CQ$29&gt;ProposalToGnatt[[#This Row],[Start Date]],CQ$29&lt;ProposalToGnatt[[#This Row],[Start Date]]+ProposalToGnatt[[#This Row],[Days]]),$G$5,"")),"")</f>
        <v/>
      </c>
      <c r="CR59" s="37" t="str">
        <f ca="1">IFERROR(+IF(CR$29=ProposalToGnatt[[#This Row],[Start Date]],Milestone_Marker,IF(AND(CR$29&gt;ProposalToGnatt[[#This Row],[Start Date]],CR$29&lt;ProposalToGnatt[[#This Row],[Start Date]]+ProposalToGnatt[[#This Row],[Days]]),$G$5,"")),"")</f>
        <v/>
      </c>
      <c r="CS59" s="37" t="str">
        <f ca="1">IFERROR(+IF(CS$29=ProposalToGnatt[[#This Row],[Start Date]],Milestone_Marker,IF(AND(CS$29&gt;ProposalToGnatt[[#This Row],[Start Date]],CS$29&lt;ProposalToGnatt[[#This Row],[Start Date]]+ProposalToGnatt[[#This Row],[Days]]),$G$5,"")),"")</f>
        <v/>
      </c>
      <c r="CT59" s="37" t="str">
        <f ca="1">IFERROR(+IF(CT$29=ProposalToGnatt[[#This Row],[Start Date]],Milestone_Marker,IF(AND(CT$29&gt;ProposalToGnatt[[#This Row],[Start Date]],CT$29&lt;ProposalToGnatt[[#This Row],[Start Date]]+ProposalToGnatt[[#This Row],[Days]]),$G$5,"")),"")</f>
        <v/>
      </c>
      <c r="CU59" s="37" t="str">
        <f ca="1">IFERROR(+IF(CU$29=ProposalToGnatt[[#This Row],[Start Date]],Milestone_Marker,IF(AND(CU$29&gt;ProposalToGnatt[[#This Row],[Start Date]],CU$29&lt;ProposalToGnatt[[#This Row],[Start Date]]+ProposalToGnatt[[#This Row],[Days]]),$G$5,"")),"")</f>
        <v/>
      </c>
      <c r="CV59" s="37"/>
      <c r="CW59" s="37"/>
      <c r="CX59" s="37"/>
      <c r="CY59" s="37"/>
      <c r="CZ59" s="37"/>
      <c r="DA59" s="37"/>
      <c r="DB59" s="37"/>
      <c r="DC59" s="37"/>
      <c r="DD59" s="37"/>
      <c r="DE59" s="37"/>
      <c r="DF59" s="37"/>
      <c r="DG59" s="37"/>
      <c r="DH59" s="37"/>
      <c r="DI59" s="37"/>
      <c r="DJ59" s="37"/>
      <c r="DK59" s="37"/>
      <c r="DL59" s="37"/>
      <c r="DM59" s="37"/>
      <c r="DN59" s="37"/>
      <c r="DO59" s="37"/>
      <c r="DP59" s="37"/>
      <c r="DQ59" s="37"/>
      <c r="DR59" s="37"/>
      <c r="DS59" s="37"/>
      <c r="DT59" s="37"/>
      <c r="DU59" s="37"/>
    </row>
    <row r="60" spans="1:125" s="42" customFormat="1" ht="15">
      <c r="A60"/>
      <c r="B60"/>
      <c r="C60"/>
      <c r="D60"/>
      <c r="E60"/>
      <c r="F60"/>
      <c r="G60" s="11"/>
      <c r="H60" s="26"/>
      <c r="I60"/>
      <c r="J60"/>
      <c r="K60" s="402"/>
      <c r="L60"/>
      <c r="M60"/>
      <c r="N60"/>
      <c r="O60" s="26"/>
      <c r="P60" s="37" t="str">
        <f ca="1">IFERROR(+IF(P$29=ProposalToGnatt[[#This Row],[Start Date]],Milestone_Marker,IF(AND(P$29&gt;ProposalToGnatt[[#This Row],[Start Date]],P$29&lt;ProposalToGnatt[[#This Row],[Start Date]]+ProposalToGnatt[[#This Row],[Days]]),$G$5,"")),"")</f>
        <v/>
      </c>
      <c r="Q60" s="37" t="str">
        <f ca="1">IFERROR(+IF(Q$29=ProposalToGnatt[[#This Row],[Start Date]],Milestone_Marker,IF(AND(Q$29&gt;ProposalToGnatt[[#This Row],[Start Date]],Q$29&lt;ProposalToGnatt[[#This Row],[Start Date]]+ProposalToGnatt[[#This Row],[Days]]),$G$5,"")),"")</f>
        <v/>
      </c>
      <c r="R60" s="37" t="str">
        <f ca="1">IFERROR(+IF(R$29=ProposalToGnatt[[#This Row],[Start Date]],Milestone_Marker,IF(AND(R$29&gt;ProposalToGnatt[[#This Row],[Start Date]],R$29&lt;ProposalToGnatt[[#This Row],[Start Date]]+ProposalToGnatt[[#This Row],[Days]]),$G$5,"")),"")</f>
        <v/>
      </c>
      <c r="S60" s="37" t="str">
        <f ca="1">IFERROR(+IF(S$29=ProposalToGnatt[[#This Row],[Start Date]],Milestone_Marker,IF(AND(S$29&gt;ProposalToGnatt[[#This Row],[Start Date]],S$29&lt;ProposalToGnatt[[#This Row],[Start Date]]+ProposalToGnatt[[#This Row],[Days]]),$G$5,"")),"")</f>
        <v/>
      </c>
      <c r="T60" s="37" t="str">
        <f ca="1">IFERROR(+IF(T$29=ProposalToGnatt[[#This Row],[Start Date]],Milestone_Marker,IF(AND(T$29&gt;ProposalToGnatt[[#This Row],[Start Date]],T$29&lt;ProposalToGnatt[[#This Row],[Start Date]]+ProposalToGnatt[[#This Row],[Days]]),$G$5,"")),"")</f>
        <v/>
      </c>
      <c r="U60" s="37" t="str">
        <f ca="1">IFERROR(+IF(U$29=ProposalToGnatt[[#This Row],[Start Date]],Milestone_Marker,IF(AND(U$29&gt;ProposalToGnatt[[#This Row],[Start Date]],U$29&lt;ProposalToGnatt[[#This Row],[Start Date]]+ProposalToGnatt[[#This Row],[Days]]),$G$5,"")),"")</f>
        <v/>
      </c>
      <c r="V60" s="37" t="str">
        <f ca="1">IFERROR(+IF(V$29=ProposalToGnatt[[#This Row],[Start Date]],Milestone_Marker,IF(AND(V$29&gt;ProposalToGnatt[[#This Row],[Start Date]],V$29&lt;ProposalToGnatt[[#This Row],[Start Date]]+ProposalToGnatt[[#This Row],[Days]]),$G$5,"")),"")</f>
        <v/>
      </c>
      <c r="W60" s="37" t="str">
        <f ca="1">IFERROR(+IF(W$29=ProposalToGnatt[[#This Row],[Start Date]],Milestone_Marker,IF(AND(W$29&gt;ProposalToGnatt[[#This Row],[Start Date]],W$29&lt;ProposalToGnatt[[#This Row],[Start Date]]+ProposalToGnatt[[#This Row],[Days]]),$G$5,"")),"")</f>
        <v/>
      </c>
      <c r="X60" s="37" t="str">
        <f ca="1">IFERROR(+IF(X$29=ProposalToGnatt[[#This Row],[Start Date]],Milestone_Marker,IF(AND(X$29&gt;ProposalToGnatt[[#This Row],[Start Date]],X$29&lt;ProposalToGnatt[[#This Row],[Start Date]]+ProposalToGnatt[[#This Row],[Days]]),$G$5,"")),"")</f>
        <v/>
      </c>
      <c r="Y60" s="37" t="str">
        <f ca="1">IFERROR(+IF(Y$29=ProposalToGnatt[[#This Row],[Start Date]],Milestone_Marker,IF(AND(Y$29&gt;ProposalToGnatt[[#This Row],[Start Date]],Y$29&lt;ProposalToGnatt[[#This Row],[Start Date]]+ProposalToGnatt[[#This Row],[Days]]),$G$5,"")),"")</f>
        <v/>
      </c>
      <c r="Z60" s="37" t="str">
        <f ca="1">IFERROR(+IF(Z$29=ProposalToGnatt[[#This Row],[Start Date]],Milestone_Marker,IF(AND(Z$29&gt;ProposalToGnatt[[#This Row],[Start Date]],Z$29&lt;ProposalToGnatt[[#This Row],[Start Date]]+ProposalToGnatt[[#This Row],[Days]]),$G$5,"")),"")</f>
        <v/>
      </c>
      <c r="AA60" s="37" t="str">
        <f ca="1">IFERROR(+IF(AA$29=ProposalToGnatt[[#This Row],[Start Date]],Milestone_Marker,IF(AND(AA$29&gt;ProposalToGnatt[[#This Row],[Start Date]],AA$29&lt;ProposalToGnatt[[#This Row],[Start Date]]+ProposalToGnatt[[#This Row],[Days]]),$G$5,"")),"")</f>
        <v/>
      </c>
      <c r="AB60" s="37" t="str">
        <f ca="1">IFERROR(+IF(AB$29=ProposalToGnatt[[#This Row],[Start Date]],Milestone_Marker,IF(AND(AB$29&gt;ProposalToGnatt[[#This Row],[Start Date]],AB$29&lt;ProposalToGnatt[[#This Row],[Start Date]]+ProposalToGnatt[[#This Row],[Days]]),$G$5,"")),"")</f>
        <v/>
      </c>
      <c r="AC60" s="37" t="str">
        <f ca="1">IFERROR(+IF(AC$29=ProposalToGnatt[[#This Row],[Start Date]],Milestone_Marker,IF(AND(AC$29&gt;ProposalToGnatt[[#This Row],[Start Date]],AC$29&lt;ProposalToGnatt[[#This Row],[Start Date]]+ProposalToGnatt[[#This Row],[Days]]),$G$5,"")),"")</f>
        <v/>
      </c>
      <c r="AD60" s="37" t="str">
        <f ca="1">IFERROR(+IF(AD$29=ProposalToGnatt[[#This Row],[Start Date]],Milestone_Marker,IF(AND(AD$29&gt;ProposalToGnatt[[#This Row],[Start Date]],AD$29&lt;ProposalToGnatt[[#This Row],[Start Date]]+ProposalToGnatt[[#This Row],[Days]]),$G$5,"")),"")</f>
        <v/>
      </c>
      <c r="AE60" s="37" t="str">
        <f ca="1">IFERROR(+IF(AE$29=ProposalToGnatt[[#This Row],[Start Date]],Milestone_Marker,IF(AND(AE$29&gt;ProposalToGnatt[[#This Row],[Start Date]],AE$29&lt;ProposalToGnatt[[#This Row],[Start Date]]+ProposalToGnatt[[#This Row],[Days]]),$G$5,"")),"")</f>
        <v/>
      </c>
      <c r="AF60" s="37" t="str">
        <f ca="1">IFERROR(+IF(AF$29=ProposalToGnatt[[#This Row],[Start Date]],Milestone_Marker,IF(AND(AF$29&gt;ProposalToGnatt[[#This Row],[Start Date]],AF$29&lt;ProposalToGnatt[[#This Row],[Start Date]]+ProposalToGnatt[[#This Row],[Days]]),$G$5,"")),"")</f>
        <v/>
      </c>
      <c r="AG60" s="37" t="str">
        <f ca="1">IFERROR(+IF(AG$29=ProposalToGnatt[[#This Row],[Start Date]],Milestone_Marker,IF(AND(AG$29&gt;ProposalToGnatt[[#This Row],[Start Date]],AG$29&lt;ProposalToGnatt[[#This Row],[Start Date]]+ProposalToGnatt[[#This Row],[Days]]),$G$5,"")),"")</f>
        <v/>
      </c>
      <c r="AH60" s="37" t="str">
        <f ca="1">IFERROR(+IF(AH$29=ProposalToGnatt[[#This Row],[Start Date]],Milestone_Marker,IF(AND(AH$29&gt;ProposalToGnatt[[#This Row],[Start Date]],AH$29&lt;ProposalToGnatt[[#This Row],[Start Date]]+ProposalToGnatt[[#This Row],[Days]]),$G$5,"")),"")</f>
        <v/>
      </c>
      <c r="AI60" s="37" t="str">
        <f ca="1">IFERROR(+IF(AI$29=ProposalToGnatt[[#This Row],[Start Date]],Milestone_Marker,IF(AND(AI$29&gt;ProposalToGnatt[[#This Row],[Start Date]],AI$29&lt;ProposalToGnatt[[#This Row],[Start Date]]+ProposalToGnatt[[#This Row],[Days]]),$G$5,"")),"")</f>
        <v/>
      </c>
      <c r="AJ60" s="37" t="str">
        <f ca="1">IFERROR(+IF(AJ$29=ProposalToGnatt[[#This Row],[Start Date]],Milestone_Marker,IF(AND(AJ$29&gt;ProposalToGnatt[[#This Row],[Start Date]],AJ$29&lt;ProposalToGnatt[[#This Row],[Start Date]]+ProposalToGnatt[[#This Row],[Days]]),$G$5,"")),"")</f>
        <v/>
      </c>
      <c r="AK60" s="37" t="str">
        <f ca="1">IFERROR(+IF(AK$29=ProposalToGnatt[[#This Row],[Start Date]],Milestone_Marker,IF(AND(AK$29&gt;ProposalToGnatt[[#This Row],[Start Date]],AK$29&lt;ProposalToGnatt[[#This Row],[Start Date]]+ProposalToGnatt[[#This Row],[Days]]),$G$5,"")),"")</f>
        <v/>
      </c>
      <c r="AL60" s="37" t="str">
        <f ca="1">IFERROR(+IF(AL$29=ProposalToGnatt[[#This Row],[Start Date]],Milestone_Marker,IF(AND(AL$29&gt;ProposalToGnatt[[#This Row],[Start Date]],AL$29&lt;ProposalToGnatt[[#This Row],[Start Date]]+ProposalToGnatt[[#This Row],[Days]]),$G$5,"")),"")</f>
        <v/>
      </c>
      <c r="AM60" s="37" t="str">
        <f ca="1">IFERROR(+IF(AM$29=ProposalToGnatt[[#This Row],[Start Date]],Milestone_Marker,IF(AND(AM$29&gt;ProposalToGnatt[[#This Row],[Start Date]],AM$29&lt;ProposalToGnatt[[#This Row],[Start Date]]+ProposalToGnatt[[#This Row],[Days]]),$G$5,"")),"")</f>
        <v/>
      </c>
      <c r="AN60" s="37" t="str">
        <f ca="1">IFERROR(+IF(AN$29=ProposalToGnatt[[#This Row],[Start Date]],Milestone_Marker,IF(AND(AN$29&gt;ProposalToGnatt[[#This Row],[Start Date]],AN$29&lt;ProposalToGnatt[[#This Row],[Start Date]]+ProposalToGnatt[[#This Row],[Days]]),$G$5,"")),"")</f>
        <v/>
      </c>
      <c r="AO60" s="37" t="str">
        <f ca="1">IFERROR(+IF(AO$29=ProposalToGnatt[[#This Row],[Start Date]],Milestone_Marker,IF(AND(AO$29&gt;ProposalToGnatt[[#This Row],[Start Date]],AO$29&lt;ProposalToGnatt[[#This Row],[Start Date]]+ProposalToGnatt[[#This Row],[Days]]),$G$5,"")),"")</f>
        <v/>
      </c>
      <c r="AP60" s="37" t="str">
        <f ca="1">IFERROR(+IF(AP$29=ProposalToGnatt[[#This Row],[Start Date]],Milestone_Marker,IF(AND(AP$29&gt;ProposalToGnatt[[#This Row],[Start Date]],AP$29&lt;ProposalToGnatt[[#This Row],[Start Date]]+ProposalToGnatt[[#This Row],[Days]]),$G$5,"")),"")</f>
        <v/>
      </c>
      <c r="AQ60" s="37" t="str">
        <f ca="1">IFERROR(+IF(AQ$29=ProposalToGnatt[[#This Row],[Start Date]],Milestone_Marker,IF(AND(AQ$29&gt;ProposalToGnatt[[#This Row],[Start Date]],AQ$29&lt;ProposalToGnatt[[#This Row],[Start Date]]+ProposalToGnatt[[#This Row],[Days]]),$G$5,"")),"")</f>
        <v/>
      </c>
      <c r="AR60" s="37" t="str">
        <f ca="1">IFERROR(+IF(AR$29=ProposalToGnatt[[#This Row],[Start Date]],Milestone_Marker,IF(AND(AR$29&gt;ProposalToGnatt[[#This Row],[Start Date]],AR$29&lt;ProposalToGnatt[[#This Row],[Start Date]]+ProposalToGnatt[[#This Row],[Days]]),$G$5,"")),"")</f>
        <v/>
      </c>
      <c r="AS60" s="37" t="str">
        <f ca="1">IFERROR(+IF(AS$29=ProposalToGnatt[[#This Row],[Start Date]],Milestone_Marker,IF(AND(AS$29&gt;ProposalToGnatt[[#This Row],[Start Date]],AS$29&lt;ProposalToGnatt[[#This Row],[Start Date]]+ProposalToGnatt[[#This Row],[Days]]),$G$5,"")),"")</f>
        <v/>
      </c>
      <c r="AT60" s="37" t="str">
        <f ca="1">IFERROR(+IF(AT$29=ProposalToGnatt[[#This Row],[Start Date]],Milestone_Marker,IF(AND(AT$29&gt;ProposalToGnatt[[#This Row],[Start Date]],AT$29&lt;ProposalToGnatt[[#This Row],[Start Date]]+ProposalToGnatt[[#This Row],[Days]]),$G$5,"")),"")</f>
        <v/>
      </c>
      <c r="AU60" s="37" t="str">
        <f ca="1">IFERROR(+IF(AU$29=ProposalToGnatt[[#This Row],[Start Date]],Milestone_Marker,IF(AND(AU$29&gt;ProposalToGnatt[[#This Row],[Start Date]],AU$29&lt;ProposalToGnatt[[#This Row],[Start Date]]+ProposalToGnatt[[#This Row],[Days]]),$G$5,"")),"")</f>
        <v/>
      </c>
      <c r="AV60" s="37" t="str">
        <f ca="1">IFERROR(+IF(AV$29=ProposalToGnatt[[#This Row],[Start Date]],Milestone_Marker,IF(AND(AV$29&gt;ProposalToGnatt[[#This Row],[Start Date]],AV$29&lt;ProposalToGnatt[[#This Row],[Start Date]]+ProposalToGnatt[[#This Row],[Days]]),$G$5,"")),"")</f>
        <v/>
      </c>
      <c r="AW60" s="37" t="str">
        <f ca="1">IFERROR(+IF(AW$29=ProposalToGnatt[[#This Row],[Start Date]],Milestone_Marker,IF(AND(AW$29&gt;ProposalToGnatt[[#This Row],[Start Date]],AW$29&lt;ProposalToGnatt[[#This Row],[Start Date]]+ProposalToGnatt[[#This Row],[Days]]),$G$5,"")),"")</f>
        <v/>
      </c>
      <c r="AX60" s="37" t="str">
        <f ca="1">IFERROR(+IF(AX$29=ProposalToGnatt[[#This Row],[Start Date]],Milestone_Marker,IF(AND(AX$29&gt;ProposalToGnatt[[#This Row],[Start Date]],AX$29&lt;ProposalToGnatt[[#This Row],[Start Date]]+ProposalToGnatt[[#This Row],[Days]]),$G$5,"")),"")</f>
        <v/>
      </c>
      <c r="AY60" s="37" t="str">
        <f ca="1">IFERROR(+IF(AY$29=ProposalToGnatt[[#This Row],[Start Date]],Milestone_Marker,IF(AND(AY$29&gt;ProposalToGnatt[[#This Row],[Start Date]],AY$29&lt;ProposalToGnatt[[#This Row],[Start Date]]+ProposalToGnatt[[#This Row],[Days]]),$G$5,"")),"")</f>
        <v/>
      </c>
      <c r="AZ60" s="37" t="str">
        <f ca="1">IFERROR(+IF(AZ$29=ProposalToGnatt[[#This Row],[Start Date]],Milestone_Marker,IF(AND(AZ$29&gt;ProposalToGnatt[[#This Row],[Start Date]],AZ$29&lt;ProposalToGnatt[[#This Row],[Start Date]]+ProposalToGnatt[[#This Row],[Days]]),$G$5,"")),"")</f>
        <v/>
      </c>
      <c r="BA60" s="37" t="str">
        <f ca="1">IFERROR(+IF(BA$29=ProposalToGnatt[[#This Row],[Start Date]],Milestone_Marker,IF(AND(BA$29&gt;ProposalToGnatt[[#This Row],[Start Date]],BA$29&lt;ProposalToGnatt[[#This Row],[Start Date]]+ProposalToGnatt[[#This Row],[Days]]),$G$5,"")),"")</f>
        <v/>
      </c>
      <c r="BB60" s="37" t="str">
        <f ca="1">IFERROR(+IF(BB$29=ProposalToGnatt[[#This Row],[Start Date]],Milestone_Marker,IF(AND(BB$29&gt;ProposalToGnatt[[#This Row],[Start Date]],BB$29&lt;ProposalToGnatt[[#This Row],[Start Date]]+ProposalToGnatt[[#This Row],[Days]]),$G$5,"")),"")</f>
        <v/>
      </c>
      <c r="BC60" s="37" t="str">
        <f ca="1">IFERROR(+IF(BC$29=ProposalToGnatt[[#This Row],[Start Date]],Milestone_Marker,IF(AND(BC$29&gt;ProposalToGnatt[[#This Row],[Start Date]],BC$29&lt;ProposalToGnatt[[#This Row],[Start Date]]+ProposalToGnatt[[#This Row],[Days]]),$G$5,"")),"")</f>
        <v/>
      </c>
      <c r="BD60" s="37" t="str">
        <f ca="1">IFERROR(+IF(BD$29=ProposalToGnatt[[#This Row],[Start Date]],Milestone_Marker,IF(AND(BD$29&gt;ProposalToGnatt[[#This Row],[Start Date]],BD$29&lt;ProposalToGnatt[[#This Row],[Start Date]]+ProposalToGnatt[[#This Row],[Days]]),$G$5,"")),"")</f>
        <v/>
      </c>
      <c r="BE60" s="37" t="str">
        <f ca="1">IFERROR(+IF(BE$29=ProposalToGnatt[[#This Row],[Start Date]],Milestone_Marker,IF(AND(BE$29&gt;ProposalToGnatt[[#This Row],[Start Date]],BE$29&lt;ProposalToGnatt[[#This Row],[Start Date]]+ProposalToGnatt[[#This Row],[Days]]),$G$5,"")),"")</f>
        <v/>
      </c>
      <c r="BF60" s="37" t="str">
        <f ca="1">IFERROR(+IF(BF$29=ProposalToGnatt[[#This Row],[Start Date]],Milestone_Marker,IF(AND(BF$29&gt;ProposalToGnatt[[#This Row],[Start Date]],BF$29&lt;ProposalToGnatt[[#This Row],[Start Date]]+ProposalToGnatt[[#This Row],[Days]]),$G$5,"")),"")</f>
        <v/>
      </c>
      <c r="BG60" s="37" t="str">
        <f ca="1">IFERROR(+IF(BG$29=ProposalToGnatt[[#This Row],[Start Date]],Milestone_Marker,IF(AND(BG$29&gt;ProposalToGnatt[[#This Row],[Start Date]],BG$29&lt;ProposalToGnatt[[#This Row],[Start Date]]+ProposalToGnatt[[#This Row],[Days]]),$G$5,"")),"")</f>
        <v/>
      </c>
      <c r="BH60" s="37" t="str">
        <f ca="1">IFERROR(+IF(BH$29=ProposalToGnatt[[#This Row],[Start Date]],Milestone_Marker,IF(AND(BH$29&gt;ProposalToGnatt[[#This Row],[Start Date]],BH$29&lt;ProposalToGnatt[[#This Row],[Start Date]]+ProposalToGnatt[[#This Row],[Days]]),$G$5,"")),"")</f>
        <v/>
      </c>
      <c r="BI60" s="37" t="str">
        <f ca="1">IFERROR(+IF(BI$29=ProposalToGnatt[[#This Row],[Start Date]],Milestone_Marker,IF(AND(BI$29&gt;ProposalToGnatt[[#This Row],[Start Date]],BI$29&lt;ProposalToGnatt[[#This Row],[Start Date]]+ProposalToGnatt[[#This Row],[Days]]),$G$5,"")),"")</f>
        <v/>
      </c>
      <c r="BJ60" s="37" t="str">
        <f ca="1">IFERROR(+IF(BJ$29=ProposalToGnatt[[#This Row],[Start Date]],Milestone_Marker,IF(AND(BJ$29&gt;ProposalToGnatt[[#This Row],[Start Date]],BJ$29&lt;ProposalToGnatt[[#This Row],[Start Date]]+ProposalToGnatt[[#This Row],[Days]]),$G$5,"")),"")</f>
        <v/>
      </c>
      <c r="BK60" s="37" t="str">
        <f ca="1">IFERROR(+IF(BK$29=ProposalToGnatt[[#This Row],[Start Date]],Milestone_Marker,IF(AND(BK$29&gt;ProposalToGnatt[[#This Row],[Start Date]],BK$29&lt;ProposalToGnatt[[#This Row],[Start Date]]+ProposalToGnatt[[#This Row],[Days]]),$G$5,"")),"")</f>
        <v/>
      </c>
      <c r="BL60" s="37" t="str">
        <f ca="1">IFERROR(+IF(BL$29=ProposalToGnatt[[#This Row],[Start Date]],Milestone_Marker,IF(AND(BL$29&gt;ProposalToGnatt[[#This Row],[Start Date]],BL$29&lt;ProposalToGnatt[[#This Row],[Start Date]]+ProposalToGnatt[[#This Row],[Days]]),$G$5,"")),"")</f>
        <v/>
      </c>
      <c r="BM60" s="37" t="str">
        <f ca="1">IFERROR(+IF(BM$29=ProposalToGnatt[[#This Row],[Start Date]],Milestone_Marker,IF(AND(BM$29&gt;ProposalToGnatt[[#This Row],[Start Date]],BM$29&lt;ProposalToGnatt[[#This Row],[Start Date]]+ProposalToGnatt[[#This Row],[Days]]),$G$5,"")),"")</f>
        <v/>
      </c>
      <c r="BN60" s="37" t="str">
        <f ca="1">IFERROR(+IF(BN$29=ProposalToGnatt[[#This Row],[Start Date]],Milestone_Marker,IF(AND(BN$29&gt;ProposalToGnatt[[#This Row],[Start Date]],BN$29&lt;ProposalToGnatt[[#This Row],[Start Date]]+ProposalToGnatt[[#This Row],[Days]]),$G$5,"")),"")</f>
        <v/>
      </c>
      <c r="BO60" s="37" t="str">
        <f ca="1">IFERROR(+IF(BO$29=ProposalToGnatt[[#This Row],[Start Date]],Milestone_Marker,IF(AND(BO$29&gt;ProposalToGnatt[[#This Row],[Start Date]],BO$29&lt;ProposalToGnatt[[#This Row],[Start Date]]+ProposalToGnatt[[#This Row],[Days]]),$G$5,"")),"")</f>
        <v/>
      </c>
      <c r="BP60" s="37" t="str">
        <f ca="1">IFERROR(+IF(BP$29=ProposalToGnatt[[#This Row],[Start Date]],Milestone_Marker,IF(AND(BP$29&gt;ProposalToGnatt[[#This Row],[Start Date]],BP$29&lt;ProposalToGnatt[[#This Row],[Start Date]]+ProposalToGnatt[[#This Row],[Days]]),$G$5,"")),"")</f>
        <v/>
      </c>
      <c r="BQ60" s="37" t="str">
        <f ca="1">IFERROR(+IF(BQ$29=ProposalToGnatt[[#This Row],[Start Date]],Milestone_Marker,IF(AND(BQ$29&gt;ProposalToGnatt[[#This Row],[Start Date]],BQ$29&lt;ProposalToGnatt[[#This Row],[Start Date]]+ProposalToGnatt[[#This Row],[Days]]),$G$5,"")),"")</f>
        <v/>
      </c>
      <c r="BR60" s="37" t="str">
        <f ca="1">IFERROR(+IF(BR$29=ProposalToGnatt[[#This Row],[Start Date]],Milestone_Marker,IF(AND(BR$29&gt;ProposalToGnatt[[#This Row],[Start Date]],BR$29&lt;ProposalToGnatt[[#This Row],[Start Date]]+ProposalToGnatt[[#This Row],[Days]]),$G$5,"")),"")</f>
        <v/>
      </c>
      <c r="BS60" s="37" t="str">
        <f ca="1">IFERROR(+IF(BS$29=ProposalToGnatt[[#This Row],[Start Date]],Milestone_Marker,IF(AND(BS$29&gt;ProposalToGnatt[[#This Row],[Start Date]],BS$29&lt;ProposalToGnatt[[#This Row],[Start Date]]+ProposalToGnatt[[#This Row],[Days]]),$G$5,"")),"")</f>
        <v/>
      </c>
      <c r="BT60" s="37" t="str">
        <f ca="1">IFERROR(+IF(BT$29=ProposalToGnatt[[#This Row],[Start Date]],Milestone_Marker,IF(AND(BT$29&gt;ProposalToGnatt[[#This Row],[Start Date]],BT$29&lt;ProposalToGnatt[[#This Row],[Start Date]]+ProposalToGnatt[[#This Row],[Days]]),$G$5,"")),"")</f>
        <v/>
      </c>
      <c r="BU60" s="37" t="str">
        <f ca="1">IFERROR(+IF(BU$29=ProposalToGnatt[[#This Row],[Start Date]],Milestone_Marker,IF(AND(BU$29&gt;ProposalToGnatt[[#This Row],[Start Date]],BU$29&lt;ProposalToGnatt[[#This Row],[Start Date]]+ProposalToGnatt[[#This Row],[Days]]),$G$5,"")),"")</f>
        <v/>
      </c>
      <c r="BV60" s="37" t="str">
        <f ca="1">IFERROR(+IF(BV$29=ProposalToGnatt[[#This Row],[Start Date]],Milestone_Marker,IF(AND(BV$29&gt;ProposalToGnatt[[#This Row],[Start Date]],BV$29&lt;ProposalToGnatt[[#This Row],[Start Date]]+ProposalToGnatt[[#This Row],[Days]]),$G$5,"")),"")</f>
        <v/>
      </c>
      <c r="BW60" s="37" t="str">
        <f ca="1">IFERROR(+IF(BW$29=ProposalToGnatt[[#This Row],[Start Date]],Milestone_Marker,IF(AND(BW$29&gt;ProposalToGnatt[[#This Row],[Start Date]],BW$29&lt;ProposalToGnatt[[#This Row],[Start Date]]+ProposalToGnatt[[#This Row],[Days]]),$G$5,"")),"")</f>
        <v/>
      </c>
      <c r="BX60" s="37" t="str">
        <f ca="1">IFERROR(+IF(BX$29=ProposalToGnatt[[#This Row],[Start Date]],Milestone_Marker,IF(AND(BX$29&gt;ProposalToGnatt[[#This Row],[Start Date]],BX$29&lt;ProposalToGnatt[[#This Row],[Start Date]]+ProposalToGnatt[[#This Row],[Days]]),$G$5,"")),"")</f>
        <v/>
      </c>
      <c r="BY60" s="37" t="str">
        <f ca="1">IFERROR(+IF(BY$29=ProposalToGnatt[[#This Row],[Start Date]],Milestone_Marker,IF(AND(BY$29&gt;ProposalToGnatt[[#This Row],[Start Date]],BY$29&lt;ProposalToGnatt[[#This Row],[Start Date]]+ProposalToGnatt[[#This Row],[Days]]),$G$5,"")),"")</f>
        <v/>
      </c>
      <c r="BZ60" s="37" t="str">
        <f ca="1">IFERROR(+IF(BZ$29=ProposalToGnatt[[#This Row],[Start Date]],Milestone_Marker,IF(AND(BZ$29&gt;ProposalToGnatt[[#This Row],[Start Date]],BZ$29&lt;ProposalToGnatt[[#This Row],[Start Date]]+ProposalToGnatt[[#This Row],[Days]]),$G$5,"")),"")</f>
        <v/>
      </c>
      <c r="CA60" s="37" t="str">
        <f ca="1">IFERROR(+IF(CA$29=ProposalToGnatt[[#This Row],[Start Date]],Milestone_Marker,IF(AND(CA$29&gt;ProposalToGnatt[[#This Row],[Start Date]],CA$29&lt;ProposalToGnatt[[#This Row],[Start Date]]+ProposalToGnatt[[#This Row],[Days]]),$G$5,"")),"")</f>
        <v/>
      </c>
      <c r="CB60" s="37" t="str">
        <f ca="1">IFERROR(+IF(CB$29=ProposalToGnatt[[#This Row],[Start Date]],Milestone_Marker,IF(AND(CB$29&gt;ProposalToGnatt[[#This Row],[Start Date]],CB$29&lt;ProposalToGnatt[[#This Row],[Start Date]]+ProposalToGnatt[[#This Row],[Days]]),$G$5,"")),"")</f>
        <v/>
      </c>
      <c r="CC60" s="37" t="str">
        <f ca="1">IFERROR(+IF(CC$29=ProposalToGnatt[[#This Row],[Start Date]],Milestone_Marker,IF(AND(CC$29&gt;ProposalToGnatt[[#This Row],[Start Date]],CC$29&lt;ProposalToGnatt[[#This Row],[Start Date]]+ProposalToGnatt[[#This Row],[Days]]),$G$5,"")),"")</f>
        <v/>
      </c>
      <c r="CD60" s="37" t="str">
        <f ca="1">IFERROR(+IF(CD$29=ProposalToGnatt[[#This Row],[Start Date]],Milestone_Marker,IF(AND(CD$29&gt;ProposalToGnatt[[#This Row],[Start Date]],CD$29&lt;ProposalToGnatt[[#This Row],[Start Date]]+ProposalToGnatt[[#This Row],[Days]]),$G$5,"")),"")</f>
        <v/>
      </c>
      <c r="CE60" s="37" t="str">
        <f ca="1">IFERROR(+IF(CE$29=ProposalToGnatt[[#This Row],[Start Date]],Milestone_Marker,IF(AND(CE$29&gt;ProposalToGnatt[[#This Row],[Start Date]],CE$29&lt;ProposalToGnatt[[#This Row],[Start Date]]+ProposalToGnatt[[#This Row],[Days]]),$G$5,"")),"")</f>
        <v/>
      </c>
      <c r="CF60" s="37" t="str">
        <f ca="1">IFERROR(+IF(CF$29=ProposalToGnatt[[#This Row],[Start Date]],Milestone_Marker,IF(AND(CF$29&gt;ProposalToGnatt[[#This Row],[Start Date]],CF$29&lt;ProposalToGnatt[[#This Row],[Start Date]]+ProposalToGnatt[[#This Row],[Days]]),$G$5,"")),"")</f>
        <v/>
      </c>
      <c r="CG60" s="37" t="str">
        <f ca="1">IFERROR(+IF(CG$29=ProposalToGnatt[[#This Row],[Start Date]],Milestone_Marker,IF(AND(CG$29&gt;ProposalToGnatt[[#This Row],[Start Date]],CG$29&lt;ProposalToGnatt[[#This Row],[Start Date]]+ProposalToGnatt[[#This Row],[Days]]),$G$5,"")),"")</f>
        <v/>
      </c>
      <c r="CH60" s="37" t="str">
        <f ca="1">IFERROR(+IF(CH$29=ProposalToGnatt[[#This Row],[Start Date]],Milestone_Marker,IF(AND(CH$29&gt;ProposalToGnatt[[#This Row],[Start Date]],CH$29&lt;ProposalToGnatt[[#This Row],[Start Date]]+ProposalToGnatt[[#This Row],[Days]]),$G$5,"")),"")</f>
        <v/>
      </c>
      <c r="CI60" s="37" t="str">
        <f ca="1">IFERROR(+IF(CI$29=ProposalToGnatt[[#This Row],[Start Date]],Milestone_Marker,IF(AND(CI$29&gt;ProposalToGnatt[[#This Row],[Start Date]],CI$29&lt;ProposalToGnatt[[#This Row],[Start Date]]+ProposalToGnatt[[#This Row],[Days]]),$G$5,"")),"")</f>
        <v/>
      </c>
      <c r="CJ60" s="37" t="str">
        <f ca="1">IFERROR(+IF(CJ$29=ProposalToGnatt[[#This Row],[Start Date]],Milestone_Marker,IF(AND(CJ$29&gt;ProposalToGnatt[[#This Row],[Start Date]],CJ$29&lt;ProposalToGnatt[[#This Row],[Start Date]]+ProposalToGnatt[[#This Row],[Days]]),$G$5,"")),"")</f>
        <v/>
      </c>
      <c r="CK60" s="37" t="str">
        <f ca="1">IFERROR(+IF(CK$29=ProposalToGnatt[[#This Row],[Start Date]],Milestone_Marker,IF(AND(CK$29&gt;ProposalToGnatt[[#This Row],[Start Date]],CK$29&lt;ProposalToGnatt[[#This Row],[Start Date]]+ProposalToGnatt[[#This Row],[Days]]),$G$5,"")),"")</f>
        <v/>
      </c>
      <c r="CL60" s="37" t="str">
        <f ca="1">IFERROR(+IF(CL$29=ProposalToGnatt[[#This Row],[Start Date]],Milestone_Marker,IF(AND(CL$29&gt;ProposalToGnatt[[#This Row],[Start Date]],CL$29&lt;ProposalToGnatt[[#This Row],[Start Date]]+ProposalToGnatt[[#This Row],[Days]]),$G$5,"")),"")</f>
        <v/>
      </c>
      <c r="CM60" s="37" t="str">
        <f ca="1">IFERROR(+IF(CM$29=ProposalToGnatt[[#This Row],[Start Date]],Milestone_Marker,IF(AND(CM$29&gt;ProposalToGnatt[[#This Row],[Start Date]],CM$29&lt;ProposalToGnatt[[#This Row],[Start Date]]+ProposalToGnatt[[#This Row],[Days]]),$G$5,"")),"")</f>
        <v/>
      </c>
      <c r="CN60" s="37" t="str">
        <f ca="1">IFERROR(+IF(CN$29=ProposalToGnatt[[#This Row],[Start Date]],Milestone_Marker,IF(AND(CN$29&gt;ProposalToGnatt[[#This Row],[Start Date]],CN$29&lt;ProposalToGnatt[[#This Row],[Start Date]]+ProposalToGnatt[[#This Row],[Days]]),$G$5,"")),"")</f>
        <v/>
      </c>
      <c r="CO60" s="37" t="str">
        <f ca="1">IFERROR(+IF(CO$29=ProposalToGnatt[[#This Row],[Start Date]],Milestone_Marker,IF(AND(CO$29&gt;ProposalToGnatt[[#This Row],[Start Date]],CO$29&lt;ProposalToGnatt[[#This Row],[Start Date]]+ProposalToGnatt[[#This Row],[Days]]),$G$5,"")),"")</f>
        <v/>
      </c>
      <c r="CP60" s="37" t="str">
        <f ca="1">IFERROR(+IF(CP$29=ProposalToGnatt[[#This Row],[Start Date]],Milestone_Marker,IF(AND(CP$29&gt;ProposalToGnatt[[#This Row],[Start Date]],CP$29&lt;ProposalToGnatt[[#This Row],[Start Date]]+ProposalToGnatt[[#This Row],[Days]]),$G$5,"")),"")</f>
        <v/>
      </c>
      <c r="CQ60" s="37" t="str">
        <f ca="1">IFERROR(+IF(CQ$29=ProposalToGnatt[[#This Row],[Start Date]],Milestone_Marker,IF(AND(CQ$29&gt;ProposalToGnatt[[#This Row],[Start Date]],CQ$29&lt;ProposalToGnatt[[#This Row],[Start Date]]+ProposalToGnatt[[#This Row],[Days]]),$G$5,"")),"")</f>
        <v/>
      </c>
      <c r="CR60" s="37" t="str">
        <f ca="1">IFERROR(+IF(CR$29=ProposalToGnatt[[#This Row],[Start Date]],Milestone_Marker,IF(AND(CR$29&gt;ProposalToGnatt[[#This Row],[Start Date]],CR$29&lt;ProposalToGnatt[[#This Row],[Start Date]]+ProposalToGnatt[[#This Row],[Days]]),$G$5,"")),"")</f>
        <v/>
      </c>
      <c r="CS60" s="37" t="str">
        <f ca="1">IFERROR(+IF(CS$29=ProposalToGnatt[[#This Row],[Start Date]],Milestone_Marker,IF(AND(CS$29&gt;ProposalToGnatt[[#This Row],[Start Date]],CS$29&lt;ProposalToGnatt[[#This Row],[Start Date]]+ProposalToGnatt[[#This Row],[Days]]),$G$5,"")),"")</f>
        <v/>
      </c>
      <c r="CT60" s="37" t="str">
        <f ca="1">IFERROR(+IF(CT$29=ProposalToGnatt[[#This Row],[Start Date]],Milestone_Marker,IF(AND(CT$29&gt;ProposalToGnatt[[#This Row],[Start Date]],CT$29&lt;ProposalToGnatt[[#This Row],[Start Date]]+ProposalToGnatt[[#This Row],[Days]]),$G$5,"")),"")</f>
        <v/>
      </c>
      <c r="CU60" s="37" t="str">
        <f ca="1">IFERROR(+IF(CU$29=ProposalToGnatt[[#This Row],[Start Date]],Milestone_Marker,IF(AND(CU$29&gt;ProposalToGnatt[[#This Row],[Start Date]],CU$29&lt;ProposalToGnatt[[#This Row],[Start Date]]+ProposalToGnatt[[#This Row],[Days]]),$G$5,"")),"")</f>
        <v/>
      </c>
      <c r="CV60" s="37"/>
      <c r="CW60" s="37"/>
      <c r="CX60" s="37"/>
      <c r="CY60" s="37"/>
      <c r="CZ60" s="37"/>
      <c r="DA60" s="37"/>
      <c r="DB60" s="37"/>
      <c r="DC60" s="37"/>
      <c r="DD60" s="37"/>
      <c r="DE60" s="37"/>
      <c r="DF60" s="37"/>
      <c r="DG60" s="37"/>
      <c r="DH60" s="37"/>
      <c r="DI60" s="37"/>
      <c r="DJ60" s="37"/>
      <c r="DK60" s="37"/>
      <c r="DL60" s="37"/>
      <c r="DM60" s="37"/>
      <c r="DN60" s="37"/>
      <c r="DO60" s="37"/>
      <c r="DP60" s="37"/>
      <c r="DQ60" s="37"/>
      <c r="DR60" s="37"/>
      <c r="DS60" s="37"/>
      <c r="DT60" s="37"/>
      <c r="DU60" s="37"/>
    </row>
    <row r="61" spans="1:125" s="42" customFormat="1" ht="15">
      <c r="A61" s="109"/>
      <c r="B61" s="110"/>
      <c r="C61" s="111"/>
      <c r="D61" s="109"/>
      <c r="E61" s="25"/>
      <c r="F61" s="36"/>
      <c r="G61" s="403"/>
      <c r="H61" s="404"/>
      <c r="I61"/>
      <c r="J61" s="36"/>
      <c r="K61" s="407"/>
      <c r="L61" s="36"/>
      <c r="M61" s="36"/>
      <c r="N61" s="36"/>
      <c r="O61" s="404"/>
      <c r="P61" s="37" t="str">
        <f ca="1">IFERROR(+IF(P$29=ProposalToGnatt[[#This Row],[Start Date]],Milestone_Marker,IF(AND(P$29&gt;ProposalToGnatt[[#This Row],[Start Date]],P$29&lt;ProposalToGnatt[[#This Row],[Start Date]]+ProposalToGnatt[[#This Row],[Days]]),$G$5,"")),"")</f>
        <v/>
      </c>
      <c r="Q61" s="37" t="str">
        <f ca="1">IFERROR(+IF(Q$29=ProposalToGnatt[[#This Row],[Start Date]],Milestone_Marker,IF(AND(Q$29&gt;ProposalToGnatt[[#This Row],[Start Date]],Q$29&lt;ProposalToGnatt[[#This Row],[Start Date]]+ProposalToGnatt[[#This Row],[Days]]),$G$5,"")),"")</f>
        <v/>
      </c>
      <c r="R61" s="37" t="str">
        <f ca="1">IFERROR(+IF(R$29=ProposalToGnatt[[#This Row],[Start Date]],Milestone_Marker,IF(AND(R$29&gt;ProposalToGnatt[[#This Row],[Start Date]],R$29&lt;ProposalToGnatt[[#This Row],[Start Date]]+ProposalToGnatt[[#This Row],[Days]]),$G$5,"")),"")</f>
        <v/>
      </c>
      <c r="S61" s="37" t="str">
        <f ca="1">IFERROR(+IF(S$29=ProposalToGnatt[[#This Row],[Start Date]],Milestone_Marker,IF(AND(S$29&gt;ProposalToGnatt[[#This Row],[Start Date]],S$29&lt;ProposalToGnatt[[#This Row],[Start Date]]+ProposalToGnatt[[#This Row],[Days]]),$G$5,"")),"")</f>
        <v/>
      </c>
      <c r="T61" s="37" t="str">
        <f ca="1">IFERROR(+IF(T$29=ProposalToGnatt[[#This Row],[Start Date]],Milestone_Marker,IF(AND(T$29&gt;ProposalToGnatt[[#This Row],[Start Date]],T$29&lt;ProposalToGnatt[[#This Row],[Start Date]]+ProposalToGnatt[[#This Row],[Days]]),$G$5,"")),"")</f>
        <v/>
      </c>
      <c r="U61" s="37" t="str">
        <f ca="1">IFERROR(+IF(U$29=ProposalToGnatt[[#This Row],[Start Date]],Milestone_Marker,IF(AND(U$29&gt;ProposalToGnatt[[#This Row],[Start Date]],U$29&lt;ProposalToGnatt[[#This Row],[Start Date]]+ProposalToGnatt[[#This Row],[Days]]),$G$5,"")),"")</f>
        <v/>
      </c>
      <c r="V61" s="37" t="str">
        <f ca="1">IFERROR(+IF(V$29=ProposalToGnatt[[#This Row],[Start Date]],Milestone_Marker,IF(AND(V$29&gt;ProposalToGnatt[[#This Row],[Start Date]],V$29&lt;ProposalToGnatt[[#This Row],[Start Date]]+ProposalToGnatt[[#This Row],[Days]]),$G$5,"")),"")</f>
        <v/>
      </c>
      <c r="W61" s="37" t="str">
        <f ca="1">IFERROR(+IF(W$29=ProposalToGnatt[[#This Row],[Start Date]],Milestone_Marker,IF(AND(W$29&gt;ProposalToGnatt[[#This Row],[Start Date]],W$29&lt;ProposalToGnatt[[#This Row],[Start Date]]+ProposalToGnatt[[#This Row],[Days]]),$G$5,"")),"")</f>
        <v/>
      </c>
      <c r="X61" s="37" t="str">
        <f ca="1">IFERROR(+IF(X$29=ProposalToGnatt[[#This Row],[Start Date]],Milestone_Marker,IF(AND(X$29&gt;ProposalToGnatt[[#This Row],[Start Date]],X$29&lt;ProposalToGnatt[[#This Row],[Start Date]]+ProposalToGnatt[[#This Row],[Days]]),$G$5,"")),"")</f>
        <v/>
      </c>
      <c r="Y61" s="37" t="str">
        <f ca="1">IFERROR(+IF(Y$29=ProposalToGnatt[[#This Row],[Start Date]],Milestone_Marker,IF(AND(Y$29&gt;ProposalToGnatt[[#This Row],[Start Date]],Y$29&lt;ProposalToGnatt[[#This Row],[Start Date]]+ProposalToGnatt[[#This Row],[Days]]),$G$5,"")),"")</f>
        <v/>
      </c>
      <c r="Z61" s="37" t="str">
        <f ca="1">IFERROR(+IF(Z$29=ProposalToGnatt[[#This Row],[Start Date]],Milestone_Marker,IF(AND(Z$29&gt;ProposalToGnatt[[#This Row],[Start Date]],Z$29&lt;ProposalToGnatt[[#This Row],[Start Date]]+ProposalToGnatt[[#This Row],[Days]]),$G$5,"")),"")</f>
        <v/>
      </c>
      <c r="AA61" s="37" t="str">
        <f ca="1">IFERROR(+IF(AA$29=ProposalToGnatt[[#This Row],[Start Date]],Milestone_Marker,IF(AND(AA$29&gt;ProposalToGnatt[[#This Row],[Start Date]],AA$29&lt;ProposalToGnatt[[#This Row],[Start Date]]+ProposalToGnatt[[#This Row],[Days]]),$G$5,"")),"")</f>
        <v/>
      </c>
      <c r="AB61" s="37" t="str">
        <f ca="1">IFERROR(+IF(AB$29=ProposalToGnatt[[#This Row],[Start Date]],Milestone_Marker,IF(AND(AB$29&gt;ProposalToGnatt[[#This Row],[Start Date]],AB$29&lt;ProposalToGnatt[[#This Row],[Start Date]]+ProposalToGnatt[[#This Row],[Days]]),$G$5,"")),"")</f>
        <v/>
      </c>
      <c r="AC61" s="37" t="str">
        <f ca="1">IFERROR(+IF(AC$29=ProposalToGnatt[[#This Row],[Start Date]],Milestone_Marker,IF(AND(AC$29&gt;ProposalToGnatt[[#This Row],[Start Date]],AC$29&lt;ProposalToGnatt[[#This Row],[Start Date]]+ProposalToGnatt[[#This Row],[Days]]),$G$5,"")),"")</f>
        <v/>
      </c>
      <c r="AD61" s="37" t="str">
        <f ca="1">IFERROR(+IF(AD$29=ProposalToGnatt[[#This Row],[Start Date]],Milestone_Marker,IF(AND(AD$29&gt;ProposalToGnatt[[#This Row],[Start Date]],AD$29&lt;ProposalToGnatt[[#This Row],[Start Date]]+ProposalToGnatt[[#This Row],[Days]]),$G$5,"")),"")</f>
        <v/>
      </c>
      <c r="AE61" s="37" t="str">
        <f ca="1">IFERROR(+IF(AE$29=ProposalToGnatt[[#This Row],[Start Date]],Milestone_Marker,IF(AND(AE$29&gt;ProposalToGnatt[[#This Row],[Start Date]],AE$29&lt;ProposalToGnatt[[#This Row],[Start Date]]+ProposalToGnatt[[#This Row],[Days]]),$G$5,"")),"")</f>
        <v/>
      </c>
      <c r="AF61" s="37" t="str">
        <f ca="1">IFERROR(+IF(AF$29=ProposalToGnatt[[#This Row],[Start Date]],Milestone_Marker,IF(AND(AF$29&gt;ProposalToGnatt[[#This Row],[Start Date]],AF$29&lt;ProposalToGnatt[[#This Row],[Start Date]]+ProposalToGnatt[[#This Row],[Days]]),$G$5,"")),"")</f>
        <v/>
      </c>
      <c r="AG61" s="37" t="str">
        <f ca="1">IFERROR(+IF(AG$29=ProposalToGnatt[[#This Row],[Start Date]],Milestone_Marker,IF(AND(AG$29&gt;ProposalToGnatt[[#This Row],[Start Date]],AG$29&lt;ProposalToGnatt[[#This Row],[Start Date]]+ProposalToGnatt[[#This Row],[Days]]),$G$5,"")),"")</f>
        <v/>
      </c>
      <c r="AH61" s="37" t="str">
        <f ca="1">IFERROR(+IF(AH$29=ProposalToGnatt[[#This Row],[Start Date]],Milestone_Marker,IF(AND(AH$29&gt;ProposalToGnatt[[#This Row],[Start Date]],AH$29&lt;ProposalToGnatt[[#This Row],[Start Date]]+ProposalToGnatt[[#This Row],[Days]]),$G$5,"")),"")</f>
        <v/>
      </c>
      <c r="AI61" s="37" t="str">
        <f ca="1">IFERROR(+IF(AI$29=ProposalToGnatt[[#This Row],[Start Date]],Milestone_Marker,IF(AND(AI$29&gt;ProposalToGnatt[[#This Row],[Start Date]],AI$29&lt;ProposalToGnatt[[#This Row],[Start Date]]+ProposalToGnatt[[#This Row],[Days]]),$G$5,"")),"")</f>
        <v/>
      </c>
      <c r="AJ61" s="37" t="str">
        <f ca="1">IFERROR(+IF(AJ$29=ProposalToGnatt[[#This Row],[Start Date]],Milestone_Marker,IF(AND(AJ$29&gt;ProposalToGnatt[[#This Row],[Start Date]],AJ$29&lt;ProposalToGnatt[[#This Row],[Start Date]]+ProposalToGnatt[[#This Row],[Days]]),$G$5,"")),"")</f>
        <v/>
      </c>
      <c r="AK61" s="37" t="str">
        <f ca="1">IFERROR(+IF(AK$29=ProposalToGnatt[[#This Row],[Start Date]],Milestone_Marker,IF(AND(AK$29&gt;ProposalToGnatt[[#This Row],[Start Date]],AK$29&lt;ProposalToGnatt[[#This Row],[Start Date]]+ProposalToGnatt[[#This Row],[Days]]),$G$5,"")),"")</f>
        <v/>
      </c>
      <c r="AL61" s="37" t="str">
        <f ca="1">IFERROR(+IF(AL$29=ProposalToGnatt[[#This Row],[Start Date]],Milestone_Marker,IF(AND(AL$29&gt;ProposalToGnatt[[#This Row],[Start Date]],AL$29&lt;ProposalToGnatt[[#This Row],[Start Date]]+ProposalToGnatt[[#This Row],[Days]]),$G$5,"")),"")</f>
        <v/>
      </c>
      <c r="AM61" s="37" t="str">
        <f ca="1">IFERROR(+IF(AM$29=ProposalToGnatt[[#This Row],[Start Date]],Milestone_Marker,IF(AND(AM$29&gt;ProposalToGnatt[[#This Row],[Start Date]],AM$29&lt;ProposalToGnatt[[#This Row],[Start Date]]+ProposalToGnatt[[#This Row],[Days]]),$G$5,"")),"")</f>
        <v/>
      </c>
      <c r="AN61" s="37" t="str">
        <f ca="1">IFERROR(+IF(AN$29=ProposalToGnatt[[#This Row],[Start Date]],Milestone_Marker,IF(AND(AN$29&gt;ProposalToGnatt[[#This Row],[Start Date]],AN$29&lt;ProposalToGnatt[[#This Row],[Start Date]]+ProposalToGnatt[[#This Row],[Days]]),$G$5,"")),"")</f>
        <v/>
      </c>
      <c r="AO61" s="37" t="str">
        <f ca="1">IFERROR(+IF(AO$29=ProposalToGnatt[[#This Row],[Start Date]],Milestone_Marker,IF(AND(AO$29&gt;ProposalToGnatt[[#This Row],[Start Date]],AO$29&lt;ProposalToGnatt[[#This Row],[Start Date]]+ProposalToGnatt[[#This Row],[Days]]),$G$5,"")),"")</f>
        <v/>
      </c>
      <c r="AP61" s="37" t="str">
        <f ca="1">IFERROR(+IF(AP$29=ProposalToGnatt[[#This Row],[Start Date]],Milestone_Marker,IF(AND(AP$29&gt;ProposalToGnatt[[#This Row],[Start Date]],AP$29&lt;ProposalToGnatt[[#This Row],[Start Date]]+ProposalToGnatt[[#This Row],[Days]]),$G$5,"")),"")</f>
        <v/>
      </c>
      <c r="AQ61" s="37" t="str">
        <f ca="1">IFERROR(+IF(AQ$29=ProposalToGnatt[[#This Row],[Start Date]],Milestone_Marker,IF(AND(AQ$29&gt;ProposalToGnatt[[#This Row],[Start Date]],AQ$29&lt;ProposalToGnatt[[#This Row],[Start Date]]+ProposalToGnatt[[#This Row],[Days]]),$G$5,"")),"")</f>
        <v/>
      </c>
      <c r="AR61" s="37" t="str">
        <f ca="1">IFERROR(+IF(AR$29=ProposalToGnatt[[#This Row],[Start Date]],Milestone_Marker,IF(AND(AR$29&gt;ProposalToGnatt[[#This Row],[Start Date]],AR$29&lt;ProposalToGnatt[[#This Row],[Start Date]]+ProposalToGnatt[[#This Row],[Days]]),$G$5,"")),"")</f>
        <v/>
      </c>
      <c r="AS61" s="37" t="str">
        <f ca="1">IFERROR(+IF(AS$29=ProposalToGnatt[[#This Row],[Start Date]],Milestone_Marker,IF(AND(AS$29&gt;ProposalToGnatt[[#This Row],[Start Date]],AS$29&lt;ProposalToGnatt[[#This Row],[Start Date]]+ProposalToGnatt[[#This Row],[Days]]),$G$5,"")),"")</f>
        <v/>
      </c>
      <c r="AT61" s="37" t="str">
        <f ca="1">IFERROR(+IF(AT$29=ProposalToGnatt[[#This Row],[Start Date]],Milestone_Marker,IF(AND(AT$29&gt;ProposalToGnatt[[#This Row],[Start Date]],AT$29&lt;ProposalToGnatt[[#This Row],[Start Date]]+ProposalToGnatt[[#This Row],[Days]]),$G$5,"")),"")</f>
        <v/>
      </c>
      <c r="AU61" s="37" t="str">
        <f ca="1">IFERROR(+IF(AU$29=ProposalToGnatt[[#This Row],[Start Date]],Milestone_Marker,IF(AND(AU$29&gt;ProposalToGnatt[[#This Row],[Start Date]],AU$29&lt;ProposalToGnatt[[#This Row],[Start Date]]+ProposalToGnatt[[#This Row],[Days]]),$G$5,"")),"")</f>
        <v/>
      </c>
      <c r="AV61" s="37" t="str">
        <f ca="1">IFERROR(+IF(AV$29=ProposalToGnatt[[#This Row],[Start Date]],Milestone_Marker,IF(AND(AV$29&gt;ProposalToGnatt[[#This Row],[Start Date]],AV$29&lt;ProposalToGnatt[[#This Row],[Start Date]]+ProposalToGnatt[[#This Row],[Days]]),$G$5,"")),"")</f>
        <v/>
      </c>
      <c r="AW61" s="37" t="str">
        <f ca="1">IFERROR(+IF(AW$29=ProposalToGnatt[[#This Row],[Start Date]],Milestone_Marker,IF(AND(AW$29&gt;ProposalToGnatt[[#This Row],[Start Date]],AW$29&lt;ProposalToGnatt[[#This Row],[Start Date]]+ProposalToGnatt[[#This Row],[Days]]),$G$5,"")),"")</f>
        <v/>
      </c>
      <c r="AX61" s="37" t="str">
        <f ca="1">IFERROR(+IF(AX$29=ProposalToGnatt[[#This Row],[Start Date]],Milestone_Marker,IF(AND(AX$29&gt;ProposalToGnatt[[#This Row],[Start Date]],AX$29&lt;ProposalToGnatt[[#This Row],[Start Date]]+ProposalToGnatt[[#This Row],[Days]]),$G$5,"")),"")</f>
        <v/>
      </c>
      <c r="AY61" s="37" t="str">
        <f ca="1">IFERROR(+IF(AY$29=ProposalToGnatt[[#This Row],[Start Date]],Milestone_Marker,IF(AND(AY$29&gt;ProposalToGnatt[[#This Row],[Start Date]],AY$29&lt;ProposalToGnatt[[#This Row],[Start Date]]+ProposalToGnatt[[#This Row],[Days]]),$G$5,"")),"")</f>
        <v/>
      </c>
      <c r="AZ61" s="37" t="str">
        <f ca="1">IFERROR(+IF(AZ$29=ProposalToGnatt[[#This Row],[Start Date]],Milestone_Marker,IF(AND(AZ$29&gt;ProposalToGnatt[[#This Row],[Start Date]],AZ$29&lt;ProposalToGnatt[[#This Row],[Start Date]]+ProposalToGnatt[[#This Row],[Days]]),$G$5,"")),"")</f>
        <v/>
      </c>
      <c r="BA61" s="37" t="str">
        <f ca="1">IFERROR(+IF(BA$29=ProposalToGnatt[[#This Row],[Start Date]],Milestone_Marker,IF(AND(BA$29&gt;ProposalToGnatt[[#This Row],[Start Date]],BA$29&lt;ProposalToGnatt[[#This Row],[Start Date]]+ProposalToGnatt[[#This Row],[Days]]),$G$5,"")),"")</f>
        <v/>
      </c>
      <c r="BB61" s="37" t="str">
        <f ca="1">IFERROR(+IF(BB$29=ProposalToGnatt[[#This Row],[Start Date]],Milestone_Marker,IF(AND(BB$29&gt;ProposalToGnatt[[#This Row],[Start Date]],BB$29&lt;ProposalToGnatt[[#This Row],[Start Date]]+ProposalToGnatt[[#This Row],[Days]]),$G$5,"")),"")</f>
        <v/>
      </c>
      <c r="BC61" s="37" t="str">
        <f ca="1">IFERROR(+IF(BC$29=ProposalToGnatt[[#This Row],[Start Date]],Milestone_Marker,IF(AND(BC$29&gt;ProposalToGnatt[[#This Row],[Start Date]],BC$29&lt;ProposalToGnatt[[#This Row],[Start Date]]+ProposalToGnatt[[#This Row],[Days]]),$G$5,"")),"")</f>
        <v/>
      </c>
      <c r="BD61" s="37" t="str">
        <f ca="1">IFERROR(+IF(BD$29=ProposalToGnatt[[#This Row],[Start Date]],Milestone_Marker,IF(AND(BD$29&gt;ProposalToGnatt[[#This Row],[Start Date]],BD$29&lt;ProposalToGnatt[[#This Row],[Start Date]]+ProposalToGnatt[[#This Row],[Days]]),$G$5,"")),"")</f>
        <v/>
      </c>
      <c r="BE61" s="37" t="str">
        <f ca="1">IFERROR(+IF(BE$29=ProposalToGnatt[[#This Row],[Start Date]],Milestone_Marker,IF(AND(BE$29&gt;ProposalToGnatt[[#This Row],[Start Date]],BE$29&lt;ProposalToGnatt[[#This Row],[Start Date]]+ProposalToGnatt[[#This Row],[Days]]),$G$5,"")),"")</f>
        <v/>
      </c>
      <c r="BF61" s="37" t="str">
        <f ca="1">IFERROR(+IF(BF$29=ProposalToGnatt[[#This Row],[Start Date]],Milestone_Marker,IF(AND(BF$29&gt;ProposalToGnatt[[#This Row],[Start Date]],BF$29&lt;ProposalToGnatt[[#This Row],[Start Date]]+ProposalToGnatt[[#This Row],[Days]]),$G$5,"")),"")</f>
        <v/>
      </c>
      <c r="BG61" s="37" t="str">
        <f ca="1">IFERROR(+IF(BG$29=ProposalToGnatt[[#This Row],[Start Date]],Milestone_Marker,IF(AND(BG$29&gt;ProposalToGnatt[[#This Row],[Start Date]],BG$29&lt;ProposalToGnatt[[#This Row],[Start Date]]+ProposalToGnatt[[#This Row],[Days]]),$G$5,"")),"")</f>
        <v/>
      </c>
      <c r="BH61" s="37" t="str">
        <f ca="1">IFERROR(+IF(BH$29=ProposalToGnatt[[#This Row],[Start Date]],Milestone_Marker,IF(AND(BH$29&gt;ProposalToGnatt[[#This Row],[Start Date]],BH$29&lt;ProposalToGnatt[[#This Row],[Start Date]]+ProposalToGnatt[[#This Row],[Days]]),$G$5,"")),"")</f>
        <v/>
      </c>
      <c r="BI61" s="37" t="str">
        <f ca="1">IFERROR(+IF(BI$29=ProposalToGnatt[[#This Row],[Start Date]],Milestone_Marker,IF(AND(BI$29&gt;ProposalToGnatt[[#This Row],[Start Date]],BI$29&lt;ProposalToGnatt[[#This Row],[Start Date]]+ProposalToGnatt[[#This Row],[Days]]),$G$5,"")),"")</f>
        <v/>
      </c>
      <c r="BJ61" s="37" t="str">
        <f ca="1">IFERROR(+IF(BJ$29=ProposalToGnatt[[#This Row],[Start Date]],Milestone_Marker,IF(AND(BJ$29&gt;ProposalToGnatt[[#This Row],[Start Date]],BJ$29&lt;ProposalToGnatt[[#This Row],[Start Date]]+ProposalToGnatt[[#This Row],[Days]]),$G$5,"")),"")</f>
        <v/>
      </c>
      <c r="BK61" s="37" t="str">
        <f ca="1">IFERROR(+IF(BK$29=ProposalToGnatt[[#This Row],[Start Date]],Milestone_Marker,IF(AND(BK$29&gt;ProposalToGnatt[[#This Row],[Start Date]],BK$29&lt;ProposalToGnatt[[#This Row],[Start Date]]+ProposalToGnatt[[#This Row],[Days]]),$G$5,"")),"")</f>
        <v/>
      </c>
      <c r="BL61" s="37" t="str">
        <f ca="1">IFERROR(+IF(BL$29=ProposalToGnatt[[#This Row],[Start Date]],Milestone_Marker,IF(AND(BL$29&gt;ProposalToGnatt[[#This Row],[Start Date]],BL$29&lt;ProposalToGnatt[[#This Row],[Start Date]]+ProposalToGnatt[[#This Row],[Days]]),$G$5,"")),"")</f>
        <v/>
      </c>
      <c r="BM61" s="37" t="str">
        <f ca="1">IFERROR(+IF(BM$29=ProposalToGnatt[[#This Row],[Start Date]],Milestone_Marker,IF(AND(BM$29&gt;ProposalToGnatt[[#This Row],[Start Date]],BM$29&lt;ProposalToGnatt[[#This Row],[Start Date]]+ProposalToGnatt[[#This Row],[Days]]),$G$5,"")),"")</f>
        <v/>
      </c>
      <c r="BN61" s="37" t="str">
        <f ca="1">IFERROR(+IF(BN$29=ProposalToGnatt[[#This Row],[Start Date]],Milestone_Marker,IF(AND(BN$29&gt;ProposalToGnatt[[#This Row],[Start Date]],BN$29&lt;ProposalToGnatt[[#This Row],[Start Date]]+ProposalToGnatt[[#This Row],[Days]]),$G$5,"")),"")</f>
        <v/>
      </c>
      <c r="BO61" s="37" t="str">
        <f ca="1">IFERROR(+IF(BO$29=ProposalToGnatt[[#This Row],[Start Date]],Milestone_Marker,IF(AND(BO$29&gt;ProposalToGnatt[[#This Row],[Start Date]],BO$29&lt;ProposalToGnatt[[#This Row],[Start Date]]+ProposalToGnatt[[#This Row],[Days]]),$G$5,"")),"")</f>
        <v/>
      </c>
      <c r="BP61" s="37" t="str">
        <f ca="1">IFERROR(+IF(BP$29=ProposalToGnatt[[#This Row],[Start Date]],Milestone_Marker,IF(AND(BP$29&gt;ProposalToGnatt[[#This Row],[Start Date]],BP$29&lt;ProposalToGnatt[[#This Row],[Start Date]]+ProposalToGnatt[[#This Row],[Days]]),$G$5,"")),"")</f>
        <v/>
      </c>
      <c r="BQ61" s="37" t="str">
        <f ca="1">IFERROR(+IF(BQ$29=ProposalToGnatt[[#This Row],[Start Date]],Milestone_Marker,IF(AND(BQ$29&gt;ProposalToGnatt[[#This Row],[Start Date]],BQ$29&lt;ProposalToGnatt[[#This Row],[Start Date]]+ProposalToGnatt[[#This Row],[Days]]),$G$5,"")),"")</f>
        <v/>
      </c>
      <c r="BR61" s="37" t="str">
        <f ca="1">IFERROR(+IF(BR$29=ProposalToGnatt[[#This Row],[Start Date]],Milestone_Marker,IF(AND(BR$29&gt;ProposalToGnatt[[#This Row],[Start Date]],BR$29&lt;ProposalToGnatt[[#This Row],[Start Date]]+ProposalToGnatt[[#This Row],[Days]]),$G$5,"")),"")</f>
        <v/>
      </c>
      <c r="BS61" s="37" t="str">
        <f ca="1">IFERROR(+IF(BS$29=ProposalToGnatt[[#This Row],[Start Date]],Milestone_Marker,IF(AND(BS$29&gt;ProposalToGnatt[[#This Row],[Start Date]],BS$29&lt;ProposalToGnatt[[#This Row],[Start Date]]+ProposalToGnatt[[#This Row],[Days]]),$G$5,"")),"")</f>
        <v/>
      </c>
      <c r="BT61" s="37" t="str">
        <f ca="1">IFERROR(+IF(BT$29=ProposalToGnatt[[#This Row],[Start Date]],Milestone_Marker,IF(AND(BT$29&gt;ProposalToGnatt[[#This Row],[Start Date]],BT$29&lt;ProposalToGnatt[[#This Row],[Start Date]]+ProposalToGnatt[[#This Row],[Days]]),$G$5,"")),"")</f>
        <v/>
      </c>
      <c r="BU61" s="37" t="str">
        <f ca="1">IFERROR(+IF(BU$29=ProposalToGnatt[[#This Row],[Start Date]],Milestone_Marker,IF(AND(BU$29&gt;ProposalToGnatt[[#This Row],[Start Date]],BU$29&lt;ProposalToGnatt[[#This Row],[Start Date]]+ProposalToGnatt[[#This Row],[Days]]),$G$5,"")),"")</f>
        <v/>
      </c>
      <c r="BV61" s="37" t="str">
        <f ca="1">IFERROR(+IF(BV$29=ProposalToGnatt[[#This Row],[Start Date]],Milestone_Marker,IF(AND(BV$29&gt;ProposalToGnatt[[#This Row],[Start Date]],BV$29&lt;ProposalToGnatt[[#This Row],[Start Date]]+ProposalToGnatt[[#This Row],[Days]]),$G$5,"")),"")</f>
        <v/>
      </c>
      <c r="BW61" s="37" t="str">
        <f ca="1">IFERROR(+IF(BW$29=ProposalToGnatt[[#This Row],[Start Date]],Milestone_Marker,IF(AND(BW$29&gt;ProposalToGnatt[[#This Row],[Start Date]],BW$29&lt;ProposalToGnatt[[#This Row],[Start Date]]+ProposalToGnatt[[#This Row],[Days]]),$G$5,"")),"")</f>
        <v/>
      </c>
      <c r="BX61" s="37" t="str">
        <f ca="1">IFERROR(+IF(BX$29=ProposalToGnatt[[#This Row],[Start Date]],Milestone_Marker,IF(AND(BX$29&gt;ProposalToGnatt[[#This Row],[Start Date]],BX$29&lt;ProposalToGnatt[[#This Row],[Start Date]]+ProposalToGnatt[[#This Row],[Days]]),$G$5,"")),"")</f>
        <v/>
      </c>
      <c r="BY61" s="37" t="str">
        <f ca="1">IFERROR(+IF(BY$29=ProposalToGnatt[[#This Row],[Start Date]],Milestone_Marker,IF(AND(BY$29&gt;ProposalToGnatt[[#This Row],[Start Date]],BY$29&lt;ProposalToGnatt[[#This Row],[Start Date]]+ProposalToGnatt[[#This Row],[Days]]),$G$5,"")),"")</f>
        <v/>
      </c>
      <c r="BZ61" s="37" t="str">
        <f ca="1">IFERROR(+IF(BZ$29=ProposalToGnatt[[#This Row],[Start Date]],Milestone_Marker,IF(AND(BZ$29&gt;ProposalToGnatt[[#This Row],[Start Date]],BZ$29&lt;ProposalToGnatt[[#This Row],[Start Date]]+ProposalToGnatt[[#This Row],[Days]]),$G$5,"")),"")</f>
        <v/>
      </c>
      <c r="CA61" s="37" t="str">
        <f ca="1">IFERROR(+IF(CA$29=ProposalToGnatt[[#This Row],[Start Date]],Milestone_Marker,IF(AND(CA$29&gt;ProposalToGnatt[[#This Row],[Start Date]],CA$29&lt;ProposalToGnatt[[#This Row],[Start Date]]+ProposalToGnatt[[#This Row],[Days]]),$G$5,"")),"")</f>
        <v/>
      </c>
      <c r="CB61" s="37" t="str">
        <f ca="1">IFERROR(+IF(CB$29=ProposalToGnatt[[#This Row],[Start Date]],Milestone_Marker,IF(AND(CB$29&gt;ProposalToGnatt[[#This Row],[Start Date]],CB$29&lt;ProposalToGnatt[[#This Row],[Start Date]]+ProposalToGnatt[[#This Row],[Days]]),$G$5,"")),"")</f>
        <v/>
      </c>
      <c r="CC61" s="37" t="str">
        <f ca="1">IFERROR(+IF(CC$29=ProposalToGnatt[[#This Row],[Start Date]],Milestone_Marker,IF(AND(CC$29&gt;ProposalToGnatt[[#This Row],[Start Date]],CC$29&lt;ProposalToGnatt[[#This Row],[Start Date]]+ProposalToGnatt[[#This Row],[Days]]),$G$5,"")),"")</f>
        <v/>
      </c>
      <c r="CD61" s="37" t="str">
        <f ca="1">IFERROR(+IF(CD$29=ProposalToGnatt[[#This Row],[Start Date]],Milestone_Marker,IF(AND(CD$29&gt;ProposalToGnatt[[#This Row],[Start Date]],CD$29&lt;ProposalToGnatt[[#This Row],[Start Date]]+ProposalToGnatt[[#This Row],[Days]]),$G$5,"")),"")</f>
        <v/>
      </c>
      <c r="CE61" s="37" t="str">
        <f ca="1">IFERROR(+IF(CE$29=ProposalToGnatt[[#This Row],[Start Date]],Milestone_Marker,IF(AND(CE$29&gt;ProposalToGnatt[[#This Row],[Start Date]],CE$29&lt;ProposalToGnatt[[#This Row],[Start Date]]+ProposalToGnatt[[#This Row],[Days]]),$G$5,"")),"")</f>
        <v/>
      </c>
      <c r="CF61" s="37" t="str">
        <f ca="1">IFERROR(+IF(CF$29=ProposalToGnatt[[#This Row],[Start Date]],Milestone_Marker,IF(AND(CF$29&gt;ProposalToGnatt[[#This Row],[Start Date]],CF$29&lt;ProposalToGnatt[[#This Row],[Start Date]]+ProposalToGnatt[[#This Row],[Days]]),$G$5,"")),"")</f>
        <v/>
      </c>
      <c r="CG61" s="37" t="str">
        <f ca="1">IFERROR(+IF(CG$29=ProposalToGnatt[[#This Row],[Start Date]],Milestone_Marker,IF(AND(CG$29&gt;ProposalToGnatt[[#This Row],[Start Date]],CG$29&lt;ProposalToGnatt[[#This Row],[Start Date]]+ProposalToGnatt[[#This Row],[Days]]),$G$5,"")),"")</f>
        <v/>
      </c>
      <c r="CH61" s="37" t="str">
        <f ca="1">IFERROR(+IF(CH$29=ProposalToGnatt[[#This Row],[Start Date]],Milestone_Marker,IF(AND(CH$29&gt;ProposalToGnatt[[#This Row],[Start Date]],CH$29&lt;ProposalToGnatt[[#This Row],[Start Date]]+ProposalToGnatt[[#This Row],[Days]]),$G$5,"")),"")</f>
        <v/>
      </c>
      <c r="CI61" s="37" t="str">
        <f ca="1">IFERROR(+IF(CI$29=ProposalToGnatt[[#This Row],[Start Date]],Milestone_Marker,IF(AND(CI$29&gt;ProposalToGnatt[[#This Row],[Start Date]],CI$29&lt;ProposalToGnatt[[#This Row],[Start Date]]+ProposalToGnatt[[#This Row],[Days]]),$G$5,"")),"")</f>
        <v/>
      </c>
      <c r="CJ61" s="37" t="str">
        <f ca="1">IFERROR(+IF(CJ$29=ProposalToGnatt[[#This Row],[Start Date]],Milestone_Marker,IF(AND(CJ$29&gt;ProposalToGnatt[[#This Row],[Start Date]],CJ$29&lt;ProposalToGnatt[[#This Row],[Start Date]]+ProposalToGnatt[[#This Row],[Days]]),$G$5,"")),"")</f>
        <v/>
      </c>
      <c r="CK61" s="37" t="str">
        <f ca="1">IFERROR(+IF(CK$29=ProposalToGnatt[[#This Row],[Start Date]],Milestone_Marker,IF(AND(CK$29&gt;ProposalToGnatt[[#This Row],[Start Date]],CK$29&lt;ProposalToGnatt[[#This Row],[Start Date]]+ProposalToGnatt[[#This Row],[Days]]),$G$5,"")),"")</f>
        <v/>
      </c>
      <c r="CL61" s="37" t="str">
        <f ca="1">IFERROR(+IF(CL$29=ProposalToGnatt[[#This Row],[Start Date]],Milestone_Marker,IF(AND(CL$29&gt;ProposalToGnatt[[#This Row],[Start Date]],CL$29&lt;ProposalToGnatt[[#This Row],[Start Date]]+ProposalToGnatt[[#This Row],[Days]]),$G$5,"")),"")</f>
        <v/>
      </c>
      <c r="CM61" s="37" t="str">
        <f ca="1">IFERROR(+IF(CM$29=ProposalToGnatt[[#This Row],[Start Date]],Milestone_Marker,IF(AND(CM$29&gt;ProposalToGnatt[[#This Row],[Start Date]],CM$29&lt;ProposalToGnatt[[#This Row],[Start Date]]+ProposalToGnatt[[#This Row],[Days]]),$G$5,"")),"")</f>
        <v/>
      </c>
      <c r="CN61" s="37" t="str">
        <f ca="1">IFERROR(+IF(CN$29=ProposalToGnatt[[#This Row],[Start Date]],Milestone_Marker,IF(AND(CN$29&gt;ProposalToGnatt[[#This Row],[Start Date]],CN$29&lt;ProposalToGnatt[[#This Row],[Start Date]]+ProposalToGnatt[[#This Row],[Days]]),$G$5,"")),"")</f>
        <v/>
      </c>
      <c r="CO61" s="37" t="str">
        <f ca="1">IFERROR(+IF(CO$29=ProposalToGnatt[[#This Row],[Start Date]],Milestone_Marker,IF(AND(CO$29&gt;ProposalToGnatt[[#This Row],[Start Date]],CO$29&lt;ProposalToGnatt[[#This Row],[Start Date]]+ProposalToGnatt[[#This Row],[Days]]),$G$5,"")),"")</f>
        <v/>
      </c>
      <c r="CP61" s="37" t="str">
        <f ca="1">IFERROR(+IF(CP$29=ProposalToGnatt[[#This Row],[Start Date]],Milestone_Marker,IF(AND(CP$29&gt;ProposalToGnatt[[#This Row],[Start Date]],CP$29&lt;ProposalToGnatt[[#This Row],[Start Date]]+ProposalToGnatt[[#This Row],[Days]]),$G$5,"")),"")</f>
        <v/>
      </c>
      <c r="CQ61" s="37" t="str">
        <f ca="1">IFERROR(+IF(CQ$29=ProposalToGnatt[[#This Row],[Start Date]],Milestone_Marker,IF(AND(CQ$29&gt;ProposalToGnatt[[#This Row],[Start Date]],CQ$29&lt;ProposalToGnatt[[#This Row],[Start Date]]+ProposalToGnatt[[#This Row],[Days]]),$G$5,"")),"")</f>
        <v/>
      </c>
      <c r="CR61" s="37" t="str">
        <f ca="1">IFERROR(+IF(CR$29=ProposalToGnatt[[#This Row],[Start Date]],Milestone_Marker,IF(AND(CR$29&gt;ProposalToGnatt[[#This Row],[Start Date]],CR$29&lt;ProposalToGnatt[[#This Row],[Start Date]]+ProposalToGnatt[[#This Row],[Days]]),$G$5,"")),"")</f>
        <v/>
      </c>
      <c r="CS61" s="37" t="str">
        <f ca="1">IFERROR(+IF(CS$29=ProposalToGnatt[[#This Row],[Start Date]],Milestone_Marker,IF(AND(CS$29&gt;ProposalToGnatt[[#This Row],[Start Date]],CS$29&lt;ProposalToGnatt[[#This Row],[Start Date]]+ProposalToGnatt[[#This Row],[Days]]),$G$5,"")),"")</f>
        <v/>
      </c>
      <c r="CT61" s="37" t="str">
        <f ca="1">IFERROR(+IF(CT$29=ProposalToGnatt[[#This Row],[Start Date]],Milestone_Marker,IF(AND(CT$29&gt;ProposalToGnatt[[#This Row],[Start Date]],CT$29&lt;ProposalToGnatt[[#This Row],[Start Date]]+ProposalToGnatt[[#This Row],[Days]]),$G$5,"")),"")</f>
        <v/>
      </c>
      <c r="CU61" s="37" t="str">
        <f ca="1">IFERROR(+IF(CU$29=ProposalToGnatt[[#This Row],[Start Date]],Milestone_Marker,IF(AND(CU$29&gt;ProposalToGnatt[[#This Row],[Start Date]],CU$29&lt;ProposalToGnatt[[#This Row],[Start Date]]+ProposalToGnatt[[#This Row],[Days]]),$G$5,"")),"")</f>
        <v/>
      </c>
      <c r="CV61" s="37"/>
      <c r="CW61" s="37"/>
      <c r="CX61" s="37"/>
      <c r="CY61" s="37"/>
      <c r="CZ61" s="37"/>
      <c r="DA61" s="37"/>
      <c r="DB61" s="37"/>
      <c r="DC61" s="37"/>
      <c r="DD61" s="37"/>
      <c r="DE61" s="37"/>
      <c r="DF61" s="37"/>
      <c r="DG61" s="37"/>
      <c r="DH61" s="37"/>
      <c r="DI61" s="37"/>
      <c r="DJ61" s="37"/>
      <c r="DK61" s="37"/>
      <c r="DL61" s="37"/>
      <c r="DM61" s="37"/>
      <c r="DN61" s="37"/>
      <c r="DO61" s="37"/>
      <c r="DP61" s="37"/>
      <c r="DQ61" s="37"/>
      <c r="DR61" s="37"/>
      <c r="DS61" s="37"/>
      <c r="DT61" s="37"/>
      <c r="DU61" s="37"/>
    </row>
    <row r="62" spans="1:125" s="42" customFormat="1" ht="15">
      <c r="A62"/>
      <c r="B62"/>
      <c r="C62"/>
      <c r="D62"/>
      <c r="E62"/>
      <c r="F62"/>
      <c r="G62" s="11"/>
      <c r="H62" s="26"/>
      <c r="I62"/>
      <c r="J62"/>
      <c r="K62" s="402"/>
      <c r="L62"/>
      <c r="M62"/>
      <c r="N62"/>
      <c r="O62" s="26"/>
      <c r="P62" s="37" t="str">
        <f ca="1">IFERROR(+IF(P$29=ProposalToGnatt[[#This Row],[Start Date]],Milestone_Marker,IF(AND(P$29&gt;ProposalToGnatt[[#This Row],[Start Date]],P$29&lt;ProposalToGnatt[[#This Row],[Start Date]]+ProposalToGnatt[[#This Row],[Days]]),$G$5,"")),"")</f>
        <v/>
      </c>
      <c r="Q62" s="37" t="str">
        <f ca="1">IFERROR(+IF(Q$29=ProposalToGnatt[[#This Row],[Start Date]],Milestone_Marker,IF(AND(Q$29&gt;ProposalToGnatt[[#This Row],[Start Date]],Q$29&lt;ProposalToGnatt[[#This Row],[Start Date]]+ProposalToGnatt[[#This Row],[Days]]),$G$5,"")),"")</f>
        <v/>
      </c>
      <c r="R62" s="37" t="str">
        <f ca="1">IFERROR(+IF(R$29=ProposalToGnatt[[#This Row],[Start Date]],Milestone_Marker,IF(AND(R$29&gt;ProposalToGnatt[[#This Row],[Start Date]],R$29&lt;ProposalToGnatt[[#This Row],[Start Date]]+ProposalToGnatt[[#This Row],[Days]]),$G$5,"")),"")</f>
        <v/>
      </c>
      <c r="S62" s="37" t="str">
        <f ca="1">IFERROR(+IF(S$29=ProposalToGnatt[[#This Row],[Start Date]],Milestone_Marker,IF(AND(S$29&gt;ProposalToGnatt[[#This Row],[Start Date]],S$29&lt;ProposalToGnatt[[#This Row],[Start Date]]+ProposalToGnatt[[#This Row],[Days]]),$G$5,"")),"")</f>
        <v/>
      </c>
      <c r="T62" s="37" t="str">
        <f ca="1">IFERROR(+IF(T$29=ProposalToGnatt[[#This Row],[Start Date]],Milestone_Marker,IF(AND(T$29&gt;ProposalToGnatt[[#This Row],[Start Date]],T$29&lt;ProposalToGnatt[[#This Row],[Start Date]]+ProposalToGnatt[[#This Row],[Days]]),$G$5,"")),"")</f>
        <v/>
      </c>
      <c r="U62" s="37" t="str">
        <f ca="1">IFERROR(+IF(U$29=ProposalToGnatt[[#This Row],[Start Date]],Milestone_Marker,IF(AND(U$29&gt;ProposalToGnatt[[#This Row],[Start Date]],U$29&lt;ProposalToGnatt[[#This Row],[Start Date]]+ProposalToGnatt[[#This Row],[Days]]),$G$5,"")),"")</f>
        <v/>
      </c>
      <c r="V62" s="37" t="str">
        <f ca="1">IFERROR(+IF(V$29=ProposalToGnatt[[#This Row],[Start Date]],Milestone_Marker,IF(AND(V$29&gt;ProposalToGnatt[[#This Row],[Start Date]],V$29&lt;ProposalToGnatt[[#This Row],[Start Date]]+ProposalToGnatt[[#This Row],[Days]]),$G$5,"")),"")</f>
        <v/>
      </c>
      <c r="W62" s="37" t="str">
        <f ca="1">IFERROR(+IF(W$29=ProposalToGnatt[[#This Row],[Start Date]],Milestone_Marker,IF(AND(W$29&gt;ProposalToGnatt[[#This Row],[Start Date]],W$29&lt;ProposalToGnatt[[#This Row],[Start Date]]+ProposalToGnatt[[#This Row],[Days]]),$G$5,"")),"")</f>
        <v/>
      </c>
      <c r="X62" s="37" t="str">
        <f ca="1">IFERROR(+IF(X$29=ProposalToGnatt[[#This Row],[Start Date]],Milestone_Marker,IF(AND(X$29&gt;ProposalToGnatt[[#This Row],[Start Date]],X$29&lt;ProposalToGnatt[[#This Row],[Start Date]]+ProposalToGnatt[[#This Row],[Days]]),$G$5,"")),"")</f>
        <v/>
      </c>
      <c r="Y62" s="37" t="str">
        <f ca="1">IFERROR(+IF(Y$29=ProposalToGnatt[[#This Row],[Start Date]],Milestone_Marker,IF(AND(Y$29&gt;ProposalToGnatt[[#This Row],[Start Date]],Y$29&lt;ProposalToGnatt[[#This Row],[Start Date]]+ProposalToGnatt[[#This Row],[Days]]),$G$5,"")),"")</f>
        <v/>
      </c>
      <c r="Z62" s="37" t="str">
        <f ca="1">IFERROR(+IF(Z$29=ProposalToGnatt[[#This Row],[Start Date]],Milestone_Marker,IF(AND(Z$29&gt;ProposalToGnatt[[#This Row],[Start Date]],Z$29&lt;ProposalToGnatt[[#This Row],[Start Date]]+ProposalToGnatt[[#This Row],[Days]]),$G$5,"")),"")</f>
        <v/>
      </c>
      <c r="AA62" s="37" t="str">
        <f ca="1">IFERROR(+IF(AA$29=ProposalToGnatt[[#This Row],[Start Date]],Milestone_Marker,IF(AND(AA$29&gt;ProposalToGnatt[[#This Row],[Start Date]],AA$29&lt;ProposalToGnatt[[#This Row],[Start Date]]+ProposalToGnatt[[#This Row],[Days]]),$G$5,"")),"")</f>
        <v/>
      </c>
      <c r="AB62" s="37" t="str">
        <f ca="1">IFERROR(+IF(AB$29=ProposalToGnatt[[#This Row],[Start Date]],Milestone_Marker,IF(AND(AB$29&gt;ProposalToGnatt[[#This Row],[Start Date]],AB$29&lt;ProposalToGnatt[[#This Row],[Start Date]]+ProposalToGnatt[[#This Row],[Days]]),$G$5,"")),"")</f>
        <v/>
      </c>
      <c r="AC62" s="37" t="str">
        <f ca="1">IFERROR(+IF(AC$29=ProposalToGnatt[[#This Row],[Start Date]],Milestone_Marker,IF(AND(AC$29&gt;ProposalToGnatt[[#This Row],[Start Date]],AC$29&lt;ProposalToGnatt[[#This Row],[Start Date]]+ProposalToGnatt[[#This Row],[Days]]),$G$5,"")),"")</f>
        <v/>
      </c>
      <c r="AD62" s="37" t="str">
        <f ca="1">IFERROR(+IF(AD$29=ProposalToGnatt[[#This Row],[Start Date]],Milestone_Marker,IF(AND(AD$29&gt;ProposalToGnatt[[#This Row],[Start Date]],AD$29&lt;ProposalToGnatt[[#This Row],[Start Date]]+ProposalToGnatt[[#This Row],[Days]]),$G$5,"")),"")</f>
        <v/>
      </c>
      <c r="AE62" s="37" t="str">
        <f ca="1">IFERROR(+IF(AE$29=ProposalToGnatt[[#This Row],[Start Date]],Milestone_Marker,IF(AND(AE$29&gt;ProposalToGnatt[[#This Row],[Start Date]],AE$29&lt;ProposalToGnatt[[#This Row],[Start Date]]+ProposalToGnatt[[#This Row],[Days]]),$G$5,"")),"")</f>
        <v/>
      </c>
      <c r="AF62" s="37" t="str">
        <f ca="1">IFERROR(+IF(AF$29=ProposalToGnatt[[#This Row],[Start Date]],Milestone_Marker,IF(AND(AF$29&gt;ProposalToGnatt[[#This Row],[Start Date]],AF$29&lt;ProposalToGnatt[[#This Row],[Start Date]]+ProposalToGnatt[[#This Row],[Days]]),$G$5,"")),"")</f>
        <v/>
      </c>
      <c r="AG62" s="37" t="str">
        <f ca="1">IFERROR(+IF(AG$29=ProposalToGnatt[[#This Row],[Start Date]],Milestone_Marker,IF(AND(AG$29&gt;ProposalToGnatt[[#This Row],[Start Date]],AG$29&lt;ProposalToGnatt[[#This Row],[Start Date]]+ProposalToGnatt[[#This Row],[Days]]),$G$5,"")),"")</f>
        <v/>
      </c>
      <c r="AH62" s="37" t="str">
        <f ca="1">IFERROR(+IF(AH$29=ProposalToGnatt[[#This Row],[Start Date]],Milestone_Marker,IF(AND(AH$29&gt;ProposalToGnatt[[#This Row],[Start Date]],AH$29&lt;ProposalToGnatt[[#This Row],[Start Date]]+ProposalToGnatt[[#This Row],[Days]]),$G$5,"")),"")</f>
        <v/>
      </c>
      <c r="AI62" s="37" t="str">
        <f ca="1">IFERROR(+IF(AI$29=ProposalToGnatt[[#This Row],[Start Date]],Milestone_Marker,IF(AND(AI$29&gt;ProposalToGnatt[[#This Row],[Start Date]],AI$29&lt;ProposalToGnatt[[#This Row],[Start Date]]+ProposalToGnatt[[#This Row],[Days]]),$G$5,"")),"")</f>
        <v/>
      </c>
      <c r="AJ62" s="37" t="str">
        <f ca="1">IFERROR(+IF(AJ$29=ProposalToGnatt[[#This Row],[Start Date]],Milestone_Marker,IF(AND(AJ$29&gt;ProposalToGnatt[[#This Row],[Start Date]],AJ$29&lt;ProposalToGnatt[[#This Row],[Start Date]]+ProposalToGnatt[[#This Row],[Days]]),$G$5,"")),"")</f>
        <v/>
      </c>
      <c r="AK62" s="37" t="str">
        <f ca="1">IFERROR(+IF(AK$29=ProposalToGnatt[[#This Row],[Start Date]],Milestone_Marker,IF(AND(AK$29&gt;ProposalToGnatt[[#This Row],[Start Date]],AK$29&lt;ProposalToGnatt[[#This Row],[Start Date]]+ProposalToGnatt[[#This Row],[Days]]),$G$5,"")),"")</f>
        <v/>
      </c>
      <c r="AL62" s="37" t="str">
        <f ca="1">IFERROR(+IF(AL$29=ProposalToGnatt[[#This Row],[Start Date]],Milestone_Marker,IF(AND(AL$29&gt;ProposalToGnatt[[#This Row],[Start Date]],AL$29&lt;ProposalToGnatt[[#This Row],[Start Date]]+ProposalToGnatt[[#This Row],[Days]]),$G$5,"")),"")</f>
        <v/>
      </c>
      <c r="AM62" s="37" t="str">
        <f ca="1">IFERROR(+IF(AM$29=ProposalToGnatt[[#This Row],[Start Date]],Milestone_Marker,IF(AND(AM$29&gt;ProposalToGnatt[[#This Row],[Start Date]],AM$29&lt;ProposalToGnatt[[#This Row],[Start Date]]+ProposalToGnatt[[#This Row],[Days]]),$G$5,"")),"")</f>
        <v/>
      </c>
      <c r="AN62" s="37" t="str">
        <f ca="1">IFERROR(+IF(AN$29=ProposalToGnatt[[#This Row],[Start Date]],Milestone_Marker,IF(AND(AN$29&gt;ProposalToGnatt[[#This Row],[Start Date]],AN$29&lt;ProposalToGnatt[[#This Row],[Start Date]]+ProposalToGnatt[[#This Row],[Days]]),$G$5,"")),"")</f>
        <v/>
      </c>
      <c r="AO62" s="37" t="str">
        <f ca="1">IFERROR(+IF(AO$29=ProposalToGnatt[[#This Row],[Start Date]],Milestone_Marker,IF(AND(AO$29&gt;ProposalToGnatt[[#This Row],[Start Date]],AO$29&lt;ProposalToGnatt[[#This Row],[Start Date]]+ProposalToGnatt[[#This Row],[Days]]),$G$5,"")),"")</f>
        <v/>
      </c>
      <c r="AP62" s="37" t="str">
        <f ca="1">IFERROR(+IF(AP$29=ProposalToGnatt[[#This Row],[Start Date]],Milestone_Marker,IF(AND(AP$29&gt;ProposalToGnatt[[#This Row],[Start Date]],AP$29&lt;ProposalToGnatt[[#This Row],[Start Date]]+ProposalToGnatt[[#This Row],[Days]]),$G$5,"")),"")</f>
        <v/>
      </c>
      <c r="AQ62" s="37" t="str">
        <f ca="1">IFERROR(+IF(AQ$29=ProposalToGnatt[[#This Row],[Start Date]],Milestone_Marker,IF(AND(AQ$29&gt;ProposalToGnatt[[#This Row],[Start Date]],AQ$29&lt;ProposalToGnatt[[#This Row],[Start Date]]+ProposalToGnatt[[#This Row],[Days]]),$G$5,"")),"")</f>
        <v/>
      </c>
      <c r="AR62" s="37" t="str">
        <f ca="1">IFERROR(+IF(AR$29=ProposalToGnatt[[#This Row],[Start Date]],Milestone_Marker,IF(AND(AR$29&gt;ProposalToGnatt[[#This Row],[Start Date]],AR$29&lt;ProposalToGnatt[[#This Row],[Start Date]]+ProposalToGnatt[[#This Row],[Days]]),$G$5,"")),"")</f>
        <v/>
      </c>
      <c r="AS62" s="37" t="str">
        <f ca="1">IFERROR(+IF(AS$29=ProposalToGnatt[[#This Row],[Start Date]],Milestone_Marker,IF(AND(AS$29&gt;ProposalToGnatt[[#This Row],[Start Date]],AS$29&lt;ProposalToGnatt[[#This Row],[Start Date]]+ProposalToGnatt[[#This Row],[Days]]),$G$5,"")),"")</f>
        <v/>
      </c>
      <c r="AT62" s="37" t="str">
        <f ca="1">IFERROR(+IF(AT$29=ProposalToGnatt[[#This Row],[Start Date]],Milestone_Marker,IF(AND(AT$29&gt;ProposalToGnatt[[#This Row],[Start Date]],AT$29&lt;ProposalToGnatt[[#This Row],[Start Date]]+ProposalToGnatt[[#This Row],[Days]]),$G$5,"")),"")</f>
        <v/>
      </c>
      <c r="AU62" s="37" t="str">
        <f ca="1">IFERROR(+IF(AU$29=ProposalToGnatt[[#This Row],[Start Date]],Milestone_Marker,IF(AND(AU$29&gt;ProposalToGnatt[[#This Row],[Start Date]],AU$29&lt;ProposalToGnatt[[#This Row],[Start Date]]+ProposalToGnatt[[#This Row],[Days]]),$G$5,"")),"")</f>
        <v/>
      </c>
      <c r="AV62" s="37" t="str">
        <f ca="1">IFERROR(+IF(AV$29=ProposalToGnatt[[#This Row],[Start Date]],Milestone_Marker,IF(AND(AV$29&gt;ProposalToGnatt[[#This Row],[Start Date]],AV$29&lt;ProposalToGnatt[[#This Row],[Start Date]]+ProposalToGnatt[[#This Row],[Days]]),$G$5,"")),"")</f>
        <v/>
      </c>
      <c r="AW62" s="37" t="str">
        <f ca="1">IFERROR(+IF(AW$29=ProposalToGnatt[[#This Row],[Start Date]],Milestone_Marker,IF(AND(AW$29&gt;ProposalToGnatt[[#This Row],[Start Date]],AW$29&lt;ProposalToGnatt[[#This Row],[Start Date]]+ProposalToGnatt[[#This Row],[Days]]),$G$5,"")),"")</f>
        <v/>
      </c>
      <c r="AX62" s="37" t="str">
        <f ca="1">IFERROR(+IF(AX$29=ProposalToGnatt[[#This Row],[Start Date]],Milestone_Marker,IF(AND(AX$29&gt;ProposalToGnatt[[#This Row],[Start Date]],AX$29&lt;ProposalToGnatt[[#This Row],[Start Date]]+ProposalToGnatt[[#This Row],[Days]]),$G$5,"")),"")</f>
        <v/>
      </c>
      <c r="AY62" s="37" t="str">
        <f ca="1">IFERROR(+IF(AY$29=ProposalToGnatt[[#This Row],[Start Date]],Milestone_Marker,IF(AND(AY$29&gt;ProposalToGnatt[[#This Row],[Start Date]],AY$29&lt;ProposalToGnatt[[#This Row],[Start Date]]+ProposalToGnatt[[#This Row],[Days]]),$G$5,"")),"")</f>
        <v/>
      </c>
      <c r="AZ62" s="37" t="str">
        <f ca="1">IFERROR(+IF(AZ$29=ProposalToGnatt[[#This Row],[Start Date]],Milestone_Marker,IF(AND(AZ$29&gt;ProposalToGnatt[[#This Row],[Start Date]],AZ$29&lt;ProposalToGnatt[[#This Row],[Start Date]]+ProposalToGnatt[[#This Row],[Days]]),$G$5,"")),"")</f>
        <v/>
      </c>
      <c r="BA62" s="37" t="str">
        <f ca="1">IFERROR(+IF(BA$29=ProposalToGnatt[[#This Row],[Start Date]],Milestone_Marker,IF(AND(BA$29&gt;ProposalToGnatt[[#This Row],[Start Date]],BA$29&lt;ProposalToGnatt[[#This Row],[Start Date]]+ProposalToGnatt[[#This Row],[Days]]),$G$5,"")),"")</f>
        <v/>
      </c>
      <c r="BB62" s="37" t="str">
        <f ca="1">IFERROR(+IF(BB$29=ProposalToGnatt[[#This Row],[Start Date]],Milestone_Marker,IF(AND(BB$29&gt;ProposalToGnatt[[#This Row],[Start Date]],BB$29&lt;ProposalToGnatt[[#This Row],[Start Date]]+ProposalToGnatt[[#This Row],[Days]]),$G$5,"")),"")</f>
        <v/>
      </c>
      <c r="BC62" s="37" t="str">
        <f ca="1">IFERROR(+IF(BC$29=ProposalToGnatt[[#This Row],[Start Date]],Milestone_Marker,IF(AND(BC$29&gt;ProposalToGnatt[[#This Row],[Start Date]],BC$29&lt;ProposalToGnatt[[#This Row],[Start Date]]+ProposalToGnatt[[#This Row],[Days]]),$G$5,"")),"")</f>
        <v/>
      </c>
      <c r="BD62" s="37" t="str">
        <f ca="1">IFERROR(+IF(BD$29=ProposalToGnatt[[#This Row],[Start Date]],Milestone_Marker,IF(AND(BD$29&gt;ProposalToGnatt[[#This Row],[Start Date]],BD$29&lt;ProposalToGnatt[[#This Row],[Start Date]]+ProposalToGnatt[[#This Row],[Days]]),$G$5,"")),"")</f>
        <v/>
      </c>
      <c r="BE62" s="37" t="str">
        <f ca="1">IFERROR(+IF(BE$29=ProposalToGnatt[[#This Row],[Start Date]],Milestone_Marker,IF(AND(BE$29&gt;ProposalToGnatt[[#This Row],[Start Date]],BE$29&lt;ProposalToGnatt[[#This Row],[Start Date]]+ProposalToGnatt[[#This Row],[Days]]),$G$5,"")),"")</f>
        <v/>
      </c>
      <c r="BF62" s="37" t="str">
        <f ca="1">IFERROR(+IF(BF$29=ProposalToGnatt[[#This Row],[Start Date]],Milestone_Marker,IF(AND(BF$29&gt;ProposalToGnatt[[#This Row],[Start Date]],BF$29&lt;ProposalToGnatt[[#This Row],[Start Date]]+ProposalToGnatt[[#This Row],[Days]]),$G$5,"")),"")</f>
        <v/>
      </c>
      <c r="BG62" s="37" t="str">
        <f ca="1">IFERROR(+IF(BG$29=ProposalToGnatt[[#This Row],[Start Date]],Milestone_Marker,IF(AND(BG$29&gt;ProposalToGnatt[[#This Row],[Start Date]],BG$29&lt;ProposalToGnatt[[#This Row],[Start Date]]+ProposalToGnatt[[#This Row],[Days]]),$G$5,"")),"")</f>
        <v/>
      </c>
      <c r="BH62" s="37" t="str">
        <f ca="1">IFERROR(+IF(BH$29=ProposalToGnatt[[#This Row],[Start Date]],Milestone_Marker,IF(AND(BH$29&gt;ProposalToGnatt[[#This Row],[Start Date]],BH$29&lt;ProposalToGnatt[[#This Row],[Start Date]]+ProposalToGnatt[[#This Row],[Days]]),$G$5,"")),"")</f>
        <v/>
      </c>
      <c r="BI62" s="37" t="str">
        <f ca="1">IFERROR(+IF(BI$29=ProposalToGnatt[[#This Row],[Start Date]],Milestone_Marker,IF(AND(BI$29&gt;ProposalToGnatt[[#This Row],[Start Date]],BI$29&lt;ProposalToGnatt[[#This Row],[Start Date]]+ProposalToGnatt[[#This Row],[Days]]),$G$5,"")),"")</f>
        <v/>
      </c>
      <c r="BJ62" s="37" t="str">
        <f ca="1">IFERROR(+IF(BJ$29=ProposalToGnatt[[#This Row],[Start Date]],Milestone_Marker,IF(AND(BJ$29&gt;ProposalToGnatt[[#This Row],[Start Date]],BJ$29&lt;ProposalToGnatt[[#This Row],[Start Date]]+ProposalToGnatt[[#This Row],[Days]]),$G$5,"")),"")</f>
        <v/>
      </c>
      <c r="BK62" s="37" t="str">
        <f ca="1">IFERROR(+IF(BK$29=ProposalToGnatt[[#This Row],[Start Date]],Milestone_Marker,IF(AND(BK$29&gt;ProposalToGnatt[[#This Row],[Start Date]],BK$29&lt;ProposalToGnatt[[#This Row],[Start Date]]+ProposalToGnatt[[#This Row],[Days]]),$G$5,"")),"")</f>
        <v/>
      </c>
      <c r="BL62" s="37" t="str">
        <f ca="1">IFERROR(+IF(BL$29=ProposalToGnatt[[#This Row],[Start Date]],Milestone_Marker,IF(AND(BL$29&gt;ProposalToGnatt[[#This Row],[Start Date]],BL$29&lt;ProposalToGnatt[[#This Row],[Start Date]]+ProposalToGnatt[[#This Row],[Days]]),$G$5,"")),"")</f>
        <v/>
      </c>
      <c r="BM62" s="37" t="str">
        <f ca="1">IFERROR(+IF(BM$29=ProposalToGnatt[[#This Row],[Start Date]],Milestone_Marker,IF(AND(BM$29&gt;ProposalToGnatt[[#This Row],[Start Date]],BM$29&lt;ProposalToGnatt[[#This Row],[Start Date]]+ProposalToGnatt[[#This Row],[Days]]),$G$5,"")),"")</f>
        <v/>
      </c>
      <c r="BN62" s="37" t="str">
        <f ca="1">IFERROR(+IF(BN$29=ProposalToGnatt[[#This Row],[Start Date]],Milestone_Marker,IF(AND(BN$29&gt;ProposalToGnatt[[#This Row],[Start Date]],BN$29&lt;ProposalToGnatt[[#This Row],[Start Date]]+ProposalToGnatt[[#This Row],[Days]]),$G$5,"")),"")</f>
        <v/>
      </c>
      <c r="BO62" s="37" t="str">
        <f ca="1">IFERROR(+IF(BO$29=ProposalToGnatt[[#This Row],[Start Date]],Milestone_Marker,IF(AND(BO$29&gt;ProposalToGnatt[[#This Row],[Start Date]],BO$29&lt;ProposalToGnatt[[#This Row],[Start Date]]+ProposalToGnatt[[#This Row],[Days]]),$G$5,"")),"")</f>
        <v/>
      </c>
      <c r="BP62" s="37" t="str">
        <f ca="1">IFERROR(+IF(BP$29=ProposalToGnatt[[#This Row],[Start Date]],Milestone_Marker,IF(AND(BP$29&gt;ProposalToGnatt[[#This Row],[Start Date]],BP$29&lt;ProposalToGnatt[[#This Row],[Start Date]]+ProposalToGnatt[[#This Row],[Days]]),$G$5,"")),"")</f>
        <v/>
      </c>
      <c r="BQ62" s="37" t="str">
        <f ca="1">IFERROR(+IF(BQ$29=ProposalToGnatt[[#This Row],[Start Date]],Milestone_Marker,IF(AND(BQ$29&gt;ProposalToGnatt[[#This Row],[Start Date]],BQ$29&lt;ProposalToGnatt[[#This Row],[Start Date]]+ProposalToGnatt[[#This Row],[Days]]),$G$5,"")),"")</f>
        <v/>
      </c>
      <c r="BR62" s="37" t="str">
        <f ca="1">IFERROR(+IF(BR$29=ProposalToGnatt[[#This Row],[Start Date]],Milestone_Marker,IF(AND(BR$29&gt;ProposalToGnatt[[#This Row],[Start Date]],BR$29&lt;ProposalToGnatt[[#This Row],[Start Date]]+ProposalToGnatt[[#This Row],[Days]]),$G$5,"")),"")</f>
        <v/>
      </c>
      <c r="BS62" s="37" t="str">
        <f ca="1">IFERROR(+IF(BS$29=ProposalToGnatt[[#This Row],[Start Date]],Milestone_Marker,IF(AND(BS$29&gt;ProposalToGnatt[[#This Row],[Start Date]],BS$29&lt;ProposalToGnatt[[#This Row],[Start Date]]+ProposalToGnatt[[#This Row],[Days]]),$G$5,"")),"")</f>
        <v/>
      </c>
      <c r="BT62" s="37" t="str">
        <f ca="1">IFERROR(+IF(BT$29=ProposalToGnatt[[#This Row],[Start Date]],Milestone_Marker,IF(AND(BT$29&gt;ProposalToGnatt[[#This Row],[Start Date]],BT$29&lt;ProposalToGnatt[[#This Row],[Start Date]]+ProposalToGnatt[[#This Row],[Days]]),$G$5,"")),"")</f>
        <v/>
      </c>
      <c r="BU62" s="37" t="str">
        <f ca="1">IFERROR(+IF(BU$29=ProposalToGnatt[[#This Row],[Start Date]],Milestone_Marker,IF(AND(BU$29&gt;ProposalToGnatt[[#This Row],[Start Date]],BU$29&lt;ProposalToGnatt[[#This Row],[Start Date]]+ProposalToGnatt[[#This Row],[Days]]),$G$5,"")),"")</f>
        <v/>
      </c>
      <c r="BV62" s="37" t="str">
        <f ca="1">IFERROR(+IF(BV$29=ProposalToGnatt[[#This Row],[Start Date]],Milestone_Marker,IF(AND(BV$29&gt;ProposalToGnatt[[#This Row],[Start Date]],BV$29&lt;ProposalToGnatt[[#This Row],[Start Date]]+ProposalToGnatt[[#This Row],[Days]]),$G$5,"")),"")</f>
        <v/>
      </c>
      <c r="BW62" s="37" t="str">
        <f ca="1">IFERROR(+IF(BW$29=ProposalToGnatt[[#This Row],[Start Date]],Milestone_Marker,IF(AND(BW$29&gt;ProposalToGnatt[[#This Row],[Start Date]],BW$29&lt;ProposalToGnatt[[#This Row],[Start Date]]+ProposalToGnatt[[#This Row],[Days]]),$G$5,"")),"")</f>
        <v/>
      </c>
      <c r="BX62" s="37" t="str">
        <f ca="1">IFERROR(+IF(BX$29=ProposalToGnatt[[#This Row],[Start Date]],Milestone_Marker,IF(AND(BX$29&gt;ProposalToGnatt[[#This Row],[Start Date]],BX$29&lt;ProposalToGnatt[[#This Row],[Start Date]]+ProposalToGnatt[[#This Row],[Days]]),$G$5,"")),"")</f>
        <v/>
      </c>
      <c r="BY62" s="37" t="str">
        <f ca="1">IFERROR(+IF(BY$29=ProposalToGnatt[[#This Row],[Start Date]],Milestone_Marker,IF(AND(BY$29&gt;ProposalToGnatt[[#This Row],[Start Date]],BY$29&lt;ProposalToGnatt[[#This Row],[Start Date]]+ProposalToGnatt[[#This Row],[Days]]),$G$5,"")),"")</f>
        <v/>
      </c>
      <c r="BZ62" s="37" t="str">
        <f ca="1">IFERROR(+IF(BZ$29=ProposalToGnatt[[#This Row],[Start Date]],Milestone_Marker,IF(AND(BZ$29&gt;ProposalToGnatt[[#This Row],[Start Date]],BZ$29&lt;ProposalToGnatt[[#This Row],[Start Date]]+ProposalToGnatt[[#This Row],[Days]]),$G$5,"")),"")</f>
        <v/>
      </c>
      <c r="CA62" s="37" t="str">
        <f ca="1">IFERROR(+IF(CA$29=ProposalToGnatt[[#This Row],[Start Date]],Milestone_Marker,IF(AND(CA$29&gt;ProposalToGnatt[[#This Row],[Start Date]],CA$29&lt;ProposalToGnatt[[#This Row],[Start Date]]+ProposalToGnatt[[#This Row],[Days]]),$G$5,"")),"")</f>
        <v/>
      </c>
      <c r="CB62" s="37" t="str">
        <f ca="1">IFERROR(+IF(CB$29=ProposalToGnatt[[#This Row],[Start Date]],Milestone_Marker,IF(AND(CB$29&gt;ProposalToGnatt[[#This Row],[Start Date]],CB$29&lt;ProposalToGnatt[[#This Row],[Start Date]]+ProposalToGnatt[[#This Row],[Days]]),$G$5,"")),"")</f>
        <v/>
      </c>
      <c r="CC62" s="37" t="str">
        <f ca="1">IFERROR(+IF(CC$29=ProposalToGnatt[[#This Row],[Start Date]],Milestone_Marker,IF(AND(CC$29&gt;ProposalToGnatt[[#This Row],[Start Date]],CC$29&lt;ProposalToGnatt[[#This Row],[Start Date]]+ProposalToGnatt[[#This Row],[Days]]),$G$5,"")),"")</f>
        <v/>
      </c>
      <c r="CD62" s="37" t="str">
        <f ca="1">IFERROR(+IF(CD$29=ProposalToGnatt[[#This Row],[Start Date]],Milestone_Marker,IF(AND(CD$29&gt;ProposalToGnatt[[#This Row],[Start Date]],CD$29&lt;ProposalToGnatt[[#This Row],[Start Date]]+ProposalToGnatt[[#This Row],[Days]]),$G$5,"")),"")</f>
        <v/>
      </c>
      <c r="CE62" s="37" t="str">
        <f ca="1">IFERROR(+IF(CE$29=ProposalToGnatt[[#This Row],[Start Date]],Milestone_Marker,IF(AND(CE$29&gt;ProposalToGnatt[[#This Row],[Start Date]],CE$29&lt;ProposalToGnatt[[#This Row],[Start Date]]+ProposalToGnatt[[#This Row],[Days]]),$G$5,"")),"")</f>
        <v/>
      </c>
      <c r="CF62" s="37" t="str">
        <f ca="1">IFERROR(+IF(CF$29=ProposalToGnatt[[#This Row],[Start Date]],Milestone_Marker,IF(AND(CF$29&gt;ProposalToGnatt[[#This Row],[Start Date]],CF$29&lt;ProposalToGnatt[[#This Row],[Start Date]]+ProposalToGnatt[[#This Row],[Days]]),$G$5,"")),"")</f>
        <v/>
      </c>
      <c r="CG62" s="37" t="str">
        <f ca="1">IFERROR(+IF(CG$29=ProposalToGnatt[[#This Row],[Start Date]],Milestone_Marker,IF(AND(CG$29&gt;ProposalToGnatt[[#This Row],[Start Date]],CG$29&lt;ProposalToGnatt[[#This Row],[Start Date]]+ProposalToGnatt[[#This Row],[Days]]),$G$5,"")),"")</f>
        <v/>
      </c>
      <c r="CH62" s="37" t="str">
        <f ca="1">IFERROR(+IF(CH$29=ProposalToGnatt[[#This Row],[Start Date]],Milestone_Marker,IF(AND(CH$29&gt;ProposalToGnatt[[#This Row],[Start Date]],CH$29&lt;ProposalToGnatt[[#This Row],[Start Date]]+ProposalToGnatt[[#This Row],[Days]]),$G$5,"")),"")</f>
        <v/>
      </c>
      <c r="CI62" s="37" t="str">
        <f ca="1">IFERROR(+IF(CI$29=ProposalToGnatt[[#This Row],[Start Date]],Milestone_Marker,IF(AND(CI$29&gt;ProposalToGnatt[[#This Row],[Start Date]],CI$29&lt;ProposalToGnatt[[#This Row],[Start Date]]+ProposalToGnatt[[#This Row],[Days]]),$G$5,"")),"")</f>
        <v/>
      </c>
      <c r="CJ62" s="37" t="str">
        <f ca="1">IFERROR(+IF(CJ$29=ProposalToGnatt[[#This Row],[Start Date]],Milestone_Marker,IF(AND(CJ$29&gt;ProposalToGnatt[[#This Row],[Start Date]],CJ$29&lt;ProposalToGnatt[[#This Row],[Start Date]]+ProposalToGnatt[[#This Row],[Days]]),$G$5,"")),"")</f>
        <v/>
      </c>
      <c r="CK62" s="37" t="str">
        <f ca="1">IFERROR(+IF(CK$29=ProposalToGnatt[[#This Row],[Start Date]],Milestone_Marker,IF(AND(CK$29&gt;ProposalToGnatt[[#This Row],[Start Date]],CK$29&lt;ProposalToGnatt[[#This Row],[Start Date]]+ProposalToGnatt[[#This Row],[Days]]),$G$5,"")),"")</f>
        <v/>
      </c>
      <c r="CL62" s="37" t="str">
        <f ca="1">IFERROR(+IF(CL$29=ProposalToGnatt[[#This Row],[Start Date]],Milestone_Marker,IF(AND(CL$29&gt;ProposalToGnatt[[#This Row],[Start Date]],CL$29&lt;ProposalToGnatt[[#This Row],[Start Date]]+ProposalToGnatt[[#This Row],[Days]]),$G$5,"")),"")</f>
        <v/>
      </c>
      <c r="CM62" s="37" t="str">
        <f ca="1">IFERROR(+IF(CM$29=ProposalToGnatt[[#This Row],[Start Date]],Milestone_Marker,IF(AND(CM$29&gt;ProposalToGnatt[[#This Row],[Start Date]],CM$29&lt;ProposalToGnatt[[#This Row],[Start Date]]+ProposalToGnatt[[#This Row],[Days]]),$G$5,"")),"")</f>
        <v/>
      </c>
      <c r="CN62" s="37" t="str">
        <f ca="1">IFERROR(+IF(CN$29=ProposalToGnatt[[#This Row],[Start Date]],Milestone_Marker,IF(AND(CN$29&gt;ProposalToGnatt[[#This Row],[Start Date]],CN$29&lt;ProposalToGnatt[[#This Row],[Start Date]]+ProposalToGnatt[[#This Row],[Days]]),$G$5,"")),"")</f>
        <v/>
      </c>
      <c r="CO62" s="37" t="str">
        <f ca="1">IFERROR(+IF(CO$29=ProposalToGnatt[[#This Row],[Start Date]],Milestone_Marker,IF(AND(CO$29&gt;ProposalToGnatt[[#This Row],[Start Date]],CO$29&lt;ProposalToGnatt[[#This Row],[Start Date]]+ProposalToGnatt[[#This Row],[Days]]),$G$5,"")),"")</f>
        <v/>
      </c>
      <c r="CP62" s="37" t="str">
        <f ca="1">IFERROR(+IF(CP$29=ProposalToGnatt[[#This Row],[Start Date]],Milestone_Marker,IF(AND(CP$29&gt;ProposalToGnatt[[#This Row],[Start Date]],CP$29&lt;ProposalToGnatt[[#This Row],[Start Date]]+ProposalToGnatt[[#This Row],[Days]]),$G$5,"")),"")</f>
        <v/>
      </c>
      <c r="CQ62" s="37" t="str">
        <f ca="1">IFERROR(+IF(CQ$29=ProposalToGnatt[[#This Row],[Start Date]],Milestone_Marker,IF(AND(CQ$29&gt;ProposalToGnatt[[#This Row],[Start Date]],CQ$29&lt;ProposalToGnatt[[#This Row],[Start Date]]+ProposalToGnatt[[#This Row],[Days]]),$G$5,"")),"")</f>
        <v/>
      </c>
      <c r="CR62" s="37" t="str">
        <f ca="1">IFERROR(+IF(CR$29=ProposalToGnatt[[#This Row],[Start Date]],Milestone_Marker,IF(AND(CR$29&gt;ProposalToGnatt[[#This Row],[Start Date]],CR$29&lt;ProposalToGnatt[[#This Row],[Start Date]]+ProposalToGnatt[[#This Row],[Days]]),$G$5,"")),"")</f>
        <v/>
      </c>
      <c r="CS62" s="37" t="str">
        <f ca="1">IFERROR(+IF(CS$29=ProposalToGnatt[[#This Row],[Start Date]],Milestone_Marker,IF(AND(CS$29&gt;ProposalToGnatt[[#This Row],[Start Date]],CS$29&lt;ProposalToGnatt[[#This Row],[Start Date]]+ProposalToGnatt[[#This Row],[Days]]),$G$5,"")),"")</f>
        <v/>
      </c>
      <c r="CT62" s="37" t="str">
        <f ca="1">IFERROR(+IF(CT$29=ProposalToGnatt[[#This Row],[Start Date]],Milestone_Marker,IF(AND(CT$29&gt;ProposalToGnatt[[#This Row],[Start Date]],CT$29&lt;ProposalToGnatt[[#This Row],[Start Date]]+ProposalToGnatt[[#This Row],[Days]]),$G$5,"")),"")</f>
        <v/>
      </c>
      <c r="CU62" s="37" t="str">
        <f ca="1">IFERROR(+IF(CU$29=ProposalToGnatt[[#This Row],[Start Date]],Milestone_Marker,IF(AND(CU$29&gt;ProposalToGnatt[[#This Row],[Start Date]],CU$29&lt;ProposalToGnatt[[#This Row],[Start Date]]+ProposalToGnatt[[#This Row],[Days]]),$G$5,"")),"")</f>
        <v/>
      </c>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row>
    <row r="63" spans="1:125" s="42" customFormat="1" ht="15">
      <c r="A63"/>
      <c r="B63"/>
      <c r="C63"/>
      <c r="D63"/>
      <c r="E63"/>
      <c r="F63"/>
      <c r="G63" s="11"/>
      <c r="H63" s="26"/>
      <c r="I63"/>
      <c r="J63"/>
      <c r="K63" s="402"/>
      <c r="L63"/>
      <c r="M63"/>
      <c r="N63"/>
      <c r="O63" s="26"/>
      <c r="P63" s="37" t="str">
        <f ca="1">IFERROR(+IF(P$29=ProposalToGnatt[[#This Row],[Start Date]],Milestone_Marker,IF(AND(P$29&gt;ProposalToGnatt[[#This Row],[Start Date]],P$29&lt;ProposalToGnatt[[#This Row],[Start Date]]+ProposalToGnatt[[#This Row],[Days]]),$G$5,"")),"")</f>
        <v/>
      </c>
      <c r="Q63" s="37" t="str">
        <f ca="1">IFERROR(+IF(Q$29=ProposalToGnatt[[#This Row],[Start Date]],Milestone_Marker,IF(AND(Q$29&gt;ProposalToGnatt[[#This Row],[Start Date]],Q$29&lt;ProposalToGnatt[[#This Row],[Start Date]]+ProposalToGnatt[[#This Row],[Days]]),$G$5,"")),"")</f>
        <v/>
      </c>
      <c r="R63" s="37" t="str">
        <f ca="1">IFERROR(+IF(R$29=ProposalToGnatt[[#This Row],[Start Date]],Milestone_Marker,IF(AND(R$29&gt;ProposalToGnatt[[#This Row],[Start Date]],R$29&lt;ProposalToGnatt[[#This Row],[Start Date]]+ProposalToGnatt[[#This Row],[Days]]),$G$5,"")),"")</f>
        <v/>
      </c>
      <c r="S63" s="37" t="str">
        <f ca="1">IFERROR(+IF(S$29=ProposalToGnatt[[#This Row],[Start Date]],Milestone_Marker,IF(AND(S$29&gt;ProposalToGnatt[[#This Row],[Start Date]],S$29&lt;ProposalToGnatt[[#This Row],[Start Date]]+ProposalToGnatt[[#This Row],[Days]]),$G$5,"")),"")</f>
        <v/>
      </c>
      <c r="T63" s="37" t="str">
        <f ca="1">IFERROR(+IF(T$29=ProposalToGnatt[[#This Row],[Start Date]],Milestone_Marker,IF(AND(T$29&gt;ProposalToGnatt[[#This Row],[Start Date]],T$29&lt;ProposalToGnatt[[#This Row],[Start Date]]+ProposalToGnatt[[#This Row],[Days]]),$G$5,"")),"")</f>
        <v/>
      </c>
      <c r="U63" s="37" t="str">
        <f ca="1">IFERROR(+IF(U$29=ProposalToGnatt[[#This Row],[Start Date]],Milestone_Marker,IF(AND(U$29&gt;ProposalToGnatt[[#This Row],[Start Date]],U$29&lt;ProposalToGnatt[[#This Row],[Start Date]]+ProposalToGnatt[[#This Row],[Days]]),$G$5,"")),"")</f>
        <v/>
      </c>
      <c r="V63" s="37" t="str">
        <f ca="1">IFERROR(+IF(V$29=ProposalToGnatt[[#This Row],[Start Date]],Milestone_Marker,IF(AND(V$29&gt;ProposalToGnatt[[#This Row],[Start Date]],V$29&lt;ProposalToGnatt[[#This Row],[Start Date]]+ProposalToGnatt[[#This Row],[Days]]),$G$5,"")),"")</f>
        <v/>
      </c>
      <c r="W63" s="37" t="str">
        <f ca="1">IFERROR(+IF(W$29=ProposalToGnatt[[#This Row],[Start Date]],Milestone_Marker,IF(AND(W$29&gt;ProposalToGnatt[[#This Row],[Start Date]],W$29&lt;ProposalToGnatt[[#This Row],[Start Date]]+ProposalToGnatt[[#This Row],[Days]]),$G$5,"")),"")</f>
        <v/>
      </c>
      <c r="X63" s="37" t="str">
        <f ca="1">IFERROR(+IF(X$29=ProposalToGnatt[[#This Row],[Start Date]],Milestone_Marker,IF(AND(X$29&gt;ProposalToGnatt[[#This Row],[Start Date]],X$29&lt;ProposalToGnatt[[#This Row],[Start Date]]+ProposalToGnatt[[#This Row],[Days]]),$G$5,"")),"")</f>
        <v/>
      </c>
      <c r="Y63" s="37" t="str">
        <f ca="1">IFERROR(+IF(Y$29=ProposalToGnatt[[#This Row],[Start Date]],Milestone_Marker,IF(AND(Y$29&gt;ProposalToGnatt[[#This Row],[Start Date]],Y$29&lt;ProposalToGnatt[[#This Row],[Start Date]]+ProposalToGnatt[[#This Row],[Days]]),$G$5,"")),"")</f>
        <v/>
      </c>
      <c r="Z63" s="37" t="str">
        <f ca="1">IFERROR(+IF(Z$29=ProposalToGnatt[[#This Row],[Start Date]],Milestone_Marker,IF(AND(Z$29&gt;ProposalToGnatt[[#This Row],[Start Date]],Z$29&lt;ProposalToGnatt[[#This Row],[Start Date]]+ProposalToGnatt[[#This Row],[Days]]),$G$5,"")),"")</f>
        <v/>
      </c>
      <c r="AA63" s="37" t="str">
        <f ca="1">IFERROR(+IF(AA$29=ProposalToGnatt[[#This Row],[Start Date]],Milestone_Marker,IF(AND(AA$29&gt;ProposalToGnatt[[#This Row],[Start Date]],AA$29&lt;ProposalToGnatt[[#This Row],[Start Date]]+ProposalToGnatt[[#This Row],[Days]]),$G$5,"")),"")</f>
        <v/>
      </c>
      <c r="AB63" s="37" t="str">
        <f ca="1">IFERROR(+IF(AB$29=ProposalToGnatt[[#This Row],[Start Date]],Milestone_Marker,IF(AND(AB$29&gt;ProposalToGnatt[[#This Row],[Start Date]],AB$29&lt;ProposalToGnatt[[#This Row],[Start Date]]+ProposalToGnatt[[#This Row],[Days]]),$G$5,"")),"")</f>
        <v/>
      </c>
      <c r="AC63" s="37" t="str">
        <f ca="1">IFERROR(+IF(AC$29=ProposalToGnatt[[#This Row],[Start Date]],Milestone_Marker,IF(AND(AC$29&gt;ProposalToGnatt[[#This Row],[Start Date]],AC$29&lt;ProposalToGnatt[[#This Row],[Start Date]]+ProposalToGnatt[[#This Row],[Days]]),$G$5,"")),"")</f>
        <v/>
      </c>
      <c r="AD63" s="37" t="str">
        <f ca="1">IFERROR(+IF(AD$29=ProposalToGnatt[[#This Row],[Start Date]],Milestone_Marker,IF(AND(AD$29&gt;ProposalToGnatt[[#This Row],[Start Date]],AD$29&lt;ProposalToGnatt[[#This Row],[Start Date]]+ProposalToGnatt[[#This Row],[Days]]),$G$5,"")),"")</f>
        <v/>
      </c>
      <c r="AE63" s="37" t="str">
        <f ca="1">IFERROR(+IF(AE$29=ProposalToGnatt[[#This Row],[Start Date]],Milestone_Marker,IF(AND(AE$29&gt;ProposalToGnatt[[#This Row],[Start Date]],AE$29&lt;ProposalToGnatt[[#This Row],[Start Date]]+ProposalToGnatt[[#This Row],[Days]]),$G$5,"")),"")</f>
        <v/>
      </c>
      <c r="AF63" s="37" t="str">
        <f ca="1">IFERROR(+IF(AF$29=ProposalToGnatt[[#This Row],[Start Date]],Milestone_Marker,IF(AND(AF$29&gt;ProposalToGnatt[[#This Row],[Start Date]],AF$29&lt;ProposalToGnatt[[#This Row],[Start Date]]+ProposalToGnatt[[#This Row],[Days]]),$G$5,"")),"")</f>
        <v/>
      </c>
      <c r="AG63" s="37" t="str">
        <f ca="1">IFERROR(+IF(AG$29=ProposalToGnatt[[#This Row],[Start Date]],Milestone_Marker,IF(AND(AG$29&gt;ProposalToGnatt[[#This Row],[Start Date]],AG$29&lt;ProposalToGnatt[[#This Row],[Start Date]]+ProposalToGnatt[[#This Row],[Days]]),$G$5,"")),"")</f>
        <v/>
      </c>
      <c r="AH63" s="37" t="str">
        <f ca="1">IFERROR(+IF(AH$29=ProposalToGnatt[[#This Row],[Start Date]],Milestone_Marker,IF(AND(AH$29&gt;ProposalToGnatt[[#This Row],[Start Date]],AH$29&lt;ProposalToGnatt[[#This Row],[Start Date]]+ProposalToGnatt[[#This Row],[Days]]),$G$5,"")),"")</f>
        <v/>
      </c>
      <c r="AI63" s="37" t="str">
        <f ca="1">IFERROR(+IF(AI$29=ProposalToGnatt[[#This Row],[Start Date]],Milestone_Marker,IF(AND(AI$29&gt;ProposalToGnatt[[#This Row],[Start Date]],AI$29&lt;ProposalToGnatt[[#This Row],[Start Date]]+ProposalToGnatt[[#This Row],[Days]]),$G$5,"")),"")</f>
        <v/>
      </c>
      <c r="AJ63" s="37" t="str">
        <f ca="1">IFERROR(+IF(AJ$29=ProposalToGnatt[[#This Row],[Start Date]],Milestone_Marker,IF(AND(AJ$29&gt;ProposalToGnatt[[#This Row],[Start Date]],AJ$29&lt;ProposalToGnatt[[#This Row],[Start Date]]+ProposalToGnatt[[#This Row],[Days]]),$G$5,"")),"")</f>
        <v/>
      </c>
      <c r="AK63" s="37" t="str">
        <f ca="1">IFERROR(+IF(AK$29=ProposalToGnatt[[#This Row],[Start Date]],Milestone_Marker,IF(AND(AK$29&gt;ProposalToGnatt[[#This Row],[Start Date]],AK$29&lt;ProposalToGnatt[[#This Row],[Start Date]]+ProposalToGnatt[[#This Row],[Days]]),$G$5,"")),"")</f>
        <v/>
      </c>
      <c r="AL63" s="37" t="str">
        <f ca="1">IFERROR(+IF(AL$29=ProposalToGnatt[[#This Row],[Start Date]],Milestone_Marker,IF(AND(AL$29&gt;ProposalToGnatt[[#This Row],[Start Date]],AL$29&lt;ProposalToGnatt[[#This Row],[Start Date]]+ProposalToGnatt[[#This Row],[Days]]),$G$5,"")),"")</f>
        <v/>
      </c>
      <c r="AM63" s="37" t="str">
        <f ca="1">IFERROR(+IF(AM$29=ProposalToGnatt[[#This Row],[Start Date]],Milestone_Marker,IF(AND(AM$29&gt;ProposalToGnatt[[#This Row],[Start Date]],AM$29&lt;ProposalToGnatt[[#This Row],[Start Date]]+ProposalToGnatt[[#This Row],[Days]]),$G$5,"")),"")</f>
        <v/>
      </c>
      <c r="AN63" s="37" t="str">
        <f ca="1">IFERROR(+IF(AN$29=ProposalToGnatt[[#This Row],[Start Date]],Milestone_Marker,IF(AND(AN$29&gt;ProposalToGnatt[[#This Row],[Start Date]],AN$29&lt;ProposalToGnatt[[#This Row],[Start Date]]+ProposalToGnatt[[#This Row],[Days]]),$G$5,"")),"")</f>
        <v/>
      </c>
      <c r="AO63" s="37" t="str">
        <f ca="1">IFERROR(+IF(AO$29=ProposalToGnatt[[#This Row],[Start Date]],Milestone_Marker,IF(AND(AO$29&gt;ProposalToGnatt[[#This Row],[Start Date]],AO$29&lt;ProposalToGnatt[[#This Row],[Start Date]]+ProposalToGnatt[[#This Row],[Days]]),$G$5,"")),"")</f>
        <v/>
      </c>
      <c r="AP63" s="37" t="str">
        <f ca="1">IFERROR(+IF(AP$29=ProposalToGnatt[[#This Row],[Start Date]],Milestone_Marker,IF(AND(AP$29&gt;ProposalToGnatt[[#This Row],[Start Date]],AP$29&lt;ProposalToGnatt[[#This Row],[Start Date]]+ProposalToGnatt[[#This Row],[Days]]),$G$5,"")),"")</f>
        <v/>
      </c>
      <c r="AQ63" s="37" t="str">
        <f ca="1">IFERROR(+IF(AQ$29=ProposalToGnatt[[#This Row],[Start Date]],Milestone_Marker,IF(AND(AQ$29&gt;ProposalToGnatt[[#This Row],[Start Date]],AQ$29&lt;ProposalToGnatt[[#This Row],[Start Date]]+ProposalToGnatt[[#This Row],[Days]]),$G$5,"")),"")</f>
        <v/>
      </c>
      <c r="AR63" s="37" t="str">
        <f ca="1">IFERROR(+IF(AR$29=ProposalToGnatt[[#This Row],[Start Date]],Milestone_Marker,IF(AND(AR$29&gt;ProposalToGnatt[[#This Row],[Start Date]],AR$29&lt;ProposalToGnatt[[#This Row],[Start Date]]+ProposalToGnatt[[#This Row],[Days]]),$G$5,"")),"")</f>
        <v/>
      </c>
      <c r="AS63" s="37" t="str">
        <f ca="1">IFERROR(+IF(AS$29=ProposalToGnatt[[#This Row],[Start Date]],Milestone_Marker,IF(AND(AS$29&gt;ProposalToGnatt[[#This Row],[Start Date]],AS$29&lt;ProposalToGnatt[[#This Row],[Start Date]]+ProposalToGnatt[[#This Row],[Days]]),$G$5,"")),"")</f>
        <v/>
      </c>
      <c r="AT63" s="37" t="str">
        <f ca="1">IFERROR(+IF(AT$29=ProposalToGnatt[[#This Row],[Start Date]],Milestone_Marker,IF(AND(AT$29&gt;ProposalToGnatt[[#This Row],[Start Date]],AT$29&lt;ProposalToGnatt[[#This Row],[Start Date]]+ProposalToGnatt[[#This Row],[Days]]),$G$5,"")),"")</f>
        <v/>
      </c>
      <c r="AU63" s="37" t="str">
        <f ca="1">IFERROR(+IF(AU$29=ProposalToGnatt[[#This Row],[Start Date]],Milestone_Marker,IF(AND(AU$29&gt;ProposalToGnatt[[#This Row],[Start Date]],AU$29&lt;ProposalToGnatt[[#This Row],[Start Date]]+ProposalToGnatt[[#This Row],[Days]]),$G$5,"")),"")</f>
        <v/>
      </c>
      <c r="AV63" s="37" t="str">
        <f ca="1">IFERROR(+IF(AV$29=ProposalToGnatt[[#This Row],[Start Date]],Milestone_Marker,IF(AND(AV$29&gt;ProposalToGnatt[[#This Row],[Start Date]],AV$29&lt;ProposalToGnatt[[#This Row],[Start Date]]+ProposalToGnatt[[#This Row],[Days]]),$G$5,"")),"")</f>
        <v/>
      </c>
      <c r="AW63" s="37" t="str">
        <f ca="1">IFERROR(+IF(AW$29=ProposalToGnatt[[#This Row],[Start Date]],Milestone_Marker,IF(AND(AW$29&gt;ProposalToGnatt[[#This Row],[Start Date]],AW$29&lt;ProposalToGnatt[[#This Row],[Start Date]]+ProposalToGnatt[[#This Row],[Days]]),$G$5,"")),"")</f>
        <v/>
      </c>
      <c r="AX63" s="37" t="str">
        <f ca="1">IFERROR(+IF(AX$29=ProposalToGnatt[[#This Row],[Start Date]],Milestone_Marker,IF(AND(AX$29&gt;ProposalToGnatt[[#This Row],[Start Date]],AX$29&lt;ProposalToGnatt[[#This Row],[Start Date]]+ProposalToGnatt[[#This Row],[Days]]),$G$5,"")),"")</f>
        <v/>
      </c>
      <c r="AY63" s="37" t="str">
        <f ca="1">IFERROR(+IF(AY$29=ProposalToGnatt[[#This Row],[Start Date]],Milestone_Marker,IF(AND(AY$29&gt;ProposalToGnatt[[#This Row],[Start Date]],AY$29&lt;ProposalToGnatt[[#This Row],[Start Date]]+ProposalToGnatt[[#This Row],[Days]]),$G$5,"")),"")</f>
        <v/>
      </c>
      <c r="AZ63" s="37" t="str">
        <f ca="1">IFERROR(+IF(AZ$29=ProposalToGnatt[[#This Row],[Start Date]],Milestone_Marker,IF(AND(AZ$29&gt;ProposalToGnatt[[#This Row],[Start Date]],AZ$29&lt;ProposalToGnatt[[#This Row],[Start Date]]+ProposalToGnatt[[#This Row],[Days]]),$G$5,"")),"")</f>
        <v/>
      </c>
      <c r="BA63" s="37" t="str">
        <f ca="1">IFERROR(+IF(BA$29=ProposalToGnatt[[#This Row],[Start Date]],Milestone_Marker,IF(AND(BA$29&gt;ProposalToGnatt[[#This Row],[Start Date]],BA$29&lt;ProposalToGnatt[[#This Row],[Start Date]]+ProposalToGnatt[[#This Row],[Days]]),$G$5,"")),"")</f>
        <v/>
      </c>
      <c r="BB63" s="37" t="str">
        <f ca="1">IFERROR(+IF(BB$29=ProposalToGnatt[[#This Row],[Start Date]],Milestone_Marker,IF(AND(BB$29&gt;ProposalToGnatt[[#This Row],[Start Date]],BB$29&lt;ProposalToGnatt[[#This Row],[Start Date]]+ProposalToGnatt[[#This Row],[Days]]),$G$5,"")),"")</f>
        <v/>
      </c>
      <c r="BC63" s="37" t="str">
        <f ca="1">IFERROR(+IF(BC$29=ProposalToGnatt[[#This Row],[Start Date]],Milestone_Marker,IF(AND(BC$29&gt;ProposalToGnatt[[#This Row],[Start Date]],BC$29&lt;ProposalToGnatt[[#This Row],[Start Date]]+ProposalToGnatt[[#This Row],[Days]]),$G$5,"")),"")</f>
        <v/>
      </c>
      <c r="BD63" s="37" t="str">
        <f ca="1">IFERROR(+IF(BD$29=ProposalToGnatt[[#This Row],[Start Date]],Milestone_Marker,IF(AND(BD$29&gt;ProposalToGnatt[[#This Row],[Start Date]],BD$29&lt;ProposalToGnatt[[#This Row],[Start Date]]+ProposalToGnatt[[#This Row],[Days]]),$G$5,"")),"")</f>
        <v/>
      </c>
      <c r="BE63" s="37" t="str">
        <f ca="1">IFERROR(+IF(BE$29=ProposalToGnatt[[#This Row],[Start Date]],Milestone_Marker,IF(AND(BE$29&gt;ProposalToGnatt[[#This Row],[Start Date]],BE$29&lt;ProposalToGnatt[[#This Row],[Start Date]]+ProposalToGnatt[[#This Row],[Days]]),$G$5,"")),"")</f>
        <v/>
      </c>
      <c r="BF63" s="37" t="str">
        <f ca="1">IFERROR(+IF(BF$29=ProposalToGnatt[[#This Row],[Start Date]],Milestone_Marker,IF(AND(BF$29&gt;ProposalToGnatt[[#This Row],[Start Date]],BF$29&lt;ProposalToGnatt[[#This Row],[Start Date]]+ProposalToGnatt[[#This Row],[Days]]),$G$5,"")),"")</f>
        <v/>
      </c>
      <c r="BG63" s="37" t="str">
        <f ca="1">IFERROR(+IF(BG$29=ProposalToGnatt[[#This Row],[Start Date]],Milestone_Marker,IF(AND(BG$29&gt;ProposalToGnatt[[#This Row],[Start Date]],BG$29&lt;ProposalToGnatt[[#This Row],[Start Date]]+ProposalToGnatt[[#This Row],[Days]]),$G$5,"")),"")</f>
        <v/>
      </c>
      <c r="BH63" s="37" t="str">
        <f ca="1">IFERROR(+IF(BH$29=ProposalToGnatt[[#This Row],[Start Date]],Milestone_Marker,IF(AND(BH$29&gt;ProposalToGnatt[[#This Row],[Start Date]],BH$29&lt;ProposalToGnatt[[#This Row],[Start Date]]+ProposalToGnatt[[#This Row],[Days]]),$G$5,"")),"")</f>
        <v/>
      </c>
      <c r="BI63" s="37" t="str">
        <f ca="1">IFERROR(+IF(BI$29=ProposalToGnatt[[#This Row],[Start Date]],Milestone_Marker,IF(AND(BI$29&gt;ProposalToGnatt[[#This Row],[Start Date]],BI$29&lt;ProposalToGnatt[[#This Row],[Start Date]]+ProposalToGnatt[[#This Row],[Days]]),$G$5,"")),"")</f>
        <v/>
      </c>
      <c r="BJ63" s="37" t="str">
        <f ca="1">IFERROR(+IF(BJ$29=ProposalToGnatt[[#This Row],[Start Date]],Milestone_Marker,IF(AND(BJ$29&gt;ProposalToGnatt[[#This Row],[Start Date]],BJ$29&lt;ProposalToGnatt[[#This Row],[Start Date]]+ProposalToGnatt[[#This Row],[Days]]),$G$5,"")),"")</f>
        <v/>
      </c>
      <c r="BK63" s="37" t="str">
        <f ca="1">IFERROR(+IF(BK$29=ProposalToGnatt[[#This Row],[Start Date]],Milestone_Marker,IF(AND(BK$29&gt;ProposalToGnatt[[#This Row],[Start Date]],BK$29&lt;ProposalToGnatt[[#This Row],[Start Date]]+ProposalToGnatt[[#This Row],[Days]]),$G$5,"")),"")</f>
        <v/>
      </c>
      <c r="BL63" s="37" t="str">
        <f ca="1">IFERROR(+IF(BL$29=ProposalToGnatt[[#This Row],[Start Date]],Milestone_Marker,IF(AND(BL$29&gt;ProposalToGnatt[[#This Row],[Start Date]],BL$29&lt;ProposalToGnatt[[#This Row],[Start Date]]+ProposalToGnatt[[#This Row],[Days]]),$G$5,"")),"")</f>
        <v/>
      </c>
      <c r="BM63" s="37" t="str">
        <f ca="1">IFERROR(+IF(BM$29=ProposalToGnatt[[#This Row],[Start Date]],Milestone_Marker,IF(AND(BM$29&gt;ProposalToGnatt[[#This Row],[Start Date]],BM$29&lt;ProposalToGnatt[[#This Row],[Start Date]]+ProposalToGnatt[[#This Row],[Days]]),$G$5,"")),"")</f>
        <v/>
      </c>
      <c r="BN63" s="37" t="str">
        <f ca="1">IFERROR(+IF(BN$29=ProposalToGnatt[[#This Row],[Start Date]],Milestone_Marker,IF(AND(BN$29&gt;ProposalToGnatt[[#This Row],[Start Date]],BN$29&lt;ProposalToGnatt[[#This Row],[Start Date]]+ProposalToGnatt[[#This Row],[Days]]),$G$5,"")),"")</f>
        <v/>
      </c>
      <c r="BO63" s="37" t="str">
        <f ca="1">IFERROR(+IF(BO$29=ProposalToGnatt[[#This Row],[Start Date]],Milestone_Marker,IF(AND(BO$29&gt;ProposalToGnatt[[#This Row],[Start Date]],BO$29&lt;ProposalToGnatt[[#This Row],[Start Date]]+ProposalToGnatt[[#This Row],[Days]]),$G$5,"")),"")</f>
        <v/>
      </c>
      <c r="BP63" s="37" t="str">
        <f ca="1">IFERROR(+IF(BP$29=ProposalToGnatt[[#This Row],[Start Date]],Milestone_Marker,IF(AND(BP$29&gt;ProposalToGnatt[[#This Row],[Start Date]],BP$29&lt;ProposalToGnatt[[#This Row],[Start Date]]+ProposalToGnatt[[#This Row],[Days]]),$G$5,"")),"")</f>
        <v/>
      </c>
      <c r="BQ63" s="37" t="str">
        <f ca="1">IFERROR(+IF(BQ$29=ProposalToGnatt[[#This Row],[Start Date]],Milestone_Marker,IF(AND(BQ$29&gt;ProposalToGnatt[[#This Row],[Start Date]],BQ$29&lt;ProposalToGnatt[[#This Row],[Start Date]]+ProposalToGnatt[[#This Row],[Days]]),$G$5,"")),"")</f>
        <v/>
      </c>
      <c r="BR63" s="37" t="str">
        <f ca="1">IFERROR(+IF(BR$29=ProposalToGnatt[[#This Row],[Start Date]],Milestone_Marker,IF(AND(BR$29&gt;ProposalToGnatt[[#This Row],[Start Date]],BR$29&lt;ProposalToGnatt[[#This Row],[Start Date]]+ProposalToGnatt[[#This Row],[Days]]),$G$5,"")),"")</f>
        <v/>
      </c>
      <c r="BS63" s="37" t="str">
        <f ca="1">IFERROR(+IF(BS$29=ProposalToGnatt[[#This Row],[Start Date]],Milestone_Marker,IF(AND(BS$29&gt;ProposalToGnatt[[#This Row],[Start Date]],BS$29&lt;ProposalToGnatt[[#This Row],[Start Date]]+ProposalToGnatt[[#This Row],[Days]]),$G$5,"")),"")</f>
        <v/>
      </c>
      <c r="BT63" s="37" t="str">
        <f ca="1">IFERROR(+IF(BT$29=ProposalToGnatt[[#This Row],[Start Date]],Milestone_Marker,IF(AND(BT$29&gt;ProposalToGnatt[[#This Row],[Start Date]],BT$29&lt;ProposalToGnatt[[#This Row],[Start Date]]+ProposalToGnatt[[#This Row],[Days]]),$G$5,"")),"")</f>
        <v/>
      </c>
      <c r="BU63" s="37" t="str">
        <f ca="1">IFERROR(+IF(BU$29=ProposalToGnatt[[#This Row],[Start Date]],Milestone_Marker,IF(AND(BU$29&gt;ProposalToGnatt[[#This Row],[Start Date]],BU$29&lt;ProposalToGnatt[[#This Row],[Start Date]]+ProposalToGnatt[[#This Row],[Days]]),$G$5,"")),"")</f>
        <v/>
      </c>
      <c r="BV63" s="37" t="str">
        <f ca="1">IFERROR(+IF(BV$29=ProposalToGnatt[[#This Row],[Start Date]],Milestone_Marker,IF(AND(BV$29&gt;ProposalToGnatt[[#This Row],[Start Date]],BV$29&lt;ProposalToGnatt[[#This Row],[Start Date]]+ProposalToGnatt[[#This Row],[Days]]),$G$5,"")),"")</f>
        <v/>
      </c>
      <c r="BW63" s="37" t="str">
        <f ca="1">IFERROR(+IF(BW$29=ProposalToGnatt[[#This Row],[Start Date]],Milestone_Marker,IF(AND(BW$29&gt;ProposalToGnatt[[#This Row],[Start Date]],BW$29&lt;ProposalToGnatt[[#This Row],[Start Date]]+ProposalToGnatt[[#This Row],[Days]]),$G$5,"")),"")</f>
        <v/>
      </c>
      <c r="BX63" s="37" t="str">
        <f ca="1">IFERROR(+IF(BX$29=ProposalToGnatt[[#This Row],[Start Date]],Milestone_Marker,IF(AND(BX$29&gt;ProposalToGnatt[[#This Row],[Start Date]],BX$29&lt;ProposalToGnatt[[#This Row],[Start Date]]+ProposalToGnatt[[#This Row],[Days]]),$G$5,"")),"")</f>
        <v/>
      </c>
      <c r="BY63" s="37" t="str">
        <f ca="1">IFERROR(+IF(BY$29=ProposalToGnatt[[#This Row],[Start Date]],Milestone_Marker,IF(AND(BY$29&gt;ProposalToGnatt[[#This Row],[Start Date]],BY$29&lt;ProposalToGnatt[[#This Row],[Start Date]]+ProposalToGnatt[[#This Row],[Days]]),$G$5,"")),"")</f>
        <v/>
      </c>
      <c r="BZ63" s="37" t="str">
        <f ca="1">IFERROR(+IF(BZ$29=ProposalToGnatt[[#This Row],[Start Date]],Milestone_Marker,IF(AND(BZ$29&gt;ProposalToGnatt[[#This Row],[Start Date]],BZ$29&lt;ProposalToGnatt[[#This Row],[Start Date]]+ProposalToGnatt[[#This Row],[Days]]),$G$5,"")),"")</f>
        <v/>
      </c>
      <c r="CA63" s="37" t="str">
        <f ca="1">IFERROR(+IF(CA$29=ProposalToGnatt[[#This Row],[Start Date]],Milestone_Marker,IF(AND(CA$29&gt;ProposalToGnatt[[#This Row],[Start Date]],CA$29&lt;ProposalToGnatt[[#This Row],[Start Date]]+ProposalToGnatt[[#This Row],[Days]]),$G$5,"")),"")</f>
        <v/>
      </c>
      <c r="CB63" s="37" t="str">
        <f ca="1">IFERROR(+IF(CB$29=ProposalToGnatt[[#This Row],[Start Date]],Milestone_Marker,IF(AND(CB$29&gt;ProposalToGnatt[[#This Row],[Start Date]],CB$29&lt;ProposalToGnatt[[#This Row],[Start Date]]+ProposalToGnatt[[#This Row],[Days]]),$G$5,"")),"")</f>
        <v/>
      </c>
      <c r="CC63" s="37" t="str">
        <f ca="1">IFERROR(+IF(CC$29=ProposalToGnatt[[#This Row],[Start Date]],Milestone_Marker,IF(AND(CC$29&gt;ProposalToGnatt[[#This Row],[Start Date]],CC$29&lt;ProposalToGnatt[[#This Row],[Start Date]]+ProposalToGnatt[[#This Row],[Days]]),$G$5,"")),"")</f>
        <v/>
      </c>
      <c r="CD63" s="37" t="str">
        <f ca="1">IFERROR(+IF(CD$29=ProposalToGnatt[[#This Row],[Start Date]],Milestone_Marker,IF(AND(CD$29&gt;ProposalToGnatt[[#This Row],[Start Date]],CD$29&lt;ProposalToGnatt[[#This Row],[Start Date]]+ProposalToGnatt[[#This Row],[Days]]),$G$5,"")),"")</f>
        <v/>
      </c>
      <c r="CE63" s="37" t="str">
        <f ca="1">IFERROR(+IF(CE$29=ProposalToGnatt[[#This Row],[Start Date]],Milestone_Marker,IF(AND(CE$29&gt;ProposalToGnatt[[#This Row],[Start Date]],CE$29&lt;ProposalToGnatt[[#This Row],[Start Date]]+ProposalToGnatt[[#This Row],[Days]]),$G$5,"")),"")</f>
        <v/>
      </c>
      <c r="CF63" s="37" t="str">
        <f ca="1">IFERROR(+IF(CF$29=ProposalToGnatt[[#This Row],[Start Date]],Milestone_Marker,IF(AND(CF$29&gt;ProposalToGnatt[[#This Row],[Start Date]],CF$29&lt;ProposalToGnatt[[#This Row],[Start Date]]+ProposalToGnatt[[#This Row],[Days]]),$G$5,"")),"")</f>
        <v/>
      </c>
      <c r="CG63" s="37" t="str">
        <f ca="1">IFERROR(+IF(CG$29=ProposalToGnatt[[#This Row],[Start Date]],Milestone_Marker,IF(AND(CG$29&gt;ProposalToGnatt[[#This Row],[Start Date]],CG$29&lt;ProposalToGnatt[[#This Row],[Start Date]]+ProposalToGnatt[[#This Row],[Days]]),$G$5,"")),"")</f>
        <v/>
      </c>
      <c r="CH63" s="37" t="str">
        <f ca="1">IFERROR(+IF(CH$29=ProposalToGnatt[[#This Row],[Start Date]],Milestone_Marker,IF(AND(CH$29&gt;ProposalToGnatt[[#This Row],[Start Date]],CH$29&lt;ProposalToGnatt[[#This Row],[Start Date]]+ProposalToGnatt[[#This Row],[Days]]),$G$5,"")),"")</f>
        <v/>
      </c>
      <c r="CI63" s="37" t="str">
        <f ca="1">IFERROR(+IF(CI$29=ProposalToGnatt[[#This Row],[Start Date]],Milestone_Marker,IF(AND(CI$29&gt;ProposalToGnatt[[#This Row],[Start Date]],CI$29&lt;ProposalToGnatt[[#This Row],[Start Date]]+ProposalToGnatt[[#This Row],[Days]]),$G$5,"")),"")</f>
        <v/>
      </c>
      <c r="CJ63" s="37" t="str">
        <f ca="1">IFERROR(+IF(CJ$29=ProposalToGnatt[[#This Row],[Start Date]],Milestone_Marker,IF(AND(CJ$29&gt;ProposalToGnatt[[#This Row],[Start Date]],CJ$29&lt;ProposalToGnatt[[#This Row],[Start Date]]+ProposalToGnatt[[#This Row],[Days]]),$G$5,"")),"")</f>
        <v/>
      </c>
      <c r="CK63" s="37" t="str">
        <f ca="1">IFERROR(+IF(CK$29=ProposalToGnatt[[#This Row],[Start Date]],Milestone_Marker,IF(AND(CK$29&gt;ProposalToGnatt[[#This Row],[Start Date]],CK$29&lt;ProposalToGnatt[[#This Row],[Start Date]]+ProposalToGnatt[[#This Row],[Days]]),$G$5,"")),"")</f>
        <v/>
      </c>
      <c r="CL63" s="37" t="str">
        <f ca="1">IFERROR(+IF(CL$29=ProposalToGnatt[[#This Row],[Start Date]],Milestone_Marker,IF(AND(CL$29&gt;ProposalToGnatt[[#This Row],[Start Date]],CL$29&lt;ProposalToGnatt[[#This Row],[Start Date]]+ProposalToGnatt[[#This Row],[Days]]),$G$5,"")),"")</f>
        <v/>
      </c>
      <c r="CM63" s="37" t="str">
        <f ca="1">IFERROR(+IF(CM$29=ProposalToGnatt[[#This Row],[Start Date]],Milestone_Marker,IF(AND(CM$29&gt;ProposalToGnatt[[#This Row],[Start Date]],CM$29&lt;ProposalToGnatt[[#This Row],[Start Date]]+ProposalToGnatt[[#This Row],[Days]]),$G$5,"")),"")</f>
        <v/>
      </c>
      <c r="CN63" s="37" t="str">
        <f ca="1">IFERROR(+IF(CN$29=ProposalToGnatt[[#This Row],[Start Date]],Milestone_Marker,IF(AND(CN$29&gt;ProposalToGnatt[[#This Row],[Start Date]],CN$29&lt;ProposalToGnatt[[#This Row],[Start Date]]+ProposalToGnatt[[#This Row],[Days]]),$G$5,"")),"")</f>
        <v/>
      </c>
      <c r="CO63" s="37" t="str">
        <f ca="1">IFERROR(+IF(CO$29=ProposalToGnatt[[#This Row],[Start Date]],Milestone_Marker,IF(AND(CO$29&gt;ProposalToGnatt[[#This Row],[Start Date]],CO$29&lt;ProposalToGnatt[[#This Row],[Start Date]]+ProposalToGnatt[[#This Row],[Days]]),$G$5,"")),"")</f>
        <v/>
      </c>
      <c r="CP63" s="37" t="str">
        <f ca="1">IFERROR(+IF(CP$29=ProposalToGnatt[[#This Row],[Start Date]],Milestone_Marker,IF(AND(CP$29&gt;ProposalToGnatt[[#This Row],[Start Date]],CP$29&lt;ProposalToGnatt[[#This Row],[Start Date]]+ProposalToGnatt[[#This Row],[Days]]),$G$5,"")),"")</f>
        <v/>
      </c>
      <c r="CQ63" s="37" t="str">
        <f ca="1">IFERROR(+IF(CQ$29=ProposalToGnatt[[#This Row],[Start Date]],Milestone_Marker,IF(AND(CQ$29&gt;ProposalToGnatt[[#This Row],[Start Date]],CQ$29&lt;ProposalToGnatt[[#This Row],[Start Date]]+ProposalToGnatt[[#This Row],[Days]]),$G$5,"")),"")</f>
        <v/>
      </c>
      <c r="CR63" s="37" t="str">
        <f ca="1">IFERROR(+IF(CR$29=ProposalToGnatt[[#This Row],[Start Date]],Milestone_Marker,IF(AND(CR$29&gt;ProposalToGnatt[[#This Row],[Start Date]],CR$29&lt;ProposalToGnatt[[#This Row],[Start Date]]+ProposalToGnatt[[#This Row],[Days]]),$G$5,"")),"")</f>
        <v/>
      </c>
      <c r="CS63" s="37" t="str">
        <f ca="1">IFERROR(+IF(CS$29=ProposalToGnatt[[#This Row],[Start Date]],Milestone_Marker,IF(AND(CS$29&gt;ProposalToGnatt[[#This Row],[Start Date]],CS$29&lt;ProposalToGnatt[[#This Row],[Start Date]]+ProposalToGnatt[[#This Row],[Days]]),$G$5,"")),"")</f>
        <v/>
      </c>
      <c r="CT63" s="37" t="str">
        <f ca="1">IFERROR(+IF(CT$29=ProposalToGnatt[[#This Row],[Start Date]],Milestone_Marker,IF(AND(CT$29&gt;ProposalToGnatt[[#This Row],[Start Date]],CT$29&lt;ProposalToGnatt[[#This Row],[Start Date]]+ProposalToGnatt[[#This Row],[Days]]),$G$5,"")),"")</f>
        <v/>
      </c>
      <c r="CU63" s="37" t="str">
        <f ca="1">IFERROR(+IF(CU$29=ProposalToGnatt[[#This Row],[Start Date]],Milestone_Marker,IF(AND(CU$29&gt;ProposalToGnatt[[#This Row],[Start Date]],CU$29&lt;ProposalToGnatt[[#This Row],[Start Date]]+ProposalToGnatt[[#This Row],[Days]]),$G$5,"")),"")</f>
        <v/>
      </c>
      <c r="CV63" s="37"/>
      <c r="CW63" s="37"/>
      <c r="CX63" s="37"/>
      <c r="CY63" s="37"/>
      <c r="CZ63" s="37"/>
      <c r="DA63" s="37"/>
      <c r="DB63" s="37"/>
      <c r="DC63" s="37"/>
      <c r="DD63" s="37"/>
      <c r="DE63" s="37"/>
      <c r="DF63" s="37"/>
      <c r="DG63" s="37"/>
      <c r="DH63" s="37"/>
      <c r="DI63" s="37"/>
      <c r="DJ63" s="37"/>
      <c r="DK63" s="37"/>
      <c r="DL63" s="37"/>
      <c r="DM63" s="37"/>
      <c r="DN63" s="37"/>
      <c r="DO63" s="37"/>
      <c r="DP63" s="37"/>
      <c r="DQ63" s="37"/>
      <c r="DR63" s="37"/>
      <c r="DS63" s="37"/>
      <c r="DT63" s="37"/>
      <c r="DU63" s="37"/>
    </row>
    <row r="64" spans="1:125" s="42" customFormat="1" ht="15">
      <c r="A64"/>
      <c r="B64"/>
      <c r="C64"/>
      <c r="D64"/>
      <c r="E64"/>
      <c r="F64"/>
      <c r="G64" s="11"/>
      <c r="H64" s="26"/>
      <c r="I64"/>
      <c r="J64"/>
      <c r="K64" s="402"/>
      <c r="L64"/>
      <c r="M64"/>
      <c r="N64"/>
      <c r="O64" s="26"/>
      <c r="P64" s="37" t="str">
        <f ca="1">IFERROR(+IF(P$29=ProposalToGnatt[[#This Row],[Start Date]],Milestone_Marker,IF(AND(P$29&gt;ProposalToGnatt[[#This Row],[Start Date]],P$29&lt;ProposalToGnatt[[#This Row],[Start Date]]+ProposalToGnatt[[#This Row],[Days]]),$G$5,"")),"")</f>
        <v/>
      </c>
      <c r="Q64" s="37" t="str">
        <f ca="1">IFERROR(+IF(Q$29=ProposalToGnatt[[#This Row],[Start Date]],Milestone_Marker,IF(AND(Q$29&gt;ProposalToGnatt[[#This Row],[Start Date]],Q$29&lt;ProposalToGnatt[[#This Row],[Start Date]]+ProposalToGnatt[[#This Row],[Days]]),$G$5,"")),"")</f>
        <v/>
      </c>
      <c r="R64" s="37" t="str">
        <f ca="1">IFERROR(+IF(R$29=ProposalToGnatt[[#This Row],[Start Date]],Milestone_Marker,IF(AND(R$29&gt;ProposalToGnatt[[#This Row],[Start Date]],R$29&lt;ProposalToGnatt[[#This Row],[Start Date]]+ProposalToGnatt[[#This Row],[Days]]),$G$5,"")),"")</f>
        <v/>
      </c>
      <c r="S64" s="37" t="str">
        <f ca="1">IFERROR(+IF(S$29=ProposalToGnatt[[#This Row],[Start Date]],Milestone_Marker,IF(AND(S$29&gt;ProposalToGnatt[[#This Row],[Start Date]],S$29&lt;ProposalToGnatt[[#This Row],[Start Date]]+ProposalToGnatt[[#This Row],[Days]]),$G$5,"")),"")</f>
        <v/>
      </c>
      <c r="T64" s="37" t="str">
        <f ca="1">IFERROR(+IF(T$29=ProposalToGnatt[[#This Row],[Start Date]],Milestone_Marker,IF(AND(T$29&gt;ProposalToGnatt[[#This Row],[Start Date]],T$29&lt;ProposalToGnatt[[#This Row],[Start Date]]+ProposalToGnatt[[#This Row],[Days]]),$G$5,"")),"")</f>
        <v/>
      </c>
      <c r="U64" s="37" t="str">
        <f ca="1">IFERROR(+IF(U$29=ProposalToGnatt[[#This Row],[Start Date]],Milestone_Marker,IF(AND(U$29&gt;ProposalToGnatt[[#This Row],[Start Date]],U$29&lt;ProposalToGnatt[[#This Row],[Start Date]]+ProposalToGnatt[[#This Row],[Days]]),$G$5,"")),"")</f>
        <v/>
      </c>
      <c r="V64" s="37" t="str">
        <f ca="1">IFERROR(+IF(V$29=ProposalToGnatt[[#This Row],[Start Date]],Milestone_Marker,IF(AND(V$29&gt;ProposalToGnatt[[#This Row],[Start Date]],V$29&lt;ProposalToGnatt[[#This Row],[Start Date]]+ProposalToGnatt[[#This Row],[Days]]),$G$5,"")),"")</f>
        <v/>
      </c>
      <c r="W64" s="37" t="str">
        <f ca="1">IFERROR(+IF(W$29=ProposalToGnatt[[#This Row],[Start Date]],Milestone_Marker,IF(AND(W$29&gt;ProposalToGnatt[[#This Row],[Start Date]],W$29&lt;ProposalToGnatt[[#This Row],[Start Date]]+ProposalToGnatt[[#This Row],[Days]]),$G$5,"")),"")</f>
        <v/>
      </c>
      <c r="X64" s="37" t="str">
        <f ca="1">IFERROR(+IF(X$29=ProposalToGnatt[[#This Row],[Start Date]],Milestone_Marker,IF(AND(X$29&gt;ProposalToGnatt[[#This Row],[Start Date]],X$29&lt;ProposalToGnatt[[#This Row],[Start Date]]+ProposalToGnatt[[#This Row],[Days]]),$G$5,"")),"")</f>
        <v/>
      </c>
      <c r="Y64" s="37" t="str">
        <f ca="1">IFERROR(+IF(Y$29=ProposalToGnatt[[#This Row],[Start Date]],Milestone_Marker,IF(AND(Y$29&gt;ProposalToGnatt[[#This Row],[Start Date]],Y$29&lt;ProposalToGnatt[[#This Row],[Start Date]]+ProposalToGnatt[[#This Row],[Days]]),$G$5,"")),"")</f>
        <v/>
      </c>
      <c r="Z64" s="37" t="str">
        <f ca="1">IFERROR(+IF(Z$29=ProposalToGnatt[[#This Row],[Start Date]],Milestone_Marker,IF(AND(Z$29&gt;ProposalToGnatt[[#This Row],[Start Date]],Z$29&lt;ProposalToGnatt[[#This Row],[Start Date]]+ProposalToGnatt[[#This Row],[Days]]),$G$5,"")),"")</f>
        <v/>
      </c>
      <c r="AA64" s="37" t="str">
        <f ca="1">IFERROR(+IF(AA$29=ProposalToGnatt[[#This Row],[Start Date]],Milestone_Marker,IF(AND(AA$29&gt;ProposalToGnatt[[#This Row],[Start Date]],AA$29&lt;ProposalToGnatt[[#This Row],[Start Date]]+ProposalToGnatt[[#This Row],[Days]]),$G$5,"")),"")</f>
        <v/>
      </c>
      <c r="AB64" s="37" t="str">
        <f ca="1">IFERROR(+IF(AB$29=ProposalToGnatt[[#This Row],[Start Date]],Milestone_Marker,IF(AND(AB$29&gt;ProposalToGnatt[[#This Row],[Start Date]],AB$29&lt;ProposalToGnatt[[#This Row],[Start Date]]+ProposalToGnatt[[#This Row],[Days]]),$G$5,"")),"")</f>
        <v/>
      </c>
      <c r="AC64" s="37" t="str">
        <f ca="1">IFERROR(+IF(AC$29=ProposalToGnatt[[#This Row],[Start Date]],Milestone_Marker,IF(AND(AC$29&gt;ProposalToGnatt[[#This Row],[Start Date]],AC$29&lt;ProposalToGnatt[[#This Row],[Start Date]]+ProposalToGnatt[[#This Row],[Days]]),$G$5,"")),"")</f>
        <v/>
      </c>
      <c r="AD64" s="37" t="str">
        <f ca="1">IFERROR(+IF(AD$29=ProposalToGnatt[[#This Row],[Start Date]],Milestone_Marker,IF(AND(AD$29&gt;ProposalToGnatt[[#This Row],[Start Date]],AD$29&lt;ProposalToGnatt[[#This Row],[Start Date]]+ProposalToGnatt[[#This Row],[Days]]),$G$5,"")),"")</f>
        <v/>
      </c>
      <c r="AE64" s="37" t="str">
        <f ca="1">IFERROR(+IF(AE$29=ProposalToGnatt[[#This Row],[Start Date]],Milestone_Marker,IF(AND(AE$29&gt;ProposalToGnatt[[#This Row],[Start Date]],AE$29&lt;ProposalToGnatt[[#This Row],[Start Date]]+ProposalToGnatt[[#This Row],[Days]]),$G$5,"")),"")</f>
        <v/>
      </c>
      <c r="AF64" s="37" t="str">
        <f ca="1">IFERROR(+IF(AF$29=ProposalToGnatt[[#This Row],[Start Date]],Milestone_Marker,IF(AND(AF$29&gt;ProposalToGnatt[[#This Row],[Start Date]],AF$29&lt;ProposalToGnatt[[#This Row],[Start Date]]+ProposalToGnatt[[#This Row],[Days]]),$G$5,"")),"")</f>
        <v/>
      </c>
      <c r="AG64" s="37" t="str">
        <f ca="1">IFERROR(+IF(AG$29=ProposalToGnatt[[#This Row],[Start Date]],Milestone_Marker,IF(AND(AG$29&gt;ProposalToGnatt[[#This Row],[Start Date]],AG$29&lt;ProposalToGnatt[[#This Row],[Start Date]]+ProposalToGnatt[[#This Row],[Days]]),$G$5,"")),"")</f>
        <v/>
      </c>
      <c r="AH64" s="37" t="str">
        <f ca="1">IFERROR(+IF(AH$29=ProposalToGnatt[[#This Row],[Start Date]],Milestone_Marker,IF(AND(AH$29&gt;ProposalToGnatt[[#This Row],[Start Date]],AH$29&lt;ProposalToGnatt[[#This Row],[Start Date]]+ProposalToGnatt[[#This Row],[Days]]),$G$5,"")),"")</f>
        <v/>
      </c>
      <c r="AI64" s="37" t="str">
        <f ca="1">IFERROR(+IF(AI$29=ProposalToGnatt[[#This Row],[Start Date]],Milestone_Marker,IF(AND(AI$29&gt;ProposalToGnatt[[#This Row],[Start Date]],AI$29&lt;ProposalToGnatt[[#This Row],[Start Date]]+ProposalToGnatt[[#This Row],[Days]]),$G$5,"")),"")</f>
        <v/>
      </c>
      <c r="AJ64" s="37" t="str">
        <f ca="1">IFERROR(+IF(AJ$29=ProposalToGnatt[[#This Row],[Start Date]],Milestone_Marker,IF(AND(AJ$29&gt;ProposalToGnatt[[#This Row],[Start Date]],AJ$29&lt;ProposalToGnatt[[#This Row],[Start Date]]+ProposalToGnatt[[#This Row],[Days]]),$G$5,"")),"")</f>
        <v/>
      </c>
      <c r="AK64" s="37" t="str">
        <f ca="1">IFERROR(+IF(AK$29=ProposalToGnatt[[#This Row],[Start Date]],Milestone_Marker,IF(AND(AK$29&gt;ProposalToGnatt[[#This Row],[Start Date]],AK$29&lt;ProposalToGnatt[[#This Row],[Start Date]]+ProposalToGnatt[[#This Row],[Days]]),$G$5,"")),"")</f>
        <v/>
      </c>
      <c r="AL64" s="37" t="str">
        <f ca="1">IFERROR(+IF(AL$29=ProposalToGnatt[[#This Row],[Start Date]],Milestone_Marker,IF(AND(AL$29&gt;ProposalToGnatt[[#This Row],[Start Date]],AL$29&lt;ProposalToGnatt[[#This Row],[Start Date]]+ProposalToGnatt[[#This Row],[Days]]),$G$5,"")),"")</f>
        <v/>
      </c>
      <c r="AM64" s="37" t="str">
        <f ca="1">IFERROR(+IF(AM$29=ProposalToGnatt[[#This Row],[Start Date]],Milestone_Marker,IF(AND(AM$29&gt;ProposalToGnatt[[#This Row],[Start Date]],AM$29&lt;ProposalToGnatt[[#This Row],[Start Date]]+ProposalToGnatt[[#This Row],[Days]]),$G$5,"")),"")</f>
        <v/>
      </c>
      <c r="AN64" s="37" t="str">
        <f ca="1">IFERROR(+IF(AN$29=ProposalToGnatt[[#This Row],[Start Date]],Milestone_Marker,IF(AND(AN$29&gt;ProposalToGnatt[[#This Row],[Start Date]],AN$29&lt;ProposalToGnatt[[#This Row],[Start Date]]+ProposalToGnatt[[#This Row],[Days]]),$G$5,"")),"")</f>
        <v/>
      </c>
      <c r="AO64" s="37" t="str">
        <f ca="1">IFERROR(+IF(AO$29=ProposalToGnatt[[#This Row],[Start Date]],Milestone_Marker,IF(AND(AO$29&gt;ProposalToGnatt[[#This Row],[Start Date]],AO$29&lt;ProposalToGnatt[[#This Row],[Start Date]]+ProposalToGnatt[[#This Row],[Days]]),$G$5,"")),"")</f>
        <v/>
      </c>
      <c r="AP64" s="37" t="str">
        <f ca="1">IFERROR(+IF(AP$29=ProposalToGnatt[[#This Row],[Start Date]],Milestone_Marker,IF(AND(AP$29&gt;ProposalToGnatt[[#This Row],[Start Date]],AP$29&lt;ProposalToGnatt[[#This Row],[Start Date]]+ProposalToGnatt[[#This Row],[Days]]),$G$5,"")),"")</f>
        <v/>
      </c>
      <c r="AQ64" s="37" t="str">
        <f ca="1">IFERROR(+IF(AQ$29=ProposalToGnatt[[#This Row],[Start Date]],Milestone_Marker,IF(AND(AQ$29&gt;ProposalToGnatt[[#This Row],[Start Date]],AQ$29&lt;ProposalToGnatt[[#This Row],[Start Date]]+ProposalToGnatt[[#This Row],[Days]]),$G$5,"")),"")</f>
        <v/>
      </c>
      <c r="AR64" s="37" t="str">
        <f ca="1">IFERROR(+IF(AR$29=ProposalToGnatt[[#This Row],[Start Date]],Milestone_Marker,IF(AND(AR$29&gt;ProposalToGnatt[[#This Row],[Start Date]],AR$29&lt;ProposalToGnatt[[#This Row],[Start Date]]+ProposalToGnatt[[#This Row],[Days]]),$G$5,"")),"")</f>
        <v/>
      </c>
      <c r="AS64" s="37" t="str">
        <f ca="1">IFERROR(+IF(AS$29=ProposalToGnatt[[#This Row],[Start Date]],Milestone_Marker,IF(AND(AS$29&gt;ProposalToGnatt[[#This Row],[Start Date]],AS$29&lt;ProposalToGnatt[[#This Row],[Start Date]]+ProposalToGnatt[[#This Row],[Days]]),$G$5,"")),"")</f>
        <v/>
      </c>
      <c r="AT64" s="37" t="str">
        <f ca="1">IFERROR(+IF(AT$29=ProposalToGnatt[[#This Row],[Start Date]],Milestone_Marker,IF(AND(AT$29&gt;ProposalToGnatt[[#This Row],[Start Date]],AT$29&lt;ProposalToGnatt[[#This Row],[Start Date]]+ProposalToGnatt[[#This Row],[Days]]),$G$5,"")),"")</f>
        <v/>
      </c>
      <c r="AU64" s="37" t="str">
        <f ca="1">IFERROR(+IF(AU$29=ProposalToGnatt[[#This Row],[Start Date]],Milestone_Marker,IF(AND(AU$29&gt;ProposalToGnatt[[#This Row],[Start Date]],AU$29&lt;ProposalToGnatt[[#This Row],[Start Date]]+ProposalToGnatt[[#This Row],[Days]]),$G$5,"")),"")</f>
        <v/>
      </c>
      <c r="AV64" s="37" t="str">
        <f ca="1">IFERROR(+IF(AV$29=ProposalToGnatt[[#This Row],[Start Date]],Milestone_Marker,IF(AND(AV$29&gt;ProposalToGnatt[[#This Row],[Start Date]],AV$29&lt;ProposalToGnatt[[#This Row],[Start Date]]+ProposalToGnatt[[#This Row],[Days]]),$G$5,"")),"")</f>
        <v/>
      </c>
      <c r="AW64" s="37" t="str">
        <f ca="1">IFERROR(+IF(AW$29=ProposalToGnatt[[#This Row],[Start Date]],Milestone_Marker,IF(AND(AW$29&gt;ProposalToGnatt[[#This Row],[Start Date]],AW$29&lt;ProposalToGnatt[[#This Row],[Start Date]]+ProposalToGnatt[[#This Row],[Days]]),$G$5,"")),"")</f>
        <v/>
      </c>
      <c r="AX64" s="37" t="str">
        <f ca="1">IFERROR(+IF(AX$29=ProposalToGnatt[[#This Row],[Start Date]],Milestone_Marker,IF(AND(AX$29&gt;ProposalToGnatt[[#This Row],[Start Date]],AX$29&lt;ProposalToGnatt[[#This Row],[Start Date]]+ProposalToGnatt[[#This Row],[Days]]),$G$5,"")),"")</f>
        <v/>
      </c>
      <c r="AY64" s="37" t="str">
        <f ca="1">IFERROR(+IF(AY$29=ProposalToGnatt[[#This Row],[Start Date]],Milestone_Marker,IF(AND(AY$29&gt;ProposalToGnatt[[#This Row],[Start Date]],AY$29&lt;ProposalToGnatt[[#This Row],[Start Date]]+ProposalToGnatt[[#This Row],[Days]]),$G$5,"")),"")</f>
        <v/>
      </c>
      <c r="AZ64" s="37" t="str">
        <f ca="1">IFERROR(+IF(AZ$29=ProposalToGnatt[[#This Row],[Start Date]],Milestone_Marker,IF(AND(AZ$29&gt;ProposalToGnatt[[#This Row],[Start Date]],AZ$29&lt;ProposalToGnatt[[#This Row],[Start Date]]+ProposalToGnatt[[#This Row],[Days]]),$G$5,"")),"")</f>
        <v/>
      </c>
      <c r="BA64" s="37" t="str">
        <f ca="1">IFERROR(+IF(BA$29=ProposalToGnatt[[#This Row],[Start Date]],Milestone_Marker,IF(AND(BA$29&gt;ProposalToGnatt[[#This Row],[Start Date]],BA$29&lt;ProposalToGnatt[[#This Row],[Start Date]]+ProposalToGnatt[[#This Row],[Days]]),$G$5,"")),"")</f>
        <v/>
      </c>
      <c r="BB64" s="37" t="str">
        <f ca="1">IFERROR(+IF(BB$29=ProposalToGnatt[[#This Row],[Start Date]],Milestone_Marker,IF(AND(BB$29&gt;ProposalToGnatt[[#This Row],[Start Date]],BB$29&lt;ProposalToGnatt[[#This Row],[Start Date]]+ProposalToGnatt[[#This Row],[Days]]),$G$5,"")),"")</f>
        <v/>
      </c>
      <c r="BC64" s="37" t="str">
        <f ca="1">IFERROR(+IF(BC$29=ProposalToGnatt[[#This Row],[Start Date]],Milestone_Marker,IF(AND(BC$29&gt;ProposalToGnatt[[#This Row],[Start Date]],BC$29&lt;ProposalToGnatt[[#This Row],[Start Date]]+ProposalToGnatt[[#This Row],[Days]]),$G$5,"")),"")</f>
        <v/>
      </c>
      <c r="BD64" s="37" t="str">
        <f ca="1">IFERROR(+IF(BD$29=ProposalToGnatt[[#This Row],[Start Date]],Milestone_Marker,IF(AND(BD$29&gt;ProposalToGnatt[[#This Row],[Start Date]],BD$29&lt;ProposalToGnatt[[#This Row],[Start Date]]+ProposalToGnatt[[#This Row],[Days]]),$G$5,"")),"")</f>
        <v/>
      </c>
      <c r="BE64" s="37" t="str">
        <f ca="1">IFERROR(+IF(BE$29=ProposalToGnatt[[#This Row],[Start Date]],Milestone_Marker,IF(AND(BE$29&gt;ProposalToGnatt[[#This Row],[Start Date]],BE$29&lt;ProposalToGnatt[[#This Row],[Start Date]]+ProposalToGnatt[[#This Row],[Days]]),$G$5,"")),"")</f>
        <v/>
      </c>
      <c r="BF64" s="37" t="str">
        <f ca="1">IFERROR(+IF(BF$29=ProposalToGnatt[[#This Row],[Start Date]],Milestone_Marker,IF(AND(BF$29&gt;ProposalToGnatt[[#This Row],[Start Date]],BF$29&lt;ProposalToGnatt[[#This Row],[Start Date]]+ProposalToGnatt[[#This Row],[Days]]),$G$5,"")),"")</f>
        <v/>
      </c>
      <c r="BG64" s="37" t="str">
        <f ca="1">IFERROR(+IF(BG$29=ProposalToGnatt[[#This Row],[Start Date]],Milestone_Marker,IF(AND(BG$29&gt;ProposalToGnatt[[#This Row],[Start Date]],BG$29&lt;ProposalToGnatt[[#This Row],[Start Date]]+ProposalToGnatt[[#This Row],[Days]]),$G$5,"")),"")</f>
        <v/>
      </c>
      <c r="BH64" s="37" t="str">
        <f ca="1">IFERROR(+IF(BH$29=ProposalToGnatt[[#This Row],[Start Date]],Milestone_Marker,IF(AND(BH$29&gt;ProposalToGnatt[[#This Row],[Start Date]],BH$29&lt;ProposalToGnatt[[#This Row],[Start Date]]+ProposalToGnatt[[#This Row],[Days]]),$G$5,"")),"")</f>
        <v/>
      </c>
      <c r="BI64" s="37" t="str">
        <f ca="1">IFERROR(+IF(BI$29=ProposalToGnatt[[#This Row],[Start Date]],Milestone_Marker,IF(AND(BI$29&gt;ProposalToGnatt[[#This Row],[Start Date]],BI$29&lt;ProposalToGnatt[[#This Row],[Start Date]]+ProposalToGnatt[[#This Row],[Days]]),$G$5,"")),"")</f>
        <v/>
      </c>
      <c r="BJ64" s="37" t="str">
        <f ca="1">IFERROR(+IF(BJ$29=ProposalToGnatt[[#This Row],[Start Date]],Milestone_Marker,IF(AND(BJ$29&gt;ProposalToGnatt[[#This Row],[Start Date]],BJ$29&lt;ProposalToGnatt[[#This Row],[Start Date]]+ProposalToGnatt[[#This Row],[Days]]),$G$5,"")),"")</f>
        <v/>
      </c>
      <c r="BK64" s="37" t="str">
        <f ca="1">IFERROR(+IF(BK$29=ProposalToGnatt[[#This Row],[Start Date]],Milestone_Marker,IF(AND(BK$29&gt;ProposalToGnatt[[#This Row],[Start Date]],BK$29&lt;ProposalToGnatt[[#This Row],[Start Date]]+ProposalToGnatt[[#This Row],[Days]]),$G$5,"")),"")</f>
        <v/>
      </c>
      <c r="BL64" s="37" t="str">
        <f ca="1">IFERROR(+IF(BL$29=ProposalToGnatt[[#This Row],[Start Date]],Milestone_Marker,IF(AND(BL$29&gt;ProposalToGnatt[[#This Row],[Start Date]],BL$29&lt;ProposalToGnatt[[#This Row],[Start Date]]+ProposalToGnatt[[#This Row],[Days]]),$G$5,"")),"")</f>
        <v/>
      </c>
      <c r="BM64" s="37" t="str">
        <f ca="1">IFERROR(+IF(BM$29=ProposalToGnatt[[#This Row],[Start Date]],Milestone_Marker,IF(AND(BM$29&gt;ProposalToGnatt[[#This Row],[Start Date]],BM$29&lt;ProposalToGnatt[[#This Row],[Start Date]]+ProposalToGnatt[[#This Row],[Days]]),$G$5,"")),"")</f>
        <v/>
      </c>
      <c r="BN64" s="37" t="str">
        <f ca="1">IFERROR(+IF(BN$29=ProposalToGnatt[[#This Row],[Start Date]],Milestone_Marker,IF(AND(BN$29&gt;ProposalToGnatt[[#This Row],[Start Date]],BN$29&lt;ProposalToGnatt[[#This Row],[Start Date]]+ProposalToGnatt[[#This Row],[Days]]),$G$5,"")),"")</f>
        <v/>
      </c>
      <c r="BO64" s="37" t="str">
        <f ca="1">IFERROR(+IF(BO$29=ProposalToGnatt[[#This Row],[Start Date]],Milestone_Marker,IF(AND(BO$29&gt;ProposalToGnatt[[#This Row],[Start Date]],BO$29&lt;ProposalToGnatt[[#This Row],[Start Date]]+ProposalToGnatt[[#This Row],[Days]]),$G$5,"")),"")</f>
        <v/>
      </c>
      <c r="BP64" s="37" t="str">
        <f ca="1">IFERROR(+IF(BP$29=ProposalToGnatt[[#This Row],[Start Date]],Milestone_Marker,IF(AND(BP$29&gt;ProposalToGnatt[[#This Row],[Start Date]],BP$29&lt;ProposalToGnatt[[#This Row],[Start Date]]+ProposalToGnatt[[#This Row],[Days]]),$G$5,"")),"")</f>
        <v/>
      </c>
      <c r="BQ64" s="37" t="str">
        <f ca="1">IFERROR(+IF(BQ$29=ProposalToGnatt[[#This Row],[Start Date]],Milestone_Marker,IF(AND(BQ$29&gt;ProposalToGnatt[[#This Row],[Start Date]],BQ$29&lt;ProposalToGnatt[[#This Row],[Start Date]]+ProposalToGnatt[[#This Row],[Days]]),$G$5,"")),"")</f>
        <v/>
      </c>
      <c r="BR64" s="37" t="str">
        <f ca="1">IFERROR(+IF(BR$29=ProposalToGnatt[[#This Row],[Start Date]],Milestone_Marker,IF(AND(BR$29&gt;ProposalToGnatt[[#This Row],[Start Date]],BR$29&lt;ProposalToGnatt[[#This Row],[Start Date]]+ProposalToGnatt[[#This Row],[Days]]),$G$5,"")),"")</f>
        <v/>
      </c>
      <c r="BS64" s="37" t="str">
        <f ca="1">IFERROR(+IF(BS$29=ProposalToGnatt[[#This Row],[Start Date]],Milestone_Marker,IF(AND(BS$29&gt;ProposalToGnatt[[#This Row],[Start Date]],BS$29&lt;ProposalToGnatt[[#This Row],[Start Date]]+ProposalToGnatt[[#This Row],[Days]]),$G$5,"")),"")</f>
        <v/>
      </c>
      <c r="BT64" s="37" t="str">
        <f ca="1">IFERROR(+IF(BT$29=ProposalToGnatt[[#This Row],[Start Date]],Milestone_Marker,IF(AND(BT$29&gt;ProposalToGnatt[[#This Row],[Start Date]],BT$29&lt;ProposalToGnatt[[#This Row],[Start Date]]+ProposalToGnatt[[#This Row],[Days]]),$G$5,"")),"")</f>
        <v/>
      </c>
      <c r="BU64" s="37" t="str">
        <f ca="1">IFERROR(+IF(BU$29=ProposalToGnatt[[#This Row],[Start Date]],Milestone_Marker,IF(AND(BU$29&gt;ProposalToGnatt[[#This Row],[Start Date]],BU$29&lt;ProposalToGnatt[[#This Row],[Start Date]]+ProposalToGnatt[[#This Row],[Days]]),$G$5,"")),"")</f>
        <v/>
      </c>
      <c r="BV64" s="37" t="str">
        <f ca="1">IFERROR(+IF(BV$29=ProposalToGnatt[[#This Row],[Start Date]],Milestone_Marker,IF(AND(BV$29&gt;ProposalToGnatt[[#This Row],[Start Date]],BV$29&lt;ProposalToGnatt[[#This Row],[Start Date]]+ProposalToGnatt[[#This Row],[Days]]),$G$5,"")),"")</f>
        <v/>
      </c>
      <c r="BW64" s="37" t="str">
        <f ca="1">IFERROR(+IF(BW$29=ProposalToGnatt[[#This Row],[Start Date]],Milestone_Marker,IF(AND(BW$29&gt;ProposalToGnatt[[#This Row],[Start Date]],BW$29&lt;ProposalToGnatt[[#This Row],[Start Date]]+ProposalToGnatt[[#This Row],[Days]]),$G$5,"")),"")</f>
        <v/>
      </c>
      <c r="BX64" s="37" t="str">
        <f ca="1">IFERROR(+IF(BX$29=ProposalToGnatt[[#This Row],[Start Date]],Milestone_Marker,IF(AND(BX$29&gt;ProposalToGnatt[[#This Row],[Start Date]],BX$29&lt;ProposalToGnatt[[#This Row],[Start Date]]+ProposalToGnatt[[#This Row],[Days]]),$G$5,"")),"")</f>
        <v/>
      </c>
      <c r="BY64" s="37" t="str">
        <f ca="1">IFERROR(+IF(BY$29=ProposalToGnatt[[#This Row],[Start Date]],Milestone_Marker,IF(AND(BY$29&gt;ProposalToGnatt[[#This Row],[Start Date]],BY$29&lt;ProposalToGnatt[[#This Row],[Start Date]]+ProposalToGnatt[[#This Row],[Days]]),$G$5,"")),"")</f>
        <v/>
      </c>
      <c r="BZ64" s="37" t="str">
        <f ca="1">IFERROR(+IF(BZ$29=ProposalToGnatt[[#This Row],[Start Date]],Milestone_Marker,IF(AND(BZ$29&gt;ProposalToGnatt[[#This Row],[Start Date]],BZ$29&lt;ProposalToGnatt[[#This Row],[Start Date]]+ProposalToGnatt[[#This Row],[Days]]),$G$5,"")),"")</f>
        <v/>
      </c>
      <c r="CA64" s="37" t="str">
        <f ca="1">IFERROR(+IF(CA$29=ProposalToGnatt[[#This Row],[Start Date]],Milestone_Marker,IF(AND(CA$29&gt;ProposalToGnatt[[#This Row],[Start Date]],CA$29&lt;ProposalToGnatt[[#This Row],[Start Date]]+ProposalToGnatt[[#This Row],[Days]]),$G$5,"")),"")</f>
        <v/>
      </c>
      <c r="CB64" s="37" t="str">
        <f ca="1">IFERROR(+IF(CB$29=ProposalToGnatt[[#This Row],[Start Date]],Milestone_Marker,IF(AND(CB$29&gt;ProposalToGnatt[[#This Row],[Start Date]],CB$29&lt;ProposalToGnatt[[#This Row],[Start Date]]+ProposalToGnatt[[#This Row],[Days]]),$G$5,"")),"")</f>
        <v/>
      </c>
      <c r="CC64" s="37" t="str">
        <f ca="1">IFERROR(+IF(CC$29=ProposalToGnatt[[#This Row],[Start Date]],Milestone_Marker,IF(AND(CC$29&gt;ProposalToGnatt[[#This Row],[Start Date]],CC$29&lt;ProposalToGnatt[[#This Row],[Start Date]]+ProposalToGnatt[[#This Row],[Days]]),$G$5,"")),"")</f>
        <v/>
      </c>
      <c r="CD64" s="37" t="str">
        <f ca="1">IFERROR(+IF(CD$29=ProposalToGnatt[[#This Row],[Start Date]],Milestone_Marker,IF(AND(CD$29&gt;ProposalToGnatt[[#This Row],[Start Date]],CD$29&lt;ProposalToGnatt[[#This Row],[Start Date]]+ProposalToGnatt[[#This Row],[Days]]),$G$5,"")),"")</f>
        <v/>
      </c>
      <c r="CE64" s="37" t="str">
        <f ca="1">IFERROR(+IF(CE$29=ProposalToGnatt[[#This Row],[Start Date]],Milestone_Marker,IF(AND(CE$29&gt;ProposalToGnatt[[#This Row],[Start Date]],CE$29&lt;ProposalToGnatt[[#This Row],[Start Date]]+ProposalToGnatt[[#This Row],[Days]]),$G$5,"")),"")</f>
        <v/>
      </c>
      <c r="CF64" s="37" t="str">
        <f ca="1">IFERROR(+IF(CF$29=ProposalToGnatt[[#This Row],[Start Date]],Milestone_Marker,IF(AND(CF$29&gt;ProposalToGnatt[[#This Row],[Start Date]],CF$29&lt;ProposalToGnatt[[#This Row],[Start Date]]+ProposalToGnatt[[#This Row],[Days]]),$G$5,"")),"")</f>
        <v/>
      </c>
      <c r="CG64" s="37" t="str">
        <f ca="1">IFERROR(+IF(CG$29=ProposalToGnatt[[#This Row],[Start Date]],Milestone_Marker,IF(AND(CG$29&gt;ProposalToGnatt[[#This Row],[Start Date]],CG$29&lt;ProposalToGnatt[[#This Row],[Start Date]]+ProposalToGnatt[[#This Row],[Days]]),$G$5,"")),"")</f>
        <v/>
      </c>
      <c r="CH64" s="37" t="str">
        <f ca="1">IFERROR(+IF(CH$29=ProposalToGnatt[[#This Row],[Start Date]],Milestone_Marker,IF(AND(CH$29&gt;ProposalToGnatt[[#This Row],[Start Date]],CH$29&lt;ProposalToGnatt[[#This Row],[Start Date]]+ProposalToGnatt[[#This Row],[Days]]),$G$5,"")),"")</f>
        <v/>
      </c>
      <c r="CI64" s="37" t="str">
        <f ca="1">IFERROR(+IF(CI$29=ProposalToGnatt[[#This Row],[Start Date]],Milestone_Marker,IF(AND(CI$29&gt;ProposalToGnatt[[#This Row],[Start Date]],CI$29&lt;ProposalToGnatt[[#This Row],[Start Date]]+ProposalToGnatt[[#This Row],[Days]]),$G$5,"")),"")</f>
        <v/>
      </c>
      <c r="CJ64" s="37" t="str">
        <f ca="1">IFERROR(+IF(CJ$29=ProposalToGnatt[[#This Row],[Start Date]],Milestone_Marker,IF(AND(CJ$29&gt;ProposalToGnatt[[#This Row],[Start Date]],CJ$29&lt;ProposalToGnatt[[#This Row],[Start Date]]+ProposalToGnatt[[#This Row],[Days]]),$G$5,"")),"")</f>
        <v/>
      </c>
      <c r="CK64" s="37" t="str">
        <f ca="1">IFERROR(+IF(CK$29=ProposalToGnatt[[#This Row],[Start Date]],Milestone_Marker,IF(AND(CK$29&gt;ProposalToGnatt[[#This Row],[Start Date]],CK$29&lt;ProposalToGnatt[[#This Row],[Start Date]]+ProposalToGnatt[[#This Row],[Days]]),$G$5,"")),"")</f>
        <v/>
      </c>
      <c r="CL64" s="37" t="str">
        <f ca="1">IFERROR(+IF(CL$29=ProposalToGnatt[[#This Row],[Start Date]],Milestone_Marker,IF(AND(CL$29&gt;ProposalToGnatt[[#This Row],[Start Date]],CL$29&lt;ProposalToGnatt[[#This Row],[Start Date]]+ProposalToGnatt[[#This Row],[Days]]),$G$5,"")),"")</f>
        <v/>
      </c>
      <c r="CM64" s="37" t="str">
        <f ca="1">IFERROR(+IF(CM$29=ProposalToGnatt[[#This Row],[Start Date]],Milestone_Marker,IF(AND(CM$29&gt;ProposalToGnatt[[#This Row],[Start Date]],CM$29&lt;ProposalToGnatt[[#This Row],[Start Date]]+ProposalToGnatt[[#This Row],[Days]]),$G$5,"")),"")</f>
        <v/>
      </c>
      <c r="CN64" s="37" t="str">
        <f ca="1">IFERROR(+IF(CN$29=ProposalToGnatt[[#This Row],[Start Date]],Milestone_Marker,IF(AND(CN$29&gt;ProposalToGnatt[[#This Row],[Start Date]],CN$29&lt;ProposalToGnatt[[#This Row],[Start Date]]+ProposalToGnatt[[#This Row],[Days]]),$G$5,"")),"")</f>
        <v/>
      </c>
      <c r="CO64" s="37" t="str">
        <f ca="1">IFERROR(+IF(CO$29=ProposalToGnatt[[#This Row],[Start Date]],Milestone_Marker,IF(AND(CO$29&gt;ProposalToGnatt[[#This Row],[Start Date]],CO$29&lt;ProposalToGnatt[[#This Row],[Start Date]]+ProposalToGnatt[[#This Row],[Days]]),$G$5,"")),"")</f>
        <v/>
      </c>
      <c r="CP64" s="37" t="str">
        <f ca="1">IFERROR(+IF(CP$29=ProposalToGnatt[[#This Row],[Start Date]],Milestone_Marker,IF(AND(CP$29&gt;ProposalToGnatt[[#This Row],[Start Date]],CP$29&lt;ProposalToGnatt[[#This Row],[Start Date]]+ProposalToGnatt[[#This Row],[Days]]),$G$5,"")),"")</f>
        <v/>
      </c>
      <c r="CQ64" s="37" t="str">
        <f ca="1">IFERROR(+IF(CQ$29=ProposalToGnatt[[#This Row],[Start Date]],Milestone_Marker,IF(AND(CQ$29&gt;ProposalToGnatt[[#This Row],[Start Date]],CQ$29&lt;ProposalToGnatt[[#This Row],[Start Date]]+ProposalToGnatt[[#This Row],[Days]]),$G$5,"")),"")</f>
        <v/>
      </c>
      <c r="CR64" s="37" t="str">
        <f ca="1">IFERROR(+IF(CR$29=ProposalToGnatt[[#This Row],[Start Date]],Milestone_Marker,IF(AND(CR$29&gt;ProposalToGnatt[[#This Row],[Start Date]],CR$29&lt;ProposalToGnatt[[#This Row],[Start Date]]+ProposalToGnatt[[#This Row],[Days]]),$G$5,"")),"")</f>
        <v/>
      </c>
      <c r="CS64" s="37" t="str">
        <f ca="1">IFERROR(+IF(CS$29=ProposalToGnatt[[#This Row],[Start Date]],Milestone_Marker,IF(AND(CS$29&gt;ProposalToGnatt[[#This Row],[Start Date]],CS$29&lt;ProposalToGnatt[[#This Row],[Start Date]]+ProposalToGnatt[[#This Row],[Days]]),$G$5,"")),"")</f>
        <v/>
      </c>
      <c r="CT64" s="37" t="str">
        <f ca="1">IFERROR(+IF(CT$29=ProposalToGnatt[[#This Row],[Start Date]],Milestone_Marker,IF(AND(CT$29&gt;ProposalToGnatt[[#This Row],[Start Date]],CT$29&lt;ProposalToGnatt[[#This Row],[Start Date]]+ProposalToGnatt[[#This Row],[Days]]),$G$5,"")),"")</f>
        <v/>
      </c>
      <c r="CU64" s="37" t="str">
        <f ca="1">IFERROR(+IF(CU$29=ProposalToGnatt[[#This Row],[Start Date]],Milestone_Marker,IF(AND(CU$29&gt;ProposalToGnatt[[#This Row],[Start Date]],CU$29&lt;ProposalToGnatt[[#This Row],[Start Date]]+ProposalToGnatt[[#This Row],[Days]]),$G$5,"")),"")</f>
        <v/>
      </c>
      <c r="CV64" s="37"/>
      <c r="CW64" s="37"/>
      <c r="CX64" s="37"/>
      <c r="CY64" s="37"/>
      <c r="CZ64" s="37"/>
      <c r="DA64" s="37"/>
      <c r="DB64" s="37"/>
      <c r="DC64" s="37"/>
      <c r="DD64" s="37"/>
      <c r="DE64" s="37"/>
      <c r="DF64" s="37"/>
      <c r="DG64" s="37"/>
      <c r="DH64" s="37"/>
      <c r="DI64" s="37"/>
      <c r="DJ64" s="37"/>
      <c r="DK64" s="37"/>
      <c r="DL64" s="37"/>
      <c r="DM64" s="37"/>
      <c r="DN64" s="37"/>
      <c r="DO64" s="37"/>
      <c r="DP64" s="37"/>
      <c r="DQ64" s="37"/>
      <c r="DR64" s="37"/>
      <c r="DS64" s="37"/>
      <c r="DT64" s="37"/>
      <c r="DU64" s="37"/>
    </row>
    <row r="65" spans="1:125" s="42" customFormat="1" ht="15">
      <c r="A65"/>
      <c r="B65"/>
      <c r="C65"/>
      <c r="D65"/>
      <c r="E65"/>
      <c r="F65"/>
      <c r="G65" s="11"/>
      <c r="H65" s="26"/>
      <c r="I65"/>
      <c r="J65"/>
      <c r="K65" s="402"/>
      <c r="L65"/>
      <c r="M65"/>
      <c r="N65"/>
      <c r="O65" s="26"/>
      <c r="P65" s="37" t="str">
        <f ca="1">IFERROR(+IF(P$29=ProposalToGnatt[[#This Row],[Start Date]],Milestone_Marker,IF(AND(P$29&gt;ProposalToGnatt[[#This Row],[Start Date]],P$29&lt;ProposalToGnatt[[#This Row],[Start Date]]+ProposalToGnatt[[#This Row],[Days]]),$G$5,"")),"")</f>
        <v/>
      </c>
      <c r="Q65" s="37" t="str">
        <f ca="1">IFERROR(+IF(Q$29=ProposalToGnatt[[#This Row],[Start Date]],Milestone_Marker,IF(AND(Q$29&gt;ProposalToGnatt[[#This Row],[Start Date]],Q$29&lt;ProposalToGnatt[[#This Row],[Start Date]]+ProposalToGnatt[[#This Row],[Days]]),$G$5,"")),"")</f>
        <v/>
      </c>
      <c r="R65" s="37" t="str">
        <f ca="1">IFERROR(+IF(R$29=ProposalToGnatt[[#This Row],[Start Date]],Milestone_Marker,IF(AND(R$29&gt;ProposalToGnatt[[#This Row],[Start Date]],R$29&lt;ProposalToGnatt[[#This Row],[Start Date]]+ProposalToGnatt[[#This Row],[Days]]),$G$5,"")),"")</f>
        <v/>
      </c>
      <c r="S65" s="37" t="str">
        <f ca="1">IFERROR(+IF(S$29=ProposalToGnatt[[#This Row],[Start Date]],Milestone_Marker,IF(AND(S$29&gt;ProposalToGnatt[[#This Row],[Start Date]],S$29&lt;ProposalToGnatt[[#This Row],[Start Date]]+ProposalToGnatt[[#This Row],[Days]]),$G$5,"")),"")</f>
        <v/>
      </c>
      <c r="T65" s="37" t="str">
        <f ca="1">IFERROR(+IF(T$29=ProposalToGnatt[[#This Row],[Start Date]],Milestone_Marker,IF(AND(T$29&gt;ProposalToGnatt[[#This Row],[Start Date]],T$29&lt;ProposalToGnatt[[#This Row],[Start Date]]+ProposalToGnatt[[#This Row],[Days]]),$G$5,"")),"")</f>
        <v/>
      </c>
      <c r="U65" s="37" t="str">
        <f ca="1">IFERROR(+IF(U$29=ProposalToGnatt[[#This Row],[Start Date]],Milestone_Marker,IF(AND(U$29&gt;ProposalToGnatt[[#This Row],[Start Date]],U$29&lt;ProposalToGnatt[[#This Row],[Start Date]]+ProposalToGnatt[[#This Row],[Days]]),$G$5,"")),"")</f>
        <v/>
      </c>
      <c r="V65" s="37" t="str">
        <f ca="1">IFERROR(+IF(V$29=ProposalToGnatt[[#This Row],[Start Date]],Milestone_Marker,IF(AND(V$29&gt;ProposalToGnatt[[#This Row],[Start Date]],V$29&lt;ProposalToGnatt[[#This Row],[Start Date]]+ProposalToGnatt[[#This Row],[Days]]),$G$5,"")),"")</f>
        <v/>
      </c>
      <c r="W65" s="37" t="str">
        <f ca="1">IFERROR(+IF(W$29=ProposalToGnatt[[#This Row],[Start Date]],Milestone_Marker,IF(AND(W$29&gt;ProposalToGnatt[[#This Row],[Start Date]],W$29&lt;ProposalToGnatt[[#This Row],[Start Date]]+ProposalToGnatt[[#This Row],[Days]]),$G$5,"")),"")</f>
        <v/>
      </c>
      <c r="X65" s="37" t="str">
        <f ca="1">IFERROR(+IF(X$29=ProposalToGnatt[[#This Row],[Start Date]],Milestone_Marker,IF(AND(X$29&gt;ProposalToGnatt[[#This Row],[Start Date]],X$29&lt;ProposalToGnatt[[#This Row],[Start Date]]+ProposalToGnatt[[#This Row],[Days]]),$G$5,"")),"")</f>
        <v/>
      </c>
      <c r="Y65" s="37" t="str">
        <f ca="1">IFERROR(+IF(Y$29=ProposalToGnatt[[#This Row],[Start Date]],Milestone_Marker,IF(AND(Y$29&gt;ProposalToGnatt[[#This Row],[Start Date]],Y$29&lt;ProposalToGnatt[[#This Row],[Start Date]]+ProposalToGnatt[[#This Row],[Days]]),$G$5,"")),"")</f>
        <v/>
      </c>
      <c r="Z65" s="37" t="str">
        <f ca="1">IFERROR(+IF(Z$29=ProposalToGnatt[[#This Row],[Start Date]],Milestone_Marker,IF(AND(Z$29&gt;ProposalToGnatt[[#This Row],[Start Date]],Z$29&lt;ProposalToGnatt[[#This Row],[Start Date]]+ProposalToGnatt[[#This Row],[Days]]),$G$5,"")),"")</f>
        <v/>
      </c>
      <c r="AA65" s="37" t="str">
        <f ca="1">IFERROR(+IF(AA$29=ProposalToGnatt[[#This Row],[Start Date]],Milestone_Marker,IF(AND(AA$29&gt;ProposalToGnatt[[#This Row],[Start Date]],AA$29&lt;ProposalToGnatt[[#This Row],[Start Date]]+ProposalToGnatt[[#This Row],[Days]]),$G$5,"")),"")</f>
        <v/>
      </c>
      <c r="AB65" s="37" t="str">
        <f ca="1">IFERROR(+IF(AB$29=ProposalToGnatt[[#This Row],[Start Date]],Milestone_Marker,IF(AND(AB$29&gt;ProposalToGnatt[[#This Row],[Start Date]],AB$29&lt;ProposalToGnatt[[#This Row],[Start Date]]+ProposalToGnatt[[#This Row],[Days]]),$G$5,"")),"")</f>
        <v/>
      </c>
      <c r="AC65" s="37" t="str">
        <f ca="1">IFERROR(+IF(AC$29=ProposalToGnatt[[#This Row],[Start Date]],Milestone_Marker,IF(AND(AC$29&gt;ProposalToGnatt[[#This Row],[Start Date]],AC$29&lt;ProposalToGnatt[[#This Row],[Start Date]]+ProposalToGnatt[[#This Row],[Days]]),$G$5,"")),"")</f>
        <v/>
      </c>
      <c r="AD65" s="37" t="str">
        <f ca="1">IFERROR(+IF(AD$29=ProposalToGnatt[[#This Row],[Start Date]],Milestone_Marker,IF(AND(AD$29&gt;ProposalToGnatt[[#This Row],[Start Date]],AD$29&lt;ProposalToGnatt[[#This Row],[Start Date]]+ProposalToGnatt[[#This Row],[Days]]),$G$5,"")),"")</f>
        <v/>
      </c>
      <c r="AE65" s="37" t="str">
        <f ca="1">IFERROR(+IF(AE$29=ProposalToGnatt[[#This Row],[Start Date]],Milestone_Marker,IF(AND(AE$29&gt;ProposalToGnatt[[#This Row],[Start Date]],AE$29&lt;ProposalToGnatt[[#This Row],[Start Date]]+ProposalToGnatt[[#This Row],[Days]]),$G$5,"")),"")</f>
        <v/>
      </c>
      <c r="AF65" s="37" t="str">
        <f ca="1">IFERROR(+IF(AF$29=ProposalToGnatt[[#This Row],[Start Date]],Milestone_Marker,IF(AND(AF$29&gt;ProposalToGnatt[[#This Row],[Start Date]],AF$29&lt;ProposalToGnatt[[#This Row],[Start Date]]+ProposalToGnatt[[#This Row],[Days]]),$G$5,"")),"")</f>
        <v/>
      </c>
      <c r="AG65" s="37" t="str">
        <f ca="1">IFERROR(+IF(AG$29=ProposalToGnatt[[#This Row],[Start Date]],Milestone_Marker,IF(AND(AG$29&gt;ProposalToGnatt[[#This Row],[Start Date]],AG$29&lt;ProposalToGnatt[[#This Row],[Start Date]]+ProposalToGnatt[[#This Row],[Days]]),$G$5,"")),"")</f>
        <v/>
      </c>
      <c r="AH65" s="37" t="str">
        <f ca="1">IFERROR(+IF(AH$29=ProposalToGnatt[[#This Row],[Start Date]],Milestone_Marker,IF(AND(AH$29&gt;ProposalToGnatt[[#This Row],[Start Date]],AH$29&lt;ProposalToGnatt[[#This Row],[Start Date]]+ProposalToGnatt[[#This Row],[Days]]),$G$5,"")),"")</f>
        <v/>
      </c>
      <c r="AI65" s="37" t="str">
        <f ca="1">IFERROR(+IF(AI$29=ProposalToGnatt[[#This Row],[Start Date]],Milestone_Marker,IF(AND(AI$29&gt;ProposalToGnatt[[#This Row],[Start Date]],AI$29&lt;ProposalToGnatt[[#This Row],[Start Date]]+ProposalToGnatt[[#This Row],[Days]]),$G$5,"")),"")</f>
        <v/>
      </c>
      <c r="AJ65" s="37" t="str">
        <f ca="1">IFERROR(+IF(AJ$29=ProposalToGnatt[[#This Row],[Start Date]],Milestone_Marker,IF(AND(AJ$29&gt;ProposalToGnatt[[#This Row],[Start Date]],AJ$29&lt;ProposalToGnatt[[#This Row],[Start Date]]+ProposalToGnatt[[#This Row],[Days]]),$G$5,"")),"")</f>
        <v/>
      </c>
      <c r="AK65" s="37" t="str">
        <f ca="1">IFERROR(+IF(AK$29=ProposalToGnatt[[#This Row],[Start Date]],Milestone_Marker,IF(AND(AK$29&gt;ProposalToGnatt[[#This Row],[Start Date]],AK$29&lt;ProposalToGnatt[[#This Row],[Start Date]]+ProposalToGnatt[[#This Row],[Days]]),$G$5,"")),"")</f>
        <v/>
      </c>
      <c r="AL65" s="37" t="str">
        <f ca="1">IFERROR(+IF(AL$29=ProposalToGnatt[[#This Row],[Start Date]],Milestone_Marker,IF(AND(AL$29&gt;ProposalToGnatt[[#This Row],[Start Date]],AL$29&lt;ProposalToGnatt[[#This Row],[Start Date]]+ProposalToGnatt[[#This Row],[Days]]),$G$5,"")),"")</f>
        <v/>
      </c>
      <c r="AM65" s="37" t="str">
        <f ca="1">IFERROR(+IF(AM$29=ProposalToGnatt[[#This Row],[Start Date]],Milestone_Marker,IF(AND(AM$29&gt;ProposalToGnatt[[#This Row],[Start Date]],AM$29&lt;ProposalToGnatt[[#This Row],[Start Date]]+ProposalToGnatt[[#This Row],[Days]]),$G$5,"")),"")</f>
        <v/>
      </c>
      <c r="AN65" s="37" t="str">
        <f ca="1">IFERROR(+IF(AN$29=ProposalToGnatt[[#This Row],[Start Date]],Milestone_Marker,IF(AND(AN$29&gt;ProposalToGnatt[[#This Row],[Start Date]],AN$29&lt;ProposalToGnatt[[#This Row],[Start Date]]+ProposalToGnatt[[#This Row],[Days]]),$G$5,"")),"")</f>
        <v/>
      </c>
      <c r="AO65" s="37" t="str">
        <f ca="1">IFERROR(+IF(AO$29=ProposalToGnatt[[#This Row],[Start Date]],Milestone_Marker,IF(AND(AO$29&gt;ProposalToGnatt[[#This Row],[Start Date]],AO$29&lt;ProposalToGnatt[[#This Row],[Start Date]]+ProposalToGnatt[[#This Row],[Days]]),$G$5,"")),"")</f>
        <v/>
      </c>
      <c r="AP65" s="37" t="str">
        <f ca="1">IFERROR(+IF(AP$29=ProposalToGnatt[[#This Row],[Start Date]],Milestone_Marker,IF(AND(AP$29&gt;ProposalToGnatt[[#This Row],[Start Date]],AP$29&lt;ProposalToGnatt[[#This Row],[Start Date]]+ProposalToGnatt[[#This Row],[Days]]),$G$5,"")),"")</f>
        <v/>
      </c>
      <c r="AQ65" s="37" t="str">
        <f ca="1">IFERROR(+IF(AQ$29=ProposalToGnatt[[#This Row],[Start Date]],Milestone_Marker,IF(AND(AQ$29&gt;ProposalToGnatt[[#This Row],[Start Date]],AQ$29&lt;ProposalToGnatt[[#This Row],[Start Date]]+ProposalToGnatt[[#This Row],[Days]]),$G$5,"")),"")</f>
        <v/>
      </c>
      <c r="AR65" s="37" t="str">
        <f ca="1">IFERROR(+IF(AR$29=ProposalToGnatt[[#This Row],[Start Date]],Milestone_Marker,IF(AND(AR$29&gt;ProposalToGnatt[[#This Row],[Start Date]],AR$29&lt;ProposalToGnatt[[#This Row],[Start Date]]+ProposalToGnatt[[#This Row],[Days]]),$G$5,"")),"")</f>
        <v/>
      </c>
      <c r="AS65" s="37" t="str">
        <f ca="1">IFERROR(+IF(AS$29=ProposalToGnatt[[#This Row],[Start Date]],Milestone_Marker,IF(AND(AS$29&gt;ProposalToGnatt[[#This Row],[Start Date]],AS$29&lt;ProposalToGnatt[[#This Row],[Start Date]]+ProposalToGnatt[[#This Row],[Days]]),$G$5,"")),"")</f>
        <v/>
      </c>
      <c r="AT65" s="37" t="str">
        <f ca="1">IFERROR(+IF(AT$29=ProposalToGnatt[[#This Row],[Start Date]],Milestone_Marker,IF(AND(AT$29&gt;ProposalToGnatt[[#This Row],[Start Date]],AT$29&lt;ProposalToGnatt[[#This Row],[Start Date]]+ProposalToGnatt[[#This Row],[Days]]),$G$5,"")),"")</f>
        <v/>
      </c>
      <c r="AU65" s="37" t="str">
        <f ca="1">IFERROR(+IF(AU$29=ProposalToGnatt[[#This Row],[Start Date]],Milestone_Marker,IF(AND(AU$29&gt;ProposalToGnatt[[#This Row],[Start Date]],AU$29&lt;ProposalToGnatt[[#This Row],[Start Date]]+ProposalToGnatt[[#This Row],[Days]]),$G$5,"")),"")</f>
        <v/>
      </c>
      <c r="AV65" s="37" t="str">
        <f ca="1">IFERROR(+IF(AV$29=ProposalToGnatt[[#This Row],[Start Date]],Milestone_Marker,IF(AND(AV$29&gt;ProposalToGnatt[[#This Row],[Start Date]],AV$29&lt;ProposalToGnatt[[#This Row],[Start Date]]+ProposalToGnatt[[#This Row],[Days]]),$G$5,"")),"")</f>
        <v/>
      </c>
      <c r="AW65" s="37" t="str">
        <f ca="1">IFERROR(+IF(AW$29=ProposalToGnatt[[#This Row],[Start Date]],Milestone_Marker,IF(AND(AW$29&gt;ProposalToGnatt[[#This Row],[Start Date]],AW$29&lt;ProposalToGnatt[[#This Row],[Start Date]]+ProposalToGnatt[[#This Row],[Days]]),$G$5,"")),"")</f>
        <v/>
      </c>
      <c r="AX65" s="37" t="str">
        <f ca="1">IFERROR(+IF(AX$29=ProposalToGnatt[[#This Row],[Start Date]],Milestone_Marker,IF(AND(AX$29&gt;ProposalToGnatt[[#This Row],[Start Date]],AX$29&lt;ProposalToGnatt[[#This Row],[Start Date]]+ProposalToGnatt[[#This Row],[Days]]),$G$5,"")),"")</f>
        <v/>
      </c>
      <c r="AY65" s="37" t="str">
        <f ca="1">IFERROR(+IF(AY$29=ProposalToGnatt[[#This Row],[Start Date]],Milestone_Marker,IF(AND(AY$29&gt;ProposalToGnatt[[#This Row],[Start Date]],AY$29&lt;ProposalToGnatt[[#This Row],[Start Date]]+ProposalToGnatt[[#This Row],[Days]]),$G$5,"")),"")</f>
        <v/>
      </c>
      <c r="AZ65" s="37" t="str">
        <f ca="1">IFERROR(+IF(AZ$29=ProposalToGnatt[[#This Row],[Start Date]],Milestone_Marker,IF(AND(AZ$29&gt;ProposalToGnatt[[#This Row],[Start Date]],AZ$29&lt;ProposalToGnatt[[#This Row],[Start Date]]+ProposalToGnatt[[#This Row],[Days]]),$G$5,"")),"")</f>
        <v/>
      </c>
      <c r="BA65" s="37" t="str">
        <f ca="1">IFERROR(+IF(BA$29=ProposalToGnatt[[#This Row],[Start Date]],Milestone_Marker,IF(AND(BA$29&gt;ProposalToGnatt[[#This Row],[Start Date]],BA$29&lt;ProposalToGnatt[[#This Row],[Start Date]]+ProposalToGnatt[[#This Row],[Days]]),$G$5,"")),"")</f>
        <v/>
      </c>
      <c r="BB65" s="37" t="str">
        <f ca="1">IFERROR(+IF(BB$29=ProposalToGnatt[[#This Row],[Start Date]],Milestone_Marker,IF(AND(BB$29&gt;ProposalToGnatt[[#This Row],[Start Date]],BB$29&lt;ProposalToGnatt[[#This Row],[Start Date]]+ProposalToGnatt[[#This Row],[Days]]),$G$5,"")),"")</f>
        <v/>
      </c>
      <c r="BC65" s="37" t="str">
        <f ca="1">IFERROR(+IF(BC$29=ProposalToGnatt[[#This Row],[Start Date]],Milestone_Marker,IF(AND(BC$29&gt;ProposalToGnatt[[#This Row],[Start Date]],BC$29&lt;ProposalToGnatt[[#This Row],[Start Date]]+ProposalToGnatt[[#This Row],[Days]]),$G$5,"")),"")</f>
        <v/>
      </c>
      <c r="BD65" s="37" t="str">
        <f ca="1">IFERROR(+IF(BD$29=ProposalToGnatt[[#This Row],[Start Date]],Milestone_Marker,IF(AND(BD$29&gt;ProposalToGnatt[[#This Row],[Start Date]],BD$29&lt;ProposalToGnatt[[#This Row],[Start Date]]+ProposalToGnatt[[#This Row],[Days]]),$G$5,"")),"")</f>
        <v/>
      </c>
      <c r="BE65" s="37" t="str">
        <f ca="1">IFERROR(+IF(BE$29=ProposalToGnatt[[#This Row],[Start Date]],Milestone_Marker,IF(AND(BE$29&gt;ProposalToGnatt[[#This Row],[Start Date]],BE$29&lt;ProposalToGnatt[[#This Row],[Start Date]]+ProposalToGnatt[[#This Row],[Days]]),$G$5,"")),"")</f>
        <v/>
      </c>
      <c r="BF65" s="37" t="str">
        <f ca="1">IFERROR(+IF(BF$29=ProposalToGnatt[[#This Row],[Start Date]],Milestone_Marker,IF(AND(BF$29&gt;ProposalToGnatt[[#This Row],[Start Date]],BF$29&lt;ProposalToGnatt[[#This Row],[Start Date]]+ProposalToGnatt[[#This Row],[Days]]),$G$5,"")),"")</f>
        <v/>
      </c>
      <c r="BG65" s="37" t="str">
        <f ca="1">IFERROR(+IF(BG$29=ProposalToGnatt[[#This Row],[Start Date]],Milestone_Marker,IF(AND(BG$29&gt;ProposalToGnatt[[#This Row],[Start Date]],BG$29&lt;ProposalToGnatt[[#This Row],[Start Date]]+ProposalToGnatt[[#This Row],[Days]]),$G$5,"")),"")</f>
        <v/>
      </c>
      <c r="BH65" s="37" t="str">
        <f ca="1">IFERROR(+IF(BH$29=ProposalToGnatt[[#This Row],[Start Date]],Milestone_Marker,IF(AND(BH$29&gt;ProposalToGnatt[[#This Row],[Start Date]],BH$29&lt;ProposalToGnatt[[#This Row],[Start Date]]+ProposalToGnatt[[#This Row],[Days]]),$G$5,"")),"")</f>
        <v/>
      </c>
      <c r="BI65" s="37" t="str">
        <f ca="1">IFERROR(+IF(BI$29=ProposalToGnatt[[#This Row],[Start Date]],Milestone_Marker,IF(AND(BI$29&gt;ProposalToGnatt[[#This Row],[Start Date]],BI$29&lt;ProposalToGnatt[[#This Row],[Start Date]]+ProposalToGnatt[[#This Row],[Days]]),$G$5,"")),"")</f>
        <v/>
      </c>
      <c r="BJ65" s="37" t="str">
        <f ca="1">IFERROR(+IF(BJ$29=ProposalToGnatt[[#This Row],[Start Date]],Milestone_Marker,IF(AND(BJ$29&gt;ProposalToGnatt[[#This Row],[Start Date]],BJ$29&lt;ProposalToGnatt[[#This Row],[Start Date]]+ProposalToGnatt[[#This Row],[Days]]),$G$5,"")),"")</f>
        <v/>
      </c>
      <c r="BK65" s="37" t="str">
        <f ca="1">IFERROR(+IF(BK$29=ProposalToGnatt[[#This Row],[Start Date]],Milestone_Marker,IF(AND(BK$29&gt;ProposalToGnatt[[#This Row],[Start Date]],BK$29&lt;ProposalToGnatt[[#This Row],[Start Date]]+ProposalToGnatt[[#This Row],[Days]]),$G$5,"")),"")</f>
        <v/>
      </c>
      <c r="BL65" s="37" t="str">
        <f ca="1">IFERROR(+IF(BL$29=ProposalToGnatt[[#This Row],[Start Date]],Milestone_Marker,IF(AND(BL$29&gt;ProposalToGnatt[[#This Row],[Start Date]],BL$29&lt;ProposalToGnatt[[#This Row],[Start Date]]+ProposalToGnatt[[#This Row],[Days]]),$G$5,"")),"")</f>
        <v/>
      </c>
      <c r="BM65" s="37" t="str">
        <f ca="1">IFERROR(+IF(BM$29=ProposalToGnatt[[#This Row],[Start Date]],Milestone_Marker,IF(AND(BM$29&gt;ProposalToGnatt[[#This Row],[Start Date]],BM$29&lt;ProposalToGnatt[[#This Row],[Start Date]]+ProposalToGnatt[[#This Row],[Days]]),$G$5,"")),"")</f>
        <v/>
      </c>
      <c r="BN65" s="37" t="str">
        <f ca="1">IFERROR(+IF(BN$29=ProposalToGnatt[[#This Row],[Start Date]],Milestone_Marker,IF(AND(BN$29&gt;ProposalToGnatt[[#This Row],[Start Date]],BN$29&lt;ProposalToGnatt[[#This Row],[Start Date]]+ProposalToGnatt[[#This Row],[Days]]),$G$5,"")),"")</f>
        <v/>
      </c>
      <c r="BO65" s="37" t="str">
        <f ca="1">IFERROR(+IF(BO$29=ProposalToGnatt[[#This Row],[Start Date]],Milestone_Marker,IF(AND(BO$29&gt;ProposalToGnatt[[#This Row],[Start Date]],BO$29&lt;ProposalToGnatt[[#This Row],[Start Date]]+ProposalToGnatt[[#This Row],[Days]]),$G$5,"")),"")</f>
        <v/>
      </c>
      <c r="BP65" s="37" t="str">
        <f ca="1">IFERROR(+IF(BP$29=ProposalToGnatt[[#This Row],[Start Date]],Milestone_Marker,IF(AND(BP$29&gt;ProposalToGnatt[[#This Row],[Start Date]],BP$29&lt;ProposalToGnatt[[#This Row],[Start Date]]+ProposalToGnatt[[#This Row],[Days]]),$G$5,"")),"")</f>
        <v/>
      </c>
      <c r="BQ65" s="37" t="str">
        <f ca="1">IFERROR(+IF(BQ$29=ProposalToGnatt[[#This Row],[Start Date]],Milestone_Marker,IF(AND(BQ$29&gt;ProposalToGnatt[[#This Row],[Start Date]],BQ$29&lt;ProposalToGnatt[[#This Row],[Start Date]]+ProposalToGnatt[[#This Row],[Days]]),$G$5,"")),"")</f>
        <v/>
      </c>
      <c r="BR65" s="37" t="str">
        <f ca="1">IFERROR(+IF(BR$29=ProposalToGnatt[[#This Row],[Start Date]],Milestone_Marker,IF(AND(BR$29&gt;ProposalToGnatt[[#This Row],[Start Date]],BR$29&lt;ProposalToGnatt[[#This Row],[Start Date]]+ProposalToGnatt[[#This Row],[Days]]),$G$5,"")),"")</f>
        <v/>
      </c>
      <c r="BS65" s="37" t="str">
        <f ca="1">IFERROR(+IF(BS$29=ProposalToGnatt[[#This Row],[Start Date]],Milestone_Marker,IF(AND(BS$29&gt;ProposalToGnatt[[#This Row],[Start Date]],BS$29&lt;ProposalToGnatt[[#This Row],[Start Date]]+ProposalToGnatt[[#This Row],[Days]]),$G$5,"")),"")</f>
        <v/>
      </c>
      <c r="BT65" s="37" t="str">
        <f ca="1">IFERROR(+IF(BT$29=ProposalToGnatt[[#This Row],[Start Date]],Milestone_Marker,IF(AND(BT$29&gt;ProposalToGnatt[[#This Row],[Start Date]],BT$29&lt;ProposalToGnatt[[#This Row],[Start Date]]+ProposalToGnatt[[#This Row],[Days]]),$G$5,"")),"")</f>
        <v/>
      </c>
      <c r="BU65" s="37" t="str">
        <f ca="1">IFERROR(+IF(BU$29=ProposalToGnatt[[#This Row],[Start Date]],Milestone_Marker,IF(AND(BU$29&gt;ProposalToGnatt[[#This Row],[Start Date]],BU$29&lt;ProposalToGnatt[[#This Row],[Start Date]]+ProposalToGnatt[[#This Row],[Days]]),$G$5,"")),"")</f>
        <v/>
      </c>
      <c r="BV65" s="37" t="str">
        <f ca="1">IFERROR(+IF(BV$29=ProposalToGnatt[[#This Row],[Start Date]],Milestone_Marker,IF(AND(BV$29&gt;ProposalToGnatt[[#This Row],[Start Date]],BV$29&lt;ProposalToGnatt[[#This Row],[Start Date]]+ProposalToGnatt[[#This Row],[Days]]),$G$5,"")),"")</f>
        <v/>
      </c>
      <c r="BW65" s="37" t="str">
        <f ca="1">IFERROR(+IF(BW$29=ProposalToGnatt[[#This Row],[Start Date]],Milestone_Marker,IF(AND(BW$29&gt;ProposalToGnatt[[#This Row],[Start Date]],BW$29&lt;ProposalToGnatt[[#This Row],[Start Date]]+ProposalToGnatt[[#This Row],[Days]]),$G$5,"")),"")</f>
        <v/>
      </c>
      <c r="BX65" s="37" t="str">
        <f ca="1">IFERROR(+IF(BX$29=ProposalToGnatt[[#This Row],[Start Date]],Milestone_Marker,IF(AND(BX$29&gt;ProposalToGnatt[[#This Row],[Start Date]],BX$29&lt;ProposalToGnatt[[#This Row],[Start Date]]+ProposalToGnatt[[#This Row],[Days]]),$G$5,"")),"")</f>
        <v/>
      </c>
      <c r="BY65" s="37" t="str">
        <f ca="1">IFERROR(+IF(BY$29=ProposalToGnatt[[#This Row],[Start Date]],Milestone_Marker,IF(AND(BY$29&gt;ProposalToGnatt[[#This Row],[Start Date]],BY$29&lt;ProposalToGnatt[[#This Row],[Start Date]]+ProposalToGnatt[[#This Row],[Days]]),$G$5,"")),"")</f>
        <v/>
      </c>
      <c r="BZ65" s="37" t="str">
        <f ca="1">IFERROR(+IF(BZ$29=ProposalToGnatt[[#This Row],[Start Date]],Milestone_Marker,IF(AND(BZ$29&gt;ProposalToGnatt[[#This Row],[Start Date]],BZ$29&lt;ProposalToGnatt[[#This Row],[Start Date]]+ProposalToGnatt[[#This Row],[Days]]),$G$5,"")),"")</f>
        <v/>
      </c>
      <c r="CA65" s="37" t="str">
        <f ca="1">IFERROR(+IF(CA$29=ProposalToGnatt[[#This Row],[Start Date]],Milestone_Marker,IF(AND(CA$29&gt;ProposalToGnatt[[#This Row],[Start Date]],CA$29&lt;ProposalToGnatt[[#This Row],[Start Date]]+ProposalToGnatt[[#This Row],[Days]]),$G$5,"")),"")</f>
        <v/>
      </c>
      <c r="CB65" s="37" t="str">
        <f ca="1">IFERROR(+IF(CB$29=ProposalToGnatt[[#This Row],[Start Date]],Milestone_Marker,IF(AND(CB$29&gt;ProposalToGnatt[[#This Row],[Start Date]],CB$29&lt;ProposalToGnatt[[#This Row],[Start Date]]+ProposalToGnatt[[#This Row],[Days]]),$G$5,"")),"")</f>
        <v/>
      </c>
      <c r="CC65" s="37" t="str">
        <f ca="1">IFERROR(+IF(CC$29=ProposalToGnatt[[#This Row],[Start Date]],Milestone_Marker,IF(AND(CC$29&gt;ProposalToGnatt[[#This Row],[Start Date]],CC$29&lt;ProposalToGnatt[[#This Row],[Start Date]]+ProposalToGnatt[[#This Row],[Days]]),$G$5,"")),"")</f>
        <v/>
      </c>
      <c r="CD65" s="37" t="str">
        <f ca="1">IFERROR(+IF(CD$29=ProposalToGnatt[[#This Row],[Start Date]],Milestone_Marker,IF(AND(CD$29&gt;ProposalToGnatt[[#This Row],[Start Date]],CD$29&lt;ProposalToGnatt[[#This Row],[Start Date]]+ProposalToGnatt[[#This Row],[Days]]),$G$5,"")),"")</f>
        <v/>
      </c>
      <c r="CE65" s="37" t="str">
        <f ca="1">IFERROR(+IF(CE$29=ProposalToGnatt[[#This Row],[Start Date]],Milestone_Marker,IF(AND(CE$29&gt;ProposalToGnatt[[#This Row],[Start Date]],CE$29&lt;ProposalToGnatt[[#This Row],[Start Date]]+ProposalToGnatt[[#This Row],[Days]]),$G$5,"")),"")</f>
        <v/>
      </c>
      <c r="CF65" s="37" t="str">
        <f ca="1">IFERROR(+IF(CF$29=ProposalToGnatt[[#This Row],[Start Date]],Milestone_Marker,IF(AND(CF$29&gt;ProposalToGnatt[[#This Row],[Start Date]],CF$29&lt;ProposalToGnatt[[#This Row],[Start Date]]+ProposalToGnatt[[#This Row],[Days]]),$G$5,"")),"")</f>
        <v/>
      </c>
      <c r="CG65" s="37" t="str">
        <f ca="1">IFERROR(+IF(CG$29=ProposalToGnatt[[#This Row],[Start Date]],Milestone_Marker,IF(AND(CG$29&gt;ProposalToGnatt[[#This Row],[Start Date]],CG$29&lt;ProposalToGnatt[[#This Row],[Start Date]]+ProposalToGnatt[[#This Row],[Days]]),$G$5,"")),"")</f>
        <v/>
      </c>
      <c r="CH65" s="37" t="str">
        <f ca="1">IFERROR(+IF(CH$29=ProposalToGnatt[[#This Row],[Start Date]],Milestone_Marker,IF(AND(CH$29&gt;ProposalToGnatt[[#This Row],[Start Date]],CH$29&lt;ProposalToGnatt[[#This Row],[Start Date]]+ProposalToGnatt[[#This Row],[Days]]),$G$5,"")),"")</f>
        <v/>
      </c>
      <c r="CI65" s="37" t="str">
        <f ca="1">IFERROR(+IF(CI$29=ProposalToGnatt[[#This Row],[Start Date]],Milestone_Marker,IF(AND(CI$29&gt;ProposalToGnatt[[#This Row],[Start Date]],CI$29&lt;ProposalToGnatt[[#This Row],[Start Date]]+ProposalToGnatt[[#This Row],[Days]]),$G$5,"")),"")</f>
        <v/>
      </c>
      <c r="CJ65" s="37" t="str">
        <f ca="1">IFERROR(+IF(CJ$29=ProposalToGnatt[[#This Row],[Start Date]],Milestone_Marker,IF(AND(CJ$29&gt;ProposalToGnatt[[#This Row],[Start Date]],CJ$29&lt;ProposalToGnatt[[#This Row],[Start Date]]+ProposalToGnatt[[#This Row],[Days]]),$G$5,"")),"")</f>
        <v/>
      </c>
      <c r="CK65" s="37" t="str">
        <f ca="1">IFERROR(+IF(CK$29=ProposalToGnatt[[#This Row],[Start Date]],Milestone_Marker,IF(AND(CK$29&gt;ProposalToGnatt[[#This Row],[Start Date]],CK$29&lt;ProposalToGnatt[[#This Row],[Start Date]]+ProposalToGnatt[[#This Row],[Days]]),$G$5,"")),"")</f>
        <v/>
      </c>
      <c r="CL65" s="37" t="str">
        <f ca="1">IFERROR(+IF(CL$29=ProposalToGnatt[[#This Row],[Start Date]],Milestone_Marker,IF(AND(CL$29&gt;ProposalToGnatt[[#This Row],[Start Date]],CL$29&lt;ProposalToGnatt[[#This Row],[Start Date]]+ProposalToGnatt[[#This Row],[Days]]),$G$5,"")),"")</f>
        <v/>
      </c>
      <c r="CM65" s="37" t="str">
        <f ca="1">IFERROR(+IF(CM$29=ProposalToGnatt[[#This Row],[Start Date]],Milestone_Marker,IF(AND(CM$29&gt;ProposalToGnatt[[#This Row],[Start Date]],CM$29&lt;ProposalToGnatt[[#This Row],[Start Date]]+ProposalToGnatt[[#This Row],[Days]]),$G$5,"")),"")</f>
        <v/>
      </c>
      <c r="CN65" s="37" t="str">
        <f ca="1">IFERROR(+IF(CN$29=ProposalToGnatt[[#This Row],[Start Date]],Milestone_Marker,IF(AND(CN$29&gt;ProposalToGnatt[[#This Row],[Start Date]],CN$29&lt;ProposalToGnatt[[#This Row],[Start Date]]+ProposalToGnatt[[#This Row],[Days]]),$G$5,"")),"")</f>
        <v/>
      </c>
      <c r="CO65" s="37" t="str">
        <f ca="1">IFERROR(+IF(CO$29=ProposalToGnatt[[#This Row],[Start Date]],Milestone_Marker,IF(AND(CO$29&gt;ProposalToGnatt[[#This Row],[Start Date]],CO$29&lt;ProposalToGnatt[[#This Row],[Start Date]]+ProposalToGnatt[[#This Row],[Days]]),$G$5,"")),"")</f>
        <v/>
      </c>
      <c r="CP65" s="37" t="str">
        <f ca="1">IFERROR(+IF(CP$29=ProposalToGnatt[[#This Row],[Start Date]],Milestone_Marker,IF(AND(CP$29&gt;ProposalToGnatt[[#This Row],[Start Date]],CP$29&lt;ProposalToGnatt[[#This Row],[Start Date]]+ProposalToGnatt[[#This Row],[Days]]),$G$5,"")),"")</f>
        <v/>
      </c>
      <c r="CQ65" s="37" t="str">
        <f ca="1">IFERROR(+IF(CQ$29=ProposalToGnatt[[#This Row],[Start Date]],Milestone_Marker,IF(AND(CQ$29&gt;ProposalToGnatt[[#This Row],[Start Date]],CQ$29&lt;ProposalToGnatt[[#This Row],[Start Date]]+ProposalToGnatt[[#This Row],[Days]]),$G$5,"")),"")</f>
        <v/>
      </c>
      <c r="CR65" s="37" t="str">
        <f ca="1">IFERROR(+IF(CR$29=ProposalToGnatt[[#This Row],[Start Date]],Milestone_Marker,IF(AND(CR$29&gt;ProposalToGnatt[[#This Row],[Start Date]],CR$29&lt;ProposalToGnatt[[#This Row],[Start Date]]+ProposalToGnatt[[#This Row],[Days]]),$G$5,"")),"")</f>
        <v/>
      </c>
      <c r="CS65" s="37" t="str">
        <f ca="1">IFERROR(+IF(CS$29=ProposalToGnatt[[#This Row],[Start Date]],Milestone_Marker,IF(AND(CS$29&gt;ProposalToGnatt[[#This Row],[Start Date]],CS$29&lt;ProposalToGnatt[[#This Row],[Start Date]]+ProposalToGnatt[[#This Row],[Days]]),$G$5,"")),"")</f>
        <v/>
      </c>
      <c r="CT65" s="37" t="str">
        <f ca="1">IFERROR(+IF(CT$29=ProposalToGnatt[[#This Row],[Start Date]],Milestone_Marker,IF(AND(CT$29&gt;ProposalToGnatt[[#This Row],[Start Date]],CT$29&lt;ProposalToGnatt[[#This Row],[Start Date]]+ProposalToGnatt[[#This Row],[Days]]),$G$5,"")),"")</f>
        <v/>
      </c>
      <c r="CU65" s="37" t="str">
        <f ca="1">IFERROR(+IF(CU$29=ProposalToGnatt[[#This Row],[Start Date]],Milestone_Marker,IF(AND(CU$29&gt;ProposalToGnatt[[#This Row],[Start Date]],CU$29&lt;ProposalToGnatt[[#This Row],[Start Date]]+ProposalToGnatt[[#This Row],[Days]]),$G$5,"")),"")</f>
        <v/>
      </c>
      <c r="CV65" s="37"/>
      <c r="CW65" s="37"/>
      <c r="CX65" s="37"/>
      <c r="CY65" s="37"/>
      <c r="CZ65" s="37"/>
      <c r="DA65" s="37"/>
      <c r="DB65" s="37"/>
      <c r="DC65" s="37"/>
      <c r="DD65" s="37"/>
      <c r="DE65" s="37"/>
      <c r="DF65" s="37"/>
      <c r="DG65" s="37"/>
      <c r="DH65" s="37"/>
      <c r="DI65" s="37"/>
      <c r="DJ65" s="37"/>
      <c r="DK65" s="37"/>
      <c r="DL65" s="37"/>
      <c r="DM65" s="37"/>
      <c r="DN65" s="37"/>
      <c r="DO65" s="37"/>
      <c r="DP65" s="37"/>
      <c r="DQ65" s="37"/>
      <c r="DR65" s="37"/>
      <c r="DS65" s="37"/>
      <c r="DT65" s="37"/>
      <c r="DU65" s="37"/>
    </row>
    <row r="66" spans="1:125" s="42" customFormat="1" ht="15">
      <c r="A66"/>
      <c r="B66"/>
      <c r="C66"/>
      <c r="D66"/>
      <c r="E66"/>
      <c r="F66"/>
      <c r="G66" s="11"/>
      <c r="H66" s="26"/>
      <c r="I66"/>
      <c r="J66"/>
      <c r="K66" s="402"/>
      <c r="L66"/>
      <c r="M66"/>
      <c r="N66"/>
      <c r="O66" s="26"/>
      <c r="P66" s="37" t="str">
        <f ca="1">IFERROR(+IF(P$29=ProposalToGnatt[[#This Row],[Start Date]],Milestone_Marker,IF(AND(P$29&gt;ProposalToGnatt[[#This Row],[Start Date]],P$29&lt;ProposalToGnatt[[#This Row],[Start Date]]+ProposalToGnatt[[#This Row],[Days]]),$G$5,"")),"")</f>
        <v/>
      </c>
      <c r="Q66" s="37" t="str">
        <f ca="1">IFERROR(+IF(Q$29=ProposalToGnatt[[#This Row],[Start Date]],Milestone_Marker,IF(AND(Q$29&gt;ProposalToGnatt[[#This Row],[Start Date]],Q$29&lt;ProposalToGnatt[[#This Row],[Start Date]]+ProposalToGnatt[[#This Row],[Days]]),$G$5,"")),"")</f>
        <v/>
      </c>
      <c r="R66" s="37" t="str">
        <f ca="1">IFERROR(+IF(R$29=ProposalToGnatt[[#This Row],[Start Date]],Milestone_Marker,IF(AND(R$29&gt;ProposalToGnatt[[#This Row],[Start Date]],R$29&lt;ProposalToGnatt[[#This Row],[Start Date]]+ProposalToGnatt[[#This Row],[Days]]),$G$5,"")),"")</f>
        <v/>
      </c>
      <c r="S66" s="37" t="str">
        <f ca="1">IFERROR(+IF(S$29=ProposalToGnatt[[#This Row],[Start Date]],Milestone_Marker,IF(AND(S$29&gt;ProposalToGnatt[[#This Row],[Start Date]],S$29&lt;ProposalToGnatt[[#This Row],[Start Date]]+ProposalToGnatt[[#This Row],[Days]]),$G$5,"")),"")</f>
        <v/>
      </c>
      <c r="T66" s="37" t="str">
        <f ca="1">IFERROR(+IF(T$29=ProposalToGnatt[[#This Row],[Start Date]],Milestone_Marker,IF(AND(T$29&gt;ProposalToGnatt[[#This Row],[Start Date]],T$29&lt;ProposalToGnatt[[#This Row],[Start Date]]+ProposalToGnatt[[#This Row],[Days]]),$G$5,"")),"")</f>
        <v/>
      </c>
      <c r="U66" s="37" t="str">
        <f ca="1">IFERROR(+IF(U$29=ProposalToGnatt[[#This Row],[Start Date]],Milestone_Marker,IF(AND(U$29&gt;ProposalToGnatt[[#This Row],[Start Date]],U$29&lt;ProposalToGnatt[[#This Row],[Start Date]]+ProposalToGnatt[[#This Row],[Days]]),$G$5,"")),"")</f>
        <v/>
      </c>
      <c r="V66" s="37" t="str">
        <f ca="1">IFERROR(+IF(V$29=ProposalToGnatt[[#This Row],[Start Date]],Milestone_Marker,IF(AND(V$29&gt;ProposalToGnatt[[#This Row],[Start Date]],V$29&lt;ProposalToGnatt[[#This Row],[Start Date]]+ProposalToGnatt[[#This Row],[Days]]),$G$5,"")),"")</f>
        <v/>
      </c>
      <c r="W66" s="37" t="str">
        <f ca="1">IFERROR(+IF(W$29=ProposalToGnatt[[#This Row],[Start Date]],Milestone_Marker,IF(AND(W$29&gt;ProposalToGnatt[[#This Row],[Start Date]],W$29&lt;ProposalToGnatt[[#This Row],[Start Date]]+ProposalToGnatt[[#This Row],[Days]]),$G$5,"")),"")</f>
        <v/>
      </c>
      <c r="X66" s="37" t="str">
        <f ca="1">IFERROR(+IF(X$29=ProposalToGnatt[[#This Row],[Start Date]],Milestone_Marker,IF(AND(X$29&gt;ProposalToGnatt[[#This Row],[Start Date]],X$29&lt;ProposalToGnatt[[#This Row],[Start Date]]+ProposalToGnatt[[#This Row],[Days]]),$G$5,"")),"")</f>
        <v/>
      </c>
      <c r="Y66" s="37" t="str">
        <f ca="1">IFERROR(+IF(Y$29=ProposalToGnatt[[#This Row],[Start Date]],Milestone_Marker,IF(AND(Y$29&gt;ProposalToGnatt[[#This Row],[Start Date]],Y$29&lt;ProposalToGnatt[[#This Row],[Start Date]]+ProposalToGnatt[[#This Row],[Days]]),$G$5,"")),"")</f>
        <v/>
      </c>
      <c r="Z66" s="37" t="str">
        <f ca="1">IFERROR(+IF(Z$29=ProposalToGnatt[[#This Row],[Start Date]],Milestone_Marker,IF(AND(Z$29&gt;ProposalToGnatt[[#This Row],[Start Date]],Z$29&lt;ProposalToGnatt[[#This Row],[Start Date]]+ProposalToGnatt[[#This Row],[Days]]),$G$5,"")),"")</f>
        <v/>
      </c>
      <c r="AA66" s="37" t="str">
        <f ca="1">IFERROR(+IF(AA$29=ProposalToGnatt[[#This Row],[Start Date]],Milestone_Marker,IF(AND(AA$29&gt;ProposalToGnatt[[#This Row],[Start Date]],AA$29&lt;ProposalToGnatt[[#This Row],[Start Date]]+ProposalToGnatt[[#This Row],[Days]]),$G$5,"")),"")</f>
        <v/>
      </c>
      <c r="AB66" s="37" t="str">
        <f ca="1">IFERROR(+IF(AB$29=ProposalToGnatt[[#This Row],[Start Date]],Milestone_Marker,IF(AND(AB$29&gt;ProposalToGnatt[[#This Row],[Start Date]],AB$29&lt;ProposalToGnatt[[#This Row],[Start Date]]+ProposalToGnatt[[#This Row],[Days]]),$G$5,"")),"")</f>
        <v/>
      </c>
      <c r="AC66" s="37" t="str">
        <f ca="1">IFERROR(+IF(AC$29=ProposalToGnatt[[#This Row],[Start Date]],Milestone_Marker,IF(AND(AC$29&gt;ProposalToGnatt[[#This Row],[Start Date]],AC$29&lt;ProposalToGnatt[[#This Row],[Start Date]]+ProposalToGnatt[[#This Row],[Days]]),$G$5,"")),"")</f>
        <v/>
      </c>
      <c r="AD66" s="37" t="str">
        <f ca="1">IFERROR(+IF(AD$29=ProposalToGnatt[[#This Row],[Start Date]],Milestone_Marker,IF(AND(AD$29&gt;ProposalToGnatt[[#This Row],[Start Date]],AD$29&lt;ProposalToGnatt[[#This Row],[Start Date]]+ProposalToGnatt[[#This Row],[Days]]),$G$5,"")),"")</f>
        <v/>
      </c>
      <c r="AE66" s="37" t="str">
        <f ca="1">IFERROR(+IF(AE$29=ProposalToGnatt[[#This Row],[Start Date]],Milestone_Marker,IF(AND(AE$29&gt;ProposalToGnatt[[#This Row],[Start Date]],AE$29&lt;ProposalToGnatt[[#This Row],[Start Date]]+ProposalToGnatt[[#This Row],[Days]]),$G$5,"")),"")</f>
        <v/>
      </c>
      <c r="AF66" s="37" t="str">
        <f ca="1">IFERROR(+IF(AF$29=ProposalToGnatt[[#This Row],[Start Date]],Milestone_Marker,IF(AND(AF$29&gt;ProposalToGnatt[[#This Row],[Start Date]],AF$29&lt;ProposalToGnatt[[#This Row],[Start Date]]+ProposalToGnatt[[#This Row],[Days]]),$G$5,"")),"")</f>
        <v/>
      </c>
      <c r="AG66" s="37" t="str">
        <f ca="1">IFERROR(+IF(AG$29=ProposalToGnatt[[#This Row],[Start Date]],Milestone_Marker,IF(AND(AG$29&gt;ProposalToGnatt[[#This Row],[Start Date]],AG$29&lt;ProposalToGnatt[[#This Row],[Start Date]]+ProposalToGnatt[[#This Row],[Days]]),$G$5,"")),"")</f>
        <v/>
      </c>
      <c r="AH66" s="37" t="str">
        <f ca="1">IFERROR(+IF(AH$29=ProposalToGnatt[[#This Row],[Start Date]],Milestone_Marker,IF(AND(AH$29&gt;ProposalToGnatt[[#This Row],[Start Date]],AH$29&lt;ProposalToGnatt[[#This Row],[Start Date]]+ProposalToGnatt[[#This Row],[Days]]),$G$5,"")),"")</f>
        <v/>
      </c>
      <c r="AI66" s="37" t="str">
        <f ca="1">IFERROR(+IF(AI$29=ProposalToGnatt[[#This Row],[Start Date]],Milestone_Marker,IF(AND(AI$29&gt;ProposalToGnatt[[#This Row],[Start Date]],AI$29&lt;ProposalToGnatt[[#This Row],[Start Date]]+ProposalToGnatt[[#This Row],[Days]]),$G$5,"")),"")</f>
        <v/>
      </c>
      <c r="AJ66" s="37" t="str">
        <f ca="1">IFERROR(+IF(AJ$29=ProposalToGnatt[[#This Row],[Start Date]],Milestone_Marker,IF(AND(AJ$29&gt;ProposalToGnatt[[#This Row],[Start Date]],AJ$29&lt;ProposalToGnatt[[#This Row],[Start Date]]+ProposalToGnatt[[#This Row],[Days]]),$G$5,"")),"")</f>
        <v/>
      </c>
      <c r="AK66" s="37" t="str">
        <f ca="1">IFERROR(+IF(AK$29=ProposalToGnatt[[#This Row],[Start Date]],Milestone_Marker,IF(AND(AK$29&gt;ProposalToGnatt[[#This Row],[Start Date]],AK$29&lt;ProposalToGnatt[[#This Row],[Start Date]]+ProposalToGnatt[[#This Row],[Days]]),$G$5,"")),"")</f>
        <v/>
      </c>
      <c r="AL66" s="37" t="str">
        <f ca="1">IFERROR(+IF(AL$29=ProposalToGnatt[[#This Row],[Start Date]],Milestone_Marker,IF(AND(AL$29&gt;ProposalToGnatt[[#This Row],[Start Date]],AL$29&lt;ProposalToGnatt[[#This Row],[Start Date]]+ProposalToGnatt[[#This Row],[Days]]),$G$5,"")),"")</f>
        <v/>
      </c>
      <c r="AM66" s="37" t="str">
        <f ca="1">IFERROR(+IF(AM$29=ProposalToGnatt[[#This Row],[Start Date]],Milestone_Marker,IF(AND(AM$29&gt;ProposalToGnatt[[#This Row],[Start Date]],AM$29&lt;ProposalToGnatt[[#This Row],[Start Date]]+ProposalToGnatt[[#This Row],[Days]]),$G$5,"")),"")</f>
        <v/>
      </c>
      <c r="AN66" s="37" t="str">
        <f ca="1">IFERROR(+IF(AN$29=ProposalToGnatt[[#This Row],[Start Date]],Milestone_Marker,IF(AND(AN$29&gt;ProposalToGnatt[[#This Row],[Start Date]],AN$29&lt;ProposalToGnatt[[#This Row],[Start Date]]+ProposalToGnatt[[#This Row],[Days]]),$G$5,"")),"")</f>
        <v/>
      </c>
      <c r="AO66" s="37" t="str">
        <f ca="1">IFERROR(+IF(AO$29=ProposalToGnatt[[#This Row],[Start Date]],Milestone_Marker,IF(AND(AO$29&gt;ProposalToGnatt[[#This Row],[Start Date]],AO$29&lt;ProposalToGnatt[[#This Row],[Start Date]]+ProposalToGnatt[[#This Row],[Days]]),$G$5,"")),"")</f>
        <v/>
      </c>
      <c r="AP66" s="37" t="str">
        <f ca="1">IFERROR(+IF(AP$29=ProposalToGnatt[[#This Row],[Start Date]],Milestone_Marker,IF(AND(AP$29&gt;ProposalToGnatt[[#This Row],[Start Date]],AP$29&lt;ProposalToGnatt[[#This Row],[Start Date]]+ProposalToGnatt[[#This Row],[Days]]),$G$5,"")),"")</f>
        <v/>
      </c>
      <c r="AQ66" s="37" t="str">
        <f ca="1">IFERROR(+IF(AQ$29=ProposalToGnatt[[#This Row],[Start Date]],Milestone_Marker,IF(AND(AQ$29&gt;ProposalToGnatt[[#This Row],[Start Date]],AQ$29&lt;ProposalToGnatt[[#This Row],[Start Date]]+ProposalToGnatt[[#This Row],[Days]]),$G$5,"")),"")</f>
        <v/>
      </c>
      <c r="AR66" s="37" t="str">
        <f ca="1">IFERROR(+IF(AR$29=ProposalToGnatt[[#This Row],[Start Date]],Milestone_Marker,IF(AND(AR$29&gt;ProposalToGnatt[[#This Row],[Start Date]],AR$29&lt;ProposalToGnatt[[#This Row],[Start Date]]+ProposalToGnatt[[#This Row],[Days]]),$G$5,"")),"")</f>
        <v/>
      </c>
      <c r="AS66" s="37" t="str">
        <f ca="1">IFERROR(+IF(AS$29=ProposalToGnatt[[#This Row],[Start Date]],Milestone_Marker,IF(AND(AS$29&gt;ProposalToGnatt[[#This Row],[Start Date]],AS$29&lt;ProposalToGnatt[[#This Row],[Start Date]]+ProposalToGnatt[[#This Row],[Days]]),$G$5,"")),"")</f>
        <v/>
      </c>
      <c r="AT66" s="37" t="str">
        <f ca="1">IFERROR(+IF(AT$29=ProposalToGnatt[[#This Row],[Start Date]],Milestone_Marker,IF(AND(AT$29&gt;ProposalToGnatt[[#This Row],[Start Date]],AT$29&lt;ProposalToGnatt[[#This Row],[Start Date]]+ProposalToGnatt[[#This Row],[Days]]),$G$5,"")),"")</f>
        <v/>
      </c>
      <c r="AU66" s="37" t="str">
        <f ca="1">IFERROR(+IF(AU$29=ProposalToGnatt[[#This Row],[Start Date]],Milestone_Marker,IF(AND(AU$29&gt;ProposalToGnatt[[#This Row],[Start Date]],AU$29&lt;ProposalToGnatt[[#This Row],[Start Date]]+ProposalToGnatt[[#This Row],[Days]]),$G$5,"")),"")</f>
        <v/>
      </c>
      <c r="AV66" s="37" t="str">
        <f ca="1">IFERROR(+IF(AV$29=ProposalToGnatt[[#This Row],[Start Date]],Milestone_Marker,IF(AND(AV$29&gt;ProposalToGnatt[[#This Row],[Start Date]],AV$29&lt;ProposalToGnatt[[#This Row],[Start Date]]+ProposalToGnatt[[#This Row],[Days]]),$G$5,"")),"")</f>
        <v/>
      </c>
      <c r="AW66" s="37" t="str">
        <f ca="1">IFERROR(+IF(AW$29=ProposalToGnatt[[#This Row],[Start Date]],Milestone_Marker,IF(AND(AW$29&gt;ProposalToGnatt[[#This Row],[Start Date]],AW$29&lt;ProposalToGnatt[[#This Row],[Start Date]]+ProposalToGnatt[[#This Row],[Days]]),$G$5,"")),"")</f>
        <v/>
      </c>
      <c r="AX66" s="37" t="str">
        <f ca="1">IFERROR(+IF(AX$29=ProposalToGnatt[[#This Row],[Start Date]],Milestone_Marker,IF(AND(AX$29&gt;ProposalToGnatt[[#This Row],[Start Date]],AX$29&lt;ProposalToGnatt[[#This Row],[Start Date]]+ProposalToGnatt[[#This Row],[Days]]),$G$5,"")),"")</f>
        <v/>
      </c>
      <c r="AY66" s="37" t="str">
        <f ca="1">IFERROR(+IF(AY$29=ProposalToGnatt[[#This Row],[Start Date]],Milestone_Marker,IF(AND(AY$29&gt;ProposalToGnatt[[#This Row],[Start Date]],AY$29&lt;ProposalToGnatt[[#This Row],[Start Date]]+ProposalToGnatt[[#This Row],[Days]]),$G$5,"")),"")</f>
        <v/>
      </c>
      <c r="AZ66" s="37" t="str">
        <f ca="1">IFERROR(+IF(AZ$29=ProposalToGnatt[[#This Row],[Start Date]],Milestone_Marker,IF(AND(AZ$29&gt;ProposalToGnatt[[#This Row],[Start Date]],AZ$29&lt;ProposalToGnatt[[#This Row],[Start Date]]+ProposalToGnatt[[#This Row],[Days]]),$G$5,"")),"")</f>
        <v/>
      </c>
      <c r="BA66" s="37" t="str">
        <f ca="1">IFERROR(+IF(BA$29=ProposalToGnatt[[#This Row],[Start Date]],Milestone_Marker,IF(AND(BA$29&gt;ProposalToGnatt[[#This Row],[Start Date]],BA$29&lt;ProposalToGnatt[[#This Row],[Start Date]]+ProposalToGnatt[[#This Row],[Days]]),$G$5,"")),"")</f>
        <v/>
      </c>
      <c r="BB66" s="37" t="str">
        <f ca="1">IFERROR(+IF(BB$29=ProposalToGnatt[[#This Row],[Start Date]],Milestone_Marker,IF(AND(BB$29&gt;ProposalToGnatt[[#This Row],[Start Date]],BB$29&lt;ProposalToGnatt[[#This Row],[Start Date]]+ProposalToGnatt[[#This Row],[Days]]),$G$5,"")),"")</f>
        <v/>
      </c>
      <c r="BC66" s="37" t="str">
        <f ca="1">IFERROR(+IF(BC$29=ProposalToGnatt[[#This Row],[Start Date]],Milestone_Marker,IF(AND(BC$29&gt;ProposalToGnatt[[#This Row],[Start Date]],BC$29&lt;ProposalToGnatt[[#This Row],[Start Date]]+ProposalToGnatt[[#This Row],[Days]]),$G$5,"")),"")</f>
        <v/>
      </c>
      <c r="BD66" s="37" t="str">
        <f ca="1">IFERROR(+IF(BD$29=ProposalToGnatt[[#This Row],[Start Date]],Milestone_Marker,IF(AND(BD$29&gt;ProposalToGnatt[[#This Row],[Start Date]],BD$29&lt;ProposalToGnatt[[#This Row],[Start Date]]+ProposalToGnatt[[#This Row],[Days]]),$G$5,"")),"")</f>
        <v/>
      </c>
      <c r="BE66" s="37" t="str">
        <f ca="1">IFERROR(+IF(BE$29=ProposalToGnatt[[#This Row],[Start Date]],Milestone_Marker,IF(AND(BE$29&gt;ProposalToGnatt[[#This Row],[Start Date]],BE$29&lt;ProposalToGnatt[[#This Row],[Start Date]]+ProposalToGnatt[[#This Row],[Days]]),$G$5,"")),"")</f>
        <v/>
      </c>
      <c r="BF66" s="37" t="str">
        <f ca="1">IFERROR(+IF(BF$29=ProposalToGnatt[[#This Row],[Start Date]],Milestone_Marker,IF(AND(BF$29&gt;ProposalToGnatt[[#This Row],[Start Date]],BF$29&lt;ProposalToGnatt[[#This Row],[Start Date]]+ProposalToGnatt[[#This Row],[Days]]),$G$5,"")),"")</f>
        <v/>
      </c>
      <c r="BG66" s="37" t="str">
        <f ca="1">IFERROR(+IF(BG$29=ProposalToGnatt[[#This Row],[Start Date]],Milestone_Marker,IF(AND(BG$29&gt;ProposalToGnatt[[#This Row],[Start Date]],BG$29&lt;ProposalToGnatt[[#This Row],[Start Date]]+ProposalToGnatt[[#This Row],[Days]]),$G$5,"")),"")</f>
        <v/>
      </c>
      <c r="BH66" s="37" t="str">
        <f ca="1">IFERROR(+IF(BH$29=ProposalToGnatt[[#This Row],[Start Date]],Milestone_Marker,IF(AND(BH$29&gt;ProposalToGnatt[[#This Row],[Start Date]],BH$29&lt;ProposalToGnatt[[#This Row],[Start Date]]+ProposalToGnatt[[#This Row],[Days]]),$G$5,"")),"")</f>
        <v/>
      </c>
      <c r="BI66" s="37" t="str">
        <f ca="1">IFERROR(+IF(BI$29=ProposalToGnatt[[#This Row],[Start Date]],Milestone_Marker,IF(AND(BI$29&gt;ProposalToGnatt[[#This Row],[Start Date]],BI$29&lt;ProposalToGnatt[[#This Row],[Start Date]]+ProposalToGnatt[[#This Row],[Days]]),$G$5,"")),"")</f>
        <v/>
      </c>
      <c r="BJ66" s="37" t="str">
        <f ca="1">IFERROR(+IF(BJ$29=ProposalToGnatt[[#This Row],[Start Date]],Milestone_Marker,IF(AND(BJ$29&gt;ProposalToGnatt[[#This Row],[Start Date]],BJ$29&lt;ProposalToGnatt[[#This Row],[Start Date]]+ProposalToGnatt[[#This Row],[Days]]),$G$5,"")),"")</f>
        <v/>
      </c>
      <c r="BK66" s="37" t="str">
        <f ca="1">IFERROR(+IF(BK$29=ProposalToGnatt[[#This Row],[Start Date]],Milestone_Marker,IF(AND(BK$29&gt;ProposalToGnatt[[#This Row],[Start Date]],BK$29&lt;ProposalToGnatt[[#This Row],[Start Date]]+ProposalToGnatt[[#This Row],[Days]]),$G$5,"")),"")</f>
        <v/>
      </c>
      <c r="BL66" s="37" t="str">
        <f ca="1">IFERROR(+IF(BL$29=ProposalToGnatt[[#This Row],[Start Date]],Milestone_Marker,IF(AND(BL$29&gt;ProposalToGnatt[[#This Row],[Start Date]],BL$29&lt;ProposalToGnatt[[#This Row],[Start Date]]+ProposalToGnatt[[#This Row],[Days]]),$G$5,"")),"")</f>
        <v/>
      </c>
      <c r="BM66" s="37" t="str">
        <f ca="1">IFERROR(+IF(BM$29=ProposalToGnatt[[#This Row],[Start Date]],Milestone_Marker,IF(AND(BM$29&gt;ProposalToGnatt[[#This Row],[Start Date]],BM$29&lt;ProposalToGnatt[[#This Row],[Start Date]]+ProposalToGnatt[[#This Row],[Days]]),$G$5,"")),"")</f>
        <v/>
      </c>
      <c r="BN66" s="37" t="str">
        <f ca="1">IFERROR(+IF(BN$29=ProposalToGnatt[[#This Row],[Start Date]],Milestone_Marker,IF(AND(BN$29&gt;ProposalToGnatt[[#This Row],[Start Date]],BN$29&lt;ProposalToGnatt[[#This Row],[Start Date]]+ProposalToGnatt[[#This Row],[Days]]),$G$5,"")),"")</f>
        <v/>
      </c>
      <c r="BO66" s="37" t="str">
        <f ca="1">IFERROR(+IF(BO$29=ProposalToGnatt[[#This Row],[Start Date]],Milestone_Marker,IF(AND(BO$29&gt;ProposalToGnatt[[#This Row],[Start Date]],BO$29&lt;ProposalToGnatt[[#This Row],[Start Date]]+ProposalToGnatt[[#This Row],[Days]]),$G$5,"")),"")</f>
        <v/>
      </c>
      <c r="BP66" s="37" t="str">
        <f ca="1">IFERROR(+IF(BP$29=ProposalToGnatt[[#This Row],[Start Date]],Milestone_Marker,IF(AND(BP$29&gt;ProposalToGnatt[[#This Row],[Start Date]],BP$29&lt;ProposalToGnatt[[#This Row],[Start Date]]+ProposalToGnatt[[#This Row],[Days]]),$G$5,"")),"")</f>
        <v/>
      </c>
      <c r="BQ66" s="37" t="str">
        <f ca="1">IFERROR(+IF(BQ$29=ProposalToGnatt[[#This Row],[Start Date]],Milestone_Marker,IF(AND(BQ$29&gt;ProposalToGnatt[[#This Row],[Start Date]],BQ$29&lt;ProposalToGnatt[[#This Row],[Start Date]]+ProposalToGnatt[[#This Row],[Days]]),$G$5,"")),"")</f>
        <v/>
      </c>
      <c r="BR66" s="37" t="str">
        <f ca="1">IFERROR(+IF(BR$29=ProposalToGnatt[[#This Row],[Start Date]],Milestone_Marker,IF(AND(BR$29&gt;ProposalToGnatt[[#This Row],[Start Date]],BR$29&lt;ProposalToGnatt[[#This Row],[Start Date]]+ProposalToGnatt[[#This Row],[Days]]),$G$5,"")),"")</f>
        <v/>
      </c>
      <c r="BS66" s="37" t="str">
        <f ca="1">IFERROR(+IF(BS$29=ProposalToGnatt[[#This Row],[Start Date]],Milestone_Marker,IF(AND(BS$29&gt;ProposalToGnatt[[#This Row],[Start Date]],BS$29&lt;ProposalToGnatt[[#This Row],[Start Date]]+ProposalToGnatt[[#This Row],[Days]]),$G$5,"")),"")</f>
        <v/>
      </c>
      <c r="BT66" s="37" t="str">
        <f ca="1">IFERROR(+IF(BT$29=ProposalToGnatt[[#This Row],[Start Date]],Milestone_Marker,IF(AND(BT$29&gt;ProposalToGnatt[[#This Row],[Start Date]],BT$29&lt;ProposalToGnatt[[#This Row],[Start Date]]+ProposalToGnatt[[#This Row],[Days]]),$G$5,"")),"")</f>
        <v/>
      </c>
      <c r="BU66" s="37" t="str">
        <f ca="1">IFERROR(+IF(BU$29=ProposalToGnatt[[#This Row],[Start Date]],Milestone_Marker,IF(AND(BU$29&gt;ProposalToGnatt[[#This Row],[Start Date]],BU$29&lt;ProposalToGnatt[[#This Row],[Start Date]]+ProposalToGnatt[[#This Row],[Days]]),$G$5,"")),"")</f>
        <v/>
      </c>
      <c r="BV66" s="37" t="str">
        <f ca="1">IFERROR(+IF(BV$29=ProposalToGnatt[[#This Row],[Start Date]],Milestone_Marker,IF(AND(BV$29&gt;ProposalToGnatt[[#This Row],[Start Date]],BV$29&lt;ProposalToGnatt[[#This Row],[Start Date]]+ProposalToGnatt[[#This Row],[Days]]),$G$5,"")),"")</f>
        <v/>
      </c>
      <c r="BW66" s="37" t="str">
        <f ca="1">IFERROR(+IF(BW$29=ProposalToGnatt[[#This Row],[Start Date]],Milestone_Marker,IF(AND(BW$29&gt;ProposalToGnatt[[#This Row],[Start Date]],BW$29&lt;ProposalToGnatt[[#This Row],[Start Date]]+ProposalToGnatt[[#This Row],[Days]]),$G$5,"")),"")</f>
        <v/>
      </c>
      <c r="BX66" s="37" t="str">
        <f ca="1">IFERROR(+IF(BX$29=ProposalToGnatt[[#This Row],[Start Date]],Milestone_Marker,IF(AND(BX$29&gt;ProposalToGnatt[[#This Row],[Start Date]],BX$29&lt;ProposalToGnatt[[#This Row],[Start Date]]+ProposalToGnatt[[#This Row],[Days]]),$G$5,"")),"")</f>
        <v/>
      </c>
      <c r="BY66" s="37" t="str">
        <f ca="1">IFERROR(+IF(BY$29=ProposalToGnatt[[#This Row],[Start Date]],Milestone_Marker,IF(AND(BY$29&gt;ProposalToGnatt[[#This Row],[Start Date]],BY$29&lt;ProposalToGnatt[[#This Row],[Start Date]]+ProposalToGnatt[[#This Row],[Days]]),$G$5,"")),"")</f>
        <v/>
      </c>
      <c r="BZ66" s="37" t="str">
        <f ca="1">IFERROR(+IF(BZ$29=ProposalToGnatt[[#This Row],[Start Date]],Milestone_Marker,IF(AND(BZ$29&gt;ProposalToGnatt[[#This Row],[Start Date]],BZ$29&lt;ProposalToGnatt[[#This Row],[Start Date]]+ProposalToGnatt[[#This Row],[Days]]),$G$5,"")),"")</f>
        <v/>
      </c>
      <c r="CA66" s="37" t="str">
        <f ca="1">IFERROR(+IF(CA$29=ProposalToGnatt[[#This Row],[Start Date]],Milestone_Marker,IF(AND(CA$29&gt;ProposalToGnatt[[#This Row],[Start Date]],CA$29&lt;ProposalToGnatt[[#This Row],[Start Date]]+ProposalToGnatt[[#This Row],[Days]]),$G$5,"")),"")</f>
        <v/>
      </c>
      <c r="CB66" s="37" t="str">
        <f ca="1">IFERROR(+IF(CB$29=ProposalToGnatt[[#This Row],[Start Date]],Milestone_Marker,IF(AND(CB$29&gt;ProposalToGnatt[[#This Row],[Start Date]],CB$29&lt;ProposalToGnatt[[#This Row],[Start Date]]+ProposalToGnatt[[#This Row],[Days]]),$G$5,"")),"")</f>
        <v/>
      </c>
      <c r="CC66" s="37" t="str">
        <f ca="1">IFERROR(+IF(CC$29=ProposalToGnatt[[#This Row],[Start Date]],Milestone_Marker,IF(AND(CC$29&gt;ProposalToGnatt[[#This Row],[Start Date]],CC$29&lt;ProposalToGnatt[[#This Row],[Start Date]]+ProposalToGnatt[[#This Row],[Days]]),$G$5,"")),"")</f>
        <v/>
      </c>
      <c r="CD66" s="37" t="str">
        <f ca="1">IFERROR(+IF(CD$29=ProposalToGnatt[[#This Row],[Start Date]],Milestone_Marker,IF(AND(CD$29&gt;ProposalToGnatt[[#This Row],[Start Date]],CD$29&lt;ProposalToGnatt[[#This Row],[Start Date]]+ProposalToGnatt[[#This Row],[Days]]),$G$5,"")),"")</f>
        <v/>
      </c>
      <c r="CE66" s="37" t="str">
        <f ca="1">IFERROR(+IF(CE$29=ProposalToGnatt[[#This Row],[Start Date]],Milestone_Marker,IF(AND(CE$29&gt;ProposalToGnatt[[#This Row],[Start Date]],CE$29&lt;ProposalToGnatt[[#This Row],[Start Date]]+ProposalToGnatt[[#This Row],[Days]]),$G$5,"")),"")</f>
        <v/>
      </c>
      <c r="CF66" s="37" t="str">
        <f ca="1">IFERROR(+IF(CF$29=ProposalToGnatt[[#This Row],[Start Date]],Milestone_Marker,IF(AND(CF$29&gt;ProposalToGnatt[[#This Row],[Start Date]],CF$29&lt;ProposalToGnatt[[#This Row],[Start Date]]+ProposalToGnatt[[#This Row],[Days]]),$G$5,"")),"")</f>
        <v/>
      </c>
      <c r="CG66" s="37" t="str">
        <f ca="1">IFERROR(+IF(CG$29=ProposalToGnatt[[#This Row],[Start Date]],Milestone_Marker,IF(AND(CG$29&gt;ProposalToGnatt[[#This Row],[Start Date]],CG$29&lt;ProposalToGnatt[[#This Row],[Start Date]]+ProposalToGnatt[[#This Row],[Days]]),$G$5,"")),"")</f>
        <v/>
      </c>
      <c r="CH66" s="37" t="str">
        <f ca="1">IFERROR(+IF(CH$29=ProposalToGnatt[[#This Row],[Start Date]],Milestone_Marker,IF(AND(CH$29&gt;ProposalToGnatt[[#This Row],[Start Date]],CH$29&lt;ProposalToGnatt[[#This Row],[Start Date]]+ProposalToGnatt[[#This Row],[Days]]),$G$5,"")),"")</f>
        <v/>
      </c>
      <c r="CI66" s="37" t="str">
        <f ca="1">IFERROR(+IF(CI$29=ProposalToGnatt[[#This Row],[Start Date]],Milestone_Marker,IF(AND(CI$29&gt;ProposalToGnatt[[#This Row],[Start Date]],CI$29&lt;ProposalToGnatt[[#This Row],[Start Date]]+ProposalToGnatt[[#This Row],[Days]]),$G$5,"")),"")</f>
        <v/>
      </c>
      <c r="CJ66" s="37" t="str">
        <f ca="1">IFERROR(+IF(CJ$29=ProposalToGnatt[[#This Row],[Start Date]],Milestone_Marker,IF(AND(CJ$29&gt;ProposalToGnatt[[#This Row],[Start Date]],CJ$29&lt;ProposalToGnatt[[#This Row],[Start Date]]+ProposalToGnatt[[#This Row],[Days]]),$G$5,"")),"")</f>
        <v/>
      </c>
      <c r="CK66" s="37" t="str">
        <f ca="1">IFERROR(+IF(CK$29=ProposalToGnatt[[#This Row],[Start Date]],Milestone_Marker,IF(AND(CK$29&gt;ProposalToGnatt[[#This Row],[Start Date]],CK$29&lt;ProposalToGnatt[[#This Row],[Start Date]]+ProposalToGnatt[[#This Row],[Days]]),$G$5,"")),"")</f>
        <v/>
      </c>
      <c r="CL66" s="37" t="str">
        <f ca="1">IFERROR(+IF(CL$29=ProposalToGnatt[[#This Row],[Start Date]],Milestone_Marker,IF(AND(CL$29&gt;ProposalToGnatt[[#This Row],[Start Date]],CL$29&lt;ProposalToGnatt[[#This Row],[Start Date]]+ProposalToGnatt[[#This Row],[Days]]),$G$5,"")),"")</f>
        <v/>
      </c>
      <c r="CM66" s="37" t="str">
        <f ca="1">IFERROR(+IF(CM$29=ProposalToGnatt[[#This Row],[Start Date]],Milestone_Marker,IF(AND(CM$29&gt;ProposalToGnatt[[#This Row],[Start Date]],CM$29&lt;ProposalToGnatt[[#This Row],[Start Date]]+ProposalToGnatt[[#This Row],[Days]]),$G$5,"")),"")</f>
        <v/>
      </c>
      <c r="CN66" s="37" t="str">
        <f ca="1">IFERROR(+IF(CN$29=ProposalToGnatt[[#This Row],[Start Date]],Milestone_Marker,IF(AND(CN$29&gt;ProposalToGnatt[[#This Row],[Start Date]],CN$29&lt;ProposalToGnatt[[#This Row],[Start Date]]+ProposalToGnatt[[#This Row],[Days]]),$G$5,"")),"")</f>
        <v/>
      </c>
      <c r="CO66" s="37" t="str">
        <f ca="1">IFERROR(+IF(CO$29=ProposalToGnatt[[#This Row],[Start Date]],Milestone_Marker,IF(AND(CO$29&gt;ProposalToGnatt[[#This Row],[Start Date]],CO$29&lt;ProposalToGnatt[[#This Row],[Start Date]]+ProposalToGnatt[[#This Row],[Days]]),$G$5,"")),"")</f>
        <v/>
      </c>
      <c r="CP66" s="37" t="str">
        <f ca="1">IFERROR(+IF(CP$29=ProposalToGnatt[[#This Row],[Start Date]],Milestone_Marker,IF(AND(CP$29&gt;ProposalToGnatt[[#This Row],[Start Date]],CP$29&lt;ProposalToGnatt[[#This Row],[Start Date]]+ProposalToGnatt[[#This Row],[Days]]),$G$5,"")),"")</f>
        <v/>
      </c>
      <c r="CQ66" s="37" t="str">
        <f ca="1">IFERROR(+IF(CQ$29=ProposalToGnatt[[#This Row],[Start Date]],Milestone_Marker,IF(AND(CQ$29&gt;ProposalToGnatt[[#This Row],[Start Date]],CQ$29&lt;ProposalToGnatt[[#This Row],[Start Date]]+ProposalToGnatt[[#This Row],[Days]]),$G$5,"")),"")</f>
        <v/>
      </c>
      <c r="CR66" s="37" t="str">
        <f ca="1">IFERROR(+IF(CR$29=ProposalToGnatt[[#This Row],[Start Date]],Milestone_Marker,IF(AND(CR$29&gt;ProposalToGnatt[[#This Row],[Start Date]],CR$29&lt;ProposalToGnatt[[#This Row],[Start Date]]+ProposalToGnatt[[#This Row],[Days]]),$G$5,"")),"")</f>
        <v/>
      </c>
      <c r="CS66" s="37" t="str">
        <f ca="1">IFERROR(+IF(CS$29=ProposalToGnatt[[#This Row],[Start Date]],Milestone_Marker,IF(AND(CS$29&gt;ProposalToGnatt[[#This Row],[Start Date]],CS$29&lt;ProposalToGnatt[[#This Row],[Start Date]]+ProposalToGnatt[[#This Row],[Days]]),$G$5,"")),"")</f>
        <v/>
      </c>
      <c r="CT66" s="37" t="str">
        <f ca="1">IFERROR(+IF(CT$29=ProposalToGnatt[[#This Row],[Start Date]],Milestone_Marker,IF(AND(CT$29&gt;ProposalToGnatt[[#This Row],[Start Date]],CT$29&lt;ProposalToGnatt[[#This Row],[Start Date]]+ProposalToGnatt[[#This Row],[Days]]),$G$5,"")),"")</f>
        <v/>
      </c>
      <c r="CU66" s="37" t="str">
        <f ca="1">IFERROR(+IF(CU$29=ProposalToGnatt[[#This Row],[Start Date]],Milestone_Marker,IF(AND(CU$29&gt;ProposalToGnatt[[#This Row],[Start Date]],CU$29&lt;ProposalToGnatt[[#This Row],[Start Date]]+ProposalToGnatt[[#This Row],[Days]]),$G$5,"")),"")</f>
        <v/>
      </c>
      <c r="CV66" s="37"/>
      <c r="CW66" s="37"/>
      <c r="CX66" s="37"/>
      <c r="CY66" s="37"/>
      <c r="CZ66" s="37"/>
      <c r="DA66" s="37"/>
      <c r="DB66" s="37"/>
      <c r="DC66" s="37"/>
      <c r="DD66" s="37"/>
      <c r="DE66" s="37"/>
      <c r="DF66" s="37"/>
      <c r="DG66" s="37"/>
      <c r="DH66" s="37"/>
      <c r="DI66" s="37"/>
      <c r="DJ66" s="37"/>
      <c r="DK66" s="37"/>
      <c r="DL66" s="37"/>
      <c r="DM66" s="37"/>
      <c r="DN66" s="37"/>
      <c r="DO66" s="37"/>
      <c r="DP66" s="37"/>
      <c r="DQ66" s="37"/>
      <c r="DR66" s="37"/>
      <c r="DS66" s="37"/>
      <c r="DT66" s="37"/>
      <c r="DU66" s="37"/>
    </row>
    <row r="67" spans="1:125" s="42" customFormat="1" ht="15" customHeight="1">
      <c r="A67"/>
      <c r="B67"/>
      <c r="C67"/>
      <c r="D67"/>
      <c r="E67"/>
      <c r="F67"/>
      <c r="G67" s="11"/>
      <c r="H67" s="26"/>
      <c r="I67"/>
      <c r="J67"/>
      <c r="K67" s="402"/>
      <c r="L67"/>
      <c r="M67"/>
      <c r="N67"/>
      <c r="O67" s="26"/>
      <c r="P67" s="37" t="str">
        <f ca="1">IFERROR(+IF(P$29=ProposalToGnatt[[#This Row],[Start Date]],Milestone_Marker,IF(AND(P$29&gt;ProposalToGnatt[[#This Row],[Start Date]],P$29&lt;ProposalToGnatt[[#This Row],[Start Date]]+ProposalToGnatt[[#This Row],[Days]]),$G$5,"")),"")</f>
        <v/>
      </c>
      <c r="Q67" s="37" t="str">
        <f ca="1">IFERROR(+IF(Q$29=ProposalToGnatt[[#This Row],[Start Date]],Milestone_Marker,IF(AND(Q$29&gt;ProposalToGnatt[[#This Row],[Start Date]],Q$29&lt;ProposalToGnatt[[#This Row],[Start Date]]+ProposalToGnatt[[#This Row],[Days]]),$G$5,"")),"")</f>
        <v/>
      </c>
      <c r="R67" s="37" t="str">
        <f ca="1">IFERROR(+IF(R$29=ProposalToGnatt[[#This Row],[Start Date]],Milestone_Marker,IF(AND(R$29&gt;ProposalToGnatt[[#This Row],[Start Date]],R$29&lt;ProposalToGnatt[[#This Row],[Start Date]]+ProposalToGnatt[[#This Row],[Days]]),$G$5,"")),"")</f>
        <v/>
      </c>
      <c r="S67" s="37" t="str">
        <f ca="1">IFERROR(+IF(S$29=ProposalToGnatt[[#This Row],[Start Date]],Milestone_Marker,IF(AND(S$29&gt;ProposalToGnatt[[#This Row],[Start Date]],S$29&lt;ProposalToGnatt[[#This Row],[Start Date]]+ProposalToGnatt[[#This Row],[Days]]),$G$5,"")),"")</f>
        <v/>
      </c>
      <c r="T67" s="37" t="str">
        <f ca="1">IFERROR(+IF(T$29=ProposalToGnatt[[#This Row],[Start Date]],Milestone_Marker,IF(AND(T$29&gt;ProposalToGnatt[[#This Row],[Start Date]],T$29&lt;ProposalToGnatt[[#This Row],[Start Date]]+ProposalToGnatt[[#This Row],[Days]]),$G$5,"")),"")</f>
        <v/>
      </c>
      <c r="U67" s="37" t="str">
        <f ca="1">IFERROR(+IF(U$29=ProposalToGnatt[[#This Row],[Start Date]],Milestone_Marker,IF(AND(U$29&gt;ProposalToGnatt[[#This Row],[Start Date]],U$29&lt;ProposalToGnatt[[#This Row],[Start Date]]+ProposalToGnatt[[#This Row],[Days]]),$G$5,"")),"")</f>
        <v/>
      </c>
      <c r="V67" s="37" t="str">
        <f ca="1">IFERROR(+IF(V$29=ProposalToGnatt[[#This Row],[Start Date]],Milestone_Marker,IF(AND(V$29&gt;ProposalToGnatt[[#This Row],[Start Date]],V$29&lt;ProposalToGnatt[[#This Row],[Start Date]]+ProposalToGnatt[[#This Row],[Days]]),$G$5,"")),"")</f>
        <v/>
      </c>
      <c r="W67" s="37" t="str">
        <f ca="1">IFERROR(+IF(W$29=ProposalToGnatt[[#This Row],[Start Date]],Milestone_Marker,IF(AND(W$29&gt;ProposalToGnatt[[#This Row],[Start Date]],W$29&lt;ProposalToGnatt[[#This Row],[Start Date]]+ProposalToGnatt[[#This Row],[Days]]),$G$5,"")),"")</f>
        <v/>
      </c>
      <c r="X67" s="37" t="str">
        <f ca="1">IFERROR(+IF(X$29=ProposalToGnatt[[#This Row],[Start Date]],Milestone_Marker,IF(AND(X$29&gt;ProposalToGnatt[[#This Row],[Start Date]],X$29&lt;ProposalToGnatt[[#This Row],[Start Date]]+ProposalToGnatt[[#This Row],[Days]]),$G$5,"")),"")</f>
        <v/>
      </c>
      <c r="Y67" s="37" t="str">
        <f ca="1">IFERROR(+IF(Y$29=ProposalToGnatt[[#This Row],[Start Date]],Milestone_Marker,IF(AND(Y$29&gt;ProposalToGnatt[[#This Row],[Start Date]],Y$29&lt;ProposalToGnatt[[#This Row],[Start Date]]+ProposalToGnatt[[#This Row],[Days]]),$G$5,"")),"")</f>
        <v/>
      </c>
      <c r="Z67" s="37" t="str">
        <f ca="1">IFERROR(+IF(Z$29=ProposalToGnatt[[#This Row],[Start Date]],Milestone_Marker,IF(AND(Z$29&gt;ProposalToGnatt[[#This Row],[Start Date]],Z$29&lt;ProposalToGnatt[[#This Row],[Start Date]]+ProposalToGnatt[[#This Row],[Days]]),$G$5,"")),"")</f>
        <v/>
      </c>
      <c r="AA67" s="37" t="str">
        <f ca="1">IFERROR(+IF(AA$29=ProposalToGnatt[[#This Row],[Start Date]],Milestone_Marker,IF(AND(AA$29&gt;ProposalToGnatt[[#This Row],[Start Date]],AA$29&lt;ProposalToGnatt[[#This Row],[Start Date]]+ProposalToGnatt[[#This Row],[Days]]),$G$5,"")),"")</f>
        <v/>
      </c>
      <c r="AB67" s="37" t="str">
        <f ca="1">IFERROR(+IF(AB$29=ProposalToGnatt[[#This Row],[Start Date]],Milestone_Marker,IF(AND(AB$29&gt;ProposalToGnatt[[#This Row],[Start Date]],AB$29&lt;ProposalToGnatt[[#This Row],[Start Date]]+ProposalToGnatt[[#This Row],[Days]]),$G$5,"")),"")</f>
        <v/>
      </c>
      <c r="AC67" s="37" t="str">
        <f ca="1">IFERROR(+IF(AC$29=ProposalToGnatt[[#This Row],[Start Date]],Milestone_Marker,IF(AND(AC$29&gt;ProposalToGnatt[[#This Row],[Start Date]],AC$29&lt;ProposalToGnatt[[#This Row],[Start Date]]+ProposalToGnatt[[#This Row],[Days]]),$G$5,"")),"")</f>
        <v/>
      </c>
      <c r="AD67" s="37" t="str">
        <f ca="1">IFERROR(+IF(AD$29=ProposalToGnatt[[#This Row],[Start Date]],Milestone_Marker,IF(AND(AD$29&gt;ProposalToGnatt[[#This Row],[Start Date]],AD$29&lt;ProposalToGnatt[[#This Row],[Start Date]]+ProposalToGnatt[[#This Row],[Days]]),$G$5,"")),"")</f>
        <v/>
      </c>
      <c r="AE67" s="37" t="str">
        <f ca="1">IFERROR(+IF(AE$29=ProposalToGnatt[[#This Row],[Start Date]],Milestone_Marker,IF(AND(AE$29&gt;ProposalToGnatt[[#This Row],[Start Date]],AE$29&lt;ProposalToGnatt[[#This Row],[Start Date]]+ProposalToGnatt[[#This Row],[Days]]),$G$5,"")),"")</f>
        <v/>
      </c>
      <c r="AF67" s="37" t="str">
        <f ca="1">IFERROR(+IF(AF$29=ProposalToGnatt[[#This Row],[Start Date]],Milestone_Marker,IF(AND(AF$29&gt;ProposalToGnatt[[#This Row],[Start Date]],AF$29&lt;ProposalToGnatt[[#This Row],[Start Date]]+ProposalToGnatt[[#This Row],[Days]]),$G$5,"")),"")</f>
        <v/>
      </c>
      <c r="AG67" s="37" t="str">
        <f ca="1">IFERROR(+IF(AG$29=ProposalToGnatt[[#This Row],[Start Date]],Milestone_Marker,IF(AND(AG$29&gt;ProposalToGnatt[[#This Row],[Start Date]],AG$29&lt;ProposalToGnatt[[#This Row],[Start Date]]+ProposalToGnatt[[#This Row],[Days]]),$G$5,"")),"")</f>
        <v/>
      </c>
      <c r="AH67" s="37" t="str">
        <f ca="1">IFERROR(+IF(AH$29=ProposalToGnatt[[#This Row],[Start Date]],Milestone_Marker,IF(AND(AH$29&gt;ProposalToGnatt[[#This Row],[Start Date]],AH$29&lt;ProposalToGnatt[[#This Row],[Start Date]]+ProposalToGnatt[[#This Row],[Days]]),$G$5,"")),"")</f>
        <v/>
      </c>
      <c r="AI67" s="37" t="str">
        <f ca="1">IFERROR(+IF(AI$29=ProposalToGnatt[[#This Row],[Start Date]],Milestone_Marker,IF(AND(AI$29&gt;ProposalToGnatt[[#This Row],[Start Date]],AI$29&lt;ProposalToGnatt[[#This Row],[Start Date]]+ProposalToGnatt[[#This Row],[Days]]),$G$5,"")),"")</f>
        <v/>
      </c>
      <c r="AJ67" s="37" t="str">
        <f ca="1">IFERROR(+IF(AJ$29=ProposalToGnatt[[#This Row],[Start Date]],Milestone_Marker,IF(AND(AJ$29&gt;ProposalToGnatt[[#This Row],[Start Date]],AJ$29&lt;ProposalToGnatt[[#This Row],[Start Date]]+ProposalToGnatt[[#This Row],[Days]]),$G$5,"")),"")</f>
        <v/>
      </c>
      <c r="AK67" s="37" t="str">
        <f ca="1">IFERROR(+IF(AK$29=ProposalToGnatt[[#This Row],[Start Date]],Milestone_Marker,IF(AND(AK$29&gt;ProposalToGnatt[[#This Row],[Start Date]],AK$29&lt;ProposalToGnatt[[#This Row],[Start Date]]+ProposalToGnatt[[#This Row],[Days]]),$G$5,"")),"")</f>
        <v/>
      </c>
      <c r="AL67" s="37" t="str">
        <f ca="1">IFERROR(+IF(AL$29=ProposalToGnatt[[#This Row],[Start Date]],Milestone_Marker,IF(AND(AL$29&gt;ProposalToGnatt[[#This Row],[Start Date]],AL$29&lt;ProposalToGnatt[[#This Row],[Start Date]]+ProposalToGnatt[[#This Row],[Days]]),$G$5,"")),"")</f>
        <v/>
      </c>
      <c r="AM67" s="37" t="str">
        <f ca="1">IFERROR(+IF(AM$29=ProposalToGnatt[[#This Row],[Start Date]],Milestone_Marker,IF(AND(AM$29&gt;ProposalToGnatt[[#This Row],[Start Date]],AM$29&lt;ProposalToGnatt[[#This Row],[Start Date]]+ProposalToGnatt[[#This Row],[Days]]),$G$5,"")),"")</f>
        <v/>
      </c>
      <c r="AN67" s="37" t="str">
        <f ca="1">IFERROR(+IF(AN$29=ProposalToGnatt[[#This Row],[Start Date]],Milestone_Marker,IF(AND(AN$29&gt;ProposalToGnatt[[#This Row],[Start Date]],AN$29&lt;ProposalToGnatt[[#This Row],[Start Date]]+ProposalToGnatt[[#This Row],[Days]]),$G$5,"")),"")</f>
        <v/>
      </c>
      <c r="AO67" s="37" t="str">
        <f ca="1">IFERROR(+IF(AO$29=ProposalToGnatt[[#This Row],[Start Date]],Milestone_Marker,IF(AND(AO$29&gt;ProposalToGnatt[[#This Row],[Start Date]],AO$29&lt;ProposalToGnatt[[#This Row],[Start Date]]+ProposalToGnatt[[#This Row],[Days]]),$G$5,"")),"")</f>
        <v/>
      </c>
      <c r="AP67" s="37" t="str">
        <f ca="1">IFERROR(+IF(AP$29=ProposalToGnatt[[#This Row],[Start Date]],Milestone_Marker,IF(AND(AP$29&gt;ProposalToGnatt[[#This Row],[Start Date]],AP$29&lt;ProposalToGnatt[[#This Row],[Start Date]]+ProposalToGnatt[[#This Row],[Days]]),$G$5,"")),"")</f>
        <v/>
      </c>
      <c r="AQ67" s="37" t="str">
        <f ca="1">IFERROR(+IF(AQ$29=ProposalToGnatt[[#This Row],[Start Date]],Milestone_Marker,IF(AND(AQ$29&gt;ProposalToGnatt[[#This Row],[Start Date]],AQ$29&lt;ProposalToGnatt[[#This Row],[Start Date]]+ProposalToGnatt[[#This Row],[Days]]),$G$5,"")),"")</f>
        <v/>
      </c>
      <c r="AR67" s="37" t="str">
        <f ca="1">IFERROR(+IF(AR$29=ProposalToGnatt[[#This Row],[Start Date]],Milestone_Marker,IF(AND(AR$29&gt;ProposalToGnatt[[#This Row],[Start Date]],AR$29&lt;ProposalToGnatt[[#This Row],[Start Date]]+ProposalToGnatt[[#This Row],[Days]]),$G$5,"")),"")</f>
        <v/>
      </c>
      <c r="AS67" s="37" t="str">
        <f ca="1">IFERROR(+IF(AS$29=ProposalToGnatt[[#This Row],[Start Date]],Milestone_Marker,IF(AND(AS$29&gt;ProposalToGnatt[[#This Row],[Start Date]],AS$29&lt;ProposalToGnatt[[#This Row],[Start Date]]+ProposalToGnatt[[#This Row],[Days]]),$G$5,"")),"")</f>
        <v/>
      </c>
      <c r="AT67" s="37" t="str">
        <f ca="1">IFERROR(+IF(AT$29=ProposalToGnatt[[#This Row],[Start Date]],Milestone_Marker,IF(AND(AT$29&gt;ProposalToGnatt[[#This Row],[Start Date]],AT$29&lt;ProposalToGnatt[[#This Row],[Start Date]]+ProposalToGnatt[[#This Row],[Days]]),$G$5,"")),"")</f>
        <v/>
      </c>
      <c r="AU67" s="37" t="str">
        <f ca="1">IFERROR(+IF(AU$29=ProposalToGnatt[[#This Row],[Start Date]],Milestone_Marker,IF(AND(AU$29&gt;ProposalToGnatt[[#This Row],[Start Date]],AU$29&lt;ProposalToGnatt[[#This Row],[Start Date]]+ProposalToGnatt[[#This Row],[Days]]),$G$5,"")),"")</f>
        <v/>
      </c>
      <c r="AV67" s="37" t="str">
        <f ca="1">IFERROR(+IF(AV$29=ProposalToGnatt[[#This Row],[Start Date]],Milestone_Marker,IF(AND(AV$29&gt;ProposalToGnatt[[#This Row],[Start Date]],AV$29&lt;ProposalToGnatt[[#This Row],[Start Date]]+ProposalToGnatt[[#This Row],[Days]]),$G$5,"")),"")</f>
        <v/>
      </c>
      <c r="AW67" s="37" t="str">
        <f ca="1">IFERROR(+IF(AW$29=ProposalToGnatt[[#This Row],[Start Date]],Milestone_Marker,IF(AND(AW$29&gt;ProposalToGnatt[[#This Row],[Start Date]],AW$29&lt;ProposalToGnatt[[#This Row],[Start Date]]+ProposalToGnatt[[#This Row],[Days]]),$G$5,"")),"")</f>
        <v/>
      </c>
      <c r="AX67" s="37" t="str">
        <f ca="1">IFERROR(+IF(AX$29=ProposalToGnatt[[#This Row],[Start Date]],Milestone_Marker,IF(AND(AX$29&gt;ProposalToGnatt[[#This Row],[Start Date]],AX$29&lt;ProposalToGnatt[[#This Row],[Start Date]]+ProposalToGnatt[[#This Row],[Days]]),$G$5,"")),"")</f>
        <v/>
      </c>
      <c r="AY67" s="37" t="str">
        <f ca="1">IFERROR(+IF(AY$29=ProposalToGnatt[[#This Row],[Start Date]],Milestone_Marker,IF(AND(AY$29&gt;ProposalToGnatt[[#This Row],[Start Date]],AY$29&lt;ProposalToGnatt[[#This Row],[Start Date]]+ProposalToGnatt[[#This Row],[Days]]),$G$5,"")),"")</f>
        <v/>
      </c>
      <c r="AZ67" s="37" t="str">
        <f ca="1">IFERROR(+IF(AZ$29=ProposalToGnatt[[#This Row],[Start Date]],Milestone_Marker,IF(AND(AZ$29&gt;ProposalToGnatt[[#This Row],[Start Date]],AZ$29&lt;ProposalToGnatt[[#This Row],[Start Date]]+ProposalToGnatt[[#This Row],[Days]]),$G$5,"")),"")</f>
        <v/>
      </c>
      <c r="BA67" s="37" t="str">
        <f ca="1">IFERROR(+IF(BA$29=ProposalToGnatt[[#This Row],[Start Date]],Milestone_Marker,IF(AND(BA$29&gt;ProposalToGnatt[[#This Row],[Start Date]],BA$29&lt;ProposalToGnatt[[#This Row],[Start Date]]+ProposalToGnatt[[#This Row],[Days]]),$G$5,"")),"")</f>
        <v/>
      </c>
      <c r="BB67" s="37" t="str">
        <f ca="1">IFERROR(+IF(BB$29=ProposalToGnatt[[#This Row],[Start Date]],Milestone_Marker,IF(AND(BB$29&gt;ProposalToGnatt[[#This Row],[Start Date]],BB$29&lt;ProposalToGnatt[[#This Row],[Start Date]]+ProposalToGnatt[[#This Row],[Days]]),$G$5,"")),"")</f>
        <v/>
      </c>
      <c r="BC67" s="37" t="str">
        <f ca="1">IFERROR(+IF(BC$29=ProposalToGnatt[[#This Row],[Start Date]],Milestone_Marker,IF(AND(BC$29&gt;ProposalToGnatt[[#This Row],[Start Date]],BC$29&lt;ProposalToGnatt[[#This Row],[Start Date]]+ProposalToGnatt[[#This Row],[Days]]),$G$5,"")),"")</f>
        <v/>
      </c>
      <c r="BD67" s="37" t="str">
        <f ca="1">IFERROR(+IF(BD$29=ProposalToGnatt[[#This Row],[Start Date]],Milestone_Marker,IF(AND(BD$29&gt;ProposalToGnatt[[#This Row],[Start Date]],BD$29&lt;ProposalToGnatt[[#This Row],[Start Date]]+ProposalToGnatt[[#This Row],[Days]]),$G$5,"")),"")</f>
        <v/>
      </c>
      <c r="BE67" s="37" t="str">
        <f ca="1">IFERROR(+IF(BE$29=ProposalToGnatt[[#This Row],[Start Date]],Milestone_Marker,IF(AND(BE$29&gt;ProposalToGnatt[[#This Row],[Start Date]],BE$29&lt;ProposalToGnatt[[#This Row],[Start Date]]+ProposalToGnatt[[#This Row],[Days]]),$G$5,"")),"")</f>
        <v/>
      </c>
      <c r="BF67" s="37" t="str">
        <f ca="1">IFERROR(+IF(BF$29=ProposalToGnatt[[#This Row],[Start Date]],Milestone_Marker,IF(AND(BF$29&gt;ProposalToGnatt[[#This Row],[Start Date]],BF$29&lt;ProposalToGnatt[[#This Row],[Start Date]]+ProposalToGnatt[[#This Row],[Days]]),$G$5,"")),"")</f>
        <v/>
      </c>
      <c r="BG67" s="37" t="str">
        <f ca="1">IFERROR(+IF(BG$29=ProposalToGnatt[[#This Row],[Start Date]],Milestone_Marker,IF(AND(BG$29&gt;ProposalToGnatt[[#This Row],[Start Date]],BG$29&lt;ProposalToGnatt[[#This Row],[Start Date]]+ProposalToGnatt[[#This Row],[Days]]),$G$5,"")),"")</f>
        <v/>
      </c>
      <c r="BH67" s="37" t="str">
        <f ca="1">IFERROR(+IF(BH$29=ProposalToGnatt[[#This Row],[Start Date]],Milestone_Marker,IF(AND(BH$29&gt;ProposalToGnatt[[#This Row],[Start Date]],BH$29&lt;ProposalToGnatt[[#This Row],[Start Date]]+ProposalToGnatt[[#This Row],[Days]]),$G$5,"")),"")</f>
        <v/>
      </c>
      <c r="BI67" s="37" t="str">
        <f ca="1">IFERROR(+IF(BI$29=ProposalToGnatt[[#This Row],[Start Date]],Milestone_Marker,IF(AND(BI$29&gt;ProposalToGnatt[[#This Row],[Start Date]],BI$29&lt;ProposalToGnatt[[#This Row],[Start Date]]+ProposalToGnatt[[#This Row],[Days]]),$G$5,"")),"")</f>
        <v/>
      </c>
      <c r="BJ67" s="37" t="str">
        <f ca="1">IFERROR(+IF(BJ$29=ProposalToGnatt[[#This Row],[Start Date]],Milestone_Marker,IF(AND(BJ$29&gt;ProposalToGnatt[[#This Row],[Start Date]],BJ$29&lt;ProposalToGnatt[[#This Row],[Start Date]]+ProposalToGnatt[[#This Row],[Days]]),$G$5,"")),"")</f>
        <v/>
      </c>
      <c r="BK67" s="37" t="str">
        <f ca="1">IFERROR(+IF(BK$29=ProposalToGnatt[[#This Row],[Start Date]],Milestone_Marker,IF(AND(BK$29&gt;ProposalToGnatt[[#This Row],[Start Date]],BK$29&lt;ProposalToGnatt[[#This Row],[Start Date]]+ProposalToGnatt[[#This Row],[Days]]),$G$5,"")),"")</f>
        <v/>
      </c>
      <c r="BL67" s="37" t="str">
        <f ca="1">IFERROR(+IF(BL$29=ProposalToGnatt[[#This Row],[Start Date]],Milestone_Marker,IF(AND(BL$29&gt;ProposalToGnatt[[#This Row],[Start Date]],BL$29&lt;ProposalToGnatt[[#This Row],[Start Date]]+ProposalToGnatt[[#This Row],[Days]]),$G$5,"")),"")</f>
        <v/>
      </c>
      <c r="BM67" s="37" t="str">
        <f ca="1">IFERROR(+IF(BM$29=ProposalToGnatt[[#This Row],[Start Date]],Milestone_Marker,IF(AND(BM$29&gt;ProposalToGnatt[[#This Row],[Start Date]],BM$29&lt;ProposalToGnatt[[#This Row],[Start Date]]+ProposalToGnatt[[#This Row],[Days]]),$G$5,"")),"")</f>
        <v/>
      </c>
      <c r="BN67" s="37" t="str">
        <f ca="1">IFERROR(+IF(BN$29=ProposalToGnatt[[#This Row],[Start Date]],Milestone_Marker,IF(AND(BN$29&gt;ProposalToGnatt[[#This Row],[Start Date]],BN$29&lt;ProposalToGnatt[[#This Row],[Start Date]]+ProposalToGnatt[[#This Row],[Days]]),$G$5,"")),"")</f>
        <v/>
      </c>
      <c r="BO67" s="37" t="str">
        <f ca="1">IFERROR(+IF(BO$29=ProposalToGnatt[[#This Row],[Start Date]],Milestone_Marker,IF(AND(BO$29&gt;ProposalToGnatt[[#This Row],[Start Date]],BO$29&lt;ProposalToGnatt[[#This Row],[Start Date]]+ProposalToGnatt[[#This Row],[Days]]),$G$5,"")),"")</f>
        <v/>
      </c>
      <c r="BP67" s="37" t="str">
        <f ca="1">IFERROR(+IF(BP$29=ProposalToGnatt[[#This Row],[Start Date]],Milestone_Marker,IF(AND(BP$29&gt;ProposalToGnatt[[#This Row],[Start Date]],BP$29&lt;ProposalToGnatt[[#This Row],[Start Date]]+ProposalToGnatt[[#This Row],[Days]]),$G$5,"")),"")</f>
        <v/>
      </c>
      <c r="BQ67" s="37" t="str">
        <f ca="1">IFERROR(+IF(BQ$29=ProposalToGnatt[[#This Row],[Start Date]],Milestone_Marker,IF(AND(BQ$29&gt;ProposalToGnatt[[#This Row],[Start Date]],BQ$29&lt;ProposalToGnatt[[#This Row],[Start Date]]+ProposalToGnatt[[#This Row],[Days]]),$G$5,"")),"")</f>
        <v/>
      </c>
      <c r="BR67" s="37" t="str">
        <f ca="1">IFERROR(+IF(BR$29=ProposalToGnatt[[#This Row],[Start Date]],Milestone_Marker,IF(AND(BR$29&gt;ProposalToGnatt[[#This Row],[Start Date]],BR$29&lt;ProposalToGnatt[[#This Row],[Start Date]]+ProposalToGnatt[[#This Row],[Days]]),$G$5,"")),"")</f>
        <v/>
      </c>
      <c r="BS67" s="37" t="str">
        <f ca="1">IFERROR(+IF(BS$29=ProposalToGnatt[[#This Row],[Start Date]],Milestone_Marker,IF(AND(BS$29&gt;ProposalToGnatt[[#This Row],[Start Date]],BS$29&lt;ProposalToGnatt[[#This Row],[Start Date]]+ProposalToGnatt[[#This Row],[Days]]),$G$5,"")),"")</f>
        <v/>
      </c>
      <c r="BT67" s="37" t="str">
        <f ca="1">IFERROR(+IF(BT$29=ProposalToGnatt[[#This Row],[Start Date]],Milestone_Marker,IF(AND(BT$29&gt;ProposalToGnatt[[#This Row],[Start Date]],BT$29&lt;ProposalToGnatt[[#This Row],[Start Date]]+ProposalToGnatt[[#This Row],[Days]]),$G$5,"")),"")</f>
        <v/>
      </c>
      <c r="BU67" s="37" t="str">
        <f ca="1">IFERROR(+IF(BU$29=ProposalToGnatt[[#This Row],[Start Date]],Milestone_Marker,IF(AND(BU$29&gt;ProposalToGnatt[[#This Row],[Start Date]],BU$29&lt;ProposalToGnatt[[#This Row],[Start Date]]+ProposalToGnatt[[#This Row],[Days]]),$G$5,"")),"")</f>
        <v/>
      </c>
      <c r="BV67" s="37" t="str">
        <f ca="1">IFERROR(+IF(BV$29=ProposalToGnatt[[#This Row],[Start Date]],Milestone_Marker,IF(AND(BV$29&gt;ProposalToGnatt[[#This Row],[Start Date]],BV$29&lt;ProposalToGnatt[[#This Row],[Start Date]]+ProposalToGnatt[[#This Row],[Days]]),$G$5,"")),"")</f>
        <v/>
      </c>
      <c r="BW67" s="37" t="str">
        <f ca="1">IFERROR(+IF(BW$29=ProposalToGnatt[[#This Row],[Start Date]],Milestone_Marker,IF(AND(BW$29&gt;ProposalToGnatt[[#This Row],[Start Date]],BW$29&lt;ProposalToGnatt[[#This Row],[Start Date]]+ProposalToGnatt[[#This Row],[Days]]),$G$5,"")),"")</f>
        <v/>
      </c>
      <c r="BX67" s="37" t="str">
        <f ca="1">IFERROR(+IF(BX$29=ProposalToGnatt[[#This Row],[Start Date]],Milestone_Marker,IF(AND(BX$29&gt;ProposalToGnatt[[#This Row],[Start Date]],BX$29&lt;ProposalToGnatt[[#This Row],[Start Date]]+ProposalToGnatt[[#This Row],[Days]]),$G$5,"")),"")</f>
        <v/>
      </c>
      <c r="BY67" s="37" t="str">
        <f ca="1">IFERROR(+IF(BY$29=ProposalToGnatt[[#This Row],[Start Date]],Milestone_Marker,IF(AND(BY$29&gt;ProposalToGnatt[[#This Row],[Start Date]],BY$29&lt;ProposalToGnatt[[#This Row],[Start Date]]+ProposalToGnatt[[#This Row],[Days]]),$G$5,"")),"")</f>
        <v/>
      </c>
      <c r="BZ67" s="37" t="str">
        <f ca="1">IFERROR(+IF(BZ$29=ProposalToGnatt[[#This Row],[Start Date]],Milestone_Marker,IF(AND(BZ$29&gt;ProposalToGnatt[[#This Row],[Start Date]],BZ$29&lt;ProposalToGnatt[[#This Row],[Start Date]]+ProposalToGnatt[[#This Row],[Days]]),$G$5,"")),"")</f>
        <v/>
      </c>
      <c r="CA67" s="37" t="str">
        <f ca="1">IFERROR(+IF(CA$29=ProposalToGnatt[[#This Row],[Start Date]],Milestone_Marker,IF(AND(CA$29&gt;ProposalToGnatt[[#This Row],[Start Date]],CA$29&lt;ProposalToGnatt[[#This Row],[Start Date]]+ProposalToGnatt[[#This Row],[Days]]),$G$5,"")),"")</f>
        <v/>
      </c>
      <c r="CB67" s="37" t="str">
        <f ca="1">IFERROR(+IF(CB$29=ProposalToGnatt[[#This Row],[Start Date]],Milestone_Marker,IF(AND(CB$29&gt;ProposalToGnatt[[#This Row],[Start Date]],CB$29&lt;ProposalToGnatt[[#This Row],[Start Date]]+ProposalToGnatt[[#This Row],[Days]]),$G$5,"")),"")</f>
        <v/>
      </c>
      <c r="CC67" s="37" t="str">
        <f ca="1">IFERROR(+IF(CC$29=ProposalToGnatt[[#This Row],[Start Date]],Milestone_Marker,IF(AND(CC$29&gt;ProposalToGnatt[[#This Row],[Start Date]],CC$29&lt;ProposalToGnatt[[#This Row],[Start Date]]+ProposalToGnatt[[#This Row],[Days]]),$G$5,"")),"")</f>
        <v/>
      </c>
      <c r="CD67" s="37" t="str">
        <f ca="1">IFERROR(+IF(CD$29=ProposalToGnatt[[#This Row],[Start Date]],Milestone_Marker,IF(AND(CD$29&gt;ProposalToGnatt[[#This Row],[Start Date]],CD$29&lt;ProposalToGnatt[[#This Row],[Start Date]]+ProposalToGnatt[[#This Row],[Days]]),$G$5,"")),"")</f>
        <v/>
      </c>
      <c r="CE67" s="37" t="str">
        <f ca="1">IFERROR(+IF(CE$29=ProposalToGnatt[[#This Row],[Start Date]],Milestone_Marker,IF(AND(CE$29&gt;ProposalToGnatt[[#This Row],[Start Date]],CE$29&lt;ProposalToGnatt[[#This Row],[Start Date]]+ProposalToGnatt[[#This Row],[Days]]),$G$5,"")),"")</f>
        <v/>
      </c>
      <c r="CF67" s="37" t="str">
        <f ca="1">IFERROR(+IF(CF$29=ProposalToGnatt[[#This Row],[Start Date]],Milestone_Marker,IF(AND(CF$29&gt;ProposalToGnatt[[#This Row],[Start Date]],CF$29&lt;ProposalToGnatt[[#This Row],[Start Date]]+ProposalToGnatt[[#This Row],[Days]]),$G$5,"")),"")</f>
        <v/>
      </c>
      <c r="CG67" s="37" t="str">
        <f ca="1">IFERROR(+IF(CG$29=ProposalToGnatt[[#This Row],[Start Date]],Milestone_Marker,IF(AND(CG$29&gt;ProposalToGnatt[[#This Row],[Start Date]],CG$29&lt;ProposalToGnatt[[#This Row],[Start Date]]+ProposalToGnatt[[#This Row],[Days]]),$G$5,"")),"")</f>
        <v/>
      </c>
      <c r="CH67" s="37" t="str">
        <f ca="1">IFERROR(+IF(CH$29=ProposalToGnatt[[#This Row],[Start Date]],Milestone_Marker,IF(AND(CH$29&gt;ProposalToGnatt[[#This Row],[Start Date]],CH$29&lt;ProposalToGnatt[[#This Row],[Start Date]]+ProposalToGnatt[[#This Row],[Days]]),$G$5,"")),"")</f>
        <v/>
      </c>
      <c r="CI67" s="37" t="str">
        <f ca="1">IFERROR(+IF(CI$29=ProposalToGnatt[[#This Row],[Start Date]],Milestone_Marker,IF(AND(CI$29&gt;ProposalToGnatt[[#This Row],[Start Date]],CI$29&lt;ProposalToGnatt[[#This Row],[Start Date]]+ProposalToGnatt[[#This Row],[Days]]),$G$5,"")),"")</f>
        <v/>
      </c>
      <c r="CJ67" s="37" t="str">
        <f ca="1">IFERROR(+IF(CJ$29=ProposalToGnatt[[#This Row],[Start Date]],Milestone_Marker,IF(AND(CJ$29&gt;ProposalToGnatt[[#This Row],[Start Date]],CJ$29&lt;ProposalToGnatt[[#This Row],[Start Date]]+ProposalToGnatt[[#This Row],[Days]]),$G$5,"")),"")</f>
        <v/>
      </c>
      <c r="CK67" s="37" t="str">
        <f ca="1">IFERROR(+IF(CK$29=ProposalToGnatt[[#This Row],[Start Date]],Milestone_Marker,IF(AND(CK$29&gt;ProposalToGnatt[[#This Row],[Start Date]],CK$29&lt;ProposalToGnatt[[#This Row],[Start Date]]+ProposalToGnatt[[#This Row],[Days]]),$G$5,"")),"")</f>
        <v/>
      </c>
      <c r="CL67" s="37" t="str">
        <f ca="1">IFERROR(+IF(CL$29=ProposalToGnatt[[#This Row],[Start Date]],Milestone_Marker,IF(AND(CL$29&gt;ProposalToGnatt[[#This Row],[Start Date]],CL$29&lt;ProposalToGnatt[[#This Row],[Start Date]]+ProposalToGnatt[[#This Row],[Days]]),$G$5,"")),"")</f>
        <v/>
      </c>
      <c r="CM67" s="37" t="str">
        <f ca="1">IFERROR(+IF(CM$29=ProposalToGnatt[[#This Row],[Start Date]],Milestone_Marker,IF(AND(CM$29&gt;ProposalToGnatt[[#This Row],[Start Date]],CM$29&lt;ProposalToGnatt[[#This Row],[Start Date]]+ProposalToGnatt[[#This Row],[Days]]),$G$5,"")),"")</f>
        <v/>
      </c>
      <c r="CN67" s="37" t="str">
        <f ca="1">IFERROR(+IF(CN$29=ProposalToGnatt[[#This Row],[Start Date]],Milestone_Marker,IF(AND(CN$29&gt;ProposalToGnatt[[#This Row],[Start Date]],CN$29&lt;ProposalToGnatt[[#This Row],[Start Date]]+ProposalToGnatt[[#This Row],[Days]]),$G$5,"")),"")</f>
        <v/>
      </c>
      <c r="CO67" s="37" t="str">
        <f ca="1">IFERROR(+IF(CO$29=ProposalToGnatt[[#This Row],[Start Date]],Milestone_Marker,IF(AND(CO$29&gt;ProposalToGnatt[[#This Row],[Start Date]],CO$29&lt;ProposalToGnatt[[#This Row],[Start Date]]+ProposalToGnatt[[#This Row],[Days]]),$G$5,"")),"")</f>
        <v/>
      </c>
      <c r="CP67" s="37" t="str">
        <f ca="1">IFERROR(+IF(CP$29=ProposalToGnatt[[#This Row],[Start Date]],Milestone_Marker,IF(AND(CP$29&gt;ProposalToGnatt[[#This Row],[Start Date]],CP$29&lt;ProposalToGnatt[[#This Row],[Start Date]]+ProposalToGnatt[[#This Row],[Days]]),$G$5,"")),"")</f>
        <v/>
      </c>
      <c r="CQ67" s="37" t="str">
        <f ca="1">IFERROR(+IF(CQ$29=ProposalToGnatt[[#This Row],[Start Date]],Milestone_Marker,IF(AND(CQ$29&gt;ProposalToGnatt[[#This Row],[Start Date]],CQ$29&lt;ProposalToGnatt[[#This Row],[Start Date]]+ProposalToGnatt[[#This Row],[Days]]),$G$5,"")),"")</f>
        <v/>
      </c>
      <c r="CR67" s="37" t="str">
        <f ca="1">IFERROR(+IF(CR$29=ProposalToGnatt[[#This Row],[Start Date]],Milestone_Marker,IF(AND(CR$29&gt;ProposalToGnatt[[#This Row],[Start Date]],CR$29&lt;ProposalToGnatt[[#This Row],[Start Date]]+ProposalToGnatt[[#This Row],[Days]]),$G$5,"")),"")</f>
        <v/>
      </c>
      <c r="CS67" s="37" t="str">
        <f ca="1">IFERROR(+IF(CS$29=ProposalToGnatt[[#This Row],[Start Date]],Milestone_Marker,IF(AND(CS$29&gt;ProposalToGnatt[[#This Row],[Start Date]],CS$29&lt;ProposalToGnatt[[#This Row],[Start Date]]+ProposalToGnatt[[#This Row],[Days]]),$G$5,"")),"")</f>
        <v/>
      </c>
      <c r="CT67" s="37" t="str">
        <f ca="1">IFERROR(+IF(CT$29=ProposalToGnatt[[#This Row],[Start Date]],Milestone_Marker,IF(AND(CT$29&gt;ProposalToGnatt[[#This Row],[Start Date]],CT$29&lt;ProposalToGnatt[[#This Row],[Start Date]]+ProposalToGnatt[[#This Row],[Days]]),$G$5,"")),"")</f>
        <v/>
      </c>
      <c r="CU67" s="37" t="str">
        <f ca="1">IFERROR(+IF(CU$29=ProposalToGnatt[[#This Row],[Start Date]],Milestone_Marker,IF(AND(CU$29&gt;ProposalToGnatt[[#This Row],[Start Date]],CU$29&lt;ProposalToGnatt[[#This Row],[Start Date]]+ProposalToGnatt[[#This Row],[Days]]),$G$5,"")),"")</f>
        <v/>
      </c>
      <c r="CV67" s="37"/>
      <c r="CW67" s="37"/>
      <c r="CX67" s="37"/>
      <c r="CY67" s="37"/>
      <c r="CZ67" s="37"/>
      <c r="DA67" s="37"/>
      <c r="DB67" s="37"/>
      <c r="DC67" s="37"/>
      <c r="DD67" s="37"/>
      <c r="DE67" s="37"/>
      <c r="DF67" s="37"/>
      <c r="DG67" s="37"/>
      <c r="DH67" s="37"/>
      <c r="DI67" s="37"/>
      <c r="DJ67" s="37"/>
      <c r="DK67" s="37"/>
      <c r="DL67" s="37"/>
      <c r="DM67" s="37"/>
      <c r="DN67" s="37"/>
      <c r="DO67" s="37"/>
      <c r="DP67" s="37"/>
      <c r="DQ67" s="37"/>
      <c r="DR67" s="37"/>
      <c r="DS67" s="37"/>
      <c r="DT67" s="37"/>
      <c r="DU67" s="37"/>
    </row>
    <row r="68" spans="1:125" s="42" customFormat="1" ht="15">
      <c r="A68"/>
      <c r="B68"/>
      <c r="C68"/>
      <c r="D68"/>
      <c r="E68"/>
      <c r="F68"/>
      <c r="G68" s="11"/>
      <c r="H68" s="26"/>
      <c r="I68"/>
      <c r="J68"/>
      <c r="K68" s="402"/>
      <c r="L68"/>
      <c r="M68"/>
      <c r="N68"/>
      <c r="O68" s="26"/>
      <c r="P68" s="37" t="str">
        <f ca="1">IFERROR(+IF(P$29=ProposalToGnatt[[#This Row],[Start Date]],Milestone_Marker,IF(AND(P$29&gt;ProposalToGnatt[[#This Row],[Start Date]],P$29&lt;ProposalToGnatt[[#This Row],[Start Date]]+ProposalToGnatt[[#This Row],[Days]]),$G$5,"")),"")</f>
        <v/>
      </c>
      <c r="Q68" s="37" t="str">
        <f ca="1">IFERROR(+IF(Q$29=ProposalToGnatt[[#This Row],[Start Date]],Milestone_Marker,IF(AND(Q$29&gt;ProposalToGnatt[[#This Row],[Start Date]],Q$29&lt;ProposalToGnatt[[#This Row],[Start Date]]+ProposalToGnatt[[#This Row],[Days]]),$G$5,"")),"")</f>
        <v/>
      </c>
      <c r="R68" s="37" t="str">
        <f ca="1">IFERROR(+IF(R$29=ProposalToGnatt[[#This Row],[Start Date]],Milestone_Marker,IF(AND(R$29&gt;ProposalToGnatt[[#This Row],[Start Date]],R$29&lt;ProposalToGnatt[[#This Row],[Start Date]]+ProposalToGnatt[[#This Row],[Days]]),$G$5,"")),"")</f>
        <v/>
      </c>
      <c r="S68" s="37" t="str">
        <f ca="1">IFERROR(+IF(S$29=ProposalToGnatt[[#This Row],[Start Date]],Milestone_Marker,IF(AND(S$29&gt;ProposalToGnatt[[#This Row],[Start Date]],S$29&lt;ProposalToGnatt[[#This Row],[Start Date]]+ProposalToGnatt[[#This Row],[Days]]),$G$5,"")),"")</f>
        <v/>
      </c>
      <c r="T68" s="37" t="str">
        <f ca="1">IFERROR(+IF(T$29=ProposalToGnatt[[#This Row],[Start Date]],Milestone_Marker,IF(AND(T$29&gt;ProposalToGnatt[[#This Row],[Start Date]],T$29&lt;ProposalToGnatt[[#This Row],[Start Date]]+ProposalToGnatt[[#This Row],[Days]]),$G$5,"")),"")</f>
        <v/>
      </c>
      <c r="U68" s="37" t="str">
        <f ca="1">IFERROR(+IF(U$29=ProposalToGnatt[[#This Row],[Start Date]],Milestone_Marker,IF(AND(U$29&gt;ProposalToGnatt[[#This Row],[Start Date]],U$29&lt;ProposalToGnatt[[#This Row],[Start Date]]+ProposalToGnatt[[#This Row],[Days]]),$G$5,"")),"")</f>
        <v/>
      </c>
      <c r="V68" s="37" t="str">
        <f ca="1">IFERROR(+IF(V$29=ProposalToGnatt[[#This Row],[Start Date]],Milestone_Marker,IF(AND(V$29&gt;ProposalToGnatt[[#This Row],[Start Date]],V$29&lt;ProposalToGnatt[[#This Row],[Start Date]]+ProposalToGnatt[[#This Row],[Days]]),$G$5,"")),"")</f>
        <v/>
      </c>
      <c r="W68" s="37" t="str">
        <f ca="1">IFERROR(+IF(W$29=ProposalToGnatt[[#This Row],[Start Date]],Milestone_Marker,IF(AND(W$29&gt;ProposalToGnatt[[#This Row],[Start Date]],W$29&lt;ProposalToGnatt[[#This Row],[Start Date]]+ProposalToGnatt[[#This Row],[Days]]),$G$5,"")),"")</f>
        <v/>
      </c>
      <c r="X68" s="37" t="str">
        <f ca="1">IFERROR(+IF(X$29=ProposalToGnatt[[#This Row],[Start Date]],Milestone_Marker,IF(AND(X$29&gt;ProposalToGnatt[[#This Row],[Start Date]],X$29&lt;ProposalToGnatt[[#This Row],[Start Date]]+ProposalToGnatt[[#This Row],[Days]]),$G$5,"")),"")</f>
        <v/>
      </c>
      <c r="Y68" s="37" t="str">
        <f ca="1">IFERROR(+IF(Y$29=ProposalToGnatt[[#This Row],[Start Date]],Milestone_Marker,IF(AND(Y$29&gt;ProposalToGnatt[[#This Row],[Start Date]],Y$29&lt;ProposalToGnatt[[#This Row],[Start Date]]+ProposalToGnatt[[#This Row],[Days]]),$G$5,"")),"")</f>
        <v/>
      </c>
      <c r="Z68" s="37" t="str">
        <f ca="1">IFERROR(+IF(Z$29=ProposalToGnatt[[#This Row],[Start Date]],Milestone_Marker,IF(AND(Z$29&gt;ProposalToGnatt[[#This Row],[Start Date]],Z$29&lt;ProposalToGnatt[[#This Row],[Start Date]]+ProposalToGnatt[[#This Row],[Days]]),$G$5,"")),"")</f>
        <v/>
      </c>
      <c r="AA68" s="37" t="str">
        <f ca="1">IFERROR(+IF(AA$29=ProposalToGnatt[[#This Row],[Start Date]],Milestone_Marker,IF(AND(AA$29&gt;ProposalToGnatt[[#This Row],[Start Date]],AA$29&lt;ProposalToGnatt[[#This Row],[Start Date]]+ProposalToGnatt[[#This Row],[Days]]),$G$5,"")),"")</f>
        <v/>
      </c>
      <c r="AB68" s="37" t="str">
        <f ca="1">IFERROR(+IF(AB$29=ProposalToGnatt[[#This Row],[Start Date]],Milestone_Marker,IF(AND(AB$29&gt;ProposalToGnatt[[#This Row],[Start Date]],AB$29&lt;ProposalToGnatt[[#This Row],[Start Date]]+ProposalToGnatt[[#This Row],[Days]]),$G$5,"")),"")</f>
        <v/>
      </c>
      <c r="AC68" s="37" t="str">
        <f ca="1">IFERROR(+IF(AC$29=ProposalToGnatt[[#This Row],[Start Date]],Milestone_Marker,IF(AND(AC$29&gt;ProposalToGnatt[[#This Row],[Start Date]],AC$29&lt;ProposalToGnatt[[#This Row],[Start Date]]+ProposalToGnatt[[#This Row],[Days]]),$G$5,"")),"")</f>
        <v/>
      </c>
      <c r="AD68" s="37" t="str">
        <f ca="1">IFERROR(+IF(AD$29=ProposalToGnatt[[#This Row],[Start Date]],Milestone_Marker,IF(AND(AD$29&gt;ProposalToGnatt[[#This Row],[Start Date]],AD$29&lt;ProposalToGnatt[[#This Row],[Start Date]]+ProposalToGnatt[[#This Row],[Days]]),$G$5,"")),"")</f>
        <v/>
      </c>
      <c r="AE68" s="37" t="str">
        <f ca="1">IFERROR(+IF(AE$29=ProposalToGnatt[[#This Row],[Start Date]],Milestone_Marker,IF(AND(AE$29&gt;ProposalToGnatt[[#This Row],[Start Date]],AE$29&lt;ProposalToGnatt[[#This Row],[Start Date]]+ProposalToGnatt[[#This Row],[Days]]),$G$5,"")),"")</f>
        <v/>
      </c>
      <c r="AF68" s="37" t="str">
        <f ca="1">IFERROR(+IF(AF$29=ProposalToGnatt[[#This Row],[Start Date]],Milestone_Marker,IF(AND(AF$29&gt;ProposalToGnatt[[#This Row],[Start Date]],AF$29&lt;ProposalToGnatt[[#This Row],[Start Date]]+ProposalToGnatt[[#This Row],[Days]]),$G$5,"")),"")</f>
        <v/>
      </c>
      <c r="AG68" s="37" t="str">
        <f ca="1">IFERROR(+IF(AG$29=ProposalToGnatt[[#This Row],[Start Date]],Milestone_Marker,IF(AND(AG$29&gt;ProposalToGnatt[[#This Row],[Start Date]],AG$29&lt;ProposalToGnatt[[#This Row],[Start Date]]+ProposalToGnatt[[#This Row],[Days]]),$G$5,"")),"")</f>
        <v/>
      </c>
      <c r="AH68" s="37" t="str">
        <f ca="1">IFERROR(+IF(AH$29=ProposalToGnatt[[#This Row],[Start Date]],Milestone_Marker,IF(AND(AH$29&gt;ProposalToGnatt[[#This Row],[Start Date]],AH$29&lt;ProposalToGnatt[[#This Row],[Start Date]]+ProposalToGnatt[[#This Row],[Days]]),$G$5,"")),"")</f>
        <v/>
      </c>
      <c r="AI68" s="37" t="str">
        <f ca="1">IFERROR(+IF(AI$29=ProposalToGnatt[[#This Row],[Start Date]],Milestone_Marker,IF(AND(AI$29&gt;ProposalToGnatt[[#This Row],[Start Date]],AI$29&lt;ProposalToGnatt[[#This Row],[Start Date]]+ProposalToGnatt[[#This Row],[Days]]),$G$5,"")),"")</f>
        <v/>
      </c>
      <c r="AJ68" s="37" t="str">
        <f ca="1">IFERROR(+IF(AJ$29=ProposalToGnatt[[#This Row],[Start Date]],Milestone_Marker,IF(AND(AJ$29&gt;ProposalToGnatt[[#This Row],[Start Date]],AJ$29&lt;ProposalToGnatt[[#This Row],[Start Date]]+ProposalToGnatt[[#This Row],[Days]]),$G$5,"")),"")</f>
        <v/>
      </c>
      <c r="AK68" s="37" t="str">
        <f ca="1">IFERROR(+IF(AK$29=ProposalToGnatt[[#This Row],[Start Date]],Milestone_Marker,IF(AND(AK$29&gt;ProposalToGnatt[[#This Row],[Start Date]],AK$29&lt;ProposalToGnatt[[#This Row],[Start Date]]+ProposalToGnatt[[#This Row],[Days]]),$G$5,"")),"")</f>
        <v/>
      </c>
      <c r="AL68" s="37" t="str">
        <f ca="1">IFERROR(+IF(AL$29=ProposalToGnatt[[#This Row],[Start Date]],Milestone_Marker,IF(AND(AL$29&gt;ProposalToGnatt[[#This Row],[Start Date]],AL$29&lt;ProposalToGnatt[[#This Row],[Start Date]]+ProposalToGnatt[[#This Row],[Days]]),$G$5,"")),"")</f>
        <v/>
      </c>
      <c r="AM68" s="37" t="str">
        <f ca="1">IFERROR(+IF(AM$29=ProposalToGnatt[[#This Row],[Start Date]],Milestone_Marker,IF(AND(AM$29&gt;ProposalToGnatt[[#This Row],[Start Date]],AM$29&lt;ProposalToGnatt[[#This Row],[Start Date]]+ProposalToGnatt[[#This Row],[Days]]),$G$5,"")),"")</f>
        <v/>
      </c>
      <c r="AN68" s="37" t="str">
        <f ca="1">IFERROR(+IF(AN$29=ProposalToGnatt[[#This Row],[Start Date]],Milestone_Marker,IF(AND(AN$29&gt;ProposalToGnatt[[#This Row],[Start Date]],AN$29&lt;ProposalToGnatt[[#This Row],[Start Date]]+ProposalToGnatt[[#This Row],[Days]]),$G$5,"")),"")</f>
        <v/>
      </c>
      <c r="AO68" s="37" t="str">
        <f ca="1">IFERROR(+IF(AO$29=ProposalToGnatt[[#This Row],[Start Date]],Milestone_Marker,IF(AND(AO$29&gt;ProposalToGnatt[[#This Row],[Start Date]],AO$29&lt;ProposalToGnatt[[#This Row],[Start Date]]+ProposalToGnatt[[#This Row],[Days]]),$G$5,"")),"")</f>
        <v/>
      </c>
      <c r="AP68" s="37" t="str">
        <f ca="1">IFERROR(+IF(AP$29=ProposalToGnatt[[#This Row],[Start Date]],Milestone_Marker,IF(AND(AP$29&gt;ProposalToGnatt[[#This Row],[Start Date]],AP$29&lt;ProposalToGnatt[[#This Row],[Start Date]]+ProposalToGnatt[[#This Row],[Days]]),$G$5,"")),"")</f>
        <v/>
      </c>
      <c r="AQ68" s="37" t="str">
        <f ca="1">IFERROR(+IF(AQ$29=ProposalToGnatt[[#This Row],[Start Date]],Milestone_Marker,IF(AND(AQ$29&gt;ProposalToGnatt[[#This Row],[Start Date]],AQ$29&lt;ProposalToGnatt[[#This Row],[Start Date]]+ProposalToGnatt[[#This Row],[Days]]),$G$5,"")),"")</f>
        <v/>
      </c>
      <c r="AR68" s="37" t="str">
        <f ca="1">IFERROR(+IF(AR$29=ProposalToGnatt[[#This Row],[Start Date]],Milestone_Marker,IF(AND(AR$29&gt;ProposalToGnatt[[#This Row],[Start Date]],AR$29&lt;ProposalToGnatt[[#This Row],[Start Date]]+ProposalToGnatt[[#This Row],[Days]]),$G$5,"")),"")</f>
        <v/>
      </c>
      <c r="AS68" s="37" t="str">
        <f ca="1">IFERROR(+IF(AS$29=ProposalToGnatt[[#This Row],[Start Date]],Milestone_Marker,IF(AND(AS$29&gt;ProposalToGnatt[[#This Row],[Start Date]],AS$29&lt;ProposalToGnatt[[#This Row],[Start Date]]+ProposalToGnatt[[#This Row],[Days]]),$G$5,"")),"")</f>
        <v/>
      </c>
      <c r="AT68" s="37" t="str">
        <f ca="1">IFERROR(+IF(AT$29=ProposalToGnatt[[#This Row],[Start Date]],Milestone_Marker,IF(AND(AT$29&gt;ProposalToGnatt[[#This Row],[Start Date]],AT$29&lt;ProposalToGnatt[[#This Row],[Start Date]]+ProposalToGnatt[[#This Row],[Days]]),$G$5,"")),"")</f>
        <v/>
      </c>
      <c r="AU68" s="37" t="str">
        <f ca="1">IFERROR(+IF(AU$29=ProposalToGnatt[[#This Row],[Start Date]],Milestone_Marker,IF(AND(AU$29&gt;ProposalToGnatt[[#This Row],[Start Date]],AU$29&lt;ProposalToGnatt[[#This Row],[Start Date]]+ProposalToGnatt[[#This Row],[Days]]),$G$5,"")),"")</f>
        <v/>
      </c>
      <c r="AV68" s="37" t="str">
        <f ca="1">IFERROR(+IF(AV$29=ProposalToGnatt[[#This Row],[Start Date]],Milestone_Marker,IF(AND(AV$29&gt;ProposalToGnatt[[#This Row],[Start Date]],AV$29&lt;ProposalToGnatt[[#This Row],[Start Date]]+ProposalToGnatt[[#This Row],[Days]]),$G$5,"")),"")</f>
        <v/>
      </c>
      <c r="AW68" s="37" t="str">
        <f ca="1">IFERROR(+IF(AW$29=ProposalToGnatt[[#This Row],[Start Date]],Milestone_Marker,IF(AND(AW$29&gt;ProposalToGnatt[[#This Row],[Start Date]],AW$29&lt;ProposalToGnatt[[#This Row],[Start Date]]+ProposalToGnatt[[#This Row],[Days]]),$G$5,"")),"")</f>
        <v/>
      </c>
      <c r="AX68" s="37" t="str">
        <f ca="1">IFERROR(+IF(AX$29=ProposalToGnatt[[#This Row],[Start Date]],Milestone_Marker,IF(AND(AX$29&gt;ProposalToGnatt[[#This Row],[Start Date]],AX$29&lt;ProposalToGnatt[[#This Row],[Start Date]]+ProposalToGnatt[[#This Row],[Days]]),$G$5,"")),"")</f>
        <v/>
      </c>
      <c r="AY68" s="37" t="str">
        <f ca="1">IFERROR(+IF(AY$29=ProposalToGnatt[[#This Row],[Start Date]],Milestone_Marker,IF(AND(AY$29&gt;ProposalToGnatt[[#This Row],[Start Date]],AY$29&lt;ProposalToGnatt[[#This Row],[Start Date]]+ProposalToGnatt[[#This Row],[Days]]),$G$5,"")),"")</f>
        <v/>
      </c>
      <c r="AZ68" s="37" t="str">
        <f ca="1">IFERROR(+IF(AZ$29=ProposalToGnatt[[#This Row],[Start Date]],Milestone_Marker,IF(AND(AZ$29&gt;ProposalToGnatt[[#This Row],[Start Date]],AZ$29&lt;ProposalToGnatt[[#This Row],[Start Date]]+ProposalToGnatt[[#This Row],[Days]]),$G$5,"")),"")</f>
        <v/>
      </c>
      <c r="BA68" s="37" t="str">
        <f ca="1">IFERROR(+IF(BA$29=ProposalToGnatt[[#This Row],[Start Date]],Milestone_Marker,IF(AND(BA$29&gt;ProposalToGnatt[[#This Row],[Start Date]],BA$29&lt;ProposalToGnatt[[#This Row],[Start Date]]+ProposalToGnatt[[#This Row],[Days]]),$G$5,"")),"")</f>
        <v/>
      </c>
      <c r="BB68" s="37" t="str">
        <f ca="1">IFERROR(+IF(BB$29=ProposalToGnatt[[#This Row],[Start Date]],Milestone_Marker,IF(AND(BB$29&gt;ProposalToGnatt[[#This Row],[Start Date]],BB$29&lt;ProposalToGnatt[[#This Row],[Start Date]]+ProposalToGnatt[[#This Row],[Days]]),$G$5,"")),"")</f>
        <v/>
      </c>
      <c r="BC68" s="37" t="str">
        <f ca="1">IFERROR(+IF(BC$29=ProposalToGnatt[[#This Row],[Start Date]],Milestone_Marker,IF(AND(BC$29&gt;ProposalToGnatt[[#This Row],[Start Date]],BC$29&lt;ProposalToGnatt[[#This Row],[Start Date]]+ProposalToGnatt[[#This Row],[Days]]),$G$5,"")),"")</f>
        <v/>
      </c>
      <c r="BD68" s="37" t="str">
        <f ca="1">IFERROR(+IF(BD$29=ProposalToGnatt[[#This Row],[Start Date]],Milestone_Marker,IF(AND(BD$29&gt;ProposalToGnatt[[#This Row],[Start Date]],BD$29&lt;ProposalToGnatt[[#This Row],[Start Date]]+ProposalToGnatt[[#This Row],[Days]]),$G$5,"")),"")</f>
        <v/>
      </c>
      <c r="BE68" s="37" t="str">
        <f ca="1">IFERROR(+IF(BE$29=ProposalToGnatt[[#This Row],[Start Date]],Milestone_Marker,IF(AND(BE$29&gt;ProposalToGnatt[[#This Row],[Start Date]],BE$29&lt;ProposalToGnatt[[#This Row],[Start Date]]+ProposalToGnatt[[#This Row],[Days]]),$G$5,"")),"")</f>
        <v/>
      </c>
      <c r="BF68" s="37" t="str">
        <f ca="1">IFERROR(+IF(BF$29=ProposalToGnatt[[#This Row],[Start Date]],Milestone_Marker,IF(AND(BF$29&gt;ProposalToGnatt[[#This Row],[Start Date]],BF$29&lt;ProposalToGnatt[[#This Row],[Start Date]]+ProposalToGnatt[[#This Row],[Days]]),$G$5,"")),"")</f>
        <v/>
      </c>
      <c r="BG68" s="37" t="str">
        <f ca="1">IFERROR(+IF(BG$29=ProposalToGnatt[[#This Row],[Start Date]],Milestone_Marker,IF(AND(BG$29&gt;ProposalToGnatt[[#This Row],[Start Date]],BG$29&lt;ProposalToGnatt[[#This Row],[Start Date]]+ProposalToGnatt[[#This Row],[Days]]),$G$5,"")),"")</f>
        <v/>
      </c>
      <c r="BH68" s="37" t="str">
        <f ca="1">IFERROR(+IF(BH$29=ProposalToGnatt[[#This Row],[Start Date]],Milestone_Marker,IF(AND(BH$29&gt;ProposalToGnatt[[#This Row],[Start Date]],BH$29&lt;ProposalToGnatt[[#This Row],[Start Date]]+ProposalToGnatt[[#This Row],[Days]]),$G$5,"")),"")</f>
        <v/>
      </c>
      <c r="BI68" s="37" t="str">
        <f ca="1">IFERROR(+IF(BI$29=ProposalToGnatt[[#This Row],[Start Date]],Milestone_Marker,IF(AND(BI$29&gt;ProposalToGnatt[[#This Row],[Start Date]],BI$29&lt;ProposalToGnatt[[#This Row],[Start Date]]+ProposalToGnatt[[#This Row],[Days]]),$G$5,"")),"")</f>
        <v/>
      </c>
      <c r="BJ68" s="37" t="str">
        <f ca="1">IFERROR(+IF(BJ$29=ProposalToGnatt[[#This Row],[Start Date]],Milestone_Marker,IF(AND(BJ$29&gt;ProposalToGnatt[[#This Row],[Start Date]],BJ$29&lt;ProposalToGnatt[[#This Row],[Start Date]]+ProposalToGnatt[[#This Row],[Days]]),$G$5,"")),"")</f>
        <v/>
      </c>
      <c r="BK68" s="37" t="str">
        <f ca="1">IFERROR(+IF(BK$29=ProposalToGnatt[[#This Row],[Start Date]],Milestone_Marker,IF(AND(BK$29&gt;ProposalToGnatt[[#This Row],[Start Date]],BK$29&lt;ProposalToGnatt[[#This Row],[Start Date]]+ProposalToGnatt[[#This Row],[Days]]),$G$5,"")),"")</f>
        <v/>
      </c>
      <c r="BL68" s="37" t="str">
        <f ca="1">IFERROR(+IF(BL$29=ProposalToGnatt[[#This Row],[Start Date]],Milestone_Marker,IF(AND(BL$29&gt;ProposalToGnatt[[#This Row],[Start Date]],BL$29&lt;ProposalToGnatt[[#This Row],[Start Date]]+ProposalToGnatt[[#This Row],[Days]]),$G$5,"")),"")</f>
        <v/>
      </c>
      <c r="BM68" s="37" t="str">
        <f ca="1">IFERROR(+IF(BM$29=ProposalToGnatt[[#This Row],[Start Date]],Milestone_Marker,IF(AND(BM$29&gt;ProposalToGnatt[[#This Row],[Start Date]],BM$29&lt;ProposalToGnatt[[#This Row],[Start Date]]+ProposalToGnatt[[#This Row],[Days]]),$G$5,"")),"")</f>
        <v/>
      </c>
      <c r="BN68" s="37" t="str">
        <f ca="1">IFERROR(+IF(BN$29=ProposalToGnatt[[#This Row],[Start Date]],Milestone_Marker,IF(AND(BN$29&gt;ProposalToGnatt[[#This Row],[Start Date]],BN$29&lt;ProposalToGnatt[[#This Row],[Start Date]]+ProposalToGnatt[[#This Row],[Days]]),$G$5,"")),"")</f>
        <v/>
      </c>
      <c r="BO68" s="37" t="str">
        <f ca="1">IFERROR(+IF(BO$29=ProposalToGnatt[[#This Row],[Start Date]],Milestone_Marker,IF(AND(BO$29&gt;ProposalToGnatt[[#This Row],[Start Date]],BO$29&lt;ProposalToGnatt[[#This Row],[Start Date]]+ProposalToGnatt[[#This Row],[Days]]),$G$5,"")),"")</f>
        <v/>
      </c>
      <c r="BP68" s="37" t="str">
        <f ca="1">IFERROR(+IF(BP$29=ProposalToGnatt[[#This Row],[Start Date]],Milestone_Marker,IF(AND(BP$29&gt;ProposalToGnatt[[#This Row],[Start Date]],BP$29&lt;ProposalToGnatt[[#This Row],[Start Date]]+ProposalToGnatt[[#This Row],[Days]]),$G$5,"")),"")</f>
        <v/>
      </c>
      <c r="BQ68" s="37" t="str">
        <f ca="1">IFERROR(+IF(BQ$29=ProposalToGnatt[[#This Row],[Start Date]],Milestone_Marker,IF(AND(BQ$29&gt;ProposalToGnatt[[#This Row],[Start Date]],BQ$29&lt;ProposalToGnatt[[#This Row],[Start Date]]+ProposalToGnatt[[#This Row],[Days]]),$G$5,"")),"")</f>
        <v/>
      </c>
      <c r="BR68" s="37" t="str">
        <f ca="1">IFERROR(+IF(BR$29=ProposalToGnatt[[#This Row],[Start Date]],Milestone_Marker,IF(AND(BR$29&gt;ProposalToGnatt[[#This Row],[Start Date]],BR$29&lt;ProposalToGnatt[[#This Row],[Start Date]]+ProposalToGnatt[[#This Row],[Days]]),$G$5,"")),"")</f>
        <v/>
      </c>
      <c r="BS68" s="37" t="str">
        <f ca="1">IFERROR(+IF(BS$29=ProposalToGnatt[[#This Row],[Start Date]],Milestone_Marker,IF(AND(BS$29&gt;ProposalToGnatt[[#This Row],[Start Date]],BS$29&lt;ProposalToGnatt[[#This Row],[Start Date]]+ProposalToGnatt[[#This Row],[Days]]),$G$5,"")),"")</f>
        <v/>
      </c>
      <c r="BT68" s="37" t="str">
        <f ca="1">IFERROR(+IF(BT$29=ProposalToGnatt[[#This Row],[Start Date]],Milestone_Marker,IF(AND(BT$29&gt;ProposalToGnatt[[#This Row],[Start Date]],BT$29&lt;ProposalToGnatt[[#This Row],[Start Date]]+ProposalToGnatt[[#This Row],[Days]]),$G$5,"")),"")</f>
        <v/>
      </c>
      <c r="BU68" s="37" t="str">
        <f ca="1">IFERROR(+IF(BU$29=ProposalToGnatt[[#This Row],[Start Date]],Milestone_Marker,IF(AND(BU$29&gt;ProposalToGnatt[[#This Row],[Start Date]],BU$29&lt;ProposalToGnatt[[#This Row],[Start Date]]+ProposalToGnatt[[#This Row],[Days]]),$G$5,"")),"")</f>
        <v/>
      </c>
      <c r="BV68" s="37" t="str">
        <f ca="1">IFERROR(+IF(BV$29=ProposalToGnatt[[#This Row],[Start Date]],Milestone_Marker,IF(AND(BV$29&gt;ProposalToGnatt[[#This Row],[Start Date]],BV$29&lt;ProposalToGnatt[[#This Row],[Start Date]]+ProposalToGnatt[[#This Row],[Days]]),$G$5,"")),"")</f>
        <v/>
      </c>
      <c r="BW68" s="37" t="str">
        <f ca="1">IFERROR(+IF(BW$29=ProposalToGnatt[[#This Row],[Start Date]],Milestone_Marker,IF(AND(BW$29&gt;ProposalToGnatt[[#This Row],[Start Date]],BW$29&lt;ProposalToGnatt[[#This Row],[Start Date]]+ProposalToGnatt[[#This Row],[Days]]),$G$5,"")),"")</f>
        <v/>
      </c>
      <c r="BX68" s="37" t="str">
        <f ca="1">IFERROR(+IF(BX$29=ProposalToGnatt[[#This Row],[Start Date]],Milestone_Marker,IF(AND(BX$29&gt;ProposalToGnatt[[#This Row],[Start Date]],BX$29&lt;ProposalToGnatt[[#This Row],[Start Date]]+ProposalToGnatt[[#This Row],[Days]]),$G$5,"")),"")</f>
        <v/>
      </c>
      <c r="BY68" s="37" t="str">
        <f ca="1">IFERROR(+IF(BY$29=ProposalToGnatt[[#This Row],[Start Date]],Milestone_Marker,IF(AND(BY$29&gt;ProposalToGnatt[[#This Row],[Start Date]],BY$29&lt;ProposalToGnatt[[#This Row],[Start Date]]+ProposalToGnatt[[#This Row],[Days]]),$G$5,"")),"")</f>
        <v/>
      </c>
      <c r="BZ68" s="37" t="str">
        <f ca="1">IFERROR(+IF(BZ$29=ProposalToGnatt[[#This Row],[Start Date]],Milestone_Marker,IF(AND(BZ$29&gt;ProposalToGnatt[[#This Row],[Start Date]],BZ$29&lt;ProposalToGnatt[[#This Row],[Start Date]]+ProposalToGnatt[[#This Row],[Days]]),$G$5,"")),"")</f>
        <v/>
      </c>
      <c r="CA68" s="37" t="str">
        <f ca="1">IFERROR(+IF(CA$29=ProposalToGnatt[[#This Row],[Start Date]],Milestone_Marker,IF(AND(CA$29&gt;ProposalToGnatt[[#This Row],[Start Date]],CA$29&lt;ProposalToGnatt[[#This Row],[Start Date]]+ProposalToGnatt[[#This Row],[Days]]),$G$5,"")),"")</f>
        <v/>
      </c>
      <c r="CB68" s="37" t="str">
        <f ca="1">IFERROR(+IF(CB$29=ProposalToGnatt[[#This Row],[Start Date]],Milestone_Marker,IF(AND(CB$29&gt;ProposalToGnatt[[#This Row],[Start Date]],CB$29&lt;ProposalToGnatt[[#This Row],[Start Date]]+ProposalToGnatt[[#This Row],[Days]]),$G$5,"")),"")</f>
        <v/>
      </c>
      <c r="CC68" s="37" t="str">
        <f ca="1">IFERROR(+IF(CC$29=ProposalToGnatt[[#This Row],[Start Date]],Milestone_Marker,IF(AND(CC$29&gt;ProposalToGnatt[[#This Row],[Start Date]],CC$29&lt;ProposalToGnatt[[#This Row],[Start Date]]+ProposalToGnatt[[#This Row],[Days]]),$G$5,"")),"")</f>
        <v/>
      </c>
      <c r="CD68" s="37" t="str">
        <f ca="1">IFERROR(+IF(CD$29=ProposalToGnatt[[#This Row],[Start Date]],Milestone_Marker,IF(AND(CD$29&gt;ProposalToGnatt[[#This Row],[Start Date]],CD$29&lt;ProposalToGnatt[[#This Row],[Start Date]]+ProposalToGnatt[[#This Row],[Days]]),$G$5,"")),"")</f>
        <v/>
      </c>
      <c r="CE68" s="37" t="str">
        <f ca="1">IFERROR(+IF(CE$29=ProposalToGnatt[[#This Row],[Start Date]],Milestone_Marker,IF(AND(CE$29&gt;ProposalToGnatt[[#This Row],[Start Date]],CE$29&lt;ProposalToGnatt[[#This Row],[Start Date]]+ProposalToGnatt[[#This Row],[Days]]),$G$5,"")),"")</f>
        <v/>
      </c>
      <c r="CF68" s="37" t="str">
        <f ca="1">IFERROR(+IF(CF$29=ProposalToGnatt[[#This Row],[Start Date]],Milestone_Marker,IF(AND(CF$29&gt;ProposalToGnatt[[#This Row],[Start Date]],CF$29&lt;ProposalToGnatt[[#This Row],[Start Date]]+ProposalToGnatt[[#This Row],[Days]]),$G$5,"")),"")</f>
        <v/>
      </c>
      <c r="CG68" s="37" t="str">
        <f ca="1">IFERROR(+IF(CG$29=ProposalToGnatt[[#This Row],[Start Date]],Milestone_Marker,IF(AND(CG$29&gt;ProposalToGnatt[[#This Row],[Start Date]],CG$29&lt;ProposalToGnatt[[#This Row],[Start Date]]+ProposalToGnatt[[#This Row],[Days]]),$G$5,"")),"")</f>
        <v/>
      </c>
      <c r="CH68" s="37" t="str">
        <f ca="1">IFERROR(+IF(CH$29=ProposalToGnatt[[#This Row],[Start Date]],Milestone_Marker,IF(AND(CH$29&gt;ProposalToGnatt[[#This Row],[Start Date]],CH$29&lt;ProposalToGnatt[[#This Row],[Start Date]]+ProposalToGnatt[[#This Row],[Days]]),$G$5,"")),"")</f>
        <v/>
      </c>
      <c r="CI68" s="37" t="str">
        <f ca="1">IFERROR(+IF(CI$29=ProposalToGnatt[[#This Row],[Start Date]],Milestone_Marker,IF(AND(CI$29&gt;ProposalToGnatt[[#This Row],[Start Date]],CI$29&lt;ProposalToGnatt[[#This Row],[Start Date]]+ProposalToGnatt[[#This Row],[Days]]),$G$5,"")),"")</f>
        <v/>
      </c>
      <c r="CJ68" s="37" t="str">
        <f ca="1">IFERROR(+IF(CJ$29=ProposalToGnatt[[#This Row],[Start Date]],Milestone_Marker,IF(AND(CJ$29&gt;ProposalToGnatt[[#This Row],[Start Date]],CJ$29&lt;ProposalToGnatt[[#This Row],[Start Date]]+ProposalToGnatt[[#This Row],[Days]]),$G$5,"")),"")</f>
        <v/>
      </c>
      <c r="CK68" s="37" t="str">
        <f ca="1">IFERROR(+IF(CK$29=ProposalToGnatt[[#This Row],[Start Date]],Milestone_Marker,IF(AND(CK$29&gt;ProposalToGnatt[[#This Row],[Start Date]],CK$29&lt;ProposalToGnatt[[#This Row],[Start Date]]+ProposalToGnatt[[#This Row],[Days]]),$G$5,"")),"")</f>
        <v/>
      </c>
      <c r="CL68" s="37" t="str">
        <f ca="1">IFERROR(+IF(CL$29=ProposalToGnatt[[#This Row],[Start Date]],Milestone_Marker,IF(AND(CL$29&gt;ProposalToGnatt[[#This Row],[Start Date]],CL$29&lt;ProposalToGnatt[[#This Row],[Start Date]]+ProposalToGnatt[[#This Row],[Days]]),$G$5,"")),"")</f>
        <v/>
      </c>
      <c r="CM68" s="37" t="str">
        <f ca="1">IFERROR(+IF(CM$29=ProposalToGnatt[[#This Row],[Start Date]],Milestone_Marker,IF(AND(CM$29&gt;ProposalToGnatt[[#This Row],[Start Date]],CM$29&lt;ProposalToGnatt[[#This Row],[Start Date]]+ProposalToGnatt[[#This Row],[Days]]),$G$5,"")),"")</f>
        <v/>
      </c>
      <c r="CN68" s="37" t="str">
        <f ca="1">IFERROR(+IF(CN$29=ProposalToGnatt[[#This Row],[Start Date]],Milestone_Marker,IF(AND(CN$29&gt;ProposalToGnatt[[#This Row],[Start Date]],CN$29&lt;ProposalToGnatt[[#This Row],[Start Date]]+ProposalToGnatt[[#This Row],[Days]]),$G$5,"")),"")</f>
        <v/>
      </c>
      <c r="CO68" s="37" t="str">
        <f ca="1">IFERROR(+IF(CO$29=ProposalToGnatt[[#This Row],[Start Date]],Milestone_Marker,IF(AND(CO$29&gt;ProposalToGnatt[[#This Row],[Start Date]],CO$29&lt;ProposalToGnatt[[#This Row],[Start Date]]+ProposalToGnatt[[#This Row],[Days]]),$G$5,"")),"")</f>
        <v/>
      </c>
      <c r="CP68" s="37" t="str">
        <f ca="1">IFERROR(+IF(CP$29=ProposalToGnatt[[#This Row],[Start Date]],Milestone_Marker,IF(AND(CP$29&gt;ProposalToGnatt[[#This Row],[Start Date]],CP$29&lt;ProposalToGnatt[[#This Row],[Start Date]]+ProposalToGnatt[[#This Row],[Days]]),$G$5,"")),"")</f>
        <v/>
      </c>
      <c r="CQ68" s="37" t="str">
        <f ca="1">IFERROR(+IF(CQ$29=ProposalToGnatt[[#This Row],[Start Date]],Milestone_Marker,IF(AND(CQ$29&gt;ProposalToGnatt[[#This Row],[Start Date]],CQ$29&lt;ProposalToGnatt[[#This Row],[Start Date]]+ProposalToGnatt[[#This Row],[Days]]),$G$5,"")),"")</f>
        <v/>
      </c>
      <c r="CR68" s="37" t="str">
        <f ca="1">IFERROR(+IF(CR$29=ProposalToGnatt[[#This Row],[Start Date]],Milestone_Marker,IF(AND(CR$29&gt;ProposalToGnatt[[#This Row],[Start Date]],CR$29&lt;ProposalToGnatt[[#This Row],[Start Date]]+ProposalToGnatt[[#This Row],[Days]]),$G$5,"")),"")</f>
        <v/>
      </c>
      <c r="CS68" s="37" t="str">
        <f ca="1">IFERROR(+IF(CS$29=ProposalToGnatt[[#This Row],[Start Date]],Milestone_Marker,IF(AND(CS$29&gt;ProposalToGnatt[[#This Row],[Start Date]],CS$29&lt;ProposalToGnatt[[#This Row],[Start Date]]+ProposalToGnatt[[#This Row],[Days]]),$G$5,"")),"")</f>
        <v/>
      </c>
      <c r="CT68" s="37" t="str">
        <f ca="1">IFERROR(+IF(CT$29=ProposalToGnatt[[#This Row],[Start Date]],Milestone_Marker,IF(AND(CT$29&gt;ProposalToGnatt[[#This Row],[Start Date]],CT$29&lt;ProposalToGnatt[[#This Row],[Start Date]]+ProposalToGnatt[[#This Row],[Days]]),$G$5,"")),"")</f>
        <v/>
      </c>
      <c r="CU68" s="37" t="str">
        <f ca="1">IFERROR(+IF(CU$29=ProposalToGnatt[[#This Row],[Start Date]],Milestone_Marker,IF(AND(CU$29&gt;ProposalToGnatt[[#This Row],[Start Date]],CU$29&lt;ProposalToGnatt[[#This Row],[Start Date]]+ProposalToGnatt[[#This Row],[Days]]),$G$5,"")),"")</f>
        <v/>
      </c>
      <c r="CV68" s="37"/>
      <c r="CW68" s="37"/>
      <c r="CX68" s="37"/>
      <c r="CY68" s="37"/>
      <c r="CZ68" s="37"/>
      <c r="DA68" s="37"/>
      <c r="DB68" s="37"/>
      <c r="DC68" s="37"/>
      <c r="DD68" s="37"/>
      <c r="DE68" s="37"/>
      <c r="DF68" s="37"/>
      <c r="DG68" s="37"/>
      <c r="DH68" s="37"/>
      <c r="DI68" s="37"/>
      <c r="DJ68" s="37"/>
      <c r="DK68" s="37"/>
      <c r="DL68" s="37"/>
      <c r="DM68" s="37"/>
      <c r="DN68" s="37"/>
      <c r="DO68" s="37"/>
      <c r="DP68" s="37"/>
      <c r="DQ68" s="37"/>
      <c r="DR68" s="37"/>
      <c r="DS68" s="37"/>
      <c r="DT68" s="37"/>
      <c r="DU68" s="37"/>
    </row>
    <row r="69" spans="1:125" s="42" customFormat="1" ht="15">
      <c r="A69"/>
      <c r="B69"/>
      <c r="C69"/>
      <c r="D69"/>
      <c r="E69"/>
      <c r="F69"/>
      <c r="G69" s="11"/>
      <c r="H69" s="26"/>
      <c r="I69"/>
      <c r="J69"/>
      <c r="K69" s="402"/>
      <c r="L69"/>
      <c r="M69"/>
      <c r="N69"/>
      <c r="O69" s="26"/>
      <c r="P69" s="37" t="str">
        <f ca="1">IFERROR(+IF(P$29=ProposalToGnatt[[#This Row],[Start Date]],Milestone_Marker,IF(AND(P$29&gt;ProposalToGnatt[[#This Row],[Start Date]],P$29&lt;ProposalToGnatt[[#This Row],[Start Date]]+ProposalToGnatt[[#This Row],[Days]]),$G$5,"")),"")</f>
        <v/>
      </c>
      <c r="Q69" s="37" t="str">
        <f ca="1">IFERROR(+IF(Q$29=ProposalToGnatt[[#This Row],[Start Date]],Milestone_Marker,IF(AND(Q$29&gt;ProposalToGnatt[[#This Row],[Start Date]],Q$29&lt;ProposalToGnatt[[#This Row],[Start Date]]+ProposalToGnatt[[#This Row],[Days]]),$G$5,"")),"")</f>
        <v/>
      </c>
      <c r="R69" s="37" t="str">
        <f ca="1">IFERROR(+IF(R$29=ProposalToGnatt[[#This Row],[Start Date]],Milestone_Marker,IF(AND(R$29&gt;ProposalToGnatt[[#This Row],[Start Date]],R$29&lt;ProposalToGnatt[[#This Row],[Start Date]]+ProposalToGnatt[[#This Row],[Days]]),$G$5,"")),"")</f>
        <v/>
      </c>
      <c r="S69" s="37" t="str">
        <f ca="1">IFERROR(+IF(S$29=ProposalToGnatt[[#This Row],[Start Date]],Milestone_Marker,IF(AND(S$29&gt;ProposalToGnatt[[#This Row],[Start Date]],S$29&lt;ProposalToGnatt[[#This Row],[Start Date]]+ProposalToGnatt[[#This Row],[Days]]),$G$5,"")),"")</f>
        <v/>
      </c>
      <c r="T69" s="37" t="str">
        <f ca="1">IFERROR(+IF(T$29=ProposalToGnatt[[#This Row],[Start Date]],Milestone_Marker,IF(AND(T$29&gt;ProposalToGnatt[[#This Row],[Start Date]],T$29&lt;ProposalToGnatt[[#This Row],[Start Date]]+ProposalToGnatt[[#This Row],[Days]]),$G$5,"")),"")</f>
        <v/>
      </c>
      <c r="U69" s="37" t="str">
        <f ca="1">IFERROR(+IF(U$29=ProposalToGnatt[[#This Row],[Start Date]],Milestone_Marker,IF(AND(U$29&gt;ProposalToGnatt[[#This Row],[Start Date]],U$29&lt;ProposalToGnatt[[#This Row],[Start Date]]+ProposalToGnatt[[#This Row],[Days]]),$G$5,"")),"")</f>
        <v/>
      </c>
      <c r="V69" s="37" t="str">
        <f ca="1">IFERROR(+IF(V$29=ProposalToGnatt[[#This Row],[Start Date]],Milestone_Marker,IF(AND(V$29&gt;ProposalToGnatt[[#This Row],[Start Date]],V$29&lt;ProposalToGnatt[[#This Row],[Start Date]]+ProposalToGnatt[[#This Row],[Days]]),$G$5,"")),"")</f>
        <v/>
      </c>
      <c r="W69" s="37" t="str">
        <f ca="1">IFERROR(+IF(W$29=ProposalToGnatt[[#This Row],[Start Date]],Milestone_Marker,IF(AND(W$29&gt;ProposalToGnatt[[#This Row],[Start Date]],W$29&lt;ProposalToGnatt[[#This Row],[Start Date]]+ProposalToGnatt[[#This Row],[Days]]),$G$5,"")),"")</f>
        <v/>
      </c>
      <c r="X69" s="37" t="str">
        <f ca="1">IFERROR(+IF(X$29=ProposalToGnatt[[#This Row],[Start Date]],Milestone_Marker,IF(AND(X$29&gt;ProposalToGnatt[[#This Row],[Start Date]],X$29&lt;ProposalToGnatt[[#This Row],[Start Date]]+ProposalToGnatt[[#This Row],[Days]]),$G$5,"")),"")</f>
        <v/>
      </c>
      <c r="Y69" s="37" t="str">
        <f ca="1">IFERROR(+IF(Y$29=ProposalToGnatt[[#This Row],[Start Date]],Milestone_Marker,IF(AND(Y$29&gt;ProposalToGnatt[[#This Row],[Start Date]],Y$29&lt;ProposalToGnatt[[#This Row],[Start Date]]+ProposalToGnatt[[#This Row],[Days]]),$G$5,"")),"")</f>
        <v/>
      </c>
      <c r="Z69" s="37" t="str">
        <f ca="1">IFERROR(+IF(Z$29=ProposalToGnatt[[#This Row],[Start Date]],Milestone_Marker,IF(AND(Z$29&gt;ProposalToGnatt[[#This Row],[Start Date]],Z$29&lt;ProposalToGnatt[[#This Row],[Start Date]]+ProposalToGnatt[[#This Row],[Days]]),$G$5,"")),"")</f>
        <v/>
      </c>
      <c r="AA69" s="37" t="str">
        <f ca="1">IFERROR(+IF(AA$29=ProposalToGnatt[[#This Row],[Start Date]],Milestone_Marker,IF(AND(AA$29&gt;ProposalToGnatt[[#This Row],[Start Date]],AA$29&lt;ProposalToGnatt[[#This Row],[Start Date]]+ProposalToGnatt[[#This Row],[Days]]),$G$5,"")),"")</f>
        <v/>
      </c>
      <c r="AB69" s="37" t="str">
        <f ca="1">IFERROR(+IF(AB$29=ProposalToGnatt[[#This Row],[Start Date]],Milestone_Marker,IF(AND(AB$29&gt;ProposalToGnatt[[#This Row],[Start Date]],AB$29&lt;ProposalToGnatt[[#This Row],[Start Date]]+ProposalToGnatt[[#This Row],[Days]]),$G$5,"")),"")</f>
        <v/>
      </c>
      <c r="AC69" s="37" t="str">
        <f ca="1">IFERROR(+IF(AC$29=ProposalToGnatt[[#This Row],[Start Date]],Milestone_Marker,IF(AND(AC$29&gt;ProposalToGnatt[[#This Row],[Start Date]],AC$29&lt;ProposalToGnatt[[#This Row],[Start Date]]+ProposalToGnatt[[#This Row],[Days]]),$G$5,"")),"")</f>
        <v/>
      </c>
      <c r="AD69" s="37" t="str">
        <f ca="1">IFERROR(+IF(AD$29=ProposalToGnatt[[#This Row],[Start Date]],Milestone_Marker,IF(AND(AD$29&gt;ProposalToGnatt[[#This Row],[Start Date]],AD$29&lt;ProposalToGnatt[[#This Row],[Start Date]]+ProposalToGnatt[[#This Row],[Days]]),$G$5,"")),"")</f>
        <v/>
      </c>
      <c r="AE69" s="37" t="str">
        <f ca="1">IFERROR(+IF(AE$29=ProposalToGnatt[[#This Row],[Start Date]],Milestone_Marker,IF(AND(AE$29&gt;ProposalToGnatt[[#This Row],[Start Date]],AE$29&lt;ProposalToGnatt[[#This Row],[Start Date]]+ProposalToGnatt[[#This Row],[Days]]),$G$5,"")),"")</f>
        <v/>
      </c>
      <c r="AF69" s="37" t="str">
        <f ca="1">IFERROR(+IF(AF$29=ProposalToGnatt[[#This Row],[Start Date]],Milestone_Marker,IF(AND(AF$29&gt;ProposalToGnatt[[#This Row],[Start Date]],AF$29&lt;ProposalToGnatt[[#This Row],[Start Date]]+ProposalToGnatt[[#This Row],[Days]]),$G$5,"")),"")</f>
        <v/>
      </c>
      <c r="AG69" s="37" t="str">
        <f ca="1">IFERROR(+IF(AG$29=ProposalToGnatt[[#This Row],[Start Date]],Milestone_Marker,IF(AND(AG$29&gt;ProposalToGnatt[[#This Row],[Start Date]],AG$29&lt;ProposalToGnatt[[#This Row],[Start Date]]+ProposalToGnatt[[#This Row],[Days]]),$G$5,"")),"")</f>
        <v/>
      </c>
      <c r="AH69" s="37" t="str">
        <f ca="1">IFERROR(+IF(AH$29=ProposalToGnatt[[#This Row],[Start Date]],Milestone_Marker,IF(AND(AH$29&gt;ProposalToGnatt[[#This Row],[Start Date]],AH$29&lt;ProposalToGnatt[[#This Row],[Start Date]]+ProposalToGnatt[[#This Row],[Days]]),$G$5,"")),"")</f>
        <v/>
      </c>
      <c r="AI69" s="37" t="str">
        <f ca="1">IFERROR(+IF(AI$29=ProposalToGnatt[[#This Row],[Start Date]],Milestone_Marker,IF(AND(AI$29&gt;ProposalToGnatt[[#This Row],[Start Date]],AI$29&lt;ProposalToGnatt[[#This Row],[Start Date]]+ProposalToGnatt[[#This Row],[Days]]),$G$5,"")),"")</f>
        <v/>
      </c>
      <c r="AJ69" s="37" t="str">
        <f ca="1">IFERROR(+IF(AJ$29=ProposalToGnatt[[#This Row],[Start Date]],Milestone_Marker,IF(AND(AJ$29&gt;ProposalToGnatt[[#This Row],[Start Date]],AJ$29&lt;ProposalToGnatt[[#This Row],[Start Date]]+ProposalToGnatt[[#This Row],[Days]]),$G$5,"")),"")</f>
        <v/>
      </c>
      <c r="AK69" s="37" t="str">
        <f ca="1">IFERROR(+IF(AK$29=ProposalToGnatt[[#This Row],[Start Date]],Milestone_Marker,IF(AND(AK$29&gt;ProposalToGnatt[[#This Row],[Start Date]],AK$29&lt;ProposalToGnatt[[#This Row],[Start Date]]+ProposalToGnatt[[#This Row],[Days]]),$G$5,"")),"")</f>
        <v/>
      </c>
      <c r="AL69" s="37" t="str">
        <f ca="1">IFERROR(+IF(AL$29=ProposalToGnatt[[#This Row],[Start Date]],Milestone_Marker,IF(AND(AL$29&gt;ProposalToGnatt[[#This Row],[Start Date]],AL$29&lt;ProposalToGnatt[[#This Row],[Start Date]]+ProposalToGnatt[[#This Row],[Days]]),$G$5,"")),"")</f>
        <v/>
      </c>
      <c r="AM69" s="37" t="str">
        <f ca="1">IFERROR(+IF(AM$29=ProposalToGnatt[[#This Row],[Start Date]],Milestone_Marker,IF(AND(AM$29&gt;ProposalToGnatt[[#This Row],[Start Date]],AM$29&lt;ProposalToGnatt[[#This Row],[Start Date]]+ProposalToGnatt[[#This Row],[Days]]),$G$5,"")),"")</f>
        <v/>
      </c>
      <c r="AN69" s="37" t="str">
        <f ca="1">IFERROR(+IF(AN$29=ProposalToGnatt[[#This Row],[Start Date]],Milestone_Marker,IF(AND(AN$29&gt;ProposalToGnatt[[#This Row],[Start Date]],AN$29&lt;ProposalToGnatt[[#This Row],[Start Date]]+ProposalToGnatt[[#This Row],[Days]]),$G$5,"")),"")</f>
        <v/>
      </c>
      <c r="AO69" s="37" t="str">
        <f ca="1">IFERROR(+IF(AO$29=ProposalToGnatt[[#This Row],[Start Date]],Milestone_Marker,IF(AND(AO$29&gt;ProposalToGnatt[[#This Row],[Start Date]],AO$29&lt;ProposalToGnatt[[#This Row],[Start Date]]+ProposalToGnatt[[#This Row],[Days]]),$G$5,"")),"")</f>
        <v/>
      </c>
      <c r="AP69" s="37" t="str">
        <f ca="1">IFERROR(+IF(AP$29=ProposalToGnatt[[#This Row],[Start Date]],Milestone_Marker,IF(AND(AP$29&gt;ProposalToGnatt[[#This Row],[Start Date]],AP$29&lt;ProposalToGnatt[[#This Row],[Start Date]]+ProposalToGnatt[[#This Row],[Days]]),$G$5,"")),"")</f>
        <v/>
      </c>
      <c r="AQ69" s="37" t="str">
        <f ca="1">IFERROR(+IF(AQ$29=ProposalToGnatt[[#This Row],[Start Date]],Milestone_Marker,IF(AND(AQ$29&gt;ProposalToGnatt[[#This Row],[Start Date]],AQ$29&lt;ProposalToGnatt[[#This Row],[Start Date]]+ProposalToGnatt[[#This Row],[Days]]),$G$5,"")),"")</f>
        <v/>
      </c>
      <c r="AR69" s="37" t="str">
        <f ca="1">IFERROR(+IF(AR$29=ProposalToGnatt[[#This Row],[Start Date]],Milestone_Marker,IF(AND(AR$29&gt;ProposalToGnatt[[#This Row],[Start Date]],AR$29&lt;ProposalToGnatt[[#This Row],[Start Date]]+ProposalToGnatt[[#This Row],[Days]]),$G$5,"")),"")</f>
        <v/>
      </c>
      <c r="AS69" s="37" t="str">
        <f ca="1">IFERROR(+IF(AS$29=ProposalToGnatt[[#This Row],[Start Date]],Milestone_Marker,IF(AND(AS$29&gt;ProposalToGnatt[[#This Row],[Start Date]],AS$29&lt;ProposalToGnatt[[#This Row],[Start Date]]+ProposalToGnatt[[#This Row],[Days]]),$G$5,"")),"")</f>
        <v/>
      </c>
      <c r="AT69" s="37" t="str">
        <f ca="1">IFERROR(+IF(AT$29=ProposalToGnatt[[#This Row],[Start Date]],Milestone_Marker,IF(AND(AT$29&gt;ProposalToGnatt[[#This Row],[Start Date]],AT$29&lt;ProposalToGnatt[[#This Row],[Start Date]]+ProposalToGnatt[[#This Row],[Days]]),$G$5,"")),"")</f>
        <v/>
      </c>
      <c r="AU69" s="37" t="str">
        <f ca="1">IFERROR(+IF(AU$29=ProposalToGnatt[[#This Row],[Start Date]],Milestone_Marker,IF(AND(AU$29&gt;ProposalToGnatt[[#This Row],[Start Date]],AU$29&lt;ProposalToGnatt[[#This Row],[Start Date]]+ProposalToGnatt[[#This Row],[Days]]),$G$5,"")),"")</f>
        <v/>
      </c>
      <c r="AV69" s="37" t="str">
        <f ca="1">IFERROR(+IF(AV$29=ProposalToGnatt[[#This Row],[Start Date]],Milestone_Marker,IF(AND(AV$29&gt;ProposalToGnatt[[#This Row],[Start Date]],AV$29&lt;ProposalToGnatt[[#This Row],[Start Date]]+ProposalToGnatt[[#This Row],[Days]]),$G$5,"")),"")</f>
        <v/>
      </c>
      <c r="AW69" s="37" t="str">
        <f ca="1">IFERROR(+IF(AW$29=ProposalToGnatt[[#This Row],[Start Date]],Milestone_Marker,IF(AND(AW$29&gt;ProposalToGnatt[[#This Row],[Start Date]],AW$29&lt;ProposalToGnatt[[#This Row],[Start Date]]+ProposalToGnatt[[#This Row],[Days]]),$G$5,"")),"")</f>
        <v/>
      </c>
      <c r="AX69" s="37" t="str">
        <f ca="1">IFERROR(+IF(AX$29=ProposalToGnatt[[#This Row],[Start Date]],Milestone_Marker,IF(AND(AX$29&gt;ProposalToGnatt[[#This Row],[Start Date]],AX$29&lt;ProposalToGnatt[[#This Row],[Start Date]]+ProposalToGnatt[[#This Row],[Days]]),$G$5,"")),"")</f>
        <v/>
      </c>
      <c r="AY69" s="37" t="str">
        <f ca="1">IFERROR(+IF(AY$29=ProposalToGnatt[[#This Row],[Start Date]],Milestone_Marker,IF(AND(AY$29&gt;ProposalToGnatt[[#This Row],[Start Date]],AY$29&lt;ProposalToGnatt[[#This Row],[Start Date]]+ProposalToGnatt[[#This Row],[Days]]),$G$5,"")),"")</f>
        <v/>
      </c>
      <c r="AZ69" s="37" t="str">
        <f ca="1">IFERROR(+IF(AZ$29=ProposalToGnatt[[#This Row],[Start Date]],Milestone_Marker,IF(AND(AZ$29&gt;ProposalToGnatt[[#This Row],[Start Date]],AZ$29&lt;ProposalToGnatt[[#This Row],[Start Date]]+ProposalToGnatt[[#This Row],[Days]]),$G$5,"")),"")</f>
        <v/>
      </c>
      <c r="BA69" s="37" t="str">
        <f ca="1">IFERROR(+IF(BA$29=ProposalToGnatt[[#This Row],[Start Date]],Milestone_Marker,IF(AND(BA$29&gt;ProposalToGnatt[[#This Row],[Start Date]],BA$29&lt;ProposalToGnatt[[#This Row],[Start Date]]+ProposalToGnatt[[#This Row],[Days]]),$G$5,"")),"")</f>
        <v/>
      </c>
      <c r="BB69" s="37" t="str">
        <f ca="1">IFERROR(+IF(BB$29=ProposalToGnatt[[#This Row],[Start Date]],Milestone_Marker,IF(AND(BB$29&gt;ProposalToGnatt[[#This Row],[Start Date]],BB$29&lt;ProposalToGnatt[[#This Row],[Start Date]]+ProposalToGnatt[[#This Row],[Days]]),$G$5,"")),"")</f>
        <v/>
      </c>
      <c r="BC69" s="37" t="str">
        <f ca="1">IFERROR(+IF(BC$29=ProposalToGnatt[[#This Row],[Start Date]],Milestone_Marker,IF(AND(BC$29&gt;ProposalToGnatt[[#This Row],[Start Date]],BC$29&lt;ProposalToGnatt[[#This Row],[Start Date]]+ProposalToGnatt[[#This Row],[Days]]),$G$5,"")),"")</f>
        <v/>
      </c>
      <c r="BD69" s="37" t="str">
        <f ca="1">IFERROR(+IF(BD$29=ProposalToGnatt[[#This Row],[Start Date]],Milestone_Marker,IF(AND(BD$29&gt;ProposalToGnatt[[#This Row],[Start Date]],BD$29&lt;ProposalToGnatt[[#This Row],[Start Date]]+ProposalToGnatt[[#This Row],[Days]]),$G$5,"")),"")</f>
        <v/>
      </c>
      <c r="BE69" s="37" t="str">
        <f ca="1">IFERROR(+IF(BE$29=ProposalToGnatt[[#This Row],[Start Date]],Milestone_Marker,IF(AND(BE$29&gt;ProposalToGnatt[[#This Row],[Start Date]],BE$29&lt;ProposalToGnatt[[#This Row],[Start Date]]+ProposalToGnatt[[#This Row],[Days]]),$G$5,"")),"")</f>
        <v/>
      </c>
      <c r="BF69" s="37" t="str">
        <f ca="1">IFERROR(+IF(BF$29=ProposalToGnatt[[#This Row],[Start Date]],Milestone_Marker,IF(AND(BF$29&gt;ProposalToGnatt[[#This Row],[Start Date]],BF$29&lt;ProposalToGnatt[[#This Row],[Start Date]]+ProposalToGnatt[[#This Row],[Days]]),$G$5,"")),"")</f>
        <v/>
      </c>
      <c r="BG69" s="37" t="str">
        <f ca="1">IFERROR(+IF(BG$29=ProposalToGnatt[[#This Row],[Start Date]],Milestone_Marker,IF(AND(BG$29&gt;ProposalToGnatt[[#This Row],[Start Date]],BG$29&lt;ProposalToGnatt[[#This Row],[Start Date]]+ProposalToGnatt[[#This Row],[Days]]),$G$5,"")),"")</f>
        <v/>
      </c>
      <c r="BH69" s="37" t="str">
        <f ca="1">IFERROR(+IF(BH$29=ProposalToGnatt[[#This Row],[Start Date]],Milestone_Marker,IF(AND(BH$29&gt;ProposalToGnatt[[#This Row],[Start Date]],BH$29&lt;ProposalToGnatt[[#This Row],[Start Date]]+ProposalToGnatt[[#This Row],[Days]]),$G$5,"")),"")</f>
        <v/>
      </c>
      <c r="BI69" s="37" t="str">
        <f ca="1">IFERROR(+IF(BI$29=ProposalToGnatt[[#This Row],[Start Date]],Milestone_Marker,IF(AND(BI$29&gt;ProposalToGnatt[[#This Row],[Start Date]],BI$29&lt;ProposalToGnatt[[#This Row],[Start Date]]+ProposalToGnatt[[#This Row],[Days]]),$G$5,"")),"")</f>
        <v/>
      </c>
      <c r="BJ69" s="37" t="str">
        <f ca="1">IFERROR(+IF(BJ$29=ProposalToGnatt[[#This Row],[Start Date]],Milestone_Marker,IF(AND(BJ$29&gt;ProposalToGnatt[[#This Row],[Start Date]],BJ$29&lt;ProposalToGnatt[[#This Row],[Start Date]]+ProposalToGnatt[[#This Row],[Days]]),$G$5,"")),"")</f>
        <v/>
      </c>
      <c r="BK69" s="37" t="str">
        <f ca="1">IFERROR(+IF(BK$29=ProposalToGnatt[[#This Row],[Start Date]],Milestone_Marker,IF(AND(BK$29&gt;ProposalToGnatt[[#This Row],[Start Date]],BK$29&lt;ProposalToGnatt[[#This Row],[Start Date]]+ProposalToGnatt[[#This Row],[Days]]),$G$5,"")),"")</f>
        <v/>
      </c>
      <c r="BL69" s="37" t="str">
        <f ca="1">IFERROR(+IF(BL$29=ProposalToGnatt[[#This Row],[Start Date]],Milestone_Marker,IF(AND(BL$29&gt;ProposalToGnatt[[#This Row],[Start Date]],BL$29&lt;ProposalToGnatt[[#This Row],[Start Date]]+ProposalToGnatt[[#This Row],[Days]]),$G$5,"")),"")</f>
        <v/>
      </c>
      <c r="BM69" s="37" t="str">
        <f ca="1">IFERROR(+IF(BM$29=ProposalToGnatt[[#This Row],[Start Date]],Milestone_Marker,IF(AND(BM$29&gt;ProposalToGnatt[[#This Row],[Start Date]],BM$29&lt;ProposalToGnatt[[#This Row],[Start Date]]+ProposalToGnatt[[#This Row],[Days]]),$G$5,"")),"")</f>
        <v/>
      </c>
      <c r="BN69" s="37" t="str">
        <f ca="1">IFERROR(+IF(BN$29=ProposalToGnatt[[#This Row],[Start Date]],Milestone_Marker,IF(AND(BN$29&gt;ProposalToGnatt[[#This Row],[Start Date]],BN$29&lt;ProposalToGnatt[[#This Row],[Start Date]]+ProposalToGnatt[[#This Row],[Days]]),$G$5,"")),"")</f>
        <v/>
      </c>
      <c r="BO69" s="37" t="str">
        <f ca="1">IFERROR(+IF(BO$29=ProposalToGnatt[[#This Row],[Start Date]],Milestone_Marker,IF(AND(BO$29&gt;ProposalToGnatt[[#This Row],[Start Date]],BO$29&lt;ProposalToGnatt[[#This Row],[Start Date]]+ProposalToGnatt[[#This Row],[Days]]),$G$5,"")),"")</f>
        <v/>
      </c>
      <c r="BP69" s="37" t="str">
        <f ca="1">IFERROR(+IF(BP$29=ProposalToGnatt[[#This Row],[Start Date]],Milestone_Marker,IF(AND(BP$29&gt;ProposalToGnatt[[#This Row],[Start Date]],BP$29&lt;ProposalToGnatt[[#This Row],[Start Date]]+ProposalToGnatt[[#This Row],[Days]]),$G$5,"")),"")</f>
        <v/>
      </c>
      <c r="BQ69" s="37" t="str">
        <f ca="1">IFERROR(+IF(BQ$29=ProposalToGnatt[[#This Row],[Start Date]],Milestone_Marker,IF(AND(BQ$29&gt;ProposalToGnatt[[#This Row],[Start Date]],BQ$29&lt;ProposalToGnatt[[#This Row],[Start Date]]+ProposalToGnatt[[#This Row],[Days]]),$G$5,"")),"")</f>
        <v/>
      </c>
      <c r="BR69" s="37" t="str">
        <f ca="1">IFERROR(+IF(BR$29=ProposalToGnatt[[#This Row],[Start Date]],Milestone_Marker,IF(AND(BR$29&gt;ProposalToGnatt[[#This Row],[Start Date]],BR$29&lt;ProposalToGnatt[[#This Row],[Start Date]]+ProposalToGnatt[[#This Row],[Days]]),$G$5,"")),"")</f>
        <v/>
      </c>
      <c r="BS69" s="37" t="str">
        <f ca="1">IFERROR(+IF(BS$29=ProposalToGnatt[[#This Row],[Start Date]],Milestone_Marker,IF(AND(BS$29&gt;ProposalToGnatt[[#This Row],[Start Date]],BS$29&lt;ProposalToGnatt[[#This Row],[Start Date]]+ProposalToGnatt[[#This Row],[Days]]),$G$5,"")),"")</f>
        <v/>
      </c>
      <c r="BT69" s="37" t="str">
        <f ca="1">IFERROR(+IF(BT$29=ProposalToGnatt[[#This Row],[Start Date]],Milestone_Marker,IF(AND(BT$29&gt;ProposalToGnatt[[#This Row],[Start Date]],BT$29&lt;ProposalToGnatt[[#This Row],[Start Date]]+ProposalToGnatt[[#This Row],[Days]]),$G$5,"")),"")</f>
        <v/>
      </c>
      <c r="BU69" s="37" t="str">
        <f ca="1">IFERROR(+IF(BU$29=ProposalToGnatt[[#This Row],[Start Date]],Milestone_Marker,IF(AND(BU$29&gt;ProposalToGnatt[[#This Row],[Start Date]],BU$29&lt;ProposalToGnatt[[#This Row],[Start Date]]+ProposalToGnatt[[#This Row],[Days]]),$G$5,"")),"")</f>
        <v/>
      </c>
      <c r="BV69" s="37" t="str">
        <f ca="1">IFERROR(+IF(BV$29=ProposalToGnatt[[#This Row],[Start Date]],Milestone_Marker,IF(AND(BV$29&gt;ProposalToGnatt[[#This Row],[Start Date]],BV$29&lt;ProposalToGnatt[[#This Row],[Start Date]]+ProposalToGnatt[[#This Row],[Days]]),$G$5,"")),"")</f>
        <v/>
      </c>
      <c r="BW69" s="37" t="str">
        <f ca="1">IFERROR(+IF(BW$29=ProposalToGnatt[[#This Row],[Start Date]],Milestone_Marker,IF(AND(BW$29&gt;ProposalToGnatt[[#This Row],[Start Date]],BW$29&lt;ProposalToGnatt[[#This Row],[Start Date]]+ProposalToGnatt[[#This Row],[Days]]),$G$5,"")),"")</f>
        <v/>
      </c>
      <c r="BX69" s="37" t="str">
        <f ca="1">IFERROR(+IF(BX$29=ProposalToGnatt[[#This Row],[Start Date]],Milestone_Marker,IF(AND(BX$29&gt;ProposalToGnatt[[#This Row],[Start Date]],BX$29&lt;ProposalToGnatt[[#This Row],[Start Date]]+ProposalToGnatt[[#This Row],[Days]]),$G$5,"")),"")</f>
        <v/>
      </c>
      <c r="BY69" s="37" t="str">
        <f ca="1">IFERROR(+IF(BY$29=ProposalToGnatt[[#This Row],[Start Date]],Milestone_Marker,IF(AND(BY$29&gt;ProposalToGnatt[[#This Row],[Start Date]],BY$29&lt;ProposalToGnatt[[#This Row],[Start Date]]+ProposalToGnatt[[#This Row],[Days]]),$G$5,"")),"")</f>
        <v/>
      </c>
      <c r="BZ69" s="37" t="str">
        <f ca="1">IFERROR(+IF(BZ$29=ProposalToGnatt[[#This Row],[Start Date]],Milestone_Marker,IF(AND(BZ$29&gt;ProposalToGnatt[[#This Row],[Start Date]],BZ$29&lt;ProposalToGnatt[[#This Row],[Start Date]]+ProposalToGnatt[[#This Row],[Days]]),$G$5,"")),"")</f>
        <v/>
      </c>
      <c r="CA69" s="37" t="str">
        <f ca="1">IFERROR(+IF(CA$29=ProposalToGnatt[[#This Row],[Start Date]],Milestone_Marker,IF(AND(CA$29&gt;ProposalToGnatt[[#This Row],[Start Date]],CA$29&lt;ProposalToGnatt[[#This Row],[Start Date]]+ProposalToGnatt[[#This Row],[Days]]),$G$5,"")),"")</f>
        <v/>
      </c>
      <c r="CB69" s="37" t="str">
        <f ca="1">IFERROR(+IF(CB$29=ProposalToGnatt[[#This Row],[Start Date]],Milestone_Marker,IF(AND(CB$29&gt;ProposalToGnatt[[#This Row],[Start Date]],CB$29&lt;ProposalToGnatt[[#This Row],[Start Date]]+ProposalToGnatt[[#This Row],[Days]]),$G$5,"")),"")</f>
        <v/>
      </c>
      <c r="CC69" s="37" t="str">
        <f ca="1">IFERROR(+IF(CC$29=ProposalToGnatt[[#This Row],[Start Date]],Milestone_Marker,IF(AND(CC$29&gt;ProposalToGnatt[[#This Row],[Start Date]],CC$29&lt;ProposalToGnatt[[#This Row],[Start Date]]+ProposalToGnatt[[#This Row],[Days]]),$G$5,"")),"")</f>
        <v/>
      </c>
      <c r="CD69" s="37" t="str">
        <f ca="1">IFERROR(+IF(CD$29=ProposalToGnatt[[#This Row],[Start Date]],Milestone_Marker,IF(AND(CD$29&gt;ProposalToGnatt[[#This Row],[Start Date]],CD$29&lt;ProposalToGnatt[[#This Row],[Start Date]]+ProposalToGnatt[[#This Row],[Days]]),$G$5,"")),"")</f>
        <v/>
      </c>
      <c r="CE69" s="37" t="str">
        <f ca="1">IFERROR(+IF(CE$29=ProposalToGnatt[[#This Row],[Start Date]],Milestone_Marker,IF(AND(CE$29&gt;ProposalToGnatt[[#This Row],[Start Date]],CE$29&lt;ProposalToGnatt[[#This Row],[Start Date]]+ProposalToGnatt[[#This Row],[Days]]),$G$5,"")),"")</f>
        <v/>
      </c>
      <c r="CF69" s="37" t="str">
        <f ca="1">IFERROR(+IF(CF$29=ProposalToGnatt[[#This Row],[Start Date]],Milestone_Marker,IF(AND(CF$29&gt;ProposalToGnatt[[#This Row],[Start Date]],CF$29&lt;ProposalToGnatt[[#This Row],[Start Date]]+ProposalToGnatt[[#This Row],[Days]]),$G$5,"")),"")</f>
        <v/>
      </c>
      <c r="CG69" s="37" t="str">
        <f ca="1">IFERROR(+IF(CG$29=ProposalToGnatt[[#This Row],[Start Date]],Milestone_Marker,IF(AND(CG$29&gt;ProposalToGnatt[[#This Row],[Start Date]],CG$29&lt;ProposalToGnatt[[#This Row],[Start Date]]+ProposalToGnatt[[#This Row],[Days]]),$G$5,"")),"")</f>
        <v/>
      </c>
      <c r="CH69" s="37" t="str">
        <f ca="1">IFERROR(+IF(CH$29=ProposalToGnatt[[#This Row],[Start Date]],Milestone_Marker,IF(AND(CH$29&gt;ProposalToGnatt[[#This Row],[Start Date]],CH$29&lt;ProposalToGnatt[[#This Row],[Start Date]]+ProposalToGnatt[[#This Row],[Days]]),$G$5,"")),"")</f>
        <v/>
      </c>
      <c r="CI69" s="37" t="str">
        <f ca="1">IFERROR(+IF(CI$29=ProposalToGnatt[[#This Row],[Start Date]],Milestone_Marker,IF(AND(CI$29&gt;ProposalToGnatt[[#This Row],[Start Date]],CI$29&lt;ProposalToGnatt[[#This Row],[Start Date]]+ProposalToGnatt[[#This Row],[Days]]),$G$5,"")),"")</f>
        <v/>
      </c>
      <c r="CJ69" s="37" t="str">
        <f ca="1">IFERROR(+IF(CJ$29=ProposalToGnatt[[#This Row],[Start Date]],Milestone_Marker,IF(AND(CJ$29&gt;ProposalToGnatt[[#This Row],[Start Date]],CJ$29&lt;ProposalToGnatt[[#This Row],[Start Date]]+ProposalToGnatt[[#This Row],[Days]]),$G$5,"")),"")</f>
        <v/>
      </c>
      <c r="CK69" s="37" t="str">
        <f ca="1">IFERROR(+IF(CK$29=ProposalToGnatt[[#This Row],[Start Date]],Milestone_Marker,IF(AND(CK$29&gt;ProposalToGnatt[[#This Row],[Start Date]],CK$29&lt;ProposalToGnatt[[#This Row],[Start Date]]+ProposalToGnatt[[#This Row],[Days]]),$G$5,"")),"")</f>
        <v/>
      </c>
      <c r="CL69" s="37" t="str">
        <f ca="1">IFERROR(+IF(CL$29=ProposalToGnatt[[#This Row],[Start Date]],Milestone_Marker,IF(AND(CL$29&gt;ProposalToGnatt[[#This Row],[Start Date]],CL$29&lt;ProposalToGnatt[[#This Row],[Start Date]]+ProposalToGnatt[[#This Row],[Days]]),$G$5,"")),"")</f>
        <v/>
      </c>
      <c r="CM69" s="37" t="str">
        <f ca="1">IFERROR(+IF(CM$29=ProposalToGnatt[[#This Row],[Start Date]],Milestone_Marker,IF(AND(CM$29&gt;ProposalToGnatt[[#This Row],[Start Date]],CM$29&lt;ProposalToGnatt[[#This Row],[Start Date]]+ProposalToGnatt[[#This Row],[Days]]),$G$5,"")),"")</f>
        <v/>
      </c>
      <c r="CN69" s="37" t="str">
        <f ca="1">IFERROR(+IF(CN$29=ProposalToGnatt[[#This Row],[Start Date]],Milestone_Marker,IF(AND(CN$29&gt;ProposalToGnatt[[#This Row],[Start Date]],CN$29&lt;ProposalToGnatt[[#This Row],[Start Date]]+ProposalToGnatt[[#This Row],[Days]]),$G$5,"")),"")</f>
        <v/>
      </c>
      <c r="CO69" s="37" t="str">
        <f ca="1">IFERROR(+IF(CO$29=ProposalToGnatt[[#This Row],[Start Date]],Milestone_Marker,IF(AND(CO$29&gt;ProposalToGnatt[[#This Row],[Start Date]],CO$29&lt;ProposalToGnatt[[#This Row],[Start Date]]+ProposalToGnatt[[#This Row],[Days]]),$G$5,"")),"")</f>
        <v/>
      </c>
      <c r="CP69" s="37" t="str">
        <f ca="1">IFERROR(+IF(CP$29=ProposalToGnatt[[#This Row],[Start Date]],Milestone_Marker,IF(AND(CP$29&gt;ProposalToGnatt[[#This Row],[Start Date]],CP$29&lt;ProposalToGnatt[[#This Row],[Start Date]]+ProposalToGnatt[[#This Row],[Days]]),$G$5,"")),"")</f>
        <v/>
      </c>
      <c r="CQ69" s="37" t="str">
        <f ca="1">IFERROR(+IF(CQ$29=ProposalToGnatt[[#This Row],[Start Date]],Milestone_Marker,IF(AND(CQ$29&gt;ProposalToGnatt[[#This Row],[Start Date]],CQ$29&lt;ProposalToGnatt[[#This Row],[Start Date]]+ProposalToGnatt[[#This Row],[Days]]),$G$5,"")),"")</f>
        <v/>
      </c>
      <c r="CR69" s="37" t="str">
        <f ca="1">IFERROR(+IF(CR$29=ProposalToGnatt[[#This Row],[Start Date]],Milestone_Marker,IF(AND(CR$29&gt;ProposalToGnatt[[#This Row],[Start Date]],CR$29&lt;ProposalToGnatt[[#This Row],[Start Date]]+ProposalToGnatt[[#This Row],[Days]]),$G$5,"")),"")</f>
        <v/>
      </c>
      <c r="CS69" s="37" t="str">
        <f ca="1">IFERROR(+IF(CS$29=ProposalToGnatt[[#This Row],[Start Date]],Milestone_Marker,IF(AND(CS$29&gt;ProposalToGnatt[[#This Row],[Start Date]],CS$29&lt;ProposalToGnatt[[#This Row],[Start Date]]+ProposalToGnatt[[#This Row],[Days]]),$G$5,"")),"")</f>
        <v/>
      </c>
      <c r="CT69" s="37" t="str">
        <f ca="1">IFERROR(+IF(CT$29=ProposalToGnatt[[#This Row],[Start Date]],Milestone_Marker,IF(AND(CT$29&gt;ProposalToGnatt[[#This Row],[Start Date]],CT$29&lt;ProposalToGnatt[[#This Row],[Start Date]]+ProposalToGnatt[[#This Row],[Days]]),$G$5,"")),"")</f>
        <v/>
      </c>
      <c r="CU69" s="37" t="str">
        <f ca="1">IFERROR(+IF(CU$29=ProposalToGnatt[[#This Row],[Start Date]],Milestone_Marker,IF(AND(CU$29&gt;ProposalToGnatt[[#This Row],[Start Date]],CU$29&lt;ProposalToGnatt[[#This Row],[Start Date]]+ProposalToGnatt[[#This Row],[Days]]),$G$5,"")),"")</f>
        <v/>
      </c>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row>
    <row r="70" spans="1:125" s="42" customFormat="1" ht="15" customHeight="1">
      <c r="A70"/>
      <c r="B70"/>
      <c r="C70"/>
      <c r="D70"/>
      <c r="E70"/>
      <c r="F70"/>
      <c r="G70" s="11"/>
      <c r="H70" s="26"/>
      <c r="I70"/>
      <c r="J70"/>
      <c r="K70" s="402"/>
      <c r="L70"/>
      <c r="M70"/>
      <c r="N70"/>
      <c r="O70" s="26"/>
      <c r="P70" s="37" t="str">
        <f ca="1">IFERROR(+IF(P$29=ProposalToGnatt[[#This Row],[Start Date]],Milestone_Marker,IF(AND(P$29&gt;ProposalToGnatt[[#This Row],[Start Date]],P$29&lt;ProposalToGnatt[[#This Row],[Start Date]]+ProposalToGnatt[[#This Row],[Days]]),$G$5,"")),"")</f>
        <v/>
      </c>
      <c r="Q70" s="37" t="str">
        <f ca="1">IFERROR(+IF(Q$29=ProposalToGnatt[[#This Row],[Start Date]],Milestone_Marker,IF(AND(Q$29&gt;ProposalToGnatt[[#This Row],[Start Date]],Q$29&lt;ProposalToGnatt[[#This Row],[Start Date]]+ProposalToGnatt[[#This Row],[Days]]),$G$5,"")),"")</f>
        <v/>
      </c>
      <c r="R70" s="37" t="str">
        <f ca="1">IFERROR(+IF(R$29=ProposalToGnatt[[#This Row],[Start Date]],Milestone_Marker,IF(AND(R$29&gt;ProposalToGnatt[[#This Row],[Start Date]],R$29&lt;ProposalToGnatt[[#This Row],[Start Date]]+ProposalToGnatt[[#This Row],[Days]]),$G$5,"")),"")</f>
        <v/>
      </c>
      <c r="S70" s="37" t="str">
        <f ca="1">IFERROR(+IF(S$29=ProposalToGnatt[[#This Row],[Start Date]],Milestone_Marker,IF(AND(S$29&gt;ProposalToGnatt[[#This Row],[Start Date]],S$29&lt;ProposalToGnatt[[#This Row],[Start Date]]+ProposalToGnatt[[#This Row],[Days]]),$G$5,"")),"")</f>
        <v/>
      </c>
      <c r="T70" s="37" t="str">
        <f ca="1">IFERROR(+IF(T$29=ProposalToGnatt[[#This Row],[Start Date]],Milestone_Marker,IF(AND(T$29&gt;ProposalToGnatt[[#This Row],[Start Date]],T$29&lt;ProposalToGnatt[[#This Row],[Start Date]]+ProposalToGnatt[[#This Row],[Days]]),$G$5,"")),"")</f>
        <v/>
      </c>
      <c r="U70" s="37" t="str">
        <f ca="1">IFERROR(+IF(U$29=ProposalToGnatt[[#This Row],[Start Date]],Milestone_Marker,IF(AND(U$29&gt;ProposalToGnatt[[#This Row],[Start Date]],U$29&lt;ProposalToGnatt[[#This Row],[Start Date]]+ProposalToGnatt[[#This Row],[Days]]),$G$5,"")),"")</f>
        <v/>
      </c>
      <c r="V70" s="37" t="str">
        <f ca="1">IFERROR(+IF(V$29=ProposalToGnatt[[#This Row],[Start Date]],Milestone_Marker,IF(AND(V$29&gt;ProposalToGnatt[[#This Row],[Start Date]],V$29&lt;ProposalToGnatt[[#This Row],[Start Date]]+ProposalToGnatt[[#This Row],[Days]]),$G$5,"")),"")</f>
        <v/>
      </c>
      <c r="W70" s="37" t="str">
        <f ca="1">IFERROR(+IF(W$29=ProposalToGnatt[[#This Row],[Start Date]],Milestone_Marker,IF(AND(W$29&gt;ProposalToGnatt[[#This Row],[Start Date]],W$29&lt;ProposalToGnatt[[#This Row],[Start Date]]+ProposalToGnatt[[#This Row],[Days]]),$G$5,"")),"")</f>
        <v/>
      </c>
      <c r="X70" s="37" t="str">
        <f ca="1">IFERROR(+IF(X$29=ProposalToGnatt[[#This Row],[Start Date]],Milestone_Marker,IF(AND(X$29&gt;ProposalToGnatt[[#This Row],[Start Date]],X$29&lt;ProposalToGnatt[[#This Row],[Start Date]]+ProposalToGnatt[[#This Row],[Days]]),$G$5,"")),"")</f>
        <v/>
      </c>
      <c r="Y70" s="37" t="str">
        <f ca="1">IFERROR(+IF(Y$29=ProposalToGnatt[[#This Row],[Start Date]],Milestone_Marker,IF(AND(Y$29&gt;ProposalToGnatt[[#This Row],[Start Date]],Y$29&lt;ProposalToGnatt[[#This Row],[Start Date]]+ProposalToGnatt[[#This Row],[Days]]),$G$5,"")),"")</f>
        <v/>
      </c>
      <c r="Z70" s="37" t="str">
        <f ca="1">IFERROR(+IF(Z$29=ProposalToGnatt[[#This Row],[Start Date]],Milestone_Marker,IF(AND(Z$29&gt;ProposalToGnatt[[#This Row],[Start Date]],Z$29&lt;ProposalToGnatt[[#This Row],[Start Date]]+ProposalToGnatt[[#This Row],[Days]]),$G$5,"")),"")</f>
        <v/>
      </c>
      <c r="AA70" s="37" t="str">
        <f ca="1">IFERROR(+IF(AA$29=ProposalToGnatt[[#This Row],[Start Date]],Milestone_Marker,IF(AND(AA$29&gt;ProposalToGnatt[[#This Row],[Start Date]],AA$29&lt;ProposalToGnatt[[#This Row],[Start Date]]+ProposalToGnatt[[#This Row],[Days]]),$G$5,"")),"")</f>
        <v/>
      </c>
      <c r="AB70" s="37" t="str">
        <f ca="1">IFERROR(+IF(AB$29=ProposalToGnatt[[#This Row],[Start Date]],Milestone_Marker,IF(AND(AB$29&gt;ProposalToGnatt[[#This Row],[Start Date]],AB$29&lt;ProposalToGnatt[[#This Row],[Start Date]]+ProposalToGnatt[[#This Row],[Days]]),$G$5,"")),"")</f>
        <v/>
      </c>
      <c r="AC70" s="37" t="str">
        <f ca="1">IFERROR(+IF(AC$29=ProposalToGnatt[[#This Row],[Start Date]],Milestone_Marker,IF(AND(AC$29&gt;ProposalToGnatt[[#This Row],[Start Date]],AC$29&lt;ProposalToGnatt[[#This Row],[Start Date]]+ProposalToGnatt[[#This Row],[Days]]),$G$5,"")),"")</f>
        <v/>
      </c>
      <c r="AD70" s="37" t="str">
        <f ca="1">IFERROR(+IF(AD$29=ProposalToGnatt[[#This Row],[Start Date]],Milestone_Marker,IF(AND(AD$29&gt;ProposalToGnatt[[#This Row],[Start Date]],AD$29&lt;ProposalToGnatt[[#This Row],[Start Date]]+ProposalToGnatt[[#This Row],[Days]]),$G$5,"")),"")</f>
        <v/>
      </c>
      <c r="AE70" s="37" t="str">
        <f ca="1">IFERROR(+IF(AE$29=ProposalToGnatt[[#This Row],[Start Date]],Milestone_Marker,IF(AND(AE$29&gt;ProposalToGnatt[[#This Row],[Start Date]],AE$29&lt;ProposalToGnatt[[#This Row],[Start Date]]+ProposalToGnatt[[#This Row],[Days]]),$G$5,"")),"")</f>
        <v/>
      </c>
      <c r="AF70" s="37" t="str">
        <f ca="1">IFERROR(+IF(AF$29=ProposalToGnatt[[#This Row],[Start Date]],Milestone_Marker,IF(AND(AF$29&gt;ProposalToGnatt[[#This Row],[Start Date]],AF$29&lt;ProposalToGnatt[[#This Row],[Start Date]]+ProposalToGnatt[[#This Row],[Days]]),$G$5,"")),"")</f>
        <v/>
      </c>
      <c r="AG70" s="37" t="str">
        <f ca="1">IFERROR(+IF(AG$29=ProposalToGnatt[[#This Row],[Start Date]],Milestone_Marker,IF(AND(AG$29&gt;ProposalToGnatt[[#This Row],[Start Date]],AG$29&lt;ProposalToGnatt[[#This Row],[Start Date]]+ProposalToGnatt[[#This Row],[Days]]),$G$5,"")),"")</f>
        <v/>
      </c>
      <c r="AH70" s="37" t="str">
        <f ca="1">IFERROR(+IF(AH$29=ProposalToGnatt[[#This Row],[Start Date]],Milestone_Marker,IF(AND(AH$29&gt;ProposalToGnatt[[#This Row],[Start Date]],AH$29&lt;ProposalToGnatt[[#This Row],[Start Date]]+ProposalToGnatt[[#This Row],[Days]]),$G$5,"")),"")</f>
        <v/>
      </c>
      <c r="AI70" s="37" t="str">
        <f ca="1">IFERROR(+IF(AI$29=ProposalToGnatt[[#This Row],[Start Date]],Milestone_Marker,IF(AND(AI$29&gt;ProposalToGnatt[[#This Row],[Start Date]],AI$29&lt;ProposalToGnatt[[#This Row],[Start Date]]+ProposalToGnatt[[#This Row],[Days]]),$G$5,"")),"")</f>
        <v/>
      </c>
      <c r="AJ70" s="37" t="str">
        <f ca="1">IFERROR(+IF(AJ$29=ProposalToGnatt[[#This Row],[Start Date]],Milestone_Marker,IF(AND(AJ$29&gt;ProposalToGnatt[[#This Row],[Start Date]],AJ$29&lt;ProposalToGnatt[[#This Row],[Start Date]]+ProposalToGnatt[[#This Row],[Days]]),$G$5,"")),"")</f>
        <v/>
      </c>
      <c r="AK70" s="37" t="str">
        <f ca="1">IFERROR(+IF(AK$29=ProposalToGnatt[[#This Row],[Start Date]],Milestone_Marker,IF(AND(AK$29&gt;ProposalToGnatt[[#This Row],[Start Date]],AK$29&lt;ProposalToGnatt[[#This Row],[Start Date]]+ProposalToGnatt[[#This Row],[Days]]),$G$5,"")),"")</f>
        <v/>
      </c>
      <c r="AL70" s="37" t="str">
        <f ca="1">IFERROR(+IF(AL$29=ProposalToGnatt[[#This Row],[Start Date]],Milestone_Marker,IF(AND(AL$29&gt;ProposalToGnatt[[#This Row],[Start Date]],AL$29&lt;ProposalToGnatt[[#This Row],[Start Date]]+ProposalToGnatt[[#This Row],[Days]]),$G$5,"")),"")</f>
        <v/>
      </c>
      <c r="AM70" s="37" t="str">
        <f ca="1">IFERROR(+IF(AM$29=ProposalToGnatt[[#This Row],[Start Date]],Milestone_Marker,IF(AND(AM$29&gt;ProposalToGnatt[[#This Row],[Start Date]],AM$29&lt;ProposalToGnatt[[#This Row],[Start Date]]+ProposalToGnatt[[#This Row],[Days]]),$G$5,"")),"")</f>
        <v/>
      </c>
      <c r="AN70" s="37" t="str">
        <f ca="1">IFERROR(+IF(AN$29=ProposalToGnatt[[#This Row],[Start Date]],Milestone_Marker,IF(AND(AN$29&gt;ProposalToGnatt[[#This Row],[Start Date]],AN$29&lt;ProposalToGnatt[[#This Row],[Start Date]]+ProposalToGnatt[[#This Row],[Days]]),$G$5,"")),"")</f>
        <v/>
      </c>
      <c r="AO70" s="37" t="str">
        <f ca="1">IFERROR(+IF(AO$29=ProposalToGnatt[[#This Row],[Start Date]],Milestone_Marker,IF(AND(AO$29&gt;ProposalToGnatt[[#This Row],[Start Date]],AO$29&lt;ProposalToGnatt[[#This Row],[Start Date]]+ProposalToGnatt[[#This Row],[Days]]),$G$5,"")),"")</f>
        <v/>
      </c>
      <c r="AP70" s="37" t="str">
        <f ca="1">IFERROR(+IF(AP$29=ProposalToGnatt[[#This Row],[Start Date]],Milestone_Marker,IF(AND(AP$29&gt;ProposalToGnatt[[#This Row],[Start Date]],AP$29&lt;ProposalToGnatt[[#This Row],[Start Date]]+ProposalToGnatt[[#This Row],[Days]]),$G$5,"")),"")</f>
        <v/>
      </c>
      <c r="AQ70" s="37" t="str">
        <f ca="1">IFERROR(+IF(AQ$29=ProposalToGnatt[[#This Row],[Start Date]],Milestone_Marker,IF(AND(AQ$29&gt;ProposalToGnatt[[#This Row],[Start Date]],AQ$29&lt;ProposalToGnatt[[#This Row],[Start Date]]+ProposalToGnatt[[#This Row],[Days]]),$G$5,"")),"")</f>
        <v/>
      </c>
      <c r="AR70" s="37" t="str">
        <f ca="1">IFERROR(+IF(AR$29=ProposalToGnatt[[#This Row],[Start Date]],Milestone_Marker,IF(AND(AR$29&gt;ProposalToGnatt[[#This Row],[Start Date]],AR$29&lt;ProposalToGnatt[[#This Row],[Start Date]]+ProposalToGnatt[[#This Row],[Days]]),$G$5,"")),"")</f>
        <v/>
      </c>
      <c r="AS70" s="37" t="str">
        <f ca="1">IFERROR(+IF(AS$29=ProposalToGnatt[[#This Row],[Start Date]],Milestone_Marker,IF(AND(AS$29&gt;ProposalToGnatt[[#This Row],[Start Date]],AS$29&lt;ProposalToGnatt[[#This Row],[Start Date]]+ProposalToGnatt[[#This Row],[Days]]),$G$5,"")),"")</f>
        <v/>
      </c>
      <c r="AT70" s="37" t="str">
        <f ca="1">IFERROR(+IF(AT$29=ProposalToGnatt[[#This Row],[Start Date]],Milestone_Marker,IF(AND(AT$29&gt;ProposalToGnatt[[#This Row],[Start Date]],AT$29&lt;ProposalToGnatt[[#This Row],[Start Date]]+ProposalToGnatt[[#This Row],[Days]]),$G$5,"")),"")</f>
        <v/>
      </c>
      <c r="AU70" s="37" t="str">
        <f ca="1">IFERROR(+IF(AU$29=ProposalToGnatt[[#This Row],[Start Date]],Milestone_Marker,IF(AND(AU$29&gt;ProposalToGnatt[[#This Row],[Start Date]],AU$29&lt;ProposalToGnatt[[#This Row],[Start Date]]+ProposalToGnatt[[#This Row],[Days]]),$G$5,"")),"")</f>
        <v/>
      </c>
      <c r="AV70" s="37" t="str">
        <f ca="1">IFERROR(+IF(AV$29=ProposalToGnatt[[#This Row],[Start Date]],Milestone_Marker,IF(AND(AV$29&gt;ProposalToGnatt[[#This Row],[Start Date]],AV$29&lt;ProposalToGnatt[[#This Row],[Start Date]]+ProposalToGnatt[[#This Row],[Days]]),$G$5,"")),"")</f>
        <v/>
      </c>
      <c r="AW70" s="37" t="str">
        <f ca="1">IFERROR(+IF(AW$29=ProposalToGnatt[[#This Row],[Start Date]],Milestone_Marker,IF(AND(AW$29&gt;ProposalToGnatt[[#This Row],[Start Date]],AW$29&lt;ProposalToGnatt[[#This Row],[Start Date]]+ProposalToGnatt[[#This Row],[Days]]),$G$5,"")),"")</f>
        <v/>
      </c>
      <c r="AX70" s="37" t="str">
        <f ca="1">IFERROR(+IF(AX$29=ProposalToGnatt[[#This Row],[Start Date]],Milestone_Marker,IF(AND(AX$29&gt;ProposalToGnatt[[#This Row],[Start Date]],AX$29&lt;ProposalToGnatt[[#This Row],[Start Date]]+ProposalToGnatt[[#This Row],[Days]]),$G$5,"")),"")</f>
        <v/>
      </c>
      <c r="AY70" s="37" t="str">
        <f ca="1">IFERROR(+IF(AY$29=ProposalToGnatt[[#This Row],[Start Date]],Milestone_Marker,IF(AND(AY$29&gt;ProposalToGnatt[[#This Row],[Start Date]],AY$29&lt;ProposalToGnatt[[#This Row],[Start Date]]+ProposalToGnatt[[#This Row],[Days]]),$G$5,"")),"")</f>
        <v/>
      </c>
      <c r="AZ70" s="37" t="str">
        <f ca="1">IFERROR(+IF(AZ$29=ProposalToGnatt[[#This Row],[Start Date]],Milestone_Marker,IF(AND(AZ$29&gt;ProposalToGnatt[[#This Row],[Start Date]],AZ$29&lt;ProposalToGnatt[[#This Row],[Start Date]]+ProposalToGnatt[[#This Row],[Days]]),$G$5,"")),"")</f>
        <v/>
      </c>
      <c r="BA70" s="37" t="str">
        <f ca="1">IFERROR(+IF(BA$29=ProposalToGnatt[[#This Row],[Start Date]],Milestone_Marker,IF(AND(BA$29&gt;ProposalToGnatt[[#This Row],[Start Date]],BA$29&lt;ProposalToGnatt[[#This Row],[Start Date]]+ProposalToGnatt[[#This Row],[Days]]),$G$5,"")),"")</f>
        <v/>
      </c>
      <c r="BB70" s="37" t="str">
        <f ca="1">IFERROR(+IF(BB$29=ProposalToGnatt[[#This Row],[Start Date]],Milestone_Marker,IF(AND(BB$29&gt;ProposalToGnatt[[#This Row],[Start Date]],BB$29&lt;ProposalToGnatt[[#This Row],[Start Date]]+ProposalToGnatt[[#This Row],[Days]]),$G$5,"")),"")</f>
        <v/>
      </c>
      <c r="BC70" s="37" t="str">
        <f ca="1">IFERROR(+IF(BC$29=ProposalToGnatt[[#This Row],[Start Date]],Milestone_Marker,IF(AND(BC$29&gt;ProposalToGnatt[[#This Row],[Start Date]],BC$29&lt;ProposalToGnatt[[#This Row],[Start Date]]+ProposalToGnatt[[#This Row],[Days]]),$G$5,"")),"")</f>
        <v/>
      </c>
      <c r="BD70" s="37" t="str">
        <f ca="1">IFERROR(+IF(BD$29=ProposalToGnatt[[#This Row],[Start Date]],Milestone_Marker,IF(AND(BD$29&gt;ProposalToGnatt[[#This Row],[Start Date]],BD$29&lt;ProposalToGnatt[[#This Row],[Start Date]]+ProposalToGnatt[[#This Row],[Days]]),$G$5,"")),"")</f>
        <v/>
      </c>
      <c r="BE70" s="37" t="str">
        <f ca="1">IFERROR(+IF(BE$29=ProposalToGnatt[[#This Row],[Start Date]],Milestone_Marker,IF(AND(BE$29&gt;ProposalToGnatt[[#This Row],[Start Date]],BE$29&lt;ProposalToGnatt[[#This Row],[Start Date]]+ProposalToGnatt[[#This Row],[Days]]),$G$5,"")),"")</f>
        <v/>
      </c>
      <c r="BF70" s="37" t="str">
        <f ca="1">IFERROR(+IF(BF$29=ProposalToGnatt[[#This Row],[Start Date]],Milestone_Marker,IF(AND(BF$29&gt;ProposalToGnatt[[#This Row],[Start Date]],BF$29&lt;ProposalToGnatt[[#This Row],[Start Date]]+ProposalToGnatt[[#This Row],[Days]]),$G$5,"")),"")</f>
        <v/>
      </c>
      <c r="BG70" s="37" t="str">
        <f ca="1">IFERROR(+IF(BG$29=ProposalToGnatt[[#This Row],[Start Date]],Milestone_Marker,IF(AND(BG$29&gt;ProposalToGnatt[[#This Row],[Start Date]],BG$29&lt;ProposalToGnatt[[#This Row],[Start Date]]+ProposalToGnatt[[#This Row],[Days]]),$G$5,"")),"")</f>
        <v/>
      </c>
      <c r="BH70" s="37" t="str">
        <f ca="1">IFERROR(+IF(BH$29=ProposalToGnatt[[#This Row],[Start Date]],Milestone_Marker,IF(AND(BH$29&gt;ProposalToGnatt[[#This Row],[Start Date]],BH$29&lt;ProposalToGnatt[[#This Row],[Start Date]]+ProposalToGnatt[[#This Row],[Days]]),$G$5,"")),"")</f>
        <v/>
      </c>
      <c r="BI70" s="37" t="str">
        <f ca="1">IFERROR(+IF(BI$29=ProposalToGnatt[[#This Row],[Start Date]],Milestone_Marker,IF(AND(BI$29&gt;ProposalToGnatt[[#This Row],[Start Date]],BI$29&lt;ProposalToGnatt[[#This Row],[Start Date]]+ProposalToGnatt[[#This Row],[Days]]),$G$5,"")),"")</f>
        <v/>
      </c>
      <c r="BJ70" s="37" t="str">
        <f ca="1">IFERROR(+IF(BJ$29=ProposalToGnatt[[#This Row],[Start Date]],Milestone_Marker,IF(AND(BJ$29&gt;ProposalToGnatt[[#This Row],[Start Date]],BJ$29&lt;ProposalToGnatt[[#This Row],[Start Date]]+ProposalToGnatt[[#This Row],[Days]]),$G$5,"")),"")</f>
        <v/>
      </c>
      <c r="BK70" s="37" t="str">
        <f ca="1">IFERROR(+IF(BK$29=ProposalToGnatt[[#This Row],[Start Date]],Milestone_Marker,IF(AND(BK$29&gt;ProposalToGnatt[[#This Row],[Start Date]],BK$29&lt;ProposalToGnatt[[#This Row],[Start Date]]+ProposalToGnatt[[#This Row],[Days]]),$G$5,"")),"")</f>
        <v/>
      </c>
      <c r="BL70" s="37" t="str">
        <f ca="1">IFERROR(+IF(BL$29=ProposalToGnatt[[#This Row],[Start Date]],Milestone_Marker,IF(AND(BL$29&gt;ProposalToGnatt[[#This Row],[Start Date]],BL$29&lt;ProposalToGnatt[[#This Row],[Start Date]]+ProposalToGnatt[[#This Row],[Days]]),$G$5,"")),"")</f>
        <v/>
      </c>
      <c r="BM70" s="37" t="str">
        <f ca="1">IFERROR(+IF(BM$29=ProposalToGnatt[[#This Row],[Start Date]],Milestone_Marker,IF(AND(BM$29&gt;ProposalToGnatt[[#This Row],[Start Date]],BM$29&lt;ProposalToGnatt[[#This Row],[Start Date]]+ProposalToGnatt[[#This Row],[Days]]),$G$5,"")),"")</f>
        <v/>
      </c>
      <c r="BN70" s="37" t="str">
        <f ca="1">IFERROR(+IF(BN$29=ProposalToGnatt[[#This Row],[Start Date]],Milestone_Marker,IF(AND(BN$29&gt;ProposalToGnatt[[#This Row],[Start Date]],BN$29&lt;ProposalToGnatt[[#This Row],[Start Date]]+ProposalToGnatt[[#This Row],[Days]]),$G$5,"")),"")</f>
        <v/>
      </c>
      <c r="BO70" s="37" t="str">
        <f ca="1">IFERROR(+IF(BO$29=ProposalToGnatt[[#This Row],[Start Date]],Milestone_Marker,IF(AND(BO$29&gt;ProposalToGnatt[[#This Row],[Start Date]],BO$29&lt;ProposalToGnatt[[#This Row],[Start Date]]+ProposalToGnatt[[#This Row],[Days]]),$G$5,"")),"")</f>
        <v/>
      </c>
      <c r="BP70" s="37" t="str">
        <f ca="1">IFERROR(+IF(BP$29=ProposalToGnatt[[#This Row],[Start Date]],Milestone_Marker,IF(AND(BP$29&gt;ProposalToGnatt[[#This Row],[Start Date]],BP$29&lt;ProposalToGnatt[[#This Row],[Start Date]]+ProposalToGnatt[[#This Row],[Days]]),$G$5,"")),"")</f>
        <v/>
      </c>
      <c r="BQ70" s="37" t="str">
        <f ca="1">IFERROR(+IF(BQ$29=ProposalToGnatt[[#This Row],[Start Date]],Milestone_Marker,IF(AND(BQ$29&gt;ProposalToGnatt[[#This Row],[Start Date]],BQ$29&lt;ProposalToGnatt[[#This Row],[Start Date]]+ProposalToGnatt[[#This Row],[Days]]),$G$5,"")),"")</f>
        <v/>
      </c>
      <c r="BR70" s="37" t="str">
        <f ca="1">IFERROR(+IF(BR$29=ProposalToGnatt[[#This Row],[Start Date]],Milestone_Marker,IF(AND(BR$29&gt;ProposalToGnatt[[#This Row],[Start Date]],BR$29&lt;ProposalToGnatt[[#This Row],[Start Date]]+ProposalToGnatt[[#This Row],[Days]]),$G$5,"")),"")</f>
        <v/>
      </c>
      <c r="BS70" s="37" t="str">
        <f ca="1">IFERROR(+IF(BS$29=ProposalToGnatt[[#This Row],[Start Date]],Milestone_Marker,IF(AND(BS$29&gt;ProposalToGnatt[[#This Row],[Start Date]],BS$29&lt;ProposalToGnatt[[#This Row],[Start Date]]+ProposalToGnatt[[#This Row],[Days]]),$G$5,"")),"")</f>
        <v/>
      </c>
      <c r="BT70" s="37" t="str">
        <f ca="1">IFERROR(+IF(BT$29=ProposalToGnatt[[#This Row],[Start Date]],Milestone_Marker,IF(AND(BT$29&gt;ProposalToGnatt[[#This Row],[Start Date]],BT$29&lt;ProposalToGnatt[[#This Row],[Start Date]]+ProposalToGnatt[[#This Row],[Days]]),$G$5,"")),"")</f>
        <v/>
      </c>
      <c r="BU70" s="37" t="str">
        <f ca="1">IFERROR(+IF(BU$29=ProposalToGnatt[[#This Row],[Start Date]],Milestone_Marker,IF(AND(BU$29&gt;ProposalToGnatt[[#This Row],[Start Date]],BU$29&lt;ProposalToGnatt[[#This Row],[Start Date]]+ProposalToGnatt[[#This Row],[Days]]),$G$5,"")),"")</f>
        <v/>
      </c>
      <c r="BV70" s="37" t="str">
        <f ca="1">IFERROR(+IF(BV$29=ProposalToGnatt[[#This Row],[Start Date]],Milestone_Marker,IF(AND(BV$29&gt;ProposalToGnatt[[#This Row],[Start Date]],BV$29&lt;ProposalToGnatt[[#This Row],[Start Date]]+ProposalToGnatt[[#This Row],[Days]]),$G$5,"")),"")</f>
        <v/>
      </c>
      <c r="BW70" s="37" t="str">
        <f ca="1">IFERROR(+IF(BW$29=ProposalToGnatt[[#This Row],[Start Date]],Milestone_Marker,IF(AND(BW$29&gt;ProposalToGnatt[[#This Row],[Start Date]],BW$29&lt;ProposalToGnatt[[#This Row],[Start Date]]+ProposalToGnatt[[#This Row],[Days]]),$G$5,"")),"")</f>
        <v/>
      </c>
      <c r="BX70" s="37" t="str">
        <f ca="1">IFERROR(+IF(BX$29=ProposalToGnatt[[#This Row],[Start Date]],Milestone_Marker,IF(AND(BX$29&gt;ProposalToGnatt[[#This Row],[Start Date]],BX$29&lt;ProposalToGnatt[[#This Row],[Start Date]]+ProposalToGnatt[[#This Row],[Days]]),$G$5,"")),"")</f>
        <v/>
      </c>
      <c r="BY70" s="37" t="str">
        <f ca="1">IFERROR(+IF(BY$29=ProposalToGnatt[[#This Row],[Start Date]],Milestone_Marker,IF(AND(BY$29&gt;ProposalToGnatt[[#This Row],[Start Date]],BY$29&lt;ProposalToGnatt[[#This Row],[Start Date]]+ProposalToGnatt[[#This Row],[Days]]),$G$5,"")),"")</f>
        <v/>
      </c>
      <c r="BZ70" s="37" t="str">
        <f ca="1">IFERROR(+IF(BZ$29=ProposalToGnatt[[#This Row],[Start Date]],Milestone_Marker,IF(AND(BZ$29&gt;ProposalToGnatt[[#This Row],[Start Date]],BZ$29&lt;ProposalToGnatt[[#This Row],[Start Date]]+ProposalToGnatt[[#This Row],[Days]]),$G$5,"")),"")</f>
        <v/>
      </c>
      <c r="CA70" s="37" t="str">
        <f ca="1">IFERROR(+IF(CA$29=ProposalToGnatt[[#This Row],[Start Date]],Milestone_Marker,IF(AND(CA$29&gt;ProposalToGnatt[[#This Row],[Start Date]],CA$29&lt;ProposalToGnatt[[#This Row],[Start Date]]+ProposalToGnatt[[#This Row],[Days]]),$G$5,"")),"")</f>
        <v/>
      </c>
      <c r="CB70" s="37" t="str">
        <f ca="1">IFERROR(+IF(CB$29=ProposalToGnatt[[#This Row],[Start Date]],Milestone_Marker,IF(AND(CB$29&gt;ProposalToGnatt[[#This Row],[Start Date]],CB$29&lt;ProposalToGnatt[[#This Row],[Start Date]]+ProposalToGnatt[[#This Row],[Days]]),$G$5,"")),"")</f>
        <v/>
      </c>
      <c r="CC70" s="37" t="str">
        <f ca="1">IFERROR(+IF(CC$29=ProposalToGnatt[[#This Row],[Start Date]],Milestone_Marker,IF(AND(CC$29&gt;ProposalToGnatt[[#This Row],[Start Date]],CC$29&lt;ProposalToGnatt[[#This Row],[Start Date]]+ProposalToGnatt[[#This Row],[Days]]),$G$5,"")),"")</f>
        <v/>
      </c>
      <c r="CD70" s="37" t="str">
        <f ca="1">IFERROR(+IF(CD$29=ProposalToGnatt[[#This Row],[Start Date]],Milestone_Marker,IF(AND(CD$29&gt;ProposalToGnatt[[#This Row],[Start Date]],CD$29&lt;ProposalToGnatt[[#This Row],[Start Date]]+ProposalToGnatt[[#This Row],[Days]]),$G$5,"")),"")</f>
        <v/>
      </c>
      <c r="CE70" s="37" t="str">
        <f ca="1">IFERROR(+IF(CE$29=ProposalToGnatt[[#This Row],[Start Date]],Milestone_Marker,IF(AND(CE$29&gt;ProposalToGnatt[[#This Row],[Start Date]],CE$29&lt;ProposalToGnatt[[#This Row],[Start Date]]+ProposalToGnatt[[#This Row],[Days]]),$G$5,"")),"")</f>
        <v/>
      </c>
      <c r="CF70" s="37" t="str">
        <f ca="1">IFERROR(+IF(CF$29=ProposalToGnatt[[#This Row],[Start Date]],Milestone_Marker,IF(AND(CF$29&gt;ProposalToGnatt[[#This Row],[Start Date]],CF$29&lt;ProposalToGnatt[[#This Row],[Start Date]]+ProposalToGnatt[[#This Row],[Days]]),$G$5,"")),"")</f>
        <v/>
      </c>
      <c r="CG70" s="37" t="str">
        <f ca="1">IFERROR(+IF(CG$29=ProposalToGnatt[[#This Row],[Start Date]],Milestone_Marker,IF(AND(CG$29&gt;ProposalToGnatt[[#This Row],[Start Date]],CG$29&lt;ProposalToGnatt[[#This Row],[Start Date]]+ProposalToGnatt[[#This Row],[Days]]),$G$5,"")),"")</f>
        <v/>
      </c>
      <c r="CH70" s="37" t="str">
        <f ca="1">IFERROR(+IF(CH$29=ProposalToGnatt[[#This Row],[Start Date]],Milestone_Marker,IF(AND(CH$29&gt;ProposalToGnatt[[#This Row],[Start Date]],CH$29&lt;ProposalToGnatt[[#This Row],[Start Date]]+ProposalToGnatt[[#This Row],[Days]]),$G$5,"")),"")</f>
        <v/>
      </c>
      <c r="CI70" s="37" t="str">
        <f ca="1">IFERROR(+IF(CI$29=ProposalToGnatt[[#This Row],[Start Date]],Milestone_Marker,IF(AND(CI$29&gt;ProposalToGnatt[[#This Row],[Start Date]],CI$29&lt;ProposalToGnatt[[#This Row],[Start Date]]+ProposalToGnatt[[#This Row],[Days]]),$G$5,"")),"")</f>
        <v/>
      </c>
      <c r="CJ70" s="37" t="str">
        <f ca="1">IFERROR(+IF(CJ$29=ProposalToGnatt[[#This Row],[Start Date]],Milestone_Marker,IF(AND(CJ$29&gt;ProposalToGnatt[[#This Row],[Start Date]],CJ$29&lt;ProposalToGnatt[[#This Row],[Start Date]]+ProposalToGnatt[[#This Row],[Days]]),$G$5,"")),"")</f>
        <v/>
      </c>
      <c r="CK70" s="37" t="str">
        <f ca="1">IFERROR(+IF(CK$29=ProposalToGnatt[[#This Row],[Start Date]],Milestone_Marker,IF(AND(CK$29&gt;ProposalToGnatt[[#This Row],[Start Date]],CK$29&lt;ProposalToGnatt[[#This Row],[Start Date]]+ProposalToGnatt[[#This Row],[Days]]),$G$5,"")),"")</f>
        <v/>
      </c>
      <c r="CL70" s="37" t="str">
        <f ca="1">IFERROR(+IF(CL$29=ProposalToGnatt[[#This Row],[Start Date]],Milestone_Marker,IF(AND(CL$29&gt;ProposalToGnatt[[#This Row],[Start Date]],CL$29&lt;ProposalToGnatt[[#This Row],[Start Date]]+ProposalToGnatt[[#This Row],[Days]]),$G$5,"")),"")</f>
        <v/>
      </c>
      <c r="CM70" s="37" t="str">
        <f ca="1">IFERROR(+IF(CM$29=ProposalToGnatt[[#This Row],[Start Date]],Milestone_Marker,IF(AND(CM$29&gt;ProposalToGnatt[[#This Row],[Start Date]],CM$29&lt;ProposalToGnatt[[#This Row],[Start Date]]+ProposalToGnatt[[#This Row],[Days]]),$G$5,"")),"")</f>
        <v/>
      </c>
      <c r="CN70" s="37" t="str">
        <f ca="1">IFERROR(+IF(CN$29=ProposalToGnatt[[#This Row],[Start Date]],Milestone_Marker,IF(AND(CN$29&gt;ProposalToGnatt[[#This Row],[Start Date]],CN$29&lt;ProposalToGnatt[[#This Row],[Start Date]]+ProposalToGnatt[[#This Row],[Days]]),$G$5,"")),"")</f>
        <v/>
      </c>
      <c r="CO70" s="37" t="str">
        <f ca="1">IFERROR(+IF(CO$29=ProposalToGnatt[[#This Row],[Start Date]],Milestone_Marker,IF(AND(CO$29&gt;ProposalToGnatt[[#This Row],[Start Date]],CO$29&lt;ProposalToGnatt[[#This Row],[Start Date]]+ProposalToGnatt[[#This Row],[Days]]),$G$5,"")),"")</f>
        <v/>
      </c>
      <c r="CP70" s="37" t="str">
        <f ca="1">IFERROR(+IF(CP$29=ProposalToGnatt[[#This Row],[Start Date]],Milestone_Marker,IF(AND(CP$29&gt;ProposalToGnatt[[#This Row],[Start Date]],CP$29&lt;ProposalToGnatt[[#This Row],[Start Date]]+ProposalToGnatt[[#This Row],[Days]]),$G$5,"")),"")</f>
        <v/>
      </c>
      <c r="CQ70" s="37" t="str">
        <f ca="1">IFERROR(+IF(CQ$29=ProposalToGnatt[[#This Row],[Start Date]],Milestone_Marker,IF(AND(CQ$29&gt;ProposalToGnatt[[#This Row],[Start Date]],CQ$29&lt;ProposalToGnatt[[#This Row],[Start Date]]+ProposalToGnatt[[#This Row],[Days]]),$G$5,"")),"")</f>
        <v/>
      </c>
      <c r="CR70" s="37" t="str">
        <f ca="1">IFERROR(+IF(CR$29=ProposalToGnatt[[#This Row],[Start Date]],Milestone_Marker,IF(AND(CR$29&gt;ProposalToGnatt[[#This Row],[Start Date]],CR$29&lt;ProposalToGnatt[[#This Row],[Start Date]]+ProposalToGnatt[[#This Row],[Days]]),$G$5,"")),"")</f>
        <v/>
      </c>
      <c r="CS70" s="37" t="str">
        <f ca="1">IFERROR(+IF(CS$29=ProposalToGnatt[[#This Row],[Start Date]],Milestone_Marker,IF(AND(CS$29&gt;ProposalToGnatt[[#This Row],[Start Date]],CS$29&lt;ProposalToGnatt[[#This Row],[Start Date]]+ProposalToGnatt[[#This Row],[Days]]),$G$5,"")),"")</f>
        <v/>
      </c>
      <c r="CT70" s="37" t="str">
        <f ca="1">IFERROR(+IF(CT$29=ProposalToGnatt[[#This Row],[Start Date]],Milestone_Marker,IF(AND(CT$29&gt;ProposalToGnatt[[#This Row],[Start Date]],CT$29&lt;ProposalToGnatt[[#This Row],[Start Date]]+ProposalToGnatt[[#This Row],[Days]]),$G$5,"")),"")</f>
        <v/>
      </c>
      <c r="CU70" s="37" t="str">
        <f ca="1">IFERROR(+IF(CU$29=ProposalToGnatt[[#This Row],[Start Date]],Milestone_Marker,IF(AND(CU$29&gt;ProposalToGnatt[[#This Row],[Start Date]],CU$29&lt;ProposalToGnatt[[#This Row],[Start Date]]+ProposalToGnatt[[#This Row],[Days]]),$G$5,"")),"")</f>
        <v/>
      </c>
      <c r="CV70" s="37"/>
      <c r="CW70" s="37"/>
      <c r="CX70" s="37"/>
      <c r="CY70" s="37"/>
      <c r="CZ70" s="37"/>
      <c r="DA70" s="37"/>
      <c r="DB70" s="37"/>
      <c r="DC70" s="37"/>
      <c r="DD70" s="37"/>
      <c r="DE70" s="37"/>
      <c r="DF70" s="37"/>
      <c r="DG70" s="37"/>
      <c r="DH70" s="37"/>
      <c r="DI70" s="37"/>
      <c r="DJ70" s="37"/>
      <c r="DK70" s="37"/>
      <c r="DL70" s="37"/>
      <c r="DM70" s="37"/>
      <c r="DN70" s="37"/>
      <c r="DO70" s="37"/>
      <c r="DP70" s="37"/>
      <c r="DQ70" s="37"/>
      <c r="DR70" s="37"/>
      <c r="DS70" s="37"/>
      <c r="DT70" s="37"/>
      <c r="DU70" s="37"/>
    </row>
    <row r="71" spans="1:125" s="42" customFormat="1" ht="15">
      <c r="A71"/>
      <c r="B71"/>
      <c r="C71"/>
      <c r="D71"/>
      <c r="E71"/>
      <c r="F71"/>
      <c r="G71" s="11"/>
      <c r="H71" s="26"/>
      <c r="I71"/>
      <c r="J71"/>
      <c r="K71" s="402"/>
      <c r="L71"/>
      <c r="M71"/>
      <c r="N71"/>
      <c r="O71" s="26"/>
      <c r="P71" s="37" t="str">
        <f ca="1">IFERROR(+IF(P$29=ProposalToGnatt[[#This Row],[Start Date]],Milestone_Marker,IF(AND(P$29&gt;ProposalToGnatt[[#This Row],[Start Date]],P$29&lt;ProposalToGnatt[[#This Row],[Start Date]]+ProposalToGnatt[[#This Row],[Days]]),$G$5,"")),"")</f>
        <v/>
      </c>
      <c r="Q71" s="37" t="str">
        <f ca="1">IFERROR(+IF(Q$29=ProposalToGnatt[[#This Row],[Start Date]],Milestone_Marker,IF(AND(Q$29&gt;ProposalToGnatt[[#This Row],[Start Date]],Q$29&lt;ProposalToGnatt[[#This Row],[Start Date]]+ProposalToGnatt[[#This Row],[Days]]),$G$5,"")),"")</f>
        <v/>
      </c>
      <c r="R71" s="37" t="str">
        <f ca="1">IFERROR(+IF(R$29=ProposalToGnatt[[#This Row],[Start Date]],Milestone_Marker,IF(AND(R$29&gt;ProposalToGnatt[[#This Row],[Start Date]],R$29&lt;ProposalToGnatt[[#This Row],[Start Date]]+ProposalToGnatt[[#This Row],[Days]]),$G$5,"")),"")</f>
        <v/>
      </c>
      <c r="S71" s="37" t="str">
        <f ca="1">IFERROR(+IF(S$29=ProposalToGnatt[[#This Row],[Start Date]],Milestone_Marker,IF(AND(S$29&gt;ProposalToGnatt[[#This Row],[Start Date]],S$29&lt;ProposalToGnatt[[#This Row],[Start Date]]+ProposalToGnatt[[#This Row],[Days]]),$G$5,"")),"")</f>
        <v/>
      </c>
      <c r="T71" s="37" t="str">
        <f ca="1">IFERROR(+IF(T$29=ProposalToGnatt[[#This Row],[Start Date]],Milestone_Marker,IF(AND(T$29&gt;ProposalToGnatt[[#This Row],[Start Date]],T$29&lt;ProposalToGnatt[[#This Row],[Start Date]]+ProposalToGnatt[[#This Row],[Days]]),$G$5,"")),"")</f>
        <v/>
      </c>
      <c r="U71" s="37" t="str">
        <f ca="1">IFERROR(+IF(U$29=ProposalToGnatt[[#This Row],[Start Date]],Milestone_Marker,IF(AND(U$29&gt;ProposalToGnatt[[#This Row],[Start Date]],U$29&lt;ProposalToGnatt[[#This Row],[Start Date]]+ProposalToGnatt[[#This Row],[Days]]),$G$5,"")),"")</f>
        <v/>
      </c>
      <c r="V71" s="37" t="str">
        <f ca="1">IFERROR(+IF(V$29=ProposalToGnatt[[#This Row],[Start Date]],Milestone_Marker,IF(AND(V$29&gt;ProposalToGnatt[[#This Row],[Start Date]],V$29&lt;ProposalToGnatt[[#This Row],[Start Date]]+ProposalToGnatt[[#This Row],[Days]]),$G$5,"")),"")</f>
        <v/>
      </c>
      <c r="W71" s="37" t="str">
        <f ca="1">IFERROR(+IF(W$29=ProposalToGnatt[[#This Row],[Start Date]],Milestone_Marker,IF(AND(W$29&gt;ProposalToGnatt[[#This Row],[Start Date]],W$29&lt;ProposalToGnatt[[#This Row],[Start Date]]+ProposalToGnatt[[#This Row],[Days]]),$G$5,"")),"")</f>
        <v/>
      </c>
      <c r="X71" s="37" t="str">
        <f ca="1">IFERROR(+IF(X$29=ProposalToGnatt[[#This Row],[Start Date]],Milestone_Marker,IF(AND(X$29&gt;ProposalToGnatt[[#This Row],[Start Date]],X$29&lt;ProposalToGnatt[[#This Row],[Start Date]]+ProposalToGnatt[[#This Row],[Days]]),$G$5,"")),"")</f>
        <v/>
      </c>
      <c r="Y71" s="37" t="str">
        <f ca="1">IFERROR(+IF(Y$29=ProposalToGnatt[[#This Row],[Start Date]],Milestone_Marker,IF(AND(Y$29&gt;ProposalToGnatt[[#This Row],[Start Date]],Y$29&lt;ProposalToGnatt[[#This Row],[Start Date]]+ProposalToGnatt[[#This Row],[Days]]),$G$5,"")),"")</f>
        <v/>
      </c>
      <c r="Z71" s="37" t="str">
        <f ca="1">IFERROR(+IF(Z$29=ProposalToGnatt[[#This Row],[Start Date]],Milestone_Marker,IF(AND(Z$29&gt;ProposalToGnatt[[#This Row],[Start Date]],Z$29&lt;ProposalToGnatt[[#This Row],[Start Date]]+ProposalToGnatt[[#This Row],[Days]]),$G$5,"")),"")</f>
        <v/>
      </c>
      <c r="AA71" s="37" t="str">
        <f ca="1">IFERROR(+IF(AA$29=ProposalToGnatt[[#This Row],[Start Date]],Milestone_Marker,IF(AND(AA$29&gt;ProposalToGnatt[[#This Row],[Start Date]],AA$29&lt;ProposalToGnatt[[#This Row],[Start Date]]+ProposalToGnatt[[#This Row],[Days]]),$G$5,"")),"")</f>
        <v/>
      </c>
      <c r="AB71" s="37" t="str">
        <f ca="1">IFERROR(+IF(AB$29=ProposalToGnatt[[#This Row],[Start Date]],Milestone_Marker,IF(AND(AB$29&gt;ProposalToGnatt[[#This Row],[Start Date]],AB$29&lt;ProposalToGnatt[[#This Row],[Start Date]]+ProposalToGnatt[[#This Row],[Days]]),$G$5,"")),"")</f>
        <v/>
      </c>
      <c r="AC71" s="37" t="str">
        <f ca="1">IFERROR(+IF(AC$29=ProposalToGnatt[[#This Row],[Start Date]],Milestone_Marker,IF(AND(AC$29&gt;ProposalToGnatt[[#This Row],[Start Date]],AC$29&lt;ProposalToGnatt[[#This Row],[Start Date]]+ProposalToGnatt[[#This Row],[Days]]),$G$5,"")),"")</f>
        <v/>
      </c>
      <c r="AD71" s="37" t="str">
        <f ca="1">IFERROR(+IF(AD$29=ProposalToGnatt[[#This Row],[Start Date]],Milestone_Marker,IF(AND(AD$29&gt;ProposalToGnatt[[#This Row],[Start Date]],AD$29&lt;ProposalToGnatt[[#This Row],[Start Date]]+ProposalToGnatt[[#This Row],[Days]]),$G$5,"")),"")</f>
        <v/>
      </c>
      <c r="AE71" s="37" t="str">
        <f ca="1">IFERROR(+IF(AE$29=ProposalToGnatt[[#This Row],[Start Date]],Milestone_Marker,IF(AND(AE$29&gt;ProposalToGnatt[[#This Row],[Start Date]],AE$29&lt;ProposalToGnatt[[#This Row],[Start Date]]+ProposalToGnatt[[#This Row],[Days]]),$G$5,"")),"")</f>
        <v/>
      </c>
      <c r="AF71" s="37" t="str">
        <f ca="1">IFERROR(+IF(AF$29=ProposalToGnatt[[#This Row],[Start Date]],Milestone_Marker,IF(AND(AF$29&gt;ProposalToGnatt[[#This Row],[Start Date]],AF$29&lt;ProposalToGnatt[[#This Row],[Start Date]]+ProposalToGnatt[[#This Row],[Days]]),$G$5,"")),"")</f>
        <v/>
      </c>
      <c r="AG71" s="37" t="str">
        <f ca="1">IFERROR(+IF(AG$29=ProposalToGnatt[[#This Row],[Start Date]],Milestone_Marker,IF(AND(AG$29&gt;ProposalToGnatt[[#This Row],[Start Date]],AG$29&lt;ProposalToGnatt[[#This Row],[Start Date]]+ProposalToGnatt[[#This Row],[Days]]),$G$5,"")),"")</f>
        <v/>
      </c>
      <c r="AH71" s="37" t="str">
        <f ca="1">IFERROR(+IF(AH$29=ProposalToGnatt[[#This Row],[Start Date]],Milestone_Marker,IF(AND(AH$29&gt;ProposalToGnatt[[#This Row],[Start Date]],AH$29&lt;ProposalToGnatt[[#This Row],[Start Date]]+ProposalToGnatt[[#This Row],[Days]]),$G$5,"")),"")</f>
        <v/>
      </c>
      <c r="AI71" s="37" t="str">
        <f ca="1">IFERROR(+IF(AI$29=ProposalToGnatt[[#This Row],[Start Date]],Milestone_Marker,IF(AND(AI$29&gt;ProposalToGnatt[[#This Row],[Start Date]],AI$29&lt;ProposalToGnatt[[#This Row],[Start Date]]+ProposalToGnatt[[#This Row],[Days]]),$G$5,"")),"")</f>
        <v/>
      </c>
      <c r="AJ71" s="37" t="str">
        <f ca="1">IFERROR(+IF(AJ$29=ProposalToGnatt[[#This Row],[Start Date]],Milestone_Marker,IF(AND(AJ$29&gt;ProposalToGnatt[[#This Row],[Start Date]],AJ$29&lt;ProposalToGnatt[[#This Row],[Start Date]]+ProposalToGnatt[[#This Row],[Days]]),$G$5,"")),"")</f>
        <v/>
      </c>
      <c r="AK71" s="37" t="str">
        <f ca="1">IFERROR(+IF(AK$29=ProposalToGnatt[[#This Row],[Start Date]],Milestone_Marker,IF(AND(AK$29&gt;ProposalToGnatt[[#This Row],[Start Date]],AK$29&lt;ProposalToGnatt[[#This Row],[Start Date]]+ProposalToGnatt[[#This Row],[Days]]),$G$5,"")),"")</f>
        <v/>
      </c>
      <c r="AL71" s="37" t="str">
        <f ca="1">IFERROR(+IF(AL$29=ProposalToGnatt[[#This Row],[Start Date]],Milestone_Marker,IF(AND(AL$29&gt;ProposalToGnatt[[#This Row],[Start Date]],AL$29&lt;ProposalToGnatt[[#This Row],[Start Date]]+ProposalToGnatt[[#This Row],[Days]]),$G$5,"")),"")</f>
        <v/>
      </c>
      <c r="AM71" s="37" t="str">
        <f ca="1">IFERROR(+IF(AM$29=ProposalToGnatt[[#This Row],[Start Date]],Milestone_Marker,IF(AND(AM$29&gt;ProposalToGnatt[[#This Row],[Start Date]],AM$29&lt;ProposalToGnatt[[#This Row],[Start Date]]+ProposalToGnatt[[#This Row],[Days]]),$G$5,"")),"")</f>
        <v/>
      </c>
      <c r="AN71" s="37" t="str">
        <f ca="1">IFERROR(+IF(AN$29=ProposalToGnatt[[#This Row],[Start Date]],Milestone_Marker,IF(AND(AN$29&gt;ProposalToGnatt[[#This Row],[Start Date]],AN$29&lt;ProposalToGnatt[[#This Row],[Start Date]]+ProposalToGnatt[[#This Row],[Days]]),$G$5,"")),"")</f>
        <v/>
      </c>
      <c r="AO71" s="37" t="str">
        <f ca="1">IFERROR(+IF(AO$29=ProposalToGnatt[[#This Row],[Start Date]],Milestone_Marker,IF(AND(AO$29&gt;ProposalToGnatt[[#This Row],[Start Date]],AO$29&lt;ProposalToGnatt[[#This Row],[Start Date]]+ProposalToGnatt[[#This Row],[Days]]),$G$5,"")),"")</f>
        <v/>
      </c>
      <c r="AP71" s="37" t="str">
        <f ca="1">IFERROR(+IF(AP$29=ProposalToGnatt[[#This Row],[Start Date]],Milestone_Marker,IF(AND(AP$29&gt;ProposalToGnatt[[#This Row],[Start Date]],AP$29&lt;ProposalToGnatt[[#This Row],[Start Date]]+ProposalToGnatt[[#This Row],[Days]]),$G$5,"")),"")</f>
        <v/>
      </c>
      <c r="AQ71" s="37" t="str">
        <f ca="1">IFERROR(+IF(AQ$29=ProposalToGnatt[[#This Row],[Start Date]],Milestone_Marker,IF(AND(AQ$29&gt;ProposalToGnatt[[#This Row],[Start Date]],AQ$29&lt;ProposalToGnatt[[#This Row],[Start Date]]+ProposalToGnatt[[#This Row],[Days]]),$G$5,"")),"")</f>
        <v/>
      </c>
      <c r="AR71" s="37" t="str">
        <f ca="1">IFERROR(+IF(AR$29=ProposalToGnatt[[#This Row],[Start Date]],Milestone_Marker,IF(AND(AR$29&gt;ProposalToGnatt[[#This Row],[Start Date]],AR$29&lt;ProposalToGnatt[[#This Row],[Start Date]]+ProposalToGnatt[[#This Row],[Days]]),$G$5,"")),"")</f>
        <v/>
      </c>
      <c r="AS71" s="37" t="str">
        <f ca="1">IFERROR(+IF(AS$29=ProposalToGnatt[[#This Row],[Start Date]],Milestone_Marker,IF(AND(AS$29&gt;ProposalToGnatt[[#This Row],[Start Date]],AS$29&lt;ProposalToGnatt[[#This Row],[Start Date]]+ProposalToGnatt[[#This Row],[Days]]),$G$5,"")),"")</f>
        <v/>
      </c>
      <c r="AT71" s="37" t="str">
        <f ca="1">IFERROR(+IF(AT$29=ProposalToGnatt[[#This Row],[Start Date]],Milestone_Marker,IF(AND(AT$29&gt;ProposalToGnatt[[#This Row],[Start Date]],AT$29&lt;ProposalToGnatt[[#This Row],[Start Date]]+ProposalToGnatt[[#This Row],[Days]]),$G$5,"")),"")</f>
        <v/>
      </c>
      <c r="AU71" s="37" t="str">
        <f ca="1">IFERROR(+IF(AU$29=ProposalToGnatt[[#This Row],[Start Date]],Milestone_Marker,IF(AND(AU$29&gt;ProposalToGnatt[[#This Row],[Start Date]],AU$29&lt;ProposalToGnatt[[#This Row],[Start Date]]+ProposalToGnatt[[#This Row],[Days]]),$G$5,"")),"")</f>
        <v/>
      </c>
      <c r="AV71" s="37" t="str">
        <f ca="1">IFERROR(+IF(AV$29=ProposalToGnatt[[#This Row],[Start Date]],Milestone_Marker,IF(AND(AV$29&gt;ProposalToGnatt[[#This Row],[Start Date]],AV$29&lt;ProposalToGnatt[[#This Row],[Start Date]]+ProposalToGnatt[[#This Row],[Days]]),$G$5,"")),"")</f>
        <v/>
      </c>
      <c r="AW71" s="37" t="str">
        <f ca="1">IFERROR(+IF(AW$29=ProposalToGnatt[[#This Row],[Start Date]],Milestone_Marker,IF(AND(AW$29&gt;ProposalToGnatt[[#This Row],[Start Date]],AW$29&lt;ProposalToGnatt[[#This Row],[Start Date]]+ProposalToGnatt[[#This Row],[Days]]),$G$5,"")),"")</f>
        <v/>
      </c>
      <c r="AX71" s="37" t="str">
        <f ca="1">IFERROR(+IF(AX$29=ProposalToGnatt[[#This Row],[Start Date]],Milestone_Marker,IF(AND(AX$29&gt;ProposalToGnatt[[#This Row],[Start Date]],AX$29&lt;ProposalToGnatt[[#This Row],[Start Date]]+ProposalToGnatt[[#This Row],[Days]]),$G$5,"")),"")</f>
        <v/>
      </c>
      <c r="AY71" s="37" t="str">
        <f ca="1">IFERROR(+IF(AY$29=ProposalToGnatt[[#This Row],[Start Date]],Milestone_Marker,IF(AND(AY$29&gt;ProposalToGnatt[[#This Row],[Start Date]],AY$29&lt;ProposalToGnatt[[#This Row],[Start Date]]+ProposalToGnatt[[#This Row],[Days]]),$G$5,"")),"")</f>
        <v/>
      </c>
      <c r="AZ71" s="37" t="str">
        <f ca="1">IFERROR(+IF(AZ$29=ProposalToGnatt[[#This Row],[Start Date]],Milestone_Marker,IF(AND(AZ$29&gt;ProposalToGnatt[[#This Row],[Start Date]],AZ$29&lt;ProposalToGnatt[[#This Row],[Start Date]]+ProposalToGnatt[[#This Row],[Days]]),$G$5,"")),"")</f>
        <v/>
      </c>
      <c r="BA71" s="37" t="str">
        <f ca="1">IFERROR(+IF(BA$29=ProposalToGnatt[[#This Row],[Start Date]],Milestone_Marker,IF(AND(BA$29&gt;ProposalToGnatt[[#This Row],[Start Date]],BA$29&lt;ProposalToGnatt[[#This Row],[Start Date]]+ProposalToGnatt[[#This Row],[Days]]),$G$5,"")),"")</f>
        <v/>
      </c>
      <c r="BB71" s="37" t="str">
        <f ca="1">IFERROR(+IF(BB$29=ProposalToGnatt[[#This Row],[Start Date]],Milestone_Marker,IF(AND(BB$29&gt;ProposalToGnatt[[#This Row],[Start Date]],BB$29&lt;ProposalToGnatt[[#This Row],[Start Date]]+ProposalToGnatt[[#This Row],[Days]]),$G$5,"")),"")</f>
        <v/>
      </c>
      <c r="BC71" s="37" t="str">
        <f ca="1">IFERROR(+IF(BC$29=ProposalToGnatt[[#This Row],[Start Date]],Milestone_Marker,IF(AND(BC$29&gt;ProposalToGnatt[[#This Row],[Start Date]],BC$29&lt;ProposalToGnatt[[#This Row],[Start Date]]+ProposalToGnatt[[#This Row],[Days]]),$G$5,"")),"")</f>
        <v/>
      </c>
      <c r="BD71" s="37" t="str">
        <f ca="1">IFERROR(+IF(BD$29=ProposalToGnatt[[#This Row],[Start Date]],Milestone_Marker,IF(AND(BD$29&gt;ProposalToGnatt[[#This Row],[Start Date]],BD$29&lt;ProposalToGnatt[[#This Row],[Start Date]]+ProposalToGnatt[[#This Row],[Days]]),$G$5,"")),"")</f>
        <v/>
      </c>
      <c r="BE71" s="37" t="str">
        <f ca="1">IFERROR(+IF(BE$29=ProposalToGnatt[[#This Row],[Start Date]],Milestone_Marker,IF(AND(BE$29&gt;ProposalToGnatt[[#This Row],[Start Date]],BE$29&lt;ProposalToGnatt[[#This Row],[Start Date]]+ProposalToGnatt[[#This Row],[Days]]),$G$5,"")),"")</f>
        <v/>
      </c>
      <c r="BF71" s="37" t="str">
        <f ca="1">IFERROR(+IF(BF$29=ProposalToGnatt[[#This Row],[Start Date]],Milestone_Marker,IF(AND(BF$29&gt;ProposalToGnatt[[#This Row],[Start Date]],BF$29&lt;ProposalToGnatt[[#This Row],[Start Date]]+ProposalToGnatt[[#This Row],[Days]]),$G$5,"")),"")</f>
        <v/>
      </c>
      <c r="BG71" s="37" t="str">
        <f ca="1">IFERROR(+IF(BG$29=ProposalToGnatt[[#This Row],[Start Date]],Milestone_Marker,IF(AND(BG$29&gt;ProposalToGnatt[[#This Row],[Start Date]],BG$29&lt;ProposalToGnatt[[#This Row],[Start Date]]+ProposalToGnatt[[#This Row],[Days]]),$G$5,"")),"")</f>
        <v/>
      </c>
      <c r="BH71" s="37" t="str">
        <f ca="1">IFERROR(+IF(BH$29=ProposalToGnatt[[#This Row],[Start Date]],Milestone_Marker,IF(AND(BH$29&gt;ProposalToGnatt[[#This Row],[Start Date]],BH$29&lt;ProposalToGnatt[[#This Row],[Start Date]]+ProposalToGnatt[[#This Row],[Days]]),$G$5,"")),"")</f>
        <v/>
      </c>
      <c r="BI71" s="37" t="str">
        <f ca="1">IFERROR(+IF(BI$29=ProposalToGnatt[[#This Row],[Start Date]],Milestone_Marker,IF(AND(BI$29&gt;ProposalToGnatt[[#This Row],[Start Date]],BI$29&lt;ProposalToGnatt[[#This Row],[Start Date]]+ProposalToGnatt[[#This Row],[Days]]),$G$5,"")),"")</f>
        <v/>
      </c>
      <c r="BJ71" s="37" t="str">
        <f ca="1">IFERROR(+IF(BJ$29=ProposalToGnatt[[#This Row],[Start Date]],Milestone_Marker,IF(AND(BJ$29&gt;ProposalToGnatt[[#This Row],[Start Date]],BJ$29&lt;ProposalToGnatt[[#This Row],[Start Date]]+ProposalToGnatt[[#This Row],[Days]]),$G$5,"")),"")</f>
        <v/>
      </c>
      <c r="BK71" s="37" t="str">
        <f ca="1">IFERROR(+IF(BK$29=ProposalToGnatt[[#This Row],[Start Date]],Milestone_Marker,IF(AND(BK$29&gt;ProposalToGnatt[[#This Row],[Start Date]],BK$29&lt;ProposalToGnatt[[#This Row],[Start Date]]+ProposalToGnatt[[#This Row],[Days]]),$G$5,"")),"")</f>
        <v/>
      </c>
      <c r="BL71" s="37" t="str">
        <f ca="1">IFERROR(+IF(BL$29=ProposalToGnatt[[#This Row],[Start Date]],Milestone_Marker,IF(AND(BL$29&gt;ProposalToGnatt[[#This Row],[Start Date]],BL$29&lt;ProposalToGnatt[[#This Row],[Start Date]]+ProposalToGnatt[[#This Row],[Days]]),$G$5,"")),"")</f>
        <v/>
      </c>
      <c r="BM71" s="37" t="str">
        <f ca="1">IFERROR(+IF(BM$29=ProposalToGnatt[[#This Row],[Start Date]],Milestone_Marker,IF(AND(BM$29&gt;ProposalToGnatt[[#This Row],[Start Date]],BM$29&lt;ProposalToGnatt[[#This Row],[Start Date]]+ProposalToGnatt[[#This Row],[Days]]),$G$5,"")),"")</f>
        <v/>
      </c>
      <c r="BN71" s="37" t="str">
        <f ca="1">IFERROR(+IF(BN$29=ProposalToGnatt[[#This Row],[Start Date]],Milestone_Marker,IF(AND(BN$29&gt;ProposalToGnatt[[#This Row],[Start Date]],BN$29&lt;ProposalToGnatt[[#This Row],[Start Date]]+ProposalToGnatt[[#This Row],[Days]]),$G$5,"")),"")</f>
        <v/>
      </c>
      <c r="BO71" s="37" t="str">
        <f ca="1">IFERROR(+IF(BO$29=ProposalToGnatt[[#This Row],[Start Date]],Milestone_Marker,IF(AND(BO$29&gt;ProposalToGnatt[[#This Row],[Start Date]],BO$29&lt;ProposalToGnatt[[#This Row],[Start Date]]+ProposalToGnatt[[#This Row],[Days]]),$G$5,"")),"")</f>
        <v/>
      </c>
      <c r="BP71" s="37" t="str">
        <f ca="1">IFERROR(+IF(BP$29=ProposalToGnatt[[#This Row],[Start Date]],Milestone_Marker,IF(AND(BP$29&gt;ProposalToGnatt[[#This Row],[Start Date]],BP$29&lt;ProposalToGnatt[[#This Row],[Start Date]]+ProposalToGnatt[[#This Row],[Days]]),$G$5,"")),"")</f>
        <v/>
      </c>
      <c r="BQ71" s="37" t="str">
        <f ca="1">IFERROR(+IF(BQ$29=ProposalToGnatt[[#This Row],[Start Date]],Milestone_Marker,IF(AND(BQ$29&gt;ProposalToGnatt[[#This Row],[Start Date]],BQ$29&lt;ProposalToGnatt[[#This Row],[Start Date]]+ProposalToGnatt[[#This Row],[Days]]),$G$5,"")),"")</f>
        <v/>
      </c>
      <c r="BR71" s="37" t="str">
        <f ca="1">IFERROR(+IF(BR$29=ProposalToGnatt[[#This Row],[Start Date]],Milestone_Marker,IF(AND(BR$29&gt;ProposalToGnatt[[#This Row],[Start Date]],BR$29&lt;ProposalToGnatt[[#This Row],[Start Date]]+ProposalToGnatt[[#This Row],[Days]]),$G$5,"")),"")</f>
        <v/>
      </c>
      <c r="BS71" s="37" t="str">
        <f ca="1">IFERROR(+IF(BS$29=ProposalToGnatt[[#This Row],[Start Date]],Milestone_Marker,IF(AND(BS$29&gt;ProposalToGnatt[[#This Row],[Start Date]],BS$29&lt;ProposalToGnatt[[#This Row],[Start Date]]+ProposalToGnatt[[#This Row],[Days]]),$G$5,"")),"")</f>
        <v/>
      </c>
      <c r="BT71" s="37" t="str">
        <f ca="1">IFERROR(+IF(BT$29=ProposalToGnatt[[#This Row],[Start Date]],Milestone_Marker,IF(AND(BT$29&gt;ProposalToGnatt[[#This Row],[Start Date]],BT$29&lt;ProposalToGnatt[[#This Row],[Start Date]]+ProposalToGnatt[[#This Row],[Days]]),$G$5,"")),"")</f>
        <v/>
      </c>
      <c r="BU71" s="37" t="str">
        <f ca="1">IFERROR(+IF(BU$29=ProposalToGnatt[[#This Row],[Start Date]],Milestone_Marker,IF(AND(BU$29&gt;ProposalToGnatt[[#This Row],[Start Date]],BU$29&lt;ProposalToGnatt[[#This Row],[Start Date]]+ProposalToGnatt[[#This Row],[Days]]),$G$5,"")),"")</f>
        <v/>
      </c>
      <c r="BV71" s="37" t="str">
        <f ca="1">IFERROR(+IF(BV$29=ProposalToGnatt[[#This Row],[Start Date]],Milestone_Marker,IF(AND(BV$29&gt;ProposalToGnatt[[#This Row],[Start Date]],BV$29&lt;ProposalToGnatt[[#This Row],[Start Date]]+ProposalToGnatt[[#This Row],[Days]]),$G$5,"")),"")</f>
        <v/>
      </c>
      <c r="BW71" s="37" t="str">
        <f ca="1">IFERROR(+IF(BW$29=ProposalToGnatt[[#This Row],[Start Date]],Milestone_Marker,IF(AND(BW$29&gt;ProposalToGnatt[[#This Row],[Start Date]],BW$29&lt;ProposalToGnatt[[#This Row],[Start Date]]+ProposalToGnatt[[#This Row],[Days]]),$G$5,"")),"")</f>
        <v/>
      </c>
      <c r="BX71" s="37" t="str">
        <f ca="1">IFERROR(+IF(BX$29=ProposalToGnatt[[#This Row],[Start Date]],Milestone_Marker,IF(AND(BX$29&gt;ProposalToGnatt[[#This Row],[Start Date]],BX$29&lt;ProposalToGnatt[[#This Row],[Start Date]]+ProposalToGnatt[[#This Row],[Days]]),$G$5,"")),"")</f>
        <v/>
      </c>
      <c r="BY71" s="37" t="str">
        <f ca="1">IFERROR(+IF(BY$29=ProposalToGnatt[[#This Row],[Start Date]],Milestone_Marker,IF(AND(BY$29&gt;ProposalToGnatt[[#This Row],[Start Date]],BY$29&lt;ProposalToGnatt[[#This Row],[Start Date]]+ProposalToGnatt[[#This Row],[Days]]),$G$5,"")),"")</f>
        <v/>
      </c>
      <c r="BZ71" s="37" t="str">
        <f ca="1">IFERROR(+IF(BZ$29=ProposalToGnatt[[#This Row],[Start Date]],Milestone_Marker,IF(AND(BZ$29&gt;ProposalToGnatt[[#This Row],[Start Date]],BZ$29&lt;ProposalToGnatt[[#This Row],[Start Date]]+ProposalToGnatt[[#This Row],[Days]]),$G$5,"")),"")</f>
        <v/>
      </c>
      <c r="CA71" s="37" t="str">
        <f ca="1">IFERROR(+IF(CA$29=ProposalToGnatt[[#This Row],[Start Date]],Milestone_Marker,IF(AND(CA$29&gt;ProposalToGnatt[[#This Row],[Start Date]],CA$29&lt;ProposalToGnatt[[#This Row],[Start Date]]+ProposalToGnatt[[#This Row],[Days]]),$G$5,"")),"")</f>
        <v/>
      </c>
      <c r="CB71" s="37" t="str">
        <f ca="1">IFERROR(+IF(CB$29=ProposalToGnatt[[#This Row],[Start Date]],Milestone_Marker,IF(AND(CB$29&gt;ProposalToGnatt[[#This Row],[Start Date]],CB$29&lt;ProposalToGnatt[[#This Row],[Start Date]]+ProposalToGnatt[[#This Row],[Days]]),$G$5,"")),"")</f>
        <v/>
      </c>
      <c r="CC71" s="37" t="str">
        <f ca="1">IFERROR(+IF(CC$29=ProposalToGnatt[[#This Row],[Start Date]],Milestone_Marker,IF(AND(CC$29&gt;ProposalToGnatt[[#This Row],[Start Date]],CC$29&lt;ProposalToGnatt[[#This Row],[Start Date]]+ProposalToGnatt[[#This Row],[Days]]),$G$5,"")),"")</f>
        <v/>
      </c>
      <c r="CD71" s="37" t="str">
        <f ca="1">IFERROR(+IF(CD$29=ProposalToGnatt[[#This Row],[Start Date]],Milestone_Marker,IF(AND(CD$29&gt;ProposalToGnatt[[#This Row],[Start Date]],CD$29&lt;ProposalToGnatt[[#This Row],[Start Date]]+ProposalToGnatt[[#This Row],[Days]]),$G$5,"")),"")</f>
        <v/>
      </c>
      <c r="CE71" s="37" t="str">
        <f ca="1">IFERROR(+IF(CE$29=ProposalToGnatt[[#This Row],[Start Date]],Milestone_Marker,IF(AND(CE$29&gt;ProposalToGnatt[[#This Row],[Start Date]],CE$29&lt;ProposalToGnatt[[#This Row],[Start Date]]+ProposalToGnatt[[#This Row],[Days]]),$G$5,"")),"")</f>
        <v/>
      </c>
      <c r="CF71" s="37" t="str">
        <f ca="1">IFERROR(+IF(CF$29=ProposalToGnatt[[#This Row],[Start Date]],Milestone_Marker,IF(AND(CF$29&gt;ProposalToGnatt[[#This Row],[Start Date]],CF$29&lt;ProposalToGnatt[[#This Row],[Start Date]]+ProposalToGnatt[[#This Row],[Days]]),$G$5,"")),"")</f>
        <v/>
      </c>
      <c r="CG71" s="37" t="str">
        <f ca="1">IFERROR(+IF(CG$29=ProposalToGnatt[[#This Row],[Start Date]],Milestone_Marker,IF(AND(CG$29&gt;ProposalToGnatt[[#This Row],[Start Date]],CG$29&lt;ProposalToGnatt[[#This Row],[Start Date]]+ProposalToGnatt[[#This Row],[Days]]),$G$5,"")),"")</f>
        <v/>
      </c>
      <c r="CH71" s="37" t="str">
        <f ca="1">IFERROR(+IF(CH$29=ProposalToGnatt[[#This Row],[Start Date]],Milestone_Marker,IF(AND(CH$29&gt;ProposalToGnatt[[#This Row],[Start Date]],CH$29&lt;ProposalToGnatt[[#This Row],[Start Date]]+ProposalToGnatt[[#This Row],[Days]]),$G$5,"")),"")</f>
        <v/>
      </c>
      <c r="CI71" s="37" t="str">
        <f ca="1">IFERROR(+IF(CI$29=ProposalToGnatt[[#This Row],[Start Date]],Milestone_Marker,IF(AND(CI$29&gt;ProposalToGnatt[[#This Row],[Start Date]],CI$29&lt;ProposalToGnatt[[#This Row],[Start Date]]+ProposalToGnatt[[#This Row],[Days]]),$G$5,"")),"")</f>
        <v/>
      </c>
      <c r="CJ71" s="37" t="str">
        <f ca="1">IFERROR(+IF(CJ$29=ProposalToGnatt[[#This Row],[Start Date]],Milestone_Marker,IF(AND(CJ$29&gt;ProposalToGnatt[[#This Row],[Start Date]],CJ$29&lt;ProposalToGnatt[[#This Row],[Start Date]]+ProposalToGnatt[[#This Row],[Days]]),$G$5,"")),"")</f>
        <v/>
      </c>
      <c r="CK71" s="37" t="str">
        <f ca="1">IFERROR(+IF(CK$29=ProposalToGnatt[[#This Row],[Start Date]],Milestone_Marker,IF(AND(CK$29&gt;ProposalToGnatt[[#This Row],[Start Date]],CK$29&lt;ProposalToGnatt[[#This Row],[Start Date]]+ProposalToGnatt[[#This Row],[Days]]),$G$5,"")),"")</f>
        <v/>
      </c>
      <c r="CL71" s="37" t="str">
        <f ca="1">IFERROR(+IF(CL$29=ProposalToGnatt[[#This Row],[Start Date]],Milestone_Marker,IF(AND(CL$29&gt;ProposalToGnatt[[#This Row],[Start Date]],CL$29&lt;ProposalToGnatt[[#This Row],[Start Date]]+ProposalToGnatt[[#This Row],[Days]]),$G$5,"")),"")</f>
        <v/>
      </c>
      <c r="CM71" s="37" t="str">
        <f ca="1">IFERROR(+IF(CM$29=ProposalToGnatt[[#This Row],[Start Date]],Milestone_Marker,IF(AND(CM$29&gt;ProposalToGnatt[[#This Row],[Start Date]],CM$29&lt;ProposalToGnatt[[#This Row],[Start Date]]+ProposalToGnatt[[#This Row],[Days]]),$G$5,"")),"")</f>
        <v/>
      </c>
      <c r="CN71" s="37" t="str">
        <f ca="1">IFERROR(+IF(CN$29=ProposalToGnatt[[#This Row],[Start Date]],Milestone_Marker,IF(AND(CN$29&gt;ProposalToGnatt[[#This Row],[Start Date]],CN$29&lt;ProposalToGnatt[[#This Row],[Start Date]]+ProposalToGnatt[[#This Row],[Days]]),$G$5,"")),"")</f>
        <v/>
      </c>
      <c r="CO71" s="37" t="str">
        <f ca="1">IFERROR(+IF(CO$29=ProposalToGnatt[[#This Row],[Start Date]],Milestone_Marker,IF(AND(CO$29&gt;ProposalToGnatt[[#This Row],[Start Date]],CO$29&lt;ProposalToGnatt[[#This Row],[Start Date]]+ProposalToGnatt[[#This Row],[Days]]),$G$5,"")),"")</f>
        <v/>
      </c>
      <c r="CP71" s="37" t="str">
        <f ca="1">IFERROR(+IF(CP$29=ProposalToGnatt[[#This Row],[Start Date]],Milestone_Marker,IF(AND(CP$29&gt;ProposalToGnatt[[#This Row],[Start Date]],CP$29&lt;ProposalToGnatt[[#This Row],[Start Date]]+ProposalToGnatt[[#This Row],[Days]]),$G$5,"")),"")</f>
        <v/>
      </c>
      <c r="CQ71" s="37" t="str">
        <f ca="1">IFERROR(+IF(CQ$29=ProposalToGnatt[[#This Row],[Start Date]],Milestone_Marker,IF(AND(CQ$29&gt;ProposalToGnatt[[#This Row],[Start Date]],CQ$29&lt;ProposalToGnatt[[#This Row],[Start Date]]+ProposalToGnatt[[#This Row],[Days]]),$G$5,"")),"")</f>
        <v/>
      </c>
      <c r="CR71" s="37" t="str">
        <f ca="1">IFERROR(+IF(CR$29=ProposalToGnatt[[#This Row],[Start Date]],Milestone_Marker,IF(AND(CR$29&gt;ProposalToGnatt[[#This Row],[Start Date]],CR$29&lt;ProposalToGnatt[[#This Row],[Start Date]]+ProposalToGnatt[[#This Row],[Days]]),$G$5,"")),"")</f>
        <v/>
      </c>
      <c r="CS71" s="37" t="str">
        <f ca="1">IFERROR(+IF(CS$29=ProposalToGnatt[[#This Row],[Start Date]],Milestone_Marker,IF(AND(CS$29&gt;ProposalToGnatt[[#This Row],[Start Date]],CS$29&lt;ProposalToGnatt[[#This Row],[Start Date]]+ProposalToGnatt[[#This Row],[Days]]),$G$5,"")),"")</f>
        <v/>
      </c>
      <c r="CT71" s="37" t="str">
        <f ca="1">IFERROR(+IF(CT$29=ProposalToGnatt[[#This Row],[Start Date]],Milestone_Marker,IF(AND(CT$29&gt;ProposalToGnatt[[#This Row],[Start Date]],CT$29&lt;ProposalToGnatt[[#This Row],[Start Date]]+ProposalToGnatt[[#This Row],[Days]]),$G$5,"")),"")</f>
        <v/>
      </c>
      <c r="CU71" s="37" t="str">
        <f ca="1">IFERROR(+IF(CU$29=ProposalToGnatt[[#This Row],[Start Date]],Milestone_Marker,IF(AND(CU$29&gt;ProposalToGnatt[[#This Row],[Start Date]],CU$29&lt;ProposalToGnatt[[#This Row],[Start Date]]+ProposalToGnatt[[#This Row],[Days]]),$G$5,"")),"")</f>
        <v/>
      </c>
      <c r="CV71" s="37"/>
      <c r="CW71" s="37"/>
      <c r="CX71" s="37"/>
      <c r="CY71" s="37"/>
      <c r="CZ71" s="37"/>
      <c r="DA71" s="37"/>
      <c r="DB71" s="37"/>
      <c r="DC71" s="37"/>
      <c r="DD71" s="37"/>
      <c r="DE71" s="37"/>
      <c r="DF71" s="37"/>
      <c r="DG71" s="37"/>
      <c r="DH71" s="37"/>
      <c r="DI71" s="37"/>
      <c r="DJ71" s="37"/>
      <c r="DK71" s="37"/>
      <c r="DL71" s="37"/>
      <c r="DM71" s="37"/>
      <c r="DN71" s="37"/>
      <c r="DO71" s="37"/>
      <c r="DP71" s="37"/>
      <c r="DQ71" s="37"/>
      <c r="DR71" s="37"/>
      <c r="DS71" s="37"/>
      <c r="DT71" s="37"/>
      <c r="DU71" s="37"/>
    </row>
    <row r="72" spans="1:125" s="42" customFormat="1" ht="15">
      <c r="A72"/>
      <c r="B72"/>
      <c r="C72"/>
      <c r="D72"/>
      <c r="E72"/>
      <c r="F72"/>
      <c r="G72" s="11"/>
      <c r="H72" s="26"/>
      <c r="I72"/>
      <c r="J72"/>
      <c r="K72" s="402"/>
      <c r="L72"/>
      <c r="M72"/>
      <c r="N72"/>
      <c r="O72" s="26"/>
      <c r="P72" s="37" t="str">
        <f ca="1">IFERROR(+IF(P$29=ProposalToGnatt[[#This Row],[Start Date]],Milestone_Marker,IF(AND(P$29&gt;ProposalToGnatt[[#This Row],[Start Date]],P$29&lt;ProposalToGnatt[[#This Row],[Start Date]]+ProposalToGnatt[[#This Row],[Days]]),$G$5,"")),"")</f>
        <v/>
      </c>
      <c r="Q72" s="37" t="str">
        <f ca="1">IFERROR(+IF(Q$29=ProposalToGnatt[[#This Row],[Start Date]],Milestone_Marker,IF(AND(Q$29&gt;ProposalToGnatt[[#This Row],[Start Date]],Q$29&lt;ProposalToGnatt[[#This Row],[Start Date]]+ProposalToGnatt[[#This Row],[Days]]),$G$5,"")),"")</f>
        <v/>
      </c>
      <c r="R72" s="37" t="str">
        <f ca="1">IFERROR(+IF(R$29=ProposalToGnatt[[#This Row],[Start Date]],Milestone_Marker,IF(AND(R$29&gt;ProposalToGnatt[[#This Row],[Start Date]],R$29&lt;ProposalToGnatt[[#This Row],[Start Date]]+ProposalToGnatt[[#This Row],[Days]]),$G$5,"")),"")</f>
        <v/>
      </c>
      <c r="S72" s="37" t="str">
        <f ca="1">IFERROR(+IF(S$29=ProposalToGnatt[[#This Row],[Start Date]],Milestone_Marker,IF(AND(S$29&gt;ProposalToGnatt[[#This Row],[Start Date]],S$29&lt;ProposalToGnatt[[#This Row],[Start Date]]+ProposalToGnatt[[#This Row],[Days]]),$G$5,"")),"")</f>
        <v/>
      </c>
      <c r="T72" s="37" t="str">
        <f ca="1">IFERROR(+IF(T$29=ProposalToGnatt[[#This Row],[Start Date]],Milestone_Marker,IF(AND(T$29&gt;ProposalToGnatt[[#This Row],[Start Date]],T$29&lt;ProposalToGnatt[[#This Row],[Start Date]]+ProposalToGnatt[[#This Row],[Days]]),$G$5,"")),"")</f>
        <v/>
      </c>
      <c r="U72" s="37" t="str">
        <f ca="1">IFERROR(+IF(U$29=ProposalToGnatt[[#This Row],[Start Date]],Milestone_Marker,IF(AND(U$29&gt;ProposalToGnatt[[#This Row],[Start Date]],U$29&lt;ProposalToGnatt[[#This Row],[Start Date]]+ProposalToGnatt[[#This Row],[Days]]),$G$5,"")),"")</f>
        <v/>
      </c>
      <c r="V72" s="37" t="str">
        <f ca="1">IFERROR(+IF(V$29=ProposalToGnatt[[#This Row],[Start Date]],Milestone_Marker,IF(AND(V$29&gt;ProposalToGnatt[[#This Row],[Start Date]],V$29&lt;ProposalToGnatt[[#This Row],[Start Date]]+ProposalToGnatt[[#This Row],[Days]]),$G$5,"")),"")</f>
        <v/>
      </c>
      <c r="W72" s="37" t="str">
        <f ca="1">IFERROR(+IF(W$29=ProposalToGnatt[[#This Row],[Start Date]],Milestone_Marker,IF(AND(W$29&gt;ProposalToGnatt[[#This Row],[Start Date]],W$29&lt;ProposalToGnatt[[#This Row],[Start Date]]+ProposalToGnatt[[#This Row],[Days]]),$G$5,"")),"")</f>
        <v/>
      </c>
      <c r="X72" s="37" t="str">
        <f ca="1">IFERROR(+IF(X$29=ProposalToGnatt[[#This Row],[Start Date]],Milestone_Marker,IF(AND(X$29&gt;ProposalToGnatt[[#This Row],[Start Date]],X$29&lt;ProposalToGnatt[[#This Row],[Start Date]]+ProposalToGnatt[[#This Row],[Days]]),$G$5,"")),"")</f>
        <v/>
      </c>
      <c r="Y72" s="37" t="str">
        <f ca="1">IFERROR(+IF(Y$29=ProposalToGnatt[[#This Row],[Start Date]],Milestone_Marker,IF(AND(Y$29&gt;ProposalToGnatt[[#This Row],[Start Date]],Y$29&lt;ProposalToGnatt[[#This Row],[Start Date]]+ProposalToGnatt[[#This Row],[Days]]),$G$5,"")),"")</f>
        <v/>
      </c>
      <c r="Z72" s="37" t="str">
        <f ca="1">IFERROR(+IF(Z$29=ProposalToGnatt[[#This Row],[Start Date]],Milestone_Marker,IF(AND(Z$29&gt;ProposalToGnatt[[#This Row],[Start Date]],Z$29&lt;ProposalToGnatt[[#This Row],[Start Date]]+ProposalToGnatt[[#This Row],[Days]]),$G$5,"")),"")</f>
        <v/>
      </c>
      <c r="AA72" s="37" t="str">
        <f ca="1">IFERROR(+IF(AA$29=ProposalToGnatt[[#This Row],[Start Date]],Milestone_Marker,IF(AND(AA$29&gt;ProposalToGnatt[[#This Row],[Start Date]],AA$29&lt;ProposalToGnatt[[#This Row],[Start Date]]+ProposalToGnatt[[#This Row],[Days]]),$G$5,"")),"")</f>
        <v/>
      </c>
      <c r="AB72" s="37" t="str">
        <f ca="1">IFERROR(+IF(AB$29=ProposalToGnatt[[#This Row],[Start Date]],Milestone_Marker,IF(AND(AB$29&gt;ProposalToGnatt[[#This Row],[Start Date]],AB$29&lt;ProposalToGnatt[[#This Row],[Start Date]]+ProposalToGnatt[[#This Row],[Days]]),$G$5,"")),"")</f>
        <v/>
      </c>
      <c r="AC72" s="37" t="str">
        <f ca="1">IFERROR(+IF(AC$29=ProposalToGnatt[[#This Row],[Start Date]],Milestone_Marker,IF(AND(AC$29&gt;ProposalToGnatt[[#This Row],[Start Date]],AC$29&lt;ProposalToGnatt[[#This Row],[Start Date]]+ProposalToGnatt[[#This Row],[Days]]),$G$5,"")),"")</f>
        <v/>
      </c>
      <c r="AD72" s="37" t="str">
        <f ca="1">IFERROR(+IF(AD$29=ProposalToGnatt[[#This Row],[Start Date]],Milestone_Marker,IF(AND(AD$29&gt;ProposalToGnatt[[#This Row],[Start Date]],AD$29&lt;ProposalToGnatt[[#This Row],[Start Date]]+ProposalToGnatt[[#This Row],[Days]]),$G$5,"")),"")</f>
        <v/>
      </c>
      <c r="AE72" s="37" t="str">
        <f ca="1">IFERROR(+IF(AE$29=ProposalToGnatt[[#This Row],[Start Date]],Milestone_Marker,IF(AND(AE$29&gt;ProposalToGnatt[[#This Row],[Start Date]],AE$29&lt;ProposalToGnatt[[#This Row],[Start Date]]+ProposalToGnatt[[#This Row],[Days]]),$G$5,"")),"")</f>
        <v/>
      </c>
      <c r="AF72" s="37" t="str">
        <f ca="1">IFERROR(+IF(AF$29=ProposalToGnatt[[#This Row],[Start Date]],Milestone_Marker,IF(AND(AF$29&gt;ProposalToGnatt[[#This Row],[Start Date]],AF$29&lt;ProposalToGnatt[[#This Row],[Start Date]]+ProposalToGnatt[[#This Row],[Days]]),$G$5,"")),"")</f>
        <v/>
      </c>
      <c r="AG72" s="37" t="str">
        <f ca="1">IFERROR(+IF(AG$29=ProposalToGnatt[[#This Row],[Start Date]],Milestone_Marker,IF(AND(AG$29&gt;ProposalToGnatt[[#This Row],[Start Date]],AG$29&lt;ProposalToGnatt[[#This Row],[Start Date]]+ProposalToGnatt[[#This Row],[Days]]),$G$5,"")),"")</f>
        <v/>
      </c>
      <c r="AH72" s="37" t="str">
        <f ca="1">IFERROR(+IF(AH$29=ProposalToGnatt[[#This Row],[Start Date]],Milestone_Marker,IF(AND(AH$29&gt;ProposalToGnatt[[#This Row],[Start Date]],AH$29&lt;ProposalToGnatt[[#This Row],[Start Date]]+ProposalToGnatt[[#This Row],[Days]]),$G$5,"")),"")</f>
        <v/>
      </c>
      <c r="AI72" s="37" t="str">
        <f ca="1">IFERROR(+IF(AI$29=ProposalToGnatt[[#This Row],[Start Date]],Milestone_Marker,IF(AND(AI$29&gt;ProposalToGnatt[[#This Row],[Start Date]],AI$29&lt;ProposalToGnatt[[#This Row],[Start Date]]+ProposalToGnatt[[#This Row],[Days]]),$G$5,"")),"")</f>
        <v/>
      </c>
      <c r="AJ72" s="37" t="str">
        <f ca="1">IFERROR(+IF(AJ$29=ProposalToGnatt[[#This Row],[Start Date]],Milestone_Marker,IF(AND(AJ$29&gt;ProposalToGnatt[[#This Row],[Start Date]],AJ$29&lt;ProposalToGnatt[[#This Row],[Start Date]]+ProposalToGnatt[[#This Row],[Days]]),$G$5,"")),"")</f>
        <v/>
      </c>
      <c r="AK72" s="37" t="str">
        <f ca="1">IFERROR(+IF(AK$29=ProposalToGnatt[[#This Row],[Start Date]],Milestone_Marker,IF(AND(AK$29&gt;ProposalToGnatt[[#This Row],[Start Date]],AK$29&lt;ProposalToGnatt[[#This Row],[Start Date]]+ProposalToGnatt[[#This Row],[Days]]),$G$5,"")),"")</f>
        <v/>
      </c>
      <c r="AL72" s="37" t="str">
        <f ca="1">IFERROR(+IF(AL$29=ProposalToGnatt[[#This Row],[Start Date]],Milestone_Marker,IF(AND(AL$29&gt;ProposalToGnatt[[#This Row],[Start Date]],AL$29&lt;ProposalToGnatt[[#This Row],[Start Date]]+ProposalToGnatt[[#This Row],[Days]]),$G$5,"")),"")</f>
        <v/>
      </c>
      <c r="AM72" s="37" t="str">
        <f ca="1">IFERROR(+IF(AM$29=ProposalToGnatt[[#This Row],[Start Date]],Milestone_Marker,IF(AND(AM$29&gt;ProposalToGnatt[[#This Row],[Start Date]],AM$29&lt;ProposalToGnatt[[#This Row],[Start Date]]+ProposalToGnatt[[#This Row],[Days]]),$G$5,"")),"")</f>
        <v/>
      </c>
      <c r="AN72" s="37" t="str">
        <f ca="1">IFERROR(+IF(AN$29=ProposalToGnatt[[#This Row],[Start Date]],Milestone_Marker,IF(AND(AN$29&gt;ProposalToGnatt[[#This Row],[Start Date]],AN$29&lt;ProposalToGnatt[[#This Row],[Start Date]]+ProposalToGnatt[[#This Row],[Days]]),$G$5,"")),"")</f>
        <v/>
      </c>
      <c r="AO72" s="37" t="str">
        <f ca="1">IFERROR(+IF(AO$29=ProposalToGnatt[[#This Row],[Start Date]],Milestone_Marker,IF(AND(AO$29&gt;ProposalToGnatt[[#This Row],[Start Date]],AO$29&lt;ProposalToGnatt[[#This Row],[Start Date]]+ProposalToGnatt[[#This Row],[Days]]),$G$5,"")),"")</f>
        <v/>
      </c>
      <c r="AP72" s="37" t="str">
        <f ca="1">IFERROR(+IF(AP$29=ProposalToGnatt[[#This Row],[Start Date]],Milestone_Marker,IF(AND(AP$29&gt;ProposalToGnatt[[#This Row],[Start Date]],AP$29&lt;ProposalToGnatt[[#This Row],[Start Date]]+ProposalToGnatt[[#This Row],[Days]]),$G$5,"")),"")</f>
        <v/>
      </c>
      <c r="AQ72" s="37" t="str">
        <f ca="1">IFERROR(+IF(AQ$29=ProposalToGnatt[[#This Row],[Start Date]],Milestone_Marker,IF(AND(AQ$29&gt;ProposalToGnatt[[#This Row],[Start Date]],AQ$29&lt;ProposalToGnatt[[#This Row],[Start Date]]+ProposalToGnatt[[#This Row],[Days]]),$G$5,"")),"")</f>
        <v/>
      </c>
      <c r="AR72" s="37" t="str">
        <f ca="1">IFERROR(+IF(AR$29=ProposalToGnatt[[#This Row],[Start Date]],Milestone_Marker,IF(AND(AR$29&gt;ProposalToGnatt[[#This Row],[Start Date]],AR$29&lt;ProposalToGnatt[[#This Row],[Start Date]]+ProposalToGnatt[[#This Row],[Days]]),$G$5,"")),"")</f>
        <v/>
      </c>
      <c r="AS72" s="37" t="str">
        <f ca="1">IFERROR(+IF(AS$29=ProposalToGnatt[[#This Row],[Start Date]],Milestone_Marker,IF(AND(AS$29&gt;ProposalToGnatt[[#This Row],[Start Date]],AS$29&lt;ProposalToGnatt[[#This Row],[Start Date]]+ProposalToGnatt[[#This Row],[Days]]),$G$5,"")),"")</f>
        <v/>
      </c>
      <c r="AT72" s="37" t="str">
        <f ca="1">IFERROR(+IF(AT$29=ProposalToGnatt[[#This Row],[Start Date]],Milestone_Marker,IF(AND(AT$29&gt;ProposalToGnatt[[#This Row],[Start Date]],AT$29&lt;ProposalToGnatt[[#This Row],[Start Date]]+ProposalToGnatt[[#This Row],[Days]]),$G$5,"")),"")</f>
        <v/>
      </c>
      <c r="AU72" s="37" t="str">
        <f ca="1">IFERROR(+IF(AU$29=ProposalToGnatt[[#This Row],[Start Date]],Milestone_Marker,IF(AND(AU$29&gt;ProposalToGnatt[[#This Row],[Start Date]],AU$29&lt;ProposalToGnatt[[#This Row],[Start Date]]+ProposalToGnatt[[#This Row],[Days]]),$G$5,"")),"")</f>
        <v/>
      </c>
      <c r="AV72" s="37" t="str">
        <f ca="1">IFERROR(+IF(AV$29=ProposalToGnatt[[#This Row],[Start Date]],Milestone_Marker,IF(AND(AV$29&gt;ProposalToGnatt[[#This Row],[Start Date]],AV$29&lt;ProposalToGnatt[[#This Row],[Start Date]]+ProposalToGnatt[[#This Row],[Days]]),$G$5,"")),"")</f>
        <v/>
      </c>
      <c r="AW72" s="37" t="str">
        <f ca="1">IFERROR(+IF(AW$29=ProposalToGnatt[[#This Row],[Start Date]],Milestone_Marker,IF(AND(AW$29&gt;ProposalToGnatt[[#This Row],[Start Date]],AW$29&lt;ProposalToGnatt[[#This Row],[Start Date]]+ProposalToGnatt[[#This Row],[Days]]),$G$5,"")),"")</f>
        <v/>
      </c>
      <c r="AX72" s="37" t="str">
        <f ca="1">IFERROR(+IF(AX$29=ProposalToGnatt[[#This Row],[Start Date]],Milestone_Marker,IF(AND(AX$29&gt;ProposalToGnatt[[#This Row],[Start Date]],AX$29&lt;ProposalToGnatt[[#This Row],[Start Date]]+ProposalToGnatt[[#This Row],[Days]]),$G$5,"")),"")</f>
        <v/>
      </c>
      <c r="AY72" s="37" t="str">
        <f ca="1">IFERROR(+IF(AY$29=ProposalToGnatt[[#This Row],[Start Date]],Milestone_Marker,IF(AND(AY$29&gt;ProposalToGnatt[[#This Row],[Start Date]],AY$29&lt;ProposalToGnatt[[#This Row],[Start Date]]+ProposalToGnatt[[#This Row],[Days]]),$G$5,"")),"")</f>
        <v/>
      </c>
      <c r="AZ72" s="37" t="str">
        <f ca="1">IFERROR(+IF(AZ$29=ProposalToGnatt[[#This Row],[Start Date]],Milestone_Marker,IF(AND(AZ$29&gt;ProposalToGnatt[[#This Row],[Start Date]],AZ$29&lt;ProposalToGnatt[[#This Row],[Start Date]]+ProposalToGnatt[[#This Row],[Days]]),$G$5,"")),"")</f>
        <v/>
      </c>
      <c r="BA72" s="37" t="str">
        <f ca="1">IFERROR(+IF(BA$29=ProposalToGnatt[[#This Row],[Start Date]],Milestone_Marker,IF(AND(BA$29&gt;ProposalToGnatt[[#This Row],[Start Date]],BA$29&lt;ProposalToGnatt[[#This Row],[Start Date]]+ProposalToGnatt[[#This Row],[Days]]),$G$5,"")),"")</f>
        <v/>
      </c>
      <c r="BB72" s="37" t="str">
        <f ca="1">IFERROR(+IF(BB$29=ProposalToGnatt[[#This Row],[Start Date]],Milestone_Marker,IF(AND(BB$29&gt;ProposalToGnatt[[#This Row],[Start Date]],BB$29&lt;ProposalToGnatt[[#This Row],[Start Date]]+ProposalToGnatt[[#This Row],[Days]]),$G$5,"")),"")</f>
        <v/>
      </c>
      <c r="BC72" s="37" t="str">
        <f ca="1">IFERROR(+IF(BC$29=ProposalToGnatt[[#This Row],[Start Date]],Milestone_Marker,IF(AND(BC$29&gt;ProposalToGnatt[[#This Row],[Start Date]],BC$29&lt;ProposalToGnatt[[#This Row],[Start Date]]+ProposalToGnatt[[#This Row],[Days]]),$G$5,"")),"")</f>
        <v/>
      </c>
      <c r="BD72" s="37" t="str">
        <f ca="1">IFERROR(+IF(BD$29=ProposalToGnatt[[#This Row],[Start Date]],Milestone_Marker,IF(AND(BD$29&gt;ProposalToGnatt[[#This Row],[Start Date]],BD$29&lt;ProposalToGnatt[[#This Row],[Start Date]]+ProposalToGnatt[[#This Row],[Days]]),$G$5,"")),"")</f>
        <v/>
      </c>
      <c r="BE72" s="37" t="str">
        <f ca="1">IFERROR(+IF(BE$29=ProposalToGnatt[[#This Row],[Start Date]],Milestone_Marker,IF(AND(BE$29&gt;ProposalToGnatt[[#This Row],[Start Date]],BE$29&lt;ProposalToGnatt[[#This Row],[Start Date]]+ProposalToGnatt[[#This Row],[Days]]),$G$5,"")),"")</f>
        <v/>
      </c>
      <c r="BF72" s="37" t="str">
        <f ca="1">IFERROR(+IF(BF$29=ProposalToGnatt[[#This Row],[Start Date]],Milestone_Marker,IF(AND(BF$29&gt;ProposalToGnatt[[#This Row],[Start Date]],BF$29&lt;ProposalToGnatt[[#This Row],[Start Date]]+ProposalToGnatt[[#This Row],[Days]]),$G$5,"")),"")</f>
        <v/>
      </c>
      <c r="BG72" s="37" t="str">
        <f ca="1">IFERROR(+IF(BG$29=ProposalToGnatt[[#This Row],[Start Date]],Milestone_Marker,IF(AND(BG$29&gt;ProposalToGnatt[[#This Row],[Start Date]],BG$29&lt;ProposalToGnatt[[#This Row],[Start Date]]+ProposalToGnatt[[#This Row],[Days]]),$G$5,"")),"")</f>
        <v/>
      </c>
      <c r="BH72" s="37" t="str">
        <f ca="1">IFERROR(+IF(BH$29=ProposalToGnatt[[#This Row],[Start Date]],Milestone_Marker,IF(AND(BH$29&gt;ProposalToGnatt[[#This Row],[Start Date]],BH$29&lt;ProposalToGnatt[[#This Row],[Start Date]]+ProposalToGnatt[[#This Row],[Days]]),$G$5,"")),"")</f>
        <v/>
      </c>
      <c r="BI72" s="37" t="str">
        <f ca="1">IFERROR(+IF(BI$29=ProposalToGnatt[[#This Row],[Start Date]],Milestone_Marker,IF(AND(BI$29&gt;ProposalToGnatt[[#This Row],[Start Date]],BI$29&lt;ProposalToGnatt[[#This Row],[Start Date]]+ProposalToGnatt[[#This Row],[Days]]),$G$5,"")),"")</f>
        <v/>
      </c>
      <c r="BJ72" s="37" t="str">
        <f ca="1">IFERROR(+IF(BJ$29=ProposalToGnatt[[#This Row],[Start Date]],Milestone_Marker,IF(AND(BJ$29&gt;ProposalToGnatt[[#This Row],[Start Date]],BJ$29&lt;ProposalToGnatt[[#This Row],[Start Date]]+ProposalToGnatt[[#This Row],[Days]]),$G$5,"")),"")</f>
        <v/>
      </c>
      <c r="BK72" s="37" t="str">
        <f ca="1">IFERROR(+IF(BK$29=ProposalToGnatt[[#This Row],[Start Date]],Milestone_Marker,IF(AND(BK$29&gt;ProposalToGnatt[[#This Row],[Start Date]],BK$29&lt;ProposalToGnatt[[#This Row],[Start Date]]+ProposalToGnatt[[#This Row],[Days]]),$G$5,"")),"")</f>
        <v/>
      </c>
      <c r="BL72" s="37" t="str">
        <f ca="1">IFERROR(+IF(BL$29=ProposalToGnatt[[#This Row],[Start Date]],Milestone_Marker,IF(AND(BL$29&gt;ProposalToGnatt[[#This Row],[Start Date]],BL$29&lt;ProposalToGnatt[[#This Row],[Start Date]]+ProposalToGnatt[[#This Row],[Days]]),$G$5,"")),"")</f>
        <v/>
      </c>
      <c r="BM72" s="37" t="str">
        <f ca="1">IFERROR(+IF(BM$29=ProposalToGnatt[[#This Row],[Start Date]],Milestone_Marker,IF(AND(BM$29&gt;ProposalToGnatt[[#This Row],[Start Date]],BM$29&lt;ProposalToGnatt[[#This Row],[Start Date]]+ProposalToGnatt[[#This Row],[Days]]),$G$5,"")),"")</f>
        <v/>
      </c>
      <c r="BN72" s="37" t="str">
        <f ca="1">IFERROR(+IF(BN$29=ProposalToGnatt[[#This Row],[Start Date]],Milestone_Marker,IF(AND(BN$29&gt;ProposalToGnatt[[#This Row],[Start Date]],BN$29&lt;ProposalToGnatt[[#This Row],[Start Date]]+ProposalToGnatt[[#This Row],[Days]]),$G$5,"")),"")</f>
        <v/>
      </c>
      <c r="BO72" s="37" t="str">
        <f ca="1">IFERROR(+IF(BO$29=ProposalToGnatt[[#This Row],[Start Date]],Milestone_Marker,IF(AND(BO$29&gt;ProposalToGnatt[[#This Row],[Start Date]],BO$29&lt;ProposalToGnatt[[#This Row],[Start Date]]+ProposalToGnatt[[#This Row],[Days]]),$G$5,"")),"")</f>
        <v/>
      </c>
      <c r="BP72" s="37" t="str">
        <f ca="1">IFERROR(+IF(BP$29=ProposalToGnatt[[#This Row],[Start Date]],Milestone_Marker,IF(AND(BP$29&gt;ProposalToGnatt[[#This Row],[Start Date]],BP$29&lt;ProposalToGnatt[[#This Row],[Start Date]]+ProposalToGnatt[[#This Row],[Days]]),$G$5,"")),"")</f>
        <v/>
      </c>
      <c r="BQ72" s="37" t="str">
        <f ca="1">IFERROR(+IF(BQ$29=ProposalToGnatt[[#This Row],[Start Date]],Milestone_Marker,IF(AND(BQ$29&gt;ProposalToGnatt[[#This Row],[Start Date]],BQ$29&lt;ProposalToGnatt[[#This Row],[Start Date]]+ProposalToGnatt[[#This Row],[Days]]),$G$5,"")),"")</f>
        <v/>
      </c>
      <c r="BR72" s="37" t="str">
        <f ca="1">IFERROR(+IF(BR$29=ProposalToGnatt[[#This Row],[Start Date]],Milestone_Marker,IF(AND(BR$29&gt;ProposalToGnatt[[#This Row],[Start Date]],BR$29&lt;ProposalToGnatt[[#This Row],[Start Date]]+ProposalToGnatt[[#This Row],[Days]]),$G$5,"")),"")</f>
        <v/>
      </c>
      <c r="BS72" s="37" t="str">
        <f ca="1">IFERROR(+IF(BS$29=ProposalToGnatt[[#This Row],[Start Date]],Milestone_Marker,IF(AND(BS$29&gt;ProposalToGnatt[[#This Row],[Start Date]],BS$29&lt;ProposalToGnatt[[#This Row],[Start Date]]+ProposalToGnatt[[#This Row],[Days]]),$G$5,"")),"")</f>
        <v/>
      </c>
      <c r="BT72" s="37" t="str">
        <f ca="1">IFERROR(+IF(BT$29=ProposalToGnatt[[#This Row],[Start Date]],Milestone_Marker,IF(AND(BT$29&gt;ProposalToGnatt[[#This Row],[Start Date]],BT$29&lt;ProposalToGnatt[[#This Row],[Start Date]]+ProposalToGnatt[[#This Row],[Days]]),$G$5,"")),"")</f>
        <v/>
      </c>
      <c r="BU72" s="37" t="str">
        <f ca="1">IFERROR(+IF(BU$29=ProposalToGnatt[[#This Row],[Start Date]],Milestone_Marker,IF(AND(BU$29&gt;ProposalToGnatt[[#This Row],[Start Date]],BU$29&lt;ProposalToGnatt[[#This Row],[Start Date]]+ProposalToGnatt[[#This Row],[Days]]),$G$5,"")),"")</f>
        <v/>
      </c>
      <c r="BV72" s="37" t="str">
        <f ca="1">IFERROR(+IF(BV$29=ProposalToGnatt[[#This Row],[Start Date]],Milestone_Marker,IF(AND(BV$29&gt;ProposalToGnatt[[#This Row],[Start Date]],BV$29&lt;ProposalToGnatt[[#This Row],[Start Date]]+ProposalToGnatt[[#This Row],[Days]]),$G$5,"")),"")</f>
        <v/>
      </c>
      <c r="BW72" s="37" t="str">
        <f ca="1">IFERROR(+IF(BW$29=ProposalToGnatt[[#This Row],[Start Date]],Milestone_Marker,IF(AND(BW$29&gt;ProposalToGnatt[[#This Row],[Start Date]],BW$29&lt;ProposalToGnatt[[#This Row],[Start Date]]+ProposalToGnatt[[#This Row],[Days]]),$G$5,"")),"")</f>
        <v/>
      </c>
      <c r="BX72" s="37" t="str">
        <f ca="1">IFERROR(+IF(BX$29=ProposalToGnatt[[#This Row],[Start Date]],Milestone_Marker,IF(AND(BX$29&gt;ProposalToGnatt[[#This Row],[Start Date]],BX$29&lt;ProposalToGnatt[[#This Row],[Start Date]]+ProposalToGnatt[[#This Row],[Days]]),$G$5,"")),"")</f>
        <v/>
      </c>
      <c r="BY72" s="37" t="str">
        <f ca="1">IFERROR(+IF(BY$29=ProposalToGnatt[[#This Row],[Start Date]],Milestone_Marker,IF(AND(BY$29&gt;ProposalToGnatt[[#This Row],[Start Date]],BY$29&lt;ProposalToGnatt[[#This Row],[Start Date]]+ProposalToGnatt[[#This Row],[Days]]),$G$5,"")),"")</f>
        <v/>
      </c>
      <c r="BZ72" s="37" t="str">
        <f ca="1">IFERROR(+IF(BZ$29=ProposalToGnatt[[#This Row],[Start Date]],Milestone_Marker,IF(AND(BZ$29&gt;ProposalToGnatt[[#This Row],[Start Date]],BZ$29&lt;ProposalToGnatt[[#This Row],[Start Date]]+ProposalToGnatt[[#This Row],[Days]]),$G$5,"")),"")</f>
        <v/>
      </c>
      <c r="CA72" s="37" t="str">
        <f ca="1">IFERROR(+IF(CA$29=ProposalToGnatt[[#This Row],[Start Date]],Milestone_Marker,IF(AND(CA$29&gt;ProposalToGnatt[[#This Row],[Start Date]],CA$29&lt;ProposalToGnatt[[#This Row],[Start Date]]+ProposalToGnatt[[#This Row],[Days]]),$G$5,"")),"")</f>
        <v/>
      </c>
      <c r="CB72" s="37" t="str">
        <f ca="1">IFERROR(+IF(CB$29=ProposalToGnatt[[#This Row],[Start Date]],Milestone_Marker,IF(AND(CB$29&gt;ProposalToGnatt[[#This Row],[Start Date]],CB$29&lt;ProposalToGnatt[[#This Row],[Start Date]]+ProposalToGnatt[[#This Row],[Days]]),$G$5,"")),"")</f>
        <v/>
      </c>
      <c r="CC72" s="37" t="str">
        <f ca="1">IFERROR(+IF(CC$29=ProposalToGnatt[[#This Row],[Start Date]],Milestone_Marker,IF(AND(CC$29&gt;ProposalToGnatt[[#This Row],[Start Date]],CC$29&lt;ProposalToGnatt[[#This Row],[Start Date]]+ProposalToGnatt[[#This Row],[Days]]),$G$5,"")),"")</f>
        <v/>
      </c>
      <c r="CD72" s="37" t="str">
        <f ca="1">IFERROR(+IF(CD$29=ProposalToGnatt[[#This Row],[Start Date]],Milestone_Marker,IF(AND(CD$29&gt;ProposalToGnatt[[#This Row],[Start Date]],CD$29&lt;ProposalToGnatt[[#This Row],[Start Date]]+ProposalToGnatt[[#This Row],[Days]]),$G$5,"")),"")</f>
        <v/>
      </c>
      <c r="CE72" s="37" t="str">
        <f ca="1">IFERROR(+IF(CE$29=ProposalToGnatt[[#This Row],[Start Date]],Milestone_Marker,IF(AND(CE$29&gt;ProposalToGnatt[[#This Row],[Start Date]],CE$29&lt;ProposalToGnatt[[#This Row],[Start Date]]+ProposalToGnatt[[#This Row],[Days]]),$G$5,"")),"")</f>
        <v/>
      </c>
      <c r="CF72" s="37" t="str">
        <f ca="1">IFERROR(+IF(CF$29=ProposalToGnatt[[#This Row],[Start Date]],Milestone_Marker,IF(AND(CF$29&gt;ProposalToGnatt[[#This Row],[Start Date]],CF$29&lt;ProposalToGnatt[[#This Row],[Start Date]]+ProposalToGnatt[[#This Row],[Days]]),$G$5,"")),"")</f>
        <v/>
      </c>
      <c r="CG72" s="37" t="str">
        <f ca="1">IFERROR(+IF(CG$29=ProposalToGnatt[[#This Row],[Start Date]],Milestone_Marker,IF(AND(CG$29&gt;ProposalToGnatt[[#This Row],[Start Date]],CG$29&lt;ProposalToGnatt[[#This Row],[Start Date]]+ProposalToGnatt[[#This Row],[Days]]),$G$5,"")),"")</f>
        <v/>
      </c>
      <c r="CH72" s="37" t="str">
        <f ca="1">IFERROR(+IF(CH$29=ProposalToGnatt[[#This Row],[Start Date]],Milestone_Marker,IF(AND(CH$29&gt;ProposalToGnatt[[#This Row],[Start Date]],CH$29&lt;ProposalToGnatt[[#This Row],[Start Date]]+ProposalToGnatt[[#This Row],[Days]]),$G$5,"")),"")</f>
        <v/>
      </c>
      <c r="CI72" s="37" t="str">
        <f ca="1">IFERROR(+IF(CI$29=ProposalToGnatt[[#This Row],[Start Date]],Milestone_Marker,IF(AND(CI$29&gt;ProposalToGnatt[[#This Row],[Start Date]],CI$29&lt;ProposalToGnatt[[#This Row],[Start Date]]+ProposalToGnatt[[#This Row],[Days]]),$G$5,"")),"")</f>
        <v/>
      </c>
      <c r="CJ72" s="37" t="str">
        <f ca="1">IFERROR(+IF(CJ$29=ProposalToGnatt[[#This Row],[Start Date]],Milestone_Marker,IF(AND(CJ$29&gt;ProposalToGnatt[[#This Row],[Start Date]],CJ$29&lt;ProposalToGnatt[[#This Row],[Start Date]]+ProposalToGnatt[[#This Row],[Days]]),$G$5,"")),"")</f>
        <v/>
      </c>
      <c r="CK72" s="37" t="str">
        <f ca="1">IFERROR(+IF(CK$29=ProposalToGnatt[[#This Row],[Start Date]],Milestone_Marker,IF(AND(CK$29&gt;ProposalToGnatt[[#This Row],[Start Date]],CK$29&lt;ProposalToGnatt[[#This Row],[Start Date]]+ProposalToGnatt[[#This Row],[Days]]),$G$5,"")),"")</f>
        <v/>
      </c>
      <c r="CL72" s="37" t="str">
        <f ca="1">IFERROR(+IF(CL$29=ProposalToGnatt[[#This Row],[Start Date]],Milestone_Marker,IF(AND(CL$29&gt;ProposalToGnatt[[#This Row],[Start Date]],CL$29&lt;ProposalToGnatt[[#This Row],[Start Date]]+ProposalToGnatt[[#This Row],[Days]]),$G$5,"")),"")</f>
        <v/>
      </c>
      <c r="CM72" s="37" t="str">
        <f ca="1">IFERROR(+IF(CM$29=ProposalToGnatt[[#This Row],[Start Date]],Milestone_Marker,IF(AND(CM$29&gt;ProposalToGnatt[[#This Row],[Start Date]],CM$29&lt;ProposalToGnatt[[#This Row],[Start Date]]+ProposalToGnatt[[#This Row],[Days]]),$G$5,"")),"")</f>
        <v/>
      </c>
      <c r="CN72" s="37" t="str">
        <f ca="1">IFERROR(+IF(CN$29=ProposalToGnatt[[#This Row],[Start Date]],Milestone_Marker,IF(AND(CN$29&gt;ProposalToGnatt[[#This Row],[Start Date]],CN$29&lt;ProposalToGnatt[[#This Row],[Start Date]]+ProposalToGnatt[[#This Row],[Days]]),$G$5,"")),"")</f>
        <v/>
      </c>
      <c r="CO72" s="37" t="str">
        <f ca="1">IFERROR(+IF(CO$29=ProposalToGnatt[[#This Row],[Start Date]],Milestone_Marker,IF(AND(CO$29&gt;ProposalToGnatt[[#This Row],[Start Date]],CO$29&lt;ProposalToGnatt[[#This Row],[Start Date]]+ProposalToGnatt[[#This Row],[Days]]),$G$5,"")),"")</f>
        <v/>
      </c>
      <c r="CP72" s="37" t="str">
        <f ca="1">IFERROR(+IF(CP$29=ProposalToGnatt[[#This Row],[Start Date]],Milestone_Marker,IF(AND(CP$29&gt;ProposalToGnatt[[#This Row],[Start Date]],CP$29&lt;ProposalToGnatt[[#This Row],[Start Date]]+ProposalToGnatt[[#This Row],[Days]]),$G$5,"")),"")</f>
        <v/>
      </c>
      <c r="CQ72" s="37" t="str">
        <f ca="1">IFERROR(+IF(CQ$29=ProposalToGnatt[[#This Row],[Start Date]],Milestone_Marker,IF(AND(CQ$29&gt;ProposalToGnatt[[#This Row],[Start Date]],CQ$29&lt;ProposalToGnatt[[#This Row],[Start Date]]+ProposalToGnatt[[#This Row],[Days]]),$G$5,"")),"")</f>
        <v/>
      </c>
      <c r="CR72" s="37" t="str">
        <f ca="1">IFERROR(+IF(CR$29=ProposalToGnatt[[#This Row],[Start Date]],Milestone_Marker,IF(AND(CR$29&gt;ProposalToGnatt[[#This Row],[Start Date]],CR$29&lt;ProposalToGnatt[[#This Row],[Start Date]]+ProposalToGnatt[[#This Row],[Days]]),$G$5,"")),"")</f>
        <v/>
      </c>
      <c r="CS72" s="37" t="str">
        <f ca="1">IFERROR(+IF(CS$29=ProposalToGnatt[[#This Row],[Start Date]],Milestone_Marker,IF(AND(CS$29&gt;ProposalToGnatt[[#This Row],[Start Date]],CS$29&lt;ProposalToGnatt[[#This Row],[Start Date]]+ProposalToGnatt[[#This Row],[Days]]),$G$5,"")),"")</f>
        <v/>
      </c>
      <c r="CT72" s="37" t="str">
        <f ca="1">IFERROR(+IF(CT$29=ProposalToGnatt[[#This Row],[Start Date]],Milestone_Marker,IF(AND(CT$29&gt;ProposalToGnatt[[#This Row],[Start Date]],CT$29&lt;ProposalToGnatt[[#This Row],[Start Date]]+ProposalToGnatt[[#This Row],[Days]]),$G$5,"")),"")</f>
        <v/>
      </c>
      <c r="CU72" s="37" t="str">
        <f ca="1">IFERROR(+IF(CU$29=ProposalToGnatt[[#This Row],[Start Date]],Milestone_Marker,IF(AND(CU$29&gt;ProposalToGnatt[[#This Row],[Start Date]],CU$29&lt;ProposalToGnatt[[#This Row],[Start Date]]+ProposalToGnatt[[#This Row],[Days]]),$G$5,"")),"")</f>
        <v/>
      </c>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row>
    <row r="73" spans="1:125" s="42" customFormat="1" ht="15">
      <c r="A73"/>
      <c r="B73"/>
      <c r="C73"/>
      <c r="D73"/>
      <c r="E73"/>
      <c r="F73"/>
      <c r="G73" s="11"/>
      <c r="H73" s="26"/>
      <c r="I73"/>
      <c r="J73"/>
      <c r="K73" s="402"/>
      <c r="L73"/>
      <c r="M73"/>
      <c r="N73"/>
      <c r="O73" s="26"/>
      <c r="P73" s="37" t="str">
        <f ca="1">IFERROR(+IF(P$29=ProposalToGnatt[[#This Row],[Start Date]],Milestone_Marker,IF(AND(P$29&gt;ProposalToGnatt[[#This Row],[Start Date]],P$29&lt;ProposalToGnatt[[#This Row],[Start Date]]+ProposalToGnatt[[#This Row],[Days]]),$G$5,"")),"")</f>
        <v/>
      </c>
      <c r="Q73" s="37" t="str">
        <f ca="1">IFERROR(+IF(Q$29=ProposalToGnatt[[#This Row],[Start Date]],Milestone_Marker,IF(AND(Q$29&gt;ProposalToGnatt[[#This Row],[Start Date]],Q$29&lt;ProposalToGnatt[[#This Row],[Start Date]]+ProposalToGnatt[[#This Row],[Days]]),$G$5,"")),"")</f>
        <v/>
      </c>
      <c r="R73" s="37" t="str">
        <f ca="1">IFERROR(+IF(R$29=ProposalToGnatt[[#This Row],[Start Date]],Milestone_Marker,IF(AND(R$29&gt;ProposalToGnatt[[#This Row],[Start Date]],R$29&lt;ProposalToGnatt[[#This Row],[Start Date]]+ProposalToGnatt[[#This Row],[Days]]),$G$5,"")),"")</f>
        <v/>
      </c>
      <c r="S73" s="37" t="str">
        <f ca="1">IFERROR(+IF(S$29=ProposalToGnatt[[#This Row],[Start Date]],Milestone_Marker,IF(AND(S$29&gt;ProposalToGnatt[[#This Row],[Start Date]],S$29&lt;ProposalToGnatt[[#This Row],[Start Date]]+ProposalToGnatt[[#This Row],[Days]]),$G$5,"")),"")</f>
        <v/>
      </c>
      <c r="T73" s="37" t="str">
        <f ca="1">IFERROR(+IF(T$29=ProposalToGnatt[[#This Row],[Start Date]],Milestone_Marker,IF(AND(T$29&gt;ProposalToGnatt[[#This Row],[Start Date]],T$29&lt;ProposalToGnatt[[#This Row],[Start Date]]+ProposalToGnatt[[#This Row],[Days]]),$G$5,"")),"")</f>
        <v/>
      </c>
      <c r="U73" s="37" t="str">
        <f ca="1">IFERROR(+IF(U$29=ProposalToGnatt[[#This Row],[Start Date]],Milestone_Marker,IF(AND(U$29&gt;ProposalToGnatt[[#This Row],[Start Date]],U$29&lt;ProposalToGnatt[[#This Row],[Start Date]]+ProposalToGnatt[[#This Row],[Days]]),$G$5,"")),"")</f>
        <v/>
      </c>
      <c r="V73" s="37" t="str">
        <f ca="1">IFERROR(+IF(V$29=ProposalToGnatt[[#This Row],[Start Date]],Milestone_Marker,IF(AND(V$29&gt;ProposalToGnatt[[#This Row],[Start Date]],V$29&lt;ProposalToGnatt[[#This Row],[Start Date]]+ProposalToGnatt[[#This Row],[Days]]),$G$5,"")),"")</f>
        <v/>
      </c>
      <c r="W73" s="37" t="str">
        <f ca="1">IFERROR(+IF(W$29=ProposalToGnatt[[#This Row],[Start Date]],Milestone_Marker,IF(AND(W$29&gt;ProposalToGnatt[[#This Row],[Start Date]],W$29&lt;ProposalToGnatt[[#This Row],[Start Date]]+ProposalToGnatt[[#This Row],[Days]]),$G$5,"")),"")</f>
        <v/>
      </c>
      <c r="X73" s="37" t="str">
        <f ca="1">IFERROR(+IF(X$29=ProposalToGnatt[[#This Row],[Start Date]],Milestone_Marker,IF(AND(X$29&gt;ProposalToGnatt[[#This Row],[Start Date]],X$29&lt;ProposalToGnatt[[#This Row],[Start Date]]+ProposalToGnatt[[#This Row],[Days]]),$G$5,"")),"")</f>
        <v/>
      </c>
      <c r="Y73" s="37" t="str">
        <f ca="1">IFERROR(+IF(Y$29=ProposalToGnatt[[#This Row],[Start Date]],Milestone_Marker,IF(AND(Y$29&gt;ProposalToGnatt[[#This Row],[Start Date]],Y$29&lt;ProposalToGnatt[[#This Row],[Start Date]]+ProposalToGnatt[[#This Row],[Days]]),$G$5,"")),"")</f>
        <v/>
      </c>
      <c r="Z73" s="37" t="str">
        <f ca="1">IFERROR(+IF(Z$29=ProposalToGnatt[[#This Row],[Start Date]],Milestone_Marker,IF(AND(Z$29&gt;ProposalToGnatt[[#This Row],[Start Date]],Z$29&lt;ProposalToGnatt[[#This Row],[Start Date]]+ProposalToGnatt[[#This Row],[Days]]),$G$5,"")),"")</f>
        <v/>
      </c>
      <c r="AA73" s="37" t="str">
        <f ca="1">IFERROR(+IF(AA$29=ProposalToGnatt[[#This Row],[Start Date]],Milestone_Marker,IF(AND(AA$29&gt;ProposalToGnatt[[#This Row],[Start Date]],AA$29&lt;ProposalToGnatt[[#This Row],[Start Date]]+ProposalToGnatt[[#This Row],[Days]]),$G$5,"")),"")</f>
        <v/>
      </c>
      <c r="AB73" s="37" t="str">
        <f ca="1">IFERROR(+IF(AB$29=ProposalToGnatt[[#This Row],[Start Date]],Milestone_Marker,IF(AND(AB$29&gt;ProposalToGnatt[[#This Row],[Start Date]],AB$29&lt;ProposalToGnatt[[#This Row],[Start Date]]+ProposalToGnatt[[#This Row],[Days]]),$G$5,"")),"")</f>
        <v/>
      </c>
      <c r="AC73" s="37" t="str">
        <f ca="1">IFERROR(+IF(AC$29=ProposalToGnatt[[#This Row],[Start Date]],Milestone_Marker,IF(AND(AC$29&gt;ProposalToGnatt[[#This Row],[Start Date]],AC$29&lt;ProposalToGnatt[[#This Row],[Start Date]]+ProposalToGnatt[[#This Row],[Days]]),$G$5,"")),"")</f>
        <v/>
      </c>
      <c r="AD73" s="37" t="str">
        <f ca="1">IFERROR(+IF(AD$29=ProposalToGnatt[[#This Row],[Start Date]],Milestone_Marker,IF(AND(AD$29&gt;ProposalToGnatt[[#This Row],[Start Date]],AD$29&lt;ProposalToGnatt[[#This Row],[Start Date]]+ProposalToGnatt[[#This Row],[Days]]),$G$5,"")),"")</f>
        <v/>
      </c>
      <c r="AE73" s="37" t="str">
        <f ca="1">IFERROR(+IF(AE$29=ProposalToGnatt[[#This Row],[Start Date]],Milestone_Marker,IF(AND(AE$29&gt;ProposalToGnatt[[#This Row],[Start Date]],AE$29&lt;ProposalToGnatt[[#This Row],[Start Date]]+ProposalToGnatt[[#This Row],[Days]]),$G$5,"")),"")</f>
        <v/>
      </c>
      <c r="AF73" s="37" t="str">
        <f ca="1">IFERROR(+IF(AF$29=ProposalToGnatt[[#This Row],[Start Date]],Milestone_Marker,IF(AND(AF$29&gt;ProposalToGnatt[[#This Row],[Start Date]],AF$29&lt;ProposalToGnatt[[#This Row],[Start Date]]+ProposalToGnatt[[#This Row],[Days]]),$G$5,"")),"")</f>
        <v/>
      </c>
      <c r="AG73" s="37" t="str">
        <f ca="1">IFERROR(+IF(AG$29=ProposalToGnatt[[#This Row],[Start Date]],Milestone_Marker,IF(AND(AG$29&gt;ProposalToGnatt[[#This Row],[Start Date]],AG$29&lt;ProposalToGnatt[[#This Row],[Start Date]]+ProposalToGnatt[[#This Row],[Days]]),$G$5,"")),"")</f>
        <v/>
      </c>
      <c r="AH73" s="37" t="str">
        <f ca="1">IFERROR(+IF(AH$29=ProposalToGnatt[[#This Row],[Start Date]],Milestone_Marker,IF(AND(AH$29&gt;ProposalToGnatt[[#This Row],[Start Date]],AH$29&lt;ProposalToGnatt[[#This Row],[Start Date]]+ProposalToGnatt[[#This Row],[Days]]),$G$5,"")),"")</f>
        <v/>
      </c>
      <c r="AI73" s="37" t="str">
        <f ca="1">IFERROR(+IF(AI$29=ProposalToGnatt[[#This Row],[Start Date]],Milestone_Marker,IF(AND(AI$29&gt;ProposalToGnatt[[#This Row],[Start Date]],AI$29&lt;ProposalToGnatt[[#This Row],[Start Date]]+ProposalToGnatt[[#This Row],[Days]]),$G$5,"")),"")</f>
        <v/>
      </c>
      <c r="AJ73" s="37" t="str">
        <f ca="1">IFERROR(+IF(AJ$29=ProposalToGnatt[[#This Row],[Start Date]],Milestone_Marker,IF(AND(AJ$29&gt;ProposalToGnatt[[#This Row],[Start Date]],AJ$29&lt;ProposalToGnatt[[#This Row],[Start Date]]+ProposalToGnatt[[#This Row],[Days]]),$G$5,"")),"")</f>
        <v/>
      </c>
      <c r="AK73" s="37" t="str">
        <f ca="1">IFERROR(+IF(AK$29=ProposalToGnatt[[#This Row],[Start Date]],Milestone_Marker,IF(AND(AK$29&gt;ProposalToGnatt[[#This Row],[Start Date]],AK$29&lt;ProposalToGnatt[[#This Row],[Start Date]]+ProposalToGnatt[[#This Row],[Days]]),$G$5,"")),"")</f>
        <v/>
      </c>
      <c r="AL73" s="37" t="str">
        <f ca="1">IFERROR(+IF(AL$29=ProposalToGnatt[[#This Row],[Start Date]],Milestone_Marker,IF(AND(AL$29&gt;ProposalToGnatt[[#This Row],[Start Date]],AL$29&lt;ProposalToGnatt[[#This Row],[Start Date]]+ProposalToGnatt[[#This Row],[Days]]),$G$5,"")),"")</f>
        <v/>
      </c>
      <c r="AM73" s="37" t="str">
        <f ca="1">IFERROR(+IF(AM$29=ProposalToGnatt[[#This Row],[Start Date]],Milestone_Marker,IF(AND(AM$29&gt;ProposalToGnatt[[#This Row],[Start Date]],AM$29&lt;ProposalToGnatt[[#This Row],[Start Date]]+ProposalToGnatt[[#This Row],[Days]]),$G$5,"")),"")</f>
        <v/>
      </c>
      <c r="AN73" s="37" t="str">
        <f ca="1">IFERROR(+IF(AN$29=ProposalToGnatt[[#This Row],[Start Date]],Milestone_Marker,IF(AND(AN$29&gt;ProposalToGnatt[[#This Row],[Start Date]],AN$29&lt;ProposalToGnatt[[#This Row],[Start Date]]+ProposalToGnatt[[#This Row],[Days]]),$G$5,"")),"")</f>
        <v/>
      </c>
      <c r="AO73" s="37" t="str">
        <f ca="1">IFERROR(+IF(AO$29=ProposalToGnatt[[#This Row],[Start Date]],Milestone_Marker,IF(AND(AO$29&gt;ProposalToGnatt[[#This Row],[Start Date]],AO$29&lt;ProposalToGnatt[[#This Row],[Start Date]]+ProposalToGnatt[[#This Row],[Days]]),$G$5,"")),"")</f>
        <v/>
      </c>
      <c r="AP73" s="37" t="str">
        <f ca="1">IFERROR(+IF(AP$29=ProposalToGnatt[[#This Row],[Start Date]],Milestone_Marker,IF(AND(AP$29&gt;ProposalToGnatt[[#This Row],[Start Date]],AP$29&lt;ProposalToGnatt[[#This Row],[Start Date]]+ProposalToGnatt[[#This Row],[Days]]),$G$5,"")),"")</f>
        <v/>
      </c>
      <c r="AQ73" s="37" t="str">
        <f ca="1">IFERROR(+IF(AQ$29=ProposalToGnatt[[#This Row],[Start Date]],Milestone_Marker,IF(AND(AQ$29&gt;ProposalToGnatt[[#This Row],[Start Date]],AQ$29&lt;ProposalToGnatt[[#This Row],[Start Date]]+ProposalToGnatt[[#This Row],[Days]]),$G$5,"")),"")</f>
        <v/>
      </c>
      <c r="AR73" s="37" t="str">
        <f ca="1">IFERROR(+IF(AR$29=ProposalToGnatt[[#This Row],[Start Date]],Milestone_Marker,IF(AND(AR$29&gt;ProposalToGnatt[[#This Row],[Start Date]],AR$29&lt;ProposalToGnatt[[#This Row],[Start Date]]+ProposalToGnatt[[#This Row],[Days]]),$G$5,"")),"")</f>
        <v/>
      </c>
      <c r="AS73" s="37" t="str">
        <f ca="1">IFERROR(+IF(AS$29=ProposalToGnatt[[#This Row],[Start Date]],Milestone_Marker,IF(AND(AS$29&gt;ProposalToGnatt[[#This Row],[Start Date]],AS$29&lt;ProposalToGnatt[[#This Row],[Start Date]]+ProposalToGnatt[[#This Row],[Days]]),$G$5,"")),"")</f>
        <v/>
      </c>
      <c r="AT73" s="37" t="str">
        <f ca="1">IFERROR(+IF(AT$29=ProposalToGnatt[[#This Row],[Start Date]],Milestone_Marker,IF(AND(AT$29&gt;ProposalToGnatt[[#This Row],[Start Date]],AT$29&lt;ProposalToGnatt[[#This Row],[Start Date]]+ProposalToGnatt[[#This Row],[Days]]),$G$5,"")),"")</f>
        <v/>
      </c>
      <c r="AU73" s="37" t="str">
        <f ca="1">IFERROR(+IF(AU$29=ProposalToGnatt[[#This Row],[Start Date]],Milestone_Marker,IF(AND(AU$29&gt;ProposalToGnatt[[#This Row],[Start Date]],AU$29&lt;ProposalToGnatt[[#This Row],[Start Date]]+ProposalToGnatt[[#This Row],[Days]]),$G$5,"")),"")</f>
        <v/>
      </c>
      <c r="AV73" s="37" t="str">
        <f ca="1">IFERROR(+IF(AV$29=ProposalToGnatt[[#This Row],[Start Date]],Milestone_Marker,IF(AND(AV$29&gt;ProposalToGnatt[[#This Row],[Start Date]],AV$29&lt;ProposalToGnatt[[#This Row],[Start Date]]+ProposalToGnatt[[#This Row],[Days]]),$G$5,"")),"")</f>
        <v/>
      </c>
      <c r="AW73" s="37" t="str">
        <f ca="1">IFERROR(+IF(AW$29=ProposalToGnatt[[#This Row],[Start Date]],Milestone_Marker,IF(AND(AW$29&gt;ProposalToGnatt[[#This Row],[Start Date]],AW$29&lt;ProposalToGnatt[[#This Row],[Start Date]]+ProposalToGnatt[[#This Row],[Days]]),$G$5,"")),"")</f>
        <v/>
      </c>
      <c r="AX73" s="37" t="str">
        <f ca="1">IFERROR(+IF(AX$29=ProposalToGnatt[[#This Row],[Start Date]],Milestone_Marker,IF(AND(AX$29&gt;ProposalToGnatt[[#This Row],[Start Date]],AX$29&lt;ProposalToGnatt[[#This Row],[Start Date]]+ProposalToGnatt[[#This Row],[Days]]),$G$5,"")),"")</f>
        <v/>
      </c>
      <c r="AY73" s="37" t="str">
        <f ca="1">IFERROR(+IF(AY$29=ProposalToGnatt[[#This Row],[Start Date]],Milestone_Marker,IF(AND(AY$29&gt;ProposalToGnatt[[#This Row],[Start Date]],AY$29&lt;ProposalToGnatt[[#This Row],[Start Date]]+ProposalToGnatt[[#This Row],[Days]]),$G$5,"")),"")</f>
        <v/>
      </c>
      <c r="AZ73" s="37" t="str">
        <f ca="1">IFERROR(+IF(AZ$29=ProposalToGnatt[[#This Row],[Start Date]],Milestone_Marker,IF(AND(AZ$29&gt;ProposalToGnatt[[#This Row],[Start Date]],AZ$29&lt;ProposalToGnatt[[#This Row],[Start Date]]+ProposalToGnatt[[#This Row],[Days]]),$G$5,"")),"")</f>
        <v/>
      </c>
      <c r="BA73" s="37" t="str">
        <f ca="1">IFERROR(+IF(BA$29=ProposalToGnatt[[#This Row],[Start Date]],Milestone_Marker,IF(AND(BA$29&gt;ProposalToGnatt[[#This Row],[Start Date]],BA$29&lt;ProposalToGnatt[[#This Row],[Start Date]]+ProposalToGnatt[[#This Row],[Days]]),$G$5,"")),"")</f>
        <v/>
      </c>
      <c r="BB73" s="37" t="str">
        <f ca="1">IFERROR(+IF(BB$29=ProposalToGnatt[[#This Row],[Start Date]],Milestone_Marker,IF(AND(BB$29&gt;ProposalToGnatt[[#This Row],[Start Date]],BB$29&lt;ProposalToGnatt[[#This Row],[Start Date]]+ProposalToGnatt[[#This Row],[Days]]),$G$5,"")),"")</f>
        <v/>
      </c>
      <c r="BC73" s="37" t="str">
        <f ca="1">IFERROR(+IF(BC$29=ProposalToGnatt[[#This Row],[Start Date]],Milestone_Marker,IF(AND(BC$29&gt;ProposalToGnatt[[#This Row],[Start Date]],BC$29&lt;ProposalToGnatt[[#This Row],[Start Date]]+ProposalToGnatt[[#This Row],[Days]]),$G$5,"")),"")</f>
        <v/>
      </c>
      <c r="BD73" s="37" t="str">
        <f ca="1">IFERROR(+IF(BD$29=ProposalToGnatt[[#This Row],[Start Date]],Milestone_Marker,IF(AND(BD$29&gt;ProposalToGnatt[[#This Row],[Start Date]],BD$29&lt;ProposalToGnatt[[#This Row],[Start Date]]+ProposalToGnatt[[#This Row],[Days]]),$G$5,"")),"")</f>
        <v/>
      </c>
      <c r="BE73" s="37" t="str">
        <f ca="1">IFERROR(+IF(BE$29=ProposalToGnatt[[#This Row],[Start Date]],Milestone_Marker,IF(AND(BE$29&gt;ProposalToGnatt[[#This Row],[Start Date]],BE$29&lt;ProposalToGnatt[[#This Row],[Start Date]]+ProposalToGnatt[[#This Row],[Days]]),$G$5,"")),"")</f>
        <v/>
      </c>
      <c r="BF73" s="37" t="str">
        <f ca="1">IFERROR(+IF(BF$29=ProposalToGnatt[[#This Row],[Start Date]],Milestone_Marker,IF(AND(BF$29&gt;ProposalToGnatt[[#This Row],[Start Date]],BF$29&lt;ProposalToGnatt[[#This Row],[Start Date]]+ProposalToGnatt[[#This Row],[Days]]),$G$5,"")),"")</f>
        <v/>
      </c>
      <c r="BG73" s="37" t="str">
        <f ca="1">IFERROR(+IF(BG$29=ProposalToGnatt[[#This Row],[Start Date]],Milestone_Marker,IF(AND(BG$29&gt;ProposalToGnatt[[#This Row],[Start Date]],BG$29&lt;ProposalToGnatt[[#This Row],[Start Date]]+ProposalToGnatt[[#This Row],[Days]]),$G$5,"")),"")</f>
        <v/>
      </c>
      <c r="BH73" s="37" t="str">
        <f ca="1">IFERROR(+IF(BH$29=ProposalToGnatt[[#This Row],[Start Date]],Milestone_Marker,IF(AND(BH$29&gt;ProposalToGnatt[[#This Row],[Start Date]],BH$29&lt;ProposalToGnatt[[#This Row],[Start Date]]+ProposalToGnatt[[#This Row],[Days]]),$G$5,"")),"")</f>
        <v/>
      </c>
      <c r="BI73" s="37" t="str">
        <f ca="1">IFERROR(+IF(BI$29=ProposalToGnatt[[#This Row],[Start Date]],Milestone_Marker,IF(AND(BI$29&gt;ProposalToGnatt[[#This Row],[Start Date]],BI$29&lt;ProposalToGnatt[[#This Row],[Start Date]]+ProposalToGnatt[[#This Row],[Days]]),$G$5,"")),"")</f>
        <v/>
      </c>
      <c r="BJ73" s="37" t="str">
        <f ca="1">IFERROR(+IF(BJ$29=ProposalToGnatt[[#This Row],[Start Date]],Milestone_Marker,IF(AND(BJ$29&gt;ProposalToGnatt[[#This Row],[Start Date]],BJ$29&lt;ProposalToGnatt[[#This Row],[Start Date]]+ProposalToGnatt[[#This Row],[Days]]),$G$5,"")),"")</f>
        <v/>
      </c>
      <c r="BK73" s="37" t="str">
        <f ca="1">IFERROR(+IF(BK$29=ProposalToGnatt[[#This Row],[Start Date]],Milestone_Marker,IF(AND(BK$29&gt;ProposalToGnatt[[#This Row],[Start Date]],BK$29&lt;ProposalToGnatt[[#This Row],[Start Date]]+ProposalToGnatt[[#This Row],[Days]]),$G$5,"")),"")</f>
        <v/>
      </c>
      <c r="BL73" s="37" t="str">
        <f ca="1">IFERROR(+IF(BL$29=ProposalToGnatt[[#This Row],[Start Date]],Milestone_Marker,IF(AND(BL$29&gt;ProposalToGnatt[[#This Row],[Start Date]],BL$29&lt;ProposalToGnatt[[#This Row],[Start Date]]+ProposalToGnatt[[#This Row],[Days]]),$G$5,"")),"")</f>
        <v/>
      </c>
      <c r="BM73" s="37" t="str">
        <f ca="1">IFERROR(+IF(BM$29=ProposalToGnatt[[#This Row],[Start Date]],Milestone_Marker,IF(AND(BM$29&gt;ProposalToGnatt[[#This Row],[Start Date]],BM$29&lt;ProposalToGnatt[[#This Row],[Start Date]]+ProposalToGnatt[[#This Row],[Days]]),$G$5,"")),"")</f>
        <v/>
      </c>
      <c r="BN73" s="37" t="str">
        <f ca="1">IFERROR(+IF(BN$29=ProposalToGnatt[[#This Row],[Start Date]],Milestone_Marker,IF(AND(BN$29&gt;ProposalToGnatt[[#This Row],[Start Date]],BN$29&lt;ProposalToGnatt[[#This Row],[Start Date]]+ProposalToGnatt[[#This Row],[Days]]),$G$5,"")),"")</f>
        <v/>
      </c>
      <c r="BO73" s="37" t="str">
        <f ca="1">IFERROR(+IF(BO$29=ProposalToGnatt[[#This Row],[Start Date]],Milestone_Marker,IF(AND(BO$29&gt;ProposalToGnatt[[#This Row],[Start Date]],BO$29&lt;ProposalToGnatt[[#This Row],[Start Date]]+ProposalToGnatt[[#This Row],[Days]]),$G$5,"")),"")</f>
        <v/>
      </c>
      <c r="BP73" s="37" t="str">
        <f ca="1">IFERROR(+IF(BP$29=ProposalToGnatt[[#This Row],[Start Date]],Milestone_Marker,IF(AND(BP$29&gt;ProposalToGnatt[[#This Row],[Start Date]],BP$29&lt;ProposalToGnatt[[#This Row],[Start Date]]+ProposalToGnatt[[#This Row],[Days]]),$G$5,"")),"")</f>
        <v/>
      </c>
      <c r="BQ73" s="37" t="str">
        <f ca="1">IFERROR(+IF(BQ$29=ProposalToGnatt[[#This Row],[Start Date]],Milestone_Marker,IF(AND(BQ$29&gt;ProposalToGnatt[[#This Row],[Start Date]],BQ$29&lt;ProposalToGnatt[[#This Row],[Start Date]]+ProposalToGnatt[[#This Row],[Days]]),$G$5,"")),"")</f>
        <v/>
      </c>
      <c r="BR73" s="37" t="str">
        <f ca="1">IFERROR(+IF(BR$29=ProposalToGnatt[[#This Row],[Start Date]],Milestone_Marker,IF(AND(BR$29&gt;ProposalToGnatt[[#This Row],[Start Date]],BR$29&lt;ProposalToGnatt[[#This Row],[Start Date]]+ProposalToGnatt[[#This Row],[Days]]),$G$5,"")),"")</f>
        <v/>
      </c>
      <c r="BS73" s="37" t="str">
        <f ca="1">IFERROR(+IF(BS$29=ProposalToGnatt[[#This Row],[Start Date]],Milestone_Marker,IF(AND(BS$29&gt;ProposalToGnatt[[#This Row],[Start Date]],BS$29&lt;ProposalToGnatt[[#This Row],[Start Date]]+ProposalToGnatt[[#This Row],[Days]]),$G$5,"")),"")</f>
        <v/>
      </c>
      <c r="BT73" s="37" t="str">
        <f ca="1">IFERROR(+IF(BT$29=ProposalToGnatt[[#This Row],[Start Date]],Milestone_Marker,IF(AND(BT$29&gt;ProposalToGnatt[[#This Row],[Start Date]],BT$29&lt;ProposalToGnatt[[#This Row],[Start Date]]+ProposalToGnatt[[#This Row],[Days]]),$G$5,"")),"")</f>
        <v/>
      </c>
      <c r="BU73" s="37" t="str">
        <f ca="1">IFERROR(+IF(BU$29=ProposalToGnatt[[#This Row],[Start Date]],Milestone_Marker,IF(AND(BU$29&gt;ProposalToGnatt[[#This Row],[Start Date]],BU$29&lt;ProposalToGnatt[[#This Row],[Start Date]]+ProposalToGnatt[[#This Row],[Days]]),$G$5,"")),"")</f>
        <v/>
      </c>
      <c r="BV73" s="37" t="str">
        <f ca="1">IFERROR(+IF(BV$29=ProposalToGnatt[[#This Row],[Start Date]],Milestone_Marker,IF(AND(BV$29&gt;ProposalToGnatt[[#This Row],[Start Date]],BV$29&lt;ProposalToGnatt[[#This Row],[Start Date]]+ProposalToGnatt[[#This Row],[Days]]),$G$5,"")),"")</f>
        <v/>
      </c>
      <c r="BW73" s="37" t="str">
        <f ca="1">IFERROR(+IF(BW$29=ProposalToGnatt[[#This Row],[Start Date]],Milestone_Marker,IF(AND(BW$29&gt;ProposalToGnatt[[#This Row],[Start Date]],BW$29&lt;ProposalToGnatt[[#This Row],[Start Date]]+ProposalToGnatt[[#This Row],[Days]]),$G$5,"")),"")</f>
        <v/>
      </c>
      <c r="BX73" s="37" t="str">
        <f ca="1">IFERROR(+IF(BX$29=ProposalToGnatt[[#This Row],[Start Date]],Milestone_Marker,IF(AND(BX$29&gt;ProposalToGnatt[[#This Row],[Start Date]],BX$29&lt;ProposalToGnatt[[#This Row],[Start Date]]+ProposalToGnatt[[#This Row],[Days]]),$G$5,"")),"")</f>
        <v/>
      </c>
      <c r="BY73" s="37" t="str">
        <f ca="1">IFERROR(+IF(BY$29=ProposalToGnatt[[#This Row],[Start Date]],Milestone_Marker,IF(AND(BY$29&gt;ProposalToGnatt[[#This Row],[Start Date]],BY$29&lt;ProposalToGnatt[[#This Row],[Start Date]]+ProposalToGnatt[[#This Row],[Days]]),$G$5,"")),"")</f>
        <v/>
      </c>
      <c r="BZ73" s="37" t="str">
        <f ca="1">IFERROR(+IF(BZ$29=ProposalToGnatt[[#This Row],[Start Date]],Milestone_Marker,IF(AND(BZ$29&gt;ProposalToGnatt[[#This Row],[Start Date]],BZ$29&lt;ProposalToGnatt[[#This Row],[Start Date]]+ProposalToGnatt[[#This Row],[Days]]),$G$5,"")),"")</f>
        <v/>
      </c>
      <c r="CA73" s="37" t="str">
        <f ca="1">IFERROR(+IF(CA$29=ProposalToGnatt[[#This Row],[Start Date]],Milestone_Marker,IF(AND(CA$29&gt;ProposalToGnatt[[#This Row],[Start Date]],CA$29&lt;ProposalToGnatt[[#This Row],[Start Date]]+ProposalToGnatt[[#This Row],[Days]]),$G$5,"")),"")</f>
        <v/>
      </c>
      <c r="CB73" s="37" t="str">
        <f ca="1">IFERROR(+IF(CB$29=ProposalToGnatt[[#This Row],[Start Date]],Milestone_Marker,IF(AND(CB$29&gt;ProposalToGnatt[[#This Row],[Start Date]],CB$29&lt;ProposalToGnatt[[#This Row],[Start Date]]+ProposalToGnatt[[#This Row],[Days]]),$G$5,"")),"")</f>
        <v/>
      </c>
      <c r="CC73" s="37" t="str">
        <f ca="1">IFERROR(+IF(CC$29=ProposalToGnatt[[#This Row],[Start Date]],Milestone_Marker,IF(AND(CC$29&gt;ProposalToGnatt[[#This Row],[Start Date]],CC$29&lt;ProposalToGnatt[[#This Row],[Start Date]]+ProposalToGnatt[[#This Row],[Days]]),$G$5,"")),"")</f>
        <v/>
      </c>
      <c r="CD73" s="37" t="str">
        <f ca="1">IFERROR(+IF(CD$29=ProposalToGnatt[[#This Row],[Start Date]],Milestone_Marker,IF(AND(CD$29&gt;ProposalToGnatt[[#This Row],[Start Date]],CD$29&lt;ProposalToGnatt[[#This Row],[Start Date]]+ProposalToGnatt[[#This Row],[Days]]),$G$5,"")),"")</f>
        <v/>
      </c>
      <c r="CE73" s="37" t="str">
        <f ca="1">IFERROR(+IF(CE$29=ProposalToGnatt[[#This Row],[Start Date]],Milestone_Marker,IF(AND(CE$29&gt;ProposalToGnatt[[#This Row],[Start Date]],CE$29&lt;ProposalToGnatt[[#This Row],[Start Date]]+ProposalToGnatt[[#This Row],[Days]]),$G$5,"")),"")</f>
        <v/>
      </c>
      <c r="CF73" s="37" t="str">
        <f ca="1">IFERROR(+IF(CF$29=ProposalToGnatt[[#This Row],[Start Date]],Milestone_Marker,IF(AND(CF$29&gt;ProposalToGnatt[[#This Row],[Start Date]],CF$29&lt;ProposalToGnatt[[#This Row],[Start Date]]+ProposalToGnatt[[#This Row],[Days]]),$G$5,"")),"")</f>
        <v/>
      </c>
      <c r="CG73" s="37" t="str">
        <f ca="1">IFERROR(+IF(CG$29=ProposalToGnatt[[#This Row],[Start Date]],Milestone_Marker,IF(AND(CG$29&gt;ProposalToGnatt[[#This Row],[Start Date]],CG$29&lt;ProposalToGnatt[[#This Row],[Start Date]]+ProposalToGnatt[[#This Row],[Days]]),$G$5,"")),"")</f>
        <v/>
      </c>
      <c r="CH73" s="37" t="str">
        <f ca="1">IFERROR(+IF(CH$29=ProposalToGnatt[[#This Row],[Start Date]],Milestone_Marker,IF(AND(CH$29&gt;ProposalToGnatt[[#This Row],[Start Date]],CH$29&lt;ProposalToGnatt[[#This Row],[Start Date]]+ProposalToGnatt[[#This Row],[Days]]),$G$5,"")),"")</f>
        <v/>
      </c>
      <c r="CI73" s="37" t="str">
        <f ca="1">IFERROR(+IF(CI$29=ProposalToGnatt[[#This Row],[Start Date]],Milestone_Marker,IF(AND(CI$29&gt;ProposalToGnatt[[#This Row],[Start Date]],CI$29&lt;ProposalToGnatt[[#This Row],[Start Date]]+ProposalToGnatt[[#This Row],[Days]]),$G$5,"")),"")</f>
        <v/>
      </c>
      <c r="CJ73" s="37" t="str">
        <f ca="1">IFERROR(+IF(CJ$29=ProposalToGnatt[[#This Row],[Start Date]],Milestone_Marker,IF(AND(CJ$29&gt;ProposalToGnatt[[#This Row],[Start Date]],CJ$29&lt;ProposalToGnatt[[#This Row],[Start Date]]+ProposalToGnatt[[#This Row],[Days]]),$G$5,"")),"")</f>
        <v/>
      </c>
      <c r="CK73" s="37" t="str">
        <f ca="1">IFERROR(+IF(CK$29=ProposalToGnatt[[#This Row],[Start Date]],Milestone_Marker,IF(AND(CK$29&gt;ProposalToGnatt[[#This Row],[Start Date]],CK$29&lt;ProposalToGnatt[[#This Row],[Start Date]]+ProposalToGnatt[[#This Row],[Days]]),$G$5,"")),"")</f>
        <v/>
      </c>
      <c r="CL73" s="37" t="str">
        <f ca="1">IFERROR(+IF(CL$29=ProposalToGnatt[[#This Row],[Start Date]],Milestone_Marker,IF(AND(CL$29&gt;ProposalToGnatt[[#This Row],[Start Date]],CL$29&lt;ProposalToGnatt[[#This Row],[Start Date]]+ProposalToGnatt[[#This Row],[Days]]),$G$5,"")),"")</f>
        <v/>
      </c>
      <c r="CM73" s="37" t="str">
        <f ca="1">IFERROR(+IF(CM$29=ProposalToGnatt[[#This Row],[Start Date]],Milestone_Marker,IF(AND(CM$29&gt;ProposalToGnatt[[#This Row],[Start Date]],CM$29&lt;ProposalToGnatt[[#This Row],[Start Date]]+ProposalToGnatt[[#This Row],[Days]]),$G$5,"")),"")</f>
        <v/>
      </c>
      <c r="CN73" s="37" t="str">
        <f ca="1">IFERROR(+IF(CN$29=ProposalToGnatt[[#This Row],[Start Date]],Milestone_Marker,IF(AND(CN$29&gt;ProposalToGnatt[[#This Row],[Start Date]],CN$29&lt;ProposalToGnatt[[#This Row],[Start Date]]+ProposalToGnatt[[#This Row],[Days]]),$G$5,"")),"")</f>
        <v/>
      </c>
      <c r="CO73" s="37" t="str">
        <f ca="1">IFERROR(+IF(CO$29=ProposalToGnatt[[#This Row],[Start Date]],Milestone_Marker,IF(AND(CO$29&gt;ProposalToGnatt[[#This Row],[Start Date]],CO$29&lt;ProposalToGnatt[[#This Row],[Start Date]]+ProposalToGnatt[[#This Row],[Days]]),$G$5,"")),"")</f>
        <v/>
      </c>
      <c r="CP73" s="37" t="str">
        <f ca="1">IFERROR(+IF(CP$29=ProposalToGnatt[[#This Row],[Start Date]],Milestone_Marker,IF(AND(CP$29&gt;ProposalToGnatt[[#This Row],[Start Date]],CP$29&lt;ProposalToGnatt[[#This Row],[Start Date]]+ProposalToGnatt[[#This Row],[Days]]),$G$5,"")),"")</f>
        <v/>
      </c>
      <c r="CQ73" s="37" t="str">
        <f ca="1">IFERROR(+IF(CQ$29=ProposalToGnatt[[#This Row],[Start Date]],Milestone_Marker,IF(AND(CQ$29&gt;ProposalToGnatt[[#This Row],[Start Date]],CQ$29&lt;ProposalToGnatt[[#This Row],[Start Date]]+ProposalToGnatt[[#This Row],[Days]]),$G$5,"")),"")</f>
        <v/>
      </c>
      <c r="CR73" s="37" t="str">
        <f ca="1">IFERROR(+IF(CR$29=ProposalToGnatt[[#This Row],[Start Date]],Milestone_Marker,IF(AND(CR$29&gt;ProposalToGnatt[[#This Row],[Start Date]],CR$29&lt;ProposalToGnatt[[#This Row],[Start Date]]+ProposalToGnatt[[#This Row],[Days]]),$G$5,"")),"")</f>
        <v/>
      </c>
      <c r="CS73" s="37" t="str">
        <f ca="1">IFERROR(+IF(CS$29=ProposalToGnatt[[#This Row],[Start Date]],Milestone_Marker,IF(AND(CS$29&gt;ProposalToGnatt[[#This Row],[Start Date]],CS$29&lt;ProposalToGnatt[[#This Row],[Start Date]]+ProposalToGnatt[[#This Row],[Days]]),$G$5,"")),"")</f>
        <v/>
      </c>
      <c r="CT73" s="37" t="str">
        <f ca="1">IFERROR(+IF(CT$29=ProposalToGnatt[[#This Row],[Start Date]],Milestone_Marker,IF(AND(CT$29&gt;ProposalToGnatt[[#This Row],[Start Date]],CT$29&lt;ProposalToGnatt[[#This Row],[Start Date]]+ProposalToGnatt[[#This Row],[Days]]),$G$5,"")),"")</f>
        <v/>
      </c>
      <c r="CU73" s="37" t="str">
        <f ca="1">IFERROR(+IF(CU$29=ProposalToGnatt[[#This Row],[Start Date]],Milestone_Marker,IF(AND(CU$29&gt;ProposalToGnatt[[#This Row],[Start Date]],CU$29&lt;ProposalToGnatt[[#This Row],[Start Date]]+ProposalToGnatt[[#This Row],[Days]]),$G$5,"")),"")</f>
        <v/>
      </c>
      <c r="CV73" s="37"/>
      <c r="CW73" s="37"/>
      <c r="CX73" s="37"/>
      <c r="CY73" s="37"/>
      <c r="CZ73" s="37"/>
      <c r="DA73" s="37"/>
      <c r="DB73" s="37"/>
      <c r="DC73" s="37"/>
      <c r="DD73" s="37"/>
      <c r="DE73" s="37"/>
      <c r="DF73" s="37"/>
      <c r="DG73" s="37"/>
      <c r="DH73" s="37"/>
      <c r="DI73" s="37"/>
      <c r="DJ73" s="37"/>
      <c r="DK73" s="37"/>
      <c r="DL73" s="37"/>
      <c r="DM73" s="37"/>
      <c r="DN73" s="37"/>
      <c r="DO73" s="37"/>
      <c r="DP73" s="37"/>
      <c r="DQ73" s="37"/>
      <c r="DR73" s="37"/>
      <c r="DS73" s="37"/>
      <c r="DT73" s="37"/>
      <c r="DU73" s="37"/>
    </row>
    <row r="74" spans="1:125" ht="15">
      <c r="A74"/>
      <c r="B74"/>
      <c r="C74"/>
      <c r="D74"/>
      <c r="E74"/>
      <c r="F74"/>
      <c r="G74" s="11"/>
      <c r="H74" s="26"/>
      <c r="I74"/>
      <c r="J74"/>
      <c r="K74" s="402"/>
      <c r="L74"/>
      <c r="M74"/>
      <c r="N74"/>
      <c r="O74" s="26"/>
      <c r="P74" s="37" t="str">
        <f ca="1">IFERROR(+IF(P$29=ProposalToGnatt[[#This Row],[Start Date]],Milestone_Marker,IF(AND(P$29&gt;ProposalToGnatt[[#This Row],[Start Date]],P$29&lt;ProposalToGnatt[[#This Row],[Start Date]]+ProposalToGnatt[[#This Row],[Days]]),$G$5,"")),"")</f>
        <v/>
      </c>
      <c r="Q74" s="37" t="str">
        <f ca="1">IFERROR(+IF(Q$29=ProposalToGnatt[[#This Row],[Start Date]],Milestone_Marker,IF(AND(Q$29&gt;ProposalToGnatt[[#This Row],[Start Date]],Q$29&lt;ProposalToGnatt[[#This Row],[Start Date]]+ProposalToGnatt[[#This Row],[Days]]),$G$5,"")),"")</f>
        <v/>
      </c>
      <c r="R74" s="37" t="str">
        <f ca="1">IFERROR(+IF(R$29=ProposalToGnatt[[#This Row],[Start Date]],Milestone_Marker,IF(AND(R$29&gt;ProposalToGnatt[[#This Row],[Start Date]],R$29&lt;ProposalToGnatt[[#This Row],[Start Date]]+ProposalToGnatt[[#This Row],[Days]]),$G$5,"")),"")</f>
        <v/>
      </c>
      <c r="S74" s="37" t="str">
        <f ca="1">IFERROR(+IF(S$29=ProposalToGnatt[[#This Row],[Start Date]],Milestone_Marker,IF(AND(S$29&gt;ProposalToGnatt[[#This Row],[Start Date]],S$29&lt;ProposalToGnatt[[#This Row],[Start Date]]+ProposalToGnatt[[#This Row],[Days]]),$G$5,"")),"")</f>
        <v/>
      </c>
      <c r="T74" s="37" t="str">
        <f ca="1">IFERROR(+IF(T$29=ProposalToGnatt[[#This Row],[Start Date]],Milestone_Marker,IF(AND(T$29&gt;ProposalToGnatt[[#This Row],[Start Date]],T$29&lt;ProposalToGnatt[[#This Row],[Start Date]]+ProposalToGnatt[[#This Row],[Days]]),$G$5,"")),"")</f>
        <v/>
      </c>
      <c r="U74" s="37" t="str">
        <f ca="1">IFERROR(+IF(U$29=ProposalToGnatt[[#This Row],[Start Date]],Milestone_Marker,IF(AND(U$29&gt;ProposalToGnatt[[#This Row],[Start Date]],U$29&lt;ProposalToGnatt[[#This Row],[Start Date]]+ProposalToGnatt[[#This Row],[Days]]),$G$5,"")),"")</f>
        <v/>
      </c>
      <c r="V74" s="37" t="str">
        <f ca="1">IFERROR(+IF(V$29=ProposalToGnatt[[#This Row],[Start Date]],Milestone_Marker,IF(AND(V$29&gt;ProposalToGnatt[[#This Row],[Start Date]],V$29&lt;ProposalToGnatt[[#This Row],[Start Date]]+ProposalToGnatt[[#This Row],[Days]]),$G$5,"")),"")</f>
        <v/>
      </c>
      <c r="W74" s="37" t="str">
        <f ca="1">IFERROR(+IF(W$29=ProposalToGnatt[[#This Row],[Start Date]],Milestone_Marker,IF(AND(W$29&gt;ProposalToGnatt[[#This Row],[Start Date]],W$29&lt;ProposalToGnatt[[#This Row],[Start Date]]+ProposalToGnatt[[#This Row],[Days]]),$G$5,"")),"")</f>
        <v/>
      </c>
      <c r="X74" s="37" t="str">
        <f ca="1">IFERROR(+IF(X$29=ProposalToGnatt[[#This Row],[Start Date]],Milestone_Marker,IF(AND(X$29&gt;ProposalToGnatt[[#This Row],[Start Date]],X$29&lt;ProposalToGnatt[[#This Row],[Start Date]]+ProposalToGnatt[[#This Row],[Days]]),$G$5,"")),"")</f>
        <v/>
      </c>
      <c r="Y74" s="37" t="str">
        <f ca="1">IFERROR(+IF(Y$29=ProposalToGnatt[[#This Row],[Start Date]],Milestone_Marker,IF(AND(Y$29&gt;ProposalToGnatt[[#This Row],[Start Date]],Y$29&lt;ProposalToGnatt[[#This Row],[Start Date]]+ProposalToGnatt[[#This Row],[Days]]),$G$5,"")),"")</f>
        <v/>
      </c>
      <c r="Z74" s="37" t="str">
        <f ca="1">IFERROR(+IF(Z$29=ProposalToGnatt[[#This Row],[Start Date]],Milestone_Marker,IF(AND(Z$29&gt;ProposalToGnatt[[#This Row],[Start Date]],Z$29&lt;ProposalToGnatt[[#This Row],[Start Date]]+ProposalToGnatt[[#This Row],[Days]]),$G$5,"")),"")</f>
        <v/>
      </c>
      <c r="AA74" s="37" t="str">
        <f ca="1">IFERROR(+IF(AA$29=ProposalToGnatt[[#This Row],[Start Date]],Milestone_Marker,IF(AND(AA$29&gt;ProposalToGnatt[[#This Row],[Start Date]],AA$29&lt;ProposalToGnatt[[#This Row],[Start Date]]+ProposalToGnatt[[#This Row],[Days]]),$G$5,"")),"")</f>
        <v/>
      </c>
      <c r="AB74" s="37" t="str">
        <f ca="1">IFERROR(+IF(AB$29=ProposalToGnatt[[#This Row],[Start Date]],Milestone_Marker,IF(AND(AB$29&gt;ProposalToGnatt[[#This Row],[Start Date]],AB$29&lt;ProposalToGnatt[[#This Row],[Start Date]]+ProposalToGnatt[[#This Row],[Days]]),$G$5,"")),"")</f>
        <v/>
      </c>
      <c r="AC74" s="37" t="str">
        <f ca="1">IFERROR(+IF(AC$29=ProposalToGnatt[[#This Row],[Start Date]],Milestone_Marker,IF(AND(AC$29&gt;ProposalToGnatt[[#This Row],[Start Date]],AC$29&lt;ProposalToGnatt[[#This Row],[Start Date]]+ProposalToGnatt[[#This Row],[Days]]),$G$5,"")),"")</f>
        <v/>
      </c>
      <c r="AD74" s="37" t="str">
        <f ca="1">IFERROR(+IF(AD$29=ProposalToGnatt[[#This Row],[Start Date]],Milestone_Marker,IF(AND(AD$29&gt;ProposalToGnatt[[#This Row],[Start Date]],AD$29&lt;ProposalToGnatt[[#This Row],[Start Date]]+ProposalToGnatt[[#This Row],[Days]]),$G$5,"")),"")</f>
        <v/>
      </c>
      <c r="AE74" s="37" t="str">
        <f ca="1">IFERROR(+IF(AE$29=ProposalToGnatt[[#This Row],[Start Date]],Milestone_Marker,IF(AND(AE$29&gt;ProposalToGnatt[[#This Row],[Start Date]],AE$29&lt;ProposalToGnatt[[#This Row],[Start Date]]+ProposalToGnatt[[#This Row],[Days]]),$G$5,"")),"")</f>
        <v/>
      </c>
      <c r="AF74" s="37" t="str">
        <f ca="1">IFERROR(+IF(AF$29=ProposalToGnatt[[#This Row],[Start Date]],Milestone_Marker,IF(AND(AF$29&gt;ProposalToGnatt[[#This Row],[Start Date]],AF$29&lt;ProposalToGnatt[[#This Row],[Start Date]]+ProposalToGnatt[[#This Row],[Days]]),$G$5,"")),"")</f>
        <v/>
      </c>
      <c r="AG74" s="37" t="str">
        <f ca="1">IFERROR(+IF(AG$29=ProposalToGnatt[[#This Row],[Start Date]],Milestone_Marker,IF(AND(AG$29&gt;ProposalToGnatt[[#This Row],[Start Date]],AG$29&lt;ProposalToGnatt[[#This Row],[Start Date]]+ProposalToGnatt[[#This Row],[Days]]),$G$5,"")),"")</f>
        <v/>
      </c>
      <c r="AH74" s="37" t="str">
        <f ca="1">IFERROR(+IF(AH$29=ProposalToGnatt[[#This Row],[Start Date]],Milestone_Marker,IF(AND(AH$29&gt;ProposalToGnatt[[#This Row],[Start Date]],AH$29&lt;ProposalToGnatt[[#This Row],[Start Date]]+ProposalToGnatt[[#This Row],[Days]]),$G$5,"")),"")</f>
        <v/>
      </c>
      <c r="AI74" s="37" t="str">
        <f ca="1">IFERROR(+IF(AI$29=ProposalToGnatt[[#This Row],[Start Date]],Milestone_Marker,IF(AND(AI$29&gt;ProposalToGnatt[[#This Row],[Start Date]],AI$29&lt;ProposalToGnatt[[#This Row],[Start Date]]+ProposalToGnatt[[#This Row],[Days]]),$G$5,"")),"")</f>
        <v/>
      </c>
      <c r="AJ74" s="37" t="str">
        <f ca="1">IFERROR(+IF(AJ$29=ProposalToGnatt[[#This Row],[Start Date]],Milestone_Marker,IF(AND(AJ$29&gt;ProposalToGnatt[[#This Row],[Start Date]],AJ$29&lt;ProposalToGnatt[[#This Row],[Start Date]]+ProposalToGnatt[[#This Row],[Days]]),$G$5,"")),"")</f>
        <v/>
      </c>
      <c r="AK74" s="37" t="str">
        <f ca="1">IFERROR(+IF(AK$29=ProposalToGnatt[[#This Row],[Start Date]],Milestone_Marker,IF(AND(AK$29&gt;ProposalToGnatt[[#This Row],[Start Date]],AK$29&lt;ProposalToGnatt[[#This Row],[Start Date]]+ProposalToGnatt[[#This Row],[Days]]),$G$5,"")),"")</f>
        <v/>
      </c>
      <c r="AL74" s="37" t="str">
        <f ca="1">IFERROR(+IF(AL$29=ProposalToGnatt[[#This Row],[Start Date]],Milestone_Marker,IF(AND(AL$29&gt;ProposalToGnatt[[#This Row],[Start Date]],AL$29&lt;ProposalToGnatt[[#This Row],[Start Date]]+ProposalToGnatt[[#This Row],[Days]]),$G$5,"")),"")</f>
        <v/>
      </c>
      <c r="AM74" s="37" t="str">
        <f ca="1">IFERROR(+IF(AM$29=ProposalToGnatt[[#This Row],[Start Date]],Milestone_Marker,IF(AND(AM$29&gt;ProposalToGnatt[[#This Row],[Start Date]],AM$29&lt;ProposalToGnatt[[#This Row],[Start Date]]+ProposalToGnatt[[#This Row],[Days]]),$G$5,"")),"")</f>
        <v/>
      </c>
      <c r="AN74" s="37" t="str">
        <f ca="1">IFERROR(+IF(AN$29=ProposalToGnatt[[#This Row],[Start Date]],Milestone_Marker,IF(AND(AN$29&gt;ProposalToGnatt[[#This Row],[Start Date]],AN$29&lt;ProposalToGnatt[[#This Row],[Start Date]]+ProposalToGnatt[[#This Row],[Days]]),$G$5,"")),"")</f>
        <v/>
      </c>
      <c r="AO74" s="37" t="str">
        <f ca="1">IFERROR(+IF(AO$29=ProposalToGnatt[[#This Row],[Start Date]],Milestone_Marker,IF(AND(AO$29&gt;ProposalToGnatt[[#This Row],[Start Date]],AO$29&lt;ProposalToGnatt[[#This Row],[Start Date]]+ProposalToGnatt[[#This Row],[Days]]),$G$5,"")),"")</f>
        <v/>
      </c>
      <c r="AP74" s="37" t="str">
        <f ca="1">IFERROR(+IF(AP$29=ProposalToGnatt[[#This Row],[Start Date]],Milestone_Marker,IF(AND(AP$29&gt;ProposalToGnatt[[#This Row],[Start Date]],AP$29&lt;ProposalToGnatt[[#This Row],[Start Date]]+ProposalToGnatt[[#This Row],[Days]]),$G$5,"")),"")</f>
        <v/>
      </c>
      <c r="AQ74" s="37" t="str">
        <f ca="1">IFERROR(+IF(AQ$29=ProposalToGnatt[[#This Row],[Start Date]],Milestone_Marker,IF(AND(AQ$29&gt;ProposalToGnatt[[#This Row],[Start Date]],AQ$29&lt;ProposalToGnatt[[#This Row],[Start Date]]+ProposalToGnatt[[#This Row],[Days]]),$G$5,"")),"")</f>
        <v/>
      </c>
      <c r="AR74" s="37" t="str">
        <f ca="1">IFERROR(+IF(AR$29=ProposalToGnatt[[#This Row],[Start Date]],Milestone_Marker,IF(AND(AR$29&gt;ProposalToGnatt[[#This Row],[Start Date]],AR$29&lt;ProposalToGnatt[[#This Row],[Start Date]]+ProposalToGnatt[[#This Row],[Days]]),$G$5,"")),"")</f>
        <v/>
      </c>
      <c r="AS74" s="37" t="str">
        <f ca="1">IFERROR(+IF(AS$29=ProposalToGnatt[[#This Row],[Start Date]],Milestone_Marker,IF(AND(AS$29&gt;ProposalToGnatt[[#This Row],[Start Date]],AS$29&lt;ProposalToGnatt[[#This Row],[Start Date]]+ProposalToGnatt[[#This Row],[Days]]),$G$5,"")),"")</f>
        <v/>
      </c>
      <c r="AT74" s="37" t="str">
        <f ca="1">IFERROR(+IF(AT$29=ProposalToGnatt[[#This Row],[Start Date]],Milestone_Marker,IF(AND(AT$29&gt;ProposalToGnatt[[#This Row],[Start Date]],AT$29&lt;ProposalToGnatt[[#This Row],[Start Date]]+ProposalToGnatt[[#This Row],[Days]]),$G$5,"")),"")</f>
        <v/>
      </c>
      <c r="AU74" s="37" t="str">
        <f ca="1">IFERROR(+IF(AU$29=ProposalToGnatt[[#This Row],[Start Date]],Milestone_Marker,IF(AND(AU$29&gt;ProposalToGnatt[[#This Row],[Start Date]],AU$29&lt;ProposalToGnatt[[#This Row],[Start Date]]+ProposalToGnatt[[#This Row],[Days]]),$G$5,"")),"")</f>
        <v/>
      </c>
      <c r="AV74" s="37" t="str">
        <f ca="1">IFERROR(+IF(AV$29=ProposalToGnatt[[#This Row],[Start Date]],Milestone_Marker,IF(AND(AV$29&gt;ProposalToGnatt[[#This Row],[Start Date]],AV$29&lt;ProposalToGnatt[[#This Row],[Start Date]]+ProposalToGnatt[[#This Row],[Days]]),$G$5,"")),"")</f>
        <v/>
      </c>
      <c r="AW74" s="37" t="str">
        <f ca="1">IFERROR(+IF(AW$29=ProposalToGnatt[[#This Row],[Start Date]],Milestone_Marker,IF(AND(AW$29&gt;ProposalToGnatt[[#This Row],[Start Date]],AW$29&lt;ProposalToGnatt[[#This Row],[Start Date]]+ProposalToGnatt[[#This Row],[Days]]),$G$5,"")),"")</f>
        <v/>
      </c>
      <c r="AX74" s="37" t="str">
        <f ca="1">IFERROR(+IF(AX$29=ProposalToGnatt[[#This Row],[Start Date]],Milestone_Marker,IF(AND(AX$29&gt;ProposalToGnatt[[#This Row],[Start Date]],AX$29&lt;ProposalToGnatt[[#This Row],[Start Date]]+ProposalToGnatt[[#This Row],[Days]]),$G$5,"")),"")</f>
        <v/>
      </c>
      <c r="AY74" s="37" t="str">
        <f ca="1">IFERROR(+IF(AY$29=ProposalToGnatt[[#This Row],[Start Date]],Milestone_Marker,IF(AND(AY$29&gt;ProposalToGnatt[[#This Row],[Start Date]],AY$29&lt;ProposalToGnatt[[#This Row],[Start Date]]+ProposalToGnatt[[#This Row],[Days]]),$G$5,"")),"")</f>
        <v/>
      </c>
      <c r="AZ74" s="37" t="str">
        <f ca="1">IFERROR(+IF(AZ$29=ProposalToGnatt[[#This Row],[Start Date]],Milestone_Marker,IF(AND(AZ$29&gt;ProposalToGnatt[[#This Row],[Start Date]],AZ$29&lt;ProposalToGnatt[[#This Row],[Start Date]]+ProposalToGnatt[[#This Row],[Days]]),$G$5,"")),"")</f>
        <v/>
      </c>
      <c r="BA74" s="37" t="str">
        <f ca="1">IFERROR(+IF(BA$29=ProposalToGnatt[[#This Row],[Start Date]],Milestone_Marker,IF(AND(BA$29&gt;ProposalToGnatt[[#This Row],[Start Date]],BA$29&lt;ProposalToGnatt[[#This Row],[Start Date]]+ProposalToGnatt[[#This Row],[Days]]),$G$5,"")),"")</f>
        <v/>
      </c>
      <c r="BB74" s="37" t="str">
        <f ca="1">IFERROR(+IF(BB$29=ProposalToGnatt[[#This Row],[Start Date]],Milestone_Marker,IF(AND(BB$29&gt;ProposalToGnatt[[#This Row],[Start Date]],BB$29&lt;ProposalToGnatt[[#This Row],[Start Date]]+ProposalToGnatt[[#This Row],[Days]]),$G$5,"")),"")</f>
        <v/>
      </c>
      <c r="BC74" s="37" t="str">
        <f ca="1">IFERROR(+IF(BC$29=ProposalToGnatt[[#This Row],[Start Date]],Milestone_Marker,IF(AND(BC$29&gt;ProposalToGnatt[[#This Row],[Start Date]],BC$29&lt;ProposalToGnatt[[#This Row],[Start Date]]+ProposalToGnatt[[#This Row],[Days]]),$G$5,"")),"")</f>
        <v/>
      </c>
      <c r="BD74" s="37" t="str">
        <f ca="1">IFERROR(+IF(BD$29=ProposalToGnatt[[#This Row],[Start Date]],Milestone_Marker,IF(AND(BD$29&gt;ProposalToGnatt[[#This Row],[Start Date]],BD$29&lt;ProposalToGnatt[[#This Row],[Start Date]]+ProposalToGnatt[[#This Row],[Days]]),$G$5,"")),"")</f>
        <v/>
      </c>
      <c r="BE74" s="37" t="str">
        <f ca="1">IFERROR(+IF(BE$29=ProposalToGnatt[[#This Row],[Start Date]],Milestone_Marker,IF(AND(BE$29&gt;ProposalToGnatt[[#This Row],[Start Date]],BE$29&lt;ProposalToGnatt[[#This Row],[Start Date]]+ProposalToGnatt[[#This Row],[Days]]),$G$5,"")),"")</f>
        <v/>
      </c>
      <c r="BF74" s="37" t="str">
        <f ca="1">IFERROR(+IF(BF$29=ProposalToGnatt[[#This Row],[Start Date]],Milestone_Marker,IF(AND(BF$29&gt;ProposalToGnatt[[#This Row],[Start Date]],BF$29&lt;ProposalToGnatt[[#This Row],[Start Date]]+ProposalToGnatt[[#This Row],[Days]]),$G$5,"")),"")</f>
        <v/>
      </c>
      <c r="BG74" s="37" t="str">
        <f ca="1">IFERROR(+IF(BG$29=ProposalToGnatt[[#This Row],[Start Date]],Milestone_Marker,IF(AND(BG$29&gt;ProposalToGnatt[[#This Row],[Start Date]],BG$29&lt;ProposalToGnatt[[#This Row],[Start Date]]+ProposalToGnatt[[#This Row],[Days]]),$G$5,"")),"")</f>
        <v/>
      </c>
      <c r="BH74" s="37" t="str">
        <f ca="1">IFERROR(+IF(BH$29=ProposalToGnatt[[#This Row],[Start Date]],Milestone_Marker,IF(AND(BH$29&gt;ProposalToGnatt[[#This Row],[Start Date]],BH$29&lt;ProposalToGnatt[[#This Row],[Start Date]]+ProposalToGnatt[[#This Row],[Days]]),$G$5,"")),"")</f>
        <v/>
      </c>
      <c r="BI74" s="37" t="str">
        <f ca="1">IFERROR(+IF(BI$29=ProposalToGnatt[[#This Row],[Start Date]],Milestone_Marker,IF(AND(BI$29&gt;ProposalToGnatt[[#This Row],[Start Date]],BI$29&lt;ProposalToGnatt[[#This Row],[Start Date]]+ProposalToGnatt[[#This Row],[Days]]),$G$5,"")),"")</f>
        <v/>
      </c>
      <c r="BJ74" s="37" t="str">
        <f ca="1">IFERROR(+IF(BJ$29=ProposalToGnatt[[#This Row],[Start Date]],Milestone_Marker,IF(AND(BJ$29&gt;ProposalToGnatt[[#This Row],[Start Date]],BJ$29&lt;ProposalToGnatt[[#This Row],[Start Date]]+ProposalToGnatt[[#This Row],[Days]]),$G$5,"")),"")</f>
        <v/>
      </c>
      <c r="BK74" s="37" t="str">
        <f ca="1">IFERROR(+IF(BK$29=ProposalToGnatt[[#This Row],[Start Date]],Milestone_Marker,IF(AND(BK$29&gt;ProposalToGnatt[[#This Row],[Start Date]],BK$29&lt;ProposalToGnatt[[#This Row],[Start Date]]+ProposalToGnatt[[#This Row],[Days]]),$G$5,"")),"")</f>
        <v/>
      </c>
      <c r="BL74" s="37" t="str">
        <f ca="1">IFERROR(+IF(BL$29=ProposalToGnatt[[#This Row],[Start Date]],Milestone_Marker,IF(AND(BL$29&gt;ProposalToGnatt[[#This Row],[Start Date]],BL$29&lt;ProposalToGnatt[[#This Row],[Start Date]]+ProposalToGnatt[[#This Row],[Days]]),$G$5,"")),"")</f>
        <v/>
      </c>
      <c r="BM74" s="37" t="str">
        <f ca="1">IFERROR(+IF(BM$29=ProposalToGnatt[[#This Row],[Start Date]],Milestone_Marker,IF(AND(BM$29&gt;ProposalToGnatt[[#This Row],[Start Date]],BM$29&lt;ProposalToGnatt[[#This Row],[Start Date]]+ProposalToGnatt[[#This Row],[Days]]),$G$5,"")),"")</f>
        <v/>
      </c>
      <c r="BN74" s="37" t="str">
        <f ca="1">IFERROR(+IF(BN$29=ProposalToGnatt[[#This Row],[Start Date]],Milestone_Marker,IF(AND(BN$29&gt;ProposalToGnatt[[#This Row],[Start Date]],BN$29&lt;ProposalToGnatt[[#This Row],[Start Date]]+ProposalToGnatt[[#This Row],[Days]]),$G$5,"")),"")</f>
        <v/>
      </c>
      <c r="BO74" s="37" t="str">
        <f ca="1">IFERROR(+IF(BO$29=ProposalToGnatt[[#This Row],[Start Date]],Milestone_Marker,IF(AND(BO$29&gt;ProposalToGnatt[[#This Row],[Start Date]],BO$29&lt;ProposalToGnatt[[#This Row],[Start Date]]+ProposalToGnatt[[#This Row],[Days]]),$G$5,"")),"")</f>
        <v/>
      </c>
      <c r="BP74" s="37" t="str">
        <f ca="1">IFERROR(+IF(BP$29=ProposalToGnatt[[#This Row],[Start Date]],Milestone_Marker,IF(AND(BP$29&gt;ProposalToGnatt[[#This Row],[Start Date]],BP$29&lt;ProposalToGnatt[[#This Row],[Start Date]]+ProposalToGnatt[[#This Row],[Days]]),$G$5,"")),"")</f>
        <v/>
      </c>
      <c r="BQ74" s="37" t="str">
        <f ca="1">IFERROR(+IF(BQ$29=ProposalToGnatt[[#This Row],[Start Date]],Milestone_Marker,IF(AND(BQ$29&gt;ProposalToGnatt[[#This Row],[Start Date]],BQ$29&lt;ProposalToGnatt[[#This Row],[Start Date]]+ProposalToGnatt[[#This Row],[Days]]),$G$5,"")),"")</f>
        <v/>
      </c>
      <c r="BR74" s="37" t="str">
        <f ca="1">IFERROR(+IF(BR$29=ProposalToGnatt[[#This Row],[Start Date]],Milestone_Marker,IF(AND(BR$29&gt;ProposalToGnatt[[#This Row],[Start Date]],BR$29&lt;ProposalToGnatt[[#This Row],[Start Date]]+ProposalToGnatt[[#This Row],[Days]]),$G$5,"")),"")</f>
        <v/>
      </c>
      <c r="BS74" s="37" t="str">
        <f ca="1">IFERROR(+IF(BS$29=ProposalToGnatt[[#This Row],[Start Date]],Milestone_Marker,IF(AND(BS$29&gt;ProposalToGnatt[[#This Row],[Start Date]],BS$29&lt;ProposalToGnatt[[#This Row],[Start Date]]+ProposalToGnatt[[#This Row],[Days]]),$G$5,"")),"")</f>
        <v/>
      </c>
      <c r="BT74" s="37" t="str">
        <f ca="1">IFERROR(+IF(BT$29=ProposalToGnatt[[#This Row],[Start Date]],Milestone_Marker,IF(AND(BT$29&gt;ProposalToGnatt[[#This Row],[Start Date]],BT$29&lt;ProposalToGnatt[[#This Row],[Start Date]]+ProposalToGnatt[[#This Row],[Days]]),$G$5,"")),"")</f>
        <v/>
      </c>
      <c r="BU74" s="37" t="str">
        <f ca="1">IFERROR(+IF(BU$29=ProposalToGnatt[[#This Row],[Start Date]],Milestone_Marker,IF(AND(BU$29&gt;ProposalToGnatt[[#This Row],[Start Date]],BU$29&lt;ProposalToGnatt[[#This Row],[Start Date]]+ProposalToGnatt[[#This Row],[Days]]),$G$5,"")),"")</f>
        <v/>
      </c>
      <c r="BV74" s="37" t="str">
        <f ca="1">IFERROR(+IF(BV$29=ProposalToGnatt[[#This Row],[Start Date]],Milestone_Marker,IF(AND(BV$29&gt;ProposalToGnatt[[#This Row],[Start Date]],BV$29&lt;ProposalToGnatt[[#This Row],[Start Date]]+ProposalToGnatt[[#This Row],[Days]]),$G$5,"")),"")</f>
        <v/>
      </c>
      <c r="BW74" s="37" t="str">
        <f ca="1">IFERROR(+IF(BW$29=ProposalToGnatt[[#This Row],[Start Date]],Milestone_Marker,IF(AND(BW$29&gt;ProposalToGnatt[[#This Row],[Start Date]],BW$29&lt;ProposalToGnatt[[#This Row],[Start Date]]+ProposalToGnatt[[#This Row],[Days]]),$G$5,"")),"")</f>
        <v/>
      </c>
      <c r="BX74" s="37" t="str">
        <f ca="1">IFERROR(+IF(BX$29=ProposalToGnatt[[#This Row],[Start Date]],Milestone_Marker,IF(AND(BX$29&gt;ProposalToGnatt[[#This Row],[Start Date]],BX$29&lt;ProposalToGnatt[[#This Row],[Start Date]]+ProposalToGnatt[[#This Row],[Days]]),$G$5,"")),"")</f>
        <v/>
      </c>
      <c r="BY74" s="37" t="str">
        <f ca="1">IFERROR(+IF(BY$29=ProposalToGnatt[[#This Row],[Start Date]],Milestone_Marker,IF(AND(BY$29&gt;ProposalToGnatt[[#This Row],[Start Date]],BY$29&lt;ProposalToGnatt[[#This Row],[Start Date]]+ProposalToGnatt[[#This Row],[Days]]),$G$5,"")),"")</f>
        <v/>
      </c>
      <c r="BZ74" s="37" t="str">
        <f ca="1">IFERROR(+IF(BZ$29=ProposalToGnatt[[#This Row],[Start Date]],Milestone_Marker,IF(AND(BZ$29&gt;ProposalToGnatt[[#This Row],[Start Date]],BZ$29&lt;ProposalToGnatt[[#This Row],[Start Date]]+ProposalToGnatt[[#This Row],[Days]]),$G$5,"")),"")</f>
        <v/>
      </c>
      <c r="CA74" s="37" t="str">
        <f ca="1">IFERROR(+IF(CA$29=ProposalToGnatt[[#This Row],[Start Date]],Milestone_Marker,IF(AND(CA$29&gt;ProposalToGnatt[[#This Row],[Start Date]],CA$29&lt;ProposalToGnatt[[#This Row],[Start Date]]+ProposalToGnatt[[#This Row],[Days]]),$G$5,"")),"")</f>
        <v/>
      </c>
      <c r="CB74" s="37" t="str">
        <f ca="1">IFERROR(+IF(CB$29=ProposalToGnatt[[#This Row],[Start Date]],Milestone_Marker,IF(AND(CB$29&gt;ProposalToGnatt[[#This Row],[Start Date]],CB$29&lt;ProposalToGnatt[[#This Row],[Start Date]]+ProposalToGnatt[[#This Row],[Days]]),$G$5,"")),"")</f>
        <v/>
      </c>
      <c r="CC74" s="37" t="str">
        <f ca="1">IFERROR(+IF(CC$29=ProposalToGnatt[[#This Row],[Start Date]],Milestone_Marker,IF(AND(CC$29&gt;ProposalToGnatt[[#This Row],[Start Date]],CC$29&lt;ProposalToGnatt[[#This Row],[Start Date]]+ProposalToGnatt[[#This Row],[Days]]),$G$5,"")),"")</f>
        <v/>
      </c>
      <c r="CD74" s="37" t="str">
        <f ca="1">IFERROR(+IF(CD$29=ProposalToGnatt[[#This Row],[Start Date]],Milestone_Marker,IF(AND(CD$29&gt;ProposalToGnatt[[#This Row],[Start Date]],CD$29&lt;ProposalToGnatt[[#This Row],[Start Date]]+ProposalToGnatt[[#This Row],[Days]]),$G$5,"")),"")</f>
        <v/>
      </c>
      <c r="CE74" s="37" t="str">
        <f ca="1">IFERROR(+IF(CE$29=ProposalToGnatt[[#This Row],[Start Date]],Milestone_Marker,IF(AND(CE$29&gt;ProposalToGnatt[[#This Row],[Start Date]],CE$29&lt;ProposalToGnatt[[#This Row],[Start Date]]+ProposalToGnatt[[#This Row],[Days]]),$G$5,"")),"")</f>
        <v/>
      </c>
      <c r="CF74" s="37" t="str">
        <f ca="1">IFERROR(+IF(CF$29=ProposalToGnatt[[#This Row],[Start Date]],Milestone_Marker,IF(AND(CF$29&gt;ProposalToGnatt[[#This Row],[Start Date]],CF$29&lt;ProposalToGnatt[[#This Row],[Start Date]]+ProposalToGnatt[[#This Row],[Days]]),$G$5,"")),"")</f>
        <v/>
      </c>
      <c r="CG74" s="37" t="str">
        <f ca="1">IFERROR(+IF(CG$29=ProposalToGnatt[[#This Row],[Start Date]],Milestone_Marker,IF(AND(CG$29&gt;ProposalToGnatt[[#This Row],[Start Date]],CG$29&lt;ProposalToGnatt[[#This Row],[Start Date]]+ProposalToGnatt[[#This Row],[Days]]),$G$5,"")),"")</f>
        <v/>
      </c>
      <c r="CH74" s="37" t="str">
        <f ca="1">IFERROR(+IF(CH$29=ProposalToGnatt[[#This Row],[Start Date]],Milestone_Marker,IF(AND(CH$29&gt;ProposalToGnatt[[#This Row],[Start Date]],CH$29&lt;ProposalToGnatt[[#This Row],[Start Date]]+ProposalToGnatt[[#This Row],[Days]]),$G$5,"")),"")</f>
        <v/>
      </c>
      <c r="CI74" s="37" t="str">
        <f ca="1">IFERROR(+IF(CI$29=ProposalToGnatt[[#This Row],[Start Date]],Milestone_Marker,IF(AND(CI$29&gt;ProposalToGnatt[[#This Row],[Start Date]],CI$29&lt;ProposalToGnatt[[#This Row],[Start Date]]+ProposalToGnatt[[#This Row],[Days]]),$G$5,"")),"")</f>
        <v/>
      </c>
      <c r="CJ74" s="37" t="str">
        <f ca="1">IFERROR(+IF(CJ$29=ProposalToGnatt[[#This Row],[Start Date]],Milestone_Marker,IF(AND(CJ$29&gt;ProposalToGnatt[[#This Row],[Start Date]],CJ$29&lt;ProposalToGnatt[[#This Row],[Start Date]]+ProposalToGnatt[[#This Row],[Days]]),$G$5,"")),"")</f>
        <v/>
      </c>
      <c r="CK74" s="37" t="str">
        <f ca="1">IFERROR(+IF(CK$29=ProposalToGnatt[[#This Row],[Start Date]],Milestone_Marker,IF(AND(CK$29&gt;ProposalToGnatt[[#This Row],[Start Date]],CK$29&lt;ProposalToGnatt[[#This Row],[Start Date]]+ProposalToGnatt[[#This Row],[Days]]),$G$5,"")),"")</f>
        <v/>
      </c>
      <c r="CL74" s="37" t="str">
        <f ca="1">IFERROR(+IF(CL$29=ProposalToGnatt[[#This Row],[Start Date]],Milestone_Marker,IF(AND(CL$29&gt;ProposalToGnatt[[#This Row],[Start Date]],CL$29&lt;ProposalToGnatt[[#This Row],[Start Date]]+ProposalToGnatt[[#This Row],[Days]]),$G$5,"")),"")</f>
        <v/>
      </c>
      <c r="CM74" s="37" t="str">
        <f ca="1">IFERROR(+IF(CM$29=ProposalToGnatt[[#This Row],[Start Date]],Milestone_Marker,IF(AND(CM$29&gt;ProposalToGnatt[[#This Row],[Start Date]],CM$29&lt;ProposalToGnatt[[#This Row],[Start Date]]+ProposalToGnatt[[#This Row],[Days]]),$G$5,"")),"")</f>
        <v/>
      </c>
      <c r="CN74" s="37" t="str">
        <f ca="1">IFERROR(+IF(CN$29=ProposalToGnatt[[#This Row],[Start Date]],Milestone_Marker,IF(AND(CN$29&gt;ProposalToGnatt[[#This Row],[Start Date]],CN$29&lt;ProposalToGnatt[[#This Row],[Start Date]]+ProposalToGnatt[[#This Row],[Days]]),$G$5,"")),"")</f>
        <v/>
      </c>
      <c r="CO74" s="37" t="str">
        <f ca="1">IFERROR(+IF(CO$29=ProposalToGnatt[[#This Row],[Start Date]],Milestone_Marker,IF(AND(CO$29&gt;ProposalToGnatt[[#This Row],[Start Date]],CO$29&lt;ProposalToGnatt[[#This Row],[Start Date]]+ProposalToGnatt[[#This Row],[Days]]),$G$5,"")),"")</f>
        <v/>
      </c>
      <c r="CP74" s="37" t="str">
        <f ca="1">IFERROR(+IF(CP$29=ProposalToGnatt[[#This Row],[Start Date]],Milestone_Marker,IF(AND(CP$29&gt;ProposalToGnatt[[#This Row],[Start Date]],CP$29&lt;ProposalToGnatt[[#This Row],[Start Date]]+ProposalToGnatt[[#This Row],[Days]]),$G$5,"")),"")</f>
        <v/>
      </c>
      <c r="CQ74" s="37" t="str">
        <f ca="1">IFERROR(+IF(CQ$29=ProposalToGnatt[[#This Row],[Start Date]],Milestone_Marker,IF(AND(CQ$29&gt;ProposalToGnatt[[#This Row],[Start Date]],CQ$29&lt;ProposalToGnatt[[#This Row],[Start Date]]+ProposalToGnatt[[#This Row],[Days]]),$G$5,"")),"")</f>
        <v/>
      </c>
      <c r="CR74" s="37" t="str">
        <f ca="1">IFERROR(+IF(CR$29=ProposalToGnatt[[#This Row],[Start Date]],Milestone_Marker,IF(AND(CR$29&gt;ProposalToGnatt[[#This Row],[Start Date]],CR$29&lt;ProposalToGnatt[[#This Row],[Start Date]]+ProposalToGnatt[[#This Row],[Days]]),$G$5,"")),"")</f>
        <v/>
      </c>
      <c r="CS74" s="37" t="str">
        <f ca="1">IFERROR(+IF(CS$29=ProposalToGnatt[[#This Row],[Start Date]],Milestone_Marker,IF(AND(CS$29&gt;ProposalToGnatt[[#This Row],[Start Date]],CS$29&lt;ProposalToGnatt[[#This Row],[Start Date]]+ProposalToGnatt[[#This Row],[Days]]),$G$5,"")),"")</f>
        <v/>
      </c>
      <c r="CT74" s="37" t="str">
        <f ca="1">IFERROR(+IF(CT$29=ProposalToGnatt[[#This Row],[Start Date]],Milestone_Marker,IF(AND(CT$29&gt;ProposalToGnatt[[#This Row],[Start Date]],CT$29&lt;ProposalToGnatt[[#This Row],[Start Date]]+ProposalToGnatt[[#This Row],[Days]]),$G$5,"")),"")</f>
        <v/>
      </c>
      <c r="CU74" s="37" t="str">
        <f ca="1">IFERROR(+IF(CU$29=ProposalToGnatt[[#This Row],[Start Date]],Milestone_Marker,IF(AND(CU$29&gt;ProposalToGnatt[[#This Row],[Start Date]],CU$29&lt;ProposalToGnatt[[#This Row],[Start Date]]+ProposalToGnatt[[#This Row],[Days]]),$G$5,"")),"")</f>
        <v/>
      </c>
      <c r="CV74" s="37"/>
      <c r="CW74" s="37"/>
      <c r="CX74" s="37"/>
      <c r="CY74" s="37"/>
      <c r="CZ74" s="37"/>
      <c r="DA74" s="37"/>
      <c r="DB74" s="37"/>
      <c r="DC74" s="37"/>
      <c r="DD74" s="37"/>
      <c r="DE74" s="37"/>
      <c r="DF74" s="37"/>
      <c r="DG74" s="37"/>
      <c r="DH74" s="37"/>
      <c r="DI74" s="37"/>
      <c r="DJ74" s="37"/>
      <c r="DK74" s="37"/>
      <c r="DL74" s="37"/>
      <c r="DM74" s="37"/>
      <c r="DN74" s="37"/>
      <c r="DO74" s="37"/>
      <c r="DP74" s="37"/>
      <c r="DQ74" s="37"/>
      <c r="DR74" s="37"/>
      <c r="DS74" s="37"/>
      <c r="DT74" s="37"/>
      <c r="DU74" s="37"/>
    </row>
    <row r="75" spans="1:125" ht="15">
      <c r="A75"/>
      <c r="B75"/>
      <c r="C75"/>
      <c r="D75"/>
      <c r="E75"/>
      <c r="F75"/>
      <c r="G75" s="11"/>
      <c r="H75" s="26"/>
      <c r="I75"/>
      <c r="J75"/>
      <c r="K75" s="402"/>
      <c r="L75"/>
      <c r="M75"/>
      <c r="N75"/>
      <c r="O75" s="26"/>
      <c r="P75" s="37" t="str">
        <f ca="1">IFERROR(+IF(P$29=ProposalToGnatt[[#This Row],[Start Date]],Milestone_Marker,IF(AND(P$29&gt;ProposalToGnatt[[#This Row],[Start Date]],P$29&lt;ProposalToGnatt[[#This Row],[Start Date]]+ProposalToGnatt[[#This Row],[Days]]),$G$5,"")),"")</f>
        <v/>
      </c>
      <c r="Q75" s="37" t="str">
        <f ca="1">IFERROR(+IF(Q$29=ProposalToGnatt[[#This Row],[Start Date]],Milestone_Marker,IF(AND(Q$29&gt;ProposalToGnatt[[#This Row],[Start Date]],Q$29&lt;ProposalToGnatt[[#This Row],[Start Date]]+ProposalToGnatt[[#This Row],[Days]]),$G$5,"")),"")</f>
        <v/>
      </c>
      <c r="R75" s="37" t="str">
        <f ca="1">IFERROR(+IF(R$29=ProposalToGnatt[[#This Row],[Start Date]],Milestone_Marker,IF(AND(R$29&gt;ProposalToGnatt[[#This Row],[Start Date]],R$29&lt;ProposalToGnatt[[#This Row],[Start Date]]+ProposalToGnatt[[#This Row],[Days]]),$G$5,"")),"")</f>
        <v/>
      </c>
      <c r="S75" s="37" t="str">
        <f ca="1">IFERROR(+IF(S$29=ProposalToGnatt[[#This Row],[Start Date]],Milestone_Marker,IF(AND(S$29&gt;ProposalToGnatt[[#This Row],[Start Date]],S$29&lt;ProposalToGnatt[[#This Row],[Start Date]]+ProposalToGnatt[[#This Row],[Days]]),$G$5,"")),"")</f>
        <v/>
      </c>
      <c r="T75" s="37" t="str">
        <f ca="1">IFERROR(+IF(T$29=ProposalToGnatt[[#This Row],[Start Date]],Milestone_Marker,IF(AND(T$29&gt;ProposalToGnatt[[#This Row],[Start Date]],T$29&lt;ProposalToGnatt[[#This Row],[Start Date]]+ProposalToGnatt[[#This Row],[Days]]),$G$5,"")),"")</f>
        <v/>
      </c>
      <c r="U75" s="37" t="str">
        <f ca="1">IFERROR(+IF(U$29=ProposalToGnatt[[#This Row],[Start Date]],Milestone_Marker,IF(AND(U$29&gt;ProposalToGnatt[[#This Row],[Start Date]],U$29&lt;ProposalToGnatt[[#This Row],[Start Date]]+ProposalToGnatt[[#This Row],[Days]]),$G$5,"")),"")</f>
        <v/>
      </c>
      <c r="V75" s="37" t="str">
        <f ca="1">IFERROR(+IF(V$29=ProposalToGnatt[[#This Row],[Start Date]],Milestone_Marker,IF(AND(V$29&gt;ProposalToGnatt[[#This Row],[Start Date]],V$29&lt;ProposalToGnatt[[#This Row],[Start Date]]+ProposalToGnatt[[#This Row],[Days]]),$G$5,"")),"")</f>
        <v/>
      </c>
      <c r="W75" s="37" t="str">
        <f ca="1">IFERROR(+IF(W$29=ProposalToGnatt[[#This Row],[Start Date]],Milestone_Marker,IF(AND(W$29&gt;ProposalToGnatt[[#This Row],[Start Date]],W$29&lt;ProposalToGnatt[[#This Row],[Start Date]]+ProposalToGnatt[[#This Row],[Days]]),$G$5,"")),"")</f>
        <v/>
      </c>
      <c r="X75" s="37" t="str">
        <f ca="1">IFERROR(+IF(X$29=ProposalToGnatt[[#This Row],[Start Date]],Milestone_Marker,IF(AND(X$29&gt;ProposalToGnatt[[#This Row],[Start Date]],X$29&lt;ProposalToGnatt[[#This Row],[Start Date]]+ProposalToGnatt[[#This Row],[Days]]),$G$5,"")),"")</f>
        <v/>
      </c>
      <c r="Y75" s="37" t="str">
        <f ca="1">IFERROR(+IF(Y$29=ProposalToGnatt[[#This Row],[Start Date]],Milestone_Marker,IF(AND(Y$29&gt;ProposalToGnatt[[#This Row],[Start Date]],Y$29&lt;ProposalToGnatt[[#This Row],[Start Date]]+ProposalToGnatt[[#This Row],[Days]]),$G$5,"")),"")</f>
        <v/>
      </c>
      <c r="Z75" s="37" t="str">
        <f ca="1">IFERROR(+IF(Z$29=ProposalToGnatt[[#This Row],[Start Date]],Milestone_Marker,IF(AND(Z$29&gt;ProposalToGnatt[[#This Row],[Start Date]],Z$29&lt;ProposalToGnatt[[#This Row],[Start Date]]+ProposalToGnatt[[#This Row],[Days]]),$G$5,"")),"")</f>
        <v/>
      </c>
      <c r="AA75" s="37" t="str">
        <f ca="1">IFERROR(+IF(AA$29=ProposalToGnatt[[#This Row],[Start Date]],Milestone_Marker,IF(AND(AA$29&gt;ProposalToGnatt[[#This Row],[Start Date]],AA$29&lt;ProposalToGnatt[[#This Row],[Start Date]]+ProposalToGnatt[[#This Row],[Days]]),$G$5,"")),"")</f>
        <v/>
      </c>
      <c r="AB75" s="37" t="str">
        <f ca="1">IFERROR(+IF(AB$29=ProposalToGnatt[[#This Row],[Start Date]],Milestone_Marker,IF(AND(AB$29&gt;ProposalToGnatt[[#This Row],[Start Date]],AB$29&lt;ProposalToGnatt[[#This Row],[Start Date]]+ProposalToGnatt[[#This Row],[Days]]),$G$5,"")),"")</f>
        <v/>
      </c>
      <c r="AC75" s="37" t="str">
        <f ca="1">IFERROR(+IF(AC$29=ProposalToGnatt[[#This Row],[Start Date]],Milestone_Marker,IF(AND(AC$29&gt;ProposalToGnatt[[#This Row],[Start Date]],AC$29&lt;ProposalToGnatt[[#This Row],[Start Date]]+ProposalToGnatt[[#This Row],[Days]]),$G$5,"")),"")</f>
        <v/>
      </c>
      <c r="AD75" s="37" t="str">
        <f ca="1">IFERROR(+IF(AD$29=ProposalToGnatt[[#This Row],[Start Date]],Milestone_Marker,IF(AND(AD$29&gt;ProposalToGnatt[[#This Row],[Start Date]],AD$29&lt;ProposalToGnatt[[#This Row],[Start Date]]+ProposalToGnatt[[#This Row],[Days]]),$G$5,"")),"")</f>
        <v/>
      </c>
      <c r="AE75" s="37" t="str">
        <f ca="1">IFERROR(+IF(AE$29=ProposalToGnatt[[#This Row],[Start Date]],Milestone_Marker,IF(AND(AE$29&gt;ProposalToGnatt[[#This Row],[Start Date]],AE$29&lt;ProposalToGnatt[[#This Row],[Start Date]]+ProposalToGnatt[[#This Row],[Days]]),$G$5,"")),"")</f>
        <v/>
      </c>
      <c r="AF75" s="37" t="str">
        <f ca="1">IFERROR(+IF(AF$29=ProposalToGnatt[[#This Row],[Start Date]],Milestone_Marker,IF(AND(AF$29&gt;ProposalToGnatt[[#This Row],[Start Date]],AF$29&lt;ProposalToGnatt[[#This Row],[Start Date]]+ProposalToGnatt[[#This Row],[Days]]),$G$5,"")),"")</f>
        <v/>
      </c>
      <c r="AG75" s="37" t="str">
        <f ca="1">IFERROR(+IF(AG$29=ProposalToGnatt[[#This Row],[Start Date]],Milestone_Marker,IF(AND(AG$29&gt;ProposalToGnatt[[#This Row],[Start Date]],AG$29&lt;ProposalToGnatt[[#This Row],[Start Date]]+ProposalToGnatt[[#This Row],[Days]]),$G$5,"")),"")</f>
        <v/>
      </c>
      <c r="AH75" s="37" t="str">
        <f ca="1">IFERROR(+IF(AH$29=ProposalToGnatt[[#This Row],[Start Date]],Milestone_Marker,IF(AND(AH$29&gt;ProposalToGnatt[[#This Row],[Start Date]],AH$29&lt;ProposalToGnatt[[#This Row],[Start Date]]+ProposalToGnatt[[#This Row],[Days]]),$G$5,"")),"")</f>
        <v/>
      </c>
      <c r="AI75" s="37" t="str">
        <f ca="1">IFERROR(+IF(AI$29=ProposalToGnatt[[#This Row],[Start Date]],Milestone_Marker,IF(AND(AI$29&gt;ProposalToGnatt[[#This Row],[Start Date]],AI$29&lt;ProposalToGnatt[[#This Row],[Start Date]]+ProposalToGnatt[[#This Row],[Days]]),$G$5,"")),"")</f>
        <v/>
      </c>
      <c r="AJ75" s="37" t="str">
        <f ca="1">IFERROR(+IF(AJ$29=ProposalToGnatt[[#This Row],[Start Date]],Milestone_Marker,IF(AND(AJ$29&gt;ProposalToGnatt[[#This Row],[Start Date]],AJ$29&lt;ProposalToGnatt[[#This Row],[Start Date]]+ProposalToGnatt[[#This Row],[Days]]),$G$5,"")),"")</f>
        <v/>
      </c>
      <c r="AK75" s="37" t="str">
        <f ca="1">IFERROR(+IF(AK$29=ProposalToGnatt[[#This Row],[Start Date]],Milestone_Marker,IF(AND(AK$29&gt;ProposalToGnatt[[#This Row],[Start Date]],AK$29&lt;ProposalToGnatt[[#This Row],[Start Date]]+ProposalToGnatt[[#This Row],[Days]]),$G$5,"")),"")</f>
        <v/>
      </c>
      <c r="AL75" s="37" t="str">
        <f ca="1">IFERROR(+IF(AL$29=ProposalToGnatt[[#This Row],[Start Date]],Milestone_Marker,IF(AND(AL$29&gt;ProposalToGnatt[[#This Row],[Start Date]],AL$29&lt;ProposalToGnatt[[#This Row],[Start Date]]+ProposalToGnatt[[#This Row],[Days]]),$G$5,"")),"")</f>
        <v/>
      </c>
      <c r="AM75" s="37" t="str">
        <f ca="1">IFERROR(+IF(AM$29=ProposalToGnatt[[#This Row],[Start Date]],Milestone_Marker,IF(AND(AM$29&gt;ProposalToGnatt[[#This Row],[Start Date]],AM$29&lt;ProposalToGnatt[[#This Row],[Start Date]]+ProposalToGnatt[[#This Row],[Days]]),$G$5,"")),"")</f>
        <v/>
      </c>
      <c r="AN75" s="37" t="str">
        <f ca="1">IFERROR(+IF(AN$29=ProposalToGnatt[[#This Row],[Start Date]],Milestone_Marker,IF(AND(AN$29&gt;ProposalToGnatt[[#This Row],[Start Date]],AN$29&lt;ProposalToGnatt[[#This Row],[Start Date]]+ProposalToGnatt[[#This Row],[Days]]),$G$5,"")),"")</f>
        <v/>
      </c>
      <c r="AO75" s="37" t="str">
        <f ca="1">IFERROR(+IF(AO$29=ProposalToGnatt[[#This Row],[Start Date]],Milestone_Marker,IF(AND(AO$29&gt;ProposalToGnatt[[#This Row],[Start Date]],AO$29&lt;ProposalToGnatt[[#This Row],[Start Date]]+ProposalToGnatt[[#This Row],[Days]]),$G$5,"")),"")</f>
        <v/>
      </c>
      <c r="AP75" s="37" t="str">
        <f ca="1">IFERROR(+IF(AP$29=ProposalToGnatt[[#This Row],[Start Date]],Milestone_Marker,IF(AND(AP$29&gt;ProposalToGnatt[[#This Row],[Start Date]],AP$29&lt;ProposalToGnatt[[#This Row],[Start Date]]+ProposalToGnatt[[#This Row],[Days]]),$G$5,"")),"")</f>
        <v/>
      </c>
      <c r="AQ75" s="37" t="str">
        <f ca="1">IFERROR(+IF(AQ$29=ProposalToGnatt[[#This Row],[Start Date]],Milestone_Marker,IF(AND(AQ$29&gt;ProposalToGnatt[[#This Row],[Start Date]],AQ$29&lt;ProposalToGnatt[[#This Row],[Start Date]]+ProposalToGnatt[[#This Row],[Days]]),$G$5,"")),"")</f>
        <v/>
      </c>
      <c r="AR75" s="37" t="str">
        <f ca="1">IFERROR(+IF(AR$29=ProposalToGnatt[[#This Row],[Start Date]],Milestone_Marker,IF(AND(AR$29&gt;ProposalToGnatt[[#This Row],[Start Date]],AR$29&lt;ProposalToGnatt[[#This Row],[Start Date]]+ProposalToGnatt[[#This Row],[Days]]),$G$5,"")),"")</f>
        <v/>
      </c>
      <c r="AS75" s="37" t="str">
        <f ca="1">IFERROR(+IF(AS$29=ProposalToGnatt[[#This Row],[Start Date]],Milestone_Marker,IF(AND(AS$29&gt;ProposalToGnatt[[#This Row],[Start Date]],AS$29&lt;ProposalToGnatt[[#This Row],[Start Date]]+ProposalToGnatt[[#This Row],[Days]]),$G$5,"")),"")</f>
        <v/>
      </c>
      <c r="AT75" s="37" t="str">
        <f ca="1">IFERROR(+IF(AT$29=ProposalToGnatt[[#This Row],[Start Date]],Milestone_Marker,IF(AND(AT$29&gt;ProposalToGnatt[[#This Row],[Start Date]],AT$29&lt;ProposalToGnatt[[#This Row],[Start Date]]+ProposalToGnatt[[#This Row],[Days]]),$G$5,"")),"")</f>
        <v/>
      </c>
      <c r="AU75" s="37" t="str">
        <f ca="1">IFERROR(+IF(AU$29=ProposalToGnatt[[#This Row],[Start Date]],Milestone_Marker,IF(AND(AU$29&gt;ProposalToGnatt[[#This Row],[Start Date]],AU$29&lt;ProposalToGnatt[[#This Row],[Start Date]]+ProposalToGnatt[[#This Row],[Days]]),$G$5,"")),"")</f>
        <v/>
      </c>
      <c r="AV75" s="37" t="str">
        <f ca="1">IFERROR(+IF(AV$29=ProposalToGnatt[[#This Row],[Start Date]],Milestone_Marker,IF(AND(AV$29&gt;ProposalToGnatt[[#This Row],[Start Date]],AV$29&lt;ProposalToGnatt[[#This Row],[Start Date]]+ProposalToGnatt[[#This Row],[Days]]),$G$5,"")),"")</f>
        <v/>
      </c>
      <c r="AW75" s="37" t="str">
        <f ca="1">IFERROR(+IF(AW$29=ProposalToGnatt[[#This Row],[Start Date]],Milestone_Marker,IF(AND(AW$29&gt;ProposalToGnatt[[#This Row],[Start Date]],AW$29&lt;ProposalToGnatt[[#This Row],[Start Date]]+ProposalToGnatt[[#This Row],[Days]]),$G$5,"")),"")</f>
        <v/>
      </c>
      <c r="AX75" s="37" t="str">
        <f ca="1">IFERROR(+IF(AX$29=ProposalToGnatt[[#This Row],[Start Date]],Milestone_Marker,IF(AND(AX$29&gt;ProposalToGnatt[[#This Row],[Start Date]],AX$29&lt;ProposalToGnatt[[#This Row],[Start Date]]+ProposalToGnatt[[#This Row],[Days]]),$G$5,"")),"")</f>
        <v/>
      </c>
      <c r="AY75" s="37" t="str">
        <f ca="1">IFERROR(+IF(AY$29=ProposalToGnatt[[#This Row],[Start Date]],Milestone_Marker,IF(AND(AY$29&gt;ProposalToGnatt[[#This Row],[Start Date]],AY$29&lt;ProposalToGnatt[[#This Row],[Start Date]]+ProposalToGnatt[[#This Row],[Days]]),$G$5,"")),"")</f>
        <v/>
      </c>
      <c r="AZ75" s="37" t="str">
        <f ca="1">IFERROR(+IF(AZ$29=ProposalToGnatt[[#This Row],[Start Date]],Milestone_Marker,IF(AND(AZ$29&gt;ProposalToGnatt[[#This Row],[Start Date]],AZ$29&lt;ProposalToGnatt[[#This Row],[Start Date]]+ProposalToGnatt[[#This Row],[Days]]),$G$5,"")),"")</f>
        <v/>
      </c>
      <c r="BA75" s="37" t="str">
        <f ca="1">IFERROR(+IF(BA$29=ProposalToGnatt[[#This Row],[Start Date]],Milestone_Marker,IF(AND(BA$29&gt;ProposalToGnatt[[#This Row],[Start Date]],BA$29&lt;ProposalToGnatt[[#This Row],[Start Date]]+ProposalToGnatt[[#This Row],[Days]]),$G$5,"")),"")</f>
        <v/>
      </c>
      <c r="BB75" s="37" t="str">
        <f ca="1">IFERROR(+IF(BB$29=ProposalToGnatt[[#This Row],[Start Date]],Milestone_Marker,IF(AND(BB$29&gt;ProposalToGnatt[[#This Row],[Start Date]],BB$29&lt;ProposalToGnatt[[#This Row],[Start Date]]+ProposalToGnatt[[#This Row],[Days]]),$G$5,"")),"")</f>
        <v/>
      </c>
      <c r="BC75" s="37" t="str">
        <f ca="1">IFERROR(+IF(BC$29=ProposalToGnatt[[#This Row],[Start Date]],Milestone_Marker,IF(AND(BC$29&gt;ProposalToGnatt[[#This Row],[Start Date]],BC$29&lt;ProposalToGnatt[[#This Row],[Start Date]]+ProposalToGnatt[[#This Row],[Days]]),$G$5,"")),"")</f>
        <v/>
      </c>
      <c r="BD75" s="37" t="str">
        <f ca="1">IFERROR(+IF(BD$29=ProposalToGnatt[[#This Row],[Start Date]],Milestone_Marker,IF(AND(BD$29&gt;ProposalToGnatt[[#This Row],[Start Date]],BD$29&lt;ProposalToGnatt[[#This Row],[Start Date]]+ProposalToGnatt[[#This Row],[Days]]),$G$5,"")),"")</f>
        <v/>
      </c>
      <c r="BE75" s="37" t="str">
        <f ca="1">IFERROR(+IF(BE$29=ProposalToGnatt[[#This Row],[Start Date]],Milestone_Marker,IF(AND(BE$29&gt;ProposalToGnatt[[#This Row],[Start Date]],BE$29&lt;ProposalToGnatt[[#This Row],[Start Date]]+ProposalToGnatt[[#This Row],[Days]]),$G$5,"")),"")</f>
        <v/>
      </c>
      <c r="BF75" s="37" t="str">
        <f ca="1">IFERROR(+IF(BF$29=ProposalToGnatt[[#This Row],[Start Date]],Milestone_Marker,IF(AND(BF$29&gt;ProposalToGnatt[[#This Row],[Start Date]],BF$29&lt;ProposalToGnatt[[#This Row],[Start Date]]+ProposalToGnatt[[#This Row],[Days]]),$G$5,"")),"")</f>
        <v/>
      </c>
      <c r="BG75" s="37" t="str">
        <f ca="1">IFERROR(+IF(BG$29=ProposalToGnatt[[#This Row],[Start Date]],Milestone_Marker,IF(AND(BG$29&gt;ProposalToGnatt[[#This Row],[Start Date]],BG$29&lt;ProposalToGnatt[[#This Row],[Start Date]]+ProposalToGnatt[[#This Row],[Days]]),$G$5,"")),"")</f>
        <v/>
      </c>
      <c r="BH75" s="37" t="str">
        <f ca="1">IFERROR(+IF(BH$29=ProposalToGnatt[[#This Row],[Start Date]],Milestone_Marker,IF(AND(BH$29&gt;ProposalToGnatt[[#This Row],[Start Date]],BH$29&lt;ProposalToGnatt[[#This Row],[Start Date]]+ProposalToGnatt[[#This Row],[Days]]),$G$5,"")),"")</f>
        <v/>
      </c>
      <c r="BI75" s="37" t="str">
        <f ca="1">IFERROR(+IF(BI$29=ProposalToGnatt[[#This Row],[Start Date]],Milestone_Marker,IF(AND(BI$29&gt;ProposalToGnatt[[#This Row],[Start Date]],BI$29&lt;ProposalToGnatt[[#This Row],[Start Date]]+ProposalToGnatt[[#This Row],[Days]]),$G$5,"")),"")</f>
        <v/>
      </c>
      <c r="BJ75" s="37" t="str">
        <f ca="1">IFERROR(+IF(BJ$29=ProposalToGnatt[[#This Row],[Start Date]],Milestone_Marker,IF(AND(BJ$29&gt;ProposalToGnatt[[#This Row],[Start Date]],BJ$29&lt;ProposalToGnatt[[#This Row],[Start Date]]+ProposalToGnatt[[#This Row],[Days]]),$G$5,"")),"")</f>
        <v/>
      </c>
      <c r="BK75" s="37" t="str">
        <f ca="1">IFERROR(+IF(BK$29=ProposalToGnatt[[#This Row],[Start Date]],Milestone_Marker,IF(AND(BK$29&gt;ProposalToGnatt[[#This Row],[Start Date]],BK$29&lt;ProposalToGnatt[[#This Row],[Start Date]]+ProposalToGnatt[[#This Row],[Days]]),$G$5,"")),"")</f>
        <v/>
      </c>
      <c r="BL75" s="37" t="str">
        <f ca="1">IFERROR(+IF(BL$29=ProposalToGnatt[[#This Row],[Start Date]],Milestone_Marker,IF(AND(BL$29&gt;ProposalToGnatt[[#This Row],[Start Date]],BL$29&lt;ProposalToGnatt[[#This Row],[Start Date]]+ProposalToGnatt[[#This Row],[Days]]),$G$5,"")),"")</f>
        <v/>
      </c>
      <c r="BM75" s="37" t="str">
        <f ca="1">IFERROR(+IF(BM$29=ProposalToGnatt[[#This Row],[Start Date]],Milestone_Marker,IF(AND(BM$29&gt;ProposalToGnatt[[#This Row],[Start Date]],BM$29&lt;ProposalToGnatt[[#This Row],[Start Date]]+ProposalToGnatt[[#This Row],[Days]]),$G$5,"")),"")</f>
        <v/>
      </c>
      <c r="BN75" s="37" t="str">
        <f ca="1">IFERROR(+IF(BN$29=ProposalToGnatt[[#This Row],[Start Date]],Milestone_Marker,IF(AND(BN$29&gt;ProposalToGnatt[[#This Row],[Start Date]],BN$29&lt;ProposalToGnatt[[#This Row],[Start Date]]+ProposalToGnatt[[#This Row],[Days]]),$G$5,"")),"")</f>
        <v/>
      </c>
      <c r="BO75" s="37" t="str">
        <f ca="1">IFERROR(+IF(BO$29=ProposalToGnatt[[#This Row],[Start Date]],Milestone_Marker,IF(AND(BO$29&gt;ProposalToGnatt[[#This Row],[Start Date]],BO$29&lt;ProposalToGnatt[[#This Row],[Start Date]]+ProposalToGnatt[[#This Row],[Days]]),$G$5,"")),"")</f>
        <v/>
      </c>
      <c r="BP75" s="37" t="str">
        <f ca="1">IFERROR(+IF(BP$29=ProposalToGnatt[[#This Row],[Start Date]],Milestone_Marker,IF(AND(BP$29&gt;ProposalToGnatt[[#This Row],[Start Date]],BP$29&lt;ProposalToGnatt[[#This Row],[Start Date]]+ProposalToGnatt[[#This Row],[Days]]),$G$5,"")),"")</f>
        <v/>
      </c>
      <c r="BQ75" s="37" t="str">
        <f ca="1">IFERROR(+IF(BQ$29=ProposalToGnatt[[#This Row],[Start Date]],Milestone_Marker,IF(AND(BQ$29&gt;ProposalToGnatt[[#This Row],[Start Date]],BQ$29&lt;ProposalToGnatt[[#This Row],[Start Date]]+ProposalToGnatt[[#This Row],[Days]]),$G$5,"")),"")</f>
        <v/>
      </c>
      <c r="BR75" s="37" t="str">
        <f ca="1">IFERROR(+IF(BR$29=ProposalToGnatt[[#This Row],[Start Date]],Milestone_Marker,IF(AND(BR$29&gt;ProposalToGnatt[[#This Row],[Start Date]],BR$29&lt;ProposalToGnatt[[#This Row],[Start Date]]+ProposalToGnatt[[#This Row],[Days]]),$G$5,"")),"")</f>
        <v/>
      </c>
      <c r="BS75" s="37" t="str">
        <f ca="1">IFERROR(+IF(BS$29=ProposalToGnatt[[#This Row],[Start Date]],Milestone_Marker,IF(AND(BS$29&gt;ProposalToGnatt[[#This Row],[Start Date]],BS$29&lt;ProposalToGnatt[[#This Row],[Start Date]]+ProposalToGnatt[[#This Row],[Days]]),$G$5,"")),"")</f>
        <v/>
      </c>
      <c r="BT75" s="37" t="str">
        <f ca="1">IFERROR(+IF(BT$29=ProposalToGnatt[[#This Row],[Start Date]],Milestone_Marker,IF(AND(BT$29&gt;ProposalToGnatt[[#This Row],[Start Date]],BT$29&lt;ProposalToGnatt[[#This Row],[Start Date]]+ProposalToGnatt[[#This Row],[Days]]),$G$5,"")),"")</f>
        <v/>
      </c>
      <c r="BU75" s="37" t="str">
        <f ca="1">IFERROR(+IF(BU$29=ProposalToGnatt[[#This Row],[Start Date]],Milestone_Marker,IF(AND(BU$29&gt;ProposalToGnatt[[#This Row],[Start Date]],BU$29&lt;ProposalToGnatt[[#This Row],[Start Date]]+ProposalToGnatt[[#This Row],[Days]]),$G$5,"")),"")</f>
        <v/>
      </c>
      <c r="BV75" s="37" t="str">
        <f ca="1">IFERROR(+IF(BV$29=ProposalToGnatt[[#This Row],[Start Date]],Milestone_Marker,IF(AND(BV$29&gt;ProposalToGnatt[[#This Row],[Start Date]],BV$29&lt;ProposalToGnatt[[#This Row],[Start Date]]+ProposalToGnatt[[#This Row],[Days]]),$G$5,"")),"")</f>
        <v/>
      </c>
      <c r="BW75" s="37" t="str">
        <f ca="1">IFERROR(+IF(BW$29=ProposalToGnatt[[#This Row],[Start Date]],Milestone_Marker,IF(AND(BW$29&gt;ProposalToGnatt[[#This Row],[Start Date]],BW$29&lt;ProposalToGnatt[[#This Row],[Start Date]]+ProposalToGnatt[[#This Row],[Days]]),$G$5,"")),"")</f>
        <v/>
      </c>
      <c r="BX75" s="37" t="str">
        <f ca="1">IFERROR(+IF(BX$29=ProposalToGnatt[[#This Row],[Start Date]],Milestone_Marker,IF(AND(BX$29&gt;ProposalToGnatt[[#This Row],[Start Date]],BX$29&lt;ProposalToGnatt[[#This Row],[Start Date]]+ProposalToGnatt[[#This Row],[Days]]),$G$5,"")),"")</f>
        <v/>
      </c>
      <c r="BY75" s="37" t="str">
        <f ca="1">IFERROR(+IF(BY$29=ProposalToGnatt[[#This Row],[Start Date]],Milestone_Marker,IF(AND(BY$29&gt;ProposalToGnatt[[#This Row],[Start Date]],BY$29&lt;ProposalToGnatt[[#This Row],[Start Date]]+ProposalToGnatt[[#This Row],[Days]]),$G$5,"")),"")</f>
        <v/>
      </c>
      <c r="BZ75" s="37" t="str">
        <f ca="1">IFERROR(+IF(BZ$29=ProposalToGnatt[[#This Row],[Start Date]],Milestone_Marker,IF(AND(BZ$29&gt;ProposalToGnatt[[#This Row],[Start Date]],BZ$29&lt;ProposalToGnatt[[#This Row],[Start Date]]+ProposalToGnatt[[#This Row],[Days]]),$G$5,"")),"")</f>
        <v/>
      </c>
      <c r="CA75" s="37" t="str">
        <f ca="1">IFERROR(+IF(CA$29=ProposalToGnatt[[#This Row],[Start Date]],Milestone_Marker,IF(AND(CA$29&gt;ProposalToGnatt[[#This Row],[Start Date]],CA$29&lt;ProposalToGnatt[[#This Row],[Start Date]]+ProposalToGnatt[[#This Row],[Days]]),$G$5,"")),"")</f>
        <v/>
      </c>
      <c r="CB75" s="37" t="str">
        <f ca="1">IFERROR(+IF(CB$29=ProposalToGnatt[[#This Row],[Start Date]],Milestone_Marker,IF(AND(CB$29&gt;ProposalToGnatt[[#This Row],[Start Date]],CB$29&lt;ProposalToGnatt[[#This Row],[Start Date]]+ProposalToGnatt[[#This Row],[Days]]),$G$5,"")),"")</f>
        <v/>
      </c>
      <c r="CC75" s="37" t="str">
        <f ca="1">IFERROR(+IF(CC$29=ProposalToGnatt[[#This Row],[Start Date]],Milestone_Marker,IF(AND(CC$29&gt;ProposalToGnatt[[#This Row],[Start Date]],CC$29&lt;ProposalToGnatt[[#This Row],[Start Date]]+ProposalToGnatt[[#This Row],[Days]]),$G$5,"")),"")</f>
        <v/>
      </c>
      <c r="CD75" s="37" t="str">
        <f ca="1">IFERROR(+IF(CD$29=ProposalToGnatt[[#This Row],[Start Date]],Milestone_Marker,IF(AND(CD$29&gt;ProposalToGnatt[[#This Row],[Start Date]],CD$29&lt;ProposalToGnatt[[#This Row],[Start Date]]+ProposalToGnatt[[#This Row],[Days]]),$G$5,"")),"")</f>
        <v/>
      </c>
      <c r="CE75" s="37" t="str">
        <f ca="1">IFERROR(+IF(CE$29=ProposalToGnatt[[#This Row],[Start Date]],Milestone_Marker,IF(AND(CE$29&gt;ProposalToGnatt[[#This Row],[Start Date]],CE$29&lt;ProposalToGnatt[[#This Row],[Start Date]]+ProposalToGnatt[[#This Row],[Days]]),$G$5,"")),"")</f>
        <v/>
      </c>
      <c r="CF75" s="37" t="str">
        <f ca="1">IFERROR(+IF(CF$29=ProposalToGnatt[[#This Row],[Start Date]],Milestone_Marker,IF(AND(CF$29&gt;ProposalToGnatt[[#This Row],[Start Date]],CF$29&lt;ProposalToGnatt[[#This Row],[Start Date]]+ProposalToGnatt[[#This Row],[Days]]),$G$5,"")),"")</f>
        <v/>
      </c>
      <c r="CG75" s="37" t="str">
        <f ca="1">IFERROR(+IF(CG$29=ProposalToGnatt[[#This Row],[Start Date]],Milestone_Marker,IF(AND(CG$29&gt;ProposalToGnatt[[#This Row],[Start Date]],CG$29&lt;ProposalToGnatt[[#This Row],[Start Date]]+ProposalToGnatt[[#This Row],[Days]]),$G$5,"")),"")</f>
        <v/>
      </c>
      <c r="CH75" s="37" t="str">
        <f ca="1">IFERROR(+IF(CH$29=ProposalToGnatt[[#This Row],[Start Date]],Milestone_Marker,IF(AND(CH$29&gt;ProposalToGnatt[[#This Row],[Start Date]],CH$29&lt;ProposalToGnatt[[#This Row],[Start Date]]+ProposalToGnatt[[#This Row],[Days]]),$G$5,"")),"")</f>
        <v/>
      </c>
      <c r="CI75" s="37" t="str">
        <f ca="1">IFERROR(+IF(CI$29=ProposalToGnatt[[#This Row],[Start Date]],Milestone_Marker,IF(AND(CI$29&gt;ProposalToGnatt[[#This Row],[Start Date]],CI$29&lt;ProposalToGnatt[[#This Row],[Start Date]]+ProposalToGnatt[[#This Row],[Days]]),$G$5,"")),"")</f>
        <v/>
      </c>
      <c r="CJ75" s="37" t="str">
        <f ca="1">IFERROR(+IF(CJ$29=ProposalToGnatt[[#This Row],[Start Date]],Milestone_Marker,IF(AND(CJ$29&gt;ProposalToGnatt[[#This Row],[Start Date]],CJ$29&lt;ProposalToGnatt[[#This Row],[Start Date]]+ProposalToGnatt[[#This Row],[Days]]),$G$5,"")),"")</f>
        <v/>
      </c>
      <c r="CK75" s="37" t="str">
        <f ca="1">IFERROR(+IF(CK$29=ProposalToGnatt[[#This Row],[Start Date]],Milestone_Marker,IF(AND(CK$29&gt;ProposalToGnatt[[#This Row],[Start Date]],CK$29&lt;ProposalToGnatt[[#This Row],[Start Date]]+ProposalToGnatt[[#This Row],[Days]]),$G$5,"")),"")</f>
        <v/>
      </c>
      <c r="CL75" s="37" t="str">
        <f ca="1">IFERROR(+IF(CL$29=ProposalToGnatt[[#This Row],[Start Date]],Milestone_Marker,IF(AND(CL$29&gt;ProposalToGnatt[[#This Row],[Start Date]],CL$29&lt;ProposalToGnatt[[#This Row],[Start Date]]+ProposalToGnatt[[#This Row],[Days]]),$G$5,"")),"")</f>
        <v/>
      </c>
      <c r="CM75" s="37" t="str">
        <f ca="1">IFERROR(+IF(CM$29=ProposalToGnatt[[#This Row],[Start Date]],Milestone_Marker,IF(AND(CM$29&gt;ProposalToGnatt[[#This Row],[Start Date]],CM$29&lt;ProposalToGnatt[[#This Row],[Start Date]]+ProposalToGnatt[[#This Row],[Days]]),$G$5,"")),"")</f>
        <v/>
      </c>
      <c r="CN75" s="37" t="str">
        <f ca="1">IFERROR(+IF(CN$29=ProposalToGnatt[[#This Row],[Start Date]],Milestone_Marker,IF(AND(CN$29&gt;ProposalToGnatt[[#This Row],[Start Date]],CN$29&lt;ProposalToGnatt[[#This Row],[Start Date]]+ProposalToGnatt[[#This Row],[Days]]),$G$5,"")),"")</f>
        <v/>
      </c>
      <c r="CO75" s="37" t="str">
        <f ca="1">IFERROR(+IF(CO$29=ProposalToGnatt[[#This Row],[Start Date]],Milestone_Marker,IF(AND(CO$29&gt;ProposalToGnatt[[#This Row],[Start Date]],CO$29&lt;ProposalToGnatt[[#This Row],[Start Date]]+ProposalToGnatt[[#This Row],[Days]]),$G$5,"")),"")</f>
        <v/>
      </c>
      <c r="CP75" s="37" t="str">
        <f ca="1">IFERROR(+IF(CP$29=ProposalToGnatt[[#This Row],[Start Date]],Milestone_Marker,IF(AND(CP$29&gt;ProposalToGnatt[[#This Row],[Start Date]],CP$29&lt;ProposalToGnatt[[#This Row],[Start Date]]+ProposalToGnatt[[#This Row],[Days]]),$G$5,"")),"")</f>
        <v/>
      </c>
      <c r="CQ75" s="37" t="str">
        <f ca="1">IFERROR(+IF(CQ$29=ProposalToGnatt[[#This Row],[Start Date]],Milestone_Marker,IF(AND(CQ$29&gt;ProposalToGnatt[[#This Row],[Start Date]],CQ$29&lt;ProposalToGnatt[[#This Row],[Start Date]]+ProposalToGnatt[[#This Row],[Days]]),$G$5,"")),"")</f>
        <v/>
      </c>
      <c r="CR75" s="37" t="str">
        <f ca="1">IFERROR(+IF(CR$29=ProposalToGnatt[[#This Row],[Start Date]],Milestone_Marker,IF(AND(CR$29&gt;ProposalToGnatt[[#This Row],[Start Date]],CR$29&lt;ProposalToGnatt[[#This Row],[Start Date]]+ProposalToGnatt[[#This Row],[Days]]),$G$5,"")),"")</f>
        <v/>
      </c>
      <c r="CS75" s="37" t="str">
        <f ca="1">IFERROR(+IF(CS$29=ProposalToGnatt[[#This Row],[Start Date]],Milestone_Marker,IF(AND(CS$29&gt;ProposalToGnatt[[#This Row],[Start Date]],CS$29&lt;ProposalToGnatt[[#This Row],[Start Date]]+ProposalToGnatt[[#This Row],[Days]]),$G$5,"")),"")</f>
        <v/>
      </c>
      <c r="CT75" s="37" t="str">
        <f ca="1">IFERROR(+IF(CT$29=ProposalToGnatt[[#This Row],[Start Date]],Milestone_Marker,IF(AND(CT$29&gt;ProposalToGnatt[[#This Row],[Start Date]],CT$29&lt;ProposalToGnatt[[#This Row],[Start Date]]+ProposalToGnatt[[#This Row],[Days]]),$G$5,"")),"")</f>
        <v/>
      </c>
      <c r="CU75" s="37" t="str">
        <f ca="1">IFERROR(+IF(CU$29=ProposalToGnatt[[#This Row],[Start Date]],Milestone_Marker,IF(AND(CU$29&gt;ProposalToGnatt[[#This Row],[Start Date]],CU$29&lt;ProposalToGnatt[[#This Row],[Start Date]]+ProposalToGnatt[[#This Row],[Days]]),$G$5,"")),"")</f>
        <v/>
      </c>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row>
    <row r="76" spans="1:125" ht="15">
      <c r="A76"/>
      <c r="B76"/>
      <c r="C76"/>
      <c r="D76"/>
      <c r="E76"/>
      <c r="F76"/>
      <c r="G76" s="11"/>
      <c r="H76" s="26"/>
      <c r="I76"/>
      <c r="J76"/>
      <c r="K76" s="402"/>
      <c r="L76"/>
      <c r="M76"/>
      <c r="N76"/>
      <c r="O76" s="26"/>
      <c r="P76" s="37" t="str">
        <f ca="1">IFERROR(+IF(P$29=ProposalToGnatt[[#This Row],[Start Date]],Milestone_Marker,IF(AND(P$29&gt;ProposalToGnatt[[#This Row],[Start Date]],P$29&lt;ProposalToGnatt[[#This Row],[Start Date]]+ProposalToGnatt[[#This Row],[Days]]),$G$5,"")),"")</f>
        <v/>
      </c>
      <c r="Q76" s="37" t="str">
        <f ca="1">IFERROR(+IF(Q$29=ProposalToGnatt[[#This Row],[Start Date]],Milestone_Marker,IF(AND(Q$29&gt;ProposalToGnatt[[#This Row],[Start Date]],Q$29&lt;ProposalToGnatt[[#This Row],[Start Date]]+ProposalToGnatt[[#This Row],[Days]]),$G$5,"")),"")</f>
        <v/>
      </c>
      <c r="R76" s="37" t="str">
        <f ca="1">IFERROR(+IF(R$29=ProposalToGnatt[[#This Row],[Start Date]],Milestone_Marker,IF(AND(R$29&gt;ProposalToGnatt[[#This Row],[Start Date]],R$29&lt;ProposalToGnatt[[#This Row],[Start Date]]+ProposalToGnatt[[#This Row],[Days]]),$G$5,"")),"")</f>
        <v/>
      </c>
      <c r="S76" s="37" t="str">
        <f ca="1">IFERROR(+IF(S$29=ProposalToGnatt[[#This Row],[Start Date]],Milestone_Marker,IF(AND(S$29&gt;ProposalToGnatt[[#This Row],[Start Date]],S$29&lt;ProposalToGnatt[[#This Row],[Start Date]]+ProposalToGnatt[[#This Row],[Days]]),$G$5,"")),"")</f>
        <v/>
      </c>
      <c r="T76" s="37" t="str">
        <f ca="1">IFERROR(+IF(T$29=ProposalToGnatt[[#This Row],[Start Date]],Milestone_Marker,IF(AND(T$29&gt;ProposalToGnatt[[#This Row],[Start Date]],T$29&lt;ProposalToGnatt[[#This Row],[Start Date]]+ProposalToGnatt[[#This Row],[Days]]),$G$5,"")),"")</f>
        <v/>
      </c>
      <c r="U76" s="37" t="str">
        <f ca="1">IFERROR(+IF(U$29=ProposalToGnatt[[#This Row],[Start Date]],Milestone_Marker,IF(AND(U$29&gt;ProposalToGnatt[[#This Row],[Start Date]],U$29&lt;ProposalToGnatt[[#This Row],[Start Date]]+ProposalToGnatt[[#This Row],[Days]]),$G$5,"")),"")</f>
        <v/>
      </c>
      <c r="V76" s="37" t="str">
        <f ca="1">IFERROR(+IF(V$29=ProposalToGnatt[[#This Row],[Start Date]],Milestone_Marker,IF(AND(V$29&gt;ProposalToGnatt[[#This Row],[Start Date]],V$29&lt;ProposalToGnatt[[#This Row],[Start Date]]+ProposalToGnatt[[#This Row],[Days]]),$G$5,"")),"")</f>
        <v/>
      </c>
      <c r="W76" s="37" t="str">
        <f ca="1">IFERROR(+IF(W$29=ProposalToGnatt[[#This Row],[Start Date]],Milestone_Marker,IF(AND(W$29&gt;ProposalToGnatt[[#This Row],[Start Date]],W$29&lt;ProposalToGnatt[[#This Row],[Start Date]]+ProposalToGnatt[[#This Row],[Days]]),$G$5,"")),"")</f>
        <v/>
      </c>
      <c r="X76" s="37" t="str">
        <f ca="1">IFERROR(+IF(X$29=ProposalToGnatt[[#This Row],[Start Date]],Milestone_Marker,IF(AND(X$29&gt;ProposalToGnatt[[#This Row],[Start Date]],X$29&lt;ProposalToGnatt[[#This Row],[Start Date]]+ProposalToGnatt[[#This Row],[Days]]),$G$5,"")),"")</f>
        <v/>
      </c>
      <c r="Y76" s="37" t="str">
        <f ca="1">IFERROR(+IF(Y$29=ProposalToGnatt[[#This Row],[Start Date]],Milestone_Marker,IF(AND(Y$29&gt;ProposalToGnatt[[#This Row],[Start Date]],Y$29&lt;ProposalToGnatt[[#This Row],[Start Date]]+ProposalToGnatt[[#This Row],[Days]]),$G$5,"")),"")</f>
        <v/>
      </c>
      <c r="Z76" s="37" t="str">
        <f ca="1">IFERROR(+IF(Z$29=ProposalToGnatt[[#This Row],[Start Date]],Milestone_Marker,IF(AND(Z$29&gt;ProposalToGnatt[[#This Row],[Start Date]],Z$29&lt;ProposalToGnatt[[#This Row],[Start Date]]+ProposalToGnatt[[#This Row],[Days]]),$G$5,"")),"")</f>
        <v/>
      </c>
      <c r="AA76" s="37" t="str">
        <f ca="1">IFERROR(+IF(AA$29=ProposalToGnatt[[#This Row],[Start Date]],Milestone_Marker,IF(AND(AA$29&gt;ProposalToGnatt[[#This Row],[Start Date]],AA$29&lt;ProposalToGnatt[[#This Row],[Start Date]]+ProposalToGnatt[[#This Row],[Days]]),$G$5,"")),"")</f>
        <v/>
      </c>
      <c r="AB76" s="37" t="str">
        <f ca="1">IFERROR(+IF(AB$29=ProposalToGnatt[[#This Row],[Start Date]],Milestone_Marker,IF(AND(AB$29&gt;ProposalToGnatt[[#This Row],[Start Date]],AB$29&lt;ProposalToGnatt[[#This Row],[Start Date]]+ProposalToGnatt[[#This Row],[Days]]),$G$5,"")),"")</f>
        <v/>
      </c>
      <c r="AC76" s="37" t="str">
        <f ca="1">IFERROR(+IF(AC$29=ProposalToGnatt[[#This Row],[Start Date]],Milestone_Marker,IF(AND(AC$29&gt;ProposalToGnatt[[#This Row],[Start Date]],AC$29&lt;ProposalToGnatt[[#This Row],[Start Date]]+ProposalToGnatt[[#This Row],[Days]]),$G$5,"")),"")</f>
        <v/>
      </c>
      <c r="AD76" s="37" t="str">
        <f ca="1">IFERROR(+IF(AD$29=ProposalToGnatt[[#This Row],[Start Date]],Milestone_Marker,IF(AND(AD$29&gt;ProposalToGnatt[[#This Row],[Start Date]],AD$29&lt;ProposalToGnatt[[#This Row],[Start Date]]+ProposalToGnatt[[#This Row],[Days]]),$G$5,"")),"")</f>
        <v/>
      </c>
      <c r="AE76" s="37" t="str">
        <f ca="1">IFERROR(+IF(AE$29=ProposalToGnatt[[#This Row],[Start Date]],Milestone_Marker,IF(AND(AE$29&gt;ProposalToGnatt[[#This Row],[Start Date]],AE$29&lt;ProposalToGnatt[[#This Row],[Start Date]]+ProposalToGnatt[[#This Row],[Days]]),$G$5,"")),"")</f>
        <v/>
      </c>
      <c r="AF76" s="37" t="str">
        <f ca="1">IFERROR(+IF(AF$29=ProposalToGnatt[[#This Row],[Start Date]],Milestone_Marker,IF(AND(AF$29&gt;ProposalToGnatt[[#This Row],[Start Date]],AF$29&lt;ProposalToGnatt[[#This Row],[Start Date]]+ProposalToGnatt[[#This Row],[Days]]),$G$5,"")),"")</f>
        <v/>
      </c>
      <c r="AG76" s="37" t="str">
        <f ca="1">IFERROR(+IF(AG$29=ProposalToGnatt[[#This Row],[Start Date]],Milestone_Marker,IF(AND(AG$29&gt;ProposalToGnatt[[#This Row],[Start Date]],AG$29&lt;ProposalToGnatt[[#This Row],[Start Date]]+ProposalToGnatt[[#This Row],[Days]]),$G$5,"")),"")</f>
        <v/>
      </c>
      <c r="AH76" s="37" t="str">
        <f ca="1">IFERROR(+IF(AH$29=ProposalToGnatt[[#This Row],[Start Date]],Milestone_Marker,IF(AND(AH$29&gt;ProposalToGnatt[[#This Row],[Start Date]],AH$29&lt;ProposalToGnatt[[#This Row],[Start Date]]+ProposalToGnatt[[#This Row],[Days]]),$G$5,"")),"")</f>
        <v/>
      </c>
      <c r="AI76" s="37" t="str">
        <f ca="1">IFERROR(+IF(AI$29=ProposalToGnatt[[#This Row],[Start Date]],Milestone_Marker,IF(AND(AI$29&gt;ProposalToGnatt[[#This Row],[Start Date]],AI$29&lt;ProposalToGnatt[[#This Row],[Start Date]]+ProposalToGnatt[[#This Row],[Days]]),$G$5,"")),"")</f>
        <v/>
      </c>
      <c r="AJ76" s="37" t="str">
        <f ca="1">IFERROR(+IF(AJ$29=ProposalToGnatt[[#This Row],[Start Date]],Milestone_Marker,IF(AND(AJ$29&gt;ProposalToGnatt[[#This Row],[Start Date]],AJ$29&lt;ProposalToGnatt[[#This Row],[Start Date]]+ProposalToGnatt[[#This Row],[Days]]),$G$5,"")),"")</f>
        <v/>
      </c>
      <c r="AK76" s="37" t="str">
        <f ca="1">IFERROR(+IF(AK$29=ProposalToGnatt[[#This Row],[Start Date]],Milestone_Marker,IF(AND(AK$29&gt;ProposalToGnatt[[#This Row],[Start Date]],AK$29&lt;ProposalToGnatt[[#This Row],[Start Date]]+ProposalToGnatt[[#This Row],[Days]]),$G$5,"")),"")</f>
        <v/>
      </c>
      <c r="AL76" s="37" t="str">
        <f ca="1">IFERROR(+IF(AL$29=ProposalToGnatt[[#This Row],[Start Date]],Milestone_Marker,IF(AND(AL$29&gt;ProposalToGnatt[[#This Row],[Start Date]],AL$29&lt;ProposalToGnatt[[#This Row],[Start Date]]+ProposalToGnatt[[#This Row],[Days]]),$G$5,"")),"")</f>
        <v/>
      </c>
      <c r="AM76" s="37" t="str">
        <f ca="1">IFERROR(+IF(AM$29=ProposalToGnatt[[#This Row],[Start Date]],Milestone_Marker,IF(AND(AM$29&gt;ProposalToGnatt[[#This Row],[Start Date]],AM$29&lt;ProposalToGnatt[[#This Row],[Start Date]]+ProposalToGnatt[[#This Row],[Days]]),$G$5,"")),"")</f>
        <v/>
      </c>
      <c r="AN76" s="37" t="str">
        <f ca="1">IFERROR(+IF(AN$29=ProposalToGnatt[[#This Row],[Start Date]],Milestone_Marker,IF(AND(AN$29&gt;ProposalToGnatt[[#This Row],[Start Date]],AN$29&lt;ProposalToGnatt[[#This Row],[Start Date]]+ProposalToGnatt[[#This Row],[Days]]),$G$5,"")),"")</f>
        <v/>
      </c>
      <c r="AO76" s="37" t="str">
        <f ca="1">IFERROR(+IF(AO$29=ProposalToGnatt[[#This Row],[Start Date]],Milestone_Marker,IF(AND(AO$29&gt;ProposalToGnatt[[#This Row],[Start Date]],AO$29&lt;ProposalToGnatt[[#This Row],[Start Date]]+ProposalToGnatt[[#This Row],[Days]]),$G$5,"")),"")</f>
        <v/>
      </c>
      <c r="AP76" s="37" t="str">
        <f ca="1">IFERROR(+IF(AP$29=ProposalToGnatt[[#This Row],[Start Date]],Milestone_Marker,IF(AND(AP$29&gt;ProposalToGnatt[[#This Row],[Start Date]],AP$29&lt;ProposalToGnatt[[#This Row],[Start Date]]+ProposalToGnatt[[#This Row],[Days]]),$G$5,"")),"")</f>
        <v/>
      </c>
      <c r="AQ76" s="37" t="str">
        <f ca="1">IFERROR(+IF(AQ$29=ProposalToGnatt[[#This Row],[Start Date]],Milestone_Marker,IF(AND(AQ$29&gt;ProposalToGnatt[[#This Row],[Start Date]],AQ$29&lt;ProposalToGnatt[[#This Row],[Start Date]]+ProposalToGnatt[[#This Row],[Days]]),$G$5,"")),"")</f>
        <v/>
      </c>
      <c r="AR76" s="37" t="str">
        <f ca="1">IFERROR(+IF(AR$29=ProposalToGnatt[[#This Row],[Start Date]],Milestone_Marker,IF(AND(AR$29&gt;ProposalToGnatt[[#This Row],[Start Date]],AR$29&lt;ProposalToGnatt[[#This Row],[Start Date]]+ProposalToGnatt[[#This Row],[Days]]),$G$5,"")),"")</f>
        <v/>
      </c>
      <c r="AS76" s="37" t="str">
        <f ca="1">IFERROR(+IF(AS$29=ProposalToGnatt[[#This Row],[Start Date]],Milestone_Marker,IF(AND(AS$29&gt;ProposalToGnatt[[#This Row],[Start Date]],AS$29&lt;ProposalToGnatt[[#This Row],[Start Date]]+ProposalToGnatt[[#This Row],[Days]]),$G$5,"")),"")</f>
        <v/>
      </c>
      <c r="AT76" s="37" t="str">
        <f ca="1">IFERROR(+IF(AT$29=ProposalToGnatt[[#This Row],[Start Date]],Milestone_Marker,IF(AND(AT$29&gt;ProposalToGnatt[[#This Row],[Start Date]],AT$29&lt;ProposalToGnatt[[#This Row],[Start Date]]+ProposalToGnatt[[#This Row],[Days]]),$G$5,"")),"")</f>
        <v/>
      </c>
      <c r="AU76" s="37" t="str">
        <f ca="1">IFERROR(+IF(AU$29=ProposalToGnatt[[#This Row],[Start Date]],Milestone_Marker,IF(AND(AU$29&gt;ProposalToGnatt[[#This Row],[Start Date]],AU$29&lt;ProposalToGnatt[[#This Row],[Start Date]]+ProposalToGnatt[[#This Row],[Days]]),$G$5,"")),"")</f>
        <v/>
      </c>
      <c r="AV76" s="37" t="str">
        <f ca="1">IFERROR(+IF(AV$29=ProposalToGnatt[[#This Row],[Start Date]],Milestone_Marker,IF(AND(AV$29&gt;ProposalToGnatt[[#This Row],[Start Date]],AV$29&lt;ProposalToGnatt[[#This Row],[Start Date]]+ProposalToGnatt[[#This Row],[Days]]),$G$5,"")),"")</f>
        <v/>
      </c>
      <c r="AW76" s="37" t="str">
        <f ca="1">IFERROR(+IF(AW$29=ProposalToGnatt[[#This Row],[Start Date]],Milestone_Marker,IF(AND(AW$29&gt;ProposalToGnatt[[#This Row],[Start Date]],AW$29&lt;ProposalToGnatt[[#This Row],[Start Date]]+ProposalToGnatt[[#This Row],[Days]]),$G$5,"")),"")</f>
        <v/>
      </c>
      <c r="AX76" s="37" t="str">
        <f ca="1">IFERROR(+IF(AX$29=ProposalToGnatt[[#This Row],[Start Date]],Milestone_Marker,IF(AND(AX$29&gt;ProposalToGnatt[[#This Row],[Start Date]],AX$29&lt;ProposalToGnatt[[#This Row],[Start Date]]+ProposalToGnatt[[#This Row],[Days]]),$G$5,"")),"")</f>
        <v/>
      </c>
      <c r="AY76" s="37" t="str">
        <f ca="1">IFERROR(+IF(AY$29=ProposalToGnatt[[#This Row],[Start Date]],Milestone_Marker,IF(AND(AY$29&gt;ProposalToGnatt[[#This Row],[Start Date]],AY$29&lt;ProposalToGnatt[[#This Row],[Start Date]]+ProposalToGnatt[[#This Row],[Days]]),$G$5,"")),"")</f>
        <v/>
      </c>
      <c r="AZ76" s="37" t="str">
        <f ca="1">IFERROR(+IF(AZ$29=ProposalToGnatt[[#This Row],[Start Date]],Milestone_Marker,IF(AND(AZ$29&gt;ProposalToGnatt[[#This Row],[Start Date]],AZ$29&lt;ProposalToGnatt[[#This Row],[Start Date]]+ProposalToGnatt[[#This Row],[Days]]),$G$5,"")),"")</f>
        <v/>
      </c>
      <c r="BA76" s="37" t="str">
        <f ca="1">IFERROR(+IF(BA$29=ProposalToGnatt[[#This Row],[Start Date]],Milestone_Marker,IF(AND(BA$29&gt;ProposalToGnatt[[#This Row],[Start Date]],BA$29&lt;ProposalToGnatt[[#This Row],[Start Date]]+ProposalToGnatt[[#This Row],[Days]]),$G$5,"")),"")</f>
        <v/>
      </c>
      <c r="BB76" s="37" t="str">
        <f ca="1">IFERROR(+IF(BB$29=ProposalToGnatt[[#This Row],[Start Date]],Milestone_Marker,IF(AND(BB$29&gt;ProposalToGnatt[[#This Row],[Start Date]],BB$29&lt;ProposalToGnatt[[#This Row],[Start Date]]+ProposalToGnatt[[#This Row],[Days]]),$G$5,"")),"")</f>
        <v/>
      </c>
      <c r="BC76" s="37" t="str">
        <f ca="1">IFERROR(+IF(BC$29=ProposalToGnatt[[#This Row],[Start Date]],Milestone_Marker,IF(AND(BC$29&gt;ProposalToGnatt[[#This Row],[Start Date]],BC$29&lt;ProposalToGnatt[[#This Row],[Start Date]]+ProposalToGnatt[[#This Row],[Days]]),$G$5,"")),"")</f>
        <v/>
      </c>
      <c r="BD76" s="37" t="str">
        <f ca="1">IFERROR(+IF(BD$29=ProposalToGnatt[[#This Row],[Start Date]],Milestone_Marker,IF(AND(BD$29&gt;ProposalToGnatt[[#This Row],[Start Date]],BD$29&lt;ProposalToGnatt[[#This Row],[Start Date]]+ProposalToGnatt[[#This Row],[Days]]),$G$5,"")),"")</f>
        <v/>
      </c>
      <c r="BE76" s="37" t="str">
        <f ca="1">IFERROR(+IF(BE$29=ProposalToGnatt[[#This Row],[Start Date]],Milestone_Marker,IF(AND(BE$29&gt;ProposalToGnatt[[#This Row],[Start Date]],BE$29&lt;ProposalToGnatt[[#This Row],[Start Date]]+ProposalToGnatt[[#This Row],[Days]]),$G$5,"")),"")</f>
        <v/>
      </c>
      <c r="BF76" s="37" t="str">
        <f ca="1">IFERROR(+IF(BF$29=ProposalToGnatt[[#This Row],[Start Date]],Milestone_Marker,IF(AND(BF$29&gt;ProposalToGnatt[[#This Row],[Start Date]],BF$29&lt;ProposalToGnatt[[#This Row],[Start Date]]+ProposalToGnatt[[#This Row],[Days]]),$G$5,"")),"")</f>
        <v/>
      </c>
      <c r="BG76" s="37" t="str">
        <f ca="1">IFERROR(+IF(BG$29=ProposalToGnatt[[#This Row],[Start Date]],Milestone_Marker,IF(AND(BG$29&gt;ProposalToGnatt[[#This Row],[Start Date]],BG$29&lt;ProposalToGnatt[[#This Row],[Start Date]]+ProposalToGnatt[[#This Row],[Days]]),$G$5,"")),"")</f>
        <v/>
      </c>
      <c r="BH76" s="37" t="str">
        <f ca="1">IFERROR(+IF(BH$29=ProposalToGnatt[[#This Row],[Start Date]],Milestone_Marker,IF(AND(BH$29&gt;ProposalToGnatt[[#This Row],[Start Date]],BH$29&lt;ProposalToGnatt[[#This Row],[Start Date]]+ProposalToGnatt[[#This Row],[Days]]),$G$5,"")),"")</f>
        <v/>
      </c>
      <c r="BI76" s="37" t="str">
        <f ca="1">IFERROR(+IF(BI$29=ProposalToGnatt[[#This Row],[Start Date]],Milestone_Marker,IF(AND(BI$29&gt;ProposalToGnatt[[#This Row],[Start Date]],BI$29&lt;ProposalToGnatt[[#This Row],[Start Date]]+ProposalToGnatt[[#This Row],[Days]]),$G$5,"")),"")</f>
        <v/>
      </c>
      <c r="BJ76" s="37" t="str">
        <f ca="1">IFERROR(+IF(BJ$29=ProposalToGnatt[[#This Row],[Start Date]],Milestone_Marker,IF(AND(BJ$29&gt;ProposalToGnatt[[#This Row],[Start Date]],BJ$29&lt;ProposalToGnatt[[#This Row],[Start Date]]+ProposalToGnatt[[#This Row],[Days]]),$G$5,"")),"")</f>
        <v/>
      </c>
      <c r="BK76" s="37" t="str">
        <f ca="1">IFERROR(+IF(BK$29=ProposalToGnatt[[#This Row],[Start Date]],Milestone_Marker,IF(AND(BK$29&gt;ProposalToGnatt[[#This Row],[Start Date]],BK$29&lt;ProposalToGnatt[[#This Row],[Start Date]]+ProposalToGnatt[[#This Row],[Days]]),$G$5,"")),"")</f>
        <v/>
      </c>
      <c r="BL76" s="37" t="str">
        <f ca="1">IFERROR(+IF(BL$29=ProposalToGnatt[[#This Row],[Start Date]],Milestone_Marker,IF(AND(BL$29&gt;ProposalToGnatt[[#This Row],[Start Date]],BL$29&lt;ProposalToGnatt[[#This Row],[Start Date]]+ProposalToGnatt[[#This Row],[Days]]),$G$5,"")),"")</f>
        <v/>
      </c>
      <c r="BM76" s="37" t="str">
        <f ca="1">IFERROR(+IF(BM$29=ProposalToGnatt[[#This Row],[Start Date]],Milestone_Marker,IF(AND(BM$29&gt;ProposalToGnatt[[#This Row],[Start Date]],BM$29&lt;ProposalToGnatt[[#This Row],[Start Date]]+ProposalToGnatt[[#This Row],[Days]]),$G$5,"")),"")</f>
        <v/>
      </c>
      <c r="BN76" s="37" t="str">
        <f ca="1">IFERROR(+IF(BN$29=ProposalToGnatt[[#This Row],[Start Date]],Milestone_Marker,IF(AND(BN$29&gt;ProposalToGnatt[[#This Row],[Start Date]],BN$29&lt;ProposalToGnatt[[#This Row],[Start Date]]+ProposalToGnatt[[#This Row],[Days]]),$G$5,"")),"")</f>
        <v/>
      </c>
      <c r="BO76" s="37" t="str">
        <f ca="1">IFERROR(+IF(BO$29=ProposalToGnatt[[#This Row],[Start Date]],Milestone_Marker,IF(AND(BO$29&gt;ProposalToGnatt[[#This Row],[Start Date]],BO$29&lt;ProposalToGnatt[[#This Row],[Start Date]]+ProposalToGnatt[[#This Row],[Days]]),$G$5,"")),"")</f>
        <v/>
      </c>
      <c r="BP76" s="37" t="str">
        <f ca="1">IFERROR(+IF(BP$29=ProposalToGnatt[[#This Row],[Start Date]],Milestone_Marker,IF(AND(BP$29&gt;ProposalToGnatt[[#This Row],[Start Date]],BP$29&lt;ProposalToGnatt[[#This Row],[Start Date]]+ProposalToGnatt[[#This Row],[Days]]),$G$5,"")),"")</f>
        <v/>
      </c>
      <c r="BQ76" s="37" t="str">
        <f ca="1">IFERROR(+IF(BQ$29=ProposalToGnatt[[#This Row],[Start Date]],Milestone_Marker,IF(AND(BQ$29&gt;ProposalToGnatt[[#This Row],[Start Date]],BQ$29&lt;ProposalToGnatt[[#This Row],[Start Date]]+ProposalToGnatt[[#This Row],[Days]]),$G$5,"")),"")</f>
        <v/>
      </c>
      <c r="BR76" s="37" t="str">
        <f ca="1">IFERROR(+IF(BR$29=ProposalToGnatt[[#This Row],[Start Date]],Milestone_Marker,IF(AND(BR$29&gt;ProposalToGnatt[[#This Row],[Start Date]],BR$29&lt;ProposalToGnatt[[#This Row],[Start Date]]+ProposalToGnatt[[#This Row],[Days]]),$G$5,"")),"")</f>
        <v/>
      </c>
      <c r="BS76" s="37" t="str">
        <f ca="1">IFERROR(+IF(BS$29=ProposalToGnatt[[#This Row],[Start Date]],Milestone_Marker,IF(AND(BS$29&gt;ProposalToGnatt[[#This Row],[Start Date]],BS$29&lt;ProposalToGnatt[[#This Row],[Start Date]]+ProposalToGnatt[[#This Row],[Days]]),$G$5,"")),"")</f>
        <v/>
      </c>
      <c r="BT76" s="37" t="str">
        <f ca="1">IFERROR(+IF(BT$29=ProposalToGnatt[[#This Row],[Start Date]],Milestone_Marker,IF(AND(BT$29&gt;ProposalToGnatt[[#This Row],[Start Date]],BT$29&lt;ProposalToGnatt[[#This Row],[Start Date]]+ProposalToGnatt[[#This Row],[Days]]),$G$5,"")),"")</f>
        <v/>
      </c>
      <c r="BU76" s="37" t="str">
        <f ca="1">IFERROR(+IF(BU$29=ProposalToGnatt[[#This Row],[Start Date]],Milestone_Marker,IF(AND(BU$29&gt;ProposalToGnatt[[#This Row],[Start Date]],BU$29&lt;ProposalToGnatt[[#This Row],[Start Date]]+ProposalToGnatt[[#This Row],[Days]]),$G$5,"")),"")</f>
        <v/>
      </c>
      <c r="BV76" s="37" t="str">
        <f ca="1">IFERROR(+IF(BV$29=ProposalToGnatt[[#This Row],[Start Date]],Milestone_Marker,IF(AND(BV$29&gt;ProposalToGnatt[[#This Row],[Start Date]],BV$29&lt;ProposalToGnatt[[#This Row],[Start Date]]+ProposalToGnatt[[#This Row],[Days]]),$G$5,"")),"")</f>
        <v/>
      </c>
      <c r="BW76" s="37" t="str">
        <f ca="1">IFERROR(+IF(BW$29=ProposalToGnatt[[#This Row],[Start Date]],Milestone_Marker,IF(AND(BW$29&gt;ProposalToGnatt[[#This Row],[Start Date]],BW$29&lt;ProposalToGnatt[[#This Row],[Start Date]]+ProposalToGnatt[[#This Row],[Days]]),$G$5,"")),"")</f>
        <v/>
      </c>
      <c r="BX76" s="37" t="str">
        <f ca="1">IFERROR(+IF(BX$29=ProposalToGnatt[[#This Row],[Start Date]],Milestone_Marker,IF(AND(BX$29&gt;ProposalToGnatt[[#This Row],[Start Date]],BX$29&lt;ProposalToGnatt[[#This Row],[Start Date]]+ProposalToGnatt[[#This Row],[Days]]),$G$5,"")),"")</f>
        <v/>
      </c>
      <c r="BY76" s="37" t="str">
        <f ca="1">IFERROR(+IF(BY$29=ProposalToGnatt[[#This Row],[Start Date]],Milestone_Marker,IF(AND(BY$29&gt;ProposalToGnatt[[#This Row],[Start Date]],BY$29&lt;ProposalToGnatt[[#This Row],[Start Date]]+ProposalToGnatt[[#This Row],[Days]]),$G$5,"")),"")</f>
        <v/>
      </c>
      <c r="BZ76" s="37" t="str">
        <f ca="1">IFERROR(+IF(BZ$29=ProposalToGnatt[[#This Row],[Start Date]],Milestone_Marker,IF(AND(BZ$29&gt;ProposalToGnatt[[#This Row],[Start Date]],BZ$29&lt;ProposalToGnatt[[#This Row],[Start Date]]+ProposalToGnatt[[#This Row],[Days]]),$G$5,"")),"")</f>
        <v/>
      </c>
      <c r="CA76" s="37" t="str">
        <f ca="1">IFERROR(+IF(CA$29=ProposalToGnatt[[#This Row],[Start Date]],Milestone_Marker,IF(AND(CA$29&gt;ProposalToGnatt[[#This Row],[Start Date]],CA$29&lt;ProposalToGnatt[[#This Row],[Start Date]]+ProposalToGnatt[[#This Row],[Days]]),$G$5,"")),"")</f>
        <v/>
      </c>
      <c r="CB76" s="37" t="str">
        <f ca="1">IFERROR(+IF(CB$29=ProposalToGnatt[[#This Row],[Start Date]],Milestone_Marker,IF(AND(CB$29&gt;ProposalToGnatt[[#This Row],[Start Date]],CB$29&lt;ProposalToGnatt[[#This Row],[Start Date]]+ProposalToGnatt[[#This Row],[Days]]),$G$5,"")),"")</f>
        <v/>
      </c>
      <c r="CC76" s="37" t="str">
        <f ca="1">IFERROR(+IF(CC$29=ProposalToGnatt[[#This Row],[Start Date]],Milestone_Marker,IF(AND(CC$29&gt;ProposalToGnatt[[#This Row],[Start Date]],CC$29&lt;ProposalToGnatt[[#This Row],[Start Date]]+ProposalToGnatt[[#This Row],[Days]]),$G$5,"")),"")</f>
        <v/>
      </c>
      <c r="CD76" s="37" t="str">
        <f ca="1">IFERROR(+IF(CD$29=ProposalToGnatt[[#This Row],[Start Date]],Milestone_Marker,IF(AND(CD$29&gt;ProposalToGnatt[[#This Row],[Start Date]],CD$29&lt;ProposalToGnatt[[#This Row],[Start Date]]+ProposalToGnatt[[#This Row],[Days]]),$G$5,"")),"")</f>
        <v/>
      </c>
      <c r="CE76" s="37" t="str">
        <f ca="1">IFERROR(+IF(CE$29=ProposalToGnatt[[#This Row],[Start Date]],Milestone_Marker,IF(AND(CE$29&gt;ProposalToGnatt[[#This Row],[Start Date]],CE$29&lt;ProposalToGnatt[[#This Row],[Start Date]]+ProposalToGnatt[[#This Row],[Days]]),$G$5,"")),"")</f>
        <v/>
      </c>
      <c r="CF76" s="37" t="str">
        <f ca="1">IFERROR(+IF(CF$29=ProposalToGnatt[[#This Row],[Start Date]],Milestone_Marker,IF(AND(CF$29&gt;ProposalToGnatt[[#This Row],[Start Date]],CF$29&lt;ProposalToGnatt[[#This Row],[Start Date]]+ProposalToGnatt[[#This Row],[Days]]),$G$5,"")),"")</f>
        <v/>
      </c>
      <c r="CG76" s="37" t="str">
        <f ca="1">IFERROR(+IF(CG$29=ProposalToGnatt[[#This Row],[Start Date]],Milestone_Marker,IF(AND(CG$29&gt;ProposalToGnatt[[#This Row],[Start Date]],CG$29&lt;ProposalToGnatt[[#This Row],[Start Date]]+ProposalToGnatt[[#This Row],[Days]]),$G$5,"")),"")</f>
        <v/>
      </c>
      <c r="CH76" s="37" t="str">
        <f ca="1">IFERROR(+IF(CH$29=ProposalToGnatt[[#This Row],[Start Date]],Milestone_Marker,IF(AND(CH$29&gt;ProposalToGnatt[[#This Row],[Start Date]],CH$29&lt;ProposalToGnatt[[#This Row],[Start Date]]+ProposalToGnatt[[#This Row],[Days]]),$G$5,"")),"")</f>
        <v/>
      </c>
      <c r="CI76" s="37" t="str">
        <f ca="1">IFERROR(+IF(CI$29=ProposalToGnatt[[#This Row],[Start Date]],Milestone_Marker,IF(AND(CI$29&gt;ProposalToGnatt[[#This Row],[Start Date]],CI$29&lt;ProposalToGnatt[[#This Row],[Start Date]]+ProposalToGnatt[[#This Row],[Days]]),$G$5,"")),"")</f>
        <v/>
      </c>
      <c r="CJ76" s="37" t="str">
        <f ca="1">IFERROR(+IF(CJ$29=ProposalToGnatt[[#This Row],[Start Date]],Milestone_Marker,IF(AND(CJ$29&gt;ProposalToGnatt[[#This Row],[Start Date]],CJ$29&lt;ProposalToGnatt[[#This Row],[Start Date]]+ProposalToGnatt[[#This Row],[Days]]),$G$5,"")),"")</f>
        <v/>
      </c>
      <c r="CK76" s="37" t="str">
        <f ca="1">IFERROR(+IF(CK$29=ProposalToGnatt[[#This Row],[Start Date]],Milestone_Marker,IF(AND(CK$29&gt;ProposalToGnatt[[#This Row],[Start Date]],CK$29&lt;ProposalToGnatt[[#This Row],[Start Date]]+ProposalToGnatt[[#This Row],[Days]]),$G$5,"")),"")</f>
        <v/>
      </c>
      <c r="CL76" s="37" t="str">
        <f ca="1">IFERROR(+IF(CL$29=ProposalToGnatt[[#This Row],[Start Date]],Milestone_Marker,IF(AND(CL$29&gt;ProposalToGnatt[[#This Row],[Start Date]],CL$29&lt;ProposalToGnatt[[#This Row],[Start Date]]+ProposalToGnatt[[#This Row],[Days]]),$G$5,"")),"")</f>
        <v/>
      </c>
      <c r="CM76" s="37" t="str">
        <f ca="1">IFERROR(+IF(CM$29=ProposalToGnatt[[#This Row],[Start Date]],Milestone_Marker,IF(AND(CM$29&gt;ProposalToGnatt[[#This Row],[Start Date]],CM$29&lt;ProposalToGnatt[[#This Row],[Start Date]]+ProposalToGnatt[[#This Row],[Days]]),$G$5,"")),"")</f>
        <v/>
      </c>
      <c r="CN76" s="37" t="str">
        <f ca="1">IFERROR(+IF(CN$29=ProposalToGnatt[[#This Row],[Start Date]],Milestone_Marker,IF(AND(CN$29&gt;ProposalToGnatt[[#This Row],[Start Date]],CN$29&lt;ProposalToGnatt[[#This Row],[Start Date]]+ProposalToGnatt[[#This Row],[Days]]),$G$5,"")),"")</f>
        <v/>
      </c>
      <c r="CO76" s="37" t="str">
        <f ca="1">IFERROR(+IF(CO$29=ProposalToGnatt[[#This Row],[Start Date]],Milestone_Marker,IF(AND(CO$29&gt;ProposalToGnatt[[#This Row],[Start Date]],CO$29&lt;ProposalToGnatt[[#This Row],[Start Date]]+ProposalToGnatt[[#This Row],[Days]]),$G$5,"")),"")</f>
        <v/>
      </c>
      <c r="CP76" s="37" t="str">
        <f ca="1">IFERROR(+IF(CP$29=ProposalToGnatt[[#This Row],[Start Date]],Milestone_Marker,IF(AND(CP$29&gt;ProposalToGnatt[[#This Row],[Start Date]],CP$29&lt;ProposalToGnatt[[#This Row],[Start Date]]+ProposalToGnatt[[#This Row],[Days]]),$G$5,"")),"")</f>
        <v/>
      </c>
      <c r="CQ76" s="37" t="str">
        <f ca="1">IFERROR(+IF(CQ$29=ProposalToGnatt[[#This Row],[Start Date]],Milestone_Marker,IF(AND(CQ$29&gt;ProposalToGnatt[[#This Row],[Start Date]],CQ$29&lt;ProposalToGnatt[[#This Row],[Start Date]]+ProposalToGnatt[[#This Row],[Days]]),$G$5,"")),"")</f>
        <v/>
      </c>
      <c r="CR76" s="37" t="str">
        <f ca="1">IFERROR(+IF(CR$29=ProposalToGnatt[[#This Row],[Start Date]],Milestone_Marker,IF(AND(CR$29&gt;ProposalToGnatt[[#This Row],[Start Date]],CR$29&lt;ProposalToGnatt[[#This Row],[Start Date]]+ProposalToGnatt[[#This Row],[Days]]),$G$5,"")),"")</f>
        <v/>
      </c>
      <c r="CS76" s="37" t="str">
        <f ca="1">IFERROR(+IF(CS$29=ProposalToGnatt[[#This Row],[Start Date]],Milestone_Marker,IF(AND(CS$29&gt;ProposalToGnatt[[#This Row],[Start Date]],CS$29&lt;ProposalToGnatt[[#This Row],[Start Date]]+ProposalToGnatt[[#This Row],[Days]]),$G$5,"")),"")</f>
        <v/>
      </c>
      <c r="CT76" s="37" t="str">
        <f ca="1">IFERROR(+IF(CT$29=ProposalToGnatt[[#This Row],[Start Date]],Milestone_Marker,IF(AND(CT$29&gt;ProposalToGnatt[[#This Row],[Start Date]],CT$29&lt;ProposalToGnatt[[#This Row],[Start Date]]+ProposalToGnatt[[#This Row],[Days]]),$G$5,"")),"")</f>
        <v/>
      </c>
      <c r="CU76" s="37" t="str">
        <f ca="1">IFERROR(+IF(CU$29=ProposalToGnatt[[#This Row],[Start Date]],Milestone_Marker,IF(AND(CU$29&gt;ProposalToGnatt[[#This Row],[Start Date]],CU$29&lt;ProposalToGnatt[[#This Row],[Start Date]]+ProposalToGnatt[[#This Row],[Days]]),$G$5,"")),"")</f>
        <v/>
      </c>
      <c r="CV76" s="37"/>
      <c r="CW76" s="37"/>
      <c r="CX76" s="37"/>
      <c r="CY76" s="37"/>
      <c r="CZ76" s="37"/>
      <c r="DA76" s="37"/>
      <c r="DB76" s="37"/>
      <c r="DC76" s="37"/>
      <c r="DD76" s="37"/>
      <c r="DE76" s="37"/>
      <c r="DF76" s="37"/>
      <c r="DG76" s="37"/>
      <c r="DH76" s="37"/>
      <c r="DI76" s="37"/>
      <c r="DJ76" s="37"/>
      <c r="DK76" s="37"/>
      <c r="DL76" s="37"/>
      <c r="DM76" s="37"/>
      <c r="DN76" s="37"/>
      <c r="DO76" s="37"/>
      <c r="DP76" s="37"/>
      <c r="DQ76" s="37"/>
      <c r="DR76" s="37"/>
      <c r="DS76" s="37"/>
      <c r="DT76" s="37"/>
      <c r="DU76" s="37"/>
    </row>
    <row r="77" spans="1:125" ht="15">
      <c r="A77"/>
      <c r="B77"/>
      <c r="C77"/>
      <c r="D77"/>
      <c r="E77"/>
      <c r="F77"/>
      <c r="G77" s="11"/>
      <c r="H77" s="26"/>
      <c r="I77"/>
      <c r="J77"/>
      <c r="K77" s="402"/>
      <c r="L77"/>
      <c r="M77"/>
      <c r="N77"/>
      <c r="O77" s="26"/>
      <c r="P77" s="37" t="str">
        <f ca="1">IFERROR(+IF(P$29=ProposalToGnatt[[#This Row],[Start Date]],Milestone_Marker,IF(AND(P$29&gt;ProposalToGnatt[[#This Row],[Start Date]],P$29&lt;ProposalToGnatt[[#This Row],[Start Date]]+ProposalToGnatt[[#This Row],[Days]]),$G$5,"")),"")</f>
        <v/>
      </c>
      <c r="Q77" s="37" t="str">
        <f ca="1">IFERROR(+IF(Q$29=ProposalToGnatt[[#This Row],[Start Date]],Milestone_Marker,IF(AND(Q$29&gt;ProposalToGnatt[[#This Row],[Start Date]],Q$29&lt;ProposalToGnatt[[#This Row],[Start Date]]+ProposalToGnatt[[#This Row],[Days]]),$G$5,"")),"")</f>
        <v/>
      </c>
      <c r="R77" s="37" t="str">
        <f ca="1">IFERROR(+IF(R$29=ProposalToGnatt[[#This Row],[Start Date]],Milestone_Marker,IF(AND(R$29&gt;ProposalToGnatt[[#This Row],[Start Date]],R$29&lt;ProposalToGnatt[[#This Row],[Start Date]]+ProposalToGnatt[[#This Row],[Days]]),$G$5,"")),"")</f>
        <v/>
      </c>
      <c r="S77" s="37" t="str">
        <f ca="1">IFERROR(+IF(S$29=ProposalToGnatt[[#This Row],[Start Date]],Milestone_Marker,IF(AND(S$29&gt;ProposalToGnatt[[#This Row],[Start Date]],S$29&lt;ProposalToGnatt[[#This Row],[Start Date]]+ProposalToGnatt[[#This Row],[Days]]),$G$5,"")),"")</f>
        <v/>
      </c>
      <c r="T77" s="37" t="str">
        <f ca="1">IFERROR(+IF(T$29=ProposalToGnatt[[#This Row],[Start Date]],Milestone_Marker,IF(AND(T$29&gt;ProposalToGnatt[[#This Row],[Start Date]],T$29&lt;ProposalToGnatt[[#This Row],[Start Date]]+ProposalToGnatt[[#This Row],[Days]]),$G$5,"")),"")</f>
        <v/>
      </c>
      <c r="U77" s="37" t="str">
        <f ca="1">IFERROR(+IF(U$29=ProposalToGnatt[[#This Row],[Start Date]],Milestone_Marker,IF(AND(U$29&gt;ProposalToGnatt[[#This Row],[Start Date]],U$29&lt;ProposalToGnatt[[#This Row],[Start Date]]+ProposalToGnatt[[#This Row],[Days]]),$G$5,"")),"")</f>
        <v/>
      </c>
      <c r="V77" s="37" t="str">
        <f ca="1">IFERROR(+IF(V$29=ProposalToGnatt[[#This Row],[Start Date]],Milestone_Marker,IF(AND(V$29&gt;ProposalToGnatt[[#This Row],[Start Date]],V$29&lt;ProposalToGnatt[[#This Row],[Start Date]]+ProposalToGnatt[[#This Row],[Days]]),$G$5,"")),"")</f>
        <v/>
      </c>
      <c r="W77" s="37" t="str">
        <f ca="1">IFERROR(+IF(W$29=ProposalToGnatt[[#This Row],[Start Date]],Milestone_Marker,IF(AND(W$29&gt;ProposalToGnatt[[#This Row],[Start Date]],W$29&lt;ProposalToGnatt[[#This Row],[Start Date]]+ProposalToGnatt[[#This Row],[Days]]),$G$5,"")),"")</f>
        <v/>
      </c>
      <c r="X77" s="37" t="str">
        <f ca="1">IFERROR(+IF(X$29=ProposalToGnatt[[#This Row],[Start Date]],Milestone_Marker,IF(AND(X$29&gt;ProposalToGnatt[[#This Row],[Start Date]],X$29&lt;ProposalToGnatt[[#This Row],[Start Date]]+ProposalToGnatt[[#This Row],[Days]]),$G$5,"")),"")</f>
        <v/>
      </c>
      <c r="Y77" s="37" t="str">
        <f ca="1">IFERROR(+IF(Y$29=ProposalToGnatt[[#This Row],[Start Date]],Milestone_Marker,IF(AND(Y$29&gt;ProposalToGnatt[[#This Row],[Start Date]],Y$29&lt;ProposalToGnatt[[#This Row],[Start Date]]+ProposalToGnatt[[#This Row],[Days]]),$G$5,"")),"")</f>
        <v/>
      </c>
      <c r="Z77" s="37" t="str">
        <f ca="1">IFERROR(+IF(Z$29=ProposalToGnatt[[#This Row],[Start Date]],Milestone_Marker,IF(AND(Z$29&gt;ProposalToGnatt[[#This Row],[Start Date]],Z$29&lt;ProposalToGnatt[[#This Row],[Start Date]]+ProposalToGnatt[[#This Row],[Days]]),$G$5,"")),"")</f>
        <v/>
      </c>
      <c r="AA77" s="37" t="str">
        <f ca="1">IFERROR(+IF(AA$29=ProposalToGnatt[[#This Row],[Start Date]],Milestone_Marker,IF(AND(AA$29&gt;ProposalToGnatt[[#This Row],[Start Date]],AA$29&lt;ProposalToGnatt[[#This Row],[Start Date]]+ProposalToGnatt[[#This Row],[Days]]),$G$5,"")),"")</f>
        <v/>
      </c>
      <c r="AB77" s="37" t="str">
        <f ca="1">IFERROR(+IF(AB$29=ProposalToGnatt[[#This Row],[Start Date]],Milestone_Marker,IF(AND(AB$29&gt;ProposalToGnatt[[#This Row],[Start Date]],AB$29&lt;ProposalToGnatt[[#This Row],[Start Date]]+ProposalToGnatt[[#This Row],[Days]]),$G$5,"")),"")</f>
        <v/>
      </c>
      <c r="AC77" s="37" t="str">
        <f ca="1">IFERROR(+IF(AC$29=ProposalToGnatt[[#This Row],[Start Date]],Milestone_Marker,IF(AND(AC$29&gt;ProposalToGnatt[[#This Row],[Start Date]],AC$29&lt;ProposalToGnatt[[#This Row],[Start Date]]+ProposalToGnatt[[#This Row],[Days]]),$G$5,"")),"")</f>
        <v/>
      </c>
      <c r="AD77" s="37" t="str">
        <f ca="1">IFERROR(+IF(AD$29=ProposalToGnatt[[#This Row],[Start Date]],Milestone_Marker,IF(AND(AD$29&gt;ProposalToGnatt[[#This Row],[Start Date]],AD$29&lt;ProposalToGnatt[[#This Row],[Start Date]]+ProposalToGnatt[[#This Row],[Days]]),$G$5,"")),"")</f>
        <v/>
      </c>
      <c r="AE77" s="37" t="str">
        <f ca="1">IFERROR(+IF(AE$29=ProposalToGnatt[[#This Row],[Start Date]],Milestone_Marker,IF(AND(AE$29&gt;ProposalToGnatt[[#This Row],[Start Date]],AE$29&lt;ProposalToGnatt[[#This Row],[Start Date]]+ProposalToGnatt[[#This Row],[Days]]),$G$5,"")),"")</f>
        <v/>
      </c>
      <c r="AF77" s="37" t="str">
        <f ca="1">IFERROR(+IF(AF$29=ProposalToGnatt[[#This Row],[Start Date]],Milestone_Marker,IF(AND(AF$29&gt;ProposalToGnatt[[#This Row],[Start Date]],AF$29&lt;ProposalToGnatt[[#This Row],[Start Date]]+ProposalToGnatt[[#This Row],[Days]]),$G$5,"")),"")</f>
        <v/>
      </c>
      <c r="AG77" s="37" t="str">
        <f ca="1">IFERROR(+IF(AG$29=ProposalToGnatt[[#This Row],[Start Date]],Milestone_Marker,IF(AND(AG$29&gt;ProposalToGnatt[[#This Row],[Start Date]],AG$29&lt;ProposalToGnatt[[#This Row],[Start Date]]+ProposalToGnatt[[#This Row],[Days]]),$G$5,"")),"")</f>
        <v/>
      </c>
      <c r="AH77" s="37" t="str">
        <f ca="1">IFERROR(+IF(AH$29=ProposalToGnatt[[#This Row],[Start Date]],Milestone_Marker,IF(AND(AH$29&gt;ProposalToGnatt[[#This Row],[Start Date]],AH$29&lt;ProposalToGnatt[[#This Row],[Start Date]]+ProposalToGnatt[[#This Row],[Days]]),$G$5,"")),"")</f>
        <v/>
      </c>
      <c r="AI77" s="37" t="str">
        <f ca="1">IFERROR(+IF(AI$29=ProposalToGnatt[[#This Row],[Start Date]],Milestone_Marker,IF(AND(AI$29&gt;ProposalToGnatt[[#This Row],[Start Date]],AI$29&lt;ProposalToGnatt[[#This Row],[Start Date]]+ProposalToGnatt[[#This Row],[Days]]),$G$5,"")),"")</f>
        <v/>
      </c>
      <c r="AJ77" s="37" t="str">
        <f ca="1">IFERROR(+IF(AJ$29=ProposalToGnatt[[#This Row],[Start Date]],Milestone_Marker,IF(AND(AJ$29&gt;ProposalToGnatt[[#This Row],[Start Date]],AJ$29&lt;ProposalToGnatt[[#This Row],[Start Date]]+ProposalToGnatt[[#This Row],[Days]]),$G$5,"")),"")</f>
        <v/>
      </c>
      <c r="AK77" s="37" t="str">
        <f ca="1">IFERROR(+IF(AK$29=ProposalToGnatt[[#This Row],[Start Date]],Milestone_Marker,IF(AND(AK$29&gt;ProposalToGnatt[[#This Row],[Start Date]],AK$29&lt;ProposalToGnatt[[#This Row],[Start Date]]+ProposalToGnatt[[#This Row],[Days]]),$G$5,"")),"")</f>
        <v/>
      </c>
      <c r="AL77" s="37" t="str">
        <f ca="1">IFERROR(+IF(AL$29=ProposalToGnatt[[#This Row],[Start Date]],Milestone_Marker,IF(AND(AL$29&gt;ProposalToGnatt[[#This Row],[Start Date]],AL$29&lt;ProposalToGnatt[[#This Row],[Start Date]]+ProposalToGnatt[[#This Row],[Days]]),$G$5,"")),"")</f>
        <v/>
      </c>
      <c r="AM77" s="37" t="str">
        <f ca="1">IFERROR(+IF(AM$29=ProposalToGnatt[[#This Row],[Start Date]],Milestone_Marker,IF(AND(AM$29&gt;ProposalToGnatt[[#This Row],[Start Date]],AM$29&lt;ProposalToGnatt[[#This Row],[Start Date]]+ProposalToGnatt[[#This Row],[Days]]),$G$5,"")),"")</f>
        <v/>
      </c>
      <c r="AN77" s="37" t="str">
        <f ca="1">IFERROR(+IF(AN$29=ProposalToGnatt[[#This Row],[Start Date]],Milestone_Marker,IF(AND(AN$29&gt;ProposalToGnatt[[#This Row],[Start Date]],AN$29&lt;ProposalToGnatt[[#This Row],[Start Date]]+ProposalToGnatt[[#This Row],[Days]]),$G$5,"")),"")</f>
        <v/>
      </c>
      <c r="AO77" s="37" t="str">
        <f ca="1">IFERROR(+IF(AO$29=ProposalToGnatt[[#This Row],[Start Date]],Milestone_Marker,IF(AND(AO$29&gt;ProposalToGnatt[[#This Row],[Start Date]],AO$29&lt;ProposalToGnatt[[#This Row],[Start Date]]+ProposalToGnatt[[#This Row],[Days]]),$G$5,"")),"")</f>
        <v/>
      </c>
      <c r="AP77" s="37" t="str">
        <f ca="1">IFERROR(+IF(AP$29=ProposalToGnatt[[#This Row],[Start Date]],Milestone_Marker,IF(AND(AP$29&gt;ProposalToGnatt[[#This Row],[Start Date]],AP$29&lt;ProposalToGnatt[[#This Row],[Start Date]]+ProposalToGnatt[[#This Row],[Days]]),$G$5,"")),"")</f>
        <v/>
      </c>
      <c r="AQ77" s="37" t="str">
        <f ca="1">IFERROR(+IF(AQ$29=ProposalToGnatt[[#This Row],[Start Date]],Milestone_Marker,IF(AND(AQ$29&gt;ProposalToGnatt[[#This Row],[Start Date]],AQ$29&lt;ProposalToGnatt[[#This Row],[Start Date]]+ProposalToGnatt[[#This Row],[Days]]),$G$5,"")),"")</f>
        <v/>
      </c>
      <c r="AR77" s="37" t="str">
        <f ca="1">IFERROR(+IF(AR$29=ProposalToGnatt[[#This Row],[Start Date]],Milestone_Marker,IF(AND(AR$29&gt;ProposalToGnatt[[#This Row],[Start Date]],AR$29&lt;ProposalToGnatt[[#This Row],[Start Date]]+ProposalToGnatt[[#This Row],[Days]]),$G$5,"")),"")</f>
        <v/>
      </c>
      <c r="AS77" s="37" t="str">
        <f ca="1">IFERROR(+IF(AS$29=ProposalToGnatt[[#This Row],[Start Date]],Milestone_Marker,IF(AND(AS$29&gt;ProposalToGnatt[[#This Row],[Start Date]],AS$29&lt;ProposalToGnatt[[#This Row],[Start Date]]+ProposalToGnatt[[#This Row],[Days]]),$G$5,"")),"")</f>
        <v/>
      </c>
      <c r="AT77" s="37" t="str">
        <f ca="1">IFERROR(+IF(AT$29=ProposalToGnatt[[#This Row],[Start Date]],Milestone_Marker,IF(AND(AT$29&gt;ProposalToGnatt[[#This Row],[Start Date]],AT$29&lt;ProposalToGnatt[[#This Row],[Start Date]]+ProposalToGnatt[[#This Row],[Days]]),$G$5,"")),"")</f>
        <v/>
      </c>
      <c r="AU77" s="37" t="str">
        <f ca="1">IFERROR(+IF(AU$29=ProposalToGnatt[[#This Row],[Start Date]],Milestone_Marker,IF(AND(AU$29&gt;ProposalToGnatt[[#This Row],[Start Date]],AU$29&lt;ProposalToGnatt[[#This Row],[Start Date]]+ProposalToGnatt[[#This Row],[Days]]),$G$5,"")),"")</f>
        <v/>
      </c>
      <c r="AV77" s="37" t="str">
        <f ca="1">IFERROR(+IF(AV$29=ProposalToGnatt[[#This Row],[Start Date]],Milestone_Marker,IF(AND(AV$29&gt;ProposalToGnatt[[#This Row],[Start Date]],AV$29&lt;ProposalToGnatt[[#This Row],[Start Date]]+ProposalToGnatt[[#This Row],[Days]]),$G$5,"")),"")</f>
        <v/>
      </c>
      <c r="AW77" s="37" t="str">
        <f ca="1">IFERROR(+IF(AW$29=ProposalToGnatt[[#This Row],[Start Date]],Milestone_Marker,IF(AND(AW$29&gt;ProposalToGnatt[[#This Row],[Start Date]],AW$29&lt;ProposalToGnatt[[#This Row],[Start Date]]+ProposalToGnatt[[#This Row],[Days]]),$G$5,"")),"")</f>
        <v/>
      </c>
      <c r="AX77" s="37" t="str">
        <f ca="1">IFERROR(+IF(AX$29=ProposalToGnatt[[#This Row],[Start Date]],Milestone_Marker,IF(AND(AX$29&gt;ProposalToGnatt[[#This Row],[Start Date]],AX$29&lt;ProposalToGnatt[[#This Row],[Start Date]]+ProposalToGnatt[[#This Row],[Days]]),$G$5,"")),"")</f>
        <v/>
      </c>
      <c r="AY77" s="37" t="str">
        <f ca="1">IFERROR(+IF(AY$29=ProposalToGnatt[[#This Row],[Start Date]],Milestone_Marker,IF(AND(AY$29&gt;ProposalToGnatt[[#This Row],[Start Date]],AY$29&lt;ProposalToGnatt[[#This Row],[Start Date]]+ProposalToGnatt[[#This Row],[Days]]),$G$5,"")),"")</f>
        <v/>
      </c>
      <c r="AZ77" s="37" t="str">
        <f ca="1">IFERROR(+IF(AZ$29=ProposalToGnatt[[#This Row],[Start Date]],Milestone_Marker,IF(AND(AZ$29&gt;ProposalToGnatt[[#This Row],[Start Date]],AZ$29&lt;ProposalToGnatt[[#This Row],[Start Date]]+ProposalToGnatt[[#This Row],[Days]]),$G$5,"")),"")</f>
        <v/>
      </c>
      <c r="BA77" s="37" t="str">
        <f ca="1">IFERROR(+IF(BA$29=ProposalToGnatt[[#This Row],[Start Date]],Milestone_Marker,IF(AND(BA$29&gt;ProposalToGnatt[[#This Row],[Start Date]],BA$29&lt;ProposalToGnatt[[#This Row],[Start Date]]+ProposalToGnatt[[#This Row],[Days]]),$G$5,"")),"")</f>
        <v/>
      </c>
      <c r="BB77" s="37" t="str">
        <f ca="1">IFERROR(+IF(BB$29=ProposalToGnatt[[#This Row],[Start Date]],Milestone_Marker,IF(AND(BB$29&gt;ProposalToGnatt[[#This Row],[Start Date]],BB$29&lt;ProposalToGnatt[[#This Row],[Start Date]]+ProposalToGnatt[[#This Row],[Days]]),$G$5,"")),"")</f>
        <v/>
      </c>
      <c r="BC77" s="37" t="str">
        <f ca="1">IFERROR(+IF(BC$29=ProposalToGnatt[[#This Row],[Start Date]],Milestone_Marker,IF(AND(BC$29&gt;ProposalToGnatt[[#This Row],[Start Date]],BC$29&lt;ProposalToGnatt[[#This Row],[Start Date]]+ProposalToGnatt[[#This Row],[Days]]),$G$5,"")),"")</f>
        <v/>
      </c>
      <c r="BD77" s="37" t="str">
        <f ca="1">IFERROR(+IF(BD$29=ProposalToGnatt[[#This Row],[Start Date]],Milestone_Marker,IF(AND(BD$29&gt;ProposalToGnatt[[#This Row],[Start Date]],BD$29&lt;ProposalToGnatt[[#This Row],[Start Date]]+ProposalToGnatt[[#This Row],[Days]]),$G$5,"")),"")</f>
        <v/>
      </c>
      <c r="BE77" s="37" t="str">
        <f ca="1">IFERROR(+IF(BE$29=ProposalToGnatt[[#This Row],[Start Date]],Milestone_Marker,IF(AND(BE$29&gt;ProposalToGnatt[[#This Row],[Start Date]],BE$29&lt;ProposalToGnatt[[#This Row],[Start Date]]+ProposalToGnatt[[#This Row],[Days]]),$G$5,"")),"")</f>
        <v/>
      </c>
      <c r="BF77" s="37" t="str">
        <f ca="1">IFERROR(+IF(BF$29=ProposalToGnatt[[#This Row],[Start Date]],Milestone_Marker,IF(AND(BF$29&gt;ProposalToGnatt[[#This Row],[Start Date]],BF$29&lt;ProposalToGnatt[[#This Row],[Start Date]]+ProposalToGnatt[[#This Row],[Days]]),$G$5,"")),"")</f>
        <v/>
      </c>
      <c r="BG77" s="37" t="str">
        <f ca="1">IFERROR(+IF(BG$29=ProposalToGnatt[[#This Row],[Start Date]],Milestone_Marker,IF(AND(BG$29&gt;ProposalToGnatt[[#This Row],[Start Date]],BG$29&lt;ProposalToGnatt[[#This Row],[Start Date]]+ProposalToGnatt[[#This Row],[Days]]),$G$5,"")),"")</f>
        <v/>
      </c>
      <c r="BH77" s="37" t="str">
        <f ca="1">IFERROR(+IF(BH$29=ProposalToGnatt[[#This Row],[Start Date]],Milestone_Marker,IF(AND(BH$29&gt;ProposalToGnatt[[#This Row],[Start Date]],BH$29&lt;ProposalToGnatt[[#This Row],[Start Date]]+ProposalToGnatt[[#This Row],[Days]]),$G$5,"")),"")</f>
        <v/>
      </c>
      <c r="BI77" s="37" t="str">
        <f ca="1">IFERROR(+IF(BI$29=ProposalToGnatt[[#This Row],[Start Date]],Milestone_Marker,IF(AND(BI$29&gt;ProposalToGnatt[[#This Row],[Start Date]],BI$29&lt;ProposalToGnatt[[#This Row],[Start Date]]+ProposalToGnatt[[#This Row],[Days]]),$G$5,"")),"")</f>
        <v/>
      </c>
      <c r="BJ77" s="37" t="str">
        <f ca="1">IFERROR(+IF(BJ$29=ProposalToGnatt[[#This Row],[Start Date]],Milestone_Marker,IF(AND(BJ$29&gt;ProposalToGnatt[[#This Row],[Start Date]],BJ$29&lt;ProposalToGnatt[[#This Row],[Start Date]]+ProposalToGnatt[[#This Row],[Days]]),$G$5,"")),"")</f>
        <v/>
      </c>
      <c r="BK77" s="37" t="str">
        <f ca="1">IFERROR(+IF(BK$29=ProposalToGnatt[[#This Row],[Start Date]],Milestone_Marker,IF(AND(BK$29&gt;ProposalToGnatt[[#This Row],[Start Date]],BK$29&lt;ProposalToGnatt[[#This Row],[Start Date]]+ProposalToGnatt[[#This Row],[Days]]),$G$5,"")),"")</f>
        <v/>
      </c>
      <c r="BL77" s="37" t="str">
        <f ca="1">IFERROR(+IF(BL$29=ProposalToGnatt[[#This Row],[Start Date]],Milestone_Marker,IF(AND(BL$29&gt;ProposalToGnatt[[#This Row],[Start Date]],BL$29&lt;ProposalToGnatt[[#This Row],[Start Date]]+ProposalToGnatt[[#This Row],[Days]]),$G$5,"")),"")</f>
        <v/>
      </c>
      <c r="BM77" s="37" t="str">
        <f ca="1">IFERROR(+IF(BM$29=ProposalToGnatt[[#This Row],[Start Date]],Milestone_Marker,IF(AND(BM$29&gt;ProposalToGnatt[[#This Row],[Start Date]],BM$29&lt;ProposalToGnatt[[#This Row],[Start Date]]+ProposalToGnatt[[#This Row],[Days]]),$G$5,"")),"")</f>
        <v/>
      </c>
      <c r="BN77" s="37" t="str">
        <f ca="1">IFERROR(+IF(BN$29=ProposalToGnatt[[#This Row],[Start Date]],Milestone_Marker,IF(AND(BN$29&gt;ProposalToGnatt[[#This Row],[Start Date]],BN$29&lt;ProposalToGnatt[[#This Row],[Start Date]]+ProposalToGnatt[[#This Row],[Days]]),$G$5,"")),"")</f>
        <v/>
      </c>
      <c r="BO77" s="37" t="str">
        <f ca="1">IFERROR(+IF(BO$29=ProposalToGnatt[[#This Row],[Start Date]],Milestone_Marker,IF(AND(BO$29&gt;ProposalToGnatt[[#This Row],[Start Date]],BO$29&lt;ProposalToGnatt[[#This Row],[Start Date]]+ProposalToGnatt[[#This Row],[Days]]),$G$5,"")),"")</f>
        <v/>
      </c>
      <c r="BP77" s="37" t="str">
        <f ca="1">IFERROR(+IF(BP$29=ProposalToGnatt[[#This Row],[Start Date]],Milestone_Marker,IF(AND(BP$29&gt;ProposalToGnatt[[#This Row],[Start Date]],BP$29&lt;ProposalToGnatt[[#This Row],[Start Date]]+ProposalToGnatt[[#This Row],[Days]]),$G$5,"")),"")</f>
        <v/>
      </c>
      <c r="BQ77" s="37" t="str">
        <f ca="1">IFERROR(+IF(BQ$29=ProposalToGnatt[[#This Row],[Start Date]],Milestone_Marker,IF(AND(BQ$29&gt;ProposalToGnatt[[#This Row],[Start Date]],BQ$29&lt;ProposalToGnatt[[#This Row],[Start Date]]+ProposalToGnatt[[#This Row],[Days]]),$G$5,"")),"")</f>
        <v/>
      </c>
      <c r="BR77" s="37" t="str">
        <f ca="1">IFERROR(+IF(BR$29=ProposalToGnatt[[#This Row],[Start Date]],Milestone_Marker,IF(AND(BR$29&gt;ProposalToGnatt[[#This Row],[Start Date]],BR$29&lt;ProposalToGnatt[[#This Row],[Start Date]]+ProposalToGnatt[[#This Row],[Days]]),$G$5,"")),"")</f>
        <v/>
      </c>
      <c r="BS77" s="37" t="str">
        <f ca="1">IFERROR(+IF(BS$29=ProposalToGnatt[[#This Row],[Start Date]],Milestone_Marker,IF(AND(BS$29&gt;ProposalToGnatt[[#This Row],[Start Date]],BS$29&lt;ProposalToGnatt[[#This Row],[Start Date]]+ProposalToGnatt[[#This Row],[Days]]),$G$5,"")),"")</f>
        <v/>
      </c>
      <c r="BT77" s="37" t="str">
        <f ca="1">IFERROR(+IF(BT$29=ProposalToGnatt[[#This Row],[Start Date]],Milestone_Marker,IF(AND(BT$29&gt;ProposalToGnatt[[#This Row],[Start Date]],BT$29&lt;ProposalToGnatt[[#This Row],[Start Date]]+ProposalToGnatt[[#This Row],[Days]]),$G$5,"")),"")</f>
        <v/>
      </c>
      <c r="BU77" s="37" t="str">
        <f ca="1">IFERROR(+IF(BU$29=ProposalToGnatt[[#This Row],[Start Date]],Milestone_Marker,IF(AND(BU$29&gt;ProposalToGnatt[[#This Row],[Start Date]],BU$29&lt;ProposalToGnatt[[#This Row],[Start Date]]+ProposalToGnatt[[#This Row],[Days]]),$G$5,"")),"")</f>
        <v/>
      </c>
      <c r="BV77" s="37" t="str">
        <f ca="1">IFERROR(+IF(BV$29=ProposalToGnatt[[#This Row],[Start Date]],Milestone_Marker,IF(AND(BV$29&gt;ProposalToGnatt[[#This Row],[Start Date]],BV$29&lt;ProposalToGnatt[[#This Row],[Start Date]]+ProposalToGnatt[[#This Row],[Days]]),$G$5,"")),"")</f>
        <v/>
      </c>
      <c r="BW77" s="37" t="str">
        <f ca="1">IFERROR(+IF(BW$29=ProposalToGnatt[[#This Row],[Start Date]],Milestone_Marker,IF(AND(BW$29&gt;ProposalToGnatt[[#This Row],[Start Date]],BW$29&lt;ProposalToGnatt[[#This Row],[Start Date]]+ProposalToGnatt[[#This Row],[Days]]),$G$5,"")),"")</f>
        <v/>
      </c>
      <c r="BX77" s="37" t="str">
        <f ca="1">IFERROR(+IF(BX$29=ProposalToGnatt[[#This Row],[Start Date]],Milestone_Marker,IF(AND(BX$29&gt;ProposalToGnatt[[#This Row],[Start Date]],BX$29&lt;ProposalToGnatt[[#This Row],[Start Date]]+ProposalToGnatt[[#This Row],[Days]]),$G$5,"")),"")</f>
        <v/>
      </c>
      <c r="BY77" s="37" t="str">
        <f ca="1">IFERROR(+IF(BY$29=ProposalToGnatt[[#This Row],[Start Date]],Milestone_Marker,IF(AND(BY$29&gt;ProposalToGnatt[[#This Row],[Start Date]],BY$29&lt;ProposalToGnatt[[#This Row],[Start Date]]+ProposalToGnatt[[#This Row],[Days]]),$G$5,"")),"")</f>
        <v/>
      </c>
      <c r="BZ77" s="37" t="str">
        <f ca="1">IFERROR(+IF(BZ$29=ProposalToGnatt[[#This Row],[Start Date]],Milestone_Marker,IF(AND(BZ$29&gt;ProposalToGnatt[[#This Row],[Start Date]],BZ$29&lt;ProposalToGnatt[[#This Row],[Start Date]]+ProposalToGnatt[[#This Row],[Days]]),$G$5,"")),"")</f>
        <v/>
      </c>
      <c r="CA77" s="37" t="str">
        <f ca="1">IFERROR(+IF(CA$29=ProposalToGnatt[[#This Row],[Start Date]],Milestone_Marker,IF(AND(CA$29&gt;ProposalToGnatt[[#This Row],[Start Date]],CA$29&lt;ProposalToGnatt[[#This Row],[Start Date]]+ProposalToGnatt[[#This Row],[Days]]),$G$5,"")),"")</f>
        <v/>
      </c>
      <c r="CB77" s="37" t="str">
        <f ca="1">IFERROR(+IF(CB$29=ProposalToGnatt[[#This Row],[Start Date]],Milestone_Marker,IF(AND(CB$29&gt;ProposalToGnatt[[#This Row],[Start Date]],CB$29&lt;ProposalToGnatt[[#This Row],[Start Date]]+ProposalToGnatt[[#This Row],[Days]]),$G$5,"")),"")</f>
        <v/>
      </c>
      <c r="CC77" s="37" t="str">
        <f ca="1">IFERROR(+IF(CC$29=ProposalToGnatt[[#This Row],[Start Date]],Milestone_Marker,IF(AND(CC$29&gt;ProposalToGnatt[[#This Row],[Start Date]],CC$29&lt;ProposalToGnatt[[#This Row],[Start Date]]+ProposalToGnatt[[#This Row],[Days]]),$G$5,"")),"")</f>
        <v/>
      </c>
      <c r="CD77" s="37" t="str">
        <f ca="1">IFERROR(+IF(CD$29=ProposalToGnatt[[#This Row],[Start Date]],Milestone_Marker,IF(AND(CD$29&gt;ProposalToGnatt[[#This Row],[Start Date]],CD$29&lt;ProposalToGnatt[[#This Row],[Start Date]]+ProposalToGnatt[[#This Row],[Days]]),$G$5,"")),"")</f>
        <v/>
      </c>
      <c r="CE77" s="37" t="str">
        <f ca="1">IFERROR(+IF(CE$29=ProposalToGnatt[[#This Row],[Start Date]],Milestone_Marker,IF(AND(CE$29&gt;ProposalToGnatt[[#This Row],[Start Date]],CE$29&lt;ProposalToGnatt[[#This Row],[Start Date]]+ProposalToGnatt[[#This Row],[Days]]),$G$5,"")),"")</f>
        <v/>
      </c>
      <c r="CF77" s="37" t="str">
        <f ca="1">IFERROR(+IF(CF$29=ProposalToGnatt[[#This Row],[Start Date]],Milestone_Marker,IF(AND(CF$29&gt;ProposalToGnatt[[#This Row],[Start Date]],CF$29&lt;ProposalToGnatt[[#This Row],[Start Date]]+ProposalToGnatt[[#This Row],[Days]]),$G$5,"")),"")</f>
        <v/>
      </c>
      <c r="CG77" s="37" t="str">
        <f ca="1">IFERROR(+IF(CG$29=ProposalToGnatt[[#This Row],[Start Date]],Milestone_Marker,IF(AND(CG$29&gt;ProposalToGnatt[[#This Row],[Start Date]],CG$29&lt;ProposalToGnatt[[#This Row],[Start Date]]+ProposalToGnatt[[#This Row],[Days]]),$G$5,"")),"")</f>
        <v/>
      </c>
      <c r="CH77" s="37" t="str">
        <f ca="1">IFERROR(+IF(CH$29=ProposalToGnatt[[#This Row],[Start Date]],Milestone_Marker,IF(AND(CH$29&gt;ProposalToGnatt[[#This Row],[Start Date]],CH$29&lt;ProposalToGnatt[[#This Row],[Start Date]]+ProposalToGnatt[[#This Row],[Days]]),$G$5,"")),"")</f>
        <v/>
      </c>
      <c r="CI77" s="37" t="str">
        <f ca="1">IFERROR(+IF(CI$29=ProposalToGnatt[[#This Row],[Start Date]],Milestone_Marker,IF(AND(CI$29&gt;ProposalToGnatt[[#This Row],[Start Date]],CI$29&lt;ProposalToGnatt[[#This Row],[Start Date]]+ProposalToGnatt[[#This Row],[Days]]),$G$5,"")),"")</f>
        <v/>
      </c>
      <c r="CJ77" s="37" t="str">
        <f ca="1">IFERROR(+IF(CJ$29=ProposalToGnatt[[#This Row],[Start Date]],Milestone_Marker,IF(AND(CJ$29&gt;ProposalToGnatt[[#This Row],[Start Date]],CJ$29&lt;ProposalToGnatt[[#This Row],[Start Date]]+ProposalToGnatt[[#This Row],[Days]]),$G$5,"")),"")</f>
        <v/>
      </c>
      <c r="CK77" s="37" t="str">
        <f ca="1">IFERROR(+IF(CK$29=ProposalToGnatt[[#This Row],[Start Date]],Milestone_Marker,IF(AND(CK$29&gt;ProposalToGnatt[[#This Row],[Start Date]],CK$29&lt;ProposalToGnatt[[#This Row],[Start Date]]+ProposalToGnatt[[#This Row],[Days]]),$G$5,"")),"")</f>
        <v/>
      </c>
      <c r="CL77" s="37" t="str">
        <f ca="1">IFERROR(+IF(CL$29=ProposalToGnatt[[#This Row],[Start Date]],Milestone_Marker,IF(AND(CL$29&gt;ProposalToGnatt[[#This Row],[Start Date]],CL$29&lt;ProposalToGnatt[[#This Row],[Start Date]]+ProposalToGnatt[[#This Row],[Days]]),$G$5,"")),"")</f>
        <v/>
      </c>
      <c r="CM77" s="37" t="str">
        <f ca="1">IFERROR(+IF(CM$29=ProposalToGnatt[[#This Row],[Start Date]],Milestone_Marker,IF(AND(CM$29&gt;ProposalToGnatt[[#This Row],[Start Date]],CM$29&lt;ProposalToGnatt[[#This Row],[Start Date]]+ProposalToGnatt[[#This Row],[Days]]),$G$5,"")),"")</f>
        <v/>
      </c>
      <c r="CN77" s="37" t="str">
        <f ca="1">IFERROR(+IF(CN$29=ProposalToGnatt[[#This Row],[Start Date]],Milestone_Marker,IF(AND(CN$29&gt;ProposalToGnatt[[#This Row],[Start Date]],CN$29&lt;ProposalToGnatt[[#This Row],[Start Date]]+ProposalToGnatt[[#This Row],[Days]]),$G$5,"")),"")</f>
        <v/>
      </c>
      <c r="CO77" s="37" t="str">
        <f ca="1">IFERROR(+IF(CO$29=ProposalToGnatt[[#This Row],[Start Date]],Milestone_Marker,IF(AND(CO$29&gt;ProposalToGnatt[[#This Row],[Start Date]],CO$29&lt;ProposalToGnatt[[#This Row],[Start Date]]+ProposalToGnatt[[#This Row],[Days]]),$G$5,"")),"")</f>
        <v/>
      </c>
      <c r="CP77" s="37" t="str">
        <f ca="1">IFERROR(+IF(CP$29=ProposalToGnatt[[#This Row],[Start Date]],Milestone_Marker,IF(AND(CP$29&gt;ProposalToGnatt[[#This Row],[Start Date]],CP$29&lt;ProposalToGnatt[[#This Row],[Start Date]]+ProposalToGnatt[[#This Row],[Days]]),$G$5,"")),"")</f>
        <v/>
      </c>
      <c r="CQ77" s="37" t="str">
        <f ca="1">IFERROR(+IF(CQ$29=ProposalToGnatt[[#This Row],[Start Date]],Milestone_Marker,IF(AND(CQ$29&gt;ProposalToGnatt[[#This Row],[Start Date]],CQ$29&lt;ProposalToGnatt[[#This Row],[Start Date]]+ProposalToGnatt[[#This Row],[Days]]),$G$5,"")),"")</f>
        <v/>
      </c>
      <c r="CR77" s="37" t="str">
        <f ca="1">IFERROR(+IF(CR$29=ProposalToGnatt[[#This Row],[Start Date]],Milestone_Marker,IF(AND(CR$29&gt;ProposalToGnatt[[#This Row],[Start Date]],CR$29&lt;ProposalToGnatt[[#This Row],[Start Date]]+ProposalToGnatt[[#This Row],[Days]]),$G$5,"")),"")</f>
        <v/>
      </c>
      <c r="CS77" s="37" t="str">
        <f ca="1">IFERROR(+IF(CS$29=ProposalToGnatt[[#This Row],[Start Date]],Milestone_Marker,IF(AND(CS$29&gt;ProposalToGnatt[[#This Row],[Start Date]],CS$29&lt;ProposalToGnatt[[#This Row],[Start Date]]+ProposalToGnatt[[#This Row],[Days]]),$G$5,"")),"")</f>
        <v/>
      </c>
      <c r="CT77" s="37" t="str">
        <f ca="1">IFERROR(+IF(CT$29=ProposalToGnatt[[#This Row],[Start Date]],Milestone_Marker,IF(AND(CT$29&gt;ProposalToGnatt[[#This Row],[Start Date]],CT$29&lt;ProposalToGnatt[[#This Row],[Start Date]]+ProposalToGnatt[[#This Row],[Days]]),$G$5,"")),"")</f>
        <v/>
      </c>
      <c r="CU77" s="37" t="str">
        <f ca="1">IFERROR(+IF(CU$29=ProposalToGnatt[[#This Row],[Start Date]],Milestone_Marker,IF(AND(CU$29&gt;ProposalToGnatt[[#This Row],[Start Date]],CU$29&lt;ProposalToGnatt[[#This Row],[Start Date]]+ProposalToGnatt[[#This Row],[Days]]),$G$5,"")),"")</f>
        <v/>
      </c>
      <c r="CV77" s="37"/>
      <c r="CW77" s="37"/>
      <c r="CX77" s="37"/>
      <c r="CY77" s="37"/>
      <c r="CZ77" s="37"/>
      <c r="DA77" s="37"/>
      <c r="DB77" s="37"/>
      <c r="DC77" s="37"/>
      <c r="DD77" s="37"/>
      <c r="DE77" s="37"/>
      <c r="DF77" s="37"/>
      <c r="DG77" s="37"/>
      <c r="DH77" s="37"/>
      <c r="DI77" s="37"/>
      <c r="DJ77" s="37"/>
      <c r="DK77" s="37"/>
      <c r="DL77" s="37"/>
      <c r="DM77" s="37"/>
      <c r="DN77" s="37"/>
      <c r="DO77" s="37"/>
      <c r="DP77" s="37"/>
      <c r="DQ77" s="37"/>
      <c r="DR77" s="37"/>
      <c r="DS77" s="37"/>
      <c r="DT77" s="37"/>
      <c r="DU77" s="37"/>
    </row>
    <row r="78" spans="1:125" ht="15">
      <c r="A78"/>
      <c r="B78"/>
      <c r="C78"/>
      <c r="D78"/>
      <c r="E78"/>
      <c r="F78"/>
      <c r="G78" s="11"/>
      <c r="H78" s="26"/>
      <c r="I78"/>
      <c r="J78"/>
      <c r="K78" s="402"/>
      <c r="L78"/>
      <c r="M78"/>
      <c r="N78"/>
      <c r="O78" s="26"/>
      <c r="P78" s="37" t="str">
        <f ca="1">IFERROR(+IF(P$29=ProposalToGnatt[[#This Row],[Start Date]],Milestone_Marker,IF(AND(P$29&gt;ProposalToGnatt[[#This Row],[Start Date]],P$29&lt;ProposalToGnatt[[#This Row],[Start Date]]+ProposalToGnatt[[#This Row],[Days]]),$G$5,"")),"")</f>
        <v/>
      </c>
      <c r="Q78" s="37" t="str">
        <f ca="1">IFERROR(+IF(Q$29=ProposalToGnatt[[#This Row],[Start Date]],Milestone_Marker,IF(AND(Q$29&gt;ProposalToGnatt[[#This Row],[Start Date]],Q$29&lt;ProposalToGnatt[[#This Row],[Start Date]]+ProposalToGnatt[[#This Row],[Days]]),$G$5,"")),"")</f>
        <v/>
      </c>
      <c r="R78" s="37" t="str">
        <f ca="1">IFERROR(+IF(R$29=ProposalToGnatt[[#This Row],[Start Date]],Milestone_Marker,IF(AND(R$29&gt;ProposalToGnatt[[#This Row],[Start Date]],R$29&lt;ProposalToGnatt[[#This Row],[Start Date]]+ProposalToGnatt[[#This Row],[Days]]),$G$5,"")),"")</f>
        <v/>
      </c>
      <c r="S78" s="37" t="str">
        <f ca="1">IFERROR(+IF(S$29=ProposalToGnatt[[#This Row],[Start Date]],Milestone_Marker,IF(AND(S$29&gt;ProposalToGnatt[[#This Row],[Start Date]],S$29&lt;ProposalToGnatt[[#This Row],[Start Date]]+ProposalToGnatt[[#This Row],[Days]]),$G$5,"")),"")</f>
        <v/>
      </c>
      <c r="T78" s="37" t="str">
        <f ca="1">IFERROR(+IF(T$29=ProposalToGnatt[[#This Row],[Start Date]],Milestone_Marker,IF(AND(T$29&gt;ProposalToGnatt[[#This Row],[Start Date]],T$29&lt;ProposalToGnatt[[#This Row],[Start Date]]+ProposalToGnatt[[#This Row],[Days]]),$G$5,"")),"")</f>
        <v/>
      </c>
      <c r="U78" s="37" t="str">
        <f ca="1">IFERROR(+IF(U$29=ProposalToGnatt[[#This Row],[Start Date]],Milestone_Marker,IF(AND(U$29&gt;ProposalToGnatt[[#This Row],[Start Date]],U$29&lt;ProposalToGnatt[[#This Row],[Start Date]]+ProposalToGnatt[[#This Row],[Days]]),$G$5,"")),"")</f>
        <v/>
      </c>
      <c r="V78" s="37" t="str">
        <f ca="1">IFERROR(+IF(V$29=ProposalToGnatt[[#This Row],[Start Date]],Milestone_Marker,IF(AND(V$29&gt;ProposalToGnatt[[#This Row],[Start Date]],V$29&lt;ProposalToGnatt[[#This Row],[Start Date]]+ProposalToGnatt[[#This Row],[Days]]),$G$5,"")),"")</f>
        <v/>
      </c>
      <c r="W78" s="37" t="str">
        <f ca="1">IFERROR(+IF(W$29=ProposalToGnatt[[#This Row],[Start Date]],Milestone_Marker,IF(AND(W$29&gt;ProposalToGnatt[[#This Row],[Start Date]],W$29&lt;ProposalToGnatt[[#This Row],[Start Date]]+ProposalToGnatt[[#This Row],[Days]]),$G$5,"")),"")</f>
        <v/>
      </c>
      <c r="X78" s="37" t="str">
        <f ca="1">IFERROR(+IF(X$29=ProposalToGnatt[[#This Row],[Start Date]],Milestone_Marker,IF(AND(X$29&gt;ProposalToGnatt[[#This Row],[Start Date]],X$29&lt;ProposalToGnatt[[#This Row],[Start Date]]+ProposalToGnatt[[#This Row],[Days]]),$G$5,"")),"")</f>
        <v/>
      </c>
      <c r="Y78" s="37" t="str">
        <f ca="1">IFERROR(+IF(Y$29=ProposalToGnatt[[#This Row],[Start Date]],Milestone_Marker,IF(AND(Y$29&gt;ProposalToGnatt[[#This Row],[Start Date]],Y$29&lt;ProposalToGnatt[[#This Row],[Start Date]]+ProposalToGnatt[[#This Row],[Days]]),$G$5,"")),"")</f>
        <v/>
      </c>
      <c r="Z78" s="37" t="str">
        <f ca="1">IFERROR(+IF(Z$29=ProposalToGnatt[[#This Row],[Start Date]],Milestone_Marker,IF(AND(Z$29&gt;ProposalToGnatt[[#This Row],[Start Date]],Z$29&lt;ProposalToGnatt[[#This Row],[Start Date]]+ProposalToGnatt[[#This Row],[Days]]),$G$5,"")),"")</f>
        <v/>
      </c>
      <c r="AA78" s="37" t="str">
        <f ca="1">IFERROR(+IF(AA$29=ProposalToGnatt[[#This Row],[Start Date]],Milestone_Marker,IF(AND(AA$29&gt;ProposalToGnatt[[#This Row],[Start Date]],AA$29&lt;ProposalToGnatt[[#This Row],[Start Date]]+ProposalToGnatt[[#This Row],[Days]]),$G$5,"")),"")</f>
        <v/>
      </c>
      <c r="AB78" s="37" t="str">
        <f ca="1">IFERROR(+IF(AB$29=ProposalToGnatt[[#This Row],[Start Date]],Milestone_Marker,IF(AND(AB$29&gt;ProposalToGnatt[[#This Row],[Start Date]],AB$29&lt;ProposalToGnatt[[#This Row],[Start Date]]+ProposalToGnatt[[#This Row],[Days]]),$G$5,"")),"")</f>
        <v/>
      </c>
      <c r="AC78" s="37" t="str">
        <f ca="1">IFERROR(+IF(AC$29=ProposalToGnatt[[#This Row],[Start Date]],Milestone_Marker,IF(AND(AC$29&gt;ProposalToGnatt[[#This Row],[Start Date]],AC$29&lt;ProposalToGnatt[[#This Row],[Start Date]]+ProposalToGnatt[[#This Row],[Days]]),$G$5,"")),"")</f>
        <v/>
      </c>
      <c r="AD78" s="37" t="str">
        <f ca="1">IFERROR(+IF(AD$29=ProposalToGnatt[[#This Row],[Start Date]],Milestone_Marker,IF(AND(AD$29&gt;ProposalToGnatt[[#This Row],[Start Date]],AD$29&lt;ProposalToGnatt[[#This Row],[Start Date]]+ProposalToGnatt[[#This Row],[Days]]),$G$5,"")),"")</f>
        <v/>
      </c>
      <c r="AE78" s="37" t="str">
        <f ca="1">IFERROR(+IF(AE$29=ProposalToGnatt[[#This Row],[Start Date]],Milestone_Marker,IF(AND(AE$29&gt;ProposalToGnatt[[#This Row],[Start Date]],AE$29&lt;ProposalToGnatt[[#This Row],[Start Date]]+ProposalToGnatt[[#This Row],[Days]]),$G$5,"")),"")</f>
        <v/>
      </c>
      <c r="AF78" s="37" t="str">
        <f ca="1">IFERROR(+IF(AF$29=ProposalToGnatt[[#This Row],[Start Date]],Milestone_Marker,IF(AND(AF$29&gt;ProposalToGnatt[[#This Row],[Start Date]],AF$29&lt;ProposalToGnatt[[#This Row],[Start Date]]+ProposalToGnatt[[#This Row],[Days]]),$G$5,"")),"")</f>
        <v/>
      </c>
      <c r="AG78" s="37" t="str">
        <f ca="1">IFERROR(+IF(AG$29=ProposalToGnatt[[#This Row],[Start Date]],Milestone_Marker,IF(AND(AG$29&gt;ProposalToGnatt[[#This Row],[Start Date]],AG$29&lt;ProposalToGnatt[[#This Row],[Start Date]]+ProposalToGnatt[[#This Row],[Days]]),$G$5,"")),"")</f>
        <v/>
      </c>
      <c r="AH78" s="37" t="str">
        <f ca="1">IFERROR(+IF(AH$29=ProposalToGnatt[[#This Row],[Start Date]],Milestone_Marker,IF(AND(AH$29&gt;ProposalToGnatt[[#This Row],[Start Date]],AH$29&lt;ProposalToGnatt[[#This Row],[Start Date]]+ProposalToGnatt[[#This Row],[Days]]),$G$5,"")),"")</f>
        <v/>
      </c>
      <c r="AI78" s="37" t="str">
        <f ca="1">IFERROR(+IF(AI$29=ProposalToGnatt[[#This Row],[Start Date]],Milestone_Marker,IF(AND(AI$29&gt;ProposalToGnatt[[#This Row],[Start Date]],AI$29&lt;ProposalToGnatt[[#This Row],[Start Date]]+ProposalToGnatt[[#This Row],[Days]]),$G$5,"")),"")</f>
        <v/>
      </c>
      <c r="AJ78" s="37" t="str">
        <f ca="1">IFERROR(+IF(AJ$29=ProposalToGnatt[[#This Row],[Start Date]],Milestone_Marker,IF(AND(AJ$29&gt;ProposalToGnatt[[#This Row],[Start Date]],AJ$29&lt;ProposalToGnatt[[#This Row],[Start Date]]+ProposalToGnatt[[#This Row],[Days]]),$G$5,"")),"")</f>
        <v/>
      </c>
      <c r="AK78" s="37" t="str">
        <f ca="1">IFERROR(+IF(AK$29=ProposalToGnatt[[#This Row],[Start Date]],Milestone_Marker,IF(AND(AK$29&gt;ProposalToGnatt[[#This Row],[Start Date]],AK$29&lt;ProposalToGnatt[[#This Row],[Start Date]]+ProposalToGnatt[[#This Row],[Days]]),$G$5,"")),"")</f>
        <v/>
      </c>
      <c r="AL78" s="37" t="str">
        <f ca="1">IFERROR(+IF(AL$29=ProposalToGnatt[[#This Row],[Start Date]],Milestone_Marker,IF(AND(AL$29&gt;ProposalToGnatt[[#This Row],[Start Date]],AL$29&lt;ProposalToGnatt[[#This Row],[Start Date]]+ProposalToGnatt[[#This Row],[Days]]),$G$5,"")),"")</f>
        <v/>
      </c>
      <c r="AM78" s="37" t="str">
        <f ca="1">IFERROR(+IF(AM$29=ProposalToGnatt[[#This Row],[Start Date]],Milestone_Marker,IF(AND(AM$29&gt;ProposalToGnatt[[#This Row],[Start Date]],AM$29&lt;ProposalToGnatt[[#This Row],[Start Date]]+ProposalToGnatt[[#This Row],[Days]]),$G$5,"")),"")</f>
        <v/>
      </c>
      <c r="AN78" s="37" t="str">
        <f ca="1">IFERROR(+IF(AN$29=ProposalToGnatt[[#This Row],[Start Date]],Milestone_Marker,IF(AND(AN$29&gt;ProposalToGnatt[[#This Row],[Start Date]],AN$29&lt;ProposalToGnatt[[#This Row],[Start Date]]+ProposalToGnatt[[#This Row],[Days]]),$G$5,"")),"")</f>
        <v/>
      </c>
      <c r="AO78" s="37" t="str">
        <f ca="1">IFERROR(+IF(AO$29=ProposalToGnatt[[#This Row],[Start Date]],Milestone_Marker,IF(AND(AO$29&gt;ProposalToGnatt[[#This Row],[Start Date]],AO$29&lt;ProposalToGnatt[[#This Row],[Start Date]]+ProposalToGnatt[[#This Row],[Days]]),$G$5,"")),"")</f>
        <v/>
      </c>
      <c r="AP78" s="37" t="str">
        <f ca="1">IFERROR(+IF(AP$29=ProposalToGnatt[[#This Row],[Start Date]],Milestone_Marker,IF(AND(AP$29&gt;ProposalToGnatt[[#This Row],[Start Date]],AP$29&lt;ProposalToGnatt[[#This Row],[Start Date]]+ProposalToGnatt[[#This Row],[Days]]),$G$5,"")),"")</f>
        <v/>
      </c>
      <c r="AQ78" s="37" t="str">
        <f ca="1">IFERROR(+IF(AQ$29=ProposalToGnatt[[#This Row],[Start Date]],Milestone_Marker,IF(AND(AQ$29&gt;ProposalToGnatt[[#This Row],[Start Date]],AQ$29&lt;ProposalToGnatt[[#This Row],[Start Date]]+ProposalToGnatt[[#This Row],[Days]]),$G$5,"")),"")</f>
        <v/>
      </c>
      <c r="AR78" s="37" t="str">
        <f ca="1">IFERROR(+IF(AR$29=ProposalToGnatt[[#This Row],[Start Date]],Milestone_Marker,IF(AND(AR$29&gt;ProposalToGnatt[[#This Row],[Start Date]],AR$29&lt;ProposalToGnatt[[#This Row],[Start Date]]+ProposalToGnatt[[#This Row],[Days]]),$G$5,"")),"")</f>
        <v/>
      </c>
      <c r="AS78" s="37" t="str">
        <f ca="1">IFERROR(+IF(AS$29=ProposalToGnatt[[#This Row],[Start Date]],Milestone_Marker,IF(AND(AS$29&gt;ProposalToGnatt[[#This Row],[Start Date]],AS$29&lt;ProposalToGnatt[[#This Row],[Start Date]]+ProposalToGnatt[[#This Row],[Days]]),$G$5,"")),"")</f>
        <v/>
      </c>
      <c r="AT78" s="37" t="str">
        <f ca="1">IFERROR(+IF(AT$29=ProposalToGnatt[[#This Row],[Start Date]],Milestone_Marker,IF(AND(AT$29&gt;ProposalToGnatt[[#This Row],[Start Date]],AT$29&lt;ProposalToGnatt[[#This Row],[Start Date]]+ProposalToGnatt[[#This Row],[Days]]),$G$5,"")),"")</f>
        <v/>
      </c>
      <c r="AU78" s="37" t="str">
        <f ca="1">IFERROR(+IF(AU$29=ProposalToGnatt[[#This Row],[Start Date]],Milestone_Marker,IF(AND(AU$29&gt;ProposalToGnatt[[#This Row],[Start Date]],AU$29&lt;ProposalToGnatt[[#This Row],[Start Date]]+ProposalToGnatt[[#This Row],[Days]]),$G$5,"")),"")</f>
        <v/>
      </c>
      <c r="AV78" s="37" t="str">
        <f ca="1">IFERROR(+IF(AV$29=ProposalToGnatt[[#This Row],[Start Date]],Milestone_Marker,IF(AND(AV$29&gt;ProposalToGnatt[[#This Row],[Start Date]],AV$29&lt;ProposalToGnatt[[#This Row],[Start Date]]+ProposalToGnatt[[#This Row],[Days]]),$G$5,"")),"")</f>
        <v/>
      </c>
      <c r="AW78" s="37" t="str">
        <f ca="1">IFERROR(+IF(AW$29=ProposalToGnatt[[#This Row],[Start Date]],Milestone_Marker,IF(AND(AW$29&gt;ProposalToGnatt[[#This Row],[Start Date]],AW$29&lt;ProposalToGnatt[[#This Row],[Start Date]]+ProposalToGnatt[[#This Row],[Days]]),$G$5,"")),"")</f>
        <v/>
      </c>
      <c r="AX78" s="37" t="str">
        <f ca="1">IFERROR(+IF(AX$29=ProposalToGnatt[[#This Row],[Start Date]],Milestone_Marker,IF(AND(AX$29&gt;ProposalToGnatt[[#This Row],[Start Date]],AX$29&lt;ProposalToGnatt[[#This Row],[Start Date]]+ProposalToGnatt[[#This Row],[Days]]),$G$5,"")),"")</f>
        <v/>
      </c>
      <c r="AY78" s="37" t="str">
        <f ca="1">IFERROR(+IF(AY$29=ProposalToGnatt[[#This Row],[Start Date]],Milestone_Marker,IF(AND(AY$29&gt;ProposalToGnatt[[#This Row],[Start Date]],AY$29&lt;ProposalToGnatt[[#This Row],[Start Date]]+ProposalToGnatt[[#This Row],[Days]]),$G$5,"")),"")</f>
        <v/>
      </c>
      <c r="AZ78" s="37" t="str">
        <f ca="1">IFERROR(+IF(AZ$29=ProposalToGnatt[[#This Row],[Start Date]],Milestone_Marker,IF(AND(AZ$29&gt;ProposalToGnatt[[#This Row],[Start Date]],AZ$29&lt;ProposalToGnatt[[#This Row],[Start Date]]+ProposalToGnatt[[#This Row],[Days]]),$G$5,"")),"")</f>
        <v/>
      </c>
      <c r="BA78" s="37" t="str">
        <f ca="1">IFERROR(+IF(BA$29=ProposalToGnatt[[#This Row],[Start Date]],Milestone_Marker,IF(AND(BA$29&gt;ProposalToGnatt[[#This Row],[Start Date]],BA$29&lt;ProposalToGnatt[[#This Row],[Start Date]]+ProposalToGnatt[[#This Row],[Days]]),$G$5,"")),"")</f>
        <v/>
      </c>
      <c r="BB78" s="37" t="str">
        <f ca="1">IFERROR(+IF(BB$29=ProposalToGnatt[[#This Row],[Start Date]],Milestone_Marker,IF(AND(BB$29&gt;ProposalToGnatt[[#This Row],[Start Date]],BB$29&lt;ProposalToGnatt[[#This Row],[Start Date]]+ProposalToGnatt[[#This Row],[Days]]),$G$5,"")),"")</f>
        <v/>
      </c>
      <c r="BC78" s="37" t="str">
        <f ca="1">IFERROR(+IF(BC$29=ProposalToGnatt[[#This Row],[Start Date]],Milestone_Marker,IF(AND(BC$29&gt;ProposalToGnatt[[#This Row],[Start Date]],BC$29&lt;ProposalToGnatt[[#This Row],[Start Date]]+ProposalToGnatt[[#This Row],[Days]]),$G$5,"")),"")</f>
        <v/>
      </c>
      <c r="BD78" s="37" t="str">
        <f ca="1">IFERROR(+IF(BD$29=ProposalToGnatt[[#This Row],[Start Date]],Milestone_Marker,IF(AND(BD$29&gt;ProposalToGnatt[[#This Row],[Start Date]],BD$29&lt;ProposalToGnatt[[#This Row],[Start Date]]+ProposalToGnatt[[#This Row],[Days]]),$G$5,"")),"")</f>
        <v/>
      </c>
      <c r="BE78" s="37" t="str">
        <f ca="1">IFERROR(+IF(BE$29=ProposalToGnatt[[#This Row],[Start Date]],Milestone_Marker,IF(AND(BE$29&gt;ProposalToGnatt[[#This Row],[Start Date]],BE$29&lt;ProposalToGnatt[[#This Row],[Start Date]]+ProposalToGnatt[[#This Row],[Days]]),$G$5,"")),"")</f>
        <v/>
      </c>
      <c r="BF78" s="37" t="str">
        <f ca="1">IFERROR(+IF(BF$29=ProposalToGnatt[[#This Row],[Start Date]],Milestone_Marker,IF(AND(BF$29&gt;ProposalToGnatt[[#This Row],[Start Date]],BF$29&lt;ProposalToGnatt[[#This Row],[Start Date]]+ProposalToGnatt[[#This Row],[Days]]),$G$5,"")),"")</f>
        <v/>
      </c>
      <c r="BG78" s="37" t="str">
        <f ca="1">IFERROR(+IF(BG$29=ProposalToGnatt[[#This Row],[Start Date]],Milestone_Marker,IF(AND(BG$29&gt;ProposalToGnatt[[#This Row],[Start Date]],BG$29&lt;ProposalToGnatt[[#This Row],[Start Date]]+ProposalToGnatt[[#This Row],[Days]]),$G$5,"")),"")</f>
        <v/>
      </c>
      <c r="BH78" s="37" t="str">
        <f ca="1">IFERROR(+IF(BH$29=ProposalToGnatt[[#This Row],[Start Date]],Milestone_Marker,IF(AND(BH$29&gt;ProposalToGnatt[[#This Row],[Start Date]],BH$29&lt;ProposalToGnatt[[#This Row],[Start Date]]+ProposalToGnatt[[#This Row],[Days]]),$G$5,"")),"")</f>
        <v/>
      </c>
      <c r="BI78" s="37" t="str">
        <f ca="1">IFERROR(+IF(BI$29=ProposalToGnatt[[#This Row],[Start Date]],Milestone_Marker,IF(AND(BI$29&gt;ProposalToGnatt[[#This Row],[Start Date]],BI$29&lt;ProposalToGnatt[[#This Row],[Start Date]]+ProposalToGnatt[[#This Row],[Days]]),$G$5,"")),"")</f>
        <v/>
      </c>
      <c r="BJ78" s="37" t="str">
        <f ca="1">IFERROR(+IF(BJ$29=ProposalToGnatt[[#This Row],[Start Date]],Milestone_Marker,IF(AND(BJ$29&gt;ProposalToGnatt[[#This Row],[Start Date]],BJ$29&lt;ProposalToGnatt[[#This Row],[Start Date]]+ProposalToGnatt[[#This Row],[Days]]),$G$5,"")),"")</f>
        <v/>
      </c>
      <c r="BK78" s="37" t="str">
        <f ca="1">IFERROR(+IF(BK$29=ProposalToGnatt[[#This Row],[Start Date]],Milestone_Marker,IF(AND(BK$29&gt;ProposalToGnatt[[#This Row],[Start Date]],BK$29&lt;ProposalToGnatt[[#This Row],[Start Date]]+ProposalToGnatt[[#This Row],[Days]]),$G$5,"")),"")</f>
        <v/>
      </c>
      <c r="BL78" s="37" t="str">
        <f ca="1">IFERROR(+IF(BL$29=ProposalToGnatt[[#This Row],[Start Date]],Milestone_Marker,IF(AND(BL$29&gt;ProposalToGnatt[[#This Row],[Start Date]],BL$29&lt;ProposalToGnatt[[#This Row],[Start Date]]+ProposalToGnatt[[#This Row],[Days]]),$G$5,"")),"")</f>
        <v/>
      </c>
      <c r="BM78" s="37" t="str">
        <f ca="1">IFERROR(+IF(BM$29=ProposalToGnatt[[#This Row],[Start Date]],Milestone_Marker,IF(AND(BM$29&gt;ProposalToGnatt[[#This Row],[Start Date]],BM$29&lt;ProposalToGnatt[[#This Row],[Start Date]]+ProposalToGnatt[[#This Row],[Days]]),$G$5,"")),"")</f>
        <v/>
      </c>
      <c r="BN78" s="37" t="str">
        <f ca="1">IFERROR(+IF(BN$29=ProposalToGnatt[[#This Row],[Start Date]],Milestone_Marker,IF(AND(BN$29&gt;ProposalToGnatt[[#This Row],[Start Date]],BN$29&lt;ProposalToGnatt[[#This Row],[Start Date]]+ProposalToGnatt[[#This Row],[Days]]),$G$5,"")),"")</f>
        <v/>
      </c>
      <c r="BO78" s="37" t="str">
        <f ca="1">IFERROR(+IF(BO$29=ProposalToGnatt[[#This Row],[Start Date]],Milestone_Marker,IF(AND(BO$29&gt;ProposalToGnatt[[#This Row],[Start Date]],BO$29&lt;ProposalToGnatt[[#This Row],[Start Date]]+ProposalToGnatt[[#This Row],[Days]]),$G$5,"")),"")</f>
        <v/>
      </c>
      <c r="BP78" s="37" t="str">
        <f ca="1">IFERROR(+IF(BP$29=ProposalToGnatt[[#This Row],[Start Date]],Milestone_Marker,IF(AND(BP$29&gt;ProposalToGnatt[[#This Row],[Start Date]],BP$29&lt;ProposalToGnatt[[#This Row],[Start Date]]+ProposalToGnatt[[#This Row],[Days]]),$G$5,"")),"")</f>
        <v/>
      </c>
      <c r="BQ78" s="37" t="str">
        <f ca="1">IFERROR(+IF(BQ$29=ProposalToGnatt[[#This Row],[Start Date]],Milestone_Marker,IF(AND(BQ$29&gt;ProposalToGnatt[[#This Row],[Start Date]],BQ$29&lt;ProposalToGnatt[[#This Row],[Start Date]]+ProposalToGnatt[[#This Row],[Days]]),$G$5,"")),"")</f>
        <v/>
      </c>
      <c r="BR78" s="37" t="str">
        <f ca="1">IFERROR(+IF(BR$29=ProposalToGnatt[[#This Row],[Start Date]],Milestone_Marker,IF(AND(BR$29&gt;ProposalToGnatt[[#This Row],[Start Date]],BR$29&lt;ProposalToGnatt[[#This Row],[Start Date]]+ProposalToGnatt[[#This Row],[Days]]),$G$5,"")),"")</f>
        <v/>
      </c>
      <c r="BS78" s="37" t="str">
        <f ca="1">IFERROR(+IF(BS$29=ProposalToGnatt[[#This Row],[Start Date]],Milestone_Marker,IF(AND(BS$29&gt;ProposalToGnatt[[#This Row],[Start Date]],BS$29&lt;ProposalToGnatt[[#This Row],[Start Date]]+ProposalToGnatt[[#This Row],[Days]]),$G$5,"")),"")</f>
        <v/>
      </c>
      <c r="BT78" s="37" t="str">
        <f ca="1">IFERROR(+IF(BT$29=ProposalToGnatt[[#This Row],[Start Date]],Milestone_Marker,IF(AND(BT$29&gt;ProposalToGnatt[[#This Row],[Start Date]],BT$29&lt;ProposalToGnatt[[#This Row],[Start Date]]+ProposalToGnatt[[#This Row],[Days]]),$G$5,"")),"")</f>
        <v/>
      </c>
      <c r="BU78" s="37" t="str">
        <f ca="1">IFERROR(+IF(BU$29=ProposalToGnatt[[#This Row],[Start Date]],Milestone_Marker,IF(AND(BU$29&gt;ProposalToGnatt[[#This Row],[Start Date]],BU$29&lt;ProposalToGnatt[[#This Row],[Start Date]]+ProposalToGnatt[[#This Row],[Days]]),$G$5,"")),"")</f>
        <v/>
      </c>
      <c r="BV78" s="37" t="str">
        <f ca="1">IFERROR(+IF(BV$29=ProposalToGnatt[[#This Row],[Start Date]],Milestone_Marker,IF(AND(BV$29&gt;ProposalToGnatt[[#This Row],[Start Date]],BV$29&lt;ProposalToGnatt[[#This Row],[Start Date]]+ProposalToGnatt[[#This Row],[Days]]),$G$5,"")),"")</f>
        <v/>
      </c>
      <c r="BW78" s="37" t="str">
        <f ca="1">IFERROR(+IF(BW$29=ProposalToGnatt[[#This Row],[Start Date]],Milestone_Marker,IF(AND(BW$29&gt;ProposalToGnatt[[#This Row],[Start Date]],BW$29&lt;ProposalToGnatt[[#This Row],[Start Date]]+ProposalToGnatt[[#This Row],[Days]]),$G$5,"")),"")</f>
        <v/>
      </c>
      <c r="BX78" s="37" t="str">
        <f ca="1">IFERROR(+IF(BX$29=ProposalToGnatt[[#This Row],[Start Date]],Milestone_Marker,IF(AND(BX$29&gt;ProposalToGnatt[[#This Row],[Start Date]],BX$29&lt;ProposalToGnatt[[#This Row],[Start Date]]+ProposalToGnatt[[#This Row],[Days]]),$G$5,"")),"")</f>
        <v/>
      </c>
      <c r="BY78" s="37" t="str">
        <f ca="1">IFERROR(+IF(BY$29=ProposalToGnatt[[#This Row],[Start Date]],Milestone_Marker,IF(AND(BY$29&gt;ProposalToGnatt[[#This Row],[Start Date]],BY$29&lt;ProposalToGnatt[[#This Row],[Start Date]]+ProposalToGnatt[[#This Row],[Days]]),$G$5,"")),"")</f>
        <v/>
      </c>
      <c r="BZ78" s="37" t="str">
        <f ca="1">IFERROR(+IF(BZ$29=ProposalToGnatt[[#This Row],[Start Date]],Milestone_Marker,IF(AND(BZ$29&gt;ProposalToGnatt[[#This Row],[Start Date]],BZ$29&lt;ProposalToGnatt[[#This Row],[Start Date]]+ProposalToGnatt[[#This Row],[Days]]),$G$5,"")),"")</f>
        <v/>
      </c>
      <c r="CA78" s="37" t="str">
        <f ca="1">IFERROR(+IF(CA$29=ProposalToGnatt[[#This Row],[Start Date]],Milestone_Marker,IF(AND(CA$29&gt;ProposalToGnatt[[#This Row],[Start Date]],CA$29&lt;ProposalToGnatt[[#This Row],[Start Date]]+ProposalToGnatt[[#This Row],[Days]]),$G$5,"")),"")</f>
        <v/>
      </c>
      <c r="CB78" s="37" t="str">
        <f ca="1">IFERROR(+IF(CB$29=ProposalToGnatt[[#This Row],[Start Date]],Milestone_Marker,IF(AND(CB$29&gt;ProposalToGnatt[[#This Row],[Start Date]],CB$29&lt;ProposalToGnatt[[#This Row],[Start Date]]+ProposalToGnatt[[#This Row],[Days]]),$G$5,"")),"")</f>
        <v/>
      </c>
      <c r="CC78" s="37" t="str">
        <f ca="1">IFERROR(+IF(CC$29=ProposalToGnatt[[#This Row],[Start Date]],Milestone_Marker,IF(AND(CC$29&gt;ProposalToGnatt[[#This Row],[Start Date]],CC$29&lt;ProposalToGnatt[[#This Row],[Start Date]]+ProposalToGnatt[[#This Row],[Days]]),$G$5,"")),"")</f>
        <v/>
      </c>
      <c r="CD78" s="37" t="str">
        <f ca="1">IFERROR(+IF(CD$29=ProposalToGnatt[[#This Row],[Start Date]],Milestone_Marker,IF(AND(CD$29&gt;ProposalToGnatt[[#This Row],[Start Date]],CD$29&lt;ProposalToGnatt[[#This Row],[Start Date]]+ProposalToGnatt[[#This Row],[Days]]),$G$5,"")),"")</f>
        <v/>
      </c>
      <c r="CE78" s="37" t="str">
        <f ca="1">IFERROR(+IF(CE$29=ProposalToGnatt[[#This Row],[Start Date]],Milestone_Marker,IF(AND(CE$29&gt;ProposalToGnatt[[#This Row],[Start Date]],CE$29&lt;ProposalToGnatt[[#This Row],[Start Date]]+ProposalToGnatt[[#This Row],[Days]]),$G$5,"")),"")</f>
        <v/>
      </c>
      <c r="CF78" s="37" t="str">
        <f ca="1">IFERROR(+IF(CF$29=ProposalToGnatt[[#This Row],[Start Date]],Milestone_Marker,IF(AND(CF$29&gt;ProposalToGnatt[[#This Row],[Start Date]],CF$29&lt;ProposalToGnatt[[#This Row],[Start Date]]+ProposalToGnatt[[#This Row],[Days]]),$G$5,"")),"")</f>
        <v/>
      </c>
      <c r="CG78" s="37" t="str">
        <f ca="1">IFERROR(+IF(CG$29=ProposalToGnatt[[#This Row],[Start Date]],Milestone_Marker,IF(AND(CG$29&gt;ProposalToGnatt[[#This Row],[Start Date]],CG$29&lt;ProposalToGnatt[[#This Row],[Start Date]]+ProposalToGnatt[[#This Row],[Days]]),$G$5,"")),"")</f>
        <v/>
      </c>
      <c r="CH78" s="37" t="str">
        <f ca="1">IFERROR(+IF(CH$29=ProposalToGnatt[[#This Row],[Start Date]],Milestone_Marker,IF(AND(CH$29&gt;ProposalToGnatt[[#This Row],[Start Date]],CH$29&lt;ProposalToGnatt[[#This Row],[Start Date]]+ProposalToGnatt[[#This Row],[Days]]),$G$5,"")),"")</f>
        <v/>
      </c>
      <c r="CI78" s="37" t="str">
        <f ca="1">IFERROR(+IF(CI$29=ProposalToGnatt[[#This Row],[Start Date]],Milestone_Marker,IF(AND(CI$29&gt;ProposalToGnatt[[#This Row],[Start Date]],CI$29&lt;ProposalToGnatt[[#This Row],[Start Date]]+ProposalToGnatt[[#This Row],[Days]]),$G$5,"")),"")</f>
        <v/>
      </c>
      <c r="CJ78" s="37" t="str">
        <f ca="1">IFERROR(+IF(CJ$29=ProposalToGnatt[[#This Row],[Start Date]],Milestone_Marker,IF(AND(CJ$29&gt;ProposalToGnatt[[#This Row],[Start Date]],CJ$29&lt;ProposalToGnatt[[#This Row],[Start Date]]+ProposalToGnatt[[#This Row],[Days]]),$G$5,"")),"")</f>
        <v/>
      </c>
      <c r="CK78" s="37" t="str">
        <f ca="1">IFERROR(+IF(CK$29=ProposalToGnatt[[#This Row],[Start Date]],Milestone_Marker,IF(AND(CK$29&gt;ProposalToGnatt[[#This Row],[Start Date]],CK$29&lt;ProposalToGnatt[[#This Row],[Start Date]]+ProposalToGnatt[[#This Row],[Days]]),$G$5,"")),"")</f>
        <v/>
      </c>
      <c r="CL78" s="37" t="str">
        <f ca="1">IFERROR(+IF(CL$29=ProposalToGnatt[[#This Row],[Start Date]],Milestone_Marker,IF(AND(CL$29&gt;ProposalToGnatt[[#This Row],[Start Date]],CL$29&lt;ProposalToGnatt[[#This Row],[Start Date]]+ProposalToGnatt[[#This Row],[Days]]),$G$5,"")),"")</f>
        <v/>
      </c>
      <c r="CM78" s="37" t="str">
        <f ca="1">IFERROR(+IF(CM$29=ProposalToGnatt[[#This Row],[Start Date]],Milestone_Marker,IF(AND(CM$29&gt;ProposalToGnatt[[#This Row],[Start Date]],CM$29&lt;ProposalToGnatt[[#This Row],[Start Date]]+ProposalToGnatt[[#This Row],[Days]]),$G$5,"")),"")</f>
        <v/>
      </c>
      <c r="CN78" s="37" t="str">
        <f ca="1">IFERROR(+IF(CN$29=ProposalToGnatt[[#This Row],[Start Date]],Milestone_Marker,IF(AND(CN$29&gt;ProposalToGnatt[[#This Row],[Start Date]],CN$29&lt;ProposalToGnatt[[#This Row],[Start Date]]+ProposalToGnatt[[#This Row],[Days]]),$G$5,"")),"")</f>
        <v/>
      </c>
      <c r="CO78" s="37" t="str">
        <f ca="1">IFERROR(+IF(CO$29=ProposalToGnatt[[#This Row],[Start Date]],Milestone_Marker,IF(AND(CO$29&gt;ProposalToGnatt[[#This Row],[Start Date]],CO$29&lt;ProposalToGnatt[[#This Row],[Start Date]]+ProposalToGnatt[[#This Row],[Days]]),$G$5,"")),"")</f>
        <v/>
      </c>
      <c r="CP78" s="37" t="str">
        <f ca="1">IFERROR(+IF(CP$29=ProposalToGnatt[[#This Row],[Start Date]],Milestone_Marker,IF(AND(CP$29&gt;ProposalToGnatt[[#This Row],[Start Date]],CP$29&lt;ProposalToGnatt[[#This Row],[Start Date]]+ProposalToGnatt[[#This Row],[Days]]),$G$5,"")),"")</f>
        <v/>
      </c>
      <c r="CQ78" s="37" t="str">
        <f ca="1">IFERROR(+IF(CQ$29=ProposalToGnatt[[#This Row],[Start Date]],Milestone_Marker,IF(AND(CQ$29&gt;ProposalToGnatt[[#This Row],[Start Date]],CQ$29&lt;ProposalToGnatt[[#This Row],[Start Date]]+ProposalToGnatt[[#This Row],[Days]]),$G$5,"")),"")</f>
        <v/>
      </c>
      <c r="CR78" s="37" t="str">
        <f ca="1">IFERROR(+IF(CR$29=ProposalToGnatt[[#This Row],[Start Date]],Milestone_Marker,IF(AND(CR$29&gt;ProposalToGnatt[[#This Row],[Start Date]],CR$29&lt;ProposalToGnatt[[#This Row],[Start Date]]+ProposalToGnatt[[#This Row],[Days]]),$G$5,"")),"")</f>
        <v/>
      </c>
      <c r="CS78" s="37" t="str">
        <f ca="1">IFERROR(+IF(CS$29=ProposalToGnatt[[#This Row],[Start Date]],Milestone_Marker,IF(AND(CS$29&gt;ProposalToGnatt[[#This Row],[Start Date]],CS$29&lt;ProposalToGnatt[[#This Row],[Start Date]]+ProposalToGnatt[[#This Row],[Days]]),$G$5,"")),"")</f>
        <v/>
      </c>
      <c r="CT78" s="37" t="str">
        <f ca="1">IFERROR(+IF(CT$29=ProposalToGnatt[[#This Row],[Start Date]],Milestone_Marker,IF(AND(CT$29&gt;ProposalToGnatt[[#This Row],[Start Date]],CT$29&lt;ProposalToGnatt[[#This Row],[Start Date]]+ProposalToGnatt[[#This Row],[Days]]),$G$5,"")),"")</f>
        <v/>
      </c>
      <c r="CU78" s="37" t="str">
        <f ca="1">IFERROR(+IF(CU$29=ProposalToGnatt[[#This Row],[Start Date]],Milestone_Marker,IF(AND(CU$29&gt;ProposalToGnatt[[#This Row],[Start Date]],CU$29&lt;ProposalToGnatt[[#This Row],[Start Date]]+ProposalToGnatt[[#This Row],[Days]]),$G$5,"")),"")</f>
        <v/>
      </c>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row>
    <row r="79" spans="1:125" ht="15">
      <c r="A79"/>
      <c r="B79"/>
      <c r="C79"/>
      <c r="D79"/>
      <c r="E79"/>
      <c r="F79"/>
      <c r="G79" s="11"/>
      <c r="H79" s="26"/>
      <c r="I79"/>
      <c r="J79"/>
      <c r="K79" s="402"/>
      <c r="L79"/>
      <c r="M79"/>
      <c r="N79"/>
      <c r="O79" s="26"/>
      <c r="P79" s="37" t="str">
        <f ca="1">IFERROR(+IF(P$29=ProposalToGnatt[[#This Row],[Start Date]],Milestone_Marker,IF(AND(P$29&gt;ProposalToGnatt[[#This Row],[Start Date]],P$29&lt;ProposalToGnatt[[#This Row],[Start Date]]+ProposalToGnatt[[#This Row],[Days]]),$G$5,"")),"")</f>
        <v/>
      </c>
      <c r="Q79" s="37" t="str">
        <f ca="1">IFERROR(+IF(Q$29=ProposalToGnatt[[#This Row],[Start Date]],Milestone_Marker,IF(AND(Q$29&gt;ProposalToGnatt[[#This Row],[Start Date]],Q$29&lt;ProposalToGnatt[[#This Row],[Start Date]]+ProposalToGnatt[[#This Row],[Days]]),$G$5,"")),"")</f>
        <v/>
      </c>
      <c r="R79" s="37" t="str">
        <f ca="1">IFERROR(+IF(R$29=ProposalToGnatt[[#This Row],[Start Date]],Milestone_Marker,IF(AND(R$29&gt;ProposalToGnatt[[#This Row],[Start Date]],R$29&lt;ProposalToGnatt[[#This Row],[Start Date]]+ProposalToGnatt[[#This Row],[Days]]),$G$5,"")),"")</f>
        <v/>
      </c>
      <c r="S79" s="37" t="str">
        <f ca="1">IFERROR(+IF(S$29=ProposalToGnatt[[#This Row],[Start Date]],Milestone_Marker,IF(AND(S$29&gt;ProposalToGnatt[[#This Row],[Start Date]],S$29&lt;ProposalToGnatt[[#This Row],[Start Date]]+ProposalToGnatt[[#This Row],[Days]]),$G$5,"")),"")</f>
        <v/>
      </c>
      <c r="T79" s="37" t="str">
        <f ca="1">IFERROR(+IF(T$29=ProposalToGnatt[[#This Row],[Start Date]],Milestone_Marker,IF(AND(T$29&gt;ProposalToGnatt[[#This Row],[Start Date]],T$29&lt;ProposalToGnatt[[#This Row],[Start Date]]+ProposalToGnatt[[#This Row],[Days]]),$G$5,"")),"")</f>
        <v/>
      </c>
      <c r="U79" s="37" t="str">
        <f ca="1">IFERROR(+IF(U$29=ProposalToGnatt[[#This Row],[Start Date]],Milestone_Marker,IF(AND(U$29&gt;ProposalToGnatt[[#This Row],[Start Date]],U$29&lt;ProposalToGnatt[[#This Row],[Start Date]]+ProposalToGnatt[[#This Row],[Days]]),$G$5,"")),"")</f>
        <v/>
      </c>
      <c r="V79" s="37" t="str">
        <f ca="1">IFERROR(+IF(V$29=ProposalToGnatt[[#This Row],[Start Date]],Milestone_Marker,IF(AND(V$29&gt;ProposalToGnatt[[#This Row],[Start Date]],V$29&lt;ProposalToGnatt[[#This Row],[Start Date]]+ProposalToGnatt[[#This Row],[Days]]),$G$5,"")),"")</f>
        <v/>
      </c>
      <c r="W79" s="37" t="str">
        <f ca="1">IFERROR(+IF(W$29=ProposalToGnatt[[#This Row],[Start Date]],Milestone_Marker,IF(AND(W$29&gt;ProposalToGnatt[[#This Row],[Start Date]],W$29&lt;ProposalToGnatt[[#This Row],[Start Date]]+ProposalToGnatt[[#This Row],[Days]]),$G$5,"")),"")</f>
        <v/>
      </c>
      <c r="X79" s="37" t="str">
        <f ca="1">IFERROR(+IF(X$29=ProposalToGnatt[[#This Row],[Start Date]],Milestone_Marker,IF(AND(X$29&gt;ProposalToGnatt[[#This Row],[Start Date]],X$29&lt;ProposalToGnatt[[#This Row],[Start Date]]+ProposalToGnatt[[#This Row],[Days]]),$G$5,"")),"")</f>
        <v/>
      </c>
      <c r="Y79" s="37" t="str">
        <f ca="1">IFERROR(+IF(Y$29=ProposalToGnatt[[#This Row],[Start Date]],Milestone_Marker,IF(AND(Y$29&gt;ProposalToGnatt[[#This Row],[Start Date]],Y$29&lt;ProposalToGnatt[[#This Row],[Start Date]]+ProposalToGnatt[[#This Row],[Days]]),$G$5,"")),"")</f>
        <v/>
      </c>
      <c r="Z79" s="37" t="str">
        <f ca="1">IFERROR(+IF(Z$29=ProposalToGnatt[[#This Row],[Start Date]],Milestone_Marker,IF(AND(Z$29&gt;ProposalToGnatt[[#This Row],[Start Date]],Z$29&lt;ProposalToGnatt[[#This Row],[Start Date]]+ProposalToGnatt[[#This Row],[Days]]),$G$5,"")),"")</f>
        <v/>
      </c>
      <c r="AA79" s="37" t="str">
        <f ca="1">IFERROR(+IF(AA$29=ProposalToGnatt[[#This Row],[Start Date]],Milestone_Marker,IF(AND(AA$29&gt;ProposalToGnatt[[#This Row],[Start Date]],AA$29&lt;ProposalToGnatt[[#This Row],[Start Date]]+ProposalToGnatt[[#This Row],[Days]]),$G$5,"")),"")</f>
        <v/>
      </c>
      <c r="AB79" s="37" t="str">
        <f ca="1">IFERROR(+IF(AB$29=ProposalToGnatt[[#This Row],[Start Date]],Milestone_Marker,IF(AND(AB$29&gt;ProposalToGnatt[[#This Row],[Start Date]],AB$29&lt;ProposalToGnatt[[#This Row],[Start Date]]+ProposalToGnatt[[#This Row],[Days]]),$G$5,"")),"")</f>
        <v/>
      </c>
      <c r="AC79" s="37" t="str">
        <f ca="1">IFERROR(+IF(AC$29=ProposalToGnatt[[#This Row],[Start Date]],Milestone_Marker,IF(AND(AC$29&gt;ProposalToGnatt[[#This Row],[Start Date]],AC$29&lt;ProposalToGnatt[[#This Row],[Start Date]]+ProposalToGnatt[[#This Row],[Days]]),$G$5,"")),"")</f>
        <v/>
      </c>
      <c r="AD79" s="37" t="str">
        <f ca="1">IFERROR(+IF(AD$29=ProposalToGnatt[[#This Row],[Start Date]],Milestone_Marker,IF(AND(AD$29&gt;ProposalToGnatt[[#This Row],[Start Date]],AD$29&lt;ProposalToGnatt[[#This Row],[Start Date]]+ProposalToGnatt[[#This Row],[Days]]),$G$5,"")),"")</f>
        <v/>
      </c>
      <c r="AE79" s="37" t="str">
        <f ca="1">IFERROR(+IF(AE$29=ProposalToGnatt[[#This Row],[Start Date]],Milestone_Marker,IF(AND(AE$29&gt;ProposalToGnatt[[#This Row],[Start Date]],AE$29&lt;ProposalToGnatt[[#This Row],[Start Date]]+ProposalToGnatt[[#This Row],[Days]]),$G$5,"")),"")</f>
        <v/>
      </c>
      <c r="AF79" s="37" t="str">
        <f ca="1">IFERROR(+IF(AF$29=ProposalToGnatt[[#This Row],[Start Date]],Milestone_Marker,IF(AND(AF$29&gt;ProposalToGnatt[[#This Row],[Start Date]],AF$29&lt;ProposalToGnatt[[#This Row],[Start Date]]+ProposalToGnatt[[#This Row],[Days]]),$G$5,"")),"")</f>
        <v/>
      </c>
      <c r="AG79" s="37" t="str">
        <f ca="1">IFERROR(+IF(AG$29=ProposalToGnatt[[#This Row],[Start Date]],Milestone_Marker,IF(AND(AG$29&gt;ProposalToGnatt[[#This Row],[Start Date]],AG$29&lt;ProposalToGnatt[[#This Row],[Start Date]]+ProposalToGnatt[[#This Row],[Days]]),$G$5,"")),"")</f>
        <v/>
      </c>
      <c r="AH79" s="37" t="str">
        <f ca="1">IFERROR(+IF(AH$29=ProposalToGnatt[[#This Row],[Start Date]],Milestone_Marker,IF(AND(AH$29&gt;ProposalToGnatt[[#This Row],[Start Date]],AH$29&lt;ProposalToGnatt[[#This Row],[Start Date]]+ProposalToGnatt[[#This Row],[Days]]),$G$5,"")),"")</f>
        <v/>
      </c>
      <c r="AI79" s="37" t="str">
        <f ca="1">IFERROR(+IF(AI$29=ProposalToGnatt[[#This Row],[Start Date]],Milestone_Marker,IF(AND(AI$29&gt;ProposalToGnatt[[#This Row],[Start Date]],AI$29&lt;ProposalToGnatt[[#This Row],[Start Date]]+ProposalToGnatt[[#This Row],[Days]]),$G$5,"")),"")</f>
        <v/>
      </c>
      <c r="AJ79" s="37" t="str">
        <f ca="1">IFERROR(+IF(AJ$29=ProposalToGnatt[[#This Row],[Start Date]],Milestone_Marker,IF(AND(AJ$29&gt;ProposalToGnatt[[#This Row],[Start Date]],AJ$29&lt;ProposalToGnatt[[#This Row],[Start Date]]+ProposalToGnatt[[#This Row],[Days]]),$G$5,"")),"")</f>
        <v/>
      </c>
      <c r="AK79" s="37" t="str">
        <f ca="1">IFERROR(+IF(AK$29=ProposalToGnatt[[#This Row],[Start Date]],Milestone_Marker,IF(AND(AK$29&gt;ProposalToGnatt[[#This Row],[Start Date]],AK$29&lt;ProposalToGnatt[[#This Row],[Start Date]]+ProposalToGnatt[[#This Row],[Days]]),$G$5,"")),"")</f>
        <v/>
      </c>
      <c r="AL79" s="37" t="str">
        <f ca="1">IFERROR(+IF(AL$29=ProposalToGnatt[[#This Row],[Start Date]],Milestone_Marker,IF(AND(AL$29&gt;ProposalToGnatt[[#This Row],[Start Date]],AL$29&lt;ProposalToGnatt[[#This Row],[Start Date]]+ProposalToGnatt[[#This Row],[Days]]),$G$5,"")),"")</f>
        <v/>
      </c>
      <c r="AM79" s="37" t="str">
        <f ca="1">IFERROR(+IF(AM$29=ProposalToGnatt[[#This Row],[Start Date]],Milestone_Marker,IF(AND(AM$29&gt;ProposalToGnatt[[#This Row],[Start Date]],AM$29&lt;ProposalToGnatt[[#This Row],[Start Date]]+ProposalToGnatt[[#This Row],[Days]]),$G$5,"")),"")</f>
        <v/>
      </c>
      <c r="AN79" s="37" t="str">
        <f ca="1">IFERROR(+IF(AN$29=ProposalToGnatt[[#This Row],[Start Date]],Milestone_Marker,IF(AND(AN$29&gt;ProposalToGnatt[[#This Row],[Start Date]],AN$29&lt;ProposalToGnatt[[#This Row],[Start Date]]+ProposalToGnatt[[#This Row],[Days]]),$G$5,"")),"")</f>
        <v/>
      </c>
      <c r="AO79" s="37" t="str">
        <f ca="1">IFERROR(+IF(AO$29=ProposalToGnatt[[#This Row],[Start Date]],Milestone_Marker,IF(AND(AO$29&gt;ProposalToGnatt[[#This Row],[Start Date]],AO$29&lt;ProposalToGnatt[[#This Row],[Start Date]]+ProposalToGnatt[[#This Row],[Days]]),$G$5,"")),"")</f>
        <v/>
      </c>
      <c r="AP79" s="37" t="str">
        <f ca="1">IFERROR(+IF(AP$29=ProposalToGnatt[[#This Row],[Start Date]],Milestone_Marker,IF(AND(AP$29&gt;ProposalToGnatt[[#This Row],[Start Date]],AP$29&lt;ProposalToGnatt[[#This Row],[Start Date]]+ProposalToGnatt[[#This Row],[Days]]),$G$5,"")),"")</f>
        <v/>
      </c>
      <c r="AQ79" s="37" t="str">
        <f ca="1">IFERROR(+IF(AQ$29=ProposalToGnatt[[#This Row],[Start Date]],Milestone_Marker,IF(AND(AQ$29&gt;ProposalToGnatt[[#This Row],[Start Date]],AQ$29&lt;ProposalToGnatt[[#This Row],[Start Date]]+ProposalToGnatt[[#This Row],[Days]]),$G$5,"")),"")</f>
        <v/>
      </c>
      <c r="AR79" s="37" t="str">
        <f ca="1">IFERROR(+IF(AR$29=ProposalToGnatt[[#This Row],[Start Date]],Milestone_Marker,IF(AND(AR$29&gt;ProposalToGnatt[[#This Row],[Start Date]],AR$29&lt;ProposalToGnatt[[#This Row],[Start Date]]+ProposalToGnatt[[#This Row],[Days]]),$G$5,"")),"")</f>
        <v/>
      </c>
      <c r="AS79" s="37" t="str">
        <f ca="1">IFERROR(+IF(AS$29=ProposalToGnatt[[#This Row],[Start Date]],Milestone_Marker,IF(AND(AS$29&gt;ProposalToGnatt[[#This Row],[Start Date]],AS$29&lt;ProposalToGnatt[[#This Row],[Start Date]]+ProposalToGnatt[[#This Row],[Days]]),$G$5,"")),"")</f>
        <v/>
      </c>
      <c r="AT79" s="37" t="str">
        <f ca="1">IFERROR(+IF(AT$29=ProposalToGnatt[[#This Row],[Start Date]],Milestone_Marker,IF(AND(AT$29&gt;ProposalToGnatt[[#This Row],[Start Date]],AT$29&lt;ProposalToGnatt[[#This Row],[Start Date]]+ProposalToGnatt[[#This Row],[Days]]),$G$5,"")),"")</f>
        <v/>
      </c>
      <c r="AU79" s="37" t="str">
        <f ca="1">IFERROR(+IF(AU$29=ProposalToGnatt[[#This Row],[Start Date]],Milestone_Marker,IF(AND(AU$29&gt;ProposalToGnatt[[#This Row],[Start Date]],AU$29&lt;ProposalToGnatt[[#This Row],[Start Date]]+ProposalToGnatt[[#This Row],[Days]]),$G$5,"")),"")</f>
        <v/>
      </c>
      <c r="AV79" s="37" t="str">
        <f ca="1">IFERROR(+IF(AV$29=ProposalToGnatt[[#This Row],[Start Date]],Milestone_Marker,IF(AND(AV$29&gt;ProposalToGnatt[[#This Row],[Start Date]],AV$29&lt;ProposalToGnatt[[#This Row],[Start Date]]+ProposalToGnatt[[#This Row],[Days]]),$G$5,"")),"")</f>
        <v/>
      </c>
      <c r="AW79" s="37" t="str">
        <f ca="1">IFERROR(+IF(AW$29=ProposalToGnatt[[#This Row],[Start Date]],Milestone_Marker,IF(AND(AW$29&gt;ProposalToGnatt[[#This Row],[Start Date]],AW$29&lt;ProposalToGnatt[[#This Row],[Start Date]]+ProposalToGnatt[[#This Row],[Days]]),$G$5,"")),"")</f>
        <v/>
      </c>
      <c r="AX79" s="37" t="str">
        <f ca="1">IFERROR(+IF(AX$29=ProposalToGnatt[[#This Row],[Start Date]],Milestone_Marker,IF(AND(AX$29&gt;ProposalToGnatt[[#This Row],[Start Date]],AX$29&lt;ProposalToGnatt[[#This Row],[Start Date]]+ProposalToGnatt[[#This Row],[Days]]),$G$5,"")),"")</f>
        <v/>
      </c>
      <c r="AY79" s="37" t="str">
        <f ca="1">IFERROR(+IF(AY$29=ProposalToGnatt[[#This Row],[Start Date]],Milestone_Marker,IF(AND(AY$29&gt;ProposalToGnatt[[#This Row],[Start Date]],AY$29&lt;ProposalToGnatt[[#This Row],[Start Date]]+ProposalToGnatt[[#This Row],[Days]]),$G$5,"")),"")</f>
        <v/>
      </c>
      <c r="AZ79" s="37" t="str">
        <f ca="1">IFERROR(+IF(AZ$29=ProposalToGnatt[[#This Row],[Start Date]],Milestone_Marker,IF(AND(AZ$29&gt;ProposalToGnatt[[#This Row],[Start Date]],AZ$29&lt;ProposalToGnatt[[#This Row],[Start Date]]+ProposalToGnatt[[#This Row],[Days]]),$G$5,"")),"")</f>
        <v/>
      </c>
      <c r="BA79" s="37" t="str">
        <f ca="1">IFERROR(+IF(BA$29=ProposalToGnatt[[#This Row],[Start Date]],Milestone_Marker,IF(AND(BA$29&gt;ProposalToGnatt[[#This Row],[Start Date]],BA$29&lt;ProposalToGnatt[[#This Row],[Start Date]]+ProposalToGnatt[[#This Row],[Days]]),$G$5,"")),"")</f>
        <v/>
      </c>
      <c r="BB79" s="37" t="str">
        <f ca="1">IFERROR(+IF(BB$29=ProposalToGnatt[[#This Row],[Start Date]],Milestone_Marker,IF(AND(BB$29&gt;ProposalToGnatt[[#This Row],[Start Date]],BB$29&lt;ProposalToGnatt[[#This Row],[Start Date]]+ProposalToGnatt[[#This Row],[Days]]),$G$5,"")),"")</f>
        <v/>
      </c>
      <c r="BC79" s="37" t="str">
        <f ca="1">IFERROR(+IF(BC$29=ProposalToGnatt[[#This Row],[Start Date]],Milestone_Marker,IF(AND(BC$29&gt;ProposalToGnatt[[#This Row],[Start Date]],BC$29&lt;ProposalToGnatt[[#This Row],[Start Date]]+ProposalToGnatt[[#This Row],[Days]]),$G$5,"")),"")</f>
        <v/>
      </c>
      <c r="BD79" s="37" t="str">
        <f ca="1">IFERROR(+IF(BD$29=ProposalToGnatt[[#This Row],[Start Date]],Milestone_Marker,IF(AND(BD$29&gt;ProposalToGnatt[[#This Row],[Start Date]],BD$29&lt;ProposalToGnatt[[#This Row],[Start Date]]+ProposalToGnatt[[#This Row],[Days]]),$G$5,"")),"")</f>
        <v/>
      </c>
      <c r="BE79" s="37" t="str">
        <f ca="1">IFERROR(+IF(BE$29=ProposalToGnatt[[#This Row],[Start Date]],Milestone_Marker,IF(AND(BE$29&gt;ProposalToGnatt[[#This Row],[Start Date]],BE$29&lt;ProposalToGnatt[[#This Row],[Start Date]]+ProposalToGnatt[[#This Row],[Days]]),$G$5,"")),"")</f>
        <v/>
      </c>
      <c r="BF79" s="37" t="str">
        <f ca="1">IFERROR(+IF(BF$29=ProposalToGnatt[[#This Row],[Start Date]],Milestone_Marker,IF(AND(BF$29&gt;ProposalToGnatt[[#This Row],[Start Date]],BF$29&lt;ProposalToGnatt[[#This Row],[Start Date]]+ProposalToGnatt[[#This Row],[Days]]),$G$5,"")),"")</f>
        <v/>
      </c>
      <c r="BG79" s="37" t="str">
        <f ca="1">IFERROR(+IF(BG$29=ProposalToGnatt[[#This Row],[Start Date]],Milestone_Marker,IF(AND(BG$29&gt;ProposalToGnatt[[#This Row],[Start Date]],BG$29&lt;ProposalToGnatt[[#This Row],[Start Date]]+ProposalToGnatt[[#This Row],[Days]]),$G$5,"")),"")</f>
        <v/>
      </c>
      <c r="BH79" s="37" t="str">
        <f ca="1">IFERROR(+IF(BH$29=ProposalToGnatt[[#This Row],[Start Date]],Milestone_Marker,IF(AND(BH$29&gt;ProposalToGnatt[[#This Row],[Start Date]],BH$29&lt;ProposalToGnatt[[#This Row],[Start Date]]+ProposalToGnatt[[#This Row],[Days]]),$G$5,"")),"")</f>
        <v/>
      </c>
      <c r="BI79" s="37" t="str">
        <f ca="1">IFERROR(+IF(BI$29=ProposalToGnatt[[#This Row],[Start Date]],Milestone_Marker,IF(AND(BI$29&gt;ProposalToGnatt[[#This Row],[Start Date]],BI$29&lt;ProposalToGnatt[[#This Row],[Start Date]]+ProposalToGnatt[[#This Row],[Days]]),$G$5,"")),"")</f>
        <v/>
      </c>
      <c r="BJ79" s="37" t="str">
        <f ca="1">IFERROR(+IF(BJ$29=ProposalToGnatt[[#This Row],[Start Date]],Milestone_Marker,IF(AND(BJ$29&gt;ProposalToGnatt[[#This Row],[Start Date]],BJ$29&lt;ProposalToGnatt[[#This Row],[Start Date]]+ProposalToGnatt[[#This Row],[Days]]),$G$5,"")),"")</f>
        <v/>
      </c>
      <c r="BK79" s="37" t="str">
        <f ca="1">IFERROR(+IF(BK$29=ProposalToGnatt[[#This Row],[Start Date]],Milestone_Marker,IF(AND(BK$29&gt;ProposalToGnatt[[#This Row],[Start Date]],BK$29&lt;ProposalToGnatt[[#This Row],[Start Date]]+ProposalToGnatt[[#This Row],[Days]]),$G$5,"")),"")</f>
        <v/>
      </c>
      <c r="BL79" s="37" t="str">
        <f ca="1">IFERROR(+IF(BL$29=ProposalToGnatt[[#This Row],[Start Date]],Milestone_Marker,IF(AND(BL$29&gt;ProposalToGnatt[[#This Row],[Start Date]],BL$29&lt;ProposalToGnatt[[#This Row],[Start Date]]+ProposalToGnatt[[#This Row],[Days]]),$G$5,"")),"")</f>
        <v/>
      </c>
      <c r="BM79" s="37" t="str">
        <f ca="1">IFERROR(+IF(BM$29=ProposalToGnatt[[#This Row],[Start Date]],Milestone_Marker,IF(AND(BM$29&gt;ProposalToGnatt[[#This Row],[Start Date]],BM$29&lt;ProposalToGnatt[[#This Row],[Start Date]]+ProposalToGnatt[[#This Row],[Days]]),$G$5,"")),"")</f>
        <v/>
      </c>
      <c r="BN79" s="37" t="str">
        <f ca="1">IFERROR(+IF(BN$29=ProposalToGnatt[[#This Row],[Start Date]],Milestone_Marker,IF(AND(BN$29&gt;ProposalToGnatt[[#This Row],[Start Date]],BN$29&lt;ProposalToGnatt[[#This Row],[Start Date]]+ProposalToGnatt[[#This Row],[Days]]),$G$5,"")),"")</f>
        <v/>
      </c>
      <c r="BO79" s="37" t="str">
        <f ca="1">IFERROR(+IF(BO$29=ProposalToGnatt[[#This Row],[Start Date]],Milestone_Marker,IF(AND(BO$29&gt;ProposalToGnatt[[#This Row],[Start Date]],BO$29&lt;ProposalToGnatt[[#This Row],[Start Date]]+ProposalToGnatt[[#This Row],[Days]]),$G$5,"")),"")</f>
        <v/>
      </c>
      <c r="BP79" s="37" t="str">
        <f ca="1">IFERROR(+IF(BP$29=ProposalToGnatt[[#This Row],[Start Date]],Milestone_Marker,IF(AND(BP$29&gt;ProposalToGnatt[[#This Row],[Start Date]],BP$29&lt;ProposalToGnatt[[#This Row],[Start Date]]+ProposalToGnatt[[#This Row],[Days]]),$G$5,"")),"")</f>
        <v/>
      </c>
      <c r="BQ79" s="37" t="str">
        <f ca="1">IFERROR(+IF(BQ$29=ProposalToGnatt[[#This Row],[Start Date]],Milestone_Marker,IF(AND(BQ$29&gt;ProposalToGnatt[[#This Row],[Start Date]],BQ$29&lt;ProposalToGnatt[[#This Row],[Start Date]]+ProposalToGnatt[[#This Row],[Days]]),$G$5,"")),"")</f>
        <v/>
      </c>
      <c r="BR79" s="37" t="str">
        <f ca="1">IFERROR(+IF(BR$29=ProposalToGnatt[[#This Row],[Start Date]],Milestone_Marker,IF(AND(BR$29&gt;ProposalToGnatt[[#This Row],[Start Date]],BR$29&lt;ProposalToGnatt[[#This Row],[Start Date]]+ProposalToGnatt[[#This Row],[Days]]),$G$5,"")),"")</f>
        <v/>
      </c>
      <c r="BS79" s="37" t="str">
        <f ca="1">IFERROR(+IF(BS$29=ProposalToGnatt[[#This Row],[Start Date]],Milestone_Marker,IF(AND(BS$29&gt;ProposalToGnatt[[#This Row],[Start Date]],BS$29&lt;ProposalToGnatt[[#This Row],[Start Date]]+ProposalToGnatt[[#This Row],[Days]]),$G$5,"")),"")</f>
        <v/>
      </c>
      <c r="BT79" s="37" t="str">
        <f ca="1">IFERROR(+IF(BT$29=ProposalToGnatt[[#This Row],[Start Date]],Milestone_Marker,IF(AND(BT$29&gt;ProposalToGnatt[[#This Row],[Start Date]],BT$29&lt;ProposalToGnatt[[#This Row],[Start Date]]+ProposalToGnatt[[#This Row],[Days]]),$G$5,"")),"")</f>
        <v/>
      </c>
      <c r="BU79" s="37" t="str">
        <f ca="1">IFERROR(+IF(BU$29=ProposalToGnatt[[#This Row],[Start Date]],Milestone_Marker,IF(AND(BU$29&gt;ProposalToGnatt[[#This Row],[Start Date]],BU$29&lt;ProposalToGnatt[[#This Row],[Start Date]]+ProposalToGnatt[[#This Row],[Days]]),$G$5,"")),"")</f>
        <v/>
      </c>
      <c r="BV79" s="37" t="str">
        <f ca="1">IFERROR(+IF(BV$29=ProposalToGnatt[[#This Row],[Start Date]],Milestone_Marker,IF(AND(BV$29&gt;ProposalToGnatt[[#This Row],[Start Date]],BV$29&lt;ProposalToGnatt[[#This Row],[Start Date]]+ProposalToGnatt[[#This Row],[Days]]),$G$5,"")),"")</f>
        <v/>
      </c>
      <c r="BW79" s="37" t="str">
        <f ca="1">IFERROR(+IF(BW$29=ProposalToGnatt[[#This Row],[Start Date]],Milestone_Marker,IF(AND(BW$29&gt;ProposalToGnatt[[#This Row],[Start Date]],BW$29&lt;ProposalToGnatt[[#This Row],[Start Date]]+ProposalToGnatt[[#This Row],[Days]]),$G$5,"")),"")</f>
        <v/>
      </c>
      <c r="BX79" s="37" t="str">
        <f ca="1">IFERROR(+IF(BX$29=ProposalToGnatt[[#This Row],[Start Date]],Milestone_Marker,IF(AND(BX$29&gt;ProposalToGnatt[[#This Row],[Start Date]],BX$29&lt;ProposalToGnatt[[#This Row],[Start Date]]+ProposalToGnatt[[#This Row],[Days]]),$G$5,"")),"")</f>
        <v/>
      </c>
      <c r="BY79" s="37" t="str">
        <f ca="1">IFERROR(+IF(BY$29=ProposalToGnatt[[#This Row],[Start Date]],Milestone_Marker,IF(AND(BY$29&gt;ProposalToGnatt[[#This Row],[Start Date]],BY$29&lt;ProposalToGnatt[[#This Row],[Start Date]]+ProposalToGnatt[[#This Row],[Days]]),$G$5,"")),"")</f>
        <v/>
      </c>
      <c r="BZ79" s="37" t="str">
        <f ca="1">IFERROR(+IF(BZ$29=ProposalToGnatt[[#This Row],[Start Date]],Milestone_Marker,IF(AND(BZ$29&gt;ProposalToGnatt[[#This Row],[Start Date]],BZ$29&lt;ProposalToGnatt[[#This Row],[Start Date]]+ProposalToGnatt[[#This Row],[Days]]),$G$5,"")),"")</f>
        <v/>
      </c>
      <c r="CA79" s="37" t="str">
        <f ca="1">IFERROR(+IF(CA$29=ProposalToGnatt[[#This Row],[Start Date]],Milestone_Marker,IF(AND(CA$29&gt;ProposalToGnatt[[#This Row],[Start Date]],CA$29&lt;ProposalToGnatt[[#This Row],[Start Date]]+ProposalToGnatt[[#This Row],[Days]]),$G$5,"")),"")</f>
        <v/>
      </c>
      <c r="CB79" s="37" t="str">
        <f ca="1">IFERROR(+IF(CB$29=ProposalToGnatt[[#This Row],[Start Date]],Milestone_Marker,IF(AND(CB$29&gt;ProposalToGnatt[[#This Row],[Start Date]],CB$29&lt;ProposalToGnatt[[#This Row],[Start Date]]+ProposalToGnatt[[#This Row],[Days]]),$G$5,"")),"")</f>
        <v/>
      </c>
      <c r="CC79" s="37" t="str">
        <f ca="1">IFERROR(+IF(CC$29=ProposalToGnatt[[#This Row],[Start Date]],Milestone_Marker,IF(AND(CC$29&gt;ProposalToGnatt[[#This Row],[Start Date]],CC$29&lt;ProposalToGnatt[[#This Row],[Start Date]]+ProposalToGnatt[[#This Row],[Days]]),$G$5,"")),"")</f>
        <v/>
      </c>
      <c r="CD79" s="37" t="str">
        <f ca="1">IFERROR(+IF(CD$29=ProposalToGnatt[[#This Row],[Start Date]],Milestone_Marker,IF(AND(CD$29&gt;ProposalToGnatt[[#This Row],[Start Date]],CD$29&lt;ProposalToGnatt[[#This Row],[Start Date]]+ProposalToGnatt[[#This Row],[Days]]),$G$5,"")),"")</f>
        <v/>
      </c>
      <c r="CE79" s="37" t="str">
        <f ca="1">IFERROR(+IF(CE$29=ProposalToGnatt[[#This Row],[Start Date]],Milestone_Marker,IF(AND(CE$29&gt;ProposalToGnatt[[#This Row],[Start Date]],CE$29&lt;ProposalToGnatt[[#This Row],[Start Date]]+ProposalToGnatt[[#This Row],[Days]]),$G$5,"")),"")</f>
        <v/>
      </c>
      <c r="CF79" s="37" t="str">
        <f ca="1">IFERROR(+IF(CF$29=ProposalToGnatt[[#This Row],[Start Date]],Milestone_Marker,IF(AND(CF$29&gt;ProposalToGnatt[[#This Row],[Start Date]],CF$29&lt;ProposalToGnatt[[#This Row],[Start Date]]+ProposalToGnatt[[#This Row],[Days]]),$G$5,"")),"")</f>
        <v/>
      </c>
      <c r="CG79" s="37" t="str">
        <f ca="1">IFERROR(+IF(CG$29=ProposalToGnatt[[#This Row],[Start Date]],Milestone_Marker,IF(AND(CG$29&gt;ProposalToGnatt[[#This Row],[Start Date]],CG$29&lt;ProposalToGnatt[[#This Row],[Start Date]]+ProposalToGnatt[[#This Row],[Days]]),$G$5,"")),"")</f>
        <v/>
      </c>
      <c r="CH79" s="37" t="str">
        <f ca="1">IFERROR(+IF(CH$29=ProposalToGnatt[[#This Row],[Start Date]],Milestone_Marker,IF(AND(CH$29&gt;ProposalToGnatt[[#This Row],[Start Date]],CH$29&lt;ProposalToGnatt[[#This Row],[Start Date]]+ProposalToGnatt[[#This Row],[Days]]),$G$5,"")),"")</f>
        <v/>
      </c>
      <c r="CI79" s="37" t="str">
        <f ca="1">IFERROR(+IF(CI$29=ProposalToGnatt[[#This Row],[Start Date]],Milestone_Marker,IF(AND(CI$29&gt;ProposalToGnatt[[#This Row],[Start Date]],CI$29&lt;ProposalToGnatt[[#This Row],[Start Date]]+ProposalToGnatt[[#This Row],[Days]]),$G$5,"")),"")</f>
        <v/>
      </c>
      <c r="CJ79" s="37" t="str">
        <f ca="1">IFERROR(+IF(CJ$29=ProposalToGnatt[[#This Row],[Start Date]],Milestone_Marker,IF(AND(CJ$29&gt;ProposalToGnatt[[#This Row],[Start Date]],CJ$29&lt;ProposalToGnatt[[#This Row],[Start Date]]+ProposalToGnatt[[#This Row],[Days]]),$G$5,"")),"")</f>
        <v/>
      </c>
      <c r="CK79" s="37" t="str">
        <f ca="1">IFERROR(+IF(CK$29=ProposalToGnatt[[#This Row],[Start Date]],Milestone_Marker,IF(AND(CK$29&gt;ProposalToGnatt[[#This Row],[Start Date]],CK$29&lt;ProposalToGnatt[[#This Row],[Start Date]]+ProposalToGnatt[[#This Row],[Days]]),$G$5,"")),"")</f>
        <v/>
      </c>
      <c r="CL79" s="37" t="str">
        <f ca="1">IFERROR(+IF(CL$29=ProposalToGnatt[[#This Row],[Start Date]],Milestone_Marker,IF(AND(CL$29&gt;ProposalToGnatt[[#This Row],[Start Date]],CL$29&lt;ProposalToGnatt[[#This Row],[Start Date]]+ProposalToGnatt[[#This Row],[Days]]),$G$5,"")),"")</f>
        <v/>
      </c>
      <c r="CM79" s="37" t="str">
        <f ca="1">IFERROR(+IF(CM$29=ProposalToGnatt[[#This Row],[Start Date]],Milestone_Marker,IF(AND(CM$29&gt;ProposalToGnatt[[#This Row],[Start Date]],CM$29&lt;ProposalToGnatt[[#This Row],[Start Date]]+ProposalToGnatt[[#This Row],[Days]]),$G$5,"")),"")</f>
        <v/>
      </c>
      <c r="CN79" s="37" t="str">
        <f ca="1">IFERROR(+IF(CN$29=ProposalToGnatt[[#This Row],[Start Date]],Milestone_Marker,IF(AND(CN$29&gt;ProposalToGnatt[[#This Row],[Start Date]],CN$29&lt;ProposalToGnatt[[#This Row],[Start Date]]+ProposalToGnatt[[#This Row],[Days]]),$G$5,"")),"")</f>
        <v/>
      </c>
      <c r="CO79" s="37" t="str">
        <f ca="1">IFERROR(+IF(CO$29=ProposalToGnatt[[#This Row],[Start Date]],Milestone_Marker,IF(AND(CO$29&gt;ProposalToGnatt[[#This Row],[Start Date]],CO$29&lt;ProposalToGnatt[[#This Row],[Start Date]]+ProposalToGnatt[[#This Row],[Days]]),$G$5,"")),"")</f>
        <v/>
      </c>
      <c r="CP79" s="37" t="str">
        <f ca="1">IFERROR(+IF(CP$29=ProposalToGnatt[[#This Row],[Start Date]],Milestone_Marker,IF(AND(CP$29&gt;ProposalToGnatt[[#This Row],[Start Date]],CP$29&lt;ProposalToGnatt[[#This Row],[Start Date]]+ProposalToGnatt[[#This Row],[Days]]),$G$5,"")),"")</f>
        <v/>
      </c>
      <c r="CQ79" s="37" t="str">
        <f ca="1">IFERROR(+IF(CQ$29=ProposalToGnatt[[#This Row],[Start Date]],Milestone_Marker,IF(AND(CQ$29&gt;ProposalToGnatt[[#This Row],[Start Date]],CQ$29&lt;ProposalToGnatt[[#This Row],[Start Date]]+ProposalToGnatt[[#This Row],[Days]]),$G$5,"")),"")</f>
        <v/>
      </c>
      <c r="CR79" s="37" t="str">
        <f ca="1">IFERROR(+IF(CR$29=ProposalToGnatt[[#This Row],[Start Date]],Milestone_Marker,IF(AND(CR$29&gt;ProposalToGnatt[[#This Row],[Start Date]],CR$29&lt;ProposalToGnatt[[#This Row],[Start Date]]+ProposalToGnatt[[#This Row],[Days]]),$G$5,"")),"")</f>
        <v/>
      </c>
      <c r="CS79" s="37" t="str">
        <f ca="1">IFERROR(+IF(CS$29=ProposalToGnatt[[#This Row],[Start Date]],Milestone_Marker,IF(AND(CS$29&gt;ProposalToGnatt[[#This Row],[Start Date]],CS$29&lt;ProposalToGnatt[[#This Row],[Start Date]]+ProposalToGnatt[[#This Row],[Days]]),$G$5,"")),"")</f>
        <v/>
      </c>
      <c r="CT79" s="37" t="str">
        <f ca="1">IFERROR(+IF(CT$29=ProposalToGnatt[[#This Row],[Start Date]],Milestone_Marker,IF(AND(CT$29&gt;ProposalToGnatt[[#This Row],[Start Date]],CT$29&lt;ProposalToGnatt[[#This Row],[Start Date]]+ProposalToGnatt[[#This Row],[Days]]),$G$5,"")),"")</f>
        <v/>
      </c>
      <c r="CU79" s="37" t="str">
        <f ca="1">IFERROR(+IF(CU$29=ProposalToGnatt[[#This Row],[Start Date]],Milestone_Marker,IF(AND(CU$29&gt;ProposalToGnatt[[#This Row],[Start Date]],CU$29&lt;ProposalToGnatt[[#This Row],[Start Date]]+ProposalToGnatt[[#This Row],[Days]]),$G$5,"")),"")</f>
        <v/>
      </c>
      <c r="CV79" s="37"/>
      <c r="CW79" s="37"/>
      <c r="CX79" s="37"/>
      <c r="CY79" s="37"/>
      <c r="CZ79" s="37"/>
      <c r="DA79" s="37"/>
      <c r="DB79" s="37"/>
      <c r="DC79" s="37"/>
      <c r="DD79" s="37"/>
      <c r="DE79" s="37"/>
      <c r="DF79" s="37"/>
      <c r="DG79" s="37"/>
      <c r="DH79" s="37"/>
      <c r="DI79" s="37"/>
      <c r="DJ79" s="37"/>
      <c r="DK79" s="37"/>
      <c r="DL79" s="37"/>
      <c r="DM79" s="37"/>
      <c r="DN79" s="37"/>
      <c r="DO79" s="37"/>
      <c r="DP79" s="37"/>
      <c r="DQ79" s="37"/>
      <c r="DR79" s="37"/>
      <c r="DS79" s="37"/>
      <c r="DT79" s="37"/>
      <c r="DU79" s="37"/>
    </row>
    <row r="80" spans="1:125" ht="15">
      <c r="A80"/>
      <c r="B80"/>
      <c r="C80"/>
      <c r="D80"/>
      <c r="E80"/>
      <c r="F80"/>
      <c r="G80" s="11"/>
      <c r="H80" s="26"/>
      <c r="I80"/>
      <c r="J80"/>
      <c r="K80" s="402"/>
      <c r="L80"/>
      <c r="M80"/>
      <c r="N80"/>
      <c r="O80" s="26"/>
      <c r="P80" s="37" t="str">
        <f ca="1">IFERROR(+IF(P$29=ProposalToGnatt[[#This Row],[Start Date]],Milestone_Marker,IF(AND(P$29&gt;ProposalToGnatt[[#This Row],[Start Date]],P$29&lt;ProposalToGnatt[[#This Row],[Start Date]]+ProposalToGnatt[[#This Row],[Days]]),$G$5,"")),"")</f>
        <v/>
      </c>
      <c r="Q80" s="37" t="str">
        <f ca="1">IFERROR(+IF(Q$29=ProposalToGnatt[[#This Row],[Start Date]],Milestone_Marker,IF(AND(Q$29&gt;ProposalToGnatt[[#This Row],[Start Date]],Q$29&lt;ProposalToGnatt[[#This Row],[Start Date]]+ProposalToGnatt[[#This Row],[Days]]),$G$5,"")),"")</f>
        <v/>
      </c>
      <c r="R80" s="37" t="str">
        <f ca="1">IFERROR(+IF(R$29=ProposalToGnatt[[#This Row],[Start Date]],Milestone_Marker,IF(AND(R$29&gt;ProposalToGnatt[[#This Row],[Start Date]],R$29&lt;ProposalToGnatt[[#This Row],[Start Date]]+ProposalToGnatt[[#This Row],[Days]]),$G$5,"")),"")</f>
        <v/>
      </c>
      <c r="S80" s="37" t="str">
        <f ca="1">IFERROR(+IF(S$29=ProposalToGnatt[[#This Row],[Start Date]],Milestone_Marker,IF(AND(S$29&gt;ProposalToGnatt[[#This Row],[Start Date]],S$29&lt;ProposalToGnatt[[#This Row],[Start Date]]+ProposalToGnatt[[#This Row],[Days]]),$G$5,"")),"")</f>
        <v/>
      </c>
      <c r="T80" s="37" t="str">
        <f ca="1">IFERROR(+IF(T$29=ProposalToGnatt[[#This Row],[Start Date]],Milestone_Marker,IF(AND(T$29&gt;ProposalToGnatt[[#This Row],[Start Date]],T$29&lt;ProposalToGnatt[[#This Row],[Start Date]]+ProposalToGnatt[[#This Row],[Days]]),$G$5,"")),"")</f>
        <v/>
      </c>
      <c r="U80" s="37" t="str">
        <f ca="1">IFERROR(+IF(U$29=ProposalToGnatt[[#This Row],[Start Date]],Milestone_Marker,IF(AND(U$29&gt;ProposalToGnatt[[#This Row],[Start Date]],U$29&lt;ProposalToGnatt[[#This Row],[Start Date]]+ProposalToGnatt[[#This Row],[Days]]),$G$5,"")),"")</f>
        <v/>
      </c>
      <c r="V80" s="37" t="str">
        <f ca="1">IFERROR(+IF(V$29=ProposalToGnatt[[#This Row],[Start Date]],Milestone_Marker,IF(AND(V$29&gt;ProposalToGnatt[[#This Row],[Start Date]],V$29&lt;ProposalToGnatt[[#This Row],[Start Date]]+ProposalToGnatt[[#This Row],[Days]]),$G$5,"")),"")</f>
        <v/>
      </c>
      <c r="W80" s="37" t="str">
        <f ca="1">IFERROR(+IF(W$29=ProposalToGnatt[[#This Row],[Start Date]],Milestone_Marker,IF(AND(W$29&gt;ProposalToGnatt[[#This Row],[Start Date]],W$29&lt;ProposalToGnatt[[#This Row],[Start Date]]+ProposalToGnatt[[#This Row],[Days]]),$G$5,"")),"")</f>
        <v/>
      </c>
      <c r="X80" s="37" t="str">
        <f ca="1">IFERROR(+IF(X$29=ProposalToGnatt[[#This Row],[Start Date]],Milestone_Marker,IF(AND(X$29&gt;ProposalToGnatt[[#This Row],[Start Date]],X$29&lt;ProposalToGnatt[[#This Row],[Start Date]]+ProposalToGnatt[[#This Row],[Days]]),$G$5,"")),"")</f>
        <v/>
      </c>
      <c r="Y80" s="37" t="str">
        <f ca="1">IFERROR(+IF(Y$29=ProposalToGnatt[[#This Row],[Start Date]],Milestone_Marker,IF(AND(Y$29&gt;ProposalToGnatt[[#This Row],[Start Date]],Y$29&lt;ProposalToGnatt[[#This Row],[Start Date]]+ProposalToGnatt[[#This Row],[Days]]),$G$5,"")),"")</f>
        <v/>
      </c>
      <c r="Z80" s="37" t="str">
        <f ca="1">IFERROR(+IF(Z$29=ProposalToGnatt[[#This Row],[Start Date]],Milestone_Marker,IF(AND(Z$29&gt;ProposalToGnatt[[#This Row],[Start Date]],Z$29&lt;ProposalToGnatt[[#This Row],[Start Date]]+ProposalToGnatt[[#This Row],[Days]]),$G$5,"")),"")</f>
        <v/>
      </c>
      <c r="AA80" s="37" t="str">
        <f ca="1">IFERROR(+IF(AA$29=ProposalToGnatt[[#This Row],[Start Date]],Milestone_Marker,IF(AND(AA$29&gt;ProposalToGnatt[[#This Row],[Start Date]],AA$29&lt;ProposalToGnatt[[#This Row],[Start Date]]+ProposalToGnatt[[#This Row],[Days]]),$G$5,"")),"")</f>
        <v/>
      </c>
      <c r="AB80" s="37" t="str">
        <f ca="1">IFERROR(+IF(AB$29=ProposalToGnatt[[#This Row],[Start Date]],Milestone_Marker,IF(AND(AB$29&gt;ProposalToGnatt[[#This Row],[Start Date]],AB$29&lt;ProposalToGnatt[[#This Row],[Start Date]]+ProposalToGnatt[[#This Row],[Days]]),$G$5,"")),"")</f>
        <v/>
      </c>
      <c r="AC80" s="37" t="str">
        <f ca="1">IFERROR(+IF(AC$29=ProposalToGnatt[[#This Row],[Start Date]],Milestone_Marker,IF(AND(AC$29&gt;ProposalToGnatt[[#This Row],[Start Date]],AC$29&lt;ProposalToGnatt[[#This Row],[Start Date]]+ProposalToGnatt[[#This Row],[Days]]),$G$5,"")),"")</f>
        <v/>
      </c>
      <c r="AD80" s="37" t="str">
        <f ca="1">IFERROR(+IF(AD$29=ProposalToGnatt[[#This Row],[Start Date]],Milestone_Marker,IF(AND(AD$29&gt;ProposalToGnatt[[#This Row],[Start Date]],AD$29&lt;ProposalToGnatt[[#This Row],[Start Date]]+ProposalToGnatt[[#This Row],[Days]]),$G$5,"")),"")</f>
        <v/>
      </c>
      <c r="AE80" s="37" t="str">
        <f ca="1">IFERROR(+IF(AE$29=ProposalToGnatt[[#This Row],[Start Date]],Milestone_Marker,IF(AND(AE$29&gt;ProposalToGnatt[[#This Row],[Start Date]],AE$29&lt;ProposalToGnatt[[#This Row],[Start Date]]+ProposalToGnatt[[#This Row],[Days]]),$G$5,"")),"")</f>
        <v/>
      </c>
      <c r="AF80" s="37" t="str">
        <f ca="1">IFERROR(+IF(AF$29=ProposalToGnatt[[#This Row],[Start Date]],Milestone_Marker,IF(AND(AF$29&gt;ProposalToGnatt[[#This Row],[Start Date]],AF$29&lt;ProposalToGnatt[[#This Row],[Start Date]]+ProposalToGnatt[[#This Row],[Days]]),$G$5,"")),"")</f>
        <v/>
      </c>
      <c r="AG80" s="37" t="str">
        <f ca="1">IFERROR(+IF(AG$29=ProposalToGnatt[[#This Row],[Start Date]],Milestone_Marker,IF(AND(AG$29&gt;ProposalToGnatt[[#This Row],[Start Date]],AG$29&lt;ProposalToGnatt[[#This Row],[Start Date]]+ProposalToGnatt[[#This Row],[Days]]),$G$5,"")),"")</f>
        <v/>
      </c>
      <c r="AH80" s="37" t="str">
        <f ca="1">IFERROR(+IF(AH$29=ProposalToGnatt[[#This Row],[Start Date]],Milestone_Marker,IF(AND(AH$29&gt;ProposalToGnatt[[#This Row],[Start Date]],AH$29&lt;ProposalToGnatt[[#This Row],[Start Date]]+ProposalToGnatt[[#This Row],[Days]]),$G$5,"")),"")</f>
        <v/>
      </c>
      <c r="AI80" s="37" t="str">
        <f ca="1">IFERROR(+IF(AI$29=ProposalToGnatt[[#This Row],[Start Date]],Milestone_Marker,IF(AND(AI$29&gt;ProposalToGnatt[[#This Row],[Start Date]],AI$29&lt;ProposalToGnatt[[#This Row],[Start Date]]+ProposalToGnatt[[#This Row],[Days]]),$G$5,"")),"")</f>
        <v/>
      </c>
      <c r="AJ80" s="37" t="str">
        <f ca="1">IFERROR(+IF(AJ$29=ProposalToGnatt[[#This Row],[Start Date]],Milestone_Marker,IF(AND(AJ$29&gt;ProposalToGnatt[[#This Row],[Start Date]],AJ$29&lt;ProposalToGnatt[[#This Row],[Start Date]]+ProposalToGnatt[[#This Row],[Days]]),$G$5,"")),"")</f>
        <v/>
      </c>
      <c r="AK80" s="37" t="str">
        <f ca="1">IFERROR(+IF(AK$29=ProposalToGnatt[[#This Row],[Start Date]],Milestone_Marker,IF(AND(AK$29&gt;ProposalToGnatt[[#This Row],[Start Date]],AK$29&lt;ProposalToGnatt[[#This Row],[Start Date]]+ProposalToGnatt[[#This Row],[Days]]),$G$5,"")),"")</f>
        <v/>
      </c>
      <c r="AL80" s="37" t="str">
        <f ca="1">IFERROR(+IF(AL$29=ProposalToGnatt[[#This Row],[Start Date]],Milestone_Marker,IF(AND(AL$29&gt;ProposalToGnatt[[#This Row],[Start Date]],AL$29&lt;ProposalToGnatt[[#This Row],[Start Date]]+ProposalToGnatt[[#This Row],[Days]]),$G$5,"")),"")</f>
        <v/>
      </c>
      <c r="AM80" s="37" t="str">
        <f ca="1">IFERROR(+IF(AM$29=ProposalToGnatt[[#This Row],[Start Date]],Milestone_Marker,IF(AND(AM$29&gt;ProposalToGnatt[[#This Row],[Start Date]],AM$29&lt;ProposalToGnatt[[#This Row],[Start Date]]+ProposalToGnatt[[#This Row],[Days]]),$G$5,"")),"")</f>
        <v/>
      </c>
      <c r="AN80" s="37" t="str">
        <f ca="1">IFERROR(+IF(AN$29=ProposalToGnatt[[#This Row],[Start Date]],Milestone_Marker,IF(AND(AN$29&gt;ProposalToGnatt[[#This Row],[Start Date]],AN$29&lt;ProposalToGnatt[[#This Row],[Start Date]]+ProposalToGnatt[[#This Row],[Days]]),$G$5,"")),"")</f>
        <v/>
      </c>
      <c r="AO80" s="37" t="str">
        <f ca="1">IFERROR(+IF(AO$29=ProposalToGnatt[[#This Row],[Start Date]],Milestone_Marker,IF(AND(AO$29&gt;ProposalToGnatt[[#This Row],[Start Date]],AO$29&lt;ProposalToGnatt[[#This Row],[Start Date]]+ProposalToGnatt[[#This Row],[Days]]),$G$5,"")),"")</f>
        <v/>
      </c>
      <c r="AP80" s="37" t="str">
        <f ca="1">IFERROR(+IF(AP$29=ProposalToGnatt[[#This Row],[Start Date]],Milestone_Marker,IF(AND(AP$29&gt;ProposalToGnatt[[#This Row],[Start Date]],AP$29&lt;ProposalToGnatt[[#This Row],[Start Date]]+ProposalToGnatt[[#This Row],[Days]]),$G$5,"")),"")</f>
        <v/>
      </c>
      <c r="AQ80" s="37" t="str">
        <f ca="1">IFERROR(+IF(AQ$29=ProposalToGnatt[[#This Row],[Start Date]],Milestone_Marker,IF(AND(AQ$29&gt;ProposalToGnatt[[#This Row],[Start Date]],AQ$29&lt;ProposalToGnatt[[#This Row],[Start Date]]+ProposalToGnatt[[#This Row],[Days]]),$G$5,"")),"")</f>
        <v/>
      </c>
      <c r="AR80" s="37" t="str">
        <f ca="1">IFERROR(+IF(AR$29=ProposalToGnatt[[#This Row],[Start Date]],Milestone_Marker,IF(AND(AR$29&gt;ProposalToGnatt[[#This Row],[Start Date]],AR$29&lt;ProposalToGnatt[[#This Row],[Start Date]]+ProposalToGnatt[[#This Row],[Days]]),$G$5,"")),"")</f>
        <v/>
      </c>
      <c r="AS80" s="37" t="str">
        <f ca="1">IFERROR(+IF(AS$29=ProposalToGnatt[[#This Row],[Start Date]],Milestone_Marker,IF(AND(AS$29&gt;ProposalToGnatt[[#This Row],[Start Date]],AS$29&lt;ProposalToGnatt[[#This Row],[Start Date]]+ProposalToGnatt[[#This Row],[Days]]),$G$5,"")),"")</f>
        <v/>
      </c>
      <c r="AT80" s="37" t="str">
        <f ca="1">IFERROR(+IF(AT$29=ProposalToGnatt[[#This Row],[Start Date]],Milestone_Marker,IF(AND(AT$29&gt;ProposalToGnatt[[#This Row],[Start Date]],AT$29&lt;ProposalToGnatt[[#This Row],[Start Date]]+ProposalToGnatt[[#This Row],[Days]]),$G$5,"")),"")</f>
        <v/>
      </c>
      <c r="AU80" s="37" t="str">
        <f ca="1">IFERROR(+IF(AU$29=ProposalToGnatt[[#This Row],[Start Date]],Milestone_Marker,IF(AND(AU$29&gt;ProposalToGnatt[[#This Row],[Start Date]],AU$29&lt;ProposalToGnatt[[#This Row],[Start Date]]+ProposalToGnatt[[#This Row],[Days]]),$G$5,"")),"")</f>
        <v/>
      </c>
      <c r="AV80" s="37" t="str">
        <f ca="1">IFERROR(+IF(AV$29=ProposalToGnatt[[#This Row],[Start Date]],Milestone_Marker,IF(AND(AV$29&gt;ProposalToGnatt[[#This Row],[Start Date]],AV$29&lt;ProposalToGnatt[[#This Row],[Start Date]]+ProposalToGnatt[[#This Row],[Days]]),$G$5,"")),"")</f>
        <v/>
      </c>
      <c r="AW80" s="37" t="str">
        <f ca="1">IFERROR(+IF(AW$29=ProposalToGnatt[[#This Row],[Start Date]],Milestone_Marker,IF(AND(AW$29&gt;ProposalToGnatt[[#This Row],[Start Date]],AW$29&lt;ProposalToGnatt[[#This Row],[Start Date]]+ProposalToGnatt[[#This Row],[Days]]),$G$5,"")),"")</f>
        <v/>
      </c>
      <c r="AX80" s="37" t="str">
        <f ca="1">IFERROR(+IF(AX$29=ProposalToGnatt[[#This Row],[Start Date]],Milestone_Marker,IF(AND(AX$29&gt;ProposalToGnatt[[#This Row],[Start Date]],AX$29&lt;ProposalToGnatt[[#This Row],[Start Date]]+ProposalToGnatt[[#This Row],[Days]]),$G$5,"")),"")</f>
        <v/>
      </c>
      <c r="AY80" s="37" t="str">
        <f ca="1">IFERROR(+IF(AY$29=ProposalToGnatt[[#This Row],[Start Date]],Milestone_Marker,IF(AND(AY$29&gt;ProposalToGnatt[[#This Row],[Start Date]],AY$29&lt;ProposalToGnatt[[#This Row],[Start Date]]+ProposalToGnatt[[#This Row],[Days]]),$G$5,"")),"")</f>
        <v/>
      </c>
      <c r="AZ80" s="37" t="str">
        <f ca="1">IFERROR(+IF(AZ$29=ProposalToGnatt[[#This Row],[Start Date]],Milestone_Marker,IF(AND(AZ$29&gt;ProposalToGnatt[[#This Row],[Start Date]],AZ$29&lt;ProposalToGnatt[[#This Row],[Start Date]]+ProposalToGnatt[[#This Row],[Days]]),$G$5,"")),"")</f>
        <v/>
      </c>
      <c r="BA80" s="37" t="str">
        <f ca="1">IFERROR(+IF(BA$29=ProposalToGnatt[[#This Row],[Start Date]],Milestone_Marker,IF(AND(BA$29&gt;ProposalToGnatt[[#This Row],[Start Date]],BA$29&lt;ProposalToGnatt[[#This Row],[Start Date]]+ProposalToGnatt[[#This Row],[Days]]),$G$5,"")),"")</f>
        <v/>
      </c>
      <c r="BB80" s="37" t="str">
        <f ca="1">IFERROR(+IF(BB$29=ProposalToGnatt[[#This Row],[Start Date]],Milestone_Marker,IF(AND(BB$29&gt;ProposalToGnatt[[#This Row],[Start Date]],BB$29&lt;ProposalToGnatt[[#This Row],[Start Date]]+ProposalToGnatt[[#This Row],[Days]]),$G$5,"")),"")</f>
        <v/>
      </c>
      <c r="BC80" s="37" t="str">
        <f ca="1">IFERROR(+IF(BC$29=ProposalToGnatt[[#This Row],[Start Date]],Milestone_Marker,IF(AND(BC$29&gt;ProposalToGnatt[[#This Row],[Start Date]],BC$29&lt;ProposalToGnatt[[#This Row],[Start Date]]+ProposalToGnatt[[#This Row],[Days]]),$G$5,"")),"")</f>
        <v/>
      </c>
      <c r="BD80" s="37" t="str">
        <f ca="1">IFERROR(+IF(BD$29=ProposalToGnatt[[#This Row],[Start Date]],Milestone_Marker,IF(AND(BD$29&gt;ProposalToGnatt[[#This Row],[Start Date]],BD$29&lt;ProposalToGnatt[[#This Row],[Start Date]]+ProposalToGnatt[[#This Row],[Days]]),$G$5,"")),"")</f>
        <v/>
      </c>
      <c r="BE80" s="37" t="str">
        <f ca="1">IFERROR(+IF(BE$29=ProposalToGnatt[[#This Row],[Start Date]],Milestone_Marker,IF(AND(BE$29&gt;ProposalToGnatt[[#This Row],[Start Date]],BE$29&lt;ProposalToGnatt[[#This Row],[Start Date]]+ProposalToGnatt[[#This Row],[Days]]),$G$5,"")),"")</f>
        <v/>
      </c>
      <c r="BF80" s="37" t="str">
        <f ca="1">IFERROR(+IF(BF$29=ProposalToGnatt[[#This Row],[Start Date]],Milestone_Marker,IF(AND(BF$29&gt;ProposalToGnatt[[#This Row],[Start Date]],BF$29&lt;ProposalToGnatt[[#This Row],[Start Date]]+ProposalToGnatt[[#This Row],[Days]]),$G$5,"")),"")</f>
        <v/>
      </c>
      <c r="BG80" s="37" t="str">
        <f ca="1">IFERROR(+IF(BG$29=ProposalToGnatt[[#This Row],[Start Date]],Milestone_Marker,IF(AND(BG$29&gt;ProposalToGnatt[[#This Row],[Start Date]],BG$29&lt;ProposalToGnatt[[#This Row],[Start Date]]+ProposalToGnatt[[#This Row],[Days]]),$G$5,"")),"")</f>
        <v/>
      </c>
      <c r="BH80" s="37" t="str">
        <f ca="1">IFERROR(+IF(BH$29=ProposalToGnatt[[#This Row],[Start Date]],Milestone_Marker,IF(AND(BH$29&gt;ProposalToGnatt[[#This Row],[Start Date]],BH$29&lt;ProposalToGnatt[[#This Row],[Start Date]]+ProposalToGnatt[[#This Row],[Days]]),$G$5,"")),"")</f>
        <v/>
      </c>
      <c r="BI80" s="37" t="str">
        <f ca="1">IFERROR(+IF(BI$29=ProposalToGnatt[[#This Row],[Start Date]],Milestone_Marker,IF(AND(BI$29&gt;ProposalToGnatt[[#This Row],[Start Date]],BI$29&lt;ProposalToGnatt[[#This Row],[Start Date]]+ProposalToGnatt[[#This Row],[Days]]),$G$5,"")),"")</f>
        <v/>
      </c>
      <c r="BJ80" s="37" t="str">
        <f ca="1">IFERROR(+IF(BJ$29=ProposalToGnatt[[#This Row],[Start Date]],Milestone_Marker,IF(AND(BJ$29&gt;ProposalToGnatt[[#This Row],[Start Date]],BJ$29&lt;ProposalToGnatt[[#This Row],[Start Date]]+ProposalToGnatt[[#This Row],[Days]]),$G$5,"")),"")</f>
        <v/>
      </c>
      <c r="BK80" s="37" t="str">
        <f ca="1">IFERROR(+IF(BK$29=ProposalToGnatt[[#This Row],[Start Date]],Milestone_Marker,IF(AND(BK$29&gt;ProposalToGnatt[[#This Row],[Start Date]],BK$29&lt;ProposalToGnatt[[#This Row],[Start Date]]+ProposalToGnatt[[#This Row],[Days]]),$G$5,"")),"")</f>
        <v/>
      </c>
      <c r="BL80" s="37" t="str">
        <f ca="1">IFERROR(+IF(BL$29=ProposalToGnatt[[#This Row],[Start Date]],Milestone_Marker,IF(AND(BL$29&gt;ProposalToGnatt[[#This Row],[Start Date]],BL$29&lt;ProposalToGnatt[[#This Row],[Start Date]]+ProposalToGnatt[[#This Row],[Days]]),$G$5,"")),"")</f>
        <v/>
      </c>
      <c r="BM80" s="37" t="str">
        <f ca="1">IFERROR(+IF(BM$29=ProposalToGnatt[[#This Row],[Start Date]],Milestone_Marker,IF(AND(BM$29&gt;ProposalToGnatt[[#This Row],[Start Date]],BM$29&lt;ProposalToGnatt[[#This Row],[Start Date]]+ProposalToGnatt[[#This Row],[Days]]),$G$5,"")),"")</f>
        <v/>
      </c>
      <c r="BN80" s="37" t="str">
        <f ca="1">IFERROR(+IF(BN$29=ProposalToGnatt[[#This Row],[Start Date]],Milestone_Marker,IF(AND(BN$29&gt;ProposalToGnatt[[#This Row],[Start Date]],BN$29&lt;ProposalToGnatt[[#This Row],[Start Date]]+ProposalToGnatt[[#This Row],[Days]]),$G$5,"")),"")</f>
        <v/>
      </c>
      <c r="BO80" s="37" t="str">
        <f ca="1">IFERROR(+IF(BO$29=ProposalToGnatt[[#This Row],[Start Date]],Milestone_Marker,IF(AND(BO$29&gt;ProposalToGnatt[[#This Row],[Start Date]],BO$29&lt;ProposalToGnatt[[#This Row],[Start Date]]+ProposalToGnatt[[#This Row],[Days]]),$G$5,"")),"")</f>
        <v/>
      </c>
      <c r="BP80" s="37" t="str">
        <f ca="1">IFERROR(+IF(BP$29=ProposalToGnatt[[#This Row],[Start Date]],Milestone_Marker,IF(AND(BP$29&gt;ProposalToGnatt[[#This Row],[Start Date]],BP$29&lt;ProposalToGnatt[[#This Row],[Start Date]]+ProposalToGnatt[[#This Row],[Days]]),$G$5,"")),"")</f>
        <v/>
      </c>
      <c r="BQ80" s="37" t="str">
        <f ca="1">IFERROR(+IF(BQ$29=ProposalToGnatt[[#This Row],[Start Date]],Milestone_Marker,IF(AND(BQ$29&gt;ProposalToGnatt[[#This Row],[Start Date]],BQ$29&lt;ProposalToGnatt[[#This Row],[Start Date]]+ProposalToGnatt[[#This Row],[Days]]),$G$5,"")),"")</f>
        <v/>
      </c>
      <c r="BR80" s="37" t="str">
        <f ca="1">IFERROR(+IF(BR$29=ProposalToGnatt[[#This Row],[Start Date]],Milestone_Marker,IF(AND(BR$29&gt;ProposalToGnatt[[#This Row],[Start Date]],BR$29&lt;ProposalToGnatt[[#This Row],[Start Date]]+ProposalToGnatt[[#This Row],[Days]]),$G$5,"")),"")</f>
        <v/>
      </c>
      <c r="BS80" s="37" t="str">
        <f ca="1">IFERROR(+IF(BS$29=ProposalToGnatt[[#This Row],[Start Date]],Milestone_Marker,IF(AND(BS$29&gt;ProposalToGnatt[[#This Row],[Start Date]],BS$29&lt;ProposalToGnatt[[#This Row],[Start Date]]+ProposalToGnatt[[#This Row],[Days]]),$G$5,"")),"")</f>
        <v/>
      </c>
      <c r="BT80" s="37" t="str">
        <f ca="1">IFERROR(+IF(BT$29=ProposalToGnatt[[#This Row],[Start Date]],Milestone_Marker,IF(AND(BT$29&gt;ProposalToGnatt[[#This Row],[Start Date]],BT$29&lt;ProposalToGnatt[[#This Row],[Start Date]]+ProposalToGnatt[[#This Row],[Days]]),$G$5,"")),"")</f>
        <v/>
      </c>
      <c r="BU80" s="37" t="str">
        <f ca="1">IFERROR(+IF(BU$29=ProposalToGnatt[[#This Row],[Start Date]],Milestone_Marker,IF(AND(BU$29&gt;ProposalToGnatt[[#This Row],[Start Date]],BU$29&lt;ProposalToGnatt[[#This Row],[Start Date]]+ProposalToGnatt[[#This Row],[Days]]),$G$5,"")),"")</f>
        <v/>
      </c>
      <c r="BV80" s="37" t="str">
        <f ca="1">IFERROR(+IF(BV$29=ProposalToGnatt[[#This Row],[Start Date]],Milestone_Marker,IF(AND(BV$29&gt;ProposalToGnatt[[#This Row],[Start Date]],BV$29&lt;ProposalToGnatt[[#This Row],[Start Date]]+ProposalToGnatt[[#This Row],[Days]]),$G$5,"")),"")</f>
        <v/>
      </c>
      <c r="BW80" s="37" t="str">
        <f ca="1">IFERROR(+IF(BW$29=ProposalToGnatt[[#This Row],[Start Date]],Milestone_Marker,IF(AND(BW$29&gt;ProposalToGnatt[[#This Row],[Start Date]],BW$29&lt;ProposalToGnatt[[#This Row],[Start Date]]+ProposalToGnatt[[#This Row],[Days]]),$G$5,"")),"")</f>
        <v/>
      </c>
      <c r="BX80" s="37" t="str">
        <f ca="1">IFERROR(+IF(BX$29=ProposalToGnatt[[#This Row],[Start Date]],Milestone_Marker,IF(AND(BX$29&gt;ProposalToGnatt[[#This Row],[Start Date]],BX$29&lt;ProposalToGnatt[[#This Row],[Start Date]]+ProposalToGnatt[[#This Row],[Days]]),$G$5,"")),"")</f>
        <v/>
      </c>
      <c r="BY80" s="37" t="str">
        <f ca="1">IFERROR(+IF(BY$29=ProposalToGnatt[[#This Row],[Start Date]],Milestone_Marker,IF(AND(BY$29&gt;ProposalToGnatt[[#This Row],[Start Date]],BY$29&lt;ProposalToGnatt[[#This Row],[Start Date]]+ProposalToGnatt[[#This Row],[Days]]),$G$5,"")),"")</f>
        <v/>
      </c>
      <c r="BZ80" s="37" t="str">
        <f ca="1">IFERROR(+IF(BZ$29=ProposalToGnatt[[#This Row],[Start Date]],Milestone_Marker,IF(AND(BZ$29&gt;ProposalToGnatt[[#This Row],[Start Date]],BZ$29&lt;ProposalToGnatt[[#This Row],[Start Date]]+ProposalToGnatt[[#This Row],[Days]]),$G$5,"")),"")</f>
        <v/>
      </c>
      <c r="CA80" s="37" t="str">
        <f ca="1">IFERROR(+IF(CA$29=ProposalToGnatt[[#This Row],[Start Date]],Milestone_Marker,IF(AND(CA$29&gt;ProposalToGnatt[[#This Row],[Start Date]],CA$29&lt;ProposalToGnatt[[#This Row],[Start Date]]+ProposalToGnatt[[#This Row],[Days]]),$G$5,"")),"")</f>
        <v/>
      </c>
      <c r="CB80" s="37" t="str">
        <f ca="1">IFERROR(+IF(CB$29=ProposalToGnatt[[#This Row],[Start Date]],Milestone_Marker,IF(AND(CB$29&gt;ProposalToGnatt[[#This Row],[Start Date]],CB$29&lt;ProposalToGnatt[[#This Row],[Start Date]]+ProposalToGnatt[[#This Row],[Days]]),$G$5,"")),"")</f>
        <v/>
      </c>
      <c r="CC80" s="37" t="str">
        <f ca="1">IFERROR(+IF(CC$29=ProposalToGnatt[[#This Row],[Start Date]],Milestone_Marker,IF(AND(CC$29&gt;ProposalToGnatt[[#This Row],[Start Date]],CC$29&lt;ProposalToGnatt[[#This Row],[Start Date]]+ProposalToGnatt[[#This Row],[Days]]),$G$5,"")),"")</f>
        <v/>
      </c>
      <c r="CD80" s="37" t="str">
        <f ca="1">IFERROR(+IF(CD$29=ProposalToGnatt[[#This Row],[Start Date]],Milestone_Marker,IF(AND(CD$29&gt;ProposalToGnatt[[#This Row],[Start Date]],CD$29&lt;ProposalToGnatt[[#This Row],[Start Date]]+ProposalToGnatt[[#This Row],[Days]]),$G$5,"")),"")</f>
        <v/>
      </c>
      <c r="CE80" s="37" t="str">
        <f ca="1">IFERROR(+IF(CE$29=ProposalToGnatt[[#This Row],[Start Date]],Milestone_Marker,IF(AND(CE$29&gt;ProposalToGnatt[[#This Row],[Start Date]],CE$29&lt;ProposalToGnatt[[#This Row],[Start Date]]+ProposalToGnatt[[#This Row],[Days]]),$G$5,"")),"")</f>
        <v/>
      </c>
      <c r="CF80" s="37" t="str">
        <f ca="1">IFERROR(+IF(CF$29=ProposalToGnatt[[#This Row],[Start Date]],Milestone_Marker,IF(AND(CF$29&gt;ProposalToGnatt[[#This Row],[Start Date]],CF$29&lt;ProposalToGnatt[[#This Row],[Start Date]]+ProposalToGnatt[[#This Row],[Days]]),$G$5,"")),"")</f>
        <v/>
      </c>
      <c r="CG80" s="37" t="str">
        <f ca="1">IFERROR(+IF(CG$29=ProposalToGnatt[[#This Row],[Start Date]],Milestone_Marker,IF(AND(CG$29&gt;ProposalToGnatt[[#This Row],[Start Date]],CG$29&lt;ProposalToGnatt[[#This Row],[Start Date]]+ProposalToGnatt[[#This Row],[Days]]),$G$5,"")),"")</f>
        <v/>
      </c>
      <c r="CH80" s="37" t="str">
        <f ca="1">IFERROR(+IF(CH$29=ProposalToGnatt[[#This Row],[Start Date]],Milestone_Marker,IF(AND(CH$29&gt;ProposalToGnatt[[#This Row],[Start Date]],CH$29&lt;ProposalToGnatt[[#This Row],[Start Date]]+ProposalToGnatt[[#This Row],[Days]]),$G$5,"")),"")</f>
        <v/>
      </c>
      <c r="CI80" s="37" t="str">
        <f ca="1">IFERROR(+IF(CI$29=ProposalToGnatt[[#This Row],[Start Date]],Milestone_Marker,IF(AND(CI$29&gt;ProposalToGnatt[[#This Row],[Start Date]],CI$29&lt;ProposalToGnatt[[#This Row],[Start Date]]+ProposalToGnatt[[#This Row],[Days]]),$G$5,"")),"")</f>
        <v/>
      </c>
      <c r="CJ80" s="37" t="str">
        <f ca="1">IFERROR(+IF(CJ$29=ProposalToGnatt[[#This Row],[Start Date]],Milestone_Marker,IF(AND(CJ$29&gt;ProposalToGnatt[[#This Row],[Start Date]],CJ$29&lt;ProposalToGnatt[[#This Row],[Start Date]]+ProposalToGnatt[[#This Row],[Days]]),$G$5,"")),"")</f>
        <v/>
      </c>
      <c r="CK80" s="37" t="str">
        <f ca="1">IFERROR(+IF(CK$29=ProposalToGnatt[[#This Row],[Start Date]],Milestone_Marker,IF(AND(CK$29&gt;ProposalToGnatt[[#This Row],[Start Date]],CK$29&lt;ProposalToGnatt[[#This Row],[Start Date]]+ProposalToGnatt[[#This Row],[Days]]),$G$5,"")),"")</f>
        <v/>
      </c>
      <c r="CL80" s="37" t="str">
        <f ca="1">IFERROR(+IF(CL$29=ProposalToGnatt[[#This Row],[Start Date]],Milestone_Marker,IF(AND(CL$29&gt;ProposalToGnatt[[#This Row],[Start Date]],CL$29&lt;ProposalToGnatt[[#This Row],[Start Date]]+ProposalToGnatt[[#This Row],[Days]]),$G$5,"")),"")</f>
        <v/>
      </c>
      <c r="CM80" s="37" t="str">
        <f ca="1">IFERROR(+IF(CM$29=ProposalToGnatt[[#This Row],[Start Date]],Milestone_Marker,IF(AND(CM$29&gt;ProposalToGnatt[[#This Row],[Start Date]],CM$29&lt;ProposalToGnatt[[#This Row],[Start Date]]+ProposalToGnatt[[#This Row],[Days]]),$G$5,"")),"")</f>
        <v/>
      </c>
      <c r="CN80" s="37" t="str">
        <f ca="1">IFERROR(+IF(CN$29=ProposalToGnatt[[#This Row],[Start Date]],Milestone_Marker,IF(AND(CN$29&gt;ProposalToGnatt[[#This Row],[Start Date]],CN$29&lt;ProposalToGnatt[[#This Row],[Start Date]]+ProposalToGnatt[[#This Row],[Days]]),$G$5,"")),"")</f>
        <v/>
      </c>
      <c r="CO80" s="37" t="str">
        <f ca="1">IFERROR(+IF(CO$29=ProposalToGnatt[[#This Row],[Start Date]],Milestone_Marker,IF(AND(CO$29&gt;ProposalToGnatt[[#This Row],[Start Date]],CO$29&lt;ProposalToGnatt[[#This Row],[Start Date]]+ProposalToGnatt[[#This Row],[Days]]),$G$5,"")),"")</f>
        <v/>
      </c>
      <c r="CP80" s="37" t="str">
        <f ca="1">IFERROR(+IF(CP$29=ProposalToGnatt[[#This Row],[Start Date]],Milestone_Marker,IF(AND(CP$29&gt;ProposalToGnatt[[#This Row],[Start Date]],CP$29&lt;ProposalToGnatt[[#This Row],[Start Date]]+ProposalToGnatt[[#This Row],[Days]]),$G$5,"")),"")</f>
        <v/>
      </c>
      <c r="CQ80" s="37" t="str">
        <f ca="1">IFERROR(+IF(CQ$29=ProposalToGnatt[[#This Row],[Start Date]],Milestone_Marker,IF(AND(CQ$29&gt;ProposalToGnatt[[#This Row],[Start Date]],CQ$29&lt;ProposalToGnatt[[#This Row],[Start Date]]+ProposalToGnatt[[#This Row],[Days]]),$G$5,"")),"")</f>
        <v/>
      </c>
      <c r="CR80" s="37" t="str">
        <f ca="1">IFERROR(+IF(CR$29=ProposalToGnatt[[#This Row],[Start Date]],Milestone_Marker,IF(AND(CR$29&gt;ProposalToGnatt[[#This Row],[Start Date]],CR$29&lt;ProposalToGnatt[[#This Row],[Start Date]]+ProposalToGnatt[[#This Row],[Days]]),$G$5,"")),"")</f>
        <v/>
      </c>
      <c r="CS80" s="37" t="str">
        <f ca="1">IFERROR(+IF(CS$29=ProposalToGnatt[[#This Row],[Start Date]],Milestone_Marker,IF(AND(CS$29&gt;ProposalToGnatt[[#This Row],[Start Date]],CS$29&lt;ProposalToGnatt[[#This Row],[Start Date]]+ProposalToGnatt[[#This Row],[Days]]),$G$5,"")),"")</f>
        <v/>
      </c>
      <c r="CT80" s="37" t="str">
        <f ca="1">IFERROR(+IF(CT$29=ProposalToGnatt[[#This Row],[Start Date]],Milestone_Marker,IF(AND(CT$29&gt;ProposalToGnatt[[#This Row],[Start Date]],CT$29&lt;ProposalToGnatt[[#This Row],[Start Date]]+ProposalToGnatt[[#This Row],[Days]]),$G$5,"")),"")</f>
        <v/>
      </c>
      <c r="CU80" s="37" t="str">
        <f ca="1">IFERROR(+IF(CU$29=ProposalToGnatt[[#This Row],[Start Date]],Milestone_Marker,IF(AND(CU$29&gt;ProposalToGnatt[[#This Row],[Start Date]],CU$29&lt;ProposalToGnatt[[#This Row],[Start Date]]+ProposalToGnatt[[#This Row],[Days]]),$G$5,"")),"")</f>
        <v/>
      </c>
      <c r="CV80" s="37" t="str">
        <f ca="1">IFERROR(+IF(CT$29=#REF!,Milestone_Marker,IF(AND(CT$29&gt;#REF!,CT$29&lt;=#REF!+#REF!),$G$5,"")),"")</f>
        <v/>
      </c>
      <c r="CW80" s="37" t="str">
        <f ca="1">IFERROR(+IF(CU$29=#REF!,Milestone_Marker,IF(AND(CU$29&gt;#REF!,CU$29&lt;=#REF!+#REF!),$G$5,"")),"")</f>
        <v/>
      </c>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row>
    <row r="81" spans="1:125" ht="15">
      <c r="A81"/>
      <c r="B81"/>
      <c r="C81"/>
      <c r="D81"/>
      <c r="E81"/>
      <c r="F81"/>
      <c r="G81" s="11"/>
      <c r="H81" s="26"/>
      <c r="I81"/>
      <c r="J81"/>
      <c r="K81" s="402"/>
      <c r="L81"/>
      <c r="M81"/>
      <c r="N81"/>
      <c r="O81" s="26"/>
      <c r="P81" s="37" t="str">
        <f ca="1">IFERROR(+IF(P$29=ProposalToGnatt[[#This Row],[Start Date]],Milestone_Marker,IF(AND(P$29&gt;ProposalToGnatt[[#This Row],[Start Date]],P$29&lt;ProposalToGnatt[[#This Row],[Start Date]]+ProposalToGnatt[[#This Row],[Days]]),$G$5,"")),"")</f>
        <v/>
      </c>
      <c r="Q81" s="37" t="str">
        <f ca="1">IFERROR(+IF(Q$29=ProposalToGnatt[[#This Row],[Start Date]],Milestone_Marker,IF(AND(Q$29&gt;ProposalToGnatt[[#This Row],[Start Date]],Q$29&lt;ProposalToGnatt[[#This Row],[Start Date]]+ProposalToGnatt[[#This Row],[Days]]),$G$5,"")),"")</f>
        <v/>
      </c>
      <c r="R81" s="37" t="str">
        <f ca="1">IFERROR(+IF(R$29=ProposalToGnatt[[#This Row],[Start Date]],Milestone_Marker,IF(AND(R$29&gt;ProposalToGnatt[[#This Row],[Start Date]],R$29&lt;ProposalToGnatt[[#This Row],[Start Date]]+ProposalToGnatt[[#This Row],[Days]]),$G$5,"")),"")</f>
        <v/>
      </c>
      <c r="S81" s="37" t="str">
        <f ca="1">IFERROR(+IF(S$29=ProposalToGnatt[[#This Row],[Start Date]],Milestone_Marker,IF(AND(S$29&gt;ProposalToGnatt[[#This Row],[Start Date]],S$29&lt;ProposalToGnatt[[#This Row],[Start Date]]+ProposalToGnatt[[#This Row],[Days]]),$G$5,"")),"")</f>
        <v/>
      </c>
      <c r="T81" s="37" t="str">
        <f ca="1">IFERROR(+IF(T$29=ProposalToGnatt[[#This Row],[Start Date]],Milestone_Marker,IF(AND(T$29&gt;ProposalToGnatt[[#This Row],[Start Date]],T$29&lt;ProposalToGnatt[[#This Row],[Start Date]]+ProposalToGnatt[[#This Row],[Days]]),$G$5,"")),"")</f>
        <v/>
      </c>
      <c r="U81" s="37" t="str">
        <f ca="1">IFERROR(+IF(U$29=ProposalToGnatt[[#This Row],[Start Date]],Milestone_Marker,IF(AND(U$29&gt;ProposalToGnatt[[#This Row],[Start Date]],U$29&lt;ProposalToGnatt[[#This Row],[Start Date]]+ProposalToGnatt[[#This Row],[Days]]),$G$5,"")),"")</f>
        <v/>
      </c>
      <c r="V81" s="37" t="str">
        <f ca="1">IFERROR(+IF(V$29=ProposalToGnatt[[#This Row],[Start Date]],Milestone_Marker,IF(AND(V$29&gt;ProposalToGnatt[[#This Row],[Start Date]],V$29&lt;ProposalToGnatt[[#This Row],[Start Date]]+ProposalToGnatt[[#This Row],[Days]]),$G$5,"")),"")</f>
        <v/>
      </c>
      <c r="W81" s="37" t="str">
        <f ca="1">IFERROR(+IF(W$29=ProposalToGnatt[[#This Row],[Start Date]],Milestone_Marker,IF(AND(W$29&gt;ProposalToGnatt[[#This Row],[Start Date]],W$29&lt;ProposalToGnatt[[#This Row],[Start Date]]+ProposalToGnatt[[#This Row],[Days]]),$G$5,"")),"")</f>
        <v/>
      </c>
      <c r="X81" s="37" t="str">
        <f ca="1">IFERROR(+IF(X$29=ProposalToGnatt[[#This Row],[Start Date]],Milestone_Marker,IF(AND(X$29&gt;ProposalToGnatt[[#This Row],[Start Date]],X$29&lt;ProposalToGnatt[[#This Row],[Start Date]]+ProposalToGnatt[[#This Row],[Days]]),$G$5,"")),"")</f>
        <v/>
      </c>
      <c r="Y81" s="37" t="str">
        <f ca="1">IFERROR(+IF(Y$29=ProposalToGnatt[[#This Row],[Start Date]],Milestone_Marker,IF(AND(Y$29&gt;ProposalToGnatt[[#This Row],[Start Date]],Y$29&lt;ProposalToGnatt[[#This Row],[Start Date]]+ProposalToGnatt[[#This Row],[Days]]),$G$5,"")),"")</f>
        <v/>
      </c>
      <c r="Z81" s="37" t="str">
        <f ca="1">IFERROR(+IF(Z$29=ProposalToGnatt[[#This Row],[Start Date]],Milestone_Marker,IF(AND(Z$29&gt;ProposalToGnatt[[#This Row],[Start Date]],Z$29&lt;ProposalToGnatt[[#This Row],[Start Date]]+ProposalToGnatt[[#This Row],[Days]]),$G$5,"")),"")</f>
        <v/>
      </c>
      <c r="AA81" s="37" t="str">
        <f ca="1">IFERROR(+IF(AA$29=ProposalToGnatt[[#This Row],[Start Date]],Milestone_Marker,IF(AND(AA$29&gt;ProposalToGnatt[[#This Row],[Start Date]],AA$29&lt;ProposalToGnatt[[#This Row],[Start Date]]+ProposalToGnatt[[#This Row],[Days]]),$G$5,"")),"")</f>
        <v/>
      </c>
      <c r="AB81" s="37" t="str">
        <f ca="1">IFERROR(+IF(AB$29=ProposalToGnatt[[#This Row],[Start Date]],Milestone_Marker,IF(AND(AB$29&gt;ProposalToGnatt[[#This Row],[Start Date]],AB$29&lt;ProposalToGnatt[[#This Row],[Start Date]]+ProposalToGnatt[[#This Row],[Days]]),$G$5,"")),"")</f>
        <v/>
      </c>
      <c r="AC81" s="37" t="str">
        <f ca="1">IFERROR(+IF(AC$29=ProposalToGnatt[[#This Row],[Start Date]],Milestone_Marker,IF(AND(AC$29&gt;ProposalToGnatt[[#This Row],[Start Date]],AC$29&lt;ProposalToGnatt[[#This Row],[Start Date]]+ProposalToGnatt[[#This Row],[Days]]),$G$5,"")),"")</f>
        <v/>
      </c>
      <c r="AD81" s="37" t="str">
        <f ca="1">IFERROR(+IF(AD$29=ProposalToGnatt[[#This Row],[Start Date]],Milestone_Marker,IF(AND(AD$29&gt;ProposalToGnatt[[#This Row],[Start Date]],AD$29&lt;ProposalToGnatt[[#This Row],[Start Date]]+ProposalToGnatt[[#This Row],[Days]]),$G$5,"")),"")</f>
        <v/>
      </c>
      <c r="AE81" s="37" t="str">
        <f ca="1">IFERROR(+IF(AE$29=ProposalToGnatt[[#This Row],[Start Date]],Milestone_Marker,IF(AND(AE$29&gt;ProposalToGnatt[[#This Row],[Start Date]],AE$29&lt;ProposalToGnatt[[#This Row],[Start Date]]+ProposalToGnatt[[#This Row],[Days]]),$G$5,"")),"")</f>
        <v/>
      </c>
      <c r="AF81" s="37" t="str">
        <f ca="1">IFERROR(+IF(AF$29=ProposalToGnatt[[#This Row],[Start Date]],Milestone_Marker,IF(AND(AF$29&gt;ProposalToGnatt[[#This Row],[Start Date]],AF$29&lt;ProposalToGnatt[[#This Row],[Start Date]]+ProposalToGnatt[[#This Row],[Days]]),$G$5,"")),"")</f>
        <v/>
      </c>
      <c r="AG81" s="37" t="str">
        <f ca="1">IFERROR(+IF(AG$29=ProposalToGnatt[[#This Row],[Start Date]],Milestone_Marker,IF(AND(AG$29&gt;ProposalToGnatt[[#This Row],[Start Date]],AG$29&lt;ProposalToGnatt[[#This Row],[Start Date]]+ProposalToGnatt[[#This Row],[Days]]),$G$5,"")),"")</f>
        <v/>
      </c>
      <c r="AH81" s="37" t="str">
        <f ca="1">IFERROR(+IF(AH$29=ProposalToGnatt[[#This Row],[Start Date]],Milestone_Marker,IF(AND(AH$29&gt;ProposalToGnatt[[#This Row],[Start Date]],AH$29&lt;ProposalToGnatt[[#This Row],[Start Date]]+ProposalToGnatt[[#This Row],[Days]]),$G$5,"")),"")</f>
        <v/>
      </c>
      <c r="AI81" s="37" t="str">
        <f ca="1">IFERROR(+IF(AI$29=ProposalToGnatt[[#This Row],[Start Date]],Milestone_Marker,IF(AND(AI$29&gt;ProposalToGnatt[[#This Row],[Start Date]],AI$29&lt;ProposalToGnatt[[#This Row],[Start Date]]+ProposalToGnatt[[#This Row],[Days]]),$G$5,"")),"")</f>
        <v/>
      </c>
      <c r="AJ81" s="37" t="str">
        <f ca="1">IFERROR(+IF(AJ$29=ProposalToGnatt[[#This Row],[Start Date]],Milestone_Marker,IF(AND(AJ$29&gt;ProposalToGnatt[[#This Row],[Start Date]],AJ$29&lt;ProposalToGnatt[[#This Row],[Start Date]]+ProposalToGnatt[[#This Row],[Days]]),$G$5,"")),"")</f>
        <v/>
      </c>
      <c r="AK81" s="37" t="str">
        <f ca="1">IFERROR(+IF(AK$29=ProposalToGnatt[[#This Row],[Start Date]],Milestone_Marker,IF(AND(AK$29&gt;ProposalToGnatt[[#This Row],[Start Date]],AK$29&lt;ProposalToGnatt[[#This Row],[Start Date]]+ProposalToGnatt[[#This Row],[Days]]),$G$5,"")),"")</f>
        <v/>
      </c>
      <c r="AL81" s="37" t="str">
        <f ca="1">IFERROR(+IF(AL$29=ProposalToGnatt[[#This Row],[Start Date]],Milestone_Marker,IF(AND(AL$29&gt;ProposalToGnatt[[#This Row],[Start Date]],AL$29&lt;ProposalToGnatt[[#This Row],[Start Date]]+ProposalToGnatt[[#This Row],[Days]]),$G$5,"")),"")</f>
        <v/>
      </c>
      <c r="AM81" s="37" t="str">
        <f ca="1">IFERROR(+IF(AM$29=ProposalToGnatt[[#This Row],[Start Date]],Milestone_Marker,IF(AND(AM$29&gt;ProposalToGnatt[[#This Row],[Start Date]],AM$29&lt;ProposalToGnatt[[#This Row],[Start Date]]+ProposalToGnatt[[#This Row],[Days]]),$G$5,"")),"")</f>
        <v/>
      </c>
      <c r="AN81" s="37" t="str">
        <f ca="1">IFERROR(+IF(AN$29=ProposalToGnatt[[#This Row],[Start Date]],Milestone_Marker,IF(AND(AN$29&gt;ProposalToGnatt[[#This Row],[Start Date]],AN$29&lt;ProposalToGnatt[[#This Row],[Start Date]]+ProposalToGnatt[[#This Row],[Days]]),$G$5,"")),"")</f>
        <v/>
      </c>
      <c r="AO81" s="37" t="str">
        <f ca="1">IFERROR(+IF(AO$29=ProposalToGnatt[[#This Row],[Start Date]],Milestone_Marker,IF(AND(AO$29&gt;ProposalToGnatt[[#This Row],[Start Date]],AO$29&lt;ProposalToGnatt[[#This Row],[Start Date]]+ProposalToGnatt[[#This Row],[Days]]),$G$5,"")),"")</f>
        <v/>
      </c>
      <c r="AP81" s="37" t="str">
        <f ca="1">IFERROR(+IF(AP$29=ProposalToGnatt[[#This Row],[Start Date]],Milestone_Marker,IF(AND(AP$29&gt;ProposalToGnatt[[#This Row],[Start Date]],AP$29&lt;ProposalToGnatt[[#This Row],[Start Date]]+ProposalToGnatt[[#This Row],[Days]]),$G$5,"")),"")</f>
        <v/>
      </c>
      <c r="AQ81" s="37" t="str">
        <f ca="1">IFERROR(+IF(AQ$29=ProposalToGnatt[[#This Row],[Start Date]],Milestone_Marker,IF(AND(AQ$29&gt;ProposalToGnatt[[#This Row],[Start Date]],AQ$29&lt;ProposalToGnatt[[#This Row],[Start Date]]+ProposalToGnatt[[#This Row],[Days]]),$G$5,"")),"")</f>
        <v/>
      </c>
      <c r="AR81" s="37" t="str">
        <f ca="1">IFERROR(+IF(AR$29=ProposalToGnatt[[#This Row],[Start Date]],Milestone_Marker,IF(AND(AR$29&gt;ProposalToGnatt[[#This Row],[Start Date]],AR$29&lt;ProposalToGnatt[[#This Row],[Start Date]]+ProposalToGnatt[[#This Row],[Days]]),$G$5,"")),"")</f>
        <v/>
      </c>
      <c r="AS81" s="37" t="str">
        <f ca="1">IFERROR(+IF(AS$29=ProposalToGnatt[[#This Row],[Start Date]],Milestone_Marker,IF(AND(AS$29&gt;ProposalToGnatt[[#This Row],[Start Date]],AS$29&lt;ProposalToGnatt[[#This Row],[Start Date]]+ProposalToGnatt[[#This Row],[Days]]),$G$5,"")),"")</f>
        <v/>
      </c>
      <c r="AT81" s="37" t="str">
        <f ca="1">IFERROR(+IF(AT$29=ProposalToGnatt[[#This Row],[Start Date]],Milestone_Marker,IF(AND(AT$29&gt;ProposalToGnatt[[#This Row],[Start Date]],AT$29&lt;ProposalToGnatt[[#This Row],[Start Date]]+ProposalToGnatt[[#This Row],[Days]]),$G$5,"")),"")</f>
        <v/>
      </c>
      <c r="AU81" s="37" t="str">
        <f ca="1">IFERROR(+IF(AU$29=ProposalToGnatt[[#This Row],[Start Date]],Milestone_Marker,IF(AND(AU$29&gt;ProposalToGnatt[[#This Row],[Start Date]],AU$29&lt;ProposalToGnatt[[#This Row],[Start Date]]+ProposalToGnatt[[#This Row],[Days]]),$G$5,"")),"")</f>
        <v/>
      </c>
      <c r="AV81" s="37" t="str">
        <f ca="1">IFERROR(+IF(AV$29=ProposalToGnatt[[#This Row],[Start Date]],Milestone_Marker,IF(AND(AV$29&gt;ProposalToGnatt[[#This Row],[Start Date]],AV$29&lt;ProposalToGnatt[[#This Row],[Start Date]]+ProposalToGnatt[[#This Row],[Days]]),$G$5,"")),"")</f>
        <v/>
      </c>
      <c r="AW81" s="37" t="str">
        <f ca="1">IFERROR(+IF(AW$29=ProposalToGnatt[[#This Row],[Start Date]],Milestone_Marker,IF(AND(AW$29&gt;ProposalToGnatt[[#This Row],[Start Date]],AW$29&lt;ProposalToGnatt[[#This Row],[Start Date]]+ProposalToGnatt[[#This Row],[Days]]),$G$5,"")),"")</f>
        <v/>
      </c>
      <c r="AX81" s="37" t="str">
        <f ca="1">IFERROR(+IF(AX$29=ProposalToGnatt[[#This Row],[Start Date]],Milestone_Marker,IF(AND(AX$29&gt;ProposalToGnatt[[#This Row],[Start Date]],AX$29&lt;ProposalToGnatt[[#This Row],[Start Date]]+ProposalToGnatt[[#This Row],[Days]]),$G$5,"")),"")</f>
        <v/>
      </c>
      <c r="AY81" s="37" t="str">
        <f ca="1">IFERROR(+IF(AY$29=ProposalToGnatt[[#This Row],[Start Date]],Milestone_Marker,IF(AND(AY$29&gt;ProposalToGnatt[[#This Row],[Start Date]],AY$29&lt;ProposalToGnatt[[#This Row],[Start Date]]+ProposalToGnatt[[#This Row],[Days]]),$G$5,"")),"")</f>
        <v/>
      </c>
      <c r="AZ81" s="37" t="str">
        <f ca="1">IFERROR(+IF(AZ$29=ProposalToGnatt[[#This Row],[Start Date]],Milestone_Marker,IF(AND(AZ$29&gt;ProposalToGnatt[[#This Row],[Start Date]],AZ$29&lt;ProposalToGnatt[[#This Row],[Start Date]]+ProposalToGnatt[[#This Row],[Days]]),$G$5,"")),"")</f>
        <v/>
      </c>
      <c r="BA81" s="37" t="str">
        <f ca="1">IFERROR(+IF(BA$29=ProposalToGnatt[[#This Row],[Start Date]],Milestone_Marker,IF(AND(BA$29&gt;ProposalToGnatt[[#This Row],[Start Date]],BA$29&lt;ProposalToGnatt[[#This Row],[Start Date]]+ProposalToGnatt[[#This Row],[Days]]),$G$5,"")),"")</f>
        <v/>
      </c>
      <c r="BB81" s="37" t="str">
        <f ca="1">IFERROR(+IF(BB$29=ProposalToGnatt[[#This Row],[Start Date]],Milestone_Marker,IF(AND(BB$29&gt;ProposalToGnatt[[#This Row],[Start Date]],BB$29&lt;ProposalToGnatt[[#This Row],[Start Date]]+ProposalToGnatt[[#This Row],[Days]]),$G$5,"")),"")</f>
        <v/>
      </c>
      <c r="BC81" s="37" t="str">
        <f ca="1">IFERROR(+IF(BC$29=ProposalToGnatt[[#This Row],[Start Date]],Milestone_Marker,IF(AND(BC$29&gt;ProposalToGnatt[[#This Row],[Start Date]],BC$29&lt;ProposalToGnatt[[#This Row],[Start Date]]+ProposalToGnatt[[#This Row],[Days]]),$G$5,"")),"")</f>
        <v/>
      </c>
      <c r="BD81" s="37" t="str">
        <f ca="1">IFERROR(+IF(BD$29=ProposalToGnatt[[#This Row],[Start Date]],Milestone_Marker,IF(AND(BD$29&gt;ProposalToGnatt[[#This Row],[Start Date]],BD$29&lt;ProposalToGnatt[[#This Row],[Start Date]]+ProposalToGnatt[[#This Row],[Days]]),$G$5,"")),"")</f>
        <v/>
      </c>
      <c r="BE81" s="37" t="str">
        <f ca="1">IFERROR(+IF(BE$29=ProposalToGnatt[[#This Row],[Start Date]],Milestone_Marker,IF(AND(BE$29&gt;ProposalToGnatt[[#This Row],[Start Date]],BE$29&lt;ProposalToGnatt[[#This Row],[Start Date]]+ProposalToGnatt[[#This Row],[Days]]),$G$5,"")),"")</f>
        <v/>
      </c>
      <c r="BF81" s="37" t="str">
        <f ca="1">IFERROR(+IF(BF$29=ProposalToGnatt[[#This Row],[Start Date]],Milestone_Marker,IF(AND(BF$29&gt;ProposalToGnatt[[#This Row],[Start Date]],BF$29&lt;ProposalToGnatt[[#This Row],[Start Date]]+ProposalToGnatt[[#This Row],[Days]]),$G$5,"")),"")</f>
        <v/>
      </c>
      <c r="BG81" s="37" t="str">
        <f ca="1">IFERROR(+IF(BG$29=ProposalToGnatt[[#This Row],[Start Date]],Milestone_Marker,IF(AND(BG$29&gt;ProposalToGnatt[[#This Row],[Start Date]],BG$29&lt;ProposalToGnatt[[#This Row],[Start Date]]+ProposalToGnatt[[#This Row],[Days]]),$G$5,"")),"")</f>
        <v/>
      </c>
      <c r="BH81" s="37" t="str">
        <f ca="1">IFERROR(+IF(BH$29=ProposalToGnatt[[#This Row],[Start Date]],Milestone_Marker,IF(AND(BH$29&gt;ProposalToGnatt[[#This Row],[Start Date]],BH$29&lt;ProposalToGnatt[[#This Row],[Start Date]]+ProposalToGnatt[[#This Row],[Days]]),$G$5,"")),"")</f>
        <v/>
      </c>
      <c r="BI81" s="37" t="str">
        <f ca="1">IFERROR(+IF(BI$29=ProposalToGnatt[[#This Row],[Start Date]],Milestone_Marker,IF(AND(BI$29&gt;ProposalToGnatt[[#This Row],[Start Date]],BI$29&lt;ProposalToGnatt[[#This Row],[Start Date]]+ProposalToGnatt[[#This Row],[Days]]),$G$5,"")),"")</f>
        <v/>
      </c>
      <c r="BJ81" s="37" t="str">
        <f ca="1">IFERROR(+IF(BJ$29=ProposalToGnatt[[#This Row],[Start Date]],Milestone_Marker,IF(AND(BJ$29&gt;ProposalToGnatt[[#This Row],[Start Date]],BJ$29&lt;ProposalToGnatt[[#This Row],[Start Date]]+ProposalToGnatt[[#This Row],[Days]]),$G$5,"")),"")</f>
        <v/>
      </c>
      <c r="BK81" s="37" t="str">
        <f ca="1">IFERROR(+IF(BK$29=ProposalToGnatt[[#This Row],[Start Date]],Milestone_Marker,IF(AND(BK$29&gt;ProposalToGnatt[[#This Row],[Start Date]],BK$29&lt;ProposalToGnatt[[#This Row],[Start Date]]+ProposalToGnatt[[#This Row],[Days]]),$G$5,"")),"")</f>
        <v/>
      </c>
      <c r="BL81" s="37" t="str">
        <f ca="1">IFERROR(+IF(BL$29=ProposalToGnatt[[#This Row],[Start Date]],Milestone_Marker,IF(AND(BL$29&gt;ProposalToGnatt[[#This Row],[Start Date]],BL$29&lt;ProposalToGnatt[[#This Row],[Start Date]]+ProposalToGnatt[[#This Row],[Days]]),$G$5,"")),"")</f>
        <v/>
      </c>
      <c r="BM81" s="37" t="str">
        <f ca="1">IFERROR(+IF(BM$29=ProposalToGnatt[[#This Row],[Start Date]],Milestone_Marker,IF(AND(BM$29&gt;ProposalToGnatt[[#This Row],[Start Date]],BM$29&lt;ProposalToGnatt[[#This Row],[Start Date]]+ProposalToGnatt[[#This Row],[Days]]),$G$5,"")),"")</f>
        <v/>
      </c>
      <c r="BN81" s="37" t="str">
        <f ca="1">IFERROR(+IF(BN$29=ProposalToGnatt[[#This Row],[Start Date]],Milestone_Marker,IF(AND(BN$29&gt;ProposalToGnatt[[#This Row],[Start Date]],BN$29&lt;ProposalToGnatt[[#This Row],[Start Date]]+ProposalToGnatt[[#This Row],[Days]]),$G$5,"")),"")</f>
        <v/>
      </c>
      <c r="BO81" s="37" t="str">
        <f ca="1">IFERROR(+IF(BO$29=ProposalToGnatt[[#This Row],[Start Date]],Milestone_Marker,IF(AND(BO$29&gt;ProposalToGnatt[[#This Row],[Start Date]],BO$29&lt;ProposalToGnatt[[#This Row],[Start Date]]+ProposalToGnatt[[#This Row],[Days]]),$G$5,"")),"")</f>
        <v/>
      </c>
      <c r="BP81" s="37" t="str">
        <f ca="1">IFERROR(+IF(BP$29=ProposalToGnatt[[#This Row],[Start Date]],Milestone_Marker,IF(AND(BP$29&gt;ProposalToGnatt[[#This Row],[Start Date]],BP$29&lt;ProposalToGnatt[[#This Row],[Start Date]]+ProposalToGnatt[[#This Row],[Days]]),$G$5,"")),"")</f>
        <v/>
      </c>
      <c r="BQ81" s="37" t="str">
        <f ca="1">IFERROR(+IF(BQ$29=ProposalToGnatt[[#This Row],[Start Date]],Milestone_Marker,IF(AND(BQ$29&gt;ProposalToGnatt[[#This Row],[Start Date]],BQ$29&lt;ProposalToGnatt[[#This Row],[Start Date]]+ProposalToGnatt[[#This Row],[Days]]),$G$5,"")),"")</f>
        <v/>
      </c>
      <c r="BR81" s="37" t="str">
        <f ca="1">IFERROR(+IF(BR$29=ProposalToGnatt[[#This Row],[Start Date]],Milestone_Marker,IF(AND(BR$29&gt;ProposalToGnatt[[#This Row],[Start Date]],BR$29&lt;ProposalToGnatt[[#This Row],[Start Date]]+ProposalToGnatt[[#This Row],[Days]]),$G$5,"")),"")</f>
        <v/>
      </c>
      <c r="BS81" s="37" t="str">
        <f ca="1">IFERROR(+IF(BS$29=ProposalToGnatt[[#This Row],[Start Date]],Milestone_Marker,IF(AND(BS$29&gt;ProposalToGnatt[[#This Row],[Start Date]],BS$29&lt;ProposalToGnatt[[#This Row],[Start Date]]+ProposalToGnatt[[#This Row],[Days]]),$G$5,"")),"")</f>
        <v/>
      </c>
      <c r="BT81" s="37" t="str">
        <f ca="1">IFERROR(+IF(BT$29=ProposalToGnatt[[#This Row],[Start Date]],Milestone_Marker,IF(AND(BT$29&gt;ProposalToGnatt[[#This Row],[Start Date]],BT$29&lt;ProposalToGnatt[[#This Row],[Start Date]]+ProposalToGnatt[[#This Row],[Days]]),$G$5,"")),"")</f>
        <v/>
      </c>
      <c r="BU81" s="37" t="str">
        <f ca="1">IFERROR(+IF(BU$29=ProposalToGnatt[[#This Row],[Start Date]],Milestone_Marker,IF(AND(BU$29&gt;ProposalToGnatt[[#This Row],[Start Date]],BU$29&lt;ProposalToGnatt[[#This Row],[Start Date]]+ProposalToGnatt[[#This Row],[Days]]),$G$5,"")),"")</f>
        <v/>
      </c>
      <c r="BV81" s="37" t="str">
        <f ca="1">IFERROR(+IF(BV$29=ProposalToGnatt[[#This Row],[Start Date]],Milestone_Marker,IF(AND(BV$29&gt;ProposalToGnatt[[#This Row],[Start Date]],BV$29&lt;ProposalToGnatt[[#This Row],[Start Date]]+ProposalToGnatt[[#This Row],[Days]]),$G$5,"")),"")</f>
        <v/>
      </c>
      <c r="BW81" s="37" t="str">
        <f ca="1">IFERROR(+IF(BW$29=ProposalToGnatt[[#This Row],[Start Date]],Milestone_Marker,IF(AND(BW$29&gt;ProposalToGnatt[[#This Row],[Start Date]],BW$29&lt;ProposalToGnatt[[#This Row],[Start Date]]+ProposalToGnatt[[#This Row],[Days]]),$G$5,"")),"")</f>
        <v/>
      </c>
      <c r="BX81" s="37" t="str">
        <f ca="1">IFERROR(+IF(BX$29=ProposalToGnatt[[#This Row],[Start Date]],Milestone_Marker,IF(AND(BX$29&gt;ProposalToGnatt[[#This Row],[Start Date]],BX$29&lt;ProposalToGnatt[[#This Row],[Start Date]]+ProposalToGnatt[[#This Row],[Days]]),$G$5,"")),"")</f>
        <v/>
      </c>
      <c r="BY81" s="37" t="str">
        <f ca="1">IFERROR(+IF(BY$29=ProposalToGnatt[[#This Row],[Start Date]],Milestone_Marker,IF(AND(BY$29&gt;ProposalToGnatt[[#This Row],[Start Date]],BY$29&lt;ProposalToGnatt[[#This Row],[Start Date]]+ProposalToGnatt[[#This Row],[Days]]),$G$5,"")),"")</f>
        <v/>
      </c>
      <c r="BZ81" s="37" t="str">
        <f ca="1">IFERROR(+IF(BZ$29=ProposalToGnatt[[#This Row],[Start Date]],Milestone_Marker,IF(AND(BZ$29&gt;ProposalToGnatt[[#This Row],[Start Date]],BZ$29&lt;ProposalToGnatt[[#This Row],[Start Date]]+ProposalToGnatt[[#This Row],[Days]]),$G$5,"")),"")</f>
        <v/>
      </c>
      <c r="CA81" s="37" t="str">
        <f ca="1">IFERROR(+IF(CA$29=ProposalToGnatt[[#This Row],[Start Date]],Milestone_Marker,IF(AND(CA$29&gt;ProposalToGnatt[[#This Row],[Start Date]],CA$29&lt;ProposalToGnatt[[#This Row],[Start Date]]+ProposalToGnatt[[#This Row],[Days]]),$G$5,"")),"")</f>
        <v/>
      </c>
      <c r="CB81" s="37" t="str">
        <f ca="1">IFERROR(+IF(CB$29=ProposalToGnatt[[#This Row],[Start Date]],Milestone_Marker,IF(AND(CB$29&gt;ProposalToGnatt[[#This Row],[Start Date]],CB$29&lt;ProposalToGnatt[[#This Row],[Start Date]]+ProposalToGnatt[[#This Row],[Days]]),$G$5,"")),"")</f>
        <v/>
      </c>
      <c r="CC81" s="37" t="str">
        <f ca="1">IFERROR(+IF(CC$29=ProposalToGnatt[[#This Row],[Start Date]],Milestone_Marker,IF(AND(CC$29&gt;ProposalToGnatt[[#This Row],[Start Date]],CC$29&lt;ProposalToGnatt[[#This Row],[Start Date]]+ProposalToGnatt[[#This Row],[Days]]),$G$5,"")),"")</f>
        <v/>
      </c>
      <c r="CD81" s="37" t="str">
        <f ca="1">IFERROR(+IF(CD$29=ProposalToGnatt[[#This Row],[Start Date]],Milestone_Marker,IF(AND(CD$29&gt;ProposalToGnatt[[#This Row],[Start Date]],CD$29&lt;ProposalToGnatt[[#This Row],[Start Date]]+ProposalToGnatt[[#This Row],[Days]]),$G$5,"")),"")</f>
        <v/>
      </c>
      <c r="CE81" s="37" t="str">
        <f ca="1">IFERROR(+IF(CE$29=ProposalToGnatt[[#This Row],[Start Date]],Milestone_Marker,IF(AND(CE$29&gt;ProposalToGnatt[[#This Row],[Start Date]],CE$29&lt;ProposalToGnatt[[#This Row],[Start Date]]+ProposalToGnatt[[#This Row],[Days]]),$G$5,"")),"")</f>
        <v/>
      </c>
      <c r="CF81" s="37" t="str">
        <f ca="1">IFERROR(+IF(CF$29=ProposalToGnatt[[#This Row],[Start Date]],Milestone_Marker,IF(AND(CF$29&gt;ProposalToGnatt[[#This Row],[Start Date]],CF$29&lt;ProposalToGnatt[[#This Row],[Start Date]]+ProposalToGnatt[[#This Row],[Days]]),$G$5,"")),"")</f>
        <v/>
      </c>
      <c r="CG81" s="37" t="str">
        <f ca="1">IFERROR(+IF(CG$29=ProposalToGnatt[[#This Row],[Start Date]],Milestone_Marker,IF(AND(CG$29&gt;ProposalToGnatt[[#This Row],[Start Date]],CG$29&lt;ProposalToGnatt[[#This Row],[Start Date]]+ProposalToGnatt[[#This Row],[Days]]),$G$5,"")),"")</f>
        <v/>
      </c>
      <c r="CH81" s="37" t="str">
        <f ca="1">IFERROR(+IF(CH$29=ProposalToGnatt[[#This Row],[Start Date]],Milestone_Marker,IF(AND(CH$29&gt;ProposalToGnatt[[#This Row],[Start Date]],CH$29&lt;ProposalToGnatt[[#This Row],[Start Date]]+ProposalToGnatt[[#This Row],[Days]]),$G$5,"")),"")</f>
        <v/>
      </c>
      <c r="CI81" s="37" t="str">
        <f ca="1">IFERROR(+IF(CI$29=ProposalToGnatt[[#This Row],[Start Date]],Milestone_Marker,IF(AND(CI$29&gt;ProposalToGnatt[[#This Row],[Start Date]],CI$29&lt;ProposalToGnatt[[#This Row],[Start Date]]+ProposalToGnatt[[#This Row],[Days]]),$G$5,"")),"")</f>
        <v/>
      </c>
      <c r="CJ81" s="37" t="str">
        <f ca="1">IFERROR(+IF(CJ$29=ProposalToGnatt[[#This Row],[Start Date]],Milestone_Marker,IF(AND(CJ$29&gt;ProposalToGnatt[[#This Row],[Start Date]],CJ$29&lt;ProposalToGnatt[[#This Row],[Start Date]]+ProposalToGnatt[[#This Row],[Days]]),$G$5,"")),"")</f>
        <v/>
      </c>
      <c r="CK81" s="37" t="str">
        <f ca="1">IFERROR(+IF(CK$29=ProposalToGnatt[[#This Row],[Start Date]],Milestone_Marker,IF(AND(CK$29&gt;ProposalToGnatt[[#This Row],[Start Date]],CK$29&lt;ProposalToGnatt[[#This Row],[Start Date]]+ProposalToGnatt[[#This Row],[Days]]),$G$5,"")),"")</f>
        <v/>
      </c>
      <c r="CL81" s="37" t="str">
        <f ca="1">IFERROR(+IF(CL$29=ProposalToGnatt[[#This Row],[Start Date]],Milestone_Marker,IF(AND(CL$29&gt;ProposalToGnatt[[#This Row],[Start Date]],CL$29&lt;ProposalToGnatt[[#This Row],[Start Date]]+ProposalToGnatt[[#This Row],[Days]]),$G$5,"")),"")</f>
        <v/>
      </c>
      <c r="CM81" s="37" t="str">
        <f ca="1">IFERROR(+IF(CM$29=ProposalToGnatt[[#This Row],[Start Date]],Milestone_Marker,IF(AND(CM$29&gt;ProposalToGnatt[[#This Row],[Start Date]],CM$29&lt;ProposalToGnatt[[#This Row],[Start Date]]+ProposalToGnatt[[#This Row],[Days]]),$G$5,"")),"")</f>
        <v/>
      </c>
      <c r="CN81" s="37" t="str">
        <f ca="1">IFERROR(+IF(CN$29=ProposalToGnatt[[#This Row],[Start Date]],Milestone_Marker,IF(AND(CN$29&gt;ProposalToGnatt[[#This Row],[Start Date]],CN$29&lt;ProposalToGnatt[[#This Row],[Start Date]]+ProposalToGnatt[[#This Row],[Days]]),$G$5,"")),"")</f>
        <v/>
      </c>
      <c r="CO81" s="37" t="str">
        <f ca="1">IFERROR(+IF(CO$29=ProposalToGnatt[[#This Row],[Start Date]],Milestone_Marker,IF(AND(CO$29&gt;ProposalToGnatt[[#This Row],[Start Date]],CO$29&lt;ProposalToGnatt[[#This Row],[Start Date]]+ProposalToGnatt[[#This Row],[Days]]),$G$5,"")),"")</f>
        <v/>
      </c>
      <c r="CP81" s="37" t="str">
        <f ca="1">IFERROR(+IF(CP$29=ProposalToGnatt[[#This Row],[Start Date]],Milestone_Marker,IF(AND(CP$29&gt;ProposalToGnatt[[#This Row],[Start Date]],CP$29&lt;ProposalToGnatt[[#This Row],[Start Date]]+ProposalToGnatt[[#This Row],[Days]]),$G$5,"")),"")</f>
        <v/>
      </c>
      <c r="CQ81" s="37" t="str">
        <f ca="1">IFERROR(+IF(CQ$29=ProposalToGnatt[[#This Row],[Start Date]],Milestone_Marker,IF(AND(CQ$29&gt;ProposalToGnatt[[#This Row],[Start Date]],CQ$29&lt;ProposalToGnatt[[#This Row],[Start Date]]+ProposalToGnatt[[#This Row],[Days]]),$G$5,"")),"")</f>
        <v/>
      </c>
      <c r="CR81" s="37" t="str">
        <f ca="1">IFERROR(+IF(CR$29=ProposalToGnatt[[#This Row],[Start Date]],Milestone_Marker,IF(AND(CR$29&gt;ProposalToGnatt[[#This Row],[Start Date]],CR$29&lt;ProposalToGnatt[[#This Row],[Start Date]]+ProposalToGnatt[[#This Row],[Days]]),$G$5,"")),"")</f>
        <v/>
      </c>
      <c r="CS81" s="37" t="str">
        <f ca="1">IFERROR(+IF(CS$29=ProposalToGnatt[[#This Row],[Start Date]],Milestone_Marker,IF(AND(CS$29&gt;ProposalToGnatt[[#This Row],[Start Date]],CS$29&lt;ProposalToGnatt[[#This Row],[Start Date]]+ProposalToGnatt[[#This Row],[Days]]),$G$5,"")),"")</f>
        <v/>
      </c>
      <c r="CT81" s="37" t="str">
        <f ca="1">IFERROR(+IF(CT$29=ProposalToGnatt[[#This Row],[Start Date]],Milestone_Marker,IF(AND(CT$29&gt;ProposalToGnatt[[#This Row],[Start Date]],CT$29&lt;ProposalToGnatt[[#This Row],[Start Date]]+ProposalToGnatt[[#This Row],[Days]]),$G$5,"")),"")</f>
        <v/>
      </c>
      <c r="CU81" s="37" t="str">
        <f ca="1">IFERROR(+IF(CU$29=ProposalToGnatt[[#This Row],[Start Date]],Milestone_Marker,IF(AND(CU$29&gt;ProposalToGnatt[[#This Row],[Start Date]],CU$29&lt;ProposalToGnatt[[#This Row],[Start Date]]+ProposalToGnatt[[#This Row],[Days]]),$G$5,"")),"")</f>
        <v/>
      </c>
      <c r="CV81" s="37" t="str">
        <f ca="1">IFERROR(+IF(CT$29=#REF!,Milestone_Marker,IF(AND(CT$29&gt;#REF!,CT$29&lt;=#REF!+#REF!),$G$5,"")),"")</f>
        <v/>
      </c>
      <c r="CW81" s="37" t="str">
        <f ca="1">IFERROR(+IF(CU$29=#REF!,Milestone_Marker,IF(AND(CU$29&gt;#REF!,CU$29&lt;=#REF!+#REF!),$G$5,"")),"")</f>
        <v/>
      </c>
      <c r="CX81" s="37"/>
      <c r="CY81" s="37"/>
      <c r="CZ81" s="37"/>
      <c r="DA81" s="37"/>
      <c r="DB81" s="37"/>
      <c r="DC81" s="37"/>
      <c r="DD81" s="37"/>
      <c r="DE81" s="37"/>
      <c r="DF81" s="37"/>
      <c r="DG81" s="37"/>
      <c r="DH81" s="37"/>
      <c r="DI81" s="37"/>
      <c r="DJ81" s="37"/>
      <c r="DK81" s="37"/>
      <c r="DL81" s="37"/>
      <c r="DM81" s="37"/>
      <c r="DN81" s="37"/>
      <c r="DO81" s="37"/>
      <c r="DP81" s="37"/>
      <c r="DQ81" s="37"/>
      <c r="DR81" s="37"/>
      <c r="DS81" s="37"/>
      <c r="DT81" s="37"/>
      <c r="DU81" s="37"/>
    </row>
    <row r="82" spans="1:125" ht="15">
      <c r="A82"/>
      <c r="B82"/>
      <c r="C82"/>
      <c r="D82"/>
      <c r="E82"/>
      <c r="F82"/>
      <c r="G82" s="11"/>
      <c r="H82" s="26"/>
      <c r="I82"/>
      <c r="J82"/>
      <c r="K82" s="402"/>
      <c r="L82"/>
      <c r="M82"/>
      <c r="N82"/>
      <c r="O82" s="26"/>
      <c r="P82" s="37" t="str">
        <f ca="1">IFERROR(+IF(P$29=ProposalToGnatt[[#This Row],[Start Date]],Milestone_Marker,IF(AND(P$29&gt;ProposalToGnatt[[#This Row],[Start Date]],P$29&lt;ProposalToGnatt[[#This Row],[Start Date]]+ProposalToGnatt[[#This Row],[Days]]),$G$5,"")),"")</f>
        <v/>
      </c>
      <c r="Q82" s="37" t="str">
        <f ca="1">IFERROR(+IF(Q$29=ProposalToGnatt[[#This Row],[Start Date]],Milestone_Marker,IF(AND(Q$29&gt;ProposalToGnatt[[#This Row],[Start Date]],Q$29&lt;ProposalToGnatt[[#This Row],[Start Date]]+ProposalToGnatt[[#This Row],[Days]]),$G$5,"")),"")</f>
        <v/>
      </c>
      <c r="R82" s="37" t="str">
        <f ca="1">IFERROR(+IF(R$29=ProposalToGnatt[[#This Row],[Start Date]],Milestone_Marker,IF(AND(R$29&gt;ProposalToGnatt[[#This Row],[Start Date]],R$29&lt;ProposalToGnatt[[#This Row],[Start Date]]+ProposalToGnatt[[#This Row],[Days]]),$G$5,"")),"")</f>
        <v/>
      </c>
      <c r="S82" s="37" t="str">
        <f ca="1">IFERROR(+IF(S$29=ProposalToGnatt[[#This Row],[Start Date]],Milestone_Marker,IF(AND(S$29&gt;ProposalToGnatt[[#This Row],[Start Date]],S$29&lt;ProposalToGnatt[[#This Row],[Start Date]]+ProposalToGnatt[[#This Row],[Days]]),$G$5,"")),"")</f>
        <v/>
      </c>
      <c r="T82" s="37" t="str">
        <f ca="1">IFERROR(+IF(T$29=ProposalToGnatt[[#This Row],[Start Date]],Milestone_Marker,IF(AND(T$29&gt;ProposalToGnatt[[#This Row],[Start Date]],T$29&lt;ProposalToGnatt[[#This Row],[Start Date]]+ProposalToGnatt[[#This Row],[Days]]),$G$5,"")),"")</f>
        <v/>
      </c>
      <c r="U82" s="37" t="str">
        <f ca="1">IFERROR(+IF(U$29=ProposalToGnatt[[#This Row],[Start Date]],Milestone_Marker,IF(AND(U$29&gt;ProposalToGnatt[[#This Row],[Start Date]],U$29&lt;ProposalToGnatt[[#This Row],[Start Date]]+ProposalToGnatt[[#This Row],[Days]]),$G$5,"")),"")</f>
        <v/>
      </c>
      <c r="V82" s="37" t="str">
        <f ca="1">IFERROR(+IF(V$29=ProposalToGnatt[[#This Row],[Start Date]],Milestone_Marker,IF(AND(V$29&gt;ProposalToGnatt[[#This Row],[Start Date]],V$29&lt;ProposalToGnatt[[#This Row],[Start Date]]+ProposalToGnatt[[#This Row],[Days]]),$G$5,"")),"")</f>
        <v/>
      </c>
      <c r="W82" s="37" t="str">
        <f ca="1">IFERROR(+IF(W$29=ProposalToGnatt[[#This Row],[Start Date]],Milestone_Marker,IF(AND(W$29&gt;ProposalToGnatt[[#This Row],[Start Date]],W$29&lt;ProposalToGnatt[[#This Row],[Start Date]]+ProposalToGnatt[[#This Row],[Days]]),$G$5,"")),"")</f>
        <v/>
      </c>
      <c r="X82" s="37" t="str">
        <f ca="1">IFERROR(+IF(X$29=ProposalToGnatt[[#This Row],[Start Date]],Milestone_Marker,IF(AND(X$29&gt;ProposalToGnatt[[#This Row],[Start Date]],X$29&lt;ProposalToGnatt[[#This Row],[Start Date]]+ProposalToGnatt[[#This Row],[Days]]),$G$5,"")),"")</f>
        <v/>
      </c>
      <c r="Y82" s="37" t="str">
        <f ca="1">IFERROR(+IF(Y$29=ProposalToGnatt[[#This Row],[Start Date]],Milestone_Marker,IF(AND(Y$29&gt;ProposalToGnatt[[#This Row],[Start Date]],Y$29&lt;ProposalToGnatt[[#This Row],[Start Date]]+ProposalToGnatt[[#This Row],[Days]]),$G$5,"")),"")</f>
        <v/>
      </c>
      <c r="Z82" s="37" t="str">
        <f ca="1">IFERROR(+IF(Z$29=ProposalToGnatt[[#This Row],[Start Date]],Milestone_Marker,IF(AND(Z$29&gt;ProposalToGnatt[[#This Row],[Start Date]],Z$29&lt;ProposalToGnatt[[#This Row],[Start Date]]+ProposalToGnatt[[#This Row],[Days]]),$G$5,"")),"")</f>
        <v/>
      </c>
      <c r="AA82" s="37" t="str">
        <f ca="1">IFERROR(+IF(AA$29=ProposalToGnatt[[#This Row],[Start Date]],Milestone_Marker,IF(AND(AA$29&gt;ProposalToGnatt[[#This Row],[Start Date]],AA$29&lt;ProposalToGnatt[[#This Row],[Start Date]]+ProposalToGnatt[[#This Row],[Days]]),$G$5,"")),"")</f>
        <v/>
      </c>
      <c r="AB82" s="37" t="str">
        <f ca="1">IFERROR(+IF(AB$29=ProposalToGnatt[[#This Row],[Start Date]],Milestone_Marker,IF(AND(AB$29&gt;ProposalToGnatt[[#This Row],[Start Date]],AB$29&lt;ProposalToGnatt[[#This Row],[Start Date]]+ProposalToGnatt[[#This Row],[Days]]),$G$5,"")),"")</f>
        <v/>
      </c>
      <c r="AC82" s="37" t="str">
        <f ca="1">IFERROR(+IF(AC$29=ProposalToGnatt[[#This Row],[Start Date]],Milestone_Marker,IF(AND(AC$29&gt;ProposalToGnatt[[#This Row],[Start Date]],AC$29&lt;ProposalToGnatt[[#This Row],[Start Date]]+ProposalToGnatt[[#This Row],[Days]]),$G$5,"")),"")</f>
        <v/>
      </c>
      <c r="AD82" s="37" t="str">
        <f ca="1">IFERROR(+IF(AD$29=ProposalToGnatt[[#This Row],[Start Date]],Milestone_Marker,IF(AND(AD$29&gt;ProposalToGnatt[[#This Row],[Start Date]],AD$29&lt;ProposalToGnatt[[#This Row],[Start Date]]+ProposalToGnatt[[#This Row],[Days]]),$G$5,"")),"")</f>
        <v/>
      </c>
      <c r="AE82" s="37" t="str">
        <f ca="1">IFERROR(+IF(AE$29=ProposalToGnatt[[#This Row],[Start Date]],Milestone_Marker,IF(AND(AE$29&gt;ProposalToGnatt[[#This Row],[Start Date]],AE$29&lt;ProposalToGnatt[[#This Row],[Start Date]]+ProposalToGnatt[[#This Row],[Days]]),$G$5,"")),"")</f>
        <v/>
      </c>
      <c r="AF82" s="37" t="str">
        <f ca="1">IFERROR(+IF(AF$29=ProposalToGnatt[[#This Row],[Start Date]],Milestone_Marker,IF(AND(AF$29&gt;ProposalToGnatt[[#This Row],[Start Date]],AF$29&lt;ProposalToGnatt[[#This Row],[Start Date]]+ProposalToGnatt[[#This Row],[Days]]),$G$5,"")),"")</f>
        <v/>
      </c>
      <c r="AG82" s="37" t="str">
        <f ca="1">IFERROR(+IF(AG$29=ProposalToGnatt[[#This Row],[Start Date]],Milestone_Marker,IF(AND(AG$29&gt;ProposalToGnatt[[#This Row],[Start Date]],AG$29&lt;ProposalToGnatt[[#This Row],[Start Date]]+ProposalToGnatt[[#This Row],[Days]]),$G$5,"")),"")</f>
        <v/>
      </c>
      <c r="AH82" s="37" t="str">
        <f ca="1">IFERROR(+IF(AH$29=ProposalToGnatt[[#This Row],[Start Date]],Milestone_Marker,IF(AND(AH$29&gt;ProposalToGnatt[[#This Row],[Start Date]],AH$29&lt;ProposalToGnatt[[#This Row],[Start Date]]+ProposalToGnatt[[#This Row],[Days]]),$G$5,"")),"")</f>
        <v/>
      </c>
      <c r="AI82" s="37" t="str">
        <f ca="1">IFERROR(+IF(AI$29=ProposalToGnatt[[#This Row],[Start Date]],Milestone_Marker,IF(AND(AI$29&gt;ProposalToGnatt[[#This Row],[Start Date]],AI$29&lt;ProposalToGnatt[[#This Row],[Start Date]]+ProposalToGnatt[[#This Row],[Days]]),$G$5,"")),"")</f>
        <v/>
      </c>
      <c r="AJ82" s="37" t="str">
        <f ca="1">IFERROR(+IF(AJ$29=ProposalToGnatt[[#This Row],[Start Date]],Milestone_Marker,IF(AND(AJ$29&gt;ProposalToGnatt[[#This Row],[Start Date]],AJ$29&lt;ProposalToGnatt[[#This Row],[Start Date]]+ProposalToGnatt[[#This Row],[Days]]),$G$5,"")),"")</f>
        <v/>
      </c>
      <c r="AK82" s="37" t="str">
        <f ca="1">IFERROR(+IF(AK$29=ProposalToGnatt[[#This Row],[Start Date]],Milestone_Marker,IF(AND(AK$29&gt;ProposalToGnatt[[#This Row],[Start Date]],AK$29&lt;ProposalToGnatt[[#This Row],[Start Date]]+ProposalToGnatt[[#This Row],[Days]]),$G$5,"")),"")</f>
        <v/>
      </c>
      <c r="AL82" s="37" t="str">
        <f ca="1">IFERROR(+IF(AL$29=ProposalToGnatt[[#This Row],[Start Date]],Milestone_Marker,IF(AND(AL$29&gt;ProposalToGnatt[[#This Row],[Start Date]],AL$29&lt;ProposalToGnatt[[#This Row],[Start Date]]+ProposalToGnatt[[#This Row],[Days]]),$G$5,"")),"")</f>
        <v/>
      </c>
      <c r="AM82" s="37" t="str">
        <f ca="1">IFERROR(+IF(AM$29=ProposalToGnatt[[#This Row],[Start Date]],Milestone_Marker,IF(AND(AM$29&gt;ProposalToGnatt[[#This Row],[Start Date]],AM$29&lt;ProposalToGnatt[[#This Row],[Start Date]]+ProposalToGnatt[[#This Row],[Days]]),$G$5,"")),"")</f>
        <v/>
      </c>
      <c r="AN82" s="37" t="str">
        <f ca="1">IFERROR(+IF(AN$29=ProposalToGnatt[[#This Row],[Start Date]],Milestone_Marker,IF(AND(AN$29&gt;ProposalToGnatt[[#This Row],[Start Date]],AN$29&lt;ProposalToGnatt[[#This Row],[Start Date]]+ProposalToGnatt[[#This Row],[Days]]),$G$5,"")),"")</f>
        <v/>
      </c>
      <c r="AO82" s="37" t="str">
        <f ca="1">IFERROR(+IF(AO$29=ProposalToGnatt[[#This Row],[Start Date]],Milestone_Marker,IF(AND(AO$29&gt;ProposalToGnatt[[#This Row],[Start Date]],AO$29&lt;ProposalToGnatt[[#This Row],[Start Date]]+ProposalToGnatt[[#This Row],[Days]]),$G$5,"")),"")</f>
        <v/>
      </c>
      <c r="AP82" s="37" t="str">
        <f ca="1">IFERROR(+IF(AP$29=ProposalToGnatt[[#This Row],[Start Date]],Milestone_Marker,IF(AND(AP$29&gt;ProposalToGnatt[[#This Row],[Start Date]],AP$29&lt;ProposalToGnatt[[#This Row],[Start Date]]+ProposalToGnatt[[#This Row],[Days]]),$G$5,"")),"")</f>
        <v/>
      </c>
      <c r="AQ82" s="37" t="str">
        <f ca="1">IFERROR(+IF(AQ$29=ProposalToGnatt[[#This Row],[Start Date]],Milestone_Marker,IF(AND(AQ$29&gt;ProposalToGnatt[[#This Row],[Start Date]],AQ$29&lt;ProposalToGnatt[[#This Row],[Start Date]]+ProposalToGnatt[[#This Row],[Days]]),$G$5,"")),"")</f>
        <v/>
      </c>
      <c r="AR82" s="37" t="str">
        <f ca="1">IFERROR(+IF(AR$29=ProposalToGnatt[[#This Row],[Start Date]],Milestone_Marker,IF(AND(AR$29&gt;ProposalToGnatt[[#This Row],[Start Date]],AR$29&lt;ProposalToGnatt[[#This Row],[Start Date]]+ProposalToGnatt[[#This Row],[Days]]),$G$5,"")),"")</f>
        <v/>
      </c>
      <c r="AS82" s="37" t="str">
        <f ca="1">IFERROR(+IF(AS$29=ProposalToGnatt[[#This Row],[Start Date]],Milestone_Marker,IF(AND(AS$29&gt;ProposalToGnatt[[#This Row],[Start Date]],AS$29&lt;ProposalToGnatt[[#This Row],[Start Date]]+ProposalToGnatt[[#This Row],[Days]]),$G$5,"")),"")</f>
        <v/>
      </c>
      <c r="AT82" s="37" t="str">
        <f ca="1">IFERROR(+IF(AT$29=ProposalToGnatt[[#This Row],[Start Date]],Milestone_Marker,IF(AND(AT$29&gt;ProposalToGnatt[[#This Row],[Start Date]],AT$29&lt;ProposalToGnatt[[#This Row],[Start Date]]+ProposalToGnatt[[#This Row],[Days]]),$G$5,"")),"")</f>
        <v/>
      </c>
      <c r="AU82" s="37" t="str">
        <f ca="1">IFERROR(+IF(AU$29=ProposalToGnatt[[#This Row],[Start Date]],Milestone_Marker,IF(AND(AU$29&gt;ProposalToGnatt[[#This Row],[Start Date]],AU$29&lt;ProposalToGnatt[[#This Row],[Start Date]]+ProposalToGnatt[[#This Row],[Days]]),$G$5,"")),"")</f>
        <v/>
      </c>
      <c r="AV82" s="37" t="str">
        <f ca="1">IFERROR(+IF(AV$29=ProposalToGnatt[[#This Row],[Start Date]],Milestone_Marker,IF(AND(AV$29&gt;ProposalToGnatt[[#This Row],[Start Date]],AV$29&lt;ProposalToGnatt[[#This Row],[Start Date]]+ProposalToGnatt[[#This Row],[Days]]),$G$5,"")),"")</f>
        <v/>
      </c>
      <c r="AW82" s="37" t="str">
        <f ca="1">IFERROR(+IF(AW$29=ProposalToGnatt[[#This Row],[Start Date]],Milestone_Marker,IF(AND(AW$29&gt;ProposalToGnatt[[#This Row],[Start Date]],AW$29&lt;ProposalToGnatt[[#This Row],[Start Date]]+ProposalToGnatt[[#This Row],[Days]]),$G$5,"")),"")</f>
        <v/>
      </c>
      <c r="AX82" s="37" t="str">
        <f ca="1">IFERROR(+IF(AX$29=ProposalToGnatt[[#This Row],[Start Date]],Milestone_Marker,IF(AND(AX$29&gt;ProposalToGnatt[[#This Row],[Start Date]],AX$29&lt;ProposalToGnatt[[#This Row],[Start Date]]+ProposalToGnatt[[#This Row],[Days]]),$G$5,"")),"")</f>
        <v/>
      </c>
      <c r="AY82" s="37" t="str">
        <f ca="1">IFERROR(+IF(AY$29=ProposalToGnatt[[#This Row],[Start Date]],Milestone_Marker,IF(AND(AY$29&gt;ProposalToGnatt[[#This Row],[Start Date]],AY$29&lt;ProposalToGnatt[[#This Row],[Start Date]]+ProposalToGnatt[[#This Row],[Days]]),$G$5,"")),"")</f>
        <v/>
      </c>
      <c r="AZ82" s="37" t="str">
        <f ca="1">IFERROR(+IF(AZ$29=ProposalToGnatt[[#This Row],[Start Date]],Milestone_Marker,IF(AND(AZ$29&gt;ProposalToGnatt[[#This Row],[Start Date]],AZ$29&lt;ProposalToGnatt[[#This Row],[Start Date]]+ProposalToGnatt[[#This Row],[Days]]),$G$5,"")),"")</f>
        <v/>
      </c>
      <c r="BA82" s="37" t="str">
        <f ca="1">IFERROR(+IF(BA$29=ProposalToGnatt[[#This Row],[Start Date]],Milestone_Marker,IF(AND(BA$29&gt;ProposalToGnatt[[#This Row],[Start Date]],BA$29&lt;ProposalToGnatt[[#This Row],[Start Date]]+ProposalToGnatt[[#This Row],[Days]]),$G$5,"")),"")</f>
        <v/>
      </c>
      <c r="BB82" s="37" t="str">
        <f ca="1">IFERROR(+IF(BB$29=ProposalToGnatt[[#This Row],[Start Date]],Milestone_Marker,IF(AND(BB$29&gt;ProposalToGnatt[[#This Row],[Start Date]],BB$29&lt;ProposalToGnatt[[#This Row],[Start Date]]+ProposalToGnatt[[#This Row],[Days]]),$G$5,"")),"")</f>
        <v/>
      </c>
      <c r="BC82" s="37" t="str">
        <f ca="1">IFERROR(+IF(BC$29=ProposalToGnatt[[#This Row],[Start Date]],Milestone_Marker,IF(AND(BC$29&gt;ProposalToGnatt[[#This Row],[Start Date]],BC$29&lt;ProposalToGnatt[[#This Row],[Start Date]]+ProposalToGnatt[[#This Row],[Days]]),$G$5,"")),"")</f>
        <v/>
      </c>
      <c r="BD82" s="37" t="str">
        <f ca="1">IFERROR(+IF(BD$29=ProposalToGnatt[[#This Row],[Start Date]],Milestone_Marker,IF(AND(BD$29&gt;ProposalToGnatt[[#This Row],[Start Date]],BD$29&lt;ProposalToGnatt[[#This Row],[Start Date]]+ProposalToGnatt[[#This Row],[Days]]),$G$5,"")),"")</f>
        <v/>
      </c>
      <c r="BE82" s="37" t="str">
        <f ca="1">IFERROR(+IF(BE$29=ProposalToGnatt[[#This Row],[Start Date]],Milestone_Marker,IF(AND(BE$29&gt;ProposalToGnatt[[#This Row],[Start Date]],BE$29&lt;ProposalToGnatt[[#This Row],[Start Date]]+ProposalToGnatt[[#This Row],[Days]]),$G$5,"")),"")</f>
        <v/>
      </c>
      <c r="BF82" s="37" t="str">
        <f ca="1">IFERROR(+IF(BF$29=ProposalToGnatt[[#This Row],[Start Date]],Milestone_Marker,IF(AND(BF$29&gt;ProposalToGnatt[[#This Row],[Start Date]],BF$29&lt;ProposalToGnatt[[#This Row],[Start Date]]+ProposalToGnatt[[#This Row],[Days]]),$G$5,"")),"")</f>
        <v/>
      </c>
      <c r="BG82" s="37" t="str">
        <f ca="1">IFERROR(+IF(BG$29=ProposalToGnatt[[#This Row],[Start Date]],Milestone_Marker,IF(AND(BG$29&gt;ProposalToGnatt[[#This Row],[Start Date]],BG$29&lt;ProposalToGnatt[[#This Row],[Start Date]]+ProposalToGnatt[[#This Row],[Days]]),$G$5,"")),"")</f>
        <v/>
      </c>
      <c r="BH82" s="37" t="str">
        <f ca="1">IFERROR(+IF(BH$29=ProposalToGnatt[[#This Row],[Start Date]],Milestone_Marker,IF(AND(BH$29&gt;ProposalToGnatt[[#This Row],[Start Date]],BH$29&lt;ProposalToGnatt[[#This Row],[Start Date]]+ProposalToGnatt[[#This Row],[Days]]),$G$5,"")),"")</f>
        <v/>
      </c>
      <c r="BI82" s="37" t="str">
        <f ca="1">IFERROR(+IF(BI$29=ProposalToGnatt[[#This Row],[Start Date]],Milestone_Marker,IF(AND(BI$29&gt;ProposalToGnatt[[#This Row],[Start Date]],BI$29&lt;ProposalToGnatt[[#This Row],[Start Date]]+ProposalToGnatt[[#This Row],[Days]]),$G$5,"")),"")</f>
        <v/>
      </c>
      <c r="BJ82" s="37" t="str">
        <f ca="1">IFERROR(+IF(BJ$29=ProposalToGnatt[[#This Row],[Start Date]],Milestone_Marker,IF(AND(BJ$29&gt;ProposalToGnatt[[#This Row],[Start Date]],BJ$29&lt;ProposalToGnatt[[#This Row],[Start Date]]+ProposalToGnatt[[#This Row],[Days]]),$G$5,"")),"")</f>
        <v/>
      </c>
      <c r="BK82" s="37" t="str">
        <f ca="1">IFERROR(+IF(BK$29=ProposalToGnatt[[#This Row],[Start Date]],Milestone_Marker,IF(AND(BK$29&gt;ProposalToGnatt[[#This Row],[Start Date]],BK$29&lt;ProposalToGnatt[[#This Row],[Start Date]]+ProposalToGnatt[[#This Row],[Days]]),$G$5,"")),"")</f>
        <v/>
      </c>
      <c r="BL82" s="37" t="str">
        <f ca="1">IFERROR(+IF(BL$29=ProposalToGnatt[[#This Row],[Start Date]],Milestone_Marker,IF(AND(BL$29&gt;ProposalToGnatt[[#This Row],[Start Date]],BL$29&lt;ProposalToGnatt[[#This Row],[Start Date]]+ProposalToGnatt[[#This Row],[Days]]),$G$5,"")),"")</f>
        <v/>
      </c>
      <c r="BM82" s="37" t="str">
        <f ca="1">IFERROR(+IF(BM$29=ProposalToGnatt[[#This Row],[Start Date]],Milestone_Marker,IF(AND(BM$29&gt;ProposalToGnatt[[#This Row],[Start Date]],BM$29&lt;ProposalToGnatt[[#This Row],[Start Date]]+ProposalToGnatt[[#This Row],[Days]]),$G$5,"")),"")</f>
        <v/>
      </c>
      <c r="BN82" s="37" t="str">
        <f ca="1">IFERROR(+IF(BN$29=ProposalToGnatt[[#This Row],[Start Date]],Milestone_Marker,IF(AND(BN$29&gt;ProposalToGnatt[[#This Row],[Start Date]],BN$29&lt;ProposalToGnatt[[#This Row],[Start Date]]+ProposalToGnatt[[#This Row],[Days]]),$G$5,"")),"")</f>
        <v/>
      </c>
      <c r="BO82" s="37" t="str">
        <f ca="1">IFERROR(+IF(BO$29=ProposalToGnatt[[#This Row],[Start Date]],Milestone_Marker,IF(AND(BO$29&gt;ProposalToGnatt[[#This Row],[Start Date]],BO$29&lt;ProposalToGnatt[[#This Row],[Start Date]]+ProposalToGnatt[[#This Row],[Days]]),$G$5,"")),"")</f>
        <v/>
      </c>
      <c r="BP82" s="37" t="str">
        <f ca="1">IFERROR(+IF(BP$29=ProposalToGnatt[[#This Row],[Start Date]],Milestone_Marker,IF(AND(BP$29&gt;ProposalToGnatt[[#This Row],[Start Date]],BP$29&lt;ProposalToGnatt[[#This Row],[Start Date]]+ProposalToGnatt[[#This Row],[Days]]),$G$5,"")),"")</f>
        <v/>
      </c>
      <c r="BQ82" s="37" t="str">
        <f ca="1">IFERROR(+IF(BQ$29=ProposalToGnatt[[#This Row],[Start Date]],Milestone_Marker,IF(AND(BQ$29&gt;ProposalToGnatt[[#This Row],[Start Date]],BQ$29&lt;ProposalToGnatt[[#This Row],[Start Date]]+ProposalToGnatt[[#This Row],[Days]]),$G$5,"")),"")</f>
        <v/>
      </c>
      <c r="BR82" s="37" t="str">
        <f ca="1">IFERROR(+IF(BR$29=ProposalToGnatt[[#This Row],[Start Date]],Milestone_Marker,IF(AND(BR$29&gt;ProposalToGnatt[[#This Row],[Start Date]],BR$29&lt;ProposalToGnatt[[#This Row],[Start Date]]+ProposalToGnatt[[#This Row],[Days]]),$G$5,"")),"")</f>
        <v/>
      </c>
      <c r="BS82" s="37" t="str">
        <f ca="1">IFERROR(+IF(BS$29=ProposalToGnatt[[#This Row],[Start Date]],Milestone_Marker,IF(AND(BS$29&gt;ProposalToGnatt[[#This Row],[Start Date]],BS$29&lt;ProposalToGnatt[[#This Row],[Start Date]]+ProposalToGnatt[[#This Row],[Days]]),$G$5,"")),"")</f>
        <v/>
      </c>
      <c r="BT82" s="37" t="str">
        <f ca="1">IFERROR(+IF(BT$29=ProposalToGnatt[[#This Row],[Start Date]],Milestone_Marker,IF(AND(BT$29&gt;ProposalToGnatt[[#This Row],[Start Date]],BT$29&lt;ProposalToGnatt[[#This Row],[Start Date]]+ProposalToGnatt[[#This Row],[Days]]),$G$5,"")),"")</f>
        <v/>
      </c>
      <c r="BU82" s="37" t="str">
        <f ca="1">IFERROR(+IF(BU$29=ProposalToGnatt[[#This Row],[Start Date]],Milestone_Marker,IF(AND(BU$29&gt;ProposalToGnatt[[#This Row],[Start Date]],BU$29&lt;ProposalToGnatt[[#This Row],[Start Date]]+ProposalToGnatt[[#This Row],[Days]]),$G$5,"")),"")</f>
        <v/>
      </c>
      <c r="BV82" s="37" t="str">
        <f ca="1">IFERROR(+IF(BV$29=ProposalToGnatt[[#This Row],[Start Date]],Milestone_Marker,IF(AND(BV$29&gt;ProposalToGnatt[[#This Row],[Start Date]],BV$29&lt;ProposalToGnatt[[#This Row],[Start Date]]+ProposalToGnatt[[#This Row],[Days]]),$G$5,"")),"")</f>
        <v/>
      </c>
      <c r="BW82" s="37" t="str">
        <f ca="1">IFERROR(+IF(BW$29=ProposalToGnatt[[#This Row],[Start Date]],Milestone_Marker,IF(AND(BW$29&gt;ProposalToGnatt[[#This Row],[Start Date]],BW$29&lt;ProposalToGnatt[[#This Row],[Start Date]]+ProposalToGnatt[[#This Row],[Days]]),$G$5,"")),"")</f>
        <v/>
      </c>
      <c r="BX82" s="37" t="str">
        <f ca="1">IFERROR(+IF(BX$29=ProposalToGnatt[[#This Row],[Start Date]],Milestone_Marker,IF(AND(BX$29&gt;ProposalToGnatt[[#This Row],[Start Date]],BX$29&lt;ProposalToGnatt[[#This Row],[Start Date]]+ProposalToGnatt[[#This Row],[Days]]),$G$5,"")),"")</f>
        <v/>
      </c>
      <c r="BY82" s="37" t="str">
        <f ca="1">IFERROR(+IF(BY$29=ProposalToGnatt[[#This Row],[Start Date]],Milestone_Marker,IF(AND(BY$29&gt;ProposalToGnatt[[#This Row],[Start Date]],BY$29&lt;ProposalToGnatt[[#This Row],[Start Date]]+ProposalToGnatt[[#This Row],[Days]]),$G$5,"")),"")</f>
        <v/>
      </c>
      <c r="BZ82" s="37" t="str">
        <f ca="1">IFERROR(+IF(BZ$29=ProposalToGnatt[[#This Row],[Start Date]],Milestone_Marker,IF(AND(BZ$29&gt;ProposalToGnatt[[#This Row],[Start Date]],BZ$29&lt;ProposalToGnatt[[#This Row],[Start Date]]+ProposalToGnatt[[#This Row],[Days]]),$G$5,"")),"")</f>
        <v/>
      </c>
      <c r="CA82" s="37" t="str">
        <f ca="1">IFERROR(+IF(CA$29=ProposalToGnatt[[#This Row],[Start Date]],Milestone_Marker,IF(AND(CA$29&gt;ProposalToGnatt[[#This Row],[Start Date]],CA$29&lt;ProposalToGnatt[[#This Row],[Start Date]]+ProposalToGnatt[[#This Row],[Days]]),$G$5,"")),"")</f>
        <v/>
      </c>
      <c r="CB82" s="37" t="str">
        <f ca="1">IFERROR(+IF(CB$29=ProposalToGnatt[[#This Row],[Start Date]],Milestone_Marker,IF(AND(CB$29&gt;ProposalToGnatt[[#This Row],[Start Date]],CB$29&lt;ProposalToGnatt[[#This Row],[Start Date]]+ProposalToGnatt[[#This Row],[Days]]),$G$5,"")),"")</f>
        <v/>
      </c>
      <c r="CC82" s="37" t="str">
        <f ca="1">IFERROR(+IF(CC$29=ProposalToGnatt[[#This Row],[Start Date]],Milestone_Marker,IF(AND(CC$29&gt;ProposalToGnatt[[#This Row],[Start Date]],CC$29&lt;ProposalToGnatt[[#This Row],[Start Date]]+ProposalToGnatt[[#This Row],[Days]]),$G$5,"")),"")</f>
        <v/>
      </c>
      <c r="CD82" s="37" t="str">
        <f ca="1">IFERROR(+IF(CD$29=ProposalToGnatt[[#This Row],[Start Date]],Milestone_Marker,IF(AND(CD$29&gt;ProposalToGnatt[[#This Row],[Start Date]],CD$29&lt;ProposalToGnatt[[#This Row],[Start Date]]+ProposalToGnatt[[#This Row],[Days]]),$G$5,"")),"")</f>
        <v/>
      </c>
      <c r="CE82" s="37" t="str">
        <f ca="1">IFERROR(+IF(CE$29=ProposalToGnatt[[#This Row],[Start Date]],Milestone_Marker,IF(AND(CE$29&gt;ProposalToGnatt[[#This Row],[Start Date]],CE$29&lt;ProposalToGnatt[[#This Row],[Start Date]]+ProposalToGnatt[[#This Row],[Days]]),$G$5,"")),"")</f>
        <v/>
      </c>
      <c r="CF82" s="37" t="str">
        <f ca="1">IFERROR(+IF(CF$29=ProposalToGnatt[[#This Row],[Start Date]],Milestone_Marker,IF(AND(CF$29&gt;ProposalToGnatt[[#This Row],[Start Date]],CF$29&lt;ProposalToGnatt[[#This Row],[Start Date]]+ProposalToGnatt[[#This Row],[Days]]),$G$5,"")),"")</f>
        <v/>
      </c>
      <c r="CG82" s="37" t="str">
        <f ca="1">IFERROR(+IF(CG$29=ProposalToGnatt[[#This Row],[Start Date]],Milestone_Marker,IF(AND(CG$29&gt;ProposalToGnatt[[#This Row],[Start Date]],CG$29&lt;ProposalToGnatt[[#This Row],[Start Date]]+ProposalToGnatt[[#This Row],[Days]]),$G$5,"")),"")</f>
        <v/>
      </c>
      <c r="CH82" s="37" t="str">
        <f ca="1">IFERROR(+IF(CH$29=ProposalToGnatt[[#This Row],[Start Date]],Milestone_Marker,IF(AND(CH$29&gt;ProposalToGnatt[[#This Row],[Start Date]],CH$29&lt;ProposalToGnatt[[#This Row],[Start Date]]+ProposalToGnatt[[#This Row],[Days]]),$G$5,"")),"")</f>
        <v/>
      </c>
      <c r="CI82" s="37" t="str">
        <f ca="1">IFERROR(+IF(CI$29=ProposalToGnatt[[#This Row],[Start Date]],Milestone_Marker,IF(AND(CI$29&gt;ProposalToGnatt[[#This Row],[Start Date]],CI$29&lt;ProposalToGnatt[[#This Row],[Start Date]]+ProposalToGnatt[[#This Row],[Days]]),$G$5,"")),"")</f>
        <v/>
      </c>
      <c r="CJ82" s="37" t="str">
        <f ca="1">IFERROR(+IF(CJ$29=ProposalToGnatt[[#This Row],[Start Date]],Milestone_Marker,IF(AND(CJ$29&gt;ProposalToGnatt[[#This Row],[Start Date]],CJ$29&lt;ProposalToGnatt[[#This Row],[Start Date]]+ProposalToGnatt[[#This Row],[Days]]),$G$5,"")),"")</f>
        <v/>
      </c>
      <c r="CK82" s="37" t="str">
        <f ca="1">IFERROR(+IF(CK$29=ProposalToGnatt[[#This Row],[Start Date]],Milestone_Marker,IF(AND(CK$29&gt;ProposalToGnatt[[#This Row],[Start Date]],CK$29&lt;ProposalToGnatt[[#This Row],[Start Date]]+ProposalToGnatt[[#This Row],[Days]]),$G$5,"")),"")</f>
        <v/>
      </c>
      <c r="CL82" s="37" t="str">
        <f ca="1">IFERROR(+IF(CL$29=ProposalToGnatt[[#This Row],[Start Date]],Milestone_Marker,IF(AND(CL$29&gt;ProposalToGnatt[[#This Row],[Start Date]],CL$29&lt;ProposalToGnatt[[#This Row],[Start Date]]+ProposalToGnatt[[#This Row],[Days]]),$G$5,"")),"")</f>
        <v/>
      </c>
      <c r="CM82" s="37" t="str">
        <f ca="1">IFERROR(+IF(CM$29=ProposalToGnatt[[#This Row],[Start Date]],Milestone_Marker,IF(AND(CM$29&gt;ProposalToGnatt[[#This Row],[Start Date]],CM$29&lt;ProposalToGnatt[[#This Row],[Start Date]]+ProposalToGnatt[[#This Row],[Days]]),$G$5,"")),"")</f>
        <v/>
      </c>
      <c r="CN82" s="37" t="str">
        <f ca="1">IFERROR(+IF(CN$29=ProposalToGnatt[[#This Row],[Start Date]],Milestone_Marker,IF(AND(CN$29&gt;ProposalToGnatt[[#This Row],[Start Date]],CN$29&lt;ProposalToGnatt[[#This Row],[Start Date]]+ProposalToGnatt[[#This Row],[Days]]),$G$5,"")),"")</f>
        <v/>
      </c>
      <c r="CO82" s="37" t="str">
        <f ca="1">IFERROR(+IF(CO$29=ProposalToGnatt[[#This Row],[Start Date]],Milestone_Marker,IF(AND(CO$29&gt;ProposalToGnatt[[#This Row],[Start Date]],CO$29&lt;ProposalToGnatt[[#This Row],[Start Date]]+ProposalToGnatt[[#This Row],[Days]]),$G$5,"")),"")</f>
        <v/>
      </c>
      <c r="CP82" s="37" t="str">
        <f ca="1">IFERROR(+IF(CP$29=ProposalToGnatt[[#This Row],[Start Date]],Milestone_Marker,IF(AND(CP$29&gt;ProposalToGnatt[[#This Row],[Start Date]],CP$29&lt;ProposalToGnatt[[#This Row],[Start Date]]+ProposalToGnatt[[#This Row],[Days]]),$G$5,"")),"")</f>
        <v/>
      </c>
      <c r="CQ82" s="37" t="str">
        <f ca="1">IFERROR(+IF(CQ$29=ProposalToGnatt[[#This Row],[Start Date]],Milestone_Marker,IF(AND(CQ$29&gt;ProposalToGnatt[[#This Row],[Start Date]],CQ$29&lt;ProposalToGnatt[[#This Row],[Start Date]]+ProposalToGnatt[[#This Row],[Days]]),$G$5,"")),"")</f>
        <v/>
      </c>
      <c r="CR82" s="37" t="str">
        <f ca="1">IFERROR(+IF(CR$29=ProposalToGnatt[[#This Row],[Start Date]],Milestone_Marker,IF(AND(CR$29&gt;ProposalToGnatt[[#This Row],[Start Date]],CR$29&lt;ProposalToGnatt[[#This Row],[Start Date]]+ProposalToGnatt[[#This Row],[Days]]),$G$5,"")),"")</f>
        <v/>
      </c>
      <c r="CS82" s="37" t="str">
        <f ca="1">IFERROR(+IF(CS$29=ProposalToGnatt[[#This Row],[Start Date]],Milestone_Marker,IF(AND(CS$29&gt;ProposalToGnatt[[#This Row],[Start Date]],CS$29&lt;ProposalToGnatt[[#This Row],[Start Date]]+ProposalToGnatt[[#This Row],[Days]]),$G$5,"")),"")</f>
        <v/>
      </c>
      <c r="CT82" s="37" t="str">
        <f ca="1">IFERROR(+IF(CT$29=ProposalToGnatt[[#This Row],[Start Date]],Milestone_Marker,IF(AND(CT$29&gt;ProposalToGnatt[[#This Row],[Start Date]],CT$29&lt;ProposalToGnatt[[#This Row],[Start Date]]+ProposalToGnatt[[#This Row],[Days]]),$G$5,"")),"")</f>
        <v/>
      </c>
      <c r="CU82" s="37" t="str">
        <f ca="1">IFERROR(+IF(CU$29=ProposalToGnatt[[#This Row],[Start Date]],Milestone_Marker,IF(AND(CU$29&gt;ProposalToGnatt[[#This Row],[Start Date]],CU$29&lt;ProposalToGnatt[[#This Row],[Start Date]]+ProposalToGnatt[[#This Row],[Days]]),$G$5,"")),"")</f>
        <v/>
      </c>
      <c r="CV82" s="37" t="str">
        <f ca="1">IFERROR(+IF(CT$29=#REF!,Milestone_Marker,IF(AND(CT$29&gt;#REF!,CT$29&lt;=#REF!+#REF!),$G$5,"")),"")</f>
        <v/>
      </c>
      <c r="CW82" s="37" t="str">
        <f ca="1">IFERROR(+IF(CU$29=#REF!,Milestone_Marker,IF(AND(CU$29&gt;#REF!,CU$29&lt;=#REF!+#REF!),$G$5,"")),"")</f>
        <v/>
      </c>
      <c r="CX82" s="37"/>
      <c r="CY82" s="37"/>
      <c r="CZ82" s="37"/>
      <c r="DA82" s="37"/>
      <c r="DB82" s="37"/>
      <c r="DC82" s="37"/>
      <c r="DD82" s="37"/>
      <c r="DE82" s="37"/>
      <c r="DF82" s="37"/>
      <c r="DG82" s="37"/>
      <c r="DH82" s="37"/>
      <c r="DI82" s="37"/>
      <c r="DJ82" s="37"/>
      <c r="DK82" s="37"/>
      <c r="DL82" s="37"/>
      <c r="DM82" s="37"/>
      <c r="DN82" s="37"/>
      <c r="DO82" s="37"/>
      <c r="DP82" s="37"/>
      <c r="DQ82" s="37"/>
      <c r="DR82" s="37"/>
      <c r="DS82" s="37"/>
      <c r="DT82" s="37"/>
      <c r="DU82" s="37"/>
    </row>
    <row r="83" spans="1:125" ht="15">
      <c r="A83"/>
      <c r="B83"/>
      <c r="C83"/>
      <c r="D83"/>
      <c r="E83"/>
      <c r="F83"/>
      <c r="G83" s="11"/>
      <c r="H83" s="26"/>
      <c r="I83"/>
      <c r="J83"/>
      <c r="K83" s="402"/>
      <c r="L83"/>
      <c r="M83"/>
      <c r="N83"/>
      <c r="O83" s="26"/>
      <c r="P83" s="37" t="str">
        <f ca="1">IFERROR(+IF(P$29=ProposalToGnatt[[#This Row],[Start Date]],Milestone_Marker,IF(AND(P$29&gt;ProposalToGnatt[[#This Row],[Start Date]],P$29&lt;ProposalToGnatt[[#This Row],[Start Date]]+ProposalToGnatt[[#This Row],[Days]]),$G$5,"")),"")</f>
        <v/>
      </c>
      <c r="Q83" s="37" t="str">
        <f ca="1">IFERROR(+IF(Q$29=ProposalToGnatt[[#This Row],[Start Date]],Milestone_Marker,IF(AND(Q$29&gt;ProposalToGnatt[[#This Row],[Start Date]],Q$29&lt;ProposalToGnatt[[#This Row],[Start Date]]+ProposalToGnatt[[#This Row],[Days]]),$G$5,"")),"")</f>
        <v/>
      </c>
      <c r="R83" s="37" t="str">
        <f ca="1">IFERROR(+IF(R$29=ProposalToGnatt[[#This Row],[Start Date]],Milestone_Marker,IF(AND(R$29&gt;ProposalToGnatt[[#This Row],[Start Date]],R$29&lt;ProposalToGnatt[[#This Row],[Start Date]]+ProposalToGnatt[[#This Row],[Days]]),$G$5,"")),"")</f>
        <v/>
      </c>
      <c r="S83" s="37" t="str">
        <f ca="1">IFERROR(+IF(S$29=ProposalToGnatt[[#This Row],[Start Date]],Milestone_Marker,IF(AND(S$29&gt;ProposalToGnatt[[#This Row],[Start Date]],S$29&lt;ProposalToGnatt[[#This Row],[Start Date]]+ProposalToGnatt[[#This Row],[Days]]),$G$5,"")),"")</f>
        <v/>
      </c>
      <c r="T83" s="37" t="str">
        <f ca="1">IFERROR(+IF(T$29=ProposalToGnatt[[#This Row],[Start Date]],Milestone_Marker,IF(AND(T$29&gt;ProposalToGnatt[[#This Row],[Start Date]],T$29&lt;ProposalToGnatt[[#This Row],[Start Date]]+ProposalToGnatt[[#This Row],[Days]]),$G$5,"")),"")</f>
        <v/>
      </c>
      <c r="U83" s="37" t="str">
        <f ca="1">IFERROR(+IF(U$29=ProposalToGnatt[[#This Row],[Start Date]],Milestone_Marker,IF(AND(U$29&gt;ProposalToGnatt[[#This Row],[Start Date]],U$29&lt;ProposalToGnatt[[#This Row],[Start Date]]+ProposalToGnatt[[#This Row],[Days]]),$G$5,"")),"")</f>
        <v/>
      </c>
      <c r="V83" s="37" t="str">
        <f ca="1">IFERROR(+IF(V$29=ProposalToGnatt[[#This Row],[Start Date]],Milestone_Marker,IF(AND(V$29&gt;ProposalToGnatt[[#This Row],[Start Date]],V$29&lt;ProposalToGnatt[[#This Row],[Start Date]]+ProposalToGnatt[[#This Row],[Days]]),$G$5,"")),"")</f>
        <v/>
      </c>
      <c r="W83" s="37" t="str">
        <f ca="1">IFERROR(+IF(W$29=ProposalToGnatt[[#This Row],[Start Date]],Milestone_Marker,IF(AND(W$29&gt;ProposalToGnatt[[#This Row],[Start Date]],W$29&lt;ProposalToGnatt[[#This Row],[Start Date]]+ProposalToGnatt[[#This Row],[Days]]),$G$5,"")),"")</f>
        <v/>
      </c>
      <c r="X83" s="37" t="str">
        <f ca="1">IFERROR(+IF(X$29=ProposalToGnatt[[#This Row],[Start Date]],Milestone_Marker,IF(AND(X$29&gt;ProposalToGnatt[[#This Row],[Start Date]],X$29&lt;ProposalToGnatt[[#This Row],[Start Date]]+ProposalToGnatt[[#This Row],[Days]]),$G$5,"")),"")</f>
        <v/>
      </c>
      <c r="Y83" s="37" t="str">
        <f ca="1">IFERROR(+IF(Y$29=ProposalToGnatt[[#This Row],[Start Date]],Milestone_Marker,IF(AND(Y$29&gt;ProposalToGnatt[[#This Row],[Start Date]],Y$29&lt;ProposalToGnatt[[#This Row],[Start Date]]+ProposalToGnatt[[#This Row],[Days]]),$G$5,"")),"")</f>
        <v/>
      </c>
      <c r="Z83" s="37" t="str">
        <f ca="1">IFERROR(+IF(Z$29=ProposalToGnatt[[#This Row],[Start Date]],Milestone_Marker,IF(AND(Z$29&gt;ProposalToGnatt[[#This Row],[Start Date]],Z$29&lt;ProposalToGnatt[[#This Row],[Start Date]]+ProposalToGnatt[[#This Row],[Days]]),$G$5,"")),"")</f>
        <v/>
      </c>
      <c r="AA83" s="37" t="str">
        <f ca="1">IFERROR(+IF(AA$29=ProposalToGnatt[[#This Row],[Start Date]],Milestone_Marker,IF(AND(AA$29&gt;ProposalToGnatt[[#This Row],[Start Date]],AA$29&lt;ProposalToGnatt[[#This Row],[Start Date]]+ProposalToGnatt[[#This Row],[Days]]),$G$5,"")),"")</f>
        <v/>
      </c>
      <c r="AB83" s="37" t="str">
        <f ca="1">IFERROR(+IF(AB$29=ProposalToGnatt[[#This Row],[Start Date]],Milestone_Marker,IF(AND(AB$29&gt;ProposalToGnatt[[#This Row],[Start Date]],AB$29&lt;ProposalToGnatt[[#This Row],[Start Date]]+ProposalToGnatt[[#This Row],[Days]]),$G$5,"")),"")</f>
        <v/>
      </c>
      <c r="AC83" s="37" t="str">
        <f ca="1">IFERROR(+IF(AC$29=ProposalToGnatt[[#This Row],[Start Date]],Milestone_Marker,IF(AND(AC$29&gt;ProposalToGnatt[[#This Row],[Start Date]],AC$29&lt;ProposalToGnatt[[#This Row],[Start Date]]+ProposalToGnatt[[#This Row],[Days]]),$G$5,"")),"")</f>
        <v/>
      </c>
      <c r="AD83" s="37" t="str">
        <f ca="1">IFERROR(+IF(AD$29=ProposalToGnatt[[#This Row],[Start Date]],Milestone_Marker,IF(AND(AD$29&gt;ProposalToGnatt[[#This Row],[Start Date]],AD$29&lt;ProposalToGnatt[[#This Row],[Start Date]]+ProposalToGnatt[[#This Row],[Days]]),$G$5,"")),"")</f>
        <v/>
      </c>
      <c r="AE83" s="37" t="str">
        <f ca="1">IFERROR(+IF(AE$29=ProposalToGnatt[[#This Row],[Start Date]],Milestone_Marker,IF(AND(AE$29&gt;ProposalToGnatt[[#This Row],[Start Date]],AE$29&lt;ProposalToGnatt[[#This Row],[Start Date]]+ProposalToGnatt[[#This Row],[Days]]),$G$5,"")),"")</f>
        <v/>
      </c>
      <c r="AF83" s="37" t="str">
        <f ca="1">IFERROR(+IF(AF$29=ProposalToGnatt[[#This Row],[Start Date]],Milestone_Marker,IF(AND(AF$29&gt;ProposalToGnatt[[#This Row],[Start Date]],AF$29&lt;ProposalToGnatt[[#This Row],[Start Date]]+ProposalToGnatt[[#This Row],[Days]]),$G$5,"")),"")</f>
        <v/>
      </c>
      <c r="AG83" s="37" t="str">
        <f ca="1">IFERROR(+IF(AG$29=ProposalToGnatt[[#This Row],[Start Date]],Milestone_Marker,IF(AND(AG$29&gt;ProposalToGnatt[[#This Row],[Start Date]],AG$29&lt;ProposalToGnatt[[#This Row],[Start Date]]+ProposalToGnatt[[#This Row],[Days]]),$G$5,"")),"")</f>
        <v/>
      </c>
      <c r="AH83" s="37" t="str">
        <f ca="1">IFERROR(+IF(AH$29=ProposalToGnatt[[#This Row],[Start Date]],Milestone_Marker,IF(AND(AH$29&gt;ProposalToGnatt[[#This Row],[Start Date]],AH$29&lt;ProposalToGnatt[[#This Row],[Start Date]]+ProposalToGnatt[[#This Row],[Days]]),$G$5,"")),"")</f>
        <v/>
      </c>
      <c r="AI83" s="37" t="str">
        <f ca="1">IFERROR(+IF(AI$29=ProposalToGnatt[[#This Row],[Start Date]],Milestone_Marker,IF(AND(AI$29&gt;ProposalToGnatt[[#This Row],[Start Date]],AI$29&lt;ProposalToGnatt[[#This Row],[Start Date]]+ProposalToGnatt[[#This Row],[Days]]),$G$5,"")),"")</f>
        <v/>
      </c>
      <c r="AJ83" s="37" t="str">
        <f ca="1">IFERROR(+IF(AJ$29=ProposalToGnatt[[#This Row],[Start Date]],Milestone_Marker,IF(AND(AJ$29&gt;ProposalToGnatt[[#This Row],[Start Date]],AJ$29&lt;ProposalToGnatt[[#This Row],[Start Date]]+ProposalToGnatt[[#This Row],[Days]]),$G$5,"")),"")</f>
        <v/>
      </c>
      <c r="AK83" s="37" t="str">
        <f ca="1">IFERROR(+IF(AK$29=ProposalToGnatt[[#This Row],[Start Date]],Milestone_Marker,IF(AND(AK$29&gt;ProposalToGnatt[[#This Row],[Start Date]],AK$29&lt;ProposalToGnatt[[#This Row],[Start Date]]+ProposalToGnatt[[#This Row],[Days]]),$G$5,"")),"")</f>
        <v/>
      </c>
      <c r="AL83" s="37" t="str">
        <f ca="1">IFERROR(+IF(AL$29=ProposalToGnatt[[#This Row],[Start Date]],Milestone_Marker,IF(AND(AL$29&gt;ProposalToGnatt[[#This Row],[Start Date]],AL$29&lt;ProposalToGnatt[[#This Row],[Start Date]]+ProposalToGnatt[[#This Row],[Days]]),$G$5,"")),"")</f>
        <v/>
      </c>
      <c r="AM83" s="37" t="str">
        <f ca="1">IFERROR(+IF(AM$29=ProposalToGnatt[[#This Row],[Start Date]],Milestone_Marker,IF(AND(AM$29&gt;ProposalToGnatt[[#This Row],[Start Date]],AM$29&lt;ProposalToGnatt[[#This Row],[Start Date]]+ProposalToGnatt[[#This Row],[Days]]),$G$5,"")),"")</f>
        <v/>
      </c>
      <c r="AN83" s="37" t="str">
        <f ca="1">IFERROR(+IF(AN$29=ProposalToGnatt[[#This Row],[Start Date]],Milestone_Marker,IF(AND(AN$29&gt;ProposalToGnatt[[#This Row],[Start Date]],AN$29&lt;ProposalToGnatt[[#This Row],[Start Date]]+ProposalToGnatt[[#This Row],[Days]]),$G$5,"")),"")</f>
        <v/>
      </c>
      <c r="AO83" s="37" t="str">
        <f ca="1">IFERROR(+IF(AO$29=ProposalToGnatt[[#This Row],[Start Date]],Milestone_Marker,IF(AND(AO$29&gt;ProposalToGnatt[[#This Row],[Start Date]],AO$29&lt;ProposalToGnatt[[#This Row],[Start Date]]+ProposalToGnatt[[#This Row],[Days]]),$G$5,"")),"")</f>
        <v/>
      </c>
      <c r="AP83" s="37" t="str">
        <f ca="1">IFERROR(+IF(AP$29=ProposalToGnatt[[#This Row],[Start Date]],Milestone_Marker,IF(AND(AP$29&gt;ProposalToGnatt[[#This Row],[Start Date]],AP$29&lt;ProposalToGnatt[[#This Row],[Start Date]]+ProposalToGnatt[[#This Row],[Days]]),$G$5,"")),"")</f>
        <v/>
      </c>
      <c r="AQ83" s="37" t="str">
        <f ca="1">IFERROR(+IF(AQ$29=ProposalToGnatt[[#This Row],[Start Date]],Milestone_Marker,IF(AND(AQ$29&gt;ProposalToGnatt[[#This Row],[Start Date]],AQ$29&lt;ProposalToGnatt[[#This Row],[Start Date]]+ProposalToGnatt[[#This Row],[Days]]),$G$5,"")),"")</f>
        <v/>
      </c>
      <c r="AR83" s="37" t="str">
        <f ca="1">IFERROR(+IF(AR$29=ProposalToGnatt[[#This Row],[Start Date]],Milestone_Marker,IF(AND(AR$29&gt;ProposalToGnatt[[#This Row],[Start Date]],AR$29&lt;ProposalToGnatt[[#This Row],[Start Date]]+ProposalToGnatt[[#This Row],[Days]]),$G$5,"")),"")</f>
        <v/>
      </c>
      <c r="AS83" s="37" t="str">
        <f ca="1">IFERROR(+IF(AS$29=ProposalToGnatt[[#This Row],[Start Date]],Milestone_Marker,IF(AND(AS$29&gt;ProposalToGnatt[[#This Row],[Start Date]],AS$29&lt;ProposalToGnatt[[#This Row],[Start Date]]+ProposalToGnatt[[#This Row],[Days]]),$G$5,"")),"")</f>
        <v/>
      </c>
      <c r="AT83" s="37" t="str">
        <f ca="1">IFERROR(+IF(AT$29=ProposalToGnatt[[#This Row],[Start Date]],Milestone_Marker,IF(AND(AT$29&gt;ProposalToGnatt[[#This Row],[Start Date]],AT$29&lt;ProposalToGnatt[[#This Row],[Start Date]]+ProposalToGnatt[[#This Row],[Days]]),$G$5,"")),"")</f>
        <v/>
      </c>
      <c r="AU83" s="37" t="str">
        <f ca="1">IFERROR(+IF(AU$29=ProposalToGnatt[[#This Row],[Start Date]],Milestone_Marker,IF(AND(AU$29&gt;ProposalToGnatt[[#This Row],[Start Date]],AU$29&lt;ProposalToGnatt[[#This Row],[Start Date]]+ProposalToGnatt[[#This Row],[Days]]),$G$5,"")),"")</f>
        <v/>
      </c>
      <c r="AV83" s="37" t="str">
        <f ca="1">IFERROR(+IF(AV$29=ProposalToGnatt[[#This Row],[Start Date]],Milestone_Marker,IF(AND(AV$29&gt;ProposalToGnatt[[#This Row],[Start Date]],AV$29&lt;ProposalToGnatt[[#This Row],[Start Date]]+ProposalToGnatt[[#This Row],[Days]]),$G$5,"")),"")</f>
        <v/>
      </c>
      <c r="AW83" s="37" t="str">
        <f ca="1">IFERROR(+IF(AW$29=ProposalToGnatt[[#This Row],[Start Date]],Milestone_Marker,IF(AND(AW$29&gt;ProposalToGnatt[[#This Row],[Start Date]],AW$29&lt;ProposalToGnatt[[#This Row],[Start Date]]+ProposalToGnatt[[#This Row],[Days]]),$G$5,"")),"")</f>
        <v/>
      </c>
      <c r="AX83" s="37" t="str">
        <f ca="1">IFERROR(+IF(AX$29=ProposalToGnatt[[#This Row],[Start Date]],Milestone_Marker,IF(AND(AX$29&gt;ProposalToGnatt[[#This Row],[Start Date]],AX$29&lt;ProposalToGnatt[[#This Row],[Start Date]]+ProposalToGnatt[[#This Row],[Days]]),$G$5,"")),"")</f>
        <v/>
      </c>
      <c r="AY83" s="37" t="str">
        <f ca="1">IFERROR(+IF(AY$29=ProposalToGnatt[[#This Row],[Start Date]],Milestone_Marker,IF(AND(AY$29&gt;ProposalToGnatt[[#This Row],[Start Date]],AY$29&lt;ProposalToGnatt[[#This Row],[Start Date]]+ProposalToGnatt[[#This Row],[Days]]),$G$5,"")),"")</f>
        <v/>
      </c>
      <c r="AZ83" s="37" t="str">
        <f ca="1">IFERROR(+IF(AZ$29=ProposalToGnatt[[#This Row],[Start Date]],Milestone_Marker,IF(AND(AZ$29&gt;ProposalToGnatt[[#This Row],[Start Date]],AZ$29&lt;ProposalToGnatt[[#This Row],[Start Date]]+ProposalToGnatt[[#This Row],[Days]]),$G$5,"")),"")</f>
        <v/>
      </c>
      <c r="BA83" s="37" t="str">
        <f ca="1">IFERROR(+IF(BA$29=ProposalToGnatt[[#This Row],[Start Date]],Milestone_Marker,IF(AND(BA$29&gt;ProposalToGnatt[[#This Row],[Start Date]],BA$29&lt;ProposalToGnatt[[#This Row],[Start Date]]+ProposalToGnatt[[#This Row],[Days]]),$G$5,"")),"")</f>
        <v/>
      </c>
      <c r="BB83" s="37" t="str">
        <f ca="1">IFERROR(+IF(BB$29=ProposalToGnatt[[#This Row],[Start Date]],Milestone_Marker,IF(AND(BB$29&gt;ProposalToGnatt[[#This Row],[Start Date]],BB$29&lt;ProposalToGnatt[[#This Row],[Start Date]]+ProposalToGnatt[[#This Row],[Days]]),$G$5,"")),"")</f>
        <v/>
      </c>
      <c r="BC83" s="37" t="str">
        <f ca="1">IFERROR(+IF(BC$29=ProposalToGnatt[[#This Row],[Start Date]],Milestone_Marker,IF(AND(BC$29&gt;ProposalToGnatt[[#This Row],[Start Date]],BC$29&lt;ProposalToGnatt[[#This Row],[Start Date]]+ProposalToGnatt[[#This Row],[Days]]),$G$5,"")),"")</f>
        <v/>
      </c>
      <c r="BD83" s="37" t="str">
        <f ca="1">IFERROR(+IF(BD$29=ProposalToGnatt[[#This Row],[Start Date]],Milestone_Marker,IF(AND(BD$29&gt;ProposalToGnatt[[#This Row],[Start Date]],BD$29&lt;ProposalToGnatt[[#This Row],[Start Date]]+ProposalToGnatt[[#This Row],[Days]]),$G$5,"")),"")</f>
        <v/>
      </c>
      <c r="BE83" s="37" t="str">
        <f ca="1">IFERROR(+IF(BE$29=ProposalToGnatt[[#This Row],[Start Date]],Milestone_Marker,IF(AND(BE$29&gt;ProposalToGnatt[[#This Row],[Start Date]],BE$29&lt;ProposalToGnatt[[#This Row],[Start Date]]+ProposalToGnatt[[#This Row],[Days]]),$G$5,"")),"")</f>
        <v/>
      </c>
      <c r="BF83" s="37" t="str">
        <f ca="1">IFERROR(+IF(BF$29=ProposalToGnatt[[#This Row],[Start Date]],Milestone_Marker,IF(AND(BF$29&gt;ProposalToGnatt[[#This Row],[Start Date]],BF$29&lt;ProposalToGnatt[[#This Row],[Start Date]]+ProposalToGnatt[[#This Row],[Days]]),$G$5,"")),"")</f>
        <v/>
      </c>
      <c r="BG83" s="37" t="str">
        <f ca="1">IFERROR(+IF(BG$29=ProposalToGnatt[[#This Row],[Start Date]],Milestone_Marker,IF(AND(BG$29&gt;ProposalToGnatt[[#This Row],[Start Date]],BG$29&lt;ProposalToGnatt[[#This Row],[Start Date]]+ProposalToGnatt[[#This Row],[Days]]),$G$5,"")),"")</f>
        <v/>
      </c>
      <c r="BH83" s="37" t="str">
        <f ca="1">IFERROR(+IF(BH$29=ProposalToGnatt[[#This Row],[Start Date]],Milestone_Marker,IF(AND(BH$29&gt;ProposalToGnatt[[#This Row],[Start Date]],BH$29&lt;ProposalToGnatt[[#This Row],[Start Date]]+ProposalToGnatt[[#This Row],[Days]]),$G$5,"")),"")</f>
        <v/>
      </c>
      <c r="BI83" s="37" t="str">
        <f ca="1">IFERROR(+IF(BI$29=ProposalToGnatt[[#This Row],[Start Date]],Milestone_Marker,IF(AND(BI$29&gt;ProposalToGnatt[[#This Row],[Start Date]],BI$29&lt;ProposalToGnatt[[#This Row],[Start Date]]+ProposalToGnatt[[#This Row],[Days]]),$G$5,"")),"")</f>
        <v/>
      </c>
      <c r="BJ83" s="37" t="str">
        <f ca="1">IFERROR(+IF(BJ$29=ProposalToGnatt[[#This Row],[Start Date]],Milestone_Marker,IF(AND(BJ$29&gt;ProposalToGnatt[[#This Row],[Start Date]],BJ$29&lt;ProposalToGnatt[[#This Row],[Start Date]]+ProposalToGnatt[[#This Row],[Days]]),$G$5,"")),"")</f>
        <v/>
      </c>
      <c r="BK83" s="37" t="str">
        <f ca="1">IFERROR(+IF(BK$29=ProposalToGnatt[[#This Row],[Start Date]],Milestone_Marker,IF(AND(BK$29&gt;ProposalToGnatt[[#This Row],[Start Date]],BK$29&lt;ProposalToGnatt[[#This Row],[Start Date]]+ProposalToGnatt[[#This Row],[Days]]),$G$5,"")),"")</f>
        <v/>
      </c>
      <c r="BL83" s="37" t="str">
        <f ca="1">IFERROR(+IF(BL$29=ProposalToGnatt[[#This Row],[Start Date]],Milestone_Marker,IF(AND(BL$29&gt;ProposalToGnatt[[#This Row],[Start Date]],BL$29&lt;ProposalToGnatt[[#This Row],[Start Date]]+ProposalToGnatt[[#This Row],[Days]]),$G$5,"")),"")</f>
        <v/>
      </c>
      <c r="BM83" s="37" t="str">
        <f ca="1">IFERROR(+IF(BM$29=ProposalToGnatt[[#This Row],[Start Date]],Milestone_Marker,IF(AND(BM$29&gt;ProposalToGnatt[[#This Row],[Start Date]],BM$29&lt;ProposalToGnatt[[#This Row],[Start Date]]+ProposalToGnatt[[#This Row],[Days]]),$G$5,"")),"")</f>
        <v/>
      </c>
      <c r="BN83" s="37" t="str">
        <f ca="1">IFERROR(+IF(BN$29=ProposalToGnatt[[#This Row],[Start Date]],Milestone_Marker,IF(AND(BN$29&gt;ProposalToGnatt[[#This Row],[Start Date]],BN$29&lt;ProposalToGnatt[[#This Row],[Start Date]]+ProposalToGnatt[[#This Row],[Days]]),$G$5,"")),"")</f>
        <v/>
      </c>
      <c r="BO83" s="37" t="str">
        <f ca="1">IFERROR(+IF(BO$29=ProposalToGnatt[[#This Row],[Start Date]],Milestone_Marker,IF(AND(BO$29&gt;ProposalToGnatt[[#This Row],[Start Date]],BO$29&lt;ProposalToGnatt[[#This Row],[Start Date]]+ProposalToGnatt[[#This Row],[Days]]),$G$5,"")),"")</f>
        <v/>
      </c>
      <c r="BP83" s="37" t="str">
        <f ca="1">IFERROR(+IF(BP$29=ProposalToGnatt[[#This Row],[Start Date]],Milestone_Marker,IF(AND(BP$29&gt;ProposalToGnatt[[#This Row],[Start Date]],BP$29&lt;ProposalToGnatt[[#This Row],[Start Date]]+ProposalToGnatt[[#This Row],[Days]]),$G$5,"")),"")</f>
        <v/>
      </c>
      <c r="BQ83" s="37" t="str">
        <f ca="1">IFERROR(+IF(BQ$29=ProposalToGnatt[[#This Row],[Start Date]],Milestone_Marker,IF(AND(BQ$29&gt;ProposalToGnatt[[#This Row],[Start Date]],BQ$29&lt;ProposalToGnatt[[#This Row],[Start Date]]+ProposalToGnatt[[#This Row],[Days]]),$G$5,"")),"")</f>
        <v/>
      </c>
      <c r="BR83" s="37" t="str">
        <f ca="1">IFERROR(+IF(BR$29=ProposalToGnatt[[#This Row],[Start Date]],Milestone_Marker,IF(AND(BR$29&gt;ProposalToGnatt[[#This Row],[Start Date]],BR$29&lt;ProposalToGnatt[[#This Row],[Start Date]]+ProposalToGnatt[[#This Row],[Days]]),$G$5,"")),"")</f>
        <v/>
      </c>
      <c r="BS83" s="37" t="str">
        <f ca="1">IFERROR(+IF(BS$29=ProposalToGnatt[[#This Row],[Start Date]],Milestone_Marker,IF(AND(BS$29&gt;ProposalToGnatt[[#This Row],[Start Date]],BS$29&lt;ProposalToGnatt[[#This Row],[Start Date]]+ProposalToGnatt[[#This Row],[Days]]),$G$5,"")),"")</f>
        <v/>
      </c>
      <c r="BT83" s="37" t="str">
        <f ca="1">IFERROR(+IF(BT$29=ProposalToGnatt[[#This Row],[Start Date]],Milestone_Marker,IF(AND(BT$29&gt;ProposalToGnatt[[#This Row],[Start Date]],BT$29&lt;ProposalToGnatt[[#This Row],[Start Date]]+ProposalToGnatt[[#This Row],[Days]]),$G$5,"")),"")</f>
        <v/>
      </c>
      <c r="BU83" s="37" t="str">
        <f ca="1">IFERROR(+IF(BU$29=ProposalToGnatt[[#This Row],[Start Date]],Milestone_Marker,IF(AND(BU$29&gt;ProposalToGnatt[[#This Row],[Start Date]],BU$29&lt;ProposalToGnatt[[#This Row],[Start Date]]+ProposalToGnatt[[#This Row],[Days]]),$G$5,"")),"")</f>
        <v/>
      </c>
      <c r="BV83" s="37" t="str">
        <f ca="1">IFERROR(+IF(BV$29=ProposalToGnatt[[#This Row],[Start Date]],Milestone_Marker,IF(AND(BV$29&gt;ProposalToGnatt[[#This Row],[Start Date]],BV$29&lt;ProposalToGnatt[[#This Row],[Start Date]]+ProposalToGnatt[[#This Row],[Days]]),$G$5,"")),"")</f>
        <v/>
      </c>
      <c r="BW83" s="37" t="str">
        <f ca="1">IFERROR(+IF(BW$29=ProposalToGnatt[[#This Row],[Start Date]],Milestone_Marker,IF(AND(BW$29&gt;ProposalToGnatt[[#This Row],[Start Date]],BW$29&lt;ProposalToGnatt[[#This Row],[Start Date]]+ProposalToGnatt[[#This Row],[Days]]),$G$5,"")),"")</f>
        <v/>
      </c>
      <c r="BX83" s="37" t="str">
        <f ca="1">IFERROR(+IF(BX$29=ProposalToGnatt[[#This Row],[Start Date]],Milestone_Marker,IF(AND(BX$29&gt;ProposalToGnatt[[#This Row],[Start Date]],BX$29&lt;ProposalToGnatt[[#This Row],[Start Date]]+ProposalToGnatt[[#This Row],[Days]]),$G$5,"")),"")</f>
        <v/>
      </c>
      <c r="BY83" s="37" t="str">
        <f ca="1">IFERROR(+IF(BY$29=ProposalToGnatt[[#This Row],[Start Date]],Milestone_Marker,IF(AND(BY$29&gt;ProposalToGnatt[[#This Row],[Start Date]],BY$29&lt;ProposalToGnatt[[#This Row],[Start Date]]+ProposalToGnatt[[#This Row],[Days]]),$G$5,"")),"")</f>
        <v/>
      </c>
      <c r="BZ83" s="37" t="str">
        <f ca="1">IFERROR(+IF(BZ$29=ProposalToGnatt[[#This Row],[Start Date]],Milestone_Marker,IF(AND(BZ$29&gt;ProposalToGnatt[[#This Row],[Start Date]],BZ$29&lt;ProposalToGnatt[[#This Row],[Start Date]]+ProposalToGnatt[[#This Row],[Days]]),$G$5,"")),"")</f>
        <v/>
      </c>
      <c r="CA83" s="37" t="str">
        <f ca="1">IFERROR(+IF(CA$29=ProposalToGnatt[[#This Row],[Start Date]],Milestone_Marker,IF(AND(CA$29&gt;ProposalToGnatt[[#This Row],[Start Date]],CA$29&lt;ProposalToGnatt[[#This Row],[Start Date]]+ProposalToGnatt[[#This Row],[Days]]),$G$5,"")),"")</f>
        <v/>
      </c>
      <c r="CB83" s="37" t="str">
        <f ca="1">IFERROR(+IF(CB$29=ProposalToGnatt[[#This Row],[Start Date]],Milestone_Marker,IF(AND(CB$29&gt;ProposalToGnatt[[#This Row],[Start Date]],CB$29&lt;ProposalToGnatt[[#This Row],[Start Date]]+ProposalToGnatt[[#This Row],[Days]]),$G$5,"")),"")</f>
        <v/>
      </c>
      <c r="CC83" s="37" t="str">
        <f ca="1">IFERROR(+IF(CC$29=ProposalToGnatt[[#This Row],[Start Date]],Milestone_Marker,IF(AND(CC$29&gt;ProposalToGnatt[[#This Row],[Start Date]],CC$29&lt;ProposalToGnatt[[#This Row],[Start Date]]+ProposalToGnatt[[#This Row],[Days]]),$G$5,"")),"")</f>
        <v/>
      </c>
      <c r="CD83" s="37" t="str">
        <f ca="1">IFERROR(+IF(CD$29=ProposalToGnatt[[#This Row],[Start Date]],Milestone_Marker,IF(AND(CD$29&gt;ProposalToGnatt[[#This Row],[Start Date]],CD$29&lt;ProposalToGnatt[[#This Row],[Start Date]]+ProposalToGnatt[[#This Row],[Days]]),$G$5,"")),"")</f>
        <v/>
      </c>
      <c r="CE83" s="37" t="str">
        <f ca="1">IFERROR(+IF(CE$29=ProposalToGnatt[[#This Row],[Start Date]],Milestone_Marker,IF(AND(CE$29&gt;ProposalToGnatt[[#This Row],[Start Date]],CE$29&lt;ProposalToGnatt[[#This Row],[Start Date]]+ProposalToGnatt[[#This Row],[Days]]),$G$5,"")),"")</f>
        <v/>
      </c>
      <c r="CF83" s="37" t="str">
        <f ca="1">IFERROR(+IF(CF$29=ProposalToGnatt[[#This Row],[Start Date]],Milestone_Marker,IF(AND(CF$29&gt;ProposalToGnatt[[#This Row],[Start Date]],CF$29&lt;ProposalToGnatt[[#This Row],[Start Date]]+ProposalToGnatt[[#This Row],[Days]]),$G$5,"")),"")</f>
        <v/>
      </c>
      <c r="CG83" s="37" t="str">
        <f ca="1">IFERROR(+IF(CG$29=ProposalToGnatt[[#This Row],[Start Date]],Milestone_Marker,IF(AND(CG$29&gt;ProposalToGnatt[[#This Row],[Start Date]],CG$29&lt;ProposalToGnatt[[#This Row],[Start Date]]+ProposalToGnatt[[#This Row],[Days]]),$G$5,"")),"")</f>
        <v/>
      </c>
      <c r="CH83" s="37" t="str">
        <f ca="1">IFERROR(+IF(CH$29=ProposalToGnatt[[#This Row],[Start Date]],Milestone_Marker,IF(AND(CH$29&gt;ProposalToGnatt[[#This Row],[Start Date]],CH$29&lt;ProposalToGnatt[[#This Row],[Start Date]]+ProposalToGnatt[[#This Row],[Days]]),$G$5,"")),"")</f>
        <v/>
      </c>
      <c r="CI83" s="37" t="str">
        <f ca="1">IFERROR(+IF(CI$29=ProposalToGnatt[[#This Row],[Start Date]],Milestone_Marker,IF(AND(CI$29&gt;ProposalToGnatt[[#This Row],[Start Date]],CI$29&lt;ProposalToGnatt[[#This Row],[Start Date]]+ProposalToGnatt[[#This Row],[Days]]),$G$5,"")),"")</f>
        <v/>
      </c>
      <c r="CJ83" s="37" t="str">
        <f ca="1">IFERROR(+IF(CJ$29=ProposalToGnatt[[#This Row],[Start Date]],Milestone_Marker,IF(AND(CJ$29&gt;ProposalToGnatt[[#This Row],[Start Date]],CJ$29&lt;ProposalToGnatt[[#This Row],[Start Date]]+ProposalToGnatt[[#This Row],[Days]]),$G$5,"")),"")</f>
        <v/>
      </c>
      <c r="CK83" s="37" t="str">
        <f ca="1">IFERROR(+IF(CK$29=ProposalToGnatt[[#This Row],[Start Date]],Milestone_Marker,IF(AND(CK$29&gt;ProposalToGnatt[[#This Row],[Start Date]],CK$29&lt;ProposalToGnatt[[#This Row],[Start Date]]+ProposalToGnatt[[#This Row],[Days]]),$G$5,"")),"")</f>
        <v/>
      </c>
      <c r="CL83" s="37" t="str">
        <f ca="1">IFERROR(+IF(CL$29=ProposalToGnatt[[#This Row],[Start Date]],Milestone_Marker,IF(AND(CL$29&gt;ProposalToGnatt[[#This Row],[Start Date]],CL$29&lt;ProposalToGnatt[[#This Row],[Start Date]]+ProposalToGnatt[[#This Row],[Days]]),$G$5,"")),"")</f>
        <v/>
      </c>
      <c r="CM83" s="37" t="str">
        <f ca="1">IFERROR(+IF(CM$29=ProposalToGnatt[[#This Row],[Start Date]],Milestone_Marker,IF(AND(CM$29&gt;ProposalToGnatt[[#This Row],[Start Date]],CM$29&lt;ProposalToGnatt[[#This Row],[Start Date]]+ProposalToGnatt[[#This Row],[Days]]),$G$5,"")),"")</f>
        <v/>
      </c>
      <c r="CN83" s="37" t="str">
        <f ca="1">IFERROR(+IF(CN$29=ProposalToGnatt[[#This Row],[Start Date]],Milestone_Marker,IF(AND(CN$29&gt;ProposalToGnatt[[#This Row],[Start Date]],CN$29&lt;ProposalToGnatt[[#This Row],[Start Date]]+ProposalToGnatt[[#This Row],[Days]]),$G$5,"")),"")</f>
        <v/>
      </c>
      <c r="CO83" s="37" t="str">
        <f ca="1">IFERROR(+IF(CO$29=ProposalToGnatt[[#This Row],[Start Date]],Milestone_Marker,IF(AND(CO$29&gt;ProposalToGnatt[[#This Row],[Start Date]],CO$29&lt;ProposalToGnatt[[#This Row],[Start Date]]+ProposalToGnatt[[#This Row],[Days]]),$G$5,"")),"")</f>
        <v/>
      </c>
      <c r="CP83" s="37" t="str">
        <f ca="1">IFERROR(+IF(CP$29=ProposalToGnatt[[#This Row],[Start Date]],Milestone_Marker,IF(AND(CP$29&gt;ProposalToGnatt[[#This Row],[Start Date]],CP$29&lt;ProposalToGnatt[[#This Row],[Start Date]]+ProposalToGnatt[[#This Row],[Days]]),$G$5,"")),"")</f>
        <v/>
      </c>
      <c r="CQ83" s="37" t="str">
        <f ca="1">IFERROR(+IF(CQ$29=ProposalToGnatt[[#This Row],[Start Date]],Milestone_Marker,IF(AND(CQ$29&gt;ProposalToGnatt[[#This Row],[Start Date]],CQ$29&lt;ProposalToGnatt[[#This Row],[Start Date]]+ProposalToGnatt[[#This Row],[Days]]),$G$5,"")),"")</f>
        <v/>
      </c>
      <c r="CR83" s="37" t="str">
        <f ca="1">IFERROR(+IF(CR$29=ProposalToGnatt[[#This Row],[Start Date]],Milestone_Marker,IF(AND(CR$29&gt;ProposalToGnatt[[#This Row],[Start Date]],CR$29&lt;ProposalToGnatt[[#This Row],[Start Date]]+ProposalToGnatt[[#This Row],[Days]]),$G$5,"")),"")</f>
        <v/>
      </c>
      <c r="CS83" s="37" t="str">
        <f ca="1">IFERROR(+IF(CS$29=ProposalToGnatt[[#This Row],[Start Date]],Milestone_Marker,IF(AND(CS$29&gt;ProposalToGnatt[[#This Row],[Start Date]],CS$29&lt;ProposalToGnatt[[#This Row],[Start Date]]+ProposalToGnatt[[#This Row],[Days]]),$G$5,"")),"")</f>
        <v/>
      </c>
      <c r="CT83" s="37" t="str">
        <f ca="1">IFERROR(+IF(CT$29=ProposalToGnatt[[#This Row],[Start Date]],Milestone_Marker,IF(AND(CT$29&gt;ProposalToGnatt[[#This Row],[Start Date]],CT$29&lt;ProposalToGnatt[[#This Row],[Start Date]]+ProposalToGnatt[[#This Row],[Days]]),$G$5,"")),"")</f>
        <v/>
      </c>
      <c r="CU83" s="37" t="str">
        <f ca="1">IFERROR(+IF(CU$29=ProposalToGnatt[[#This Row],[Start Date]],Milestone_Marker,IF(AND(CU$29&gt;ProposalToGnatt[[#This Row],[Start Date]],CU$29&lt;ProposalToGnatt[[#This Row],[Start Date]]+ProposalToGnatt[[#This Row],[Days]]),$G$5,"")),"")</f>
        <v/>
      </c>
      <c r="CV83" s="37" t="str">
        <f ca="1">IFERROR(+IF(CT$29=#REF!,Milestone_Marker,IF(AND(CT$29&gt;#REF!,CT$29&lt;=#REF!+#REF!),$G$5,"")),"")</f>
        <v/>
      </c>
      <c r="CW83" s="37" t="str">
        <f ca="1">IFERROR(+IF(CU$29=#REF!,Milestone_Marker,IF(AND(CU$29&gt;#REF!,CU$29&lt;=#REF!+#REF!),$G$5,"")),"")</f>
        <v/>
      </c>
      <c r="CX83" s="37"/>
      <c r="CY83" s="37"/>
      <c r="CZ83" s="37"/>
      <c r="DA83" s="37"/>
      <c r="DB83" s="37"/>
      <c r="DC83" s="37"/>
      <c r="DD83" s="37"/>
      <c r="DE83" s="37"/>
      <c r="DF83" s="37"/>
      <c r="DG83" s="37"/>
      <c r="DH83" s="37"/>
      <c r="DI83" s="37"/>
      <c r="DJ83" s="37"/>
      <c r="DK83" s="37"/>
      <c r="DL83" s="37"/>
      <c r="DM83" s="37"/>
      <c r="DN83" s="37"/>
      <c r="DO83" s="37"/>
      <c r="DP83" s="37"/>
      <c r="DQ83" s="37"/>
      <c r="DR83" s="37"/>
      <c r="DS83" s="37"/>
      <c r="DT83" s="37"/>
      <c r="DU83" s="37"/>
    </row>
    <row r="84" spans="1:125" ht="15">
      <c r="A84"/>
      <c r="B84"/>
      <c r="C84"/>
      <c r="D84"/>
      <c r="E84"/>
      <c r="F84"/>
      <c r="G84" s="11"/>
      <c r="H84" s="26"/>
      <c r="I84"/>
      <c r="J84"/>
      <c r="K84" s="402"/>
      <c r="L84"/>
      <c r="M84"/>
      <c r="N84"/>
      <c r="O84" s="26"/>
      <c r="P84" s="37" t="str">
        <f ca="1">IFERROR(+IF(P$29=ProposalToGnatt[[#This Row],[Start Date]],Milestone_Marker,IF(AND(P$29&gt;ProposalToGnatt[[#This Row],[Start Date]],P$29&lt;ProposalToGnatt[[#This Row],[Start Date]]+ProposalToGnatt[[#This Row],[Days]]),$G$5,"")),"")</f>
        <v/>
      </c>
      <c r="Q84" s="37" t="str">
        <f ca="1">IFERROR(+IF(Q$29=ProposalToGnatt[[#This Row],[Start Date]],Milestone_Marker,IF(AND(Q$29&gt;ProposalToGnatt[[#This Row],[Start Date]],Q$29&lt;ProposalToGnatt[[#This Row],[Start Date]]+ProposalToGnatt[[#This Row],[Days]]),$G$5,"")),"")</f>
        <v/>
      </c>
      <c r="R84" s="37" t="str">
        <f ca="1">IFERROR(+IF(R$29=ProposalToGnatt[[#This Row],[Start Date]],Milestone_Marker,IF(AND(R$29&gt;ProposalToGnatt[[#This Row],[Start Date]],R$29&lt;ProposalToGnatt[[#This Row],[Start Date]]+ProposalToGnatt[[#This Row],[Days]]),$G$5,"")),"")</f>
        <v/>
      </c>
      <c r="S84" s="37" t="str">
        <f ca="1">IFERROR(+IF(S$29=ProposalToGnatt[[#This Row],[Start Date]],Milestone_Marker,IF(AND(S$29&gt;ProposalToGnatt[[#This Row],[Start Date]],S$29&lt;ProposalToGnatt[[#This Row],[Start Date]]+ProposalToGnatt[[#This Row],[Days]]),$G$5,"")),"")</f>
        <v/>
      </c>
      <c r="T84" s="37" t="str">
        <f ca="1">IFERROR(+IF(T$29=ProposalToGnatt[[#This Row],[Start Date]],Milestone_Marker,IF(AND(T$29&gt;ProposalToGnatt[[#This Row],[Start Date]],T$29&lt;ProposalToGnatt[[#This Row],[Start Date]]+ProposalToGnatt[[#This Row],[Days]]),$G$5,"")),"")</f>
        <v/>
      </c>
      <c r="U84" s="37" t="str">
        <f ca="1">IFERROR(+IF(U$29=ProposalToGnatt[[#This Row],[Start Date]],Milestone_Marker,IF(AND(U$29&gt;ProposalToGnatt[[#This Row],[Start Date]],U$29&lt;ProposalToGnatt[[#This Row],[Start Date]]+ProposalToGnatt[[#This Row],[Days]]),$G$5,"")),"")</f>
        <v/>
      </c>
      <c r="V84" s="37" t="str">
        <f ca="1">IFERROR(+IF(V$29=ProposalToGnatt[[#This Row],[Start Date]],Milestone_Marker,IF(AND(V$29&gt;ProposalToGnatt[[#This Row],[Start Date]],V$29&lt;ProposalToGnatt[[#This Row],[Start Date]]+ProposalToGnatt[[#This Row],[Days]]),$G$5,"")),"")</f>
        <v/>
      </c>
      <c r="W84" s="37" t="str">
        <f ca="1">IFERROR(+IF(W$29=ProposalToGnatt[[#This Row],[Start Date]],Milestone_Marker,IF(AND(W$29&gt;ProposalToGnatt[[#This Row],[Start Date]],W$29&lt;ProposalToGnatt[[#This Row],[Start Date]]+ProposalToGnatt[[#This Row],[Days]]),$G$5,"")),"")</f>
        <v/>
      </c>
      <c r="X84" s="37" t="str">
        <f ca="1">IFERROR(+IF(X$29=ProposalToGnatt[[#This Row],[Start Date]],Milestone_Marker,IF(AND(X$29&gt;ProposalToGnatt[[#This Row],[Start Date]],X$29&lt;ProposalToGnatt[[#This Row],[Start Date]]+ProposalToGnatt[[#This Row],[Days]]),$G$5,"")),"")</f>
        <v/>
      </c>
      <c r="Y84" s="37" t="str">
        <f ca="1">IFERROR(+IF(Y$29=ProposalToGnatt[[#This Row],[Start Date]],Milestone_Marker,IF(AND(Y$29&gt;ProposalToGnatt[[#This Row],[Start Date]],Y$29&lt;ProposalToGnatt[[#This Row],[Start Date]]+ProposalToGnatt[[#This Row],[Days]]),$G$5,"")),"")</f>
        <v/>
      </c>
      <c r="Z84" s="37" t="str">
        <f ca="1">IFERROR(+IF(Z$29=ProposalToGnatt[[#This Row],[Start Date]],Milestone_Marker,IF(AND(Z$29&gt;ProposalToGnatt[[#This Row],[Start Date]],Z$29&lt;ProposalToGnatt[[#This Row],[Start Date]]+ProposalToGnatt[[#This Row],[Days]]),$G$5,"")),"")</f>
        <v/>
      </c>
      <c r="AA84" s="37" t="str">
        <f ca="1">IFERROR(+IF(AA$29=ProposalToGnatt[[#This Row],[Start Date]],Milestone_Marker,IF(AND(AA$29&gt;ProposalToGnatt[[#This Row],[Start Date]],AA$29&lt;ProposalToGnatt[[#This Row],[Start Date]]+ProposalToGnatt[[#This Row],[Days]]),$G$5,"")),"")</f>
        <v/>
      </c>
      <c r="AB84" s="37" t="str">
        <f ca="1">IFERROR(+IF(AB$29=ProposalToGnatt[[#This Row],[Start Date]],Milestone_Marker,IF(AND(AB$29&gt;ProposalToGnatt[[#This Row],[Start Date]],AB$29&lt;ProposalToGnatt[[#This Row],[Start Date]]+ProposalToGnatt[[#This Row],[Days]]),$G$5,"")),"")</f>
        <v/>
      </c>
      <c r="AC84" s="37" t="str">
        <f ca="1">IFERROR(+IF(AC$29=ProposalToGnatt[[#This Row],[Start Date]],Milestone_Marker,IF(AND(AC$29&gt;ProposalToGnatt[[#This Row],[Start Date]],AC$29&lt;ProposalToGnatt[[#This Row],[Start Date]]+ProposalToGnatt[[#This Row],[Days]]),$G$5,"")),"")</f>
        <v/>
      </c>
      <c r="AD84" s="37" t="str">
        <f ca="1">IFERROR(+IF(AD$29=ProposalToGnatt[[#This Row],[Start Date]],Milestone_Marker,IF(AND(AD$29&gt;ProposalToGnatt[[#This Row],[Start Date]],AD$29&lt;ProposalToGnatt[[#This Row],[Start Date]]+ProposalToGnatt[[#This Row],[Days]]),$G$5,"")),"")</f>
        <v/>
      </c>
      <c r="AE84" s="37" t="str">
        <f ca="1">IFERROR(+IF(AE$29=ProposalToGnatt[[#This Row],[Start Date]],Milestone_Marker,IF(AND(AE$29&gt;ProposalToGnatt[[#This Row],[Start Date]],AE$29&lt;ProposalToGnatt[[#This Row],[Start Date]]+ProposalToGnatt[[#This Row],[Days]]),$G$5,"")),"")</f>
        <v/>
      </c>
      <c r="AF84" s="37" t="str">
        <f ca="1">IFERROR(+IF(AF$29=ProposalToGnatt[[#This Row],[Start Date]],Milestone_Marker,IF(AND(AF$29&gt;ProposalToGnatt[[#This Row],[Start Date]],AF$29&lt;ProposalToGnatt[[#This Row],[Start Date]]+ProposalToGnatt[[#This Row],[Days]]),$G$5,"")),"")</f>
        <v/>
      </c>
      <c r="AG84" s="37" t="str">
        <f ca="1">IFERROR(+IF(AG$29=ProposalToGnatt[[#This Row],[Start Date]],Milestone_Marker,IF(AND(AG$29&gt;ProposalToGnatt[[#This Row],[Start Date]],AG$29&lt;ProposalToGnatt[[#This Row],[Start Date]]+ProposalToGnatt[[#This Row],[Days]]),$G$5,"")),"")</f>
        <v/>
      </c>
      <c r="AH84" s="37" t="str">
        <f ca="1">IFERROR(+IF(AH$29=ProposalToGnatt[[#This Row],[Start Date]],Milestone_Marker,IF(AND(AH$29&gt;ProposalToGnatt[[#This Row],[Start Date]],AH$29&lt;ProposalToGnatt[[#This Row],[Start Date]]+ProposalToGnatt[[#This Row],[Days]]),$G$5,"")),"")</f>
        <v/>
      </c>
      <c r="AI84" s="37" t="str">
        <f ca="1">IFERROR(+IF(AI$29=ProposalToGnatt[[#This Row],[Start Date]],Milestone_Marker,IF(AND(AI$29&gt;ProposalToGnatt[[#This Row],[Start Date]],AI$29&lt;ProposalToGnatt[[#This Row],[Start Date]]+ProposalToGnatt[[#This Row],[Days]]),$G$5,"")),"")</f>
        <v/>
      </c>
      <c r="AJ84" s="37" t="str">
        <f ca="1">IFERROR(+IF(AJ$29=ProposalToGnatt[[#This Row],[Start Date]],Milestone_Marker,IF(AND(AJ$29&gt;ProposalToGnatt[[#This Row],[Start Date]],AJ$29&lt;ProposalToGnatt[[#This Row],[Start Date]]+ProposalToGnatt[[#This Row],[Days]]),$G$5,"")),"")</f>
        <v/>
      </c>
      <c r="AK84" s="37" t="str">
        <f ca="1">IFERROR(+IF(AK$29=ProposalToGnatt[[#This Row],[Start Date]],Milestone_Marker,IF(AND(AK$29&gt;ProposalToGnatt[[#This Row],[Start Date]],AK$29&lt;ProposalToGnatt[[#This Row],[Start Date]]+ProposalToGnatt[[#This Row],[Days]]),$G$5,"")),"")</f>
        <v/>
      </c>
      <c r="AL84" s="37" t="str">
        <f ca="1">IFERROR(+IF(AL$29=ProposalToGnatt[[#This Row],[Start Date]],Milestone_Marker,IF(AND(AL$29&gt;ProposalToGnatt[[#This Row],[Start Date]],AL$29&lt;ProposalToGnatt[[#This Row],[Start Date]]+ProposalToGnatt[[#This Row],[Days]]),$G$5,"")),"")</f>
        <v/>
      </c>
      <c r="AM84" s="37" t="str">
        <f ca="1">IFERROR(+IF(AM$29=ProposalToGnatt[[#This Row],[Start Date]],Milestone_Marker,IF(AND(AM$29&gt;ProposalToGnatt[[#This Row],[Start Date]],AM$29&lt;ProposalToGnatt[[#This Row],[Start Date]]+ProposalToGnatt[[#This Row],[Days]]),$G$5,"")),"")</f>
        <v/>
      </c>
      <c r="AN84" s="37" t="str">
        <f ca="1">IFERROR(+IF(AN$29=ProposalToGnatt[[#This Row],[Start Date]],Milestone_Marker,IF(AND(AN$29&gt;ProposalToGnatt[[#This Row],[Start Date]],AN$29&lt;ProposalToGnatt[[#This Row],[Start Date]]+ProposalToGnatt[[#This Row],[Days]]),$G$5,"")),"")</f>
        <v/>
      </c>
      <c r="AO84" s="37" t="str">
        <f ca="1">IFERROR(+IF(AO$29=ProposalToGnatt[[#This Row],[Start Date]],Milestone_Marker,IF(AND(AO$29&gt;ProposalToGnatt[[#This Row],[Start Date]],AO$29&lt;ProposalToGnatt[[#This Row],[Start Date]]+ProposalToGnatt[[#This Row],[Days]]),$G$5,"")),"")</f>
        <v/>
      </c>
      <c r="AP84" s="37" t="str">
        <f ca="1">IFERROR(+IF(AP$29=ProposalToGnatt[[#This Row],[Start Date]],Milestone_Marker,IF(AND(AP$29&gt;ProposalToGnatt[[#This Row],[Start Date]],AP$29&lt;ProposalToGnatt[[#This Row],[Start Date]]+ProposalToGnatt[[#This Row],[Days]]),$G$5,"")),"")</f>
        <v/>
      </c>
      <c r="AQ84" s="37" t="str">
        <f ca="1">IFERROR(+IF(AQ$29=ProposalToGnatt[[#This Row],[Start Date]],Milestone_Marker,IF(AND(AQ$29&gt;ProposalToGnatt[[#This Row],[Start Date]],AQ$29&lt;ProposalToGnatt[[#This Row],[Start Date]]+ProposalToGnatt[[#This Row],[Days]]),$G$5,"")),"")</f>
        <v/>
      </c>
      <c r="AR84" s="37" t="str">
        <f ca="1">IFERROR(+IF(AR$29=ProposalToGnatt[[#This Row],[Start Date]],Milestone_Marker,IF(AND(AR$29&gt;ProposalToGnatt[[#This Row],[Start Date]],AR$29&lt;ProposalToGnatt[[#This Row],[Start Date]]+ProposalToGnatt[[#This Row],[Days]]),$G$5,"")),"")</f>
        <v/>
      </c>
      <c r="AS84" s="37" t="str">
        <f ca="1">IFERROR(+IF(AS$29=ProposalToGnatt[[#This Row],[Start Date]],Milestone_Marker,IF(AND(AS$29&gt;ProposalToGnatt[[#This Row],[Start Date]],AS$29&lt;ProposalToGnatt[[#This Row],[Start Date]]+ProposalToGnatt[[#This Row],[Days]]),$G$5,"")),"")</f>
        <v/>
      </c>
      <c r="AT84" s="37" t="str">
        <f ca="1">IFERROR(+IF(AT$29=ProposalToGnatt[[#This Row],[Start Date]],Milestone_Marker,IF(AND(AT$29&gt;ProposalToGnatt[[#This Row],[Start Date]],AT$29&lt;ProposalToGnatt[[#This Row],[Start Date]]+ProposalToGnatt[[#This Row],[Days]]),$G$5,"")),"")</f>
        <v/>
      </c>
      <c r="AU84" s="37" t="str">
        <f ca="1">IFERROR(+IF(AU$29=ProposalToGnatt[[#This Row],[Start Date]],Milestone_Marker,IF(AND(AU$29&gt;ProposalToGnatt[[#This Row],[Start Date]],AU$29&lt;ProposalToGnatt[[#This Row],[Start Date]]+ProposalToGnatt[[#This Row],[Days]]),$G$5,"")),"")</f>
        <v/>
      </c>
      <c r="AV84" s="37" t="str">
        <f ca="1">IFERROR(+IF(AV$29=ProposalToGnatt[[#This Row],[Start Date]],Milestone_Marker,IF(AND(AV$29&gt;ProposalToGnatt[[#This Row],[Start Date]],AV$29&lt;ProposalToGnatt[[#This Row],[Start Date]]+ProposalToGnatt[[#This Row],[Days]]),$G$5,"")),"")</f>
        <v/>
      </c>
      <c r="AW84" s="37" t="str">
        <f ca="1">IFERROR(+IF(AW$29=ProposalToGnatt[[#This Row],[Start Date]],Milestone_Marker,IF(AND(AW$29&gt;ProposalToGnatt[[#This Row],[Start Date]],AW$29&lt;ProposalToGnatt[[#This Row],[Start Date]]+ProposalToGnatt[[#This Row],[Days]]),$G$5,"")),"")</f>
        <v/>
      </c>
      <c r="AX84" s="37" t="str">
        <f ca="1">IFERROR(+IF(AX$29=ProposalToGnatt[[#This Row],[Start Date]],Milestone_Marker,IF(AND(AX$29&gt;ProposalToGnatt[[#This Row],[Start Date]],AX$29&lt;ProposalToGnatt[[#This Row],[Start Date]]+ProposalToGnatt[[#This Row],[Days]]),$G$5,"")),"")</f>
        <v/>
      </c>
      <c r="AY84" s="37" t="str">
        <f ca="1">IFERROR(+IF(AY$29=ProposalToGnatt[[#This Row],[Start Date]],Milestone_Marker,IF(AND(AY$29&gt;ProposalToGnatt[[#This Row],[Start Date]],AY$29&lt;ProposalToGnatt[[#This Row],[Start Date]]+ProposalToGnatt[[#This Row],[Days]]),$G$5,"")),"")</f>
        <v/>
      </c>
      <c r="AZ84" s="37" t="str">
        <f ca="1">IFERROR(+IF(AZ$29=ProposalToGnatt[[#This Row],[Start Date]],Milestone_Marker,IF(AND(AZ$29&gt;ProposalToGnatt[[#This Row],[Start Date]],AZ$29&lt;ProposalToGnatt[[#This Row],[Start Date]]+ProposalToGnatt[[#This Row],[Days]]),$G$5,"")),"")</f>
        <v/>
      </c>
      <c r="BA84" s="37" t="str">
        <f ca="1">IFERROR(+IF(BA$29=ProposalToGnatt[[#This Row],[Start Date]],Milestone_Marker,IF(AND(BA$29&gt;ProposalToGnatt[[#This Row],[Start Date]],BA$29&lt;ProposalToGnatt[[#This Row],[Start Date]]+ProposalToGnatt[[#This Row],[Days]]),$G$5,"")),"")</f>
        <v/>
      </c>
      <c r="BB84" s="37" t="str">
        <f ca="1">IFERROR(+IF(BB$29=ProposalToGnatt[[#This Row],[Start Date]],Milestone_Marker,IF(AND(BB$29&gt;ProposalToGnatt[[#This Row],[Start Date]],BB$29&lt;ProposalToGnatt[[#This Row],[Start Date]]+ProposalToGnatt[[#This Row],[Days]]),$G$5,"")),"")</f>
        <v/>
      </c>
      <c r="BC84" s="37" t="str">
        <f ca="1">IFERROR(+IF(BC$29=ProposalToGnatt[[#This Row],[Start Date]],Milestone_Marker,IF(AND(BC$29&gt;ProposalToGnatt[[#This Row],[Start Date]],BC$29&lt;ProposalToGnatt[[#This Row],[Start Date]]+ProposalToGnatt[[#This Row],[Days]]),$G$5,"")),"")</f>
        <v/>
      </c>
      <c r="BD84" s="37" t="str">
        <f ca="1">IFERROR(+IF(BD$29=ProposalToGnatt[[#This Row],[Start Date]],Milestone_Marker,IF(AND(BD$29&gt;ProposalToGnatt[[#This Row],[Start Date]],BD$29&lt;ProposalToGnatt[[#This Row],[Start Date]]+ProposalToGnatt[[#This Row],[Days]]),$G$5,"")),"")</f>
        <v/>
      </c>
      <c r="BE84" s="37" t="str">
        <f ca="1">IFERROR(+IF(BE$29=ProposalToGnatt[[#This Row],[Start Date]],Milestone_Marker,IF(AND(BE$29&gt;ProposalToGnatt[[#This Row],[Start Date]],BE$29&lt;ProposalToGnatt[[#This Row],[Start Date]]+ProposalToGnatt[[#This Row],[Days]]),$G$5,"")),"")</f>
        <v/>
      </c>
      <c r="BF84" s="37" t="str">
        <f ca="1">IFERROR(+IF(BF$29=ProposalToGnatt[[#This Row],[Start Date]],Milestone_Marker,IF(AND(BF$29&gt;ProposalToGnatt[[#This Row],[Start Date]],BF$29&lt;ProposalToGnatt[[#This Row],[Start Date]]+ProposalToGnatt[[#This Row],[Days]]),$G$5,"")),"")</f>
        <v/>
      </c>
      <c r="BG84" s="37" t="str">
        <f ca="1">IFERROR(+IF(BG$29=ProposalToGnatt[[#This Row],[Start Date]],Milestone_Marker,IF(AND(BG$29&gt;ProposalToGnatt[[#This Row],[Start Date]],BG$29&lt;ProposalToGnatt[[#This Row],[Start Date]]+ProposalToGnatt[[#This Row],[Days]]),$G$5,"")),"")</f>
        <v/>
      </c>
      <c r="BH84" s="37" t="str">
        <f ca="1">IFERROR(+IF(BH$29=ProposalToGnatt[[#This Row],[Start Date]],Milestone_Marker,IF(AND(BH$29&gt;ProposalToGnatt[[#This Row],[Start Date]],BH$29&lt;ProposalToGnatt[[#This Row],[Start Date]]+ProposalToGnatt[[#This Row],[Days]]),$G$5,"")),"")</f>
        <v/>
      </c>
      <c r="BI84" s="37" t="str">
        <f ca="1">IFERROR(+IF(BI$29=ProposalToGnatt[[#This Row],[Start Date]],Milestone_Marker,IF(AND(BI$29&gt;ProposalToGnatt[[#This Row],[Start Date]],BI$29&lt;ProposalToGnatt[[#This Row],[Start Date]]+ProposalToGnatt[[#This Row],[Days]]),$G$5,"")),"")</f>
        <v/>
      </c>
      <c r="BJ84" s="37" t="str">
        <f ca="1">IFERROR(+IF(BJ$29=ProposalToGnatt[[#This Row],[Start Date]],Milestone_Marker,IF(AND(BJ$29&gt;ProposalToGnatt[[#This Row],[Start Date]],BJ$29&lt;ProposalToGnatt[[#This Row],[Start Date]]+ProposalToGnatt[[#This Row],[Days]]),$G$5,"")),"")</f>
        <v/>
      </c>
      <c r="BK84" s="37" t="str">
        <f ca="1">IFERROR(+IF(BK$29=ProposalToGnatt[[#This Row],[Start Date]],Milestone_Marker,IF(AND(BK$29&gt;ProposalToGnatt[[#This Row],[Start Date]],BK$29&lt;ProposalToGnatt[[#This Row],[Start Date]]+ProposalToGnatt[[#This Row],[Days]]),$G$5,"")),"")</f>
        <v/>
      </c>
      <c r="BL84" s="37" t="str">
        <f ca="1">IFERROR(+IF(BL$29=ProposalToGnatt[[#This Row],[Start Date]],Milestone_Marker,IF(AND(BL$29&gt;ProposalToGnatt[[#This Row],[Start Date]],BL$29&lt;ProposalToGnatt[[#This Row],[Start Date]]+ProposalToGnatt[[#This Row],[Days]]),$G$5,"")),"")</f>
        <v/>
      </c>
      <c r="BM84" s="37" t="str">
        <f ca="1">IFERROR(+IF(BM$29=ProposalToGnatt[[#This Row],[Start Date]],Milestone_Marker,IF(AND(BM$29&gt;ProposalToGnatt[[#This Row],[Start Date]],BM$29&lt;ProposalToGnatt[[#This Row],[Start Date]]+ProposalToGnatt[[#This Row],[Days]]),$G$5,"")),"")</f>
        <v/>
      </c>
      <c r="BN84" s="37" t="str">
        <f ca="1">IFERROR(+IF(BN$29=ProposalToGnatt[[#This Row],[Start Date]],Milestone_Marker,IF(AND(BN$29&gt;ProposalToGnatt[[#This Row],[Start Date]],BN$29&lt;ProposalToGnatt[[#This Row],[Start Date]]+ProposalToGnatt[[#This Row],[Days]]),$G$5,"")),"")</f>
        <v/>
      </c>
      <c r="BO84" s="37" t="str">
        <f ca="1">IFERROR(+IF(BO$29=ProposalToGnatt[[#This Row],[Start Date]],Milestone_Marker,IF(AND(BO$29&gt;ProposalToGnatt[[#This Row],[Start Date]],BO$29&lt;ProposalToGnatt[[#This Row],[Start Date]]+ProposalToGnatt[[#This Row],[Days]]),$G$5,"")),"")</f>
        <v/>
      </c>
      <c r="BP84" s="37" t="str">
        <f ca="1">IFERROR(+IF(BP$29=ProposalToGnatt[[#This Row],[Start Date]],Milestone_Marker,IF(AND(BP$29&gt;ProposalToGnatt[[#This Row],[Start Date]],BP$29&lt;ProposalToGnatt[[#This Row],[Start Date]]+ProposalToGnatt[[#This Row],[Days]]),$G$5,"")),"")</f>
        <v/>
      </c>
      <c r="BQ84" s="37" t="str">
        <f ca="1">IFERROR(+IF(BQ$29=ProposalToGnatt[[#This Row],[Start Date]],Milestone_Marker,IF(AND(BQ$29&gt;ProposalToGnatt[[#This Row],[Start Date]],BQ$29&lt;ProposalToGnatt[[#This Row],[Start Date]]+ProposalToGnatt[[#This Row],[Days]]),$G$5,"")),"")</f>
        <v/>
      </c>
      <c r="BR84" s="37" t="str">
        <f ca="1">IFERROR(+IF(BR$29=ProposalToGnatt[[#This Row],[Start Date]],Milestone_Marker,IF(AND(BR$29&gt;ProposalToGnatt[[#This Row],[Start Date]],BR$29&lt;ProposalToGnatt[[#This Row],[Start Date]]+ProposalToGnatt[[#This Row],[Days]]),$G$5,"")),"")</f>
        <v/>
      </c>
      <c r="BS84" s="37" t="str">
        <f ca="1">IFERROR(+IF(BS$29=ProposalToGnatt[[#This Row],[Start Date]],Milestone_Marker,IF(AND(BS$29&gt;ProposalToGnatt[[#This Row],[Start Date]],BS$29&lt;ProposalToGnatt[[#This Row],[Start Date]]+ProposalToGnatt[[#This Row],[Days]]),$G$5,"")),"")</f>
        <v/>
      </c>
      <c r="BT84" s="37" t="str">
        <f ca="1">IFERROR(+IF(BT$29=ProposalToGnatt[[#This Row],[Start Date]],Milestone_Marker,IF(AND(BT$29&gt;ProposalToGnatt[[#This Row],[Start Date]],BT$29&lt;ProposalToGnatt[[#This Row],[Start Date]]+ProposalToGnatt[[#This Row],[Days]]),$G$5,"")),"")</f>
        <v/>
      </c>
      <c r="BU84" s="37" t="str">
        <f ca="1">IFERROR(+IF(BU$29=ProposalToGnatt[[#This Row],[Start Date]],Milestone_Marker,IF(AND(BU$29&gt;ProposalToGnatt[[#This Row],[Start Date]],BU$29&lt;ProposalToGnatt[[#This Row],[Start Date]]+ProposalToGnatt[[#This Row],[Days]]),$G$5,"")),"")</f>
        <v/>
      </c>
      <c r="BV84" s="37" t="str">
        <f ca="1">IFERROR(+IF(BV$29=ProposalToGnatt[[#This Row],[Start Date]],Milestone_Marker,IF(AND(BV$29&gt;ProposalToGnatt[[#This Row],[Start Date]],BV$29&lt;ProposalToGnatt[[#This Row],[Start Date]]+ProposalToGnatt[[#This Row],[Days]]),$G$5,"")),"")</f>
        <v/>
      </c>
      <c r="BW84" s="37" t="str">
        <f ca="1">IFERROR(+IF(BW$29=ProposalToGnatt[[#This Row],[Start Date]],Milestone_Marker,IF(AND(BW$29&gt;ProposalToGnatt[[#This Row],[Start Date]],BW$29&lt;ProposalToGnatt[[#This Row],[Start Date]]+ProposalToGnatt[[#This Row],[Days]]),$G$5,"")),"")</f>
        <v/>
      </c>
      <c r="BX84" s="37" t="str">
        <f ca="1">IFERROR(+IF(BX$29=ProposalToGnatt[[#This Row],[Start Date]],Milestone_Marker,IF(AND(BX$29&gt;ProposalToGnatt[[#This Row],[Start Date]],BX$29&lt;ProposalToGnatt[[#This Row],[Start Date]]+ProposalToGnatt[[#This Row],[Days]]),$G$5,"")),"")</f>
        <v/>
      </c>
      <c r="BY84" s="37" t="str">
        <f ca="1">IFERROR(+IF(BY$29=ProposalToGnatt[[#This Row],[Start Date]],Milestone_Marker,IF(AND(BY$29&gt;ProposalToGnatt[[#This Row],[Start Date]],BY$29&lt;ProposalToGnatt[[#This Row],[Start Date]]+ProposalToGnatt[[#This Row],[Days]]),$G$5,"")),"")</f>
        <v/>
      </c>
      <c r="BZ84" s="37" t="str">
        <f ca="1">IFERROR(+IF(BZ$29=ProposalToGnatt[[#This Row],[Start Date]],Milestone_Marker,IF(AND(BZ$29&gt;ProposalToGnatt[[#This Row],[Start Date]],BZ$29&lt;ProposalToGnatt[[#This Row],[Start Date]]+ProposalToGnatt[[#This Row],[Days]]),$G$5,"")),"")</f>
        <v/>
      </c>
      <c r="CA84" s="37" t="str">
        <f ca="1">IFERROR(+IF(CA$29=ProposalToGnatt[[#This Row],[Start Date]],Milestone_Marker,IF(AND(CA$29&gt;ProposalToGnatt[[#This Row],[Start Date]],CA$29&lt;ProposalToGnatt[[#This Row],[Start Date]]+ProposalToGnatt[[#This Row],[Days]]),$G$5,"")),"")</f>
        <v/>
      </c>
      <c r="CB84" s="37" t="str">
        <f ca="1">IFERROR(+IF(CB$29=ProposalToGnatt[[#This Row],[Start Date]],Milestone_Marker,IF(AND(CB$29&gt;ProposalToGnatt[[#This Row],[Start Date]],CB$29&lt;ProposalToGnatt[[#This Row],[Start Date]]+ProposalToGnatt[[#This Row],[Days]]),$G$5,"")),"")</f>
        <v/>
      </c>
      <c r="CC84" s="37" t="str">
        <f ca="1">IFERROR(+IF(CC$29=ProposalToGnatt[[#This Row],[Start Date]],Milestone_Marker,IF(AND(CC$29&gt;ProposalToGnatt[[#This Row],[Start Date]],CC$29&lt;ProposalToGnatt[[#This Row],[Start Date]]+ProposalToGnatt[[#This Row],[Days]]),$G$5,"")),"")</f>
        <v/>
      </c>
      <c r="CD84" s="37" t="str">
        <f ca="1">IFERROR(+IF(CD$29=ProposalToGnatt[[#This Row],[Start Date]],Milestone_Marker,IF(AND(CD$29&gt;ProposalToGnatt[[#This Row],[Start Date]],CD$29&lt;ProposalToGnatt[[#This Row],[Start Date]]+ProposalToGnatt[[#This Row],[Days]]),$G$5,"")),"")</f>
        <v/>
      </c>
      <c r="CE84" s="37" t="str">
        <f ca="1">IFERROR(+IF(CE$29=ProposalToGnatt[[#This Row],[Start Date]],Milestone_Marker,IF(AND(CE$29&gt;ProposalToGnatt[[#This Row],[Start Date]],CE$29&lt;ProposalToGnatt[[#This Row],[Start Date]]+ProposalToGnatt[[#This Row],[Days]]),$G$5,"")),"")</f>
        <v/>
      </c>
      <c r="CF84" s="37" t="str">
        <f ca="1">IFERROR(+IF(CF$29=ProposalToGnatt[[#This Row],[Start Date]],Milestone_Marker,IF(AND(CF$29&gt;ProposalToGnatt[[#This Row],[Start Date]],CF$29&lt;ProposalToGnatt[[#This Row],[Start Date]]+ProposalToGnatt[[#This Row],[Days]]),$G$5,"")),"")</f>
        <v/>
      </c>
      <c r="CG84" s="37" t="str">
        <f ca="1">IFERROR(+IF(CG$29=ProposalToGnatt[[#This Row],[Start Date]],Milestone_Marker,IF(AND(CG$29&gt;ProposalToGnatt[[#This Row],[Start Date]],CG$29&lt;ProposalToGnatt[[#This Row],[Start Date]]+ProposalToGnatt[[#This Row],[Days]]),$G$5,"")),"")</f>
        <v/>
      </c>
      <c r="CH84" s="37" t="str">
        <f ca="1">IFERROR(+IF(CH$29=ProposalToGnatt[[#This Row],[Start Date]],Milestone_Marker,IF(AND(CH$29&gt;ProposalToGnatt[[#This Row],[Start Date]],CH$29&lt;ProposalToGnatt[[#This Row],[Start Date]]+ProposalToGnatt[[#This Row],[Days]]),$G$5,"")),"")</f>
        <v/>
      </c>
      <c r="CI84" s="37" t="str">
        <f ca="1">IFERROR(+IF(CI$29=ProposalToGnatt[[#This Row],[Start Date]],Milestone_Marker,IF(AND(CI$29&gt;ProposalToGnatt[[#This Row],[Start Date]],CI$29&lt;ProposalToGnatt[[#This Row],[Start Date]]+ProposalToGnatt[[#This Row],[Days]]),$G$5,"")),"")</f>
        <v/>
      </c>
      <c r="CJ84" s="37" t="str">
        <f ca="1">IFERROR(+IF(CJ$29=ProposalToGnatt[[#This Row],[Start Date]],Milestone_Marker,IF(AND(CJ$29&gt;ProposalToGnatt[[#This Row],[Start Date]],CJ$29&lt;ProposalToGnatt[[#This Row],[Start Date]]+ProposalToGnatt[[#This Row],[Days]]),$G$5,"")),"")</f>
        <v/>
      </c>
      <c r="CK84" s="37" t="str">
        <f ca="1">IFERROR(+IF(CK$29=ProposalToGnatt[[#This Row],[Start Date]],Milestone_Marker,IF(AND(CK$29&gt;ProposalToGnatt[[#This Row],[Start Date]],CK$29&lt;ProposalToGnatt[[#This Row],[Start Date]]+ProposalToGnatt[[#This Row],[Days]]),$G$5,"")),"")</f>
        <v/>
      </c>
      <c r="CL84" s="37" t="str">
        <f ca="1">IFERROR(+IF(CL$29=ProposalToGnatt[[#This Row],[Start Date]],Milestone_Marker,IF(AND(CL$29&gt;ProposalToGnatt[[#This Row],[Start Date]],CL$29&lt;ProposalToGnatt[[#This Row],[Start Date]]+ProposalToGnatt[[#This Row],[Days]]),$G$5,"")),"")</f>
        <v/>
      </c>
      <c r="CM84" s="37" t="str">
        <f ca="1">IFERROR(+IF(CM$29=ProposalToGnatt[[#This Row],[Start Date]],Milestone_Marker,IF(AND(CM$29&gt;ProposalToGnatt[[#This Row],[Start Date]],CM$29&lt;ProposalToGnatt[[#This Row],[Start Date]]+ProposalToGnatt[[#This Row],[Days]]),$G$5,"")),"")</f>
        <v/>
      </c>
      <c r="CN84" s="37" t="str">
        <f ca="1">IFERROR(+IF(CN$29=ProposalToGnatt[[#This Row],[Start Date]],Milestone_Marker,IF(AND(CN$29&gt;ProposalToGnatt[[#This Row],[Start Date]],CN$29&lt;ProposalToGnatt[[#This Row],[Start Date]]+ProposalToGnatt[[#This Row],[Days]]),$G$5,"")),"")</f>
        <v/>
      </c>
      <c r="CO84" s="37" t="str">
        <f ca="1">IFERROR(+IF(CO$29=ProposalToGnatt[[#This Row],[Start Date]],Milestone_Marker,IF(AND(CO$29&gt;ProposalToGnatt[[#This Row],[Start Date]],CO$29&lt;ProposalToGnatt[[#This Row],[Start Date]]+ProposalToGnatt[[#This Row],[Days]]),$G$5,"")),"")</f>
        <v/>
      </c>
      <c r="CP84" s="37" t="str">
        <f ca="1">IFERROR(+IF(CP$29=ProposalToGnatt[[#This Row],[Start Date]],Milestone_Marker,IF(AND(CP$29&gt;ProposalToGnatt[[#This Row],[Start Date]],CP$29&lt;ProposalToGnatt[[#This Row],[Start Date]]+ProposalToGnatt[[#This Row],[Days]]),$G$5,"")),"")</f>
        <v/>
      </c>
      <c r="CQ84" s="37" t="str">
        <f ca="1">IFERROR(+IF(CQ$29=ProposalToGnatt[[#This Row],[Start Date]],Milestone_Marker,IF(AND(CQ$29&gt;ProposalToGnatt[[#This Row],[Start Date]],CQ$29&lt;ProposalToGnatt[[#This Row],[Start Date]]+ProposalToGnatt[[#This Row],[Days]]),$G$5,"")),"")</f>
        <v/>
      </c>
      <c r="CR84" s="37" t="str">
        <f ca="1">IFERROR(+IF(CR$29=ProposalToGnatt[[#This Row],[Start Date]],Milestone_Marker,IF(AND(CR$29&gt;ProposalToGnatt[[#This Row],[Start Date]],CR$29&lt;ProposalToGnatt[[#This Row],[Start Date]]+ProposalToGnatt[[#This Row],[Days]]),$G$5,"")),"")</f>
        <v/>
      </c>
      <c r="CS84" s="37" t="str">
        <f ca="1">IFERROR(+IF(CS$29=ProposalToGnatt[[#This Row],[Start Date]],Milestone_Marker,IF(AND(CS$29&gt;ProposalToGnatt[[#This Row],[Start Date]],CS$29&lt;ProposalToGnatt[[#This Row],[Start Date]]+ProposalToGnatt[[#This Row],[Days]]),$G$5,"")),"")</f>
        <v/>
      </c>
      <c r="CT84" s="37" t="str">
        <f ca="1">IFERROR(+IF(CT$29=ProposalToGnatt[[#This Row],[Start Date]],Milestone_Marker,IF(AND(CT$29&gt;ProposalToGnatt[[#This Row],[Start Date]],CT$29&lt;ProposalToGnatt[[#This Row],[Start Date]]+ProposalToGnatt[[#This Row],[Days]]),$G$5,"")),"")</f>
        <v/>
      </c>
      <c r="CU84" s="37" t="str">
        <f ca="1">IFERROR(+IF(CU$29=ProposalToGnatt[[#This Row],[Start Date]],Milestone_Marker,IF(AND(CU$29&gt;ProposalToGnatt[[#This Row],[Start Date]],CU$29&lt;ProposalToGnatt[[#This Row],[Start Date]]+ProposalToGnatt[[#This Row],[Days]]),$G$5,"")),"")</f>
        <v/>
      </c>
      <c r="CV84" s="37" t="str">
        <f ca="1">IFERROR(+IF(CT$29=#REF!,Milestone_Marker,IF(AND(CT$29&gt;#REF!,CT$29&lt;=#REF!+#REF!),$G$5,"")),"")</f>
        <v/>
      </c>
      <c r="CW84" s="37" t="str">
        <f ca="1">IFERROR(+IF(CU$29=#REF!,Milestone_Marker,IF(AND(CU$29&gt;#REF!,CU$29&lt;=#REF!+#REF!),$G$5,"")),"")</f>
        <v/>
      </c>
    </row>
    <row r="85" spans="1:125" ht="15">
      <c r="A85"/>
      <c r="B85"/>
      <c r="C85"/>
      <c r="D85"/>
      <c r="E85"/>
      <c r="F85"/>
      <c r="G85" s="11"/>
      <c r="H85" s="26"/>
      <c r="I85"/>
      <c r="J85"/>
      <c r="K85" s="402"/>
      <c r="L85"/>
      <c r="M85"/>
      <c r="N85"/>
      <c r="O85" s="26"/>
      <c r="P85" s="37" t="str">
        <f ca="1">IFERROR(+IF(Q$29=#REF!,Milestone_Marker,IF(AND(Q$29&gt;#REF!,Q$29&lt;=#REF!+#REF!),$G$5,"")),"")</f>
        <v/>
      </c>
      <c r="Q85" s="37" t="str">
        <f ca="1">IFERROR(+IF(R$29=#REF!,Milestone_Marker,IF(AND(R$29&gt;#REF!,R$29&lt;=#REF!+#REF!),$G$5,"")),"")</f>
        <v/>
      </c>
      <c r="R85" s="37" t="str">
        <f ca="1">IFERROR(+IF(S$29=#REF!,Milestone_Marker,IF(AND(S$29&gt;#REF!,S$29&lt;=#REF!+#REF!),$G$5,"")),"")</f>
        <v/>
      </c>
      <c r="S85" s="37" t="str">
        <f ca="1">IFERROR(+IF(T$29=#REF!,Milestone_Marker,IF(AND(T$29&gt;#REF!,T$29&lt;=#REF!+#REF!),$G$5,"")),"")</f>
        <v/>
      </c>
      <c r="T85" s="37" t="str">
        <f ca="1">IFERROR(+IF(U$29=#REF!,Milestone_Marker,IF(AND(U$29&gt;#REF!,U$29&lt;=#REF!+#REF!),$G$5,"")),"")</f>
        <v/>
      </c>
      <c r="U85" s="37" t="str">
        <f ca="1">IFERROR(+IF(V$29=#REF!,Milestone_Marker,IF(AND(V$29&gt;#REF!,V$29&lt;=#REF!+#REF!),$G$5,"")),"")</f>
        <v/>
      </c>
      <c r="V85" s="37" t="str">
        <f ca="1">IFERROR(+IF(W$29=#REF!,Milestone_Marker,IF(AND(W$29&gt;#REF!,W$29&lt;=#REF!+#REF!),$G$5,"")),"")</f>
        <v/>
      </c>
      <c r="W85" s="37" t="str">
        <f ca="1">IFERROR(+IF(X$29=#REF!,Milestone_Marker,IF(AND(X$29&gt;#REF!,X$29&lt;=#REF!+#REF!),$G$5,"")),"")</f>
        <v/>
      </c>
      <c r="X85" s="37" t="str">
        <f ca="1">IFERROR(+IF(Y$29=#REF!,Milestone_Marker,IF(AND(Y$29&gt;#REF!,Y$29&lt;=#REF!+#REF!),$G$5,"")),"")</f>
        <v/>
      </c>
      <c r="Y85" s="37" t="str">
        <f ca="1">IFERROR(+IF(Z$29=#REF!,Milestone_Marker,IF(AND(Z$29&gt;#REF!,Z$29&lt;=#REF!+#REF!),$G$5,"")),"")</f>
        <v/>
      </c>
      <c r="Z85" s="37" t="str">
        <f ca="1">IFERROR(+IF(AA$29=#REF!,Milestone_Marker,IF(AND(AA$29&gt;#REF!,AA$29&lt;=#REF!+#REF!),$G$5,"")),"")</f>
        <v/>
      </c>
      <c r="AA85" s="37" t="str">
        <f ca="1">IFERROR(+IF(AB$29=#REF!,Milestone_Marker,IF(AND(AB$29&gt;#REF!,AB$29&lt;=#REF!+#REF!),$G$5,"")),"")</f>
        <v/>
      </c>
      <c r="AB85" s="37" t="str">
        <f ca="1">IFERROR(+IF(AC$29=#REF!,Milestone_Marker,IF(AND(AC$29&gt;#REF!,AC$29&lt;=#REF!+#REF!),$G$5,"")),"")</f>
        <v/>
      </c>
      <c r="AC85" s="37" t="str">
        <f ca="1">IFERROR(+IF(AD$29=#REF!,Milestone_Marker,IF(AND(AD$29&gt;#REF!,AD$29&lt;=#REF!+#REF!),$G$5,"")),"")</f>
        <v/>
      </c>
      <c r="AD85" s="37" t="str">
        <f ca="1">IFERROR(+IF(AE$29=#REF!,Milestone_Marker,IF(AND(AE$29&gt;#REF!,AE$29&lt;=#REF!+#REF!),$G$5,"")),"")</f>
        <v/>
      </c>
      <c r="AE85" s="37" t="str">
        <f ca="1">IFERROR(+IF(AF$29=#REF!,Milestone_Marker,IF(AND(AF$29&gt;#REF!,AF$29&lt;=#REF!+#REF!),$G$5,"")),"")</f>
        <v/>
      </c>
      <c r="AF85" s="37" t="str">
        <f ca="1">IFERROR(+IF(AG$29=#REF!,Milestone_Marker,IF(AND(AG$29&gt;#REF!,AG$29&lt;=#REF!+#REF!),$G$5,"")),"")</f>
        <v/>
      </c>
      <c r="AG85" s="37" t="str">
        <f ca="1">IFERROR(+IF(AH$29=#REF!,Milestone_Marker,IF(AND(AH$29&gt;#REF!,AH$29&lt;=#REF!+#REF!),$G$5,"")),"")</f>
        <v/>
      </c>
      <c r="AH85" s="37" t="str">
        <f ca="1">IFERROR(+IF(AI$29=#REF!,Milestone_Marker,IF(AND(AI$29&gt;#REF!,AI$29&lt;=#REF!+#REF!),$G$5,"")),"")</f>
        <v/>
      </c>
      <c r="AI85" s="37" t="str">
        <f ca="1">IFERROR(+IF(AJ$29=#REF!,Milestone_Marker,IF(AND(AJ$29&gt;#REF!,AJ$29&lt;=#REF!+#REF!),$G$5,"")),"")</f>
        <v/>
      </c>
      <c r="AJ85" s="37" t="str">
        <f ca="1">IFERROR(+IF(AK$29=#REF!,Milestone_Marker,IF(AND(AK$29&gt;#REF!,AK$29&lt;=#REF!+#REF!),$G$5,"")),"")</f>
        <v/>
      </c>
      <c r="AK85" s="37" t="str">
        <f ca="1">IFERROR(+IF(AL$29=#REF!,Milestone_Marker,IF(AND(AL$29&gt;#REF!,AL$29&lt;=#REF!+#REF!),$G$5,"")),"")</f>
        <v/>
      </c>
      <c r="AL85" s="37" t="str">
        <f ca="1">IFERROR(+IF(AM$29=#REF!,Milestone_Marker,IF(AND(AM$29&gt;#REF!,AM$29&lt;=#REF!+#REF!),$G$5,"")),"")</f>
        <v/>
      </c>
      <c r="AM85" s="37" t="str">
        <f ca="1">IFERROR(+IF(AN$29=#REF!,Milestone_Marker,IF(AND(AN$29&gt;#REF!,AN$29&lt;=#REF!+#REF!),$G$5,"")),"")</f>
        <v/>
      </c>
      <c r="AN85" s="37" t="str">
        <f ca="1">IFERROR(+IF(AO$29=#REF!,Milestone_Marker,IF(AND(AO$29&gt;#REF!,AO$29&lt;=#REF!+#REF!),$G$5,"")),"")</f>
        <v/>
      </c>
      <c r="AO85" s="37" t="str">
        <f ca="1">IFERROR(+IF(AP$29=#REF!,Milestone_Marker,IF(AND(AP$29&gt;#REF!,AP$29&lt;=#REF!+#REF!),$G$5,"")),"")</f>
        <v/>
      </c>
      <c r="AP85" s="37" t="str">
        <f ca="1">IFERROR(+IF(AQ$29=#REF!,Milestone_Marker,IF(AND(AQ$29&gt;#REF!,AQ$29&lt;=#REF!+#REF!),$G$5,"")),"")</f>
        <v/>
      </c>
      <c r="AQ85" s="37" t="str">
        <f ca="1">IFERROR(+IF(AR$29=#REF!,Milestone_Marker,IF(AND(AR$29&gt;#REF!,AR$29&lt;=#REF!+#REF!),$G$5,"")),"")</f>
        <v/>
      </c>
      <c r="AR85" s="37" t="str">
        <f ca="1">IFERROR(+IF(AS$29=#REF!,Milestone_Marker,IF(AND(AS$29&gt;#REF!,AS$29&lt;=#REF!+#REF!),$G$5,"")),"")</f>
        <v/>
      </c>
      <c r="AS85" s="37" t="str">
        <f ca="1">IFERROR(+IF(AT$29=#REF!,Milestone_Marker,IF(AND(AT$29&gt;#REF!,AT$29&lt;=#REF!+#REF!),$G$5,"")),"")</f>
        <v/>
      </c>
      <c r="AT85" s="37" t="str">
        <f ca="1">IFERROR(+IF(AU$29=#REF!,Milestone_Marker,IF(AND(AU$29&gt;#REF!,AU$29&lt;=#REF!+#REF!),$G$5,"")),"")</f>
        <v/>
      </c>
      <c r="AU85" s="37" t="str">
        <f ca="1">IFERROR(+IF(AV$29=#REF!,Milestone_Marker,IF(AND(AV$29&gt;#REF!,AV$29&lt;=#REF!+#REF!),$G$5,"")),"")</f>
        <v/>
      </c>
      <c r="AV85" s="37" t="str">
        <f ca="1">IFERROR(+IF(AW$29=#REF!,Milestone_Marker,IF(AND(AW$29&gt;#REF!,AW$29&lt;=#REF!+#REF!),$G$5,"")),"")</f>
        <v/>
      </c>
      <c r="AW85" s="37" t="str">
        <f ca="1">IFERROR(+IF(AX$29=#REF!,Milestone_Marker,IF(AND(AX$29&gt;#REF!,AX$29&lt;=#REF!+#REF!),$G$5,"")),"")</f>
        <v/>
      </c>
      <c r="AX85" s="37" t="str">
        <f ca="1">IFERROR(+IF(AY$29=#REF!,Milestone_Marker,IF(AND(AY$29&gt;#REF!,AY$29&lt;=#REF!+#REF!),$G$5,"")),"")</f>
        <v/>
      </c>
      <c r="AY85" s="37" t="str">
        <f ca="1">IFERROR(+IF(AZ$29=#REF!,Milestone_Marker,IF(AND(AZ$29&gt;#REF!,AZ$29&lt;=#REF!+#REF!),$G$5,"")),"")</f>
        <v/>
      </c>
      <c r="AZ85" s="37" t="str">
        <f ca="1">IFERROR(+IF(BA$29=#REF!,Milestone_Marker,IF(AND(BA$29&gt;#REF!,BA$29&lt;=#REF!+#REF!),$G$5,"")),"")</f>
        <v/>
      </c>
      <c r="BA85" s="37" t="str">
        <f ca="1">IFERROR(+IF(BB$29=#REF!,Milestone_Marker,IF(AND(BB$29&gt;#REF!,BB$29&lt;=#REF!+#REF!),$G$5,"")),"")</f>
        <v/>
      </c>
      <c r="BB85" s="37" t="str">
        <f ca="1">IFERROR(+IF(BC$29=#REF!,Milestone_Marker,IF(AND(BC$29&gt;#REF!,BC$29&lt;=#REF!+#REF!),$G$5,"")),"")</f>
        <v/>
      </c>
      <c r="BC85" s="37" t="str">
        <f ca="1">IFERROR(+IF(BD$29=#REF!,Milestone_Marker,IF(AND(BD$29&gt;#REF!,BD$29&lt;=#REF!+#REF!),$G$5,"")),"")</f>
        <v/>
      </c>
      <c r="BD85" s="37" t="str">
        <f ca="1">IFERROR(+IF(BE$29=#REF!,Milestone_Marker,IF(AND(BE$29&gt;#REF!,BE$29&lt;=#REF!+#REF!),$G$5,"")),"")</f>
        <v/>
      </c>
      <c r="BE85" s="37" t="str">
        <f ca="1">IFERROR(+IF(BF$29=#REF!,Milestone_Marker,IF(AND(BF$29&gt;#REF!,BF$29&lt;=#REF!+#REF!),$G$5,"")),"")</f>
        <v/>
      </c>
      <c r="BF85" s="37" t="str">
        <f ca="1">IFERROR(+IF(BG$29=#REF!,Milestone_Marker,IF(AND(BG$29&gt;#REF!,BG$29&lt;=#REF!+#REF!),$G$5,"")),"")</f>
        <v/>
      </c>
      <c r="BG85" s="37" t="str">
        <f ca="1">IFERROR(+IF(BH$29=#REF!,Milestone_Marker,IF(AND(BH$29&gt;#REF!,BH$29&lt;=#REF!+#REF!),$G$5,"")),"")</f>
        <v/>
      </c>
      <c r="BH85" s="37" t="str">
        <f ca="1">IFERROR(+IF(BI$29=#REF!,Milestone_Marker,IF(AND(BI$29&gt;#REF!,BI$29&lt;=#REF!+#REF!),$G$5,"")),"")</f>
        <v/>
      </c>
      <c r="BI85" s="37" t="str">
        <f ca="1">IFERROR(+IF(BJ$29=#REF!,Milestone_Marker,IF(AND(BJ$29&gt;#REF!,BJ$29&lt;=#REF!+#REF!),$G$5,"")),"")</f>
        <v/>
      </c>
      <c r="BJ85" s="37" t="str">
        <f ca="1">IFERROR(+IF(BK$29=#REF!,Milestone_Marker,IF(AND(BK$29&gt;#REF!,BK$29&lt;=#REF!+#REF!),$G$5,"")),"")</f>
        <v/>
      </c>
      <c r="BK85" s="37" t="str">
        <f ca="1">IFERROR(+IF(BL$29=#REF!,Milestone_Marker,IF(AND(BL$29&gt;#REF!,BL$29&lt;=#REF!+#REF!),$G$5,"")),"")</f>
        <v/>
      </c>
      <c r="BL85" s="37" t="str">
        <f ca="1">IFERROR(+IF(BM$29=#REF!,Milestone_Marker,IF(AND(BM$29&gt;#REF!,BM$29&lt;=#REF!+#REF!),$G$5,"")),"")</f>
        <v/>
      </c>
      <c r="BM85" s="37" t="str">
        <f ca="1">IFERROR(+IF(BN$29=#REF!,Milestone_Marker,IF(AND(BN$29&gt;#REF!,BN$29&lt;=#REF!+#REF!),$G$5,"")),"")</f>
        <v/>
      </c>
      <c r="BN85" s="37" t="str">
        <f ca="1">IFERROR(+IF(BO$29=#REF!,Milestone_Marker,IF(AND(BO$29&gt;#REF!,BO$29&lt;=#REF!+#REF!),$G$5,"")),"")</f>
        <v/>
      </c>
      <c r="BO85" s="37" t="str">
        <f ca="1">IFERROR(+IF(BP$29=#REF!,Milestone_Marker,IF(AND(BP$29&gt;#REF!,BP$29&lt;=#REF!+#REF!),$G$5,"")),"")</f>
        <v/>
      </c>
      <c r="BP85" s="37" t="str">
        <f ca="1">IFERROR(+IF(BQ$29=#REF!,Milestone_Marker,IF(AND(BQ$29&gt;#REF!,BQ$29&lt;=#REF!+#REF!),$G$5,"")),"")</f>
        <v/>
      </c>
      <c r="BQ85" s="37" t="str">
        <f ca="1">IFERROR(+IF(BR$29=#REF!,Milestone_Marker,IF(AND(BR$29&gt;#REF!,BR$29&lt;=#REF!+#REF!),$G$5,"")),"")</f>
        <v/>
      </c>
      <c r="BR85" s="37" t="str">
        <f ca="1">IFERROR(+IF(BS$29=#REF!,Milestone_Marker,IF(AND(BS$29&gt;#REF!,BS$29&lt;=#REF!+#REF!),$G$5,"")),"")</f>
        <v/>
      </c>
      <c r="BS85" s="37" t="str">
        <f ca="1">IFERROR(+IF(BT$29=#REF!,Milestone_Marker,IF(AND(BT$29&gt;#REF!,BT$29&lt;=#REF!+#REF!),$G$5,"")),"")</f>
        <v/>
      </c>
      <c r="BT85" s="37" t="str">
        <f ca="1">IFERROR(+IF(BU$29=#REF!,Milestone_Marker,IF(AND(BU$29&gt;#REF!,BU$29&lt;=#REF!+#REF!),$G$5,"")),"")</f>
        <v/>
      </c>
      <c r="BU85" s="37" t="str">
        <f ca="1">IFERROR(+IF(BV$29=#REF!,Milestone_Marker,IF(AND(BV$29&gt;#REF!,BV$29&lt;=#REF!+#REF!),$G$5,"")),"")</f>
        <v/>
      </c>
      <c r="BV85" s="37" t="str">
        <f ca="1">IFERROR(+IF(BW$29=#REF!,Milestone_Marker,IF(AND(BW$29&gt;#REF!,BW$29&lt;=#REF!+#REF!),$G$5,"")),"")</f>
        <v/>
      </c>
      <c r="BW85" s="37" t="str">
        <f ca="1">IFERROR(+IF(BX$29=#REF!,Milestone_Marker,IF(AND(BX$29&gt;#REF!,BX$29&lt;=#REF!+#REF!),$G$5,"")),"")</f>
        <v/>
      </c>
      <c r="BX85" s="37" t="str">
        <f ca="1">IFERROR(+IF(BY$29=#REF!,Milestone_Marker,IF(AND(BY$29&gt;#REF!,BY$29&lt;=#REF!+#REF!),$G$5,"")),"")</f>
        <v/>
      </c>
      <c r="BY85" s="37" t="str">
        <f ca="1">IFERROR(+IF(BZ$29=#REF!,Milestone_Marker,IF(AND(BZ$29&gt;#REF!,BZ$29&lt;=#REF!+#REF!),$G$5,"")),"")</f>
        <v/>
      </c>
      <c r="BZ85" s="37" t="str">
        <f ca="1">IFERROR(+IF(CA$29=#REF!,Milestone_Marker,IF(AND(CA$29&gt;#REF!,CA$29&lt;=#REF!+#REF!),$G$5,"")),"")</f>
        <v/>
      </c>
      <c r="CA85" s="37" t="str">
        <f ca="1">IFERROR(+IF(CB$29=#REF!,Milestone_Marker,IF(AND(CB$29&gt;#REF!,CB$29&lt;=#REF!+#REF!),$G$5,"")),"")</f>
        <v/>
      </c>
      <c r="CB85" s="37" t="str">
        <f ca="1">IFERROR(+IF(CC$29=#REF!,Milestone_Marker,IF(AND(CC$29&gt;#REF!,CC$29&lt;=#REF!+#REF!),$G$5,"")),"")</f>
        <v/>
      </c>
      <c r="CC85" s="37" t="str">
        <f ca="1">IFERROR(+IF(CD$29=#REF!,Milestone_Marker,IF(AND(CD$29&gt;#REF!,CD$29&lt;=#REF!+#REF!),$G$5,"")),"")</f>
        <v/>
      </c>
      <c r="CD85" s="37" t="str">
        <f ca="1">IFERROR(+IF(CE$29=#REF!,Milestone_Marker,IF(AND(CE$29&gt;#REF!,CE$29&lt;=#REF!+#REF!),$G$5,"")),"")</f>
        <v/>
      </c>
      <c r="CE85" s="37" t="str">
        <f ca="1">IFERROR(+IF(CF$29=#REF!,Milestone_Marker,IF(AND(CF$29&gt;#REF!,CF$29&lt;=#REF!+#REF!),$G$5,"")),"")</f>
        <v/>
      </c>
      <c r="CF85" s="37" t="str">
        <f ca="1">IFERROR(+IF(CG$29=#REF!,Milestone_Marker,IF(AND(CG$29&gt;#REF!,CG$29&lt;=#REF!+#REF!),$G$5,"")),"")</f>
        <v/>
      </c>
      <c r="CG85" s="37" t="str">
        <f ca="1">IFERROR(+IF(CH$29=#REF!,Milestone_Marker,IF(AND(CH$29&gt;#REF!,CH$29&lt;=#REF!+#REF!),$G$5,"")),"")</f>
        <v/>
      </c>
      <c r="CH85" s="37" t="str">
        <f ca="1">IFERROR(+IF(CI$29=#REF!,Milestone_Marker,IF(AND(CI$29&gt;#REF!,CI$29&lt;=#REF!+#REF!),$G$5,"")),"")</f>
        <v/>
      </c>
      <c r="CI85" s="37" t="str">
        <f ca="1">IFERROR(+IF(CJ$29=#REF!,Milestone_Marker,IF(AND(CJ$29&gt;#REF!,CJ$29&lt;=#REF!+#REF!),$G$5,"")),"")</f>
        <v/>
      </c>
      <c r="CJ85" s="37" t="str">
        <f ca="1">IFERROR(+IF(CK$29=#REF!,Milestone_Marker,IF(AND(CK$29&gt;#REF!,CK$29&lt;=#REF!+#REF!),$G$5,"")),"")</f>
        <v/>
      </c>
      <c r="CK85" s="37" t="str">
        <f ca="1">IFERROR(+IF(CL$29=#REF!,Milestone_Marker,IF(AND(CL$29&gt;#REF!,CL$29&lt;=#REF!+#REF!),$G$5,"")),"")</f>
        <v/>
      </c>
      <c r="CL85" s="37" t="str">
        <f ca="1">IFERROR(+IF(CM$29=#REF!,Milestone_Marker,IF(AND(CM$29&gt;#REF!,CM$29&lt;=#REF!+#REF!),$G$5,"")),"")</f>
        <v/>
      </c>
      <c r="CM85" s="37" t="str">
        <f ca="1">IFERROR(+IF(CN$29=#REF!,Milestone_Marker,IF(AND(CN$29&gt;#REF!,CN$29&lt;=#REF!+#REF!),$G$5,"")),"")</f>
        <v/>
      </c>
      <c r="CN85" s="37" t="str">
        <f ca="1">IFERROR(+IF(CO$29=#REF!,Milestone_Marker,IF(AND(CO$29&gt;#REF!,CO$29&lt;=#REF!+#REF!),$G$5,"")),"")</f>
        <v/>
      </c>
      <c r="CO85" s="37" t="str">
        <f ca="1">IFERROR(+IF(CP$29=#REF!,Milestone_Marker,IF(AND(CP$29&gt;#REF!,CP$29&lt;=#REF!+#REF!),$G$5,"")),"")</f>
        <v/>
      </c>
      <c r="CP85" s="37" t="str">
        <f ca="1">IFERROR(+IF(CQ$29=#REF!,Milestone_Marker,IF(AND(CQ$29&gt;#REF!,CQ$29&lt;=#REF!+#REF!),$G$5,"")),"")</f>
        <v/>
      </c>
      <c r="CQ85" s="37" t="str">
        <f ca="1">IFERROR(+IF(CR$29=#REF!,Milestone_Marker,IF(AND(CR$29&gt;#REF!,CR$29&lt;=#REF!+#REF!),$G$5,"")),"")</f>
        <v/>
      </c>
      <c r="CR85" s="37" t="str">
        <f ca="1">IFERROR(+IF(CS$29=#REF!,Milestone_Marker,IF(AND(CS$29&gt;#REF!,CS$29&lt;=#REF!+#REF!),$G$5,"")),"")</f>
        <v/>
      </c>
      <c r="CS85" s="37" t="str">
        <f ca="1">IFERROR(+IF(CT$29=#REF!,Milestone_Marker,IF(AND(CT$29&gt;#REF!,CT$29&lt;=#REF!+#REF!),$G$5,"")),"")</f>
        <v/>
      </c>
      <c r="CT85" s="37" t="str">
        <f ca="1">IFERROR(+IF(CU$29=#REF!,Milestone_Marker,IF(AND(CU$29&gt;#REF!,CU$29&lt;=#REF!+#REF!),$G$5,"")),"")</f>
        <v/>
      </c>
    </row>
    <row r="86" spans="1:125" ht="15">
      <c r="A86"/>
      <c r="B86"/>
      <c r="C86"/>
      <c r="D86"/>
      <c r="E86"/>
      <c r="F86"/>
      <c r="G86" s="11"/>
      <c r="H86" s="26"/>
      <c r="I86"/>
      <c r="J86"/>
      <c r="K86" s="402"/>
      <c r="L86"/>
      <c r="M86"/>
      <c r="N86"/>
      <c r="O86" s="26"/>
      <c r="P86" s="37" t="str">
        <f ca="1">IFERROR(+IF(Q$29=#REF!,Milestone_Marker,IF(AND(Q$29&gt;#REF!,Q$29&lt;=#REF!+#REF!),$G$5,"")),"")</f>
        <v/>
      </c>
      <c r="Q86" s="37" t="str">
        <f ca="1">IFERROR(+IF(R$29=#REF!,Milestone_Marker,IF(AND(R$29&gt;#REF!,R$29&lt;=#REF!+#REF!),$G$5,"")),"")</f>
        <v/>
      </c>
      <c r="R86" s="37" t="str">
        <f ca="1">IFERROR(+IF(S$29=#REF!,Milestone_Marker,IF(AND(S$29&gt;#REF!,S$29&lt;=#REF!+#REF!),$G$5,"")),"")</f>
        <v/>
      </c>
      <c r="S86" s="37" t="str">
        <f ca="1">IFERROR(+IF(T$29=#REF!,Milestone_Marker,IF(AND(T$29&gt;#REF!,T$29&lt;=#REF!+#REF!),$G$5,"")),"")</f>
        <v/>
      </c>
      <c r="T86" s="37" t="str">
        <f ca="1">IFERROR(+IF(U$29=#REF!,Milestone_Marker,IF(AND(U$29&gt;#REF!,U$29&lt;=#REF!+#REF!),$G$5,"")),"")</f>
        <v/>
      </c>
      <c r="U86" s="37" t="str">
        <f ca="1">IFERROR(+IF(V$29=#REF!,Milestone_Marker,IF(AND(V$29&gt;#REF!,V$29&lt;=#REF!+#REF!),$G$5,"")),"")</f>
        <v/>
      </c>
      <c r="V86" s="37" t="str">
        <f ca="1">IFERROR(+IF(W$29=#REF!,Milestone_Marker,IF(AND(W$29&gt;#REF!,W$29&lt;=#REF!+#REF!),$G$5,"")),"")</f>
        <v/>
      </c>
      <c r="W86" s="37" t="str">
        <f ca="1">IFERROR(+IF(X$29=#REF!,Milestone_Marker,IF(AND(X$29&gt;#REF!,X$29&lt;=#REF!+#REF!),$G$5,"")),"")</f>
        <v/>
      </c>
      <c r="X86" s="37" t="str">
        <f ca="1">IFERROR(+IF(Y$29=#REF!,Milestone_Marker,IF(AND(Y$29&gt;#REF!,Y$29&lt;=#REF!+#REF!),$G$5,"")),"")</f>
        <v/>
      </c>
      <c r="Y86" s="37" t="str">
        <f ca="1">IFERROR(+IF(Z$29=#REF!,Milestone_Marker,IF(AND(Z$29&gt;#REF!,Z$29&lt;=#REF!+#REF!),$G$5,"")),"")</f>
        <v/>
      </c>
      <c r="Z86" s="37" t="str">
        <f ca="1">IFERROR(+IF(AA$29=#REF!,Milestone_Marker,IF(AND(AA$29&gt;#REF!,AA$29&lt;=#REF!+#REF!),$G$5,"")),"")</f>
        <v/>
      </c>
      <c r="AA86" s="37" t="str">
        <f ca="1">IFERROR(+IF(AB$29=#REF!,Milestone_Marker,IF(AND(AB$29&gt;#REF!,AB$29&lt;=#REF!+#REF!),$G$5,"")),"")</f>
        <v/>
      </c>
      <c r="AB86" s="37" t="str">
        <f ca="1">IFERROR(+IF(AC$29=#REF!,Milestone_Marker,IF(AND(AC$29&gt;#REF!,AC$29&lt;=#REF!+#REF!),$G$5,"")),"")</f>
        <v/>
      </c>
      <c r="AC86" s="37" t="str">
        <f ca="1">IFERROR(+IF(AD$29=#REF!,Milestone_Marker,IF(AND(AD$29&gt;#REF!,AD$29&lt;=#REF!+#REF!),$G$5,"")),"")</f>
        <v/>
      </c>
      <c r="AD86" s="37" t="str">
        <f ca="1">IFERROR(+IF(AE$29=#REF!,Milestone_Marker,IF(AND(AE$29&gt;#REF!,AE$29&lt;=#REF!+#REF!),$G$5,"")),"")</f>
        <v/>
      </c>
      <c r="AE86" s="37" t="str">
        <f ca="1">IFERROR(+IF(AF$29=#REF!,Milestone_Marker,IF(AND(AF$29&gt;#REF!,AF$29&lt;=#REF!+#REF!),$G$5,"")),"")</f>
        <v/>
      </c>
      <c r="AF86" s="37" t="str">
        <f ca="1">IFERROR(+IF(AG$29=#REF!,Milestone_Marker,IF(AND(AG$29&gt;#REF!,AG$29&lt;=#REF!+#REF!),$G$5,"")),"")</f>
        <v/>
      </c>
      <c r="AG86" s="37" t="str">
        <f ca="1">IFERROR(+IF(AH$29=#REF!,Milestone_Marker,IF(AND(AH$29&gt;#REF!,AH$29&lt;=#REF!+#REF!),$G$5,"")),"")</f>
        <v/>
      </c>
      <c r="AH86" s="37" t="str">
        <f ca="1">IFERROR(+IF(AI$29=#REF!,Milestone_Marker,IF(AND(AI$29&gt;#REF!,AI$29&lt;=#REF!+#REF!),$G$5,"")),"")</f>
        <v/>
      </c>
      <c r="AI86" s="37" t="str">
        <f ca="1">IFERROR(+IF(AJ$29=#REF!,Milestone_Marker,IF(AND(AJ$29&gt;#REF!,AJ$29&lt;=#REF!+#REF!),$G$5,"")),"")</f>
        <v/>
      </c>
      <c r="AJ86" s="37" t="str">
        <f ca="1">IFERROR(+IF(AK$29=#REF!,Milestone_Marker,IF(AND(AK$29&gt;#REF!,AK$29&lt;=#REF!+#REF!),$G$5,"")),"")</f>
        <v/>
      </c>
      <c r="AK86" s="37" t="str">
        <f ca="1">IFERROR(+IF(AL$29=#REF!,Milestone_Marker,IF(AND(AL$29&gt;#REF!,AL$29&lt;=#REF!+#REF!),$G$5,"")),"")</f>
        <v/>
      </c>
      <c r="AL86" s="37" t="str">
        <f ca="1">IFERROR(+IF(AM$29=#REF!,Milestone_Marker,IF(AND(AM$29&gt;#REF!,AM$29&lt;=#REF!+#REF!),$G$5,"")),"")</f>
        <v/>
      </c>
      <c r="AM86" s="37" t="str">
        <f ca="1">IFERROR(+IF(AN$29=#REF!,Milestone_Marker,IF(AND(AN$29&gt;#REF!,AN$29&lt;=#REF!+#REF!),$G$5,"")),"")</f>
        <v/>
      </c>
      <c r="AN86" s="37" t="str">
        <f ca="1">IFERROR(+IF(AO$29=#REF!,Milestone_Marker,IF(AND(AO$29&gt;#REF!,AO$29&lt;=#REF!+#REF!),$G$5,"")),"")</f>
        <v/>
      </c>
      <c r="AO86" s="37" t="str">
        <f ca="1">IFERROR(+IF(AP$29=#REF!,Milestone_Marker,IF(AND(AP$29&gt;#REF!,AP$29&lt;=#REF!+#REF!),$G$5,"")),"")</f>
        <v/>
      </c>
      <c r="AP86" s="37" t="str">
        <f ca="1">IFERROR(+IF(AQ$29=#REF!,Milestone_Marker,IF(AND(AQ$29&gt;#REF!,AQ$29&lt;=#REF!+#REF!),$G$5,"")),"")</f>
        <v/>
      </c>
      <c r="AQ86" s="37" t="str">
        <f ca="1">IFERROR(+IF(AR$29=#REF!,Milestone_Marker,IF(AND(AR$29&gt;#REF!,AR$29&lt;=#REF!+#REF!),$G$5,"")),"")</f>
        <v/>
      </c>
      <c r="AR86" s="37" t="str">
        <f ca="1">IFERROR(+IF(AS$29=#REF!,Milestone_Marker,IF(AND(AS$29&gt;#REF!,AS$29&lt;=#REF!+#REF!),$G$5,"")),"")</f>
        <v/>
      </c>
      <c r="AS86" s="37" t="str">
        <f ca="1">IFERROR(+IF(AT$29=#REF!,Milestone_Marker,IF(AND(AT$29&gt;#REF!,AT$29&lt;=#REF!+#REF!),$G$5,"")),"")</f>
        <v/>
      </c>
      <c r="AT86" s="37" t="str">
        <f ca="1">IFERROR(+IF(AU$29=#REF!,Milestone_Marker,IF(AND(AU$29&gt;#REF!,AU$29&lt;=#REF!+#REF!),$G$5,"")),"")</f>
        <v/>
      </c>
      <c r="AU86" s="37" t="str">
        <f ca="1">IFERROR(+IF(AV$29=#REF!,Milestone_Marker,IF(AND(AV$29&gt;#REF!,AV$29&lt;=#REF!+#REF!),$G$5,"")),"")</f>
        <v/>
      </c>
      <c r="AV86" s="37" t="str">
        <f ca="1">IFERROR(+IF(AW$29=#REF!,Milestone_Marker,IF(AND(AW$29&gt;#REF!,AW$29&lt;=#REF!+#REF!),$G$5,"")),"")</f>
        <v/>
      </c>
      <c r="AW86" s="37" t="str">
        <f ca="1">IFERROR(+IF(AX$29=#REF!,Milestone_Marker,IF(AND(AX$29&gt;#REF!,AX$29&lt;=#REF!+#REF!),$G$5,"")),"")</f>
        <v/>
      </c>
      <c r="AX86" s="37" t="str">
        <f ca="1">IFERROR(+IF(AY$29=#REF!,Milestone_Marker,IF(AND(AY$29&gt;#REF!,AY$29&lt;=#REF!+#REF!),$G$5,"")),"")</f>
        <v/>
      </c>
      <c r="AY86" s="37" t="str">
        <f ca="1">IFERROR(+IF(AZ$29=#REF!,Milestone_Marker,IF(AND(AZ$29&gt;#REF!,AZ$29&lt;=#REF!+#REF!),$G$5,"")),"")</f>
        <v/>
      </c>
      <c r="AZ86" s="37" t="str">
        <f ca="1">IFERROR(+IF(BA$29=#REF!,Milestone_Marker,IF(AND(BA$29&gt;#REF!,BA$29&lt;=#REF!+#REF!),$G$5,"")),"")</f>
        <v/>
      </c>
      <c r="BA86" s="37" t="str">
        <f ca="1">IFERROR(+IF(BB$29=#REF!,Milestone_Marker,IF(AND(BB$29&gt;#REF!,BB$29&lt;=#REF!+#REF!),$G$5,"")),"")</f>
        <v/>
      </c>
      <c r="BB86" s="37" t="str">
        <f ca="1">IFERROR(+IF(BC$29=#REF!,Milestone_Marker,IF(AND(BC$29&gt;#REF!,BC$29&lt;=#REF!+#REF!),$G$5,"")),"")</f>
        <v/>
      </c>
      <c r="BC86" s="37" t="str">
        <f ca="1">IFERROR(+IF(BD$29=#REF!,Milestone_Marker,IF(AND(BD$29&gt;#REF!,BD$29&lt;=#REF!+#REF!),$G$5,"")),"")</f>
        <v/>
      </c>
      <c r="BD86" s="37" t="str">
        <f ca="1">IFERROR(+IF(BE$29=#REF!,Milestone_Marker,IF(AND(BE$29&gt;#REF!,BE$29&lt;=#REF!+#REF!),$G$5,"")),"")</f>
        <v/>
      </c>
      <c r="BE86" s="37" t="str">
        <f ca="1">IFERROR(+IF(BF$29=#REF!,Milestone_Marker,IF(AND(BF$29&gt;#REF!,BF$29&lt;=#REF!+#REF!),$G$5,"")),"")</f>
        <v/>
      </c>
      <c r="BF86" s="37" t="str">
        <f ca="1">IFERROR(+IF(BG$29=#REF!,Milestone_Marker,IF(AND(BG$29&gt;#REF!,BG$29&lt;=#REF!+#REF!),$G$5,"")),"")</f>
        <v/>
      </c>
      <c r="BG86" s="37" t="str">
        <f ca="1">IFERROR(+IF(BH$29=#REF!,Milestone_Marker,IF(AND(BH$29&gt;#REF!,BH$29&lt;=#REF!+#REF!),$G$5,"")),"")</f>
        <v/>
      </c>
      <c r="BH86" s="37" t="str">
        <f ca="1">IFERROR(+IF(BI$29=#REF!,Milestone_Marker,IF(AND(BI$29&gt;#REF!,BI$29&lt;=#REF!+#REF!),$G$5,"")),"")</f>
        <v/>
      </c>
      <c r="BI86" s="37" t="str">
        <f ca="1">IFERROR(+IF(BJ$29=#REF!,Milestone_Marker,IF(AND(BJ$29&gt;#REF!,BJ$29&lt;=#REF!+#REF!),$G$5,"")),"")</f>
        <v/>
      </c>
      <c r="BJ86" s="37" t="str">
        <f ca="1">IFERROR(+IF(BK$29=#REF!,Milestone_Marker,IF(AND(BK$29&gt;#REF!,BK$29&lt;=#REF!+#REF!),$G$5,"")),"")</f>
        <v/>
      </c>
      <c r="BK86" s="37" t="str">
        <f ca="1">IFERROR(+IF(BL$29=#REF!,Milestone_Marker,IF(AND(BL$29&gt;#REF!,BL$29&lt;=#REF!+#REF!),$G$5,"")),"")</f>
        <v/>
      </c>
      <c r="BL86" s="37" t="str">
        <f ca="1">IFERROR(+IF(BM$29=#REF!,Milestone_Marker,IF(AND(BM$29&gt;#REF!,BM$29&lt;=#REF!+#REF!),$G$5,"")),"")</f>
        <v/>
      </c>
      <c r="BM86" s="37" t="str">
        <f ca="1">IFERROR(+IF(BN$29=#REF!,Milestone_Marker,IF(AND(BN$29&gt;#REF!,BN$29&lt;=#REF!+#REF!),$G$5,"")),"")</f>
        <v/>
      </c>
      <c r="BN86" s="37" t="str">
        <f ca="1">IFERROR(+IF(BO$29=#REF!,Milestone_Marker,IF(AND(BO$29&gt;#REF!,BO$29&lt;=#REF!+#REF!),$G$5,"")),"")</f>
        <v/>
      </c>
      <c r="BO86" s="37" t="str">
        <f ca="1">IFERROR(+IF(BP$29=#REF!,Milestone_Marker,IF(AND(BP$29&gt;#REF!,BP$29&lt;=#REF!+#REF!),$G$5,"")),"")</f>
        <v/>
      </c>
      <c r="BP86" s="37" t="str">
        <f ca="1">IFERROR(+IF(BQ$29=#REF!,Milestone_Marker,IF(AND(BQ$29&gt;#REF!,BQ$29&lt;=#REF!+#REF!),$G$5,"")),"")</f>
        <v/>
      </c>
      <c r="BQ86" s="37" t="str">
        <f ca="1">IFERROR(+IF(BR$29=#REF!,Milestone_Marker,IF(AND(BR$29&gt;#REF!,BR$29&lt;=#REF!+#REF!),$G$5,"")),"")</f>
        <v/>
      </c>
      <c r="BR86" s="37" t="str">
        <f ca="1">IFERROR(+IF(BS$29=#REF!,Milestone_Marker,IF(AND(BS$29&gt;#REF!,BS$29&lt;=#REF!+#REF!),$G$5,"")),"")</f>
        <v/>
      </c>
      <c r="BS86" s="37" t="str">
        <f ca="1">IFERROR(+IF(BT$29=#REF!,Milestone_Marker,IF(AND(BT$29&gt;#REF!,BT$29&lt;=#REF!+#REF!),$G$5,"")),"")</f>
        <v/>
      </c>
      <c r="BT86" s="37" t="str">
        <f ca="1">IFERROR(+IF(BU$29=#REF!,Milestone_Marker,IF(AND(BU$29&gt;#REF!,BU$29&lt;=#REF!+#REF!),$G$5,"")),"")</f>
        <v/>
      </c>
      <c r="BU86" s="37" t="str">
        <f ca="1">IFERROR(+IF(BV$29=#REF!,Milestone_Marker,IF(AND(BV$29&gt;#REF!,BV$29&lt;=#REF!+#REF!),$G$5,"")),"")</f>
        <v/>
      </c>
      <c r="BV86" s="37" t="str">
        <f ca="1">IFERROR(+IF(BW$29=#REF!,Milestone_Marker,IF(AND(BW$29&gt;#REF!,BW$29&lt;=#REF!+#REF!),$G$5,"")),"")</f>
        <v/>
      </c>
      <c r="BW86" s="37" t="str">
        <f ca="1">IFERROR(+IF(BX$29=#REF!,Milestone_Marker,IF(AND(BX$29&gt;#REF!,BX$29&lt;=#REF!+#REF!),$G$5,"")),"")</f>
        <v/>
      </c>
      <c r="BX86" s="37" t="str">
        <f ca="1">IFERROR(+IF(BY$29=#REF!,Milestone_Marker,IF(AND(BY$29&gt;#REF!,BY$29&lt;=#REF!+#REF!),$G$5,"")),"")</f>
        <v/>
      </c>
      <c r="BY86" s="37" t="str">
        <f ca="1">IFERROR(+IF(BZ$29=#REF!,Milestone_Marker,IF(AND(BZ$29&gt;#REF!,BZ$29&lt;=#REF!+#REF!),$G$5,"")),"")</f>
        <v/>
      </c>
      <c r="BZ86" s="37" t="str">
        <f ca="1">IFERROR(+IF(CA$29=#REF!,Milestone_Marker,IF(AND(CA$29&gt;#REF!,CA$29&lt;=#REF!+#REF!),$G$5,"")),"")</f>
        <v/>
      </c>
      <c r="CA86" s="37" t="str">
        <f ca="1">IFERROR(+IF(CB$29=#REF!,Milestone_Marker,IF(AND(CB$29&gt;#REF!,CB$29&lt;=#REF!+#REF!),$G$5,"")),"")</f>
        <v/>
      </c>
      <c r="CB86" s="37" t="str">
        <f ca="1">IFERROR(+IF(CC$29=#REF!,Milestone_Marker,IF(AND(CC$29&gt;#REF!,CC$29&lt;=#REF!+#REF!),$G$5,"")),"")</f>
        <v/>
      </c>
      <c r="CC86" s="37" t="str">
        <f ca="1">IFERROR(+IF(CD$29=#REF!,Milestone_Marker,IF(AND(CD$29&gt;#REF!,CD$29&lt;=#REF!+#REF!),$G$5,"")),"")</f>
        <v/>
      </c>
      <c r="CD86" s="37" t="str">
        <f ca="1">IFERROR(+IF(CE$29=#REF!,Milestone_Marker,IF(AND(CE$29&gt;#REF!,CE$29&lt;=#REF!+#REF!),$G$5,"")),"")</f>
        <v/>
      </c>
      <c r="CE86" s="37" t="str">
        <f ca="1">IFERROR(+IF(CF$29=#REF!,Milestone_Marker,IF(AND(CF$29&gt;#REF!,CF$29&lt;=#REF!+#REF!),$G$5,"")),"")</f>
        <v/>
      </c>
      <c r="CF86" s="37" t="str">
        <f ca="1">IFERROR(+IF(CG$29=#REF!,Milestone_Marker,IF(AND(CG$29&gt;#REF!,CG$29&lt;=#REF!+#REF!),$G$5,"")),"")</f>
        <v/>
      </c>
      <c r="CG86" s="37" t="str">
        <f ca="1">IFERROR(+IF(CH$29=#REF!,Milestone_Marker,IF(AND(CH$29&gt;#REF!,CH$29&lt;=#REF!+#REF!),$G$5,"")),"")</f>
        <v/>
      </c>
      <c r="CH86" s="37" t="str">
        <f ca="1">IFERROR(+IF(CI$29=#REF!,Milestone_Marker,IF(AND(CI$29&gt;#REF!,CI$29&lt;=#REF!+#REF!),$G$5,"")),"")</f>
        <v/>
      </c>
      <c r="CI86" s="37" t="str">
        <f ca="1">IFERROR(+IF(CJ$29=#REF!,Milestone_Marker,IF(AND(CJ$29&gt;#REF!,CJ$29&lt;=#REF!+#REF!),$G$5,"")),"")</f>
        <v/>
      </c>
      <c r="CJ86" s="37" t="str">
        <f ca="1">IFERROR(+IF(CK$29=#REF!,Milestone_Marker,IF(AND(CK$29&gt;#REF!,CK$29&lt;=#REF!+#REF!),$G$5,"")),"")</f>
        <v/>
      </c>
      <c r="CK86" s="37" t="str">
        <f ca="1">IFERROR(+IF(CL$29=#REF!,Milestone_Marker,IF(AND(CL$29&gt;#REF!,CL$29&lt;=#REF!+#REF!),$G$5,"")),"")</f>
        <v/>
      </c>
      <c r="CL86" s="37" t="str">
        <f ca="1">IFERROR(+IF(CM$29=#REF!,Milestone_Marker,IF(AND(CM$29&gt;#REF!,CM$29&lt;=#REF!+#REF!),$G$5,"")),"")</f>
        <v/>
      </c>
      <c r="CM86" s="37" t="str">
        <f ca="1">IFERROR(+IF(CN$29=#REF!,Milestone_Marker,IF(AND(CN$29&gt;#REF!,CN$29&lt;=#REF!+#REF!),$G$5,"")),"")</f>
        <v/>
      </c>
      <c r="CN86" s="37" t="str">
        <f ca="1">IFERROR(+IF(CO$29=#REF!,Milestone_Marker,IF(AND(CO$29&gt;#REF!,CO$29&lt;=#REF!+#REF!),$G$5,"")),"")</f>
        <v/>
      </c>
      <c r="CO86" s="37" t="str">
        <f ca="1">IFERROR(+IF(CP$29=#REF!,Milestone_Marker,IF(AND(CP$29&gt;#REF!,CP$29&lt;=#REF!+#REF!),$G$5,"")),"")</f>
        <v/>
      </c>
      <c r="CP86" s="37" t="str">
        <f ca="1">IFERROR(+IF(CQ$29=#REF!,Milestone_Marker,IF(AND(CQ$29&gt;#REF!,CQ$29&lt;=#REF!+#REF!),$G$5,"")),"")</f>
        <v/>
      </c>
      <c r="CQ86" s="37" t="str">
        <f ca="1">IFERROR(+IF(CR$29=#REF!,Milestone_Marker,IF(AND(CR$29&gt;#REF!,CR$29&lt;=#REF!+#REF!),$G$5,"")),"")</f>
        <v/>
      </c>
      <c r="CR86" s="37" t="str">
        <f ca="1">IFERROR(+IF(CS$29=#REF!,Milestone_Marker,IF(AND(CS$29&gt;#REF!,CS$29&lt;=#REF!+#REF!),$G$5,"")),"")</f>
        <v/>
      </c>
      <c r="CS86" s="37" t="str">
        <f ca="1">IFERROR(+IF(CT$29=#REF!,Milestone_Marker,IF(AND(CT$29&gt;#REF!,CT$29&lt;=#REF!+#REF!),$G$5,"")),"")</f>
        <v/>
      </c>
      <c r="CT86" s="37" t="str">
        <f ca="1">IFERROR(+IF(CU$29=#REF!,Milestone_Marker,IF(AND(CU$29&gt;#REF!,CU$29&lt;=#REF!+#REF!),$G$5,"")),"")</f>
        <v/>
      </c>
    </row>
    <row r="87" spans="1:125" ht="15">
      <c r="A87"/>
      <c r="B87"/>
      <c r="C87"/>
      <c r="D87"/>
      <c r="E87"/>
      <c r="F87"/>
      <c r="G87" s="11"/>
      <c r="H87" s="26"/>
      <c r="I87"/>
      <c r="J87"/>
      <c r="K87" s="402"/>
      <c r="L87"/>
      <c r="M87"/>
      <c r="N87"/>
      <c r="O87" s="26"/>
      <c r="P87" s="37" t="str">
        <f ca="1">IFERROR(+IF(Q$29=#REF!,Milestone_Marker,IF(AND(Q$29&gt;#REF!,Q$29&lt;=#REF!+#REF!),$G$5,"")),"")</f>
        <v/>
      </c>
      <c r="Q87" s="37" t="str">
        <f ca="1">IFERROR(+IF(R$29=#REF!,Milestone_Marker,IF(AND(R$29&gt;#REF!,R$29&lt;=#REF!+#REF!),$G$5,"")),"")</f>
        <v/>
      </c>
      <c r="R87" s="37" t="str">
        <f ca="1">IFERROR(+IF(S$29=#REF!,Milestone_Marker,IF(AND(S$29&gt;#REF!,S$29&lt;=#REF!+#REF!),$G$5,"")),"")</f>
        <v/>
      </c>
      <c r="S87" s="37" t="str">
        <f ca="1">IFERROR(+IF(T$29=#REF!,Milestone_Marker,IF(AND(T$29&gt;#REF!,T$29&lt;=#REF!+#REF!),$G$5,"")),"")</f>
        <v/>
      </c>
      <c r="T87" s="37" t="str">
        <f ca="1">IFERROR(+IF(U$29=#REF!,Milestone_Marker,IF(AND(U$29&gt;#REF!,U$29&lt;=#REF!+#REF!),$G$5,"")),"")</f>
        <v/>
      </c>
      <c r="U87" s="37" t="str">
        <f ca="1">IFERROR(+IF(V$29=#REF!,Milestone_Marker,IF(AND(V$29&gt;#REF!,V$29&lt;=#REF!+#REF!),$G$5,"")),"")</f>
        <v/>
      </c>
      <c r="V87" s="37" t="str">
        <f ca="1">IFERROR(+IF(W$29=#REF!,Milestone_Marker,IF(AND(W$29&gt;#REF!,W$29&lt;=#REF!+#REF!),$G$5,"")),"")</f>
        <v/>
      </c>
      <c r="W87" s="37" t="str">
        <f ca="1">IFERROR(+IF(X$29=#REF!,Milestone_Marker,IF(AND(X$29&gt;#REF!,X$29&lt;=#REF!+#REF!),$G$5,"")),"")</f>
        <v/>
      </c>
      <c r="X87" s="37" t="str">
        <f ca="1">IFERROR(+IF(Y$29=#REF!,Milestone_Marker,IF(AND(Y$29&gt;#REF!,Y$29&lt;=#REF!+#REF!),$G$5,"")),"")</f>
        <v/>
      </c>
      <c r="Y87" s="37" t="str">
        <f ca="1">IFERROR(+IF(Z$29=#REF!,Milestone_Marker,IF(AND(Z$29&gt;#REF!,Z$29&lt;=#REF!+#REF!),$G$5,"")),"")</f>
        <v/>
      </c>
      <c r="Z87" s="37" t="str">
        <f ca="1">IFERROR(+IF(AA$29=#REF!,Milestone_Marker,IF(AND(AA$29&gt;#REF!,AA$29&lt;=#REF!+#REF!),$G$5,"")),"")</f>
        <v/>
      </c>
      <c r="AA87" s="37" t="str">
        <f ca="1">IFERROR(+IF(AB$29=#REF!,Milestone_Marker,IF(AND(AB$29&gt;#REF!,AB$29&lt;=#REF!+#REF!),$G$5,"")),"")</f>
        <v/>
      </c>
      <c r="AB87" s="37" t="str">
        <f ca="1">IFERROR(+IF(AC$29=#REF!,Milestone_Marker,IF(AND(AC$29&gt;#REF!,AC$29&lt;=#REF!+#REF!),$G$5,"")),"")</f>
        <v/>
      </c>
      <c r="AC87" s="37" t="str">
        <f ca="1">IFERROR(+IF(AD$29=#REF!,Milestone_Marker,IF(AND(AD$29&gt;#REF!,AD$29&lt;=#REF!+#REF!),$G$5,"")),"")</f>
        <v/>
      </c>
      <c r="AD87" s="37" t="str">
        <f ca="1">IFERROR(+IF(AE$29=#REF!,Milestone_Marker,IF(AND(AE$29&gt;#REF!,AE$29&lt;=#REF!+#REF!),$G$5,"")),"")</f>
        <v/>
      </c>
      <c r="AE87" s="37" t="str">
        <f ca="1">IFERROR(+IF(AF$29=#REF!,Milestone_Marker,IF(AND(AF$29&gt;#REF!,AF$29&lt;=#REF!+#REF!),$G$5,"")),"")</f>
        <v/>
      </c>
      <c r="AF87" s="37" t="str">
        <f ca="1">IFERROR(+IF(AG$29=#REF!,Milestone_Marker,IF(AND(AG$29&gt;#REF!,AG$29&lt;=#REF!+#REF!),$G$5,"")),"")</f>
        <v/>
      </c>
      <c r="AG87" s="37" t="str">
        <f ca="1">IFERROR(+IF(AH$29=#REF!,Milestone_Marker,IF(AND(AH$29&gt;#REF!,AH$29&lt;=#REF!+#REF!),$G$5,"")),"")</f>
        <v/>
      </c>
      <c r="AH87" s="37" t="str">
        <f ca="1">IFERROR(+IF(AI$29=#REF!,Milestone_Marker,IF(AND(AI$29&gt;#REF!,AI$29&lt;=#REF!+#REF!),$G$5,"")),"")</f>
        <v/>
      </c>
      <c r="AI87" s="37" t="str">
        <f ca="1">IFERROR(+IF(AJ$29=#REF!,Milestone_Marker,IF(AND(AJ$29&gt;#REF!,AJ$29&lt;=#REF!+#REF!),$G$5,"")),"")</f>
        <v/>
      </c>
      <c r="AJ87" s="37" t="str">
        <f ca="1">IFERROR(+IF(AK$29=#REF!,Milestone_Marker,IF(AND(AK$29&gt;#REF!,AK$29&lt;=#REF!+#REF!),$G$5,"")),"")</f>
        <v/>
      </c>
      <c r="AK87" s="37" t="str">
        <f ca="1">IFERROR(+IF(AL$29=#REF!,Milestone_Marker,IF(AND(AL$29&gt;#REF!,AL$29&lt;=#REF!+#REF!),$G$5,"")),"")</f>
        <v/>
      </c>
      <c r="AL87" s="37" t="str">
        <f ca="1">IFERROR(+IF(AM$29=#REF!,Milestone_Marker,IF(AND(AM$29&gt;#REF!,AM$29&lt;=#REF!+#REF!),$G$5,"")),"")</f>
        <v/>
      </c>
      <c r="AM87" s="37" t="str">
        <f ca="1">IFERROR(+IF(AN$29=#REF!,Milestone_Marker,IF(AND(AN$29&gt;#REF!,AN$29&lt;=#REF!+#REF!),$G$5,"")),"")</f>
        <v/>
      </c>
      <c r="AN87" s="37" t="str">
        <f ca="1">IFERROR(+IF(AO$29=#REF!,Milestone_Marker,IF(AND(AO$29&gt;#REF!,AO$29&lt;=#REF!+#REF!),$G$5,"")),"")</f>
        <v/>
      </c>
      <c r="AO87" s="37" t="str">
        <f ca="1">IFERROR(+IF(AP$29=#REF!,Milestone_Marker,IF(AND(AP$29&gt;#REF!,AP$29&lt;=#REF!+#REF!),$G$5,"")),"")</f>
        <v/>
      </c>
      <c r="AP87" s="37" t="str">
        <f ca="1">IFERROR(+IF(AQ$29=#REF!,Milestone_Marker,IF(AND(AQ$29&gt;#REF!,AQ$29&lt;=#REF!+#REF!),$G$5,"")),"")</f>
        <v/>
      </c>
      <c r="AQ87" s="37" t="str">
        <f ca="1">IFERROR(+IF(AR$29=#REF!,Milestone_Marker,IF(AND(AR$29&gt;#REF!,AR$29&lt;=#REF!+#REF!),$G$5,"")),"")</f>
        <v/>
      </c>
      <c r="AR87" s="37" t="str">
        <f ca="1">IFERROR(+IF(AS$29=#REF!,Milestone_Marker,IF(AND(AS$29&gt;#REF!,AS$29&lt;=#REF!+#REF!),$G$5,"")),"")</f>
        <v/>
      </c>
      <c r="AS87" s="37" t="str">
        <f ca="1">IFERROR(+IF(AT$29=#REF!,Milestone_Marker,IF(AND(AT$29&gt;#REF!,AT$29&lt;=#REF!+#REF!),$G$5,"")),"")</f>
        <v/>
      </c>
      <c r="AT87" s="37" t="str">
        <f ca="1">IFERROR(+IF(AU$29=#REF!,Milestone_Marker,IF(AND(AU$29&gt;#REF!,AU$29&lt;=#REF!+#REF!),$G$5,"")),"")</f>
        <v/>
      </c>
      <c r="AU87" s="37" t="str">
        <f ca="1">IFERROR(+IF(AV$29=#REF!,Milestone_Marker,IF(AND(AV$29&gt;#REF!,AV$29&lt;=#REF!+#REF!),$G$5,"")),"")</f>
        <v/>
      </c>
      <c r="AV87" s="37" t="str">
        <f ca="1">IFERROR(+IF(AW$29=#REF!,Milestone_Marker,IF(AND(AW$29&gt;#REF!,AW$29&lt;=#REF!+#REF!),$G$5,"")),"")</f>
        <v/>
      </c>
      <c r="AW87" s="37" t="str">
        <f ca="1">IFERROR(+IF(AX$29=#REF!,Milestone_Marker,IF(AND(AX$29&gt;#REF!,AX$29&lt;=#REF!+#REF!),$G$5,"")),"")</f>
        <v/>
      </c>
      <c r="AX87" s="37" t="str">
        <f ca="1">IFERROR(+IF(AY$29=#REF!,Milestone_Marker,IF(AND(AY$29&gt;#REF!,AY$29&lt;=#REF!+#REF!),$G$5,"")),"")</f>
        <v/>
      </c>
      <c r="AY87" s="37" t="str">
        <f ca="1">IFERROR(+IF(AZ$29=#REF!,Milestone_Marker,IF(AND(AZ$29&gt;#REF!,AZ$29&lt;=#REF!+#REF!),$G$5,"")),"")</f>
        <v/>
      </c>
      <c r="AZ87" s="37" t="str">
        <f ca="1">IFERROR(+IF(BA$29=#REF!,Milestone_Marker,IF(AND(BA$29&gt;#REF!,BA$29&lt;=#REF!+#REF!),$G$5,"")),"")</f>
        <v/>
      </c>
      <c r="BA87" s="37" t="str">
        <f ca="1">IFERROR(+IF(BB$29=#REF!,Milestone_Marker,IF(AND(BB$29&gt;#REF!,BB$29&lt;=#REF!+#REF!),$G$5,"")),"")</f>
        <v/>
      </c>
      <c r="BB87" s="37" t="str">
        <f ca="1">IFERROR(+IF(BC$29=#REF!,Milestone_Marker,IF(AND(BC$29&gt;#REF!,BC$29&lt;=#REF!+#REF!),$G$5,"")),"")</f>
        <v/>
      </c>
      <c r="BC87" s="37" t="str">
        <f ca="1">IFERROR(+IF(BD$29=#REF!,Milestone_Marker,IF(AND(BD$29&gt;#REF!,BD$29&lt;=#REF!+#REF!),$G$5,"")),"")</f>
        <v/>
      </c>
      <c r="BD87" s="37" t="str">
        <f ca="1">IFERROR(+IF(BE$29=#REF!,Milestone_Marker,IF(AND(BE$29&gt;#REF!,BE$29&lt;=#REF!+#REF!),$G$5,"")),"")</f>
        <v/>
      </c>
      <c r="BE87" s="37" t="str">
        <f ca="1">IFERROR(+IF(BF$29=#REF!,Milestone_Marker,IF(AND(BF$29&gt;#REF!,BF$29&lt;=#REF!+#REF!),$G$5,"")),"")</f>
        <v/>
      </c>
      <c r="BF87" s="37" t="str">
        <f ca="1">IFERROR(+IF(BG$29=#REF!,Milestone_Marker,IF(AND(BG$29&gt;#REF!,BG$29&lt;=#REF!+#REF!),$G$5,"")),"")</f>
        <v/>
      </c>
      <c r="BG87" s="37" t="str">
        <f ca="1">IFERROR(+IF(BH$29=#REF!,Milestone_Marker,IF(AND(BH$29&gt;#REF!,BH$29&lt;=#REF!+#REF!),$G$5,"")),"")</f>
        <v/>
      </c>
      <c r="BH87" s="37" t="str">
        <f ca="1">IFERROR(+IF(BI$29=#REF!,Milestone_Marker,IF(AND(BI$29&gt;#REF!,BI$29&lt;=#REF!+#REF!),$G$5,"")),"")</f>
        <v/>
      </c>
      <c r="BI87" s="37" t="str">
        <f ca="1">IFERROR(+IF(BJ$29=#REF!,Milestone_Marker,IF(AND(BJ$29&gt;#REF!,BJ$29&lt;=#REF!+#REF!),$G$5,"")),"")</f>
        <v/>
      </c>
      <c r="BJ87" s="37" t="str">
        <f ca="1">IFERROR(+IF(BK$29=#REF!,Milestone_Marker,IF(AND(BK$29&gt;#REF!,BK$29&lt;=#REF!+#REF!),$G$5,"")),"")</f>
        <v/>
      </c>
      <c r="BK87" s="37" t="str">
        <f ca="1">IFERROR(+IF(BL$29=#REF!,Milestone_Marker,IF(AND(BL$29&gt;#REF!,BL$29&lt;=#REF!+#REF!),$G$5,"")),"")</f>
        <v/>
      </c>
      <c r="BL87" s="37" t="str">
        <f ca="1">IFERROR(+IF(BM$29=#REF!,Milestone_Marker,IF(AND(BM$29&gt;#REF!,BM$29&lt;=#REF!+#REF!),$G$5,"")),"")</f>
        <v/>
      </c>
      <c r="BM87" s="37" t="str">
        <f ca="1">IFERROR(+IF(BN$29=#REF!,Milestone_Marker,IF(AND(BN$29&gt;#REF!,BN$29&lt;=#REF!+#REF!),$G$5,"")),"")</f>
        <v/>
      </c>
      <c r="BN87" s="37" t="str">
        <f ca="1">IFERROR(+IF(BO$29=#REF!,Milestone_Marker,IF(AND(BO$29&gt;#REF!,BO$29&lt;=#REF!+#REF!),$G$5,"")),"")</f>
        <v/>
      </c>
      <c r="BO87" s="37" t="str">
        <f ca="1">IFERROR(+IF(BP$29=#REF!,Milestone_Marker,IF(AND(BP$29&gt;#REF!,BP$29&lt;=#REF!+#REF!),$G$5,"")),"")</f>
        <v/>
      </c>
      <c r="BP87" s="37" t="str">
        <f ca="1">IFERROR(+IF(BQ$29=#REF!,Milestone_Marker,IF(AND(BQ$29&gt;#REF!,BQ$29&lt;=#REF!+#REF!),$G$5,"")),"")</f>
        <v/>
      </c>
      <c r="BQ87" s="37" t="str">
        <f ca="1">IFERROR(+IF(BR$29=#REF!,Milestone_Marker,IF(AND(BR$29&gt;#REF!,BR$29&lt;=#REF!+#REF!),$G$5,"")),"")</f>
        <v/>
      </c>
      <c r="BR87" s="37" t="str">
        <f ca="1">IFERROR(+IF(BS$29=#REF!,Milestone_Marker,IF(AND(BS$29&gt;#REF!,BS$29&lt;=#REF!+#REF!),$G$5,"")),"")</f>
        <v/>
      </c>
      <c r="BS87" s="37" t="str">
        <f ca="1">IFERROR(+IF(BT$29=#REF!,Milestone_Marker,IF(AND(BT$29&gt;#REF!,BT$29&lt;=#REF!+#REF!),$G$5,"")),"")</f>
        <v/>
      </c>
      <c r="BT87" s="37" t="str">
        <f ca="1">IFERROR(+IF(BU$29=#REF!,Milestone_Marker,IF(AND(BU$29&gt;#REF!,BU$29&lt;=#REF!+#REF!),$G$5,"")),"")</f>
        <v/>
      </c>
      <c r="BU87" s="37" t="str">
        <f ca="1">IFERROR(+IF(BV$29=#REF!,Milestone_Marker,IF(AND(BV$29&gt;#REF!,BV$29&lt;=#REF!+#REF!),$G$5,"")),"")</f>
        <v/>
      </c>
      <c r="BV87" s="37" t="str">
        <f ca="1">IFERROR(+IF(BW$29=#REF!,Milestone_Marker,IF(AND(BW$29&gt;#REF!,BW$29&lt;=#REF!+#REF!),$G$5,"")),"")</f>
        <v/>
      </c>
      <c r="BW87" s="37" t="str">
        <f ca="1">IFERROR(+IF(BX$29=#REF!,Milestone_Marker,IF(AND(BX$29&gt;#REF!,BX$29&lt;=#REF!+#REF!),$G$5,"")),"")</f>
        <v/>
      </c>
      <c r="BX87" s="37" t="str">
        <f ca="1">IFERROR(+IF(BY$29=#REF!,Milestone_Marker,IF(AND(BY$29&gt;#REF!,BY$29&lt;=#REF!+#REF!),$G$5,"")),"")</f>
        <v/>
      </c>
      <c r="BY87" s="37" t="str">
        <f ca="1">IFERROR(+IF(BZ$29=#REF!,Milestone_Marker,IF(AND(BZ$29&gt;#REF!,BZ$29&lt;=#REF!+#REF!),$G$5,"")),"")</f>
        <v/>
      </c>
      <c r="BZ87" s="37" t="str">
        <f ca="1">IFERROR(+IF(CA$29=#REF!,Milestone_Marker,IF(AND(CA$29&gt;#REF!,CA$29&lt;=#REF!+#REF!),$G$5,"")),"")</f>
        <v/>
      </c>
      <c r="CA87" s="37" t="str">
        <f ca="1">IFERROR(+IF(CB$29=#REF!,Milestone_Marker,IF(AND(CB$29&gt;#REF!,CB$29&lt;=#REF!+#REF!),$G$5,"")),"")</f>
        <v/>
      </c>
      <c r="CB87" s="37" t="str">
        <f ca="1">IFERROR(+IF(CC$29=#REF!,Milestone_Marker,IF(AND(CC$29&gt;#REF!,CC$29&lt;=#REF!+#REF!),$G$5,"")),"")</f>
        <v/>
      </c>
      <c r="CC87" s="37" t="str">
        <f ca="1">IFERROR(+IF(CD$29=#REF!,Milestone_Marker,IF(AND(CD$29&gt;#REF!,CD$29&lt;=#REF!+#REF!),$G$5,"")),"")</f>
        <v/>
      </c>
      <c r="CD87" s="37" t="str">
        <f ca="1">IFERROR(+IF(CE$29=#REF!,Milestone_Marker,IF(AND(CE$29&gt;#REF!,CE$29&lt;=#REF!+#REF!),$G$5,"")),"")</f>
        <v/>
      </c>
      <c r="CE87" s="37" t="str">
        <f ca="1">IFERROR(+IF(CF$29=#REF!,Milestone_Marker,IF(AND(CF$29&gt;#REF!,CF$29&lt;=#REF!+#REF!),$G$5,"")),"")</f>
        <v/>
      </c>
      <c r="CF87" s="37" t="str">
        <f ca="1">IFERROR(+IF(CG$29=#REF!,Milestone_Marker,IF(AND(CG$29&gt;#REF!,CG$29&lt;=#REF!+#REF!),$G$5,"")),"")</f>
        <v/>
      </c>
      <c r="CG87" s="37" t="str">
        <f ca="1">IFERROR(+IF(CH$29=#REF!,Milestone_Marker,IF(AND(CH$29&gt;#REF!,CH$29&lt;=#REF!+#REF!),$G$5,"")),"")</f>
        <v/>
      </c>
      <c r="CH87" s="37" t="str">
        <f ca="1">IFERROR(+IF(CI$29=#REF!,Milestone_Marker,IF(AND(CI$29&gt;#REF!,CI$29&lt;=#REF!+#REF!),$G$5,"")),"")</f>
        <v/>
      </c>
      <c r="CI87" s="37" t="str">
        <f ca="1">IFERROR(+IF(CJ$29=#REF!,Milestone_Marker,IF(AND(CJ$29&gt;#REF!,CJ$29&lt;=#REF!+#REF!),$G$5,"")),"")</f>
        <v/>
      </c>
      <c r="CJ87" s="37" t="str">
        <f ca="1">IFERROR(+IF(CK$29=#REF!,Milestone_Marker,IF(AND(CK$29&gt;#REF!,CK$29&lt;=#REF!+#REF!),$G$5,"")),"")</f>
        <v/>
      </c>
      <c r="CK87" s="37" t="str">
        <f ca="1">IFERROR(+IF(CL$29=#REF!,Milestone_Marker,IF(AND(CL$29&gt;#REF!,CL$29&lt;=#REF!+#REF!),$G$5,"")),"")</f>
        <v/>
      </c>
      <c r="CL87" s="37" t="str">
        <f ca="1">IFERROR(+IF(CM$29=#REF!,Milestone_Marker,IF(AND(CM$29&gt;#REF!,CM$29&lt;=#REF!+#REF!),$G$5,"")),"")</f>
        <v/>
      </c>
      <c r="CM87" s="37" t="str">
        <f ca="1">IFERROR(+IF(CN$29=#REF!,Milestone_Marker,IF(AND(CN$29&gt;#REF!,CN$29&lt;=#REF!+#REF!),$G$5,"")),"")</f>
        <v/>
      </c>
      <c r="CN87" s="37" t="str">
        <f ca="1">IFERROR(+IF(CO$29=#REF!,Milestone_Marker,IF(AND(CO$29&gt;#REF!,CO$29&lt;=#REF!+#REF!),$G$5,"")),"")</f>
        <v/>
      </c>
      <c r="CO87" s="37" t="str">
        <f ca="1">IFERROR(+IF(CP$29=#REF!,Milestone_Marker,IF(AND(CP$29&gt;#REF!,CP$29&lt;=#REF!+#REF!),$G$5,"")),"")</f>
        <v/>
      </c>
      <c r="CP87" s="37" t="str">
        <f ca="1">IFERROR(+IF(CQ$29=#REF!,Milestone_Marker,IF(AND(CQ$29&gt;#REF!,CQ$29&lt;=#REF!+#REF!),$G$5,"")),"")</f>
        <v/>
      </c>
      <c r="CQ87" s="37" t="str">
        <f ca="1">IFERROR(+IF(CR$29=#REF!,Milestone_Marker,IF(AND(CR$29&gt;#REF!,CR$29&lt;=#REF!+#REF!),$G$5,"")),"")</f>
        <v/>
      </c>
      <c r="CR87" s="37" t="str">
        <f ca="1">IFERROR(+IF(CS$29=#REF!,Milestone_Marker,IF(AND(CS$29&gt;#REF!,CS$29&lt;=#REF!+#REF!),$G$5,"")),"")</f>
        <v/>
      </c>
      <c r="CS87" s="37" t="str">
        <f ca="1">IFERROR(+IF(CT$29=#REF!,Milestone_Marker,IF(AND(CT$29&gt;#REF!,CT$29&lt;=#REF!+#REF!),$G$5,"")),"")</f>
        <v/>
      </c>
      <c r="CT87" s="37" t="str">
        <f ca="1">IFERROR(+IF(CU$29=#REF!,Milestone_Marker,IF(AND(CU$29&gt;#REF!,CU$29&lt;=#REF!+#REF!),$G$5,"")),"")</f>
        <v/>
      </c>
    </row>
    <row r="88" spans="1:125" ht="15">
      <c r="A88"/>
      <c r="B88"/>
      <c r="C88"/>
      <c r="D88"/>
      <c r="E88"/>
      <c r="F88"/>
      <c r="G88" s="11"/>
      <c r="H88" s="26"/>
      <c r="I88"/>
      <c r="J88"/>
      <c r="K88" s="402"/>
      <c r="L88"/>
      <c r="M88"/>
      <c r="N88"/>
      <c r="O88" s="26"/>
      <c r="P88" s="37" t="str">
        <f ca="1">IFERROR(+IF(Q$29=#REF!,Milestone_Marker,IF(AND(Q$29&gt;#REF!,Q$29&lt;=#REF!+#REF!),$G$5,"")),"")</f>
        <v/>
      </c>
      <c r="Q88" s="37" t="str">
        <f ca="1">IFERROR(+IF(R$29=#REF!,Milestone_Marker,IF(AND(R$29&gt;#REF!,R$29&lt;=#REF!+#REF!),$G$5,"")),"")</f>
        <v/>
      </c>
      <c r="R88" s="37" t="str">
        <f ca="1">IFERROR(+IF(S$29=#REF!,Milestone_Marker,IF(AND(S$29&gt;#REF!,S$29&lt;=#REF!+#REF!),$G$5,"")),"")</f>
        <v/>
      </c>
      <c r="S88" s="37" t="str">
        <f ca="1">IFERROR(+IF(T$29=#REF!,Milestone_Marker,IF(AND(T$29&gt;#REF!,T$29&lt;=#REF!+#REF!),$G$5,"")),"")</f>
        <v/>
      </c>
      <c r="T88" s="37" t="str">
        <f ca="1">IFERROR(+IF(U$29=#REF!,Milestone_Marker,IF(AND(U$29&gt;#REF!,U$29&lt;=#REF!+#REF!),$G$5,"")),"")</f>
        <v/>
      </c>
      <c r="U88" s="37" t="str">
        <f ca="1">IFERROR(+IF(V$29=#REF!,Milestone_Marker,IF(AND(V$29&gt;#REF!,V$29&lt;=#REF!+#REF!),$G$5,"")),"")</f>
        <v/>
      </c>
      <c r="V88" s="37" t="str">
        <f ca="1">IFERROR(+IF(W$29=#REF!,Milestone_Marker,IF(AND(W$29&gt;#REF!,W$29&lt;=#REF!+#REF!),$G$5,"")),"")</f>
        <v/>
      </c>
      <c r="W88" s="37" t="str">
        <f ca="1">IFERROR(+IF(X$29=#REF!,Milestone_Marker,IF(AND(X$29&gt;#REF!,X$29&lt;=#REF!+#REF!),$G$5,"")),"")</f>
        <v/>
      </c>
      <c r="X88" s="37" t="str">
        <f ca="1">IFERROR(+IF(Y$29=#REF!,Milestone_Marker,IF(AND(Y$29&gt;#REF!,Y$29&lt;=#REF!+#REF!),$G$5,"")),"")</f>
        <v/>
      </c>
      <c r="Y88" s="37" t="str">
        <f ca="1">IFERROR(+IF(Z$29=#REF!,Milestone_Marker,IF(AND(Z$29&gt;#REF!,Z$29&lt;=#REF!+#REF!),$G$5,"")),"")</f>
        <v/>
      </c>
      <c r="Z88" s="37" t="str">
        <f ca="1">IFERROR(+IF(AA$29=#REF!,Milestone_Marker,IF(AND(AA$29&gt;#REF!,AA$29&lt;=#REF!+#REF!),$G$5,"")),"")</f>
        <v/>
      </c>
      <c r="AA88" s="37" t="str">
        <f ca="1">IFERROR(+IF(AB$29=#REF!,Milestone_Marker,IF(AND(AB$29&gt;#REF!,AB$29&lt;=#REF!+#REF!),$G$5,"")),"")</f>
        <v/>
      </c>
      <c r="AB88" s="37" t="str">
        <f ca="1">IFERROR(+IF(AC$29=#REF!,Milestone_Marker,IF(AND(AC$29&gt;#REF!,AC$29&lt;=#REF!+#REF!),$G$5,"")),"")</f>
        <v/>
      </c>
      <c r="AC88" s="37" t="str">
        <f ca="1">IFERROR(+IF(AD$29=#REF!,Milestone_Marker,IF(AND(AD$29&gt;#REF!,AD$29&lt;=#REF!+#REF!),$G$5,"")),"")</f>
        <v/>
      </c>
      <c r="AD88" s="37" t="str">
        <f ca="1">IFERROR(+IF(AE$29=#REF!,Milestone_Marker,IF(AND(AE$29&gt;#REF!,AE$29&lt;=#REF!+#REF!),$G$5,"")),"")</f>
        <v/>
      </c>
      <c r="AE88" s="37" t="str">
        <f ca="1">IFERROR(+IF(AF$29=#REF!,Milestone_Marker,IF(AND(AF$29&gt;#REF!,AF$29&lt;=#REF!+#REF!),$G$5,"")),"")</f>
        <v/>
      </c>
      <c r="AF88" s="37" t="str">
        <f ca="1">IFERROR(+IF(AG$29=#REF!,Milestone_Marker,IF(AND(AG$29&gt;#REF!,AG$29&lt;=#REF!+#REF!),$G$5,"")),"")</f>
        <v/>
      </c>
      <c r="AG88" s="37" t="str">
        <f ca="1">IFERROR(+IF(AH$29=#REF!,Milestone_Marker,IF(AND(AH$29&gt;#REF!,AH$29&lt;=#REF!+#REF!),$G$5,"")),"")</f>
        <v/>
      </c>
      <c r="AH88" s="37" t="str">
        <f ca="1">IFERROR(+IF(AI$29=#REF!,Milestone_Marker,IF(AND(AI$29&gt;#REF!,AI$29&lt;=#REF!+#REF!),$G$5,"")),"")</f>
        <v/>
      </c>
      <c r="AI88" s="37" t="str">
        <f ca="1">IFERROR(+IF(AJ$29=#REF!,Milestone_Marker,IF(AND(AJ$29&gt;#REF!,AJ$29&lt;=#REF!+#REF!),$G$5,"")),"")</f>
        <v/>
      </c>
      <c r="AJ88" s="37" t="str">
        <f ca="1">IFERROR(+IF(AK$29=#REF!,Milestone_Marker,IF(AND(AK$29&gt;#REF!,AK$29&lt;=#REF!+#REF!),$G$5,"")),"")</f>
        <v/>
      </c>
      <c r="AK88" s="37" t="str">
        <f ca="1">IFERROR(+IF(AL$29=#REF!,Milestone_Marker,IF(AND(AL$29&gt;#REF!,AL$29&lt;=#REF!+#REF!),$G$5,"")),"")</f>
        <v/>
      </c>
      <c r="AL88" s="37" t="str">
        <f ca="1">IFERROR(+IF(AM$29=#REF!,Milestone_Marker,IF(AND(AM$29&gt;#REF!,AM$29&lt;=#REF!+#REF!),$G$5,"")),"")</f>
        <v/>
      </c>
      <c r="AM88" s="37" t="str">
        <f ca="1">IFERROR(+IF(AN$29=#REF!,Milestone_Marker,IF(AND(AN$29&gt;#REF!,AN$29&lt;=#REF!+#REF!),$G$5,"")),"")</f>
        <v/>
      </c>
      <c r="AN88" s="37" t="str">
        <f ca="1">IFERROR(+IF(AO$29=#REF!,Milestone_Marker,IF(AND(AO$29&gt;#REF!,AO$29&lt;=#REF!+#REF!),$G$5,"")),"")</f>
        <v/>
      </c>
      <c r="AO88" s="37" t="str">
        <f ca="1">IFERROR(+IF(AP$29=#REF!,Milestone_Marker,IF(AND(AP$29&gt;#REF!,AP$29&lt;=#REF!+#REF!),$G$5,"")),"")</f>
        <v/>
      </c>
      <c r="AP88" s="37" t="str">
        <f ca="1">IFERROR(+IF(AQ$29=#REF!,Milestone_Marker,IF(AND(AQ$29&gt;#REF!,AQ$29&lt;=#REF!+#REF!),$G$5,"")),"")</f>
        <v/>
      </c>
      <c r="AQ88" s="37" t="str">
        <f ca="1">IFERROR(+IF(AR$29=#REF!,Milestone_Marker,IF(AND(AR$29&gt;#REF!,AR$29&lt;=#REF!+#REF!),$G$5,"")),"")</f>
        <v/>
      </c>
      <c r="AR88" s="37" t="str">
        <f ca="1">IFERROR(+IF(AS$29=#REF!,Milestone_Marker,IF(AND(AS$29&gt;#REF!,AS$29&lt;=#REF!+#REF!),$G$5,"")),"")</f>
        <v/>
      </c>
      <c r="AS88" s="37" t="str">
        <f ca="1">IFERROR(+IF(AT$29=#REF!,Milestone_Marker,IF(AND(AT$29&gt;#REF!,AT$29&lt;=#REF!+#REF!),$G$5,"")),"")</f>
        <v/>
      </c>
      <c r="AT88" s="37" t="str">
        <f ca="1">IFERROR(+IF(AU$29=#REF!,Milestone_Marker,IF(AND(AU$29&gt;#REF!,AU$29&lt;=#REF!+#REF!),$G$5,"")),"")</f>
        <v/>
      </c>
      <c r="AU88" s="37" t="str">
        <f ca="1">IFERROR(+IF(AV$29=#REF!,Milestone_Marker,IF(AND(AV$29&gt;#REF!,AV$29&lt;=#REF!+#REF!),$G$5,"")),"")</f>
        <v/>
      </c>
      <c r="AV88" s="37" t="str">
        <f ca="1">IFERROR(+IF(AW$29=#REF!,Milestone_Marker,IF(AND(AW$29&gt;#REF!,AW$29&lt;=#REF!+#REF!),$G$5,"")),"")</f>
        <v/>
      </c>
      <c r="AW88" s="37" t="str">
        <f ca="1">IFERROR(+IF(AX$29=#REF!,Milestone_Marker,IF(AND(AX$29&gt;#REF!,AX$29&lt;=#REF!+#REF!),$G$5,"")),"")</f>
        <v/>
      </c>
      <c r="AX88" s="37" t="str">
        <f ca="1">IFERROR(+IF(AY$29=#REF!,Milestone_Marker,IF(AND(AY$29&gt;#REF!,AY$29&lt;=#REF!+#REF!),$G$5,"")),"")</f>
        <v/>
      </c>
      <c r="AY88" s="37" t="str">
        <f ca="1">IFERROR(+IF(AZ$29=#REF!,Milestone_Marker,IF(AND(AZ$29&gt;#REF!,AZ$29&lt;=#REF!+#REF!),$G$5,"")),"")</f>
        <v/>
      </c>
      <c r="AZ88" s="37" t="str">
        <f ca="1">IFERROR(+IF(BA$29=#REF!,Milestone_Marker,IF(AND(BA$29&gt;#REF!,BA$29&lt;=#REF!+#REF!),$G$5,"")),"")</f>
        <v/>
      </c>
      <c r="BA88" s="37" t="str">
        <f ca="1">IFERROR(+IF(BB$29=#REF!,Milestone_Marker,IF(AND(BB$29&gt;#REF!,BB$29&lt;=#REF!+#REF!),$G$5,"")),"")</f>
        <v/>
      </c>
      <c r="BB88" s="37" t="str">
        <f ca="1">IFERROR(+IF(BC$29=#REF!,Milestone_Marker,IF(AND(BC$29&gt;#REF!,BC$29&lt;=#REF!+#REF!),$G$5,"")),"")</f>
        <v/>
      </c>
      <c r="BC88" s="37" t="str">
        <f ca="1">IFERROR(+IF(BD$29=#REF!,Milestone_Marker,IF(AND(BD$29&gt;#REF!,BD$29&lt;=#REF!+#REF!),$G$5,"")),"")</f>
        <v/>
      </c>
      <c r="BD88" s="37" t="str">
        <f ca="1">IFERROR(+IF(BE$29=#REF!,Milestone_Marker,IF(AND(BE$29&gt;#REF!,BE$29&lt;=#REF!+#REF!),$G$5,"")),"")</f>
        <v/>
      </c>
      <c r="BE88" s="37" t="str">
        <f ca="1">IFERROR(+IF(BF$29=#REF!,Milestone_Marker,IF(AND(BF$29&gt;#REF!,BF$29&lt;=#REF!+#REF!),$G$5,"")),"")</f>
        <v/>
      </c>
      <c r="BF88" s="37" t="str">
        <f ca="1">IFERROR(+IF(BG$29=#REF!,Milestone_Marker,IF(AND(BG$29&gt;#REF!,BG$29&lt;=#REF!+#REF!),$G$5,"")),"")</f>
        <v/>
      </c>
      <c r="BG88" s="37" t="str">
        <f ca="1">IFERROR(+IF(BH$29=#REF!,Milestone_Marker,IF(AND(BH$29&gt;#REF!,BH$29&lt;=#REF!+#REF!),$G$5,"")),"")</f>
        <v/>
      </c>
      <c r="BH88" s="37" t="str">
        <f ca="1">IFERROR(+IF(BI$29=#REF!,Milestone_Marker,IF(AND(BI$29&gt;#REF!,BI$29&lt;=#REF!+#REF!),$G$5,"")),"")</f>
        <v/>
      </c>
      <c r="BI88" s="37" t="str">
        <f ca="1">IFERROR(+IF(BJ$29=#REF!,Milestone_Marker,IF(AND(BJ$29&gt;#REF!,BJ$29&lt;=#REF!+#REF!),$G$5,"")),"")</f>
        <v/>
      </c>
      <c r="BJ88" s="37" t="str">
        <f ca="1">IFERROR(+IF(BK$29=#REF!,Milestone_Marker,IF(AND(BK$29&gt;#REF!,BK$29&lt;=#REF!+#REF!),$G$5,"")),"")</f>
        <v/>
      </c>
      <c r="BK88" s="37" t="str">
        <f ca="1">IFERROR(+IF(BL$29=#REF!,Milestone_Marker,IF(AND(BL$29&gt;#REF!,BL$29&lt;=#REF!+#REF!),$G$5,"")),"")</f>
        <v/>
      </c>
      <c r="BL88" s="37" t="str">
        <f ca="1">IFERROR(+IF(BM$29=#REF!,Milestone_Marker,IF(AND(BM$29&gt;#REF!,BM$29&lt;=#REF!+#REF!),$G$5,"")),"")</f>
        <v/>
      </c>
      <c r="BM88" s="37" t="str">
        <f ca="1">IFERROR(+IF(BN$29=#REF!,Milestone_Marker,IF(AND(BN$29&gt;#REF!,BN$29&lt;=#REF!+#REF!),$G$5,"")),"")</f>
        <v/>
      </c>
      <c r="BN88" s="37" t="str">
        <f ca="1">IFERROR(+IF(BO$29=#REF!,Milestone_Marker,IF(AND(BO$29&gt;#REF!,BO$29&lt;=#REF!+#REF!),$G$5,"")),"")</f>
        <v/>
      </c>
      <c r="BO88" s="37" t="str">
        <f ca="1">IFERROR(+IF(BP$29=#REF!,Milestone_Marker,IF(AND(BP$29&gt;#REF!,BP$29&lt;=#REF!+#REF!),$G$5,"")),"")</f>
        <v/>
      </c>
      <c r="BP88" s="37" t="str">
        <f ca="1">IFERROR(+IF(BQ$29=#REF!,Milestone_Marker,IF(AND(BQ$29&gt;#REF!,BQ$29&lt;=#REF!+#REF!),$G$5,"")),"")</f>
        <v/>
      </c>
      <c r="BQ88" s="37" t="str">
        <f ca="1">IFERROR(+IF(BR$29=#REF!,Milestone_Marker,IF(AND(BR$29&gt;#REF!,BR$29&lt;=#REF!+#REF!),$G$5,"")),"")</f>
        <v/>
      </c>
      <c r="BR88" s="37" t="str">
        <f ca="1">IFERROR(+IF(BS$29=#REF!,Milestone_Marker,IF(AND(BS$29&gt;#REF!,BS$29&lt;=#REF!+#REF!),$G$5,"")),"")</f>
        <v/>
      </c>
      <c r="BS88" s="37" t="str">
        <f ca="1">IFERROR(+IF(BT$29=#REF!,Milestone_Marker,IF(AND(BT$29&gt;#REF!,BT$29&lt;=#REF!+#REF!),$G$5,"")),"")</f>
        <v/>
      </c>
      <c r="BT88" s="37" t="str">
        <f ca="1">IFERROR(+IF(BU$29=#REF!,Milestone_Marker,IF(AND(BU$29&gt;#REF!,BU$29&lt;=#REF!+#REF!),$G$5,"")),"")</f>
        <v/>
      </c>
      <c r="BU88" s="37" t="str">
        <f ca="1">IFERROR(+IF(BV$29=#REF!,Milestone_Marker,IF(AND(BV$29&gt;#REF!,BV$29&lt;=#REF!+#REF!),$G$5,"")),"")</f>
        <v/>
      </c>
      <c r="BV88" s="37" t="str">
        <f ca="1">IFERROR(+IF(BW$29=#REF!,Milestone_Marker,IF(AND(BW$29&gt;#REF!,BW$29&lt;=#REF!+#REF!),$G$5,"")),"")</f>
        <v/>
      </c>
      <c r="BW88" s="37" t="str">
        <f ca="1">IFERROR(+IF(BX$29=#REF!,Milestone_Marker,IF(AND(BX$29&gt;#REF!,BX$29&lt;=#REF!+#REF!),$G$5,"")),"")</f>
        <v/>
      </c>
      <c r="BX88" s="37" t="str">
        <f ca="1">IFERROR(+IF(BY$29=#REF!,Milestone_Marker,IF(AND(BY$29&gt;#REF!,BY$29&lt;=#REF!+#REF!),$G$5,"")),"")</f>
        <v/>
      </c>
      <c r="BY88" s="37" t="str">
        <f ca="1">IFERROR(+IF(BZ$29=#REF!,Milestone_Marker,IF(AND(BZ$29&gt;#REF!,BZ$29&lt;=#REF!+#REF!),$G$5,"")),"")</f>
        <v/>
      </c>
      <c r="BZ88" s="37" t="str">
        <f ca="1">IFERROR(+IF(CA$29=#REF!,Milestone_Marker,IF(AND(CA$29&gt;#REF!,CA$29&lt;=#REF!+#REF!),$G$5,"")),"")</f>
        <v/>
      </c>
      <c r="CA88" s="37" t="str">
        <f ca="1">IFERROR(+IF(CB$29=#REF!,Milestone_Marker,IF(AND(CB$29&gt;#REF!,CB$29&lt;=#REF!+#REF!),$G$5,"")),"")</f>
        <v/>
      </c>
      <c r="CB88" s="37" t="str">
        <f ca="1">IFERROR(+IF(CC$29=#REF!,Milestone_Marker,IF(AND(CC$29&gt;#REF!,CC$29&lt;=#REF!+#REF!),$G$5,"")),"")</f>
        <v/>
      </c>
      <c r="CC88" s="37" t="str">
        <f ca="1">IFERROR(+IF(CD$29=#REF!,Milestone_Marker,IF(AND(CD$29&gt;#REF!,CD$29&lt;=#REF!+#REF!),$G$5,"")),"")</f>
        <v/>
      </c>
      <c r="CD88" s="37" t="str">
        <f ca="1">IFERROR(+IF(CE$29=#REF!,Milestone_Marker,IF(AND(CE$29&gt;#REF!,CE$29&lt;=#REF!+#REF!),$G$5,"")),"")</f>
        <v/>
      </c>
      <c r="CE88" s="37" t="str">
        <f ca="1">IFERROR(+IF(CF$29=#REF!,Milestone_Marker,IF(AND(CF$29&gt;#REF!,CF$29&lt;=#REF!+#REF!),$G$5,"")),"")</f>
        <v/>
      </c>
      <c r="CF88" s="37" t="str">
        <f ca="1">IFERROR(+IF(CG$29=#REF!,Milestone_Marker,IF(AND(CG$29&gt;#REF!,CG$29&lt;=#REF!+#REF!),$G$5,"")),"")</f>
        <v/>
      </c>
      <c r="CG88" s="37" t="str">
        <f ca="1">IFERROR(+IF(CH$29=#REF!,Milestone_Marker,IF(AND(CH$29&gt;#REF!,CH$29&lt;=#REF!+#REF!),$G$5,"")),"")</f>
        <v/>
      </c>
      <c r="CH88" s="37" t="str">
        <f ca="1">IFERROR(+IF(CI$29=#REF!,Milestone_Marker,IF(AND(CI$29&gt;#REF!,CI$29&lt;=#REF!+#REF!),$G$5,"")),"")</f>
        <v/>
      </c>
      <c r="CI88" s="37" t="str">
        <f ca="1">IFERROR(+IF(CJ$29=#REF!,Milestone_Marker,IF(AND(CJ$29&gt;#REF!,CJ$29&lt;=#REF!+#REF!),$G$5,"")),"")</f>
        <v/>
      </c>
      <c r="CJ88" s="37" t="str">
        <f ca="1">IFERROR(+IF(CK$29=#REF!,Milestone_Marker,IF(AND(CK$29&gt;#REF!,CK$29&lt;=#REF!+#REF!),$G$5,"")),"")</f>
        <v/>
      </c>
      <c r="CK88" s="37" t="str">
        <f ca="1">IFERROR(+IF(CL$29=#REF!,Milestone_Marker,IF(AND(CL$29&gt;#REF!,CL$29&lt;=#REF!+#REF!),$G$5,"")),"")</f>
        <v/>
      </c>
      <c r="CL88" s="37" t="str">
        <f ca="1">IFERROR(+IF(CM$29=#REF!,Milestone_Marker,IF(AND(CM$29&gt;#REF!,CM$29&lt;=#REF!+#REF!),$G$5,"")),"")</f>
        <v/>
      </c>
      <c r="CM88" s="37" t="str">
        <f ca="1">IFERROR(+IF(CN$29=#REF!,Milestone_Marker,IF(AND(CN$29&gt;#REF!,CN$29&lt;=#REF!+#REF!),$G$5,"")),"")</f>
        <v/>
      </c>
      <c r="CN88" s="37" t="str">
        <f ca="1">IFERROR(+IF(CO$29=#REF!,Milestone_Marker,IF(AND(CO$29&gt;#REF!,CO$29&lt;=#REF!+#REF!),$G$5,"")),"")</f>
        <v/>
      </c>
      <c r="CO88" s="37" t="str">
        <f ca="1">IFERROR(+IF(CP$29=#REF!,Milestone_Marker,IF(AND(CP$29&gt;#REF!,CP$29&lt;=#REF!+#REF!),$G$5,"")),"")</f>
        <v/>
      </c>
      <c r="CP88" s="37" t="str">
        <f ca="1">IFERROR(+IF(CQ$29=#REF!,Milestone_Marker,IF(AND(CQ$29&gt;#REF!,CQ$29&lt;=#REF!+#REF!),$G$5,"")),"")</f>
        <v/>
      </c>
      <c r="CQ88" s="37" t="str">
        <f ca="1">IFERROR(+IF(CR$29=#REF!,Milestone_Marker,IF(AND(CR$29&gt;#REF!,CR$29&lt;=#REF!+#REF!),$G$5,"")),"")</f>
        <v/>
      </c>
      <c r="CR88" s="37" t="str">
        <f ca="1">IFERROR(+IF(CS$29=#REF!,Milestone_Marker,IF(AND(CS$29&gt;#REF!,CS$29&lt;=#REF!+#REF!),$G$5,"")),"")</f>
        <v/>
      </c>
      <c r="CS88" s="37" t="str">
        <f ca="1">IFERROR(+IF(CT$29=#REF!,Milestone_Marker,IF(AND(CT$29&gt;#REF!,CT$29&lt;=#REF!+#REF!),$G$5,"")),"")</f>
        <v/>
      </c>
      <c r="CT88" s="37" t="str">
        <f ca="1">IFERROR(+IF(CU$29=#REF!,Milestone_Marker,IF(AND(CU$29&gt;#REF!,CU$29&lt;=#REF!+#REF!),$G$5,"")),"")</f>
        <v/>
      </c>
    </row>
    <row r="89" spans="1:125" ht="30" customHeight="1">
      <c r="P89" s="37" t="str">
        <f ca="1">IFERROR(+IF(Q$29=#REF!,Milestone_Marker,IF(AND(Q$29&gt;#REF!,Q$29&lt;=#REF!+#REF!),$G$5,"")),"")</f>
        <v/>
      </c>
      <c r="Q89" s="37" t="str">
        <f ca="1">IFERROR(+IF(R$29=#REF!,Milestone_Marker,IF(AND(R$29&gt;#REF!,R$29&lt;=#REF!+#REF!),$G$5,"")),"")</f>
        <v/>
      </c>
      <c r="R89" s="37" t="str">
        <f ca="1">IFERROR(+IF(S$29=#REF!,Milestone_Marker,IF(AND(S$29&gt;#REF!,S$29&lt;=#REF!+#REF!),$G$5,"")),"")</f>
        <v/>
      </c>
      <c r="S89" s="37" t="str">
        <f ca="1">IFERROR(+IF(T$29=#REF!,Milestone_Marker,IF(AND(T$29&gt;#REF!,T$29&lt;=#REF!+#REF!),$G$5,"")),"")</f>
        <v/>
      </c>
      <c r="T89" s="37" t="str">
        <f ca="1">IFERROR(+IF(U$29=#REF!,Milestone_Marker,IF(AND(U$29&gt;#REF!,U$29&lt;=#REF!+#REF!),$G$5,"")),"")</f>
        <v/>
      </c>
      <c r="U89" s="37" t="str">
        <f ca="1">IFERROR(+IF(V$29=#REF!,Milestone_Marker,IF(AND(V$29&gt;#REF!,V$29&lt;=#REF!+#REF!),$G$5,"")),"")</f>
        <v/>
      </c>
      <c r="V89" s="37" t="str">
        <f ca="1">IFERROR(+IF(W$29=#REF!,Milestone_Marker,IF(AND(W$29&gt;#REF!,W$29&lt;=#REF!+#REF!),$G$5,"")),"")</f>
        <v/>
      </c>
      <c r="W89" s="37" t="str">
        <f ca="1">IFERROR(+IF(X$29=#REF!,Milestone_Marker,IF(AND(X$29&gt;#REF!,X$29&lt;=#REF!+#REF!),$G$5,"")),"")</f>
        <v/>
      </c>
      <c r="X89" s="37" t="str">
        <f ca="1">IFERROR(+IF(Y$29=#REF!,Milestone_Marker,IF(AND(Y$29&gt;#REF!,Y$29&lt;=#REF!+#REF!),$G$5,"")),"")</f>
        <v/>
      </c>
      <c r="Y89" s="37" t="str">
        <f ca="1">IFERROR(+IF(Z$29=#REF!,Milestone_Marker,IF(AND(Z$29&gt;#REF!,Z$29&lt;=#REF!+#REF!),$G$5,"")),"")</f>
        <v/>
      </c>
      <c r="Z89" s="37" t="str">
        <f ca="1">IFERROR(+IF(AA$29=#REF!,Milestone_Marker,IF(AND(AA$29&gt;#REF!,AA$29&lt;=#REF!+#REF!),$G$5,"")),"")</f>
        <v/>
      </c>
      <c r="AA89" s="37" t="str">
        <f ca="1">IFERROR(+IF(AB$29=#REF!,Milestone_Marker,IF(AND(AB$29&gt;#REF!,AB$29&lt;=#REF!+#REF!),$G$5,"")),"")</f>
        <v/>
      </c>
      <c r="AB89" s="37" t="str">
        <f ca="1">IFERROR(+IF(AC$29=#REF!,Milestone_Marker,IF(AND(AC$29&gt;#REF!,AC$29&lt;=#REF!+#REF!),$G$5,"")),"")</f>
        <v/>
      </c>
      <c r="AC89" s="37" t="str">
        <f ca="1">IFERROR(+IF(AD$29=#REF!,Milestone_Marker,IF(AND(AD$29&gt;#REF!,AD$29&lt;=#REF!+#REF!),$G$5,"")),"")</f>
        <v/>
      </c>
      <c r="AD89" s="37" t="str">
        <f ca="1">IFERROR(+IF(AE$29=#REF!,Milestone_Marker,IF(AND(AE$29&gt;#REF!,AE$29&lt;=#REF!+#REF!),$G$5,"")),"")</f>
        <v/>
      </c>
      <c r="AE89" s="37" t="str">
        <f ca="1">IFERROR(+IF(AF$29=#REF!,Milestone_Marker,IF(AND(AF$29&gt;#REF!,AF$29&lt;=#REF!+#REF!),$G$5,"")),"")</f>
        <v/>
      </c>
      <c r="AF89" s="37" t="str">
        <f ca="1">IFERROR(+IF(AG$29=#REF!,Milestone_Marker,IF(AND(AG$29&gt;#REF!,AG$29&lt;=#REF!+#REF!),$G$5,"")),"")</f>
        <v/>
      </c>
      <c r="AG89" s="37" t="str">
        <f ca="1">IFERROR(+IF(AH$29=#REF!,Milestone_Marker,IF(AND(AH$29&gt;#REF!,AH$29&lt;=#REF!+#REF!),$G$5,"")),"")</f>
        <v/>
      </c>
      <c r="AH89" s="37" t="str">
        <f ca="1">IFERROR(+IF(AI$29=#REF!,Milestone_Marker,IF(AND(AI$29&gt;#REF!,AI$29&lt;=#REF!+#REF!),$G$5,"")),"")</f>
        <v/>
      </c>
      <c r="AI89" s="37" t="str">
        <f ca="1">IFERROR(+IF(AJ$29=#REF!,Milestone_Marker,IF(AND(AJ$29&gt;#REF!,AJ$29&lt;=#REF!+#REF!),$G$5,"")),"")</f>
        <v/>
      </c>
      <c r="AJ89" s="37" t="str">
        <f ca="1">IFERROR(+IF(AK$29=#REF!,Milestone_Marker,IF(AND(AK$29&gt;#REF!,AK$29&lt;=#REF!+#REF!),$G$5,"")),"")</f>
        <v/>
      </c>
      <c r="AK89" s="37" t="str">
        <f ca="1">IFERROR(+IF(AL$29=#REF!,Milestone_Marker,IF(AND(AL$29&gt;#REF!,AL$29&lt;=#REF!+#REF!),$G$5,"")),"")</f>
        <v/>
      </c>
      <c r="AL89" s="37" t="str">
        <f ca="1">IFERROR(+IF(AM$29=#REF!,Milestone_Marker,IF(AND(AM$29&gt;#REF!,AM$29&lt;=#REF!+#REF!),$G$5,"")),"")</f>
        <v/>
      </c>
      <c r="AM89" s="37" t="str">
        <f ca="1">IFERROR(+IF(AN$29=#REF!,Milestone_Marker,IF(AND(AN$29&gt;#REF!,AN$29&lt;=#REF!+#REF!),$G$5,"")),"")</f>
        <v/>
      </c>
      <c r="AN89" s="37" t="str">
        <f ca="1">IFERROR(+IF(AO$29=#REF!,Milestone_Marker,IF(AND(AO$29&gt;#REF!,AO$29&lt;=#REF!+#REF!),$G$5,"")),"")</f>
        <v/>
      </c>
      <c r="AO89" s="37" t="str">
        <f ca="1">IFERROR(+IF(AP$29=#REF!,Milestone_Marker,IF(AND(AP$29&gt;#REF!,AP$29&lt;=#REF!+#REF!),$G$5,"")),"")</f>
        <v/>
      </c>
      <c r="AP89" s="37" t="str">
        <f ca="1">IFERROR(+IF(AQ$29=#REF!,Milestone_Marker,IF(AND(AQ$29&gt;#REF!,AQ$29&lt;=#REF!+#REF!),$G$5,"")),"")</f>
        <v/>
      </c>
      <c r="AQ89" s="37" t="str">
        <f ca="1">IFERROR(+IF(AR$29=#REF!,Milestone_Marker,IF(AND(AR$29&gt;#REF!,AR$29&lt;=#REF!+#REF!),$G$5,"")),"")</f>
        <v/>
      </c>
      <c r="AR89" s="37" t="str">
        <f ca="1">IFERROR(+IF(AS$29=#REF!,Milestone_Marker,IF(AND(AS$29&gt;#REF!,AS$29&lt;=#REF!+#REF!),$G$5,"")),"")</f>
        <v/>
      </c>
      <c r="AS89" s="37" t="str">
        <f ca="1">IFERROR(+IF(AT$29=#REF!,Milestone_Marker,IF(AND(AT$29&gt;#REF!,AT$29&lt;=#REF!+#REF!),$G$5,"")),"")</f>
        <v/>
      </c>
      <c r="AT89" s="37" t="str">
        <f ca="1">IFERROR(+IF(AU$29=#REF!,Milestone_Marker,IF(AND(AU$29&gt;#REF!,AU$29&lt;=#REF!+#REF!),$G$5,"")),"")</f>
        <v/>
      </c>
      <c r="AU89" s="37" t="str">
        <f ca="1">IFERROR(+IF(AV$29=#REF!,Milestone_Marker,IF(AND(AV$29&gt;#REF!,AV$29&lt;=#REF!+#REF!),$G$5,"")),"")</f>
        <v/>
      </c>
      <c r="AV89" s="37" t="str">
        <f ca="1">IFERROR(+IF(AW$29=#REF!,Milestone_Marker,IF(AND(AW$29&gt;#REF!,AW$29&lt;=#REF!+#REF!),$G$5,"")),"")</f>
        <v/>
      </c>
      <c r="AW89" s="37" t="str">
        <f ca="1">IFERROR(+IF(AX$29=#REF!,Milestone_Marker,IF(AND(AX$29&gt;#REF!,AX$29&lt;=#REF!+#REF!),$G$5,"")),"")</f>
        <v/>
      </c>
      <c r="AX89" s="37" t="str">
        <f ca="1">IFERROR(+IF(AY$29=#REF!,Milestone_Marker,IF(AND(AY$29&gt;#REF!,AY$29&lt;=#REF!+#REF!),$G$5,"")),"")</f>
        <v/>
      </c>
      <c r="AY89" s="37" t="str">
        <f ca="1">IFERROR(+IF(AZ$29=#REF!,Milestone_Marker,IF(AND(AZ$29&gt;#REF!,AZ$29&lt;=#REF!+#REF!),$G$5,"")),"")</f>
        <v/>
      </c>
      <c r="AZ89" s="37" t="str">
        <f ca="1">IFERROR(+IF(BA$29=#REF!,Milestone_Marker,IF(AND(BA$29&gt;#REF!,BA$29&lt;=#REF!+#REF!),$G$5,"")),"")</f>
        <v/>
      </c>
      <c r="BA89" s="37" t="str">
        <f ca="1">IFERROR(+IF(BB$29=#REF!,Milestone_Marker,IF(AND(BB$29&gt;#REF!,BB$29&lt;=#REF!+#REF!),$G$5,"")),"")</f>
        <v/>
      </c>
      <c r="BB89" s="37" t="str">
        <f ca="1">IFERROR(+IF(BC$29=#REF!,Milestone_Marker,IF(AND(BC$29&gt;#REF!,BC$29&lt;=#REF!+#REF!),$G$5,"")),"")</f>
        <v/>
      </c>
      <c r="BC89" s="37" t="str">
        <f ca="1">IFERROR(+IF(BD$29=#REF!,Milestone_Marker,IF(AND(BD$29&gt;#REF!,BD$29&lt;=#REF!+#REF!),$G$5,"")),"")</f>
        <v/>
      </c>
      <c r="BD89" s="37" t="str">
        <f ca="1">IFERROR(+IF(BE$29=#REF!,Milestone_Marker,IF(AND(BE$29&gt;#REF!,BE$29&lt;=#REF!+#REF!),$G$5,"")),"")</f>
        <v/>
      </c>
      <c r="BE89" s="37" t="str">
        <f ca="1">IFERROR(+IF(BF$29=#REF!,Milestone_Marker,IF(AND(BF$29&gt;#REF!,BF$29&lt;=#REF!+#REF!),$G$5,"")),"")</f>
        <v/>
      </c>
      <c r="BF89" s="37" t="str">
        <f ca="1">IFERROR(+IF(BG$29=#REF!,Milestone_Marker,IF(AND(BG$29&gt;#REF!,BG$29&lt;=#REF!+#REF!),$G$5,"")),"")</f>
        <v/>
      </c>
      <c r="BG89" s="37" t="str">
        <f ca="1">IFERROR(+IF(BH$29=#REF!,Milestone_Marker,IF(AND(BH$29&gt;#REF!,BH$29&lt;=#REF!+#REF!),$G$5,"")),"")</f>
        <v/>
      </c>
      <c r="BH89" s="37" t="str">
        <f ca="1">IFERROR(+IF(BI$29=#REF!,Milestone_Marker,IF(AND(BI$29&gt;#REF!,BI$29&lt;=#REF!+#REF!),$G$5,"")),"")</f>
        <v/>
      </c>
      <c r="BI89" s="37" t="str">
        <f ca="1">IFERROR(+IF(BJ$29=#REF!,Milestone_Marker,IF(AND(BJ$29&gt;#REF!,BJ$29&lt;=#REF!+#REF!),$G$5,"")),"")</f>
        <v/>
      </c>
      <c r="BJ89" s="37" t="str">
        <f ca="1">IFERROR(+IF(BK$29=#REF!,Milestone_Marker,IF(AND(BK$29&gt;#REF!,BK$29&lt;=#REF!+#REF!),$G$5,"")),"")</f>
        <v/>
      </c>
      <c r="BK89" s="37" t="str">
        <f ca="1">IFERROR(+IF(BL$29=#REF!,Milestone_Marker,IF(AND(BL$29&gt;#REF!,BL$29&lt;=#REF!+#REF!),$G$5,"")),"")</f>
        <v/>
      </c>
      <c r="BL89" s="37" t="str">
        <f ca="1">IFERROR(+IF(BM$29=#REF!,Milestone_Marker,IF(AND(BM$29&gt;#REF!,BM$29&lt;=#REF!+#REF!),$G$5,"")),"")</f>
        <v/>
      </c>
      <c r="BM89" s="37" t="str">
        <f ca="1">IFERROR(+IF(BN$29=#REF!,Milestone_Marker,IF(AND(BN$29&gt;#REF!,BN$29&lt;=#REF!+#REF!),$G$5,"")),"")</f>
        <v/>
      </c>
      <c r="BN89" s="37" t="str">
        <f ca="1">IFERROR(+IF(BO$29=#REF!,Milestone_Marker,IF(AND(BO$29&gt;#REF!,BO$29&lt;=#REF!+#REF!),$G$5,"")),"")</f>
        <v/>
      </c>
      <c r="BO89" s="37" t="str">
        <f ca="1">IFERROR(+IF(BP$29=#REF!,Milestone_Marker,IF(AND(BP$29&gt;#REF!,BP$29&lt;=#REF!+#REF!),$G$5,"")),"")</f>
        <v/>
      </c>
      <c r="BP89" s="37" t="str">
        <f ca="1">IFERROR(+IF(BQ$29=#REF!,Milestone_Marker,IF(AND(BQ$29&gt;#REF!,BQ$29&lt;=#REF!+#REF!),$G$5,"")),"")</f>
        <v/>
      </c>
      <c r="BQ89" s="37" t="str">
        <f ca="1">IFERROR(+IF(BR$29=#REF!,Milestone_Marker,IF(AND(BR$29&gt;#REF!,BR$29&lt;=#REF!+#REF!),$G$5,"")),"")</f>
        <v/>
      </c>
      <c r="BR89" s="37" t="str">
        <f ca="1">IFERROR(+IF(BS$29=#REF!,Milestone_Marker,IF(AND(BS$29&gt;#REF!,BS$29&lt;=#REF!+#REF!),$G$5,"")),"")</f>
        <v/>
      </c>
      <c r="BS89" s="37" t="str">
        <f ca="1">IFERROR(+IF(BT$29=#REF!,Milestone_Marker,IF(AND(BT$29&gt;#REF!,BT$29&lt;=#REF!+#REF!),$G$5,"")),"")</f>
        <v/>
      </c>
      <c r="BT89" s="37" t="str">
        <f ca="1">IFERROR(+IF(BU$29=#REF!,Milestone_Marker,IF(AND(BU$29&gt;#REF!,BU$29&lt;=#REF!+#REF!),$G$5,"")),"")</f>
        <v/>
      </c>
      <c r="BU89" s="37" t="str">
        <f ca="1">IFERROR(+IF(BV$29=#REF!,Milestone_Marker,IF(AND(BV$29&gt;#REF!,BV$29&lt;=#REF!+#REF!),$G$5,"")),"")</f>
        <v/>
      </c>
      <c r="BV89" s="37" t="str">
        <f ca="1">IFERROR(+IF(BW$29=#REF!,Milestone_Marker,IF(AND(BW$29&gt;#REF!,BW$29&lt;=#REF!+#REF!),$G$5,"")),"")</f>
        <v/>
      </c>
      <c r="BW89" s="37" t="str">
        <f ca="1">IFERROR(+IF(BX$29=#REF!,Milestone_Marker,IF(AND(BX$29&gt;#REF!,BX$29&lt;=#REF!+#REF!),$G$5,"")),"")</f>
        <v/>
      </c>
      <c r="BX89" s="37" t="str">
        <f ca="1">IFERROR(+IF(BY$29=#REF!,Milestone_Marker,IF(AND(BY$29&gt;#REF!,BY$29&lt;=#REF!+#REF!),$G$5,"")),"")</f>
        <v/>
      </c>
      <c r="BY89" s="37" t="str">
        <f ca="1">IFERROR(+IF(BZ$29=#REF!,Milestone_Marker,IF(AND(BZ$29&gt;#REF!,BZ$29&lt;=#REF!+#REF!),$G$5,"")),"")</f>
        <v/>
      </c>
      <c r="BZ89" s="37" t="str">
        <f ca="1">IFERROR(+IF(CA$29=#REF!,Milestone_Marker,IF(AND(CA$29&gt;#REF!,CA$29&lt;=#REF!+#REF!),$G$5,"")),"")</f>
        <v/>
      </c>
      <c r="CA89" s="37" t="str">
        <f ca="1">IFERROR(+IF(CB$29=#REF!,Milestone_Marker,IF(AND(CB$29&gt;#REF!,CB$29&lt;=#REF!+#REF!),$G$5,"")),"")</f>
        <v/>
      </c>
      <c r="CB89" s="37" t="str">
        <f ca="1">IFERROR(+IF(CC$29=#REF!,Milestone_Marker,IF(AND(CC$29&gt;#REF!,CC$29&lt;=#REF!+#REF!),$G$5,"")),"")</f>
        <v/>
      </c>
      <c r="CC89" s="37" t="str">
        <f ca="1">IFERROR(+IF(CD$29=#REF!,Milestone_Marker,IF(AND(CD$29&gt;#REF!,CD$29&lt;=#REF!+#REF!),$G$5,"")),"")</f>
        <v/>
      </c>
      <c r="CD89" s="37" t="str">
        <f ca="1">IFERROR(+IF(CE$29=#REF!,Milestone_Marker,IF(AND(CE$29&gt;#REF!,CE$29&lt;=#REF!+#REF!),$G$5,"")),"")</f>
        <v/>
      </c>
      <c r="CE89" s="37" t="str">
        <f ca="1">IFERROR(+IF(CF$29=#REF!,Milestone_Marker,IF(AND(CF$29&gt;#REF!,CF$29&lt;=#REF!+#REF!),$G$5,"")),"")</f>
        <v/>
      </c>
      <c r="CF89" s="37" t="str">
        <f ca="1">IFERROR(+IF(CG$29=#REF!,Milestone_Marker,IF(AND(CG$29&gt;#REF!,CG$29&lt;=#REF!+#REF!),$G$5,"")),"")</f>
        <v/>
      </c>
      <c r="CG89" s="37" t="str">
        <f ca="1">IFERROR(+IF(CH$29=#REF!,Milestone_Marker,IF(AND(CH$29&gt;#REF!,CH$29&lt;=#REF!+#REF!),$G$5,"")),"")</f>
        <v/>
      </c>
      <c r="CH89" s="37" t="str">
        <f ca="1">IFERROR(+IF(CI$29=#REF!,Milestone_Marker,IF(AND(CI$29&gt;#REF!,CI$29&lt;=#REF!+#REF!),$G$5,"")),"")</f>
        <v/>
      </c>
      <c r="CI89" s="37" t="str">
        <f ca="1">IFERROR(+IF(CJ$29=#REF!,Milestone_Marker,IF(AND(CJ$29&gt;#REF!,CJ$29&lt;=#REF!+#REF!),$G$5,"")),"")</f>
        <v/>
      </c>
      <c r="CJ89" s="37" t="str">
        <f ca="1">IFERROR(+IF(CK$29=#REF!,Milestone_Marker,IF(AND(CK$29&gt;#REF!,CK$29&lt;=#REF!+#REF!),$G$5,"")),"")</f>
        <v/>
      </c>
      <c r="CK89" s="37" t="str">
        <f ca="1">IFERROR(+IF(CL$29=#REF!,Milestone_Marker,IF(AND(CL$29&gt;#REF!,CL$29&lt;=#REF!+#REF!),$G$5,"")),"")</f>
        <v/>
      </c>
      <c r="CL89" s="37" t="str">
        <f ca="1">IFERROR(+IF(CM$29=#REF!,Milestone_Marker,IF(AND(CM$29&gt;#REF!,CM$29&lt;=#REF!+#REF!),$G$5,"")),"")</f>
        <v/>
      </c>
      <c r="CM89" s="37" t="str">
        <f ca="1">IFERROR(+IF(CN$29=#REF!,Milestone_Marker,IF(AND(CN$29&gt;#REF!,CN$29&lt;=#REF!+#REF!),$G$5,"")),"")</f>
        <v/>
      </c>
      <c r="CN89" s="37" t="str">
        <f ca="1">IFERROR(+IF(CO$29=#REF!,Milestone_Marker,IF(AND(CO$29&gt;#REF!,CO$29&lt;=#REF!+#REF!),$G$5,"")),"")</f>
        <v/>
      </c>
      <c r="CO89" s="37" t="str">
        <f ca="1">IFERROR(+IF(CP$29=#REF!,Milestone_Marker,IF(AND(CP$29&gt;#REF!,CP$29&lt;=#REF!+#REF!),$G$5,"")),"")</f>
        <v/>
      </c>
      <c r="CP89" s="37" t="str">
        <f ca="1">IFERROR(+IF(CQ$29=#REF!,Milestone_Marker,IF(AND(CQ$29&gt;#REF!,CQ$29&lt;=#REF!+#REF!),$G$5,"")),"")</f>
        <v/>
      </c>
      <c r="CQ89" s="37" t="str">
        <f ca="1">IFERROR(+IF(CR$29=#REF!,Milestone_Marker,IF(AND(CR$29&gt;#REF!,CR$29&lt;=#REF!+#REF!),$G$5,"")),"")</f>
        <v/>
      </c>
      <c r="CR89" s="37" t="str">
        <f ca="1">IFERROR(+IF(CS$29=#REF!,Milestone_Marker,IF(AND(CS$29&gt;#REF!,CS$29&lt;=#REF!+#REF!),$G$5,"")),"")</f>
        <v/>
      </c>
      <c r="CS89" s="37" t="str">
        <f ca="1">IFERROR(+IF(CT$29=#REF!,Milestone_Marker,IF(AND(CT$29&gt;#REF!,CT$29&lt;=#REF!+#REF!),$G$5,"")),"")</f>
        <v/>
      </c>
      <c r="CT89" s="37" t="str">
        <f ca="1">IFERROR(+IF(CU$29=#REF!,Milestone_Marker,IF(AND(CU$29&gt;#REF!,CU$29&lt;=#REF!+#REF!),$G$5,"")),"")</f>
        <v/>
      </c>
    </row>
    <row r="90" spans="1:125" ht="30" customHeight="1">
      <c r="P90" s="37" t="str">
        <f ca="1">IFERROR(+IF(Q$29=#REF!,Milestone_Marker,IF(AND(Q$29&gt;#REF!,Q$29&lt;=#REF!+#REF!),$G$5,"")),"")</f>
        <v/>
      </c>
      <c r="Q90" s="37" t="str">
        <f ca="1">IFERROR(+IF(R$29=#REF!,Milestone_Marker,IF(AND(R$29&gt;#REF!,R$29&lt;=#REF!+#REF!),$G$5,"")),"")</f>
        <v/>
      </c>
      <c r="R90" s="37" t="str">
        <f ca="1">IFERROR(+IF(S$29=#REF!,Milestone_Marker,IF(AND(S$29&gt;#REF!,S$29&lt;=#REF!+#REF!),$G$5,"")),"")</f>
        <v/>
      </c>
      <c r="S90" s="37" t="str">
        <f ca="1">IFERROR(+IF(T$29=#REF!,Milestone_Marker,IF(AND(T$29&gt;#REF!,T$29&lt;=#REF!+#REF!),$G$5,"")),"")</f>
        <v/>
      </c>
      <c r="T90" s="37" t="str">
        <f ca="1">IFERROR(+IF(U$29=#REF!,Milestone_Marker,IF(AND(U$29&gt;#REF!,U$29&lt;=#REF!+#REF!),$G$5,"")),"")</f>
        <v/>
      </c>
      <c r="U90" s="37" t="str">
        <f ca="1">IFERROR(+IF(V$29=#REF!,Milestone_Marker,IF(AND(V$29&gt;#REF!,V$29&lt;=#REF!+#REF!),$G$5,"")),"")</f>
        <v/>
      </c>
      <c r="V90" s="37" t="str">
        <f ca="1">IFERROR(+IF(W$29=#REF!,Milestone_Marker,IF(AND(W$29&gt;#REF!,W$29&lt;=#REF!+#REF!),$G$5,"")),"")</f>
        <v/>
      </c>
      <c r="W90" s="37" t="str">
        <f ca="1">IFERROR(+IF(X$29=#REF!,Milestone_Marker,IF(AND(X$29&gt;#REF!,X$29&lt;=#REF!+#REF!),$G$5,"")),"")</f>
        <v/>
      </c>
      <c r="X90" s="37" t="str">
        <f ca="1">IFERROR(+IF(Y$29=#REF!,Milestone_Marker,IF(AND(Y$29&gt;#REF!,Y$29&lt;=#REF!+#REF!),$G$5,"")),"")</f>
        <v/>
      </c>
      <c r="Y90" s="37" t="str">
        <f ca="1">IFERROR(+IF(Z$29=#REF!,Milestone_Marker,IF(AND(Z$29&gt;#REF!,Z$29&lt;=#REF!+#REF!),$G$5,"")),"")</f>
        <v/>
      </c>
      <c r="Z90" s="37" t="str">
        <f ca="1">IFERROR(+IF(AA$29=#REF!,Milestone_Marker,IF(AND(AA$29&gt;#REF!,AA$29&lt;=#REF!+#REF!),$G$5,"")),"")</f>
        <v/>
      </c>
      <c r="AA90" s="37" t="str">
        <f ca="1">IFERROR(+IF(AB$29=#REF!,Milestone_Marker,IF(AND(AB$29&gt;#REF!,AB$29&lt;=#REF!+#REF!),$G$5,"")),"")</f>
        <v/>
      </c>
      <c r="AB90" s="37" t="str">
        <f ca="1">IFERROR(+IF(AC$29=#REF!,Milestone_Marker,IF(AND(AC$29&gt;#REF!,AC$29&lt;=#REF!+#REF!),$G$5,"")),"")</f>
        <v/>
      </c>
      <c r="AC90" s="37" t="str">
        <f ca="1">IFERROR(+IF(AD$29=#REF!,Milestone_Marker,IF(AND(AD$29&gt;#REF!,AD$29&lt;=#REF!+#REF!),$G$5,"")),"")</f>
        <v/>
      </c>
      <c r="AD90" s="37" t="str">
        <f ca="1">IFERROR(+IF(AE$29=#REF!,Milestone_Marker,IF(AND(AE$29&gt;#REF!,AE$29&lt;=#REF!+#REF!),$G$5,"")),"")</f>
        <v/>
      </c>
      <c r="AE90" s="37" t="str">
        <f ca="1">IFERROR(+IF(AF$29=#REF!,Milestone_Marker,IF(AND(AF$29&gt;#REF!,AF$29&lt;=#REF!+#REF!),$G$5,"")),"")</f>
        <v/>
      </c>
      <c r="AF90" s="37" t="str">
        <f ca="1">IFERROR(+IF(AG$29=#REF!,Milestone_Marker,IF(AND(AG$29&gt;#REF!,AG$29&lt;=#REF!+#REF!),$G$5,"")),"")</f>
        <v/>
      </c>
      <c r="AG90" s="37" t="str">
        <f ca="1">IFERROR(+IF(AH$29=#REF!,Milestone_Marker,IF(AND(AH$29&gt;#REF!,AH$29&lt;=#REF!+#REF!),$G$5,"")),"")</f>
        <v/>
      </c>
      <c r="AH90" s="37" t="str">
        <f ca="1">IFERROR(+IF(AI$29=#REF!,Milestone_Marker,IF(AND(AI$29&gt;#REF!,AI$29&lt;=#REF!+#REF!),$G$5,"")),"")</f>
        <v/>
      </c>
      <c r="AI90" s="37" t="str">
        <f ca="1">IFERROR(+IF(AJ$29=#REF!,Milestone_Marker,IF(AND(AJ$29&gt;#REF!,AJ$29&lt;=#REF!+#REF!),$G$5,"")),"")</f>
        <v/>
      </c>
      <c r="AJ90" s="37" t="str">
        <f ca="1">IFERROR(+IF(AK$29=#REF!,Milestone_Marker,IF(AND(AK$29&gt;#REF!,AK$29&lt;=#REF!+#REF!),$G$5,"")),"")</f>
        <v/>
      </c>
      <c r="AK90" s="37" t="str">
        <f ca="1">IFERROR(+IF(AL$29=#REF!,Milestone_Marker,IF(AND(AL$29&gt;#REF!,AL$29&lt;=#REF!+#REF!),$G$5,"")),"")</f>
        <v/>
      </c>
      <c r="AL90" s="37" t="str">
        <f ca="1">IFERROR(+IF(AM$29=#REF!,Milestone_Marker,IF(AND(AM$29&gt;#REF!,AM$29&lt;=#REF!+#REF!),$G$5,"")),"")</f>
        <v/>
      </c>
      <c r="AM90" s="37" t="str">
        <f ca="1">IFERROR(+IF(AN$29=#REF!,Milestone_Marker,IF(AND(AN$29&gt;#REF!,AN$29&lt;=#REF!+#REF!),$G$5,"")),"")</f>
        <v/>
      </c>
      <c r="AN90" s="37" t="str">
        <f ca="1">IFERROR(+IF(AO$29=#REF!,Milestone_Marker,IF(AND(AO$29&gt;#REF!,AO$29&lt;=#REF!+#REF!),$G$5,"")),"")</f>
        <v/>
      </c>
      <c r="AO90" s="37" t="str">
        <f ca="1">IFERROR(+IF(AP$29=#REF!,Milestone_Marker,IF(AND(AP$29&gt;#REF!,AP$29&lt;=#REF!+#REF!),$G$5,"")),"")</f>
        <v/>
      </c>
      <c r="AP90" s="37" t="str">
        <f ca="1">IFERROR(+IF(AQ$29=#REF!,Milestone_Marker,IF(AND(AQ$29&gt;#REF!,AQ$29&lt;=#REF!+#REF!),$G$5,"")),"")</f>
        <v/>
      </c>
      <c r="AQ90" s="37" t="str">
        <f ca="1">IFERROR(+IF(AR$29=#REF!,Milestone_Marker,IF(AND(AR$29&gt;#REF!,AR$29&lt;=#REF!+#REF!),$G$5,"")),"")</f>
        <v/>
      </c>
      <c r="AR90" s="37" t="str">
        <f ca="1">IFERROR(+IF(AS$29=#REF!,Milestone_Marker,IF(AND(AS$29&gt;#REF!,AS$29&lt;=#REF!+#REF!),$G$5,"")),"")</f>
        <v/>
      </c>
      <c r="AS90" s="37" t="str">
        <f ca="1">IFERROR(+IF(AT$29=#REF!,Milestone_Marker,IF(AND(AT$29&gt;#REF!,AT$29&lt;=#REF!+#REF!),$G$5,"")),"")</f>
        <v/>
      </c>
      <c r="AT90" s="37" t="str">
        <f ca="1">IFERROR(+IF(AU$29=#REF!,Milestone_Marker,IF(AND(AU$29&gt;#REF!,AU$29&lt;=#REF!+#REF!),$G$5,"")),"")</f>
        <v/>
      </c>
      <c r="AU90" s="37" t="str">
        <f ca="1">IFERROR(+IF(AV$29=#REF!,Milestone_Marker,IF(AND(AV$29&gt;#REF!,AV$29&lt;=#REF!+#REF!),$G$5,"")),"")</f>
        <v/>
      </c>
      <c r="AV90" s="37" t="str">
        <f ca="1">IFERROR(+IF(AW$29=#REF!,Milestone_Marker,IF(AND(AW$29&gt;#REF!,AW$29&lt;=#REF!+#REF!),$G$5,"")),"")</f>
        <v/>
      </c>
      <c r="AW90" s="37" t="str">
        <f ca="1">IFERROR(+IF(AX$29=#REF!,Milestone_Marker,IF(AND(AX$29&gt;#REF!,AX$29&lt;=#REF!+#REF!),$G$5,"")),"")</f>
        <v/>
      </c>
      <c r="AX90" s="37" t="str">
        <f ca="1">IFERROR(+IF(AY$29=#REF!,Milestone_Marker,IF(AND(AY$29&gt;#REF!,AY$29&lt;=#REF!+#REF!),$G$5,"")),"")</f>
        <v/>
      </c>
      <c r="AY90" s="37" t="str">
        <f ca="1">IFERROR(+IF(AZ$29=#REF!,Milestone_Marker,IF(AND(AZ$29&gt;#REF!,AZ$29&lt;=#REF!+#REF!),$G$5,"")),"")</f>
        <v/>
      </c>
      <c r="AZ90" s="37" t="str">
        <f ca="1">IFERROR(+IF(BA$29=#REF!,Milestone_Marker,IF(AND(BA$29&gt;#REF!,BA$29&lt;=#REF!+#REF!),$G$5,"")),"")</f>
        <v/>
      </c>
      <c r="BA90" s="37" t="str">
        <f ca="1">IFERROR(+IF(BB$29=#REF!,Milestone_Marker,IF(AND(BB$29&gt;#REF!,BB$29&lt;=#REF!+#REF!),$G$5,"")),"")</f>
        <v/>
      </c>
      <c r="BB90" s="37" t="str">
        <f ca="1">IFERROR(+IF(BC$29=#REF!,Milestone_Marker,IF(AND(BC$29&gt;#REF!,BC$29&lt;=#REF!+#REF!),$G$5,"")),"")</f>
        <v/>
      </c>
      <c r="BC90" s="37" t="str">
        <f ca="1">IFERROR(+IF(BD$29=#REF!,Milestone_Marker,IF(AND(BD$29&gt;#REF!,BD$29&lt;=#REF!+#REF!),$G$5,"")),"")</f>
        <v/>
      </c>
      <c r="BD90" s="37" t="str">
        <f ca="1">IFERROR(+IF(BE$29=#REF!,Milestone_Marker,IF(AND(BE$29&gt;#REF!,BE$29&lt;=#REF!+#REF!),$G$5,"")),"")</f>
        <v/>
      </c>
      <c r="BE90" s="37" t="str">
        <f ca="1">IFERROR(+IF(BF$29=#REF!,Milestone_Marker,IF(AND(BF$29&gt;#REF!,BF$29&lt;=#REF!+#REF!),$G$5,"")),"")</f>
        <v/>
      </c>
      <c r="BF90" s="37" t="str">
        <f ca="1">IFERROR(+IF(BG$29=#REF!,Milestone_Marker,IF(AND(BG$29&gt;#REF!,BG$29&lt;=#REF!+#REF!),$G$5,"")),"")</f>
        <v/>
      </c>
      <c r="BG90" s="37" t="str">
        <f ca="1">IFERROR(+IF(BH$29=#REF!,Milestone_Marker,IF(AND(BH$29&gt;#REF!,BH$29&lt;=#REF!+#REF!),$G$5,"")),"")</f>
        <v/>
      </c>
      <c r="BH90" s="37" t="str">
        <f ca="1">IFERROR(+IF(BI$29=#REF!,Milestone_Marker,IF(AND(BI$29&gt;#REF!,BI$29&lt;=#REF!+#REF!),$G$5,"")),"")</f>
        <v/>
      </c>
      <c r="BI90" s="37" t="str">
        <f ca="1">IFERROR(+IF(BJ$29=#REF!,Milestone_Marker,IF(AND(BJ$29&gt;#REF!,BJ$29&lt;=#REF!+#REF!),$G$5,"")),"")</f>
        <v/>
      </c>
      <c r="BJ90" s="37" t="str">
        <f ca="1">IFERROR(+IF(BK$29=#REF!,Milestone_Marker,IF(AND(BK$29&gt;#REF!,BK$29&lt;=#REF!+#REF!),$G$5,"")),"")</f>
        <v/>
      </c>
      <c r="BK90" s="37" t="str">
        <f ca="1">IFERROR(+IF(BL$29=#REF!,Milestone_Marker,IF(AND(BL$29&gt;#REF!,BL$29&lt;=#REF!+#REF!),$G$5,"")),"")</f>
        <v/>
      </c>
      <c r="BL90" s="37" t="str">
        <f ca="1">IFERROR(+IF(BM$29=#REF!,Milestone_Marker,IF(AND(BM$29&gt;#REF!,BM$29&lt;=#REF!+#REF!),$G$5,"")),"")</f>
        <v/>
      </c>
      <c r="BM90" s="37" t="str">
        <f ca="1">IFERROR(+IF(BN$29=#REF!,Milestone_Marker,IF(AND(BN$29&gt;#REF!,BN$29&lt;=#REF!+#REF!),$G$5,"")),"")</f>
        <v/>
      </c>
      <c r="BN90" s="37" t="str">
        <f ca="1">IFERROR(+IF(BO$29=#REF!,Milestone_Marker,IF(AND(BO$29&gt;#REF!,BO$29&lt;=#REF!+#REF!),$G$5,"")),"")</f>
        <v/>
      </c>
      <c r="BO90" s="37" t="str">
        <f ca="1">IFERROR(+IF(BP$29=#REF!,Milestone_Marker,IF(AND(BP$29&gt;#REF!,BP$29&lt;=#REF!+#REF!),$G$5,"")),"")</f>
        <v/>
      </c>
      <c r="BP90" s="37" t="str">
        <f ca="1">IFERROR(+IF(BQ$29=#REF!,Milestone_Marker,IF(AND(BQ$29&gt;#REF!,BQ$29&lt;=#REF!+#REF!),$G$5,"")),"")</f>
        <v/>
      </c>
      <c r="BQ90" s="37" t="str">
        <f ca="1">IFERROR(+IF(BR$29=#REF!,Milestone_Marker,IF(AND(BR$29&gt;#REF!,BR$29&lt;=#REF!+#REF!),$G$5,"")),"")</f>
        <v/>
      </c>
      <c r="BR90" s="37" t="str">
        <f ca="1">IFERROR(+IF(BS$29=#REF!,Milestone_Marker,IF(AND(BS$29&gt;#REF!,BS$29&lt;=#REF!+#REF!),$G$5,"")),"")</f>
        <v/>
      </c>
      <c r="BS90" s="37" t="str">
        <f ca="1">IFERROR(+IF(BT$29=#REF!,Milestone_Marker,IF(AND(BT$29&gt;#REF!,BT$29&lt;=#REF!+#REF!),$G$5,"")),"")</f>
        <v/>
      </c>
      <c r="BT90" s="37" t="str">
        <f ca="1">IFERROR(+IF(BU$29=#REF!,Milestone_Marker,IF(AND(BU$29&gt;#REF!,BU$29&lt;=#REF!+#REF!),$G$5,"")),"")</f>
        <v/>
      </c>
      <c r="BU90" s="37" t="str">
        <f ca="1">IFERROR(+IF(BV$29=#REF!,Milestone_Marker,IF(AND(BV$29&gt;#REF!,BV$29&lt;=#REF!+#REF!),$G$5,"")),"")</f>
        <v/>
      </c>
      <c r="BV90" s="37" t="str">
        <f ca="1">IFERROR(+IF(BW$29=#REF!,Milestone_Marker,IF(AND(BW$29&gt;#REF!,BW$29&lt;=#REF!+#REF!),$G$5,"")),"")</f>
        <v/>
      </c>
      <c r="BW90" s="37" t="str">
        <f ca="1">IFERROR(+IF(BX$29=#REF!,Milestone_Marker,IF(AND(BX$29&gt;#REF!,BX$29&lt;=#REF!+#REF!),$G$5,"")),"")</f>
        <v/>
      </c>
      <c r="BX90" s="37" t="str">
        <f ca="1">IFERROR(+IF(BY$29=#REF!,Milestone_Marker,IF(AND(BY$29&gt;#REF!,BY$29&lt;=#REF!+#REF!),$G$5,"")),"")</f>
        <v/>
      </c>
      <c r="BY90" s="37" t="str">
        <f ca="1">IFERROR(+IF(BZ$29=#REF!,Milestone_Marker,IF(AND(BZ$29&gt;#REF!,BZ$29&lt;=#REF!+#REF!),$G$5,"")),"")</f>
        <v/>
      </c>
      <c r="BZ90" s="37" t="str">
        <f ca="1">IFERROR(+IF(CA$29=#REF!,Milestone_Marker,IF(AND(CA$29&gt;#REF!,CA$29&lt;=#REF!+#REF!),$G$5,"")),"")</f>
        <v/>
      </c>
      <c r="CA90" s="37" t="str">
        <f ca="1">IFERROR(+IF(CB$29=#REF!,Milestone_Marker,IF(AND(CB$29&gt;#REF!,CB$29&lt;=#REF!+#REF!),$G$5,"")),"")</f>
        <v/>
      </c>
      <c r="CB90" s="37" t="str">
        <f ca="1">IFERROR(+IF(CC$29=#REF!,Milestone_Marker,IF(AND(CC$29&gt;#REF!,CC$29&lt;=#REF!+#REF!),$G$5,"")),"")</f>
        <v/>
      </c>
      <c r="CC90" s="37" t="str">
        <f ca="1">IFERROR(+IF(CD$29=#REF!,Milestone_Marker,IF(AND(CD$29&gt;#REF!,CD$29&lt;=#REF!+#REF!),$G$5,"")),"")</f>
        <v/>
      </c>
      <c r="CD90" s="37" t="str">
        <f ca="1">IFERROR(+IF(CE$29=#REF!,Milestone_Marker,IF(AND(CE$29&gt;#REF!,CE$29&lt;=#REF!+#REF!),$G$5,"")),"")</f>
        <v/>
      </c>
      <c r="CE90" s="37" t="str">
        <f ca="1">IFERROR(+IF(CF$29=#REF!,Milestone_Marker,IF(AND(CF$29&gt;#REF!,CF$29&lt;=#REF!+#REF!),$G$5,"")),"")</f>
        <v/>
      </c>
      <c r="CF90" s="37" t="str">
        <f ca="1">IFERROR(+IF(CG$29=#REF!,Milestone_Marker,IF(AND(CG$29&gt;#REF!,CG$29&lt;=#REF!+#REF!),$G$5,"")),"")</f>
        <v/>
      </c>
      <c r="CG90" s="37" t="str">
        <f ca="1">IFERROR(+IF(CH$29=#REF!,Milestone_Marker,IF(AND(CH$29&gt;#REF!,CH$29&lt;=#REF!+#REF!),$G$5,"")),"")</f>
        <v/>
      </c>
      <c r="CH90" s="37" t="str">
        <f ca="1">IFERROR(+IF(CI$29=#REF!,Milestone_Marker,IF(AND(CI$29&gt;#REF!,CI$29&lt;=#REF!+#REF!),$G$5,"")),"")</f>
        <v/>
      </c>
      <c r="CI90" s="37" t="str">
        <f ca="1">IFERROR(+IF(CJ$29=#REF!,Milestone_Marker,IF(AND(CJ$29&gt;#REF!,CJ$29&lt;=#REF!+#REF!),$G$5,"")),"")</f>
        <v/>
      </c>
      <c r="CJ90" s="37" t="str">
        <f ca="1">IFERROR(+IF(CK$29=#REF!,Milestone_Marker,IF(AND(CK$29&gt;#REF!,CK$29&lt;=#REF!+#REF!),$G$5,"")),"")</f>
        <v/>
      </c>
      <c r="CK90" s="37" t="str">
        <f ca="1">IFERROR(+IF(CL$29=#REF!,Milestone_Marker,IF(AND(CL$29&gt;#REF!,CL$29&lt;=#REF!+#REF!),$G$5,"")),"")</f>
        <v/>
      </c>
      <c r="CL90" s="37" t="str">
        <f ca="1">IFERROR(+IF(CM$29=#REF!,Milestone_Marker,IF(AND(CM$29&gt;#REF!,CM$29&lt;=#REF!+#REF!),$G$5,"")),"")</f>
        <v/>
      </c>
      <c r="CM90" s="37" t="str">
        <f ca="1">IFERROR(+IF(CN$29=#REF!,Milestone_Marker,IF(AND(CN$29&gt;#REF!,CN$29&lt;=#REF!+#REF!),$G$5,"")),"")</f>
        <v/>
      </c>
      <c r="CN90" s="37" t="str">
        <f ca="1">IFERROR(+IF(CO$29=#REF!,Milestone_Marker,IF(AND(CO$29&gt;#REF!,CO$29&lt;=#REF!+#REF!),$G$5,"")),"")</f>
        <v/>
      </c>
      <c r="CO90" s="37" t="str">
        <f ca="1">IFERROR(+IF(CP$29=#REF!,Milestone_Marker,IF(AND(CP$29&gt;#REF!,CP$29&lt;=#REF!+#REF!),$G$5,"")),"")</f>
        <v/>
      </c>
      <c r="CP90" s="37" t="str">
        <f ca="1">IFERROR(+IF(CQ$29=#REF!,Milestone_Marker,IF(AND(CQ$29&gt;#REF!,CQ$29&lt;=#REF!+#REF!),$G$5,"")),"")</f>
        <v/>
      </c>
      <c r="CQ90" s="37" t="str">
        <f ca="1">IFERROR(+IF(CR$29=#REF!,Milestone_Marker,IF(AND(CR$29&gt;#REF!,CR$29&lt;=#REF!+#REF!),$G$5,"")),"")</f>
        <v/>
      </c>
      <c r="CR90" s="37" t="str">
        <f ca="1">IFERROR(+IF(CS$29=#REF!,Milestone_Marker,IF(AND(CS$29&gt;#REF!,CS$29&lt;=#REF!+#REF!),$G$5,"")),"")</f>
        <v/>
      </c>
      <c r="CS90" s="37" t="str">
        <f ca="1">IFERROR(+IF(CT$29=#REF!,Milestone_Marker,IF(AND(CT$29&gt;#REF!,CT$29&lt;=#REF!+#REF!),$G$5,"")),"")</f>
        <v/>
      </c>
      <c r="CT90" s="37" t="str">
        <f ca="1">IFERROR(+IF(CU$29=#REF!,Milestone_Marker,IF(AND(CU$29&gt;#REF!,CU$29&lt;=#REF!+#REF!),$G$5,"")),"")</f>
        <v/>
      </c>
    </row>
    <row r="91" spans="1:125" ht="30" customHeight="1">
      <c r="P91" s="37" t="str">
        <f ca="1">IFERROR(+IF(Q$29=#REF!,Milestone_Marker,IF(AND(Q$29&gt;#REF!,Q$29&lt;=#REF!+#REF!),$G$5,"")),"")</f>
        <v/>
      </c>
      <c r="Q91" s="37" t="str">
        <f ca="1">IFERROR(+IF(R$29=#REF!,Milestone_Marker,IF(AND(R$29&gt;#REF!,R$29&lt;=#REF!+#REF!),$G$5,"")),"")</f>
        <v/>
      </c>
      <c r="R91" s="37" t="str">
        <f ca="1">IFERROR(+IF(S$29=#REF!,Milestone_Marker,IF(AND(S$29&gt;#REF!,S$29&lt;=#REF!+#REF!),$G$5,"")),"")</f>
        <v/>
      </c>
      <c r="S91" s="37" t="str">
        <f ca="1">IFERROR(+IF(T$29=#REF!,Milestone_Marker,IF(AND(T$29&gt;#REF!,T$29&lt;=#REF!+#REF!),$G$5,"")),"")</f>
        <v/>
      </c>
      <c r="T91" s="37" t="str">
        <f ca="1">IFERROR(+IF(U$29=#REF!,Milestone_Marker,IF(AND(U$29&gt;#REF!,U$29&lt;=#REF!+#REF!),$G$5,"")),"")</f>
        <v/>
      </c>
      <c r="U91" s="37" t="str">
        <f ca="1">IFERROR(+IF(V$29=#REF!,Milestone_Marker,IF(AND(V$29&gt;#REF!,V$29&lt;=#REF!+#REF!),$G$5,"")),"")</f>
        <v/>
      </c>
      <c r="V91" s="37" t="str">
        <f ca="1">IFERROR(+IF(W$29=#REF!,Milestone_Marker,IF(AND(W$29&gt;#REF!,W$29&lt;=#REF!+#REF!),$G$5,"")),"")</f>
        <v/>
      </c>
      <c r="W91" s="37" t="str">
        <f ca="1">IFERROR(+IF(X$29=#REF!,Milestone_Marker,IF(AND(X$29&gt;#REF!,X$29&lt;=#REF!+#REF!),$G$5,"")),"")</f>
        <v/>
      </c>
      <c r="X91" s="37" t="str">
        <f ca="1">IFERROR(+IF(Y$29=#REF!,Milestone_Marker,IF(AND(Y$29&gt;#REF!,Y$29&lt;=#REF!+#REF!),$G$5,"")),"")</f>
        <v/>
      </c>
      <c r="Y91" s="37" t="str">
        <f ca="1">IFERROR(+IF(Z$29=#REF!,Milestone_Marker,IF(AND(Z$29&gt;#REF!,Z$29&lt;=#REF!+#REF!),$G$5,"")),"")</f>
        <v/>
      </c>
      <c r="Z91" s="37" t="str">
        <f ca="1">IFERROR(+IF(AA$29=#REF!,Milestone_Marker,IF(AND(AA$29&gt;#REF!,AA$29&lt;=#REF!+#REF!),$G$5,"")),"")</f>
        <v/>
      </c>
      <c r="AA91" s="37" t="str">
        <f ca="1">IFERROR(+IF(AB$29=#REF!,Milestone_Marker,IF(AND(AB$29&gt;#REF!,AB$29&lt;=#REF!+#REF!),$G$5,"")),"")</f>
        <v/>
      </c>
      <c r="AB91" s="37" t="str">
        <f ca="1">IFERROR(+IF(AC$29=#REF!,Milestone_Marker,IF(AND(AC$29&gt;#REF!,AC$29&lt;=#REF!+#REF!),$G$5,"")),"")</f>
        <v/>
      </c>
      <c r="AC91" s="37" t="str">
        <f ca="1">IFERROR(+IF(AD$29=#REF!,Milestone_Marker,IF(AND(AD$29&gt;#REF!,AD$29&lt;=#REF!+#REF!),$G$5,"")),"")</f>
        <v/>
      </c>
      <c r="AD91" s="37" t="str">
        <f ca="1">IFERROR(+IF(AE$29=#REF!,Milestone_Marker,IF(AND(AE$29&gt;#REF!,AE$29&lt;=#REF!+#REF!),$G$5,"")),"")</f>
        <v/>
      </c>
      <c r="AE91" s="37" t="str">
        <f ca="1">IFERROR(+IF(AF$29=#REF!,Milestone_Marker,IF(AND(AF$29&gt;#REF!,AF$29&lt;=#REF!+#REF!),$G$5,"")),"")</f>
        <v/>
      </c>
      <c r="AF91" s="37" t="str">
        <f ca="1">IFERROR(+IF(AG$29=#REF!,Milestone_Marker,IF(AND(AG$29&gt;#REF!,AG$29&lt;=#REF!+#REF!),$G$5,"")),"")</f>
        <v/>
      </c>
      <c r="AG91" s="37" t="str">
        <f ca="1">IFERROR(+IF(AH$29=#REF!,Milestone_Marker,IF(AND(AH$29&gt;#REF!,AH$29&lt;=#REF!+#REF!),$G$5,"")),"")</f>
        <v/>
      </c>
      <c r="AH91" s="37" t="str">
        <f ca="1">IFERROR(+IF(AI$29=#REF!,Milestone_Marker,IF(AND(AI$29&gt;#REF!,AI$29&lt;=#REF!+#REF!),$G$5,"")),"")</f>
        <v/>
      </c>
      <c r="AI91" s="37" t="str">
        <f ca="1">IFERROR(+IF(AJ$29=#REF!,Milestone_Marker,IF(AND(AJ$29&gt;#REF!,AJ$29&lt;=#REF!+#REF!),$G$5,"")),"")</f>
        <v/>
      </c>
      <c r="AJ91" s="37" t="str">
        <f ca="1">IFERROR(+IF(AK$29=#REF!,Milestone_Marker,IF(AND(AK$29&gt;#REF!,AK$29&lt;=#REF!+#REF!),$G$5,"")),"")</f>
        <v/>
      </c>
      <c r="AK91" s="37" t="str">
        <f ca="1">IFERROR(+IF(AL$29=#REF!,Milestone_Marker,IF(AND(AL$29&gt;#REF!,AL$29&lt;=#REF!+#REF!),$G$5,"")),"")</f>
        <v/>
      </c>
      <c r="AL91" s="37" t="str">
        <f ca="1">IFERROR(+IF(AM$29=#REF!,Milestone_Marker,IF(AND(AM$29&gt;#REF!,AM$29&lt;=#REF!+#REF!),$G$5,"")),"")</f>
        <v/>
      </c>
      <c r="AM91" s="37" t="str">
        <f ca="1">IFERROR(+IF(AN$29=#REF!,Milestone_Marker,IF(AND(AN$29&gt;#REF!,AN$29&lt;=#REF!+#REF!),$G$5,"")),"")</f>
        <v/>
      </c>
      <c r="AN91" s="37" t="str">
        <f ca="1">IFERROR(+IF(AO$29=#REF!,Milestone_Marker,IF(AND(AO$29&gt;#REF!,AO$29&lt;=#REF!+#REF!),$G$5,"")),"")</f>
        <v/>
      </c>
      <c r="AO91" s="37" t="str">
        <f ca="1">IFERROR(+IF(AP$29=#REF!,Milestone_Marker,IF(AND(AP$29&gt;#REF!,AP$29&lt;=#REF!+#REF!),$G$5,"")),"")</f>
        <v/>
      </c>
      <c r="AP91" s="37" t="str">
        <f ca="1">IFERROR(+IF(AQ$29=#REF!,Milestone_Marker,IF(AND(AQ$29&gt;#REF!,AQ$29&lt;=#REF!+#REF!),$G$5,"")),"")</f>
        <v/>
      </c>
      <c r="AQ91" s="37" t="str">
        <f ca="1">IFERROR(+IF(AR$29=#REF!,Milestone_Marker,IF(AND(AR$29&gt;#REF!,AR$29&lt;=#REF!+#REF!),$G$5,"")),"")</f>
        <v/>
      </c>
      <c r="AR91" s="37" t="str">
        <f ca="1">IFERROR(+IF(AS$29=#REF!,Milestone_Marker,IF(AND(AS$29&gt;#REF!,AS$29&lt;=#REF!+#REF!),$G$5,"")),"")</f>
        <v/>
      </c>
      <c r="AS91" s="37" t="str">
        <f ca="1">IFERROR(+IF(AT$29=#REF!,Milestone_Marker,IF(AND(AT$29&gt;#REF!,AT$29&lt;=#REF!+#REF!),$G$5,"")),"")</f>
        <v/>
      </c>
      <c r="AT91" s="37" t="str">
        <f ca="1">IFERROR(+IF(AU$29=#REF!,Milestone_Marker,IF(AND(AU$29&gt;#REF!,AU$29&lt;=#REF!+#REF!),$G$5,"")),"")</f>
        <v/>
      </c>
      <c r="AU91" s="37" t="str">
        <f ca="1">IFERROR(+IF(AV$29=#REF!,Milestone_Marker,IF(AND(AV$29&gt;#REF!,AV$29&lt;=#REF!+#REF!),$G$5,"")),"")</f>
        <v/>
      </c>
      <c r="AV91" s="37" t="str">
        <f ca="1">IFERROR(+IF(AW$29=#REF!,Milestone_Marker,IF(AND(AW$29&gt;#REF!,AW$29&lt;=#REF!+#REF!),$G$5,"")),"")</f>
        <v/>
      </c>
      <c r="AW91" s="37" t="str">
        <f ca="1">IFERROR(+IF(AX$29=#REF!,Milestone_Marker,IF(AND(AX$29&gt;#REF!,AX$29&lt;=#REF!+#REF!),$G$5,"")),"")</f>
        <v/>
      </c>
      <c r="AX91" s="37" t="str">
        <f ca="1">IFERROR(+IF(AY$29=#REF!,Milestone_Marker,IF(AND(AY$29&gt;#REF!,AY$29&lt;=#REF!+#REF!),$G$5,"")),"")</f>
        <v/>
      </c>
      <c r="AY91" s="37" t="str">
        <f ca="1">IFERROR(+IF(AZ$29=#REF!,Milestone_Marker,IF(AND(AZ$29&gt;#REF!,AZ$29&lt;=#REF!+#REF!),$G$5,"")),"")</f>
        <v/>
      </c>
      <c r="AZ91" s="37" t="str">
        <f ca="1">IFERROR(+IF(BA$29=#REF!,Milestone_Marker,IF(AND(BA$29&gt;#REF!,BA$29&lt;=#REF!+#REF!),$G$5,"")),"")</f>
        <v/>
      </c>
      <c r="BA91" s="37" t="str">
        <f ca="1">IFERROR(+IF(BB$29=#REF!,Milestone_Marker,IF(AND(BB$29&gt;#REF!,BB$29&lt;=#REF!+#REF!),$G$5,"")),"")</f>
        <v/>
      </c>
      <c r="BB91" s="37" t="str">
        <f ca="1">IFERROR(+IF(BC$29=#REF!,Milestone_Marker,IF(AND(BC$29&gt;#REF!,BC$29&lt;=#REF!+#REF!),$G$5,"")),"")</f>
        <v/>
      </c>
      <c r="BC91" s="37" t="str">
        <f ca="1">IFERROR(+IF(BD$29=#REF!,Milestone_Marker,IF(AND(BD$29&gt;#REF!,BD$29&lt;=#REF!+#REF!),$G$5,"")),"")</f>
        <v/>
      </c>
      <c r="BD91" s="37" t="str">
        <f ca="1">IFERROR(+IF(BE$29=#REF!,Milestone_Marker,IF(AND(BE$29&gt;#REF!,BE$29&lt;=#REF!+#REF!),$G$5,"")),"")</f>
        <v/>
      </c>
      <c r="BE91" s="37" t="str">
        <f ca="1">IFERROR(+IF(BF$29=#REF!,Milestone_Marker,IF(AND(BF$29&gt;#REF!,BF$29&lt;=#REF!+#REF!),$G$5,"")),"")</f>
        <v/>
      </c>
      <c r="BF91" s="37" t="str">
        <f ca="1">IFERROR(+IF(BG$29=#REF!,Milestone_Marker,IF(AND(BG$29&gt;#REF!,BG$29&lt;=#REF!+#REF!),$G$5,"")),"")</f>
        <v/>
      </c>
      <c r="BG91" s="37" t="str">
        <f ca="1">IFERROR(+IF(BH$29=#REF!,Milestone_Marker,IF(AND(BH$29&gt;#REF!,BH$29&lt;=#REF!+#REF!),$G$5,"")),"")</f>
        <v/>
      </c>
      <c r="BH91" s="37" t="str">
        <f ca="1">IFERROR(+IF(BI$29=#REF!,Milestone_Marker,IF(AND(BI$29&gt;#REF!,BI$29&lt;=#REF!+#REF!),$G$5,"")),"")</f>
        <v/>
      </c>
      <c r="BI91" s="37" t="str">
        <f ca="1">IFERROR(+IF(BJ$29=#REF!,Milestone_Marker,IF(AND(BJ$29&gt;#REF!,BJ$29&lt;=#REF!+#REF!),$G$5,"")),"")</f>
        <v/>
      </c>
      <c r="BJ91" s="37" t="str">
        <f ca="1">IFERROR(+IF(BK$29=#REF!,Milestone_Marker,IF(AND(BK$29&gt;#REF!,BK$29&lt;=#REF!+#REF!),$G$5,"")),"")</f>
        <v/>
      </c>
      <c r="BK91" s="37" t="str">
        <f ca="1">IFERROR(+IF(BL$29=#REF!,Milestone_Marker,IF(AND(BL$29&gt;#REF!,BL$29&lt;=#REF!+#REF!),$G$5,"")),"")</f>
        <v/>
      </c>
      <c r="BL91" s="37" t="str">
        <f ca="1">IFERROR(+IF(BM$29=#REF!,Milestone_Marker,IF(AND(BM$29&gt;#REF!,BM$29&lt;=#REF!+#REF!),$G$5,"")),"")</f>
        <v/>
      </c>
      <c r="BM91" s="37" t="str">
        <f ca="1">IFERROR(+IF(BN$29=#REF!,Milestone_Marker,IF(AND(BN$29&gt;#REF!,BN$29&lt;=#REF!+#REF!),$G$5,"")),"")</f>
        <v/>
      </c>
      <c r="BN91" s="37" t="str">
        <f ca="1">IFERROR(+IF(BO$29=#REF!,Milestone_Marker,IF(AND(BO$29&gt;#REF!,BO$29&lt;=#REF!+#REF!),$G$5,"")),"")</f>
        <v/>
      </c>
      <c r="BO91" s="37" t="str">
        <f ca="1">IFERROR(+IF(BP$29=#REF!,Milestone_Marker,IF(AND(BP$29&gt;#REF!,BP$29&lt;=#REF!+#REF!),$G$5,"")),"")</f>
        <v/>
      </c>
      <c r="BP91" s="37" t="str">
        <f ca="1">IFERROR(+IF(BQ$29=#REF!,Milestone_Marker,IF(AND(BQ$29&gt;#REF!,BQ$29&lt;=#REF!+#REF!),$G$5,"")),"")</f>
        <v/>
      </c>
      <c r="BQ91" s="37" t="str">
        <f ca="1">IFERROR(+IF(BR$29=#REF!,Milestone_Marker,IF(AND(BR$29&gt;#REF!,BR$29&lt;=#REF!+#REF!),$G$5,"")),"")</f>
        <v/>
      </c>
      <c r="BR91" s="37" t="str">
        <f ca="1">IFERROR(+IF(BS$29=#REF!,Milestone_Marker,IF(AND(BS$29&gt;#REF!,BS$29&lt;=#REF!+#REF!),$G$5,"")),"")</f>
        <v/>
      </c>
      <c r="BS91" s="37" t="str">
        <f ca="1">IFERROR(+IF(BT$29=#REF!,Milestone_Marker,IF(AND(BT$29&gt;#REF!,BT$29&lt;=#REF!+#REF!),$G$5,"")),"")</f>
        <v/>
      </c>
      <c r="BT91" s="37" t="str">
        <f ca="1">IFERROR(+IF(BU$29=#REF!,Milestone_Marker,IF(AND(BU$29&gt;#REF!,BU$29&lt;=#REF!+#REF!),$G$5,"")),"")</f>
        <v/>
      </c>
      <c r="BU91" s="37" t="str">
        <f ca="1">IFERROR(+IF(BV$29=#REF!,Milestone_Marker,IF(AND(BV$29&gt;#REF!,BV$29&lt;=#REF!+#REF!),$G$5,"")),"")</f>
        <v/>
      </c>
      <c r="BV91" s="37" t="str">
        <f ca="1">IFERROR(+IF(BW$29=#REF!,Milestone_Marker,IF(AND(BW$29&gt;#REF!,BW$29&lt;=#REF!+#REF!),$G$5,"")),"")</f>
        <v/>
      </c>
      <c r="BW91" s="37" t="str">
        <f ca="1">IFERROR(+IF(BX$29=#REF!,Milestone_Marker,IF(AND(BX$29&gt;#REF!,BX$29&lt;=#REF!+#REF!),$G$5,"")),"")</f>
        <v/>
      </c>
      <c r="BX91" s="37" t="str">
        <f ca="1">IFERROR(+IF(BY$29=#REF!,Milestone_Marker,IF(AND(BY$29&gt;#REF!,BY$29&lt;=#REF!+#REF!),$G$5,"")),"")</f>
        <v/>
      </c>
      <c r="BY91" s="37" t="str">
        <f ca="1">IFERROR(+IF(BZ$29=#REF!,Milestone_Marker,IF(AND(BZ$29&gt;#REF!,BZ$29&lt;=#REF!+#REF!),$G$5,"")),"")</f>
        <v/>
      </c>
      <c r="BZ91" s="37" t="str">
        <f ca="1">IFERROR(+IF(CA$29=#REF!,Milestone_Marker,IF(AND(CA$29&gt;#REF!,CA$29&lt;=#REF!+#REF!),$G$5,"")),"")</f>
        <v/>
      </c>
      <c r="CA91" s="37" t="str">
        <f ca="1">IFERROR(+IF(CB$29=#REF!,Milestone_Marker,IF(AND(CB$29&gt;#REF!,CB$29&lt;=#REF!+#REF!),$G$5,"")),"")</f>
        <v/>
      </c>
      <c r="CB91" s="37" t="str">
        <f ca="1">IFERROR(+IF(CC$29=#REF!,Milestone_Marker,IF(AND(CC$29&gt;#REF!,CC$29&lt;=#REF!+#REF!),$G$5,"")),"")</f>
        <v/>
      </c>
      <c r="CC91" s="37" t="str">
        <f ca="1">IFERROR(+IF(CD$29=#REF!,Milestone_Marker,IF(AND(CD$29&gt;#REF!,CD$29&lt;=#REF!+#REF!),$G$5,"")),"")</f>
        <v/>
      </c>
      <c r="CD91" s="37" t="str">
        <f ca="1">IFERROR(+IF(CE$29=#REF!,Milestone_Marker,IF(AND(CE$29&gt;#REF!,CE$29&lt;=#REF!+#REF!),$G$5,"")),"")</f>
        <v/>
      </c>
      <c r="CE91" s="37" t="str">
        <f ca="1">IFERROR(+IF(CF$29=#REF!,Milestone_Marker,IF(AND(CF$29&gt;#REF!,CF$29&lt;=#REF!+#REF!),$G$5,"")),"")</f>
        <v/>
      </c>
      <c r="CF91" s="37" t="str">
        <f ca="1">IFERROR(+IF(CG$29=#REF!,Milestone_Marker,IF(AND(CG$29&gt;#REF!,CG$29&lt;=#REF!+#REF!),$G$5,"")),"")</f>
        <v/>
      </c>
      <c r="CG91" s="37" t="str">
        <f ca="1">IFERROR(+IF(CH$29=#REF!,Milestone_Marker,IF(AND(CH$29&gt;#REF!,CH$29&lt;=#REF!+#REF!),$G$5,"")),"")</f>
        <v/>
      </c>
      <c r="CH91" s="37" t="str">
        <f ca="1">IFERROR(+IF(CI$29=#REF!,Milestone_Marker,IF(AND(CI$29&gt;#REF!,CI$29&lt;=#REF!+#REF!),$G$5,"")),"")</f>
        <v/>
      </c>
      <c r="CI91" s="37" t="str">
        <f ca="1">IFERROR(+IF(CJ$29=#REF!,Milestone_Marker,IF(AND(CJ$29&gt;#REF!,CJ$29&lt;=#REF!+#REF!),$G$5,"")),"")</f>
        <v/>
      </c>
      <c r="CJ91" s="37" t="str">
        <f ca="1">IFERROR(+IF(CK$29=#REF!,Milestone_Marker,IF(AND(CK$29&gt;#REF!,CK$29&lt;=#REF!+#REF!),$G$5,"")),"")</f>
        <v/>
      </c>
      <c r="CK91" s="37" t="str">
        <f ca="1">IFERROR(+IF(CL$29=#REF!,Milestone_Marker,IF(AND(CL$29&gt;#REF!,CL$29&lt;=#REF!+#REF!),$G$5,"")),"")</f>
        <v/>
      </c>
      <c r="CL91" s="37" t="str">
        <f ca="1">IFERROR(+IF(CM$29=#REF!,Milestone_Marker,IF(AND(CM$29&gt;#REF!,CM$29&lt;=#REF!+#REF!),$G$5,"")),"")</f>
        <v/>
      </c>
      <c r="CM91" s="37" t="str">
        <f ca="1">IFERROR(+IF(CN$29=#REF!,Milestone_Marker,IF(AND(CN$29&gt;#REF!,CN$29&lt;=#REF!+#REF!),$G$5,"")),"")</f>
        <v/>
      </c>
      <c r="CN91" s="37" t="str">
        <f ca="1">IFERROR(+IF(CO$29=#REF!,Milestone_Marker,IF(AND(CO$29&gt;#REF!,CO$29&lt;=#REF!+#REF!),$G$5,"")),"")</f>
        <v/>
      </c>
      <c r="CO91" s="37" t="str">
        <f ca="1">IFERROR(+IF(CP$29=#REF!,Milestone_Marker,IF(AND(CP$29&gt;#REF!,CP$29&lt;=#REF!+#REF!),$G$5,"")),"")</f>
        <v/>
      </c>
      <c r="CP91" s="37" t="str">
        <f ca="1">IFERROR(+IF(CQ$29=#REF!,Milestone_Marker,IF(AND(CQ$29&gt;#REF!,CQ$29&lt;=#REF!+#REF!),$G$5,"")),"")</f>
        <v/>
      </c>
      <c r="CQ91" s="37" t="str">
        <f ca="1">IFERROR(+IF(CR$29=#REF!,Milestone_Marker,IF(AND(CR$29&gt;#REF!,CR$29&lt;=#REF!+#REF!),$G$5,"")),"")</f>
        <v/>
      </c>
      <c r="CR91" s="37" t="str">
        <f ca="1">IFERROR(+IF(CS$29=#REF!,Milestone_Marker,IF(AND(CS$29&gt;#REF!,CS$29&lt;=#REF!+#REF!),$G$5,"")),"")</f>
        <v/>
      </c>
      <c r="CS91" s="37" t="str">
        <f ca="1">IFERROR(+IF(CT$29=#REF!,Milestone_Marker,IF(AND(CT$29&gt;#REF!,CT$29&lt;=#REF!+#REF!),$G$5,"")),"")</f>
        <v/>
      </c>
      <c r="CT91" s="37" t="str">
        <f ca="1">IFERROR(+IF(CU$29=#REF!,Milestone_Marker,IF(AND(CU$29&gt;#REF!,CU$29&lt;=#REF!+#REF!),$G$5,"")),"")</f>
        <v/>
      </c>
    </row>
    <row r="92" spans="1:125" ht="30" customHeight="1">
      <c r="P92" s="37" t="str">
        <f ca="1">IFERROR(+IF(Q$29=#REF!,Milestone_Marker,IF(AND(Q$29&gt;#REF!,Q$29&lt;=#REF!+#REF!),$G$5,"")),"")</f>
        <v/>
      </c>
      <c r="Q92" s="37" t="str">
        <f ca="1">IFERROR(+IF(R$29=#REF!,Milestone_Marker,IF(AND(R$29&gt;#REF!,R$29&lt;=#REF!+#REF!),$G$5,"")),"")</f>
        <v/>
      </c>
      <c r="R92" s="37" t="str">
        <f ca="1">IFERROR(+IF(S$29=#REF!,Milestone_Marker,IF(AND(S$29&gt;#REF!,S$29&lt;=#REF!+#REF!),$G$5,"")),"")</f>
        <v/>
      </c>
      <c r="S92" s="37" t="str">
        <f ca="1">IFERROR(+IF(T$29=#REF!,Milestone_Marker,IF(AND(T$29&gt;#REF!,T$29&lt;=#REF!+#REF!),$G$5,"")),"")</f>
        <v/>
      </c>
      <c r="T92" s="37" t="str">
        <f ca="1">IFERROR(+IF(U$29=#REF!,Milestone_Marker,IF(AND(U$29&gt;#REF!,U$29&lt;=#REF!+#REF!),$G$5,"")),"")</f>
        <v/>
      </c>
      <c r="U92" s="37" t="str">
        <f ca="1">IFERROR(+IF(V$29=#REF!,Milestone_Marker,IF(AND(V$29&gt;#REF!,V$29&lt;=#REF!+#REF!),$G$5,"")),"")</f>
        <v/>
      </c>
      <c r="V92" s="37" t="str">
        <f ca="1">IFERROR(+IF(W$29=#REF!,Milestone_Marker,IF(AND(W$29&gt;#REF!,W$29&lt;=#REF!+#REF!),$G$5,"")),"")</f>
        <v/>
      </c>
      <c r="W92" s="37" t="str">
        <f ca="1">IFERROR(+IF(X$29=#REF!,Milestone_Marker,IF(AND(X$29&gt;#REF!,X$29&lt;=#REF!+#REF!),$G$5,"")),"")</f>
        <v/>
      </c>
      <c r="X92" s="37" t="str">
        <f ca="1">IFERROR(+IF(Y$29=#REF!,Milestone_Marker,IF(AND(Y$29&gt;#REF!,Y$29&lt;=#REF!+#REF!),$G$5,"")),"")</f>
        <v/>
      </c>
      <c r="Y92" s="37" t="str">
        <f ca="1">IFERROR(+IF(Z$29=#REF!,Milestone_Marker,IF(AND(Z$29&gt;#REF!,Z$29&lt;=#REF!+#REF!),$G$5,"")),"")</f>
        <v/>
      </c>
      <c r="Z92" s="37" t="str">
        <f ca="1">IFERROR(+IF(AA$29=#REF!,Milestone_Marker,IF(AND(AA$29&gt;#REF!,AA$29&lt;=#REF!+#REF!),$G$5,"")),"")</f>
        <v/>
      </c>
      <c r="AA92" s="37" t="str">
        <f ca="1">IFERROR(+IF(AB$29=#REF!,Milestone_Marker,IF(AND(AB$29&gt;#REF!,AB$29&lt;=#REF!+#REF!),$G$5,"")),"")</f>
        <v/>
      </c>
      <c r="AB92" s="37" t="str">
        <f ca="1">IFERROR(+IF(AC$29=#REF!,Milestone_Marker,IF(AND(AC$29&gt;#REF!,AC$29&lt;=#REF!+#REF!),$G$5,"")),"")</f>
        <v/>
      </c>
      <c r="AC92" s="37" t="str">
        <f ca="1">IFERROR(+IF(AD$29=#REF!,Milestone_Marker,IF(AND(AD$29&gt;#REF!,AD$29&lt;=#REF!+#REF!),$G$5,"")),"")</f>
        <v/>
      </c>
      <c r="AD92" s="37" t="str">
        <f ca="1">IFERROR(+IF(AE$29=#REF!,Milestone_Marker,IF(AND(AE$29&gt;#REF!,AE$29&lt;=#REF!+#REF!),$G$5,"")),"")</f>
        <v/>
      </c>
      <c r="AE92" s="37" t="str">
        <f ca="1">IFERROR(+IF(AF$29=#REF!,Milestone_Marker,IF(AND(AF$29&gt;#REF!,AF$29&lt;=#REF!+#REF!),$G$5,"")),"")</f>
        <v/>
      </c>
      <c r="AF92" s="37" t="str">
        <f ca="1">IFERROR(+IF(AG$29=#REF!,Milestone_Marker,IF(AND(AG$29&gt;#REF!,AG$29&lt;=#REF!+#REF!),$G$5,"")),"")</f>
        <v/>
      </c>
      <c r="AG92" s="37" t="str">
        <f ca="1">IFERROR(+IF(AH$29=#REF!,Milestone_Marker,IF(AND(AH$29&gt;#REF!,AH$29&lt;=#REF!+#REF!),$G$5,"")),"")</f>
        <v/>
      </c>
      <c r="AH92" s="37" t="str">
        <f ca="1">IFERROR(+IF(AI$29=#REF!,Milestone_Marker,IF(AND(AI$29&gt;#REF!,AI$29&lt;=#REF!+#REF!),$G$5,"")),"")</f>
        <v/>
      </c>
      <c r="AI92" s="37" t="str">
        <f ca="1">IFERROR(+IF(AJ$29=#REF!,Milestone_Marker,IF(AND(AJ$29&gt;#REF!,AJ$29&lt;=#REF!+#REF!),$G$5,"")),"")</f>
        <v/>
      </c>
      <c r="AJ92" s="37" t="str">
        <f ca="1">IFERROR(+IF(AK$29=#REF!,Milestone_Marker,IF(AND(AK$29&gt;#REF!,AK$29&lt;=#REF!+#REF!),$G$5,"")),"")</f>
        <v/>
      </c>
      <c r="AK92" s="37" t="str">
        <f ca="1">IFERROR(+IF(AL$29=#REF!,Milestone_Marker,IF(AND(AL$29&gt;#REF!,AL$29&lt;=#REF!+#REF!),$G$5,"")),"")</f>
        <v/>
      </c>
      <c r="AL92" s="37" t="str">
        <f ca="1">IFERROR(+IF(AM$29=#REF!,Milestone_Marker,IF(AND(AM$29&gt;#REF!,AM$29&lt;=#REF!+#REF!),$G$5,"")),"")</f>
        <v/>
      </c>
      <c r="AM92" s="37" t="str">
        <f ca="1">IFERROR(+IF(AN$29=#REF!,Milestone_Marker,IF(AND(AN$29&gt;#REF!,AN$29&lt;=#REF!+#REF!),$G$5,"")),"")</f>
        <v/>
      </c>
      <c r="AN92" s="37" t="str">
        <f ca="1">IFERROR(+IF(AO$29=#REF!,Milestone_Marker,IF(AND(AO$29&gt;#REF!,AO$29&lt;=#REF!+#REF!),$G$5,"")),"")</f>
        <v/>
      </c>
      <c r="AO92" s="37" t="str">
        <f ca="1">IFERROR(+IF(AP$29=#REF!,Milestone_Marker,IF(AND(AP$29&gt;#REF!,AP$29&lt;=#REF!+#REF!),$G$5,"")),"")</f>
        <v/>
      </c>
      <c r="AP92" s="37" t="str">
        <f ca="1">IFERROR(+IF(AQ$29=#REF!,Milestone_Marker,IF(AND(AQ$29&gt;#REF!,AQ$29&lt;=#REF!+#REF!),$G$5,"")),"")</f>
        <v/>
      </c>
      <c r="AQ92" s="37" t="str">
        <f ca="1">IFERROR(+IF(AR$29=#REF!,Milestone_Marker,IF(AND(AR$29&gt;#REF!,AR$29&lt;=#REF!+#REF!),$G$5,"")),"")</f>
        <v/>
      </c>
      <c r="AR92" s="37" t="str">
        <f ca="1">IFERROR(+IF(AS$29=#REF!,Milestone_Marker,IF(AND(AS$29&gt;#REF!,AS$29&lt;=#REF!+#REF!),$G$5,"")),"")</f>
        <v/>
      </c>
      <c r="AS92" s="37" t="str">
        <f ca="1">IFERROR(+IF(AT$29=#REF!,Milestone_Marker,IF(AND(AT$29&gt;#REF!,AT$29&lt;=#REF!+#REF!),$G$5,"")),"")</f>
        <v/>
      </c>
      <c r="AT92" s="37" t="str">
        <f ca="1">IFERROR(+IF(AU$29=#REF!,Milestone_Marker,IF(AND(AU$29&gt;#REF!,AU$29&lt;=#REF!+#REF!),$G$5,"")),"")</f>
        <v/>
      </c>
      <c r="AU92" s="37" t="str">
        <f ca="1">IFERROR(+IF(AV$29=#REF!,Milestone_Marker,IF(AND(AV$29&gt;#REF!,AV$29&lt;=#REF!+#REF!),$G$5,"")),"")</f>
        <v/>
      </c>
      <c r="AV92" s="37" t="str">
        <f ca="1">IFERROR(+IF(AW$29=#REF!,Milestone_Marker,IF(AND(AW$29&gt;#REF!,AW$29&lt;=#REF!+#REF!),$G$5,"")),"")</f>
        <v/>
      </c>
      <c r="AW92" s="37" t="str">
        <f ca="1">IFERROR(+IF(AX$29=#REF!,Milestone_Marker,IF(AND(AX$29&gt;#REF!,AX$29&lt;=#REF!+#REF!),$G$5,"")),"")</f>
        <v/>
      </c>
      <c r="AX92" s="37" t="str">
        <f ca="1">IFERROR(+IF(AY$29=#REF!,Milestone_Marker,IF(AND(AY$29&gt;#REF!,AY$29&lt;=#REF!+#REF!),$G$5,"")),"")</f>
        <v/>
      </c>
      <c r="AY92" s="37" t="str">
        <f ca="1">IFERROR(+IF(AZ$29=#REF!,Milestone_Marker,IF(AND(AZ$29&gt;#REF!,AZ$29&lt;=#REF!+#REF!),$G$5,"")),"")</f>
        <v/>
      </c>
      <c r="AZ92" s="37" t="str">
        <f ca="1">IFERROR(+IF(BA$29=#REF!,Milestone_Marker,IF(AND(BA$29&gt;#REF!,BA$29&lt;=#REF!+#REF!),$G$5,"")),"")</f>
        <v/>
      </c>
      <c r="BA92" s="37" t="str">
        <f ca="1">IFERROR(+IF(BB$29=#REF!,Milestone_Marker,IF(AND(BB$29&gt;#REF!,BB$29&lt;=#REF!+#REF!),$G$5,"")),"")</f>
        <v/>
      </c>
      <c r="BB92" s="37" t="str">
        <f ca="1">IFERROR(+IF(BC$29=#REF!,Milestone_Marker,IF(AND(BC$29&gt;#REF!,BC$29&lt;=#REF!+#REF!),$G$5,"")),"")</f>
        <v/>
      </c>
      <c r="BC92" s="37" t="str">
        <f ca="1">IFERROR(+IF(BD$29=#REF!,Milestone_Marker,IF(AND(BD$29&gt;#REF!,BD$29&lt;=#REF!+#REF!),$G$5,"")),"")</f>
        <v/>
      </c>
      <c r="BD92" s="37" t="str">
        <f ca="1">IFERROR(+IF(BE$29=#REF!,Milestone_Marker,IF(AND(BE$29&gt;#REF!,BE$29&lt;=#REF!+#REF!),$G$5,"")),"")</f>
        <v/>
      </c>
      <c r="BE92" s="37" t="str">
        <f ca="1">IFERROR(+IF(BF$29=#REF!,Milestone_Marker,IF(AND(BF$29&gt;#REF!,BF$29&lt;=#REF!+#REF!),$G$5,"")),"")</f>
        <v/>
      </c>
      <c r="BF92" s="37" t="str">
        <f ca="1">IFERROR(+IF(BG$29=#REF!,Milestone_Marker,IF(AND(BG$29&gt;#REF!,BG$29&lt;=#REF!+#REF!),$G$5,"")),"")</f>
        <v/>
      </c>
      <c r="BG92" s="37" t="str">
        <f ca="1">IFERROR(+IF(BH$29=#REF!,Milestone_Marker,IF(AND(BH$29&gt;#REF!,BH$29&lt;=#REF!+#REF!),$G$5,"")),"")</f>
        <v/>
      </c>
      <c r="BH92" s="37" t="str">
        <f ca="1">IFERROR(+IF(BI$29=#REF!,Milestone_Marker,IF(AND(BI$29&gt;#REF!,BI$29&lt;=#REF!+#REF!),$G$5,"")),"")</f>
        <v/>
      </c>
      <c r="BI92" s="37" t="str">
        <f ca="1">IFERROR(+IF(BJ$29=#REF!,Milestone_Marker,IF(AND(BJ$29&gt;#REF!,BJ$29&lt;=#REF!+#REF!),$G$5,"")),"")</f>
        <v/>
      </c>
      <c r="BJ92" s="37" t="str">
        <f ca="1">IFERROR(+IF(BK$29=#REF!,Milestone_Marker,IF(AND(BK$29&gt;#REF!,BK$29&lt;=#REF!+#REF!),$G$5,"")),"")</f>
        <v/>
      </c>
      <c r="BK92" s="37" t="str">
        <f ca="1">IFERROR(+IF(BL$29=#REF!,Milestone_Marker,IF(AND(BL$29&gt;#REF!,BL$29&lt;=#REF!+#REF!),$G$5,"")),"")</f>
        <v/>
      </c>
      <c r="BL92" s="37" t="str">
        <f ca="1">IFERROR(+IF(BM$29=#REF!,Milestone_Marker,IF(AND(BM$29&gt;#REF!,BM$29&lt;=#REF!+#REF!),$G$5,"")),"")</f>
        <v/>
      </c>
      <c r="BM92" s="37" t="str">
        <f ca="1">IFERROR(+IF(BN$29=#REF!,Milestone_Marker,IF(AND(BN$29&gt;#REF!,BN$29&lt;=#REF!+#REF!),$G$5,"")),"")</f>
        <v/>
      </c>
      <c r="BN92" s="37" t="str">
        <f ca="1">IFERROR(+IF(BO$29=#REF!,Milestone_Marker,IF(AND(BO$29&gt;#REF!,BO$29&lt;=#REF!+#REF!),$G$5,"")),"")</f>
        <v/>
      </c>
      <c r="BO92" s="37" t="str">
        <f ca="1">IFERROR(+IF(BP$29=#REF!,Milestone_Marker,IF(AND(BP$29&gt;#REF!,BP$29&lt;=#REF!+#REF!),$G$5,"")),"")</f>
        <v/>
      </c>
      <c r="BP92" s="37" t="str">
        <f ca="1">IFERROR(+IF(BQ$29=#REF!,Milestone_Marker,IF(AND(BQ$29&gt;#REF!,BQ$29&lt;=#REF!+#REF!),$G$5,"")),"")</f>
        <v/>
      </c>
      <c r="BQ92" s="37" t="str">
        <f ca="1">IFERROR(+IF(BR$29=#REF!,Milestone_Marker,IF(AND(BR$29&gt;#REF!,BR$29&lt;=#REF!+#REF!),$G$5,"")),"")</f>
        <v/>
      </c>
      <c r="BR92" s="37" t="str">
        <f ca="1">IFERROR(+IF(BS$29=#REF!,Milestone_Marker,IF(AND(BS$29&gt;#REF!,BS$29&lt;=#REF!+#REF!),$G$5,"")),"")</f>
        <v/>
      </c>
      <c r="BS92" s="37" t="str">
        <f ca="1">IFERROR(+IF(BT$29=#REF!,Milestone_Marker,IF(AND(BT$29&gt;#REF!,BT$29&lt;=#REF!+#REF!),$G$5,"")),"")</f>
        <v/>
      </c>
      <c r="BT92" s="37" t="str">
        <f ca="1">IFERROR(+IF(BU$29=#REF!,Milestone_Marker,IF(AND(BU$29&gt;#REF!,BU$29&lt;=#REF!+#REF!),$G$5,"")),"")</f>
        <v/>
      </c>
      <c r="BU92" s="37" t="str">
        <f ca="1">IFERROR(+IF(BV$29=#REF!,Milestone_Marker,IF(AND(BV$29&gt;#REF!,BV$29&lt;=#REF!+#REF!),$G$5,"")),"")</f>
        <v/>
      </c>
      <c r="BV92" s="37" t="str">
        <f ca="1">IFERROR(+IF(BW$29=#REF!,Milestone_Marker,IF(AND(BW$29&gt;#REF!,BW$29&lt;=#REF!+#REF!),$G$5,"")),"")</f>
        <v/>
      </c>
      <c r="BW92" s="37" t="str">
        <f ca="1">IFERROR(+IF(BX$29=#REF!,Milestone_Marker,IF(AND(BX$29&gt;#REF!,BX$29&lt;=#REF!+#REF!),$G$5,"")),"")</f>
        <v/>
      </c>
      <c r="BX92" s="37" t="str">
        <f ca="1">IFERROR(+IF(BY$29=#REF!,Milestone_Marker,IF(AND(BY$29&gt;#REF!,BY$29&lt;=#REF!+#REF!),$G$5,"")),"")</f>
        <v/>
      </c>
      <c r="BY92" s="37" t="str">
        <f ca="1">IFERROR(+IF(BZ$29=#REF!,Milestone_Marker,IF(AND(BZ$29&gt;#REF!,BZ$29&lt;=#REF!+#REF!),$G$5,"")),"")</f>
        <v/>
      </c>
      <c r="BZ92" s="37" t="str">
        <f ca="1">IFERROR(+IF(CA$29=#REF!,Milestone_Marker,IF(AND(CA$29&gt;#REF!,CA$29&lt;=#REF!+#REF!),$G$5,"")),"")</f>
        <v/>
      </c>
      <c r="CA92" s="37" t="str">
        <f ca="1">IFERROR(+IF(CB$29=#REF!,Milestone_Marker,IF(AND(CB$29&gt;#REF!,CB$29&lt;=#REF!+#REF!),$G$5,"")),"")</f>
        <v/>
      </c>
      <c r="CB92" s="37" t="str">
        <f ca="1">IFERROR(+IF(CC$29=#REF!,Milestone_Marker,IF(AND(CC$29&gt;#REF!,CC$29&lt;=#REF!+#REF!),$G$5,"")),"")</f>
        <v/>
      </c>
      <c r="CC92" s="37" t="str">
        <f ca="1">IFERROR(+IF(CD$29=#REF!,Milestone_Marker,IF(AND(CD$29&gt;#REF!,CD$29&lt;=#REF!+#REF!),$G$5,"")),"")</f>
        <v/>
      </c>
      <c r="CD92" s="37" t="str">
        <f ca="1">IFERROR(+IF(CE$29=#REF!,Milestone_Marker,IF(AND(CE$29&gt;#REF!,CE$29&lt;=#REF!+#REF!),$G$5,"")),"")</f>
        <v/>
      </c>
      <c r="CE92" s="37" t="str">
        <f ca="1">IFERROR(+IF(CF$29=#REF!,Milestone_Marker,IF(AND(CF$29&gt;#REF!,CF$29&lt;=#REF!+#REF!),$G$5,"")),"")</f>
        <v/>
      </c>
      <c r="CF92" s="37" t="str">
        <f ca="1">IFERROR(+IF(CG$29=#REF!,Milestone_Marker,IF(AND(CG$29&gt;#REF!,CG$29&lt;=#REF!+#REF!),$G$5,"")),"")</f>
        <v/>
      </c>
      <c r="CG92" s="37" t="str">
        <f ca="1">IFERROR(+IF(CH$29=#REF!,Milestone_Marker,IF(AND(CH$29&gt;#REF!,CH$29&lt;=#REF!+#REF!),$G$5,"")),"")</f>
        <v/>
      </c>
      <c r="CH92" s="37" t="str">
        <f ca="1">IFERROR(+IF(CI$29=#REF!,Milestone_Marker,IF(AND(CI$29&gt;#REF!,CI$29&lt;=#REF!+#REF!),$G$5,"")),"")</f>
        <v/>
      </c>
      <c r="CI92" s="37" t="str">
        <f ca="1">IFERROR(+IF(CJ$29=#REF!,Milestone_Marker,IF(AND(CJ$29&gt;#REF!,CJ$29&lt;=#REF!+#REF!),$G$5,"")),"")</f>
        <v/>
      </c>
      <c r="CJ92" s="37" t="str">
        <f ca="1">IFERROR(+IF(CK$29=#REF!,Milestone_Marker,IF(AND(CK$29&gt;#REF!,CK$29&lt;=#REF!+#REF!),$G$5,"")),"")</f>
        <v/>
      </c>
      <c r="CK92" s="37" t="str">
        <f ca="1">IFERROR(+IF(CL$29=#REF!,Milestone_Marker,IF(AND(CL$29&gt;#REF!,CL$29&lt;=#REF!+#REF!),$G$5,"")),"")</f>
        <v/>
      </c>
      <c r="CL92" s="37" t="str">
        <f ca="1">IFERROR(+IF(CM$29=#REF!,Milestone_Marker,IF(AND(CM$29&gt;#REF!,CM$29&lt;=#REF!+#REF!),$G$5,"")),"")</f>
        <v/>
      </c>
      <c r="CM92" s="37" t="str">
        <f ca="1">IFERROR(+IF(CN$29=#REF!,Milestone_Marker,IF(AND(CN$29&gt;#REF!,CN$29&lt;=#REF!+#REF!),$G$5,"")),"")</f>
        <v/>
      </c>
      <c r="CN92" s="37" t="str">
        <f ca="1">IFERROR(+IF(CO$29=#REF!,Milestone_Marker,IF(AND(CO$29&gt;#REF!,CO$29&lt;=#REF!+#REF!),$G$5,"")),"")</f>
        <v/>
      </c>
      <c r="CO92" s="37" t="str">
        <f ca="1">IFERROR(+IF(CP$29=#REF!,Milestone_Marker,IF(AND(CP$29&gt;#REF!,CP$29&lt;=#REF!+#REF!),$G$5,"")),"")</f>
        <v/>
      </c>
      <c r="CP92" s="37" t="str">
        <f ca="1">IFERROR(+IF(CQ$29=#REF!,Milestone_Marker,IF(AND(CQ$29&gt;#REF!,CQ$29&lt;=#REF!+#REF!),$G$5,"")),"")</f>
        <v/>
      </c>
      <c r="CQ92" s="37" t="str">
        <f ca="1">IFERROR(+IF(CR$29=#REF!,Milestone_Marker,IF(AND(CR$29&gt;#REF!,CR$29&lt;=#REF!+#REF!),$G$5,"")),"")</f>
        <v/>
      </c>
      <c r="CR92" s="37" t="str">
        <f ca="1">IFERROR(+IF(CS$29=#REF!,Milestone_Marker,IF(AND(CS$29&gt;#REF!,CS$29&lt;=#REF!+#REF!),$G$5,"")),"")</f>
        <v/>
      </c>
      <c r="CS92" s="37" t="str">
        <f ca="1">IFERROR(+IF(CT$29=#REF!,Milestone_Marker,IF(AND(CT$29&gt;#REF!,CT$29&lt;=#REF!+#REF!),$G$5,"")),"")</f>
        <v/>
      </c>
      <c r="CT92" s="37" t="str">
        <f ca="1">IFERROR(+IF(CU$29=#REF!,Milestone_Marker,IF(AND(CU$29&gt;#REF!,CU$29&lt;=#REF!+#REF!),$G$5,"")),"")</f>
        <v/>
      </c>
    </row>
    <row r="93" spans="1:125" ht="30" customHeight="1">
      <c r="P93" s="37" t="str">
        <f ca="1">IFERROR(+IF(Q$29=#REF!,Milestone_Marker,IF(AND(Q$29&gt;#REF!,Q$29&lt;=#REF!+#REF!),$G$5,"")),"")</f>
        <v/>
      </c>
      <c r="Q93" s="37" t="str">
        <f ca="1">IFERROR(+IF(R$29=#REF!,Milestone_Marker,IF(AND(R$29&gt;#REF!,R$29&lt;=#REF!+#REF!),$G$5,"")),"")</f>
        <v/>
      </c>
      <c r="R93" s="37" t="str">
        <f ca="1">IFERROR(+IF(S$29=#REF!,Milestone_Marker,IF(AND(S$29&gt;#REF!,S$29&lt;=#REF!+#REF!),$G$5,"")),"")</f>
        <v/>
      </c>
      <c r="S93" s="37" t="str">
        <f ca="1">IFERROR(+IF(T$29=#REF!,Milestone_Marker,IF(AND(T$29&gt;#REF!,T$29&lt;=#REF!+#REF!),$G$5,"")),"")</f>
        <v/>
      </c>
      <c r="T93" s="37" t="str">
        <f ca="1">IFERROR(+IF(U$29=#REF!,Milestone_Marker,IF(AND(U$29&gt;#REF!,U$29&lt;=#REF!+#REF!),$G$5,"")),"")</f>
        <v/>
      </c>
      <c r="U93" s="37" t="str">
        <f ca="1">IFERROR(+IF(V$29=#REF!,Milestone_Marker,IF(AND(V$29&gt;#REF!,V$29&lt;=#REF!+#REF!),$G$5,"")),"")</f>
        <v/>
      </c>
      <c r="V93" s="37" t="str">
        <f ca="1">IFERROR(+IF(W$29=#REF!,Milestone_Marker,IF(AND(W$29&gt;#REF!,W$29&lt;=#REF!+#REF!),$G$5,"")),"")</f>
        <v/>
      </c>
      <c r="W93" s="37" t="str">
        <f ca="1">IFERROR(+IF(X$29=#REF!,Milestone_Marker,IF(AND(X$29&gt;#REF!,X$29&lt;=#REF!+#REF!),$G$5,"")),"")</f>
        <v/>
      </c>
      <c r="X93" s="37" t="str">
        <f ca="1">IFERROR(+IF(Y$29=#REF!,Milestone_Marker,IF(AND(Y$29&gt;#REF!,Y$29&lt;=#REF!+#REF!),$G$5,"")),"")</f>
        <v/>
      </c>
      <c r="Y93" s="37" t="str">
        <f ca="1">IFERROR(+IF(Z$29=#REF!,Milestone_Marker,IF(AND(Z$29&gt;#REF!,Z$29&lt;=#REF!+#REF!),$G$5,"")),"")</f>
        <v/>
      </c>
      <c r="Z93" s="37" t="str">
        <f ca="1">IFERROR(+IF(AA$29=#REF!,Milestone_Marker,IF(AND(AA$29&gt;#REF!,AA$29&lt;=#REF!+#REF!),$G$5,"")),"")</f>
        <v/>
      </c>
      <c r="AA93" s="37" t="str">
        <f ca="1">IFERROR(+IF(AB$29=#REF!,Milestone_Marker,IF(AND(AB$29&gt;#REF!,AB$29&lt;=#REF!+#REF!),$G$5,"")),"")</f>
        <v/>
      </c>
      <c r="AB93" s="37" t="str">
        <f ca="1">IFERROR(+IF(AC$29=#REF!,Milestone_Marker,IF(AND(AC$29&gt;#REF!,AC$29&lt;=#REF!+#REF!),$G$5,"")),"")</f>
        <v/>
      </c>
      <c r="AC93" s="37" t="str">
        <f ca="1">IFERROR(+IF(AD$29=#REF!,Milestone_Marker,IF(AND(AD$29&gt;#REF!,AD$29&lt;=#REF!+#REF!),$G$5,"")),"")</f>
        <v/>
      </c>
      <c r="AD93" s="37" t="str">
        <f ca="1">IFERROR(+IF(AE$29=#REF!,Milestone_Marker,IF(AND(AE$29&gt;#REF!,AE$29&lt;=#REF!+#REF!),$G$5,"")),"")</f>
        <v/>
      </c>
      <c r="AE93" s="37" t="str">
        <f ca="1">IFERROR(+IF(AF$29=#REF!,Milestone_Marker,IF(AND(AF$29&gt;#REF!,AF$29&lt;=#REF!+#REF!),$G$5,"")),"")</f>
        <v/>
      </c>
      <c r="AF93" s="37" t="str">
        <f ca="1">IFERROR(+IF(AG$29=#REF!,Milestone_Marker,IF(AND(AG$29&gt;#REF!,AG$29&lt;=#REF!+#REF!),$G$5,"")),"")</f>
        <v/>
      </c>
      <c r="AG93" s="37" t="str">
        <f ca="1">IFERROR(+IF(AH$29=#REF!,Milestone_Marker,IF(AND(AH$29&gt;#REF!,AH$29&lt;=#REF!+#REF!),$G$5,"")),"")</f>
        <v/>
      </c>
      <c r="AH93" s="37" t="str">
        <f ca="1">IFERROR(+IF(AI$29=#REF!,Milestone_Marker,IF(AND(AI$29&gt;#REF!,AI$29&lt;=#REF!+#REF!),$G$5,"")),"")</f>
        <v/>
      </c>
      <c r="AI93" s="37" t="str">
        <f ca="1">IFERROR(+IF(AJ$29=#REF!,Milestone_Marker,IF(AND(AJ$29&gt;#REF!,AJ$29&lt;=#REF!+#REF!),$G$5,"")),"")</f>
        <v/>
      </c>
      <c r="AJ93" s="37" t="str">
        <f ca="1">IFERROR(+IF(AK$29=#REF!,Milestone_Marker,IF(AND(AK$29&gt;#REF!,AK$29&lt;=#REF!+#REF!),$G$5,"")),"")</f>
        <v/>
      </c>
      <c r="AK93" s="37" t="str">
        <f ca="1">IFERROR(+IF(AL$29=#REF!,Milestone_Marker,IF(AND(AL$29&gt;#REF!,AL$29&lt;=#REF!+#REF!),$G$5,"")),"")</f>
        <v/>
      </c>
      <c r="AL93" s="37" t="str">
        <f ca="1">IFERROR(+IF(AM$29=#REF!,Milestone_Marker,IF(AND(AM$29&gt;#REF!,AM$29&lt;=#REF!+#REF!),$G$5,"")),"")</f>
        <v/>
      </c>
      <c r="AM93" s="37" t="str">
        <f ca="1">IFERROR(+IF(AN$29=#REF!,Milestone_Marker,IF(AND(AN$29&gt;#REF!,AN$29&lt;=#REF!+#REF!),$G$5,"")),"")</f>
        <v/>
      </c>
      <c r="AN93" s="37" t="str">
        <f ca="1">IFERROR(+IF(AO$29=#REF!,Milestone_Marker,IF(AND(AO$29&gt;#REF!,AO$29&lt;=#REF!+#REF!),$G$5,"")),"")</f>
        <v/>
      </c>
      <c r="AO93" s="37" t="str">
        <f ca="1">IFERROR(+IF(AP$29=#REF!,Milestone_Marker,IF(AND(AP$29&gt;#REF!,AP$29&lt;=#REF!+#REF!),$G$5,"")),"")</f>
        <v/>
      </c>
      <c r="AP93" s="37" t="str">
        <f ca="1">IFERROR(+IF(AQ$29=#REF!,Milestone_Marker,IF(AND(AQ$29&gt;#REF!,AQ$29&lt;=#REF!+#REF!),$G$5,"")),"")</f>
        <v/>
      </c>
      <c r="AQ93" s="37" t="str">
        <f ca="1">IFERROR(+IF(AR$29=#REF!,Milestone_Marker,IF(AND(AR$29&gt;#REF!,AR$29&lt;=#REF!+#REF!),$G$5,"")),"")</f>
        <v/>
      </c>
      <c r="AR93" s="37" t="str">
        <f ca="1">IFERROR(+IF(AS$29=#REF!,Milestone_Marker,IF(AND(AS$29&gt;#REF!,AS$29&lt;=#REF!+#REF!),$G$5,"")),"")</f>
        <v/>
      </c>
      <c r="AS93" s="37" t="str">
        <f ca="1">IFERROR(+IF(AT$29=#REF!,Milestone_Marker,IF(AND(AT$29&gt;#REF!,AT$29&lt;=#REF!+#REF!),$G$5,"")),"")</f>
        <v/>
      </c>
      <c r="AT93" s="37" t="str">
        <f ca="1">IFERROR(+IF(AU$29=#REF!,Milestone_Marker,IF(AND(AU$29&gt;#REF!,AU$29&lt;=#REF!+#REF!),$G$5,"")),"")</f>
        <v/>
      </c>
      <c r="AU93" s="37" t="str">
        <f ca="1">IFERROR(+IF(AV$29=#REF!,Milestone_Marker,IF(AND(AV$29&gt;#REF!,AV$29&lt;=#REF!+#REF!),$G$5,"")),"")</f>
        <v/>
      </c>
      <c r="AV93" s="37" t="str">
        <f ca="1">IFERROR(+IF(AW$29=#REF!,Milestone_Marker,IF(AND(AW$29&gt;#REF!,AW$29&lt;=#REF!+#REF!),$G$5,"")),"")</f>
        <v/>
      </c>
      <c r="AW93" s="37" t="str">
        <f ca="1">IFERROR(+IF(AX$29=#REF!,Milestone_Marker,IF(AND(AX$29&gt;#REF!,AX$29&lt;=#REF!+#REF!),$G$5,"")),"")</f>
        <v/>
      </c>
      <c r="AX93" s="37" t="str">
        <f ca="1">IFERROR(+IF(AY$29=#REF!,Milestone_Marker,IF(AND(AY$29&gt;#REF!,AY$29&lt;=#REF!+#REF!),$G$5,"")),"")</f>
        <v/>
      </c>
      <c r="AY93" s="37" t="str">
        <f ca="1">IFERROR(+IF(AZ$29=#REF!,Milestone_Marker,IF(AND(AZ$29&gt;#REF!,AZ$29&lt;=#REF!+#REF!),$G$5,"")),"")</f>
        <v/>
      </c>
      <c r="AZ93" s="37" t="str">
        <f ca="1">IFERROR(+IF(BA$29=#REF!,Milestone_Marker,IF(AND(BA$29&gt;#REF!,BA$29&lt;=#REF!+#REF!),$G$5,"")),"")</f>
        <v/>
      </c>
      <c r="BA93" s="37" t="str">
        <f ca="1">IFERROR(+IF(BB$29=#REF!,Milestone_Marker,IF(AND(BB$29&gt;#REF!,BB$29&lt;=#REF!+#REF!),$G$5,"")),"")</f>
        <v/>
      </c>
      <c r="BB93" s="37" t="str">
        <f ca="1">IFERROR(+IF(BC$29=#REF!,Milestone_Marker,IF(AND(BC$29&gt;#REF!,BC$29&lt;=#REF!+#REF!),$G$5,"")),"")</f>
        <v/>
      </c>
      <c r="BC93" s="37" t="str">
        <f ca="1">IFERROR(+IF(BD$29=#REF!,Milestone_Marker,IF(AND(BD$29&gt;#REF!,BD$29&lt;=#REF!+#REF!),$G$5,"")),"")</f>
        <v/>
      </c>
      <c r="BD93" s="37" t="str">
        <f ca="1">IFERROR(+IF(BE$29=#REF!,Milestone_Marker,IF(AND(BE$29&gt;#REF!,BE$29&lt;=#REF!+#REF!),$G$5,"")),"")</f>
        <v/>
      </c>
      <c r="BE93" s="37" t="str">
        <f ca="1">IFERROR(+IF(BF$29=#REF!,Milestone_Marker,IF(AND(BF$29&gt;#REF!,BF$29&lt;=#REF!+#REF!),$G$5,"")),"")</f>
        <v/>
      </c>
      <c r="BF93" s="37" t="str">
        <f ca="1">IFERROR(+IF(BG$29=#REF!,Milestone_Marker,IF(AND(BG$29&gt;#REF!,BG$29&lt;=#REF!+#REF!),$G$5,"")),"")</f>
        <v/>
      </c>
      <c r="BG93" s="37" t="str">
        <f ca="1">IFERROR(+IF(BH$29=#REF!,Milestone_Marker,IF(AND(BH$29&gt;#REF!,BH$29&lt;=#REF!+#REF!),$G$5,"")),"")</f>
        <v/>
      </c>
      <c r="BH93" s="37" t="str">
        <f ca="1">IFERROR(+IF(BI$29=#REF!,Milestone_Marker,IF(AND(BI$29&gt;#REF!,BI$29&lt;=#REF!+#REF!),$G$5,"")),"")</f>
        <v/>
      </c>
      <c r="BI93" s="37" t="str">
        <f ca="1">IFERROR(+IF(BJ$29=#REF!,Milestone_Marker,IF(AND(BJ$29&gt;#REF!,BJ$29&lt;=#REF!+#REF!),$G$5,"")),"")</f>
        <v/>
      </c>
      <c r="BJ93" s="37" t="str">
        <f ca="1">IFERROR(+IF(BK$29=#REF!,Milestone_Marker,IF(AND(BK$29&gt;#REF!,BK$29&lt;=#REF!+#REF!),$G$5,"")),"")</f>
        <v/>
      </c>
      <c r="BK93" s="37" t="str">
        <f ca="1">IFERROR(+IF(BL$29=#REF!,Milestone_Marker,IF(AND(BL$29&gt;#REF!,BL$29&lt;=#REF!+#REF!),$G$5,"")),"")</f>
        <v/>
      </c>
      <c r="BL93" s="37" t="str">
        <f ca="1">IFERROR(+IF(BM$29=#REF!,Milestone_Marker,IF(AND(BM$29&gt;#REF!,BM$29&lt;=#REF!+#REF!),$G$5,"")),"")</f>
        <v/>
      </c>
      <c r="BM93" s="37" t="str">
        <f ca="1">IFERROR(+IF(BN$29=#REF!,Milestone_Marker,IF(AND(BN$29&gt;#REF!,BN$29&lt;=#REF!+#REF!),$G$5,"")),"")</f>
        <v/>
      </c>
      <c r="BN93" s="37" t="str">
        <f ca="1">IFERROR(+IF(BO$29=#REF!,Milestone_Marker,IF(AND(BO$29&gt;#REF!,BO$29&lt;=#REF!+#REF!),$G$5,"")),"")</f>
        <v/>
      </c>
      <c r="BO93" s="37" t="str">
        <f ca="1">IFERROR(+IF(BP$29=#REF!,Milestone_Marker,IF(AND(BP$29&gt;#REF!,BP$29&lt;=#REF!+#REF!),$G$5,"")),"")</f>
        <v/>
      </c>
      <c r="BP93" s="37" t="str">
        <f ca="1">IFERROR(+IF(BQ$29=#REF!,Milestone_Marker,IF(AND(BQ$29&gt;#REF!,BQ$29&lt;=#REF!+#REF!),$G$5,"")),"")</f>
        <v/>
      </c>
      <c r="BQ93" s="37" t="str">
        <f ca="1">IFERROR(+IF(BR$29=#REF!,Milestone_Marker,IF(AND(BR$29&gt;#REF!,BR$29&lt;=#REF!+#REF!),$G$5,"")),"")</f>
        <v/>
      </c>
      <c r="BR93" s="37" t="str">
        <f ca="1">IFERROR(+IF(BS$29=#REF!,Milestone_Marker,IF(AND(BS$29&gt;#REF!,BS$29&lt;=#REF!+#REF!),$G$5,"")),"")</f>
        <v/>
      </c>
      <c r="BS93" s="37" t="str">
        <f ca="1">IFERROR(+IF(BT$29=#REF!,Milestone_Marker,IF(AND(BT$29&gt;#REF!,BT$29&lt;=#REF!+#REF!),$G$5,"")),"")</f>
        <v/>
      </c>
      <c r="BT93" s="37" t="str">
        <f ca="1">IFERROR(+IF(BU$29=#REF!,Milestone_Marker,IF(AND(BU$29&gt;#REF!,BU$29&lt;=#REF!+#REF!),$G$5,"")),"")</f>
        <v/>
      </c>
      <c r="BU93" s="37" t="str">
        <f ca="1">IFERROR(+IF(BV$29=#REF!,Milestone_Marker,IF(AND(BV$29&gt;#REF!,BV$29&lt;=#REF!+#REF!),$G$5,"")),"")</f>
        <v/>
      </c>
      <c r="BV93" s="37" t="str">
        <f ca="1">IFERROR(+IF(BW$29=#REF!,Milestone_Marker,IF(AND(BW$29&gt;#REF!,BW$29&lt;=#REF!+#REF!),$G$5,"")),"")</f>
        <v/>
      </c>
      <c r="BW93" s="37" t="str">
        <f ca="1">IFERROR(+IF(BX$29=#REF!,Milestone_Marker,IF(AND(BX$29&gt;#REF!,BX$29&lt;=#REF!+#REF!),$G$5,"")),"")</f>
        <v/>
      </c>
      <c r="BX93" s="37" t="str">
        <f ca="1">IFERROR(+IF(BY$29=#REF!,Milestone_Marker,IF(AND(BY$29&gt;#REF!,BY$29&lt;=#REF!+#REF!),$G$5,"")),"")</f>
        <v/>
      </c>
      <c r="BY93" s="37" t="str">
        <f ca="1">IFERROR(+IF(BZ$29=#REF!,Milestone_Marker,IF(AND(BZ$29&gt;#REF!,BZ$29&lt;=#REF!+#REF!),$G$5,"")),"")</f>
        <v/>
      </c>
      <c r="BZ93" s="37" t="str">
        <f ca="1">IFERROR(+IF(CA$29=#REF!,Milestone_Marker,IF(AND(CA$29&gt;#REF!,CA$29&lt;=#REF!+#REF!),$G$5,"")),"")</f>
        <v/>
      </c>
      <c r="CA93" s="37" t="str">
        <f ca="1">IFERROR(+IF(CB$29=#REF!,Milestone_Marker,IF(AND(CB$29&gt;#REF!,CB$29&lt;=#REF!+#REF!),$G$5,"")),"")</f>
        <v/>
      </c>
      <c r="CB93" s="37" t="str">
        <f ca="1">IFERROR(+IF(CC$29=#REF!,Milestone_Marker,IF(AND(CC$29&gt;#REF!,CC$29&lt;=#REF!+#REF!),$G$5,"")),"")</f>
        <v/>
      </c>
      <c r="CC93" s="37" t="str">
        <f ca="1">IFERROR(+IF(CD$29=#REF!,Milestone_Marker,IF(AND(CD$29&gt;#REF!,CD$29&lt;=#REF!+#REF!),$G$5,"")),"")</f>
        <v/>
      </c>
      <c r="CD93" s="37" t="str">
        <f ca="1">IFERROR(+IF(CE$29=#REF!,Milestone_Marker,IF(AND(CE$29&gt;#REF!,CE$29&lt;=#REF!+#REF!),$G$5,"")),"")</f>
        <v/>
      </c>
      <c r="CE93" s="37" t="str">
        <f ca="1">IFERROR(+IF(CF$29=#REF!,Milestone_Marker,IF(AND(CF$29&gt;#REF!,CF$29&lt;=#REF!+#REF!),$G$5,"")),"")</f>
        <v/>
      </c>
      <c r="CF93" s="37" t="str">
        <f ca="1">IFERROR(+IF(CG$29=#REF!,Milestone_Marker,IF(AND(CG$29&gt;#REF!,CG$29&lt;=#REF!+#REF!),$G$5,"")),"")</f>
        <v/>
      </c>
      <c r="CG93" s="37" t="str">
        <f ca="1">IFERROR(+IF(CH$29=#REF!,Milestone_Marker,IF(AND(CH$29&gt;#REF!,CH$29&lt;=#REF!+#REF!),$G$5,"")),"")</f>
        <v/>
      </c>
      <c r="CH93" s="37" t="str">
        <f ca="1">IFERROR(+IF(CI$29=#REF!,Milestone_Marker,IF(AND(CI$29&gt;#REF!,CI$29&lt;=#REF!+#REF!),$G$5,"")),"")</f>
        <v/>
      </c>
      <c r="CI93" s="37" t="str">
        <f ca="1">IFERROR(+IF(CJ$29=#REF!,Milestone_Marker,IF(AND(CJ$29&gt;#REF!,CJ$29&lt;=#REF!+#REF!),$G$5,"")),"")</f>
        <v/>
      </c>
      <c r="CJ93" s="37" t="str">
        <f ca="1">IFERROR(+IF(CK$29=#REF!,Milestone_Marker,IF(AND(CK$29&gt;#REF!,CK$29&lt;=#REF!+#REF!),$G$5,"")),"")</f>
        <v/>
      </c>
      <c r="CK93" s="37" t="str">
        <f ca="1">IFERROR(+IF(CL$29=#REF!,Milestone_Marker,IF(AND(CL$29&gt;#REF!,CL$29&lt;=#REF!+#REF!),$G$5,"")),"")</f>
        <v/>
      </c>
      <c r="CL93" s="37" t="str">
        <f ca="1">IFERROR(+IF(CM$29=#REF!,Milestone_Marker,IF(AND(CM$29&gt;#REF!,CM$29&lt;=#REF!+#REF!),$G$5,"")),"")</f>
        <v/>
      </c>
      <c r="CM93" s="37" t="str">
        <f ca="1">IFERROR(+IF(CN$29=#REF!,Milestone_Marker,IF(AND(CN$29&gt;#REF!,CN$29&lt;=#REF!+#REF!),$G$5,"")),"")</f>
        <v/>
      </c>
      <c r="CN93" s="37" t="str">
        <f ca="1">IFERROR(+IF(CO$29=#REF!,Milestone_Marker,IF(AND(CO$29&gt;#REF!,CO$29&lt;=#REF!+#REF!),$G$5,"")),"")</f>
        <v/>
      </c>
      <c r="CO93" s="37" t="str">
        <f ca="1">IFERROR(+IF(CP$29=#REF!,Milestone_Marker,IF(AND(CP$29&gt;#REF!,CP$29&lt;=#REF!+#REF!),$G$5,"")),"")</f>
        <v/>
      </c>
      <c r="CP93" s="37" t="str">
        <f ca="1">IFERROR(+IF(CQ$29=#REF!,Milestone_Marker,IF(AND(CQ$29&gt;#REF!,CQ$29&lt;=#REF!+#REF!),$G$5,"")),"")</f>
        <v/>
      </c>
      <c r="CQ93" s="37" t="str">
        <f ca="1">IFERROR(+IF(CR$29=#REF!,Milestone_Marker,IF(AND(CR$29&gt;#REF!,CR$29&lt;=#REF!+#REF!),$G$5,"")),"")</f>
        <v/>
      </c>
      <c r="CR93" s="37" t="str">
        <f ca="1">IFERROR(+IF(CS$29=#REF!,Milestone_Marker,IF(AND(CS$29&gt;#REF!,CS$29&lt;=#REF!+#REF!),$G$5,"")),"")</f>
        <v/>
      </c>
      <c r="CS93" s="37" t="str">
        <f ca="1">IFERROR(+IF(CT$29=#REF!,Milestone_Marker,IF(AND(CT$29&gt;#REF!,CT$29&lt;=#REF!+#REF!),$G$5,"")),"")</f>
        <v/>
      </c>
      <c r="CT93" s="37" t="str">
        <f ca="1">IFERROR(+IF(CU$29=#REF!,Milestone_Marker,IF(AND(CU$29&gt;#REF!,CU$29&lt;=#REF!+#REF!),$G$5,"")),"")</f>
        <v/>
      </c>
    </row>
    <row r="94" spans="1:125" ht="30" customHeight="1">
      <c r="P94" s="37" t="str">
        <f ca="1">IFERROR(+IF(Q$29=#REF!,Milestone_Marker,IF(AND(Q$29&gt;#REF!,Q$29&lt;=#REF!+#REF!),$G$5,"")),"")</f>
        <v/>
      </c>
      <c r="Q94" s="37" t="str">
        <f ca="1">IFERROR(+IF(R$29=#REF!,Milestone_Marker,IF(AND(R$29&gt;#REF!,R$29&lt;=#REF!+#REF!),$G$5,"")),"")</f>
        <v/>
      </c>
      <c r="R94" s="37" t="str">
        <f ca="1">IFERROR(+IF(S$29=#REF!,Milestone_Marker,IF(AND(S$29&gt;#REF!,S$29&lt;=#REF!+#REF!),$G$5,"")),"")</f>
        <v/>
      </c>
      <c r="S94" s="37" t="str">
        <f ca="1">IFERROR(+IF(T$29=#REF!,Milestone_Marker,IF(AND(T$29&gt;#REF!,T$29&lt;=#REF!+#REF!),$G$5,"")),"")</f>
        <v/>
      </c>
      <c r="T94" s="37" t="str">
        <f ca="1">IFERROR(+IF(U$29=#REF!,Milestone_Marker,IF(AND(U$29&gt;#REF!,U$29&lt;=#REF!+#REF!),$G$5,"")),"")</f>
        <v/>
      </c>
      <c r="U94" s="37" t="str">
        <f ca="1">IFERROR(+IF(V$29=#REF!,Milestone_Marker,IF(AND(V$29&gt;#REF!,V$29&lt;=#REF!+#REF!),$G$5,"")),"")</f>
        <v/>
      </c>
      <c r="V94" s="37" t="str">
        <f ca="1">IFERROR(+IF(W$29=#REF!,Milestone_Marker,IF(AND(W$29&gt;#REF!,W$29&lt;=#REF!+#REF!),$G$5,"")),"")</f>
        <v/>
      </c>
      <c r="W94" s="37" t="str">
        <f ca="1">IFERROR(+IF(X$29=#REF!,Milestone_Marker,IF(AND(X$29&gt;#REF!,X$29&lt;=#REF!+#REF!),$G$5,"")),"")</f>
        <v/>
      </c>
      <c r="X94" s="37" t="str">
        <f ca="1">IFERROR(+IF(Y$29=#REF!,Milestone_Marker,IF(AND(Y$29&gt;#REF!,Y$29&lt;=#REF!+#REF!),$G$5,"")),"")</f>
        <v/>
      </c>
      <c r="Y94" s="37" t="str">
        <f ca="1">IFERROR(+IF(Z$29=#REF!,Milestone_Marker,IF(AND(Z$29&gt;#REF!,Z$29&lt;=#REF!+#REF!),$G$5,"")),"")</f>
        <v/>
      </c>
      <c r="Z94" s="37" t="str">
        <f ca="1">IFERROR(+IF(AA$29=#REF!,Milestone_Marker,IF(AND(AA$29&gt;#REF!,AA$29&lt;=#REF!+#REF!),$G$5,"")),"")</f>
        <v/>
      </c>
      <c r="AA94" s="37" t="str">
        <f ca="1">IFERROR(+IF(AB$29=#REF!,Milestone_Marker,IF(AND(AB$29&gt;#REF!,AB$29&lt;=#REF!+#REF!),$G$5,"")),"")</f>
        <v/>
      </c>
      <c r="AB94" s="37" t="str">
        <f ca="1">IFERROR(+IF(AC$29=#REF!,Milestone_Marker,IF(AND(AC$29&gt;#REF!,AC$29&lt;=#REF!+#REF!),$G$5,"")),"")</f>
        <v/>
      </c>
      <c r="AC94" s="37" t="str">
        <f ca="1">IFERROR(+IF(AD$29=#REF!,Milestone_Marker,IF(AND(AD$29&gt;#REF!,AD$29&lt;=#REF!+#REF!),$G$5,"")),"")</f>
        <v/>
      </c>
      <c r="AD94" s="37" t="str">
        <f ca="1">IFERROR(+IF(AE$29=#REF!,Milestone_Marker,IF(AND(AE$29&gt;#REF!,AE$29&lt;=#REF!+#REF!),$G$5,"")),"")</f>
        <v/>
      </c>
      <c r="AE94" s="37" t="str">
        <f ca="1">IFERROR(+IF(AF$29=#REF!,Milestone_Marker,IF(AND(AF$29&gt;#REF!,AF$29&lt;=#REF!+#REF!),$G$5,"")),"")</f>
        <v/>
      </c>
      <c r="AF94" s="37" t="str">
        <f ca="1">IFERROR(+IF(AG$29=#REF!,Milestone_Marker,IF(AND(AG$29&gt;#REF!,AG$29&lt;=#REF!+#REF!),$G$5,"")),"")</f>
        <v/>
      </c>
      <c r="AG94" s="37" t="str">
        <f ca="1">IFERROR(+IF(AH$29=#REF!,Milestone_Marker,IF(AND(AH$29&gt;#REF!,AH$29&lt;=#REF!+#REF!),$G$5,"")),"")</f>
        <v/>
      </c>
      <c r="AH94" s="37" t="str">
        <f ca="1">IFERROR(+IF(AI$29=#REF!,Milestone_Marker,IF(AND(AI$29&gt;#REF!,AI$29&lt;=#REF!+#REF!),$G$5,"")),"")</f>
        <v/>
      </c>
      <c r="AI94" s="37" t="str">
        <f ca="1">IFERROR(+IF(AJ$29=#REF!,Milestone_Marker,IF(AND(AJ$29&gt;#REF!,AJ$29&lt;=#REF!+#REF!),$G$5,"")),"")</f>
        <v/>
      </c>
      <c r="AJ94" s="37" t="str">
        <f ca="1">IFERROR(+IF(AK$29=#REF!,Milestone_Marker,IF(AND(AK$29&gt;#REF!,AK$29&lt;=#REF!+#REF!),$G$5,"")),"")</f>
        <v/>
      </c>
      <c r="AK94" s="37" t="str">
        <f ca="1">IFERROR(+IF(AL$29=#REF!,Milestone_Marker,IF(AND(AL$29&gt;#REF!,AL$29&lt;=#REF!+#REF!),$G$5,"")),"")</f>
        <v/>
      </c>
      <c r="AL94" s="37" t="str">
        <f ca="1">IFERROR(+IF(AM$29=#REF!,Milestone_Marker,IF(AND(AM$29&gt;#REF!,AM$29&lt;=#REF!+#REF!),$G$5,"")),"")</f>
        <v/>
      </c>
      <c r="AM94" s="37" t="str">
        <f ca="1">IFERROR(+IF(AN$29=#REF!,Milestone_Marker,IF(AND(AN$29&gt;#REF!,AN$29&lt;=#REF!+#REF!),$G$5,"")),"")</f>
        <v/>
      </c>
      <c r="AN94" s="37" t="str">
        <f ca="1">IFERROR(+IF(AO$29=#REF!,Milestone_Marker,IF(AND(AO$29&gt;#REF!,AO$29&lt;=#REF!+#REF!),$G$5,"")),"")</f>
        <v/>
      </c>
      <c r="AO94" s="37" t="str">
        <f ca="1">IFERROR(+IF(AP$29=#REF!,Milestone_Marker,IF(AND(AP$29&gt;#REF!,AP$29&lt;=#REF!+#REF!),$G$5,"")),"")</f>
        <v/>
      </c>
      <c r="AP94" s="37" t="str">
        <f ca="1">IFERROR(+IF(AQ$29=#REF!,Milestone_Marker,IF(AND(AQ$29&gt;#REF!,AQ$29&lt;=#REF!+#REF!),$G$5,"")),"")</f>
        <v/>
      </c>
      <c r="AQ94" s="37" t="str">
        <f ca="1">IFERROR(+IF(AR$29=#REF!,Milestone_Marker,IF(AND(AR$29&gt;#REF!,AR$29&lt;=#REF!+#REF!),$G$5,"")),"")</f>
        <v/>
      </c>
      <c r="AR94" s="37" t="str">
        <f ca="1">IFERROR(+IF(AS$29=#REF!,Milestone_Marker,IF(AND(AS$29&gt;#REF!,AS$29&lt;=#REF!+#REF!),$G$5,"")),"")</f>
        <v/>
      </c>
      <c r="AS94" s="37" t="str">
        <f ca="1">IFERROR(+IF(AT$29=#REF!,Milestone_Marker,IF(AND(AT$29&gt;#REF!,AT$29&lt;=#REF!+#REF!),$G$5,"")),"")</f>
        <v/>
      </c>
      <c r="AT94" s="37" t="str">
        <f ca="1">IFERROR(+IF(AU$29=#REF!,Milestone_Marker,IF(AND(AU$29&gt;#REF!,AU$29&lt;=#REF!+#REF!),$G$5,"")),"")</f>
        <v/>
      </c>
      <c r="AU94" s="37" t="str">
        <f ca="1">IFERROR(+IF(AV$29=#REF!,Milestone_Marker,IF(AND(AV$29&gt;#REF!,AV$29&lt;=#REF!+#REF!),$G$5,"")),"")</f>
        <v/>
      </c>
      <c r="AV94" s="37" t="str">
        <f ca="1">IFERROR(+IF(AW$29=#REF!,Milestone_Marker,IF(AND(AW$29&gt;#REF!,AW$29&lt;=#REF!+#REF!),$G$5,"")),"")</f>
        <v/>
      </c>
      <c r="AW94" s="37" t="str">
        <f ca="1">IFERROR(+IF(AX$29=#REF!,Milestone_Marker,IF(AND(AX$29&gt;#REF!,AX$29&lt;=#REF!+#REF!),$G$5,"")),"")</f>
        <v/>
      </c>
      <c r="AX94" s="37" t="str">
        <f ca="1">IFERROR(+IF(AY$29=#REF!,Milestone_Marker,IF(AND(AY$29&gt;#REF!,AY$29&lt;=#REF!+#REF!),$G$5,"")),"")</f>
        <v/>
      </c>
      <c r="AY94" s="37" t="str">
        <f ca="1">IFERROR(+IF(AZ$29=#REF!,Milestone_Marker,IF(AND(AZ$29&gt;#REF!,AZ$29&lt;=#REF!+#REF!),$G$5,"")),"")</f>
        <v/>
      </c>
      <c r="AZ94" s="37" t="str">
        <f ca="1">IFERROR(+IF(BA$29=#REF!,Milestone_Marker,IF(AND(BA$29&gt;#REF!,BA$29&lt;=#REF!+#REF!),$G$5,"")),"")</f>
        <v/>
      </c>
      <c r="BA94" s="37" t="str">
        <f ca="1">IFERROR(+IF(BB$29=#REF!,Milestone_Marker,IF(AND(BB$29&gt;#REF!,BB$29&lt;=#REF!+#REF!),$G$5,"")),"")</f>
        <v/>
      </c>
      <c r="BB94" s="37" t="str">
        <f ca="1">IFERROR(+IF(BC$29=#REF!,Milestone_Marker,IF(AND(BC$29&gt;#REF!,BC$29&lt;=#REF!+#REF!),$G$5,"")),"")</f>
        <v/>
      </c>
      <c r="BC94" s="37" t="str">
        <f ca="1">IFERROR(+IF(BD$29=#REF!,Milestone_Marker,IF(AND(BD$29&gt;#REF!,BD$29&lt;=#REF!+#REF!),$G$5,"")),"")</f>
        <v/>
      </c>
      <c r="BD94" s="37" t="str">
        <f ca="1">IFERROR(+IF(BE$29=#REF!,Milestone_Marker,IF(AND(BE$29&gt;#REF!,BE$29&lt;=#REF!+#REF!),$G$5,"")),"")</f>
        <v/>
      </c>
      <c r="BE94" s="37" t="str">
        <f ca="1">IFERROR(+IF(BF$29=#REF!,Milestone_Marker,IF(AND(BF$29&gt;#REF!,BF$29&lt;=#REF!+#REF!),$G$5,"")),"")</f>
        <v/>
      </c>
      <c r="BF94" s="37" t="str">
        <f ca="1">IFERROR(+IF(BG$29=#REF!,Milestone_Marker,IF(AND(BG$29&gt;#REF!,BG$29&lt;=#REF!+#REF!),$G$5,"")),"")</f>
        <v/>
      </c>
      <c r="BG94" s="37" t="str">
        <f ca="1">IFERROR(+IF(BH$29=#REF!,Milestone_Marker,IF(AND(BH$29&gt;#REF!,BH$29&lt;=#REF!+#REF!),$G$5,"")),"")</f>
        <v/>
      </c>
      <c r="BH94" s="37" t="str">
        <f ca="1">IFERROR(+IF(BI$29=#REF!,Milestone_Marker,IF(AND(BI$29&gt;#REF!,BI$29&lt;=#REF!+#REF!),$G$5,"")),"")</f>
        <v/>
      </c>
      <c r="BI94" s="37" t="str">
        <f ca="1">IFERROR(+IF(BJ$29=#REF!,Milestone_Marker,IF(AND(BJ$29&gt;#REF!,BJ$29&lt;=#REF!+#REF!),$G$5,"")),"")</f>
        <v/>
      </c>
      <c r="BJ94" s="37" t="str">
        <f ca="1">IFERROR(+IF(BK$29=#REF!,Milestone_Marker,IF(AND(BK$29&gt;#REF!,BK$29&lt;=#REF!+#REF!),$G$5,"")),"")</f>
        <v/>
      </c>
      <c r="BK94" s="37" t="str">
        <f ca="1">IFERROR(+IF(BL$29=#REF!,Milestone_Marker,IF(AND(BL$29&gt;#REF!,BL$29&lt;=#REF!+#REF!),$G$5,"")),"")</f>
        <v/>
      </c>
      <c r="BL94" s="37" t="str">
        <f ca="1">IFERROR(+IF(BM$29=#REF!,Milestone_Marker,IF(AND(BM$29&gt;#REF!,BM$29&lt;=#REF!+#REF!),$G$5,"")),"")</f>
        <v/>
      </c>
      <c r="BM94" s="37" t="str">
        <f ca="1">IFERROR(+IF(BN$29=#REF!,Milestone_Marker,IF(AND(BN$29&gt;#REF!,BN$29&lt;=#REF!+#REF!),$G$5,"")),"")</f>
        <v/>
      </c>
      <c r="BN94" s="37" t="str">
        <f ca="1">IFERROR(+IF(BO$29=#REF!,Milestone_Marker,IF(AND(BO$29&gt;#REF!,BO$29&lt;=#REF!+#REF!),$G$5,"")),"")</f>
        <v/>
      </c>
      <c r="BO94" s="37" t="str">
        <f ca="1">IFERROR(+IF(BP$29=#REF!,Milestone_Marker,IF(AND(BP$29&gt;#REF!,BP$29&lt;=#REF!+#REF!),$G$5,"")),"")</f>
        <v/>
      </c>
      <c r="BP94" s="37" t="str">
        <f ca="1">IFERROR(+IF(BQ$29=#REF!,Milestone_Marker,IF(AND(BQ$29&gt;#REF!,BQ$29&lt;=#REF!+#REF!),$G$5,"")),"")</f>
        <v/>
      </c>
      <c r="BQ94" s="37" t="str">
        <f ca="1">IFERROR(+IF(BR$29=#REF!,Milestone_Marker,IF(AND(BR$29&gt;#REF!,BR$29&lt;=#REF!+#REF!),$G$5,"")),"")</f>
        <v/>
      </c>
      <c r="BR94" s="37" t="str">
        <f ca="1">IFERROR(+IF(BS$29=#REF!,Milestone_Marker,IF(AND(BS$29&gt;#REF!,BS$29&lt;=#REF!+#REF!),$G$5,"")),"")</f>
        <v/>
      </c>
      <c r="BS94" s="37" t="str">
        <f ca="1">IFERROR(+IF(BT$29=#REF!,Milestone_Marker,IF(AND(BT$29&gt;#REF!,BT$29&lt;=#REF!+#REF!),$G$5,"")),"")</f>
        <v/>
      </c>
      <c r="BT94" s="37" t="str">
        <f ca="1">IFERROR(+IF(BU$29=#REF!,Milestone_Marker,IF(AND(BU$29&gt;#REF!,BU$29&lt;=#REF!+#REF!),$G$5,"")),"")</f>
        <v/>
      </c>
      <c r="BU94" s="37" t="str">
        <f ca="1">IFERROR(+IF(BV$29=#REF!,Milestone_Marker,IF(AND(BV$29&gt;#REF!,BV$29&lt;=#REF!+#REF!),$G$5,"")),"")</f>
        <v/>
      </c>
      <c r="BV94" s="37" t="str">
        <f ca="1">IFERROR(+IF(BW$29=#REF!,Milestone_Marker,IF(AND(BW$29&gt;#REF!,BW$29&lt;=#REF!+#REF!),$G$5,"")),"")</f>
        <v/>
      </c>
      <c r="BW94" s="37" t="str">
        <f ca="1">IFERROR(+IF(BX$29=#REF!,Milestone_Marker,IF(AND(BX$29&gt;#REF!,BX$29&lt;=#REF!+#REF!),$G$5,"")),"")</f>
        <v/>
      </c>
      <c r="BX94" s="37" t="str">
        <f ca="1">IFERROR(+IF(BY$29=#REF!,Milestone_Marker,IF(AND(BY$29&gt;#REF!,BY$29&lt;=#REF!+#REF!),$G$5,"")),"")</f>
        <v/>
      </c>
      <c r="BY94" s="37" t="str">
        <f ca="1">IFERROR(+IF(BZ$29=#REF!,Milestone_Marker,IF(AND(BZ$29&gt;#REF!,BZ$29&lt;=#REF!+#REF!),$G$5,"")),"")</f>
        <v/>
      </c>
      <c r="BZ94" s="37" t="str">
        <f ca="1">IFERROR(+IF(CA$29=#REF!,Milestone_Marker,IF(AND(CA$29&gt;#REF!,CA$29&lt;=#REF!+#REF!),$G$5,"")),"")</f>
        <v/>
      </c>
      <c r="CA94" s="37" t="str">
        <f ca="1">IFERROR(+IF(CB$29=#REF!,Milestone_Marker,IF(AND(CB$29&gt;#REF!,CB$29&lt;=#REF!+#REF!),$G$5,"")),"")</f>
        <v/>
      </c>
      <c r="CB94" s="37" t="str">
        <f ca="1">IFERROR(+IF(CC$29=#REF!,Milestone_Marker,IF(AND(CC$29&gt;#REF!,CC$29&lt;=#REF!+#REF!),$G$5,"")),"")</f>
        <v/>
      </c>
      <c r="CC94" s="37" t="str">
        <f ca="1">IFERROR(+IF(CD$29=#REF!,Milestone_Marker,IF(AND(CD$29&gt;#REF!,CD$29&lt;=#REF!+#REF!),$G$5,"")),"")</f>
        <v/>
      </c>
      <c r="CD94" s="37" t="str">
        <f ca="1">IFERROR(+IF(CE$29=#REF!,Milestone_Marker,IF(AND(CE$29&gt;#REF!,CE$29&lt;=#REF!+#REF!),$G$5,"")),"")</f>
        <v/>
      </c>
      <c r="CE94" s="37" t="str">
        <f ca="1">IFERROR(+IF(CF$29=#REF!,Milestone_Marker,IF(AND(CF$29&gt;#REF!,CF$29&lt;=#REF!+#REF!),$G$5,"")),"")</f>
        <v/>
      </c>
      <c r="CF94" s="37" t="str">
        <f ca="1">IFERROR(+IF(CG$29=#REF!,Milestone_Marker,IF(AND(CG$29&gt;#REF!,CG$29&lt;=#REF!+#REF!),$G$5,"")),"")</f>
        <v/>
      </c>
      <c r="CG94" s="37" t="str">
        <f ca="1">IFERROR(+IF(CH$29=#REF!,Milestone_Marker,IF(AND(CH$29&gt;#REF!,CH$29&lt;=#REF!+#REF!),$G$5,"")),"")</f>
        <v/>
      </c>
      <c r="CH94" s="37" t="str">
        <f ca="1">IFERROR(+IF(CI$29=#REF!,Milestone_Marker,IF(AND(CI$29&gt;#REF!,CI$29&lt;=#REF!+#REF!),$G$5,"")),"")</f>
        <v/>
      </c>
      <c r="CI94" s="37" t="str">
        <f ca="1">IFERROR(+IF(CJ$29=#REF!,Milestone_Marker,IF(AND(CJ$29&gt;#REF!,CJ$29&lt;=#REF!+#REF!),$G$5,"")),"")</f>
        <v/>
      </c>
      <c r="CJ94" s="37" t="str">
        <f ca="1">IFERROR(+IF(CK$29=#REF!,Milestone_Marker,IF(AND(CK$29&gt;#REF!,CK$29&lt;=#REF!+#REF!),$G$5,"")),"")</f>
        <v/>
      </c>
      <c r="CK94" s="37" t="str">
        <f ca="1">IFERROR(+IF(CL$29=#REF!,Milestone_Marker,IF(AND(CL$29&gt;#REF!,CL$29&lt;=#REF!+#REF!),$G$5,"")),"")</f>
        <v/>
      </c>
      <c r="CL94" s="37" t="str">
        <f ca="1">IFERROR(+IF(CM$29=#REF!,Milestone_Marker,IF(AND(CM$29&gt;#REF!,CM$29&lt;=#REF!+#REF!),$G$5,"")),"")</f>
        <v/>
      </c>
      <c r="CM94" s="37" t="str">
        <f ca="1">IFERROR(+IF(CN$29=#REF!,Milestone_Marker,IF(AND(CN$29&gt;#REF!,CN$29&lt;=#REF!+#REF!),$G$5,"")),"")</f>
        <v/>
      </c>
      <c r="CN94" s="37" t="str">
        <f ca="1">IFERROR(+IF(CO$29=#REF!,Milestone_Marker,IF(AND(CO$29&gt;#REF!,CO$29&lt;=#REF!+#REF!),$G$5,"")),"")</f>
        <v/>
      </c>
      <c r="CO94" s="37" t="str">
        <f ca="1">IFERROR(+IF(CP$29=#REF!,Milestone_Marker,IF(AND(CP$29&gt;#REF!,CP$29&lt;=#REF!+#REF!),$G$5,"")),"")</f>
        <v/>
      </c>
      <c r="CP94" s="37" t="str">
        <f ca="1">IFERROR(+IF(CQ$29=#REF!,Milestone_Marker,IF(AND(CQ$29&gt;#REF!,CQ$29&lt;=#REF!+#REF!),$G$5,"")),"")</f>
        <v/>
      </c>
      <c r="CQ94" s="37" t="str">
        <f ca="1">IFERROR(+IF(CR$29=#REF!,Milestone_Marker,IF(AND(CR$29&gt;#REF!,CR$29&lt;=#REF!+#REF!),$G$5,"")),"")</f>
        <v/>
      </c>
      <c r="CR94" s="37" t="str">
        <f ca="1">IFERROR(+IF(CS$29=#REF!,Milestone_Marker,IF(AND(CS$29&gt;#REF!,CS$29&lt;=#REF!+#REF!),$G$5,"")),"")</f>
        <v/>
      </c>
      <c r="CS94" s="37" t="str">
        <f ca="1">IFERROR(+IF(CT$29=#REF!,Milestone_Marker,IF(AND(CT$29&gt;#REF!,CT$29&lt;=#REF!+#REF!),$G$5,"")),"")</f>
        <v/>
      </c>
      <c r="CT94" s="37" t="str">
        <f ca="1">IFERROR(+IF(CU$29=#REF!,Milestone_Marker,IF(AND(CU$29&gt;#REF!,CU$29&lt;=#REF!+#REF!),$G$5,"")),"")</f>
        <v/>
      </c>
    </row>
    <row r="95" spans="1:125" ht="30" customHeight="1">
      <c r="P95" s="37" t="str">
        <f ca="1">IFERROR(+IF(Q$29=#REF!,Milestone_Marker,IF(AND(Q$29&gt;#REF!,Q$29&lt;=#REF!+#REF!),$G$5,"")),"")</f>
        <v/>
      </c>
      <c r="Q95" s="37" t="str">
        <f ca="1">IFERROR(+IF(R$29=#REF!,Milestone_Marker,IF(AND(R$29&gt;#REF!,R$29&lt;=#REF!+#REF!),$G$5,"")),"")</f>
        <v/>
      </c>
      <c r="R95" s="37" t="str">
        <f ca="1">IFERROR(+IF(S$29=#REF!,Milestone_Marker,IF(AND(S$29&gt;#REF!,S$29&lt;=#REF!+#REF!),$G$5,"")),"")</f>
        <v/>
      </c>
      <c r="S95" s="37" t="str">
        <f ca="1">IFERROR(+IF(T$29=#REF!,Milestone_Marker,IF(AND(T$29&gt;#REF!,T$29&lt;=#REF!+#REF!),$G$5,"")),"")</f>
        <v/>
      </c>
      <c r="T95" s="37" t="str">
        <f ca="1">IFERROR(+IF(U$29=#REF!,Milestone_Marker,IF(AND(U$29&gt;#REF!,U$29&lt;=#REF!+#REF!),$G$5,"")),"")</f>
        <v/>
      </c>
      <c r="U95" s="37" t="str">
        <f ca="1">IFERROR(+IF(V$29=#REF!,Milestone_Marker,IF(AND(V$29&gt;#REF!,V$29&lt;=#REF!+#REF!),$G$5,"")),"")</f>
        <v/>
      </c>
      <c r="V95" s="37" t="str">
        <f ca="1">IFERROR(+IF(W$29=#REF!,Milestone_Marker,IF(AND(W$29&gt;#REF!,W$29&lt;=#REF!+#REF!),$G$5,"")),"")</f>
        <v/>
      </c>
      <c r="W95" s="37" t="str">
        <f ca="1">IFERROR(+IF(X$29=#REF!,Milestone_Marker,IF(AND(X$29&gt;#REF!,X$29&lt;=#REF!+#REF!),$G$5,"")),"")</f>
        <v/>
      </c>
      <c r="X95" s="37" t="str">
        <f ca="1">IFERROR(+IF(Y$29=#REF!,Milestone_Marker,IF(AND(Y$29&gt;#REF!,Y$29&lt;=#REF!+#REF!),$G$5,"")),"")</f>
        <v/>
      </c>
      <c r="Y95" s="37" t="str">
        <f ca="1">IFERROR(+IF(Z$29=#REF!,Milestone_Marker,IF(AND(Z$29&gt;#REF!,Z$29&lt;=#REF!+#REF!),$G$5,"")),"")</f>
        <v/>
      </c>
      <c r="Z95" s="37" t="str">
        <f ca="1">IFERROR(+IF(AA$29=#REF!,Milestone_Marker,IF(AND(AA$29&gt;#REF!,AA$29&lt;=#REF!+#REF!),$G$5,"")),"")</f>
        <v/>
      </c>
      <c r="AA95" s="37" t="str">
        <f ca="1">IFERROR(+IF(AB$29=#REF!,Milestone_Marker,IF(AND(AB$29&gt;#REF!,AB$29&lt;=#REF!+#REF!),$G$5,"")),"")</f>
        <v/>
      </c>
      <c r="AB95" s="37" t="str">
        <f ca="1">IFERROR(+IF(AC$29=#REF!,Milestone_Marker,IF(AND(AC$29&gt;#REF!,AC$29&lt;=#REF!+#REF!),$G$5,"")),"")</f>
        <v/>
      </c>
      <c r="AC95" s="37" t="str">
        <f ca="1">IFERROR(+IF(AD$29=#REF!,Milestone_Marker,IF(AND(AD$29&gt;#REF!,AD$29&lt;=#REF!+#REF!),$G$5,"")),"")</f>
        <v/>
      </c>
      <c r="AD95" s="37" t="str">
        <f ca="1">IFERROR(+IF(AE$29=#REF!,Milestone_Marker,IF(AND(AE$29&gt;#REF!,AE$29&lt;=#REF!+#REF!),$G$5,"")),"")</f>
        <v/>
      </c>
      <c r="AE95" s="37" t="str">
        <f ca="1">IFERROR(+IF(AF$29=#REF!,Milestone_Marker,IF(AND(AF$29&gt;#REF!,AF$29&lt;=#REF!+#REF!),$G$5,"")),"")</f>
        <v/>
      </c>
      <c r="AF95" s="37" t="str">
        <f ca="1">IFERROR(+IF(AG$29=#REF!,Milestone_Marker,IF(AND(AG$29&gt;#REF!,AG$29&lt;=#REF!+#REF!),$G$5,"")),"")</f>
        <v/>
      </c>
      <c r="AG95" s="37" t="str">
        <f ca="1">IFERROR(+IF(AH$29=#REF!,Milestone_Marker,IF(AND(AH$29&gt;#REF!,AH$29&lt;=#REF!+#REF!),$G$5,"")),"")</f>
        <v/>
      </c>
      <c r="AH95" s="37" t="str">
        <f ca="1">IFERROR(+IF(AI$29=#REF!,Milestone_Marker,IF(AND(AI$29&gt;#REF!,AI$29&lt;=#REF!+#REF!),$G$5,"")),"")</f>
        <v/>
      </c>
      <c r="AI95" s="37" t="str">
        <f ca="1">IFERROR(+IF(AJ$29=#REF!,Milestone_Marker,IF(AND(AJ$29&gt;#REF!,AJ$29&lt;=#REF!+#REF!),$G$5,"")),"")</f>
        <v/>
      </c>
      <c r="AJ95" s="37" t="str">
        <f ca="1">IFERROR(+IF(AK$29=#REF!,Milestone_Marker,IF(AND(AK$29&gt;#REF!,AK$29&lt;=#REF!+#REF!),$G$5,"")),"")</f>
        <v/>
      </c>
      <c r="AK95" s="37" t="str">
        <f ca="1">IFERROR(+IF(AL$29=#REF!,Milestone_Marker,IF(AND(AL$29&gt;#REF!,AL$29&lt;=#REF!+#REF!),$G$5,"")),"")</f>
        <v/>
      </c>
      <c r="AL95" s="37" t="str">
        <f ca="1">IFERROR(+IF(AM$29=#REF!,Milestone_Marker,IF(AND(AM$29&gt;#REF!,AM$29&lt;=#REF!+#REF!),$G$5,"")),"")</f>
        <v/>
      </c>
      <c r="AM95" s="37" t="str">
        <f ca="1">IFERROR(+IF(AN$29=#REF!,Milestone_Marker,IF(AND(AN$29&gt;#REF!,AN$29&lt;=#REF!+#REF!),$G$5,"")),"")</f>
        <v/>
      </c>
      <c r="AN95" s="37" t="str">
        <f ca="1">IFERROR(+IF(AO$29=#REF!,Milestone_Marker,IF(AND(AO$29&gt;#REF!,AO$29&lt;=#REF!+#REF!),$G$5,"")),"")</f>
        <v/>
      </c>
      <c r="AO95" s="37" t="str">
        <f ca="1">IFERROR(+IF(AP$29=#REF!,Milestone_Marker,IF(AND(AP$29&gt;#REF!,AP$29&lt;=#REF!+#REF!),$G$5,"")),"")</f>
        <v/>
      </c>
      <c r="AP95" s="37" t="str">
        <f ca="1">IFERROR(+IF(AQ$29=#REF!,Milestone_Marker,IF(AND(AQ$29&gt;#REF!,AQ$29&lt;=#REF!+#REF!),$G$5,"")),"")</f>
        <v/>
      </c>
      <c r="AQ95" s="37" t="str">
        <f ca="1">IFERROR(+IF(AR$29=#REF!,Milestone_Marker,IF(AND(AR$29&gt;#REF!,AR$29&lt;=#REF!+#REF!),$G$5,"")),"")</f>
        <v/>
      </c>
      <c r="AR95" s="37" t="str">
        <f ca="1">IFERROR(+IF(AS$29=#REF!,Milestone_Marker,IF(AND(AS$29&gt;#REF!,AS$29&lt;=#REF!+#REF!),$G$5,"")),"")</f>
        <v/>
      </c>
      <c r="AS95" s="37" t="str">
        <f ca="1">IFERROR(+IF(AT$29=#REF!,Milestone_Marker,IF(AND(AT$29&gt;#REF!,AT$29&lt;=#REF!+#REF!),$G$5,"")),"")</f>
        <v/>
      </c>
      <c r="AT95" s="37" t="str">
        <f ca="1">IFERROR(+IF(AU$29=#REF!,Milestone_Marker,IF(AND(AU$29&gt;#REF!,AU$29&lt;=#REF!+#REF!),$G$5,"")),"")</f>
        <v/>
      </c>
      <c r="AU95" s="37" t="str">
        <f ca="1">IFERROR(+IF(AV$29=#REF!,Milestone_Marker,IF(AND(AV$29&gt;#REF!,AV$29&lt;=#REF!+#REF!),$G$5,"")),"")</f>
        <v/>
      </c>
      <c r="AV95" s="37" t="str">
        <f ca="1">IFERROR(+IF(AW$29=#REF!,Milestone_Marker,IF(AND(AW$29&gt;#REF!,AW$29&lt;=#REF!+#REF!),$G$5,"")),"")</f>
        <v/>
      </c>
      <c r="AW95" s="37" t="str">
        <f ca="1">IFERROR(+IF(AX$29=#REF!,Milestone_Marker,IF(AND(AX$29&gt;#REF!,AX$29&lt;=#REF!+#REF!),$G$5,"")),"")</f>
        <v/>
      </c>
      <c r="AX95" s="37" t="str">
        <f ca="1">IFERROR(+IF(AY$29=#REF!,Milestone_Marker,IF(AND(AY$29&gt;#REF!,AY$29&lt;=#REF!+#REF!),$G$5,"")),"")</f>
        <v/>
      </c>
      <c r="AY95" s="37" t="str">
        <f ca="1">IFERROR(+IF(AZ$29=#REF!,Milestone_Marker,IF(AND(AZ$29&gt;#REF!,AZ$29&lt;=#REF!+#REF!),$G$5,"")),"")</f>
        <v/>
      </c>
      <c r="AZ95" s="37" t="str">
        <f ca="1">IFERROR(+IF(BA$29=#REF!,Milestone_Marker,IF(AND(BA$29&gt;#REF!,BA$29&lt;=#REF!+#REF!),$G$5,"")),"")</f>
        <v/>
      </c>
      <c r="BA95" s="37" t="str">
        <f ca="1">IFERROR(+IF(BB$29=#REF!,Milestone_Marker,IF(AND(BB$29&gt;#REF!,BB$29&lt;=#REF!+#REF!),$G$5,"")),"")</f>
        <v/>
      </c>
      <c r="BB95" s="37" t="str">
        <f ca="1">IFERROR(+IF(BC$29=#REF!,Milestone_Marker,IF(AND(BC$29&gt;#REF!,BC$29&lt;=#REF!+#REF!),$G$5,"")),"")</f>
        <v/>
      </c>
      <c r="BC95" s="37" t="str">
        <f ca="1">IFERROR(+IF(BD$29=#REF!,Milestone_Marker,IF(AND(BD$29&gt;#REF!,BD$29&lt;=#REF!+#REF!),$G$5,"")),"")</f>
        <v/>
      </c>
      <c r="BD95" s="37" t="str">
        <f ca="1">IFERROR(+IF(BE$29=#REF!,Milestone_Marker,IF(AND(BE$29&gt;#REF!,BE$29&lt;=#REF!+#REF!),$G$5,"")),"")</f>
        <v/>
      </c>
      <c r="BE95" s="37" t="str">
        <f ca="1">IFERROR(+IF(BF$29=#REF!,Milestone_Marker,IF(AND(BF$29&gt;#REF!,BF$29&lt;=#REF!+#REF!),$G$5,"")),"")</f>
        <v/>
      </c>
      <c r="BF95" s="37" t="str">
        <f ca="1">IFERROR(+IF(BG$29=#REF!,Milestone_Marker,IF(AND(BG$29&gt;#REF!,BG$29&lt;=#REF!+#REF!),$G$5,"")),"")</f>
        <v/>
      </c>
      <c r="BG95" s="37" t="str">
        <f ca="1">IFERROR(+IF(BH$29=#REF!,Milestone_Marker,IF(AND(BH$29&gt;#REF!,BH$29&lt;=#REF!+#REF!),$G$5,"")),"")</f>
        <v/>
      </c>
      <c r="BH95" s="37" t="str">
        <f ca="1">IFERROR(+IF(BI$29=#REF!,Milestone_Marker,IF(AND(BI$29&gt;#REF!,BI$29&lt;=#REF!+#REF!),$G$5,"")),"")</f>
        <v/>
      </c>
      <c r="BI95" s="37" t="str">
        <f ca="1">IFERROR(+IF(BJ$29=#REF!,Milestone_Marker,IF(AND(BJ$29&gt;#REF!,BJ$29&lt;=#REF!+#REF!),$G$5,"")),"")</f>
        <v/>
      </c>
      <c r="BJ95" s="37" t="str">
        <f ca="1">IFERROR(+IF(BK$29=#REF!,Milestone_Marker,IF(AND(BK$29&gt;#REF!,BK$29&lt;=#REF!+#REF!),$G$5,"")),"")</f>
        <v/>
      </c>
      <c r="BK95" s="37" t="str">
        <f ca="1">IFERROR(+IF(BL$29=#REF!,Milestone_Marker,IF(AND(BL$29&gt;#REF!,BL$29&lt;=#REF!+#REF!),$G$5,"")),"")</f>
        <v/>
      </c>
      <c r="BL95" s="37" t="str">
        <f ca="1">IFERROR(+IF(BM$29=#REF!,Milestone_Marker,IF(AND(BM$29&gt;#REF!,BM$29&lt;=#REF!+#REF!),$G$5,"")),"")</f>
        <v/>
      </c>
      <c r="BM95" s="37" t="str">
        <f ca="1">IFERROR(+IF(BN$29=#REF!,Milestone_Marker,IF(AND(BN$29&gt;#REF!,BN$29&lt;=#REF!+#REF!),$G$5,"")),"")</f>
        <v/>
      </c>
      <c r="BN95" s="37" t="str">
        <f ca="1">IFERROR(+IF(BO$29=#REF!,Milestone_Marker,IF(AND(BO$29&gt;#REF!,BO$29&lt;=#REF!+#REF!),$G$5,"")),"")</f>
        <v/>
      </c>
      <c r="BO95" s="37" t="str">
        <f ca="1">IFERROR(+IF(BP$29=#REF!,Milestone_Marker,IF(AND(BP$29&gt;#REF!,BP$29&lt;=#REF!+#REF!),$G$5,"")),"")</f>
        <v/>
      </c>
      <c r="BP95" s="37" t="str">
        <f ca="1">IFERROR(+IF(BQ$29=#REF!,Milestone_Marker,IF(AND(BQ$29&gt;#REF!,BQ$29&lt;=#REF!+#REF!),$G$5,"")),"")</f>
        <v/>
      </c>
      <c r="BQ95" s="37" t="str">
        <f ca="1">IFERROR(+IF(BR$29=#REF!,Milestone_Marker,IF(AND(BR$29&gt;#REF!,BR$29&lt;=#REF!+#REF!),$G$5,"")),"")</f>
        <v/>
      </c>
      <c r="BR95" s="37" t="str">
        <f ca="1">IFERROR(+IF(BS$29=#REF!,Milestone_Marker,IF(AND(BS$29&gt;#REF!,BS$29&lt;=#REF!+#REF!),$G$5,"")),"")</f>
        <v/>
      </c>
      <c r="BS95" s="37" t="str">
        <f ca="1">IFERROR(+IF(BT$29=#REF!,Milestone_Marker,IF(AND(BT$29&gt;#REF!,BT$29&lt;=#REF!+#REF!),$G$5,"")),"")</f>
        <v/>
      </c>
      <c r="BT95" s="37" t="str">
        <f ca="1">IFERROR(+IF(BU$29=#REF!,Milestone_Marker,IF(AND(BU$29&gt;#REF!,BU$29&lt;=#REF!+#REF!),$G$5,"")),"")</f>
        <v/>
      </c>
      <c r="BU95" s="37" t="str">
        <f ca="1">IFERROR(+IF(BV$29=#REF!,Milestone_Marker,IF(AND(BV$29&gt;#REF!,BV$29&lt;=#REF!+#REF!),$G$5,"")),"")</f>
        <v/>
      </c>
      <c r="BV95" s="37" t="str">
        <f ca="1">IFERROR(+IF(BW$29=#REF!,Milestone_Marker,IF(AND(BW$29&gt;#REF!,BW$29&lt;=#REF!+#REF!),$G$5,"")),"")</f>
        <v/>
      </c>
      <c r="BW95" s="37" t="str">
        <f ca="1">IFERROR(+IF(BX$29=#REF!,Milestone_Marker,IF(AND(BX$29&gt;#REF!,BX$29&lt;=#REF!+#REF!),$G$5,"")),"")</f>
        <v/>
      </c>
      <c r="BX95" s="37" t="str">
        <f ca="1">IFERROR(+IF(BY$29=#REF!,Milestone_Marker,IF(AND(BY$29&gt;#REF!,BY$29&lt;=#REF!+#REF!),$G$5,"")),"")</f>
        <v/>
      </c>
      <c r="BY95" s="37" t="str">
        <f ca="1">IFERROR(+IF(BZ$29=#REF!,Milestone_Marker,IF(AND(BZ$29&gt;#REF!,BZ$29&lt;=#REF!+#REF!),$G$5,"")),"")</f>
        <v/>
      </c>
      <c r="BZ95" s="37" t="str">
        <f ca="1">IFERROR(+IF(CA$29=#REF!,Milestone_Marker,IF(AND(CA$29&gt;#REF!,CA$29&lt;=#REF!+#REF!),$G$5,"")),"")</f>
        <v/>
      </c>
      <c r="CA95" s="37" t="str">
        <f ca="1">IFERROR(+IF(CB$29=#REF!,Milestone_Marker,IF(AND(CB$29&gt;#REF!,CB$29&lt;=#REF!+#REF!),$G$5,"")),"")</f>
        <v/>
      </c>
      <c r="CB95" s="37" t="str">
        <f ca="1">IFERROR(+IF(CC$29=#REF!,Milestone_Marker,IF(AND(CC$29&gt;#REF!,CC$29&lt;=#REF!+#REF!),$G$5,"")),"")</f>
        <v/>
      </c>
      <c r="CC95" s="37" t="str">
        <f ca="1">IFERROR(+IF(CD$29=#REF!,Milestone_Marker,IF(AND(CD$29&gt;#REF!,CD$29&lt;=#REF!+#REF!),$G$5,"")),"")</f>
        <v/>
      </c>
      <c r="CD95" s="37" t="str">
        <f ca="1">IFERROR(+IF(CE$29=#REF!,Milestone_Marker,IF(AND(CE$29&gt;#REF!,CE$29&lt;=#REF!+#REF!),$G$5,"")),"")</f>
        <v/>
      </c>
      <c r="CE95" s="37" t="str">
        <f ca="1">IFERROR(+IF(CF$29=#REF!,Milestone_Marker,IF(AND(CF$29&gt;#REF!,CF$29&lt;=#REF!+#REF!),$G$5,"")),"")</f>
        <v/>
      </c>
      <c r="CF95" s="37" t="str">
        <f ca="1">IFERROR(+IF(CG$29=#REF!,Milestone_Marker,IF(AND(CG$29&gt;#REF!,CG$29&lt;=#REF!+#REF!),$G$5,"")),"")</f>
        <v/>
      </c>
      <c r="CG95" s="37" t="str">
        <f ca="1">IFERROR(+IF(CH$29=#REF!,Milestone_Marker,IF(AND(CH$29&gt;#REF!,CH$29&lt;=#REF!+#REF!),$G$5,"")),"")</f>
        <v/>
      </c>
      <c r="CH95" s="37" t="str">
        <f ca="1">IFERROR(+IF(CI$29=#REF!,Milestone_Marker,IF(AND(CI$29&gt;#REF!,CI$29&lt;=#REF!+#REF!),$G$5,"")),"")</f>
        <v/>
      </c>
      <c r="CI95" s="37" t="str">
        <f ca="1">IFERROR(+IF(CJ$29=#REF!,Milestone_Marker,IF(AND(CJ$29&gt;#REF!,CJ$29&lt;=#REF!+#REF!),$G$5,"")),"")</f>
        <v/>
      </c>
      <c r="CJ95" s="37" t="str">
        <f ca="1">IFERROR(+IF(CK$29=#REF!,Milestone_Marker,IF(AND(CK$29&gt;#REF!,CK$29&lt;=#REF!+#REF!),$G$5,"")),"")</f>
        <v/>
      </c>
      <c r="CK95" s="37" t="str">
        <f ca="1">IFERROR(+IF(CL$29=#REF!,Milestone_Marker,IF(AND(CL$29&gt;#REF!,CL$29&lt;=#REF!+#REF!),$G$5,"")),"")</f>
        <v/>
      </c>
      <c r="CL95" s="37" t="str">
        <f ca="1">IFERROR(+IF(CM$29=#REF!,Milestone_Marker,IF(AND(CM$29&gt;#REF!,CM$29&lt;=#REF!+#REF!),$G$5,"")),"")</f>
        <v/>
      </c>
      <c r="CM95" s="37" t="str">
        <f ca="1">IFERROR(+IF(CN$29=#REF!,Milestone_Marker,IF(AND(CN$29&gt;#REF!,CN$29&lt;=#REF!+#REF!),$G$5,"")),"")</f>
        <v/>
      </c>
      <c r="CN95" s="37" t="str">
        <f ca="1">IFERROR(+IF(CO$29=#REF!,Milestone_Marker,IF(AND(CO$29&gt;#REF!,CO$29&lt;=#REF!+#REF!),$G$5,"")),"")</f>
        <v/>
      </c>
      <c r="CO95" s="37" t="str">
        <f ca="1">IFERROR(+IF(CP$29=#REF!,Milestone_Marker,IF(AND(CP$29&gt;#REF!,CP$29&lt;=#REF!+#REF!),$G$5,"")),"")</f>
        <v/>
      </c>
      <c r="CP95" s="37" t="str">
        <f ca="1">IFERROR(+IF(CQ$29=#REF!,Milestone_Marker,IF(AND(CQ$29&gt;#REF!,CQ$29&lt;=#REF!+#REF!),$G$5,"")),"")</f>
        <v/>
      </c>
      <c r="CQ95" s="37" t="str">
        <f ca="1">IFERROR(+IF(CR$29=#REF!,Milestone_Marker,IF(AND(CR$29&gt;#REF!,CR$29&lt;=#REF!+#REF!),$G$5,"")),"")</f>
        <v/>
      </c>
      <c r="CR95" s="37" t="str">
        <f ca="1">IFERROR(+IF(CS$29=#REF!,Milestone_Marker,IF(AND(CS$29&gt;#REF!,CS$29&lt;=#REF!+#REF!),$G$5,"")),"")</f>
        <v/>
      </c>
      <c r="CS95" s="37" t="str">
        <f ca="1">IFERROR(+IF(CT$29=#REF!,Milestone_Marker,IF(AND(CT$29&gt;#REF!,CT$29&lt;=#REF!+#REF!),$G$5,"")),"")</f>
        <v/>
      </c>
      <c r="CT95" s="37" t="str">
        <f ca="1">IFERROR(+IF(CU$29=#REF!,Milestone_Marker,IF(AND(CU$29&gt;#REF!,CU$29&lt;=#REF!+#REF!),$G$5,"")),"")</f>
        <v/>
      </c>
    </row>
    <row r="96" spans="1:125" ht="30" customHeight="1">
      <c r="P96" s="37" t="str">
        <f ca="1">IFERROR(+IF(Q$29=#REF!,Milestone_Marker,IF(AND(Q$29&gt;#REF!,Q$29&lt;=#REF!+#REF!),$G$5,"")),"")</f>
        <v/>
      </c>
      <c r="Q96" s="37" t="str">
        <f ca="1">IFERROR(+IF(R$29=#REF!,Milestone_Marker,IF(AND(R$29&gt;#REF!,R$29&lt;=#REF!+#REF!),$G$5,"")),"")</f>
        <v/>
      </c>
      <c r="R96" s="37" t="str">
        <f ca="1">IFERROR(+IF(S$29=#REF!,Milestone_Marker,IF(AND(S$29&gt;#REF!,S$29&lt;=#REF!+#REF!),$G$5,"")),"")</f>
        <v/>
      </c>
      <c r="S96" s="37" t="str">
        <f ca="1">IFERROR(+IF(T$29=#REF!,Milestone_Marker,IF(AND(T$29&gt;#REF!,T$29&lt;=#REF!+#REF!),$G$5,"")),"")</f>
        <v/>
      </c>
      <c r="T96" s="37" t="str">
        <f ca="1">IFERROR(+IF(U$29=#REF!,Milestone_Marker,IF(AND(U$29&gt;#REF!,U$29&lt;=#REF!+#REF!),$G$5,"")),"")</f>
        <v/>
      </c>
      <c r="U96" s="37" t="str">
        <f ca="1">IFERROR(+IF(V$29=#REF!,Milestone_Marker,IF(AND(V$29&gt;#REF!,V$29&lt;=#REF!+#REF!),$G$5,"")),"")</f>
        <v/>
      </c>
      <c r="V96" s="37" t="str">
        <f ca="1">IFERROR(+IF(W$29=#REF!,Milestone_Marker,IF(AND(W$29&gt;#REF!,W$29&lt;=#REF!+#REF!),$G$5,"")),"")</f>
        <v/>
      </c>
      <c r="W96" s="37" t="str">
        <f ca="1">IFERROR(+IF(X$29=#REF!,Milestone_Marker,IF(AND(X$29&gt;#REF!,X$29&lt;=#REF!+#REF!),$G$5,"")),"")</f>
        <v/>
      </c>
      <c r="X96" s="37" t="str">
        <f ca="1">IFERROR(+IF(Y$29=#REF!,Milestone_Marker,IF(AND(Y$29&gt;#REF!,Y$29&lt;=#REF!+#REF!),$G$5,"")),"")</f>
        <v/>
      </c>
      <c r="Y96" s="37" t="str">
        <f ca="1">IFERROR(+IF(Z$29=#REF!,Milestone_Marker,IF(AND(Z$29&gt;#REF!,Z$29&lt;=#REF!+#REF!),$G$5,"")),"")</f>
        <v/>
      </c>
      <c r="Z96" s="37" t="str">
        <f ca="1">IFERROR(+IF(AA$29=#REF!,Milestone_Marker,IF(AND(AA$29&gt;#REF!,AA$29&lt;=#REF!+#REF!),$G$5,"")),"")</f>
        <v/>
      </c>
      <c r="AA96" s="37" t="str">
        <f ca="1">IFERROR(+IF(AB$29=#REF!,Milestone_Marker,IF(AND(AB$29&gt;#REF!,AB$29&lt;=#REF!+#REF!),$G$5,"")),"")</f>
        <v/>
      </c>
      <c r="AB96" s="37" t="str">
        <f ca="1">IFERROR(+IF(AC$29=#REF!,Milestone_Marker,IF(AND(AC$29&gt;#REF!,AC$29&lt;=#REF!+#REF!),$G$5,"")),"")</f>
        <v/>
      </c>
      <c r="AC96" s="37" t="str">
        <f ca="1">IFERROR(+IF(AD$29=#REF!,Milestone_Marker,IF(AND(AD$29&gt;#REF!,AD$29&lt;=#REF!+#REF!),$G$5,"")),"")</f>
        <v/>
      </c>
      <c r="AD96" s="37" t="str">
        <f ca="1">IFERROR(+IF(AE$29=#REF!,Milestone_Marker,IF(AND(AE$29&gt;#REF!,AE$29&lt;=#REF!+#REF!),$G$5,"")),"")</f>
        <v/>
      </c>
      <c r="AE96" s="37" t="str">
        <f ca="1">IFERROR(+IF(AF$29=#REF!,Milestone_Marker,IF(AND(AF$29&gt;#REF!,AF$29&lt;=#REF!+#REF!),$G$5,"")),"")</f>
        <v/>
      </c>
      <c r="AF96" s="37" t="str">
        <f ca="1">IFERROR(+IF(AG$29=#REF!,Milestone_Marker,IF(AND(AG$29&gt;#REF!,AG$29&lt;=#REF!+#REF!),$G$5,"")),"")</f>
        <v/>
      </c>
      <c r="AG96" s="37" t="str">
        <f ca="1">IFERROR(+IF(AH$29=#REF!,Milestone_Marker,IF(AND(AH$29&gt;#REF!,AH$29&lt;=#REF!+#REF!),$G$5,"")),"")</f>
        <v/>
      </c>
      <c r="AH96" s="37" t="str">
        <f ca="1">IFERROR(+IF(AI$29=#REF!,Milestone_Marker,IF(AND(AI$29&gt;#REF!,AI$29&lt;=#REF!+#REF!),$G$5,"")),"")</f>
        <v/>
      </c>
      <c r="AI96" s="37" t="str">
        <f ca="1">IFERROR(+IF(AJ$29=#REF!,Milestone_Marker,IF(AND(AJ$29&gt;#REF!,AJ$29&lt;=#REF!+#REF!),$G$5,"")),"")</f>
        <v/>
      </c>
      <c r="AJ96" s="37" t="str">
        <f ca="1">IFERROR(+IF(AK$29=#REF!,Milestone_Marker,IF(AND(AK$29&gt;#REF!,AK$29&lt;=#REF!+#REF!),$G$5,"")),"")</f>
        <v/>
      </c>
      <c r="AK96" s="37" t="str">
        <f ca="1">IFERROR(+IF(AL$29=#REF!,Milestone_Marker,IF(AND(AL$29&gt;#REF!,AL$29&lt;=#REF!+#REF!),$G$5,"")),"")</f>
        <v/>
      </c>
      <c r="AL96" s="37" t="str">
        <f ca="1">IFERROR(+IF(AM$29=#REF!,Milestone_Marker,IF(AND(AM$29&gt;#REF!,AM$29&lt;=#REF!+#REF!),$G$5,"")),"")</f>
        <v/>
      </c>
      <c r="AM96" s="37" t="str">
        <f ca="1">IFERROR(+IF(AN$29=#REF!,Milestone_Marker,IF(AND(AN$29&gt;#REF!,AN$29&lt;=#REF!+#REF!),$G$5,"")),"")</f>
        <v/>
      </c>
      <c r="AN96" s="37" t="str">
        <f ca="1">IFERROR(+IF(AO$29=#REF!,Milestone_Marker,IF(AND(AO$29&gt;#REF!,AO$29&lt;=#REF!+#REF!),$G$5,"")),"")</f>
        <v/>
      </c>
      <c r="AO96" s="37" t="str">
        <f ca="1">IFERROR(+IF(AP$29=#REF!,Milestone_Marker,IF(AND(AP$29&gt;#REF!,AP$29&lt;=#REF!+#REF!),$G$5,"")),"")</f>
        <v/>
      </c>
      <c r="AP96" s="37" t="str">
        <f ca="1">IFERROR(+IF(AQ$29=#REF!,Milestone_Marker,IF(AND(AQ$29&gt;#REF!,AQ$29&lt;=#REF!+#REF!),$G$5,"")),"")</f>
        <v/>
      </c>
      <c r="AQ96" s="37" t="str">
        <f ca="1">IFERROR(+IF(AR$29=#REF!,Milestone_Marker,IF(AND(AR$29&gt;#REF!,AR$29&lt;=#REF!+#REF!),$G$5,"")),"")</f>
        <v/>
      </c>
      <c r="AR96" s="37" t="str">
        <f ca="1">IFERROR(+IF(AS$29=#REF!,Milestone_Marker,IF(AND(AS$29&gt;#REF!,AS$29&lt;=#REF!+#REF!),$G$5,"")),"")</f>
        <v/>
      </c>
      <c r="AS96" s="37" t="str">
        <f ca="1">IFERROR(+IF(AT$29=#REF!,Milestone_Marker,IF(AND(AT$29&gt;#REF!,AT$29&lt;=#REF!+#REF!),$G$5,"")),"")</f>
        <v/>
      </c>
      <c r="AT96" s="37" t="str">
        <f ca="1">IFERROR(+IF(AU$29=#REF!,Milestone_Marker,IF(AND(AU$29&gt;#REF!,AU$29&lt;=#REF!+#REF!),$G$5,"")),"")</f>
        <v/>
      </c>
      <c r="AU96" s="37" t="str">
        <f ca="1">IFERROR(+IF(AV$29=#REF!,Milestone_Marker,IF(AND(AV$29&gt;#REF!,AV$29&lt;=#REF!+#REF!),$G$5,"")),"")</f>
        <v/>
      </c>
      <c r="AV96" s="37" t="str">
        <f ca="1">IFERROR(+IF(AW$29=#REF!,Milestone_Marker,IF(AND(AW$29&gt;#REF!,AW$29&lt;=#REF!+#REF!),$G$5,"")),"")</f>
        <v/>
      </c>
      <c r="AW96" s="37" t="str">
        <f ca="1">IFERROR(+IF(AX$29=#REF!,Milestone_Marker,IF(AND(AX$29&gt;#REF!,AX$29&lt;=#REF!+#REF!),$G$5,"")),"")</f>
        <v/>
      </c>
      <c r="AX96" s="37" t="str">
        <f ca="1">IFERROR(+IF(AY$29=#REF!,Milestone_Marker,IF(AND(AY$29&gt;#REF!,AY$29&lt;=#REF!+#REF!),$G$5,"")),"")</f>
        <v/>
      </c>
      <c r="AY96" s="37" t="str">
        <f ca="1">IFERROR(+IF(AZ$29=#REF!,Milestone_Marker,IF(AND(AZ$29&gt;#REF!,AZ$29&lt;=#REF!+#REF!),$G$5,"")),"")</f>
        <v/>
      </c>
      <c r="AZ96" s="37" t="str">
        <f ca="1">IFERROR(+IF(BA$29=#REF!,Milestone_Marker,IF(AND(BA$29&gt;#REF!,BA$29&lt;=#REF!+#REF!),$G$5,"")),"")</f>
        <v/>
      </c>
      <c r="BA96" s="37" t="str">
        <f ca="1">IFERROR(+IF(BB$29=#REF!,Milestone_Marker,IF(AND(BB$29&gt;#REF!,BB$29&lt;=#REF!+#REF!),$G$5,"")),"")</f>
        <v/>
      </c>
      <c r="BB96" s="37" t="str">
        <f ca="1">IFERROR(+IF(BC$29=#REF!,Milestone_Marker,IF(AND(BC$29&gt;#REF!,BC$29&lt;=#REF!+#REF!),$G$5,"")),"")</f>
        <v/>
      </c>
      <c r="BC96" s="37" t="str">
        <f ca="1">IFERROR(+IF(BD$29=#REF!,Milestone_Marker,IF(AND(BD$29&gt;#REF!,BD$29&lt;=#REF!+#REF!),$G$5,"")),"")</f>
        <v/>
      </c>
      <c r="BD96" s="37" t="str">
        <f ca="1">IFERROR(+IF(BE$29=#REF!,Milestone_Marker,IF(AND(BE$29&gt;#REF!,BE$29&lt;=#REF!+#REF!),$G$5,"")),"")</f>
        <v/>
      </c>
      <c r="BE96" s="37" t="str">
        <f ca="1">IFERROR(+IF(BF$29=#REF!,Milestone_Marker,IF(AND(BF$29&gt;#REF!,BF$29&lt;=#REF!+#REF!),$G$5,"")),"")</f>
        <v/>
      </c>
      <c r="BF96" s="37" t="str">
        <f ca="1">IFERROR(+IF(BG$29=#REF!,Milestone_Marker,IF(AND(BG$29&gt;#REF!,BG$29&lt;=#REF!+#REF!),$G$5,"")),"")</f>
        <v/>
      </c>
      <c r="BG96" s="37" t="str">
        <f ca="1">IFERROR(+IF(BH$29=#REF!,Milestone_Marker,IF(AND(BH$29&gt;#REF!,BH$29&lt;=#REF!+#REF!),$G$5,"")),"")</f>
        <v/>
      </c>
      <c r="BH96" s="37" t="str">
        <f ca="1">IFERROR(+IF(BI$29=#REF!,Milestone_Marker,IF(AND(BI$29&gt;#REF!,BI$29&lt;=#REF!+#REF!),$G$5,"")),"")</f>
        <v/>
      </c>
      <c r="BI96" s="37" t="str">
        <f ca="1">IFERROR(+IF(BJ$29=#REF!,Milestone_Marker,IF(AND(BJ$29&gt;#REF!,BJ$29&lt;=#REF!+#REF!),$G$5,"")),"")</f>
        <v/>
      </c>
      <c r="BJ96" s="37" t="str">
        <f ca="1">IFERROR(+IF(BK$29=#REF!,Milestone_Marker,IF(AND(BK$29&gt;#REF!,BK$29&lt;=#REF!+#REF!),$G$5,"")),"")</f>
        <v/>
      </c>
      <c r="BK96" s="37" t="str">
        <f ca="1">IFERROR(+IF(BL$29=#REF!,Milestone_Marker,IF(AND(BL$29&gt;#REF!,BL$29&lt;=#REF!+#REF!),$G$5,"")),"")</f>
        <v/>
      </c>
      <c r="BL96" s="37" t="str">
        <f ca="1">IFERROR(+IF(BM$29=#REF!,Milestone_Marker,IF(AND(BM$29&gt;#REF!,BM$29&lt;=#REF!+#REF!),$G$5,"")),"")</f>
        <v/>
      </c>
      <c r="BM96" s="37" t="str">
        <f ca="1">IFERROR(+IF(BN$29=#REF!,Milestone_Marker,IF(AND(BN$29&gt;#REF!,BN$29&lt;=#REF!+#REF!),$G$5,"")),"")</f>
        <v/>
      </c>
      <c r="BN96" s="37" t="str">
        <f ca="1">IFERROR(+IF(BO$29=#REF!,Milestone_Marker,IF(AND(BO$29&gt;#REF!,BO$29&lt;=#REF!+#REF!),$G$5,"")),"")</f>
        <v/>
      </c>
      <c r="BO96" s="37" t="str">
        <f ca="1">IFERROR(+IF(BP$29=#REF!,Milestone_Marker,IF(AND(BP$29&gt;#REF!,BP$29&lt;=#REF!+#REF!),$G$5,"")),"")</f>
        <v/>
      </c>
      <c r="BP96" s="37" t="str">
        <f ca="1">IFERROR(+IF(BQ$29=#REF!,Milestone_Marker,IF(AND(BQ$29&gt;#REF!,BQ$29&lt;=#REF!+#REF!),$G$5,"")),"")</f>
        <v/>
      </c>
      <c r="BQ96" s="37" t="str">
        <f ca="1">IFERROR(+IF(BR$29=#REF!,Milestone_Marker,IF(AND(BR$29&gt;#REF!,BR$29&lt;=#REF!+#REF!),$G$5,"")),"")</f>
        <v/>
      </c>
      <c r="BR96" s="37" t="str">
        <f ca="1">IFERROR(+IF(BS$29=#REF!,Milestone_Marker,IF(AND(BS$29&gt;#REF!,BS$29&lt;=#REF!+#REF!),$G$5,"")),"")</f>
        <v/>
      </c>
      <c r="BS96" s="37" t="str">
        <f ca="1">IFERROR(+IF(BT$29=#REF!,Milestone_Marker,IF(AND(BT$29&gt;#REF!,BT$29&lt;=#REF!+#REF!),$G$5,"")),"")</f>
        <v/>
      </c>
      <c r="BT96" s="37" t="str">
        <f ca="1">IFERROR(+IF(BU$29=#REF!,Milestone_Marker,IF(AND(BU$29&gt;#REF!,BU$29&lt;=#REF!+#REF!),$G$5,"")),"")</f>
        <v/>
      </c>
      <c r="BU96" s="37" t="str">
        <f ca="1">IFERROR(+IF(BV$29=#REF!,Milestone_Marker,IF(AND(BV$29&gt;#REF!,BV$29&lt;=#REF!+#REF!),$G$5,"")),"")</f>
        <v/>
      </c>
      <c r="BV96" s="37" t="str">
        <f ca="1">IFERROR(+IF(BW$29=#REF!,Milestone_Marker,IF(AND(BW$29&gt;#REF!,BW$29&lt;=#REF!+#REF!),$G$5,"")),"")</f>
        <v/>
      </c>
      <c r="BW96" s="37" t="str">
        <f ca="1">IFERROR(+IF(BX$29=#REF!,Milestone_Marker,IF(AND(BX$29&gt;#REF!,BX$29&lt;=#REF!+#REF!),$G$5,"")),"")</f>
        <v/>
      </c>
      <c r="BX96" s="37" t="str">
        <f ca="1">IFERROR(+IF(BY$29=#REF!,Milestone_Marker,IF(AND(BY$29&gt;#REF!,BY$29&lt;=#REF!+#REF!),$G$5,"")),"")</f>
        <v/>
      </c>
      <c r="BY96" s="37" t="str">
        <f ca="1">IFERROR(+IF(BZ$29=#REF!,Milestone_Marker,IF(AND(BZ$29&gt;#REF!,BZ$29&lt;=#REF!+#REF!),$G$5,"")),"")</f>
        <v/>
      </c>
      <c r="BZ96" s="37" t="str">
        <f ca="1">IFERROR(+IF(CA$29=#REF!,Milestone_Marker,IF(AND(CA$29&gt;#REF!,CA$29&lt;=#REF!+#REF!),$G$5,"")),"")</f>
        <v/>
      </c>
      <c r="CA96" s="37" t="str">
        <f ca="1">IFERROR(+IF(CB$29=#REF!,Milestone_Marker,IF(AND(CB$29&gt;#REF!,CB$29&lt;=#REF!+#REF!),$G$5,"")),"")</f>
        <v/>
      </c>
      <c r="CB96" s="37" t="str">
        <f ca="1">IFERROR(+IF(CC$29=#REF!,Milestone_Marker,IF(AND(CC$29&gt;#REF!,CC$29&lt;=#REF!+#REF!),$G$5,"")),"")</f>
        <v/>
      </c>
      <c r="CC96" s="37" t="str">
        <f ca="1">IFERROR(+IF(CD$29=#REF!,Milestone_Marker,IF(AND(CD$29&gt;#REF!,CD$29&lt;=#REF!+#REF!),$G$5,"")),"")</f>
        <v/>
      </c>
      <c r="CD96" s="37" t="str">
        <f ca="1">IFERROR(+IF(CE$29=#REF!,Milestone_Marker,IF(AND(CE$29&gt;#REF!,CE$29&lt;=#REF!+#REF!),$G$5,"")),"")</f>
        <v/>
      </c>
      <c r="CE96" s="37" t="str">
        <f ca="1">IFERROR(+IF(CF$29=#REF!,Milestone_Marker,IF(AND(CF$29&gt;#REF!,CF$29&lt;=#REF!+#REF!),$G$5,"")),"")</f>
        <v/>
      </c>
      <c r="CF96" s="37" t="str">
        <f ca="1">IFERROR(+IF(CG$29=#REF!,Milestone_Marker,IF(AND(CG$29&gt;#REF!,CG$29&lt;=#REF!+#REF!),$G$5,"")),"")</f>
        <v/>
      </c>
      <c r="CG96" s="37" t="str">
        <f ca="1">IFERROR(+IF(CH$29=#REF!,Milestone_Marker,IF(AND(CH$29&gt;#REF!,CH$29&lt;=#REF!+#REF!),$G$5,"")),"")</f>
        <v/>
      </c>
      <c r="CH96" s="37" t="str">
        <f ca="1">IFERROR(+IF(CI$29=#REF!,Milestone_Marker,IF(AND(CI$29&gt;#REF!,CI$29&lt;=#REF!+#REF!),$G$5,"")),"")</f>
        <v/>
      </c>
      <c r="CI96" s="37" t="str">
        <f ca="1">IFERROR(+IF(CJ$29=#REF!,Milestone_Marker,IF(AND(CJ$29&gt;#REF!,CJ$29&lt;=#REF!+#REF!),$G$5,"")),"")</f>
        <v/>
      </c>
      <c r="CJ96" s="37" t="str">
        <f ca="1">IFERROR(+IF(CK$29=#REF!,Milestone_Marker,IF(AND(CK$29&gt;#REF!,CK$29&lt;=#REF!+#REF!),$G$5,"")),"")</f>
        <v/>
      </c>
      <c r="CK96" s="37" t="str">
        <f ca="1">IFERROR(+IF(CL$29=#REF!,Milestone_Marker,IF(AND(CL$29&gt;#REF!,CL$29&lt;=#REF!+#REF!),$G$5,"")),"")</f>
        <v/>
      </c>
      <c r="CL96" s="37" t="str">
        <f ca="1">IFERROR(+IF(CM$29=#REF!,Milestone_Marker,IF(AND(CM$29&gt;#REF!,CM$29&lt;=#REF!+#REF!),$G$5,"")),"")</f>
        <v/>
      </c>
      <c r="CM96" s="37" t="str">
        <f ca="1">IFERROR(+IF(CN$29=#REF!,Milestone_Marker,IF(AND(CN$29&gt;#REF!,CN$29&lt;=#REF!+#REF!),$G$5,"")),"")</f>
        <v/>
      </c>
      <c r="CN96" s="37" t="str">
        <f ca="1">IFERROR(+IF(CO$29=#REF!,Milestone_Marker,IF(AND(CO$29&gt;#REF!,CO$29&lt;=#REF!+#REF!),$G$5,"")),"")</f>
        <v/>
      </c>
      <c r="CO96" s="37" t="str">
        <f ca="1">IFERROR(+IF(CP$29=#REF!,Milestone_Marker,IF(AND(CP$29&gt;#REF!,CP$29&lt;=#REF!+#REF!),$G$5,"")),"")</f>
        <v/>
      </c>
      <c r="CP96" s="37" t="str">
        <f ca="1">IFERROR(+IF(CQ$29=#REF!,Milestone_Marker,IF(AND(CQ$29&gt;#REF!,CQ$29&lt;=#REF!+#REF!),$G$5,"")),"")</f>
        <v/>
      </c>
      <c r="CQ96" s="37" t="str">
        <f ca="1">IFERROR(+IF(CR$29=#REF!,Milestone_Marker,IF(AND(CR$29&gt;#REF!,CR$29&lt;=#REF!+#REF!),$G$5,"")),"")</f>
        <v/>
      </c>
      <c r="CR96" s="37" t="str">
        <f ca="1">IFERROR(+IF(CS$29=#REF!,Milestone_Marker,IF(AND(CS$29&gt;#REF!,CS$29&lt;=#REF!+#REF!),$G$5,"")),"")</f>
        <v/>
      </c>
      <c r="CS96" s="37" t="str">
        <f ca="1">IFERROR(+IF(CT$29=#REF!,Milestone_Marker,IF(AND(CT$29&gt;#REF!,CT$29&lt;=#REF!+#REF!),$G$5,"")),"")</f>
        <v/>
      </c>
      <c r="CT96" s="37" t="str">
        <f ca="1">IFERROR(+IF(CU$29=#REF!,Milestone_Marker,IF(AND(CU$29&gt;#REF!,CU$29&lt;=#REF!+#REF!),$G$5,"")),"")</f>
        <v/>
      </c>
    </row>
  </sheetData>
  <mergeCells count="20">
    <mergeCell ref="AA24:AH25"/>
    <mergeCell ref="J1:K1"/>
    <mergeCell ref="E4:F4"/>
    <mergeCell ref="H2:I2"/>
    <mergeCell ref="H3:I3"/>
    <mergeCell ref="H4:I4"/>
    <mergeCell ref="M2:N2"/>
    <mergeCell ref="M3:N3"/>
    <mergeCell ref="M4:N4"/>
    <mergeCell ref="M5:N5"/>
    <mergeCell ref="A2:D2"/>
    <mergeCell ref="A3:D3"/>
    <mergeCell ref="A4:D4"/>
    <mergeCell ref="H5:I5"/>
    <mergeCell ref="J2:K2"/>
    <mergeCell ref="E5:F5"/>
    <mergeCell ref="J3:K3"/>
    <mergeCell ref="J4:K4"/>
    <mergeCell ref="J5:K5"/>
    <mergeCell ref="F2:G2"/>
  </mergeCells>
  <phoneticPr fontId="42" type="noConversion"/>
  <conditionalFormatting sqref="P28:CU84 P30:DU36 AA37:DU37 P38:DU78 R75:CW84 P75:CT96 AQ8:DU10 AQ11:AQ25 AP15:AP23">
    <cfRule type="expression" dxfId="13" priority="11">
      <formula>#REF!&lt;=Today</formula>
    </cfRule>
  </conditionalFormatting>
  <conditionalFormatting sqref="P29:CU29">
    <cfRule type="expression" dxfId="12" priority="26">
      <formula>P$29&lt;=TODAY()</formula>
    </cfRule>
  </conditionalFormatting>
  <conditionalFormatting sqref="P30:CU84 AP75:DU83 R75:CW84 P75:CT96 P30:DU36 AA37:DU37 P38:DU78">
    <cfRule type="expression" dxfId="11" priority="3">
      <formula>#REF!&lt;=Today</formula>
    </cfRule>
  </conditionalFormatting>
  <conditionalFormatting sqref="P30:DU36 P30:CU84 AA37:DU37 P38:DU78 AP75:DU83 R75:CW84 P75:CT96">
    <cfRule type="expression" dxfId="10" priority="4" stopIfTrue="1">
      <formula>AND(#REF!&gt;=#REF!+1,#REF!&lt;=#REF!+#REF!-2)</formula>
    </cfRule>
  </conditionalFormatting>
  <conditionalFormatting sqref="AO7:DT7">
    <cfRule type="expression" dxfId="9" priority="5">
      <formula>#REF!&lt;=Today</formula>
    </cfRule>
  </conditionalFormatting>
  <conditionalFormatting sqref="AP79:DR83">
    <cfRule type="expression" dxfId="8" priority="1">
      <formula>#REF!&lt;=Today</formula>
    </cfRule>
    <cfRule type="expression" dxfId="7" priority="2" stopIfTrue="1">
      <formula>AND(#REF!&gt;=#REF!+1,#REF!&lt;=#REF!+#REF!-2)</formula>
    </cfRule>
  </conditionalFormatting>
  <conditionalFormatting sqref="AQ11:AQ25 AQ8:DU10 AP15:AP23 AO7:DT7">
    <cfRule type="expression" dxfId="6" priority="14" stopIfTrue="1">
      <formula>AND(#REF!&gt;=#REF!+1,#REF!&lt;=#REF!+#REF!-2)</formula>
    </cfRule>
  </conditionalFormatting>
  <conditionalFormatting sqref="AR11:DU12 AR14:DU25">
    <cfRule type="expression" dxfId="5" priority="10">
      <formula>#REF!&lt;=Today</formula>
    </cfRule>
    <cfRule type="expression" dxfId="4" priority="13" stopIfTrue="1">
      <formula>AND(#REF!&gt;=#REF!+1,#REF!&lt;=#REF!+#REF!-2)</formula>
    </cfRule>
  </conditionalFormatting>
  <pageMargins left="0.7" right="0.7" top="0.75" bottom="0.75" header="0.3" footer="0.3"/>
  <pageSetup scale="22"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9697" r:id="rId4" name="Scroll Bar 1">
              <controlPr defaultSize="0" autoPict="0" altText="Scrollbar for scrolling through the Gantt Timeline.">
                <anchor moveWithCells="1">
                  <from>
                    <xdr:col>18</xdr:col>
                    <xdr:colOff>38100</xdr:colOff>
                    <xdr:row>23</xdr:row>
                    <xdr:rowOff>142875</xdr:rowOff>
                  </from>
                  <to>
                    <xdr:col>24</xdr:col>
                    <xdr:colOff>142875</xdr:colOff>
                    <xdr:row>25</xdr:row>
                    <xdr:rowOff>38100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iconSet" priority="16" id="{11B8DE43-BE8A-4186-A5DE-AA449FB858A9}">
            <x14:iconSet iconSet="3Stars" showValue="0" custom="1">
              <x14:cfvo type="percent">
                <xm:f>0</xm:f>
              </x14:cfvo>
              <x14:cfvo type="num">
                <xm:f>1</xm:f>
              </x14:cfvo>
              <x14:cfvo type="num">
                <xm:f>2</xm:f>
              </x14:cfvo>
              <x14:cfIcon iconSet="3Signs" iconId="1"/>
              <x14:cfIcon iconSet="3Flags" iconId="0"/>
              <x14:cfIcon iconSet="3Signs" iconId="0"/>
            </x14:iconSet>
          </x14:cfRule>
          <xm:sqref>P52:CI52</xm:sqref>
        </x14:conditionalFormatting>
        <x14:conditionalFormatting xmlns:xm="http://schemas.microsoft.com/office/excel/2006/main">
          <x14:cfRule type="iconSet" priority="6" id="{159FD3EF-0D00-4918-B540-C2655B91D0EC}">
            <x14:iconSet iconSet="3Stars" showValue="0" custom="1">
              <x14:cfvo type="percent">
                <xm:f>0</xm:f>
              </x14:cfvo>
              <x14:cfvo type="num">
                <xm:f>1</xm:f>
              </x14:cfvo>
              <x14:cfvo type="num">
                <xm:f>2</xm:f>
              </x14:cfvo>
              <x14:cfIcon iconSet="3Signs" iconId="1"/>
              <x14:cfIcon iconSet="3Flags" iconId="0"/>
              <x14:cfIcon iconSet="3Signs" iconId="0"/>
            </x14:iconSet>
          </x14:cfRule>
          <xm:sqref>AO7</xm:sqref>
        </x14:conditionalFormatting>
        <x14:conditionalFormatting xmlns:xm="http://schemas.microsoft.com/office/excel/2006/main">
          <x14:cfRule type="iconSet" priority="18" id="{8952E159-8216-41EC-9A00-6176EE9B3527}">
            <x14:iconSet iconSet="3Stars" showValue="0" custom="1">
              <x14:cfvo type="percent">
                <xm:f>0</xm:f>
              </x14:cfvo>
              <x14:cfvo type="num">
                <xm:f>1</xm:f>
              </x14:cfvo>
              <x14:cfvo type="num">
                <xm:f>2</xm:f>
              </x14:cfvo>
              <x14:cfIcon iconSet="3Signs" iconId="1"/>
              <x14:cfIcon iconSet="3Flags" iconId="0"/>
              <x14:cfIcon iconSet="3Signs" iconId="0"/>
            </x14:iconSet>
          </x14:cfRule>
          <xm:sqref>AP79:DR83</xm:sqref>
        </x14:conditionalFormatting>
        <x14:conditionalFormatting xmlns:xm="http://schemas.microsoft.com/office/excel/2006/main">
          <x14:cfRule type="iconSet" priority="17" id="{32C4EBB1-C3AF-4C89-A311-F2447EEDC37E}">
            <x14:iconSet iconSet="3Stars" showValue="0" custom="1">
              <x14:cfvo type="percent">
                <xm:f>0</xm:f>
              </x14:cfvo>
              <x14:cfvo type="num">
                <xm:f>1</xm:f>
              </x14:cfvo>
              <x14:cfvo type="num">
                <xm:f>2</xm:f>
              </x14:cfvo>
              <x14:cfIcon iconSet="3Signs" iconId="1"/>
              <x14:cfIcon iconSet="3Flags" iconId="0"/>
              <x14:cfIcon iconSet="3Signs" iconId="0"/>
            </x14:iconSet>
          </x14:cfRule>
          <xm:sqref>AP75:DU83 R75:CW84 P75:CT96 P30:DU36 P38:DU78 AA37:DU37 P30:CU84</xm:sqref>
        </x14:conditionalFormatting>
        <x14:conditionalFormatting xmlns:xm="http://schemas.microsoft.com/office/excel/2006/main">
          <x14:cfRule type="iconSet" priority="12" id="{C4D9873F-4604-46C4-84EF-1E6C84231C68}">
            <x14:iconSet iconSet="3Stars" showValue="0" custom="1">
              <x14:cfvo type="percent">
                <xm:f>0</xm:f>
              </x14:cfvo>
              <x14:cfvo type="num">
                <xm:f>1</xm:f>
              </x14:cfvo>
              <x14:cfvo type="num">
                <xm:f>2</xm:f>
              </x14:cfvo>
              <x14:cfIcon iconSet="3Signs" iconId="1"/>
              <x14:cfIcon iconSet="3Flags" iconId="0"/>
              <x14:cfIcon iconSet="3Signs" iconId="0"/>
            </x14:iconSet>
          </x14:cfRule>
          <xm:sqref>AQ11:AQ20</xm:sqref>
        </x14:conditionalFormatting>
        <x14:conditionalFormatting xmlns:xm="http://schemas.microsoft.com/office/excel/2006/main">
          <x14:cfRule type="iconSet" priority="23" id="{E473E98C-287A-46DB-A3C1-8B7E973AF915}">
            <x14:iconSet iconSet="3Stars" showValue="0" custom="1">
              <x14:cfvo type="percent">
                <xm:f>0</xm:f>
              </x14:cfvo>
              <x14:cfvo type="num">
                <xm:f>1</xm:f>
              </x14:cfvo>
              <x14:cfvo type="num">
                <xm:f>2</xm:f>
              </x14:cfvo>
              <x14:cfIcon iconSet="3Signs" iconId="1"/>
              <x14:cfIcon iconSet="3Flags" iconId="0"/>
              <x14:cfIcon iconSet="3Signs" iconId="0"/>
            </x14:iconSet>
          </x14:cfRule>
          <xm:sqref>AQ8:DL10 AP7:DK7 AR11:DL12 AR14:DL25 AP15:AQ23 DM15:DU25 R75:CW84 AQ24:AQ25 P75:CT96 P30:DU36 P38:DU78 AA37:DU37 P30:CU84</xm:sqref>
        </x14:conditionalFormatting>
        <x14:conditionalFormatting xmlns:xm="http://schemas.microsoft.com/office/excel/2006/main">
          <x14:cfRule type="iconSet" priority="7" id="{02E2F895-53F7-4353-B1B1-6B803807E861}">
            <x14:iconSet iconSet="3Stars" showValue="0" custom="1">
              <x14:cfvo type="percent">
                <xm:f>0</xm:f>
              </x14:cfvo>
              <x14:cfvo type="num">
                <xm:f>1</xm:f>
              </x14:cfvo>
              <x14:cfvo type="num">
                <xm:f>2</xm:f>
              </x14:cfvo>
              <x14:cfIcon iconSet="3Signs" iconId="1"/>
              <x14:cfIcon iconSet="3Flags" iconId="0"/>
              <x14:cfIcon iconSet="3Signs" iconId="0"/>
            </x14:iconSet>
          </x14:cfRule>
          <xm:sqref>CJ52:CO52</xm:sqref>
        </x14:conditionalFormatting>
        <x14:conditionalFormatting xmlns:xm="http://schemas.microsoft.com/office/excel/2006/main">
          <x14:cfRule type="iconSet" priority="21" id="{EC1D6B67-BED0-4DC7-97C6-919BB3551B69}">
            <x14:iconSet iconSet="3Stars" showValue="0" custom="1">
              <x14:cfvo type="percent">
                <xm:f>0</xm:f>
              </x14:cfvo>
              <x14:cfvo type="num">
                <xm:f>1</xm:f>
              </x14:cfvo>
              <x14:cfvo type="num">
                <xm:f>2</xm:f>
              </x14:cfvo>
              <x14:cfIcon iconSet="3Signs" iconId="1"/>
              <x14:cfIcon iconSet="3Flags" iconId="0"/>
              <x14:cfIcon iconSet="3Signs" iconId="0"/>
            </x14:iconSet>
          </x14:cfRule>
          <xm:sqref>CJ53:CO71 DM8:DR12 DL7:DQ7 DM14:DR19 DM22:DR25 CJ33:CO51 CI31:CN32</xm:sqref>
        </x14:conditionalFormatting>
        <x14:conditionalFormatting xmlns:xm="http://schemas.microsoft.com/office/excel/2006/main">
          <x14:cfRule type="iconSet" priority="8" id="{65B57FED-3C5D-4FE2-B960-7071AFE87695}">
            <x14:iconSet iconSet="3Stars" showValue="0" custom="1">
              <x14:cfvo type="percent">
                <xm:f>0</xm:f>
              </x14:cfvo>
              <x14:cfvo type="num">
                <xm:f>1</xm:f>
              </x14:cfvo>
              <x14:cfvo type="num">
                <xm:f>2</xm:f>
              </x14:cfvo>
              <x14:cfIcon iconSet="3Signs" iconId="1"/>
              <x14:cfIcon iconSet="3Flags" iconId="0"/>
              <x14:cfIcon iconSet="3Signs" iconId="0"/>
            </x14:iconSet>
          </x14:cfRule>
          <xm:sqref>CP52:CR52</xm:sqref>
        </x14:conditionalFormatting>
        <x14:conditionalFormatting xmlns:xm="http://schemas.microsoft.com/office/excel/2006/main">
          <x14:cfRule type="iconSet" priority="22" id="{E1FA3778-36D6-4EC4-B65E-1E331FF5D5CD}">
            <x14:iconSet iconSet="3Stars" showValue="0" custom="1">
              <x14:cfvo type="percent">
                <xm:f>0</xm:f>
              </x14:cfvo>
              <x14:cfvo type="num">
                <xm:f>1</xm:f>
              </x14:cfvo>
              <x14:cfvo type="num">
                <xm:f>2</xm:f>
              </x14:cfvo>
              <x14:cfIcon iconSet="3Signs" iconId="1"/>
              <x14:cfIcon iconSet="3Flags" iconId="0"/>
              <x14:cfIcon iconSet="3Signs" iconId="0"/>
            </x14:iconSet>
          </x14:cfRule>
          <xm:sqref>CP53:CR71 DS8:DU12 DR7:DT7 DS14:DU19 DS22:DU25 CP33:CR51 CO31:CQ32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B76BB-94C9-4AB0-BFDD-E403D15482C9}">
  <sheetPr codeName="Sheet9"/>
  <dimension ref="A1:E19"/>
  <sheetViews>
    <sheetView workbookViewId="0">
      <selection activeCell="E5" sqref="E5"/>
    </sheetView>
  </sheetViews>
  <sheetFormatPr defaultRowHeight="15"/>
  <cols>
    <col min="1" max="1" width="12.7109375" bestFit="1" customWidth="1"/>
    <col min="2" max="2" width="10.7109375" bestFit="1" customWidth="1"/>
  </cols>
  <sheetData>
    <row r="1" spans="1:5">
      <c r="A1" s="537" t="s">
        <v>451</v>
      </c>
      <c r="B1" s="537"/>
      <c r="C1" s="537"/>
      <c r="D1" s="537"/>
      <c r="E1" s="537"/>
    </row>
    <row r="3" spans="1:5">
      <c r="A3" s="3" t="s">
        <v>452</v>
      </c>
      <c r="B3" s="3" t="s">
        <v>453</v>
      </c>
      <c r="C3" s="13" t="s">
        <v>454</v>
      </c>
      <c r="D3" s="13" t="s">
        <v>455</v>
      </c>
      <c r="E3" s="3"/>
    </row>
    <row r="4" spans="1:5">
      <c r="A4" s="2"/>
      <c r="C4" s="14"/>
      <c r="D4" s="14"/>
      <c r="E4" s="14"/>
    </row>
    <row r="5" spans="1:5">
      <c r="A5" s="2" t="s">
        <v>765</v>
      </c>
      <c r="B5" s="12">
        <v>2024</v>
      </c>
      <c r="C5" s="14" t="s">
        <v>456</v>
      </c>
      <c r="D5" s="14">
        <v>2138.17</v>
      </c>
      <c r="E5" s="14"/>
    </row>
    <row r="6" spans="1:5">
      <c r="A6" s="2"/>
      <c r="C6" s="14"/>
      <c r="D6" s="14"/>
      <c r="E6" s="14"/>
    </row>
    <row r="7" spans="1:5">
      <c r="A7" s="2"/>
      <c r="C7" s="14"/>
      <c r="D7" s="14"/>
      <c r="E7" s="14"/>
    </row>
    <row r="8" spans="1:5">
      <c r="A8" s="2"/>
      <c r="C8" s="14"/>
      <c r="D8" s="14"/>
      <c r="E8" s="14"/>
    </row>
    <row r="9" spans="1:5">
      <c r="A9" s="2"/>
      <c r="C9" s="14"/>
      <c r="D9" s="14"/>
      <c r="E9" s="14"/>
    </row>
    <row r="10" spans="1:5">
      <c r="A10" s="2"/>
      <c r="C10" s="14"/>
      <c r="D10" s="14"/>
      <c r="E10" s="14"/>
    </row>
    <row r="11" spans="1:5">
      <c r="A11" s="2"/>
      <c r="C11" s="14"/>
      <c r="D11" s="14"/>
    </row>
    <row r="12" spans="1:5">
      <c r="A12" s="2"/>
      <c r="C12" s="14"/>
      <c r="D12" s="14"/>
    </row>
    <row r="13" spans="1:5">
      <c r="A13" s="2"/>
      <c r="C13" s="14"/>
      <c r="D13" s="14"/>
    </row>
    <row r="14" spans="1:5">
      <c r="A14" s="2"/>
      <c r="C14" s="14"/>
      <c r="D14" s="14"/>
    </row>
    <row r="15" spans="1:5">
      <c r="A15" s="2"/>
      <c r="C15" s="14"/>
      <c r="D15" s="14"/>
    </row>
    <row r="16" spans="1:5">
      <c r="A16" s="2"/>
      <c r="C16" s="14"/>
      <c r="D16" s="14"/>
    </row>
    <row r="17" spans="1:5">
      <c r="A17" s="2"/>
      <c r="C17" s="14"/>
      <c r="D17" s="14"/>
    </row>
    <row r="18" spans="1:5" ht="15.75" thickBot="1">
      <c r="A18" s="2"/>
      <c r="C18" s="14"/>
      <c r="D18" s="23"/>
      <c r="E18" s="23"/>
    </row>
    <row r="19" spans="1:5">
      <c r="A19" s="2"/>
      <c r="C19" s="14"/>
      <c r="D19" s="14"/>
      <c r="E19" s="5">
        <f>SUM(D4:D18)</f>
        <v>2138.17</v>
      </c>
    </row>
  </sheetData>
  <mergeCells count="1">
    <mergeCell ref="A1: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43769-E26D-4717-8496-30C9FE99907F}">
  <sheetPr codeName="Sheet10"/>
  <dimension ref="A1:Z1000"/>
  <sheetViews>
    <sheetView topLeftCell="A8" workbookViewId="0">
      <selection activeCell="G12" sqref="G12"/>
    </sheetView>
  </sheetViews>
  <sheetFormatPr defaultColWidth="16" defaultRowHeight="15"/>
  <cols>
    <col min="1" max="1" width="10.5703125" customWidth="1"/>
    <col min="2" max="2" width="8.140625" customWidth="1"/>
    <col min="3" max="3" width="18" customWidth="1"/>
    <col min="4" max="4" width="13.7109375" customWidth="1"/>
    <col min="5" max="5" width="13.85546875" customWidth="1"/>
    <col min="6" max="6" width="13.28515625" customWidth="1"/>
    <col min="7" max="7" width="6.85546875" customWidth="1"/>
    <col min="8" max="17" width="9.28515625" customWidth="1"/>
    <col min="18" max="26" width="11.28515625" customWidth="1"/>
  </cols>
  <sheetData>
    <row r="1" spans="1:26" ht="12.75" customHeight="1">
      <c r="A1" s="641" t="s">
        <v>457</v>
      </c>
      <c r="B1" s="642"/>
      <c r="C1" s="642"/>
      <c r="D1" s="642"/>
      <c r="E1" s="43"/>
      <c r="F1" s="44"/>
      <c r="G1" s="45"/>
      <c r="H1" s="45"/>
      <c r="I1" s="45"/>
      <c r="J1" s="45"/>
      <c r="K1" s="45"/>
      <c r="L1" s="45"/>
      <c r="M1" s="45"/>
      <c r="N1" s="45"/>
      <c r="O1" s="45"/>
      <c r="P1" s="45"/>
      <c r="Q1" s="45"/>
      <c r="R1" s="45"/>
      <c r="S1" s="45"/>
      <c r="T1" s="45"/>
      <c r="U1" s="45"/>
      <c r="V1" s="45"/>
      <c r="W1" s="45"/>
      <c r="X1" s="45"/>
      <c r="Y1" s="45"/>
      <c r="Z1" s="45"/>
    </row>
    <row r="2" spans="1:26" ht="11.25" customHeight="1">
      <c r="A2" s="643"/>
      <c r="B2" s="644"/>
      <c r="C2" s="644"/>
      <c r="D2" s="644"/>
      <c r="E2" s="46"/>
      <c r="F2" s="47"/>
      <c r="G2" s="45"/>
      <c r="H2" s="45"/>
      <c r="I2" s="45"/>
      <c r="J2" s="45"/>
      <c r="K2" s="45"/>
      <c r="L2" s="45"/>
      <c r="M2" s="45"/>
      <c r="N2" s="45"/>
      <c r="O2" s="45"/>
      <c r="P2" s="45"/>
      <c r="Q2" s="45"/>
      <c r="R2" s="45"/>
      <c r="S2" s="45"/>
      <c r="T2" s="45"/>
      <c r="U2" s="45"/>
      <c r="V2" s="45"/>
      <c r="W2" s="45"/>
      <c r="X2" s="45"/>
      <c r="Y2" s="45"/>
      <c r="Z2" s="45"/>
    </row>
    <row r="3" spans="1:26" ht="18" customHeight="1">
      <c r="A3" s="48" t="s">
        <v>458</v>
      </c>
      <c r="B3" s="645" t="s">
        <v>459</v>
      </c>
      <c r="C3" s="646"/>
      <c r="D3" s="647"/>
      <c r="E3" s="648"/>
      <c r="F3" s="49"/>
      <c r="G3" s="45"/>
      <c r="H3" s="45"/>
      <c r="I3" s="45"/>
      <c r="J3" s="45"/>
      <c r="K3" s="45"/>
      <c r="L3" s="45"/>
      <c r="M3" s="45"/>
      <c r="N3" s="45"/>
      <c r="O3" s="45"/>
      <c r="P3" s="45"/>
      <c r="Q3" s="45"/>
      <c r="R3" s="45"/>
      <c r="S3" s="45"/>
      <c r="T3" s="45"/>
      <c r="U3" s="45"/>
      <c r="V3" s="45"/>
      <c r="W3" s="45"/>
      <c r="X3" s="45"/>
      <c r="Y3" s="45"/>
      <c r="Z3" s="45"/>
    </row>
    <row r="4" spans="1:26" ht="13.5" customHeight="1">
      <c r="A4" s="50" t="s">
        <v>460</v>
      </c>
      <c r="B4" s="649" t="s">
        <v>459</v>
      </c>
      <c r="C4" s="537"/>
      <c r="D4" s="537"/>
      <c r="E4" s="537"/>
      <c r="F4" s="51"/>
      <c r="G4" s="45"/>
      <c r="H4" s="45"/>
      <c r="I4" s="45"/>
      <c r="J4" s="45"/>
      <c r="K4" s="45"/>
      <c r="L4" s="45"/>
      <c r="M4" s="45"/>
      <c r="N4" s="45"/>
      <c r="O4" s="45"/>
      <c r="P4" s="45"/>
      <c r="Q4" s="45"/>
      <c r="R4" s="45"/>
      <c r="S4" s="45"/>
      <c r="T4" s="45"/>
      <c r="U4" s="45"/>
      <c r="V4" s="45"/>
      <c r="W4" s="45"/>
      <c r="X4" s="45"/>
      <c r="Y4" s="45"/>
      <c r="Z4" s="45"/>
    </row>
    <row r="5" spans="1:26" ht="15.75" customHeight="1">
      <c r="A5" s="50" t="s">
        <v>461</v>
      </c>
      <c r="B5" s="640" t="s">
        <v>459</v>
      </c>
      <c r="C5" s="537"/>
      <c r="D5" s="52"/>
      <c r="E5" s="45"/>
      <c r="F5" s="51"/>
      <c r="G5" s="45"/>
      <c r="H5" s="45"/>
      <c r="I5" s="45"/>
      <c r="J5" s="45"/>
      <c r="K5" s="45"/>
      <c r="L5" s="45"/>
      <c r="M5" s="45"/>
      <c r="N5" s="45"/>
      <c r="O5" s="45"/>
      <c r="P5" s="45"/>
      <c r="Q5" s="45"/>
      <c r="R5" s="45"/>
      <c r="S5" s="45"/>
      <c r="T5" s="45"/>
      <c r="U5" s="45"/>
      <c r="V5" s="45"/>
      <c r="W5" s="45"/>
      <c r="X5" s="45"/>
      <c r="Y5" s="45"/>
      <c r="Z5" s="45"/>
    </row>
    <row r="6" spans="1:26" ht="41.25" customHeight="1">
      <c r="A6" s="53"/>
      <c r="B6" s="652" t="s">
        <v>462</v>
      </c>
      <c r="C6" s="653"/>
      <c r="D6" s="54" t="s">
        <v>463</v>
      </c>
      <c r="E6" s="54" t="s">
        <v>464</v>
      </c>
      <c r="F6" s="55" t="s">
        <v>465</v>
      </c>
      <c r="G6" s="56"/>
      <c r="H6" s="45"/>
      <c r="I6" s="45"/>
      <c r="J6" s="45"/>
      <c r="K6" s="45"/>
      <c r="L6" s="45"/>
      <c r="M6" s="45"/>
      <c r="N6" s="45"/>
      <c r="O6" s="57"/>
      <c r="P6" s="45"/>
      <c r="Q6" s="45"/>
      <c r="R6" s="45"/>
      <c r="S6" s="45"/>
      <c r="T6" s="45"/>
      <c r="U6" s="45"/>
      <c r="V6" s="45"/>
      <c r="W6" s="45"/>
      <c r="X6" s="45"/>
      <c r="Y6" s="45"/>
      <c r="Z6" s="45"/>
    </row>
    <row r="7" spans="1:26" ht="13.5" customHeight="1">
      <c r="A7" s="58">
        <v>100</v>
      </c>
      <c r="B7" s="650" t="s">
        <v>466</v>
      </c>
      <c r="C7" s="651"/>
      <c r="D7" s="59">
        <v>0</v>
      </c>
      <c r="E7" s="59">
        <v>0</v>
      </c>
      <c r="F7" s="60">
        <f t="shared" ref="F7:F48" si="0">SUM(D7-E7)</f>
        <v>0</v>
      </c>
      <c r="G7" s="56"/>
      <c r="H7" s="45"/>
      <c r="I7" s="45"/>
      <c r="J7" s="45"/>
      <c r="K7" s="45"/>
      <c r="L7" s="45"/>
      <c r="M7" s="45"/>
      <c r="N7" s="45"/>
      <c r="O7" s="57"/>
      <c r="P7" s="45"/>
      <c r="Q7" s="45"/>
      <c r="R7" s="45"/>
      <c r="S7" s="45"/>
      <c r="T7" s="45"/>
      <c r="U7" s="45"/>
      <c r="V7" s="45"/>
      <c r="W7" s="45"/>
      <c r="X7" s="45"/>
      <c r="Y7" s="45"/>
      <c r="Z7" s="45"/>
    </row>
    <row r="8" spans="1:26" ht="13.5" customHeight="1">
      <c r="A8" s="58">
        <v>1000</v>
      </c>
      <c r="B8" s="650" t="s">
        <v>467</v>
      </c>
      <c r="C8" s="651"/>
      <c r="D8" s="59">
        <v>0</v>
      </c>
      <c r="E8" s="59">
        <v>0</v>
      </c>
      <c r="F8" s="60">
        <f t="shared" si="0"/>
        <v>0</v>
      </c>
      <c r="G8" s="56"/>
      <c r="H8" s="45"/>
      <c r="I8" s="45"/>
      <c r="J8" s="45"/>
      <c r="K8" s="45"/>
      <c r="L8" s="45"/>
      <c r="M8" s="45"/>
      <c r="N8" s="45"/>
      <c r="O8" s="57"/>
      <c r="P8" s="45"/>
      <c r="Q8" s="45"/>
      <c r="R8" s="45"/>
      <c r="S8" s="45"/>
      <c r="T8" s="45"/>
      <c r="U8" s="45"/>
      <c r="V8" s="45"/>
      <c r="W8" s="45"/>
      <c r="X8" s="45"/>
      <c r="Y8" s="45"/>
      <c r="Z8" s="45"/>
    </row>
    <row r="9" spans="1:26" ht="13.5" customHeight="1">
      <c r="A9" s="58">
        <v>2000</v>
      </c>
      <c r="B9" s="650" t="s">
        <v>468</v>
      </c>
      <c r="C9" s="651"/>
      <c r="D9" s="59">
        <v>0</v>
      </c>
      <c r="E9" s="59">
        <v>0</v>
      </c>
      <c r="F9" s="60">
        <f t="shared" si="0"/>
        <v>0</v>
      </c>
      <c r="G9" s="56"/>
      <c r="H9" s="45"/>
      <c r="I9" s="45"/>
      <c r="J9" s="45"/>
      <c r="K9" s="45"/>
      <c r="L9" s="45"/>
      <c r="M9" s="45"/>
      <c r="N9" s="45"/>
      <c r="O9" s="45"/>
      <c r="P9" s="45"/>
      <c r="Q9" s="45"/>
      <c r="R9" s="45"/>
      <c r="S9" s="45"/>
      <c r="T9" s="45"/>
      <c r="U9" s="45"/>
      <c r="V9" s="45"/>
      <c r="W9" s="45"/>
      <c r="X9" s="45"/>
      <c r="Y9" s="45"/>
      <c r="Z9" s="45"/>
    </row>
    <row r="10" spans="1:26" ht="13.5" customHeight="1">
      <c r="A10" s="58">
        <v>3000</v>
      </c>
      <c r="B10" s="650" t="s">
        <v>469</v>
      </c>
      <c r="C10" s="651"/>
      <c r="D10" s="59">
        <v>0</v>
      </c>
      <c r="E10" s="59">
        <v>0</v>
      </c>
      <c r="F10" s="60">
        <f t="shared" si="0"/>
        <v>0</v>
      </c>
      <c r="G10" s="56"/>
      <c r="H10" s="45"/>
      <c r="I10" s="45"/>
      <c r="J10" s="45"/>
      <c r="K10" s="45"/>
      <c r="L10" s="45"/>
      <c r="M10" s="45"/>
      <c r="N10" s="45"/>
      <c r="O10" s="45"/>
      <c r="P10" s="45"/>
      <c r="Q10" s="45"/>
      <c r="R10" s="45"/>
      <c r="S10" s="45"/>
      <c r="T10" s="45"/>
      <c r="U10" s="45"/>
      <c r="V10" s="45"/>
      <c r="W10" s="45"/>
      <c r="X10" s="45"/>
      <c r="Y10" s="45"/>
      <c r="Z10" s="45"/>
    </row>
    <row r="11" spans="1:26" ht="13.5" customHeight="1">
      <c r="A11" s="58">
        <v>4000</v>
      </c>
      <c r="B11" s="650" t="s">
        <v>470</v>
      </c>
      <c r="C11" s="651"/>
      <c r="D11" s="59">
        <v>0</v>
      </c>
      <c r="E11" s="59">
        <v>0</v>
      </c>
      <c r="F11" s="60">
        <f t="shared" si="0"/>
        <v>0</v>
      </c>
      <c r="G11" s="56"/>
      <c r="H11" s="45"/>
      <c r="I11" s="45"/>
      <c r="J11" s="45"/>
      <c r="K11" s="45"/>
      <c r="L11" s="45"/>
      <c r="M11" s="45"/>
      <c r="N11" s="45"/>
      <c r="O11" s="45"/>
      <c r="P11" s="45"/>
      <c r="Q11" s="45"/>
      <c r="R11" s="45"/>
      <c r="S11" s="45"/>
      <c r="T11" s="45"/>
      <c r="U11" s="45"/>
      <c r="V11" s="45"/>
      <c r="W11" s="45"/>
      <c r="X11" s="45"/>
      <c r="Y11" s="45"/>
      <c r="Z11" s="45"/>
    </row>
    <row r="12" spans="1:26" ht="13.5" customHeight="1">
      <c r="A12" s="58">
        <v>5000</v>
      </c>
      <c r="B12" s="61" t="s">
        <v>471</v>
      </c>
      <c r="C12" s="61"/>
      <c r="D12" s="59">
        <v>0</v>
      </c>
      <c r="E12" s="59">
        <v>0</v>
      </c>
      <c r="F12" s="60">
        <f t="shared" si="0"/>
        <v>0</v>
      </c>
      <c r="G12" s="56"/>
      <c r="H12" s="45"/>
      <c r="I12" s="45"/>
      <c r="J12" s="45"/>
      <c r="K12" s="45"/>
      <c r="L12" s="45"/>
      <c r="M12" s="45"/>
      <c r="N12" s="45"/>
      <c r="O12" s="45"/>
      <c r="P12" s="45"/>
      <c r="Q12" s="45"/>
      <c r="R12" s="45"/>
      <c r="S12" s="45"/>
      <c r="T12" s="45"/>
      <c r="U12" s="45"/>
      <c r="V12" s="45"/>
      <c r="W12" s="45"/>
      <c r="X12" s="45"/>
      <c r="Y12" s="45"/>
      <c r="Z12" s="45"/>
    </row>
    <row r="13" spans="1:26" ht="13.5" customHeight="1">
      <c r="A13" s="58">
        <v>6000</v>
      </c>
      <c r="B13" s="61" t="s">
        <v>472</v>
      </c>
      <c r="C13" s="61"/>
      <c r="D13" s="59">
        <v>0</v>
      </c>
      <c r="E13" s="59">
        <v>0</v>
      </c>
      <c r="F13" s="60">
        <f t="shared" si="0"/>
        <v>0</v>
      </c>
      <c r="G13" s="56"/>
      <c r="H13" s="45"/>
      <c r="I13" s="45"/>
      <c r="J13" s="45"/>
      <c r="K13" s="45"/>
      <c r="L13" s="45"/>
      <c r="M13" s="45"/>
      <c r="N13" s="45"/>
      <c r="O13" s="45"/>
      <c r="P13" s="45"/>
      <c r="Q13" s="45"/>
      <c r="R13" s="45"/>
      <c r="S13" s="45"/>
      <c r="T13" s="45"/>
      <c r="U13" s="45"/>
      <c r="V13" s="45"/>
      <c r="W13" s="45"/>
      <c r="X13" s="45"/>
      <c r="Y13" s="45"/>
      <c r="Z13" s="45"/>
    </row>
    <row r="14" spans="1:26" ht="13.5" customHeight="1">
      <c r="A14" s="58">
        <v>7000</v>
      </c>
      <c r="B14" s="61" t="s">
        <v>473</v>
      </c>
      <c r="C14" s="61"/>
      <c r="D14" s="59">
        <v>0</v>
      </c>
      <c r="E14" s="59">
        <v>0</v>
      </c>
      <c r="F14" s="60">
        <f t="shared" si="0"/>
        <v>0</v>
      </c>
      <c r="G14" s="56"/>
      <c r="H14" s="45"/>
      <c r="I14" s="45"/>
      <c r="J14" s="45"/>
      <c r="K14" s="45"/>
      <c r="L14" s="45"/>
      <c r="M14" s="45"/>
      <c r="N14" s="45"/>
      <c r="O14" s="45"/>
      <c r="P14" s="45"/>
      <c r="Q14" s="45"/>
      <c r="R14" s="45"/>
      <c r="S14" s="45"/>
      <c r="T14" s="45"/>
      <c r="U14" s="45"/>
      <c r="V14" s="45"/>
      <c r="W14" s="45"/>
      <c r="X14" s="45"/>
      <c r="Y14" s="45"/>
      <c r="Z14" s="45"/>
    </row>
    <row r="15" spans="1:26" ht="13.5" customHeight="1">
      <c r="A15" s="58">
        <v>8000</v>
      </c>
      <c r="B15" s="61" t="s">
        <v>474</v>
      </c>
      <c r="C15" s="61"/>
      <c r="D15" s="59">
        <v>0</v>
      </c>
      <c r="E15" s="59">
        <v>0</v>
      </c>
      <c r="F15" s="60">
        <f t="shared" si="0"/>
        <v>0</v>
      </c>
      <c r="G15" s="56"/>
      <c r="H15" s="45"/>
      <c r="I15" s="45"/>
      <c r="J15" s="45"/>
      <c r="K15" s="45"/>
      <c r="L15" s="45"/>
      <c r="M15" s="45"/>
      <c r="N15" s="45"/>
      <c r="O15" s="45"/>
      <c r="P15" s="45"/>
      <c r="Q15" s="45"/>
      <c r="R15" s="45"/>
      <c r="S15" s="45"/>
      <c r="T15" s="45"/>
      <c r="U15" s="45"/>
      <c r="V15" s="45"/>
      <c r="W15" s="45"/>
      <c r="X15" s="45"/>
      <c r="Y15" s="45"/>
      <c r="Z15" s="45"/>
    </row>
    <row r="16" spans="1:26" ht="13.5" customHeight="1">
      <c r="A16" s="58">
        <v>9000</v>
      </c>
      <c r="B16" s="650" t="s">
        <v>475</v>
      </c>
      <c r="C16" s="651"/>
      <c r="D16" s="59">
        <v>0</v>
      </c>
      <c r="E16" s="62">
        <v>0</v>
      </c>
      <c r="F16" s="60">
        <f t="shared" si="0"/>
        <v>0</v>
      </c>
      <c r="G16" s="56"/>
      <c r="H16" s="45"/>
      <c r="I16" s="45"/>
      <c r="J16" s="45"/>
      <c r="K16" s="45"/>
      <c r="L16" s="45"/>
      <c r="M16" s="45"/>
      <c r="N16" s="45"/>
      <c r="O16" s="45"/>
      <c r="P16" s="45"/>
      <c r="Q16" s="45"/>
      <c r="R16" s="45"/>
      <c r="S16" s="45"/>
      <c r="T16" s="45"/>
      <c r="U16" s="45"/>
      <c r="V16" s="45"/>
      <c r="W16" s="45"/>
      <c r="X16" s="45"/>
      <c r="Y16" s="45"/>
      <c r="Z16" s="45"/>
    </row>
    <row r="17" spans="1:26" ht="13.5" customHeight="1">
      <c r="A17" s="58">
        <v>10000</v>
      </c>
      <c r="B17" s="650" t="s">
        <v>476</v>
      </c>
      <c r="C17" s="651"/>
      <c r="D17" s="59">
        <v>0</v>
      </c>
      <c r="E17" s="59">
        <v>0</v>
      </c>
      <c r="F17" s="60">
        <f t="shared" si="0"/>
        <v>0</v>
      </c>
      <c r="G17" s="56"/>
      <c r="H17" s="45"/>
      <c r="I17" s="45"/>
      <c r="J17" s="45"/>
      <c r="K17" s="45"/>
      <c r="L17" s="45"/>
      <c r="M17" s="45"/>
      <c r="N17" s="45"/>
      <c r="O17" s="45"/>
      <c r="P17" s="45"/>
      <c r="Q17" s="45"/>
      <c r="R17" s="45"/>
      <c r="S17" s="45"/>
      <c r="T17" s="45"/>
      <c r="U17" s="45"/>
      <c r="V17" s="45"/>
      <c r="W17" s="45"/>
      <c r="X17" s="45"/>
      <c r="Y17" s="45"/>
      <c r="Z17" s="45"/>
    </row>
    <row r="18" spans="1:26" ht="13.5" customHeight="1">
      <c r="A18" s="58">
        <v>11000</v>
      </c>
      <c r="B18" s="650" t="s">
        <v>477</v>
      </c>
      <c r="C18" s="651"/>
      <c r="D18" s="59">
        <v>0</v>
      </c>
      <c r="E18" s="59">
        <v>0</v>
      </c>
      <c r="F18" s="60">
        <f t="shared" si="0"/>
        <v>0</v>
      </c>
      <c r="G18" s="56"/>
      <c r="H18" s="45"/>
      <c r="I18" s="45"/>
      <c r="J18" s="45"/>
      <c r="K18" s="45"/>
      <c r="L18" s="45"/>
      <c r="M18" s="45"/>
      <c r="N18" s="45"/>
      <c r="O18" s="45"/>
      <c r="P18" s="45"/>
      <c r="Q18" s="45"/>
      <c r="R18" s="45"/>
      <c r="S18" s="45"/>
      <c r="T18" s="45"/>
      <c r="U18" s="45"/>
      <c r="V18" s="45"/>
      <c r="W18" s="45"/>
      <c r="X18" s="45"/>
      <c r="Y18" s="45"/>
      <c r="Z18" s="45"/>
    </row>
    <row r="19" spans="1:26" ht="13.5" customHeight="1">
      <c r="A19" s="58">
        <v>12000</v>
      </c>
      <c r="B19" s="650" t="s">
        <v>478</v>
      </c>
      <c r="C19" s="651"/>
      <c r="D19" s="59">
        <v>0</v>
      </c>
      <c r="E19" s="59">
        <v>0</v>
      </c>
      <c r="F19" s="60">
        <f t="shared" si="0"/>
        <v>0</v>
      </c>
      <c r="G19" s="56"/>
      <c r="H19" s="45"/>
      <c r="I19" s="45"/>
      <c r="J19" s="45"/>
      <c r="K19" s="45"/>
      <c r="L19" s="45"/>
      <c r="M19" s="45"/>
      <c r="N19" s="45"/>
      <c r="O19" s="45"/>
      <c r="P19" s="45"/>
      <c r="Q19" s="45"/>
      <c r="R19" s="45"/>
      <c r="S19" s="45"/>
      <c r="T19" s="45"/>
      <c r="U19" s="45"/>
      <c r="V19" s="45"/>
      <c r="W19" s="45"/>
      <c r="X19" s="45"/>
      <c r="Y19" s="45"/>
      <c r="Z19" s="45"/>
    </row>
    <row r="20" spans="1:26" ht="13.5" customHeight="1">
      <c r="A20" s="58">
        <v>13000</v>
      </c>
      <c r="B20" s="650" t="s">
        <v>387</v>
      </c>
      <c r="C20" s="651"/>
      <c r="D20" s="59">
        <v>0</v>
      </c>
      <c r="E20" s="59">
        <v>0</v>
      </c>
      <c r="F20" s="60">
        <f t="shared" si="0"/>
        <v>0</v>
      </c>
      <c r="G20" s="56"/>
      <c r="H20" s="45"/>
      <c r="I20" s="45"/>
      <c r="J20" s="45"/>
      <c r="K20" s="45"/>
      <c r="L20" s="45"/>
      <c r="M20" s="45"/>
      <c r="N20" s="45"/>
      <c r="O20" s="45"/>
      <c r="P20" s="45"/>
      <c r="Q20" s="45"/>
      <c r="R20" s="45"/>
      <c r="S20" s="45"/>
      <c r="T20" s="45"/>
      <c r="U20" s="45"/>
      <c r="V20" s="45"/>
      <c r="W20" s="45"/>
      <c r="X20" s="45"/>
      <c r="Y20" s="45"/>
      <c r="Z20" s="45"/>
    </row>
    <row r="21" spans="1:26" ht="13.5" customHeight="1">
      <c r="A21" s="58">
        <v>14000</v>
      </c>
      <c r="B21" s="650" t="s">
        <v>479</v>
      </c>
      <c r="C21" s="651"/>
      <c r="D21" s="59">
        <v>0</v>
      </c>
      <c r="E21" s="59">
        <v>0</v>
      </c>
      <c r="F21" s="60">
        <f t="shared" si="0"/>
        <v>0</v>
      </c>
      <c r="G21" s="56"/>
      <c r="H21" s="45"/>
      <c r="I21" s="45"/>
      <c r="J21" s="45"/>
      <c r="K21" s="45"/>
      <c r="L21" s="45"/>
      <c r="M21" s="45"/>
      <c r="N21" s="45"/>
      <c r="O21" s="45"/>
      <c r="P21" s="45"/>
      <c r="Q21" s="45"/>
      <c r="R21" s="45"/>
      <c r="S21" s="45"/>
      <c r="T21" s="45"/>
      <c r="U21" s="45"/>
      <c r="V21" s="45"/>
      <c r="W21" s="45"/>
      <c r="X21" s="45"/>
      <c r="Y21" s="45"/>
      <c r="Z21" s="45"/>
    </row>
    <row r="22" spans="1:26" ht="13.5" customHeight="1">
      <c r="A22" s="58">
        <v>15000</v>
      </c>
      <c r="B22" s="650" t="s">
        <v>480</v>
      </c>
      <c r="C22" s="651"/>
      <c r="D22" s="59">
        <v>0</v>
      </c>
      <c r="E22" s="59">
        <v>0</v>
      </c>
      <c r="F22" s="60">
        <f t="shared" si="0"/>
        <v>0</v>
      </c>
      <c r="G22" s="63"/>
      <c r="H22" s="45"/>
      <c r="I22" s="45"/>
      <c r="J22" s="45"/>
      <c r="K22" s="45"/>
      <c r="L22" s="45"/>
      <c r="M22" s="45"/>
      <c r="N22" s="45"/>
      <c r="O22" s="45"/>
      <c r="P22" s="45"/>
      <c r="Q22" s="45"/>
      <c r="R22" s="45"/>
      <c r="S22" s="45"/>
      <c r="T22" s="45"/>
      <c r="U22" s="45"/>
      <c r="V22" s="45"/>
      <c r="W22" s="45"/>
      <c r="X22" s="45"/>
      <c r="Y22" s="45"/>
      <c r="Z22" s="45"/>
    </row>
    <row r="23" spans="1:26" ht="13.5" customHeight="1">
      <c r="A23" s="58">
        <v>16000</v>
      </c>
      <c r="B23" s="650" t="s">
        <v>481</v>
      </c>
      <c r="C23" s="651"/>
      <c r="D23" s="59">
        <v>0</v>
      </c>
      <c r="E23" s="59">
        <v>0</v>
      </c>
      <c r="F23" s="60">
        <f t="shared" si="0"/>
        <v>0</v>
      </c>
      <c r="G23" s="63"/>
      <c r="H23" s="45"/>
      <c r="I23" s="45"/>
      <c r="J23" s="45"/>
      <c r="K23" s="45"/>
      <c r="L23" s="45"/>
      <c r="M23" s="45"/>
      <c r="N23" s="45"/>
      <c r="O23" s="45"/>
      <c r="P23" s="45"/>
      <c r="Q23" s="45"/>
      <c r="R23" s="45"/>
      <c r="S23" s="45"/>
      <c r="T23" s="45"/>
      <c r="U23" s="45"/>
      <c r="V23" s="45"/>
      <c r="W23" s="45"/>
      <c r="X23" s="45"/>
      <c r="Y23" s="45"/>
      <c r="Z23" s="45"/>
    </row>
    <row r="24" spans="1:26" ht="13.5" customHeight="1">
      <c r="A24" s="58">
        <v>17000</v>
      </c>
      <c r="B24" s="650" t="s">
        <v>482</v>
      </c>
      <c r="C24" s="651"/>
      <c r="D24" s="59">
        <v>0</v>
      </c>
      <c r="E24" s="59">
        <v>0</v>
      </c>
      <c r="F24" s="60">
        <f t="shared" si="0"/>
        <v>0</v>
      </c>
      <c r="G24" s="63"/>
      <c r="H24" s="45"/>
      <c r="I24" s="45"/>
      <c r="J24" s="45"/>
      <c r="K24" s="45"/>
      <c r="L24" s="45"/>
      <c r="M24" s="45"/>
      <c r="N24" s="45"/>
      <c r="O24" s="45"/>
      <c r="P24" s="45"/>
      <c r="Q24" s="45"/>
      <c r="R24" s="45"/>
      <c r="S24" s="45"/>
      <c r="T24" s="45"/>
      <c r="U24" s="45"/>
      <c r="V24" s="45"/>
      <c r="W24" s="45"/>
      <c r="X24" s="45"/>
      <c r="Y24" s="45"/>
      <c r="Z24" s="45"/>
    </row>
    <row r="25" spans="1:26" ht="13.5" customHeight="1">
      <c r="A25" s="58">
        <v>18000</v>
      </c>
      <c r="B25" s="650" t="s">
        <v>483</v>
      </c>
      <c r="C25" s="651"/>
      <c r="D25" s="59">
        <v>0</v>
      </c>
      <c r="E25" s="59">
        <v>0</v>
      </c>
      <c r="F25" s="60">
        <f t="shared" si="0"/>
        <v>0</v>
      </c>
      <c r="G25" s="63"/>
      <c r="H25" s="45"/>
      <c r="I25" s="45"/>
      <c r="J25" s="45"/>
      <c r="K25" s="45"/>
      <c r="L25" s="45"/>
      <c r="M25" s="45"/>
      <c r="N25" s="45"/>
      <c r="O25" s="45"/>
      <c r="P25" s="45"/>
      <c r="Q25" s="45"/>
      <c r="R25" s="45"/>
      <c r="S25" s="45"/>
      <c r="T25" s="45"/>
      <c r="U25" s="45"/>
      <c r="V25" s="45"/>
      <c r="W25" s="45"/>
      <c r="X25" s="45"/>
      <c r="Y25" s="45"/>
      <c r="Z25" s="45"/>
    </row>
    <row r="26" spans="1:26" ht="13.5" customHeight="1">
      <c r="A26" s="58">
        <v>19000</v>
      </c>
      <c r="B26" s="650" t="s">
        <v>484</v>
      </c>
      <c r="C26" s="651"/>
      <c r="D26" s="59">
        <v>0</v>
      </c>
      <c r="E26" s="59">
        <v>0</v>
      </c>
      <c r="F26" s="60">
        <f t="shared" si="0"/>
        <v>0</v>
      </c>
      <c r="G26" s="63"/>
      <c r="H26" s="45"/>
      <c r="I26" s="45"/>
      <c r="J26" s="45"/>
      <c r="K26" s="45"/>
      <c r="L26" s="45"/>
      <c r="M26" s="45"/>
      <c r="N26" s="45"/>
      <c r="O26" s="45"/>
      <c r="P26" s="45"/>
      <c r="Q26" s="45"/>
      <c r="R26" s="45"/>
      <c r="S26" s="45"/>
      <c r="T26" s="45"/>
      <c r="U26" s="45"/>
      <c r="V26" s="45"/>
      <c r="W26" s="45"/>
      <c r="X26" s="45"/>
      <c r="Y26" s="45"/>
      <c r="Z26" s="45"/>
    </row>
    <row r="27" spans="1:26" ht="13.5" customHeight="1">
      <c r="A27" s="58">
        <v>20000</v>
      </c>
      <c r="B27" s="650" t="s">
        <v>485</v>
      </c>
      <c r="C27" s="651"/>
      <c r="D27" s="59">
        <v>0</v>
      </c>
      <c r="E27" s="59">
        <v>0</v>
      </c>
      <c r="F27" s="60">
        <f t="shared" si="0"/>
        <v>0</v>
      </c>
      <c r="G27" s="63"/>
      <c r="H27" s="45"/>
      <c r="I27" s="45"/>
      <c r="J27" s="45"/>
      <c r="K27" s="45"/>
      <c r="L27" s="45"/>
      <c r="M27" s="45"/>
      <c r="N27" s="45"/>
      <c r="O27" s="45"/>
      <c r="P27" s="45"/>
      <c r="Q27" s="45"/>
      <c r="R27" s="45"/>
      <c r="S27" s="45"/>
      <c r="T27" s="45"/>
      <c r="U27" s="45"/>
      <c r="V27" s="45"/>
      <c r="W27" s="45"/>
      <c r="X27" s="45"/>
      <c r="Y27" s="45"/>
      <c r="Z27" s="45"/>
    </row>
    <row r="28" spans="1:26" ht="13.5" customHeight="1">
      <c r="A28" s="58">
        <v>21000</v>
      </c>
      <c r="B28" s="650" t="s">
        <v>434</v>
      </c>
      <c r="C28" s="651"/>
      <c r="D28" s="59">
        <v>0</v>
      </c>
      <c r="E28" s="59">
        <v>0</v>
      </c>
      <c r="F28" s="60">
        <f t="shared" si="0"/>
        <v>0</v>
      </c>
      <c r="G28" s="63"/>
      <c r="H28" s="45"/>
      <c r="I28" s="45"/>
      <c r="J28" s="45"/>
      <c r="K28" s="45"/>
      <c r="L28" s="45"/>
      <c r="M28" s="45"/>
      <c r="N28" s="45"/>
      <c r="O28" s="45"/>
      <c r="P28" s="45"/>
      <c r="Q28" s="45"/>
      <c r="R28" s="45"/>
      <c r="S28" s="45"/>
      <c r="T28" s="45"/>
      <c r="U28" s="45"/>
      <c r="V28" s="45"/>
      <c r="W28" s="45"/>
      <c r="X28" s="45"/>
      <c r="Y28" s="45"/>
      <c r="Z28" s="45"/>
    </row>
    <row r="29" spans="1:26" ht="13.5" customHeight="1">
      <c r="A29" s="58">
        <v>22000</v>
      </c>
      <c r="B29" s="650" t="s">
        <v>486</v>
      </c>
      <c r="C29" s="651"/>
      <c r="D29" s="59">
        <v>0</v>
      </c>
      <c r="E29" s="59">
        <v>0</v>
      </c>
      <c r="F29" s="60">
        <f t="shared" si="0"/>
        <v>0</v>
      </c>
      <c r="G29" s="63"/>
      <c r="H29" s="45"/>
      <c r="I29" s="45"/>
      <c r="J29" s="45"/>
      <c r="K29" s="45"/>
      <c r="L29" s="45"/>
      <c r="M29" s="45"/>
      <c r="N29" s="45"/>
      <c r="O29" s="45"/>
      <c r="P29" s="45"/>
      <c r="Q29" s="45"/>
      <c r="R29" s="45"/>
      <c r="S29" s="45"/>
      <c r="T29" s="45"/>
      <c r="U29" s="45"/>
      <c r="V29" s="45"/>
      <c r="W29" s="45"/>
      <c r="X29" s="45"/>
      <c r="Y29" s="45"/>
      <c r="Z29" s="45"/>
    </row>
    <row r="30" spans="1:26" ht="13.5" customHeight="1">
      <c r="A30" s="58">
        <v>23000</v>
      </c>
      <c r="B30" s="650" t="s">
        <v>487</v>
      </c>
      <c r="C30" s="651"/>
      <c r="D30" s="59">
        <v>0</v>
      </c>
      <c r="E30" s="59">
        <v>0</v>
      </c>
      <c r="F30" s="60">
        <f t="shared" si="0"/>
        <v>0</v>
      </c>
      <c r="G30" s="63"/>
      <c r="H30" s="45"/>
      <c r="I30" s="45"/>
      <c r="J30" s="45"/>
      <c r="K30" s="45"/>
      <c r="L30" s="45"/>
      <c r="M30" s="45"/>
      <c r="N30" s="45"/>
      <c r="O30" s="45"/>
      <c r="P30" s="45"/>
      <c r="Q30" s="45"/>
      <c r="R30" s="45"/>
      <c r="S30" s="45"/>
      <c r="T30" s="45"/>
      <c r="U30" s="45"/>
      <c r="V30" s="45"/>
      <c r="W30" s="45"/>
      <c r="X30" s="45"/>
      <c r="Y30" s="45"/>
      <c r="Z30" s="45"/>
    </row>
    <row r="31" spans="1:26" ht="13.5" customHeight="1">
      <c r="A31" s="58">
        <v>24000</v>
      </c>
      <c r="B31" s="61" t="s">
        <v>341</v>
      </c>
      <c r="C31" s="64"/>
      <c r="D31" s="59">
        <v>0</v>
      </c>
      <c r="E31" s="59">
        <v>0</v>
      </c>
      <c r="F31" s="60">
        <f t="shared" si="0"/>
        <v>0</v>
      </c>
      <c r="G31" s="63"/>
      <c r="H31" s="45"/>
      <c r="I31" s="45"/>
      <c r="J31" s="45"/>
      <c r="K31" s="45"/>
      <c r="L31" s="45"/>
      <c r="M31" s="45"/>
      <c r="N31" s="45"/>
      <c r="O31" s="45"/>
      <c r="P31" s="45"/>
      <c r="Q31" s="45"/>
      <c r="R31" s="45"/>
      <c r="S31" s="45"/>
      <c r="T31" s="45"/>
      <c r="U31" s="45"/>
      <c r="V31" s="45"/>
      <c r="W31" s="45"/>
      <c r="X31" s="45"/>
      <c r="Y31" s="45"/>
      <c r="Z31" s="45"/>
    </row>
    <row r="32" spans="1:26" ht="13.5" customHeight="1">
      <c r="A32" s="58">
        <v>25000</v>
      </c>
      <c r="B32" s="61" t="s">
        <v>488</v>
      </c>
      <c r="C32" s="61"/>
      <c r="D32" s="59">
        <v>0</v>
      </c>
      <c r="E32" s="59">
        <v>0</v>
      </c>
      <c r="F32" s="60">
        <f t="shared" si="0"/>
        <v>0</v>
      </c>
      <c r="G32" s="63"/>
      <c r="H32" s="45"/>
      <c r="I32" s="45"/>
      <c r="J32" s="45"/>
      <c r="K32" s="45"/>
      <c r="L32" s="45"/>
      <c r="M32" s="45"/>
      <c r="N32" s="45"/>
      <c r="O32" s="45"/>
      <c r="P32" s="45"/>
      <c r="Q32" s="45"/>
      <c r="R32" s="45"/>
      <c r="S32" s="45"/>
      <c r="T32" s="45"/>
      <c r="U32" s="45"/>
      <c r="V32" s="45"/>
      <c r="W32" s="45"/>
      <c r="X32" s="45"/>
      <c r="Y32" s="45"/>
      <c r="Z32" s="45"/>
    </row>
    <row r="33" spans="1:26" ht="13.5" customHeight="1">
      <c r="A33" s="58">
        <v>26000</v>
      </c>
      <c r="B33" s="61" t="s">
        <v>389</v>
      </c>
      <c r="C33" s="64"/>
      <c r="D33" s="59">
        <v>0</v>
      </c>
      <c r="E33" s="59">
        <v>0</v>
      </c>
      <c r="F33" s="60">
        <f t="shared" si="0"/>
        <v>0</v>
      </c>
      <c r="G33" s="63"/>
      <c r="H33" s="45"/>
      <c r="I33" s="45"/>
      <c r="J33" s="45"/>
      <c r="K33" s="45"/>
      <c r="L33" s="45"/>
      <c r="M33" s="45"/>
      <c r="N33" s="45"/>
      <c r="O33" s="45"/>
      <c r="P33" s="45"/>
      <c r="Q33" s="45"/>
      <c r="R33" s="45"/>
      <c r="S33" s="45"/>
      <c r="T33" s="45"/>
      <c r="U33" s="45"/>
      <c r="V33" s="45"/>
      <c r="W33" s="45"/>
      <c r="X33" s="45"/>
      <c r="Y33" s="45"/>
      <c r="Z33" s="45"/>
    </row>
    <row r="34" spans="1:26" ht="13.5" customHeight="1">
      <c r="A34" s="58">
        <v>27000</v>
      </c>
      <c r="B34" s="61" t="s">
        <v>489</v>
      </c>
      <c r="C34" s="61"/>
      <c r="D34" s="59">
        <v>0</v>
      </c>
      <c r="E34" s="59">
        <v>0</v>
      </c>
      <c r="F34" s="60">
        <f t="shared" si="0"/>
        <v>0</v>
      </c>
      <c r="G34" s="63"/>
      <c r="H34" s="45"/>
      <c r="I34" s="45"/>
      <c r="J34" s="45"/>
      <c r="K34" s="45"/>
      <c r="L34" s="45"/>
      <c r="M34" s="45"/>
      <c r="N34" s="45"/>
      <c r="O34" s="45"/>
      <c r="P34" s="45"/>
      <c r="Q34" s="45"/>
      <c r="R34" s="45"/>
      <c r="S34" s="45"/>
      <c r="T34" s="45"/>
      <c r="U34" s="45"/>
      <c r="V34" s="45"/>
      <c r="W34" s="45"/>
      <c r="X34" s="45"/>
      <c r="Y34" s="45"/>
      <c r="Z34" s="45"/>
    </row>
    <row r="35" spans="1:26" ht="13.5" customHeight="1">
      <c r="A35" s="58">
        <v>28000</v>
      </c>
      <c r="B35" s="61" t="s">
        <v>490</v>
      </c>
      <c r="C35" s="61"/>
      <c r="D35" s="59">
        <v>0</v>
      </c>
      <c r="E35" s="59">
        <v>0</v>
      </c>
      <c r="F35" s="60">
        <f t="shared" si="0"/>
        <v>0</v>
      </c>
      <c r="G35" s="63"/>
      <c r="H35" s="45"/>
      <c r="I35" s="45"/>
      <c r="J35" s="45"/>
      <c r="K35" s="45"/>
      <c r="L35" s="45"/>
      <c r="M35" s="45"/>
      <c r="N35" s="45"/>
      <c r="O35" s="45"/>
      <c r="P35" s="45"/>
      <c r="Q35" s="45"/>
      <c r="R35" s="45"/>
      <c r="S35" s="45"/>
      <c r="T35" s="45"/>
      <c r="U35" s="45"/>
      <c r="V35" s="45"/>
      <c r="W35" s="45"/>
      <c r="X35" s="45"/>
      <c r="Y35" s="45"/>
      <c r="Z35" s="45"/>
    </row>
    <row r="36" spans="1:26" ht="13.5" customHeight="1">
      <c r="A36" s="58">
        <v>29000</v>
      </c>
      <c r="B36" s="61" t="s">
        <v>491</v>
      </c>
      <c r="C36" s="64"/>
      <c r="D36" s="59">
        <v>0</v>
      </c>
      <c r="E36" s="59">
        <v>0</v>
      </c>
      <c r="F36" s="60">
        <f t="shared" si="0"/>
        <v>0</v>
      </c>
      <c r="G36" s="63"/>
      <c r="H36" s="45"/>
      <c r="I36" s="45"/>
      <c r="J36" s="45"/>
      <c r="K36" s="45"/>
      <c r="L36" s="45"/>
      <c r="M36" s="45"/>
      <c r="N36" s="45"/>
      <c r="O36" s="45"/>
      <c r="P36" s="45"/>
      <c r="Q36" s="45"/>
      <c r="R36" s="45"/>
      <c r="S36" s="45"/>
      <c r="T36" s="45"/>
      <c r="U36" s="45"/>
      <c r="V36" s="45"/>
      <c r="W36" s="45"/>
      <c r="X36" s="45"/>
      <c r="Y36" s="45"/>
      <c r="Z36" s="45"/>
    </row>
    <row r="37" spans="1:26" ht="13.5" customHeight="1">
      <c r="A37" s="58">
        <v>30000</v>
      </c>
      <c r="B37" s="650" t="s">
        <v>492</v>
      </c>
      <c r="C37" s="651"/>
      <c r="D37" s="59">
        <v>0</v>
      </c>
      <c r="E37" s="62">
        <v>0</v>
      </c>
      <c r="F37" s="60">
        <f t="shared" si="0"/>
        <v>0</v>
      </c>
      <c r="G37" s="63"/>
      <c r="H37" s="45"/>
      <c r="I37" s="45"/>
      <c r="J37" s="45"/>
      <c r="K37" s="45"/>
      <c r="L37" s="45"/>
      <c r="M37" s="45"/>
      <c r="N37" s="45"/>
      <c r="O37" s="45"/>
      <c r="P37" s="45"/>
      <c r="Q37" s="45"/>
      <c r="R37" s="45"/>
      <c r="S37" s="45"/>
      <c r="T37" s="45"/>
      <c r="U37" s="45"/>
      <c r="V37" s="45"/>
      <c r="W37" s="45"/>
      <c r="X37" s="45"/>
      <c r="Y37" s="45"/>
      <c r="Z37" s="45"/>
    </row>
    <row r="38" spans="1:26" ht="13.5" customHeight="1">
      <c r="A38" s="58">
        <v>31000</v>
      </c>
      <c r="B38" s="61" t="s">
        <v>493</v>
      </c>
      <c r="C38" s="64"/>
      <c r="D38" s="59">
        <v>0</v>
      </c>
      <c r="E38" s="59">
        <v>0</v>
      </c>
      <c r="F38" s="60">
        <f t="shared" si="0"/>
        <v>0</v>
      </c>
      <c r="G38" s="63"/>
      <c r="H38" s="45"/>
      <c r="I38" s="45"/>
      <c r="J38" s="45"/>
      <c r="K38" s="45"/>
      <c r="L38" s="45"/>
      <c r="M38" s="45"/>
      <c r="N38" s="45"/>
      <c r="O38" s="45"/>
      <c r="P38" s="45"/>
      <c r="Q38" s="45"/>
      <c r="R38" s="45"/>
      <c r="S38" s="45"/>
      <c r="T38" s="45"/>
      <c r="U38" s="45"/>
      <c r="V38" s="45"/>
      <c r="W38" s="45"/>
      <c r="X38" s="45"/>
      <c r="Y38" s="45"/>
      <c r="Z38" s="45"/>
    </row>
    <row r="39" spans="1:26" ht="13.5" customHeight="1">
      <c r="A39" s="58">
        <v>32000</v>
      </c>
      <c r="B39" s="654" t="s">
        <v>494</v>
      </c>
      <c r="C39" s="651"/>
      <c r="D39" s="59">
        <v>0</v>
      </c>
      <c r="E39" s="65">
        <v>0</v>
      </c>
      <c r="F39" s="60">
        <f t="shared" si="0"/>
        <v>0</v>
      </c>
      <c r="G39" s="63"/>
      <c r="H39" s="45"/>
      <c r="I39" s="45"/>
      <c r="J39" s="45"/>
      <c r="K39" s="45"/>
      <c r="L39" s="45"/>
      <c r="M39" s="45"/>
      <c r="N39" s="45"/>
      <c r="O39" s="45"/>
      <c r="P39" s="45"/>
      <c r="Q39" s="45"/>
      <c r="R39" s="45"/>
      <c r="S39" s="45"/>
      <c r="T39" s="45"/>
      <c r="U39" s="45"/>
      <c r="V39" s="45"/>
      <c r="W39" s="45"/>
      <c r="X39" s="45"/>
      <c r="Y39" s="45"/>
      <c r="Z39" s="45"/>
    </row>
    <row r="40" spans="1:26" ht="13.5" customHeight="1">
      <c r="A40" s="58">
        <v>33000</v>
      </c>
      <c r="B40" s="654" t="s">
        <v>495</v>
      </c>
      <c r="C40" s="651"/>
      <c r="D40" s="59">
        <v>0</v>
      </c>
      <c r="E40" s="65">
        <v>0</v>
      </c>
      <c r="F40" s="60">
        <f t="shared" si="0"/>
        <v>0</v>
      </c>
      <c r="G40" s="63"/>
      <c r="H40" s="45"/>
      <c r="I40" s="45"/>
      <c r="J40" s="45"/>
      <c r="K40" s="45"/>
      <c r="L40" s="45"/>
      <c r="M40" s="45"/>
      <c r="N40" s="45"/>
      <c r="O40" s="45"/>
      <c r="P40" s="45"/>
      <c r="Q40" s="45"/>
      <c r="R40" s="45"/>
      <c r="S40" s="45"/>
      <c r="T40" s="45"/>
      <c r="U40" s="45"/>
      <c r="V40" s="45"/>
      <c r="W40" s="45"/>
      <c r="X40" s="45"/>
      <c r="Y40" s="45"/>
      <c r="Z40" s="45"/>
    </row>
    <row r="41" spans="1:26" ht="13.5" customHeight="1">
      <c r="A41" s="58">
        <v>34000</v>
      </c>
      <c r="B41" s="654" t="s">
        <v>496</v>
      </c>
      <c r="C41" s="651"/>
      <c r="D41" s="59">
        <v>0</v>
      </c>
      <c r="E41" s="65">
        <v>0</v>
      </c>
      <c r="F41" s="60">
        <f t="shared" si="0"/>
        <v>0</v>
      </c>
      <c r="G41" s="63"/>
      <c r="H41" s="45"/>
      <c r="I41" s="45"/>
      <c r="J41" s="45"/>
      <c r="K41" s="45"/>
      <c r="L41" s="45"/>
      <c r="M41" s="45"/>
      <c r="N41" s="45"/>
      <c r="O41" s="45"/>
      <c r="P41" s="45"/>
      <c r="Q41" s="45"/>
      <c r="R41" s="45"/>
      <c r="S41" s="45"/>
      <c r="T41" s="45"/>
      <c r="U41" s="45"/>
      <c r="V41" s="45"/>
      <c r="W41" s="45"/>
      <c r="X41" s="45"/>
      <c r="Y41" s="45"/>
      <c r="Z41" s="45"/>
    </row>
    <row r="42" spans="1:26" ht="13.5" customHeight="1">
      <c r="A42" s="58">
        <v>35000</v>
      </c>
      <c r="B42" s="654" t="s">
        <v>497</v>
      </c>
      <c r="C42" s="651"/>
      <c r="D42" s="59">
        <v>0</v>
      </c>
      <c r="E42" s="65">
        <v>0</v>
      </c>
      <c r="F42" s="60">
        <f t="shared" si="0"/>
        <v>0</v>
      </c>
      <c r="G42" s="63"/>
      <c r="H42" s="45"/>
      <c r="I42" s="45"/>
      <c r="J42" s="45"/>
      <c r="K42" s="45"/>
      <c r="L42" s="45"/>
      <c r="M42" s="45"/>
      <c r="N42" s="45"/>
      <c r="O42" s="45"/>
      <c r="P42" s="45"/>
      <c r="Q42" s="45"/>
      <c r="R42" s="45"/>
      <c r="S42" s="45"/>
      <c r="T42" s="45"/>
      <c r="U42" s="45"/>
      <c r="V42" s="45"/>
      <c r="W42" s="45"/>
      <c r="X42" s="45"/>
      <c r="Y42" s="45"/>
      <c r="Z42" s="45"/>
    </row>
    <row r="43" spans="1:26" ht="13.5" customHeight="1">
      <c r="A43" s="58">
        <v>36000</v>
      </c>
      <c r="B43" s="654" t="s">
        <v>498</v>
      </c>
      <c r="C43" s="651"/>
      <c r="D43" s="59">
        <v>0</v>
      </c>
      <c r="E43" s="65">
        <v>0</v>
      </c>
      <c r="F43" s="60">
        <f t="shared" si="0"/>
        <v>0</v>
      </c>
      <c r="G43" s="63"/>
      <c r="H43" s="45"/>
      <c r="I43" s="45"/>
      <c r="J43" s="45"/>
      <c r="K43" s="45"/>
      <c r="L43" s="45"/>
      <c r="M43" s="45"/>
      <c r="N43" s="45"/>
      <c r="O43" s="45"/>
      <c r="P43" s="45"/>
      <c r="Q43" s="45"/>
      <c r="R43" s="45"/>
      <c r="S43" s="45"/>
      <c r="T43" s="45"/>
      <c r="U43" s="45"/>
      <c r="V43" s="45"/>
      <c r="W43" s="45"/>
      <c r="X43" s="45"/>
      <c r="Y43" s="45"/>
      <c r="Z43" s="45"/>
    </row>
    <row r="44" spans="1:26" ht="13.5" customHeight="1">
      <c r="A44" s="58">
        <v>37000</v>
      </c>
      <c r="B44" s="654" t="s">
        <v>498</v>
      </c>
      <c r="C44" s="651"/>
      <c r="D44" s="59">
        <v>0</v>
      </c>
      <c r="E44" s="65">
        <v>0</v>
      </c>
      <c r="F44" s="60">
        <f t="shared" si="0"/>
        <v>0</v>
      </c>
      <c r="G44" s="63"/>
      <c r="H44" s="45"/>
      <c r="I44" s="45"/>
      <c r="J44" s="45"/>
      <c r="K44" s="45"/>
      <c r="L44" s="45"/>
      <c r="M44" s="45"/>
      <c r="N44" s="45"/>
      <c r="O44" s="45"/>
      <c r="P44" s="45"/>
      <c r="Q44" s="45"/>
      <c r="R44" s="45"/>
      <c r="S44" s="45"/>
      <c r="T44" s="45"/>
      <c r="U44" s="45"/>
      <c r="V44" s="45"/>
      <c r="W44" s="45"/>
      <c r="X44" s="45"/>
      <c r="Y44" s="45"/>
      <c r="Z44" s="45"/>
    </row>
    <row r="45" spans="1:26" ht="13.5" customHeight="1">
      <c r="A45" s="58">
        <v>38000</v>
      </c>
      <c r="B45" s="654" t="s">
        <v>498</v>
      </c>
      <c r="C45" s="651"/>
      <c r="D45" s="59">
        <v>0</v>
      </c>
      <c r="E45" s="65">
        <v>0</v>
      </c>
      <c r="F45" s="60">
        <f t="shared" si="0"/>
        <v>0</v>
      </c>
      <c r="G45" s="63"/>
      <c r="H45" s="45"/>
      <c r="I45" s="45"/>
      <c r="J45" s="45"/>
      <c r="K45" s="45"/>
      <c r="L45" s="45"/>
      <c r="M45" s="45"/>
      <c r="N45" s="45"/>
      <c r="O45" s="45"/>
      <c r="P45" s="45"/>
      <c r="Q45" s="45"/>
      <c r="R45" s="45"/>
      <c r="S45" s="45"/>
      <c r="T45" s="45"/>
      <c r="U45" s="45"/>
      <c r="V45" s="45"/>
      <c r="W45" s="45"/>
      <c r="X45" s="45"/>
      <c r="Y45" s="45"/>
      <c r="Z45" s="45"/>
    </row>
    <row r="46" spans="1:26" ht="13.5" customHeight="1">
      <c r="A46" s="58">
        <v>39000</v>
      </c>
      <c r="B46" s="61" t="s">
        <v>499</v>
      </c>
      <c r="C46" s="64"/>
      <c r="D46" s="59">
        <v>0</v>
      </c>
      <c r="E46" s="59">
        <v>0</v>
      </c>
      <c r="F46" s="60">
        <f t="shared" si="0"/>
        <v>0</v>
      </c>
      <c r="G46" s="63"/>
      <c r="H46" s="45"/>
      <c r="I46" s="45"/>
      <c r="J46" s="45"/>
      <c r="K46" s="45"/>
      <c r="L46" s="45"/>
      <c r="M46" s="45"/>
      <c r="N46" s="45"/>
      <c r="O46" s="45"/>
      <c r="P46" s="45"/>
      <c r="Q46" s="45"/>
      <c r="R46" s="45"/>
      <c r="S46" s="45"/>
      <c r="T46" s="45"/>
      <c r="U46" s="45"/>
      <c r="V46" s="45"/>
      <c r="W46" s="45"/>
      <c r="X46" s="45"/>
      <c r="Y46" s="45"/>
      <c r="Z46" s="45"/>
    </row>
    <row r="47" spans="1:26" ht="13.5" customHeight="1">
      <c r="A47" s="58">
        <v>40000</v>
      </c>
      <c r="B47" s="650" t="s">
        <v>500</v>
      </c>
      <c r="C47" s="651"/>
      <c r="D47" s="59">
        <v>0</v>
      </c>
      <c r="E47" s="62">
        <v>0</v>
      </c>
      <c r="F47" s="60">
        <f t="shared" si="0"/>
        <v>0</v>
      </c>
      <c r="G47" s="63"/>
      <c r="H47" s="45"/>
      <c r="I47" s="45"/>
      <c r="J47" s="45"/>
      <c r="K47" s="45"/>
      <c r="L47" s="45"/>
      <c r="M47" s="45"/>
      <c r="N47" s="45"/>
      <c r="O47" s="45"/>
      <c r="P47" s="45"/>
      <c r="Q47" s="45"/>
      <c r="R47" s="45"/>
      <c r="S47" s="45"/>
      <c r="T47" s="45"/>
      <c r="U47" s="45"/>
      <c r="V47" s="45"/>
      <c r="W47" s="45"/>
      <c r="X47" s="45"/>
      <c r="Y47" s="45"/>
      <c r="Z47" s="45"/>
    </row>
    <row r="48" spans="1:26" ht="13.5" customHeight="1">
      <c r="A48" s="58">
        <v>41000</v>
      </c>
      <c r="B48" s="66" t="s">
        <v>501</v>
      </c>
      <c r="C48" s="67"/>
      <c r="D48" s="59">
        <v>0</v>
      </c>
      <c r="E48" s="62">
        <v>0</v>
      </c>
      <c r="F48" s="60">
        <f t="shared" si="0"/>
        <v>0</v>
      </c>
      <c r="G48" s="63"/>
      <c r="H48" s="45"/>
      <c r="I48" s="45"/>
      <c r="J48" s="45"/>
      <c r="K48" s="45"/>
      <c r="L48" s="45"/>
      <c r="M48" s="45"/>
      <c r="N48" s="45"/>
      <c r="O48" s="45"/>
      <c r="P48" s="45"/>
      <c r="Q48" s="45"/>
      <c r="R48" s="45"/>
      <c r="S48" s="45"/>
      <c r="T48" s="45"/>
      <c r="U48" s="45"/>
      <c r="V48" s="45"/>
      <c r="W48" s="45"/>
      <c r="X48" s="45"/>
      <c r="Y48" s="45"/>
      <c r="Z48" s="45"/>
    </row>
    <row r="49" spans="1:26" ht="13.5" customHeight="1">
      <c r="A49" s="68"/>
      <c r="B49" s="655"/>
      <c r="C49" s="651"/>
      <c r="D49" s="69"/>
      <c r="E49" s="69"/>
      <c r="F49" s="70"/>
      <c r="G49" s="63"/>
      <c r="H49" s="45"/>
      <c r="I49" s="45"/>
      <c r="J49" s="45"/>
      <c r="K49" s="45"/>
      <c r="L49" s="45"/>
      <c r="M49" s="45"/>
      <c r="N49" s="45"/>
      <c r="O49" s="45"/>
      <c r="P49" s="45"/>
      <c r="Q49" s="45"/>
      <c r="R49" s="45"/>
      <c r="S49" s="45"/>
      <c r="T49" s="45"/>
      <c r="U49" s="45"/>
      <c r="V49" s="45"/>
      <c r="W49" s="45"/>
      <c r="X49" s="45"/>
      <c r="Y49" s="45"/>
      <c r="Z49" s="45"/>
    </row>
    <row r="50" spans="1:26" ht="13.5" customHeight="1" thickBot="1">
      <c r="A50" s="71"/>
      <c r="B50" s="656" t="s">
        <v>502</v>
      </c>
      <c r="C50" s="657"/>
      <c r="D50" s="72">
        <f t="shared" ref="D50:F50" si="1">SUM(D7:D48)</f>
        <v>0</v>
      </c>
      <c r="E50" s="72">
        <f t="shared" si="1"/>
        <v>0</v>
      </c>
      <c r="F50" s="72">
        <f t="shared" si="1"/>
        <v>0</v>
      </c>
      <c r="G50" s="63"/>
      <c r="H50" s="45"/>
      <c r="I50" s="45"/>
      <c r="J50" s="45"/>
      <c r="K50" s="45"/>
      <c r="L50" s="45"/>
      <c r="M50" s="45"/>
      <c r="N50" s="45"/>
      <c r="O50" s="45"/>
      <c r="P50" s="45"/>
      <c r="Q50" s="45"/>
      <c r="R50" s="45"/>
      <c r="S50" s="45"/>
      <c r="T50" s="45"/>
      <c r="U50" s="45"/>
      <c r="V50" s="45"/>
      <c r="W50" s="45"/>
      <c r="X50" s="45"/>
      <c r="Y50" s="45"/>
      <c r="Z50" s="45"/>
    </row>
    <row r="51" spans="1:26" ht="13.5" customHeight="1">
      <c r="A51" s="73"/>
      <c r="B51" s="73"/>
      <c r="C51" s="73"/>
      <c r="D51" s="73"/>
      <c r="E51" s="73"/>
      <c r="F51" s="45"/>
      <c r="G51" s="45"/>
      <c r="H51" s="45"/>
      <c r="I51" s="45"/>
      <c r="J51" s="45"/>
      <c r="K51" s="45"/>
      <c r="L51" s="45"/>
      <c r="M51" s="45"/>
      <c r="N51" s="45"/>
      <c r="O51" s="45"/>
      <c r="P51" s="45"/>
      <c r="Q51" s="45"/>
      <c r="R51" s="45"/>
      <c r="S51" s="45"/>
      <c r="T51" s="45"/>
      <c r="U51" s="45"/>
      <c r="V51" s="45"/>
      <c r="W51" s="45"/>
      <c r="X51" s="45"/>
      <c r="Y51" s="45"/>
      <c r="Z51" s="45"/>
    </row>
    <row r="52" spans="1:26" ht="18.75" customHeight="1">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spans="1:26" ht="13.5" customHeight="1">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spans="1:26" ht="13.5" customHeight="1">
      <c r="A54" s="45"/>
      <c r="B54" s="45"/>
      <c r="C54" s="45"/>
      <c r="D54" s="45"/>
      <c r="E54" s="45"/>
      <c r="F54" s="73"/>
      <c r="G54" s="45"/>
      <c r="H54" s="45"/>
      <c r="I54" s="45"/>
      <c r="J54" s="45"/>
      <c r="K54" s="45"/>
      <c r="L54" s="45"/>
      <c r="M54" s="45"/>
      <c r="N54" s="45"/>
      <c r="O54" s="45"/>
      <c r="P54" s="45"/>
      <c r="Q54" s="45"/>
      <c r="R54" s="45"/>
      <c r="S54" s="45"/>
      <c r="T54" s="45"/>
      <c r="U54" s="45"/>
      <c r="V54" s="45"/>
      <c r="W54" s="45"/>
      <c r="X54" s="45"/>
      <c r="Y54" s="45"/>
      <c r="Z54" s="45"/>
    </row>
    <row r="55" spans="1:26" ht="13.5" customHeight="1">
      <c r="A55" s="45"/>
      <c r="B55" s="45"/>
      <c r="C55" s="45"/>
      <c r="D55" s="45"/>
      <c r="E55" s="45"/>
      <c r="F55" s="73"/>
      <c r="G55" s="45"/>
      <c r="H55" s="45"/>
      <c r="I55" s="45"/>
      <c r="J55" s="45"/>
      <c r="K55" s="45"/>
      <c r="L55" s="45"/>
      <c r="M55" s="45"/>
      <c r="N55" s="45"/>
      <c r="O55" s="45"/>
      <c r="P55" s="45"/>
      <c r="Q55" s="45"/>
      <c r="R55" s="45"/>
      <c r="S55" s="45"/>
      <c r="T55" s="45"/>
      <c r="U55" s="45"/>
      <c r="V55" s="45"/>
      <c r="W55" s="45"/>
      <c r="X55" s="45"/>
      <c r="Y55" s="45"/>
      <c r="Z55" s="45"/>
    </row>
    <row r="56" spans="1:26" ht="13.5" customHeight="1">
      <c r="A56" s="45"/>
      <c r="B56" s="45"/>
      <c r="C56" s="45"/>
      <c r="D56" s="45"/>
      <c r="E56" s="45"/>
      <c r="F56" s="73"/>
      <c r="G56" s="45"/>
      <c r="H56" s="45"/>
      <c r="I56" s="45"/>
      <c r="J56" s="45"/>
      <c r="K56" s="45"/>
      <c r="L56" s="45"/>
      <c r="M56" s="45"/>
      <c r="N56" s="45"/>
      <c r="O56" s="45"/>
      <c r="P56" s="45"/>
      <c r="Q56" s="45"/>
      <c r="R56" s="45"/>
      <c r="S56" s="45"/>
      <c r="T56" s="45"/>
      <c r="U56" s="45"/>
      <c r="V56" s="45"/>
      <c r="W56" s="45"/>
      <c r="X56" s="45"/>
      <c r="Y56" s="45"/>
      <c r="Z56" s="45"/>
    </row>
    <row r="57" spans="1:26" ht="13.5" customHeight="1">
      <c r="A57" s="45"/>
      <c r="B57" s="45"/>
      <c r="C57" s="45"/>
      <c r="D57" s="45"/>
      <c r="E57" s="45"/>
      <c r="F57" s="73"/>
      <c r="G57" s="45"/>
      <c r="H57" s="45"/>
      <c r="I57" s="45"/>
      <c r="J57" s="45"/>
      <c r="K57" s="45"/>
      <c r="L57" s="45"/>
      <c r="M57" s="45"/>
      <c r="N57" s="45"/>
      <c r="O57" s="45"/>
      <c r="P57" s="45"/>
      <c r="Q57" s="45"/>
      <c r="R57" s="45"/>
      <c r="S57" s="45"/>
      <c r="T57" s="45"/>
      <c r="U57" s="45"/>
      <c r="V57" s="45"/>
      <c r="W57" s="45"/>
      <c r="X57" s="45"/>
      <c r="Y57" s="45"/>
      <c r="Z57" s="45"/>
    </row>
    <row r="58" spans="1:26" ht="13.5" customHeight="1">
      <c r="A58" s="45"/>
      <c r="B58" s="45"/>
      <c r="C58" s="45"/>
      <c r="D58" s="45"/>
      <c r="E58" s="45"/>
      <c r="F58" s="73"/>
      <c r="G58" s="45"/>
      <c r="H58" s="45"/>
      <c r="I58" s="45"/>
      <c r="J58" s="45"/>
      <c r="K58" s="45"/>
      <c r="L58" s="45"/>
      <c r="M58" s="45"/>
      <c r="N58" s="45"/>
      <c r="O58" s="45"/>
      <c r="P58" s="45"/>
      <c r="Q58" s="45"/>
      <c r="R58" s="45"/>
      <c r="S58" s="45"/>
      <c r="T58" s="45"/>
      <c r="U58" s="45"/>
      <c r="V58" s="45"/>
      <c r="W58" s="45"/>
      <c r="X58" s="45"/>
      <c r="Y58" s="45"/>
      <c r="Z58" s="45"/>
    </row>
    <row r="59" spans="1:26" ht="13.5" customHeight="1">
      <c r="A59" s="45"/>
      <c r="B59" s="45"/>
      <c r="C59" s="45"/>
      <c r="D59" s="45"/>
      <c r="E59" s="45"/>
      <c r="F59" s="73"/>
      <c r="G59" s="45"/>
      <c r="H59" s="45"/>
      <c r="I59" s="45"/>
      <c r="J59" s="45"/>
      <c r="K59" s="45"/>
      <c r="L59" s="45"/>
      <c r="M59" s="45"/>
      <c r="N59" s="45"/>
      <c r="O59" s="45"/>
      <c r="P59" s="45"/>
      <c r="Q59" s="45"/>
      <c r="R59" s="45"/>
      <c r="S59" s="45"/>
      <c r="T59" s="45"/>
      <c r="U59" s="45"/>
      <c r="V59" s="45"/>
      <c r="W59" s="45"/>
      <c r="X59" s="45"/>
      <c r="Y59" s="45"/>
      <c r="Z59" s="45"/>
    </row>
    <row r="60" spans="1:26" ht="13.5" customHeight="1">
      <c r="A60" s="45"/>
      <c r="B60" s="45"/>
      <c r="C60" s="45"/>
      <c r="D60" s="45"/>
      <c r="E60" s="45"/>
      <c r="F60" s="73"/>
      <c r="G60" s="45"/>
      <c r="H60" s="45"/>
      <c r="I60" s="45"/>
      <c r="J60" s="45"/>
      <c r="K60" s="45"/>
      <c r="L60" s="45"/>
      <c r="M60" s="45"/>
      <c r="N60" s="45"/>
      <c r="O60" s="45"/>
      <c r="P60" s="45"/>
      <c r="Q60" s="45"/>
      <c r="R60" s="45"/>
      <c r="S60" s="45"/>
      <c r="T60" s="45"/>
      <c r="U60" s="45"/>
      <c r="V60" s="45"/>
      <c r="W60" s="45"/>
      <c r="X60" s="45"/>
      <c r="Y60" s="45"/>
      <c r="Z60" s="45"/>
    </row>
    <row r="61" spans="1:26" ht="13.5" customHeight="1">
      <c r="A61" s="45"/>
      <c r="B61" s="45"/>
      <c r="C61" s="45"/>
      <c r="D61" s="45"/>
      <c r="E61" s="45"/>
      <c r="F61" s="73"/>
      <c r="G61" s="45"/>
      <c r="H61" s="45"/>
      <c r="I61" s="45"/>
      <c r="J61" s="45"/>
      <c r="K61" s="45"/>
      <c r="L61" s="45"/>
      <c r="M61" s="45"/>
      <c r="N61" s="45"/>
      <c r="O61" s="45"/>
      <c r="P61" s="45"/>
      <c r="Q61" s="45"/>
      <c r="R61" s="45"/>
      <c r="S61" s="45"/>
      <c r="T61" s="45"/>
      <c r="U61" s="45"/>
      <c r="V61" s="45"/>
      <c r="W61" s="45"/>
      <c r="X61" s="45"/>
      <c r="Y61" s="45"/>
      <c r="Z61" s="45"/>
    </row>
    <row r="62" spans="1:26" ht="13.5" customHeight="1">
      <c r="A62" s="45"/>
      <c r="B62" s="45"/>
      <c r="C62" s="45"/>
      <c r="D62" s="45"/>
      <c r="E62" s="45"/>
      <c r="F62" s="73"/>
      <c r="G62" s="45"/>
      <c r="H62" s="45"/>
      <c r="I62" s="45"/>
      <c r="J62" s="45"/>
      <c r="K62" s="45"/>
      <c r="L62" s="45"/>
      <c r="M62" s="45"/>
      <c r="N62" s="45"/>
      <c r="O62" s="45"/>
      <c r="P62" s="45"/>
      <c r="Q62" s="45"/>
      <c r="R62" s="45"/>
      <c r="S62" s="45"/>
      <c r="T62" s="45"/>
      <c r="U62" s="45"/>
      <c r="V62" s="45"/>
      <c r="W62" s="45"/>
      <c r="X62" s="45"/>
      <c r="Y62" s="45"/>
      <c r="Z62" s="45"/>
    </row>
    <row r="63" spans="1:26" ht="13.5" customHeight="1">
      <c r="A63" s="45"/>
      <c r="B63" s="45"/>
      <c r="C63" s="45"/>
      <c r="D63" s="45"/>
      <c r="E63" s="45"/>
      <c r="F63" s="73"/>
      <c r="G63" s="45"/>
      <c r="H63" s="45"/>
      <c r="I63" s="45"/>
      <c r="J63" s="45"/>
      <c r="K63" s="45"/>
      <c r="L63" s="45"/>
      <c r="M63" s="45"/>
      <c r="N63" s="45"/>
      <c r="O63" s="45"/>
      <c r="P63" s="45"/>
      <c r="Q63" s="45"/>
      <c r="R63" s="45"/>
      <c r="S63" s="45"/>
      <c r="T63" s="45"/>
      <c r="U63" s="45"/>
      <c r="V63" s="45"/>
      <c r="W63" s="45"/>
      <c r="X63" s="45"/>
      <c r="Y63" s="45"/>
      <c r="Z63" s="45"/>
    </row>
    <row r="64" spans="1:26" ht="13.5" customHeight="1">
      <c r="A64" s="45"/>
      <c r="B64" s="45"/>
      <c r="C64" s="45"/>
      <c r="D64" s="45"/>
      <c r="E64" s="45"/>
      <c r="F64" s="73"/>
      <c r="G64" s="45"/>
      <c r="H64" s="45"/>
      <c r="I64" s="45"/>
      <c r="J64" s="45"/>
      <c r="K64" s="45"/>
      <c r="L64" s="45"/>
      <c r="M64" s="45"/>
      <c r="N64" s="45"/>
      <c r="O64" s="45"/>
      <c r="P64" s="45"/>
      <c r="Q64" s="45"/>
      <c r="R64" s="45"/>
      <c r="S64" s="45"/>
      <c r="T64" s="45"/>
      <c r="U64" s="45"/>
      <c r="V64" s="45"/>
      <c r="W64" s="45"/>
      <c r="X64" s="45"/>
      <c r="Y64" s="45"/>
      <c r="Z64" s="45"/>
    </row>
    <row r="65" spans="1:26" ht="13.5" customHeight="1">
      <c r="A65" s="45"/>
      <c r="B65" s="45"/>
      <c r="C65" s="45"/>
      <c r="D65" s="45"/>
      <c r="E65" s="45"/>
      <c r="F65" s="74"/>
      <c r="G65" s="45"/>
      <c r="H65" s="45"/>
      <c r="I65" s="45"/>
      <c r="J65" s="45"/>
      <c r="K65" s="45"/>
      <c r="L65" s="45"/>
      <c r="M65" s="45"/>
      <c r="N65" s="45"/>
      <c r="O65" s="45"/>
      <c r="P65" s="45"/>
      <c r="Q65" s="45"/>
      <c r="R65" s="45"/>
      <c r="S65" s="45"/>
      <c r="T65" s="45"/>
      <c r="U65" s="45"/>
      <c r="V65" s="45"/>
      <c r="W65" s="45"/>
      <c r="X65" s="45"/>
      <c r="Y65" s="45"/>
      <c r="Z65" s="45"/>
    </row>
    <row r="66" spans="1:26" ht="12.75" customHeight="1">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spans="1:26" ht="12.75" customHeight="1">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spans="1:26" ht="12.75" customHeight="1">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spans="1:26" ht="12.75" customHeight="1">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spans="1:26" ht="12.75" customHeight="1">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spans="1:26" ht="12.75" customHeight="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spans="1:26" ht="12.75" customHeight="1">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spans="1:26" ht="12.75" customHeight="1">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spans="1:26" ht="12.75" customHeight="1">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spans="1:26" ht="12.75" customHeight="1">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spans="1:26" ht="12.75" customHeight="1">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spans="1:26" ht="12.75" customHeight="1">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spans="1:26" ht="12.75" customHeight="1">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spans="1:26" ht="12.75" customHeight="1">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spans="1:26" ht="12.75" customHeight="1">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spans="1:26" ht="12.75" customHeight="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spans="1:26" ht="12.75" customHeight="1">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spans="1:26" ht="12.75" customHeight="1">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spans="1:26" ht="12.75" customHeight="1">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spans="1:26" ht="12.75" customHeight="1">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spans="1:26" ht="12.75" customHeight="1">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spans="1:26" ht="12.75" customHeight="1">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spans="1:26" ht="12.75" customHeight="1">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spans="1:26" ht="12.75" customHeight="1">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spans="1:26" ht="12.75" customHeight="1">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spans="1:26" ht="12.75" customHeight="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spans="1:26" ht="12.75" customHeight="1">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spans="1:26" ht="12.75" customHeight="1">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spans="1:26" ht="12.75" customHeight="1">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spans="1:26" ht="12.75" customHeight="1">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spans="1:26" ht="12.75" customHeight="1">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spans="1:26" ht="12.75" customHeight="1">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spans="1:26" ht="12.75" customHeight="1">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spans="1:26" ht="12.75" customHeight="1">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spans="1:26" ht="12.75" customHeight="1">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spans="1:26" ht="12.75" customHeight="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spans="1:26" ht="12.75" customHeight="1">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spans="1:26" ht="12.75" customHeight="1">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spans="1:26" ht="12.75" customHeight="1">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spans="1:26" ht="12.75" customHeight="1">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spans="1:26" ht="12.75" customHeight="1">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spans="1:26" ht="12.75" customHeight="1">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spans="1:26" ht="12.75" customHeight="1">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spans="1:26" ht="12.75" customHeight="1">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spans="1:26" ht="12.75" customHeight="1">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spans="1:26" ht="12.75" customHeight="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spans="1:26" ht="12.75" customHeight="1">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spans="1:26" ht="12.75" customHeight="1">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spans="1:26" ht="12.75" customHeight="1">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spans="1:26" ht="12.75" customHeight="1">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spans="1:26" ht="12.75" customHeight="1">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spans="1:26" ht="12.75" customHeight="1">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spans="1:26" ht="12.75" customHeight="1">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spans="1:26" ht="12.75" customHeight="1">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spans="1:26" ht="12.75" customHeight="1">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spans="1:26" ht="12.75" customHeight="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spans="1:26" ht="12.75" customHeight="1">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spans="1:26" ht="12.75" customHeight="1">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spans="1:26" ht="12.75" customHeight="1">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spans="1:26" ht="12.75" customHeight="1">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spans="1:26" ht="12.75" customHeight="1">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spans="1:26" ht="12.75" customHeight="1">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spans="1:26" ht="12.75" customHeight="1">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spans="1:26" ht="12.75" customHeight="1">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spans="1:26" ht="12.75" customHeight="1">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spans="1:26" ht="12.75" customHeight="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spans="1:26" ht="12.75" customHeight="1">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spans="1:26" ht="12.75" customHeight="1">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spans="1:26" ht="12.75" customHeight="1">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spans="1:26" ht="12.75" customHeight="1">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spans="1:26" ht="12.75" customHeight="1">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spans="1:26" ht="12.75" customHeight="1">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spans="1:26" ht="12.75" customHeight="1">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spans="1:26" ht="12.75" customHeight="1">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spans="1:26" ht="12.75" customHeight="1">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spans="1:26" ht="12.75" customHeight="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spans="1:26" ht="12.75" customHeight="1">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spans="1:26" ht="12.75" customHeight="1">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spans="1:26" ht="12.75" customHeight="1">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spans="1:26" ht="12.75" customHeight="1">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spans="1:26" ht="12.75" customHeight="1">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spans="1:26" ht="12.75" customHeight="1">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spans="1:26" ht="12.75" customHeight="1">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spans="1:26" ht="12.75" customHeight="1">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spans="1:26" ht="12.75" customHeight="1">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spans="1:26" ht="12.75" customHeight="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spans="1:26" ht="12.75" customHeight="1">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spans="1:26" ht="12.75" customHeight="1">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spans="1:26" ht="12.75" customHeight="1">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spans="1:26" ht="12.75" customHeight="1">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spans="1:26" ht="12.75" customHeight="1">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spans="1:26" ht="12.75" customHeight="1">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spans="1:26" ht="12.7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spans="1:26" ht="12.7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spans="1:26" ht="12.7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spans="1:26" ht="12.7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spans="1:26" ht="12.7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spans="1:26" ht="12.7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spans="1:26" ht="12.7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spans="1:26" ht="12.7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spans="1:26" ht="12.7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spans="1:26" ht="12.7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spans="1:26" ht="12.7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spans="1:26" ht="12.7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spans="1:26" ht="12.7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spans="1:26" ht="12.7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spans="1:26" ht="12.7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spans="1:26" ht="12.7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spans="1:26" ht="12.7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spans="1:26" ht="12.7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spans="1:26" ht="12.7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spans="1:26" ht="12.7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spans="1:26" ht="12.7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spans="1:26" ht="12.7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spans="1:26" ht="12.7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spans="1:26" ht="12.7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spans="1:26" ht="12.7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spans="1:26" ht="12.7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spans="1:26" ht="12.7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spans="1:26" ht="12.7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spans="1:26" ht="12.7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spans="1:26" ht="12.7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spans="1:26" ht="12.7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spans="1:26" ht="12.7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spans="1:26" ht="12.7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spans="1:26" ht="12.7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spans="1:26" ht="12.7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spans="1:26" ht="12.7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spans="1:26" ht="12.7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spans="1:26" ht="12.7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spans="1:26" ht="12.7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spans="1:26" ht="12.7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spans="1:26" ht="12.7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spans="1:26" ht="12.7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spans="1:26" ht="12.7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spans="1:26" ht="12.7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spans="1:26" ht="12.7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spans="1:26" ht="12.7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spans="1:26" ht="12.7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spans="1:26" ht="12.7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spans="1:26" ht="12.7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spans="1:26" ht="12.7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spans="1:26" ht="12.7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spans="1:26" ht="12.7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spans="1:26" ht="12.7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spans="1:26" ht="12.7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spans="1:26" ht="12.7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spans="1:26" ht="12.7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spans="1:26" ht="12.7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spans="1:26" ht="12.7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spans="1:26" ht="12.7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spans="1:26" ht="12.7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spans="1:26" ht="12.7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spans="1:26" ht="12.7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spans="1:26" ht="12.7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spans="1:26" ht="12.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spans="1:26" ht="12.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spans="1:26" ht="12.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spans="1:26" ht="12.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spans="1:26" ht="12.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spans="1:26" ht="12.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spans="1:26" ht="12.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spans="1:26" ht="12.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spans="1:26" ht="12.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spans="1:26" ht="12.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spans="1:26" ht="12.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spans="1:26" ht="12.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spans="1:26" ht="12.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spans="1:26" ht="12.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spans="1:26" ht="12.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spans="1:26" ht="12.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spans="1:26" ht="12.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spans="1:26" ht="12.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spans="1:26" ht="12.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spans="1:26" ht="12.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spans="1:26" ht="12.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spans="1:26" ht="12.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spans="1:26" ht="12.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spans="1:26" ht="12.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spans="1:26" ht="12.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spans="1:26" ht="12.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spans="1:26" ht="12.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spans="1:26" ht="12.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spans="1:26" ht="12.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spans="1:26" ht="12.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spans="1:26" ht="12.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spans="1:26" ht="12.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spans="1:26" ht="12.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spans="1:26" ht="12.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spans="1:26" ht="12.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spans="1:26" ht="12.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spans="1:26" ht="12.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spans="1:26" ht="12.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spans="1:26" ht="12.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spans="1:26" ht="12.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spans="1:26" ht="12.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spans="1:26" ht="12.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spans="1:26" ht="12.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spans="1:26" ht="12.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spans="1:26" ht="12.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spans="1:26" ht="12.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spans="1:26" ht="12.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spans="1:26" ht="12.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spans="1:26" ht="12.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spans="1:26" ht="12.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spans="1:26" ht="12.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spans="1:26" ht="12.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spans="1:26" ht="12.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spans="1:26" ht="12.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spans="1:26" ht="12.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spans="1:26" ht="12.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spans="1:26" ht="12.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spans="1:26" ht="12.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spans="1:26" ht="12.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spans="1:26" ht="12.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spans="1:26" ht="12.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spans="1:26" ht="12.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spans="1:26" ht="12.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spans="1:26" ht="12.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spans="1:26" ht="12.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spans="1:26" ht="12.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spans="1:26" ht="12.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spans="1:26" ht="12.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spans="1:26" ht="12.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spans="1:26" ht="12.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spans="1:26" ht="12.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spans="1:26" ht="12.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spans="1:26" ht="12.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spans="1:26" ht="12.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spans="1:26" ht="12.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spans="1:26" ht="12.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spans="1:26" ht="12.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spans="1:26" ht="12.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spans="1:26" ht="12.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spans="1:26" ht="12.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spans="1:26" ht="12.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spans="1:26" ht="12.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spans="1:26" ht="12.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spans="1:26" ht="12.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spans="1:26" ht="12.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spans="1:26" ht="12.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spans="1:26" ht="12.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spans="1:26" ht="12.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spans="1:26" ht="12.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spans="1:26" ht="12.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spans="1:26" ht="12.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spans="1:26" ht="12.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spans="1:26" ht="12.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spans="1:26" ht="12.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spans="1:26" ht="12.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spans="1:26" ht="12.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spans="1:26" ht="12.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spans="1:26" ht="12.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spans="1:26" ht="12.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spans="1:26" ht="12.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spans="1:26" ht="12.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spans="1:26" ht="12.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spans="1:26" ht="12.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spans="1:26" ht="12.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spans="1:26" ht="12.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spans="1:26" ht="12.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spans="1:26" ht="12.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spans="1:26" ht="12.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spans="1:26" ht="12.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spans="1:26" ht="12.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spans="1:26" ht="12.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spans="1:26" ht="12.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spans="1:26" ht="12.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spans="1:26" ht="12.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spans="1:26" ht="12.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spans="1:26" ht="12.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spans="1:26" ht="12.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spans="1:26" ht="12.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spans="1:26" ht="12.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spans="1:26" ht="12.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spans="1:26" ht="12.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spans="1:26" ht="12.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spans="1:26" ht="12.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spans="1:26" ht="12.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spans="1:26" ht="12.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spans="1:26" ht="12.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spans="1:26" ht="12.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spans="1:26" ht="12.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spans="1:26" ht="12.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spans="1:26" ht="12.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spans="1:26" ht="12.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spans="1:26" ht="12.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spans="1:26" ht="12.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spans="1:26" ht="12.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spans="1:26" ht="12.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spans="1:26" ht="12.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spans="1:26" ht="12.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spans="1:26" ht="12.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spans="1:26" ht="12.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spans="1:26" ht="12.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spans="1:26" ht="12.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spans="1:26" ht="12.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spans="1:26" ht="12.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spans="1:26" ht="12.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spans="1:26" ht="12.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spans="1:26" ht="12.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spans="1:26" ht="12.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spans="1:26" ht="12.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spans="1:26" ht="12.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spans="1:26" ht="12.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spans="1:26" ht="12.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spans="1:26" ht="12.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spans="1:26" ht="12.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spans="1:26" ht="12.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spans="1:26" ht="12.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spans="1:26" ht="12.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spans="1:26" ht="12.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spans="1:26" ht="12.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spans="1:26" ht="12.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spans="1:26" ht="12.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spans="1:26" ht="12.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spans="1:26" ht="12.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spans="1:26" ht="12.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spans="1:26" ht="12.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spans="1:26" ht="12.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spans="1:26" ht="12.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spans="1:26" ht="12.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spans="1:26" ht="12.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spans="1:26" ht="12.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spans="1:26" ht="12.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spans="1:26" ht="12.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spans="1:26" ht="12.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spans="1:26" ht="12.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spans="1:26" ht="12.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spans="1:26" ht="12.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spans="1:26" ht="12.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spans="1:26" ht="12.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spans="1:26" ht="12.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spans="1:26" ht="12.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spans="1:26" ht="12.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spans="1:26" ht="12.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spans="1:26" ht="12.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spans="1:26" ht="12.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spans="1:26" ht="12.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spans="1:26" ht="12.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spans="1:26" ht="12.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spans="1:26" ht="12.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spans="1:26" ht="12.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spans="1:26" ht="12.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spans="1:26" ht="12.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spans="1:26" ht="12.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spans="1:26" ht="12.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spans="1:26" ht="12.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spans="1:26" ht="12.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spans="1:26" ht="12.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spans="1:26" ht="12.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spans="1:26" ht="12.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spans="1:26" ht="12.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spans="1:26" ht="12.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spans="1:26" ht="12.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spans="1:26" ht="12.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spans="1:26" ht="12.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spans="1:26" ht="12.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spans="1:26" ht="12.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spans="1:26" ht="12.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spans="1:26" ht="12.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spans="1:26" ht="12.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spans="1:26" ht="12.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spans="1:26" ht="12.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spans="1:26" ht="12.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spans="1:26" ht="12.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spans="1:26" ht="12.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spans="1:26" ht="12.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spans="1:26" ht="12.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spans="1:26" ht="12.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spans="1:26" ht="12.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spans="1:26" ht="12.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spans="1:26" ht="12.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spans="1:26" ht="12.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spans="1:26" ht="12.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spans="1:26" ht="12.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spans="1:26" ht="12.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spans="1:26" ht="12.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spans="1:26" ht="12.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spans="1:26" ht="12.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spans="1:26" ht="12.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spans="1:26" ht="12.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spans="1:26" ht="12.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spans="1:26" ht="12.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spans="1:26" ht="12.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spans="1:26" ht="12.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spans="1:26" ht="12.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spans="1:26" ht="12.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spans="1:26" ht="12.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spans="1:26" ht="12.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spans="1:26" ht="12.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spans="1:26" ht="12.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spans="1:26" ht="12.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spans="1:26" ht="12.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spans="1:26" ht="12.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spans="1:26" ht="12.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spans="1:26" ht="12.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spans="1:26" ht="12.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spans="1:26" ht="12.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spans="1:26" ht="12.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spans="1:26" ht="12.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spans="1:26" ht="12.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spans="1:26" ht="12.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spans="1:26" ht="12.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spans="1:26" ht="12.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spans="1:26" ht="12.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spans="1:26" ht="12.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spans="1:26" ht="12.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spans="1:26" ht="12.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spans="1:26" ht="12.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spans="1:26" ht="12.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spans="1:26" ht="12.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spans="1:26" ht="12.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spans="1:26" ht="12.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spans="1:26" ht="12.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spans="1:26" ht="12.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spans="1:26" ht="12.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spans="1:26" ht="12.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spans="1:26" ht="12.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spans="1:26" ht="12.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spans="1:26" ht="12.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spans="1:26" ht="12.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spans="1:26" ht="12.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spans="1:26" ht="12.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spans="1:26" ht="12.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spans="1:26" ht="12.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spans="1:26" ht="12.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spans="1:26" ht="12.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spans="1:26" ht="12.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spans="1:26" ht="12.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spans="1:26" ht="12.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spans="1:26" ht="12.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spans="1:26" ht="12.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spans="1:26" ht="12.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spans="1:26" ht="12.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spans="1:26" ht="12.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spans="1:26" ht="12.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spans="1:26" ht="12.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spans="1:26" ht="12.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spans="1:26" ht="12.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spans="1:26" ht="12.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spans="1:26" ht="12.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spans="1:26" ht="12.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spans="1:26" ht="12.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spans="1:26" ht="12.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spans="1:26" ht="12.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spans="1:26" ht="12.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spans="1:26" ht="12.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spans="1:26" ht="12.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spans="1:26" ht="12.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spans="1:26" ht="12.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spans="1:26" ht="12.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spans="1:26" ht="12.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spans="1:26" ht="12.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spans="1:26" ht="12.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spans="1:26" ht="12.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spans="1:26" ht="12.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spans="1:26" ht="12.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spans="1:26" ht="12.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spans="1:26" ht="12.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spans="1:26" ht="12.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spans="1:26" ht="12.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spans="1:26" ht="12.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spans="1:26" ht="12.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spans="1:26" ht="12.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spans="1:26" ht="12.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spans="1:26" ht="12.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spans="1:26" ht="12.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spans="1:26" ht="12.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spans="1:26" ht="12.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spans="1:26" ht="12.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spans="1:26" ht="12.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spans="1:26" ht="12.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spans="1:26" ht="12.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spans="1:26" ht="12.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spans="1:26" ht="12.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spans="1:26" ht="12.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spans="1:26" ht="12.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spans="1:26" ht="12.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spans="1:26" ht="12.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spans="1:26" ht="12.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spans="1:26" ht="12.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spans="1:26" ht="12.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spans="1:26" ht="12.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spans="1:26" ht="12.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spans="1:26" ht="12.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spans="1:26" ht="12.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spans="1:26" ht="12.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spans="1:26" ht="12.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spans="1:26" ht="12.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spans="1:26" ht="12.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spans="1:26" ht="12.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spans="1:26" ht="12.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spans="1:26" ht="12.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spans="1:26" ht="12.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spans="1:26" ht="12.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spans="1:26" ht="12.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spans="1:26" ht="12.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spans="1:26" ht="12.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spans="1:26" ht="12.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spans="1:26" ht="12.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spans="1:26" ht="12.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spans="1:26" ht="12.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spans="1:26" ht="12.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spans="1:26" ht="12.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spans="1:26" ht="12.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spans="1:26" ht="12.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spans="1:26" ht="12.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spans="1:26" ht="12.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spans="1:26" ht="12.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spans="1:26" ht="12.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spans="1:26" ht="12.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spans="1:26" ht="12.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spans="1:26" ht="12.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spans="1:26" ht="12.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spans="1:26" ht="12.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spans="1:26" ht="12.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spans="1:26" ht="12.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spans="1:26" ht="12.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spans="1:26" ht="12.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spans="1:26" ht="12.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spans="1:26" ht="12.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spans="1:26" ht="12.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spans="1:26" ht="12.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spans="1:26" ht="12.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spans="1:26" ht="12.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spans="1:26" ht="12.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spans="1:26" ht="12.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spans="1:26" ht="12.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spans="1:26" ht="12.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spans="1:26" ht="12.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spans="1:26" ht="12.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spans="1:26" ht="12.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spans="1:26" ht="12.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spans="1:26" ht="12.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spans="1:26" ht="12.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spans="1:26" ht="12.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spans="1:26" ht="12.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spans="1:26" ht="12.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spans="1:26" ht="12.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spans="1:26" ht="12.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spans="1:26" ht="12.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spans="1:26" ht="12.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spans="1:26" ht="12.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spans="1:26" ht="12.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spans="1:26" ht="12.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spans="1:26" ht="12.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spans="1:26" ht="12.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spans="1:26" ht="12.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spans="1:26" ht="12.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spans="1:26" ht="12.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spans="1:26" ht="12.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spans="1:26" ht="12.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spans="1:26" ht="12.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spans="1:26" ht="12.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spans="1:26" ht="12.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spans="1:26" ht="12.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spans="1:26" ht="12.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spans="1:26" ht="12.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spans="1:26" ht="12.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spans="1:26" ht="12.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spans="1:26" ht="12.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spans="1:26" ht="12.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spans="1:26" ht="12.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spans="1:26" ht="12.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spans="1:26" ht="12.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spans="1:26" ht="12.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spans="1:26" ht="12.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spans="1:26" ht="12.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spans="1:26" ht="12.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spans="1:26" ht="12.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spans="1:26" ht="12.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spans="1:26" ht="12.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spans="1:26" ht="12.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spans="1:26" ht="12.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spans="1:26" ht="12.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spans="1:26" ht="12.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spans="1:26" ht="12.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spans="1:26" ht="12.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spans="1:26" ht="12.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spans="1:26" ht="12.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spans="1:26" ht="12.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spans="1:26" ht="12.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spans="1:26" ht="12.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spans="1:26" ht="12.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spans="1:26" ht="12.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spans="1:26" ht="12.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spans="1:26" ht="12.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spans="1:26" ht="12.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spans="1:26" ht="12.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spans="1:26" ht="12.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spans="1:26" ht="12.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spans="1:26" ht="12.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spans="1:26" ht="12.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spans="1:26" ht="12.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spans="1:26" ht="12.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spans="1:26" ht="12.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spans="1:26" ht="12.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spans="1:26" ht="12.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spans="1:26" ht="12.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spans="1:26" ht="12.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spans="1:26" ht="12.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spans="1:26" ht="12.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spans="1:26" ht="12.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spans="1:26" ht="12.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spans="1:26" ht="12.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spans="1:26" ht="12.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spans="1:26" ht="12.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spans="1:26" ht="12.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spans="1:26" ht="12.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spans="1:26" ht="12.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spans="1:26" ht="12.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spans="1:26" ht="12.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spans="1:26" ht="12.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spans="1:26" ht="12.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spans="1:26" ht="12.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spans="1:26" ht="12.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spans="1:26" ht="12.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spans="1:26" ht="12.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spans="1:26" ht="12.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spans="1:26" ht="12.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spans="1:26" ht="12.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spans="1:26" ht="12.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spans="1:26" ht="12.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spans="1:26" ht="12.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spans="1:26" ht="12.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spans="1:26" ht="12.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spans="1:26" ht="12.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spans="1:26" ht="12.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spans="1:26" ht="12.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spans="1:26" ht="12.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spans="1:26" ht="12.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spans="1:26" ht="12.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spans="1:26" ht="12.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spans="1:26" ht="12.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spans="1:26" ht="12.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spans="1:26" ht="12.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spans="1:26" ht="12.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spans="1:26" ht="12.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spans="1:26" ht="12.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spans="1:26" ht="12.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spans="1:26" ht="12.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spans="1:26" ht="12.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spans="1:26" ht="12.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spans="1:26" ht="12.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spans="1:26" ht="12.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spans="1:26" ht="12.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spans="1:26" ht="12.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spans="1:26" ht="12.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spans="1:26" ht="12.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spans="1:26" ht="12.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spans="1:26" ht="12.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spans="1:26" ht="12.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spans="1:26" ht="12.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spans="1:26" ht="12.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spans="1:26" ht="12.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spans="1:26" ht="12.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spans="1:26" ht="12.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spans="1:26" ht="12.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spans="1:26" ht="12.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spans="1:26" ht="12.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spans="1:26" ht="12.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spans="1:26" ht="12.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spans="1:26" ht="12.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spans="1:26" ht="12.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spans="1:26" ht="12.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spans="1:26" ht="12.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spans="1:26" ht="12.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spans="1:26" ht="12.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spans="1:26" ht="12.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spans="1:26" ht="12.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spans="1:26" ht="12.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spans="1:26" ht="12.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spans="1:26" ht="12.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spans="1:26" ht="12.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spans="1:26" ht="12.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spans="1:26" ht="12.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spans="1:26" ht="12.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spans="1:26" ht="12.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spans="1:26" ht="12.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spans="1:26" ht="12.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spans="1:26" ht="12.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spans="1:26" ht="12.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spans="1:26" ht="12.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spans="1:26" ht="12.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spans="1:26" ht="12.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spans="1:26" ht="12.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spans="1:26" ht="12.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spans="1:26" ht="12.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spans="1:26" ht="12.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spans="1:26" ht="12.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spans="1:26" ht="12.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spans="1:26" ht="12.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spans="1:26" ht="12.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spans="1:26" ht="12.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spans="1:26" ht="12.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spans="1:26" ht="12.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spans="1:26" ht="12.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spans="1:26" ht="12.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spans="1:26" ht="12.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spans="1:26" ht="12.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spans="1:26" ht="12.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spans="1:26" ht="12.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spans="1:26" ht="12.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spans="1:26" ht="12.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spans="1:26" ht="12.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spans="1:26" ht="12.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spans="1:26" ht="12.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spans="1:26" ht="12.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spans="1:26" ht="12.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spans="1:26" ht="12.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spans="1:26" ht="12.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spans="1:26" ht="12.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spans="1:26" ht="12.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spans="1:26" ht="12.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spans="1:26" ht="12.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spans="1:26" ht="12.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spans="1:26" ht="12.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spans="1:26" ht="12.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spans="1:26" ht="12.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spans="1:26" ht="12.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spans="1:26" ht="12.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spans="1:26" ht="12.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spans="1:26" ht="12.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spans="1:26" ht="12.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spans="1:26" ht="12.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spans="1:26" ht="12.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spans="1:26" ht="12.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spans="1:26" ht="12.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spans="1:26" ht="12.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spans="1:26" ht="12.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spans="1:26" ht="12.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spans="1:26" ht="12.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spans="1:26" ht="12.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spans="1:26" ht="12.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spans="1:26" ht="12.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spans="1:26" ht="12.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spans="1:26" ht="12.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spans="1:26" ht="12.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spans="1:26" ht="12.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spans="1:26" ht="12.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spans="1:26" ht="12.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spans="1:26" ht="12.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spans="1:26" ht="12.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spans="1:26" ht="12.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spans="1:26" ht="12.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spans="1:26" ht="12.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spans="1:26" ht="12.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spans="1:26" ht="12.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spans="1:26" ht="12.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spans="1:26" ht="12.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spans="1:26" ht="12.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spans="1:26" ht="12.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spans="1:26" ht="12.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spans="1:26" ht="12.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spans="1:26" ht="12.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spans="1:26" ht="12.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spans="1:26" ht="12.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spans="1:26" ht="12.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spans="1:26" ht="12.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spans="1:26" ht="12.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spans="1:26" ht="12.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spans="1:26" ht="12.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spans="1:26" ht="12.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spans="1:26" ht="12.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spans="1:26" ht="12.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spans="1:26" ht="12.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spans="1:26" ht="12.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spans="1:26" ht="12.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spans="1:26" ht="12.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spans="1:26" ht="12.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spans="1:26" ht="12.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spans="1:26" ht="12.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spans="1:26" ht="12.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spans="1:26" ht="12.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spans="1:26" ht="12.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spans="1:26" ht="12.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spans="1:26" ht="12.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spans="1:26" ht="12.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spans="1:26" ht="12.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spans="1:26" ht="12.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spans="1:26" ht="12.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spans="1:26" ht="12.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spans="1:26" ht="12.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spans="1:26" ht="12.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spans="1:26" ht="12.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spans="1:26" ht="12.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spans="1:26" ht="12.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spans="1:26" ht="12.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spans="1:26" ht="12.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spans="1:26" ht="12.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spans="1:26" ht="12.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spans="1:26" ht="12.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spans="1:26" ht="12.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spans="1:26" ht="12.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spans="1:26" ht="12.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spans="1:26" ht="12.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spans="1:26" ht="12.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spans="1:26" ht="12.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spans="1:26" ht="12.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spans="1:26" ht="12.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spans="1:26" ht="12.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spans="1:26" ht="12.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spans="1:26" ht="12.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spans="1:26" ht="12.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spans="1:26" ht="12.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spans="1:26" ht="12.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spans="1:26" ht="12.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spans="1:26" ht="12.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spans="1:26" ht="12.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spans="1:26" ht="12.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spans="1:26" ht="12.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spans="1:26" ht="12.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spans="1:26" ht="12.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spans="1:26" ht="12.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spans="1:26" ht="12.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spans="1:26" ht="12.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spans="1:26" ht="12.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spans="1:26" ht="12.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spans="1:26" ht="12.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spans="1:26" ht="12.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spans="1:26" ht="12.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spans="1:26" ht="12.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spans="1:26" ht="12.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spans="1:26" ht="12.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spans="1:26" ht="12.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spans="1:26" ht="12.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spans="1:26" ht="12.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spans="1:26" ht="12.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spans="1:26" ht="12.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spans="1:26" ht="12.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spans="1:26" ht="12.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spans="1:26" ht="12.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spans="1:26" ht="12.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spans="1:26" ht="12.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spans="1:26" ht="12.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spans="1:26" ht="12.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spans="1:26" ht="12.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spans="1:26" ht="12.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spans="1:26" ht="12.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spans="1:26" ht="12.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spans="1:26" ht="12.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spans="1:26" ht="12.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spans="1:26" ht="12.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spans="1:26" ht="12.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spans="1:26" ht="12.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spans="1:26" ht="12.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spans="1:26" ht="12.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spans="1:26" ht="12.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spans="1:26" ht="12.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spans="1:26" ht="12.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spans="1:26" ht="12.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spans="1:26" ht="12.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spans="1:26" ht="12.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spans="1:26" ht="12.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spans="1:26" ht="12.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spans="1:26" ht="12.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spans="1:26" ht="12.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spans="1:26" ht="12.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spans="1:26" ht="12.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spans="1:26" ht="12.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spans="1:26" ht="12.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spans="1:26" ht="12.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spans="1:26" ht="12.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spans="1:26" ht="12.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spans="1:26" ht="12.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spans="1:26" ht="12.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spans="1:26" ht="12.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spans="1:26" ht="12.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spans="1:26" ht="12.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spans="1:26" ht="12.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spans="1:26" ht="12.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spans="1:26" ht="12.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spans="1:26" ht="12.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spans="1:26" ht="12.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spans="1:26" ht="12.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spans="1:26" ht="12.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spans="1:26" ht="12.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spans="1:26" ht="12.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spans="1:26" ht="12.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spans="1:26" ht="12.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spans="1:26" ht="12.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spans="1:26" ht="12.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spans="1:26" ht="12.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spans="1:26" ht="12.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spans="1:26" ht="12.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spans="1:26" ht="12.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spans="1:26" ht="12.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spans="1:26" ht="12.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spans="1:26" ht="12.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spans="1:26" ht="12.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spans="1:26" ht="12.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spans="1:26" ht="12.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spans="1:26" ht="12.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spans="1:26" ht="12.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spans="1:26" ht="12.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spans="1:26" ht="12.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spans="1:26" ht="12.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spans="1:26" ht="12.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spans="1:26" ht="12.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spans="1:26" ht="12.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spans="1:26" ht="12.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spans="1:26" ht="12.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spans="1:26" ht="12.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spans="1:26" ht="12.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spans="1:26" ht="12.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spans="1:26" ht="12.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spans="1:26" ht="12.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spans="1:26" ht="12.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spans="1:26" ht="12.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spans="1:26" ht="12.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spans="1:26" ht="12.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spans="1:26" ht="12.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spans="1:26" ht="12.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spans="1:26" ht="12.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spans="1:26" ht="12.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spans="1:26" ht="12.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spans="1:26" ht="12.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spans="1:26" ht="12.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spans="1:26" ht="12.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spans="1:26" ht="12.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spans="1:26" ht="12.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spans="1:26" ht="12.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spans="1:26" ht="12.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spans="1:26" ht="12.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spans="1:26" ht="12.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spans="1:26" ht="12.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spans="1:26" ht="12.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spans="1:26" ht="12.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spans="1:26" ht="12.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spans="1:26" ht="12.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spans="1:26" ht="12.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spans="1:26" ht="12.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spans="1:26" ht="12.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spans="1:26" ht="12.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mergeCells count="38">
    <mergeCell ref="B49:C49"/>
    <mergeCell ref="B50:C50"/>
    <mergeCell ref="B41:C41"/>
    <mergeCell ref="B42:C42"/>
    <mergeCell ref="B43:C43"/>
    <mergeCell ref="B44:C44"/>
    <mergeCell ref="B45:C45"/>
    <mergeCell ref="B47:C47"/>
    <mergeCell ref="B40:C40"/>
    <mergeCell ref="B22:C22"/>
    <mergeCell ref="B23:C23"/>
    <mergeCell ref="B24:C24"/>
    <mergeCell ref="B25:C25"/>
    <mergeCell ref="B26:C26"/>
    <mergeCell ref="B27:C27"/>
    <mergeCell ref="B28:C28"/>
    <mergeCell ref="B29:C29"/>
    <mergeCell ref="B30:C30"/>
    <mergeCell ref="B37:C37"/>
    <mergeCell ref="B39:C39"/>
    <mergeCell ref="B21:C21"/>
    <mergeCell ref="B6:C6"/>
    <mergeCell ref="B7:C7"/>
    <mergeCell ref="B8:C8"/>
    <mergeCell ref="B9:C9"/>
    <mergeCell ref="B10:C10"/>
    <mergeCell ref="B11:C11"/>
    <mergeCell ref="B16:C16"/>
    <mergeCell ref="B17:C17"/>
    <mergeCell ref="B18:C18"/>
    <mergeCell ref="B19:C19"/>
    <mergeCell ref="B20:C20"/>
    <mergeCell ref="B5:C5"/>
    <mergeCell ref="A1:D2"/>
    <mergeCell ref="B3:C3"/>
    <mergeCell ref="D3:D4"/>
    <mergeCell ref="E3:E4"/>
    <mergeCell ref="B4:C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E11"/>
  <sheetViews>
    <sheetView workbookViewId="0">
      <selection activeCell="D4" sqref="D4"/>
    </sheetView>
  </sheetViews>
  <sheetFormatPr defaultRowHeight="15"/>
  <cols>
    <col min="1" max="1" width="26" style="2" bestFit="1" customWidth="1"/>
    <col min="2" max="2" width="9.140625" style="1"/>
    <col min="3" max="3" width="11.85546875" style="1" bestFit="1" customWidth="1"/>
  </cols>
  <sheetData>
    <row r="1" spans="1:5" ht="60">
      <c r="A1" s="3" t="s">
        <v>503</v>
      </c>
      <c r="B1" s="7" t="s">
        <v>504</v>
      </c>
    </row>
    <row r="2" spans="1:5">
      <c r="A2" s="3" t="s">
        <v>505</v>
      </c>
      <c r="B2" s="6"/>
      <c r="C2" s="4"/>
    </row>
    <row r="4" spans="1:5">
      <c r="A4" s="2" t="s">
        <v>506</v>
      </c>
      <c r="B4" s="1">
        <v>0</v>
      </c>
      <c r="C4" s="1">
        <v>0</v>
      </c>
    </row>
    <row r="5" spans="1:5">
      <c r="A5" s="2" t="s">
        <v>507</v>
      </c>
      <c r="B5" s="1">
        <v>33</v>
      </c>
      <c r="C5"/>
      <c r="D5" s="1"/>
    </row>
    <row r="6" spans="1:5" ht="15.75" thickBot="1">
      <c r="A6" s="2" t="s">
        <v>508</v>
      </c>
      <c r="B6" s="20">
        <v>0</v>
      </c>
      <c r="C6" s="20">
        <f>B5*B6</f>
        <v>0</v>
      </c>
      <c r="D6" s="30"/>
    </row>
    <row r="7" spans="1:5">
      <c r="C7" s="9" t="s">
        <v>509</v>
      </c>
      <c r="D7" s="1">
        <f>SUM(C4:C6)</f>
        <v>0</v>
      </c>
    </row>
    <row r="8" spans="1:5">
      <c r="D8" s="1"/>
    </row>
    <row r="10" spans="1:5" ht="15.75" thickBot="1">
      <c r="D10" s="30"/>
    </row>
    <row r="11" spans="1:5">
      <c r="D11" s="31" t="s">
        <v>510</v>
      </c>
      <c r="E11" s="1">
        <f>+SUM(C4:C10)</f>
        <v>0</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C5F0F-F50D-4240-B814-4797EC2276C3}">
  <sheetPr codeName="Sheet12"/>
  <dimension ref="A1:F62"/>
  <sheetViews>
    <sheetView topLeftCell="A46" workbookViewId="0">
      <selection activeCell="F62" sqref="F62"/>
    </sheetView>
  </sheetViews>
  <sheetFormatPr defaultColWidth="9.140625" defaultRowHeight="15"/>
  <cols>
    <col min="1" max="1" width="39.7109375" bestFit="1" customWidth="1"/>
    <col min="2" max="2" width="26.85546875" style="2" customWidth="1"/>
    <col min="5" max="5" width="9.28515625" bestFit="1" customWidth="1"/>
  </cols>
  <sheetData>
    <row r="1" spans="1:6">
      <c r="A1" s="15" t="s">
        <v>511</v>
      </c>
    </row>
    <row r="2" spans="1:6" s="3" customFormat="1">
      <c r="B2" s="3" t="s">
        <v>512</v>
      </c>
      <c r="C2" s="3" t="s">
        <v>513</v>
      </c>
      <c r="D2" s="8" t="s">
        <v>514</v>
      </c>
      <c r="E2" s="3" t="s">
        <v>515</v>
      </c>
      <c r="F2" s="3" t="s">
        <v>516</v>
      </c>
    </row>
    <row r="3" spans="1:6">
      <c r="A3" s="321" t="s">
        <v>517</v>
      </c>
      <c r="B3" s="321"/>
      <c r="C3" s="322">
        <v>0</v>
      </c>
      <c r="D3" s="323">
        <v>0</v>
      </c>
      <c r="E3">
        <f>+C3*D3</f>
        <v>0</v>
      </c>
    </row>
    <row r="4" spans="1:6">
      <c r="A4" s="321" t="s">
        <v>518</v>
      </c>
      <c r="B4" s="321"/>
      <c r="C4" s="322">
        <v>0</v>
      </c>
      <c r="D4" s="323">
        <v>0</v>
      </c>
      <c r="E4">
        <f t="shared" ref="E4:E61" si="0">+C4*D4</f>
        <v>0</v>
      </c>
    </row>
    <row r="5" spans="1:6">
      <c r="A5" s="321" t="s">
        <v>519</v>
      </c>
      <c r="B5" s="321"/>
      <c r="C5" s="322">
        <v>0</v>
      </c>
      <c r="D5" s="323">
        <v>0</v>
      </c>
      <c r="E5">
        <f t="shared" si="0"/>
        <v>0</v>
      </c>
    </row>
    <row r="6" spans="1:6">
      <c r="A6" s="321" t="s">
        <v>520</v>
      </c>
      <c r="B6" s="321"/>
      <c r="C6" s="322">
        <v>0</v>
      </c>
      <c r="D6" s="323">
        <v>0</v>
      </c>
      <c r="E6">
        <f t="shared" si="0"/>
        <v>0</v>
      </c>
    </row>
    <row r="7" spans="1:6">
      <c r="A7" s="321" t="s">
        <v>521</v>
      </c>
      <c r="B7" s="321"/>
      <c r="C7" s="322">
        <v>0</v>
      </c>
      <c r="D7" s="323">
        <v>0</v>
      </c>
      <c r="E7">
        <f t="shared" si="0"/>
        <v>0</v>
      </c>
    </row>
    <row r="8" spans="1:6">
      <c r="A8" s="321" t="s">
        <v>522</v>
      </c>
      <c r="B8" s="321"/>
      <c r="C8" s="322">
        <v>0</v>
      </c>
      <c r="D8" s="323">
        <v>0</v>
      </c>
      <c r="E8">
        <f t="shared" si="0"/>
        <v>0</v>
      </c>
    </row>
    <row r="9" spans="1:6">
      <c r="A9" s="321" t="s">
        <v>523</v>
      </c>
      <c r="B9" s="321"/>
      <c r="C9" s="322">
        <v>0</v>
      </c>
      <c r="D9" s="323">
        <v>0</v>
      </c>
      <c r="E9">
        <f t="shared" si="0"/>
        <v>0</v>
      </c>
    </row>
    <row r="10" spans="1:6">
      <c r="A10" s="321" t="s">
        <v>168</v>
      </c>
      <c r="B10" s="321"/>
      <c r="C10" s="322">
        <v>0</v>
      </c>
      <c r="D10" s="323">
        <v>0</v>
      </c>
      <c r="E10">
        <f t="shared" si="0"/>
        <v>0</v>
      </c>
    </row>
    <row r="11" spans="1:6">
      <c r="A11" s="321"/>
      <c r="B11" s="321"/>
      <c r="C11" s="322">
        <v>0</v>
      </c>
      <c r="D11" s="323">
        <v>0</v>
      </c>
      <c r="E11">
        <f t="shared" si="0"/>
        <v>0</v>
      </c>
    </row>
    <row r="12" spans="1:6">
      <c r="A12" s="321" t="s">
        <v>524</v>
      </c>
      <c r="B12" s="321"/>
      <c r="C12" s="322">
        <v>0</v>
      </c>
      <c r="D12" s="323">
        <v>0</v>
      </c>
      <c r="E12">
        <f t="shared" si="0"/>
        <v>0</v>
      </c>
    </row>
    <row r="13" spans="1:6">
      <c r="A13" s="321" t="s">
        <v>525</v>
      </c>
      <c r="B13" s="321"/>
      <c r="C13" s="322">
        <v>0</v>
      </c>
      <c r="D13" s="323">
        <v>0</v>
      </c>
      <c r="E13">
        <f t="shared" si="0"/>
        <v>0</v>
      </c>
    </row>
    <row r="14" spans="1:6">
      <c r="A14" s="321" t="s">
        <v>526</v>
      </c>
      <c r="B14" s="321"/>
      <c r="C14" s="322">
        <v>0</v>
      </c>
      <c r="D14" s="323">
        <v>0</v>
      </c>
      <c r="E14">
        <f t="shared" si="0"/>
        <v>0</v>
      </c>
    </row>
    <row r="15" spans="1:6">
      <c r="A15" s="321" t="s">
        <v>527</v>
      </c>
      <c r="B15" s="321"/>
      <c r="C15" s="322">
        <v>0</v>
      </c>
      <c r="D15" s="323">
        <v>0</v>
      </c>
      <c r="E15">
        <f t="shared" si="0"/>
        <v>0</v>
      </c>
    </row>
    <row r="16" spans="1:6">
      <c r="A16" s="321"/>
      <c r="B16" s="321"/>
      <c r="C16" s="322">
        <v>0</v>
      </c>
      <c r="D16" s="323">
        <v>0</v>
      </c>
      <c r="E16">
        <f t="shared" si="0"/>
        <v>0</v>
      </c>
    </row>
    <row r="17" spans="1:5">
      <c r="A17" s="321" t="s">
        <v>528</v>
      </c>
      <c r="B17" s="321"/>
      <c r="C17" s="322">
        <v>0</v>
      </c>
      <c r="D17" s="323">
        <v>0</v>
      </c>
      <c r="E17">
        <f t="shared" si="0"/>
        <v>0</v>
      </c>
    </row>
    <row r="18" spans="1:5">
      <c r="A18" s="321" t="s">
        <v>529</v>
      </c>
      <c r="B18" s="321"/>
      <c r="C18" s="322">
        <v>0</v>
      </c>
      <c r="D18" s="323">
        <v>0</v>
      </c>
      <c r="E18">
        <f t="shared" si="0"/>
        <v>0</v>
      </c>
    </row>
    <row r="19" spans="1:5">
      <c r="A19" s="321"/>
      <c r="B19" s="321"/>
      <c r="C19" s="322">
        <v>0</v>
      </c>
      <c r="D19" s="323">
        <v>0</v>
      </c>
      <c r="E19">
        <f t="shared" si="0"/>
        <v>0</v>
      </c>
    </row>
    <row r="20" spans="1:5">
      <c r="A20" s="321" t="s">
        <v>530</v>
      </c>
      <c r="B20" s="321"/>
      <c r="C20" s="322">
        <v>0</v>
      </c>
      <c r="D20" s="323">
        <v>0</v>
      </c>
      <c r="E20">
        <f t="shared" si="0"/>
        <v>0</v>
      </c>
    </row>
    <row r="21" spans="1:5">
      <c r="A21" s="321" t="s">
        <v>531</v>
      </c>
      <c r="B21" s="321"/>
      <c r="C21" s="322">
        <v>0</v>
      </c>
      <c r="D21" s="323">
        <v>0</v>
      </c>
      <c r="E21">
        <f t="shared" si="0"/>
        <v>0</v>
      </c>
    </row>
    <row r="22" spans="1:5">
      <c r="A22" s="321"/>
      <c r="B22" s="321"/>
      <c r="C22" s="322">
        <v>0</v>
      </c>
      <c r="D22" s="323">
        <v>0</v>
      </c>
      <c r="E22">
        <f t="shared" si="0"/>
        <v>0</v>
      </c>
    </row>
    <row r="23" spans="1:5">
      <c r="A23" s="321" t="s">
        <v>532</v>
      </c>
      <c r="B23" s="321"/>
      <c r="C23" s="322">
        <v>0</v>
      </c>
      <c r="D23" s="323">
        <v>0</v>
      </c>
      <c r="E23">
        <f t="shared" si="0"/>
        <v>0</v>
      </c>
    </row>
    <row r="24" spans="1:5">
      <c r="A24" s="321"/>
      <c r="B24" s="321"/>
      <c r="C24" s="322">
        <v>0</v>
      </c>
      <c r="D24" s="323">
        <v>0</v>
      </c>
      <c r="E24">
        <f t="shared" si="0"/>
        <v>0</v>
      </c>
    </row>
    <row r="25" spans="1:5">
      <c r="A25" s="321"/>
      <c r="B25" s="321"/>
      <c r="C25" s="322">
        <v>0</v>
      </c>
      <c r="D25" s="323">
        <v>0</v>
      </c>
      <c r="E25">
        <f t="shared" si="0"/>
        <v>0</v>
      </c>
    </row>
    <row r="26" spans="1:5">
      <c r="A26" s="321" t="s">
        <v>533</v>
      </c>
      <c r="B26" s="321"/>
      <c r="C26" s="322">
        <v>0</v>
      </c>
      <c r="D26" s="323">
        <v>0</v>
      </c>
      <c r="E26">
        <f t="shared" si="0"/>
        <v>0</v>
      </c>
    </row>
    <row r="27" spans="1:5">
      <c r="A27" s="321" t="s">
        <v>534</v>
      </c>
      <c r="B27" s="321"/>
      <c r="C27" s="322">
        <v>0</v>
      </c>
      <c r="D27" s="323">
        <v>0</v>
      </c>
      <c r="E27">
        <f t="shared" si="0"/>
        <v>0</v>
      </c>
    </row>
    <row r="28" spans="1:5">
      <c r="A28" s="321" t="s">
        <v>535</v>
      </c>
      <c r="B28" s="321"/>
      <c r="C28" s="322">
        <v>0</v>
      </c>
      <c r="D28" s="323">
        <v>0</v>
      </c>
      <c r="E28">
        <f t="shared" si="0"/>
        <v>0</v>
      </c>
    </row>
    <row r="29" spans="1:5">
      <c r="A29" s="321" t="s">
        <v>536</v>
      </c>
      <c r="B29" s="321"/>
      <c r="C29" s="322">
        <v>0</v>
      </c>
      <c r="D29" s="323">
        <v>0</v>
      </c>
      <c r="E29">
        <f t="shared" si="0"/>
        <v>0</v>
      </c>
    </row>
    <row r="30" spans="1:5">
      <c r="A30" s="321" t="s">
        <v>537</v>
      </c>
      <c r="B30" s="321"/>
      <c r="C30" s="322">
        <v>0</v>
      </c>
      <c r="D30" s="323">
        <v>0</v>
      </c>
      <c r="E30">
        <f t="shared" si="0"/>
        <v>0</v>
      </c>
    </row>
    <row r="31" spans="1:5">
      <c r="A31" s="321" t="s">
        <v>538</v>
      </c>
      <c r="B31" s="321"/>
      <c r="C31" s="322">
        <v>0</v>
      </c>
      <c r="D31" s="323">
        <v>0</v>
      </c>
      <c r="E31">
        <f t="shared" si="0"/>
        <v>0</v>
      </c>
    </row>
    <row r="32" spans="1:5">
      <c r="A32" s="321" t="s">
        <v>539</v>
      </c>
      <c r="B32" s="321"/>
      <c r="C32" s="322">
        <v>0</v>
      </c>
      <c r="D32" s="323">
        <v>0</v>
      </c>
      <c r="E32">
        <f t="shared" si="0"/>
        <v>0</v>
      </c>
    </row>
    <row r="33" spans="1:5">
      <c r="A33" s="321" t="s">
        <v>540</v>
      </c>
      <c r="B33" s="321"/>
      <c r="C33" s="322">
        <v>0</v>
      </c>
      <c r="D33" s="323">
        <v>0</v>
      </c>
      <c r="E33">
        <f t="shared" si="0"/>
        <v>0</v>
      </c>
    </row>
    <row r="34" spans="1:5">
      <c r="A34" s="321" t="s">
        <v>541</v>
      </c>
      <c r="B34" s="321"/>
      <c r="C34" s="322">
        <v>0</v>
      </c>
      <c r="D34" s="323">
        <v>0</v>
      </c>
      <c r="E34">
        <f t="shared" si="0"/>
        <v>0</v>
      </c>
    </row>
    <row r="35" spans="1:5">
      <c r="A35" s="321" t="s">
        <v>542</v>
      </c>
      <c r="B35" s="321"/>
      <c r="C35" s="322">
        <v>0</v>
      </c>
      <c r="D35" s="323">
        <v>0</v>
      </c>
      <c r="E35">
        <f t="shared" si="0"/>
        <v>0</v>
      </c>
    </row>
    <row r="36" spans="1:5">
      <c r="A36" s="321" t="s">
        <v>543</v>
      </c>
      <c r="B36" s="321"/>
      <c r="C36" s="322">
        <v>0</v>
      </c>
      <c r="D36" s="323">
        <v>0</v>
      </c>
      <c r="E36">
        <f t="shared" si="0"/>
        <v>0</v>
      </c>
    </row>
    <row r="37" spans="1:5">
      <c r="A37" s="321"/>
      <c r="B37" s="321"/>
      <c r="C37" s="322">
        <v>0</v>
      </c>
      <c r="D37" s="323">
        <v>0</v>
      </c>
      <c r="E37">
        <f t="shared" si="0"/>
        <v>0</v>
      </c>
    </row>
    <row r="38" spans="1:5">
      <c r="A38" s="321" t="s">
        <v>544</v>
      </c>
      <c r="B38" s="321"/>
      <c r="C38" s="322">
        <v>0</v>
      </c>
      <c r="D38" s="323">
        <v>0</v>
      </c>
      <c r="E38">
        <f t="shared" si="0"/>
        <v>0</v>
      </c>
    </row>
    <row r="39" spans="1:5">
      <c r="A39" s="321" t="s">
        <v>545</v>
      </c>
      <c r="B39" s="321"/>
      <c r="C39" s="322">
        <v>0</v>
      </c>
      <c r="D39" s="323">
        <v>0</v>
      </c>
      <c r="E39">
        <f t="shared" si="0"/>
        <v>0</v>
      </c>
    </row>
    <row r="40" spans="1:5">
      <c r="A40" s="321" t="s">
        <v>546</v>
      </c>
      <c r="B40" s="321"/>
      <c r="C40" s="322">
        <v>0</v>
      </c>
      <c r="D40" s="323">
        <v>0</v>
      </c>
      <c r="E40">
        <f t="shared" si="0"/>
        <v>0</v>
      </c>
    </row>
    <row r="41" spans="1:5">
      <c r="A41" s="321" t="s">
        <v>547</v>
      </c>
      <c r="B41" s="321"/>
      <c r="C41" s="322">
        <v>0</v>
      </c>
      <c r="D41" s="323">
        <v>0</v>
      </c>
      <c r="E41">
        <f t="shared" si="0"/>
        <v>0</v>
      </c>
    </row>
    <row r="42" spans="1:5">
      <c r="A42" s="321"/>
      <c r="B42" s="321"/>
      <c r="C42" s="322">
        <v>0</v>
      </c>
      <c r="D42" s="323">
        <v>0</v>
      </c>
      <c r="E42">
        <f t="shared" si="0"/>
        <v>0</v>
      </c>
    </row>
    <row r="43" spans="1:5">
      <c r="A43" s="321"/>
      <c r="B43" s="321"/>
      <c r="C43" s="322">
        <v>0</v>
      </c>
      <c r="D43" s="323">
        <v>0</v>
      </c>
      <c r="E43">
        <f t="shared" ref="E43:E57" si="1">+C43*D43</f>
        <v>0</v>
      </c>
    </row>
    <row r="44" spans="1:5">
      <c r="A44" s="321"/>
      <c r="B44" s="321"/>
      <c r="C44" s="322">
        <v>0</v>
      </c>
      <c r="D44" s="323">
        <v>0</v>
      </c>
      <c r="E44">
        <f t="shared" si="1"/>
        <v>0</v>
      </c>
    </row>
    <row r="45" spans="1:5">
      <c r="A45" s="321"/>
      <c r="B45" s="321"/>
      <c r="C45" s="322">
        <v>0</v>
      </c>
      <c r="D45" s="323">
        <v>0</v>
      </c>
      <c r="E45">
        <f t="shared" si="1"/>
        <v>0</v>
      </c>
    </row>
    <row r="46" spans="1:5">
      <c r="A46" s="321"/>
      <c r="B46" s="321"/>
      <c r="C46" s="322">
        <v>0</v>
      </c>
      <c r="D46" s="323">
        <v>0</v>
      </c>
      <c r="E46">
        <f t="shared" si="1"/>
        <v>0</v>
      </c>
    </row>
    <row r="47" spans="1:5">
      <c r="A47" s="321"/>
      <c r="B47" s="321"/>
      <c r="C47" s="322">
        <v>0</v>
      </c>
      <c r="D47" s="323">
        <v>0</v>
      </c>
      <c r="E47">
        <f t="shared" si="1"/>
        <v>0</v>
      </c>
    </row>
    <row r="48" spans="1:5">
      <c r="A48" s="321"/>
      <c r="B48" s="321"/>
      <c r="C48" s="322">
        <v>0</v>
      </c>
      <c r="D48" s="323">
        <v>0</v>
      </c>
      <c r="E48">
        <f t="shared" si="1"/>
        <v>0</v>
      </c>
    </row>
    <row r="49" spans="1:6">
      <c r="A49" s="321"/>
      <c r="B49" s="321"/>
      <c r="C49" s="322">
        <v>0</v>
      </c>
      <c r="D49" s="323">
        <v>0</v>
      </c>
      <c r="E49">
        <f t="shared" si="1"/>
        <v>0</v>
      </c>
    </row>
    <row r="50" spans="1:6">
      <c r="A50" s="321"/>
      <c r="B50" s="321"/>
      <c r="C50" s="322">
        <v>0</v>
      </c>
      <c r="D50" s="323">
        <v>0</v>
      </c>
      <c r="E50">
        <f t="shared" si="1"/>
        <v>0</v>
      </c>
    </row>
    <row r="51" spans="1:6">
      <c r="A51" s="321"/>
      <c r="B51" s="321"/>
      <c r="C51" s="322">
        <v>0</v>
      </c>
      <c r="D51" s="323">
        <v>0</v>
      </c>
      <c r="E51">
        <f t="shared" si="1"/>
        <v>0</v>
      </c>
    </row>
    <row r="52" spans="1:6">
      <c r="A52" s="321"/>
      <c r="B52" s="321"/>
      <c r="C52" s="322">
        <v>0</v>
      </c>
      <c r="D52" s="323">
        <v>0</v>
      </c>
      <c r="E52">
        <f t="shared" si="1"/>
        <v>0</v>
      </c>
    </row>
    <row r="53" spans="1:6">
      <c r="A53" s="321"/>
      <c r="B53" s="321"/>
      <c r="C53" s="322">
        <v>0</v>
      </c>
      <c r="D53" s="323">
        <v>0</v>
      </c>
      <c r="E53">
        <f t="shared" si="1"/>
        <v>0</v>
      </c>
    </row>
    <row r="54" spans="1:6">
      <c r="A54" s="321"/>
      <c r="B54" s="321"/>
      <c r="C54" s="322">
        <v>0</v>
      </c>
      <c r="D54" s="323">
        <v>0</v>
      </c>
      <c r="E54">
        <f t="shared" si="1"/>
        <v>0</v>
      </c>
    </row>
    <row r="55" spans="1:6">
      <c r="A55" s="321"/>
      <c r="B55" s="321"/>
      <c r="C55" s="322">
        <v>0</v>
      </c>
      <c r="D55" s="323">
        <v>0</v>
      </c>
      <c r="E55">
        <f t="shared" si="1"/>
        <v>0</v>
      </c>
    </row>
    <row r="56" spans="1:6">
      <c r="A56" s="321"/>
      <c r="B56" s="321"/>
      <c r="C56" s="322">
        <v>0</v>
      </c>
      <c r="D56" s="323">
        <v>0</v>
      </c>
      <c r="E56">
        <f t="shared" si="1"/>
        <v>0</v>
      </c>
    </row>
    <row r="57" spans="1:6">
      <c r="A57" s="321"/>
      <c r="B57" s="321"/>
      <c r="C57" s="322">
        <v>0</v>
      </c>
      <c r="D57" s="323">
        <v>0</v>
      </c>
      <c r="E57">
        <f t="shared" si="1"/>
        <v>0</v>
      </c>
    </row>
    <row r="58" spans="1:6">
      <c r="A58" s="321"/>
      <c r="B58" s="321"/>
      <c r="C58" s="322">
        <v>0</v>
      </c>
      <c r="D58" s="323">
        <v>0</v>
      </c>
      <c r="E58">
        <f t="shared" si="0"/>
        <v>0</v>
      </c>
    </row>
    <row r="59" spans="1:6">
      <c r="A59" s="321" t="s">
        <v>548</v>
      </c>
      <c r="B59" s="321"/>
      <c r="C59" s="322">
        <v>0</v>
      </c>
      <c r="D59" s="323">
        <v>0</v>
      </c>
      <c r="E59">
        <f t="shared" si="0"/>
        <v>0</v>
      </c>
    </row>
    <row r="60" spans="1:6">
      <c r="A60" s="320"/>
      <c r="B60" s="321"/>
      <c r="C60" s="322">
        <v>0</v>
      </c>
      <c r="D60" s="323">
        <v>0</v>
      </c>
      <c r="E60">
        <f t="shared" si="0"/>
        <v>0</v>
      </c>
    </row>
    <row r="61" spans="1:6" ht="15.75" thickBot="1">
      <c r="A61" s="320"/>
      <c r="B61" s="321"/>
      <c r="C61" s="322">
        <v>0</v>
      </c>
      <c r="D61" s="323">
        <v>0</v>
      </c>
      <c r="E61">
        <f t="shared" si="0"/>
        <v>0</v>
      </c>
      <c r="F61" s="23"/>
    </row>
    <row r="62" spans="1:6">
      <c r="F62">
        <f>+SUM(E3:E61)</f>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E0E86-D18D-4C03-9745-B4C38BEC92ED}">
  <sheetPr codeName="Sheet13"/>
  <dimension ref="A1:J24"/>
  <sheetViews>
    <sheetView workbookViewId="0">
      <selection activeCell="E2" sqref="E2"/>
    </sheetView>
  </sheetViews>
  <sheetFormatPr defaultColWidth="9.140625" defaultRowHeight="15"/>
  <cols>
    <col min="1" max="2" width="26.85546875" style="2" bestFit="1" customWidth="1"/>
    <col min="3" max="3" width="22.28515625" customWidth="1"/>
    <col min="4" max="4" width="9.140625" style="5"/>
    <col min="5" max="5" width="9.140625" style="26"/>
    <col min="7" max="7" width="9.140625" bestFit="1" customWidth="1"/>
    <col min="9" max="9" width="12.7109375" bestFit="1" customWidth="1"/>
    <col min="10" max="10" width="9.7109375" bestFit="1" customWidth="1"/>
  </cols>
  <sheetData>
    <row r="1" spans="1:9" s="3" customFormat="1">
      <c r="A1" s="3" t="s">
        <v>549</v>
      </c>
      <c r="B1" s="3" t="s">
        <v>453</v>
      </c>
      <c r="C1" s="13" t="s">
        <v>550</v>
      </c>
      <c r="D1" s="3" t="s">
        <v>551</v>
      </c>
      <c r="E1" s="13" t="s">
        <v>766</v>
      </c>
      <c r="F1" s="3" t="s">
        <v>552</v>
      </c>
    </row>
    <row r="2" spans="1:9">
      <c r="B2"/>
      <c r="C2" s="14"/>
      <c r="D2"/>
      <c r="E2" s="14"/>
      <c r="F2" s="14">
        <v>0</v>
      </c>
    </row>
    <row r="3" spans="1:9" s="22" customFormat="1">
      <c r="A3" s="2" t="s">
        <v>553</v>
      </c>
      <c r="B3" s="12"/>
      <c r="C3" s="14" t="s">
        <v>554</v>
      </c>
      <c r="D3">
        <v>0</v>
      </c>
      <c r="E3" s="14">
        <v>50</v>
      </c>
      <c r="F3" s="14">
        <f>+D3*E3</f>
        <v>0</v>
      </c>
      <c r="G3"/>
      <c r="H3" s="3"/>
      <c r="I3" s="3"/>
    </row>
    <row r="4" spans="1:9">
      <c r="A4" s="2" t="s">
        <v>553</v>
      </c>
      <c r="B4"/>
      <c r="C4" s="14" t="s">
        <v>555</v>
      </c>
      <c r="D4">
        <v>0</v>
      </c>
      <c r="E4" s="14">
        <v>150</v>
      </c>
      <c r="F4" s="14">
        <f t="shared" ref="F4:F13" si="0">+D4*E4</f>
        <v>0</v>
      </c>
    </row>
    <row r="5" spans="1:9">
      <c r="A5" s="2" t="s">
        <v>553</v>
      </c>
      <c r="B5"/>
      <c r="C5" s="14" t="s">
        <v>556</v>
      </c>
      <c r="D5">
        <v>0</v>
      </c>
      <c r="E5" s="14">
        <v>104</v>
      </c>
      <c r="F5" s="14">
        <f t="shared" si="0"/>
        <v>0</v>
      </c>
    </row>
    <row r="6" spans="1:9">
      <c r="A6" s="2" t="s">
        <v>553</v>
      </c>
      <c r="B6"/>
      <c r="C6" s="14" t="s">
        <v>557</v>
      </c>
      <c r="D6">
        <v>0</v>
      </c>
      <c r="E6" s="14">
        <f>+(12.13+31.46+41.63)/3</f>
        <v>28.406666666666666</v>
      </c>
      <c r="F6" s="14">
        <f t="shared" si="0"/>
        <v>0</v>
      </c>
    </row>
    <row r="7" spans="1:9">
      <c r="A7" s="2" t="s">
        <v>553</v>
      </c>
      <c r="B7"/>
      <c r="C7" s="14" t="s">
        <v>558</v>
      </c>
      <c r="D7">
        <v>0</v>
      </c>
      <c r="E7" s="14">
        <v>6.35</v>
      </c>
      <c r="F7" s="14">
        <f t="shared" si="0"/>
        <v>0</v>
      </c>
    </row>
    <row r="8" spans="1:9">
      <c r="A8" s="2" t="s">
        <v>553</v>
      </c>
      <c r="B8"/>
      <c r="C8" s="14" t="s">
        <v>559</v>
      </c>
      <c r="D8">
        <v>0</v>
      </c>
      <c r="E8" s="14">
        <v>2.5</v>
      </c>
      <c r="F8" s="14">
        <f t="shared" si="0"/>
        <v>0</v>
      </c>
    </row>
    <row r="9" spans="1:9">
      <c r="A9" s="2" t="s">
        <v>553</v>
      </c>
      <c r="B9"/>
      <c r="C9" s="14" t="s">
        <v>560</v>
      </c>
      <c r="D9">
        <v>0</v>
      </c>
      <c r="E9" s="14">
        <f>(8.5+10+17.34)/3</f>
        <v>11.946666666666667</v>
      </c>
      <c r="F9" s="14">
        <f t="shared" si="0"/>
        <v>0</v>
      </c>
    </row>
    <row r="10" spans="1:9">
      <c r="A10" s="2" t="s">
        <v>553</v>
      </c>
      <c r="B10" s="298">
        <v>44620</v>
      </c>
      <c r="C10" s="14" t="s">
        <v>561</v>
      </c>
      <c r="D10">
        <v>0</v>
      </c>
      <c r="E10" s="14">
        <v>73.13</v>
      </c>
      <c r="F10" s="14">
        <f t="shared" si="0"/>
        <v>0</v>
      </c>
    </row>
    <row r="11" spans="1:9">
      <c r="A11" s="2" t="s">
        <v>553</v>
      </c>
      <c r="B11" s="298">
        <v>44651</v>
      </c>
      <c r="C11" s="14" t="s">
        <v>562</v>
      </c>
      <c r="D11">
        <v>0</v>
      </c>
      <c r="E11" s="14">
        <v>346.78</v>
      </c>
      <c r="F11" s="14">
        <f t="shared" si="0"/>
        <v>0</v>
      </c>
    </row>
    <row r="12" spans="1:9">
      <c r="A12" s="2" t="s">
        <v>553</v>
      </c>
      <c r="B12" s="298">
        <v>44666</v>
      </c>
      <c r="C12" s="14"/>
      <c r="D12">
        <v>0</v>
      </c>
      <c r="E12" s="14">
        <v>599.75</v>
      </c>
      <c r="F12" s="14">
        <f t="shared" si="0"/>
        <v>0</v>
      </c>
    </row>
    <row r="13" spans="1:9">
      <c r="A13" s="2" t="s">
        <v>553</v>
      </c>
      <c r="B13"/>
      <c r="C13" s="14"/>
      <c r="D13">
        <v>0</v>
      </c>
      <c r="E13" s="14">
        <v>1716</v>
      </c>
      <c r="F13" s="14">
        <f t="shared" si="0"/>
        <v>0</v>
      </c>
    </row>
    <row r="14" spans="1:9">
      <c r="A14" s="2" t="s">
        <v>563</v>
      </c>
      <c r="B14"/>
      <c r="C14" s="14"/>
      <c r="D14">
        <v>0</v>
      </c>
      <c r="E14" s="14">
        <v>0</v>
      </c>
      <c r="F14">
        <v>0</v>
      </c>
    </row>
    <row r="15" spans="1:9">
      <c r="B15"/>
      <c r="C15" s="14"/>
      <c r="D15"/>
      <c r="E15" s="14"/>
    </row>
    <row r="16" spans="1:9" ht="15.75" thickBot="1">
      <c r="B16"/>
      <c r="C16" s="14"/>
      <c r="D16"/>
      <c r="E16" s="14"/>
      <c r="F16" s="23"/>
      <c r="G16" s="23"/>
    </row>
    <row r="17" spans="1:10">
      <c r="B17"/>
      <c r="C17" s="14"/>
      <c r="D17"/>
      <c r="E17" s="14"/>
      <c r="F17" s="14"/>
      <c r="G17" s="5">
        <f>SUM(F2:F16)</f>
        <v>0</v>
      </c>
    </row>
    <row r="18" spans="1:10">
      <c r="A18"/>
      <c r="C18" s="11"/>
    </row>
    <row r="19" spans="1:10">
      <c r="A19"/>
      <c r="C19" s="11"/>
    </row>
    <row r="20" spans="1:10" ht="15.75" thickBot="1">
      <c r="C20" s="11"/>
      <c r="E20" s="30"/>
      <c r="F20" s="30"/>
      <c r="I20" s="2"/>
      <c r="J20" s="12"/>
    </row>
    <row r="21" spans="1:10">
      <c r="C21" s="658"/>
      <c r="D21" s="659"/>
      <c r="E21" s="659"/>
      <c r="F21" s="4"/>
      <c r="I21" s="2"/>
    </row>
    <row r="23" spans="1:10">
      <c r="E23" s="2"/>
      <c r="F23" s="2"/>
    </row>
    <row r="24" spans="1:10">
      <c r="F24" s="4"/>
    </row>
  </sheetData>
  <mergeCells count="1">
    <mergeCell ref="C21:E2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A1:F21"/>
  <sheetViews>
    <sheetView topLeftCell="A4" workbookViewId="0">
      <selection activeCell="G21" sqref="G21"/>
    </sheetView>
  </sheetViews>
  <sheetFormatPr defaultRowHeight="15"/>
  <cols>
    <col min="1" max="1" width="18" customWidth="1"/>
    <col min="2" max="2" width="11" bestFit="1" customWidth="1"/>
  </cols>
  <sheetData>
    <row r="1" spans="1:6">
      <c r="A1" s="3" t="s">
        <v>341</v>
      </c>
      <c r="B1" s="3"/>
      <c r="D1" s="5"/>
      <c r="E1" s="14"/>
      <c r="F1" s="14"/>
    </row>
    <row r="2" spans="1:6">
      <c r="A2" s="2"/>
      <c r="B2" s="2"/>
      <c r="C2" s="3"/>
      <c r="D2" s="8"/>
      <c r="E2" s="13"/>
      <c r="F2" s="13"/>
    </row>
    <row r="3" spans="1:6">
      <c r="A3" s="3" t="s">
        <v>406</v>
      </c>
      <c r="B3" s="3" t="s">
        <v>564</v>
      </c>
      <c r="C3" s="3" t="s">
        <v>513</v>
      </c>
      <c r="D3" s="8" t="s">
        <v>514</v>
      </c>
      <c r="E3" s="13" t="s">
        <v>515</v>
      </c>
      <c r="F3" s="13" t="s">
        <v>516</v>
      </c>
    </row>
    <row r="4" spans="1:6">
      <c r="A4" s="2" t="s">
        <v>565</v>
      </c>
      <c r="B4" s="2">
        <v>977057</v>
      </c>
      <c r="C4">
        <v>0</v>
      </c>
      <c r="D4" s="5">
        <v>149</v>
      </c>
      <c r="E4" s="14">
        <f t="shared" ref="E4:E6" si="0">+C4*D4</f>
        <v>0</v>
      </c>
      <c r="F4" s="13"/>
    </row>
    <row r="5" spans="1:6">
      <c r="A5" s="2" t="s">
        <v>566</v>
      </c>
      <c r="B5" s="2"/>
      <c r="C5">
        <v>0</v>
      </c>
      <c r="D5" s="5">
        <v>400</v>
      </c>
      <c r="E5" s="14">
        <f t="shared" si="0"/>
        <v>0</v>
      </c>
      <c r="F5" s="14"/>
    </row>
    <row r="6" spans="1:6">
      <c r="A6" s="2" t="s">
        <v>567</v>
      </c>
      <c r="B6" s="2">
        <v>1002425336</v>
      </c>
      <c r="C6">
        <v>0</v>
      </c>
      <c r="D6" s="5">
        <v>348</v>
      </c>
      <c r="E6" s="14">
        <f t="shared" si="0"/>
        <v>0</v>
      </c>
      <c r="F6" s="14"/>
    </row>
    <row r="7" spans="1:6" ht="15.75" thickBot="1">
      <c r="A7" s="2"/>
      <c r="B7" s="2"/>
      <c r="D7" s="5"/>
      <c r="E7" s="21"/>
      <c r="F7" s="21"/>
    </row>
    <row r="8" spans="1:6">
      <c r="A8" s="2"/>
      <c r="B8" s="2"/>
      <c r="D8" s="10" t="s">
        <v>568</v>
      </c>
      <c r="E8" s="14"/>
      <c r="F8" s="14">
        <f>+SUM(E4:E7)</f>
        <v>0</v>
      </c>
    </row>
    <row r="9" spans="1:6">
      <c r="A9" s="2" t="s">
        <v>569</v>
      </c>
      <c r="B9" s="2"/>
      <c r="C9">
        <v>0</v>
      </c>
      <c r="D9" s="10">
        <v>31.98</v>
      </c>
      <c r="E9" s="14">
        <v>0</v>
      </c>
      <c r="F9" s="14">
        <v>0</v>
      </c>
    </row>
    <row r="10" spans="1:6">
      <c r="A10" s="2" t="s">
        <v>168</v>
      </c>
      <c r="B10" s="2"/>
      <c r="C10" t="s">
        <v>168</v>
      </c>
      <c r="D10" s="5" t="s">
        <v>168</v>
      </c>
      <c r="E10" s="14" t="s">
        <v>168</v>
      </c>
      <c r="F10" s="14"/>
    </row>
    <row r="11" spans="1:6">
      <c r="A11" s="2" t="s">
        <v>569</v>
      </c>
      <c r="B11" s="2">
        <v>1630551</v>
      </c>
      <c r="C11">
        <v>0</v>
      </c>
      <c r="D11" s="5">
        <v>32.979999999999997</v>
      </c>
      <c r="E11" s="14">
        <f>+C11*D11</f>
        <v>0</v>
      </c>
      <c r="F11" s="14"/>
    </row>
    <row r="12" spans="1:6">
      <c r="A12" s="2" t="s">
        <v>570</v>
      </c>
      <c r="B12" s="2">
        <v>3648606</v>
      </c>
      <c r="C12">
        <v>0</v>
      </c>
      <c r="D12" s="5">
        <v>560.30999999999995</v>
      </c>
      <c r="E12" s="14">
        <f t="shared" ref="E12" si="1">+C12*D12</f>
        <v>0</v>
      </c>
      <c r="F12" s="14"/>
    </row>
    <row r="13" spans="1:6">
      <c r="A13" s="2" t="s">
        <v>571</v>
      </c>
      <c r="B13" s="2">
        <v>1654366</v>
      </c>
      <c r="C13">
        <v>0</v>
      </c>
      <c r="D13" s="5">
        <v>374.29</v>
      </c>
      <c r="E13" s="14">
        <v>0</v>
      </c>
      <c r="F13" s="14"/>
    </row>
    <row r="14" spans="1:6">
      <c r="A14" s="2" t="s">
        <v>572</v>
      </c>
      <c r="B14" s="2">
        <v>118694</v>
      </c>
      <c r="C14">
        <v>0</v>
      </c>
      <c r="D14" s="5">
        <v>39.28</v>
      </c>
      <c r="E14" s="14">
        <v>0</v>
      </c>
      <c r="F14" s="14"/>
    </row>
    <row r="15" spans="1:6">
      <c r="A15" s="2" t="s">
        <v>573</v>
      </c>
      <c r="B15" s="31"/>
      <c r="C15">
        <v>0</v>
      </c>
      <c r="D15" s="5">
        <v>189</v>
      </c>
      <c r="E15" s="14">
        <f>+C15*D15</f>
        <v>0</v>
      </c>
      <c r="F15" s="14"/>
    </row>
    <row r="16" spans="1:6">
      <c r="A16" s="2" t="s">
        <v>168</v>
      </c>
      <c r="B16" s="31"/>
      <c r="C16" t="s">
        <v>168</v>
      </c>
      <c r="D16" s="5" t="s">
        <v>168</v>
      </c>
      <c r="E16" s="14" t="s">
        <v>168</v>
      </c>
      <c r="F16" s="14"/>
    </row>
    <row r="17" spans="1:6">
      <c r="A17" s="2" t="s">
        <v>574</v>
      </c>
      <c r="B17" s="31"/>
      <c r="C17">
        <v>0</v>
      </c>
      <c r="D17" s="5">
        <v>169</v>
      </c>
      <c r="E17" s="14">
        <f t="shared" ref="E17:E20" si="2">+C17*D17</f>
        <v>0</v>
      </c>
      <c r="F17" s="14"/>
    </row>
    <row r="18" spans="1:6">
      <c r="A18" s="31" t="s">
        <v>575</v>
      </c>
      <c r="B18" s="31">
        <v>1692925</v>
      </c>
      <c r="C18">
        <v>0</v>
      </c>
      <c r="D18" s="5">
        <v>170.39</v>
      </c>
      <c r="E18" s="14">
        <f t="shared" si="2"/>
        <v>0</v>
      </c>
      <c r="F18" s="14"/>
    </row>
    <row r="19" spans="1:6">
      <c r="A19" s="31" t="s">
        <v>576</v>
      </c>
      <c r="B19" s="31"/>
      <c r="C19">
        <v>0</v>
      </c>
      <c r="D19" s="5">
        <v>90.91</v>
      </c>
      <c r="E19" s="14">
        <v>0</v>
      </c>
      <c r="F19" s="14"/>
    </row>
    <row r="20" spans="1:6" ht="15.75" thickBot="1">
      <c r="A20" s="2" t="s">
        <v>577</v>
      </c>
      <c r="B20" s="31"/>
      <c r="C20">
        <v>0</v>
      </c>
      <c r="D20" s="5">
        <v>400</v>
      </c>
      <c r="E20" s="14">
        <f t="shared" si="2"/>
        <v>0</v>
      </c>
      <c r="F20" s="21"/>
    </row>
    <row r="21" spans="1:6">
      <c r="B21" s="2"/>
      <c r="C21" s="659" t="s">
        <v>578</v>
      </c>
      <c r="D21" s="659"/>
      <c r="E21" s="659"/>
      <c r="F21" s="14">
        <v>0</v>
      </c>
    </row>
  </sheetData>
  <mergeCells count="1">
    <mergeCell ref="C21:E21"/>
  </mergeCells>
  <printOptions headings="1" gridLines="1"/>
  <pageMargins left="0.7" right="0.7" top="0.75" bottom="0.75" header="0.3" footer="0.3"/>
  <pageSetup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ED35-922B-4595-A40C-A0514C2B2C82}">
  <sheetPr codeName="Sheet15"/>
  <dimension ref="A1:I29"/>
  <sheetViews>
    <sheetView workbookViewId="0">
      <selection activeCell="F23" sqref="F23"/>
    </sheetView>
  </sheetViews>
  <sheetFormatPr defaultColWidth="9.140625" defaultRowHeight="15"/>
  <cols>
    <col min="1" max="1" width="28" style="2" bestFit="1" customWidth="1"/>
    <col min="2" max="2" width="23.85546875" style="2" customWidth="1"/>
    <col min="4" max="4" width="10.140625" style="5" bestFit="1" customWidth="1"/>
    <col min="5" max="6" width="9.140625" style="14"/>
  </cols>
  <sheetData>
    <row r="1" spans="1:6">
      <c r="A1" s="3" t="s">
        <v>311</v>
      </c>
      <c r="B1" s="3"/>
    </row>
    <row r="2" spans="1:6">
      <c r="C2" s="3"/>
      <c r="D2" s="8"/>
      <c r="E2" s="13"/>
      <c r="F2" s="13"/>
    </row>
    <row r="3" spans="1:6">
      <c r="A3" s="3" t="s">
        <v>406</v>
      </c>
      <c r="B3" s="3" t="s">
        <v>564</v>
      </c>
      <c r="C3" s="3" t="s">
        <v>513</v>
      </c>
      <c r="D3" s="8" t="s">
        <v>514</v>
      </c>
      <c r="E3" s="13" t="s">
        <v>515</v>
      </c>
      <c r="F3" s="13" t="s">
        <v>516</v>
      </c>
    </row>
    <row r="4" spans="1:6">
      <c r="A4" s="3"/>
      <c r="B4" s="3"/>
      <c r="C4" s="31"/>
      <c r="D4" s="8"/>
      <c r="E4" s="14">
        <f>+C4*D4</f>
        <v>0</v>
      </c>
      <c r="F4" s="13"/>
    </row>
    <row r="5" spans="1:6">
      <c r="A5" s="31" t="s">
        <v>579</v>
      </c>
      <c r="B5" s="31">
        <v>1255143</v>
      </c>
      <c r="C5">
        <v>0</v>
      </c>
      <c r="D5" s="5">
        <v>0</v>
      </c>
      <c r="E5" s="14">
        <f>+C5*D5</f>
        <v>0</v>
      </c>
    </row>
    <row r="6" spans="1:6">
      <c r="A6" s="31" t="s">
        <v>580</v>
      </c>
      <c r="B6" s="31">
        <v>2131173</v>
      </c>
      <c r="C6">
        <v>0</v>
      </c>
      <c r="D6" s="5">
        <v>0</v>
      </c>
      <c r="E6" s="14">
        <f>+C6*D6</f>
        <v>0</v>
      </c>
    </row>
    <row r="7" spans="1:6">
      <c r="A7" s="31" t="s">
        <v>581</v>
      </c>
      <c r="B7" s="31">
        <v>1227792</v>
      </c>
      <c r="C7">
        <v>0</v>
      </c>
      <c r="D7" s="5">
        <v>0</v>
      </c>
      <c r="E7" s="14">
        <f>+C7*D7</f>
        <v>0</v>
      </c>
    </row>
    <row r="8" spans="1:6">
      <c r="A8" s="31" t="s">
        <v>582</v>
      </c>
      <c r="B8" s="31">
        <v>1233228</v>
      </c>
      <c r="C8">
        <v>0</v>
      </c>
      <c r="D8" s="5">
        <v>0</v>
      </c>
      <c r="E8" s="14">
        <f>+C8*D8</f>
        <v>0</v>
      </c>
    </row>
    <row r="9" spans="1:6">
      <c r="A9" s="31" t="s">
        <v>168</v>
      </c>
      <c r="B9" s="31" t="s">
        <v>168</v>
      </c>
      <c r="C9">
        <v>0</v>
      </c>
      <c r="D9" s="5">
        <v>0</v>
      </c>
      <c r="E9" s="14">
        <f t="shared" ref="E9:E22" si="0">+C9*D9</f>
        <v>0</v>
      </c>
    </row>
    <row r="10" spans="1:6">
      <c r="A10" s="31" t="s">
        <v>168</v>
      </c>
      <c r="B10" s="31"/>
      <c r="C10">
        <v>0</v>
      </c>
      <c r="D10" s="5" t="s">
        <v>168</v>
      </c>
      <c r="E10" s="14">
        <v>0</v>
      </c>
    </row>
    <row r="11" spans="1:6">
      <c r="A11" s="31" t="s">
        <v>583</v>
      </c>
      <c r="B11" s="31"/>
      <c r="C11">
        <v>0</v>
      </c>
      <c r="D11" s="5">
        <v>0</v>
      </c>
      <c r="E11" s="14">
        <f t="shared" si="0"/>
        <v>0</v>
      </c>
    </row>
    <row r="12" spans="1:6">
      <c r="A12" s="31" t="s">
        <v>168</v>
      </c>
      <c r="B12" s="31"/>
      <c r="C12">
        <v>0</v>
      </c>
      <c r="D12" s="5">
        <v>0</v>
      </c>
      <c r="E12" s="14">
        <f t="shared" si="0"/>
        <v>0</v>
      </c>
    </row>
    <row r="13" spans="1:6">
      <c r="A13" s="31"/>
      <c r="B13" s="31"/>
      <c r="E13" s="14">
        <f t="shared" si="0"/>
        <v>0</v>
      </c>
    </row>
    <row r="14" spans="1:6">
      <c r="A14" s="31" t="s">
        <v>584</v>
      </c>
      <c r="B14" s="31"/>
      <c r="C14">
        <v>0</v>
      </c>
      <c r="E14" s="14">
        <f t="shared" si="0"/>
        <v>0</v>
      </c>
    </row>
    <row r="15" spans="1:6">
      <c r="A15" s="31"/>
      <c r="B15" s="31"/>
      <c r="E15" s="14">
        <f t="shared" si="0"/>
        <v>0</v>
      </c>
    </row>
    <row r="16" spans="1:6">
      <c r="A16" s="31"/>
      <c r="B16" s="31"/>
      <c r="E16" s="14">
        <f t="shared" si="0"/>
        <v>0</v>
      </c>
    </row>
    <row r="17" spans="1:9">
      <c r="A17" s="31"/>
      <c r="B17" s="31"/>
      <c r="E17" s="14">
        <f t="shared" si="0"/>
        <v>0</v>
      </c>
    </row>
    <row r="18" spans="1:9">
      <c r="A18" s="31"/>
      <c r="B18" s="31"/>
      <c r="E18" s="14">
        <f t="shared" si="0"/>
        <v>0</v>
      </c>
    </row>
    <row r="19" spans="1:9">
      <c r="A19" s="31"/>
      <c r="B19" s="31"/>
      <c r="E19" s="14">
        <f t="shared" si="0"/>
        <v>0</v>
      </c>
    </row>
    <row r="20" spans="1:9">
      <c r="A20" s="31"/>
      <c r="B20" s="31"/>
      <c r="E20" s="14">
        <f t="shared" si="0"/>
        <v>0</v>
      </c>
    </row>
    <row r="21" spans="1:9">
      <c r="A21" s="31" t="s">
        <v>576</v>
      </c>
      <c r="B21" s="31"/>
      <c r="E21" s="14">
        <v>0</v>
      </c>
    </row>
    <row r="22" spans="1:9" ht="15.75" thickBot="1">
      <c r="A22" s="31"/>
      <c r="B22" s="31"/>
      <c r="E22" s="21">
        <f t="shared" si="0"/>
        <v>0</v>
      </c>
      <c r="F22" s="21"/>
    </row>
    <row r="23" spans="1:9">
      <c r="F23" s="14">
        <v>0</v>
      </c>
      <c r="I23" s="1"/>
    </row>
    <row r="26" spans="1:9">
      <c r="F26"/>
    </row>
    <row r="27" spans="1:9">
      <c r="F27"/>
    </row>
    <row r="28" spans="1:9">
      <c r="F28"/>
    </row>
    <row r="29" spans="1:9">
      <c r="F29"/>
    </row>
  </sheetData>
  <printOptions headings="1" gridLines="1"/>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BF704-A731-4090-8A2D-A4EA6E51D8CC}">
  <dimension ref="A1"/>
  <sheetViews>
    <sheetView workbookViewId="0"/>
  </sheetViews>
  <sheetFormatPr defaultRowHeight="1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EDF1C-08D2-4756-BEB5-57F20B9DDFF1}">
  <dimension ref="A1"/>
  <sheetViews>
    <sheetView workbookViewId="0"/>
  </sheetViews>
  <sheetFormatPr defaultRowHeight="1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6A899-826B-450F-A5F8-6A1D9D457182}">
  <sheetPr codeName="Sheet16"/>
  <dimension ref="A1:I49"/>
  <sheetViews>
    <sheetView workbookViewId="0">
      <selection activeCell="G30" sqref="G30"/>
    </sheetView>
  </sheetViews>
  <sheetFormatPr defaultColWidth="9.140625" defaultRowHeight="15"/>
  <cols>
    <col min="1" max="1" width="34.7109375" style="25" bestFit="1" customWidth="1"/>
    <col min="2" max="2" width="12" style="25" bestFit="1" customWidth="1"/>
    <col min="3" max="3" width="8" bestFit="1" customWidth="1"/>
    <col min="4" max="4" width="9.140625" style="5"/>
    <col min="5" max="6" width="9.140625" style="14"/>
  </cols>
  <sheetData>
    <row r="1" spans="1:6" ht="5.25" customHeight="1">
      <c r="A1" s="33" t="s">
        <v>585</v>
      </c>
      <c r="B1" s="33"/>
    </row>
    <row r="2" spans="1:6">
      <c r="C2" s="3"/>
      <c r="D2" s="8"/>
      <c r="E2" s="13"/>
      <c r="F2" s="13"/>
    </row>
    <row r="3" spans="1:6" s="22" customFormat="1" ht="14.25" customHeight="1">
      <c r="A3" s="3" t="s">
        <v>406</v>
      </c>
      <c r="B3" s="3" t="s">
        <v>564</v>
      </c>
      <c r="C3" s="3" t="s">
        <v>513</v>
      </c>
      <c r="D3" s="8" t="s">
        <v>514</v>
      </c>
      <c r="E3" s="13" t="s">
        <v>515</v>
      </c>
      <c r="F3" s="13" t="s">
        <v>516</v>
      </c>
    </row>
    <row r="4" spans="1:6" ht="14.25" customHeight="1">
      <c r="A4" s="33" t="s">
        <v>586</v>
      </c>
      <c r="B4" s="33">
        <v>935605</v>
      </c>
      <c r="C4" s="31">
        <v>0</v>
      </c>
      <c r="D4" s="5">
        <v>209</v>
      </c>
      <c r="E4" s="14">
        <f t="shared" ref="E4:E15" si="0">+C4*D4</f>
        <v>0</v>
      </c>
      <c r="F4" s="13"/>
    </row>
    <row r="5" spans="1:6" ht="14.25" customHeight="1">
      <c r="A5" s="33" t="s">
        <v>587</v>
      </c>
      <c r="B5" s="33">
        <v>935604</v>
      </c>
      <c r="C5" s="31">
        <v>0</v>
      </c>
      <c r="D5" s="5">
        <v>209</v>
      </c>
      <c r="E5" s="14">
        <f t="shared" si="0"/>
        <v>0</v>
      </c>
      <c r="F5" s="13"/>
    </row>
    <row r="6" spans="1:6" ht="14.25" customHeight="1">
      <c r="A6" s="33" t="s">
        <v>588</v>
      </c>
      <c r="B6" s="33">
        <v>935599</v>
      </c>
      <c r="C6" s="31">
        <v>0</v>
      </c>
      <c r="D6" s="5">
        <v>198.56</v>
      </c>
      <c r="E6" s="14">
        <f t="shared" ref="E6" si="1">+C6*D6</f>
        <v>0</v>
      </c>
      <c r="F6" s="13"/>
    </row>
    <row r="7" spans="1:6" ht="14.25" customHeight="1">
      <c r="A7" s="33" t="s">
        <v>589</v>
      </c>
      <c r="B7" s="33">
        <v>14005</v>
      </c>
      <c r="C7">
        <v>0</v>
      </c>
      <c r="D7" s="5">
        <v>179</v>
      </c>
      <c r="E7" s="14">
        <f t="shared" si="0"/>
        <v>0</v>
      </c>
    </row>
    <row r="8" spans="1:6" ht="14.25" customHeight="1">
      <c r="A8" s="33" t="s">
        <v>590</v>
      </c>
      <c r="B8" s="33">
        <v>14006</v>
      </c>
      <c r="C8">
        <v>0</v>
      </c>
      <c r="D8" s="5">
        <v>179</v>
      </c>
      <c r="E8" s="14">
        <f t="shared" si="0"/>
        <v>0</v>
      </c>
    </row>
    <row r="9" spans="1:6" ht="14.25" customHeight="1">
      <c r="A9" s="33" t="s">
        <v>591</v>
      </c>
      <c r="B9" s="33">
        <v>935587</v>
      </c>
      <c r="C9">
        <v>0</v>
      </c>
      <c r="D9" s="5">
        <v>198.55</v>
      </c>
      <c r="E9" s="14">
        <f t="shared" ref="E9" si="2">+C9*D9</f>
        <v>0</v>
      </c>
    </row>
    <row r="10" spans="1:6" ht="14.25" customHeight="1">
      <c r="A10" s="33" t="s">
        <v>592</v>
      </c>
      <c r="B10" s="33">
        <v>49504</v>
      </c>
      <c r="C10">
        <v>0</v>
      </c>
      <c r="D10" s="5">
        <v>103</v>
      </c>
      <c r="E10" s="14">
        <f t="shared" si="0"/>
        <v>0</v>
      </c>
    </row>
    <row r="11" spans="1:6" ht="14.25" customHeight="1">
      <c r="A11" s="33" t="s">
        <v>593</v>
      </c>
      <c r="B11" s="33">
        <v>49706</v>
      </c>
      <c r="C11">
        <v>0</v>
      </c>
      <c r="D11" s="5">
        <v>103</v>
      </c>
      <c r="E11" s="14">
        <f t="shared" si="0"/>
        <v>0</v>
      </c>
    </row>
    <row r="12" spans="1:6" ht="14.25" customHeight="1">
      <c r="A12" s="33" t="s">
        <v>594</v>
      </c>
      <c r="B12" s="33">
        <v>47025</v>
      </c>
      <c r="C12">
        <v>0</v>
      </c>
      <c r="D12" s="5">
        <v>99</v>
      </c>
      <c r="E12" s="14">
        <f t="shared" si="0"/>
        <v>0</v>
      </c>
    </row>
    <row r="13" spans="1:6" ht="14.25" customHeight="1">
      <c r="A13" s="33" t="s">
        <v>595</v>
      </c>
      <c r="B13" s="33">
        <v>47422</v>
      </c>
      <c r="C13">
        <v>0</v>
      </c>
      <c r="D13" s="5">
        <v>99</v>
      </c>
      <c r="E13" s="14">
        <f t="shared" si="0"/>
        <v>0</v>
      </c>
    </row>
    <row r="14" spans="1:6" ht="14.25" customHeight="1">
      <c r="A14" s="33" t="s">
        <v>596</v>
      </c>
      <c r="B14" s="33">
        <v>43359</v>
      </c>
      <c r="C14">
        <v>0</v>
      </c>
      <c r="D14" s="5">
        <v>95</v>
      </c>
      <c r="E14" s="14">
        <f t="shared" si="0"/>
        <v>0</v>
      </c>
    </row>
    <row r="15" spans="1:6" ht="14.25" customHeight="1">
      <c r="A15" s="33" t="s">
        <v>597</v>
      </c>
      <c r="B15" s="33">
        <v>44035</v>
      </c>
      <c r="C15">
        <v>0</v>
      </c>
      <c r="D15" s="5">
        <v>95</v>
      </c>
      <c r="E15" s="14">
        <f t="shared" si="0"/>
        <v>0</v>
      </c>
    </row>
    <row r="16" spans="1:6" ht="14.25" customHeight="1">
      <c r="A16" s="33" t="s">
        <v>598</v>
      </c>
      <c r="B16" s="33">
        <v>10758</v>
      </c>
      <c r="C16">
        <v>0</v>
      </c>
      <c r="D16" s="5">
        <v>73</v>
      </c>
      <c r="E16" s="14">
        <f t="shared" ref="E16:E28" si="3">+C16*D16</f>
        <v>0</v>
      </c>
    </row>
    <row r="17" spans="1:9" ht="14.25" customHeight="1">
      <c r="A17" s="33" t="s">
        <v>599</v>
      </c>
      <c r="B17" s="33">
        <v>338797</v>
      </c>
      <c r="C17">
        <v>0</v>
      </c>
      <c r="D17" s="5">
        <v>196</v>
      </c>
      <c r="E17" s="14">
        <f t="shared" si="3"/>
        <v>0</v>
      </c>
    </row>
    <row r="18" spans="1:9" ht="14.25" customHeight="1">
      <c r="A18" s="33" t="s">
        <v>600</v>
      </c>
      <c r="B18" s="33"/>
      <c r="C18">
        <v>0</v>
      </c>
      <c r="D18" s="5">
        <v>284.56</v>
      </c>
      <c r="E18" s="14">
        <f t="shared" si="3"/>
        <v>0</v>
      </c>
    </row>
    <row r="19" spans="1:9" ht="14.25" customHeight="1">
      <c r="A19" s="33" t="s">
        <v>601</v>
      </c>
      <c r="B19" s="33">
        <v>72904</v>
      </c>
      <c r="C19">
        <v>0</v>
      </c>
      <c r="D19" s="5">
        <v>429.62</v>
      </c>
      <c r="E19" s="14">
        <f t="shared" ref="E19" si="4">+C19*D19</f>
        <v>0</v>
      </c>
    </row>
    <row r="20" spans="1:9" ht="14.25" customHeight="1">
      <c r="A20" s="33" t="s">
        <v>717</v>
      </c>
      <c r="B20" s="33" t="s">
        <v>720</v>
      </c>
      <c r="C20">
        <v>0</v>
      </c>
      <c r="D20" s="5">
        <v>8.9700000000000006</v>
      </c>
      <c r="E20" s="14">
        <f t="shared" si="3"/>
        <v>0</v>
      </c>
    </row>
    <row r="21" spans="1:9" ht="14.25" customHeight="1">
      <c r="A21" s="33" t="s">
        <v>717</v>
      </c>
      <c r="B21" s="33" t="s">
        <v>718</v>
      </c>
      <c r="C21">
        <v>0</v>
      </c>
      <c r="D21" s="5">
        <v>9.48</v>
      </c>
      <c r="E21" s="14">
        <f t="shared" si="3"/>
        <v>0</v>
      </c>
    </row>
    <row r="22" spans="1:9" ht="14.25" customHeight="1">
      <c r="A22" s="33" t="s">
        <v>717</v>
      </c>
      <c r="B22" s="33" t="s">
        <v>718</v>
      </c>
      <c r="C22">
        <v>0</v>
      </c>
      <c r="D22" s="5">
        <v>9.48</v>
      </c>
      <c r="E22" s="14">
        <f t="shared" si="3"/>
        <v>0</v>
      </c>
    </row>
    <row r="23" spans="1:9" ht="14.25" customHeight="1">
      <c r="A23" s="33" t="s">
        <v>739</v>
      </c>
      <c r="B23" s="33" t="s">
        <v>740</v>
      </c>
      <c r="C23">
        <v>0</v>
      </c>
      <c r="D23" s="5">
        <v>13.47</v>
      </c>
      <c r="E23" s="14">
        <f t="shared" si="3"/>
        <v>0</v>
      </c>
    </row>
    <row r="24" spans="1:9" ht="14.25" customHeight="1">
      <c r="A24" s="33" t="s">
        <v>602</v>
      </c>
      <c r="B24" s="33">
        <v>5386043</v>
      </c>
      <c r="C24">
        <v>1</v>
      </c>
      <c r="D24" s="5">
        <v>31.33</v>
      </c>
      <c r="E24" s="14">
        <f t="shared" si="3"/>
        <v>31.33</v>
      </c>
    </row>
    <row r="25" spans="1:9" ht="14.25" customHeight="1">
      <c r="A25" s="33" t="s">
        <v>603</v>
      </c>
      <c r="B25" s="33">
        <v>1456509</v>
      </c>
      <c r="C25">
        <v>1</v>
      </c>
      <c r="D25" s="5">
        <v>189.05</v>
      </c>
      <c r="E25" s="14">
        <f t="shared" si="3"/>
        <v>189.05</v>
      </c>
    </row>
    <row r="26" spans="1:9" ht="14.25" customHeight="1">
      <c r="A26" s="33" t="s">
        <v>719</v>
      </c>
      <c r="B26" s="33"/>
      <c r="C26">
        <v>0</v>
      </c>
      <c r="D26" s="5">
        <v>69.47</v>
      </c>
      <c r="E26" s="14">
        <v>69.47</v>
      </c>
    </row>
    <row r="27" spans="1:9" ht="14.25" customHeight="1">
      <c r="A27" s="33" t="s">
        <v>723</v>
      </c>
      <c r="B27" s="33" t="s">
        <v>724</v>
      </c>
      <c r="C27">
        <v>0</v>
      </c>
      <c r="D27" s="5">
        <v>0</v>
      </c>
      <c r="E27" s="14">
        <f t="shared" si="3"/>
        <v>0</v>
      </c>
    </row>
    <row r="28" spans="1:9" ht="14.25" customHeight="1">
      <c r="A28" s="33" t="s">
        <v>737</v>
      </c>
      <c r="B28" s="33" t="s">
        <v>738</v>
      </c>
      <c r="C28">
        <v>0</v>
      </c>
      <c r="D28" s="5">
        <v>12.97</v>
      </c>
      <c r="E28" s="14">
        <f t="shared" si="3"/>
        <v>0</v>
      </c>
    </row>
    <row r="29" spans="1:9" ht="14.25" customHeight="1" thickBot="1">
      <c r="A29" s="33" t="s">
        <v>576</v>
      </c>
      <c r="B29" s="33"/>
      <c r="E29" s="21">
        <v>0</v>
      </c>
      <c r="F29" s="21"/>
    </row>
    <row r="30" spans="1:9" ht="14.25" customHeight="1">
      <c r="F30" s="14">
        <v>235.81</v>
      </c>
      <c r="I30" s="1"/>
    </row>
    <row r="31" spans="1:9" ht="14.25" customHeight="1">
      <c r="A31" s="33"/>
    </row>
    <row r="32" spans="1:9">
      <c r="A32" s="33"/>
      <c r="B32" s="33"/>
      <c r="C32" s="3"/>
      <c r="D32" s="8"/>
      <c r="E32" s="13"/>
      <c r="F32" s="13"/>
    </row>
    <row r="37" spans="1:7" ht="15.75" thickBot="1">
      <c r="E37" s="21"/>
      <c r="F37" s="21"/>
    </row>
    <row r="40" spans="1:7">
      <c r="A40" s="33"/>
    </row>
    <row r="41" spans="1:7">
      <c r="A41" s="33"/>
      <c r="B41" s="33"/>
      <c r="C41" s="3"/>
      <c r="D41" s="8"/>
      <c r="E41" s="13"/>
      <c r="F41" s="13"/>
    </row>
    <row r="43" spans="1:7" ht="15.75" thickBot="1">
      <c r="F43" s="21"/>
    </row>
    <row r="44" spans="1:7">
      <c r="F44" s="14">
        <f>+SUM(E39:E43)</f>
        <v>0</v>
      </c>
    </row>
    <row r="46" spans="1:7" ht="15.75" thickBot="1">
      <c r="F46" s="21"/>
    </row>
    <row r="48" spans="1:7" ht="15.75" thickBot="1">
      <c r="G48" s="21"/>
    </row>
    <row r="49" spans="7:7">
      <c r="G49" s="14">
        <f>+SUM(F30:F48)</f>
        <v>235.81</v>
      </c>
    </row>
  </sheetData>
  <printOptions headings="1" gridLines="1"/>
  <pageMargins left="0.7" right="0.7" top="0.75" bottom="0.75" header="0.3" footer="0.3"/>
  <pageSetup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7"/>
  <dimension ref="A1:I44"/>
  <sheetViews>
    <sheetView topLeftCell="A13" workbookViewId="0">
      <selection activeCell="D37" sqref="D37"/>
    </sheetView>
  </sheetViews>
  <sheetFormatPr defaultRowHeight="15"/>
  <cols>
    <col min="1" max="1" width="32.85546875" style="2" bestFit="1" customWidth="1"/>
    <col min="2" max="2" width="23.85546875" style="2" customWidth="1"/>
    <col min="4" max="4" width="13.85546875" style="5" bestFit="1" customWidth="1"/>
    <col min="5" max="6" width="9.140625" style="14"/>
  </cols>
  <sheetData>
    <row r="1" spans="1:6">
      <c r="A1" s="3" t="s">
        <v>494</v>
      </c>
      <c r="B1" s="3"/>
    </row>
    <row r="2" spans="1:6">
      <c r="C2" s="3"/>
      <c r="D2" s="8"/>
      <c r="E2" s="13"/>
      <c r="F2" s="13"/>
    </row>
    <row r="3" spans="1:6">
      <c r="A3" s="3" t="s">
        <v>406</v>
      </c>
      <c r="B3" s="3" t="s">
        <v>564</v>
      </c>
      <c r="C3" s="3" t="s">
        <v>513</v>
      </c>
      <c r="D3" s="8" t="s">
        <v>514</v>
      </c>
      <c r="E3" s="13" t="s">
        <v>515</v>
      </c>
      <c r="F3" s="13" t="s">
        <v>516</v>
      </c>
    </row>
    <row r="4" spans="1:6">
      <c r="A4" s="3"/>
      <c r="B4" s="3" t="s">
        <v>604</v>
      </c>
      <c r="C4" s="31">
        <v>0</v>
      </c>
      <c r="D4" s="8">
        <v>154</v>
      </c>
      <c r="E4" s="14">
        <f>+C4*D4</f>
        <v>0</v>
      </c>
      <c r="F4" s="13"/>
    </row>
    <row r="5" spans="1:6">
      <c r="A5" s="31" t="s">
        <v>605</v>
      </c>
      <c r="B5" s="31">
        <v>795984</v>
      </c>
      <c r="C5">
        <v>0</v>
      </c>
      <c r="D5" s="5">
        <v>144</v>
      </c>
      <c r="E5" s="14">
        <f>+C5*D5</f>
        <v>0</v>
      </c>
    </row>
    <row r="6" spans="1:6">
      <c r="A6" s="31" t="s">
        <v>606</v>
      </c>
      <c r="B6" s="31" t="s">
        <v>606</v>
      </c>
      <c r="C6">
        <v>0</v>
      </c>
      <c r="D6" s="5">
        <v>224</v>
      </c>
      <c r="E6" s="14">
        <f>+C6*D6</f>
        <v>0</v>
      </c>
    </row>
    <row r="7" spans="1:6">
      <c r="A7" s="31" t="s">
        <v>607</v>
      </c>
      <c r="B7" s="31" t="s">
        <v>608</v>
      </c>
      <c r="C7">
        <v>0</v>
      </c>
      <c r="D7" s="5">
        <v>152</v>
      </c>
      <c r="E7" s="14">
        <f>+C7*D7</f>
        <v>0</v>
      </c>
    </row>
    <row r="8" spans="1:6">
      <c r="A8" s="31" t="s">
        <v>609</v>
      </c>
      <c r="B8" s="31" t="s">
        <v>610</v>
      </c>
      <c r="C8">
        <v>0</v>
      </c>
      <c r="D8" s="5">
        <v>50</v>
      </c>
      <c r="E8" s="14">
        <f>+C8*D8</f>
        <v>0</v>
      </c>
    </row>
    <row r="9" spans="1:6">
      <c r="A9" s="31" t="s">
        <v>611</v>
      </c>
      <c r="B9" s="31" t="s">
        <v>612</v>
      </c>
      <c r="C9">
        <v>0</v>
      </c>
      <c r="D9" s="5">
        <v>166</v>
      </c>
      <c r="E9" s="14">
        <f t="shared" ref="E9:E22" si="0">+C9*D9</f>
        <v>0</v>
      </c>
    </row>
    <row r="10" spans="1:6">
      <c r="A10" s="31" t="s">
        <v>613</v>
      </c>
      <c r="B10" s="31" t="s">
        <v>614</v>
      </c>
      <c r="C10">
        <v>0</v>
      </c>
      <c r="D10" s="5">
        <v>104</v>
      </c>
      <c r="E10" s="14">
        <f t="shared" si="0"/>
        <v>0</v>
      </c>
    </row>
    <row r="11" spans="1:6">
      <c r="A11" s="31" t="s">
        <v>615</v>
      </c>
      <c r="B11" s="31" t="s">
        <v>616</v>
      </c>
      <c r="C11">
        <v>0</v>
      </c>
      <c r="D11" s="5">
        <v>81.98</v>
      </c>
      <c r="E11" s="14">
        <f t="shared" si="0"/>
        <v>0</v>
      </c>
    </row>
    <row r="12" spans="1:6">
      <c r="A12" s="31" t="s">
        <v>615</v>
      </c>
      <c r="B12" s="31" t="s">
        <v>617</v>
      </c>
      <c r="C12">
        <v>0</v>
      </c>
      <c r="D12" s="5">
        <v>143</v>
      </c>
      <c r="E12" s="14">
        <f t="shared" si="0"/>
        <v>0</v>
      </c>
    </row>
    <row r="13" spans="1:6">
      <c r="A13" s="31" t="s">
        <v>615</v>
      </c>
      <c r="B13" s="31" t="s">
        <v>618</v>
      </c>
      <c r="C13">
        <v>0</v>
      </c>
      <c r="D13" s="5">
        <v>98.98</v>
      </c>
      <c r="E13" s="14">
        <f t="shared" si="0"/>
        <v>0</v>
      </c>
    </row>
    <row r="14" spans="1:6">
      <c r="A14" s="31" t="s">
        <v>619</v>
      </c>
      <c r="B14" s="31" t="s">
        <v>620</v>
      </c>
      <c r="C14">
        <v>0</v>
      </c>
      <c r="D14" s="5">
        <v>165</v>
      </c>
      <c r="E14" s="14">
        <f t="shared" si="0"/>
        <v>0</v>
      </c>
    </row>
    <row r="15" spans="1:6">
      <c r="A15" s="31" t="s">
        <v>621</v>
      </c>
      <c r="B15" s="31">
        <v>795984</v>
      </c>
      <c r="C15">
        <v>0</v>
      </c>
      <c r="D15" s="5">
        <v>144</v>
      </c>
      <c r="E15" s="14">
        <f t="shared" si="0"/>
        <v>0</v>
      </c>
    </row>
    <row r="16" spans="1:6">
      <c r="A16" s="31"/>
      <c r="B16" s="31" t="s">
        <v>622</v>
      </c>
      <c r="C16">
        <v>0</v>
      </c>
      <c r="D16" s="5">
        <v>107</v>
      </c>
      <c r="E16" s="14">
        <f t="shared" si="0"/>
        <v>0</v>
      </c>
    </row>
    <row r="17" spans="1:9">
      <c r="A17" s="31" t="s">
        <v>615</v>
      </c>
      <c r="B17" s="31" t="s">
        <v>623</v>
      </c>
      <c r="C17">
        <v>0</v>
      </c>
      <c r="D17" s="5">
        <v>112</v>
      </c>
      <c r="E17" s="14">
        <f t="shared" si="0"/>
        <v>0</v>
      </c>
    </row>
    <row r="18" spans="1:9">
      <c r="A18" s="31" t="s">
        <v>624</v>
      </c>
      <c r="B18" s="31" t="s">
        <v>624</v>
      </c>
      <c r="C18">
        <v>0</v>
      </c>
      <c r="D18" s="5">
        <v>40.96</v>
      </c>
      <c r="E18" s="14">
        <f t="shared" si="0"/>
        <v>0</v>
      </c>
    </row>
    <row r="19" spans="1:9">
      <c r="A19" s="31"/>
      <c r="B19" s="31" t="s">
        <v>625</v>
      </c>
      <c r="C19">
        <v>0</v>
      </c>
      <c r="D19" s="5">
        <v>18.28</v>
      </c>
      <c r="E19" s="14">
        <f t="shared" si="0"/>
        <v>0</v>
      </c>
    </row>
    <row r="20" spans="1:9">
      <c r="A20" s="31"/>
      <c r="B20" s="31" t="s">
        <v>168</v>
      </c>
      <c r="C20">
        <v>0</v>
      </c>
      <c r="D20" s="5">
        <v>0</v>
      </c>
      <c r="E20" s="14">
        <f t="shared" si="0"/>
        <v>0</v>
      </c>
    </row>
    <row r="21" spans="1:9">
      <c r="A21" s="31" t="s">
        <v>626</v>
      </c>
      <c r="B21" s="31"/>
      <c r="C21">
        <v>0</v>
      </c>
      <c r="D21" s="5">
        <v>0</v>
      </c>
      <c r="E21" s="14">
        <f t="shared" si="0"/>
        <v>0</v>
      </c>
    </row>
    <row r="22" spans="1:9" ht="15.75" thickBot="1">
      <c r="A22" s="31" t="s">
        <v>627</v>
      </c>
      <c r="B22" s="31"/>
      <c r="C22">
        <v>0</v>
      </c>
      <c r="D22" s="5">
        <v>935.09</v>
      </c>
      <c r="E22" s="21">
        <f t="shared" si="0"/>
        <v>0</v>
      </c>
      <c r="F22" s="21"/>
    </row>
    <row r="23" spans="1:9">
      <c r="F23" s="14">
        <f>+SUM(E4:E22)</f>
        <v>0</v>
      </c>
      <c r="I23" s="1"/>
    </row>
    <row r="24" spans="1:9">
      <c r="A24" s="33" t="s">
        <v>628</v>
      </c>
    </row>
    <row r="25" spans="1:9">
      <c r="A25" s="3" t="s">
        <v>406</v>
      </c>
      <c r="B25" s="3" t="s">
        <v>564</v>
      </c>
      <c r="C25" s="3" t="s">
        <v>513</v>
      </c>
      <c r="D25" s="8" t="s">
        <v>514</v>
      </c>
      <c r="E25" s="13" t="s">
        <v>515</v>
      </c>
      <c r="F25" s="13" t="s">
        <v>516</v>
      </c>
    </row>
    <row r="26" spans="1:9">
      <c r="B26" s="2" t="s">
        <v>629</v>
      </c>
      <c r="C26">
        <v>0</v>
      </c>
      <c r="D26" s="5">
        <v>0</v>
      </c>
      <c r="E26" s="14">
        <f t="shared" ref="E26:E30" si="1">+C26*D26</f>
        <v>0</v>
      </c>
    </row>
    <row r="27" spans="1:9">
      <c r="B27" s="2" t="s">
        <v>630</v>
      </c>
      <c r="C27">
        <v>0</v>
      </c>
      <c r="D27" s="5">
        <v>0</v>
      </c>
      <c r="E27" s="14">
        <f t="shared" si="1"/>
        <v>0</v>
      </c>
    </row>
    <row r="28" spans="1:9">
      <c r="B28" s="2" t="s">
        <v>631</v>
      </c>
      <c r="C28">
        <v>0</v>
      </c>
      <c r="D28" s="5">
        <v>0</v>
      </c>
      <c r="E28" s="14">
        <f t="shared" si="1"/>
        <v>0</v>
      </c>
    </row>
    <row r="29" spans="1:9">
      <c r="A29" s="25" t="s">
        <v>632</v>
      </c>
      <c r="C29">
        <v>0</v>
      </c>
      <c r="D29" s="5">
        <v>0</v>
      </c>
      <c r="E29" s="14">
        <v>0</v>
      </c>
    </row>
    <row r="30" spans="1:9">
      <c r="C30">
        <v>0</v>
      </c>
      <c r="D30" s="5">
        <v>0</v>
      </c>
      <c r="E30" s="14">
        <f t="shared" si="1"/>
        <v>0</v>
      </c>
    </row>
    <row r="31" spans="1:9" ht="15.75" thickBot="1">
      <c r="E31" s="21"/>
      <c r="F31" s="21"/>
    </row>
    <row r="32" spans="1:9">
      <c r="F32" s="14">
        <v>0</v>
      </c>
    </row>
    <row r="34" spans="1:7">
      <c r="A34" s="33" t="s">
        <v>633</v>
      </c>
    </row>
    <row r="35" spans="1:7">
      <c r="A35" s="3" t="s">
        <v>406</v>
      </c>
      <c r="B35" s="3" t="s">
        <v>564</v>
      </c>
      <c r="C35" s="3" t="s">
        <v>513</v>
      </c>
      <c r="D35" s="8" t="s">
        <v>514</v>
      </c>
      <c r="E35" s="13" t="s">
        <v>515</v>
      </c>
      <c r="F35" s="13" t="s">
        <v>516</v>
      </c>
    </row>
    <row r="36" spans="1:7">
      <c r="A36" s="3" t="s">
        <v>634</v>
      </c>
      <c r="B36" s="3"/>
      <c r="C36" s="3">
        <v>0</v>
      </c>
      <c r="D36" s="8">
        <v>1100</v>
      </c>
      <c r="E36" s="14">
        <f t="shared" ref="E36:E41" si="2">+C36*D36</f>
        <v>0</v>
      </c>
      <c r="F36" s="13"/>
    </row>
    <row r="37" spans="1:7">
      <c r="A37" s="2" t="s">
        <v>735</v>
      </c>
      <c r="B37" s="2">
        <v>400390</v>
      </c>
      <c r="C37">
        <v>0</v>
      </c>
      <c r="D37" s="5">
        <v>2.0499999999999998</v>
      </c>
      <c r="E37" s="14">
        <f t="shared" si="2"/>
        <v>0</v>
      </c>
    </row>
    <row r="38" spans="1:7">
      <c r="A38" s="2" t="s">
        <v>736</v>
      </c>
      <c r="B38" s="2">
        <v>376787</v>
      </c>
      <c r="C38">
        <v>0</v>
      </c>
      <c r="D38" s="5">
        <v>4.9800000000000004</v>
      </c>
      <c r="E38" s="14">
        <f t="shared" si="2"/>
        <v>0</v>
      </c>
    </row>
    <row r="39" spans="1:7">
      <c r="A39" s="2" t="s">
        <v>168</v>
      </c>
      <c r="B39" s="2" t="s">
        <v>168</v>
      </c>
      <c r="C39">
        <v>0</v>
      </c>
      <c r="D39" s="5">
        <v>0</v>
      </c>
      <c r="E39" s="14">
        <f t="shared" si="2"/>
        <v>0</v>
      </c>
    </row>
    <row r="40" spans="1:7">
      <c r="A40" s="2" t="s">
        <v>635</v>
      </c>
      <c r="B40" s="2">
        <v>2280072</v>
      </c>
      <c r="C40">
        <v>0</v>
      </c>
      <c r="D40" s="5">
        <v>18.97</v>
      </c>
      <c r="E40" s="14">
        <f t="shared" si="2"/>
        <v>0</v>
      </c>
    </row>
    <row r="41" spans="1:7" ht="15.75" thickBot="1">
      <c r="A41" s="2" t="s">
        <v>636</v>
      </c>
      <c r="B41" s="2">
        <v>1000707539</v>
      </c>
      <c r="C41">
        <v>0</v>
      </c>
      <c r="D41" s="5">
        <v>1.98</v>
      </c>
      <c r="E41" s="14">
        <f t="shared" si="2"/>
        <v>0</v>
      </c>
      <c r="F41" s="21"/>
    </row>
    <row r="42" spans="1:7">
      <c r="F42" s="14">
        <v>0</v>
      </c>
    </row>
    <row r="43" spans="1:7" ht="15.75" thickBot="1">
      <c r="G43" s="21"/>
    </row>
    <row r="44" spans="1:7">
      <c r="G44" s="14">
        <f>+SUM(F23:F43)</f>
        <v>0</v>
      </c>
    </row>
  </sheetData>
  <printOptions headings="1" gridLines="1"/>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8"/>
  <dimension ref="A1:L30"/>
  <sheetViews>
    <sheetView workbookViewId="0">
      <selection activeCell="E20" sqref="E20"/>
    </sheetView>
  </sheetViews>
  <sheetFormatPr defaultRowHeight="15"/>
  <cols>
    <col min="1" max="1" width="45.28515625" style="2" customWidth="1"/>
    <col min="2" max="2" width="6.28515625" style="2" customWidth="1"/>
    <col min="3" max="3" width="21.5703125" style="2" bestFit="1" customWidth="1"/>
    <col min="4" max="4" width="5.28515625" style="2" bestFit="1" customWidth="1"/>
    <col min="5" max="5" width="9.5703125" bestFit="1" customWidth="1"/>
    <col min="6" max="6" width="16.85546875" style="5" customWidth="1"/>
    <col min="7" max="7" width="9.140625" style="1"/>
  </cols>
  <sheetData>
    <row r="1" spans="1:10">
      <c r="A1" s="33" t="s">
        <v>288</v>
      </c>
      <c r="B1" s="33"/>
    </row>
    <row r="2" spans="1:10" s="3" customFormat="1">
      <c r="A2" s="3" t="s">
        <v>406</v>
      </c>
      <c r="B2" s="3" t="s">
        <v>637</v>
      </c>
      <c r="C2" s="3" t="s">
        <v>425</v>
      </c>
      <c r="D2" s="3" t="s">
        <v>364</v>
      </c>
      <c r="E2" s="8" t="s">
        <v>514</v>
      </c>
      <c r="F2" s="6" t="s">
        <v>515</v>
      </c>
      <c r="G2" s="3" t="s">
        <v>516</v>
      </c>
    </row>
    <row r="3" spans="1:10" s="3" customFormat="1">
      <c r="A3" s="33" t="s">
        <v>638</v>
      </c>
      <c r="B3" s="326">
        <f>+Profit!K8</f>
        <v>1899</v>
      </c>
      <c r="E3" s="8"/>
      <c r="F3" s="6"/>
    </row>
    <row r="4" spans="1:10">
      <c r="A4" s="247" t="s">
        <v>712</v>
      </c>
      <c r="C4" s="247" t="s">
        <v>713</v>
      </c>
      <c r="D4">
        <v>0</v>
      </c>
      <c r="E4" s="5">
        <v>68.540000000000006</v>
      </c>
      <c r="F4" s="1">
        <f t="shared" ref="F4:F12" si="0">+D4*E4</f>
        <v>0</v>
      </c>
      <c r="G4"/>
      <c r="J4" s="5">
        <f>SUM(F4:F11)/28</f>
        <v>0</v>
      </c>
    </row>
    <row r="5" spans="1:10">
      <c r="A5" s="247" t="s">
        <v>714</v>
      </c>
      <c r="C5" s="247" t="s">
        <v>715</v>
      </c>
      <c r="D5">
        <v>0</v>
      </c>
      <c r="E5" s="5">
        <v>85.89</v>
      </c>
      <c r="F5" s="1">
        <f t="shared" si="0"/>
        <v>0</v>
      </c>
      <c r="G5"/>
    </row>
    <row r="6" spans="1:10">
      <c r="A6" s="247" t="s">
        <v>639</v>
      </c>
      <c r="C6" s="247">
        <v>185342</v>
      </c>
      <c r="D6">
        <v>0</v>
      </c>
      <c r="E6">
        <v>147</v>
      </c>
      <c r="F6" s="1">
        <f t="shared" si="0"/>
        <v>0</v>
      </c>
      <c r="G6"/>
    </row>
    <row r="7" spans="1:10">
      <c r="A7" s="247" t="s">
        <v>714</v>
      </c>
      <c r="C7" s="247" t="s">
        <v>716</v>
      </c>
      <c r="D7">
        <v>0</v>
      </c>
      <c r="E7" s="5">
        <v>21.99</v>
      </c>
      <c r="F7" s="1">
        <f t="shared" si="0"/>
        <v>0</v>
      </c>
      <c r="G7"/>
    </row>
    <row r="8" spans="1:10">
      <c r="A8" s="247" t="s">
        <v>743</v>
      </c>
      <c r="C8" s="247">
        <v>389832</v>
      </c>
      <c r="D8">
        <v>0</v>
      </c>
      <c r="E8" s="5">
        <v>39.979999999999997</v>
      </c>
      <c r="F8" s="1">
        <f t="shared" si="0"/>
        <v>0</v>
      </c>
      <c r="G8"/>
    </row>
    <row r="9" spans="1:10">
      <c r="A9" s="247" t="s">
        <v>744</v>
      </c>
      <c r="C9" s="247">
        <v>985007</v>
      </c>
      <c r="D9">
        <v>0</v>
      </c>
      <c r="E9" s="5">
        <v>39.979999999999997</v>
      </c>
      <c r="F9" s="1">
        <f t="shared" si="0"/>
        <v>0</v>
      </c>
      <c r="G9"/>
    </row>
    <row r="10" spans="1:10">
      <c r="A10" s="247" t="s">
        <v>642</v>
      </c>
      <c r="C10" s="247">
        <v>814917</v>
      </c>
      <c r="D10">
        <v>0</v>
      </c>
      <c r="E10" s="5">
        <v>60.98</v>
      </c>
      <c r="F10" s="1">
        <f t="shared" si="0"/>
        <v>0</v>
      </c>
      <c r="G10"/>
    </row>
    <row r="11" spans="1:10">
      <c r="A11" s="247" t="s">
        <v>643</v>
      </c>
      <c r="C11" s="247" t="s">
        <v>644</v>
      </c>
      <c r="D11">
        <v>0</v>
      </c>
      <c r="E11" s="5">
        <v>40</v>
      </c>
      <c r="F11" s="1">
        <f t="shared" si="0"/>
        <v>0</v>
      </c>
      <c r="G11"/>
    </row>
    <row r="12" spans="1:10">
      <c r="A12" s="2" t="s">
        <v>645</v>
      </c>
      <c r="B12" s="2">
        <v>10</v>
      </c>
      <c r="C12" s="2" t="s">
        <v>646</v>
      </c>
      <c r="D12">
        <v>0</v>
      </c>
      <c r="E12" s="5">
        <v>50.24</v>
      </c>
      <c r="F12" s="1">
        <f t="shared" si="0"/>
        <v>0</v>
      </c>
    </row>
    <row r="13" spans="1:10">
      <c r="A13" s="33" t="s">
        <v>647</v>
      </c>
      <c r="B13" s="248">
        <v>0</v>
      </c>
      <c r="D13"/>
      <c r="E13" s="5"/>
      <c r="F13" s="1"/>
      <c r="G13"/>
    </row>
    <row r="14" spans="1:10">
      <c r="A14" s="2" t="s">
        <v>645</v>
      </c>
      <c r="D14"/>
      <c r="E14" s="5"/>
      <c r="F14" s="1"/>
      <c r="G14"/>
    </row>
    <row r="15" spans="1:10">
      <c r="A15" s="33" t="s">
        <v>648</v>
      </c>
      <c r="B15" s="248">
        <v>0</v>
      </c>
      <c r="D15"/>
      <c r="E15" s="5"/>
      <c r="F15" s="1"/>
      <c r="G15"/>
    </row>
    <row r="16" spans="1:10">
      <c r="A16" s="247" t="s">
        <v>640</v>
      </c>
      <c r="C16" s="247" t="s">
        <v>641</v>
      </c>
      <c r="D16">
        <v>0</v>
      </c>
      <c r="E16" s="5">
        <v>93</v>
      </c>
      <c r="F16" s="1">
        <f t="shared" ref="F16:F17" si="1">+D16*E16</f>
        <v>0</v>
      </c>
      <c r="G16"/>
    </row>
    <row r="17" spans="1:12">
      <c r="A17" s="33" t="s">
        <v>649</v>
      </c>
      <c r="B17" s="248">
        <v>500</v>
      </c>
      <c r="D17"/>
      <c r="E17" s="5"/>
      <c r="F17" s="1">
        <f t="shared" si="1"/>
        <v>0</v>
      </c>
      <c r="G17"/>
    </row>
    <row r="18" spans="1:12">
      <c r="A18" s="247" t="s">
        <v>708</v>
      </c>
      <c r="C18" s="247" t="s">
        <v>650</v>
      </c>
      <c r="D18">
        <v>0</v>
      </c>
      <c r="E18" s="5">
        <v>47.98</v>
      </c>
      <c r="F18" s="1">
        <f>+D18*E18</f>
        <v>0</v>
      </c>
      <c r="G18"/>
    </row>
    <row r="19" spans="1:12">
      <c r="A19" s="2" t="s">
        <v>709</v>
      </c>
      <c r="C19" s="2" t="s">
        <v>710</v>
      </c>
      <c r="D19">
        <v>0</v>
      </c>
      <c r="E19" s="5">
        <v>48.98</v>
      </c>
      <c r="F19" s="1">
        <f t="shared" ref="F19:F20" si="2">+D19*E19</f>
        <v>0</v>
      </c>
      <c r="G19"/>
    </row>
    <row r="20" spans="1:12">
      <c r="A20" s="2" t="s">
        <v>711</v>
      </c>
      <c r="D20">
        <v>0</v>
      </c>
      <c r="E20" s="5">
        <v>97.13</v>
      </c>
      <c r="F20" s="5">
        <f t="shared" si="2"/>
        <v>0</v>
      </c>
    </row>
    <row r="21" spans="1:12" ht="15.75" thickBot="1">
      <c r="D21"/>
      <c r="E21" s="5"/>
      <c r="F21" s="30">
        <f>+D20*E20</f>
        <v>0</v>
      </c>
      <c r="G21" s="30"/>
    </row>
    <row r="22" spans="1:12">
      <c r="D22"/>
      <c r="E22" s="5"/>
      <c r="F22" s="1"/>
      <c r="L22" s="2"/>
    </row>
    <row r="23" spans="1:12">
      <c r="D23" s="658" t="s">
        <v>651</v>
      </c>
      <c r="E23" s="659"/>
      <c r="F23" s="659"/>
      <c r="G23" s="1">
        <f>SUM(F4:F21)</f>
        <v>0</v>
      </c>
    </row>
    <row r="24" spans="1:12">
      <c r="A24" s="2" t="s">
        <v>652</v>
      </c>
      <c r="D24"/>
      <c r="E24" s="5"/>
      <c r="F24" s="1">
        <v>0</v>
      </c>
      <c r="G24">
        <v>0</v>
      </c>
    </row>
    <row r="25" spans="1:12">
      <c r="A25" s="247" t="s">
        <v>652</v>
      </c>
      <c r="B25" s="326">
        <f>+$B$3</f>
        <v>1899</v>
      </c>
      <c r="C25" s="247" t="s">
        <v>653</v>
      </c>
      <c r="D25" s="246" t="s">
        <v>167</v>
      </c>
      <c r="E25" s="5">
        <v>2.04</v>
      </c>
      <c r="F25" s="1">
        <v>0</v>
      </c>
      <c r="G25"/>
    </row>
    <row r="26" spans="1:12">
      <c r="A26" s="247" t="s">
        <v>652</v>
      </c>
      <c r="B26" s="326">
        <f t="shared" ref="B26:B27" si="3">+$B$3</f>
        <v>1899</v>
      </c>
      <c r="C26" s="247" t="s">
        <v>654</v>
      </c>
      <c r="D26" t="s">
        <v>10</v>
      </c>
      <c r="E26" s="5">
        <v>1</v>
      </c>
      <c r="F26" s="1">
        <f t="shared" ref="F26:F27" si="4">IF(D26="yes",E26*B26,0)</f>
        <v>0</v>
      </c>
      <c r="G26"/>
    </row>
    <row r="27" spans="1:12" ht="15.75" thickBot="1">
      <c r="A27" s="247" t="s">
        <v>652</v>
      </c>
      <c r="B27" s="326">
        <f t="shared" si="3"/>
        <v>1899</v>
      </c>
      <c r="C27" s="247" t="s">
        <v>655</v>
      </c>
      <c r="D27" t="s">
        <v>10</v>
      </c>
      <c r="E27" s="5">
        <v>1</v>
      </c>
      <c r="F27" s="1">
        <f t="shared" si="4"/>
        <v>0</v>
      </c>
      <c r="G27" s="23"/>
    </row>
    <row r="28" spans="1:12">
      <c r="D28"/>
      <c r="E28" s="5"/>
      <c r="F28" s="1"/>
      <c r="G28" s="1">
        <f>+SUM(F25:F27)+G23</f>
        <v>0</v>
      </c>
    </row>
    <row r="29" spans="1:12">
      <c r="D29"/>
      <c r="E29" s="5"/>
    </row>
    <row r="30" spans="1:12">
      <c r="D30"/>
      <c r="E30" s="5"/>
    </row>
  </sheetData>
  <mergeCells count="1">
    <mergeCell ref="D23:F23"/>
  </mergeCells>
  <printOptions headings="1" gridLines="1"/>
  <pageMargins left="0.7" right="0.7" top="0.75" bottom="0.75" header="0.3" footer="0.3"/>
  <pageSetup fitToHeight="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9"/>
  <dimension ref="A1:G9"/>
  <sheetViews>
    <sheetView workbookViewId="0">
      <selection activeCell="G8" sqref="G8"/>
    </sheetView>
  </sheetViews>
  <sheetFormatPr defaultRowHeight="15"/>
  <cols>
    <col min="1" max="1" width="45.28515625" style="2" customWidth="1"/>
    <col min="2" max="2" width="6.28515625" style="2" customWidth="1"/>
    <col min="3" max="3" width="21.5703125" style="2" bestFit="1" customWidth="1"/>
    <col min="4" max="4" width="5" style="2" bestFit="1" customWidth="1"/>
    <col min="5" max="5" width="9.5703125" bestFit="1" customWidth="1"/>
    <col min="6" max="6" width="16.85546875" style="5" customWidth="1"/>
    <col min="7" max="7" width="9.140625" style="1"/>
  </cols>
  <sheetData>
    <row r="1" spans="1:7">
      <c r="A1" s="33" t="s">
        <v>656</v>
      </c>
      <c r="B1" s="33"/>
    </row>
    <row r="2" spans="1:7" s="3" customFormat="1">
      <c r="A2" s="3" t="s">
        <v>406</v>
      </c>
      <c r="B2" s="3" t="s">
        <v>637</v>
      </c>
      <c r="C2" s="3" t="s">
        <v>425</v>
      </c>
      <c r="D2" s="3" t="s">
        <v>364</v>
      </c>
      <c r="E2" s="8" t="s">
        <v>514</v>
      </c>
      <c r="F2" s="6" t="s">
        <v>515</v>
      </c>
      <c r="G2" s="3" t="s">
        <v>516</v>
      </c>
    </row>
    <row r="3" spans="1:7">
      <c r="B3" s="326">
        <f>+Profit!K8</f>
        <v>1899</v>
      </c>
      <c r="D3"/>
      <c r="E3" s="5"/>
      <c r="F3" s="1"/>
      <c r="G3"/>
    </row>
    <row r="4" spans="1:7">
      <c r="A4" s="247" t="s">
        <v>657</v>
      </c>
      <c r="B4" s="343">
        <f>+B3</f>
        <v>1899</v>
      </c>
      <c r="C4" s="247" t="s">
        <v>653</v>
      </c>
      <c r="D4" t="s">
        <v>42</v>
      </c>
      <c r="E4" s="5">
        <v>6.5</v>
      </c>
      <c r="F4" s="1">
        <f>IF(D4="yes",E4*B4,0)</f>
        <v>0</v>
      </c>
      <c r="G4"/>
    </row>
    <row r="5" spans="1:7">
      <c r="A5" s="247" t="s">
        <v>706</v>
      </c>
      <c r="B5" s="343">
        <f>+B3</f>
        <v>1899</v>
      </c>
      <c r="C5" s="247"/>
      <c r="D5" t="s">
        <v>10</v>
      </c>
      <c r="E5" s="5">
        <v>1</v>
      </c>
      <c r="F5" s="1">
        <v>571.79999999999995</v>
      </c>
      <c r="G5"/>
    </row>
    <row r="6" spans="1:7" ht="15.75" thickBot="1">
      <c r="A6" s="247" t="s">
        <v>705</v>
      </c>
      <c r="B6" s="343">
        <f>+B3</f>
        <v>1899</v>
      </c>
      <c r="C6" s="247"/>
      <c r="D6" t="s">
        <v>10</v>
      </c>
      <c r="E6" s="5">
        <v>1</v>
      </c>
      <c r="F6" s="1">
        <v>4527</v>
      </c>
      <c r="G6" s="23" t="s">
        <v>168</v>
      </c>
    </row>
    <row r="7" spans="1:7">
      <c r="D7"/>
      <c r="E7" s="5"/>
      <c r="F7" s="1"/>
      <c r="G7" s="1">
        <f>SUM(F4:F6)</f>
        <v>5098.8</v>
      </c>
    </row>
    <row r="8" spans="1:7">
      <c r="D8"/>
      <c r="E8" s="5"/>
    </row>
    <row r="9" spans="1:7">
      <c r="A9" s="2" t="s">
        <v>168</v>
      </c>
      <c r="D9" t="s">
        <v>168</v>
      </c>
      <c r="E9" s="5" t="s">
        <v>168</v>
      </c>
    </row>
  </sheetData>
  <printOptions headings="1" gridLines="1"/>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D2798-1CF0-4948-ADBE-D10FD0B7B811}">
  <sheetPr codeName="Sheet20"/>
  <dimension ref="A1:N20"/>
  <sheetViews>
    <sheetView workbookViewId="0">
      <selection activeCell="D4" sqref="D4"/>
    </sheetView>
  </sheetViews>
  <sheetFormatPr defaultColWidth="9.140625" defaultRowHeight="15"/>
  <cols>
    <col min="1" max="2" width="26.85546875" style="2" bestFit="1" customWidth="1"/>
    <col min="3" max="3" width="12.7109375" bestFit="1" customWidth="1"/>
    <col min="4" max="4" width="10.140625" style="5" bestFit="1" customWidth="1"/>
    <col min="5" max="5" width="9.140625" style="26"/>
    <col min="7" max="7" width="5.7109375" customWidth="1"/>
    <col min="9" max="9" width="12.7109375" bestFit="1" customWidth="1"/>
    <col min="10" max="10" width="9.7109375" bestFit="1" customWidth="1"/>
  </cols>
  <sheetData>
    <row r="1" spans="1:14" s="3" customFormat="1">
      <c r="E1" s="16"/>
    </row>
    <row r="2" spans="1:14">
      <c r="A2" s="33" t="s">
        <v>333</v>
      </c>
    </row>
    <row r="3" spans="1:14" s="22" customFormat="1">
      <c r="A3" s="3" t="s">
        <v>406</v>
      </c>
      <c r="B3" s="3" t="s">
        <v>658</v>
      </c>
      <c r="C3" s="3" t="s">
        <v>513</v>
      </c>
      <c r="D3" s="8" t="s">
        <v>514</v>
      </c>
      <c r="E3" s="16" t="s">
        <v>552</v>
      </c>
      <c r="F3" s="3" t="s">
        <v>516</v>
      </c>
      <c r="H3" s="3"/>
      <c r="I3" s="3"/>
    </row>
    <row r="4" spans="1:14">
      <c r="A4" t="s">
        <v>659</v>
      </c>
      <c r="B4" s="2" t="s">
        <v>660</v>
      </c>
      <c r="C4" s="11">
        <v>0</v>
      </c>
      <c r="D4" s="5">
        <v>13062</v>
      </c>
      <c r="E4" s="26">
        <f>+C4*D4</f>
        <v>0</v>
      </c>
    </row>
    <row r="5" spans="1:14">
      <c r="A5" t="s">
        <v>661</v>
      </c>
      <c r="B5" s="2" t="s">
        <v>662</v>
      </c>
      <c r="C5" s="11">
        <v>0</v>
      </c>
      <c r="D5" s="5">
        <v>8.98</v>
      </c>
      <c r="E5" s="26">
        <f t="shared" ref="E5:E12" si="0">+C5*D5</f>
        <v>0</v>
      </c>
    </row>
    <row r="6" spans="1:14">
      <c r="A6" t="s">
        <v>661</v>
      </c>
      <c r="B6" s="2" t="s">
        <v>663</v>
      </c>
      <c r="C6" s="11">
        <v>0</v>
      </c>
      <c r="D6" s="5">
        <v>7.98</v>
      </c>
      <c r="E6" s="26">
        <f t="shared" ref="E6:E11" si="1">+C6*D6</f>
        <v>0</v>
      </c>
    </row>
    <row r="7" spans="1:14">
      <c r="A7" t="s">
        <v>664</v>
      </c>
      <c r="B7" s="2" t="s">
        <v>665</v>
      </c>
      <c r="C7" s="11">
        <v>0</v>
      </c>
      <c r="D7" s="5">
        <v>44.93</v>
      </c>
      <c r="E7" s="26">
        <f t="shared" si="1"/>
        <v>0</v>
      </c>
    </row>
    <row r="8" spans="1:14">
      <c r="A8" t="s">
        <v>666</v>
      </c>
      <c r="B8" s="2" t="s">
        <v>667</v>
      </c>
      <c r="C8" s="11">
        <v>0</v>
      </c>
      <c r="D8" s="5">
        <v>4.47</v>
      </c>
      <c r="E8" s="26">
        <f t="shared" si="1"/>
        <v>0</v>
      </c>
    </row>
    <row r="9" spans="1:14">
      <c r="A9" t="s">
        <v>666</v>
      </c>
      <c r="B9" s="2" t="s">
        <v>668</v>
      </c>
      <c r="C9" s="11">
        <v>0</v>
      </c>
      <c r="D9" s="5">
        <v>4.97</v>
      </c>
      <c r="E9" s="26">
        <f t="shared" si="1"/>
        <v>0</v>
      </c>
      <c r="I9" s="33"/>
      <c r="J9" s="2"/>
      <c r="L9" s="5"/>
      <c r="M9" s="26"/>
    </row>
    <row r="10" spans="1:14">
      <c r="A10" t="s">
        <v>669</v>
      </c>
      <c r="B10" s="2" t="s">
        <v>670</v>
      </c>
      <c r="C10" s="11">
        <v>0</v>
      </c>
      <c r="D10" s="5">
        <v>23</v>
      </c>
      <c r="E10" s="26">
        <f t="shared" si="1"/>
        <v>0</v>
      </c>
      <c r="I10" s="3"/>
      <c r="J10" s="3"/>
      <c r="K10" s="3"/>
      <c r="L10" s="8"/>
      <c r="M10" s="16"/>
      <c r="N10" s="3"/>
    </row>
    <row r="11" spans="1:14">
      <c r="A11"/>
      <c r="C11" s="11"/>
      <c r="E11" s="26">
        <f t="shared" si="1"/>
        <v>0</v>
      </c>
      <c r="J11" s="2"/>
      <c r="K11" s="11"/>
      <c r="L11" s="5"/>
      <c r="M11" s="26"/>
    </row>
    <row r="12" spans="1:14" ht="15.75" thickBot="1">
      <c r="A12" s="2" t="s">
        <v>671</v>
      </c>
      <c r="C12">
        <v>0</v>
      </c>
      <c r="D12" s="5">
        <v>11504</v>
      </c>
      <c r="E12" s="30">
        <f t="shared" si="0"/>
        <v>0</v>
      </c>
      <c r="F12" s="30"/>
      <c r="J12" s="2"/>
      <c r="K12" s="11"/>
      <c r="L12" s="5"/>
      <c r="M12" s="26"/>
    </row>
    <row r="13" spans="1:14">
      <c r="C13" s="658"/>
      <c r="D13" s="659"/>
      <c r="E13" s="659"/>
      <c r="F13" s="4">
        <f>+SUM(E4:E12)</f>
        <v>0</v>
      </c>
      <c r="J13" s="2"/>
      <c r="K13" s="11"/>
      <c r="L13" s="5"/>
      <c r="M13" s="26"/>
    </row>
    <row r="14" spans="1:14">
      <c r="J14" s="2"/>
      <c r="K14" s="11"/>
      <c r="L14" s="5"/>
      <c r="M14" s="26"/>
    </row>
    <row r="15" spans="1:14">
      <c r="E15" s="2"/>
      <c r="F15" s="2"/>
      <c r="J15" s="2"/>
      <c r="K15" s="11"/>
      <c r="L15" s="5"/>
      <c r="M15" s="26"/>
    </row>
    <row r="16" spans="1:14">
      <c r="F16" s="4"/>
      <c r="J16" s="2"/>
      <c r="K16" s="11"/>
      <c r="L16" s="5"/>
      <c r="M16" s="26"/>
    </row>
    <row r="17" spans="9:14">
      <c r="J17" s="2"/>
      <c r="K17" s="11"/>
      <c r="L17" s="5"/>
      <c r="M17" s="26"/>
    </row>
    <row r="18" spans="9:14">
      <c r="J18" s="2"/>
      <c r="K18" s="11"/>
      <c r="L18" s="5"/>
      <c r="M18" s="26"/>
    </row>
    <row r="19" spans="9:14">
      <c r="I19" s="2"/>
      <c r="J19" s="2"/>
      <c r="L19" s="5"/>
      <c r="M19" s="26"/>
    </row>
    <row r="20" spans="9:14">
      <c r="I20" s="2"/>
      <c r="J20" s="2"/>
      <c r="K20" s="658"/>
      <c r="L20" s="659"/>
      <c r="M20" s="659"/>
      <c r="N20" s="4"/>
    </row>
  </sheetData>
  <mergeCells count="2">
    <mergeCell ref="C13:E13"/>
    <mergeCell ref="K20:M20"/>
  </mergeCells>
  <printOptions headings="1" gridLines="1"/>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3C5C-DDBF-4C05-AE64-44FB543BB6BD}">
  <sheetPr codeName="Sheet21"/>
  <dimension ref="A1:I29"/>
  <sheetViews>
    <sheetView workbookViewId="0">
      <selection activeCell="D17" sqref="D17"/>
    </sheetView>
  </sheetViews>
  <sheetFormatPr defaultColWidth="9.140625" defaultRowHeight="15"/>
  <cols>
    <col min="1" max="1" width="28" style="2" bestFit="1" customWidth="1"/>
    <col min="2" max="2" width="23.85546875" style="2" customWidth="1"/>
    <col min="4" max="4" width="10.140625" style="5" bestFit="1" customWidth="1"/>
    <col min="5" max="6" width="9.140625" style="14"/>
  </cols>
  <sheetData>
    <row r="1" spans="1:6">
      <c r="A1" s="3" t="s">
        <v>672</v>
      </c>
      <c r="B1" s="3"/>
    </row>
    <row r="2" spans="1:6">
      <c r="C2" s="3"/>
      <c r="D2" s="8"/>
      <c r="E2" s="13"/>
      <c r="F2" s="13"/>
    </row>
    <row r="3" spans="1:6">
      <c r="A3" s="3" t="s">
        <v>406</v>
      </c>
      <c r="B3" s="3" t="s">
        <v>564</v>
      </c>
      <c r="C3" s="3" t="s">
        <v>513</v>
      </c>
      <c r="D3" s="8" t="s">
        <v>514</v>
      </c>
      <c r="E3" s="13" t="s">
        <v>515</v>
      </c>
      <c r="F3" s="13" t="s">
        <v>516</v>
      </c>
    </row>
    <row r="4" spans="1:6">
      <c r="A4" s="3"/>
      <c r="B4" s="3"/>
      <c r="C4" s="31"/>
      <c r="D4" s="8"/>
      <c r="E4" s="14">
        <f>+C4*D4</f>
        <v>0</v>
      </c>
      <c r="F4" s="13"/>
    </row>
    <row r="5" spans="1:6">
      <c r="A5" s="31" t="s">
        <v>673</v>
      </c>
      <c r="B5" s="31">
        <v>2599776</v>
      </c>
      <c r="C5">
        <v>0</v>
      </c>
      <c r="D5" s="5">
        <v>124.98</v>
      </c>
      <c r="E5" s="14">
        <f>+C5*D5</f>
        <v>0</v>
      </c>
    </row>
    <row r="6" spans="1:6">
      <c r="A6" s="31" t="s">
        <v>674</v>
      </c>
      <c r="B6" s="31">
        <v>807421</v>
      </c>
      <c r="C6">
        <v>0</v>
      </c>
      <c r="D6" s="5">
        <v>112.48</v>
      </c>
      <c r="E6" s="14">
        <f>+C6*D6</f>
        <v>0</v>
      </c>
    </row>
    <row r="7" spans="1:6">
      <c r="A7" s="31" t="s">
        <v>675</v>
      </c>
      <c r="B7" s="31">
        <v>321702</v>
      </c>
      <c r="C7">
        <v>0</v>
      </c>
      <c r="D7" s="5">
        <v>89.98</v>
      </c>
      <c r="E7" s="14">
        <f>+C7*D7</f>
        <v>0</v>
      </c>
    </row>
    <row r="8" spans="1:6">
      <c r="A8" s="31" t="s">
        <v>676</v>
      </c>
      <c r="B8" s="31">
        <v>649829</v>
      </c>
      <c r="C8">
        <v>0</v>
      </c>
      <c r="D8" s="5">
        <v>129.97999999999999</v>
      </c>
      <c r="E8" s="14">
        <f>+C8*D8</f>
        <v>0</v>
      </c>
    </row>
    <row r="9" spans="1:6">
      <c r="A9" s="31" t="s">
        <v>677</v>
      </c>
      <c r="B9" s="31">
        <v>2296055</v>
      </c>
      <c r="C9">
        <v>0</v>
      </c>
      <c r="D9" s="5">
        <v>179.98</v>
      </c>
      <c r="E9" s="14">
        <f t="shared" ref="E9:E22" si="0">+C9*D9</f>
        <v>0</v>
      </c>
    </row>
    <row r="10" spans="1:6">
      <c r="A10" s="31" t="s">
        <v>678</v>
      </c>
      <c r="B10" s="31">
        <v>482287</v>
      </c>
      <c r="C10">
        <v>0</v>
      </c>
      <c r="D10" s="5">
        <v>62.98</v>
      </c>
      <c r="E10" s="14">
        <f t="shared" si="0"/>
        <v>0</v>
      </c>
    </row>
    <row r="11" spans="1:6">
      <c r="A11" s="31" t="s">
        <v>679</v>
      </c>
      <c r="B11" s="31">
        <v>2535475</v>
      </c>
      <c r="C11">
        <v>0</v>
      </c>
      <c r="D11" s="5">
        <v>24.98</v>
      </c>
      <c r="E11" s="14">
        <f t="shared" si="0"/>
        <v>0</v>
      </c>
    </row>
    <row r="12" spans="1:6">
      <c r="A12" s="31" t="s">
        <v>721</v>
      </c>
      <c r="B12" s="31" t="s">
        <v>722</v>
      </c>
      <c r="C12">
        <v>0</v>
      </c>
      <c r="D12" s="5">
        <v>10.9</v>
      </c>
      <c r="E12" s="14">
        <f t="shared" si="0"/>
        <v>0</v>
      </c>
    </row>
    <row r="13" spans="1:6">
      <c r="A13" s="31" t="s">
        <v>725</v>
      </c>
      <c r="B13" s="31" t="s">
        <v>726</v>
      </c>
      <c r="C13">
        <v>0</v>
      </c>
      <c r="D13" s="5">
        <v>14.97</v>
      </c>
      <c r="E13" s="14">
        <f t="shared" si="0"/>
        <v>0</v>
      </c>
    </row>
    <row r="14" spans="1:6">
      <c r="A14" s="31" t="s">
        <v>730</v>
      </c>
      <c r="B14" s="31" t="s">
        <v>727</v>
      </c>
      <c r="C14">
        <v>0</v>
      </c>
      <c r="D14" s="5">
        <v>19.97</v>
      </c>
      <c r="E14" s="14">
        <f t="shared" si="0"/>
        <v>0</v>
      </c>
    </row>
    <row r="15" spans="1:6">
      <c r="A15" s="31" t="s">
        <v>728</v>
      </c>
      <c r="B15" s="31" t="s">
        <v>729</v>
      </c>
      <c r="C15">
        <v>0</v>
      </c>
      <c r="D15" s="5">
        <v>17.97</v>
      </c>
      <c r="E15" s="14">
        <f t="shared" si="0"/>
        <v>0</v>
      </c>
    </row>
    <row r="16" spans="1:6">
      <c r="A16" s="31" t="s">
        <v>731</v>
      </c>
      <c r="B16" s="31" t="s">
        <v>732</v>
      </c>
      <c r="C16">
        <v>0</v>
      </c>
      <c r="D16" s="5">
        <v>16.98</v>
      </c>
      <c r="E16" s="14">
        <f t="shared" si="0"/>
        <v>0</v>
      </c>
    </row>
    <row r="17" spans="1:9">
      <c r="A17" s="31" t="s">
        <v>733</v>
      </c>
      <c r="B17" s="31" t="s">
        <v>734</v>
      </c>
      <c r="C17">
        <v>0</v>
      </c>
      <c r="D17" s="5">
        <v>3.27</v>
      </c>
      <c r="E17" s="14">
        <f t="shared" si="0"/>
        <v>0</v>
      </c>
    </row>
    <row r="18" spans="1:9">
      <c r="A18" s="31"/>
      <c r="B18" s="31"/>
      <c r="E18" s="14">
        <f t="shared" si="0"/>
        <v>0</v>
      </c>
    </row>
    <row r="19" spans="1:9">
      <c r="A19" s="31"/>
      <c r="B19" s="31"/>
      <c r="E19" s="14">
        <f t="shared" si="0"/>
        <v>0</v>
      </c>
    </row>
    <row r="20" spans="1:9">
      <c r="A20" s="31"/>
      <c r="B20" s="31" t="s">
        <v>511</v>
      </c>
      <c r="C20">
        <v>0</v>
      </c>
      <c r="D20" s="5">
        <v>700</v>
      </c>
      <c r="E20" s="14">
        <f t="shared" si="0"/>
        <v>0</v>
      </c>
    </row>
    <row r="21" spans="1:9">
      <c r="A21" s="31"/>
      <c r="B21" s="31"/>
      <c r="E21" s="14">
        <f t="shared" si="0"/>
        <v>0</v>
      </c>
    </row>
    <row r="22" spans="1:9" ht="15.75" thickBot="1">
      <c r="A22" s="31"/>
      <c r="B22" s="31"/>
      <c r="E22" s="21">
        <f t="shared" si="0"/>
        <v>0</v>
      </c>
      <c r="F22" s="21"/>
    </row>
    <row r="23" spans="1:9">
      <c r="F23" s="14">
        <f>SUM(E4:E22)</f>
        <v>0</v>
      </c>
      <c r="I23" s="1"/>
    </row>
    <row r="26" spans="1:9">
      <c r="F26"/>
    </row>
    <row r="27" spans="1:9">
      <c r="F27"/>
    </row>
    <row r="28" spans="1:9">
      <c r="F28"/>
    </row>
    <row r="29" spans="1:9">
      <c r="F29"/>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2"/>
  <dimension ref="A1:G17"/>
  <sheetViews>
    <sheetView workbookViewId="0">
      <selection activeCell="E14" sqref="E14"/>
    </sheetView>
  </sheetViews>
  <sheetFormatPr defaultRowHeight="15"/>
  <cols>
    <col min="1" max="1" width="24.7109375" style="2" bestFit="1" customWidth="1"/>
    <col min="2" max="2" width="15.28515625" style="18" customWidth="1"/>
    <col min="3" max="3" width="15.28515625" style="2" customWidth="1"/>
    <col min="5" max="5" width="9.140625" style="5"/>
    <col min="6" max="6" width="9.140625" style="1"/>
  </cols>
  <sheetData>
    <row r="1" spans="1:7" s="3" customFormat="1">
      <c r="A1" s="3" t="s">
        <v>439</v>
      </c>
      <c r="B1" s="16"/>
    </row>
    <row r="2" spans="1:7" s="15" customFormat="1">
      <c r="A2" s="3" t="s">
        <v>403</v>
      </c>
      <c r="B2" s="17" t="s">
        <v>680</v>
      </c>
      <c r="C2" s="31" t="s">
        <v>681</v>
      </c>
      <c r="D2" s="3" t="s">
        <v>513</v>
      </c>
      <c r="E2" s="8" t="s">
        <v>682</v>
      </c>
      <c r="F2" s="6" t="s">
        <v>683</v>
      </c>
      <c r="G2" s="15" t="s">
        <v>516</v>
      </c>
    </row>
    <row r="4" spans="1:7">
      <c r="A4" s="2" t="s">
        <v>684</v>
      </c>
      <c r="B4" s="18">
        <v>0.79</v>
      </c>
      <c r="C4" s="2">
        <v>500</v>
      </c>
      <c r="D4">
        <v>0</v>
      </c>
      <c r="E4" s="5">
        <v>60</v>
      </c>
      <c r="F4" s="1">
        <f>+C4*B4*D4</f>
        <v>0</v>
      </c>
    </row>
    <row r="5" spans="1:7">
      <c r="A5" s="2" t="s">
        <v>685</v>
      </c>
      <c r="B5" s="18">
        <v>1</v>
      </c>
      <c r="C5" s="2">
        <f>24*10</f>
        <v>240</v>
      </c>
      <c r="D5">
        <v>0</v>
      </c>
      <c r="E5" s="5">
        <v>60</v>
      </c>
      <c r="F5" s="1">
        <f>+C5*B5*D5</f>
        <v>0</v>
      </c>
    </row>
    <row r="6" spans="1:7">
      <c r="A6" s="2" t="s">
        <v>686</v>
      </c>
      <c r="D6">
        <v>0</v>
      </c>
      <c r="E6" s="5">
        <v>150</v>
      </c>
      <c r="F6" s="1">
        <f t="shared" ref="F6:F11" si="0">+D6*E6</f>
        <v>0</v>
      </c>
    </row>
    <row r="7" spans="1:7">
      <c r="A7" s="2" t="s">
        <v>496</v>
      </c>
      <c r="D7">
        <v>0</v>
      </c>
      <c r="E7" s="5">
        <v>3000</v>
      </c>
      <c r="F7" s="1">
        <f t="shared" si="0"/>
        <v>0</v>
      </c>
    </row>
    <row r="8" spans="1:7">
      <c r="A8" s="2" t="s">
        <v>687</v>
      </c>
      <c r="D8">
        <v>0</v>
      </c>
      <c r="E8" s="5">
        <v>165</v>
      </c>
      <c r="F8" s="1">
        <f t="shared" si="0"/>
        <v>0</v>
      </c>
    </row>
    <row r="9" spans="1:7">
      <c r="A9" s="2" t="s">
        <v>688</v>
      </c>
      <c r="D9">
        <v>0</v>
      </c>
      <c r="E9" s="5">
        <v>29</v>
      </c>
      <c r="F9" s="1">
        <f t="shared" si="0"/>
        <v>0</v>
      </c>
    </row>
    <row r="10" spans="1:7">
      <c r="A10" s="2" t="s">
        <v>689</v>
      </c>
      <c r="D10">
        <v>0</v>
      </c>
      <c r="E10" s="5">
        <v>15</v>
      </c>
      <c r="F10" s="1">
        <f t="shared" si="0"/>
        <v>0</v>
      </c>
    </row>
    <row r="11" spans="1:7">
      <c r="A11" s="2" t="s">
        <v>690</v>
      </c>
      <c r="D11">
        <v>0</v>
      </c>
      <c r="E11" s="5">
        <v>1100</v>
      </c>
      <c r="F11" s="1">
        <f t="shared" si="0"/>
        <v>0</v>
      </c>
    </row>
    <row r="12" spans="1:7">
      <c r="A12" s="2" t="s">
        <v>691</v>
      </c>
      <c r="E12" s="5">
        <v>0</v>
      </c>
      <c r="F12" s="1">
        <f t="shared" ref="F12:F15" si="1">+D12*E12</f>
        <v>0</v>
      </c>
    </row>
    <row r="13" spans="1:7">
      <c r="A13" s="2" t="s">
        <v>692</v>
      </c>
      <c r="E13" s="5">
        <v>1000</v>
      </c>
      <c r="F13" s="1">
        <f t="shared" si="1"/>
        <v>0</v>
      </c>
    </row>
    <row r="14" spans="1:7">
      <c r="A14" s="2" t="s">
        <v>693</v>
      </c>
      <c r="D14">
        <v>0</v>
      </c>
      <c r="E14" s="5">
        <v>60</v>
      </c>
      <c r="F14" s="1">
        <f t="shared" si="1"/>
        <v>0</v>
      </c>
    </row>
    <row r="15" spans="1:7">
      <c r="A15" s="2" t="s">
        <v>694</v>
      </c>
      <c r="D15">
        <v>0</v>
      </c>
      <c r="E15" s="5">
        <v>800</v>
      </c>
      <c r="F15" s="1">
        <f t="shared" si="1"/>
        <v>0</v>
      </c>
    </row>
    <row r="16" spans="1:7" ht="15.75" thickBot="1">
      <c r="F16" s="30"/>
      <c r="G16" s="23"/>
    </row>
    <row r="17" spans="3:7">
      <c r="C17" s="2">
        <f>+SUM(C4:C16)</f>
        <v>740</v>
      </c>
      <c r="F17" s="15" t="s">
        <v>516</v>
      </c>
      <c r="G17" s="1">
        <f>+SUM(F4:F16)</f>
        <v>0</v>
      </c>
    </row>
  </sheetData>
  <printOptions headings="1" gridLines="1"/>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B0ECA-AC30-4148-AECC-61698D629F72}">
  <dimension ref="A1"/>
  <sheetViews>
    <sheetView workbookViewId="0"/>
  </sheetViews>
  <sheetFormatPr defaultRowHeight="1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3"/>
  <dimension ref="A1:G16"/>
  <sheetViews>
    <sheetView workbookViewId="0">
      <selection activeCell="E6" sqref="E6"/>
    </sheetView>
  </sheetViews>
  <sheetFormatPr defaultRowHeight="15"/>
  <cols>
    <col min="1" max="1" width="24.7109375" style="2" bestFit="1" customWidth="1"/>
    <col min="2" max="2" width="24.7109375" style="2" customWidth="1"/>
    <col min="3" max="3" width="15.28515625" style="18" customWidth="1"/>
  </cols>
  <sheetData>
    <row r="1" spans="1:7" s="3" customFormat="1">
      <c r="A1" s="33" t="s">
        <v>477</v>
      </c>
      <c r="B1" s="33"/>
      <c r="C1" s="16"/>
    </row>
    <row r="2" spans="1:7" s="15" customFormat="1">
      <c r="A2" s="3" t="s">
        <v>403</v>
      </c>
      <c r="B2" s="3" t="s">
        <v>364</v>
      </c>
      <c r="C2" s="17" t="s">
        <v>695</v>
      </c>
      <c r="D2" s="15" t="s">
        <v>516</v>
      </c>
      <c r="E2" s="659" t="s">
        <v>696</v>
      </c>
      <c r="F2" s="537"/>
      <c r="G2" s="27">
        <v>20</v>
      </c>
    </row>
    <row r="4" spans="1:7">
      <c r="A4" s="2" t="s">
        <v>376</v>
      </c>
      <c r="B4" s="2">
        <v>0</v>
      </c>
      <c r="C4" s="18">
        <v>800</v>
      </c>
      <c r="D4" s="5">
        <f>+B4*C4</f>
        <v>0</v>
      </c>
    </row>
    <row r="5" spans="1:7">
      <c r="A5" s="2" t="s">
        <v>697</v>
      </c>
      <c r="B5" s="2">
        <v>1</v>
      </c>
      <c r="C5" s="18">
        <v>28.46</v>
      </c>
      <c r="D5" s="5">
        <f t="shared" ref="D5:D14" si="0">+B5*C5</f>
        <v>28.46</v>
      </c>
    </row>
    <row r="6" spans="1:7">
      <c r="A6" s="2" t="s">
        <v>741</v>
      </c>
      <c r="B6" s="2" t="s">
        <v>742</v>
      </c>
      <c r="C6" s="18">
        <v>1</v>
      </c>
      <c r="D6" s="5">
        <v>32.979999999999997</v>
      </c>
    </row>
    <row r="7" spans="1:7">
      <c r="A7" s="2" t="s">
        <v>698</v>
      </c>
      <c r="D7" s="5">
        <f t="shared" si="0"/>
        <v>0</v>
      </c>
    </row>
    <row r="8" spans="1:7">
      <c r="A8" s="2" t="s">
        <v>698</v>
      </c>
      <c r="D8" s="5">
        <f t="shared" si="0"/>
        <v>0</v>
      </c>
    </row>
    <row r="9" spans="1:7">
      <c r="A9" s="2" t="s">
        <v>699</v>
      </c>
      <c r="C9" s="18">
        <v>1000</v>
      </c>
      <c r="D9" s="5">
        <f t="shared" si="0"/>
        <v>0</v>
      </c>
    </row>
    <row r="10" spans="1:7">
      <c r="A10" s="2" t="s">
        <v>700</v>
      </c>
      <c r="D10" s="5">
        <f t="shared" si="0"/>
        <v>0</v>
      </c>
    </row>
    <row r="11" spans="1:7">
      <c r="A11" s="2" t="s">
        <v>700</v>
      </c>
      <c r="D11" s="5">
        <f t="shared" si="0"/>
        <v>0</v>
      </c>
    </row>
    <row r="12" spans="1:7">
      <c r="A12" s="2" t="s">
        <v>701</v>
      </c>
      <c r="B12" s="2">
        <v>0</v>
      </c>
      <c r="C12" s="18">
        <v>5500</v>
      </c>
      <c r="D12" s="5">
        <f t="shared" si="0"/>
        <v>0</v>
      </c>
    </row>
    <row r="13" spans="1:7">
      <c r="A13" s="2" t="s">
        <v>702</v>
      </c>
      <c r="C13" s="18">
        <v>1604326</v>
      </c>
      <c r="D13" s="5">
        <f t="shared" si="0"/>
        <v>0</v>
      </c>
    </row>
    <row r="14" spans="1:7">
      <c r="A14" s="2" t="s">
        <v>703</v>
      </c>
      <c r="C14" s="18">
        <v>228556</v>
      </c>
      <c r="D14" s="5">
        <f t="shared" si="0"/>
        <v>0</v>
      </c>
    </row>
    <row r="15" spans="1:7" ht="15.75" thickBot="1">
      <c r="A15" s="2" t="s">
        <v>704</v>
      </c>
      <c r="B15" s="2">
        <v>0</v>
      </c>
      <c r="C15" s="18">
        <v>400</v>
      </c>
      <c r="D15" s="23">
        <v>0</v>
      </c>
    </row>
    <row r="16" spans="1:7">
      <c r="D16" s="1">
        <f>SUM(D4:D15)</f>
        <v>61.44</v>
      </c>
    </row>
  </sheetData>
  <mergeCells count="1">
    <mergeCell ref="E2:F2"/>
  </mergeCells>
  <printOptions headings="1" gridLines="1"/>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A7152-0709-4944-9ECB-5BD3B7BF96AC}">
  <dimension ref="A1"/>
  <sheetViews>
    <sheetView workbookViewId="0"/>
  </sheetViews>
  <sheetFormatPr defaultRowHeight="1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3EEA9-774C-431F-9777-04D09ADB4AD5}">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DC7FDB1C8256C4EA4678CC05D188078" ma:contentTypeVersion="20" ma:contentTypeDescription="Create a new document." ma:contentTypeScope="" ma:versionID="2a9650d830cc67299a1a440994d8139a">
  <xsd:schema xmlns:xsd="http://www.w3.org/2001/XMLSchema" xmlns:xs="http://www.w3.org/2001/XMLSchema" xmlns:p="http://schemas.microsoft.com/office/2006/metadata/properties" xmlns:ns2="ab9fedca-001d-4cc9-b244-d9c3be5a27d3" xmlns:ns3="42cc25d9-27fe-4f07-accb-ded05ec47eee" targetNamespace="http://schemas.microsoft.com/office/2006/metadata/properties" ma:root="true" ma:fieldsID="b7be75ccca685a650eabb79854d6018f" ns2:_="" ns3:_="">
    <xsd:import namespace="ab9fedca-001d-4cc9-b244-d9c3be5a27d3"/>
    <xsd:import namespace="42cc25d9-27fe-4f07-accb-ded05ec47ee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_Flow_SignoffStatu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9fedca-001d-4cc9-b244-d9c3be5a27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da4e1b19-6222-46f4-80f6-9f16169dd19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_Flow_SignoffStatus" ma:index="25" nillable="true" ma:displayName="Sign-off status" ma:internalName="Sign_x002d_off_x0020_status">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cc25d9-27fe-4f07-accb-ded05ec47eee"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1f183bb4-81c9-4515-ba45-227c7445c609}" ma:internalName="TaxCatchAll" ma:showField="CatchAllData" ma:web="42cc25d9-27fe-4f07-accb-ded05ec47eee">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TaxCatchAll xmlns="42cc25d9-27fe-4f07-accb-ded05ec47eee" xsi:nil="true"/>
    <lcf76f155ced4ddcb4097134ff3c332f xmlns="ab9fedca-001d-4cc9-b244-d9c3be5a27d3">
      <Terms xmlns="http://schemas.microsoft.com/office/infopath/2007/PartnerControls"/>
    </lcf76f155ced4ddcb4097134ff3c332f>
    <_Flow_SignoffStatus xmlns="ab9fedca-001d-4cc9-b244-d9c3be5a27d3" xsi:nil="true"/>
  </documentManagement>
</p:properties>
</file>

<file path=customXml/item5.xml>��
</file>

<file path=customXml/item6.xml>��
</file>

<file path=customXml/item7.xml>��
</file>

<file path=customXml/itemProps1.xml><?xml version="1.0" encoding="utf-8"?>
<ds:datastoreItem xmlns:ds="http://schemas.openxmlformats.org/officeDocument/2006/customXml" ds:itemID="{A78CB2BF-C129-44B9-ABB9-47BF5D7D9C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9fedca-001d-4cc9-b244-d9c3be5a27d3"/>
    <ds:schemaRef ds:uri="42cc25d9-27fe-4f07-accb-ded05ec47e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1340FEE-1606-4067-BF1E-AF47E6C4120D}">
  <ds:schemaRefs>
    <ds:schemaRef ds:uri="http://schemas.microsoft.com/sharepoint/v3/contenttype/forms"/>
  </ds:schemaRefs>
</ds:datastoreItem>
</file>

<file path=customXml/itemProps3.xml><?xml version="1.0" encoding="utf-8"?>
<ds:datastoreItem xmlns:ds="http://schemas.openxmlformats.org/officeDocument/2006/customXml" ds:itemID="{B54C4136-DFE3-4AB2-9ADD-5C061DFB4DE7}">
  <ds:schemaRefs>
    <ds:schemaRef ds:uri="http://gemini/pivotcustomization/TableXML_FromProposal_20a731de-dc6a-4de7-aca1-393b2aab7b6b"/>
  </ds:schemaRefs>
</ds:datastoreItem>
</file>

<file path=customXml/itemProps4.xml><?xml version="1.0" encoding="utf-8"?>
<ds:datastoreItem xmlns:ds="http://schemas.openxmlformats.org/officeDocument/2006/customXml" ds:itemID="{98C4DA37-4AFD-4CD2-9A66-0C8B8DF4AF27}">
  <ds:schemaRefs>
    <ds:schemaRef ds:uri="http://schemas.openxmlformats.org/package/2006/metadata/core-properties"/>
    <ds:schemaRef ds:uri="http://www.w3.org/XML/1998/namespace"/>
    <ds:schemaRef ds:uri="http://purl.org/dc/elements/1.1/"/>
    <ds:schemaRef ds:uri="42cc25d9-27fe-4f07-accb-ded05ec47eee"/>
    <ds:schemaRef ds:uri="http://schemas.microsoft.com/office/2006/documentManagement/types"/>
    <ds:schemaRef ds:uri="http://schemas.microsoft.com/office/2006/metadata/properties"/>
    <ds:schemaRef ds:uri="http://purl.org/dc/dcmitype/"/>
    <ds:schemaRef ds:uri="http://purl.org/dc/terms/"/>
    <ds:schemaRef ds:uri="http://schemas.microsoft.com/office/infopath/2007/PartnerControls"/>
    <ds:schemaRef ds:uri="ab9fedca-001d-4cc9-b244-d9c3be5a27d3"/>
  </ds:schemaRefs>
</ds:datastoreItem>
</file>

<file path=customXml/itemProps5.xml><?xml version="1.0" encoding="utf-8"?>
<ds:datastoreItem xmlns:ds="http://schemas.openxmlformats.org/officeDocument/2006/customXml" ds:itemID="{5C886D52-C60B-4622-9743-EA10E7087D96}">
  <ds:schemaRefs>
    <ds:schemaRef ds:uri="http://gemini/pivotcustomization/FormulaBarState"/>
  </ds:schemaRefs>
</ds:datastoreItem>
</file>

<file path=customXml/itemProps6.xml><?xml version="1.0" encoding="utf-8"?>
<ds:datastoreItem xmlns:ds="http://schemas.openxmlformats.org/officeDocument/2006/customXml" ds:itemID="{B9BB8BBB-3EF8-4D4F-B500-A2E6B5335F5B}">
  <ds:schemaRefs>
    <ds:schemaRef ds:uri="http://gemini/pivotcustomization/TableWidget"/>
  </ds:schemaRefs>
</ds:datastoreItem>
</file>

<file path=customXml/itemProps7.xml><?xml version="1.0" encoding="utf-8"?>
<ds:datastoreItem xmlns:ds="http://schemas.openxmlformats.org/officeDocument/2006/customXml" ds:itemID="{C8DEC3D8-E357-4A8C-AFF9-645AD3C1C0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3</vt:i4>
      </vt:variant>
    </vt:vector>
  </HeadingPairs>
  <TitlesOfParts>
    <vt:vector size="31" baseType="lpstr">
      <vt:lpstr>Profit</vt:lpstr>
      <vt:lpstr>MOG</vt:lpstr>
      <vt:lpstr>Todo</vt:lpstr>
      <vt:lpstr>Contact</vt:lpstr>
      <vt:lpstr>Example Proposal</vt:lpstr>
      <vt:lpstr>Proposal</vt:lpstr>
      <vt:lpstr>ProposalUpdate</vt:lpstr>
      <vt:lpstr>Gnatt Chart</vt:lpstr>
      <vt:lpstr>Taxes</vt:lpstr>
      <vt:lpstr>Financing</vt:lpstr>
      <vt:lpstr>Seller Advance</vt:lpstr>
      <vt:lpstr>MISC 2</vt:lpstr>
      <vt:lpstr>Demo &amp; Trash Haul</vt:lpstr>
      <vt:lpstr>Appliances</vt:lpstr>
      <vt:lpstr>Plumbing Fixtures</vt:lpstr>
      <vt:lpstr>Sheet1</vt:lpstr>
      <vt:lpstr>Sheet2</vt:lpstr>
      <vt:lpstr>Windows &amp; Doors</vt:lpstr>
      <vt:lpstr>Cabinets</vt:lpstr>
      <vt:lpstr>Paint</vt:lpstr>
      <vt:lpstr>Flooring</vt:lpstr>
      <vt:lpstr>HVAC</vt:lpstr>
      <vt:lpstr>Electrical Fixtures</vt:lpstr>
      <vt:lpstr>Landscape</vt:lpstr>
      <vt:lpstr>Sheet5</vt:lpstr>
      <vt:lpstr>Exterior</vt:lpstr>
      <vt:lpstr>Sheet3</vt:lpstr>
      <vt:lpstr>Sheet4</vt:lpstr>
      <vt:lpstr>Milestone_Marker</vt:lpstr>
      <vt:lpstr>Project_Start</vt:lpstr>
      <vt:lpstr>Scrolling_Increment</vt:lpstr>
    </vt:vector>
  </TitlesOfParts>
  <Manager/>
  <Company>First Citizens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Browning, Wes</dc:creator>
  <cp:keywords/>
  <dc:description/>
  <cp:lastModifiedBy>Wes Will Buy Your Home</cp:lastModifiedBy>
  <cp:revision/>
  <dcterms:created xsi:type="dcterms:W3CDTF">2019-07-25T11:32:14Z</dcterms:created>
  <dcterms:modified xsi:type="dcterms:W3CDTF">2026-04-28T17:17:34Z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0x010100DDC7FDB1C8256C4EA4678CC05D188078</vt:lpwstr>
  </property>
  <property fmtid="{D5CDD505-2E9C-101B-9397-08002B2CF9AE}" pid="3" name="MediaServiceImageTags">
    <vt:lpwstr/>
  </property>
</Properties>
</file>