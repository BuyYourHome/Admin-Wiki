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D65FB09C-D9FA-4BA1-8A0A-90FDE93F315B}"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EndDate">'Amortization - Table Test'!$S$14</definedName>
    <definedName name="cfdFirstRateMonths">'Amortization - Table Test'!$P$13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71" l="1"/>
  <c r="P13" i="71"/>
  <c r="AB10" i="71" s="1"/>
  <c r="N496" i="71"/>
  <c r="N497" i="71"/>
  <c r="N498" i="71"/>
  <c r="N499" i="71"/>
  <c r="N500" i="71"/>
  <c r="N501" i="71"/>
  <c r="N502" i="71"/>
  <c r="N503" i="71"/>
  <c r="N504" i="71"/>
  <c r="N505" i="71"/>
  <c r="N506" i="71"/>
  <c r="N507" i="71"/>
  <c r="N508" i="71"/>
  <c r="N509" i="71"/>
  <c r="N510" i="71"/>
  <c r="N511" i="71"/>
  <c r="N512" i="71"/>
  <c r="N513" i="71"/>
  <c r="N514" i="71"/>
  <c r="N515" i="71"/>
  <c r="N516" i="71"/>
  <c r="N517" i="71"/>
  <c r="N518" i="71"/>
  <c r="N519" i="71"/>
  <c r="N520" i="71"/>
  <c r="N521" i="71"/>
  <c r="N522" i="71"/>
  <c r="N523" i="71"/>
  <c r="N524" i="71"/>
  <c r="N525" i="71"/>
  <c r="N526" i="71"/>
  <c r="N527" i="71"/>
  <c r="N528" i="71"/>
  <c r="N529" i="71"/>
  <c r="N530" i="71"/>
  <c r="N531" i="71"/>
  <c r="N532" i="71"/>
  <c r="N533" i="71"/>
  <c r="N534" i="71"/>
  <c r="N535" i="71"/>
  <c r="N536" i="71"/>
  <c r="N537" i="71"/>
  <c r="N538" i="71"/>
  <c r="N539" i="71"/>
  <c r="N540" i="71"/>
  <c r="N541" i="71"/>
  <c r="N542" i="71"/>
  <c r="N543" i="71"/>
  <c r="N544" i="71"/>
  <c r="N545" i="71"/>
  <c r="N546" i="71"/>
  <c r="N547" i="71"/>
  <c r="N548" i="71"/>
  <c r="N549" i="71"/>
  <c r="N550" i="71"/>
  <c r="N551" i="71"/>
  <c r="N552" i="71"/>
  <c r="N553" i="71"/>
  <c r="N554" i="71"/>
  <c r="N555" i="71"/>
  <c r="N556" i="71"/>
  <c r="N557" i="71"/>
  <c r="N558" i="71"/>
  <c r="N559" i="71"/>
  <c r="N560" i="71"/>
  <c r="N561" i="71"/>
  <c r="N562" i="71"/>
  <c r="N563" i="71"/>
  <c r="N564" i="71"/>
  <c r="N565" i="71"/>
  <c r="N566" i="71"/>
  <c r="N567" i="71"/>
  <c r="N568" i="71"/>
  <c r="N569" i="71"/>
  <c r="N570" i="71"/>
  <c r="N571" i="71"/>
  <c r="N572" i="71"/>
  <c r="N573" i="71"/>
  <c r="N574" i="71"/>
  <c r="N575" i="71"/>
  <c r="N576" i="71"/>
  <c r="N577" i="71"/>
  <c r="N578" i="71"/>
  <c r="N579" i="71"/>
  <c r="N580" i="71"/>
  <c r="N581" i="71"/>
  <c r="N582" i="71"/>
  <c r="N583" i="71"/>
  <c r="N584" i="71"/>
  <c r="N585" i="71"/>
  <c r="N586" i="71"/>
  <c r="N587" i="71"/>
  <c r="N588" i="71"/>
  <c r="N589" i="71"/>
  <c r="N590" i="71"/>
  <c r="N591" i="71"/>
  <c r="N592" i="71"/>
  <c r="N593" i="71"/>
  <c r="N594" i="71"/>
  <c r="N595" i="71"/>
  <c r="N596" i="71"/>
  <c r="N597" i="71"/>
  <c r="N598" i="71"/>
  <c r="N599" i="71"/>
  <c r="N600" i="71"/>
  <c r="N601" i="71"/>
  <c r="N602" i="71"/>
  <c r="N603" i="71"/>
  <c r="N604" i="71"/>
  <c r="N605" i="71"/>
  <c r="N606" i="71"/>
  <c r="N607" i="71"/>
  <c r="N608" i="71"/>
  <c r="N609" i="71"/>
  <c r="N610" i="71"/>
  <c r="N611" i="71"/>
  <c r="N612" i="71"/>
  <c r="N613" i="71"/>
  <c r="N614" i="71"/>
  <c r="N615" i="71"/>
  <c r="N616" i="71"/>
  <c r="N617" i="71"/>
  <c r="N618" i="71"/>
  <c r="N619" i="71"/>
  <c r="N620" i="71"/>
  <c r="N621" i="71"/>
  <c r="N622" i="71"/>
  <c r="N623" i="71"/>
  <c r="N624" i="71"/>
  <c r="N625" i="71"/>
  <c r="N626" i="71"/>
  <c r="N627" i="71"/>
  <c r="N628" i="71"/>
  <c r="N629" i="71"/>
  <c r="N630" i="71"/>
  <c r="N631" i="71"/>
  <c r="N632" i="71"/>
  <c r="N633" i="71"/>
  <c r="N634" i="71"/>
  <c r="N635" i="71"/>
  <c r="N636" i="71"/>
  <c r="N637" i="71"/>
  <c r="N638" i="71"/>
  <c r="N639" i="71"/>
  <c r="N640" i="71"/>
  <c r="N641" i="71"/>
  <c r="N642" i="71"/>
  <c r="N643" i="71"/>
  <c r="N644" i="71"/>
  <c r="N645" i="71"/>
  <c r="N646" i="71"/>
  <c r="N647" i="71"/>
  <c r="N648" i="71"/>
  <c r="N649" i="71"/>
  <c r="N650" i="71"/>
  <c r="N651" i="71"/>
  <c r="N652" i="71"/>
  <c r="N653" i="71"/>
  <c r="N654" i="71"/>
  <c r="N655" i="71"/>
  <c r="N656" i="71"/>
  <c r="N657" i="71"/>
  <c r="N658" i="71"/>
  <c r="N659" i="71"/>
  <c r="N660" i="71"/>
  <c r="N661" i="71"/>
  <c r="N662" i="71"/>
  <c r="N663" i="71"/>
  <c r="N664" i="71"/>
  <c r="N665" i="71"/>
  <c r="N666" i="71"/>
  <c r="N667" i="71"/>
  <c r="N668" i="71"/>
  <c r="N669" i="71"/>
  <c r="N670" i="71"/>
  <c r="N671" i="71"/>
  <c r="N672" i="71"/>
  <c r="N673" i="71"/>
  <c r="N674" i="71"/>
  <c r="N675" i="71"/>
  <c r="N676" i="71"/>
  <c r="N677" i="71"/>
  <c r="N678" i="71"/>
  <c r="N679" i="71"/>
  <c r="N680" i="71"/>
  <c r="N681" i="71"/>
  <c r="N682" i="71"/>
  <c r="N683" i="71"/>
  <c r="N684" i="71"/>
  <c r="N685" i="71"/>
  <c r="N686" i="71"/>
  <c r="N687" i="71"/>
  <c r="N688" i="71"/>
  <c r="N689" i="71"/>
  <c r="N690" i="71"/>
  <c r="N691" i="71"/>
  <c r="N692" i="71"/>
  <c r="N693" i="71"/>
  <c r="N694" i="71"/>
  <c r="N695" i="71"/>
  <c r="N696" i="71"/>
  <c r="N697" i="71"/>
  <c r="N698" i="71"/>
  <c r="N699" i="71"/>
  <c r="N700" i="71"/>
  <c r="N701" i="71"/>
  <c r="N702" i="71"/>
  <c r="N703" i="71"/>
  <c r="N704" i="71"/>
  <c r="N705" i="71"/>
  <c r="N706" i="71"/>
  <c r="N707" i="71"/>
  <c r="N708" i="71"/>
  <c r="N709" i="71"/>
  <c r="N710" i="71"/>
  <c r="N711" i="71"/>
  <c r="N712" i="71"/>
  <c r="N713" i="71"/>
  <c r="N714" i="71"/>
  <c r="N715" i="71"/>
  <c r="N716" i="71"/>
  <c r="N717" i="71"/>
  <c r="N718" i="71"/>
  <c r="N719" i="71"/>
  <c r="N720" i="71"/>
  <c r="N721" i="71"/>
  <c r="N722" i="71"/>
  <c r="N723" i="71"/>
  <c r="N724" i="71"/>
  <c r="N725" i="71"/>
  <c r="N726" i="71"/>
  <c r="N727" i="71"/>
  <c r="N728" i="71"/>
  <c r="N729" i="71"/>
  <c r="N730" i="71"/>
  <c r="N731" i="71"/>
  <c r="N732" i="71"/>
  <c r="N733" i="71"/>
  <c r="N734" i="71"/>
  <c r="N735" i="71"/>
  <c r="N736" i="71"/>
  <c r="N737" i="71"/>
  <c r="N738" i="71"/>
  <c r="N739" i="71"/>
  <c r="N740" i="71"/>
  <c r="N741" i="71"/>
  <c r="N742" i="71"/>
  <c r="N743" i="71"/>
  <c r="N744" i="71"/>
  <c r="N745" i="71"/>
  <c r="N746" i="71"/>
  <c r="N747" i="71"/>
  <c r="N748" i="71"/>
  <c r="N749" i="71"/>
  <c r="N750" i="71"/>
  <c r="N751" i="71"/>
  <c r="N752" i="71"/>
  <c r="N753" i="71"/>
  <c r="N754" i="71"/>
  <c r="N755" i="71"/>
  <c r="N756" i="71"/>
  <c r="N757" i="71"/>
  <c r="N758" i="71"/>
  <c r="N759" i="71"/>
  <c r="N760" i="71"/>
  <c r="N761" i="71"/>
  <c r="N762" i="71"/>
  <c r="N763" i="71"/>
  <c r="N764" i="71"/>
  <c r="N765" i="71"/>
  <c r="N766" i="71"/>
  <c r="N767" i="71"/>
  <c r="N768" i="71"/>
  <c r="N769" i="71"/>
  <c r="N770" i="71"/>
  <c r="N771" i="71"/>
  <c r="N772" i="71"/>
  <c r="N773" i="71"/>
  <c r="N774" i="71"/>
  <c r="N775" i="71"/>
  <c r="N776" i="71"/>
  <c r="N777" i="71"/>
  <c r="N778" i="71"/>
  <c r="N779" i="71"/>
  <c r="N780" i="71"/>
  <c r="N781" i="71"/>
  <c r="N782" i="71"/>
  <c r="N783" i="71"/>
  <c r="N784" i="71"/>
  <c r="N785" i="71"/>
  <c r="N786" i="71"/>
  <c r="N787" i="71"/>
  <c r="N788" i="71"/>
  <c r="N789" i="71"/>
  <c r="N790" i="71"/>
  <c r="N791" i="71"/>
  <c r="N792" i="71"/>
  <c r="N793" i="71"/>
  <c r="N794" i="71"/>
  <c r="N795" i="71"/>
  <c r="N796" i="71"/>
  <c r="N797" i="71"/>
  <c r="N798" i="71"/>
  <c r="N799" i="71"/>
  <c r="N800" i="71"/>
  <c r="N801" i="71"/>
  <c r="N802" i="71"/>
  <c r="N803" i="71"/>
  <c r="N804" i="71"/>
  <c r="N805" i="71"/>
  <c r="N806" i="71"/>
  <c r="N807" i="71"/>
  <c r="N808" i="71"/>
  <c r="N809" i="71"/>
  <c r="N810" i="71"/>
  <c r="N811" i="71"/>
  <c r="N812" i="71"/>
  <c r="N813" i="71"/>
  <c r="N814" i="71"/>
  <c r="N815" i="71"/>
  <c r="N816" i="71"/>
  <c r="N817" i="71"/>
  <c r="N818" i="71"/>
  <c r="N819" i="71"/>
  <c r="N820" i="71"/>
  <c r="N821" i="71"/>
  <c r="N822" i="71"/>
  <c r="N823" i="71"/>
  <c r="N824" i="71"/>
  <c r="N825" i="71"/>
  <c r="N826" i="71"/>
  <c r="N827" i="71"/>
  <c r="N828" i="71"/>
  <c r="N829" i="71"/>
  <c r="N830" i="71"/>
  <c r="N831" i="71"/>
  <c r="N832" i="71"/>
  <c r="N833" i="71"/>
  <c r="M833" i="71"/>
  <c r="M832" i="71"/>
  <c r="M831" i="71"/>
  <c r="M830" i="71"/>
  <c r="M829" i="71"/>
  <c r="M828" i="71"/>
  <c r="M827" i="71"/>
  <c r="M826" i="71"/>
  <c r="M825" i="71"/>
  <c r="M824" i="71"/>
  <c r="M823" i="71"/>
  <c r="M822" i="71"/>
  <c r="M821" i="71"/>
  <c r="M820" i="71"/>
  <c r="M819" i="71"/>
  <c r="M818" i="71"/>
  <c r="M817" i="71"/>
  <c r="M816" i="71"/>
  <c r="M815" i="71"/>
  <c r="M814" i="71"/>
  <c r="M813" i="71"/>
  <c r="M812" i="71"/>
  <c r="M811" i="71"/>
  <c r="M810" i="71"/>
  <c r="M809" i="71"/>
  <c r="M808" i="71"/>
  <c r="M807" i="71"/>
  <c r="M806" i="71"/>
  <c r="M805" i="71"/>
  <c r="M804" i="71"/>
  <c r="M803" i="71"/>
  <c r="M802" i="71"/>
  <c r="M801" i="71"/>
  <c r="M800" i="71"/>
  <c r="M799" i="71"/>
  <c r="M798" i="71"/>
  <c r="M797" i="71"/>
  <c r="M796" i="71"/>
  <c r="M795" i="71"/>
  <c r="M794" i="71"/>
  <c r="M793" i="71"/>
  <c r="M792" i="71"/>
  <c r="M791" i="71"/>
  <c r="M790" i="71"/>
  <c r="M789" i="71"/>
  <c r="M788" i="71"/>
  <c r="M787" i="71"/>
  <c r="L787" i="71" s="1"/>
  <c r="M786" i="71"/>
  <c r="L786" i="71" s="1"/>
  <c r="M785" i="71"/>
  <c r="L785" i="71" s="1"/>
  <c r="M784" i="71"/>
  <c r="L784" i="71" s="1"/>
  <c r="M783" i="71"/>
  <c r="L783" i="71" s="1"/>
  <c r="M782" i="71"/>
  <c r="L782" i="71" s="1"/>
  <c r="M781" i="71"/>
  <c r="L781" i="71" s="1"/>
  <c r="M780" i="71"/>
  <c r="L780" i="71" s="1"/>
  <c r="M779" i="71"/>
  <c r="L779" i="71" s="1"/>
  <c r="M778" i="71"/>
  <c r="L778" i="71" s="1"/>
  <c r="M777" i="71"/>
  <c r="L777" i="71" s="1"/>
  <c r="M776" i="71"/>
  <c r="L776" i="71" s="1"/>
  <c r="M775" i="71"/>
  <c r="L775" i="71" s="1"/>
  <c r="M774" i="71"/>
  <c r="L774" i="71" s="1"/>
  <c r="M773" i="71"/>
  <c r="L773" i="71" s="1"/>
  <c r="M772" i="71"/>
  <c r="L772" i="71" s="1"/>
  <c r="M771" i="71"/>
  <c r="L771" i="71" s="1"/>
  <c r="M770" i="71"/>
  <c r="L770" i="71" s="1"/>
  <c r="M769" i="71"/>
  <c r="L769" i="71" s="1"/>
  <c r="M768" i="71"/>
  <c r="L768" i="71" s="1"/>
  <c r="M767" i="71"/>
  <c r="L767" i="71" s="1"/>
  <c r="M766" i="71"/>
  <c r="L766" i="71" s="1"/>
  <c r="M765" i="71"/>
  <c r="L765" i="71" s="1"/>
  <c r="M764" i="71"/>
  <c r="L764" i="71" s="1"/>
  <c r="M763" i="71"/>
  <c r="L763" i="71" s="1"/>
  <c r="M762" i="71"/>
  <c r="L762" i="71" s="1"/>
  <c r="M761" i="71"/>
  <c r="L761" i="71" s="1"/>
  <c r="M760" i="71"/>
  <c r="L760" i="71" s="1"/>
  <c r="M759" i="71"/>
  <c r="L759" i="71" s="1"/>
  <c r="M758" i="71"/>
  <c r="L758" i="71" s="1"/>
  <c r="M757" i="71"/>
  <c r="L757" i="71" s="1"/>
  <c r="M756" i="71"/>
  <c r="L756" i="71" s="1"/>
  <c r="M755" i="71"/>
  <c r="L755" i="71" s="1"/>
  <c r="M754" i="71"/>
  <c r="L754" i="71" s="1"/>
  <c r="M753" i="71"/>
  <c r="L753" i="71" s="1"/>
  <c r="M752" i="71"/>
  <c r="L752" i="71" s="1"/>
  <c r="M751" i="71"/>
  <c r="L751" i="71" s="1"/>
  <c r="M750" i="71"/>
  <c r="L750" i="71" s="1"/>
  <c r="M749" i="71"/>
  <c r="L749" i="71" s="1"/>
  <c r="M748" i="71"/>
  <c r="L748" i="71" s="1"/>
  <c r="M747" i="71"/>
  <c r="L747" i="71" s="1"/>
  <c r="M746" i="71"/>
  <c r="L746" i="71" s="1"/>
  <c r="M745" i="71"/>
  <c r="L745" i="71" s="1"/>
  <c r="M744" i="71"/>
  <c r="L744" i="71" s="1"/>
  <c r="M743" i="71"/>
  <c r="L743" i="71" s="1"/>
  <c r="M742" i="71"/>
  <c r="L742" i="71" s="1"/>
  <c r="M741" i="71"/>
  <c r="L741" i="71" s="1"/>
  <c r="M740" i="71"/>
  <c r="L740" i="71" s="1"/>
  <c r="M739" i="71"/>
  <c r="L739" i="71" s="1"/>
  <c r="M738" i="71"/>
  <c r="L738" i="71" s="1"/>
  <c r="M737" i="71"/>
  <c r="L737" i="71" s="1"/>
  <c r="M736" i="71"/>
  <c r="L736" i="71" s="1"/>
  <c r="M735" i="71"/>
  <c r="L735" i="71" s="1"/>
  <c r="M734" i="71"/>
  <c r="L734" i="71" s="1"/>
  <c r="M733" i="71"/>
  <c r="L733" i="71" s="1"/>
  <c r="M732" i="71"/>
  <c r="L732" i="71" s="1"/>
  <c r="M731" i="71"/>
  <c r="L731" i="71" s="1"/>
  <c r="M730" i="71"/>
  <c r="L730" i="71" s="1"/>
  <c r="M729" i="71"/>
  <c r="L729" i="71" s="1"/>
  <c r="M728" i="71"/>
  <c r="L728" i="71" s="1"/>
  <c r="M727" i="71"/>
  <c r="L727" i="71" s="1"/>
  <c r="M726" i="71"/>
  <c r="L726" i="71" s="1"/>
  <c r="M725" i="71"/>
  <c r="L725" i="71" s="1"/>
  <c r="M724" i="71"/>
  <c r="L724" i="71" s="1"/>
  <c r="M723" i="71"/>
  <c r="L723" i="71" s="1"/>
  <c r="M722" i="71"/>
  <c r="L722" i="71" s="1"/>
  <c r="M721" i="71"/>
  <c r="L721" i="71" s="1"/>
  <c r="M720" i="71"/>
  <c r="L720" i="71" s="1"/>
  <c r="M719" i="71"/>
  <c r="L719" i="71" s="1"/>
  <c r="M718" i="71"/>
  <c r="L718" i="71" s="1"/>
  <c r="M717" i="71"/>
  <c r="L717" i="71" s="1"/>
  <c r="M716" i="71"/>
  <c r="L716" i="71" s="1"/>
  <c r="M715" i="71"/>
  <c r="L715" i="71" s="1"/>
  <c r="M714" i="71"/>
  <c r="L714" i="71" s="1"/>
  <c r="M713" i="71"/>
  <c r="L713" i="71" s="1"/>
  <c r="M712" i="71"/>
  <c r="L712" i="71" s="1"/>
  <c r="M711" i="71"/>
  <c r="L711" i="71" s="1"/>
  <c r="M710" i="71"/>
  <c r="L710" i="71" s="1"/>
  <c r="M709" i="71"/>
  <c r="L709" i="71" s="1"/>
  <c r="M708" i="71"/>
  <c r="L708" i="71" s="1"/>
  <c r="M707" i="71"/>
  <c r="L707" i="71" s="1"/>
  <c r="M706" i="71"/>
  <c r="L706" i="71" s="1"/>
  <c r="M705" i="71"/>
  <c r="L705" i="71" s="1"/>
  <c r="M704" i="71"/>
  <c r="L704" i="71" s="1"/>
  <c r="M703" i="71"/>
  <c r="L703" i="71" s="1"/>
  <c r="M702" i="71"/>
  <c r="L702" i="71" s="1"/>
  <c r="M701" i="71"/>
  <c r="L701" i="71" s="1"/>
  <c r="M700" i="71"/>
  <c r="L700" i="71" s="1"/>
  <c r="M699" i="71"/>
  <c r="L699" i="71" s="1"/>
  <c r="M698" i="71"/>
  <c r="L698" i="71" s="1"/>
  <c r="M697" i="71"/>
  <c r="L697" i="71" s="1"/>
  <c r="M696" i="71"/>
  <c r="L696" i="71" s="1"/>
  <c r="M695" i="71"/>
  <c r="L695" i="71" s="1"/>
  <c r="M694" i="71"/>
  <c r="L694" i="71" s="1"/>
  <c r="M693" i="71"/>
  <c r="L693" i="71" s="1"/>
  <c r="M692" i="71"/>
  <c r="L692" i="71" s="1"/>
  <c r="M691" i="71"/>
  <c r="L691" i="71" s="1"/>
  <c r="M690" i="71"/>
  <c r="L690" i="71" s="1"/>
  <c r="M689" i="71"/>
  <c r="L689" i="71" s="1"/>
  <c r="M688" i="71"/>
  <c r="L688" i="71" s="1"/>
  <c r="M687" i="71"/>
  <c r="L687" i="71" s="1"/>
  <c r="M686" i="71"/>
  <c r="L686" i="71" s="1"/>
  <c r="M685" i="71"/>
  <c r="L685" i="71" s="1"/>
  <c r="M684" i="71"/>
  <c r="L684" i="71" s="1"/>
  <c r="M683" i="71"/>
  <c r="L683" i="71" s="1"/>
  <c r="M682" i="71"/>
  <c r="L682" i="71" s="1"/>
  <c r="M681" i="71"/>
  <c r="L681" i="71" s="1"/>
  <c r="M680" i="71"/>
  <c r="L680" i="71" s="1"/>
  <c r="M679" i="71"/>
  <c r="L679" i="71" s="1"/>
  <c r="M678" i="71"/>
  <c r="L678" i="71" s="1"/>
  <c r="M677" i="71"/>
  <c r="L677" i="71" s="1"/>
  <c r="M676" i="71"/>
  <c r="L676" i="71" s="1"/>
  <c r="M675" i="71"/>
  <c r="L675" i="71" s="1"/>
  <c r="M674" i="71"/>
  <c r="L674" i="71" s="1"/>
  <c r="M673" i="71"/>
  <c r="L673" i="71" s="1"/>
  <c r="M672" i="71"/>
  <c r="L672" i="71" s="1"/>
  <c r="M671" i="71"/>
  <c r="L671" i="71" s="1"/>
  <c r="M670" i="71"/>
  <c r="L670" i="71" s="1"/>
  <c r="M669" i="71"/>
  <c r="L669" i="71" s="1"/>
  <c r="M668" i="71"/>
  <c r="L668" i="71" s="1"/>
  <c r="M667" i="71"/>
  <c r="L667" i="71" s="1"/>
  <c r="M666" i="71"/>
  <c r="L666" i="71" s="1"/>
  <c r="M665" i="71"/>
  <c r="L665" i="71" s="1"/>
  <c r="M664" i="71"/>
  <c r="L664" i="71" s="1"/>
  <c r="M663" i="71"/>
  <c r="L663" i="71" s="1"/>
  <c r="M662" i="71"/>
  <c r="L662" i="71" s="1"/>
  <c r="M661" i="71"/>
  <c r="L661" i="71" s="1"/>
  <c r="M660" i="71"/>
  <c r="L660" i="71" s="1"/>
  <c r="M659" i="71"/>
  <c r="L659" i="71" s="1"/>
  <c r="M658" i="71"/>
  <c r="L658" i="71" s="1"/>
  <c r="M657" i="71"/>
  <c r="L657" i="71" s="1"/>
  <c r="M656" i="71"/>
  <c r="L656" i="71" s="1"/>
  <c r="M655" i="71"/>
  <c r="L655" i="71" s="1"/>
  <c r="M654" i="71"/>
  <c r="L654" i="71" s="1"/>
  <c r="M653" i="71"/>
  <c r="L653" i="71" s="1"/>
  <c r="M652" i="71"/>
  <c r="L652" i="71" s="1"/>
  <c r="M651" i="71"/>
  <c r="L651" i="71" s="1"/>
  <c r="M650" i="71"/>
  <c r="L650" i="71" s="1"/>
  <c r="M649" i="71"/>
  <c r="L649" i="71" s="1"/>
  <c r="M648" i="71"/>
  <c r="L648" i="71" s="1"/>
  <c r="M647" i="71"/>
  <c r="L647" i="71" s="1"/>
  <c r="M646" i="71"/>
  <c r="L646" i="71" s="1"/>
  <c r="M645" i="71"/>
  <c r="L645" i="71" s="1"/>
  <c r="M644" i="71"/>
  <c r="L644" i="71" s="1"/>
  <c r="M643" i="71"/>
  <c r="L643" i="71" s="1"/>
  <c r="M642" i="71"/>
  <c r="L642" i="71" s="1"/>
  <c r="M641" i="71"/>
  <c r="L641" i="71" s="1"/>
  <c r="M640" i="71"/>
  <c r="L640" i="71" s="1"/>
  <c r="M639" i="71"/>
  <c r="L639" i="71" s="1"/>
  <c r="M638" i="71"/>
  <c r="L638" i="71" s="1"/>
  <c r="M637" i="71"/>
  <c r="L637" i="71" s="1"/>
  <c r="M636" i="71"/>
  <c r="L636" i="71" s="1"/>
  <c r="M635" i="71"/>
  <c r="L635" i="71" s="1"/>
  <c r="M634" i="71"/>
  <c r="L634" i="71" s="1"/>
  <c r="M633" i="71"/>
  <c r="L633" i="71" s="1"/>
  <c r="M632" i="71"/>
  <c r="L632" i="71" s="1"/>
  <c r="M631" i="71"/>
  <c r="L631" i="71" s="1"/>
  <c r="M630" i="71"/>
  <c r="L630" i="71" s="1"/>
  <c r="M629" i="71"/>
  <c r="L629" i="71" s="1"/>
  <c r="M628" i="71"/>
  <c r="L628" i="71" s="1"/>
  <c r="M627" i="71"/>
  <c r="L627" i="71" s="1"/>
  <c r="M626" i="71"/>
  <c r="L626" i="71" s="1"/>
  <c r="M625" i="71"/>
  <c r="L625" i="71" s="1"/>
  <c r="M624" i="71"/>
  <c r="L624" i="71" s="1"/>
  <c r="M623" i="71"/>
  <c r="L623" i="71" s="1"/>
  <c r="M622" i="71"/>
  <c r="L622" i="71" s="1"/>
  <c r="M621" i="71"/>
  <c r="L621" i="71" s="1"/>
  <c r="M620" i="71"/>
  <c r="L620" i="71" s="1"/>
  <c r="M619" i="71"/>
  <c r="L619" i="71" s="1"/>
  <c r="M618" i="71"/>
  <c r="L618" i="71" s="1"/>
  <c r="M617" i="71"/>
  <c r="L617" i="71" s="1"/>
  <c r="M616" i="71"/>
  <c r="L616" i="71" s="1"/>
  <c r="M615" i="71"/>
  <c r="L615" i="71" s="1"/>
  <c r="M614" i="71"/>
  <c r="L614" i="71" s="1"/>
  <c r="M613" i="71"/>
  <c r="L613" i="71" s="1"/>
  <c r="M612" i="71"/>
  <c r="L612" i="71" s="1"/>
  <c r="M611" i="71"/>
  <c r="L611" i="71" s="1"/>
  <c r="M610" i="71"/>
  <c r="L610" i="71" s="1"/>
  <c r="M609" i="71"/>
  <c r="L609" i="71" s="1"/>
  <c r="M608" i="71"/>
  <c r="L608" i="71" s="1"/>
  <c r="M607" i="71"/>
  <c r="L607" i="71" s="1"/>
  <c r="M606" i="71"/>
  <c r="L606" i="71" s="1"/>
  <c r="M605" i="71"/>
  <c r="L605" i="71" s="1"/>
  <c r="M604" i="71"/>
  <c r="L604" i="71" s="1"/>
  <c r="M603" i="71"/>
  <c r="L603" i="71" s="1"/>
  <c r="M602" i="71"/>
  <c r="L602" i="71" s="1"/>
  <c r="M601" i="71"/>
  <c r="L601" i="71" s="1"/>
  <c r="M600" i="71"/>
  <c r="L600" i="71" s="1"/>
  <c r="M599" i="71"/>
  <c r="L599" i="71" s="1"/>
  <c r="M598" i="71"/>
  <c r="L598" i="71" s="1"/>
  <c r="M597" i="71"/>
  <c r="L597" i="71" s="1"/>
  <c r="M596" i="71"/>
  <c r="L596" i="71" s="1"/>
  <c r="M595" i="71"/>
  <c r="L595" i="71" s="1"/>
  <c r="M594" i="71"/>
  <c r="L594" i="71" s="1"/>
  <c r="M593" i="71"/>
  <c r="L593" i="71" s="1"/>
  <c r="M592" i="71"/>
  <c r="L592" i="71" s="1"/>
  <c r="M591" i="71"/>
  <c r="L591" i="71" s="1"/>
  <c r="M590" i="71"/>
  <c r="L590" i="71" s="1"/>
  <c r="M589" i="71"/>
  <c r="L589" i="71" s="1"/>
  <c r="M588" i="71"/>
  <c r="L588" i="71" s="1"/>
  <c r="M587" i="71"/>
  <c r="L587" i="71" s="1"/>
  <c r="M586" i="71"/>
  <c r="L586" i="71" s="1"/>
  <c r="M585" i="71"/>
  <c r="L585" i="71" s="1"/>
  <c r="M584" i="71"/>
  <c r="L584" i="71" s="1"/>
  <c r="M583" i="71"/>
  <c r="L583" i="71" s="1"/>
  <c r="M582" i="71"/>
  <c r="L582" i="71" s="1"/>
  <c r="M581" i="71"/>
  <c r="L581" i="71" s="1"/>
  <c r="M580" i="71"/>
  <c r="L580" i="71" s="1"/>
  <c r="M579" i="71"/>
  <c r="L579" i="71" s="1"/>
  <c r="M578" i="71"/>
  <c r="L578" i="71" s="1"/>
  <c r="M577" i="71"/>
  <c r="L577" i="71" s="1"/>
  <c r="M576" i="71"/>
  <c r="L576" i="71" s="1"/>
  <c r="M575" i="71"/>
  <c r="L575" i="71" s="1"/>
  <c r="M574" i="71"/>
  <c r="L574" i="71" s="1"/>
  <c r="M573" i="71"/>
  <c r="L573" i="71" s="1"/>
  <c r="M572" i="71"/>
  <c r="L572" i="71" s="1"/>
  <c r="M571" i="71"/>
  <c r="L571" i="71" s="1"/>
  <c r="M570" i="71"/>
  <c r="L570" i="71" s="1"/>
  <c r="M569" i="71"/>
  <c r="L569" i="71" s="1"/>
  <c r="M568" i="71"/>
  <c r="L568" i="71" s="1"/>
  <c r="M567" i="71"/>
  <c r="L567" i="71" s="1"/>
  <c r="M566" i="71"/>
  <c r="L566" i="71" s="1"/>
  <c r="M565" i="71"/>
  <c r="L565" i="71" s="1"/>
  <c r="M564" i="71"/>
  <c r="L564" i="71" s="1"/>
  <c r="M563" i="71"/>
  <c r="L563" i="71" s="1"/>
  <c r="M562" i="71"/>
  <c r="L562" i="71" s="1"/>
  <c r="M561" i="71"/>
  <c r="L561" i="71" s="1"/>
  <c r="M560" i="71"/>
  <c r="L560" i="71" s="1"/>
  <c r="M559" i="71"/>
  <c r="L559" i="71" s="1"/>
  <c r="M558" i="71"/>
  <c r="L558" i="71" s="1"/>
  <c r="M557" i="71"/>
  <c r="L557" i="71" s="1"/>
  <c r="M556" i="71"/>
  <c r="L556" i="71" s="1"/>
  <c r="M555" i="71"/>
  <c r="L555" i="71" s="1"/>
  <c r="M554" i="71"/>
  <c r="L554" i="71" s="1"/>
  <c r="M553" i="71"/>
  <c r="L553" i="71" s="1"/>
  <c r="M552" i="71"/>
  <c r="L552" i="71" s="1"/>
  <c r="M551" i="71"/>
  <c r="L551" i="71" s="1"/>
  <c r="M550" i="71"/>
  <c r="L550" i="71" s="1"/>
  <c r="M549" i="71"/>
  <c r="L549" i="71" s="1"/>
  <c r="M548" i="71"/>
  <c r="L548" i="71" s="1"/>
  <c r="M547" i="71"/>
  <c r="L547" i="71" s="1"/>
  <c r="M546" i="71"/>
  <c r="L546" i="71" s="1"/>
  <c r="M545" i="71"/>
  <c r="L545" i="71" s="1"/>
  <c r="M544" i="71"/>
  <c r="L544" i="71" s="1"/>
  <c r="M543" i="71"/>
  <c r="L543" i="71" s="1"/>
  <c r="M542" i="71"/>
  <c r="L542" i="71" s="1"/>
  <c r="M541" i="71"/>
  <c r="L541" i="71" s="1"/>
  <c r="M540" i="71"/>
  <c r="L540" i="71" s="1"/>
  <c r="M539" i="71"/>
  <c r="L539" i="71" s="1"/>
  <c r="M538" i="71"/>
  <c r="L538" i="71" s="1"/>
  <c r="M537" i="71"/>
  <c r="L537" i="71" s="1"/>
  <c r="M536" i="71"/>
  <c r="L536" i="71" s="1"/>
  <c r="M535" i="71"/>
  <c r="L535" i="71" s="1"/>
  <c r="M534" i="71"/>
  <c r="L534" i="71" s="1"/>
  <c r="M533" i="71"/>
  <c r="L533" i="71" s="1"/>
  <c r="M532" i="71"/>
  <c r="L532" i="71" s="1"/>
  <c r="M531" i="71"/>
  <c r="L531" i="71" s="1"/>
  <c r="M530" i="71"/>
  <c r="L530" i="71" s="1"/>
  <c r="M529" i="71"/>
  <c r="L529" i="71" s="1"/>
  <c r="M528" i="71"/>
  <c r="L528" i="71" s="1"/>
  <c r="M527" i="71"/>
  <c r="L527" i="71" s="1"/>
  <c r="M526" i="71"/>
  <c r="L526" i="71" s="1"/>
  <c r="M525" i="71"/>
  <c r="L525" i="71" s="1"/>
  <c r="M524" i="71"/>
  <c r="L524" i="71" s="1"/>
  <c r="M523" i="71"/>
  <c r="L523" i="71" s="1"/>
  <c r="M522" i="71"/>
  <c r="L522" i="71" s="1"/>
  <c r="M521" i="71"/>
  <c r="L521" i="71" s="1"/>
  <c r="M520" i="71"/>
  <c r="L520" i="71" s="1"/>
  <c r="M519" i="71"/>
  <c r="L519" i="71" s="1"/>
  <c r="M518" i="71"/>
  <c r="L518" i="71" s="1"/>
  <c r="M517" i="71"/>
  <c r="L517" i="71" s="1"/>
  <c r="M516" i="71"/>
  <c r="L516" i="71" s="1"/>
  <c r="M515" i="71"/>
  <c r="L515" i="71" s="1"/>
  <c r="M514" i="71"/>
  <c r="L514" i="71" s="1"/>
  <c r="M513" i="71"/>
  <c r="L513" i="71" s="1"/>
  <c r="M512" i="71"/>
  <c r="L512" i="71" s="1"/>
  <c r="M511" i="71"/>
  <c r="L511" i="71" s="1"/>
  <c r="M510" i="71"/>
  <c r="L510" i="71" s="1"/>
  <c r="M509" i="71"/>
  <c r="L509" i="71" s="1"/>
  <c r="M508" i="71"/>
  <c r="L508" i="71" s="1"/>
  <c r="M507" i="71"/>
  <c r="L507" i="71" s="1"/>
  <c r="M506" i="71"/>
  <c r="L506" i="71" s="1"/>
  <c r="M505" i="71"/>
  <c r="L505" i="71" s="1"/>
  <c r="M504" i="71"/>
  <c r="L504" i="71" s="1"/>
  <c r="M503" i="71"/>
  <c r="L503" i="71" s="1"/>
  <c r="M502" i="71"/>
  <c r="L502" i="71" s="1"/>
  <c r="M501" i="71"/>
  <c r="L501" i="71" s="1"/>
  <c r="M500" i="71"/>
  <c r="L500" i="71" s="1"/>
  <c r="M499" i="71"/>
  <c r="L499" i="71" s="1"/>
  <c r="M498" i="71"/>
  <c r="L498" i="71" s="1"/>
  <c r="M497" i="71"/>
  <c r="L497" i="71" s="1"/>
  <c r="M496" i="71"/>
  <c r="L496" i="71" s="1"/>
  <c r="L20" i="71"/>
  <c r="A20" i="71"/>
  <c r="D5" i="71"/>
  <c r="C5" i="71" s="1"/>
  <c r="C4" i="71"/>
  <c r="Q8" i="71" s="1"/>
  <c r="R3" i="71"/>
  <c r="Q3" i="71"/>
  <c r="P3" i="71"/>
  <c r="O2" i="71"/>
  <c r="C2" i="71"/>
  <c r="B20" i="7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O3" i="71" l="1"/>
  <c r="P4" i="71" s="1"/>
  <c r="R11" i="71"/>
  <c r="O11" i="71" s="1"/>
  <c r="U11" i="71" s="1"/>
  <c r="Q11" i="71"/>
  <c r="P11" i="71"/>
  <c r="S14" i="71"/>
  <c r="S13" i="71"/>
  <c r="N20"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E20" i="71"/>
  <c r="J20" i="71" s="1"/>
  <c r="C6" i="71"/>
  <c r="C20" i="71" s="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Z20" i="71" l="1"/>
  <c r="Z500" i="71"/>
  <c r="Z508" i="71"/>
  <c r="Z516" i="71"/>
  <c r="Z524" i="71"/>
  <c r="Z532" i="71"/>
  <c r="Z540" i="71"/>
  <c r="Z548" i="71"/>
  <c r="Z556" i="71"/>
  <c r="Z564" i="71"/>
  <c r="Z572" i="71"/>
  <c r="Z580" i="71"/>
  <c r="Z588" i="71"/>
  <c r="Z596" i="71"/>
  <c r="Z604" i="71"/>
  <c r="Z612" i="71"/>
  <c r="Z620" i="71"/>
  <c r="Z628" i="71"/>
  <c r="Z636" i="71"/>
  <c r="Z644" i="71"/>
  <c r="Z652" i="71"/>
  <c r="Z660" i="71"/>
  <c r="Z668" i="71"/>
  <c r="Z676" i="71"/>
  <c r="Q676" i="71" s="1"/>
  <c r="Z684" i="71"/>
  <c r="Z692" i="71"/>
  <c r="Z501" i="71"/>
  <c r="Z509" i="71"/>
  <c r="Z517" i="71"/>
  <c r="Z525" i="71"/>
  <c r="Z533" i="71"/>
  <c r="Z541" i="71"/>
  <c r="Z549" i="71"/>
  <c r="Z557" i="71"/>
  <c r="Z565" i="71"/>
  <c r="Z573" i="71"/>
  <c r="Q573" i="71" s="1"/>
  <c r="Z581" i="71"/>
  <c r="Z589" i="71"/>
  <c r="Z597" i="71"/>
  <c r="Q597" i="71" s="1"/>
  <c r="Z605" i="71"/>
  <c r="Z613" i="71"/>
  <c r="Z621" i="71"/>
  <c r="Z629" i="71"/>
  <c r="Z637" i="71"/>
  <c r="Z645" i="71"/>
  <c r="Z653" i="71"/>
  <c r="Z661" i="71"/>
  <c r="Q661" i="71" s="1"/>
  <c r="Z669" i="71"/>
  <c r="Z677" i="71"/>
  <c r="Z685" i="71"/>
  <c r="Z693" i="71"/>
  <c r="Z502" i="71"/>
  <c r="Z510" i="71"/>
  <c r="Q510" i="71" s="1"/>
  <c r="Z518" i="71"/>
  <c r="Z526" i="71"/>
  <c r="Z534" i="71"/>
  <c r="Z542" i="71"/>
  <c r="Z550" i="71"/>
  <c r="Z558" i="71"/>
  <c r="Z566" i="71"/>
  <c r="Q566" i="71" s="1"/>
  <c r="Z574" i="71"/>
  <c r="Z582" i="71"/>
  <c r="Z590" i="71"/>
  <c r="Z598" i="71"/>
  <c r="Z606" i="71"/>
  <c r="Z614" i="71"/>
  <c r="Z622" i="71"/>
  <c r="Z630" i="71"/>
  <c r="Z638" i="71"/>
  <c r="Z646" i="71"/>
  <c r="Z654" i="71"/>
  <c r="Q654" i="71" s="1"/>
  <c r="Z662" i="71"/>
  <c r="Q662" i="71" s="1"/>
  <c r="Z670" i="71"/>
  <c r="Z678" i="71"/>
  <c r="Z686" i="71"/>
  <c r="Z694" i="71"/>
  <c r="Z503" i="71"/>
  <c r="Z511" i="71"/>
  <c r="Z519" i="71"/>
  <c r="Z527" i="71"/>
  <c r="Z535" i="71"/>
  <c r="Q535" i="71" s="1"/>
  <c r="Z543" i="71"/>
  <c r="Z551" i="71"/>
  <c r="Z559" i="71"/>
  <c r="Z567" i="71"/>
  <c r="Z575" i="71"/>
  <c r="Z583" i="71"/>
  <c r="Z591" i="71"/>
  <c r="Z599" i="71"/>
  <c r="Z607" i="71"/>
  <c r="Z615" i="71"/>
  <c r="Z623" i="71"/>
  <c r="Z631" i="71"/>
  <c r="Z639" i="71"/>
  <c r="Z647" i="71"/>
  <c r="Z655" i="71"/>
  <c r="Z663" i="71"/>
  <c r="Z671" i="71"/>
  <c r="Z679" i="71"/>
  <c r="Z687" i="71"/>
  <c r="Z695" i="71"/>
  <c r="Z496" i="71"/>
  <c r="Z504" i="71"/>
  <c r="Z512" i="71"/>
  <c r="Z520" i="71"/>
  <c r="Z528" i="71"/>
  <c r="Z536" i="71"/>
  <c r="Z544" i="71"/>
  <c r="Z552" i="71"/>
  <c r="Z560" i="71"/>
  <c r="Z568" i="71"/>
  <c r="Z576" i="71"/>
  <c r="Q576" i="71" s="1"/>
  <c r="Z584" i="71"/>
  <c r="Z592" i="71"/>
  <c r="Z600" i="71"/>
  <c r="Z608" i="71"/>
  <c r="Z616" i="71"/>
  <c r="Z624" i="71"/>
  <c r="Z632" i="71"/>
  <c r="Z640" i="71"/>
  <c r="Z648" i="71"/>
  <c r="Z656" i="71"/>
  <c r="Z664" i="71"/>
  <c r="Z672" i="71"/>
  <c r="Z680" i="71"/>
  <c r="Z688" i="71"/>
  <c r="Z696" i="71"/>
  <c r="Z497" i="71"/>
  <c r="Z505" i="71"/>
  <c r="Z513" i="71"/>
  <c r="Z521" i="71"/>
  <c r="Z529" i="71"/>
  <c r="Z537" i="71"/>
  <c r="Z545" i="71"/>
  <c r="Z553" i="71"/>
  <c r="Z561" i="71"/>
  <c r="Z569" i="71"/>
  <c r="Z577" i="71"/>
  <c r="Z585" i="71"/>
  <c r="Z593" i="71"/>
  <c r="Z601" i="71"/>
  <c r="Z609" i="71"/>
  <c r="Z617" i="71"/>
  <c r="Z625" i="71"/>
  <c r="Z633" i="71"/>
  <c r="Z641" i="71"/>
  <c r="Z649" i="71"/>
  <c r="Z657" i="71"/>
  <c r="Z665" i="71"/>
  <c r="Z673" i="71"/>
  <c r="Z681" i="71"/>
  <c r="Z689" i="71"/>
  <c r="Z697" i="71"/>
  <c r="Z498" i="71"/>
  <c r="Z506" i="71"/>
  <c r="Z514" i="71"/>
  <c r="Z522" i="71"/>
  <c r="Z530" i="71"/>
  <c r="Z538" i="71"/>
  <c r="Z546" i="71"/>
  <c r="Z554" i="71"/>
  <c r="Z562" i="71"/>
  <c r="Z570" i="71"/>
  <c r="Z578" i="71"/>
  <c r="Z586" i="71"/>
  <c r="Z594" i="71"/>
  <c r="Z602" i="71"/>
  <c r="Z610" i="71"/>
  <c r="Q610" i="71" s="1"/>
  <c r="Z618" i="71"/>
  <c r="Z626" i="71"/>
  <c r="Z634" i="71"/>
  <c r="Z642" i="71"/>
  <c r="Z650" i="71"/>
  <c r="Z658" i="71"/>
  <c r="Z666" i="71"/>
  <c r="Q666" i="71" s="1"/>
  <c r="Z674" i="71"/>
  <c r="Z682" i="71"/>
  <c r="Z690" i="71"/>
  <c r="Z698" i="71"/>
  <c r="Z539" i="71"/>
  <c r="Z603" i="71"/>
  <c r="Z667" i="71"/>
  <c r="Q667" i="71" s="1"/>
  <c r="Z703" i="71"/>
  <c r="Z711" i="71"/>
  <c r="Z719" i="71"/>
  <c r="Z727" i="71"/>
  <c r="Z735" i="71"/>
  <c r="Z743" i="71"/>
  <c r="Z751" i="71"/>
  <c r="Z759" i="71"/>
  <c r="Z767" i="71"/>
  <c r="Z775" i="71"/>
  <c r="Q775" i="71" s="1"/>
  <c r="Z783" i="71"/>
  <c r="Z791" i="71"/>
  <c r="Z799" i="71"/>
  <c r="Z807" i="71"/>
  <c r="Z815" i="71"/>
  <c r="Z823" i="71"/>
  <c r="Z831" i="71"/>
  <c r="Z741" i="71"/>
  <c r="Z789" i="71"/>
  <c r="Z829" i="71"/>
  <c r="Z782" i="71"/>
  <c r="Z547" i="71"/>
  <c r="Z611" i="71"/>
  <c r="Z675" i="71"/>
  <c r="Z704" i="71"/>
  <c r="Z712" i="71"/>
  <c r="Z720" i="71"/>
  <c r="Z728" i="71"/>
  <c r="Z736" i="71"/>
  <c r="Z744" i="71"/>
  <c r="Z752" i="71"/>
  <c r="Z760" i="71"/>
  <c r="Z768" i="71"/>
  <c r="Z776" i="71"/>
  <c r="Z784" i="71"/>
  <c r="Z792" i="71"/>
  <c r="Z800" i="71"/>
  <c r="Z808" i="71"/>
  <c r="Z816" i="71"/>
  <c r="Z824" i="71"/>
  <c r="Z832" i="71"/>
  <c r="Z781" i="71"/>
  <c r="Z531" i="71"/>
  <c r="Z702" i="71"/>
  <c r="Z718" i="71"/>
  <c r="Q718" i="71" s="1"/>
  <c r="Z742" i="71"/>
  <c r="Q742" i="71" s="1"/>
  <c r="Z774" i="71"/>
  <c r="Z814" i="71"/>
  <c r="Q814" i="71" s="1"/>
  <c r="Z555" i="71"/>
  <c r="Z619" i="71"/>
  <c r="Z683" i="71"/>
  <c r="Z705" i="71"/>
  <c r="Z713" i="71"/>
  <c r="Z721" i="71"/>
  <c r="Z729" i="71"/>
  <c r="Z737" i="71"/>
  <c r="Z745" i="71"/>
  <c r="Z753" i="71"/>
  <c r="Q753" i="71" s="1"/>
  <c r="T753" i="71" s="1"/>
  <c r="Z761" i="71"/>
  <c r="Z769" i="71"/>
  <c r="Z777" i="71"/>
  <c r="Z785" i="71"/>
  <c r="Z793" i="71"/>
  <c r="Z801" i="71"/>
  <c r="Z809" i="71"/>
  <c r="Z817" i="71"/>
  <c r="Z825" i="71"/>
  <c r="Z833" i="71"/>
  <c r="Z765" i="71"/>
  <c r="Q765" i="71" s="1"/>
  <c r="Z821" i="71"/>
  <c r="Z499" i="71"/>
  <c r="Z563" i="71"/>
  <c r="Z627" i="71"/>
  <c r="Q627" i="71" s="1"/>
  <c r="Z691" i="71"/>
  <c r="Z706" i="71"/>
  <c r="Z714" i="71"/>
  <c r="Z722" i="71"/>
  <c r="Z730" i="71"/>
  <c r="Z738" i="71"/>
  <c r="Z746" i="71"/>
  <c r="Z754" i="71"/>
  <c r="Z762" i="71"/>
  <c r="Z770" i="71"/>
  <c r="Z778" i="71"/>
  <c r="Z786" i="71"/>
  <c r="Z794" i="71"/>
  <c r="Z802" i="71"/>
  <c r="Z810" i="71"/>
  <c r="Q810" i="71" s="1"/>
  <c r="Z818" i="71"/>
  <c r="Z826" i="71"/>
  <c r="Z805" i="71"/>
  <c r="Q805" i="71" s="1"/>
  <c r="Z595" i="71"/>
  <c r="Z710" i="71"/>
  <c r="Z750" i="71"/>
  <c r="Q750" i="71" s="1"/>
  <c r="Z766" i="71"/>
  <c r="Z798" i="71"/>
  <c r="Q798" i="71" s="1"/>
  <c r="Z822" i="71"/>
  <c r="Q822" i="71" s="1"/>
  <c r="Z507" i="71"/>
  <c r="Z571" i="71"/>
  <c r="Z635" i="71"/>
  <c r="Z699" i="71"/>
  <c r="Z707" i="71"/>
  <c r="Z715" i="71"/>
  <c r="Z723" i="71"/>
  <c r="Z731" i="71"/>
  <c r="Z739" i="71"/>
  <c r="Q739" i="71" s="1"/>
  <c r="Z747" i="71"/>
  <c r="Z755" i="71"/>
  <c r="Z763" i="71"/>
  <c r="Z771" i="71"/>
  <c r="Q771" i="71" s="1"/>
  <c r="Z779" i="71"/>
  <c r="Z787" i="71"/>
  <c r="Z795" i="71"/>
  <c r="Z803" i="71"/>
  <c r="Z811" i="71"/>
  <c r="Z819" i="71"/>
  <c r="Z827" i="71"/>
  <c r="Z523" i="71"/>
  <c r="Q523" i="71" s="1"/>
  <c r="Z651" i="71"/>
  <c r="Z709" i="71"/>
  <c r="Q709" i="71" s="1"/>
  <c r="Z725" i="71"/>
  <c r="Z749" i="71"/>
  <c r="Z773" i="71"/>
  <c r="Z813" i="71"/>
  <c r="Z734" i="71"/>
  <c r="Z790" i="71"/>
  <c r="Z830" i="71"/>
  <c r="Z515" i="71"/>
  <c r="Z579" i="71"/>
  <c r="Z643" i="71"/>
  <c r="Q643" i="71" s="1"/>
  <c r="Z700" i="71"/>
  <c r="Z708" i="71"/>
  <c r="Q708" i="71" s="1"/>
  <c r="Z716" i="71"/>
  <c r="Z724" i="71"/>
  <c r="Z732" i="71"/>
  <c r="Z740" i="71"/>
  <c r="Z748" i="71"/>
  <c r="Z756" i="71"/>
  <c r="Z764" i="71"/>
  <c r="Z772" i="71"/>
  <c r="Z780" i="71"/>
  <c r="Z788" i="71"/>
  <c r="Z796" i="71"/>
  <c r="Z804" i="71"/>
  <c r="Z812" i="71"/>
  <c r="Z820" i="71"/>
  <c r="Z828" i="71"/>
  <c r="Z587" i="71"/>
  <c r="Z701" i="71"/>
  <c r="Z717" i="71"/>
  <c r="Q717" i="71" s="1"/>
  <c r="Z733" i="71"/>
  <c r="Z757" i="71"/>
  <c r="Q757" i="71" s="1"/>
  <c r="Z797" i="71"/>
  <c r="Z659" i="71"/>
  <c r="Z726" i="71"/>
  <c r="Z758" i="71"/>
  <c r="Z806" i="71"/>
  <c r="S20" i="71"/>
  <c r="S500" i="71"/>
  <c r="S508" i="71"/>
  <c r="S516" i="71"/>
  <c r="S524" i="71"/>
  <c r="S532" i="71"/>
  <c r="S540" i="71"/>
  <c r="S548" i="71"/>
  <c r="S556" i="71"/>
  <c r="S564" i="71"/>
  <c r="S572" i="71"/>
  <c r="S580" i="71"/>
  <c r="S588" i="71"/>
  <c r="S596" i="71"/>
  <c r="S604" i="71"/>
  <c r="S612" i="71"/>
  <c r="S620" i="71"/>
  <c r="S628" i="71"/>
  <c r="S636" i="71"/>
  <c r="S644" i="71"/>
  <c r="S652" i="71"/>
  <c r="S660" i="71"/>
  <c r="S668" i="71"/>
  <c r="S676" i="71"/>
  <c r="S684" i="71"/>
  <c r="S692" i="71"/>
  <c r="S501" i="71"/>
  <c r="S509" i="71"/>
  <c r="S517" i="71"/>
  <c r="S525" i="71"/>
  <c r="S533" i="71"/>
  <c r="S541" i="71"/>
  <c r="S549" i="71"/>
  <c r="S557" i="71"/>
  <c r="S565" i="71"/>
  <c r="S573" i="71"/>
  <c r="S581" i="71"/>
  <c r="S589" i="71"/>
  <c r="S597" i="71"/>
  <c r="S605" i="71"/>
  <c r="S613" i="71"/>
  <c r="S621" i="71"/>
  <c r="S629" i="71"/>
  <c r="S637" i="71"/>
  <c r="S645" i="71"/>
  <c r="S653" i="71"/>
  <c r="S661" i="71"/>
  <c r="S669" i="71"/>
  <c r="S677" i="71"/>
  <c r="S685" i="71"/>
  <c r="S693" i="71"/>
  <c r="S502" i="71"/>
  <c r="S510" i="71"/>
  <c r="S518" i="71"/>
  <c r="S526" i="71"/>
  <c r="S534" i="71"/>
  <c r="S542" i="71"/>
  <c r="S550" i="71"/>
  <c r="S558" i="71"/>
  <c r="S566" i="71"/>
  <c r="S574" i="71"/>
  <c r="S582" i="71"/>
  <c r="S590" i="71"/>
  <c r="S598" i="71"/>
  <c r="S606" i="71"/>
  <c r="S614" i="71"/>
  <c r="S622" i="71"/>
  <c r="S630" i="71"/>
  <c r="S638" i="71"/>
  <c r="S646" i="71"/>
  <c r="S654" i="71"/>
  <c r="S662" i="71"/>
  <c r="S670" i="71"/>
  <c r="S678" i="71"/>
  <c r="S686" i="71"/>
  <c r="S694" i="71"/>
  <c r="S503" i="71"/>
  <c r="S511" i="71"/>
  <c r="S519" i="71"/>
  <c r="S527" i="71"/>
  <c r="S535" i="71"/>
  <c r="S543" i="71"/>
  <c r="S551" i="71"/>
  <c r="S559" i="71"/>
  <c r="S567" i="71"/>
  <c r="S575" i="71"/>
  <c r="S583" i="71"/>
  <c r="S591" i="71"/>
  <c r="S599" i="71"/>
  <c r="S607" i="71"/>
  <c r="S615" i="71"/>
  <c r="S623" i="71"/>
  <c r="S631" i="71"/>
  <c r="S639" i="71"/>
  <c r="S647" i="71"/>
  <c r="S655" i="71"/>
  <c r="S663" i="71"/>
  <c r="S671" i="71"/>
  <c r="S679" i="71"/>
  <c r="S687" i="71"/>
  <c r="S695" i="71"/>
  <c r="S496" i="71"/>
  <c r="S504" i="71"/>
  <c r="S512" i="71"/>
  <c r="S520" i="71"/>
  <c r="S528" i="71"/>
  <c r="S536" i="71"/>
  <c r="S544" i="71"/>
  <c r="S552" i="71"/>
  <c r="S560" i="71"/>
  <c r="S568" i="71"/>
  <c r="S576" i="71"/>
  <c r="S584" i="71"/>
  <c r="S592" i="71"/>
  <c r="S600" i="71"/>
  <c r="S608" i="71"/>
  <c r="S616" i="71"/>
  <c r="S624" i="71"/>
  <c r="S632" i="71"/>
  <c r="S640" i="71"/>
  <c r="S648" i="71"/>
  <c r="S656" i="71"/>
  <c r="S664" i="71"/>
  <c r="S672" i="71"/>
  <c r="S680" i="71"/>
  <c r="S688" i="71"/>
  <c r="S696" i="71"/>
  <c r="S497" i="71"/>
  <c r="S505" i="71"/>
  <c r="S513" i="71"/>
  <c r="S521" i="71"/>
  <c r="S529" i="71"/>
  <c r="S537" i="71"/>
  <c r="S545" i="71"/>
  <c r="S553" i="71"/>
  <c r="S561" i="71"/>
  <c r="S569" i="71"/>
  <c r="S577" i="71"/>
  <c r="S585" i="71"/>
  <c r="S593" i="71"/>
  <c r="S601" i="71"/>
  <c r="S609" i="71"/>
  <c r="S617" i="71"/>
  <c r="S625" i="71"/>
  <c r="S633" i="71"/>
  <c r="S641" i="71"/>
  <c r="S649" i="71"/>
  <c r="S657" i="71"/>
  <c r="S665" i="71"/>
  <c r="S673" i="71"/>
  <c r="S681" i="71"/>
  <c r="S689" i="71"/>
  <c r="S697" i="71"/>
  <c r="S498" i="71"/>
  <c r="S506" i="71"/>
  <c r="S514" i="71"/>
  <c r="S522" i="71"/>
  <c r="S530" i="71"/>
  <c r="S538" i="71"/>
  <c r="S546" i="71"/>
  <c r="S554" i="71"/>
  <c r="S562" i="71"/>
  <c r="S570" i="71"/>
  <c r="S578" i="71"/>
  <c r="S586" i="71"/>
  <c r="S594" i="71"/>
  <c r="S602" i="71"/>
  <c r="S610" i="71"/>
  <c r="S618" i="71"/>
  <c r="S626" i="71"/>
  <c r="S634" i="71"/>
  <c r="S642" i="71"/>
  <c r="S650" i="71"/>
  <c r="S658" i="71"/>
  <c r="S666" i="71"/>
  <c r="S674" i="71"/>
  <c r="S682" i="71"/>
  <c r="S690" i="71"/>
  <c r="S698" i="71"/>
  <c r="S539" i="71"/>
  <c r="S603" i="71"/>
  <c r="S667" i="71"/>
  <c r="S703" i="71"/>
  <c r="S711" i="71"/>
  <c r="S719" i="71"/>
  <c r="S727" i="71"/>
  <c r="S735" i="71"/>
  <c r="S743" i="71"/>
  <c r="S751" i="71"/>
  <c r="S759" i="71"/>
  <c r="S767" i="71"/>
  <c r="S775" i="71"/>
  <c r="S783" i="71"/>
  <c r="S791" i="71"/>
  <c r="S799" i="71"/>
  <c r="S807" i="71"/>
  <c r="S815" i="71"/>
  <c r="S823" i="71"/>
  <c r="S831" i="71"/>
  <c r="S806" i="71"/>
  <c r="S547" i="71"/>
  <c r="S611" i="71"/>
  <c r="S675" i="71"/>
  <c r="S704" i="71"/>
  <c r="S712" i="71"/>
  <c r="S720" i="71"/>
  <c r="S728" i="71"/>
  <c r="S736" i="71"/>
  <c r="S744" i="71"/>
  <c r="S752" i="71"/>
  <c r="S760" i="71"/>
  <c r="S768" i="71"/>
  <c r="S776" i="71"/>
  <c r="S784" i="71"/>
  <c r="S792" i="71"/>
  <c r="S800" i="71"/>
  <c r="S808" i="71"/>
  <c r="S816" i="71"/>
  <c r="S824" i="71"/>
  <c r="S832" i="71"/>
  <c r="S814" i="71"/>
  <c r="S555" i="71"/>
  <c r="S619" i="71"/>
  <c r="S683" i="71"/>
  <c r="S705" i="71"/>
  <c r="S713" i="71"/>
  <c r="S721" i="71"/>
  <c r="S729" i="71"/>
  <c r="S737" i="71"/>
  <c r="S745" i="71"/>
  <c r="S753" i="71"/>
  <c r="S761" i="71"/>
  <c r="S769" i="71"/>
  <c r="S777" i="71"/>
  <c r="S785" i="71"/>
  <c r="S793" i="71"/>
  <c r="S801" i="71"/>
  <c r="S809" i="71"/>
  <c r="S817" i="71"/>
  <c r="S825" i="71"/>
  <c r="S833" i="71"/>
  <c r="S499" i="71"/>
  <c r="S563" i="71"/>
  <c r="S627" i="71"/>
  <c r="S691" i="71"/>
  <c r="S706" i="71"/>
  <c r="S714" i="71"/>
  <c r="S722" i="71"/>
  <c r="S730" i="71"/>
  <c r="S738" i="71"/>
  <c r="S746" i="71"/>
  <c r="S754" i="71"/>
  <c r="S762" i="71"/>
  <c r="S770" i="71"/>
  <c r="S778" i="71"/>
  <c r="S786" i="71"/>
  <c r="S794" i="71"/>
  <c r="S802" i="71"/>
  <c r="S810" i="71"/>
  <c r="S818" i="71"/>
  <c r="S826" i="71"/>
  <c r="S595" i="71"/>
  <c r="S702" i="71"/>
  <c r="S710" i="71"/>
  <c r="S726" i="71"/>
  <c r="S742" i="71"/>
  <c r="S758" i="71"/>
  <c r="S774" i="71"/>
  <c r="S790" i="71"/>
  <c r="S822" i="71"/>
  <c r="S507" i="71"/>
  <c r="S571" i="71"/>
  <c r="S635" i="71"/>
  <c r="S699" i="71"/>
  <c r="S707" i="71"/>
  <c r="S715" i="71"/>
  <c r="S723" i="71"/>
  <c r="S731" i="71"/>
  <c r="S739" i="71"/>
  <c r="S747" i="71"/>
  <c r="S755" i="71"/>
  <c r="S763" i="71"/>
  <c r="S771" i="71"/>
  <c r="S779" i="71"/>
  <c r="S787" i="71"/>
  <c r="S795" i="71"/>
  <c r="S803" i="71"/>
  <c r="S811" i="71"/>
  <c r="S819" i="71"/>
  <c r="S827" i="71"/>
  <c r="S515" i="71"/>
  <c r="S579" i="71"/>
  <c r="S643" i="71"/>
  <c r="S700" i="71"/>
  <c r="S708" i="71"/>
  <c r="S716" i="71"/>
  <c r="S724" i="71"/>
  <c r="S732" i="71"/>
  <c r="S740" i="71"/>
  <c r="S748" i="71"/>
  <c r="S756" i="71"/>
  <c r="S764" i="71"/>
  <c r="S772" i="71"/>
  <c r="S780" i="71"/>
  <c r="S788" i="71"/>
  <c r="S796" i="71"/>
  <c r="S804" i="71"/>
  <c r="S812" i="71"/>
  <c r="S820" i="71"/>
  <c r="S828" i="71"/>
  <c r="S523" i="71"/>
  <c r="S587" i="71"/>
  <c r="S651" i="71"/>
  <c r="S701" i="71"/>
  <c r="S709" i="71"/>
  <c r="S717" i="71"/>
  <c r="S725" i="71"/>
  <c r="S733" i="71"/>
  <c r="S741" i="71"/>
  <c r="S749" i="71"/>
  <c r="S757" i="71"/>
  <c r="S765" i="71"/>
  <c r="S773" i="71"/>
  <c r="S781" i="71"/>
  <c r="S789" i="71"/>
  <c r="S797" i="71"/>
  <c r="S805" i="71"/>
  <c r="S813" i="71"/>
  <c r="S821" i="71"/>
  <c r="S829" i="71"/>
  <c r="S531" i="71"/>
  <c r="S659" i="71"/>
  <c r="S718" i="71"/>
  <c r="S734" i="71"/>
  <c r="S750" i="71"/>
  <c r="S766" i="71"/>
  <c r="S782" i="71"/>
  <c r="S798" i="71"/>
  <c r="S830" i="71"/>
  <c r="R4" i="71"/>
  <c r="O4" i="71" s="1"/>
  <c r="Q4" i="71"/>
  <c r="Q670" i="71"/>
  <c r="Q735" i="71"/>
  <c r="Q705" i="71"/>
  <c r="Q778" i="71"/>
  <c r="Q20" i="71"/>
  <c r="Q793" i="71"/>
  <c r="Q587" i="71"/>
  <c r="Q702" i="71"/>
  <c r="Q774" i="71"/>
  <c r="Q763" i="71"/>
  <c r="Q806" i="71"/>
  <c r="Q734" i="71"/>
  <c r="Q645" i="71"/>
  <c r="Q700" i="71"/>
  <c r="Q564" i="71"/>
  <c r="Q729" i="71"/>
  <c r="Q692" i="71"/>
  <c r="Q642" i="71"/>
  <c r="Q551" i="71"/>
  <c r="Q701" i="71"/>
  <c r="Q684" i="71"/>
  <c r="Q790" i="71"/>
  <c r="Q646" i="71"/>
  <c r="R646" i="71" s="1"/>
  <c r="Q629" i="71"/>
  <c r="Q501" i="71"/>
  <c r="Q726" i="71"/>
  <c r="Q783" i="71"/>
  <c r="Q766" i="71"/>
  <c r="Q694" i="71"/>
  <c r="Q813" i="71"/>
  <c r="Q635" i="71"/>
  <c r="Q830" i="71"/>
  <c r="Q758" i="71"/>
  <c r="Q686" i="71"/>
  <c r="Q622" i="71"/>
  <c r="Q558" i="71"/>
  <c r="Q782"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P696" i="71" s="1"/>
  <c r="D20" i="71"/>
  <c r="K20" i="71" s="1"/>
  <c r="I20"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AB753" i="71" l="1"/>
  <c r="Y753" i="71"/>
  <c r="R753" i="71"/>
  <c r="U753" i="71" s="1"/>
  <c r="Q760" i="71"/>
  <c r="AB760" i="71" s="1"/>
  <c r="Q819" i="71"/>
  <c r="R819" i="71" s="1"/>
  <c r="U819" i="71" s="1"/>
  <c r="Q630" i="71"/>
  <c r="T630" i="71" s="1"/>
  <c r="Q829" i="71"/>
  <c r="T829" i="71" s="1"/>
  <c r="Q720" i="71"/>
  <c r="T720" i="71" s="1"/>
  <c r="Q611" i="71"/>
  <c r="R611" i="71" s="1"/>
  <c r="U611" i="71" s="1"/>
  <c r="Q817" i="71"/>
  <c r="AB817" i="71" s="1"/>
  <c r="Q552" i="71"/>
  <c r="R552" i="71" s="1"/>
  <c r="U552" i="71" s="1"/>
  <c r="P729" i="71"/>
  <c r="Q606" i="71"/>
  <c r="R606" i="71" s="1"/>
  <c r="U606" i="71" s="1"/>
  <c r="Q691" i="71"/>
  <c r="Y691" i="71" s="1"/>
  <c r="Q600" i="71"/>
  <c r="Y600" i="71" s="1"/>
  <c r="Q828" i="71"/>
  <c r="T828" i="71" s="1"/>
  <c r="Q685" i="71"/>
  <c r="Y685" i="71" s="1"/>
  <c r="Q524" i="71"/>
  <c r="Y524" i="71" s="1"/>
  <c r="Q832" i="71"/>
  <c r="T832" i="71" s="1"/>
  <c r="Q517" i="71"/>
  <c r="R517" i="71" s="1"/>
  <c r="U517" i="71" s="1"/>
  <c r="Q731" i="71"/>
  <c r="Y731" i="71" s="1"/>
  <c r="Q668" i="71"/>
  <c r="T668" i="71" s="1"/>
  <c r="Q721" i="71"/>
  <c r="R721" i="71" s="1"/>
  <c r="U721" i="71" s="1"/>
  <c r="P670" i="71"/>
  <c r="P676" i="71"/>
  <c r="P787" i="71"/>
  <c r="P699" i="71"/>
  <c r="P828" i="71"/>
  <c r="Q513" i="71"/>
  <c r="T513" i="71" s="1"/>
  <c r="Q539" i="71"/>
  <c r="R539" i="71" s="1"/>
  <c r="U539" i="71" s="1"/>
  <c r="Q511" i="71"/>
  <c r="AB511" i="71" s="1"/>
  <c r="Q791" i="71"/>
  <c r="AB791" i="71" s="1"/>
  <c r="Q788" i="71"/>
  <c r="R788" i="71" s="1"/>
  <c r="U788" i="71" s="1"/>
  <c r="Q746" i="71"/>
  <c r="T746" i="71" s="1"/>
  <c r="Q519" i="71"/>
  <c r="T519" i="71" s="1"/>
  <c r="Q769" i="71"/>
  <c r="Y769" i="71" s="1"/>
  <c r="Q710" i="71"/>
  <c r="T710" i="71" s="1"/>
  <c r="Q747" i="71"/>
  <c r="AB747" i="71" s="1"/>
  <c r="Q655" i="71"/>
  <c r="Y655" i="71" s="1"/>
  <c r="Q712" i="71"/>
  <c r="R712" i="71" s="1"/>
  <c r="U712" i="71" s="1"/>
  <c r="Q602" i="71"/>
  <c r="T602" i="71" s="1"/>
  <c r="Q707" i="71"/>
  <c r="Y707" i="71" s="1"/>
  <c r="Q609" i="71"/>
  <c r="T609" i="71" s="1"/>
  <c r="Q751" i="71"/>
  <c r="Y751" i="71" s="1"/>
  <c r="Q756" i="71"/>
  <c r="AB756" i="71" s="1"/>
  <c r="Q538" i="71"/>
  <c r="AB538" i="71" s="1"/>
  <c r="Q544" i="71"/>
  <c r="R544" i="71" s="1"/>
  <c r="U544" i="71" s="1"/>
  <c r="Q781" i="71"/>
  <c r="Y781" i="71" s="1"/>
  <c r="Q706" i="71"/>
  <c r="Y706" i="71" s="1"/>
  <c r="Q803" i="71"/>
  <c r="T803" i="71" s="1"/>
  <c r="Q625" i="71"/>
  <c r="Y625" i="71" s="1"/>
  <c r="Q553" i="71"/>
  <c r="AB553" i="71" s="1"/>
  <c r="Q657" i="71"/>
  <c r="R657" i="71" s="1"/>
  <c r="U657" i="71" s="1"/>
  <c r="Q831" i="71"/>
  <c r="R831" i="71" s="1"/>
  <c r="U831" i="71" s="1"/>
  <c r="Q772" i="71"/>
  <c r="Y772" i="71" s="1"/>
  <c r="Q688" i="71"/>
  <c r="Y688" i="71" s="1"/>
  <c r="Q621" i="71"/>
  <c r="R621" i="71" s="1"/>
  <c r="U621" i="71" s="1"/>
  <c r="Q496" i="71"/>
  <c r="Y496" i="71" s="1"/>
  <c r="Q714" i="71"/>
  <c r="T714" i="71" s="1"/>
  <c r="Q632" i="71"/>
  <c r="R632" i="71" s="1"/>
  <c r="U632" i="71" s="1"/>
  <c r="Q784" i="71"/>
  <c r="Q550" i="71"/>
  <c r="AB550" i="71" s="1"/>
  <c r="Q575" i="71"/>
  <c r="T575" i="71" s="1"/>
  <c r="Q545" i="71"/>
  <c r="AB545" i="71" s="1"/>
  <c r="P705" i="71"/>
  <c r="P528" i="71"/>
  <c r="P742" i="71"/>
  <c r="P825" i="71"/>
  <c r="P716" i="71"/>
  <c r="P531" i="71"/>
  <c r="P630" i="71"/>
  <c r="P570" i="71"/>
  <c r="P817" i="71"/>
  <c r="P644" i="71"/>
  <c r="P632" i="71"/>
  <c r="Q640" i="71"/>
  <c r="Y640" i="71" s="1"/>
  <c r="Q743" i="71"/>
  <c r="T743" i="71" s="1"/>
  <c r="Q713" i="71"/>
  <c r="T713" i="71" s="1"/>
  <c r="Q764" i="71"/>
  <c r="T764" i="71" s="1"/>
  <c r="Q641" i="71"/>
  <c r="R641" i="71" s="1"/>
  <c r="U641" i="71" s="1"/>
  <c r="Q562" i="71"/>
  <c r="T562" i="71" s="1"/>
  <c r="P802" i="71"/>
  <c r="P580" i="71"/>
  <c r="P758" i="71"/>
  <c r="Q592" i="71"/>
  <c r="R592" i="71" s="1"/>
  <c r="U592" i="71" s="1"/>
  <c r="Q681" i="71"/>
  <c r="AB681" i="71" s="1"/>
  <c r="Q647" i="71"/>
  <c r="Y647" i="71" s="1"/>
  <c r="Q613" i="71"/>
  <c r="T613" i="71" s="1"/>
  <c r="Q812" i="71"/>
  <c r="AB812" i="71" s="1"/>
  <c r="Q526" i="71"/>
  <c r="R526" i="71" s="1"/>
  <c r="U526" i="71" s="1"/>
  <c r="Q615" i="71"/>
  <c r="Y615" i="71" s="1"/>
  <c r="Q675" i="71"/>
  <c r="Y675" i="71" s="1"/>
  <c r="Q559" i="71"/>
  <c r="R559" i="71" s="1"/>
  <c r="U559" i="71" s="1"/>
  <c r="Q616" i="71"/>
  <c r="T616" i="71" s="1"/>
  <c r="Q801" i="71"/>
  <c r="T801" i="71" s="1"/>
  <c r="Q503" i="71"/>
  <c r="Y503" i="71" s="1"/>
  <c r="Q716" i="71"/>
  <c r="Y716" i="71" s="1"/>
  <c r="Q816" i="71"/>
  <c r="R816" i="71" s="1"/>
  <c r="U816" i="71" s="1"/>
  <c r="Q599" i="71"/>
  <c r="AB599" i="71" s="1"/>
  <c r="Q516" i="71"/>
  <c r="T516" i="71" s="1"/>
  <c r="Q833" i="71"/>
  <c r="T833" i="71" s="1"/>
  <c r="Q696" i="71"/>
  <c r="T696" i="71" s="1"/>
  <c r="Q638" i="71"/>
  <c r="T638" i="71" s="1"/>
  <c r="Q687" i="71"/>
  <c r="Y687" i="71" s="1"/>
  <c r="Q644" i="71"/>
  <c r="AB644" i="71" s="1"/>
  <c r="Q572" i="71"/>
  <c r="AB572" i="71" s="1"/>
  <c r="P752" i="71"/>
  <c r="P783" i="71"/>
  <c r="P677" i="71"/>
  <c r="P602" i="71"/>
  <c r="P507" i="71"/>
  <c r="P751" i="71"/>
  <c r="P502" i="71"/>
  <c r="P811" i="71"/>
  <c r="P776" i="71"/>
  <c r="P508" i="71"/>
  <c r="P821" i="71"/>
  <c r="Q818" i="71"/>
  <c r="AB818" i="71" s="1"/>
  <c r="Q804" i="71"/>
  <c r="T804" i="71" s="1"/>
  <c r="Q683" i="71"/>
  <c r="Y683" i="71" s="1"/>
  <c r="Q690" i="71"/>
  <c r="T690" i="71" s="1"/>
  <c r="Q541" i="71"/>
  <c r="Y541" i="71" s="1"/>
  <c r="Q768" i="71"/>
  <c r="Y768" i="71" s="1"/>
  <c r="Q665" i="71"/>
  <c r="R665" i="71" s="1"/>
  <c r="U665" i="71" s="1"/>
  <c r="Q596" i="71"/>
  <c r="Y596" i="71" s="1"/>
  <c r="Q677" i="71"/>
  <c r="R677" i="71" s="1"/>
  <c r="U677" i="71" s="1"/>
  <c r="Q555" i="71"/>
  <c r="T555" i="71" s="1"/>
  <c r="Q762" i="71"/>
  <c r="AB762" i="71" s="1"/>
  <c r="Q518" i="71"/>
  <c r="Y518" i="71" s="1"/>
  <c r="Q607" i="71"/>
  <c r="AB607" i="71" s="1"/>
  <c r="Q664" i="71"/>
  <c r="R664" i="71" s="1"/>
  <c r="U664" i="71" s="1"/>
  <c r="Q547" i="71"/>
  <c r="T547" i="71" s="1"/>
  <c r="Q509" i="71"/>
  <c r="AB509" i="71" s="1"/>
  <c r="Q590" i="71"/>
  <c r="Y590" i="71" s="1"/>
  <c r="Q679" i="71"/>
  <c r="T679" i="71" s="1"/>
  <c r="Q531" i="71"/>
  <c r="AB531" i="71" s="1"/>
  <c r="Q534" i="71"/>
  <c r="AB534" i="71" s="1"/>
  <c r="Q623" i="71"/>
  <c r="T623" i="71" s="1"/>
  <c r="Q680" i="71"/>
  <c r="T680" i="71" s="1"/>
  <c r="Q827" i="71"/>
  <c r="Y827" i="71" s="1"/>
  <c r="Q626" i="71"/>
  <c r="AB626" i="71" s="1"/>
  <c r="Q767" i="71"/>
  <c r="R767" i="71" s="1"/>
  <c r="U767" i="71" s="1"/>
  <c r="Q631" i="71"/>
  <c r="AB631" i="71" s="1"/>
  <c r="Q540" i="71"/>
  <c r="Y540" i="71" s="1"/>
  <c r="Q659" i="71"/>
  <c r="AB659" i="71" s="1"/>
  <c r="Q754" i="71"/>
  <c r="T754" i="71" s="1"/>
  <c r="Q515" i="71"/>
  <c r="T515" i="71" s="1"/>
  <c r="Q733" i="71"/>
  <c r="R733" i="71" s="1"/>
  <c r="U733" i="71" s="1"/>
  <c r="Q649" i="71"/>
  <c r="T649" i="71" s="1"/>
  <c r="Q567" i="71"/>
  <c r="R567" i="71" s="1"/>
  <c r="U567" i="71" s="1"/>
  <c r="P535" i="71"/>
  <c r="P671" i="71"/>
  <c r="P544" i="71"/>
  <c r="P560" i="71"/>
  <c r="P610" i="71"/>
  <c r="P707" i="71"/>
  <c r="P756" i="71"/>
  <c r="P642" i="71"/>
  <c r="P520" i="71"/>
  <c r="P807" i="71"/>
  <c r="P757" i="71"/>
  <c r="Q725" i="71"/>
  <c r="AB725" i="71" s="1"/>
  <c r="Q792" i="71"/>
  <c r="AB792" i="71" s="1"/>
  <c r="Q674" i="71"/>
  <c r="AB674" i="71" s="1"/>
  <c r="Q748" i="71"/>
  <c r="Y748" i="71" s="1"/>
  <c r="Q536" i="71"/>
  <c r="Y536" i="71" s="1"/>
  <c r="Q820" i="71"/>
  <c r="Y820" i="71" s="1"/>
  <c r="Q608" i="71"/>
  <c r="R608" i="71" s="1"/>
  <c r="U608" i="71" s="1"/>
  <c r="Q586" i="71"/>
  <c r="Y586" i="71" s="1"/>
  <c r="Q663" i="71"/>
  <c r="Y663" i="71" s="1"/>
  <c r="Q504" i="71"/>
  <c r="Y504" i="71" s="1"/>
  <c r="Q624" i="71"/>
  <c r="AB624" i="71" s="1"/>
  <c r="Q589" i="71"/>
  <c r="AB589" i="71" s="1"/>
  <c r="P505" i="71"/>
  <c r="Q533" i="71"/>
  <c r="T533" i="71" s="1"/>
  <c r="Q595" i="71"/>
  <c r="AB595" i="71" s="1"/>
  <c r="Q532" i="71"/>
  <c r="T532" i="71" s="1"/>
  <c r="Q704" i="71"/>
  <c r="Y704" i="71" s="1"/>
  <c r="Q809" i="71"/>
  <c r="Y809" i="71" s="1"/>
  <c r="Q728" i="71"/>
  <c r="AB728" i="71" s="1"/>
  <c r="Q752" i="71"/>
  <c r="R752" i="71" s="1"/>
  <c r="U752" i="71" s="1"/>
  <c r="Q514" i="71"/>
  <c r="R514" i="71" s="1"/>
  <c r="U514" i="71" s="1"/>
  <c r="Q582" i="71"/>
  <c r="Y582" i="71" s="1"/>
  <c r="Q825" i="71"/>
  <c r="T825" i="71" s="1"/>
  <c r="Q598" i="71"/>
  <c r="R598" i="71" s="1"/>
  <c r="U598" i="71" s="1"/>
  <c r="Q570" i="71"/>
  <c r="AB570" i="71" s="1"/>
  <c r="Q794" i="71"/>
  <c r="T794" i="71" s="1"/>
  <c r="Q678" i="71"/>
  <c r="T678" i="71" s="1"/>
  <c r="Q776" i="71"/>
  <c r="Y776" i="71" s="1"/>
  <c r="P769" i="71"/>
  <c r="P782" i="71"/>
  <c r="P748" i="71"/>
  <c r="P501" i="71"/>
  <c r="Q618" i="71"/>
  <c r="AB618" i="71" s="1"/>
  <c r="Q568" i="71"/>
  <c r="Y568" i="71" s="1"/>
  <c r="Q525" i="71"/>
  <c r="R525" i="71" s="1"/>
  <c r="U525" i="71" s="1"/>
  <c r="Q588" i="71"/>
  <c r="AB588" i="71" s="1"/>
  <c r="Q669" i="71"/>
  <c r="AB669" i="71" s="1"/>
  <c r="Q530" i="71"/>
  <c r="T530" i="71" s="1"/>
  <c r="Q826" i="71"/>
  <c r="Y826" i="71" s="1"/>
  <c r="Q727" i="71"/>
  <c r="T727" i="71" s="1"/>
  <c r="Q732" i="71"/>
  <c r="AB732" i="71" s="1"/>
  <c r="Q579" i="71"/>
  <c r="R579" i="71" s="1"/>
  <c r="U579" i="71" s="1"/>
  <c r="Q520" i="71"/>
  <c r="R520" i="71" s="1"/>
  <c r="U520" i="71" s="1"/>
  <c r="Q697" i="71"/>
  <c r="R697" i="71" s="1"/>
  <c r="U697" i="71" s="1"/>
  <c r="Q565" i="71"/>
  <c r="Y565" i="71" s="1"/>
  <c r="Q556" i="71"/>
  <c r="R556" i="71" s="1"/>
  <c r="U556" i="71" s="1"/>
  <c r="Q637" i="71"/>
  <c r="R637" i="71" s="1"/>
  <c r="U637" i="71" s="1"/>
  <c r="Q807" i="71"/>
  <c r="R807" i="71" s="1"/>
  <c r="U807" i="71" s="1"/>
  <c r="Q529" i="71"/>
  <c r="T529" i="71" s="1"/>
  <c r="Q500" i="71"/>
  <c r="T500" i="71" s="1"/>
  <c r="Q581" i="71"/>
  <c r="Y581" i="71" s="1"/>
  <c r="Q808" i="71"/>
  <c r="T808" i="71" s="1"/>
  <c r="Q786" i="71"/>
  <c r="Y786" i="71" s="1"/>
  <c r="Q634" i="71"/>
  <c r="T634" i="71" s="1"/>
  <c r="Q546" i="71"/>
  <c r="Y546" i="71" s="1"/>
  <c r="Q633" i="71"/>
  <c r="R633" i="71" s="1"/>
  <c r="U633" i="71" s="1"/>
  <c r="Q577" i="71"/>
  <c r="AB577" i="71" s="1"/>
  <c r="Q639" i="71"/>
  <c r="AB639" i="71" s="1"/>
  <c r="Q821" i="71"/>
  <c r="Y821" i="71" s="1"/>
  <c r="Q653" i="71"/>
  <c r="T653" i="71" s="1"/>
  <c r="P794" i="71"/>
  <c r="P542" i="71"/>
  <c r="P730" i="71"/>
  <c r="P540" i="71"/>
  <c r="P718" i="71"/>
  <c r="P558" i="71"/>
  <c r="P747" i="71"/>
  <c r="P674" i="71"/>
  <c r="P522" i="71"/>
  <c r="P590" i="71"/>
  <c r="P770" i="71"/>
  <c r="P587" i="71"/>
  <c r="Q583" i="71"/>
  <c r="R583" i="71" s="1"/>
  <c r="U583" i="71" s="1"/>
  <c r="Q719" i="71"/>
  <c r="AB719" i="71" s="1"/>
  <c r="Q759" i="71"/>
  <c r="Y759" i="71" s="1"/>
  <c r="Q745" i="71"/>
  <c r="Y745" i="71" s="1"/>
  <c r="Q580" i="71"/>
  <c r="Y580" i="71" s="1"/>
  <c r="Q522" i="71"/>
  <c r="R522" i="71" s="1"/>
  <c r="U522" i="71" s="1"/>
  <c r="Q651" i="71"/>
  <c r="T651" i="71" s="1"/>
  <c r="P816" i="71"/>
  <c r="P803" i="71"/>
  <c r="P763" i="71"/>
  <c r="P572" i="71"/>
  <c r="Q761" i="71"/>
  <c r="Y761" i="71" s="1"/>
  <c r="Q563" i="71"/>
  <c r="T563" i="71" s="1"/>
  <c r="Q499" i="71"/>
  <c r="R499" i="71" s="1"/>
  <c r="U499" i="71" s="1"/>
  <c r="Q779" i="71"/>
  <c r="R779" i="71" s="1"/>
  <c r="U779" i="71" s="1"/>
  <c r="Q636" i="71"/>
  <c r="AB636" i="71" s="1"/>
  <c r="Q660" i="71"/>
  <c r="R660" i="71" s="1"/>
  <c r="U660" i="71" s="1"/>
  <c r="Q619" i="71"/>
  <c r="AB619" i="71" s="1"/>
  <c r="Q507" i="71"/>
  <c r="Y507" i="71" s="1"/>
  <c r="Q557" i="71"/>
  <c r="Y557" i="71" s="1"/>
  <c r="P625" i="71"/>
  <c r="Q650" i="71"/>
  <c r="T650" i="71" s="1"/>
  <c r="Q780" i="71"/>
  <c r="R780" i="71" s="1"/>
  <c r="U780" i="71" s="1"/>
  <c r="Q652" i="71"/>
  <c r="R652" i="71" s="1"/>
  <c r="U652" i="71" s="1"/>
  <c r="Q741" i="71"/>
  <c r="AB741" i="71" s="1"/>
  <c r="Q571" i="71"/>
  <c r="Y571" i="71" s="1"/>
  <c r="Q537" i="71"/>
  <c r="AB537" i="71" s="1"/>
  <c r="Q796" i="71"/>
  <c r="T796" i="71" s="1"/>
  <c r="Q802" i="71"/>
  <c r="AB802" i="71" s="1"/>
  <c r="Q527" i="71"/>
  <c r="Y527" i="71" s="1"/>
  <c r="Q584" i="71"/>
  <c r="AB584" i="71" s="1"/>
  <c r="Q777" i="71"/>
  <c r="Y777" i="71" s="1"/>
  <c r="Q548" i="71"/>
  <c r="R548" i="71" s="1"/>
  <c r="U548" i="71" s="1"/>
  <c r="Q799" i="71"/>
  <c r="Y799" i="71" s="1"/>
  <c r="Q594" i="71"/>
  <c r="Y594" i="71" s="1"/>
  <c r="Q620" i="71"/>
  <c r="R620" i="71" s="1"/>
  <c r="U620" i="71" s="1"/>
  <c r="Q738" i="71"/>
  <c r="AB738" i="71" s="1"/>
  <c r="Q497" i="71"/>
  <c r="AB497" i="71" s="1"/>
  <c r="Q601" i="71"/>
  <c r="Y601" i="71" s="1"/>
  <c r="Q815" i="71"/>
  <c r="Y815" i="71" s="1"/>
  <c r="Q682" i="71"/>
  <c r="T682" i="71" s="1"/>
  <c r="Q603" i="71"/>
  <c r="Y603" i="71" s="1"/>
  <c r="Q673" i="71"/>
  <c r="R673" i="71" s="1"/>
  <c r="U673" i="71" s="1"/>
  <c r="Q542" i="71"/>
  <c r="AB542" i="71" s="1"/>
  <c r="Q824" i="71"/>
  <c r="R824" i="71" s="1"/>
  <c r="U824" i="71" s="1"/>
  <c r="Q789" i="71"/>
  <c r="R789" i="71" s="1"/>
  <c r="U789" i="71" s="1"/>
  <c r="Q740" i="71"/>
  <c r="T740" i="71" s="1"/>
  <c r="Q521" i="71"/>
  <c r="T521" i="71" s="1"/>
  <c r="Q508" i="71"/>
  <c r="Y508" i="71" s="1"/>
  <c r="P703" i="71"/>
  <c r="P621" i="71"/>
  <c r="P808" i="71"/>
  <c r="P562" i="71"/>
  <c r="P717" i="71"/>
  <c r="P827" i="71"/>
  <c r="P530" i="71"/>
  <c r="P521" i="71"/>
  <c r="P497" i="71"/>
  <c r="P709" i="71"/>
  <c r="P818" i="71"/>
  <c r="P620" i="71"/>
  <c r="Q549" i="71"/>
  <c r="Y549" i="71" s="1"/>
  <c r="Q699" i="71"/>
  <c r="AB699" i="71" s="1"/>
  <c r="Q787" i="71"/>
  <c r="Y787" i="71" s="1"/>
  <c r="Q737" i="71"/>
  <c r="Y737" i="71" s="1"/>
  <c r="Q823" i="71"/>
  <c r="T823" i="71" s="1"/>
  <c r="Q723" i="71"/>
  <c r="R723" i="71" s="1"/>
  <c r="U723" i="71" s="1"/>
  <c r="P654" i="71"/>
  <c r="P553" i="71"/>
  <c r="Q569" i="71"/>
  <c r="R569" i="71" s="1"/>
  <c r="U569" i="71" s="1"/>
  <c r="Q498" i="71"/>
  <c r="T498" i="71" s="1"/>
  <c r="Q543" i="71"/>
  <c r="AB543" i="71" s="1"/>
  <c r="Q672" i="71"/>
  <c r="R672" i="71" s="1"/>
  <c r="U672" i="71" s="1"/>
  <c r="Q703" i="71"/>
  <c r="AB703" i="71" s="1"/>
  <c r="Q605" i="71"/>
  <c r="AB605" i="71" s="1"/>
  <c r="Q749" i="71"/>
  <c r="R749" i="71" s="1"/>
  <c r="U749" i="71" s="1"/>
  <c r="Q585" i="71"/>
  <c r="R585" i="71" s="1"/>
  <c r="U585" i="71" s="1"/>
  <c r="Q671" i="71"/>
  <c r="Y671" i="71" s="1"/>
  <c r="Q800" i="71"/>
  <c r="Y800" i="71" s="1"/>
  <c r="Q744" i="71"/>
  <c r="R744" i="71" s="1"/>
  <c r="U744" i="71" s="1"/>
  <c r="Q574" i="71"/>
  <c r="AB574" i="71" s="1"/>
  <c r="P575" i="71"/>
  <c r="Q785" i="71"/>
  <c r="R785" i="71" s="1"/>
  <c r="U785" i="71" s="1"/>
  <c r="Q614" i="71"/>
  <c r="T614" i="71" s="1"/>
  <c r="Q695" i="71"/>
  <c r="T695" i="71" s="1"/>
  <c r="Q604" i="71"/>
  <c r="Y604" i="71" s="1"/>
  <c r="Q711" i="71"/>
  <c r="Y711" i="71" s="1"/>
  <c r="Q724" i="71"/>
  <c r="T724" i="71" s="1"/>
  <c r="Q512" i="71"/>
  <c r="R512" i="71" s="1"/>
  <c r="U512" i="71" s="1"/>
  <c r="Q689" i="71"/>
  <c r="T689" i="71" s="1"/>
  <c r="Q502" i="71"/>
  <c r="Y502" i="71" s="1"/>
  <c r="Q591" i="71"/>
  <c r="Y591" i="71" s="1"/>
  <c r="Q648" i="71"/>
  <c r="AB648" i="71" s="1"/>
  <c r="Q722" i="71"/>
  <c r="R722" i="71" s="1"/>
  <c r="U722" i="71" s="1"/>
  <c r="Q612" i="71"/>
  <c r="AB612" i="71" s="1"/>
  <c r="Q693" i="71"/>
  <c r="R693" i="71" s="1"/>
  <c r="U693" i="71" s="1"/>
  <c r="Q698" i="71"/>
  <c r="R698" i="71" s="1"/>
  <c r="U698" i="71" s="1"/>
  <c r="Q811" i="71"/>
  <c r="R811" i="71" s="1"/>
  <c r="U811" i="71" s="1"/>
  <c r="Q773" i="71"/>
  <c r="Y773" i="71" s="1"/>
  <c r="Q658" i="71"/>
  <c r="AB658" i="71" s="1"/>
  <c r="Q755" i="71"/>
  <c r="AB755" i="71" s="1"/>
  <c r="Q617" i="71"/>
  <c r="Y617" i="71" s="1"/>
  <c r="Q628" i="71"/>
  <c r="Y628" i="71" s="1"/>
  <c r="Q770" i="71"/>
  <c r="Y770" i="71" s="1"/>
  <c r="Q505" i="71"/>
  <c r="R505" i="71" s="1"/>
  <c r="U505" i="71" s="1"/>
  <c r="Q715" i="71"/>
  <c r="R715" i="71" s="1"/>
  <c r="U715" i="71" s="1"/>
  <c r="Q561" i="71"/>
  <c r="Y561" i="71" s="1"/>
  <c r="Q560" i="71"/>
  <c r="Y560" i="71" s="1"/>
  <c r="Q795" i="71"/>
  <c r="T795" i="71" s="1"/>
  <c r="Q554" i="71"/>
  <c r="R554" i="71" s="1"/>
  <c r="U554" i="71" s="1"/>
  <c r="Q797" i="71"/>
  <c r="Y797" i="71" s="1"/>
  <c r="Q656" i="71"/>
  <c r="AB656" i="71" s="1"/>
  <c r="Q593" i="71"/>
  <c r="R593" i="71" s="1"/>
  <c r="U593" i="71" s="1"/>
  <c r="Q736" i="71"/>
  <c r="R736" i="71" s="1"/>
  <c r="U736" i="71" s="1"/>
  <c r="Q730" i="71"/>
  <c r="Y730" i="71" s="1"/>
  <c r="Q528" i="71"/>
  <c r="T528" i="71" s="1"/>
  <c r="Q506" i="71"/>
  <c r="Y506" i="71" s="1"/>
  <c r="Q578" i="71"/>
  <c r="R578" i="71" s="1"/>
  <c r="U578" i="71" s="1"/>
  <c r="P519" i="71"/>
  <c r="P684" i="71"/>
  <c r="P639" i="71"/>
  <c r="P743" i="71"/>
  <c r="P525" i="71"/>
  <c r="P534" i="71"/>
  <c r="P796" i="71"/>
  <c r="P673" i="71"/>
  <c r="P591" i="71"/>
  <c r="P645" i="71"/>
  <c r="P672" i="71"/>
  <c r="P797" i="71"/>
  <c r="P669" i="71"/>
  <c r="P541" i="71"/>
  <c r="P675" i="71"/>
  <c r="P596" i="71"/>
  <c r="P738" i="71"/>
  <c r="P647" i="71"/>
  <c r="P833" i="71"/>
  <c r="P513" i="71"/>
  <c r="P728" i="71"/>
  <c r="P615" i="71"/>
  <c r="P726" i="71"/>
  <c r="P789" i="71"/>
  <c r="P597" i="71"/>
  <c r="P660" i="71"/>
  <c r="P524" i="71"/>
  <c r="P762" i="71"/>
  <c r="P626" i="71"/>
  <c r="P714" i="71"/>
  <c r="P767" i="71"/>
  <c r="P655" i="71"/>
  <c r="P646" i="71"/>
  <c r="P764" i="71"/>
  <c r="P554" i="71"/>
  <c r="P761" i="71"/>
  <c r="P689" i="71"/>
  <c r="P529" i="71"/>
  <c r="P698" i="71"/>
  <c r="P800" i="71"/>
  <c r="P608" i="71"/>
  <c r="P631" i="71"/>
  <c r="P503" i="71"/>
  <c r="P798" i="71"/>
  <c r="P734" i="71"/>
  <c r="P638" i="71"/>
  <c r="P510" i="71"/>
  <c r="P733" i="71"/>
  <c r="P605" i="71"/>
  <c r="P668" i="71"/>
  <c r="P547" i="71"/>
  <c r="P538" i="71"/>
  <c r="P740" i="71"/>
  <c r="P665" i="71"/>
  <c r="P792" i="71"/>
  <c r="P600" i="71"/>
  <c r="P790" i="71"/>
  <c r="P584" i="71"/>
  <c r="P661" i="71"/>
  <c r="P724" i="71"/>
  <c r="P523" i="71"/>
  <c r="P801" i="71"/>
  <c r="P823" i="71"/>
  <c r="P719" i="71"/>
  <c r="P543" i="71"/>
  <c r="P518" i="71"/>
  <c r="P619" i="71"/>
  <c r="P809" i="71"/>
  <c r="P601" i="71"/>
  <c r="P832" i="71"/>
  <c r="P704" i="71"/>
  <c r="P695" i="71"/>
  <c r="P830" i="71"/>
  <c r="P702" i="71"/>
  <c r="P574" i="71"/>
  <c r="P765" i="71"/>
  <c r="P637" i="71"/>
  <c r="P509" i="71"/>
  <c r="P636" i="71"/>
  <c r="P628" i="71"/>
  <c r="P500" i="71"/>
  <c r="P595" i="71"/>
  <c r="P721" i="71"/>
  <c r="P539" i="71"/>
  <c r="P768" i="71"/>
  <c r="P640" i="71"/>
  <c r="P567" i="71"/>
  <c r="P766" i="71"/>
  <c r="P829" i="71"/>
  <c r="P701" i="71"/>
  <c r="P573" i="71"/>
  <c r="P700" i="71"/>
  <c r="P611" i="71"/>
  <c r="P564" i="71"/>
  <c r="P588" i="71"/>
  <c r="P736" i="71"/>
  <c r="P512" i="71"/>
  <c r="P532" i="71"/>
  <c r="P682" i="71"/>
  <c r="P759" i="71"/>
  <c r="P622" i="71"/>
  <c r="P753" i="71"/>
  <c r="P666" i="71"/>
  <c r="P664" i="71"/>
  <c r="P592" i="71"/>
  <c r="P614" i="71"/>
  <c r="P725" i="71"/>
  <c r="P533" i="71"/>
  <c r="P651" i="71"/>
  <c r="Y572" i="71"/>
  <c r="P826" i="71"/>
  <c r="P785" i="71"/>
  <c r="P663" i="71"/>
  <c r="P685" i="71"/>
  <c r="P548" i="71"/>
  <c r="P618" i="71"/>
  <c r="P616" i="71"/>
  <c r="P741" i="71"/>
  <c r="P604" i="71"/>
  <c r="P819" i="71"/>
  <c r="P656" i="71"/>
  <c r="P781" i="71"/>
  <c r="P515" i="71"/>
  <c r="P559" i="71"/>
  <c r="P635" i="71"/>
  <c r="P506" i="71"/>
  <c r="P799" i="71"/>
  <c r="P681" i="71"/>
  <c r="P820" i="71"/>
  <c r="P546" i="71"/>
  <c r="P555" i="71"/>
  <c r="P650" i="71"/>
  <c r="P727" i="71"/>
  <c r="P498" i="71"/>
  <c r="P710" i="71"/>
  <c r="P708" i="71"/>
  <c r="P810" i="71"/>
  <c r="P593" i="71"/>
  <c r="P822" i="71"/>
  <c r="P565" i="71"/>
  <c r="T572" i="71"/>
  <c r="P778" i="71"/>
  <c r="P577" i="71"/>
  <c r="P814" i="71"/>
  <c r="P557" i="71"/>
  <c r="P754" i="71"/>
  <c r="P697" i="71"/>
  <c r="P511" i="71"/>
  <c r="P613" i="71"/>
  <c r="P722" i="71"/>
  <c r="P745" i="71"/>
  <c r="P599" i="71"/>
  <c r="P653" i="71"/>
  <c r="P516" i="71"/>
  <c r="P737" i="71"/>
  <c r="P775" i="71"/>
  <c r="P687" i="71"/>
  <c r="P683" i="71"/>
  <c r="P603" i="71"/>
  <c r="P731" i="71"/>
  <c r="P735" i="71"/>
  <c r="P594" i="71"/>
  <c r="P586" i="71"/>
  <c r="P566" i="71"/>
  <c r="P712" i="71"/>
  <c r="P496" i="71"/>
  <c r="P627" i="71"/>
  <c r="P711" i="71"/>
  <c r="P824" i="71"/>
  <c r="P678" i="71"/>
  <c r="P692" i="71"/>
  <c r="R572" i="71"/>
  <c r="U572" i="71" s="1"/>
  <c r="P791" i="71"/>
  <c r="P786" i="71"/>
  <c r="P750" i="71"/>
  <c r="P568" i="71"/>
  <c r="P746" i="71"/>
  <c r="P537" i="71"/>
  <c r="P806" i="71"/>
  <c r="P549" i="71"/>
  <c r="P795" i="71"/>
  <c r="P657" i="71"/>
  <c r="P552" i="71"/>
  <c r="P589" i="71"/>
  <c r="P815" i="71"/>
  <c r="P659" i="71"/>
  <c r="P634" i="71"/>
  <c r="P585" i="71"/>
  <c r="P582" i="71"/>
  <c r="P578" i="71"/>
  <c r="P715" i="71"/>
  <c r="P633" i="71"/>
  <c r="P569" i="71"/>
  <c r="P561" i="71"/>
  <c r="P779" i="71"/>
  <c r="P648" i="71"/>
  <c r="P773" i="71"/>
  <c r="P499" i="71"/>
  <c r="P527" i="71"/>
  <c r="P760" i="71"/>
  <c r="P550" i="71"/>
  <c r="P576" i="71"/>
  <c r="P804" i="71"/>
  <c r="P688" i="71"/>
  <c r="P813" i="71"/>
  <c r="P579" i="71"/>
  <c r="P694" i="71"/>
  <c r="P744" i="71"/>
  <c r="P526" i="71"/>
  <c r="P691" i="71"/>
  <c r="P623" i="71"/>
  <c r="P784" i="71"/>
  <c r="P606" i="71"/>
  <c r="P652" i="71"/>
  <c r="P788" i="71"/>
  <c r="P777" i="71"/>
  <c r="P812" i="71"/>
  <c r="P686" i="71"/>
  <c r="P771" i="71"/>
  <c r="P772" i="71"/>
  <c r="P649" i="71"/>
  <c r="P545" i="71"/>
  <c r="P617" i="71"/>
  <c r="P667" i="71"/>
  <c r="P641" i="71"/>
  <c r="P504" i="71"/>
  <c r="P581" i="71"/>
  <c r="P20" i="71"/>
  <c r="P793" i="71"/>
  <c r="P679" i="71"/>
  <c r="P693" i="71"/>
  <c r="P556" i="71"/>
  <c r="P690" i="71"/>
  <c r="P624" i="71"/>
  <c r="P749" i="71"/>
  <c r="P612" i="71"/>
  <c r="P780" i="71"/>
  <c r="P680" i="71"/>
  <c r="P805" i="71"/>
  <c r="P563" i="71"/>
  <c r="P598" i="71"/>
  <c r="P720" i="71"/>
  <c r="P536" i="71"/>
  <c r="P643" i="71"/>
  <c r="P662" i="71"/>
  <c r="P723" i="71"/>
  <c r="P609" i="71"/>
  <c r="P583" i="71"/>
  <c r="P732" i="71"/>
  <c r="P607" i="71"/>
  <c r="P571" i="71"/>
  <c r="P658" i="71"/>
  <c r="P514" i="71"/>
  <c r="P831" i="71"/>
  <c r="P739" i="71"/>
  <c r="P774" i="71"/>
  <c r="P517" i="71"/>
  <c r="P755" i="71"/>
  <c r="P713" i="71"/>
  <c r="P551" i="71"/>
  <c r="P629" i="71"/>
  <c r="P706" i="71"/>
  <c r="T589" i="71"/>
  <c r="AB696" i="71"/>
  <c r="Y528" i="71"/>
  <c r="AB529" i="71"/>
  <c r="T821" i="71"/>
  <c r="R649" i="71"/>
  <c r="U649" i="71" s="1"/>
  <c r="Y649" i="71"/>
  <c r="T582" i="71"/>
  <c r="R797" i="71"/>
  <c r="U797" i="71" s="1"/>
  <c r="R624" i="71"/>
  <c r="U624" i="71" s="1"/>
  <c r="AB651" i="71"/>
  <c r="R529" i="71"/>
  <c r="U529" i="71" s="1"/>
  <c r="T639" i="71"/>
  <c r="Y639" i="71"/>
  <c r="R500" i="71"/>
  <c r="U500" i="71" s="1"/>
  <c r="R821" i="71"/>
  <c r="U821" i="71" s="1"/>
  <c r="Y500" i="71"/>
  <c r="AB821" i="71"/>
  <c r="T637" i="71"/>
  <c r="AB807" i="71"/>
  <c r="T520" i="71"/>
  <c r="Y520" i="71"/>
  <c r="AB579" i="71"/>
  <c r="AB581" i="71"/>
  <c r="Y808" i="71"/>
  <c r="R730" i="71"/>
  <c r="U730" i="71" s="1"/>
  <c r="AB730" i="71"/>
  <c r="T505" i="71"/>
  <c r="R628" i="71"/>
  <c r="U628" i="71" s="1"/>
  <c r="AB505" i="71"/>
  <c r="Y780" i="71"/>
  <c r="T601" i="71"/>
  <c r="T584" i="71"/>
  <c r="Y652" i="71"/>
  <c r="AB740" i="71"/>
  <c r="T741" i="71"/>
  <c r="R777" i="71"/>
  <c r="U777" i="71" s="1"/>
  <c r="AB601" i="71"/>
  <c r="R521" i="71"/>
  <c r="U521" i="71" s="1"/>
  <c r="AB780" i="71"/>
  <c r="T733" i="71"/>
  <c r="R601" i="71"/>
  <c r="U601" i="71" s="1"/>
  <c r="R584" i="71"/>
  <c r="U584" i="71" s="1"/>
  <c r="Y584" i="71"/>
  <c r="AB652" i="71"/>
  <c r="Y537" i="71"/>
  <c r="AB815" i="71"/>
  <c r="Y733" i="71"/>
  <c r="AB521" i="71"/>
  <c r="T620" i="71"/>
  <c r="T652" i="71"/>
  <c r="T579" i="71"/>
  <c r="AB777" i="71"/>
  <c r="T780" i="71"/>
  <c r="R570" i="71"/>
  <c r="U570" i="71" s="1"/>
  <c r="T777" i="71"/>
  <c r="R748" i="71"/>
  <c r="U748" i="71" s="1"/>
  <c r="R536" i="71"/>
  <c r="U536" i="71" s="1"/>
  <c r="Y583" i="71"/>
  <c r="T769" i="71"/>
  <c r="Y553" i="71"/>
  <c r="T788" i="71"/>
  <c r="T526" i="71"/>
  <c r="T615" i="71"/>
  <c r="R543" i="71"/>
  <c r="U543" i="71" s="1"/>
  <c r="R674" i="71"/>
  <c r="U674" i="71" s="1"/>
  <c r="Y719" i="71"/>
  <c r="AB611" i="71"/>
  <c r="AB704" i="71"/>
  <c r="T704" i="71"/>
  <c r="R719" i="71"/>
  <c r="U719" i="71" s="1"/>
  <c r="Y526" i="71"/>
  <c r="AB526" i="71"/>
  <c r="R704" i="71"/>
  <c r="U704" i="71" s="1"/>
  <c r="T760" i="71"/>
  <c r="T719" i="71"/>
  <c r="R640" i="71"/>
  <c r="U640" i="71" s="1"/>
  <c r="Y616" i="71"/>
  <c r="Y569" i="71"/>
  <c r="Y725" i="71"/>
  <c r="R616" i="71"/>
  <c r="U616" i="71" s="1"/>
  <c r="Y606" i="71"/>
  <c r="AB559" i="71"/>
  <c r="R691" i="71"/>
  <c r="U691" i="71" s="1"/>
  <c r="AB779" i="71"/>
  <c r="Y779" i="71"/>
  <c r="AB583" i="71"/>
  <c r="AB688" i="71"/>
  <c r="R602" i="71"/>
  <c r="U602" i="71" s="1"/>
  <c r="T583" i="71"/>
  <c r="Y760" i="71"/>
  <c r="T606" i="71"/>
  <c r="AB819" i="71"/>
  <c r="AB625" i="71"/>
  <c r="AB788" i="71"/>
  <c r="T553" i="71"/>
  <c r="R760" i="71"/>
  <c r="U760" i="71" s="1"/>
  <c r="R625" i="71"/>
  <c r="U625" i="71" s="1"/>
  <c r="AB772" i="71"/>
  <c r="AB706" i="71"/>
  <c r="R713" i="71"/>
  <c r="U713" i="71" s="1"/>
  <c r="R725" i="71"/>
  <c r="U725" i="71" s="1"/>
  <c r="Y792" i="71"/>
  <c r="Y641" i="71"/>
  <c r="Y693" i="71"/>
  <c r="AB713" i="71"/>
  <c r="AB748" i="71"/>
  <c r="AB630" i="71"/>
  <c r="T779" i="71"/>
  <c r="R609" i="71"/>
  <c r="U609" i="71" s="1"/>
  <c r="Y609" i="71"/>
  <c r="T625" i="71"/>
  <c r="T655" i="71"/>
  <c r="R699" i="71"/>
  <c r="U699" i="71" s="1"/>
  <c r="R596" i="71"/>
  <c r="U596" i="71" s="1"/>
  <c r="Y619" i="71"/>
  <c r="Y752" i="71"/>
  <c r="AB518" i="71"/>
  <c r="AB664" i="71"/>
  <c r="T524" i="71"/>
  <c r="R534" i="71"/>
  <c r="U534" i="71" s="1"/>
  <c r="R781" i="71"/>
  <c r="U781" i="71" s="1"/>
  <c r="T706" i="71"/>
  <c r="AB609" i="71"/>
  <c r="T711" i="71"/>
  <c r="T751" i="71"/>
  <c r="T560" i="71"/>
  <c r="Y517" i="71"/>
  <c r="T707" i="71"/>
  <c r="T518" i="71"/>
  <c r="R724" i="71"/>
  <c r="U724" i="71" s="1"/>
  <c r="T818" i="71"/>
  <c r="T596" i="71"/>
  <c r="R518" i="71"/>
  <c r="U518" i="71" s="1"/>
  <c r="T619" i="71"/>
  <c r="Y680" i="71"/>
  <c r="AB724" i="71"/>
  <c r="Y570" i="71"/>
  <c r="T540" i="71"/>
  <c r="T664" i="71"/>
  <c r="T607" i="71"/>
  <c r="R768" i="71"/>
  <c r="U768" i="71" s="1"/>
  <c r="R680" i="71"/>
  <c r="U680" i="71" s="1"/>
  <c r="Y724" i="71"/>
  <c r="Y664" i="71"/>
  <c r="AB816" i="71"/>
  <c r="AB547" i="71"/>
  <c r="R540" i="71"/>
  <c r="U540" i="71" s="1"/>
  <c r="R832" i="71"/>
  <c r="U832" i="71" s="1"/>
  <c r="R800" i="71"/>
  <c r="U800" i="71" s="1"/>
  <c r="R524" i="71"/>
  <c r="U524" i="71" s="1"/>
  <c r="R685" i="71"/>
  <c r="U685" i="71" s="1"/>
  <c r="R607" i="71"/>
  <c r="U607" i="71" s="1"/>
  <c r="R711" i="71"/>
  <c r="U711" i="71" s="1"/>
  <c r="R619" i="71"/>
  <c r="U619" i="71" s="1"/>
  <c r="T816" i="71"/>
  <c r="T590" i="71"/>
  <c r="AB555" i="71"/>
  <c r="AB797" i="71"/>
  <c r="Y816" i="71"/>
  <c r="AB768" i="71"/>
  <c r="T507" i="71"/>
  <c r="T599" i="71"/>
  <c r="R623" i="71"/>
  <c r="U623" i="71" s="1"/>
  <c r="AB540" i="71"/>
  <c r="AB680" i="71"/>
  <c r="T570" i="71"/>
  <c r="AB524" i="71"/>
  <c r="AB711" i="71"/>
  <c r="T752" i="71"/>
  <c r="AB507" i="71"/>
  <c r="AB665" i="71"/>
  <c r="V753" i="71"/>
  <c r="AB646" i="71"/>
  <c r="Y646" i="71"/>
  <c r="T646" i="71"/>
  <c r="R519" i="71"/>
  <c r="U519" i="71" s="1"/>
  <c r="AB519" i="71"/>
  <c r="Y519" i="71"/>
  <c r="AB667" i="71"/>
  <c r="AB573" i="71"/>
  <c r="AB709" i="71"/>
  <c r="AB771" i="71"/>
  <c r="AB597" i="71"/>
  <c r="AB642" i="71"/>
  <c r="AB717" i="71"/>
  <c r="AB662" i="71"/>
  <c r="AB726" i="71"/>
  <c r="AB702" i="71"/>
  <c r="AB766" i="71"/>
  <c r="AB692" i="71"/>
  <c r="AB798" i="71"/>
  <c r="AB627" i="71"/>
  <c r="AB643" i="71"/>
  <c r="AB686" i="71"/>
  <c r="AB558" i="71"/>
  <c r="AB782" i="71"/>
  <c r="AB676" i="71"/>
  <c r="AB793" i="71"/>
  <c r="AB645" i="71"/>
  <c r="AB806" i="71"/>
  <c r="AB814" i="71"/>
  <c r="AB670" i="71"/>
  <c r="AB654" i="71"/>
  <c r="AB790" i="71"/>
  <c r="AB763" i="71"/>
  <c r="AB566" i="71"/>
  <c r="AB830" i="71"/>
  <c r="AB708" i="71"/>
  <c r="AB510" i="71"/>
  <c r="AB700" i="71"/>
  <c r="AB576" i="71"/>
  <c r="AB810" i="71"/>
  <c r="AB758" i="71"/>
  <c r="AB610" i="71"/>
  <c r="AB729" i="71"/>
  <c r="AB765" i="71"/>
  <c r="Y635" i="71"/>
  <c r="AB635" i="71"/>
  <c r="Y694" i="71"/>
  <c r="AB694" i="71"/>
  <c r="Y551" i="71"/>
  <c r="AB551" i="71"/>
  <c r="Y734" i="71"/>
  <c r="AB734" i="71"/>
  <c r="Y813" i="71"/>
  <c r="AB813" i="71"/>
  <c r="Y629" i="71"/>
  <c r="AB629" i="71"/>
  <c r="Y701" i="71"/>
  <c r="AB701" i="71"/>
  <c r="Y739" i="71"/>
  <c r="AB739" i="71"/>
  <c r="Y735" i="71"/>
  <c r="AB735" i="71"/>
  <c r="Y774" i="71"/>
  <c r="AB774" i="71"/>
  <c r="Y718" i="71"/>
  <c r="AB718" i="71"/>
  <c r="Y805" i="71"/>
  <c r="AB805" i="71"/>
  <c r="Y783" i="71"/>
  <c r="AB783" i="71"/>
  <c r="Y714" i="71"/>
  <c r="AB714" i="71"/>
  <c r="Y587" i="71"/>
  <c r="AB587" i="71"/>
  <c r="Y661" i="71"/>
  <c r="AB661" i="71"/>
  <c r="Y757" i="71"/>
  <c r="AB757" i="71"/>
  <c r="Y523" i="71"/>
  <c r="AB523" i="71"/>
  <c r="Y684" i="71"/>
  <c r="AB684" i="71"/>
  <c r="Y501" i="71"/>
  <c r="AB501" i="71"/>
  <c r="Y666" i="71"/>
  <c r="AB666" i="71"/>
  <c r="Y742" i="71"/>
  <c r="AB742" i="71"/>
  <c r="Y622" i="71"/>
  <c r="AB622" i="71"/>
  <c r="T775" i="71"/>
  <c r="AB775" i="71"/>
  <c r="Y535" i="71"/>
  <c r="AB535" i="71"/>
  <c r="Y750" i="71"/>
  <c r="AB750" i="71"/>
  <c r="Y822" i="71"/>
  <c r="AB822" i="71"/>
  <c r="Y564" i="71"/>
  <c r="AB564" i="71"/>
  <c r="Y778" i="71"/>
  <c r="AB778" i="71"/>
  <c r="Y705" i="71"/>
  <c r="AB705" i="71"/>
  <c r="T551" i="71"/>
  <c r="R551" i="71"/>
  <c r="U551" i="71" s="1"/>
  <c r="T763" i="71"/>
  <c r="Y558" i="71"/>
  <c r="T558" i="71"/>
  <c r="R558" i="71"/>
  <c r="U558" i="71" s="1"/>
  <c r="Y566" i="71"/>
  <c r="R566" i="71"/>
  <c r="U566" i="71" s="1"/>
  <c r="T566" i="71"/>
  <c r="Y510" i="71"/>
  <c r="Y810" i="71"/>
  <c r="Y790" i="71"/>
  <c r="T806" i="71"/>
  <c r="Y806" i="71"/>
  <c r="Y793" i="71"/>
  <c r="Y645" i="71"/>
  <c r="T790" i="71"/>
  <c r="T535" i="71"/>
  <c r="Y642" i="71"/>
  <c r="T717" i="71"/>
  <c r="Y717" i="71"/>
  <c r="Y654" i="71"/>
  <c r="Y782" i="71"/>
  <c r="R758" i="71"/>
  <c r="U758" i="71" s="1"/>
  <c r="Y758" i="71"/>
  <c r="R573" i="71"/>
  <c r="U573" i="71" s="1"/>
  <c r="Y573" i="71"/>
  <c r="R729" i="71"/>
  <c r="U729" i="71" s="1"/>
  <c r="Y729" i="71"/>
  <c r="R765" i="71"/>
  <c r="U765" i="71" s="1"/>
  <c r="Y765" i="71"/>
  <c r="T622" i="71"/>
  <c r="Y667" i="71"/>
  <c r="R535" i="71"/>
  <c r="U535" i="71" s="1"/>
  <c r="T573" i="71"/>
  <c r="R692" i="71"/>
  <c r="U692" i="71" s="1"/>
  <c r="Y692" i="71"/>
  <c r="Y708" i="71"/>
  <c r="T705" i="71"/>
  <c r="R700" i="71"/>
  <c r="U700" i="71" s="1"/>
  <c r="Y700" i="71"/>
  <c r="R705" i="71"/>
  <c r="U705" i="71" s="1"/>
  <c r="R610" i="71"/>
  <c r="U610" i="71" s="1"/>
  <c r="Y610" i="71"/>
  <c r="R714" i="71"/>
  <c r="U714" i="71" s="1"/>
  <c r="T758" i="71"/>
  <c r="R830" i="71"/>
  <c r="U830" i="71" s="1"/>
  <c r="Y830" i="71"/>
  <c r="Y662" i="71"/>
  <c r="R622" i="71"/>
  <c r="U622" i="71" s="1"/>
  <c r="T735" i="71"/>
  <c r="T587" i="71"/>
  <c r="Y798" i="71"/>
  <c r="Y627" i="71"/>
  <c r="R702" i="71"/>
  <c r="U702" i="71" s="1"/>
  <c r="Y702" i="71"/>
  <c r="Y709" i="71"/>
  <c r="Y643" i="71"/>
  <c r="T576" i="71"/>
  <c r="Y576" i="71"/>
  <c r="Y814" i="71"/>
  <c r="Y597" i="71"/>
  <c r="R763" i="71"/>
  <c r="U763" i="71" s="1"/>
  <c r="Y763" i="71"/>
  <c r="Y676" i="71"/>
  <c r="Y775" i="71"/>
  <c r="Y766" i="71"/>
  <c r="Y771" i="71"/>
  <c r="R735" i="71"/>
  <c r="U735" i="71" s="1"/>
  <c r="R587" i="71"/>
  <c r="U587" i="71" s="1"/>
  <c r="T670" i="71"/>
  <c r="Y670" i="71"/>
  <c r="T659" i="71"/>
  <c r="Y726" i="71"/>
  <c r="R686" i="71"/>
  <c r="U686" i="71" s="1"/>
  <c r="Y686" i="71"/>
  <c r="T654" i="71"/>
  <c r="T702" i="71"/>
  <c r="R576" i="71"/>
  <c r="U576" i="71" s="1"/>
  <c r="T726" i="71"/>
  <c r="T778" i="71"/>
  <c r="R778" i="71"/>
  <c r="U778" i="71" s="1"/>
  <c r="R739" i="71"/>
  <c r="U739" i="71" s="1"/>
  <c r="T739" i="71"/>
  <c r="T742" i="71"/>
  <c r="R742" i="71"/>
  <c r="U742" i="71" s="1"/>
  <c r="T830" i="71"/>
  <c r="T692" i="71"/>
  <c r="T686" i="71"/>
  <c r="T783" i="71"/>
  <c r="R726" i="71"/>
  <c r="R783" i="71"/>
  <c r="T729" i="71"/>
  <c r="T765" i="71"/>
  <c r="R654" i="71"/>
  <c r="T810" i="71"/>
  <c r="R810" i="71"/>
  <c r="U646" i="71"/>
  <c r="R775" i="71"/>
  <c r="R717" i="71"/>
  <c r="T627" i="71"/>
  <c r="R627" i="71"/>
  <c r="T643" i="71"/>
  <c r="T510" i="71"/>
  <c r="R676" i="71"/>
  <c r="R790" i="71"/>
  <c r="R670" i="71"/>
  <c r="R643" i="71"/>
  <c r="T700" i="71"/>
  <c r="T610" i="71"/>
  <c r="R510" i="71"/>
  <c r="T676" i="71"/>
  <c r="R750" i="71"/>
  <c r="T750" i="71"/>
  <c r="R822" i="71"/>
  <c r="T822" i="71"/>
  <c r="R718" i="71"/>
  <c r="T718" i="71"/>
  <c r="R523" i="71"/>
  <c r="T523" i="71"/>
  <c r="R684" i="71"/>
  <c r="T684" i="71"/>
  <c r="R814" i="71"/>
  <c r="T814" i="71"/>
  <c r="R766" i="71"/>
  <c r="T766" i="71"/>
  <c r="R645" i="71"/>
  <c r="T645" i="71"/>
  <c r="R701" i="71"/>
  <c r="T701" i="71"/>
  <c r="R635" i="71"/>
  <c r="T635" i="71"/>
  <c r="R597" i="71"/>
  <c r="T597" i="71"/>
  <c r="R709" i="71"/>
  <c r="T709" i="71"/>
  <c r="R501" i="71"/>
  <c r="T501" i="71"/>
  <c r="R798" i="71"/>
  <c r="T798" i="71"/>
  <c r="R662" i="71"/>
  <c r="T662" i="71"/>
  <c r="R564" i="71"/>
  <c r="T564" i="71"/>
  <c r="R629" i="71"/>
  <c r="T629" i="71"/>
  <c r="R667" i="71"/>
  <c r="T667" i="71"/>
  <c r="R694" i="71"/>
  <c r="T694" i="71"/>
  <c r="R793" i="71"/>
  <c r="T793" i="71"/>
  <c r="R734" i="71"/>
  <c r="T734" i="71"/>
  <c r="R805" i="71"/>
  <c r="T805" i="71"/>
  <c r="R642" i="71"/>
  <c r="T642" i="71"/>
  <c r="R661" i="71"/>
  <c r="T661" i="71"/>
  <c r="R666" i="71"/>
  <c r="T666" i="71"/>
  <c r="R774" i="71"/>
  <c r="T774" i="71"/>
  <c r="R813" i="71"/>
  <c r="T813" i="71"/>
  <c r="R757" i="71"/>
  <c r="T757" i="71"/>
  <c r="R782" i="71"/>
  <c r="T782" i="71"/>
  <c r="R771" i="71"/>
  <c r="T771" i="71"/>
  <c r="R708" i="71"/>
  <c r="T708" i="71"/>
  <c r="R806" i="71"/>
  <c r="V811" i="69"/>
  <c r="C21" i="71"/>
  <c r="B21" i="71"/>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Y530" i="71" l="1"/>
  <c r="T504" i="71"/>
  <c r="Y722" i="71"/>
  <c r="Y631" i="71"/>
  <c r="R791" i="71"/>
  <c r="U791" i="71" s="1"/>
  <c r="AB617" i="71"/>
  <c r="AB560" i="71"/>
  <c r="T531" i="71"/>
  <c r="V531" i="71" s="1"/>
  <c r="AB789" i="71"/>
  <c r="AB614" i="71"/>
  <c r="T712" i="71"/>
  <c r="V712" i="71" s="1"/>
  <c r="R688" i="71"/>
  <c r="U688" i="71" s="1"/>
  <c r="T569" i="71"/>
  <c r="T688" i="71"/>
  <c r="T536" i="71"/>
  <c r="V536" i="71" s="1"/>
  <c r="T745" i="71"/>
  <c r="Y531" i="71"/>
  <c r="AB554" i="71"/>
  <c r="R560" i="71"/>
  <c r="U560" i="71" s="1"/>
  <c r="AB808" i="71"/>
  <c r="Y721" i="71"/>
  <c r="T545" i="71"/>
  <c r="T604" i="71"/>
  <c r="T631" i="71"/>
  <c r="V631" i="71" s="1"/>
  <c r="AB549" i="71"/>
  <c r="T671" i="71"/>
  <c r="T554" i="71"/>
  <c r="V554" i="71" s="1"/>
  <c r="R545" i="71"/>
  <c r="U545" i="71" s="1"/>
  <c r="AB695" i="71"/>
  <c r="AB582" i="71"/>
  <c r="R671" i="71"/>
  <c r="U671" i="71" s="1"/>
  <c r="R555" i="71"/>
  <c r="U555" i="71" s="1"/>
  <c r="T791" i="71"/>
  <c r="R549" i="71"/>
  <c r="U549" i="71" s="1"/>
  <c r="AB749" i="71"/>
  <c r="Y588" i="71"/>
  <c r="Y554" i="71"/>
  <c r="T588" i="71"/>
  <c r="R696" i="71"/>
  <c r="U696" i="71" s="1"/>
  <c r="AB504" i="71"/>
  <c r="AB683" i="71"/>
  <c r="Y545" i="71"/>
  <c r="R503" i="71"/>
  <c r="U503" i="71" s="1"/>
  <c r="Y555" i="71"/>
  <c r="Y712" i="71"/>
  <c r="AB697" i="71"/>
  <c r="R542" i="71"/>
  <c r="U542" i="71" s="1"/>
  <c r="T697" i="71"/>
  <c r="V697" i="71" s="1"/>
  <c r="Y653" i="71"/>
  <c r="AB795" i="71"/>
  <c r="AB752" i="71"/>
  <c r="R582" i="71"/>
  <c r="U582" i="71" s="1"/>
  <c r="AB596" i="71"/>
  <c r="AB671" i="71"/>
  <c r="AB517" i="71"/>
  <c r="R507" i="71"/>
  <c r="U507" i="71" s="1"/>
  <c r="AB781" i="71"/>
  <c r="T549" i="71"/>
  <c r="R655" i="71"/>
  <c r="U655" i="71" s="1"/>
  <c r="Y791" i="71"/>
  <c r="AB613" i="71"/>
  <c r="AB606" i="71"/>
  <c r="R681" i="71"/>
  <c r="U681" i="71" s="1"/>
  <c r="T681" i="71"/>
  <c r="V681" i="71" s="1"/>
  <c r="AB616" i="71"/>
  <c r="Y681" i="71"/>
  <c r="T819" i="71"/>
  <c r="R808" i="71"/>
  <c r="U808" i="71" s="1"/>
  <c r="T827" i="71"/>
  <c r="Y673" i="71"/>
  <c r="R588" i="71"/>
  <c r="U588" i="71" s="1"/>
  <c r="AB733" i="71"/>
  <c r="AB578" i="71"/>
  <c r="Y696" i="71"/>
  <c r="R653" i="71"/>
  <c r="U653" i="71" s="1"/>
  <c r="R591" i="71"/>
  <c r="U591" i="71" s="1"/>
  <c r="T683" i="71"/>
  <c r="AB712" i="71"/>
  <c r="Y785" i="71"/>
  <c r="R827" i="71"/>
  <c r="U827" i="71" s="1"/>
  <c r="T748" i="71"/>
  <c r="AB691" i="71"/>
  <c r="T691" i="71"/>
  <c r="V691" i="71" s="1"/>
  <c r="R553" i="71"/>
  <c r="U553" i="71" s="1"/>
  <c r="T517" i="71"/>
  <c r="R530" i="71"/>
  <c r="U530" i="71" s="1"/>
  <c r="R631" i="71"/>
  <c r="U631" i="71" s="1"/>
  <c r="AB530" i="71"/>
  <c r="Y697" i="71"/>
  <c r="R639" i="71"/>
  <c r="U639" i="71" s="1"/>
  <c r="Y589" i="71"/>
  <c r="AB653" i="71"/>
  <c r="AB678" i="71"/>
  <c r="R531" i="71"/>
  <c r="U531" i="71" s="1"/>
  <c r="T677" i="71"/>
  <c r="T605" i="71"/>
  <c r="R683" i="71"/>
  <c r="U683" i="71" s="1"/>
  <c r="AB722" i="71"/>
  <c r="R703" i="71"/>
  <c r="U703" i="71" s="1"/>
  <c r="T722" i="71"/>
  <c r="R731" i="71"/>
  <c r="U731" i="71" s="1"/>
  <c r="Y713" i="71"/>
  <c r="R769" i="71"/>
  <c r="U769" i="71" s="1"/>
  <c r="Y819" i="71"/>
  <c r="AB536" i="71"/>
  <c r="T792" i="71"/>
  <c r="AB745" i="71"/>
  <c r="AB569" i="71"/>
  <c r="T781" i="71"/>
  <c r="T617" i="71"/>
  <c r="AB520" i="71"/>
  <c r="AB649" i="71"/>
  <c r="T730" i="71"/>
  <c r="R575" i="71"/>
  <c r="U575" i="71" s="1"/>
  <c r="R589" i="71"/>
  <c r="U589" i="71" s="1"/>
  <c r="R614" i="71"/>
  <c r="U614" i="71" s="1"/>
  <c r="R532" i="71"/>
  <c r="U532" i="71" s="1"/>
  <c r="Y736" i="71"/>
  <c r="Y532" i="71"/>
  <c r="R738" i="71"/>
  <c r="U738" i="71" s="1"/>
  <c r="Y749" i="71"/>
  <c r="R772" i="71"/>
  <c r="U772" i="71" s="1"/>
  <c r="AB773" i="71"/>
  <c r="R720" i="71"/>
  <c r="U720" i="71" s="1"/>
  <c r="Y801" i="71"/>
  <c r="Y738" i="71"/>
  <c r="R515" i="71"/>
  <c r="U515" i="71" s="1"/>
  <c r="Y542" i="71"/>
  <c r="Y824" i="71"/>
  <c r="Y637" i="71"/>
  <c r="AB826" i="71"/>
  <c r="Y811" i="71"/>
  <c r="AB785" i="71"/>
  <c r="T811" i="71"/>
  <c r="AB811" i="71"/>
  <c r="Y511" i="71"/>
  <c r="AB736" i="71"/>
  <c r="T511" i="71"/>
  <c r="R764" i="71"/>
  <c r="U764" i="71" s="1"/>
  <c r="Y499" i="71"/>
  <c r="R617" i="71"/>
  <c r="U617" i="71" s="1"/>
  <c r="Y575" i="71"/>
  <c r="T499" i="71"/>
  <c r="AB532" i="71"/>
  <c r="AB663" i="71"/>
  <c r="T736" i="71"/>
  <c r="V736" i="71" s="1"/>
  <c r="T772" i="71"/>
  <c r="AB499" i="71"/>
  <c r="AB655" i="71"/>
  <c r="Y620" i="71"/>
  <c r="AB727" i="71"/>
  <c r="R786" i="71"/>
  <c r="U786" i="71" s="1"/>
  <c r="AB637" i="71"/>
  <c r="AB575" i="71"/>
  <c r="R638" i="71"/>
  <c r="U638" i="71" s="1"/>
  <c r="AB591" i="71"/>
  <c r="T591" i="71"/>
  <c r="R511" i="71"/>
  <c r="U511" i="71" s="1"/>
  <c r="T785" i="71"/>
  <c r="T544" i="71"/>
  <c r="V544" i="71" s="1"/>
  <c r="T663" i="71"/>
  <c r="AB544" i="71"/>
  <c r="V808" i="71"/>
  <c r="R826" i="71"/>
  <c r="U826" i="71" s="1"/>
  <c r="AB721" i="71"/>
  <c r="T502" i="71"/>
  <c r="Y614" i="71"/>
  <c r="Y544" i="71"/>
  <c r="AB720" i="71"/>
  <c r="T725" i="71"/>
  <c r="V725" i="71" s="1"/>
  <c r="V780" i="71"/>
  <c r="T824" i="71"/>
  <c r="AB620" i="71"/>
  <c r="AB561" i="71"/>
  <c r="Y598" i="71"/>
  <c r="T773" i="71"/>
  <c r="V773" i="71" s="1"/>
  <c r="R663" i="71"/>
  <c r="U663" i="71" s="1"/>
  <c r="R773" i="71"/>
  <c r="U773" i="71" s="1"/>
  <c r="T826" i="71"/>
  <c r="Y807" i="71"/>
  <c r="Y578" i="71"/>
  <c r="R678" i="71"/>
  <c r="U678" i="71" s="1"/>
  <c r="AB628" i="71"/>
  <c r="AB679" i="71"/>
  <c r="AB690" i="71"/>
  <c r="Y605" i="71"/>
  <c r="T673" i="71"/>
  <c r="V673" i="71" s="1"/>
  <c r="AB546" i="71"/>
  <c r="T557" i="71"/>
  <c r="T761" i="71"/>
  <c r="R659" i="71"/>
  <c r="U659" i="71" s="1"/>
  <c r="Y690" i="71"/>
  <c r="T807" i="71"/>
  <c r="V807" i="71" s="1"/>
  <c r="Y579" i="71"/>
  <c r="Y743" i="71"/>
  <c r="AB770" i="71"/>
  <c r="R690" i="71"/>
  <c r="U690" i="71" s="1"/>
  <c r="R754" i="71"/>
  <c r="U754" i="71" s="1"/>
  <c r="Y599" i="71"/>
  <c r="T538" i="71"/>
  <c r="AB513" i="71"/>
  <c r="R605" i="71"/>
  <c r="U605" i="71" s="1"/>
  <c r="R743" i="71"/>
  <c r="U743" i="71" s="1"/>
  <c r="AB675" i="71"/>
  <c r="T675" i="71"/>
  <c r="R615" i="71"/>
  <c r="U615" i="71" s="1"/>
  <c r="Y522" i="71"/>
  <c r="R599" i="71"/>
  <c r="U599" i="71" s="1"/>
  <c r="T537" i="71"/>
  <c r="AB634" i="71"/>
  <c r="R634" i="71"/>
  <c r="U634" i="71" s="1"/>
  <c r="AB541" i="71"/>
  <c r="Y679" i="71"/>
  <c r="T628" i="71"/>
  <c r="AB743" i="71"/>
  <c r="AB522" i="71"/>
  <c r="T522" i="71"/>
  <c r="V522" i="71" s="1"/>
  <c r="R761" i="71"/>
  <c r="U761" i="71" s="1"/>
  <c r="Y634" i="71"/>
  <c r="R770" i="71"/>
  <c r="U770" i="71" s="1"/>
  <c r="R626" i="71"/>
  <c r="U626" i="71" s="1"/>
  <c r="Y626" i="71"/>
  <c r="T514" i="71"/>
  <c r="V514" i="71" s="1"/>
  <c r="AB794" i="71"/>
  <c r="V683" i="71"/>
  <c r="AB563" i="71"/>
  <c r="Y656" i="71"/>
  <c r="Y720" i="71"/>
  <c r="R595" i="71"/>
  <c r="U595" i="71" s="1"/>
  <c r="AB615" i="71"/>
  <c r="R828" i="71"/>
  <c r="U828" i="71" s="1"/>
  <c r="R516" i="71"/>
  <c r="U516" i="71" s="1"/>
  <c r="R823" i="71"/>
  <c r="U823" i="71" s="1"/>
  <c r="AB594" i="71"/>
  <c r="T723" i="71"/>
  <c r="Y514" i="71"/>
  <c r="T546" i="71"/>
  <c r="T770" i="71"/>
  <c r="V770" i="71" s="1"/>
  <c r="T703" i="71"/>
  <c r="AB514" i="71"/>
  <c r="R679" i="71"/>
  <c r="U679" i="71" s="1"/>
  <c r="R794" i="71"/>
  <c r="U794" i="71" s="1"/>
  <c r="AB827" i="71"/>
  <c r="AB761" i="71"/>
  <c r="Y823" i="71"/>
  <c r="Y659" i="71"/>
  <c r="Y794" i="71"/>
  <c r="T698" i="71"/>
  <c r="V698" i="71" s="1"/>
  <c r="T731" i="71"/>
  <c r="V731" i="71" s="1"/>
  <c r="Y703" i="71"/>
  <c r="AB823" i="71"/>
  <c r="AB673" i="71"/>
  <c r="AB568" i="71"/>
  <c r="R546" i="71"/>
  <c r="U546" i="71" s="1"/>
  <c r="T578" i="71"/>
  <c r="R557" i="71"/>
  <c r="U557" i="71" s="1"/>
  <c r="T561" i="71"/>
  <c r="T580" i="71"/>
  <c r="Y515" i="71"/>
  <c r="V649" i="71"/>
  <c r="AB515" i="71"/>
  <c r="Y509" i="71"/>
  <c r="Y665" i="71"/>
  <c r="AB689" i="71"/>
  <c r="T665" i="71"/>
  <c r="V665" i="71" s="1"/>
  <c r="V724" i="71"/>
  <c r="R533" i="71"/>
  <c r="U533" i="71" s="1"/>
  <c r="R509" i="71"/>
  <c r="U509" i="71" s="1"/>
  <c r="T636" i="71"/>
  <c r="Y533" i="71"/>
  <c r="R762" i="71"/>
  <c r="U762" i="71" s="1"/>
  <c r="Y828" i="71"/>
  <c r="Y804" i="71"/>
  <c r="T685" i="71"/>
  <c r="V685" i="71" s="1"/>
  <c r="R656" i="71"/>
  <c r="U656" i="71" s="1"/>
  <c r="AB586" i="71"/>
  <c r="AB657" i="71"/>
  <c r="T817" i="71"/>
  <c r="AB503" i="71"/>
  <c r="R737" i="71"/>
  <c r="U737" i="71" s="1"/>
  <c r="AB828" i="71"/>
  <c r="T640" i="71"/>
  <c r="V640" i="71" s="1"/>
  <c r="Y611" i="71"/>
  <c r="AB801" i="71"/>
  <c r="R568" i="71"/>
  <c r="U568" i="71" s="1"/>
  <c r="R740" i="71"/>
  <c r="U740" i="71" s="1"/>
  <c r="R802" i="71"/>
  <c r="U802" i="71" s="1"/>
  <c r="R727" i="71"/>
  <c r="U727" i="71" s="1"/>
  <c r="T568" i="71"/>
  <c r="V568" i="71" s="1"/>
  <c r="Y556" i="71"/>
  <c r="AB525" i="71"/>
  <c r="T577" i="71"/>
  <c r="R528" i="71"/>
  <c r="U528" i="71" s="1"/>
  <c r="T776" i="71"/>
  <c r="V776" i="71" s="1"/>
  <c r="T508" i="71"/>
  <c r="AB528" i="71"/>
  <c r="Y658" i="71"/>
  <c r="R537" i="71"/>
  <c r="U537" i="71" s="1"/>
  <c r="AB500" i="71"/>
  <c r="R809" i="71"/>
  <c r="U809" i="71" s="1"/>
  <c r="T626" i="71"/>
  <c r="R547" i="71"/>
  <c r="U547" i="71" s="1"/>
  <c r="T768" i="71"/>
  <c r="V768" i="71" s="1"/>
  <c r="T641" i="71"/>
  <c r="V641" i="71" s="1"/>
  <c r="T693" i="71"/>
  <c r="V693" i="71" s="1"/>
  <c r="T812" i="71"/>
  <c r="AB556" i="71"/>
  <c r="Y668" i="71"/>
  <c r="Y534" i="71"/>
  <c r="AB668" i="71"/>
  <c r="AB804" i="71"/>
  <c r="AB623" i="71"/>
  <c r="T762" i="71"/>
  <c r="V762" i="71" s="1"/>
  <c r="T767" i="71"/>
  <c r="Y547" i="71"/>
  <c r="AB604" i="71"/>
  <c r="R658" i="71"/>
  <c r="U658" i="71" s="1"/>
  <c r="V614" i="71"/>
  <c r="Y689" i="71"/>
  <c r="T509" i="71"/>
  <c r="Y552" i="71"/>
  <c r="T656" i="71"/>
  <c r="AB809" i="71"/>
  <c r="T809" i="71"/>
  <c r="R728" i="71"/>
  <c r="U728" i="71" s="1"/>
  <c r="T556" i="71"/>
  <c r="V556" i="71" s="1"/>
  <c r="T598" i="71"/>
  <c r="V598" i="71" s="1"/>
  <c r="T715" i="71"/>
  <c r="V715" i="71" s="1"/>
  <c r="Y633" i="71"/>
  <c r="R644" i="71"/>
  <c r="U644" i="71" s="1"/>
  <c r="AB557" i="71"/>
  <c r="AB508" i="71"/>
  <c r="AB598" i="71"/>
  <c r="R636" i="71"/>
  <c r="U636" i="71" s="1"/>
  <c r="Y562" i="71"/>
  <c r="R745" i="71"/>
  <c r="U745" i="71" s="1"/>
  <c r="AB638" i="71"/>
  <c r="Y715" i="71"/>
  <c r="AB715" i="71"/>
  <c r="Y636" i="71"/>
  <c r="Y762" i="71"/>
  <c r="AB580" i="71"/>
  <c r="T611" i="71"/>
  <c r="R498" i="71"/>
  <c r="U498" i="71" s="1"/>
  <c r="Y632" i="71"/>
  <c r="AB632" i="71"/>
  <c r="T737" i="71"/>
  <c r="T503" i="71"/>
  <c r="R580" i="71"/>
  <c r="U580" i="71" s="1"/>
  <c r="R801" i="71"/>
  <c r="U801" i="71" s="1"/>
  <c r="T815" i="71"/>
  <c r="Y521" i="71"/>
  <c r="T534" i="71"/>
  <c r="V534" i="71" s="1"/>
  <c r="R581" i="71"/>
  <c r="U581" i="71" s="1"/>
  <c r="AB633" i="71"/>
  <c r="T800" i="71"/>
  <c r="T633" i="71"/>
  <c r="V633" i="71" s="1"/>
  <c r="AB562" i="71"/>
  <c r="T586" i="71"/>
  <c r="R562" i="71"/>
  <c r="U562" i="71" s="1"/>
  <c r="R689" i="71"/>
  <c r="U689" i="71" s="1"/>
  <c r="Y727" i="71"/>
  <c r="R776" i="71"/>
  <c r="U776" i="71" s="1"/>
  <c r="AB640" i="71"/>
  <c r="Y638" i="71"/>
  <c r="R502" i="71"/>
  <c r="U502" i="71" s="1"/>
  <c r="AB731" i="71"/>
  <c r="T797" i="71"/>
  <c r="V797" i="71" s="1"/>
  <c r="R604" i="71"/>
  <c r="U604" i="71" s="1"/>
  <c r="T831" i="71"/>
  <c r="Y699" i="71"/>
  <c r="T647" i="71"/>
  <c r="T632" i="71"/>
  <c r="V632" i="71" s="1"/>
  <c r="Y498" i="71"/>
  <c r="R647" i="71"/>
  <c r="U647" i="71" s="1"/>
  <c r="R586" i="71"/>
  <c r="U586" i="71" s="1"/>
  <c r="AB647" i="71"/>
  <c r="R796" i="71"/>
  <c r="U796" i="71" s="1"/>
  <c r="T802" i="71"/>
  <c r="T525" i="71"/>
  <c r="T581" i="71"/>
  <c r="T612" i="71"/>
  <c r="AB776" i="71"/>
  <c r="R668" i="71"/>
  <c r="U668" i="71" s="1"/>
  <c r="AB693" i="71"/>
  <c r="R594" i="71"/>
  <c r="U594" i="71" s="1"/>
  <c r="AB685" i="71"/>
  <c r="AB737" i="71"/>
  <c r="R508" i="71"/>
  <c r="U508" i="71" s="1"/>
  <c r="R804" i="71"/>
  <c r="U804" i="71" s="1"/>
  <c r="AB502" i="71"/>
  <c r="AB767" i="71"/>
  <c r="AB800" i="71"/>
  <c r="V607" i="71"/>
  <c r="R561" i="71"/>
  <c r="U561" i="71" s="1"/>
  <c r="Y612" i="71"/>
  <c r="R612" i="71"/>
  <c r="U612" i="71" s="1"/>
  <c r="T658" i="71"/>
  <c r="AB751" i="71"/>
  <c r="R747" i="71"/>
  <c r="U747" i="71" s="1"/>
  <c r="AB498" i="71"/>
  <c r="AB769" i="71"/>
  <c r="R751" i="71"/>
  <c r="U751" i="71" s="1"/>
  <c r="AB641" i="71"/>
  <c r="AB533" i="71"/>
  <c r="T543" i="71"/>
  <c r="V543" i="71" s="1"/>
  <c r="R815" i="71"/>
  <c r="U815" i="71" s="1"/>
  <c r="V815" i="71" s="1"/>
  <c r="Y740" i="71"/>
  <c r="AB796" i="71"/>
  <c r="Y796" i="71"/>
  <c r="T594" i="71"/>
  <c r="Y525" i="71"/>
  <c r="T687" i="71"/>
  <c r="V606" i="71"/>
  <c r="Y789" i="71"/>
  <c r="V583" i="71"/>
  <c r="T716" i="71"/>
  <c r="T497" i="71"/>
  <c r="Y574" i="71"/>
  <c r="AB672" i="71"/>
  <c r="R787" i="71"/>
  <c r="U787" i="71" s="1"/>
  <c r="T789" i="71"/>
  <c r="V789" i="71" s="1"/>
  <c r="T603" i="71"/>
  <c r="R497" i="71"/>
  <c r="U497" i="71" s="1"/>
  <c r="AB799" i="71"/>
  <c r="AB527" i="71"/>
  <c r="R571" i="71"/>
  <c r="U571" i="71" s="1"/>
  <c r="AB650" i="71"/>
  <c r="Y624" i="71"/>
  <c r="Y608" i="71"/>
  <c r="T674" i="71"/>
  <c r="V674" i="71" s="1"/>
  <c r="Y644" i="71"/>
  <c r="Y833" i="71"/>
  <c r="R716" i="71"/>
  <c r="U716" i="71" s="1"/>
  <c r="Y559" i="71"/>
  <c r="R812" i="71"/>
  <c r="U812" i="71" s="1"/>
  <c r="T592" i="71"/>
  <c r="V592" i="71" s="1"/>
  <c r="T550" i="71"/>
  <c r="T496" i="71"/>
  <c r="Y831" i="71"/>
  <c r="Y803" i="71"/>
  <c r="R538" i="71"/>
  <c r="U538" i="71" s="1"/>
  <c r="R707" i="71"/>
  <c r="U707" i="71" s="1"/>
  <c r="Y747" i="71"/>
  <c r="Y746" i="71"/>
  <c r="T539" i="71"/>
  <c r="V539" i="71" s="1"/>
  <c r="T552" i="71"/>
  <c r="V552" i="71" s="1"/>
  <c r="AB829" i="71"/>
  <c r="V609" i="71"/>
  <c r="V816" i="71"/>
  <c r="T608" i="71"/>
  <c r="V499" i="71"/>
  <c r="V530" i="71"/>
  <c r="AB660" i="71"/>
  <c r="R695" i="71"/>
  <c r="U695" i="71" s="1"/>
  <c r="R496" i="71"/>
  <c r="U496" i="71" s="1"/>
  <c r="T786" i="71"/>
  <c r="T506" i="71"/>
  <c r="Y505" i="71"/>
  <c r="Y648" i="71"/>
  <c r="Y695" i="71"/>
  <c r="Y660" i="71"/>
  <c r="R651" i="71"/>
  <c r="U651" i="71" s="1"/>
  <c r="AB786" i="71"/>
  <c r="Y529" i="71"/>
  <c r="AB565" i="71"/>
  <c r="R732" i="71"/>
  <c r="U732" i="71" s="1"/>
  <c r="R669" i="71"/>
  <c r="U669" i="71" s="1"/>
  <c r="R618" i="71"/>
  <c r="U618" i="71" s="1"/>
  <c r="Y678" i="71"/>
  <c r="Y825" i="71"/>
  <c r="T728" i="71"/>
  <c r="T595" i="71"/>
  <c r="Y567" i="71"/>
  <c r="Y754" i="71"/>
  <c r="Y767" i="71"/>
  <c r="Y623" i="71"/>
  <c r="AB590" i="71"/>
  <c r="Y607" i="71"/>
  <c r="Y677" i="71"/>
  <c r="T541" i="71"/>
  <c r="Y764" i="71"/>
  <c r="AB784" i="71"/>
  <c r="Y784" i="71"/>
  <c r="T721" i="71"/>
  <c r="V721" i="71" s="1"/>
  <c r="Y832" i="71"/>
  <c r="AB600" i="71"/>
  <c r="T574" i="71"/>
  <c r="Y650" i="71"/>
  <c r="R577" i="71"/>
  <c r="U577" i="71" s="1"/>
  <c r="T593" i="71"/>
  <c r="V593" i="71" s="1"/>
  <c r="Y795" i="71"/>
  <c r="R755" i="71"/>
  <c r="U755" i="71" s="1"/>
  <c r="Y698" i="71"/>
  <c r="Y512" i="71"/>
  <c r="Y563" i="71"/>
  <c r="R759" i="71"/>
  <c r="U759" i="71" s="1"/>
  <c r="Y577" i="71"/>
  <c r="Y818" i="71"/>
  <c r="AB585" i="71"/>
  <c r="Y755" i="71"/>
  <c r="AB677" i="71"/>
  <c r="AB744" i="71"/>
  <c r="R574" i="71"/>
  <c r="U574" i="71" s="1"/>
  <c r="R541" i="71"/>
  <c r="U541" i="71" s="1"/>
  <c r="Y657" i="71"/>
  <c r="T755" i="71"/>
  <c r="AB831" i="71"/>
  <c r="Y538" i="71"/>
  <c r="AB608" i="71"/>
  <c r="R630" i="71"/>
  <c r="U630" i="71" s="1"/>
  <c r="T756" i="71"/>
  <c r="T657" i="71"/>
  <c r="V657" i="71" s="1"/>
  <c r="Y756" i="71"/>
  <c r="AB820" i="71"/>
  <c r="AB787" i="71"/>
  <c r="AB716" i="71"/>
  <c r="R563" i="71"/>
  <c r="U563" i="71" s="1"/>
  <c r="Y728" i="71"/>
  <c r="Y672" i="71"/>
  <c r="R706" i="71"/>
  <c r="U706" i="71" s="1"/>
  <c r="R504" i="71"/>
  <c r="U504" i="71" s="1"/>
  <c r="Y674" i="71"/>
  <c r="R799" i="71"/>
  <c r="U799" i="71" s="1"/>
  <c r="Y741" i="71"/>
  <c r="AB833" i="71"/>
  <c r="Y651" i="71"/>
  <c r="T644" i="71"/>
  <c r="R550" i="71"/>
  <c r="U550" i="71" s="1"/>
  <c r="V572" i="71"/>
  <c r="T744" i="71"/>
  <c r="V744" i="71" s="1"/>
  <c r="T749" i="71"/>
  <c r="V749" i="71" s="1"/>
  <c r="Y543" i="71"/>
  <c r="Y723" i="71"/>
  <c r="T699" i="71"/>
  <c r="V699" i="71" s="1"/>
  <c r="AB824" i="71"/>
  <c r="R682" i="71"/>
  <c r="U682" i="71" s="1"/>
  <c r="T738" i="71"/>
  <c r="AB548" i="71"/>
  <c r="Y802" i="71"/>
  <c r="R741" i="71"/>
  <c r="U741" i="71" s="1"/>
  <c r="R820" i="71"/>
  <c r="U820" i="71" s="1"/>
  <c r="R792" i="71"/>
  <c r="U792" i="71" s="1"/>
  <c r="AB687" i="71"/>
  <c r="Y516" i="71"/>
  <c r="R675" i="71"/>
  <c r="U675" i="71" s="1"/>
  <c r="R613" i="71"/>
  <c r="U613" i="71" s="1"/>
  <c r="T784" i="71"/>
  <c r="AB621" i="71"/>
  <c r="R756" i="71"/>
  <c r="U756" i="71" s="1"/>
  <c r="AB602" i="71"/>
  <c r="R710" i="71"/>
  <c r="U710" i="71" s="1"/>
  <c r="Y788" i="71"/>
  <c r="R513" i="71"/>
  <c r="U513" i="71" s="1"/>
  <c r="R817" i="71"/>
  <c r="U817" i="71" s="1"/>
  <c r="Y630" i="71"/>
  <c r="V779" i="71"/>
  <c r="AB496" i="71"/>
  <c r="Y539" i="71"/>
  <c r="R833" i="71"/>
  <c r="U833" i="71" s="1"/>
  <c r="T571" i="71"/>
  <c r="V571" i="71" s="1"/>
  <c r="AB571" i="71"/>
  <c r="T799" i="71"/>
  <c r="T585" i="71"/>
  <c r="V585" i="71" s="1"/>
  <c r="T559" i="71"/>
  <c r="V559" i="71" s="1"/>
  <c r="R825" i="71"/>
  <c r="U825" i="71" s="1"/>
  <c r="Y585" i="71"/>
  <c r="R818" i="71"/>
  <c r="U818" i="71" s="1"/>
  <c r="AB512" i="71"/>
  <c r="T660" i="71"/>
  <c r="V660" i="71" s="1"/>
  <c r="AB516" i="71"/>
  <c r="R590" i="71"/>
  <c r="U590" i="71" s="1"/>
  <c r="R648" i="71"/>
  <c r="U648" i="71" s="1"/>
  <c r="AB832" i="71"/>
  <c r="AB754" i="71"/>
  <c r="AB764" i="71"/>
  <c r="T747" i="71"/>
  <c r="V747" i="71" s="1"/>
  <c r="AB593" i="71"/>
  <c r="T820" i="71"/>
  <c r="AB746" i="71"/>
  <c r="V616" i="71"/>
  <c r="AB552" i="71"/>
  <c r="T672" i="71"/>
  <c r="V672" i="71" s="1"/>
  <c r="T787" i="71"/>
  <c r="V526" i="71"/>
  <c r="Y621" i="71"/>
  <c r="AB825" i="71"/>
  <c r="R650" i="71"/>
  <c r="U650" i="71" s="1"/>
  <c r="AB603" i="71"/>
  <c r="R603" i="71"/>
  <c r="U603" i="71" s="1"/>
  <c r="Y548" i="71"/>
  <c r="T565" i="71"/>
  <c r="Y669" i="71"/>
  <c r="T567" i="71"/>
  <c r="T624" i="71"/>
  <c r="V624" i="71" s="1"/>
  <c r="AB506" i="71"/>
  <c r="R506" i="71"/>
  <c r="U506" i="71" s="1"/>
  <c r="V519" i="71"/>
  <c r="AB698" i="71"/>
  <c r="R795" i="71"/>
  <c r="U795" i="71" s="1"/>
  <c r="AB539" i="71"/>
  <c r="Y613" i="71"/>
  <c r="AB707" i="71"/>
  <c r="Y817" i="71"/>
  <c r="Y595" i="71"/>
  <c r="Y592" i="71"/>
  <c r="AB759" i="71"/>
  <c r="T600" i="71"/>
  <c r="V819" i="71"/>
  <c r="T618" i="71"/>
  <c r="T527" i="71"/>
  <c r="V796" i="71"/>
  <c r="Y732" i="71"/>
  <c r="Y618" i="71"/>
  <c r="AB723" i="71"/>
  <c r="Y550" i="71"/>
  <c r="T542" i="71"/>
  <c r="V542" i="71" s="1"/>
  <c r="V752" i="71"/>
  <c r="T621" i="71"/>
  <c r="V621" i="71" s="1"/>
  <c r="R829" i="71"/>
  <c r="U829" i="71" s="1"/>
  <c r="Y513" i="71"/>
  <c r="AB710" i="71"/>
  <c r="AB592" i="71"/>
  <c r="Y829" i="71"/>
  <c r="Y593" i="71"/>
  <c r="Y602" i="71"/>
  <c r="T759" i="71"/>
  <c r="Y812" i="71"/>
  <c r="R600" i="71"/>
  <c r="U600" i="71" s="1"/>
  <c r="T548" i="71"/>
  <c r="V548" i="71" s="1"/>
  <c r="Y497" i="71"/>
  <c r="AB682" i="71"/>
  <c r="Y682" i="71"/>
  <c r="T669" i="71"/>
  <c r="AB567" i="71"/>
  <c r="T732" i="71"/>
  <c r="R784" i="71"/>
  <c r="U784" i="71" s="1"/>
  <c r="R687" i="71"/>
  <c r="U687" i="71" s="1"/>
  <c r="T648" i="71"/>
  <c r="R527" i="71"/>
  <c r="U527" i="71" s="1"/>
  <c r="V520" i="71"/>
  <c r="V634" i="71"/>
  <c r="Y744" i="71"/>
  <c r="T512" i="71"/>
  <c r="V512" i="71" s="1"/>
  <c r="AB803" i="71"/>
  <c r="V722" i="71"/>
  <c r="Y710" i="71"/>
  <c r="R746" i="71"/>
  <c r="U746" i="71" s="1"/>
  <c r="V746" i="71" s="1"/>
  <c r="R803" i="71"/>
  <c r="U803" i="71" s="1"/>
  <c r="V579" i="71"/>
  <c r="R565" i="71"/>
  <c r="U565" i="71" s="1"/>
  <c r="V575" i="71"/>
  <c r="V668" i="71"/>
  <c r="V800" i="71"/>
  <c r="V545" i="71"/>
  <c r="V553" i="71"/>
  <c r="V821" i="71"/>
  <c r="V500" i="71"/>
  <c r="V652" i="71"/>
  <c r="V639" i="71"/>
  <c r="V826" i="71"/>
  <c r="V524" i="71"/>
  <c r="V578" i="71"/>
  <c r="V582" i="71"/>
  <c r="V781" i="71"/>
  <c r="V557" i="71"/>
  <c r="V521" i="71"/>
  <c r="V617" i="71"/>
  <c r="V529" i="71"/>
  <c r="V637" i="71"/>
  <c r="V730" i="71"/>
  <c r="V525" i="71"/>
  <c r="V594" i="71"/>
  <c r="V505" i="71"/>
  <c r="V528" i="71"/>
  <c r="V567" i="71"/>
  <c r="V723" i="71"/>
  <c r="V788" i="71"/>
  <c r="V615" i="71"/>
  <c r="V601" i="71"/>
  <c r="V620" i="71"/>
  <c r="V733" i="71"/>
  <c r="V824" i="71"/>
  <c r="V517" i="71"/>
  <c r="V584" i="71"/>
  <c r="V785" i="71"/>
  <c r="V777" i="71"/>
  <c r="V710" i="71"/>
  <c r="V811" i="71"/>
  <c r="V596" i="71"/>
  <c r="V704" i="71"/>
  <c r="V832" i="71"/>
  <c r="V751" i="71"/>
  <c r="V549" i="71"/>
  <c r="V828" i="71"/>
  <c r="V772" i="71"/>
  <c r="V532" i="71"/>
  <c r="V711" i="71"/>
  <c r="V791" i="71"/>
  <c r="V533" i="71"/>
  <c r="V719" i="71"/>
  <c r="V713" i="71"/>
  <c r="V769" i="71"/>
  <c r="V569" i="71"/>
  <c r="V570" i="71"/>
  <c r="V809" i="71"/>
  <c r="V563" i="71"/>
  <c r="V518" i="71"/>
  <c r="V707" i="71"/>
  <c r="V677" i="71"/>
  <c r="V767" i="71"/>
  <c r="V608" i="71"/>
  <c r="V663" i="71"/>
  <c r="V656" i="71"/>
  <c r="V602" i="71"/>
  <c r="V760" i="71"/>
  <c r="V625" i="71"/>
  <c r="V720" i="71"/>
  <c r="V611" i="71"/>
  <c r="V748" i="71"/>
  <c r="V626" i="71"/>
  <c r="V688" i="71"/>
  <c r="V623" i="71"/>
  <c r="V619" i="71"/>
  <c r="V628" i="71"/>
  <c r="V831" i="71"/>
  <c r="V680" i="71"/>
  <c r="V818" i="71"/>
  <c r="V664" i="71"/>
  <c r="V690" i="71"/>
  <c r="V540" i="71"/>
  <c r="V599" i="71"/>
  <c r="V591" i="71"/>
  <c r="V646" i="71"/>
  <c r="V622" i="71"/>
  <c r="V576" i="71"/>
  <c r="V758" i="71"/>
  <c r="V702" i="71"/>
  <c r="V558" i="71"/>
  <c r="AB20" i="71"/>
  <c r="AC20" i="71"/>
  <c r="V551" i="71"/>
  <c r="V729" i="71"/>
  <c r="V587" i="71"/>
  <c r="V573" i="71"/>
  <c r="V535" i="71"/>
  <c r="V686" i="71"/>
  <c r="V566" i="71"/>
  <c r="V700" i="71"/>
  <c r="V763" i="71"/>
  <c r="T20" i="71"/>
  <c r="Y20" i="71"/>
  <c r="R20" i="71"/>
  <c r="U20" i="71" s="1"/>
  <c r="V692" i="71"/>
  <c r="V714" i="71"/>
  <c r="V830" i="71"/>
  <c r="V735" i="71"/>
  <c r="V739" i="71"/>
  <c r="V610" i="71"/>
  <c r="V705" i="71"/>
  <c r="V742" i="71"/>
  <c r="V778" i="71"/>
  <c r="V765" i="71"/>
  <c r="U642" i="71"/>
  <c r="V642" i="71" s="1"/>
  <c r="U771" i="71"/>
  <c r="V771" i="71" s="1"/>
  <c r="U793" i="71"/>
  <c r="V793" i="71" s="1"/>
  <c r="U501" i="71"/>
  <c r="V501" i="71" s="1"/>
  <c r="U635" i="71"/>
  <c r="V635" i="71" s="1"/>
  <c r="U775" i="71"/>
  <c r="V775" i="71" s="1"/>
  <c r="U726" i="71"/>
  <c r="V726" i="71" s="1"/>
  <c r="U806" i="71"/>
  <c r="V806" i="71" s="1"/>
  <c r="U774" i="71"/>
  <c r="V774" i="71" s="1"/>
  <c r="U805" i="71"/>
  <c r="V805" i="71" s="1"/>
  <c r="U814" i="71"/>
  <c r="V814" i="71" s="1"/>
  <c r="U822" i="71"/>
  <c r="V822" i="71" s="1"/>
  <c r="U643" i="71"/>
  <c r="V643" i="71" s="1"/>
  <c r="U701" i="71"/>
  <c r="V701" i="71" s="1"/>
  <c r="U670" i="71"/>
  <c r="V670" i="71" s="1"/>
  <c r="U783" i="71"/>
  <c r="V783" i="71" s="1"/>
  <c r="U666" i="71"/>
  <c r="V666" i="71" s="1"/>
  <c r="U684" i="71"/>
  <c r="V684" i="71" s="1"/>
  <c r="U750" i="71"/>
  <c r="V750" i="71" s="1"/>
  <c r="U790" i="71"/>
  <c r="V790" i="71" s="1"/>
  <c r="U810" i="71"/>
  <c r="V810" i="71" s="1"/>
  <c r="U813" i="71"/>
  <c r="V813" i="71" s="1"/>
  <c r="U782" i="71"/>
  <c r="V782" i="71" s="1"/>
  <c r="U564" i="71"/>
  <c r="V564" i="71" s="1"/>
  <c r="U757" i="71"/>
  <c r="V757" i="71" s="1"/>
  <c r="U694" i="71"/>
  <c r="V694" i="71" s="1"/>
  <c r="U661" i="71"/>
  <c r="V661" i="71" s="1"/>
  <c r="U676" i="71"/>
  <c r="V676" i="71" s="1"/>
  <c r="U718" i="71"/>
  <c r="V718" i="71" s="1"/>
  <c r="U709" i="71"/>
  <c r="V709" i="71" s="1"/>
  <c r="U662" i="71"/>
  <c r="V662" i="71" s="1"/>
  <c r="U645" i="71"/>
  <c r="V645" i="71" s="1"/>
  <c r="U510" i="71"/>
  <c r="V510" i="71" s="1"/>
  <c r="U717" i="71"/>
  <c r="V717" i="71" s="1"/>
  <c r="U708" i="71"/>
  <c r="V708" i="71" s="1"/>
  <c r="U667" i="71"/>
  <c r="V667" i="71" s="1"/>
  <c r="U798" i="71"/>
  <c r="V798" i="71" s="1"/>
  <c r="U597" i="71"/>
  <c r="V597" i="71" s="1"/>
  <c r="U766" i="71"/>
  <c r="V766" i="71" s="1"/>
  <c r="U627" i="71"/>
  <c r="V627" i="71" s="1"/>
  <c r="U654" i="71"/>
  <c r="V654" i="71" s="1"/>
  <c r="U523" i="71"/>
  <c r="V523" i="71" s="1"/>
  <c r="U734" i="71"/>
  <c r="V734" i="71" s="1"/>
  <c r="U629" i="71"/>
  <c r="V629" i="71" s="1"/>
  <c r="V743" i="69"/>
  <c r="E21" i="71"/>
  <c r="J21" i="71" s="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V678" i="71" l="1"/>
  <c r="V703" i="71"/>
  <c r="V740" i="71"/>
  <c r="V546" i="71"/>
  <c r="V555" i="71"/>
  <c r="V653" i="71"/>
  <c r="V738" i="71"/>
  <c r="V547" i="71"/>
  <c r="V588" i="71"/>
  <c r="V589" i="71"/>
  <c r="V658" i="71"/>
  <c r="V503" i="71"/>
  <c r="V827" i="71"/>
  <c r="V696" i="71"/>
  <c r="V786" i="71"/>
  <c r="V507" i="71"/>
  <c r="V754" i="71"/>
  <c r="V655" i="71"/>
  <c r="V560" i="71"/>
  <c r="V509" i="71"/>
  <c r="V659" i="71"/>
  <c r="V829" i="71"/>
  <c r="V671" i="71"/>
  <c r="V515" i="71"/>
  <c r="V799" i="71"/>
  <c r="V586" i="71"/>
  <c r="V603" i="71"/>
  <c r="V755" i="71"/>
  <c r="V732" i="71"/>
  <c r="V638" i="71"/>
  <c r="V636" i="71"/>
  <c r="V695" i="71"/>
  <c r="V511" i="71"/>
  <c r="V764" i="71"/>
  <c r="V651" i="71"/>
  <c r="V706" i="71"/>
  <c r="V817" i="71"/>
  <c r="V595" i="71"/>
  <c r="V516" i="71"/>
  <c r="V613" i="71"/>
  <c r="V689" i="71"/>
  <c r="V728" i="71"/>
  <c r="V498" i="71"/>
  <c r="V787" i="71"/>
  <c r="V743" i="71"/>
  <c r="V618" i="71"/>
  <c r="V562" i="71"/>
  <c r="V804" i="71"/>
  <c r="V794" i="71"/>
  <c r="V650" i="71"/>
  <c r="V647" i="71"/>
  <c r="V802" i="71"/>
  <c r="V561" i="71"/>
  <c r="V745" i="71"/>
  <c r="V605" i="71"/>
  <c r="V502" i="71"/>
  <c r="V761" i="71"/>
  <c r="V823" i="71"/>
  <c r="V577" i="71"/>
  <c r="V679" i="71"/>
  <c r="V537" i="71"/>
  <c r="V737" i="71"/>
  <c r="V687" i="71"/>
  <c r="V580" i="71"/>
  <c r="V803" i="71"/>
  <c r="V574" i="71"/>
  <c r="V604" i="71"/>
  <c r="V581" i="71"/>
  <c r="V833" i="71"/>
  <c r="V727" i="71"/>
  <c r="V508" i="71"/>
  <c r="V820" i="71"/>
  <c r="V550" i="71"/>
  <c r="V795" i="71"/>
  <c r="V612" i="71"/>
  <c r="V590" i="71"/>
  <c r="V630" i="71"/>
  <c r="V644" i="71"/>
  <c r="V541" i="71"/>
  <c r="V801" i="71"/>
  <c r="V756" i="71"/>
  <c r="V716" i="71"/>
  <c r="V648" i="71"/>
  <c r="V759" i="71"/>
  <c r="V504" i="71"/>
  <c r="V812" i="71"/>
  <c r="V784" i="71"/>
  <c r="V538" i="71"/>
  <c r="V565" i="71"/>
  <c r="V496" i="71"/>
  <c r="V669" i="71"/>
  <c r="V497" i="71"/>
  <c r="V741" i="71"/>
  <c r="V675" i="71"/>
  <c r="V513" i="71"/>
  <c r="V506" i="71"/>
  <c r="V600" i="71"/>
  <c r="V527" i="71"/>
  <c r="V825" i="71"/>
  <c r="V682" i="71"/>
  <c r="V792" i="71"/>
  <c r="V20" i="71"/>
  <c r="W20" i="71"/>
  <c r="D21" i="71"/>
  <c r="D20" i="69"/>
  <c r="I21" i="71" l="1"/>
  <c r="K21" i="71"/>
  <c r="I20" i="69"/>
  <c r="K20" i="69"/>
  <c r="A21" i="71" l="1"/>
  <c r="N21" i="71" s="1"/>
  <c r="C22" i="71"/>
  <c r="B22" i="71"/>
  <c r="L554" i="69"/>
  <c r="B21" i="69"/>
  <c r="C21" i="69"/>
  <c r="A20" i="69"/>
  <c r="S21" i="71" l="1"/>
  <c r="Z21" i="71"/>
  <c r="Q21" i="71" s="1"/>
  <c r="P21" i="71"/>
  <c r="E22" i="71"/>
  <c r="J22" i="71" s="1"/>
  <c r="M21" i="71"/>
  <c r="N20" i="69"/>
  <c r="Z20" i="69" s="1"/>
  <c r="Q20" i="69" s="1"/>
  <c r="AC20" i="69" s="1"/>
  <c r="S20" i="69"/>
  <c r="M20" i="69"/>
  <c r="L555" i="69"/>
  <c r="E21" i="69"/>
  <c r="J21" i="69" s="1"/>
  <c r="AC21" i="71" l="1"/>
  <c r="D22" i="71"/>
  <c r="I22" i="71" s="1"/>
  <c r="L21" i="71"/>
  <c r="P20" i="69"/>
  <c r="AB20" i="69"/>
  <c r="L556" i="69"/>
  <c r="D21" i="69"/>
  <c r="Y21" i="71" l="1"/>
  <c r="AB21" i="71"/>
  <c r="R21" i="71"/>
  <c r="T21" i="71"/>
  <c r="K22" i="71"/>
  <c r="B23" i="71" s="1"/>
  <c r="R20" i="69"/>
  <c r="U20" i="69" s="1"/>
  <c r="Y20" i="69"/>
  <c r="T20" i="69"/>
  <c r="L557" i="69"/>
  <c r="I21" i="69"/>
  <c r="K21" i="69"/>
  <c r="W21" i="71" l="1"/>
  <c r="U21" i="71"/>
  <c r="V21" i="71" s="1"/>
  <c r="A22" i="71"/>
  <c r="C23" i="71"/>
  <c r="E23" i="71"/>
  <c r="J23" i="71" s="1"/>
  <c r="W20" i="69"/>
  <c r="V20" i="69"/>
  <c r="L558" i="69"/>
  <c r="L506" i="69"/>
  <c r="L20" i="69"/>
  <c r="C22" i="69"/>
  <c r="B22" i="69"/>
  <c r="A21" i="69"/>
  <c r="N22" i="71" l="1"/>
  <c r="M22" i="71"/>
  <c r="D23" i="71"/>
  <c r="S21" i="69"/>
  <c r="M21" i="69"/>
  <c r="N21" i="69"/>
  <c r="Z21" i="69" s="1"/>
  <c r="Q21" i="69" s="1"/>
  <c r="AC21" i="69" s="1"/>
  <c r="L559" i="69"/>
  <c r="L507" i="69"/>
  <c r="E22" i="69"/>
  <c r="J22" i="69" s="1"/>
  <c r="S22" i="71" l="1"/>
  <c r="Z22" i="71"/>
  <c r="Q22" i="71" s="1"/>
  <c r="P22" i="71"/>
  <c r="L22" i="71"/>
  <c r="I23" i="71"/>
  <c r="K23" i="71"/>
  <c r="P21" i="69"/>
  <c r="R21" i="69"/>
  <c r="L560" i="69"/>
  <c r="L508" i="69"/>
  <c r="D22" i="69"/>
  <c r="AC22" i="71" l="1"/>
  <c r="A23" i="71"/>
  <c r="N23" i="71" s="1"/>
  <c r="B24" i="71"/>
  <c r="C24" i="71"/>
  <c r="Y21" i="69"/>
  <c r="T21" i="69"/>
  <c r="AB21" i="69"/>
  <c r="W21" i="69"/>
  <c r="U21" i="69"/>
  <c r="L561" i="69"/>
  <c r="L509" i="69"/>
  <c r="I22" i="69"/>
  <c r="K22" i="69"/>
  <c r="S23" i="71" l="1"/>
  <c r="Z23" i="71"/>
  <c r="P23" i="71"/>
  <c r="Y22" i="71"/>
  <c r="T22" i="71"/>
  <c r="R22" i="71"/>
  <c r="U22" i="71" s="1"/>
  <c r="AB22" i="71"/>
  <c r="Q23" i="71"/>
  <c r="E24" i="71"/>
  <c r="J24" i="71" s="1"/>
  <c r="M23" i="71"/>
  <c r="V21" i="69"/>
  <c r="L562" i="69"/>
  <c r="L510" i="69"/>
  <c r="B23" i="69"/>
  <c r="C23" i="69"/>
  <c r="A22" i="69"/>
  <c r="L21" i="69"/>
  <c r="V22" i="71" l="1"/>
  <c r="W22" i="71"/>
  <c r="AC23" i="71"/>
  <c r="L23" i="71"/>
  <c r="D24" i="71"/>
  <c r="S22" i="69"/>
  <c r="N22" i="69"/>
  <c r="Z22" i="69" s="1"/>
  <c r="Q22" i="69" s="1"/>
  <c r="AC22" i="69" s="1"/>
  <c r="M22" i="69"/>
  <c r="L563" i="69"/>
  <c r="L511" i="69"/>
  <c r="E23" i="69"/>
  <c r="J23" i="69" s="1"/>
  <c r="Y23" i="71" l="1"/>
  <c r="AB23" i="71"/>
  <c r="R23" i="71"/>
  <c r="T23" i="71"/>
  <c r="I24" i="71"/>
  <c r="K24" i="71"/>
  <c r="P22" i="69"/>
  <c r="AB22" i="69"/>
  <c r="L564" i="69"/>
  <c r="L512" i="69"/>
  <c r="D23" i="69"/>
  <c r="W23" i="71" l="1"/>
  <c r="U23" i="71"/>
  <c r="V23" i="71" s="1"/>
  <c r="A24" i="71"/>
  <c r="N24" i="71" s="1"/>
  <c r="C25" i="71"/>
  <c r="B25" i="71"/>
  <c r="T22" i="69"/>
  <c r="R22" i="69"/>
  <c r="U22" i="69" s="1"/>
  <c r="Y22" i="69"/>
  <c r="L565" i="69"/>
  <c r="L513" i="69"/>
  <c r="I23" i="69"/>
  <c r="K23" i="69"/>
  <c r="S24" i="71" l="1"/>
  <c r="Z24" i="71"/>
  <c r="P24" i="71"/>
  <c r="Q24" i="71"/>
  <c r="E25" i="71"/>
  <c r="J25" i="71" s="1"/>
  <c r="M24" i="71"/>
  <c r="V22" i="69"/>
  <c r="W22" i="69"/>
  <c r="L566" i="69"/>
  <c r="L514" i="69"/>
  <c r="L22" i="69"/>
  <c r="A23" i="69"/>
  <c r="C24" i="69"/>
  <c r="B24" i="69"/>
  <c r="D25" i="71" l="1"/>
  <c r="L24" i="71"/>
  <c r="S23" i="69"/>
  <c r="N23" i="69"/>
  <c r="Z23" i="69" s="1"/>
  <c r="Q23" i="69" s="1"/>
  <c r="AC23" i="69" s="1"/>
  <c r="M23" i="69"/>
  <c r="L567" i="69"/>
  <c r="L515" i="69"/>
  <c r="E24" i="69"/>
  <c r="J24" i="69" s="1"/>
  <c r="AB24" i="71" l="1"/>
  <c r="AC24" i="71"/>
  <c r="T24" i="71"/>
  <c r="Y24" i="71"/>
  <c r="R24" i="71"/>
  <c r="I25" i="71"/>
  <c r="K25" i="71"/>
  <c r="P23" i="69"/>
  <c r="AB23" i="69"/>
  <c r="D24" i="69"/>
  <c r="L568" i="69"/>
  <c r="L516" i="69"/>
  <c r="W24" i="71" l="1"/>
  <c r="U24" i="71"/>
  <c r="V24" i="71" s="1"/>
  <c r="B26" i="71"/>
  <c r="A25" i="71"/>
  <c r="N25" i="71" s="1"/>
  <c r="C26" i="71"/>
  <c r="T23" i="69"/>
  <c r="R23" i="69"/>
  <c r="U23" i="69" s="1"/>
  <c r="Y23" i="69"/>
  <c r="I24" i="69"/>
  <c r="K24" i="69"/>
  <c r="L569" i="69"/>
  <c r="L517" i="69"/>
  <c r="S25" i="71" l="1"/>
  <c r="Z25" i="71"/>
  <c r="Q25" i="71" s="1"/>
  <c r="P25" i="71"/>
  <c r="M25" i="71"/>
  <c r="E26" i="71"/>
  <c r="J26" i="71" s="1"/>
  <c r="V23" i="69"/>
  <c r="W23" i="69"/>
  <c r="B25" i="69"/>
  <c r="E25" i="69" s="1"/>
  <c r="J25" i="69" s="1"/>
  <c r="A24" i="69"/>
  <c r="C25" i="69"/>
  <c r="L570" i="69"/>
  <c r="L518" i="69"/>
  <c r="L23" i="69"/>
  <c r="D26" i="71" l="1"/>
  <c r="I26" i="71" s="1"/>
  <c r="L25" i="71"/>
  <c r="D25" i="69"/>
  <c r="I25" i="69" s="1"/>
  <c r="S24" i="69"/>
  <c r="N24" i="69"/>
  <c r="Z24" i="69" s="1"/>
  <c r="Q24" i="69" s="1"/>
  <c r="AC24" i="69" s="1"/>
  <c r="M24" i="69"/>
  <c r="L571" i="69"/>
  <c r="L519" i="69"/>
  <c r="AB25" i="71" l="1"/>
  <c r="AC25" i="71"/>
  <c r="T25" i="71"/>
  <c r="Y25" i="71"/>
  <c r="R25" i="71"/>
  <c r="W25" i="71" s="1"/>
  <c r="K26" i="71"/>
  <c r="A26" i="71" s="1"/>
  <c r="N26" i="71" s="1"/>
  <c r="P24" i="69"/>
  <c r="AB24" i="69"/>
  <c r="K25" i="69"/>
  <c r="A25" i="69" s="1"/>
  <c r="L572" i="69"/>
  <c r="L520" i="69"/>
  <c r="S26" i="71" l="1"/>
  <c r="Z26" i="71"/>
  <c r="P26" i="71"/>
  <c r="U25" i="71"/>
  <c r="V25" i="71" s="1"/>
  <c r="C27" i="71"/>
  <c r="B27" i="71"/>
  <c r="E27" i="71" s="1"/>
  <c r="J27" i="71" s="1"/>
  <c r="M26" i="71"/>
  <c r="L26" i="71" s="1"/>
  <c r="Y24" i="69"/>
  <c r="T24" i="69"/>
  <c r="R24" i="69"/>
  <c r="U24" i="69" s="1"/>
  <c r="M25" i="69"/>
  <c r="N25" i="69"/>
  <c r="Z25" i="69" s="1"/>
  <c r="Q25" i="69" s="1"/>
  <c r="AC25" i="69" s="1"/>
  <c r="S25" i="69"/>
  <c r="C26" i="69"/>
  <c r="B26" i="69"/>
  <c r="E26" i="69" s="1"/>
  <c r="J26" i="69" s="1"/>
  <c r="L573" i="69"/>
  <c r="L521" i="69"/>
  <c r="Q26" i="71" l="1"/>
  <c r="AC26" i="71" s="1"/>
  <c r="D27" i="71"/>
  <c r="P25" i="69"/>
  <c r="R25" i="69"/>
  <c r="V24" i="69"/>
  <c r="W24" i="69"/>
  <c r="D26" i="69"/>
  <c r="K26" i="69" s="1"/>
  <c r="L574" i="69"/>
  <c r="L522" i="69"/>
  <c r="L24" i="69"/>
  <c r="T26" i="71" l="1"/>
  <c r="R26" i="71"/>
  <c r="W26" i="71" s="1"/>
  <c r="Y26" i="71"/>
  <c r="AB26" i="71"/>
  <c r="U26" i="71"/>
  <c r="V26" i="71" s="1"/>
  <c r="I27" i="71"/>
  <c r="K27" i="71"/>
  <c r="Y25" i="69"/>
  <c r="AB25" i="69"/>
  <c r="T25" i="69"/>
  <c r="I26" i="69"/>
  <c r="W25" i="69"/>
  <c r="U25" i="69"/>
  <c r="L575" i="69"/>
  <c r="L523" i="69"/>
  <c r="B27" i="69"/>
  <c r="C27" i="69"/>
  <c r="A26" i="69"/>
  <c r="C28" i="71" l="1"/>
  <c r="B28" i="71"/>
  <c r="A27" i="71"/>
  <c r="N27" i="71" s="1"/>
  <c r="V25" i="69"/>
  <c r="S26" i="69"/>
  <c r="N26" i="69"/>
  <c r="Z26" i="69" s="1"/>
  <c r="Q26" i="69" s="1"/>
  <c r="AC26" i="69" s="1"/>
  <c r="M26" i="69"/>
  <c r="L576" i="69"/>
  <c r="L524" i="69"/>
  <c r="E27" i="69"/>
  <c r="J27" i="69" s="1"/>
  <c r="S27" i="71" l="1"/>
  <c r="Z27" i="71"/>
  <c r="P27" i="71"/>
  <c r="E28" i="71"/>
  <c r="J28" i="71" s="1"/>
  <c r="M27" i="71"/>
  <c r="L27" i="71" s="1"/>
  <c r="P26" i="69"/>
  <c r="AB26" i="69"/>
  <c r="L577" i="69"/>
  <c r="L525" i="69"/>
  <c r="D27" i="69"/>
  <c r="L25" i="69"/>
  <c r="Q27" i="71" l="1"/>
  <c r="AC27" i="71" s="1"/>
  <c r="D28" i="71"/>
  <c r="Y26" i="69"/>
  <c r="T26" i="69"/>
  <c r="R26" i="69"/>
  <c r="U26" i="69" s="1"/>
  <c r="L578" i="69"/>
  <c r="L526" i="69"/>
  <c r="I27" i="69"/>
  <c r="K27" i="69"/>
  <c r="T27" i="71" l="1"/>
  <c r="R27" i="71"/>
  <c r="W27" i="71" s="1"/>
  <c r="AB27" i="71"/>
  <c r="Y27" i="71"/>
  <c r="U27" i="71"/>
  <c r="V27" i="71" s="1"/>
  <c r="I28" i="71"/>
  <c r="K28" i="71"/>
  <c r="V26" i="69"/>
  <c r="W26" i="69"/>
  <c r="L579" i="69"/>
  <c r="L527" i="69"/>
  <c r="A27" i="69"/>
  <c r="C28" i="69"/>
  <c r="B28" i="69"/>
  <c r="A28" i="71" l="1"/>
  <c r="N28" i="71" s="1"/>
  <c r="C29" i="71"/>
  <c r="B29" i="71"/>
  <c r="S27" i="69"/>
  <c r="N27" i="69"/>
  <c r="Z27" i="69" s="1"/>
  <c r="Q27" i="69" s="1"/>
  <c r="AC27" i="69" s="1"/>
  <c r="M27" i="69"/>
  <c r="L580" i="69"/>
  <c r="L528" i="69"/>
  <c r="E28" i="69"/>
  <c r="J28" i="69" s="1"/>
  <c r="S28" i="71" l="1"/>
  <c r="Z28" i="71"/>
  <c r="P28" i="71"/>
  <c r="E29" i="71"/>
  <c r="J29" i="71" s="1"/>
  <c r="M28" i="71"/>
  <c r="L28" i="71" s="1"/>
  <c r="P27" i="69"/>
  <c r="AB27" i="69"/>
  <c r="L581" i="69"/>
  <c r="L529" i="69"/>
  <c r="L26" i="69"/>
  <c r="D28" i="69"/>
  <c r="Q28" i="71" l="1"/>
  <c r="AC28" i="71" s="1"/>
  <c r="D29" i="71"/>
  <c r="I29" i="71" s="1"/>
  <c r="R27" i="69"/>
  <c r="U27" i="69" s="1"/>
  <c r="T27" i="69"/>
  <c r="Y27" i="69"/>
  <c r="L582" i="69"/>
  <c r="L530" i="69"/>
  <c r="I28" i="69"/>
  <c r="K28" i="69"/>
  <c r="T28" i="71" l="1"/>
  <c r="R28" i="71"/>
  <c r="W28" i="71" s="1"/>
  <c r="AB28" i="71"/>
  <c r="Y28" i="71"/>
  <c r="U28" i="71"/>
  <c r="V28" i="71" s="1"/>
  <c r="K29" i="71"/>
  <c r="C30" i="71" s="1"/>
  <c r="W27" i="69"/>
  <c r="V27" i="69"/>
  <c r="L583" i="69"/>
  <c r="L531" i="69"/>
  <c r="B29" i="69"/>
  <c r="C29" i="69"/>
  <c r="A28" i="69"/>
  <c r="A29" i="71" l="1"/>
  <c r="B30" i="71"/>
  <c r="E30" i="71" s="1"/>
  <c r="J30" i="71" s="1"/>
  <c r="S28" i="69"/>
  <c r="N28" i="69"/>
  <c r="Z28" i="69" s="1"/>
  <c r="Q28" i="69" s="1"/>
  <c r="AC28" i="69" s="1"/>
  <c r="M28" i="69"/>
  <c r="L584" i="69"/>
  <c r="L532" i="69"/>
  <c r="E29" i="69"/>
  <c r="J29" i="69" s="1"/>
  <c r="N29" i="71" l="1"/>
  <c r="M29" i="71"/>
  <c r="L29" i="71" s="1"/>
  <c r="D30" i="71"/>
  <c r="P28" i="69"/>
  <c r="AB28" i="69"/>
  <c r="L585" i="69"/>
  <c r="L533" i="69"/>
  <c r="D29" i="69"/>
  <c r="L27" i="69"/>
  <c r="S29" i="71" l="1"/>
  <c r="Z29" i="71"/>
  <c r="Q29" i="71" s="1"/>
  <c r="P29" i="71"/>
  <c r="I30" i="71"/>
  <c r="K30" i="71"/>
  <c r="R28" i="69"/>
  <c r="W28" i="69" s="1"/>
  <c r="T28" i="69"/>
  <c r="Y28" i="69"/>
  <c r="L586" i="69"/>
  <c r="L534" i="69"/>
  <c r="I29" i="69"/>
  <c r="K29" i="69"/>
  <c r="AB29" i="71" l="1"/>
  <c r="AC29" i="71"/>
  <c r="Y29" i="71"/>
  <c r="R29" i="71"/>
  <c r="W29" i="71" s="1"/>
  <c r="T29" i="71"/>
  <c r="A30" i="71"/>
  <c r="N30" i="71" s="1"/>
  <c r="C31" i="71"/>
  <c r="B31" i="71"/>
  <c r="U28" i="69"/>
  <c r="V28" i="69" s="1"/>
  <c r="L587" i="69"/>
  <c r="L535" i="69"/>
  <c r="C30" i="69"/>
  <c r="B30" i="69"/>
  <c r="A29" i="69"/>
  <c r="S30" i="71" l="1"/>
  <c r="Z30" i="71"/>
  <c r="Q30" i="71" s="1"/>
  <c r="P30" i="71"/>
  <c r="U29" i="71"/>
  <c r="V29" i="71" s="1"/>
  <c r="E31" i="71"/>
  <c r="J31" i="71" s="1"/>
  <c r="M30" i="71"/>
  <c r="L30" i="71" s="1"/>
  <c r="S29" i="69"/>
  <c r="N29" i="69"/>
  <c r="Z29" i="69" s="1"/>
  <c r="Q29" i="69" s="1"/>
  <c r="AC29" i="69" s="1"/>
  <c r="M29" i="69"/>
  <c r="L588" i="69"/>
  <c r="L536" i="69"/>
  <c r="L28" i="69"/>
  <c r="E30" i="69"/>
  <c r="J30" i="69" s="1"/>
  <c r="AC30" i="71" l="1"/>
  <c r="Y30" i="71"/>
  <c r="AB30" i="71"/>
  <c r="R30" i="71"/>
  <c r="W30" i="71" s="1"/>
  <c r="T30" i="71"/>
  <c r="D31" i="71"/>
  <c r="I31" i="71" s="1"/>
  <c r="P29" i="69"/>
  <c r="AB29" i="69"/>
  <c r="D30" i="69"/>
  <c r="I30" i="69" s="1"/>
  <c r="L589" i="69"/>
  <c r="L537" i="69"/>
  <c r="U30" i="71" l="1"/>
  <c r="V30" i="71" s="1"/>
  <c r="K31" i="71"/>
  <c r="T29" i="69"/>
  <c r="R29" i="69"/>
  <c r="U29" i="69" s="1"/>
  <c r="Y29" i="69"/>
  <c r="K30" i="69"/>
  <c r="A30" i="69" s="1"/>
  <c r="L590" i="69"/>
  <c r="L538" i="69"/>
  <c r="L29" i="69"/>
  <c r="A31" i="71" l="1"/>
  <c r="N31" i="71" s="1"/>
  <c r="C32" i="71"/>
  <c r="B32" i="71"/>
  <c r="E32" i="71" s="1"/>
  <c r="J32" i="71" s="1"/>
  <c r="V29" i="69"/>
  <c r="W29" i="69"/>
  <c r="C31" i="69"/>
  <c r="B31" i="69"/>
  <c r="E31" i="69" s="1"/>
  <c r="J31" i="69" s="1"/>
  <c r="N30" i="69"/>
  <c r="Z30" i="69" s="1"/>
  <c r="Q30" i="69" s="1"/>
  <c r="AC30" i="69" s="1"/>
  <c r="S30" i="69"/>
  <c r="M30" i="69"/>
  <c r="L591" i="69"/>
  <c r="L539" i="69"/>
  <c r="S31" i="71" l="1"/>
  <c r="Z31" i="71"/>
  <c r="Q31" i="71" s="1"/>
  <c r="P31" i="71"/>
  <c r="D32" i="71"/>
  <c r="K32" i="71" s="1"/>
  <c r="M31" i="71"/>
  <c r="L31" i="71" s="1"/>
  <c r="P30" i="69"/>
  <c r="AB30" i="69"/>
  <c r="L592" i="69"/>
  <c r="L540" i="69"/>
  <c r="D31" i="69"/>
  <c r="AC31" i="71" l="1"/>
  <c r="Y31" i="71"/>
  <c r="AB31" i="71"/>
  <c r="R31" i="71"/>
  <c r="W31" i="71" s="1"/>
  <c r="T31" i="71"/>
  <c r="I32" i="71"/>
  <c r="B33" i="71"/>
  <c r="A32" i="71"/>
  <c r="N32" i="71" s="1"/>
  <c r="Z32" i="71" s="1"/>
  <c r="C33" i="71"/>
  <c r="T30" i="69"/>
  <c r="Y30" i="69"/>
  <c r="R30" i="69"/>
  <c r="U30" i="69" s="1"/>
  <c r="L593" i="69"/>
  <c r="L541" i="69"/>
  <c r="I31" i="69"/>
  <c r="K31" i="69"/>
  <c r="P32" i="71" l="1"/>
  <c r="U31" i="71"/>
  <c r="V31" i="71" s="1"/>
  <c r="W30" i="69"/>
  <c r="M32" i="71"/>
  <c r="L32" i="71" s="1"/>
  <c r="E33" i="71"/>
  <c r="J33" i="71" s="1"/>
  <c r="V30" i="69"/>
  <c r="L594" i="69"/>
  <c r="L542" i="69"/>
  <c r="A31" i="69"/>
  <c r="C32" i="69"/>
  <c r="B32" i="69"/>
  <c r="L30" i="69"/>
  <c r="D33" i="71" l="1"/>
  <c r="N31" i="69"/>
  <c r="Z31" i="69" s="1"/>
  <c r="M31" i="69"/>
  <c r="L595" i="69"/>
  <c r="L543" i="69"/>
  <c r="E32" i="69"/>
  <c r="J32" i="69" s="1"/>
  <c r="I33" i="71" l="1"/>
  <c r="K33" i="71"/>
  <c r="P31" i="69"/>
  <c r="L596" i="69"/>
  <c r="L544" i="69"/>
  <c r="D32" i="69"/>
  <c r="L31" i="69"/>
  <c r="A33" i="71" l="1"/>
  <c r="N33" i="71" s="1"/>
  <c r="Z33" i="71" s="1"/>
  <c r="C34" i="71"/>
  <c r="B34" i="71"/>
  <c r="L597" i="69"/>
  <c r="L545" i="69"/>
  <c r="I32" i="69"/>
  <c r="K32" i="69"/>
  <c r="P33" i="71" l="1"/>
  <c r="E34" i="71"/>
  <c r="J34" i="71" s="1"/>
  <c r="M33" i="71"/>
  <c r="L33" i="71" s="1"/>
  <c r="L598" i="69"/>
  <c r="L546" i="69"/>
  <c r="B33" i="69"/>
  <c r="C33" i="69"/>
  <c r="A32" i="69"/>
  <c r="D34" i="71" l="1"/>
  <c r="N32" i="69"/>
  <c r="Z32" i="69" s="1"/>
  <c r="M32" i="69"/>
  <c r="L599" i="69"/>
  <c r="L547" i="69"/>
  <c r="L548" i="69" s="1"/>
  <c r="E33" i="69"/>
  <c r="J33" i="69" s="1"/>
  <c r="I34" i="71" l="1"/>
  <c r="K34" i="71"/>
  <c r="P32" i="69"/>
  <c r="L32" i="69"/>
  <c r="L549" i="69"/>
  <c r="L600" i="69"/>
  <c r="D33" i="69"/>
  <c r="C35" i="71" l="1"/>
  <c r="A34" i="71"/>
  <c r="N34" i="71" s="1"/>
  <c r="Z34" i="71" s="1"/>
  <c r="B35" i="71"/>
  <c r="L601" i="69"/>
  <c r="L550" i="69"/>
  <c r="I33" i="69"/>
  <c r="K33" i="69"/>
  <c r="P34" i="71" l="1"/>
  <c r="M34" i="71"/>
  <c r="L34" i="71" s="1"/>
  <c r="E35" i="71"/>
  <c r="J35" i="71" s="1"/>
  <c r="L551" i="69"/>
  <c r="L602" i="69"/>
  <c r="C34" i="69"/>
  <c r="B34" i="69"/>
  <c r="A33" i="69"/>
  <c r="D35" i="71" l="1"/>
  <c r="N33" i="69"/>
  <c r="Z33" i="69" s="1"/>
  <c r="M33" i="69"/>
  <c r="L603" i="69"/>
  <c r="L552" i="69"/>
  <c r="E34" i="69"/>
  <c r="J34" i="69" s="1"/>
  <c r="I35" i="71" l="1"/>
  <c r="K35" i="71"/>
  <c r="P33" i="69"/>
  <c r="L33" i="69"/>
  <c r="D34" i="69"/>
  <c r="I34" i="69" s="1"/>
  <c r="L553" i="69"/>
  <c r="L604" i="69"/>
  <c r="C36" i="71" l="1"/>
  <c r="A35" i="71"/>
  <c r="N35" i="71" s="1"/>
  <c r="Z35" i="71" s="1"/>
  <c r="B36" i="71"/>
  <c r="K34" i="69"/>
  <c r="A34" i="69" s="1"/>
  <c r="L605" i="69"/>
  <c r="P35" i="71" l="1"/>
  <c r="E36" i="71"/>
  <c r="J36" i="71" s="1"/>
  <c r="M35" i="71"/>
  <c r="L35" i="71" s="1"/>
  <c r="C35" i="69"/>
  <c r="B35" i="69"/>
  <c r="E35" i="69" s="1"/>
  <c r="J35" i="69" s="1"/>
  <c r="N34" i="69"/>
  <c r="Z34" i="69" s="1"/>
  <c r="M34" i="69"/>
  <c r="L606" i="69"/>
  <c r="D36" i="71" l="1"/>
  <c r="P34" i="69"/>
  <c r="L607" i="69"/>
  <c r="D35" i="69"/>
  <c r="L34" i="69"/>
  <c r="I36" i="71" l="1"/>
  <c r="K36" i="71"/>
  <c r="L608" i="69"/>
  <c r="I35" i="69"/>
  <c r="K35" i="69"/>
  <c r="A36" i="71" l="1"/>
  <c r="N36" i="71" s="1"/>
  <c r="Z36" i="71" s="1"/>
  <c r="C37" i="71"/>
  <c r="B37" i="71"/>
  <c r="L609" i="69"/>
  <c r="A35" i="69"/>
  <c r="C36" i="69"/>
  <c r="B36" i="69"/>
  <c r="P36" i="71" l="1"/>
  <c r="E37" i="71"/>
  <c r="J37" i="71" s="1"/>
  <c r="M36" i="71"/>
  <c r="L36" i="71" s="1"/>
  <c r="N35" i="69"/>
  <c r="Z35" i="69" s="1"/>
  <c r="M35" i="69"/>
  <c r="L610" i="69"/>
  <c r="E36" i="69"/>
  <c r="J36" i="69" s="1"/>
  <c r="D37" i="71" l="1"/>
  <c r="P35" i="69"/>
  <c r="L35" i="69"/>
  <c r="L611" i="69"/>
  <c r="D36" i="69"/>
  <c r="I37" i="71" l="1"/>
  <c r="K37" i="71"/>
  <c r="L612" i="69"/>
  <c r="I36" i="69"/>
  <c r="K36" i="69"/>
  <c r="C38" i="71" l="1"/>
  <c r="B38" i="71"/>
  <c r="A37" i="71"/>
  <c r="N37" i="71" s="1"/>
  <c r="Z37" i="71" s="1"/>
  <c r="L613" i="69"/>
  <c r="B37" i="69"/>
  <c r="A36" i="69"/>
  <c r="C37" i="69"/>
  <c r="P37" i="71" l="1"/>
  <c r="M37" i="71"/>
  <c r="L37" i="71" s="1"/>
  <c r="E38" i="71"/>
  <c r="J38" i="71" s="1"/>
  <c r="N36" i="69"/>
  <c r="Z36" i="69" s="1"/>
  <c r="M36" i="69"/>
  <c r="L614" i="69"/>
  <c r="E37" i="69"/>
  <c r="J37" i="69" s="1"/>
  <c r="D38" i="71" l="1"/>
  <c r="I38" i="71" s="1"/>
  <c r="P36" i="69"/>
  <c r="L36" i="69"/>
  <c r="L615" i="69"/>
  <c r="D37" i="69"/>
  <c r="K38" i="71" l="1"/>
  <c r="C39" i="71" s="1"/>
  <c r="L616" i="69"/>
  <c r="I37" i="69"/>
  <c r="K37" i="69"/>
  <c r="A38" i="71" l="1"/>
  <c r="B39" i="71"/>
  <c r="E39" i="71" s="1"/>
  <c r="J39" i="71" s="1"/>
  <c r="L617" i="69"/>
  <c r="C38" i="69"/>
  <c r="B38" i="69"/>
  <c r="A37" i="69"/>
  <c r="N38" i="71" l="1"/>
  <c r="Z38" i="71" s="1"/>
  <c r="M38" i="71"/>
  <c r="L38" i="71" s="1"/>
  <c r="D39" i="71"/>
  <c r="N37" i="69"/>
  <c r="Z37" i="69" s="1"/>
  <c r="M37" i="69"/>
  <c r="L618" i="69"/>
  <c r="E38" i="69"/>
  <c r="J38" i="69" s="1"/>
  <c r="P38" i="71" l="1"/>
  <c r="I39" i="71"/>
  <c r="K39" i="71"/>
  <c r="P37" i="69"/>
  <c r="L37" i="69"/>
  <c r="L619" i="69"/>
  <c r="D38" i="69"/>
  <c r="A39" i="71" l="1"/>
  <c r="N39" i="71" s="1"/>
  <c r="Z39" i="71" s="1"/>
  <c r="C40" i="71"/>
  <c r="B40" i="71"/>
  <c r="L620" i="69"/>
  <c r="I38" i="69"/>
  <c r="K38" i="69"/>
  <c r="P39" i="71" l="1"/>
  <c r="M39" i="71"/>
  <c r="L39" i="71" s="1"/>
  <c r="E40" i="71"/>
  <c r="J40" i="71" s="1"/>
  <c r="L621" i="69"/>
  <c r="B39" i="69"/>
  <c r="A38" i="69"/>
  <c r="C39" i="69"/>
  <c r="D40" i="71" l="1"/>
  <c r="I40" i="71" s="1"/>
  <c r="N38" i="69"/>
  <c r="Z38" i="69" s="1"/>
  <c r="M38" i="69"/>
  <c r="L622" i="69"/>
  <c r="E39" i="69"/>
  <c r="J39" i="69" s="1"/>
  <c r="K40" i="71" l="1"/>
  <c r="B41" i="71" s="1"/>
  <c r="P38" i="69"/>
  <c r="L38" i="69"/>
  <c r="L623" i="69"/>
  <c r="D39" i="69"/>
  <c r="C41" i="71" l="1"/>
  <c r="A40" i="71"/>
  <c r="E41" i="71"/>
  <c r="J41" i="71" s="1"/>
  <c r="L624" i="69"/>
  <c r="I39" i="69"/>
  <c r="K39" i="69"/>
  <c r="N40" i="71" l="1"/>
  <c r="Z40" i="71" s="1"/>
  <c r="M40" i="71"/>
  <c r="L40" i="71" s="1"/>
  <c r="D41" i="71"/>
  <c r="L625" i="69"/>
  <c r="A39" i="69"/>
  <c r="C40" i="69"/>
  <c r="B40" i="69"/>
  <c r="P40" i="71" l="1"/>
  <c r="I41" i="71"/>
  <c r="K41" i="71"/>
  <c r="N39" i="69"/>
  <c r="Z39" i="69" s="1"/>
  <c r="M39" i="69"/>
  <c r="L626" i="69"/>
  <c r="E40" i="69"/>
  <c r="J40" i="69" s="1"/>
  <c r="A41" i="71" l="1"/>
  <c r="N41" i="71" s="1"/>
  <c r="Z41" i="71" s="1"/>
  <c r="C42" i="71"/>
  <c r="B42" i="71"/>
  <c r="P39" i="69"/>
  <c r="L39" i="69"/>
  <c r="L627" i="69"/>
  <c r="D40" i="69"/>
  <c r="P41" i="71" l="1"/>
  <c r="E42" i="71"/>
  <c r="J42" i="71" s="1"/>
  <c r="M41" i="71"/>
  <c r="L41" i="71" s="1"/>
  <c r="L628" i="69"/>
  <c r="I40" i="69"/>
  <c r="K40" i="69"/>
  <c r="D42" i="71" l="1"/>
  <c r="L629" i="69"/>
  <c r="B41" i="69"/>
  <c r="C41" i="69"/>
  <c r="A40" i="69"/>
  <c r="I42" i="71" l="1"/>
  <c r="K42" i="71"/>
  <c r="N40" i="69"/>
  <c r="Z40" i="69" s="1"/>
  <c r="M40" i="69"/>
  <c r="L630" i="69"/>
  <c r="E41" i="69"/>
  <c r="J41" i="69" s="1"/>
  <c r="C43" i="71" l="1"/>
  <c r="B43" i="71"/>
  <c r="A42" i="71"/>
  <c r="N42" i="71" s="1"/>
  <c r="Z42" i="71" s="1"/>
  <c r="P40" i="69"/>
  <c r="L40" i="69"/>
  <c r="L631" i="69"/>
  <c r="D41" i="69"/>
  <c r="P42" i="71" l="1"/>
  <c r="M42" i="71"/>
  <c r="L42" i="71" s="1"/>
  <c r="E43" i="71"/>
  <c r="J43" i="71" s="1"/>
  <c r="L632" i="69"/>
  <c r="I41" i="69"/>
  <c r="K41" i="69"/>
  <c r="D43" i="71" l="1"/>
  <c r="I43" i="71" s="1"/>
  <c r="L633" i="69"/>
  <c r="C42" i="69"/>
  <c r="B42" i="69"/>
  <c r="A41" i="69"/>
  <c r="K43" i="71" l="1"/>
  <c r="C44" i="71" s="1"/>
  <c r="N41" i="69"/>
  <c r="Z41" i="69" s="1"/>
  <c r="M41" i="69"/>
  <c r="L634" i="69"/>
  <c r="E42" i="69"/>
  <c r="J42" i="69" s="1"/>
  <c r="A43" i="71" l="1"/>
  <c r="B44" i="71"/>
  <c r="E44" i="71" s="1"/>
  <c r="J44" i="71" s="1"/>
  <c r="P41" i="69"/>
  <c r="L41" i="69"/>
  <c r="L635" i="69"/>
  <c r="D42" i="69"/>
  <c r="M43" i="71" l="1"/>
  <c r="L43" i="71" s="1"/>
  <c r="N43" i="71"/>
  <c r="Z43" i="71" s="1"/>
  <c r="D44" i="71"/>
  <c r="L636" i="69"/>
  <c r="I42" i="69"/>
  <c r="K42" i="69"/>
  <c r="P43" i="71" l="1"/>
  <c r="I44" i="71"/>
  <c r="K44" i="71"/>
  <c r="L637" i="69"/>
  <c r="B43" i="69"/>
  <c r="C43" i="69"/>
  <c r="A42" i="69"/>
  <c r="A44" i="71" l="1"/>
  <c r="N44" i="71" s="1"/>
  <c r="Z44" i="71" s="1"/>
  <c r="C45" i="71"/>
  <c r="B45" i="71"/>
  <c r="N42" i="69"/>
  <c r="Z42" i="69" s="1"/>
  <c r="M42" i="69"/>
  <c r="L638" i="69"/>
  <c r="E43" i="69"/>
  <c r="J43" i="69" s="1"/>
  <c r="P44" i="71" l="1"/>
  <c r="E45" i="71"/>
  <c r="J45" i="71" s="1"/>
  <c r="M44" i="71"/>
  <c r="L44" i="71" s="1"/>
  <c r="P42" i="69"/>
  <c r="L42" i="69"/>
  <c r="D43" i="69"/>
  <c r="I43" i="69" s="1"/>
  <c r="L639" i="69"/>
  <c r="D45" i="71" l="1"/>
  <c r="K43" i="69"/>
  <c r="A43" i="69" s="1"/>
  <c r="L640" i="69"/>
  <c r="I45" i="71" l="1"/>
  <c r="K45" i="71"/>
  <c r="B44" i="69"/>
  <c r="E44" i="69" s="1"/>
  <c r="J44" i="69" s="1"/>
  <c r="C44" i="69"/>
  <c r="N43" i="69"/>
  <c r="Z43" i="69" s="1"/>
  <c r="M43" i="69"/>
  <c r="L641" i="69"/>
  <c r="C46" i="71" l="1"/>
  <c r="B46" i="71"/>
  <c r="A45" i="71"/>
  <c r="N45" i="71" s="1"/>
  <c r="Z45" i="71" s="1"/>
  <c r="P43" i="69"/>
  <c r="D44" i="69"/>
  <c r="I44" i="69" s="1"/>
  <c r="L642" i="69"/>
  <c r="L43" i="69"/>
  <c r="P45" i="71" l="1"/>
  <c r="M45" i="71"/>
  <c r="L45" i="71" s="1"/>
  <c r="E46" i="71"/>
  <c r="J46" i="71" s="1"/>
  <c r="K44" i="69"/>
  <c r="C45" i="69" s="1"/>
  <c r="L643" i="69"/>
  <c r="D46" i="71" l="1"/>
  <c r="I46" i="71" s="1"/>
  <c r="B45" i="69"/>
  <c r="E45" i="69" s="1"/>
  <c r="J45" i="69" s="1"/>
  <c r="A44" i="69"/>
  <c r="L644" i="69"/>
  <c r="K46" i="71" l="1"/>
  <c r="A46" i="71" s="1"/>
  <c r="N46" i="71" s="1"/>
  <c r="Z46" i="71" s="1"/>
  <c r="M44" i="69"/>
  <c r="N44" i="69"/>
  <c r="Z44" i="69" s="1"/>
  <c r="L645" i="69"/>
  <c r="D45" i="69"/>
  <c r="P46" i="71" l="1"/>
  <c r="B47" i="71"/>
  <c r="E47" i="71" s="1"/>
  <c r="J47" i="71" s="1"/>
  <c r="C47" i="71"/>
  <c r="M46" i="71"/>
  <c r="L46" i="71" s="1"/>
  <c r="P44" i="69"/>
  <c r="L44" i="69"/>
  <c r="L646" i="69"/>
  <c r="I45" i="69"/>
  <c r="K45" i="69"/>
  <c r="D47" i="71" l="1"/>
  <c r="L647" i="69"/>
  <c r="C46" i="69"/>
  <c r="B46" i="69"/>
  <c r="A45" i="69"/>
  <c r="I47" i="71" l="1"/>
  <c r="K47" i="71"/>
  <c r="N45" i="69"/>
  <c r="Z45" i="69" s="1"/>
  <c r="M45" i="69"/>
  <c r="L648" i="69"/>
  <c r="E46" i="69"/>
  <c r="J46" i="69" s="1"/>
  <c r="C48" i="71" l="1"/>
  <c r="A47" i="71"/>
  <c r="N47" i="71" s="1"/>
  <c r="Z47" i="71" s="1"/>
  <c r="B48" i="71"/>
  <c r="P45" i="69"/>
  <c r="L45" i="69"/>
  <c r="L649" i="69"/>
  <c r="D46" i="69"/>
  <c r="P47" i="71" l="1"/>
  <c r="E48" i="71"/>
  <c r="J48" i="71" s="1"/>
  <c r="M47" i="71"/>
  <c r="L47" i="71" s="1"/>
  <c r="L650" i="69"/>
  <c r="I46" i="69"/>
  <c r="K46" i="69"/>
  <c r="D48" i="71" l="1"/>
  <c r="I48" i="71" s="1"/>
  <c r="L651" i="69"/>
  <c r="B47" i="69"/>
  <c r="C47" i="69"/>
  <c r="A46" i="69"/>
  <c r="K48" i="71" l="1"/>
  <c r="B49" i="71" s="1"/>
  <c r="N46" i="69"/>
  <c r="Z46" i="69" s="1"/>
  <c r="M46" i="69"/>
  <c r="L652" i="69"/>
  <c r="E47" i="69"/>
  <c r="J47" i="69" s="1"/>
  <c r="C49" i="71" l="1"/>
  <c r="A48" i="71"/>
  <c r="E49" i="71"/>
  <c r="J49" i="71" s="1"/>
  <c r="P46" i="69"/>
  <c r="L46" i="69"/>
  <c r="L653" i="69"/>
  <c r="D47" i="69"/>
  <c r="N48" i="71" l="1"/>
  <c r="Z48" i="71" s="1"/>
  <c r="M48" i="71"/>
  <c r="L48" i="71" s="1"/>
  <c r="D49" i="71"/>
  <c r="L654" i="69"/>
  <c r="I47" i="69"/>
  <c r="K47" i="69"/>
  <c r="P48" i="71" l="1"/>
  <c r="I49" i="71"/>
  <c r="K49" i="71"/>
  <c r="L655" i="69"/>
  <c r="A47" i="69"/>
  <c r="C48" i="69"/>
  <c r="B48" i="69"/>
  <c r="A49" i="71" l="1"/>
  <c r="N49" i="71" s="1"/>
  <c r="Z49" i="71" s="1"/>
  <c r="B50" i="71"/>
  <c r="C50" i="71"/>
  <c r="N47" i="69"/>
  <c r="Z47" i="69" s="1"/>
  <c r="M47" i="69"/>
  <c r="L656" i="69"/>
  <c r="E48" i="69"/>
  <c r="J48" i="69" s="1"/>
  <c r="P49" i="71" l="1"/>
  <c r="E50" i="71"/>
  <c r="J50" i="71" s="1"/>
  <c r="M49" i="71"/>
  <c r="L49" i="71" s="1"/>
  <c r="P47" i="69"/>
  <c r="L47" i="69"/>
  <c r="D48" i="69"/>
  <c r="I48" i="69" s="1"/>
  <c r="L657" i="69"/>
  <c r="D50" i="71" l="1"/>
  <c r="K48" i="69"/>
  <c r="B49" i="69" s="1"/>
  <c r="L658" i="69"/>
  <c r="I50" i="71" l="1"/>
  <c r="K50" i="71"/>
  <c r="A48" i="69"/>
  <c r="C49" i="69"/>
  <c r="L659" i="69"/>
  <c r="E49" i="69"/>
  <c r="J49" i="69" s="1"/>
  <c r="C51" i="71" l="1"/>
  <c r="B51" i="71"/>
  <c r="A50" i="71"/>
  <c r="N50" i="71" s="1"/>
  <c r="Z50" i="71" s="1"/>
  <c r="N48" i="69"/>
  <c r="Z48" i="69" s="1"/>
  <c r="M48" i="69"/>
  <c r="L660" i="69"/>
  <c r="D49" i="69"/>
  <c r="P50" i="71" l="1"/>
  <c r="M50" i="71"/>
  <c r="L50" i="71" s="1"/>
  <c r="E51" i="71"/>
  <c r="J51" i="71" s="1"/>
  <c r="P48" i="69"/>
  <c r="L48" i="69"/>
  <c r="L661" i="69"/>
  <c r="I49" i="69"/>
  <c r="K49" i="69"/>
  <c r="D51" i="71" l="1"/>
  <c r="L662" i="69"/>
  <c r="C50" i="69"/>
  <c r="B50" i="69"/>
  <c r="A49" i="69"/>
  <c r="I51" i="71" l="1"/>
  <c r="K51" i="71"/>
  <c r="N49" i="69"/>
  <c r="Z49" i="69" s="1"/>
  <c r="M49" i="69"/>
  <c r="L663" i="69"/>
  <c r="E50" i="69"/>
  <c r="J50" i="69" s="1"/>
  <c r="A51" i="71" l="1"/>
  <c r="N51" i="71" s="1"/>
  <c r="Z51" i="71" s="1"/>
  <c r="C52" i="71"/>
  <c r="B52" i="71"/>
  <c r="P49" i="69"/>
  <c r="L49" i="69"/>
  <c r="L664" i="69"/>
  <c r="D50" i="69"/>
  <c r="P51" i="71" l="1"/>
  <c r="E52" i="71"/>
  <c r="J52" i="71" s="1"/>
  <c r="M51" i="71"/>
  <c r="L51" i="71" s="1"/>
  <c r="L665" i="69"/>
  <c r="I50" i="69"/>
  <c r="K50" i="69"/>
  <c r="D52" i="71" l="1"/>
  <c r="I52" i="71" s="1"/>
  <c r="L666" i="69"/>
  <c r="B51" i="69"/>
  <c r="A50" i="69"/>
  <c r="C51" i="69"/>
  <c r="K52" i="71" l="1"/>
  <c r="C53" i="71" s="1"/>
  <c r="N50" i="69"/>
  <c r="Z50" i="69" s="1"/>
  <c r="M50" i="69"/>
  <c r="L667" i="69"/>
  <c r="E51" i="69"/>
  <c r="J51" i="69" s="1"/>
  <c r="B53" i="71" l="1"/>
  <c r="E53" i="71" s="1"/>
  <c r="J53" i="71" s="1"/>
  <c r="A52" i="71"/>
  <c r="P50" i="69"/>
  <c r="L50" i="69"/>
  <c r="L668" i="69"/>
  <c r="D51" i="69"/>
  <c r="M52" i="71" l="1"/>
  <c r="L52" i="71" s="1"/>
  <c r="N52" i="71"/>
  <c r="Z52" i="71" s="1"/>
  <c r="D53" i="71"/>
  <c r="L669" i="69"/>
  <c r="I51" i="69"/>
  <c r="K51" i="69"/>
  <c r="P52" i="71" l="1"/>
  <c r="I53" i="71"/>
  <c r="K53" i="71"/>
  <c r="L670" i="69"/>
  <c r="A51" i="69"/>
  <c r="C52" i="69"/>
  <c r="B52" i="69"/>
  <c r="C54" i="71" l="1"/>
  <c r="B54" i="71"/>
  <c r="A53" i="71"/>
  <c r="N53" i="71" s="1"/>
  <c r="Z53" i="71" s="1"/>
  <c r="N51" i="69"/>
  <c r="Z51" i="69" s="1"/>
  <c r="M51" i="69"/>
  <c r="L671" i="69"/>
  <c r="E52" i="69"/>
  <c r="J52" i="69" s="1"/>
  <c r="P53" i="71" l="1"/>
  <c r="M53" i="71"/>
  <c r="L53" i="71" s="1"/>
  <c r="E54" i="71"/>
  <c r="J54" i="71" s="1"/>
  <c r="P51" i="69"/>
  <c r="L51" i="69"/>
  <c r="D52" i="69"/>
  <c r="I52" i="69" s="1"/>
  <c r="L672" i="69"/>
  <c r="D54" i="71" l="1"/>
  <c r="K52" i="69"/>
  <c r="B53" i="69" s="1"/>
  <c r="L673" i="69"/>
  <c r="I54" i="71" l="1"/>
  <c r="K54" i="71"/>
  <c r="A52" i="69"/>
  <c r="C53" i="69"/>
  <c r="L674" i="69"/>
  <c r="E53" i="69"/>
  <c r="J53" i="69" s="1"/>
  <c r="A54" i="71" l="1"/>
  <c r="N54" i="71" s="1"/>
  <c r="Z54" i="71" s="1"/>
  <c r="B55" i="71"/>
  <c r="E55" i="71" s="1"/>
  <c r="J55" i="71" s="1"/>
  <c r="C55" i="71"/>
  <c r="N52" i="69"/>
  <c r="Z52" i="69" s="1"/>
  <c r="M52" i="69"/>
  <c r="L675" i="69"/>
  <c r="D53" i="69"/>
  <c r="P54" i="71" l="1"/>
  <c r="D55" i="71"/>
  <c r="I55" i="71" s="1"/>
  <c r="M54" i="71"/>
  <c r="L54" i="71" s="1"/>
  <c r="P52" i="69"/>
  <c r="L52" i="69"/>
  <c r="L676" i="69"/>
  <c r="I53" i="69"/>
  <c r="K53" i="69"/>
  <c r="K55" i="71" l="1"/>
  <c r="C56" i="71" s="1"/>
  <c r="L677" i="69"/>
  <c r="C54" i="69"/>
  <c r="B54" i="69"/>
  <c r="A53" i="69"/>
  <c r="B56" i="71" l="1"/>
  <c r="E56" i="71" s="1"/>
  <c r="J56" i="71" s="1"/>
  <c r="A55" i="71"/>
  <c r="N53" i="69"/>
  <c r="Z53" i="69" s="1"/>
  <c r="M53" i="69"/>
  <c r="L678" i="69"/>
  <c r="E54" i="69"/>
  <c r="J54" i="69" s="1"/>
  <c r="N55" i="71" l="1"/>
  <c r="Z55" i="71" s="1"/>
  <c r="M55" i="71"/>
  <c r="L55" i="71" s="1"/>
  <c r="D56" i="71"/>
  <c r="P53" i="69"/>
  <c r="L679" i="69"/>
  <c r="L53" i="69"/>
  <c r="D54" i="69"/>
  <c r="P55" i="71" l="1"/>
  <c r="I56" i="71"/>
  <c r="K56" i="71"/>
  <c r="L680" i="69"/>
  <c r="I54" i="69"/>
  <c r="K54" i="69"/>
  <c r="B57" i="71" l="1"/>
  <c r="C57" i="71"/>
  <c r="A56" i="71"/>
  <c r="N56" i="71" s="1"/>
  <c r="Z56" i="71" s="1"/>
  <c r="L681" i="69"/>
  <c r="B55" i="69"/>
  <c r="C55" i="69"/>
  <c r="A54" i="69"/>
  <c r="P56" i="71" l="1"/>
  <c r="M56" i="71"/>
  <c r="L56" i="71" s="1"/>
  <c r="E57" i="71"/>
  <c r="J57" i="71" s="1"/>
  <c r="N54" i="69"/>
  <c r="Z54" i="69" s="1"/>
  <c r="M54" i="69"/>
  <c r="L682" i="69"/>
  <c r="E55" i="69"/>
  <c r="J55" i="69" s="1"/>
  <c r="D57" i="71" l="1"/>
  <c r="P54" i="69"/>
  <c r="D55" i="69"/>
  <c r="L683" i="69"/>
  <c r="L54" i="69"/>
  <c r="I57" i="71" l="1"/>
  <c r="K57" i="71"/>
  <c r="I55" i="69"/>
  <c r="K55" i="69"/>
  <c r="L684" i="69"/>
  <c r="A57" i="71" l="1"/>
  <c r="N57" i="71" s="1"/>
  <c r="Z57" i="71" s="1"/>
  <c r="C58" i="71"/>
  <c r="B58" i="71"/>
  <c r="A55" i="69"/>
  <c r="C56" i="69"/>
  <c r="B56" i="69"/>
  <c r="E56" i="69" s="1"/>
  <c r="J56" i="69" s="1"/>
  <c r="L685" i="69"/>
  <c r="P57" i="71" l="1"/>
  <c r="E58" i="71"/>
  <c r="J58" i="71" s="1"/>
  <c r="M57" i="71"/>
  <c r="L57" i="71" s="1"/>
  <c r="D56" i="69"/>
  <c r="I56" i="69" s="1"/>
  <c r="N55" i="69"/>
  <c r="Z55" i="69" s="1"/>
  <c r="M55" i="69"/>
  <c r="L686" i="69"/>
  <c r="D58" i="71" l="1"/>
  <c r="I58" i="71" s="1"/>
  <c r="P55" i="69"/>
  <c r="K56" i="69"/>
  <c r="B57" i="69" s="1"/>
  <c r="L55" i="69"/>
  <c r="L687" i="69"/>
  <c r="K58" i="71" l="1"/>
  <c r="C59" i="71" s="1"/>
  <c r="A56" i="69"/>
  <c r="C57" i="69"/>
  <c r="L688" i="69"/>
  <c r="E57" i="69"/>
  <c r="J57" i="69" s="1"/>
  <c r="A58" i="71" l="1"/>
  <c r="B59" i="71"/>
  <c r="E59" i="71" s="1"/>
  <c r="J59" i="71" s="1"/>
  <c r="N56" i="69"/>
  <c r="Z56" i="69" s="1"/>
  <c r="M56" i="69"/>
  <c r="L689" i="69"/>
  <c r="D57" i="69"/>
  <c r="M58" i="71" l="1"/>
  <c r="L58" i="71" s="1"/>
  <c r="N58" i="71"/>
  <c r="Z58" i="71" s="1"/>
  <c r="D59" i="71"/>
  <c r="I59" i="71" s="1"/>
  <c r="P56" i="69"/>
  <c r="L690" i="69"/>
  <c r="I57" i="69"/>
  <c r="K57" i="69"/>
  <c r="L56" i="69"/>
  <c r="P58" i="71" l="1"/>
  <c r="K59" i="71"/>
  <c r="B60" i="71" s="1"/>
  <c r="L691" i="69"/>
  <c r="C58" i="69"/>
  <c r="B58" i="69"/>
  <c r="A57" i="69"/>
  <c r="C60" i="71" l="1"/>
  <c r="A59" i="71"/>
  <c r="E60" i="71"/>
  <c r="J60" i="71" s="1"/>
  <c r="N57" i="69"/>
  <c r="Z57" i="69" s="1"/>
  <c r="M57" i="69"/>
  <c r="L692" i="69"/>
  <c r="E58" i="69"/>
  <c r="J58" i="69" s="1"/>
  <c r="N59" i="71" l="1"/>
  <c r="Z59" i="71" s="1"/>
  <c r="M59" i="71"/>
  <c r="L59" i="71" s="1"/>
  <c r="D60" i="71"/>
  <c r="P57" i="69"/>
  <c r="L693" i="69"/>
  <c r="L57" i="69"/>
  <c r="D58" i="69"/>
  <c r="P59" i="71" l="1"/>
  <c r="I60" i="71"/>
  <c r="K60" i="71"/>
  <c r="L694" i="69"/>
  <c r="I58" i="69"/>
  <c r="K58" i="69"/>
  <c r="A60" i="71" l="1"/>
  <c r="N60" i="71" s="1"/>
  <c r="Z60" i="71" s="1"/>
  <c r="B61" i="71"/>
  <c r="C61" i="71"/>
  <c r="L695" i="69"/>
  <c r="B59" i="69"/>
  <c r="C59" i="69"/>
  <c r="A58" i="69"/>
  <c r="P60" i="71" l="1"/>
  <c r="E61" i="71"/>
  <c r="J61" i="71" s="1"/>
  <c r="M60" i="71"/>
  <c r="L60" i="71" s="1"/>
  <c r="N58" i="69"/>
  <c r="Z58" i="69" s="1"/>
  <c r="M58" i="69"/>
  <c r="L696" i="69"/>
  <c r="E59" i="69"/>
  <c r="J59" i="69" s="1"/>
  <c r="D61" i="71" l="1"/>
  <c r="P58" i="69"/>
  <c r="D59" i="69"/>
  <c r="L697" i="69"/>
  <c r="L58" i="69"/>
  <c r="I61" i="71" l="1"/>
  <c r="K61" i="71"/>
  <c r="I59" i="69"/>
  <c r="K59" i="69"/>
  <c r="L698" i="69"/>
  <c r="C62" i="71" l="1"/>
  <c r="B62" i="71"/>
  <c r="A61" i="71"/>
  <c r="N61" i="71" s="1"/>
  <c r="Z61" i="71" s="1"/>
  <c r="C60" i="69"/>
  <c r="A59" i="69"/>
  <c r="B60" i="69"/>
  <c r="E60" i="69" s="1"/>
  <c r="J60" i="69" s="1"/>
  <c r="L699" i="69"/>
  <c r="P61" i="71" l="1"/>
  <c r="M61" i="71"/>
  <c r="L61" i="71" s="1"/>
  <c r="E62" i="71"/>
  <c r="J62" i="71" s="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D60" i="69"/>
  <c r="I60" i="69" s="1"/>
  <c r="N59" i="69"/>
  <c r="Z59" i="69" s="1"/>
  <c r="M59" i="69"/>
  <c r="L700" i="69"/>
  <c r="D62" i="71" l="1"/>
  <c r="P59" i="69"/>
  <c r="L59" i="69"/>
  <c r="K60" i="69"/>
  <c r="B61" i="69" s="1"/>
  <c r="L701" i="69"/>
  <c r="I62" i="71" l="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K62"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H62" i="71" l="1"/>
  <c r="H63" i="71" s="1"/>
  <c r="C63" i="71"/>
  <c r="A62" i="71"/>
  <c r="N62" i="71" s="1"/>
  <c r="Z62" i="71" s="1"/>
  <c r="B63" i="71"/>
  <c r="N60" i="69"/>
  <c r="Z60" i="69" s="1"/>
  <c r="M60" i="69"/>
  <c r="L703" i="69"/>
  <c r="D61" i="69"/>
  <c r="P62" i="71" l="1"/>
  <c r="E63" i="71"/>
  <c r="J63" i="71" s="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D63" i="71" l="1"/>
  <c r="I63" i="71" s="1"/>
  <c r="L705" i="69"/>
  <c r="A61" i="69"/>
  <c r="B62" i="69"/>
  <c r="C62" i="69"/>
  <c r="H61" i="69"/>
  <c r="H62" i="69" s="1"/>
  <c r="K63" i="71" l="1"/>
  <c r="C64" i="71" s="1"/>
  <c r="N61" i="69"/>
  <c r="Z61" i="69" s="1"/>
  <c r="M61" i="69"/>
  <c r="L706" i="69"/>
  <c r="E62" i="69"/>
  <c r="J62" i="69" s="1"/>
  <c r="B64" i="71" l="1"/>
  <c r="E64" i="71" s="1"/>
  <c r="J64" i="71" s="1"/>
  <c r="A63" i="71"/>
  <c r="P61" i="69"/>
  <c r="D62" i="69"/>
  <c r="I62" i="69" s="1"/>
  <c r="L707" i="69"/>
  <c r="N63" i="71" l="1"/>
  <c r="Z63" i="71" s="1"/>
  <c r="M63" i="71"/>
  <c r="L63" i="71" s="1"/>
  <c r="D64" i="71"/>
  <c r="I64" i="71" s="1"/>
  <c r="K62" i="69"/>
  <c r="A62" i="69" s="1"/>
  <c r="L708" i="69"/>
  <c r="L61" i="69"/>
  <c r="P63" i="71" l="1"/>
  <c r="K64" i="71"/>
  <c r="A64" i="71" s="1"/>
  <c r="N64" i="71" s="1"/>
  <c r="Z64" i="71" s="1"/>
  <c r="H64" i="71"/>
  <c r="C63" i="69"/>
  <c r="B63" i="69"/>
  <c r="E63" i="69" s="1"/>
  <c r="J63" i="69" s="1"/>
  <c r="N62" i="69"/>
  <c r="Z62" i="69" s="1"/>
  <c r="M62" i="69"/>
  <c r="L709" i="69"/>
  <c r="P64" i="71" l="1"/>
  <c r="B65" i="71"/>
  <c r="E65" i="71" s="1"/>
  <c r="J65" i="71" s="1"/>
  <c r="C65" i="71"/>
  <c r="M64" i="71"/>
  <c r="L64" i="71" s="1"/>
  <c r="P62" i="69"/>
  <c r="D63" i="69"/>
  <c r="H63" i="69" s="1"/>
  <c r="L710" i="69"/>
  <c r="D65" i="71" l="1"/>
  <c r="I65" i="71" s="1"/>
  <c r="K63" i="69"/>
  <c r="B64" i="69" s="1"/>
  <c r="I63" i="69"/>
  <c r="L711" i="69"/>
  <c r="L62" i="69"/>
  <c r="K65" i="71" l="1"/>
  <c r="C66" i="71" s="1"/>
  <c r="H65" i="71"/>
  <c r="A63" i="69"/>
  <c r="C64" i="69"/>
  <c r="L712" i="69"/>
  <c r="E64" i="69"/>
  <c r="J64" i="69" s="1"/>
  <c r="B66" i="71" l="1"/>
  <c r="E66" i="71" s="1"/>
  <c r="J66" i="71" s="1"/>
  <c r="A65" i="71"/>
  <c r="N63" i="69"/>
  <c r="Z63" i="69" s="1"/>
  <c r="M63" i="69"/>
  <c r="D64" i="69"/>
  <c r="I64" i="69" s="1"/>
  <c r="L713" i="69"/>
  <c r="M65" i="71" l="1"/>
  <c r="L65" i="71" s="1"/>
  <c r="N65" i="71"/>
  <c r="Z65" i="71" s="1"/>
  <c r="D66" i="71"/>
  <c r="I66" i="71" s="1"/>
  <c r="P63" i="69"/>
  <c r="H64" i="69"/>
  <c r="K64" i="69"/>
  <c r="C65" i="69" s="1"/>
  <c r="L714" i="69"/>
  <c r="L63" i="69"/>
  <c r="P65" i="71" l="1"/>
  <c r="K66" i="71"/>
  <c r="C67" i="71" s="1"/>
  <c r="H66" i="71"/>
  <c r="B65" i="69"/>
  <c r="E65" i="69" s="1"/>
  <c r="J65" i="69" s="1"/>
  <c r="A64" i="69"/>
  <c r="L715" i="69"/>
  <c r="B67" i="71" l="1"/>
  <c r="E67" i="71" s="1"/>
  <c r="A66" i="71"/>
  <c r="N64" i="69"/>
  <c r="Z64" i="69" s="1"/>
  <c r="M64" i="69"/>
  <c r="L716" i="69"/>
  <c r="D65" i="69"/>
  <c r="M66" i="71" l="1"/>
  <c r="L66" i="71" s="1"/>
  <c r="N66" i="71"/>
  <c r="Z66" i="71" s="1"/>
  <c r="J67" i="71"/>
  <c r="D67" i="71"/>
  <c r="I67" i="71" s="1"/>
  <c r="P64" i="69"/>
  <c r="L717" i="69"/>
  <c r="H65" i="69"/>
  <c r="I65" i="69"/>
  <c r="K65" i="69"/>
  <c r="P66" i="71" l="1"/>
  <c r="K67" i="71"/>
  <c r="A67" i="71" s="1"/>
  <c r="N67" i="71" s="1"/>
  <c r="Z67" i="71" s="1"/>
  <c r="H67" i="71"/>
  <c r="L718" i="69"/>
  <c r="B66" i="69"/>
  <c r="A65" i="69"/>
  <c r="C66" i="69"/>
  <c r="L64" i="69"/>
  <c r="P67" i="71" l="1"/>
  <c r="B68" i="71"/>
  <c r="E68" i="71" s="1"/>
  <c r="J68" i="71" s="1"/>
  <c r="C68" i="71"/>
  <c r="M67" i="71"/>
  <c r="L67" i="71" s="1"/>
  <c r="N65" i="69"/>
  <c r="Z65" i="69" s="1"/>
  <c r="M65" i="69"/>
  <c r="L719" i="69"/>
  <c r="E66" i="69"/>
  <c r="J66" i="69" s="1"/>
  <c r="D68" i="71" l="1"/>
  <c r="K68" i="71" s="1"/>
  <c r="B69" i="71" s="1"/>
  <c r="P65" i="69"/>
  <c r="L720" i="69"/>
  <c r="D66" i="69"/>
  <c r="C69" i="71" l="1"/>
  <c r="H68" i="71"/>
  <c r="I68" i="71"/>
  <c r="A68" i="71"/>
  <c r="E69" i="71"/>
  <c r="J69" i="71" s="1"/>
  <c r="L721" i="69"/>
  <c r="I66" i="69"/>
  <c r="H66" i="69"/>
  <c r="K66" i="69"/>
  <c r="N68" i="71" l="1"/>
  <c r="Z68" i="71" s="1"/>
  <c r="M68" i="71"/>
  <c r="L68" i="71" s="1"/>
  <c r="D69" i="71"/>
  <c r="I69" i="71" s="1"/>
  <c r="L722" i="69"/>
  <c r="L65" i="69"/>
  <c r="C67" i="69"/>
  <c r="A66" i="69"/>
  <c r="B67" i="69"/>
  <c r="P68" i="71" l="1"/>
  <c r="K69" i="71"/>
  <c r="C70" i="71" s="1"/>
  <c r="H69" i="71"/>
  <c r="N66" i="69"/>
  <c r="Z66" i="69" s="1"/>
  <c r="M66" i="69"/>
  <c r="L723" i="69"/>
  <c r="E67" i="69"/>
  <c r="J67" i="69" s="1"/>
  <c r="B70" i="71" l="1"/>
  <c r="E70" i="71" s="1"/>
  <c r="J70" i="71" s="1"/>
  <c r="A69" i="71"/>
  <c r="P66" i="69"/>
  <c r="L724" i="69"/>
  <c r="D67" i="69"/>
  <c r="M69" i="71" l="1"/>
  <c r="L69" i="71" s="1"/>
  <c r="N69" i="71"/>
  <c r="Z69" i="71" s="1"/>
  <c r="D70" i="71"/>
  <c r="I70" i="71" s="1"/>
  <c r="L725" i="69"/>
  <c r="L66" i="69"/>
  <c r="H67" i="69"/>
  <c r="I67" i="69"/>
  <c r="K67" i="69"/>
  <c r="P69" i="71" l="1"/>
  <c r="K70" i="71"/>
  <c r="C71" i="71" s="1"/>
  <c r="H70" i="71"/>
  <c r="L726" i="69"/>
  <c r="B68" i="69"/>
  <c r="C68" i="69"/>
  <c r="A67" i="69"/>
  <c r="B71" i="71" l="1"/>
  <c r="E71" i="71" s="1"/>
  <c r="J71" i="71" s="1"/>
  <c r="A70" i="71"/>
  <c r="N67" i="69"/>
  <c r="Z67" i="69" s="1"/>
  <c r="M67" i="69"/>
  <c r="L727" i="69"/>
  <c r="E68" i="69"/>
  <c r="J68" i="69" s="1"/>
  <c r="N70" i="71" l="1"/>
  <c r="Z70" i="71" s="1"/>
  <c r="M70" i="71"/>
  <c r="L70" i="71" s="1"/>
  <c r="D71" i="71"/>
  <c r="H71" i="71" s="1"/>
  <c r="P67" i="69"/>
  <c r="D68" i="69"/>
  <c r="I68" i="69" s="1"/>
  <c r="L728" i="69"/>
  <c r="P70" i="71" l="1"/>
  <c r="K71" i="71"/>
  <c r="C72" i="71" s="1"/>
  <c r="I71" i="71"/>
  <c r="H68" i="69"/>
  <c r="K68" i="69"/>
  <c r="C69" i="69" s="1"/>
  <c r="L729" i="69"/>
  <c r="L67" i="69"/>
  <c r="A71" i="71" l="1"/>
  <c r="B72" i="71"/>
  <c r="E72" i="71" s="1"/>
  <c r="J72" i="71" s="1"/>
  <c r="B69" i="69"/>
  <c r="E69" i="69" s="1"/>
  <c r="J69" i="69" s="1"/>
  <c r="A68" i="69"/>
  <c r="L730" i="69"/>
  <c r="M71" i="71" l="1"/>
  <c r="L71" i="71" s="1"/>
  <c r="N71" i="71"/>
  <c r="Z71" i="71" s="1"/>
  <c r="D72" i="71"/>
  <c r="K72" i="71" s="1"/>
  <c r="B73" i="71" s="1"/>
  <c r="N68" i="69"/>
  <c r="Z68" i="69" s="1"/>
  <c r="M68" i="69"/>
  <c r="D69" i="69"/>
  <c r="K69" i="69" s="1"/>
  <c r="A69" i="69" s="1"/>
  <c r="L731" i="69"/>
  <c r="P71" i="71" l="1"/>
  <c r="I72" i="71"/>
  <c r="H72" i="71"/>
  <c r="A72" i="71"/>
  <c r="C73" i="71"/>
  <c r="E73" i="71"/>
  <c r="J73" i="71" s="1"/>
  <c r="P68" i="69"/>
  <c r="N69" i="69"/>
  <c r="Z69" i="69" s="1"/>
  <c r="H69" i="69"/>
  <c r="I69" i="69"/>
  <c r="C70" i="69"/>
  <c r="B70" i="69"/>
  <c r="E70" i="69" s="1"/>
  <c r="J70" i="69" s="1"/>
  <c r="M69" i="69"/>
  <c r="L732" i="69"/>
  <c r="N72" i="71" l="1"/>
  <c r="Z72" i="71" s="1"/>
  <c r="M72" i="71"/>
  <c r="L72" i="71" s="1"/>
  <c r="D73" i="71"/>
  <c r="P69" i="69"/>
  <c r="D70" i="69"/>
  <c r="I70" i="69" s="1"/>
  <c r="L733" i="69"/>
  <c r="L68" i="69"/>
  <c r="P72" i="71" l="1"/>
  <c r="I73" i="71"/>
  <c r="H73" i="71"/>
  <c r="K73" i="71"/>
  <c r="H70" i="69"/>
  <c r="K70" i="69"/>
  <c r="C71" i="69" s="1"/>
  <c r="L734" i="69"/>
  <c r="C74" i="71" l="1"/>
  <c r="A73" i="71"/>
  <c r="N73" i="71" s="1"/>
  <c r="Z73" i="71" s="1"/>
  <c r="B74" i="71"/>
  <c r="A70" i="69"/>
  <c r="B71" i="69"/>
  <c r="E71" i="69" s="1"/>
  <c r="J71" i="69" s="1"/>
  <c r="L735" i="69"/>
  <c r="P73" i="71" l="1"/>
  <c r="M73" i="71"/>
  <c r="L73" i="71" s="1"/>
  <c r="E74" i="71"/>
  <c r="J74" i="71" s="1"/>
  <c r="N70" i="69"/>
  <c r="Z70" i="69" s="1"/>
  <c r="M70" i="69"/>
  <c r="L736" i="69"/>
  <c r="D71" i="69"/>
  <c r="D74" i="71" l="1"/>
  <c r="P70" i="69"/>
  <c r="L737" i="69"/>
  <c r="L69" i="69"/>
  <c r="H71" i="69"/>
  <c r="I71" i="69"/>
  <c r="K71" i="69"/>
  <c r="I74" i="71" l="1"/>
  <c r="H74" i="71"/>
  <c r="K74" i="71"/>
  <c r="L738" i="69"/>
  <c r="B72" i="69"/>
  <c r="C72" i="69"/>
  <c r="A71" i="69"/>
  <c r="C75" i="71" l="1"/>
  <c r="A74" i="71"/>
  <c r="N74" i="71" s="1"/>
  <c r="Z74" i="71" s="1"/>
  <c r="B75" i="71"/>
  <c r="N71" i="69"/>
  <c r="Z71" i="69" s="1"/>
  <c r="M71" i="69"/>
  <c r="L739" i="69"/>
  <c r="E72" i="69"/>
  <c r="J72" i="69" s="1"/>
  <c r="P74" i="71" l="1"/>
  <c r="E75" i="71"/>
  <c r="J75" i="71" s="1"/>
  <c r="M74" i="71"/>
  <c r="L74" i="71" s="1"/>
  <c r="P71" i="69"/>
  <c r="D72" i="69"/>
  <c r="H72" i="69" s="1"/>
  <c r="L740" i="69"/>
  <c r="L70" i="69"/>
  <c r="D75" i="71" l="1"/>
  <c r="I75" i="71" s="1"/>
  <c r="K72" i="69"/>
  <c r="C73" i="69" s="1"/>
  <c r="I72" i="69"/>
  <c r="L741" i="69"/>
  <c r="K75" i="71" l="1"/>
  <c r="C76" i="71" s="1"/>
  <c r="H75" i="71"/>
  <c r="B73" i="69"/>
  <c r="E73" i="69" s="1"/>
  <c r="J73" i="69" s="1"/>
  <c r="A72" i="69"/>
  <c r="L742" i="69"/>
  <c r="A75" i="71" l="1"/>
  <c r="B76" i="71"/>
  <c r="E76" i="71" s="1"/>
  <c r="J76" i="71" s="1"/>
  <c r="N72" i="69"/>
  <c r="Z72" i="69" s="1"/>
  <c r="M72" i="69"/>
  <c r="L743" i="69"/>
  <c r="D73" i="69"/>
  <c r="M75" i="71" l="1"/>
  <c r="L75" i="71" s="1"/>
  <c r="N75" i="71"/>
  <c r="Z75" i="71" s="1"/>
  <c r="D76" i="71"/>
  <c r="P72" i="69"/>
  <c r="L744" i="69"/>
  <c r="H73" i="69"/>
  <c r="I73" i="69"/>
  <c r="K73" i="69"/>
  <c r="L71" i="69"/>
  <c r="P75" i="71" l="1"/>
  <c r="H76" i="71"/>
  <c r="I76" i="71"/>
  <c r="K76" i="71"/>
  <c r="L745" i="69"/>
  <c r="B74" i="69"/>
  <c r="C74" i="69"/>
  <c r="A73" i="69"/>
  <c r="A76" i="71" l="1"/>
  <c r="N76" i="71" s="1"/>
  <c r="Z76" i="71" s="1"/>
  <c r="C77" i="71"/>
  <c r="B77" i="71"/>
  <c r="N73" i="69"/>
  <c r="Z73" i="69" s="1"/>
  <c r="M73" i="69"/>
  <c r="L746" i="69"/>
  <c r="E74" i="69"/>
  <c r="J74" i="69" s="1"/>
  <c r="P76" i="71" l="1"/>
  <c r="E77" i="71"/>
  <c r="J77" i="71" s="1"/>
  <c r="M76" i="71"/>
  <c r="L76" i="71" s="1"/>
  <c r="P73" i="69"/>
  <c r="L747" i="69"/>
  <c r="D74" i="69"/>
  <c r="D77" i="71" l="1"/>
  <c r="L748" i="69"/>
  <c r="L72" i="69"/>
  <c r="I74" i="69"/>
  <c r="H74" i="69"/>
  <c r="K74" i="69"/>
  <c r="I77" i="71" l="1"/>
  <c r="H77" i="71"/>
  <c r="K77" i="71"/>
  <c r="L749" i="69"/>
  <c r="C75" i="69"/>
  <c r="A74" i="69"/>
  <c r="B75" i="69"/>
  <c r="C78" i="71" l="1"/>
  <c r="A77" i="71"/>
  <c r="N77" i="71" s="1"/>
  <c r="Z77" i="71" s="1"/>
  <c r="B78" i="71"/>
  <c r="N74" i="69"/>
  <c r="Z74" i="69" s="1"/>
  <c r="M74" i="69"/>
  <c r="L750" i="69"/>
  <c r="E75" i="69"/>
  <c r="J75" i="69" s="1"/>
  <c r="P77" i="71" l="1"/>
  <c r="E78" i="71"/>
  <c r="J78" i="71" s="1"/>
  <c r="M77" i="71"/>
  <c r="L77" i="71" s="1"/>
  <c r="P74" i="69"/>
  <c r="L751" i="69"/>
  <c r="L73" i="69"/>
  <c r="D75" i="69"/>
  <c r="D78" i="71" l="1"/>
  <c r="I78" i="71" s="1"/>
  <c r="L752" i="69"/>
  <c r="H75" i="69"/>
  <c r="I75" i="69"/>
  <c r="K75" i="69"/>
  <c r="K78" i="71" l="1"/>
  <c r="C79" i="71" s="1"/>
  <c r="H78" i="71"/>
  <c r="L753" i="69"/>
  <c r="B76" i="69"/>
  <c r="A75" i="69"/>
  <c r="C76" i="69"/>
  <c r="A78" i="71" l="1"/>
  <c r="B79" i="71"/>
  <c r="E79" i="71" s="1"/>
  <c r="J79" i="71" s="1"/>
  <c r="N75" i="69"/>
  <c r="Z75" i="69" s="1"/>
  <c r="M75" i="69"/>
  <c r="L754" i="69"/>
  <c r="E76" i="69"/>
  <c r="J76" i="69" s="1"/>
  <c r="N78" i="71" l="1"/>
  <c r="Z78" i="71" s="1"/>
  <c r="M78" i="71"/>
  <c r="L78" i="71" s="1"/>
  <c r="D79" i="71"/>
  <c r="K79" i="71" s="1"/>
  <c r="C80" i="71" s="1"/>
  <c r="P75" i="69"/>
  <c r="D76" i="69"/>
  <c r="K76" i="69" s="1"/>
  <c r="C77" i="69" s="1"/>
  <c r="L755" i="69"/>
  <c r="L74" i="69"/>
  <c r="P78" i="71" l="1"/>
  <c r="I79" i="71"/>
  <c r="H79" i="71"/>
  <c r="B80" i="71"/>
  <c r="E80" i="71" s="1"/>
  <c r="J80" i="71" s="1"/>
  <c r="A79" i="71"/>
  <c r="A76" i="69"/>
  <c r="I76" i="69"/>
  <c r="B77" i="69"/>
  <c r="E77" i="69" s="1"/>
  <c r="J77" i="69" s="1"/>
  <c r="H76" i="69"/>
  <c r="L756" i="69"/>
  <c r="M79" i="71" l="1"/>
  <c r="L79" i="71" s="1"/>
  <c r="N79" i="71"/>
  <c r="Z79" i="71" s="1"/>
  <c r="D80" i="71"/>
  <c r="I80" i="71" s="1"/>
  <c r="N76" i="69"/>
  <c r="Z76" i="69" s="1"/>
  <c r="M76" i="69"/>
  <c r="D77" i="69"/>
  <c r="I77" i="69" s="1"/>
  <c r="L757" i="69"/>
  <c r="P79" i="71" l="1"/>
  <c r="H80" i="71"/>
  <c r="K80" i="71"/>
  <c r="C81" i="71" s="1"/>
  <c r="P76" i="69"/>
  <c r="H77" i="69"/>
  <c r="K77" i="69"/>
  <c r="B78" i="69" s="1"/>
  <c r="L758" i="69"/>
  <c r="A80" i="71" l="1"/>
  <c r="B81" i="71"/>
  <c r="E81" i="71" s="1"/>
  <c r="J81" i="71" s="1"/>
  <c r="C78" i="69"/>
  <c r="A77" i="69"/>
  <c r="L759" i="69"/>
  <c r="L75" i="69"/>
  <c r="E78" i="69"/>
  <c r="J78" i="69" s="1"/>
  <c r="N80" i="71" l="1"/>
  <c r="Z80" i="71" s="1"/>
  <c r="M80" i="71"/>
  <c r="L80" i="71" s="1"/>
  <c r="D81" i="71"/>
  <c r="K81" i="71" s="1"/>
  <c r="C82" i="71" s="1"/>
  <c r="N77" i="69"/>
  <c r="Z77" i="69" s="1"/>
  <c r="M77" i="69"/>
  <c r="D78" i="69"/>
  <c r="H78" i="69" s="1"/>
  <c r="L760" i="69"/>
  <c r="P80" i="71" l="1"/>
  <c r="H81" i="71"/>
  <c r="I81" i="71"/>
  <c r="A81" i="71"/>
  <c r="B82" i="71"/>
  <c r="E82" i="71" s="1"/>
  <c r="J82" i="71" s="1"/>
  <c r="P77" i="69"/>
  <c r="K78" i="69"/>
  <c r="A78" i="69" s="1"/>
  <c r="I78" i="69"/>
  <c r="L761" i="69"/>
  <c r="N81" i="71" l="1"/>
  <c r="Z81" i="71" s="1"/>
  <c r="M81" i="71"/>
  <c r="L81" i="71" s="1"/>
  <c r="D82" i="71"/>
  <c r="I82" i="71" s="1"/>
  <c r="B79" i="69"/>
  <c r="E79" i="69" s="1"/>
  <c r="J79" i="69" s="1"/>
  <c r="C79" i="69"/>
  <c r="N78" i="69"/>
  <c r="Z78" i="69" s="1"/>
  <c r="M78" i="69"/>
  <c r="L762" i="69"/>
  <c r="L76" i="69"/>
  <c r="P81" i="71" l="1"/>
  <c r="K82" i="71"/>
  <c r="C83" i="71" s="1"/>
  <c r="H82" i="71"/>
  <c r="P78" i="69"/>
  <c r="D79" i="69"/>
  <c r="H79" i="69" s="1"/>
  <c r="L763" i="69"/>
  <c r="B83" i="71" l="1"/>
  <c r="E83" i="71" s="1"/>
  <c r="J83" i="71" s="1"/>
  <c r="A82" i="71"/>
  <c r="I79" i="69"/>
  <c r="K79" i="69"/>
  <c r="C80" i="69" s="1"/>
  <c r="L764" i="69"/>
  <c r="M82" i="71" l="1"/>
  <c r="L82" i="71" s="1"/>
  <c r="N82" i="71"/>
  <c r="Z82" i="71" s="1"/>
  <c r="D83" i="71"/>
  <c r="K83" i="71" s="1"/>
  <c r="C84" i="71" s="1"/>
  <c r="B80" i="69"/>
  <c r="E80" i="69" s="1"/>
  <c r="J80" i="69" s="1"/>
  <c r="A79" i="69"/>
  <c r="L765" i="69"/>
  <c r="P82" i="71" l="1"/>
  <c r="I83" i="71"/>
  <c r="H83" i="71"/>
  <c r="A83" i="71"/>
  <c r="B84" i="71"/>
  <c r="E84" i="71" s="1"/>
  <c r="N79" i="69"/>
  <c r="Z79" i="69" s="1"/>
  <c r="M79" i="69"/>
  <c r="L766" i="69"/>
  <c r="L77" i="69"/>
  <c r="D80" i="69"/>
  <c r="M83" i="71" l="1"/>
  <c r="L83" i="71" s="1"/>
  <c r="N83" i="71"/>
  <c r="Z83" i="71" s="1"/>
  <c r="J84" i="71"/>
  <c r="D84" i="71"/>
  <c r="I84" i="71" s="1"/>
  <c r="P79" i="69"/>
  <c r="L767" i="69"/>
  <c r="I80" i="69"/>
  <c r="H80" i="69"/>
  <c r="K80" i="69"/>
  <c r="P83" i="71" l="1"/>
  <c r="K84" i="71"/>
  <c r="A84" i="71" s="1"/>
  <c r="N84" i="71" s="1"/>
  <c r="Z84" i="71" s="1"/>
  <c r="H84" i="71"/>
  <c r="L768" i="69"/>
  <c r="C81" i="69"/>
  <c r="A80" i="69"/>
  <c r="B81" i="69"/>
  <c r="L78" i="69"/>
  <c r="P84" i="71" l="1"/>
  <c r="B85" i="71"/>
  <c r="E85" i="71" s="1"/>
  <c r="J85" i="71" s="1"/>
  <c r="C85" i="71"/>
  <c r="M84" i="71"/>
  <c r="L84" i="71" s="1"/>
  <c r="N80" i="69"/>
  <c r="Z80" i="69" s="1"/>
  <c r="M80" i="69"/>
  <c r="L769" i="69"/>
  <c r="E81" i="69"/>
  <c r="J81" i="69" s="1"/>
  <c r="D85" i="71" l="1"/>
  <c r="K85" i="71" s="1"/>
  <c r="C86" i="71" s="1"/>
  <c r="P80" i="69"/>
  <c r="L770" i="69"/>
  <c r="D81" i="69"/>
  <c r="H85" i="71" l="1"/>
  <c r="B86" i="71"/>
  <c r="E86" i="71" s="1"/>
  <c r="J86" i="71" s="1"/>
  <c r="A85" i="71"/>
  <c r="I85" i="71"/>
  <c r="L771" i="69"/>
  <c r="H81" i="69"/>
  <c r="I81" i="69"/>
  <c r="K81" i="69"/>
  <c r="L79" i="69"/>
  <c r="N85" i="71" l="1"/>
  <c r="Z85" i="71" s="1"/>
  <c r="M85" i="71"/>
  <c r="L85" i="71" s="1"/>
  <c r="D86" i="71"/>
  <c r="K86" i="71" s="1"/>
  <c r="C87" i="71" s="1"/>
  <c r="L772" i="69"/>
  <c r="B82" i="69"/>
  <c r="C82" i="69"/>
  <c r="A81" i="69"/>
  <c r="P85" i="71" l="1"/>
  <c r="H86" i="71"/>
  <c r="B87" i="71"/>
  <c r="E87" i="71" s="1"/>
  <c r="J87" i="71" s="1"/>
  <c r="I86" i="71"/>
  <c r="A86" i="71"/>
  <c r="N81" i="69"/>
  <c r="Z81" i="69" s="1"/>
  <c r="M81" i="69"/>
  <c r="L773" i="69"/>
  <c r="E82" i="69"/>
  <c r="J82" i="69" s="1"/>
  <c r="M86" i="71" l="1"/>
  <c r="L86" i="71" s="1"/>
  <c r="N86" i="71"/>
  <c r="Z86" i="71" s="1"/>
  <c r="D87" i="71"/>
  <c r="I87" i="71" s="1"/>
  <c r="P81" i="69"/>
  <c r="L774" i="69"/>
  <c r="D82" i="69"/>
  <c r="P86" i="71" l="1"/>
  <c r="K87" i="71"/>
  <c r="A87" i="71" s="1"/>
  <c r="N87" i="71" s="1"/>
  <c r="Z87" i="71" s="1"/>
  <c r="H87" i="71"/>
  <c r="L775" i="69"/>
  <c r="L80" i="69"/>
  <c r="I82" i="69"/>
  <c r="H82" i="69"/>
  <c r="K82" i="69"/>
  <c r="P87" i="71" l="1"/>
  <c r="B88" i="71"/>
  <c r="E88" i="71" s="1"/>
  <c r="J88" i="71" s="1"/>
  <c r="C88" i="71"/>
  <c r="M87" i="71"/>
  <c r="L87" i="71" s="1"/>
  <c r="L776" i="69"/>
  <c r="C83" i="69"/>
  <c r="A82" i="69"/>
  <c r="B83" i="69"/>
  <c r="D88" i="71" l="1"/>
  <c r="H88" i="71" s="1"/>
  <c r="N82" i="69"/>
  <c r="Z82" i="69" s="1"/>
  <c r="M82" i="69"/>
  <c r="L777" i="69"/>
  <c r="E83" i="69"/>
  <c r="J83" i="69" s="1"/>
  <c r="K88" i="71" l="1"/>
  <c r="C89" i="71" s="1"/>
  <c r="I88" i="71"/>
  <c r="P82" i="69"/>
  <c r="L778" i="69"/>
  <c r="D83" i="69"/>
  <c r="A88" i="71" l="1"/>
  <c r="B89" i="71"/>
  <c r="E89" i="71" s="1"/>
  <c r="J89" i="71" s="1"/>
  <c r="L779" i="69"/>
  <c r="L81" i="69"/>
  <c r="H83" i="69"/>
  <c r="I83" i="69"/>
  <c r="K83" i="69"/>
  <c r="N88" i="71" l="1"/>
  <c r="Z88" i="71" s="1"/>
  <c r="M88" i="71"/>
  <c r="L88" i="71" s="1"/>
  <c r="D89" i="71"/>
  <c r="K89" i="71" s="1"/>
  <c r="C90" i="71" s="1"/>
  <c r="L780" i="69"/>
  <c r="B84" i="69"/>
  <c r="C84" i="69"/>
  <c r="A83" i="69"/>
  <c r="P88" i="71" l="1"/>
  <c r="I89" i="71"/>
  <c r="H89" i="71"/>
  <c r="B90" i="71"/>
  <c r="E90" i="71" s="1"/>
  <c r="J90" i="71" s="1"/>
  <c r="A89" i="71"/>
  <c r="N83" i="69"/>
  <c r="Z83" i="69" s="1"/>
  <c r="M83" i="69"/>
  <c r="L781" i="69"/>
  <c r="E84" i="69"/>
  <c r="J84" i="69" s="1"/>
  <c r="N89" i="71" l="1"/>
  <c r="Z89" i="71" s="1"/>
  <c r="M89" i="71"/>
  <c r="L89" i="71" s="1"/>
  <c r="D90" i="71"/>
  <c r="I90" i="71" s="1"/>
  <c r="P83" i="69"/>
  <c r="L782" i="69"/>
  <c r="D84" i="69"/>
  <c r="P89" i="71" l="1"/>
  <c r="K90" i="71"/>
  <c r="C91" i="71" s="1"/>
  <c r="H90" i="71"/>
  <c r="L783" i="69"/>
  <c r="L82" i="69"/>
  <c r="I84" i="69"/>
  <c r="H84" i="69"/>
  <c r="K84" i="69"/>
  <c r="B91" i="71" l="1"/>
  <c r="E91" i="71" s="1"/>
  <c r="J91" i="71" s="1"/>
  <c r="A90" i="71"/>
  <c r="L784" i="69"/>
  <c r="C85" i="69"/>
  <c r="A84" i="69"/>
  <c r="B85" i="69"/>
  <c r="N90" i="71" l="1"/>
  <c r="Z90" i="71" s="1"/>
  <c r="M90" i="71"/>
  <c r="L90" i="71" s="1"/>
  <c r="D91" i="71"/>
  <c r="I91" i="71" s="1"/>
  <c r="N84" i="69"/>
  <c r="Z84" i="69" s="1"/>
  <c r="M84" i="69"/>
  <c r="L785" i="69"/>
  <c r="E85" i="69"/>
  <c r="J85" i="69" s="1"/>
  <c r="P90" i="71" l="1"/>
  <c r="K91" i="71"/>
  <c r="C92" i="71" s="1"/>
  <c r="H91" i="71"/>
  <c r="P84" i="69"/>
  <c r="D85" i="69"/>
  <c r="H85" i="69" s="1"/>
  <c r="L786" i="69"/>
  <c r="H15" i="1" s="1"/>
  <c r="A91" i="71" l="1"/>
  <c r="B92" i="71"/>
  <c r="E92" i="71" s="1"/>
  <c r="J92" i="71" s="1"/>
  <c r="K85" i="69"/>
  <c r="B86" i="69" s="1"/>
  <c r="I85" i="69"/>
  <c r="L83" i="69"/>
  <c r="M91" i="71" l="1"/>
  <c r="L91" i="71" s="1"/>
  <c r="N91" i="71"/>
  <c r="Z91" i="71" s="1"/>
  <c r="D92" i="71"/>
  <c r="H92" i="71" s="1"/>
  <c r="C86" i="69"/>
  <c r="A85" i="69"/>
  <c r="E86" i="69"/>
  <c r="J86" i="69" s="1"/>
  <c r="P91" i="71" l="1"/>
  <c r="K92" i="71"/>
  <c r="C93" i="71" s="1"/>
  <c r="I92" i="71"/>
  <c r="N85" i="69"/>
  <c r="Z85" i="69" s="1"/>
  <c r="M85" i="69"/>
  <c r="L84" i="69"/>
  <c r="D86" i="69"/>
  <c r="B93" i="71" l="1"/>
  <c r="E93" i="71" s="1"/>
  <c r="J93" i="71" s="1"/>
  <c r="A92" i="71"/>
  <c r="P85" i="69"/>
  <c r="I86" i="69"/>
  <c r="H86" i="69"/>
  <c r="K86" i="69"/>
  <c r="N92" i="71" l="1"/>
  <c r="Z92" i="71" s="1"/>
  <c r="M92" i="71"/>
  <c r="L92" i="71" s="1"/>
  <c r="D93" i="71"/>
  <c r="C87" i="69"/>
  <c r="A86" i="69"/>
  <c r="B87" i="69"/>
  <c r="P92" i="71" l="1"/>
  <c r="I93" i="71"/>
  <c r="H93" i="71"/>
  <c r="K93" i="71"/>
  <c r="N86" i="69"/>
  <c r="Z86" i="69" s="1"/>
  <c r="M86" i="69"/>
  <c r="E87" i="69"/>
  <c r="J87" i="69" s="1"/>
  <c r="C94" i="71" l="1"/>
  <c r="A93" i="71"/>
  <c r="N93" i="71" s="1"/>
  <c r="Z93" i="71" s="1"/>
  <c r="B94" i="71"/>
  <c r="P86" i="69"/>
  <c r="D87" i="69"/>
  <c r="H87" i="69" s="1"/>
  <c r="L85" i="69"/>
  <c r="P93" i="71" l="1"/>
  <c r="M93" i="71"/>
  <c r="L93" i="71" s="1"/>
  <c r="E94" i="71"/>
  <c r="J94" i="71" s="1"/>
  <c r="K87" i="69"/>
  <c r="B88" i="69" s="1"/>
  <c r="I87" i="69"/>
  <c r="D94" i="71" l="1"/>
  <c r="I94" i="71" s="1"/>
  <c r="A87" i="69"/>
  <c r="C88" i="69"/>
  <c r="E88" i="69"/>
  <c r="J88" i="69" s="1"/>
  <c r="K94" i="71" l="1"/>
  <c r="C95" i="71" s="1"/>
  <c r="H94" i="71"/>
  <c r="N87" i="69"/>
  <c r="Z87" i="69" s="1"/>
  <c r="M87" i="69"/>
  <c r="D88" i="69"/>
  <c r="A94" i="71" l="1"/>
  <c r="B95" i="71"/>
  <c r="E95" i="71" s="1"/>
  <c r="J95" i="71" s="1"/>
  <c r="P87" i="69"/>
  <c r="L86" i="69"/>
  <c r="I88" i="69"/>
  <c r="H88" i="69"/>
  <c r="K88" i="69"/>
  <c r="N94" i="71" l="1"/>
  <c r="Z94" i="71" s="1"/>
  <c r="M94" i="71"/>
  <c r="L94" i="71" s="1"/>
  <c r="D95" i="71"/>
  <c r="I95" i="71" s="1"/>
  <c r="C89" i="69"/>
  <c r="A88" i="69"/>
  <c r="B89" i="69"/>
  <c r="P94" i="71" l="1"/>
  <c r="K95" i="71"/>
  <c r="B96" i="71" s="1"/>
  <c r="H95" i="71"/>
  <c r="N88" i="69"/>
  <c r="Z88" i="69" s="1"/>
  <c r="M88" i="69"/>
  <c r="E89" i="69"/>
  <c r="J89" i="69" s="1"/>
  <c r="A95" i="71" l="1"/>
  <c r="C96" i="71"/>
  <c r="E96" i="71"/>
  <c r="J96" i="71" s="1"/>
  <c r="P88" i="69"/>
  <c r="D89" i="69"/>
  <c r="K89" i="69" s="1"/>
  <c r="B90" i="69" s="1"/>
  <c r="M95" i="71" l="1"/>
  <c r="L95" i="71" s="1"/>
  <c r="N95" i="71"/>
  <c r="Z95" i="71" s="1"/>
  <c r="D96" i="71"/>
  <c r="I89" i="69"/>
  <c r="H89" i="69"/>
  <c r="A89" i="69"/>
  <c r="C90" i="69"/>
  <c r="L87" i="69"/>
  <c r="E90" i="69"/>
  <c r="J90" i="69" s="1"/>
  <c r="P95" i="71" l="1"/>
  <c r="I96" i="71"/>
  <c r="H96" i="71"/>
  <c r="K96" i="71"/>
  <c r="D90" i="69"/>
  <c r="I90" i="69" s="1"/>
  <c r="N89" i="69"/>
  <c r="Z89" i="69" s="1"/>
  <c r="M89" i="69"/>
  <c r="A96" i="71" l="1"/>
  <c r="N96" i="71" s="1"/>
  <c r="Z96" i="71" s="1"/>
  <c r="C97" i="71"/>
  <c r="B97" i="71"/>
  <c r="P89" i="69"/>
  <c r="K90" i="69"/>
  <c r="A90" i="69" s="1"/>
  <c r="H90" i="69"/>
  <c r="P96" i="71" l="1"/>
  <c r="E97" i="71"/>
  <c r="J97" i="71" s="1"/>
  <c r="M96" i="71"/>
  <c r="L96" i="71" s="1"/>
  <c r="N90" i="69"/>
  <c r="Z90" i="69" s="1"/>
  <c r="B91" i="69"/>
  <c r="E91" i="69" s="1"/>
  <c r="J91" i="69" s="1"/>
  <c r="C91" i="69"/>
  <c r="M90" i="69"/>
  <c r="D97" i="71" l="1"/>
  <c r="I97" i="71" s="1"/>
  <c r="P90" i="69"/>
  <c r="D91" i="69"/>
  <c r="H91" i="69" s="1"/>
  <c r="L88" i="69"/>
  <c r="K97" i="71" l="1"/>
  <c r="C98" i="71" s="1"/>
  <c r="H97" i="71"/>
  <c r="K91" i="69"/>
  <c r="B92" i="69" s="1"/>
  <c r="I91" i="69"/>
  <c r="B98" i="71" l="1"/>
  <c r="E98" i="71" s="1"/>
  <c r="J98" i="71" s="1"/>
  <c r="A97" i="71"/>
  <c r="A91" i="69"/>
  <c r="C92" i="69"/>
  <c r="E92" i="69"/>
  <c r="J92" i="69" s="1"/>
  <c r="M97" i="71" l="1"/>
  <c r="L97" i="71" s="1"/>
  <c r="N97" i="71"/>
  <c r="Z97" i="71" s="1"/>
  <c r="D98" i="71"/>
  <c r="I98" i="71" s="1"/>
  <c r="N91" i="69"/>
  <c r="Z91" i="69" s="1"/>
  <c r="M91" i="69"/>
  <c r="D92" i="69"/>
  <c r="K92" i="69" s="1"/>
  <c r="C93" i="69" s="1"/>
  <c r="P97" i="71" l="1"/>
  <c r="H98" i="71"/>
  <c r="K98" i="71"/>
  <c r="C99" i="71" s="1"/>
  <c r="P91" i="69"/>
  <c r="I92" i="69"/>
  <c r="H92" i="69"/>
  <c r="B93" i="69"/>
  <c r="E93" i="69" s="1"/>
  <c r="J93" i="69" s="1"/>
  <c r="A92" i="69"/>
  <c r="L89" i="69"/>
  <c r="B99" i="71" l="1"/>
  <c r="E99" i="71" s="1"/>
  <c r="J99" i="71" s="1"/>
  <c r="A98" i="71"/>
  <c r="N92" i="69"/>
  <c r="Z92" i="69" s="1"/>
  <c r="M92" i="69"/>
  <c r="D93" i="69"/>
  <c r="N98" i="71" l="1"/>
  <c r="Z98" i="71" s="1"/>
  <c r="D99" i="71"/>
  <c r="I99" i="71" s="1"/>
  <c r="M98" i="71"/>
  <c r="L98" i="71" s="1"/>
  <c r="P92" i="69"/>
  <c r="H93" i="69"/>
  <c r="I93" i="69"/>
  <c r="K93" i="69"/>
  <c r="P98" i="71" l="1"/>
  <c r="K99" i="71"/>
  <c r="A99" i="71" s="1"/>
  <c r="N99" i="71" s="1"/>
  <c r="Z99" i="71" s="1"/>
  <c r="H99" i="71"/>
  <c r="B94" i="69"/>
  <c r="C94" i="69"/>
  <c r="A93" i="69"/>
  <c r="L90" i="69"/>
  <c r="P99" i="71" l="1"/>
  <c r="B100" i="71"/>
  <c r="E100" i="71" s="1"/>
  <c r="J100" i="71" s="1"/>
  <c r="C100" i="71"/>
  <c r="M99" i="71"/>
  <c r="L99" i="71" s="1"/>
  <c r="N93" i="69"/>
  <c r="Z93" i="69" s="1"/>
  <c r="M93" i="69"/>
  <c r="E94" i="69"/>
  <c r="J94" i="69" s="1"/>
  <c r="D100" i="71" l="1"/>
  <c r="P93" i="69"/>
  <c r="D94" i="69"/>
  <c r="I100" i="71" l="1"/>
  <c r="H100" i="71"/>
  <c r="K100" i="71"/>
  <c r="I94" i="69"/>
  <c r="H94" i="69"/>
  <c r="K94" i="69"/>
  <c r="C101" i="71" l="1"/>
  <c r="B101" i="71"/>
  <c r="A100" i="71"/>
  <c r="N100" i="71" s="1"/>
  <c r="Z100" i="71" s="1"/>
  <c r="C95" i="69"/>
  <c r="A94" i="69"/>
  <c r="B95" i="69"/>
  <c r="L91" i="69"/>
  <c r="P100" i="71" l="1"/>
  <c r="M100" i="71"/>
  <c r="L100" i="71" s="1"/>
  <c r="E101" i="71"/>
  <c r="J101" i="71" s="1"/>
  <c r="N94" i="69"/>
  <c r="Z94" i="69" s="1"/>
  <c r="M94" i="69"/>
  <c r="E95" i="69"/>
  <c r="J95" i="69" s="1"/>
  <c r="D101" i="71" l="1"/>
  <c r="I101" i="71" s="1"/>
  <c r="P94" i="69"/>
  <c r="D95" i="69"/>
  <c r="H95" i="69" s="1"/>
  <c r="L92" i="69"/>
  <c r="K101" i="71" l="1"/>
  <c r="A101" i="71" s="1"/>
  <c r="N101" i="71" s="1"/>
  <c r="Z101" i="71" s="1"/>
  <c r="H101" i="71"/>
  <c r="K95" i="69"/>
  <c r="B96" i="69" s="1"/>
  <c r="I95" i="69"/>
  <c r="P101" i="71" l="1"/>
  <c r="B102" i="71"/>
  <c r="E102" i="71" s="1"/>
  <c r="J102" i="71" s="1"/>
  <c r="C102" i="71"/>
  <c r="M101" i="71"/>
  <c r="L101" i="71" s="1"/>
  <c r="A95" i="69"/>
  <c r="C96" i="69"/>
  <c r="E96" i="69"/>
  <c r="J96" i="69" s="1"/>
  <c r="D102" i="71" l="1"/>
  <c r="K102" i="71" s="1"/>
  <c r="N95" i="69"/>
  <c r="Z95" i="69" s="1"/>
  <c r="M95" i="69"/>
  <c r="D96" i="69"/>
  <c r="H102" i="71" l="1"/>
  <c r="I102" i="71"/>
  <c r="C103" i="71"/>
  <c r="A102" i="71"/>
  <c r="N102" i="71" s="1"/>
  <c r="Z102" i="71" s="1"/>
  <c r="B103" i="71"/>
  <c r="P95" i="69"/>
  <c r="L93" i="69"/>
  <c r="I96" i="69"/>
  <c r="H96" i="69"/>
  <c r="K96" i="69"/>
  <c r="P102" i="71" l="1"/>
  <c r="E103" i="71"/>
  <c r="J103" i="71" s="1"/>
  <c r="M102" i="71"/>
  <c r="L102" i="71" s="1"/>
  <c r="C97" i="69"/>
  <c r="A96" i="69"/>
  <c r="B97" i="69"/>
  <c r="D103" i="71" l="1"/>
  <c r="I103" i="71" s="1"/>
  <c r="N96" i="69"/>
  <c r="Z96" i="69" s="1"/>
  <c r="M96" i="69"/>
  <c r="E97" i="69"/>
  <c r="J97" i="69" s="1"/>
  <c r="K103" i="71" l="1"/>
  <c r="C104" i="71" s="1"/>
  <c r="H103" i="71"/>
  <c r="P96" i="69"/>
  <c r="D97" i="69"/>
  <c r="I97" i="69" s="1"/>
  <c r="L94" i="69"/>
  <c r="B104" i="71" l="1"/>
  <c r="E104" i="71" s="1"/>
  <c r="J104" i="71" s="1"/>
  <c r="A103" i="71"/>
  <c r="K97" i="69"/>
  <c r="B98" i="69" s="1"/>
  <c r="H97" i="69"/>
  <c r="M103" i="71" l="1"/>
  <c r="L103" i="71" s="1"/>
  <c r="N103" i="71"/>
  <c r="Z103" i="71" s="1"/>
  <c r="D104" i="71"/>
  <c r="A97" i="69"/>
  <c r="C98" i="69"/>
  <c r="E98" i="69"/>
  <c r="J98" i="69" s="1"/>
  <c r="P103" i="71" l="1"/>
  <c r="H104" i="71"/>
  <c r="I104" i="71"/>
  <c r="K104" i="71"/>
  <c r="N97" i="69"/>
  <c r="Z97" i="69" s="1"/>
  <c r="M97" i="69"/>
  <c r="D98" i="69"/>
  <c r="I98" i="69" s="1"/>
  <c r="B105" i="71" l="1"/>
  <c r="A104" i="71"/>
  <c r="N104" i="71" s="1"/>
  <c r="Z104" i="71" s="1"/>
  <c r="C105" i="71"/>
  <c r="P97" i="69"/>
  <c r="K98" i="69"/>
  <c r="C99" i="69" s="1"/>
  <c r="H98" i="69"/>
  <c r="L95" i="69"/>
  <c r="P104" i="71" l="1"/>
  <c r="M104" i="71"/>
  <c r="L104" i="71" s="1"/>
  <c r="E105" i="71"/>
  <c r="J105" i="71" s="1"/>
  <c r="A98" i="69"/>
  <c r="B99" i="69"/>
  <c r="E99" i="69" s="1"/>
  <c r="J99" i="69" s="1"/>
  <c r="D105" i="71" l="1"/>
  <c r="N98" i="69"/>
  <c r="Z98" i="69" s="1"/>
  <c r="M98" i="69"/>
  <c r="D99" i="69"/>
  <c r="K99" i="69" s="1"/>
  <c r="B100" i="69" s="1"/>
  <c r="I105" i="71" l="1"/>
  <c r="H105" i="71"/>
  <c r="K105" i="71"/>
  <c r="P98" i="69"/>
  <c r="A99" i="69"/>
  <c r="C100" i="69"/>
  <c r="I99" i="69"/>
  <c r="H99" i="69"/>
  <c r="L96" i="69"/>
  <c r="E100" i="69"/>
  <c r="J100" i="69" s="1"/>
  <c r="C106" i="71" l="1"/>
  <c r="A105" i="71"/>
  <c r="N105" i="71" s="1"/>
  <c r="Z105" i="71" s="1"/>
  <c r="B106" i="71"/>
  <c r="N99" i="69"/>
  <c r="Z99" i="69" s="1"/>
  <c r="M99" i="69"/>
  <c r="D100" i="69"/>
  <c r="P105" i="71" l="1"/>
  <c r="E106" i="71"/>
  <c r="J106" i="71" s="1"/>
  <c r="M105" i="71"/>
  <c r="L105" i="71" s="1"/>
  <c r="P99" i="69"/>
  <c r="I100" i="69"/>
  <c r="H100" i="69"/>
  <c r="K100" i="69"/>
  <c r="D106" i="71" l="1"/>
  <c r="I106" i="71" s="1"/>
  <c r="C101" i="69"/>
  <c r="A100" i="69"/>
  <c r="B101" i="69"/>
  <c r="K106" i="71" l="1"/>
  <c r="C107" i="71" s="1"/>
  <c r="H106" i="71"/>
  <c r="N100" i="69"/>
  <c r="Z100" i="69" s="1"/>
  <c r="M100" i="69"/>
  <c r="E101" i="69"/>
  <c r="J101" i="69" s="1"/>
  <c r="L97" i="69"/>
  <c r="B107" i="71" l="1"/>
  <c r="E107" i="71" s="1"/>
  <c r="J107" i="71" s="1"/>
  <c r="A106" i="71"/>
  <c r="P100" i="69"/>
  <c r="D101" i="69"/>
  <c r="H101" i="69" s="1"/>
  <c r="N106" i="71" l="1"/>
  <c r="Z106" i="71" s="1"/>
  <c r="M106" i="71"/>
  <c r="L106" i="71" s="1"/>
  <c r="D107" i="71"/>
  <c r="I107" i="71" s="1"/>
  <c r="I101" i="69"/>
  <c r="K101" i="69"/>
  <c r="C102" i="69" s="1"/>
  <c r="P106" i="71" l="1"/>
  <c r="H107" i="71"/>
  <c r="K107" i="71"/>
  <c r="A107" i="71" s="1"/>
  <c r="N107" i="71" s="1"/>
  <c r="Z107" i="71" s="1"/>
  <c r="A101" i="69"/>
  <c r="B102" i="69"/>
  <c r="E102" i="69" s="1"/>
  <c r="J102" i="69" s="1"/>
  <c r="P107" i="71" l="1"/>
  <c r="B108" i="71"/>
  <c r="E108" i="71" s="1"/>
  <c r="J108" i="71" s="1"/>
  <c r="C108" i="71"/>
  <c r="M107" i="71"/>
  <c r="L107" i="71" s="1"/>
  <c r="N101" i="69"/>
  <c r="Z101" i="69" s="1"/>
  <c r="M101" i="69"/>
  <c r="D102" i="69"/>
  <c r="K102" i="69" s="1"/>
  <c r="A102" i="69" s="1"/>
  <c r="L98" i="69"/>
  <c r="D108" i="71" l="1"/>
  <c r="P101" i="69"/>
  <c r="N102" i="69"/>
  <c r="Z102" i="69" s="1"/>
  <c r="B103" i="69"/>
  <c r="E103" i="69" s="1"/>
  <c r="J103" i="69" s="1"/>
  <c r="C103" i="69"/>
  <c r="H102" i="69"/>
  <c r="I102" i="69"/>
  <c r="M102" i="69"/>
  <c r="I108" i="71" l="1"/>
  <c r="H108" i="71"/>
  <c r="K108" i="71"/>
  <c r="P102" i="69"/>
  <c r="D103" i="69"/>
  <c r="A108" i="71" l="1"/>
  <c r="N108" i="71" s="1"/>
  <c r="Z108" i="71" s="1"/>
  <c r="C109" i="71"/>
  <c r="B109" i="71"/>
  <c r="L99" i="69"/>
  <c r="H103" i="69"/>
  <c r="I103" i="69"/>
  <c r="K103" i="69"/>
  <c r="P108" i="71" l="1"/>
  <c r="E109" i="71"/>
  <c r="J109" i="71" s="1"/>
  <c r="M108" i="71"/>
  <c r="L108" i="71" s="1"/>
  <c r="B104" i="69"/>
  <c r="C104" i="69"/>
  <c r="A103" i="69"/>
  <c r="D109" i="71" l="1"/>
  <c r="I109" i="71" s="1"/>
  <c r="N103" i="69"/>
  <c r="Z103" i="69" s="1"/>
  <c r="M103" i="69"/>
  <c r="L100" i="69"/>
  <c r="E104" i="69"/>
  <c r="J104" i="69" s="1"/>
  <c r="K109" i="71" l="1"/>
  <c r="C110" i="71" s="1"/>
  <c r="H109" i="71"/>
  <c r="P103" i="69"/>
  <c r="D104" i="69"/>
  <c r="I104" i="69" s="1"/>
  <c r="A109" i="71" l="1"/>
  <c r="B110" i="71"/>
  <c r="E110" i="71" s="1"/>
  <c r="J110" i="71" s="1"/>
  <c r="H104" i="69"/>
  <c r="K104" i="69"/>
  <c r="C105" i="69" s="1"/>
  <c r="N109" i="71" l="1"/>
  <c r="Z109" i="71" s="1"/>
  <c r="M109" i="71"/>
  <c r="L109" i="71" s="1"/>
  <c r="D110" i="71"/>
  <c r="I110" i="71" s="1"/>
  <c r="B105" i="69"/>
  <c r="E105" i="69" s="1"/>
  <c r="J105" i="69" s="1"/>
  <c r="A104" i="69"/>
  <c r="P109" i="71" l="1"/>
  <c r="K110" i="71"/>
  <c r="A110" i="71" s="1"/>
  <c r="N110" i="71" s="1"/>
  <c r="Z110" i="71" s="1"/>
  <c r="H110" i="71"/>
  <c r="N104" i="69"/>
  <c r="Z104" i="69" s="1"/>
  <c r="M104" i="69"/>
  <c r="L101" i="69"/>
  <c r="D105" i="69"/>
  <c r="P110" i="71" l="1"/>
  <c r="B111" i="71"/>
  <c r="E111" i="71" s="1"/>
  <c r="J111" i="71" s="1"/>
  <c r="C111" i="71"/>
  <c r="M110" i="71"/>
  <c r="L110" i="71" s="1"/>
  <c r="P104" i="69"/>
  <c r="H105" i="69"/>
  <c r="I105" i="69"/>
  <c r="K105" i="69"/>
  <c r="D111" i="71" l="1"/>
  <c r="H111" i="71" s="1"/>
  <c r="B106" i="69"/>
  <c r="C106" i="69"/>
  <c r="A105" i="69"/>
  <c r="K111" i="71" l="1"/>
  <c r="C112" i="71" s="1"/>
  <c r="I111" i="71"/>
  <c r="N105" i="69"/>
  <c r="Z105" i="69" s="1"/>
  <c r="M105" i="69"/>
  <c r="L102" i="69"/>
  <c r="E106" i="69"/>
  <c r="J106" i="69" s="1"/>
  <c r="B112" i="71" l="1"/>
  <c r="E112" i="71" s="1"/>
  <c r="J112" i="71" s="1"/>
  <c r="A111" i="71"/>
  <c r="P105" i="69"/>
  <c r="D106" i="69"/>
  <c r="N111" i="71" l="1"/>
  <c r="Z111" i="71" s="1"/>
  <c r="M111" i="71"/>
  <c r="L111" i="71" s="1"/>
  <c r="D112" i="71"/>
  <c r="I106" i="69"/>
  <c r="H106" i="69"/>
  <c r="K106" i="69"/>
  <c r="P111" i="71" l="1"/>
  <c r="I112" i="71"/>
  <c r="H112" i="71"/>
  <c r="K112" i="71"/>
  <c r="C107" i="69"/>
  <c r="A106" i="69"/>
  <c r="B107" i="69"/>
  <c r="C113" i="71" l="1"/>
  <c r="B113" i="71"/>
  <c r="A112" i="71"/>
  <c r="N112" i="71" s="1"/>
  <c r="Z112" i="71" s="1"/>
  <c r="N106" i="69"/>
  <c r="Z106" i="69" s="1"/>
  <c r="M106" i="69"/>
  <c r="L103" i="69"/>
  <c r="E107" i="69"/>
  <c r="J107" i="69" s="1"/>
  <c r="P112" i="71" l="1"/>
  <c r="M112" i="71"/>
  <c r="L112" i="71" s="1"/>
  <c r="E113" i="71"/>
  <c r="J113" i="71" s="1"/>
  <c r="P106" i="69"/>
  <c r="D107" i="69"/>
  <c r="D113" i="71" l="1"/>
  <c r="I113" i="71" s="1"/>
  <c r="H107" i="69"/>
  <c r="I107" i="69"/>
  <c r="K107" i="69"/>
  <c r="H113" i="71" l="1"/>
  <c r="K113" i="71"/>
  <c r="C114" i="71" s="1"/>
  <c r="B108" i="69"/>
  <c r="A107" i="69"/>
  <c r="C108" i="69"/>
  <c r="B114" i="71" l="1"/>
  <c r="E114" i="71" s="1"/>
  <c r="J114" i="71" s="1"/>
  <c r="A113" i="71"/>
  <c r="N107" i="69"/>
  <c r="Z107" i="69" s="1"/>
  <c r="M107" i="69"/>
  <c r="E108" i="69"/>
  <c r="J108" i="69" s="1"/>
  <c r="L104" i="69"/>
  <c r="M113" i="71" l="1"/>
  <c r="L113" i="71" s="1"/>
  <c r="N113" i="71"/>
  <c r="Z113" i="71" s="1"/>
  <c r="D114" i="71"/>
  <c r="I114" i="71" s="1"/>
  <c r="P107" i="69"/>
  <c r="D108" i="69"/>
  <c r="P113" i="71" l="1"/>
  <c r="K114" i="71"/>
  <c r="C115" i="71" s="1"/>
  <c r="H114" i="71"/>
  <c r="I108" i="69"/>
  <c r="H108" i="69"/>
  <c r="K108" i="69"/>
  <c r="B115" i="71" l="1"/>
  <c r="E115" i="71" s="1"/>
  <c r="J115" i="71" s="1"/>
  <c r="A114" i="71"/>
  <c r="C109" i="69"/>
  <c r="A108" i="69"/>
  <c r="B109" i="69"/>
  <c r="M114" i="71" l="1"/>
  <c r="L114" i="71" s="1"/>
  <c r="N114" i="71"/>
  <c r="Z114" i="71" s="1"/>
  <c r="D115" i="71"/>
  <c r="H115" i="71" s="1"/>
  <c r="N108" i="69"/>
  <c r="Z108" i="69" s="1"/>
  <c r="M108" i="69"/>
  <c r="L105" i="69"/>
  <c r="E109" i="69"/>
  <c r="J109" i="69" s="1"/>
  <c r="P114" i="71" l="1"/>
  <c r="K115" i="71"/>
  <c r="C116" i="71" s="1"/>
  <c r="I115" i="71"/>
  <c r="P108" i="69"/>
  <c r="D109" i="69"/>
  <c r="A115" i="71" l="1"/>
  <c r="B116" i="71"/>
  <c r="E116" i="71" s="1"/>
  <c r="J116" i="71" s="1"/>
  <c r="H109" i="69"/>
  <c r="I109" i="69"/>
  <c r="K109" i="69"/>
  <c r="N115" i="71" l="1"/>
  <c r="Z115" i="71" s="1"/>
  <c r="M115" i="71"/>
  <c r="L115" i="71" s="1"/>
  <c r="D116" i="71"/>
  <c r="I116" i="71" s="1"/>
  <c r="L106" i="69"/>
  <c r="B110" i="69"/>
  <c r="A109" i="69"/>
  <c r="C110" i="69"/>
  <c r="P115" i="71" l="1"/>
  <c r="K116" i="71"/>
  <c r="A116" i="71" s="1"/>
  <c r="N116" i="71" s="1"/>
  <c r="Z116" i="71" s="1"/>
  <c r="H116" i="71"/>
  <c r="N109" i="69"/>
  <c r="Z109" i="69" s="1"/>
  <c r="M109" i="69"/>
  <c r="E110" i="69"/>
  <c r="J110" i="69" s="1"/>
  <c r="P116" i="71" l="1"/>
  <c r="C117" i="71"/>
  <c r="B117" i="71"/>
  <c r="E117" i="71" s="1"/>
  <c r="J117" i="71" s="1"/>
  <c r="M116" i="71"/>
  <c r="L116" i="71" s="1"/>
  <c r="P109" i="69"/>
  <c r="D110" i="69"/>
  <c r="L107" i="69"/>
  <c r="D117" i="71" l="1"/>
  <c r="K117" i="71" s="1"/>
  <c r="C118" i="71" s="1"/>
  <c r="I110" i="69"/>
  <c r="H110" i="69"/>
  <c r="K110" i="69"/>
  <c r="H117" i="71" l="1"/>
  <c r="I117" i="71"/>
  <c r="B118" i="71"/>
  <c r="E118" i="71" s="1"/>
  <c r="J118" i="71" s="1"/>
  <c r="A117" i="71"/>
  <c r="C111" i="69"/>
  <c r="A110" i="69"/>
  <c r="B111" i="69"/>
  <c r="N117" i="71" l="1"/>
  <c r="Z117" i="71" s="1"/>
  <c r="M117" i="71"/>
  <c r="L117" i="71" s="1"/>
  <c r="D118" i="71"/>
  <c r="N110" i="69"/>
  <c r="Z110" i="69" s="1"/>
  <c r="M110" i="69"/>
  <c r="E111" i="69"/>
  <c r="J111" i="69" s="1"/>
  <c r="P117" i="71" l="1"/>
  <c r="I118" i="71"/>
  <c r="H118" i="71"/>
  <c r="K118" i="71"/>
  <c r="P110" i="69"/>
  <c r="D111" i="69"/>
  <c r="K111" i="69" s="1"/>
  <c r="B112" i="69" s="1"/>
  <c r="L108" i="69"/>
  <c r="C119" i="71" l="1"/>
  <c r="A118" i="71"/>
  <c r="N118" i="71" s="1"/>
  <c r="Z118" i="71" s="1"/>
  <c r="B119" i="71"/>
  <c r="A111" i="69"/>
  <c r="C112" i="69"/>
  <c r="I111" i="69"/>
  <c r="H111" i="69"/>
  <c r="E112" i="69"/>
  <c r="J112" i="69" s="1"/>
  <c r="P118" i="71" l="1"/>
  <c r="E119" i="71"/>
  <c r="J119" i="71" s="1"/>
  <c r="M118" i="71"/>
  <c r="L118" i="71" s="1"/>
  <c r="N111" i="69"/>
  <c r="Z111" i="69" s="1"/>
  <c r="M111" i="69"/>
  <c r="D112" i="69"/>
  <c r="D119" i="71" l="1"/>
  <c r="K119" i="71" s="1"/>
  <c r="C120" i="71" s="1"/>
  <c r="P111" i="69"/>
  <c r="I112" i="69"/>
  <c r="H112" i="69"/>
  <c r="K112" i="69"/>
  <c r="H119" i="71" l="1"/>
  <c r="I119" i="71"/>
  <c r="A119" i="71"/>
  <c r="B120" i="71"/>
  <c r="E120" i="71" s="1"/>
  <c r="J120" i="71" s="1"/>
  <c r="L109" i="69"/>
  <c r="C113" i="69"/>
  <c r="A112" i="69"/>
  <c r="B113" i="69"/>
  <c r="M119" i="71" l="1"/>
  <c r="L119" i="71" s="1"/>
  <c r="N119" i="71"/>
  <c r="Z119" i="71" s="1"/>
  <c r="D120" i="71"/>
  <c r="N112" i="69"/>
  <c r="Z112" i="69" s="1"/>
  <c r="M112" i="69"/>
  <c r="E113" i="69"/>
  <c r="J113" i="69" s="1"/>
  <c r="P119" i="71" l="1"/>
  <c r="I120" i="71"/>
  <c r="H120" i="71"/>
  <c r="K120" i="71"/>
  <c r="P112" i="69"/>
  <c r="D113" i="69"/>
  <c r="C121" i="71" l="1"/>
  <c r="B121" i="71"/>
  <c r="A120" i="71"/>
  <c r="N120" i="71" s="1"/>
  <c r="Z120" i="71" s="1"/>
  <c r="H113" i="69"/>
  <c r="I113" i="69"/>
  <c r="K113" i="69"/>
  <c r="P120" i="71" l="1"/>
  <c r="M120" i="71"/>
  <c r="L120" i="71" s="1"/>
  <c r="E121" i="71"/>
  <c r="J121" i="71" s="1"/>
  <c r="L110" i="69"/>
  <c r="C114" i="69"/>
  <c r="B114" i="69"/>
  <c r="A113" i="69"/>
  <c r="D121" i="71" l="1"/>
  <c r="N113" i="69"/>
  <c r="Z113" i="69" s="1"/>
  <c r="M113" i="69"/>
  <c r="E114" i="69"/>
  <c r="J114" i="69" s="1"/>
  <c r="I121" i="71" l="1"/>
  <c r="H121" i="71"/>
  <c r="K121" i="71"/>
  <c r="P113" i="69"/>
  <c r="D114" i="69"/>
  <c r="C122" i="71" l="1"/>
  <c r="A121" i="71"/>
  <c r="N121" i="71" s="1"/>
  <c r="Z121" i="71" s="1"/>
  <c r="B122" i="71"/>
  <c r="I114" i="69"/>
  <c r="H114" i="69"/>
  <c r="K114" i="69"/>
  <c r="P121" i="71" l="1"/>
  <c r="E122" i="71"/>
  <c r="J122" i="71" s="1"/>
  <c r="M121" i="71"/>
  <c r="L121" i="71" s="1"/>
  <c r="L111" i="69"/>
  <c r="C115" i="69"/>
  <c r="A114" i="69"/>
  <c r="B115" i="69"/>
  <c r="D122" i="71" l="1"/>
  <c r="I122" i="71" s="1"/>
  <c r="N114" i="69"/>
  <c r="Z114" i="69" s="1"/>
  <c r="M114" i="69"/>
  <c r="E115" i="69"/>
  <c r="J115" i="69" s="1"/>
  <c r="K122" i="71" l="1"/>
  <c r="C123" i="71" s="1"/>
  <c r="H122" i="71"/>
  <c r="P114" i="69"/>
  <c r="D115" i="69"/>
  <c r="K115" i="69" s="1"/>
  <c r="B116" i="69" s="1"/>
  <c r="L112" i="69"/>
  <c r="A122" i="71" l="1"/>
  <c r="B123" i="71"/>
  <c r="E123" i="71" s="1"/>
  <c r="J123" i="71" s="1"/>
  <c r="H115" i="69"/>
  <c r="I115" i="69"/>
  <c r="A115" i="69"/>
  <c r="C116" i="69"/>
  <c r="E116" i="69"/>
  <c r="J116" i="69" s="1"/>
  <c r="N122" i="71" l="1"/>
  <c r="Z122" i="71" s="1"/>
  <c r="M122" i="71"/>
  <c r="L122" i="71" s="1"/>
  <c r="D123" i="71"/>
  <c r="I123" i="71" s="1"/>
  <c r="N115" i="69"/>
  <c r="Z115" i="69" s="1"/>
  <c r="M115" i="69"/>
  <c r="D116" i="69"/>
  <c r="K116" i="69" s="1"/>
  <c r="P122" i="71" l="1"/>
  <c r="K123" i="71"/>
  <c r="B124" i="71" s="1"/>
  <c r="H123" i="71"/>
  <c r="P115" i="69"/>
  <c r="H116" i="69"/>
  <c r="I116" i="69"/>
  <c r="C117" i="69"/>
  <c r="A116" i="69"/>
  <c r="B117" i="69"/>
  <c r="A123" i="71" l="1"/>
  <c r="C124" i="71"/>
  <c r="E124" i="71"/>
  <c r="J124" i="71" s="1"/>
  <c r="N116" i="69"/>
  <c r="Z116" i="69" s="1"/>
  <c r="M116" i="69"/>
  <c r="E117" i="69"/>
  <c r="J117" i="69" s="1"/>
  <c r="L113" i="69"/>
  <c r="M123" i="71" l="1"/>
  <c r="L123" i="71" s="1"/>
  <c r="N123" i="71"/>
  <c r="Z123" i="71" s="1"/>
  <c r="D124" i="71"/>
  <c r="K124" i="71" s="1"/>
  <c r="C125" i="71" s="1"/>
  <c r="P116" i="69"/>
  <c r="D117" i="69"/>
  <c r="P123" i="71" l="1"/>
  <c r="I124" i="71"/>
  <c r="H124" i="71"/>
  <c r="A124" i="71"/>
  <c r="B125" i="71"/>
  <c r="E125" i="71" s="1"/>
  <c r="J125" i="71" s="1"/>
  <c r="I117" i="69"/>
  <c r="H117" i="69"/>
  <c r="K117" i="69"/>
  <c r="N124" i="71" l="1"/>
  <c r="Z124" i="71" s="1"/>
  <c r="M124" i="71"/>
  <c r="L124" i="71" s="1"/>
  <c r="D125" i="71"/>
  <c r="C118" i="69"/>
  <c r="A117" i="69"/>
  <c r="B118" i="69"/>
  <c r="P124" i="71" l="1"/>
  <c r="I125" i="71"/>
  <c r="H125" i="71"/>
  <c r="K125" i="71"/>
  <c r="N117" i="69"/>
  <c r="Z117" i="69" s="1"/>
  <c r="M117" i="69"/>
  <c r="L114" i="69"/>
  <c r="E118" i="69"/>
  <c r="J118" i="69" s="1"/>
  <c r="C126" i="71" l="1"/>
  <c r="A125" i="71"/>
  <c r="N125" i="71" s="1"/>
  <c r="Z125" i="71" s="1"/>
  <c r="B126" i="71"/>
  <c r="P117" i="69"/>
  <c r="D118" i="69"/>
  <c r="P125" i="71" l="1"/>
  <c r="E126" i="71"/>
  <c r="J126" i="71" s="1"/>
  <c r="M125" i="71"/>
  <c r="L125" i="71" s="1"/>
  <c r="I118" i="69"/>
  <c r="H118" i="69"/>
  <c r="K118" i="69"/>
  <c r="D126" i="71" l="1"/>
  <c r="I126" i="71" s="1"/>
  <c r="C119" i="69"/>
  <c r="A118" i="69"/>
  <c r="B119" i="69"/>
  <c r="K126" i="71" l="1"/>
  <c r="C127" i="71" s="1"/>
  <c r="H126" i="71"/>
  <c r="N118" i="69"/>
  <c r="Z118" i="69" s="1"/>
  <c r="M118" i="69"/>
  <c r="L115" i="69"/>
  <c r="E119" i="69"/>
  <c r="J119" i="69" s="1"/>
  <c r="B127" i="71" l="1"/>
  <c r="E127" i="71" s="1"/>
  <c r="J127" i="71" s="1"/>
  <c r="A126" i="71"/>
  <c r="P118" i="69"/>
  <c r="D119" i="69"/>
  <c r="N126" i="71" l="1"/>
  <c r="Z126" i="71" s="1"/>
  <c r="M126" i="71"/>
  <c r="L126" i="71" s="1"/>
  <c r="D127" i="71"/>
  <c r="H127" i="71" s="1"/>
  <c r="I119" i="69"/>
  <c r="H119" i="69"/>
  <c r="K119" i="69"/>
  <c r="P126" i="71" l="1"/>
  <c r="K127" i="71"/>
  <c r="A127" i="71" s="1"/>
  <c r="N127" i="71" s="1"/>
  <c r="Z127" i="71" s="1"/>
  <c r="I127" i="71"/>
  <c r="C120" i="69"/>
  <c r="B120" i="69"/>
  <c r="A119" i="69"/>
  <c r="P127" i="71" l="1"/>
  <c r="C128" i="71"/>
  <c r="B128" i="71"/>
  <c r="E128" i="71" s="1"/>
  <c r="J128" i="71" s="1"/>
  <c r="M127" i="71"/>
  <c r="L127" i="71" s="1"/>
  <c r="N119" i="69"/>
  <c r="Z119" i="69" s="1"/>
  <c r="M119" i="69"/>
  <c r="E120" i="69"/>
  <c r="J120" i="69" s="1"/>
  <c r="L116" i="69"/>
  <c r="D128" i="71" l="1"/>
  <c r="P119" i="69"/>
  <c r="D120" i="69"/>
  <c r="I128" i="71" l="1"/>
  <c r="H128" i="71"/>
  <c r="K128" i="71"/>
  <c r="I120" i="69"/>
  <c r="H120" i="69"/>
  <c r="K120" i="69"/>
  <c r="A128" i="71" l="1"/>
  <c r="N128" i="71" s="1"/>
  <c r="Z128" i="71" s="1"/>
  <c r="C129" i="71"/>
  <c r="B129" i="71"/>
  <c r="C121" i="69"/>
  <c r="A120" i="69"/>
  <c r="B121" i="69"/>
  <c r="L117" i="69"/>
  <c r="P128" i="71" l="1"/>
  <c r="E129" i="71"/>
  <c r="J129" i="71" s="1"/>
  <c r="M128" i="71"/>
  <c r="L128" i="71" s="1"/>
  <c r="N120" i="69"/>
  <c r="Z120" i="69" s="1"/>
  <c r="M120" i="69"/>
  <c r="E121" i="69"/>
  <c r="J121" i="69" s="1"/>
  <c r="D129" i="71" l="1"/>
  <c r="P120" i="69"/>
  <c r="D121" i="69"/>
  <c r="I121" i="69" s="1"/>
  <c r="I129" i="71" l="1"/>
  <c r="H129" i="71"/>
  <c r="K129" i="71"/>
  <c r="K121" i="69"/>
  <c r="C122" i="69" s="1"/>
  <c r="H121" i="69"/>
  <c r="C130" i="71" l="1"/>
  <c r="A129" i="71"/>
  <c r="N129" i="71" s="1"/>
  <c r="Z129" i="71" s="1"/>
  <c r="B130" i="71"/>
  <c r="B122" i="69"/>
  <c r="E122" i="69" s="1"/>
  <c r="J122" i="69" s="1"/>
  <c r="A121" i="69"/>
  <c r="L118" i="69"/>
  <c r="P129" i="71" l="1"/>
  <c r="E130" i="71"/>
  <c r="J130" i="71" s="1"/>
  <c r="M129" i="71"/>
  <c r="L129" i="71" s="1"/>
  <c r="N121" i="69"/>
  <c r="Z121" i="69" s="1"/>
  <c r="M121" i="69"/>
  <c r="D122" i="69"/>
  <c r="D130" i="71" l="1"/>
  <c r="I130" i="71" s="1"/>
  <c r="P121" i="69"/>
  <c r="I122" i="69"/>
  <c r="H122" i="69"/>
  <c r="K122" i="69"/>
  <c r="L119" i="69"/>
  <c r="K130" i="71" l="1"/>
  <c r="C131" i="71" s="1"/>
  <c r="H130" i="71"/>
  <c r="C123" i="69"/>
  <c r="A122" i="69"/>
  <c r="B123" i="69"/>
  <c r="B131" i="71" l="1"/>
  <c r="E131" i="71" s="1"/>
  <c r="J131" i="71" s="1"/>
  <c r="A130" i="71"/>
  <c r="N122" i="69"/>
  <c r="Z122" i="69" s="1"/>
  <c r="M122" i="69"/>
  <c r="L120" i="69"/>
  <c r="E123" i="69"/>
  <c r="J123" i="69" s="1"/>
  <c r="M130" i="71" l="1"/>
  <c r="L130" i="71" s="1"/>
  <c r="N130" i="71"/>
  <c r="Z130" i="71" s="1"/>
  <c r="D131" i="71"/>
  <c r="I131" i="71" s="1"/>
  <c r="P122" i="69"/>
  <c r="D123" i="69"/>
  <c r="P130" i="71" l="1"/>
  <c r="K131" i="71"/>
  <c r="A131" i="71" s="1"/>
  <c r="N131" i="71" s="1"/>
  <c r="Z131" i="71" s="1"/>
  <c r="H131" i="71"/>
  <c r="H123" i="69"/>
  <c r="I123" i="69"/>
  <c r="K123" i="69"/>
  <c r="P131" i="71" l="1"/>
  <c r="C132" i="71"/>
  <c r="B132" i="71"/>
  <c r="E132" i="71" s="1"/>
  <c r="J132" i="71" s="1"/>
  <c r="M131" i="71"/>
  <c r="L131" i="71" s="1"/>
  <c r="C124" i="69"/>
  <c r="B124" i="69"/>
  <c r="A123" i="69"/>
  <c r="D132" i="71" l="1"/>
  <c r="N123" i="69"/>
  <c r="Z123" i="69" s="1"/>
  <c r="M123" i="69"/>
  <c r="E124" i="69"/>
  <c r="J124" i="69" s="1"/>
  <c r="L121" i="69"/>
  <c r="I132" i="71" l="1"/>
  <c r="H132" i="71"/>
  <c r="K132" i="71"/>
  <c r="P123" i="69"/>
  <c r="D124" i="69"/>
  <c r="I124" i="69" s="1"/>
  <c r="C133" i="71" l="1"/>
  <c r="B133" i="71"/>
  <c r="A132" i="71"/>
  <c r="N132" i="71" s="1"/>
  <c r="Z132" i="71" s="1"/>
  <c r="H124" i="69"/>
  <c r="K124" i="69"/>
  <c r="A124" i="69" s="1"/>
  <c r="P132" i="71" l="1"/>
  <c r="M132" i="71"/>
  <c r="L132" i="71" s="1"/>
  <c r="E133" i="71"/>
  <c r="J133" i="71" s="1"/>
  <c r="C125" i="69"/>
  <c r="B125" i="69"/>
  <c r="E125" i="69" s="1"/>
  <c r="J125" i="69" s="1"/>
  <c r="N124" i="69"/>
  <c r="Z124" i="69" s="1"/>
  <c r="M124" i="69"/>
  <c r="D133" i="71" l="1"/>
  <c r="H133" i="71" s="1"/>
  <c r="P124" i="69"/>
  <c r="L122" i="69"/>
  <c r="D125" i="69"/>
  <c r="K133" i="71" l="1"/>
  <c r="C134" i="71" s="1"/>
  <c r="I133" i="71"/>
  <c r="I125" i="69"/>
  <c r="H125" i="69"/>
  <c r="K125" i="69"/>
  <c r="B134" i="71" l="1"/>
  <c r="E134" i="71" s="1"/>
  <c r="J134" i="71" s="1"/>
  <c r="A133" i="71"/>
  <c r="C126" i="69"/>
  <c r="A125" i="69"/>
  <c r="B126" i="69"/>
  <c r="L123" i="69"/>
  <c r="N133" i="71" l="1"/>
  <c r="Z133" i="71" s="1"/>
  <c r="M133" i="71"/>
  <c r="L133" i="71" s="1"/>
  <c r="D134" i="71"/>
  <c r="N125" i="69"/>
  <c r="Z125" i="69" s="1"/>
  <c r="M125" i="69"/>
  <c r="E126" i="69"/>
  <c r="J126" i="69" s="1"/>
  <c r="P133" i="71" l="1"/>
  <c r="I134" i="71"/>
  <c r="H134" i="71"/>
  <c r="K134" i="71"/>
  <c r="P125" i="69"/>
  <c r="D126" i="69"/>
  <c r="L124" i="69"/>
  <c r="C135" i="71" l="1"/>
  <c r="A134" i="71"/>
  <c r="N134" i="71" s="1"/>
  <c r="Z134" i="71" s="1"/>
  <c r="B135" i="71"/>
  <c r="I126" i="69"/>
  <c r="H126" i="69"/>
  <c r="K126" i="69"/>
  <c r="P134" i="71" l="1"/>
  <c r="M134" i="71"/>
  <c r="L134" i="71" s="1"/>
  <c r="E135" i="71"/>
  <c r="J135" i="71" s="1"/>
  <c r="C127" i="69"/>
  <c r="A126" i="69"/>
  <c r="B127" i="69"/>
  <c r="D135" i="71" l="1"/>
  <c r="N126" i="69"/>
  <c r="Z126" i="69" s="1"/>
  <c r="M126" i="69"/>
  <c r="E127" i="69"/>
  <c r="J127" i="69" s="1"/>
  <c r="I135" i="71" l="1"/>
  <c r="H135" i="71"/>
  <c r="K135" i="71"/>
  <c r="P126" i="69"/>
  <c r="D127" i="69"/>
  <c r="H127" i="69" s="1"/>
  <c r="L125" i="69"/>
  <c r="C136" i="71" l="1"/>
  <c r="B136" i="71"/>
  <c r="A135" i="71"/>
  <c r="N135" i="71" s="1"/>
  <c r="Z135" i="71" s="1"/>
  <c r="K127" i="69"/>
  <c r="B128" i="69" s="1"/>
  <c r="I127" i="69"/>
  <c r="P135" i="71" l="1"/>
  <c r="M135" i="71"/>
  <c r="L135" i="71" s="1"/>
  <c r="E136" i="71"/>
  <c r="J136" i="71" s="1"/>
  <c r="C128" i="69"/>
  <c r="A127" i="69"/>
  <c r="L126" i="69"/>
  <c r="E128" i="69"/>
  <c r="J128" i="69" s="1"/>
  <c r="D136" i="71" l="1"/>
  <c r="N127" i="69"/>
  <c r="Z127" i="69" s="1"/>
  <c r="M127" i="69"/>
  <c r="D128" i="69"/>
  <c r="I136" i="71" l="1"/>
  <c r="H136" i="71"/>
  <c r="K136" i="71"/>
  <c r="P127" i="69"/>
  <c r="I128" i="69"/>
  <c r="H128" i="69"/>
  <c r="K128" i="69"/>
  <c r="C137" i="71" l="1"/>
  <c r="B137" i="71"/>
  <c r="A136" i="71"/>
  <c r="N136" i="71" s="1"/>
  <c r="Z136" i="71" s="1"/>
  <c r="C129" i="69"/>
  <c r="A128" i="69"/>
  <c r="B129" i="69"/>
  <c r="P136" i="71" l="1"/>
  <c r="M136" i="71"/>
  <c r="L136" i="71" s="1"/>
  <c r="E137" i="71"/>
  <c r="J137" i="71" s="1"/>
  <c r="N128" i="69"/>
  <c r="Z128" i="69" s="1"/>
  <c r="M128" i="69"/>
  <c r="L127" i="69"/>
  <c r="E129" i="69"/>
  <c r="J129" i="69" s="1"/>
  <c r="D137" i="71" l="1"/>
  <c r="P128" i="69"/>
  <c r="D129" i="69"/>
  <c r="I129" i="69" s="1"/>
  <c r="I137" i="71" l="1"/>
  <c r="H137" i="71"/>
  <c r="K137" i="71"/>
  <c r="K129" i="69"/>
  <c r="C130" i="69" s="1"/>
  <c r="H129" i="69"/>
  <c r="C138" i="71" l="1"/>
  <c r="B138" i="71"/>
  <c r="A137" i="71"/>
  <c r="N137" i="71" s="1"/>
  <c r="Z137" i="71" s="1"/>
  <c r="B130" i="69"/>
  <c r="E130" i="69" s="1"/>
  <c r="J130" i="69" s="1"/>
  <c r="A129" i="69"/>
  <c r="P137" i="71" l="1"/>
  <c r="M137" i="71"/>
  <c r="L137" i="71" s="1"/>
  <c r="E138" i="71"/>
  <c r="J138" i="71" s="1"/>
  <c r="N129" i="69"/>
  <c r="Z129" i="69" s="1"/>
  <c r="M129" i="69"/>
  <c r="D130" i="69"/>
  <c r="I130" i="69" s="1"/>
  <c r="L128" i="69"/>
  <c r="D138" i="71" l="1"/>
  <c r="H138" i="71" s="1"/>
  <c r="P129" i="69"/>
  <c r="K130" i="69"/>
  <c r="C131" i="69" s="1"/>
  <c r="H130" i="69"/>
  <c r="I138" i="71" l="1"/>
  <c r="K138" i="71"/>
  <c r="B139" i="71" s="1"/>
  <c r="B131" i="69"/>
  <c r="E131" i="69" s="1"/>
  <c r="J131" i="69" s="1"/>
  <c r="A130" i="69"/>
  <c r="C139" i="71" l="1"/>
  <c r="A138" i="71"/>
  <c r="E139" i="71"/>
  <c r="J139" i="71" s="1"/>
  <c r="M130" i="69"/>
  <c r="N130" i="69"/>
  <c r="Z130" i="69" s="1"/>
  <c r="D131" i="69"/>
  <c r="M138" i="71" l="1"/>
  <c r="L138" i="71" s="1"/>
  <c r="N138" i="71"/>
  <c r="Z138" i="71" s="1"/>
  <c r="D139" i="71"/>
  <c r="P130" i="69"/>
  <c r="L129" i="69"/>
  <c r="I131" i="69"/>
  <c r="H131" i="69"/>
  <c r="K131" i="69"/>
  <c r="P138" i="71" l="1"/>
  <c r="I139" i="71"/>
  <c r="H139" i="71"/>
  <c r="K139" i="71"/>
  <c r="C132" i="69"/>
  <c r="A131" i="69"/>
  <c r="B132" i="69"/>
  <c r="C140" i="71" l="1"/>
  <c r="A139" i="71"/>
  <c r="N139" i="71" s="1"/>
  <c r="Z139" i="71" s="1"/>
  <c r="B140" i="71"/>
  <c r="N131" i="69"/>
  <c r="Z131" i="69" s="1"/>
  <c r="M131" i="69"/>
  <c r="E132" i="69"/>
  <c r="J132" i="69" s="1"/>
  <c r="P139" i="71" l="1"/>
  <c r="E140" i="71"/>
  <c r="J140" i="71" s="1"/>
  <c r="M139" i="71"/>
  <c r="L139" i="71" s="1"/>
  <c r="P131" i="69"/>
  <c r="D132" i="69"/>
  <c r="D140" i="71" l="1"/>
  <c r="I140" i="71" s="1"/>
  <c r="I132" i="69"/>
  <c r="H132" i="69"/>
  <c r="K132" i="69"/>
  <c r="L130" i="69"/>
  <c r="H140" i="71" l="1"/>
  <c r="K140" i="71"/>
  <c r="C141" i="71" s="1"/>
  <c r="C133" i="69"/>
  <c r="A132" i="69"/>
  <c r="B133" i="69"/>
  <c r="B141" i="71" l="1"/>
  <c r="E141" i="71" s="1"/>
  <c r="J141" i="71" s="1"/>
  <c r="A140" i="71"/>
  <c r="N132" i="69"/>
  <c r="Z132" i="69" s="1"/>
  <c r="M132" i="69"/>
  <c r="E133" i="69"/>
  <c r="J133" i="69" s="1"/>
  <c r="N140" i="71" l="1"/>
  <c r="Z140" i="71" s="1"/>
  <c r="M140" i="71"/>
  <c r="L140" i="71" s="1"/>
  <c r="D141" i="71"/>
  <c r="I141" i="71" s="1"/>
  <c r="P132" i="69"/>
  <c r="D133" i="69"/>
  <c r="I133" i="69" s="1"/>
  <c r="P140" i="71" l="1"/>
  <c r="K141" i="71"/>
  <c r="A141" i="71" s="1"/>
  <c r="N141" i="71" s="1"/>
  <c r="Z141" i="71" s="1"/>
  <c r="H141" i="71"/>
  <c r="K133" i="69"/>
  <c r="C134" i="69" s="1"/>
  <c r="H133" i="69"/>
  <c r="L131" i="69"/>
  <c r="P141" i="71" l="1"/>
  <c r="B142" i="71"/>
  <c r="E142" i="71" s="1"/>
  <c r="J142" i="71" s="1"/>
  <c r="C142" i="71"/>
  <c r="M141" i="71"/>
  <c r="L141" i="71" s="1"/>
  <c r="A133" i="69"/>
  <c r="B134" i="69"/>
  <c r="E134" i="69" s="1"/>
  <c r="J134" i="69" s="1"/>
  <c r="D142" i="71" l="1"/>
  <c r="I142" i="71" s="1"/>
  <c r="N133" i="69"/>
  <c r="Z133" i="69" s="1"/>
  <c r="M133" i="69"/>
  <c r="D134" i="69"/>
  <c r="I134" i="69" s="1"/>
  <c r="H142" i="71" l="1"/>
  <c r="K142" i="71"/>
  <c r="B143" i="71" s="1"/>
  <c r="P133" i="69"/>
  <c r="K134" i="69"/>
  <c r="C135" i="69" s="1"/>
  <c r="H134" i="69"/>
  <c r="L132" i="69"/>
  <c r="C143" i="71" l="1"/>
  <c r="A142" i="71"/>
  <c r="E143" i="71"/>
  <c r="J143" i="71" s="1"/>
  <c r="B135" i="69"/>
  <c r="E135" i="69" s="1"/>
  <c r="J135" i="69" s="1"/>
  <c r="A134" i="69"/>
  <c r="M142" i="71" l="1"/>
  <c r="L142" i="71" s="1"/>
  <c r="N142" i="71"/>
  <c r="Z142" i="71" s="1"/>
  <c r="D143" i="71"/>
  <c r="N134" i="69"/>
  <c r="Z134" i="69" s="1"/>
  <c r="M134" i="69"/>
  <c r="D135" i="69"/>
  <c r="I135" i="69" s="1"/>
  <c r="L133" i="69"/>
  <c r="P142" i="71" l="1"/>
  <c r="I143" i="71"/>
  <c r="H143" i="71"/>
  <c r="K143" i="71"/>
  <c r="P134" i="69"/>
  <c r="K135" i="69"/>
  <c r="B136" i="69" s="1"/>
  <c r="H135" i="69"/>
  <c r="C144" i="71" l="1"/>
  <c r="A143" i="71"/>
  <c r="N143" i="71" s="1"/>
  <c r="Z143" i="71" s="1"/>
  <c r="B144" i="71"/>
  <c r="A135" i="69"/>
  <c r="C136" i="69"/>
  <c r="E136" i="69"/>
  <c r="J136" i="69" s="1"/>
  <c r="P143" i="71" l="1"/>
  <c r="E144" i="71"/>
  <c r="J144" i="71" s="1"/>
  <c r="M143" i="71"/>
  <c r="L143" i="71" s="1"/>
  <c r="N135" i="69"/>
  <c r="Z135" i="69" s="1"/>
  <c r="M135" i="69"/>
  <c r="D136" i="69"/>
  <c r="D144" i="71" l="1"/>
  <c r="I144" i="71" s="1"/>
  <c r="P135" i="69"/>
  <c r="L134" i="69"/>
  <c r="I136" i="69"/>
  <c r="H136" i="69"/>
  <c r="K136" i="69"/>
  <c r="K144" i="71" l="1"/>
  <c r="B145" i="71" s="1"/>
  <c r="H144" i="71"/>
  <c r="C137" i="69"/>
  <c r="A136" i="69"/>
  <c r="B137" i="69"/>
  <c r="A144" i="71" l="1"/>
  <c r="C145" i="71"/>
  <c r="E145" i="71"/>
  <c r="J145" i="71" s="1"/>
  <c r="N136" i="69"/>
  <c r="Z136" i="69" s="1"/>
  <c r="M136" i="69"/>
  <c r="E137" i="69"/>
  <c r="J137" i="69" s="1"/>
  <c r="M144" i="71" l="1"/>
  <c r="L144" i="71" s="1"/>
  <c r="N144" i="71"/>
  <c r="Z144" i="71" s="1"/>
  <c r="D145" i="71"/>
  <c r="H145" i="71" s="1"/>
  <c r="P136" i="69"/>
  <c r="D137" i="69"/>
  <c r="P144" i="71" l="1"/>
  <c r="K145" i="71"/>
  <c r="C146" i="71" s="1"/>
  <c r="I145" i="71"/>
  <c r="L135" i="69"/>
  <c r="I137" i="69"/>
  <c r="H137" i="69"/>
  <c r="K137" i="69"/>
  <c r="A145" i="71" l="1"/>
  <c r="B146" i="71"/>
  <c r="E146" i="71" s="1"/>
  <c r="J146" i="71" s="1"/>
  <c r="C138" i="69"/>
  <c r="A137" i="69"/>
  <c r="B138" i="69"/>
  <c r="M145" i="71" l="1"/>
  <c r="L145" i="71" s="1"/>
  <c r="N145" i="71"/>
  <c r="Z145" i="71" s="1"/>
  <c r="D146" i="71"/>
  <c r="K146" i="71" s="1"/>
  <c r="B147" i="71" s="1"/>
  <c r="N137" i="69"/>
  <c r="Z137" i="69" s="1"/>
  <c r="M137" i="69"/>
  <c r="E138" i="69"/>
  <c r="J138" i="69" s="1"/>
  <c r="P145" i="71" l="1"/>
  <c r="I146" i="71"/>
  <c r="H146" i="71"/>
  <c r="C147" i="71"/>
  <c r="A146" i="71"/>
  <c r="E147" i="71"/>
  <c r="J147" i="71" s="1"/>
  <c r="P137" i="69"/>
  <c r="D138" i="69"/>
  <c r="I138" i="69" s="1"/>
  <c r="L136" i="69"/>
  <c r="N146" i="71" l="1"/>
  <c r="Z146" i="71" s="1"/>
  <c r="M146" i="71"/>
  <c r="L146" i="71" s="1"/>
  <c r="D147" i="71"/>
  <c r="H138" i="69"/>
  <c r="K138" i="69"/>
  <c r="C139" i="69" s="1"/>
  <c r="P146" i="71" l="1"/>
  <c r="I147" i="71"/>
  <c r="H147" i="71"/>
  <c r="K147" i="71"/>
  <c r="B139" i="69"/>
  <c r="E139" i="69" s="1"/>
  <c r="J139" i="69" s="1"/>
  <c r="A138" i="69"/>
  <c r="C148" i="71" l="1"/>
  <c r="A147" i="71"/>
  <c r="N147" i="71" s="1"/>
  <c r="Z147" i="71" s="1"/>
  <c r="B148" i="71"/>
  <c r="M138" i="69"/>
  <c r="N138" i="69"/>
  <c r="Z138" i="69" s="1"/>
  <c r="L137" i="69"/>
  <c r="D139" i="69"/>
  <c r="P147" i="71" l="1"/>
  <c r="E148" i="71"/>
  <c r="J148" i="71" s="1"/>
  <c r="M147" i="71"/>
  <c r="L147" i="71" s="1"/>
  <c r="P138" i="69"/>
  <c r="H139" i="69"/>
  <c r="I139" i="69"/>
  <c r="K139" i="69"/>
  <c r="D148" i="71" l="1"/>
  <c r="I148" i="71" s="1"/>
  <c r="A139" i="69"/>
  <c r="C140" i="69"/>
  <c r="B140" i="69"/>
  <c r="H148" i="71" l="1"/>
  <c r="K148" i="71"/>
  <c r="A148" i="71" s="1"/>
  <c r="N148" i="71" s="1"/>
  <c r="Z148" i="71" s="1"/>
  <c r="N139" i="69"/>
  <c r="Z139" i="69" s="1"/>
  <c r="M139" i="69"/>
  <c r="L138" i="69"/>
  <c r="E140" i="69"/>
  <c r="J140" i="69" s="1"/>
  <c r="P148" i="71" l="1"/>
  <c r="B149" i="71"/>
  <c r="E149" i="71" s="1"/>
  <c r="J149" i="71" s="1"/>
  <c r="C149" i="71"/>
  <c r="M148" i="71"/>
  <c r="L148" i="71" s="1"/>
  <c r="P139" i="69"/>
  <c r="D140" i="69"/>
  <c r="D149" i="71" l="1"/>
  <c r="I140" i="69"/>
  <c r="H140" i="69"/>
  <c r="K140" i="69"/>
  <c r="I149" i="71" l="1"/>
  <c r="H149" i="71"/>
  <c r="K149" i="71"/>
  <c r="C141" i="69"/>
  <c r="A140" i="69"/>
  <c r="B141" i="69"/>
  <c r="L139" i="69"/>
  <c r="C150" i="71" l="1"/>
  <c r="A149" i="71"/>
  <c r="N149" i="71" s="1"/>
  <c r="Z149" i="71" s="1"/>
  <c r="B150" i="71"/>
  <c r="N140" i="69"/>
  <c r="Z140" i="69" s="1"/>
  <c r="M140" i="69"/>
  <c r="E141" i="69"/>
  <c r="J141" i="69" s="1"/>
  <c r="P149" i="71" l="1"/>
  <c r="M149" i="71"/>
  <c r="L149" i="71" s="1"/>
  <c r="E150" i="71"/>
  <c r="J150" i="71" s="1"/>
  <c r="P140" i="69"/>
  <c r="D141" i="69"/>
  <c r="D150" i="71" l="1"/>
  <c r="H150" i="71" s="1"/>
  <c r="I141" i="69"/>
  <c r="H141" i="69"/>
  <c r="K141" i="69"/>
  <c r="K150" i="71" l="1"/>
  <c r="B151" i="71" s="1"/>
  <c r="I150" i="71"/>
  <c r="C142" i="69"/>
  <c r="A141" i="69"/>
  <c r="B142" i="69"/>
  <c r="L140" i="69"/>
  <c r="A150" i="71" l="1"/>
  <c r="C151" i="71"/>
  <c r="E151" i="71"/>
  <c r="J151" i="71" s="1"/>
  <c r="N141" i="69"/>
  <c r="Z141" i="69" s="1"/>
  <c r="M141" i="69"/>
  <c r="E142" i="69"/>
  <c r="J142" i="69" s="1"/>
  <c r="M150" i="71" l="1"/>
  <c r="L150" i="71" s="1"/>
  <c r="N150" i="71"/>
  <c r="Z150" i="71" s="1"/>
  <c r="D151" i="71"/>
  <c r="P141" i="69"/>
  <c r="D142" i="69"/>
  <c r="K142" i="69" s="1"/>
  <c r="C143" i="69" s="1"/>
  <c r="P150" i="71" l="1"/>
  <c r="I151" i="71"/>
  <c r="H151" i="71"/>
  <c r="K151" i="71"/>
  <c r="H142" i="69"/>
  <c r="I142" i="69"/>
  <c r="B143" i="69"/>
  <c r="E143" i="69" s="1"/>
  <c r="J143" i="69" s="1"/>
  <c r="A142" i="69"/>
  <c r="C152" i="71" l="1"/>
  <c r="A151" i="71"/>
  <c r="N151" i="71" s="1"/>
  <c r="Z151" i="71" s="1"/>
  <c r="B152" i="71"/>
  <c r="N142" i="69"/>
  <c r="Z142" i="69" s="1"/>
  <c r="M142" i="69"/>
  <c r="L141" i="69"/>
  <c r="D143" i="69"/>
  <c r="P151" i="71" l="1"/>
  <c r="E152" i="71"/>
  <c r="J152" i="71" s="1"/>
  <c r="M151" i="71"/>
  <c r="L151" i="71" s="1"/>
  <c r="P142" i="69"/>
  <c r="I143" i="69"/>
  <c r="H143" i="69"/>
  <c r="K143" i="69"/>
  <c r="D152" i="71" l="1"/>
  <c r="I152" i="71" s="1"/>
  <c r="B144" i="69"/>
  <c r="A143" i="69"/>
  <c r="C144" i="69"/>
  <c r="L142" i="69"/>
  <c r="K152" i="71" l="1"/>
  <c r="A152" i="71" s="1"/>
  <c r="N152" i="71" s="1"/>
  <c r="Z152" i="71" s="1"/>
  <c r="H152" i="71"/>
  <c r="N143" i="69"/>
  <c r="Z143" i="69" s="1"/>
  <c r="M143" i="69"/>
  <c r="E144" i="69"/>
  <c r="J144" i="69" s="1"/>
  <c r="P152" i="71" l="1"/>
  <c r="C153" i="71"/>
  <c r="B153" i="71"/>
  <c r="E153" i="71" s="1"/>
  <c r="J153" i="71" s="1"/>
  <c r="M152" i="71"/>
  <c r="L152" i="71" s="1"/>
  <c r="P143" i="69"/>
  <c r="D144" i="69"/>
  <c r="D153" i="71" l="1"/>
  <c r="K153" i="71" s="1"/>
  <c r="A153" i="71" s="1"/>
  <c r="N153" i="71" s="1"/>
  <c r="Z153" i="71" s="1"/>
  <c r="I144" i="69"/>
  <c r="H144" i="69"/>
  <c r="K144" i="69"/>
  <c r="P153" i="71" l="1"/>
  <c r="H153" i="71"/>
  <c r="I153" i="71"/>
  <c r="C154" i="71"/>
  <c r="B154" i="71"/>
  <c r="E154" i="71" s="1"/>
  <c r="J154" i="71" s="1"/>
  <c r="M153" i="71"/>
  <c r="L153" i="71" s="1"/>
  <c r="C145" i="69"/>
  <c r="A144" i="69"/>
  <c r="B145" i="69"/>
  <c r="L143" i="69"/>
  <c r="D154" i="71" l="1"/>
  <c r="N144" i="69"/>
  <c r="Z144" i="69" s="1"/>
  <c r="M144" i="69"/>
  <c r="E145" i="69"/>
  <c r="J145" i="69" s="1"/>
  <c r="H154" i="71" l="1"/>
  <c r="I154" i="71"/>
  <c r="K154" i="71"/>
  <c r="P144" i="69"/>
  <c r="D145" i="69"/>
  <c r="I145" i="69" s="1"/>
  <c r="B155" i="71" l="1"/>
  <c r="C155" i="71"/>
  <c r="A154" i="71"/>
  <c r="N154" i="71" s="1"/>
  <c r="Z154" i="71" s="1"/>
  <c r="K145" i="69"/>
  <c r="A145" i="69" s="1"/>
  <c r="H145" i="69"/>
  <c r="P154" i="71" l="1"/>
  <c r="M154" i="71"/>
  <c r="L154" i="71" s="1"/>
  <c r="E155" i="71"/>
  <c r="J155" i="71" s="1"/>
  <c r="C146" i="69"/>
  <c r="B146" i="69"/>
  <c r="E146" i="69" s="1"/>
  <c r="J146" i="69" s="1"/>
  <c r="N145" i="69"/>
  <c r="Z145" i="69" s="1"/>
  <c r="M145" i="69"/>
  <c r="L144" i="69"/>
  <c r="D155" i="71" l="1"/>
  <c r="P145" i="69"/>
  <c r="D146" i="69"/>
  <c r="K146" i="69" s="1"/>
  <c r="A146" i="69" s="1"/>
  <c r="I155" i="71" l="1"/>
  <c r="H155" i="71"/>
  <c r="K155" i="71"/>
  <c r="N146" i="69"/>
  <c r="Z146" i="69" s="1"/>
  <c r="C147" i="69"/>
  <c r="H146" i="69"/>
  <c r="I146" i="69"/>
  <c r="B147" i="69"/>
  <c r="E147" i="69" s="1"/>
  <c r="J147" i="69" s="1"/>
  <c r="M146" i="69"/>
  <c r="C156" i="71" l="1"/>
  <c r="A155" i="71"/>
  <c r="N155" i="71" s="1"/>
  <c r="Z155" i="71" s="1"/>
  <c r="B156" i="71"/>
  <c r="P146" i="69"/>
  <c r="D147" i="69"/>
  <c r="H147" i="69" s="1"/>
  <c r="P155" i="71" l="1"/>
  <c r="E156" i="71"/>
  <c r="J156" i="71" s="1"/>
  <c r="M155" i="71"/>
  <c r="L155" i="71" s="1"/>
  <c r="K147" i="69"/>
  <c r="C148" i="69" s="1"/>
  <c r="I147" i="69"/>
  <c r="L145" i="69"/>
  <c r="D156" i="71" l="1"/>
  <c r="H156" i="71" s="1"/>
  <c r="A147" i="69"/>
  <c r="B148" i="69"/>
  <c r="E148" i="69" s="1"/>
  <c r="J148" i="69" s="1"/>
  <c r="I156" i="71" l="1"/>
  <c r="K156" i="71"/>
  <c r="C157" i="71" s="1"/>
  <c r="N147" i="69"/>
  <c r="Z147" i="69" s="1"/>
  <c r="M147" i="69"/>
  <c r="D148" i="69"/>
  <c r="I148" i="69" s="1"/>
  <c r="B157" i="71" l="1"/>
  <c r="E157" i="71" s="1"/>
  <c r="J157" i="71" s="1"/>
  <c r="A156" i="71"/>
  <c r="P147" i="69"/>
  <c r="K148" i="69"/>
  <c r="C149" i="69" s="1"/>
  <c r="H148" i="69"/>
  <c r="L146" i="69"/>
  <c r="N156" i="71" l="1"/>
  <c r="Z156" i="71" s="1"/>
  <c r="M156" i="71"/>
  <c r="L156" i="71" s="1"/>
  <c r="D157" i="71"/>
  <c r="K157" i="71" s="1"/>
  <c r="A157" i="71" s="1"/>
  <c r="N157" i="71" s="1"/>
  <c r="Z157" i="71" s="1"/>
  <c r="B149" i="69"/>
  <c r="E149" i="69" s="1"/>
  <c r="J149" i="69" s="1"/>
  <c r="A148" i="69"/>
  <c r="P157" i="71" l="1"/>
  <c r="P156" i="71"/>
  <c r="I157" i="71"/>
  <c r="H157" i="71"/>
  <c r="B158" i="71"/>
  <c r="E158" i="71" s="1"/>
  <c r="J158" i="71" s="1"/>
  <c r="C158" i="71"/>
  <c r="M157" i="71"/>
  <c r="L157" i="71" s="1"/>
  <c r="N148" i="69"/>
  <c r="Z148" i="69" s="1"/>
  <c r="M148" i="69"/>
  <c r="D149" i="69"/>
  <c r="I149" i="69" s="1"/>
  <c r="D158" i="71" l="1"/>
  <c r="P148" i="69"/>
  <c r="K149" i="69"/>
  <c r="A149" i="69" s="1"/>
  <c r="H149" i="69"/>
  <c r="H158" i="71" l="1"/>
  <c r="I158" i="71"/>
  <c r="K158" i="71"/>
  <c r="C150" i="69"/>
  <c r="B150" i="69"/>
  <c r="E150" i="69" s="1"/>
  <c r="J150" i="69" s="1"/>
  <c r="N149" i="69"/>
  <c r="Z149" i="69" s="1"/>
  <c r="M149" i="69"/>
  <c r="L147" i="69"/>
  <c r="B159" i="71" l="1"/>
  <c r="A158" i="71"/>
  <c r="N158" i="71" s="1"/>
  <c r="Z158" i="71" s="1"/>
  <c r="C159" i="71"/>
  <c r="P149" i="69"/>
  <c r="D150" i="69"/>
  <c r="P158" i="71" l="1"/>
  <c r="M158" i="71"/>
  <c r="L158" i="71" s="1"/>
  <c r="E159" i="71"/>
  <c r="J159" i="71" s="1"/>
  <c r="I150" i="69"/>
  <c r="H150" i="69"/>
  <c r="K150" i="69"/>
  <c r="L148" i="69"/>
  <c r="D159" i="71" l="1"/>
  <c r="C151" i="69"/>
  <c r="A150" i="69"/>
  <c r="B151" i="69"/>
  <c r="I159" i="71" l="1"/>
  <c r="H159" i="71"/>
  <c r="K159" i="71"/>
  <c r="N150" i="69"/>
  <c r="Z150" i="69" s="1"/>
  <c r="M150" i="69"/>
  <c r="E151" i="69"/>
  <c r="J151" i="69" s="1"/>
  <c r="C160" i="71" l="1"/>
  <c r="A159" i="71"/>
  <c r="N159" i="71" s="1"/>
  <c r="Z159" i="71" s="1"/>
  <c r="B160" i="71"/>
  <c r="P150" i="69"/>
  <c r="D151" i="69"/>
  <c r="P159" i="71" l="1"/>
  <c r="E160" i="71"/>
  <c r="J160" i="71" s="1"/>
  <c r="M159" i="71"/>
  <c r="L159" i="71" s="1"/>
  <c r="I151" i="69"/>
  <c r="H151" i="69"/>
  <c r="K151" i="69"/>
  <c r="L149" i="69"/>
  <c r="D160" i="71" l="1"/>
  <c r="I160" i="71" s="1"/>
  <c r="B152" i="69"/>
  <c r="C152" i="69"/>
  <c r="A151" i="69"/>
  <c r="K160" i="71" l="1"/>
  <c r="C161" i="71" s="1"/>
  <c r="H160" i="71"/>
  <c r="N151" i="69"/>
  <c r="Z151" i="69" s="1"/>
  <c r="M151" i="69"/>
  <c r="E152" i="69"/>
  <c r="J152" i="69" s="1"/>
  <c r="B161" i="71" l="1"/>
  <c r="E161" i="71" s="1"/>
  <c r="J161" i="71" s="1"/>
  <c r="A160" i="71"/>
  <c r="P151" i="69"/>
  <c r="D152" i="69"/>
  <c r="H152" i="69" s="1"/>
  <c r="L150" i="69"/>
  <c r="M160" i="71" l="1"/>
  <c r="L160" i="71" s="1"/>
  <c r="N160" i="71"/>
  <c r="Z160" i="71" s="1"/>
  <c r="D161" i="71"/>
  <c r="I161" i="71" s="1"/>
  <c r="I152" i="69"/>
  <c r="K152" i="69"/>
  <c r="C153" i="69" s="1"/>
  <c r="P160" i="71" l="1"/>
  <c r="K161" i="71"/>
  <c r="C162" i="71" s="1"/>
  <c r="H161" i="71"/>
  <c r="B153" i="69"/>
  <c r="E153" i="69" s="1"/>
  <c r="J153" i="69" s="1"/>
  <c r="A152" i="69"/>
  <c r="B162" i="71" l="1"/>
  <c r="E162" i="71" s="1"/>
  <c r="J162" i="71" s="1"/>
  <c r="A161" i="71"/>
  <c r="M152" i="69"/>
  <c r="N152" i="69"/>
  <c r="Z152" i="69" s="1"/>
  <c r="D153" i="69"/>
  <c r="H153" i="69" s="1"/>
  <c r="L151" i="69"/>
  <c r="N161" i="71" l="1"/>
  <c r="Z161" i="71" s="1"/>
  <c r="M161" i="71"/>
  <c r="L161" i="71" s="1"/>
  <c r="D162" i="71"/>
  <c r="K162" i="71" s="1"/>
  <c r="B163" i="71" s="1"/>
  <c r="P152" i="69"/>
  <c r="I153" i="69"/>
  <c r="K153" i="69"/>
  <c r="C154" i="69" s="1"/>
  <c r="P161" i="71" l="1"/>
  <c r="H162" i="71"/>
  <c r="I162" i="71"/>
  <c r="A162" i="71"/>
  <c r="C163" i="71"/>
  <c r="E163" i="71"/>
  <c r="J163" i="71" s="1"/>
  <c r="B154" i="69"/>
  <c r="E154" i="69" s="1"/>
  <c r="J154" i="69" s="1"/>
  <c r="A153" i="69"/>
  <c r="M162" i="71" l="1"/>
  <c r="L162" i="71" s="1"/>
  <c r="N162" i="71"/>
  <c r="Z162" i="71" s="1"/>
  <c r="D163" i="71"/>
  <c r="N153" i="69"/>
  <c r="Z153" i="69" s="1"/>
  <c r="M153" i="69"/>
  <c r="D154" i="69"/>
  <c r="L152" i="69"/>
  <c r="P162" i="71" l="1"/>
  <c r="I163" i="71"/>
  <c r="H163" i="71"/>
  <c r="K163" i="71"/>
  <c r="P153" i="69"/>
  <c r="I154" i="69"/>
  <c r="H154" i="69"/>
  <c r="K154" i="69"/>
  <c r="C164" i="71" l="1"/>
  <c r="A163" i="71"/>
  <c r="N163" i="71" s="1"/>
  <c r="Z163" i="71" s="1"/>
  <c r="B164" i="71"/>
  <c r="C155" i="69"/>
  <c r="A154" i="69"/>
  <c r="B155" i="69"/>
  <c r="P163" i="71" l="1"/>
  <c r="M163" i="71"/>
  <c r="L163" i="71" s="1"/>
  <c r="E164" i="71"/>
  <c r="J164" i="71" s="1"/>
  <c r="N154" i="69"/>
  <c r="Z154" i="69" s="1"/>
  <c r="M154" i="69"/>
  <c r="E155" i="69"/>
  <c r="J155" i="69" s="1"/>
  <c r="D164" i="71" l="1"/>
  <c r="I164" i="71" s="1"/>
  <c r="P154" i="69"/>
  <c r="L153" i="69"/>
  <c r="D155" i="69"/>
  <c r="K164" i="71" l="1"/>
  <c r="A164" i="71" s="1"/>
  <c r="N164" i="71" s="1"/>
  <c r="Z164" i="71" s="1"/>
  <c r="H164" i="71"/>
  <c r="H155" i="69"/>
  <c r="I155" i="69"/>
  <c r="K155" i="69"/>
  <c r="P164" i="71" l="1"/>
  <c r="C165" i="71"/>
  <c r="B165" i="71"/>
  <c r="E165" i="71" s="1"/>
  <c r="J165" i="71" s="1"/>
  <c r="M164" i="71"/>
  <c r="L164" i="71" s="1"/>
  <c r="A155" i="69"/>
  <c r="C156" i="69"/>
  <c r="B156" i="69"/>
  <c r="D165" i="71" l="1"/>
  <c r="N155" i="69"/>
  <c r="Z155" i="69" s="1"/>
  <c r="M155" i="69"/>
  <c r="E156" i="69"/>
  <c r="J156" i="69" s="1"/>
  <c r="L154" i="69"/>
  <c r="I165" i="71" l="1"/>
  <c r="H165" i="71"/>
  <c r="K165" i="71"/>
  <c r="P155" i="69"/>
  <c r="D156" i="69"/>
  <c r="C166" i="71" l="1"/>
  <c r="A165" i="71"/>
  <c r="N165" i="71" s="1"/>
  <c r="Z165" i="71" s="1"/>
  <c r="B166" i="71"/>
  <c r="I156" i="69"/>
  <c r="H156" i="69"/>
  <c r="K156" i="69"/>
  <c r="P165" i="71" l="1"/>
  <c r="M165" i="71"/>
  <c r="L165" i="71" s="1"/>
  <c r="E166" i="71"/>
  <c r="J166" i="71" s="1"/>
  <c r="L155" i="69"/>
  <c r="C157" i="69"/>
  <c r="A156" i="69"/>
  <c r="B157" i="69"/>
  <c r="D166" i="71" l="1"/>
  <c r="K166" i="71" s="1"/>
  <c r="B167" i="71" s="1"/>
  <c r="N156" i="69"/>
  <c r="Z156" i="69" s="1"/>
  <c r="M156" i="69"/>
  <c r="E157" i="69"/>
  <c r="J157" i="69" s="1"/>
  <c r="I166" i="71" l="1"/>
  <c r="H166" i="71"/>
  <c r="A166" i="71"/>
  <c r="C167" i="71"/>
  <c r="E167" i="71"/>
  <c r="J167" i="71" s="1"/>
  <c r="P156" i="69"/>
  <c r="D157" i="69"/>
  <c r="M166" i="71" l="1"/>
  <c r="L166" i="71" s="1"/>
  <c r="N166" i="71"/>
  <c r="Z166" i="71" s="1"/>
  <c r="D167" i="71"/>
  <c r="I157" i="69"/>
  <c r="H157" i="69"/>
  <c r="K157" i="69"/>
  <c r="P166" i="71" l="1"/>
  <c r="I167" i="71"/>
  <c r="H167" i="71"/>
  <c r="K167" i="71"/>
  <c r="L156" i="69"/>
  <c r="C158" i="69"/>
  <c r="A157" i="69"/>
  <c r="B158" i="69"/>
  <c r="C168" i="71" l="1"/>
  <c r="A167" i="71"/>
  <c r="N167" i="71" s="1"/>
  <c r="Z167" i="71" s="1"/>
  <c r="B168" i="71"/>
  <c r="N157" i="69"/>
  <c r="Z157" i="69" s="1"/>
  <c r="M157" i="69"/>
  <c r="E158" i="69"/>
  <c r="J158" i="69" s="1"/>
  <c r="P167" i="71" l="1"/>
  <c r="E168" i="71"/>
  <c r="J168" i="71" s="1"/>
  <c r="M167" i="71"/>
  <c r="L167" i="71" s="1"/>
  <c r="P157" i="69"/>
  <c r="D158" i="69"/>
  <c r="D168" i="71" l="1"/>
  <c r="I168" i="71" s="1"/>
  <c r="L157" i="69"/>
  <c r="I158" i="69"/>
  <c r="H158" i="69"/>
  <c r="K158" i="69"/>
  <c r="K168" i="71" l="1"/>
  <c r="B169" i="71" s="1"/>
  <c r="H168" i="71"/>
  <c r="C159" i="69"/>
  <c r="A158" i="69"/>
  <c r="B159" i="69"/>
  <c r="A168" i="71" l="1"/>
  <c r="C169" i="71"/>
  <c r="E169" i="71"/>
  <c r="J169" i="71" s="1"/>
  <c r="N158" i="69"/>
  <c r="Z158" i="69" s="1"/>
  <c r="M158" i="69"/>
  <c r="E159" i="69"/>
  <c r="J159" i="69" s="1"/>
  <c r="M168" i="71" l="1"/>
  <c r="L168" i="71" s="1"/>
  <c r="N168" i="71"/>
  <c r="Z168" i="71" s="1"/>
  <c r="D169" i="71"/>
  <c r="K169" i="71" s="1"/>
  <c r="A169" i="71" s="1"/>
  <c r="N169" i="71" s="1"/>
  <c r="Z169" i="71" s="1"/>
  <c r="P158" i="69"/>
  <c r="D159" i="69"/>
  <c r="P169" i="71" l="1"/>
  <c r="P168" i="71"/>
  <c r="B170" i="71"/>
  <c r="E170" i="71" s="1"/>
  <c r="J170" i="71" s="1"/>
  <c r="H169" i="71"/>
  <c r="I169" i="71"/>
  <c r="C170" i="71"/>
  <c r="M169" i="71"/>
  <c r="L169" i="71" s="1"/>
  <c r="I159" i="69"/>
  <c r="H159" i="69"/>
  <c r="K159" i="69"/>
  <c r="L158" i="69"/>
  <c r="D170" i="71" l="1"/>
  <c r="B160" i="69"/>
  <c r="C160" i="69"/>
  <c r="A159" i="69"/>
  <c r="H170" i="71" l="1"/>
  <c r="I170" i="71"/>
  <c r="K170" i="71"/>
  <c r="N159" i="69"/>
  <c r="Z159" i="69" s="1"/>
  <c r="M159" i="69"/>
  <c r="E160" i="69"/>
  <c r="J160" i="69" s="1"/>
  <c r="B171" i="71" l="1"/>
  <c r="C171" i="71"/>
  <c r="A170" i="71"/>
  <c r="N170" i="71" s="1"/>
  <c r="Z170" i="71" s="1"/>
  <c r="P159" i="69"/>
  <c r="D160" i="69"/>
  <c r="P170" i="71" l="1"/>
  <c r="M170" i="71"/>
  <c r="L170" i="71" s="1"/>
  <c r="E171" i="71"/>
  <c r="J171" i="71" s="1"/>
  <c r="I160" i="69"/>
  <c r="H160" i="69"/>
  <c r="K160" i="69"/>
  <c r="L159" i="69"/>
  <c r="D171" i="71" l="1"/>
  <c r="C161" i="69"/>
  <c r="A160" i="69"/>
  <c r="B161" i="69"/>
  <c r="I171" i="71" l="1"/>
  <c r="H171" i="71"/>
  <c r="K171" i="71"/>
  <c r="N160" i="69"/>
  <c r="Z160" i="69" s="1"/>
  <c r="M160" i="69"/>
  <c r="E161" i="69"/>
  <c r="J161" i="69" s="1"/>
  <c r="C172" i="71" l="1"/>
  <c r="A171" i="71"/>
  <c r="N171" i="71" s="1"/>
  <c r="Z171" i="71" s="1"/>
  <c r="B172" i="71"/>
  <c r="P160" i="69"/>
  <c r="D161" i="69"/>
  <c r="I161" i="69" s="1"/>
  <c r="P171" i="71" l="1"/>
  <c r="E172" i="71"/>
  <c r="J172" i="71" s="1"/>
  <c r="M171" i="71"/>
  <c r="L171" i="71" s="1"/>
  <c r="K161" i="69"/>
  <c r="C162" i="69" s="1"/>
  <c r="H161" i="69"/>
  <c r="L160" i="69"/>
  <c r="D172" i="71" l="1"/>
  <c r="H172" i="71" s="1"/>
  <c r="B162" i="69"/>
  <c r="E162" i="69" s="1"/>
  <c r="J162" i="69" s="1"/>
  <c r="A161" i="69"/>
  <c r="K172" i="71" l="1"/>
  <c r="C173" i="71" s="1"/>
  <c r="I172" i="71"/>
  <c r="N161" i="69"/>
  <c r="Z161" i="69" s="1"/>
  <c r="M161" i="69"/>
  <c r="D162" i="69"/>
  <c r="A172" i="71" l="1"/>
  <c r="B173" i="71"/>
  <c r="E173" i="71" s="1"/>
  <c r="J173" i="71" s="1"/>
  <c r="P161" i="69"/>
  <c r="I162" i="69"/>
  <c r="H162" i="69"/>
  <c r="K162" i="69"/>
  <c r="N172" i="71" l="1"/>
  <c r="Z172" i="71" s="1"/>
  <c r="M172" i="71"/>
  <c r="L172" i="71" s="1"/>
  <c r="D173" i="71"/>
  <c r="H173" i="71" s="1"/>
  <c r="C163" i="69"/>
  <c r="A162" i="69"/>
  <c r="B163" i="69"/>
  <c r="L161" i="69"/>
  <c r="P172" i="71" l="1"/>
  <c r="K173" i="71"/>
  <c r="A173" i="71" s="1"/>
  <c r="N173" i="71" s="1"/>
  <c r="Z173" i="71" s="1"/>
  <c r="I173" i="71"/>
  <c r="N162" i="69"/>
  <c r="Z162" i="69" s="1"/>
  <c r="M162" i="69"/>
  <c r="E163" i="69"/>
  <c r="J163" i="69" s="1"/>
  <c r="P173" i="71" l="1"/>
  <c r="B174" i="71"/>
  <c r="E174" i="71" s="1"/>
  <c r="J174" i="71" s="1"/>
  <c r="C174" i="71"/>
  <c r="M173" i="71"/>
  <c r="L173" i="71" s="1"/>
  <c r="P162" i="69"/>
  <c r="D163" i="69"/>
  <c r="D174" i="71" l="1"/>
  <c r="H174" i="71" s="1"/>
  <c r="H163" i="69"/>
  <c r="I163" i="69"/>
  <c r="K163" i="69"/>
  <c r="K174" i="71" l="1"/>
  <c r="B175" i="71" s="1"/>
  <c r="I174" i="71"/>
  <c r="L162" i="69"/>
  <c r="C164" i="69"/>
  <c r="B164" i="69"/>
  <c r="A163" i="69"/>
  <c r="C175" i="71" l="1"/>
  <c r="A174" i="71"/>
  <c r="E175" i="71"/>
  <c r="J175" i="71" s="1"/>
  <c r="N163" i="69"/>
  <c r="Z163" i="69" s="1"/>
  <c r="M163" i="69"/>
  <c r="E164" i="69"/>
  <c r="J164" i="69" s="1"/>
  <c r="N174" i="71" l="1"/>
  <c r="Z174" i="71" s="1"/>
  <c r="M174" i="71"/>
  <c r="L174" i="71" s="1"/>
  <c r="D175" i="71"/>
  <c r="P163" i="69"/>
  <c r="D164" i="69"/>
  <c r="I164" i="69" s="1"/>
  <c r="P174" i="71" l="1"/>
  <c r="I175" i="71"/>
  <c r="H175" i="71"/>
  <c r="K175" i="71"/>
  <c r="K164" i="69"/>
  <c r="C165" i="69" s="1"/>
  <c r="H164" i="69"/>
  <c r="C176" i="71" l="1"/>
  <c r="A175" i="71"/>
  <c r="N175" i="71" s="1"/>
  <c r="Z175" i="71" s="1"/>
  <c r="B176" i="71"/>
  <c r="B165" i="69"/>
  <c r="E165" i="69" s="1"/>
  <c r="J165" i="69" s="1"/>
  <c r="A164" i="69"/>
  <c r="L163" i="69"/>
  <c r="P175" i="71" l="1"/>
  <c r="E176" i="71"/>
  <c r="J176" i="71" s="1"/>
  <c r="M175" i="71"/>
  <c r="L175" i="71" s="1"/>
  <c r="N164" i="69"/>
  <c r="Z164" i="69" s="1"/>
  <c r="M164" i="69"/>
  <c r="D165" i="69"/>
  <c r="K165" i="69" s="1"/>
  <c r="C166" i="69" s="1"/>
  <c r="D176" i="71" l="1"/>
  <c r="H176" i="71" s="1"/>
  <c r="P164" i="69"/>
  <c r="I165" i="69"/>
  <c r="A165" i="69"/>
  <c r="B166" i="69"/>
  <c r="E166" i="69" s="1"/>
  <c r="J166" i="69" s="1"/>
  <c r="H165" i="69"/>
  <c r="I176" i="71" l="1"/>
  <c r="K176" i="71"/>
  <c r="C177" i="71" s="1"/>
  <c r="N165" i="69"/>
  <c r="Z165" i="69" s="1"/>
  <c r="M165" i="69"/>
  <c r="D166" i="69"/>
  <c r="B177" i="71" l="1"/>
  <c r="E177" i="71" s="1"/>
  <c r="J177" i="71" s="1"/>
  <c r="A176" i="71"/>
  <c r="P165" i="69"/>
  <c r="L164" i="69"/>
  <c r="I166" i="69"/>
  <c r="H166" i="69"/>
  <c r="K166" i="69"/>
  <c r="M176" i="71" l="1"/>
  <c r="L176" i="71" s="1"/>
  <c r="N176" i="71"/>
  <c r="Z176" i="71" s="1"/>
  <c r="D177" i="71"/>
  <c r="K177" i="71" s="1"/>
  <c r="A177" i="71" s="1"/>
  <c r="N177" i="71" s="1"/>
  <c r="Z177" i="71" s="1"/>
  <c r="C167" i="69"/>
  <c r="A166" i="69"/>
  <c r="B167" i="69"/>
  <c r="P176" i="71" l="1"/>
  <c r="P177" i="71"/>
  <c r="H177" i="71"/>
  <c r="I177" i="71"/>
  <c r="B178" i="71"/>
  <c r="E178" i="71" s="1"/>
  <c r="J178" i="71" s="1"/>
  <c r="C178" i="71"/>
  <c r="M177" i="71"/>
  <c r="L177" i="71" s="1"/>
  <c r="N166" i="69"/>
  <c r="Z166" i="69" s="1"/>
  <c r="M166" i="69"/>
  <c r="E167" i="69"/>
  <c r="J167" i="69" s="1"/>
  <c r="D178" i="71" l="1"/>
  <c r="H178" i="71" s="1"/>
  <c r="P166" i="69"/>
  <c r="D167" i="69"/>
  <c r="K178" i="71" l="1"/>
  <c r="B179" i="71" s="1"/>
  <c r="I178" i="71"/>
  <c r="L165" i="69"/>
  <c r="I167" i="69"/>
  <c r="H167" i="69"/>
  <c r="K167" i="69"/>
  <c r="C179" i="71" l="1"/>
  <c r="A178" i="71"/>
  <c r="E179" i="71"/>
  <c r="J179" i="71" s="1"/>
  <c r="B168" i="69"/>
  <c r="A167" i="69"/>
  <c r="C168" i="69"/>
  <c r="N178" i="71" l="1"/>
  <c r="Z178" i="71" s="1"/>
  <c r="M178" i="71"/>
  <c r="L178" i="71" s="1"/>
  <c r="D179" i="71"/>
  <c r="N167" i="69"/>
  <c r="Z167" i="69" s="1"/>
  <c r="M167" i="69"/>
  <c r="E168" i="69"/>
  <c r="J168" i="69" s="1"/>
  <c r="P178" i="71" l="1"/>
  <c r="I179" i="71"/>
  <c r="H179" i="71"/>
  <c r="K179" i="71"/>
  <c r="P167" i="69"/>
  <c r="D168" i="69"/>
  <c r="I168" i="69" s="1"/>
  <c r="L166" i="69"/>
  <c r="C180" i="71" l="1"/>
  <c r="A179" i="71"/>
  <c r="N179" i="71" s="1"/>
  <c r="Z179" i="71" s="1"/>
  <c r="B180" i="71"/>
  <c r="K168" i="69"/>
  <c r="C169" i="69" s="1"/>
  <c r="H168" i="69"/>
  <c r="P179" i="71" l="1"/>
  <c r="E180" i="71"/>
  <c r="J180" i="71" s="1"/>
  <c r="M179" i="71"/>
  <c r="L179" i="71" s="1"/>
  <c r="B169" i="69"/>
  <c r="E169" i="69" s="1"/>
  <c r="J169" i="69" s="1"/>
  <c r="A168" i="69"/>
  <c r="D180" i="71" l="1"/>
  <c r="H180" i="71" s="1"/>
  <c r="N168" i="69"/>
  <c r="Z168" i="69" s="1"/>
  <c r="M168" i="69"/>
  <c r="D169" i="69"/>
  <c r="K180" i="71" l="1"/>
  <c r="C181" i="71" s="1"/>
  <c r="I180" i="71"/>
  <c r="P168" i="69"/>
  <c r="I169" i="69"/>
  <c r="H169" i="69"/>
  <c r="K169" i="69"/>
  <c r="L167" i="69"/>
  <c r="A180" i="71" l="1"/>
  <c r="B181" i="71"/>
  <c r="E181" i="71" s="1"/>
  <c r="J181" i="71" s="1"/>
  <c r="C170" i="69"/>
  <c r="A169" i="69"/>
  <c r="B170" i="69"/>
  <c r="N180" i="71" l="1"/>
  <c r="Z180" i="71" s="1"/>
  <c r="M180" i="71"/>
  <c r="L180" i="71" s="1"/>
  <c r="D181" i="71"/>
  <c r="I181" i="71" s="1"/>
  <c r="N169" i="69"/>
  <c r="Z169" i="69" s="1"/>
  <c r="M169" i="69"/>
  <c r="E170" i="69"/>
  <c r="J170" i="69" s="1"/>
  <c r="P180" i="71" l="1"/>
  <c r="K181" i="71"/>
  <c r="C182" i="71" s="1"/>
  <c r="H181" i="71"/>
  <c r="P169" i="69"/>
  <c r="D170" i="69"/>
  <c r="I170" i="69" s="1"/>
  <c r="B182" i="71" l="1"/>
  <c r="E182" i="71" s="1"/>
  <c r="A181" i="71"/>
  <c r="K170" i="69"/>
  <c r="B171" i="69" s="1"/>
  <c r="H170" i="69"/>
  <c r="L168" i="69"/>
  <c r="N181" i="71" l="1"/>
  <c r="Z181" i="71" s="1"/>
  <c r="J182" i="71"/>
  <c r="D182" i="71"/>
  <c r="K182" i="71" s="1"/>
  <c r="M181" i="71"/>
  <c r="L181" i="71" s="1"/>
  <c r="C171" i="69"/>
  <c r="A170" i="69"/>
  <c r="E171" i="69"/>
  <c r="J171" i="69" s="1"/>
  <c r="P181" i="71" l="1"/>
  <c r="I182" i="71"/>
  <c r="H182" i="71"/>
  <c r="B183" i="71"/>
  <c r="C183" i="71"/>
  <c r="A182" i="71"/>
  <c r="N182" i="71" s="1"/>
  <c r="Z182" i="71" s="1"/>
  <c r="N170" i="69"/>
  <c r="Z170" i="69" s="1"/>
  <c r="M170" i="69"/>
  <c r="D171" i="69"/>
  <c r="K171" i="69" s="1"/>
  <c r="P182" i="71" l="1"/>
  <c r="M182" i="71"/>
  <c r="L182" i="71" s="1"/>
  <c r="E183" i="71"/>
  <c r="J183" i="71" s="1"/>
  <c r="P170" i="69"/>
  <c r="H171" i="69"/>
  <c r="I171" i="69"/>
  <c r="C172" i="69"/>
  <c r="A171" i="69"/>
  <c r="B172" i="69"/>
  <c r="D183" i="71" l="1"/>
  <c r="N171" i="69"/>
  <c r="Z171" i="69" s="1"/>
  <c r="M171" i="69"/>
  <c r="E172" i="69"/>
  <c r="J172" i="69" s="1"/>
  <c r="L169" i="69"/>
  <c r="I183" i="71" l="1"/>
  <c r="H183" i="71"/>
  <c r="K183" i="71"/>
  <c r="P171" i="69"/>
  <c r="D172" i="69"/>
  <c r="C184" i="71" l="1"/>
  <c r="A183" i="71"/>
  <c r="N183" i="71" s="1"/>
  <c r="Z183" i="71" s="1"/>
  <c r="B184" i="71"/>
  <c r="H172" i="69"/>
  <c r="I172" i="69"/>
  <c r="K172" i="69"/>
  <c r="P183" i="71" l="1"/>
  <c r="E184" i="71"/>
  <c r="J184" i="71" s="1"/>
  <c r="M183" i="71"/>
  <c r="L183" i="71" s="1"/>
  <c r="B173" i="69"/>
  <c r="C173" i="69"/>
  <c r="A172" i="69"/>
  <c r="D184" i="71" l="1"/>
  <c r="H184" i="71" s="1"/>
  <c r="N172" i="69"/>
  <c r="Z172" i="69" s="1"/>
  <c r="M172" i="69"/>
  <c r="L170" i="69"/>
  <c r="E173" i="69"/>
  <c r="J173" i="69" s="1"/>
  <c r="K184" i="71" l="1"/>
  <c r="B185" i="71" s="1"/>
  <c r="I184" i="71"/>
  <c r="P172" i="69"/>
  <c r="D173" i="69"/>
  <c r="C185" i="71" l="1"/>
  <c r="A184" i="71"/>
  <c r="E185" i="71"/>
  <c r="J185" i="71" s="1"/>
  <c r="I173" i="69"/>
  <c r="H173" i="69"/>
  <c r="K173" i="69"/>
  <c r="N184" i="71" l="1"/>
  <c r="Z184" i="71" s="1"/>
  <c r="M184" i="71"/>
  <c r="L184" i="71" s="1"/>
  <c r="D185" i="71"/>
  <c r="C174" i="69"/>
  <c r="A173" i="69"/>
  <c r="B174" i="69"/>
  <c r="P184" i="71" l="1"/>
  <c r="I185" i="71"/>
  <c r="H185" i="71"/>
  <c r="K185" i="71"/>
  <c r="N173" i="69"/>
  <c r="Z173" i="69" s="1"/>
  <c r="M173" i="69"/>
  <c r="L171" i="69"/>
  <c r="E174" i="69"/>
  <c r="J174" i="69" s="1"/>
  <c r="B186" i="71" l="1"/>
  <c r="A185" i="71"/>
  <c r="N185" i="71" s="1"/>
  <c r="Z185" i="71" s="1"/>
  <c r="C186" i="71"/>
  <c r="P173" i="69"/>
  <c r="D174" i="69"/>
  <c r="H174" i="69" s="1"/>
  <c r="P185" i="71" l="1"/>
  <c r="M185" i="71"/>
  <c r="L185" i="71" s="1"/>
  <c r="E186" i="71"/>
  <c r="J186" i="71" s="1"/>
  <c r="K174" i="69"/>
  <c r="B175" i="69" s="1"/>
  <c r="I174" i="69"/>
  <c r="D186" i="71" l="1"/>
  <c r="A174" i="69"/>
  <c r="C175" i="69"/>
  <c r="E175" i="69"/>
  <c r="J175" i="69" s="1"/>
  <c r="H186" i="71" l="1"/>
  <c r="I186" i="71"/>
  <c r="K186" i="71"/>
  <c r="N174" i="69"/>
  <c r="Z174" i="69" s="1"/>
  <c r="M174" i="69"/>
  <c r="L172" i="69"/>
  <c r="D175" i="69"/>
  <c r="B187" i="71" l="1"/>
  <c r="C187" i="71"/>
  <c r="A186" i="71"/>
  <c r="N186" i="71" s="1"/>
  <c r="Z186" i="71" s="1"/>
  <c r="P174" i="69"/>
  <c r="I175" i="69"/>
  <c r="H175" i="69"/>
  <c r="K175" i="69"/>
  <c r="P186" i="71" l="1"/>
  <c r="M186" i="71"/>
  <c r="L186" i="71" s="1"/>
  <c r="E187" i="71"/>
  <c r="J187" i="71" s="1"/>
  <c r="C176" i="69"/>
  <c r="A175" i="69"/>
  <c r="B176" i="69"/>
  <c r="D187" i="71" l="1"/>
  <c r="N175" i="69"/>
  <c r="Z175" i="69" s="1"/>
  <c r="M175" i="69"/>
  <c r="E176" i="69"/>
  <c r="J176" i="69" s="1"/>
  <c r="I187" i="71" l="1"/>
  <c r="H187" i="71"/>
  <c r="K187" i="71"/>
  <c r="P175" i="69"/>
  <c r="D176" i="69"/>
  <c r="H176" i="69" s="1"/>
  <c r="L173" i="69"/>
  <c r="C188" i="71" l="1"/>
  <c r="A187" i="71"/>
  <c r="N187" i="71" s="1"/>
  <c r="Z187" i="71" s="1"/>
  <c r="B188" i="71"/>
  <c r="K176" i="69"/>
  <c r="B177" i="69" s="1"/>
  <c r="I176" i="69"/>
  <c r="P187" i="71" l="1"/>
  <c r="E188" i="71"/>
  <c r="J188" i="71" s="1"/>
  <c r="M187" i="71"/>
  <c r="L187" i="71" s="1"/>
  <c r="A176" i="69"/>
  <c r="C177" i="69"/>
  <c r="E177" i="69"/>
  <c r="J177" i="69" s="1"/>
  <c r="D188" i="71" l="1"/>
  <c r="H188" i="71" s="1"/>
  <c r="M176" i="69"/>
  <c r="N176" i="69"/>
  <c r="Z176" i="69" s="1"/>
  <c r="D177" i="69"/>
  <c r="K188" i="71" l="1"/>
  <c r="C189" i="71" s="1"/>
  <c r="I188" i="71"/>
  <c r="P176" i="69"/>
  <c r="L174" i="69"/>
  <c r="I177" i="69"/>
  <c r="H177" i="69"/>
  <c r="K177" i="69"/>
  <c r="B189" i="71" l="1"/>
  <c r="E189" i="71" s="1"/>
  <c r="J189" i="71" s="1"/>
  <c r="A188" i="71"/>
  <c r="C178" i="69"/>
  <c r="A177" i="69"/>
  <c r="B178" i="69"/>
  <c r="N188" i="71" l="1"/>
  <c r="Z188" i="71" s="1"/>
  <c r="M188" i="71"/>
  <c r="L188" i="71" s="1"/>
  <c r="D189" i="71"/>
  <c r="K189" i="71" s="1"/>
  <c r="A189" i="71" s="1"/>
  <c r="N189" i="71" s="1"/>
  <c r="Z189" i="71" s="1"/>
  <c r="N177" i="69"/>
  <c r="Z177" i="69" s="1"/>
  <c r="M177" i="69"/>
  <c r="E178" i="69"/>
  <c r="J178" i="69" s="1"/>
  <c r="P189" i="71" l="1"/>
  <c r="P188" i="71"/>
  <c r="I189" i="71"/>
  <c r="H189" i="71"/>
  <c r="C190" i="71"/>
  <c r="B190" i="71"/>
  <c r="E190" i="71" s="1"/>
  <c r="J190" i="71" s="1"/>
  <c r="M189" i="71"/>
  <c r="L189" i="71" s="1"/>
  <c r="P177" i="69"/>
  <c r="D178" i="69"/>
  <c r="K178" i="69" s="1"/>
  <c r="B179" i="69" s="1"/>
  <c r="L175" i="69"/>
  <c r="D190" i="71" l="1"/>
  <c r="A178" i="69"/>
  <c r="H178" i="69"/>
  <c r="C179" i="69"/>
  <c r="I178" i="69"/>
  <c r="E179" i="69"/>
  <c r="J179" i="69" s="1"/>
  <c r="H190" i="71" l="1"/>
  <c r="I190" i="71"/>
  <c r="K190" i="71"/>
  <c r="N178" i="69"/>
  <c r="Z178" i="69" s="1"/>
  <c r="M178" i="69"/>
  <c r="D179" i="69"/>
  <c r="B191" i="71" l="1"/>
  <c r="A190" i="71"/>
  <c r="N190" i="71" s="1"/>
  <c r="Z190" i="71" s="1"/>
  <c r="C191" i="71"/>
  <c r="P178" i="69"/>
  <c r="I179" i="69"/>
  <c r="H179" i="69"/>
  <c r="K179" i="69"/>
  <c r="P190" i="71" l="1"/>
  <c r="M190" i="71"/>
  <c r="L190" i="71" s="1"/>
  <c r="E191" i="71"/>
  <c r="J191" i="71" s="1"/>
  <c r="C180" i="69"/>
  <c r="A179" i="69"/>
  <c r="B180" i="69"/>
  <c r="L176" i="69"/>
  <c r="D191" i="71" l="1"/>
  <c r="N179" i="69"/>
  <c r="Z179" i="69" s="1"/>
  <c r="M179" i="69"/>
  <c r="E180" i="69"/>
  <c r="J180" i="69" s="1"/>
  <c r="I191" i="71" l="1"/>
  <c r="H191" i="71"/>
  <c r="K191" i="71"/>
  <c r="P179" i="69"/>
  <c r="D180" i="69"/>
  <c r="C192" i="71" l="1"/>
  <c r="A191" i="71"/>
  <c r="N191" i="71" s="1"/>
  <c r="Z191" i="71" s="1"/>
  <c r="B192" i="71"/>
  <c r="H180" i="69"/>
  <c r="I180" i="69"/>
  <c r="K180" i="69"/>
  <c r="P191" i="71" l="1"/>
  <c r="E192" i="71"/>
  <c r="J192" i="71" s="1"/>
  <c r="M191" i="71"/>
  <c r="L191" i="71" s="1"/>
  <c r="L177" i="69"/>
  <c r="B181" i="69"/>
  <c r="A180" i="69"/>
  <c r="C181" i="69"/>
  <c r="D192" i="71" l="1"/>
  <c r="H192" i="71" s="1"/>
  <c r="N180" i="69"/>
  <c r="Z180" i="69" s="1"/>
  <c r="M180" i="69"/>
  <c r="E181" i="69"/>
  <c r="J181" i="69" s="1"/>
  <c r="K192" i="71" l="1"/>
  <c r="A192" i="71" s="1"/>
  <c r="N192" i="71" s="1"/>
  <c r="Z192" i="71" s="1"/>
  <c r="I192" i="71"/>
  <c r="P180" i="69"/>
  <c r="D181" i="69"/>
  <c r="I181" i="69" s="1"/>
  <c r="L178" i="69"/>
  <c r="P192" i="71" l="1"/>
  <c r="B193" i="71"/>
  <c r="E193" i="71" s="1"/>
  <c r="C193" i="71"/>
  <c r="M192" i="71"/>
  <c r="L192" i="71" s="1"/>
  <c r="K181" i="69"/>
  <c r="C182" i="69" s="1"/>
  <c r="H181" i="69"/>
  <c r="J193" i="71" l="1"/>
  <c r="D193" i="71"/>
  <c r="H193" i="71" s="1"/>
  <c r="B182" i="69"/>
  <c r="E182" i="69" s="1"/>
  <c r="J182" i="69" s="1"/>
  <c r="A181" i="69"/>
  <c r="I193" i="71" l="1"/>
  <c r="K193" i="71"/>
  <c r="B194" i="71" s="1"/>
  <c r="N181" i="69"/>
  <c r="Z181" i="69" s="1"/>
  <c r="M181" i="69"/>
  <c r="D182" i="69"/>
  <c r="H182" i="69" s="1"/>
  <c r="C194" i="71" l="1"/>
  <c r="A193" i="71"/>
  <c r="E194" i="71"/>
  <c r="J194" i="71" s="1"/>
  <c r="P181" i="69"/>
  <c r="I182" i="69"/>
  <c r="K182" i="69"/>
  <c r="B183" i="69" s="1"/>
  <c r="L179" i="69"/>
  <c r="N193" i="71" l="1"/>
  <c r="Z193" i="71" s="1"/>
  <c r="M193" i="71"/>
  <c r="L193" i="71" s="1"/>
  <c r="D194" i="71"/>
  <c r="H194" i="71" s="1"/>
  <c r="A182" i="69"/>
  <c r="C183" i="69"/>
  <c r="E183" i="69"/>
  <c r="J183" i="69" s="1"/>
  <c r="P193" i="71" l="1"/>
  <c r="K194" i="71"/>
  <c r="B195" i="71" s="1"/>
  <c r="I194" i="71"/>
  <c r="N182" i="69"/>
  <c r="Z182" i="69" s="1"/>
  <c r="M182" i="69"/>
  <c r="D183" i="69"/>
  <c r="I183" i="69" s="1"/>
  <c r="C195" i="71" l="1"/>
  <c r="A194" i="71"/>
  <c r="E195" i="71"/>
  <c r="J195" i="71" s="1"/>
  <c r="P182" i="69"/>
  <c r="K183" i="69"/>
  <c r="C184" i="69" s="1"/>
  <c r="H183" i="69"/>
  <c r="N194" i="71" l="1"/>
  <c r="Z194" i="71" s="1"/>
  <c r="M194" i="71"/>
  <c r="L194" i="71" s="1"/>
  <c r="D195" i="71"/>
  <c r="B184" i="69"/>
  <c r="E184" i="69" s="1"/>
  <c r="J184" i="69" s="1"/>
  <c r="A183" i="69"/>
  <c r="L180" i="69"/>
  <c r="P194" i="71" l="1"/>
  <c r="I195" i="71"/>
  <c r="H195" i="71"/>
  <c r="K195" i="71"/>
  <c r="N183" i="69"/>
  <c r="Z183" i="69" s="1"/>
  <c r="M183" i="69"/>
  <c r="D184" i="69"/>
  <c r="H184" i="69" s="1"/>
  <c r="C196" i="71" l="1"/>
  <c r="A195" i="71"/>
  <c r="N195" i="71" s="1"/>
  <c r="Z195" i="71" s="1"/>
  <c r="B196" i="71"/>
  <c r="P183" i="69"/>
  <c r="K184" i="69"/>
  <c r="B185" i="69" s="1"/>
  <c r="I184" i="69"/>
  <c r="P195" i="71" l="1"/>
  <c r="E196" i="71"/>
  <c r="J196" i="71" s="1"/>
  <c r="M195" i="71"/>
  <c r="L195" i="71" s="1"/>
  <c r="C185" i="69"/>
  <c r="A184" i="69"/>
  <c r="E185" i="69"/>
  <c r="J185" i="69" s="1"/>
  <c r="D196" i="71" l="1"/>
  <c r="I196" i="71" s="1"/>
  <c r="N184" i="69"/>
  <c r="Z184" i="69" s="1"/>
  <c r="M184" i="69"/>
  <c r="D185" i="69"/>
  <c r="L181" i="69"/>
  <c r="K196" i="71" l="1"/>
  <c r="B197" i="71" s="1"/>
  <c r="H196" i="71"/>
  <c r="P184" i="69"/>
  <c r="I185" i="69"/>
  <c r="H185" i="69"/>
  <c r="K185" i="69"/>
  <c r="C197" i="71" l="1"/>
  <c r="A196" i="71"/>
  <c r="E197" i="71"/>
  <c r="J197" i="71" s="1"/>
  <c r="C186" i="69"/>
  <c r="A185" i="69"/>
  <c r="B186" i="69"/>
  <c r="N196" i="71" l="1"/>
  <c r="Z196" i="71" s="1"/>
  <c r="M196" i="71"/>
  <c r="L196" i="71" s="1"/>
  <c r="D197" i="71"/>
  <c r="N185" i="69"/>
  <c r="Z185" i="69" s="1"/>
  <c r="M185" i="69"/>
  <c r="L182" i="69"/>
  <c r="E186" i="69"/>
  <c r="J186" i="69" s="1"/>
  <c r="P196" i="71" l="1"/>
  <c r="I197" i="71"/>
  <c r="H197" i="71"/>
  <c r="K197" i="71"/>
  <c r="P185" i="69"/>
  <c r="D186" i="69"/>
  <c r="H186" i="69" s="1"/>
  <c r="C198" i="71" l="1"/>
  <c r="A197" i="71"/>
  <c r="N197" i="71" s="1"/>
  <c r="Z197" i="71" s="1"/>
  <c r="B198" i="71"/>
  <c r="K186" i="69"/>
  <c r="B187" i="69" s="1"/>
  <c r="I186" i="69"/>
  <c r="P197" i="71" l="1"/>
  <c r="E198" i="71"/>
  <c r="J198" i="71" s="1"/>
  <c r="M197" i="71"/>
  <c r="L197" i="71" s="1"/>
  <c r="C187" i="69"/>
  <c r="A186" i="69"/>
  <c r="E187" i="69"/>
  <c r="J187" i="69" s="1"/>
  <c r="D198" i="71" l="1"/>
  <c r="H198" i="71" s="1"/>
  <c r="N186" i="69"/>
  <c r="Z186" i="69" s="1"/>
  <c r="M186" i="69"/>
  <c r="L183" i="69"/>
  <c r="D187" i="69"/>
  <c r="K198" i="71" l="1"/>
  <c r="B199" i="71" s="1"/>
  <c r="I198" i="71"/>
  <c r="P186" i="69"/>
  <c r="I187" i="69"/>
  <c r="H187" i="69"/>
  <c r="K187" i="69"/>
  <c r="A198" i="71" l="1"/>
  <c r="C199" i="71"/>
  <c r="E199" i="71"/>
  <c r="J199" i="71" s="1"/>
  <c r="C188" i="69"/>
  <c r="A187" i="69"/>
  <c r="B188" i="69"/>
  <c r="N198" i="71" l="1"/>
  <c r="Z198" i="71" s="1"/>
  <c r="M198" i="71"/>
  <c r="L198" i="71" s="1"/>
  <c r="D199" i="71"/>
  <c r="N187" i="69"/>
  <c r="Z187" i="69" s="1"/>
  <c r="M187" i="69"/>
  <c r="E188" i="69"/>
  <c r="J188" i="69" s="1"/>
  <c r="P198" i="71" l="1"/>
  <c r="I199" i="71"/>
  <c r="H199" i="71"/>
  <c r="K199" i="71"/>
  <c r="P187" i="69"/>
  <c r="D188" i="69"/>
  <c r="L184" i="69"/>
  <c r="C200" i="71" l="1"/>
  <c r="A199" i="71"/>
  <c r="N199" i="71" s="1"/>
  <c r="Z199" i="71" s="1"/>
  <c r="B200" i="71"/>
  <c r="H188" i="69"/>
  <c r="I188" i="69"/>
  <c r="K188" i="69"/>
  <c r="P199" i="71" l="1"/>
  <c r="E200" i="71"/>
  <c r="J200" i="71" s="1"/>
  <c r="M199" i="71"/>
  <c r="L199" i="71" s="1"/>
  <c r="B189" i="69"/>
  <c r="C189" i="69"/>
  <c r="A188" i="69"/>
  <c r="D200" i="71" l="1"/>
  <c r="H200" i="71" s="1"/>
  <c r="N188" i="69"/>
  <c r="Z188" i="69" s="1"/>
  <c r="M188" i="69"/>
  <c r="L185" i="69"/>
  <c r="E189" i="69"/>
  <c r="J189" i="69" s="1"/>
  <c r="K200" i="71" l="1"/>
  <c r="C201" i="71" s="1"/>
  <c r="I200" i="71"/>
  <c r="P188" i="69"/>
  <c r="D189" i="69"/>
  <c r="I189" i="69" s="1"/>
  <c r="B201" i="71" l="1"/>
  <c r="E201" i="71" s="1"/>
  <c r="J201" i="71" s="1"/>
  <c r="A200" i="71"/>
  <c r="H189" i="69"/>
  <c r="K189" i="69"/>
  <c r="C190" i="69" s="1"/>
  <c r="M200" i="71" l="1"/>
  <c r="L200" i="71" s="1"/>
  <c r="N200" i="71"/>
  <c r="Z200" i="71" s="1"/>
  <c r="D201" i="71"/>
  <c r="I201" i="71" s="1"/>
  <c r="B190" i="69"/>
  <c r="E190" i="69" s="1"/>
  <c r="J190" i="69" s="1"/>
  <c r="A189" i="69"/>
  <c r="P200" i="71" l="1"/>
  <c r="K201" i="71"/>
  <c r="A201" i="71" s="1"/>
  <c r="N201" i="71" s="1"/>
  <c r="Z201" i="71" s="1"/>
  <c r="H201" i="71"/>
  <c r="N189" i="69"/>
  <c r="Z189" i="69" s="1"/>
  <c r="M189" i="69"/>
  <c r="D190" i="69"/>
  <c r="H190" i="69" s="1"/>
  <c r="L186" i="69"/>
  <c r="P201" i="71" l="1"/>
  <c r="C202" i="71"/>
  <c r="B202" i="71"/>
  <c r="E202" i="71" s="1"/>
  <c r="J202" i="71" s="1"/>
  <c r="M201" i="71"/>
  <c r="L201" i="71" s="1"/>
  <c r="P189" i="69"/>
  <c r="K190" i="69"/>
  <c r="A190" i="69" s="1"/>
  <c r="I190" i="69"/>
  <c r="D202" i="71" l="1"/>
  <c r="C191" i="69"/>
  <c r="B191" i="69"/>
  <c r="E191" i="69" s="1"/>
  <c r="J191" i="69" s="1"/>
  <c r="N190" i="69"/>
  <c r="Z190" i="69" s="1"/>
  <c r="M190" i="69"/>
  <c r="H202" i="71" l="1"/>
  <c r="I202" i="71"/>
  <c r="K202" i="71"/>
  <c r="P190" i="69"/>
  <c r="D191" i="69"/>
  <c r="B203" i="71" l="1"/>
  <c r="C203" i="71"/>
  <c r="A202" i="71"/>
  <c r="N202" i="71" s="1"/>
  <c r="Z202" i="71" s="1"/>
  <c r="L187" i="69"/>
  <c r="I191" i="69"/>
  <c r="H191" i="69"/>
  <c r="K191" i="69"/>
  <c r="P202" i="71" l="1"/>
  <c r="M202" i="71"/>
  <c r="L202" i="71" s="1"/>
  <c r="E203" i="71"/>
  <c r="J203" i="71" s="1"/>
  <c r="C192" i="69"/>
  <c r="A191" i="69"/>
  <c r="B192" i="69"/>
  <c r="D203" i="71" l="1"/>
  <c r="I203" i="71" s="1"/>
  <c r="N191" i="69"/>
  <c r="Z191" i="69" s="1"/>
  <c r="M191" i="69"/>
  <c r="E192" i="69"/>
  <c r="J192" i="69" s="1"/>
  <c r="K203" i="71" l="1"/>
  <c r="C204" i="71" s="1"/>
  <c r="H203" i="71"/>
  <c r="P191" i="69"/>
  <c r="D192" i="69"/>
  <c r="A203" i="71" l="1"/>
  <c r="B204" i="71"/>
  <c r="E204" i="71" s="1"/>
  <c r="J204" i="71" s="1"/>
  <c r="L188" i="69"/>
  <c r="H192" i="69"/>
  <c r="I192" i="69"/>
  <c r="K192" i="69"/>
  <c r="N203" i="71" l="1"/>
  <c r="Z203" i="71" s="1"/>
  <c r="M203" i="71"/>
  <c r="L203" i="71" s="1"/>
  <c r="D204" i="71"/>
  <c r="B193" i="69"/>
  <c r="A192" i="69"/>
  <c r="C193" i="69"/>
  <c r="P203" i="71" l="1"/>
  <c r="I204" i="71"/>
  <c r="H204" i="71"/>
  <c r="K204" i="71"/>
  <c r="N192" i="69"/>
  <c r="Z192" i="69" s="1"/>
  <c r="M192" i="69"/>
  <c r="E193" i="69"/>
  <c r="J193" i="69" s="1"/>
  <c r="C205" i="71" l="1"/>
  <c r="A204" i="71"/>
  <c r="N204" i="71" s="1"/>
  <c r="Z204" i="71" s="1"/>
  <c r="B205" i="71"/>
  <c r="P192" i="69"/>
  <c r="D193" i="69"/>
  <c r="K193" i="69" s="1"/>
  <c r="C194" i="69" s="1"/>
  <c r="P204" i="71" l="1"/>
  <c r="E205" i="71"/>
  <c r="J205" i="71" s="1"/>
  <c r="M204" i="71"/>
  <c r="L204" i="71" s="1"/>
  <c r="H193" i="69"/>
  <c r="I193" i="69"/>
  <c r="B194" i="69"/>
  <c r="E194" i="69" s="1"/>
  <c r="J194" i="69" s="1"/>
  <c r="A193" i="69"/>
  <c r="L189" i="69"/>
  <c r="D205" i="71" l="1"/>
  <c r="H205" i="71" s="1"/>
  <c r="N193" i="69"/>
  <c r="Z193" i="69" s="1"/>
  <c r="M193" i="69"/>
  <c r="D194" i="69"/>
  <c r="K205" i="71" l="1"/>
  <c r="A205" i="71" s="1"/>
  <c r="N205" i="71" s="1"/>
  <c r="Z205" i="71" s="1"/>
  <c r="I205" i="71"/>
  <c r="P193" i="69"/>
  <c r="H194" i="69"/>
  <c r="I194" i="69"/>
  <c r="K194" i="69"/>
  <c r="P205" i="71" l="1"/>
  <c r="B206" i="71"/>
  <c r="E206" i="71" s="1"/>
  <c r="J206" i="71" s="1"/>
  <c r="C206" i="71"/>
  <c r="M205" i="71"/>
  <c r="L205" i="71" s="1"/>
  <c r="B195" i="69"/>
  <c r="C195" i="69"/>
  <c r="A194" i="69"/>
  <c r="L190" i="69"/>
  <c r="D206" i="71" l="1"/>
  <c r="K206" i="71" s="1"/>
  <c r="B207" i="71" s="1"/>
  <c r="N194" i="69"/>
  <c r="Z194" i="69" s="1"/>
  <c r="M194" i="69"/>
  <c r="E195" i="69"/>
  <c r="J195" i="69" s="1"/>
  <c r="H206" i="71" l="1"/>
  <c r="I206" i="71"/>
  <c r="C207" i="71"/>
  <c r="A206" i="71"/>
  <c r="E207" i="71"/>
  <c r="J207" i="71" s="1"/>
  <c r="P194" i="69"/>
  <c r="D195" i="69"/>
  <c r="N206" i="71" l="1"/>
  <c r="Z206" i="71" s="1"/>
  <c r="M206" i="71"/>
  <c r="L206" i="71" s="1"/>
  <c r="D207" i="71"/>
  <c r="I195" i="69"/>
  <c r="H195" i="69"/>
  <c r="K195" i="69"/>
  <c r="P206" i="71" l="1"/>
  <c r="I207" i="71"/>
  <c r="H207" i="71"/>
  <c r="K207" i="71"/>
  <c r="C196" i="69"/>
  <c r="A195" i="69"/>
  <c r="B196" i="69"/>
  <c r="L191" i="69"/>
  <c r="C208" i="71" l="1"/>
  <c r="A207" i="71"/>
  <c r="N207" i="71" s="1"/>
  <c r="Z207" i="71" s="1"/>
  <c r="B208" i="71"/>
  <c r="N195" i="69"/>
  <c r="Z195" i="69" s="1"/>
  <c r="M195" i="69"/>
  <c r="E196" i="69"/>
  <c r="J196" i="69" s="1"/>
  <c r="P207" i="71" l="1"/>
  <c r="E208" i="71"/>
  <c r="J208" i="71" s="1"/>
  <c r="M207" i="71"/>
  <c r="L207" i="71" s="1"/>
  <c r="P195" i="69"/>
  <c r="D196" i="69"/>
  <c r="D208" i="71" l="1"/>
  <c r="H196" i="69"/>
  <c r="I196" i="69"/>
  <c r="K196" i="69"/>
  <c r="L192" i="69"/>
  <c r="I208" i="71" l="1"/>
  <c r="H208" i="71"/>
  <c r="K208" i="71"/>
  <c r="B197" i="69"/>
  <c r="C197" i="69"/>
  <c r="A196" i="69"/>
  <c r="C209" i="71" l="1"/>
  <c r="A208" i="71"/>
  <c r="N208" i="71" s="1"/>
  <c r="Z208" i="71" s="1"/>
  <c r="B209" i="71"/>
  <c r="N196" i="69"/>
  <c r="Z196" i="69" s="1"/>
  <c r="M196" i="69"/>
  <c r="E197" i="69"/>
  <c r="J197" i="69" s="1"/>
  <c r="P208" i="71" l="1"/>
  <c r="E209" i="71"/>
  <c r="J209" i="71" s="1"/>
  <c r="M208" i="71"/>
  <c r="L208" i="71" s="1"/>
  <c r="P196" i="69"/>
  <c r="D197" i="69"/>
  <c r="I197" i="69" s="1"/>
  <c r="L193" i="69"/>
  <c r="D209" i="71" l="1"/>
  <c r="I209" i="71" s="1"/>
  <c r="H197" i="69"/>
  <c r="K197" i="69"/>
  <c r="C198" i="69" s="1"/>
  <c r="K209" i="71" l="1"/>
  <c r="C210" i="71" s="1"/>
  <c r="H209" i="71"/>
  <c r="A197" i="69"/>
  <c r="B198" i="69"/>
  <c r="E198" i="69" s="1"/>
  <c r="J198" i="69" s="1"/>
  <c r="A209" i="71" l="1"/>
  <c r="B210" i="71"/>
  <c r="E210" i="71" s="1"/>
  <c r="J210" i="71" s="1"/>
  <c r="N197" i="69"/>
  <c r="Z197" i="69" s="1"/>
  <c r="M197" i="69"/>
  <c r="D198" i="69"/>
  <c r="I198" i="69" s="1"/>
  <c r="L194" i="69"/>
  <c r="N209" i="71" l="1"/>
  <c r="Z209" i="71" s="1"/>
  <c r="M209" i="71"/>
  <c r="L209" i="71" s="1"/>
  <c r="D210" i="71"/>
  <c r="H210" i="71" s="1"/>
  <c r="P197" i="69"/>
  <c r="K198" i="69"/>
  <c r="B199" i="69" s="1"/>
  <c r="H198" i="69"/>
  <c r="P209" i="71" l="1"/>
  <c r="K210" i="71"/>
  <c r="B211" i="71" s="1"/>
  <c r="I210" i="71"/>
  <c r="A198" i="69"/>
  <c r="C199" i="69"/>
  <c r="E199" i="69"/>
  <c r="J199" i="69" s="1"/>
  <c r="C211" i="71" l="1"/>
  <c r="A210" i="71"/>
  <c r="E211" i="71"/>
  <c r="J211" i="71" s="1"/>
  <c r="N198" i="69"/>
  <c r="Z198" i="69" s="1"/>
  <c r="M198" i="69"/>
  <c r="D199" i="69"/>
  <c r="N210" i="71" l="1"/>
  <c r="Z210" i="71" s="1"/>
  <c r="M210" i="71"/>
  <c r="L210" i="71" s="1"/>
  <c r="D211" i="71"/>
  <c r="P198" i="69"/>
  <c r="L195" i="69"/>
  <c r="I199" i="69"/>
  <c r="H199" i="69"/>
  <c r="K199" i="69"/>
  <c r="P210" i="71" l="1"/>
  <c r="I211" i="71"/>
  <c r="H211" i="71"/>
  <c r="K211" i="71"/>
  <c r="C200" i="69"/>
  <c r="A199" i="69"/>
  <c r="B200" i="69"/>
  <c r="C212" i="71" l="1"/>
  <c r="A211" i="71"/>
  <c r="N211" i="71" s="1"/>
  <c r="Z211" i="71" s="1"/>
  <c r="B212" i="71"/>
  <c r="N199" i="69"/>
  <c r="Z199" i="69" s="1"/>
  <c r="M199" i="69"/>
  <c r="E200" i="69"/>
  <c r="J200" i="69" s="1"/>
  <c r="P211" i="71" l="1"/>
  <c r="E212" i="71"/>
  <c r="J212" i="71" s="1"/>
  <c r="M211" i="71"/>
  <c r="L211" i="71" s="1"/>
  <c r="P199" i="69"/>
  <c r="D200" i="69"/>
  <c r="H200" i="69" s="1"/>
  <c r="D212" i="71" l="1"/>
  <c r="I212" i="71" s="1"/>
  <c r="I200" i="69"/>
  <c r="K200" i="69"/>
  <c r="A200" i="69" s="1"/>
  <c r="L196" i="69"/>
  <c r="K212" i="71" l="1"/>
  <c r="B213" i="71" s="1"/>
  <c r="H212" i="71"/>
  <c r="C201" i="69"/>
  <c r="B201" i="69"/>
  <c r="E201" i="69" s="1"/>
  <c r="J201" i="69" s="1"/>
  <c r="N200" i="69"/>
  <c r="Z200" i="69" s="1"/>
  <c r="M200" i="69"/>
  <c r="A212" i="71" l="1"/>
  <c r="C213" i="71"/>
  <c r="E213" i="71"/>
  <c r="J213" i="71" s="1"/>
  <c r="P200" i="69"/>
  <c r="D201" i="69"/>
  <c r="L197" i="69"/>
  <c r="N212" i="71" l="1"/>
  <c r="Z212" i="71" s="1"/>
  <c r="M212" i="71"/>
  <c r="L212" i="71" s="1"/>
  <c r="D213" i="71"/>
  <c r="I201" i="69"/>
  <c r="H201" i="69"/>
  <c r="K201" i="69"/>
  <c r="P212" i="71" l="1"/>
  <c r="Q212" i="71"/>
  <c r="I213" i="71"/>
  <c r="H213" i="71"/>
  <c r="K213" i="71"/>
  <c r="C202" i="69"/>
  <c r="A201" i="69"/>
  <c r="B202" i="69"/>
  <c r="C214" i="71" l="1"/>
  <c r="A213" i="71"/>
  <c r="N213" i="71" s="1"/>
  <c r="B214" i="71"/>
  <c r="N201" i="69"/>
  <c r="Z201" i="69" s="1"/>
  <c r="M201" i="69"/>
  <c r="E202" i="69"/>
  <c r="J202" i="69" s="1"/>
  <c r="S213" i="71" l="1"/>
  <c r="Z213" i="71"/>
  <c r="P213" i="71"/>
  <c r="Q213" i="71"/>
  <c r="M213" i="71"/>
  <c r="L213" i="71" s="1"/>
  <c r="E214" i="71"/>
  <c r="J214" i="71" s="1"/>
  <c r="P201" i="69"/>
  <c r="L198" i="69"/>
  <c r="D202" i="69"/>
  <c r="D214" i="71" l="1"/>
  <c r="H202" i="69"/>
  <c r="I202" i="69"/>
  <c r="K202" i="69"/>
  <c r="H214" i="71" l="1"/>
  <c r="I214" i="71"/>
  <c r="K214" i="71"/>
  <c r="B203" i="69"/>
  <c r="C203" i="69"/>
  <c r="A202" i="69"/>
  <c r="B215" i="71" l="1"/>
  <c r="C215" i="71"/>
  <c r="A214" i="71"/>
  <c r="N214" i="71" s="1"/>
  <c r="N202" i="69"/>
  <c r="Z202" i="69" s="1"/>
  <c r="M202" i="69"/>
  <c r="L199" i="69"/>
  <c r="E203" i="69"/>
  <c r="J203" i="69" s="1"/>
  <c r="S214" i="71" l="1"/>
  <c r="Z214" i="71"/>
  <c r="Q214" i="71" s="1"/>
  <c r="P214" i="71"/>
  <c r="M214" i="71"/>
  <c r="L214" i="71" s="1"/>
  <c r="E215" i="71"/>
  <c r="J215" i="71" s="1"/>
  <c r="P202" i="69"/>
  <c r="D203" i="69"/>
  <c r="K203" i="69" s="1"/>
  <c r="C204" i="69" s="1"/>
  <c r="D215" i="71" l="1"/>
  <c r="H203" i="69"/>
  <c r="I203" i="69"/>
  <c r="B204" i="69"/>
  <c r="E204" i="69" s="1"/>
  <c r="J204" i="69" s="1"/>
  <c r="A203" i="69"/>
  <c r="I215" i="71" l="1"/>
  <c r="H215" i="71"/>
  <c r="K215" i="71"/>
  <c r="N203" i="69"/>
  <c r="Z203" i="69" s="1"/>
  <c r="M203" i="69"/>
  <c r="D204" i="69"/>
  <c r="K204" i="69" s="1"/>
  <c r="L200" i="69"/>
  <c r="C216" i="71" l="1"/>
  <c r="A215" i="71"/>
  <c r="N215" i="71" s="1"/>
  <c r="B216" i="71"/>
  <c r="P203" i="69"/>
  <c r="H204" i="69"/>
  <c r="I204" i="69"/>
  <c r="B205" i="69"/>
  <c r="C205" i="69"/>
  <c r="A204" i="69"/>
  <c r="S215" i="71" l="1"/>
  <c r="Z215" i="71"/>
  <c r="P215" i="71"/>
  <c r="Q215" i="71"/>
  <c r="E216" i="71"/>
  <c r="J216" i="71" s="1"/>
  <c r="M215" i="71"/>
  <c r="L215" i="71" s="1"/>
  <c r="N204" i="69"/>
  <c r="Z204" i="69" s="1"/>
  <c r="M204" i="69"/>
  <c r="E205" i="69"/>
  <c r="J205" i="69" s="1"/>
  <c r="D216" i="71" l="1"/>
  <c r="I216" i="71" s="1"/>
  <c r="P204" i="69"/>
  <c r="L201" i="69"/>
  <c r="D205" i="69"/>
  <c r="H216" i="71" l="1"/>
  <c r="K216" i="71"/>
  <c r="C217" i="71" s="1"/>
  <c r="I205" i="69"/>
  <c r="H205" i="69"/>
  <c r="K205" i="69"/>
  <c r="B217" i="71" l="1"/>
  <c r="E217" i="71" s="1"/>
  <c r="J217" i="71" s="1"/>
  <c r="A216" i="71"/>
  <c r="C206" i="69"/>
  <c r="A205" i="69"/>
  <c r="B206" i="69"/>
  <c r="N216" i="71" l="1"/>
  <c r="M216" i="71"/>
  <c r="L216" i="71" s="1"/>
  <c r="D217" i="71"/>
  <c r="N205" i="69"/>
  <c r="Z205" i="69" s="1"/>
  <c r="M205" i="69"/>
  <c r="E206" i="69"/>
  <c r="J206" i="69" s="1"/>
  <c r="S216" i="71" l="1"/>
  <c r="Z216" i="71"/>
  <c r="Q216" i="71" s="1"/>
  <c r="P216" i="71"/>
  <c r="I217" i="71"/>
  <c r="H217" i="71"/>
  <c r="K217" i="71"/>
  <c r="P205" i="69"/>
  <c r="L202" i="69"/>
  <c r="D206" i="69"/>
  <c r="B218" i="71" l="1"/>
  <c r="C218" i="71"/>
  <c r="A217" i="71"/>
  <c r="N217" i="71" s="1"/>
  <c r="H206" i="69"/>
  <c r="I206" i="69"/>
  <c r="K206" i="69"/>
  <c r="S217" i="71" l="1"/>
  <c r="Z217" i="71"/>
  <c r="Q217" i="71" s="1"/>
  <c r="P217" i="71"/>
  <c r="M217" i="71"/>
  <c r="L217" i="71" s="1"/>
  <c r="E218" i="71"/>
  <c r="J218" i="71" s="1"/>
  <c r="B207" i="69"/>
  <c r="A206" i="69"/>
  <c r="C207" i="69"/>
  <c r="D218" i="71" l="1"/>
  <c r="N206" i="69"/>
  <c r="Z206" i="69" s="1"/>
  <c r="M206" i="69"/>
  <c r="E207" i="69"/>
  <c r="J207" i="69" s="1"/>
  <c r="H218" i="71" l="1"/>
  <c r="I218" i="71"/>
  <c r="K218" i="71"/>
  <c r="P206" i="69"/>
  <c r="L203" i="69"/>
  <c r="D207" i="69"/>
  <c r="B219" i="71" l="1"/>
  <c r="C219" i="71"/>
  <c r="A218" i="71"/>
  <c r="N218" i="71" s="1"/>
  <c r="I207" i="69"/>
  <c r="H207" i="69"/>
  <c r="K207" i="69"/>
  <c r="S218" i="71" l="1"/>
  <c r="Z218" i="71"/>
  <c r="Q218" i="71" s="1"/>
  <c r="P218" i="71"/>
  <c r="M218" i="71"/>
  <c r="L218" i="71" s="1"/>
  <c r="E219" i="71"/>
  <c r="J219" i="71" s="1"/>
  <c r="C208" i="69"/>
  <c r="A207" i="69"/>
  <c r="B208" i="69"/>
  <c r="D219" i="71" l="1"/>
  <c r="N207" i="69"/>
  <c r="Z207" i="69" s="1"/>
  <c r="M207" i="69"/>
  <c r="E208" i="69"/>
  <c r="J208" i="69" s="1"/>
  <c r="I219" i="71" l="1"/>
  <c r="H219" i="71"/>
  <c r="K219" i="71"/>
  <c r="P207" i="69"/>
  <c r="L204" i="69"/>
  <c r="D208" i="69"/>
  <c r="C220" i="71" l="1"/>
  <c r="A219" i="71"/>
  <c r="N219" i="71" s="1"/>
  <c r="B220" i="71"/>
  <c r="H208" i="69"/>
  <c r="I208" i="69"/>
  <c r="K208" i="69"/>
  <c r="S219" i="71" l="1"/>
  <c r="Z219" i="71"/>
  <c r="P219" i="71"/>
  <c r="Q219" i="71"/>
  <c r="M219" i="71"/>
  <c r="L219" i="71" s="1"/>
  <c r="E220" i="71"/>
  <c r="J220" i="71" s="1"/>
  <c r="B209" i="69"/>
  <c r="C209" i="69"/>
  <c r="A208" i="69"/>
  <c r="D220" i="71" l="1"/>
  <c r="I220" i="71" s="1"/>
  <c r="N208" i="69"/>
  <c r="Z208" i="69" s="1"/>
  <c r="M208" i="69"/>
  <c r="E209" i="69"/>
  <c r="J209" i="69" s="1"/>
  <c r="K220" i="71" l="1"/>
  <c r="C221" i="71" s="1"/>
  <c r="H220" i="71"/>
  <c r="P208" i="69"/>
  <c r="D209" i="69"/>
  <c r="L205" i="69"/>
  <c r="B221" i="71" l="1"/>
  <c r="E221" i="71" s="1"/>
  <c r="J221" i="71" s="1"/>
  <c r="A220" i="71"/>
  <c r="I209" i="69"/>
  <c r="H209" i="69"/>
  <c r="K209" i="69"/>
  <c r="N220" i="71" l="1"/>
  <c r="M220" i="71"/>
  <c r="L220" i="71" s="1"/>
  <c r="D221" i="71"/>
  <c r="C210" i="69"/>
  <c r="A209" i="69"/>
  <c r="B210" i="69"/>
  <c r="S220" i="71" l="1"/>
  <c r="Z220" i="71"/>
  <c r="Q220" i="71" s="1"/>
  <c r="P220" i="71"/>
  <c r="H221" i="71"/>
  <c r="I221" i="71"/>
  <c r="K221" i="71"/>
  <c r="N209" i="69"/>
  <c r="Z209" i="69" s="1"/>
  <c r="M209" i="69"/>
  <c r="E210" i="69"/>
  <c r="J210" i="69" s="1"/>
  <c r="C222" i="71" l="1"/>
  <c r="B222" i="71"/>
  <c r="A221" i="71"/>
  <c r="N221" i="71" s="1"/>
  <c r="P209" i="69"/>
  <c r="L206" i="69"/>
  <c r="D210" i="69"/>
  <c r="S221" i="71" l="1"/>
  <c r="Z221" i="71"/>
  <c r="Q221" i="71" s="1"/>
  <c r="P221" i="71"/>
  <c r="E222" i="71"/>
  <c r="J222" i="71" s="1"/>
  <c r="M221" i="71"/>
  <c r="L221" i="71" s="1"/>
  <c r="H210" i="69"/>
  <c r="I210" i="69"/>
  <c r="K210" i="69"/>
  <c r="D222" i="71" l="1"/>
  <c r="B211" i="69"/>
  <c r="C211" i="69"/>
  <c r="A210" i="69"/>
  <c r="H222" i="71" l="1"/>
  <c r="I222" i="71"/>
  <c r="K222" i="71"/>
  <c r="N210" i="69"/>
  <c r="Z210" i="69" s="1"/>
  <c r="M210" i="69"/>
  <c r="E211" i="69"/>
  <c r="J211" i="69" s="1"/>
  <c r="B223" i="71" l="1"/>
  <c r="C223" i="71"/>
  <c r="A222" i="71"/>
  <c r="N222" i="71" s="1"/>
  <c r="P210" i="69"/>
  <c r="D211" i="69"/>
  <c r="L207" i="69"/>
  <c r="S222" i="71" l="1"/>
  <c r="Z222" i="71"/>
  <c r="Q222" i="71" s="1"/>
  <c r="P222" i="71"/>
  <c r="M222" i="71"/>
  <c r="L222" i="71" s="1"/>
  <c r="E223" i="71"/>
  <c r="J223" i="71" s="1"/>
  <c r="I211" i="69"/>
  <c r="H211" i="69"/>
  <c r="K211" i="69"/>
  <c r="D223" i="71" l="1"/>
  <c r="C212" i="69"/>
  <c r="A211" i="69"/>
  <c r="B212" i="69"/>
  <c r="I223" i="71" l="1"/>
  <c r="H223" i="71"/>
  <c r="K223" i="71"/>
  <c r="N211" i="69"/>
  <c r="Z211" i="69" s="1"/>
  <c r="M211" i="69"/>
  <c r="E212" i="69"/>
  <c r="J212" i="69" s="1"/>
  <c r="C224" i="71" l="1"/>
  <c r="A223" i="71"/>
  <c r="N223" i="71" s="1"/>
  <c r="B224" i="71"/>
  <c r="P211" i="69"/>
  <c r="L208" i="69"/>
  <c r="D212" i="69"/>
  <c r="S223" i="71" l="1"/>
  <c r="Z223" i="71"/>
  <c r="Q223" i="71" s="1"/>
  <c r="P223" i="71"/>
  <c r="E224" i="71"/>
  <c r="J224" i="71" s="1"/>
  <c r="M223" i="71"/>
  <c r="L223" i="71" s="1"/>
  <c r="H212" i="69"/>
  <c r="I212" i="69"/>
  <c r="K212" i="69"/>
  <c r="D224" i="71" l="1"/>
  <c r="I224" i="71" s="1"/>
  <c r="B213" i="69"/>
  <c r="A212" i="69"/>
  <c r="C213" i="69"/>
  <c r="K224" i="71" l="1"/>
  <c r="C225" i="71" s="1"/>
  <c r="H224" i="71"/>
  <c r="N212" i="69"/>
  <c r="Z212" i="69" s="1"/>
  <c r="M212" i="69"/>
  <c r="E213" i="69"/>
  <c r="J213" i="69" s="1"/>
  <c r="B225" i="71" l="1"/>
  <c r="E225" i="71" s="1"/>
  <c r="J225" i="71" s="1"/>
  <c r="A224" i="71"/>
  <c r="P212" i="69"/>
  <c r="L209" i="69"/>
  <c r="D213" i="69"/>
  <c r="M224" i="71" l="1"/>
  <c r="L224" i="71" s="1"/>
  <c r="N224" i="71"/>
  <c r="D225" i="71"/>
  <c r="H225" i="71" s="1"/>
  <c r="I213" i="69"/>
  <c r="H213" i="69"/>
  <c r="K213" i="69"/>
  <c r="S224" i="71" l="1"/>
  <c r="Z224" i="71"/>
  <c r="Q224" i="71" s="1"/>
  <c r="P224" i="71"/>
  <c r="K225" i="71"/>
  <c r="C226" i="71" s="1"/>
  <c r="I225" i="71"/>
  <c r="C214" i="69"/>
  <c r="A213" i="69"/>
  <c r="B214" i="69"/>
  <c r="B226" i="71" l="1"/>
  <c r="E226" i="71" s="1"/>
  <c r="J226" i="71" s="1"/>
  <c r="A225" i="71"/>
  <c r="N213" i="69"/>
  <c r="Z213" i="69" s="1"/>
  <c r="M213" i="69"/>
  <c r="E214" i="69"/>
  <c r="J214" i="69" s="1"/>
  <c r="N225" i="71" l="1"/>
  <c r="M225" i="71"/>
  <c r="L225" i="71" s="1"/>
  <c r="D226" i="71"/>
  <c r="H226" i="71" s="1"/>
  <c r="P213" i="69"/>
  <c r="D214" i="69"/>
  <c r="L210" i="69"/>
  <c r="S225" i="71" l="1"/>
  <c r="Z225" i="71"/>
  <c r="Q225" i="71" s="1"/>
  <c r="P225" i="71"/>
  <c r="K226" i="71"/>
  <c r="C227" i="71" s="1"/>
  <c r="I226" i="71"/>
  <c r="H214" i="69"/>
  <c r="I214" i="69"/>
  <c r="K214" i="69"/>
  <c r="A226" i="71" l="1"/>
  <c r="B227" i="71"/>
  <c r="E227" i="71" s="1"/>
  <c r="J227" i="71" s="1"/>
  <c r="B215" i="69"/>
  <c r="C215" i="69"/>
  <c r="A214" i="69"/>
  <c r="M226" i="71" l="1"/>
  <c r="L226" i="71" s="1"/>
  <c r="N226" i="71"/>
  <c r="D227" i="71"/>
  <c r="N214" i="69"/>
  <c r="Z214" i="69" s="1"/>
  <c r="M214" i="69"/>
  <c r="E215" i="69"/>
  <c r="J215" i="69" s="1"/>
  <c r="S226" i="71" l="1"/>
  <c r="Z226" i="71"/>
  <c r="Q226" i="71" s="1"/>
  <c r="P226" i="71"/>
  <c r="I227" i="71"/>
  <c r="H227" i="71"/>
  <c r="K227" i="71"/>
  <c r="P214" i="69"/>
  <c r="D215" i="69"/>
  <c r="L211" i="69"/>
  <c r="C228" i="71" l="1"/>
  <c r="A227" i="71"/>
  <c r="N227" i="71" s="1"/>
  <c r="B228" i="71"/>
  <c r="I215" i="69"/>
  <c r="H215" i="69"/>
  <c r="K215" i="69"/>
  <c r="S227" i="71" l="1"/>
  <c r="Z227" i="71"/>
  <c r="Q227" i="71" s="1"/>
  <c r="P227" i="71"/>
  <c r="E228" i="71"/>
  <c r="J228" i="71" s="1"/>
  <c r="M227" i="71"/>
  <c r="L227" i="71" s="1"/>
  <c r="C216" i="69"/>
  <c r="A215" i="69"/>
  <c r="B216" i="69"/>
  <c r="D228" i="71" l="1"/>
  <c r="I228" i="71" s="1"/>
  <c r="N215" i="69"/>
  <c r="Z215" i="69" s="1"/>
  <c r="M215" i="69"/>
  <c r="E216" i="69"/>
  <c r="J216" i="69" s="1"/>
  <c r="K228" i="71" l="1"/>
  <c r="B229" i="71" s="1"/>
  <c r="H228" i="71"/>
  <c r="P215" i="69"/>
  <c r="D216" i="69"/>
  <c r="L212" i="69"/>
  <c r="C229" i="71" l="1"/>
  <c r="A228" i="71"/>
  <c r="E229" i="71"/>
  <c r="J229" i="71" s="1"/>
  <c r="H216" i="69"/>
  <c r="I216" i="69"/>
  <c r="K216" i="69"/>
  <c r="M228" i="71" l="1"/>
  <c r="L228" i="71" s="1"/>
  <c r="N228" i="71"/>
  <c r="D229" i="71"/>
  <c r="C217" i="69"/>
  <c r="B217" i="69"/>
  <c r="A216" i="69"/>
  <c r="S228" i="71" l="1"/>
  <c r="Z228" i="71"/>
  <c r="P228" i="71"/>
  <c r="Q228" i="71"/>
  <c r="I229" i="71"/>
  <c r="H229" i="71"/>
  <c r="K229" i="71"/>
  <c r="N216" i="69"/>
  <c r="Z216" i="69" s="1"/>
  <c r="M216" i="69"/>
  <c r="E217" i="69"/>
  <c r="J217" i="69" s="1"/>
  <c r="L213" i="69"/>
  <c r="C230" i="71" l="1"/>
  <c r="A229" i="71"/>
  <c r="N229" i="71" s="1"/>
  <c r="B230" i="71"/>
  <c r="P216" i="69"/>
  <c r="D217" i="69"/>
  <c r="S229" i="71" l="1"/>
  <c r="Z229" i="71"/>
  <c r="Q229" i="71" s="1"/>
  <c r="P229" i="71"/>
  <c r="E230" i="71"/>
  <c r="J230" i="71" s="1"/>
  <c r="M229" i="71"/>
  <c r="L229" i="71" s="1"/>
  <c r="H217" i="69"/>
  <c r="I217" i="69"/>
  <c r="K217" i="69"/>
  <c r="D230" i="71" l="1"/>
  <c r="I230" i="71" s="1"/>
  <c r="B218" i="69"/>
  <c r="C218" i="69"/>
  <c r="A217" i="69"/>
  <c r="H230" i="71" l="1"/>
  <c r="K230" i="71"/>
  <c r="B231" i="71" s="1"/>
  <c r="N217" i="69"/>
  <c r="Z217" i="69" s="1"/>
  <c r="M217" i="69"/>
  <c r="L214" i="69"/>
  <c r="E218" i="69"/>
  <c r="J218" i="69" s="1"/>
  <c r="A230" i="71" l="1"/>
  <c r="C231" i="71"/>
  <c r="E231" i="71"/>
  <c r="J231" i="71" s="1"/>
  <c r="P217" i="69"/>
  <c r="D218" i="69"/>
  <c r="N230" i="71" l="1"/>
  <c r="M230" i="71"/>
  <c r="L230" i="71" s="1"/>
  <c r="D231" i="71"/>
  <c r="I218" i="69"/>
  <c r="H218" i="69"/>
  <c r="K218" i="69"/>
  <c r="S230" i="71" l="1"/>
  <c r="Z230" i="71"/>
  <c r="Q230" i="71" s="1"/>
  <c r="P230" i="71"/>
  <c r="I231" i="71"/>
  <c r="H231" i="71"/>
  <c r="K231" i="71"/>
  <c r="C219" i="69"/>
  <c r="A218" i="69"/>
  <c r="B219" i="69"/>
  <c r="L215" i="69"/>
  <c r="C232" i="71" l="1"/>
  <c r="A231" i="71"/>
  <c r="N231" i="71" s="1"/>
  <c r="B232" i="71"/>
  <c r="N218" i="69"/>
  <c r="Z218" i="69" s="1"/>
  <c r="M218" i="69"/>
  <c r="E219" i="69"/>
  <c r="J219" i="69" s="1"/>
  <c r="S231" i="71" l="1"/>
  <c r="Z231" i="71"/>
  <c r="P231" i="71"/>
  <c r="Q231" i="71"/>
  <c r="E232" i="71"/>
  <c r="J232" i="71" s="1"/>
  <c r="M231" i="71"/>
  <c r="L231" i="71" s="1"/>
  <c r="P218" i="69"/>
  <c r="D219" i="69"/>
  <c r="D232" i="71" l="1"/>
  <c r="H232" i="71" s="1"/>
  <c r="I219" i="69"/>
  <c r="H219" i="69"/>
  <c r="K219" i="69"/>
  <c r="K232" i="71" l="1"/>
  <c r="B233" i="71" s="1"/>
  <c r="I232" i="71"/>
  <c r="L216" i="69"/>
  <c r="C220" i="69"/>
  <c r="A219" i="69"/>
  <c r="B220" i="69"/>
  <c r="C233" i="71" l="1"/>
  <c r="A232" i="71"/>
  <c r="E233" i="71"/>
  <c r="J233" i="71" s="1"/>
  <c r="N219" i="69"/>
  <c r="Z219" i="69" s="1"/>
  <c r="M219" i="69"/>
  <c r="E220" i="69"/>
  <c r="J220" i="69" s="1"/>
  <c r="N232" i="71" l="1"/>
  <c r="M232" i="71"/>
  <c r="L232" i="71" s="1"/>
  <c r="D233" i="71"/>
  <c r="P219" i="69"/>
  <c r="D220" i="69"/>
  <c r="S232" i="71" l="1"/>
  <c r="Z232" i="71"/>
  <c r="Q232" i="71" s="1"/>
  <c r="P232" i="71"/>
  <c r="I233" i="71"/>
  <c r="H233" i="71"/>
  <c r="K233" i="71"/>
  <c r="I220" i="69"/>
  <c r="H220" i="69"/>
  <c r="K220" i="69"/>
  <c r="B234" i="71" l="1"/>
  <c r="A233" i="71"/>
  <c r="N233" i="71" s="1"/>
  <c r="C234" i="71"/>
  <c r="L217" i="69"/>
  <c r="C221" i="69"/>
  <c r="A220" i="69"/>
  <c r="B221" i="69"/>
  <c r="S233" i="71" l="1"/>
  <c r="Z233" i="71"/>
  <c r="P233" i="71"/>
  <c r="Q233" i="71"/>
  <c r="M233" i="71"/>
  <c r="L233" i="71" s="1"/>
  <c r="E234" i="71"/>
  <c r="J234" i="71" s="1"/>
  <c r="N220" i="69"/>
  <c r="Z220" i="69" s="1"/>
  <c r="M220" i="69"/>
  <c r="E221" i="69"/>
  <c r="J221" i="69" s="1"/>
  <c r="D234" i="71" l="1"/>
  <c r="P220" i="69"/>
  <c r="D221" i="69"/>
  <c r="H234" i="71" l="1"/>
  <c r="I234" i="71"/>
  <c r="K234" i="71"/>
  <c r="L218" i="69"/>
  <c r="H221" i="69"/>
  <c r="I221" i="69"/>
  <c r="K221" i="69"/>
  <c r="B235" i="71" l="1"/>
  <c r="C235" i="71"/>
  <c r="A234" i="71"/>
  <c r="N234" i="71" s="1"/>
  <c r="B222" i="69"/>
  <c r="C222" i="69"/>
  <c r="A221" i="69"/>
  <c r="S234" i="71" l="1"/>
  <c r="Z234" i="71"/>
  <c r="Q234" i="71" s="1"/>
  <c r="P234" i="71"/>
  <c r="M234" i="71"/>
  <c r="L234" i="71" s="1"/>
  <c r="E235" i="71"/>
  <c r="J235" i="71" s="1"/>
  <c r="N221" i="69"/>
  <c r="Z221" i="69" s="1"/>
  <c r="M221" i="69"/>
  <c r="E222" i="69"/>
  <c r="J222" i="69" s="1"/>
  <c r="D235" i="71" l="1"/>
  <c r="I235" i="71" s="1"/>
  <c r="P221" i="69"/>
  <c r="D222" i="69"/>
  <c r="K222" i="69" s="1"/>
  <c r="L219" i="69"/>
  <c r="K235" i="71" l="1"/>
  <c r="C236" i="71" s="1"/>
  <c r="H235" i="71"/>
  <c r="H222" i="69"/>
  <c r="I222" i="69"/>
  <c r="C223" i="69"/>
  <c r="A222" i="69"/>
  <c r="B223" i="69"/>
  <c r="A235" i="71" l="1"/>
  <c r="B236" i="71"/>
  <c r="E236" i="71" s="1"/>
  <c r="J236" i="71" s="1"/>
  <c r="N222" i="69"/>
  <c r="Z222" i="69" s="1"/>
  <c r="M222" i="69"/>
  <c r="E223" i="69"/>
  <c r="J223" i="69" s="1"/>
  <c r="N235" i="71" l="1"/>
  <c r="D236" i="71"/>
  <c r="I236" i="71" s="1"/>
  <c r="M235" i="71"/>
  <c r="L235" i="71" s="1"/>
  <c r="P222" i="69"/>
  <c r="L220" i="69"/>
  <c r="D223" i="69"/>
  <c r="S235" i="71" l="1"/>
  <c r="Z235" i="71"/>
  <c r="Q235" i="71" s="1"/>
  <c r="P235" i="71"/>
  <c r="H236" i="71"/>
  <c r="K236" i="71"/>
  <c r="C237" i="71" s="1"/>
  <c r="I223" i="69"/>
  <c r="H223" i="69"/>
  <c r="K223" i="69"/>
  <c r="B237" i="71" l="1"/>
  <c r="E237" i="71" s="1"/>
  <c r="J237" i="71" s="1"/>
  <c r="A236" i="71"/>
  <c r="C224" i="69"/>
  <c r="A223" i="69"/>
  <c r="B224" i="69"/>
  <c r="N236" i="71" l="1"/>
  <c r="M236" i="71"/>
  <c r="L236" i="71" s="1"/>
  <c r="D237" i="71"/>
  <c r="K237" i="71" s="1"/>
  <c r="A237" i="71" s="1"/>
  <c r="N237" i="71" s="1"/>
  <c r="N223" i="69"/>
  <c r="Z223" i="69" s="1"/>
  <c r="M223" i="69"/>
  <c r="L221" i="69"/>
  <c r="E224" i="69"/>
  <c r="J224" i="69" s="1"/>
  <c r="S237" i="71" l="1"/>
  <c r="Z237" i="71"/>
  <c r="S236" i="71"/>
  <c r="Z236" i="71"/>
  <c r="Q236" i="71" s="1"/>
  <c r="P237" i="71"/>
  <c r="P236" i="71"/>
  <c r="Q237" i="71"/>
  <c r="I237" i="71"/>
  <c r="H237" i="71"/>
  <c r="B238" i="71"/>
  <c r="E238" i="71" s="1"/>
  <c r="J238" i="71" s="1"/>
  <c r="C238" i="71"/>
  <c r="M237" i="71"/>
  <c r="L237" i="71" s="1"/>
  <c r="P223" i="69"/>
  <c r="D224" i="69"/>
  <c r="D238" i="71" l="1"/>
  <c r="K238" i="71" s="1"/>
  <c r="B239" i="71" s="1"/>
  <c r="I224" i="69"/>
  <c r="H224" i="69"/>
  <c r="K224" i="69"/>
  <c r="I238" i="71" l="1"/>
  <c r="H238" i="71"/>
  <c r="C239" i="71"/>
  <c r="A238" i="71"/>
  <c r="E239" i="71"/>
  <c r="J239" i="71" s="1"/>
  <c r="L222" i="69"/>
  <c r="C225" i="69"/>
  <c r="A224" i="69"/>
  <c r="B225" i="69"/>
  <c r="N238" i="71" l="1"/>
  <c r="M238" i="71"/>
  <c r="L238" i="71" s="1"/>
  <c r="D239" i="71"/>
  <c r="N224" i="69"/>
  <c r="Z224" i="69" s="1"/>
  <c r="M224" i="69"/>
  <c r="E225" i="69"/>
  <c r="J225" i="69" s="1"/>
  <c r="S238" i="71" l="1"/>
  <c r="Z238" i="71"/>
  <c r="Q238" i="71" s="1"/>
  <c r="P238" i="71"/>
  <c r="I239" i="71"/>
  <c r="H239" i="71"/>
  <c r="K239" i="71"/>
  <c r="P224" i="69"/>
  <c r="D225" i="69"/>
  <c r="H225" i="69" s="1"/>
  <c r="C240" i="71" l="1"/>
  <c r="A239" i="71"/>
  <c r="N239" i="71" s="1"/>
  <c r="B240" i="71"/>
  <c r="K225" i="69"/>
  <c r="C226" i="69" s="1"/>
  <c r="I225" i="69"/>
  <c r="S239" i="71" l="1"/>
  <c r="Z239" i="71"/>
  <c r="Q239" i="71" s="1"/>
  <c r="P239" i="71"/>
  <c r="E240" i="71"/>
  <c r="J240" i="71" s="1"/>
  <c r="M239" i="71"/>
  <c r="L239" i="71" s="1"/>
  <c r="B226" i="69"/>
  <c r="E226" i="69" s="1"/>
  <c r="J226" i="69" s="1"/>
  <c r="A225" i="69"/>
  <c r="L223" i="69"/>
  <c r="D240" i="71" l="1"/>
  <c r="I240" i="71" s="1"/>
  <c r="N225" i="69"/>
  <c r="Z225" i="69" s="1"/>
  <c r="M225" i="69"/>
  <c r="D226" i="69"/>
  <c r="I226" i="69" s="1"/>
  <c r="K240" i="71" l="1"/>
  <c r="C241" i="71" s="1"/>
  <c r="H240" i="71"/>
  <c r="P225" i="69"/>
  <c r="K226" i="69"/>
  <c r="C227" i="69" s="1"/>
  <c r="H226" i="69"/>
  <c r="A240" i="71" l="1"/>
  <c r="B241" i="71"/>
  <c r="E241" i="71" s="1"/>
  <c r="J241" i="71" s="1"/>
  <c r="B227" i="69"/>
  <c r="E227" i="69" s="1"/>
  <c r="J227" i="69" s="1"/>
  <c r="A226" i="69"/>
  <c r="M240" i="71" l="1"/>
  <c r="L240" i="71" s="1"/>
  <c r="N240" i="71"/>
  <c r="D241" i="71"/>
  <c r="H241" i="71" s="1"/>
  <c r="N226" i="69"/>
  <c r="Z226" i="69" s="1"/>
  <c r="M226" i="69"/>
  <c r="L224" i="69"/>
  <c r="D227" i="69"/>
  <c r="S240" i="71" l="1"/>
  <c r="Z240" i="71"/>
  <c r="Q240" i="71" s="1"/>
  <c r="P240" i="71"/>
  <c r="K241" i="71"/>
  <c r="A241" i="71" s="1"/>
  <c r="N241" i="71" s="1"/>
  <c r="I241" i="71"/>
  <c r="P226" i="69"/>
  <c r="I227" i="69"/>
  <c r="H227" i="69"/>
  <c r="K227" i="69"/>
  <c r="S241" i="71" l="1"/>
  <c r="Z241" i="71"/>
  <c r="Q241" i="71" s="1"/>
  <c r="P241" i="71"/>
  <c r="C242" i="71"/>
  <c r="B242" i="71"/>
  <c r="E242" i="71" s="1"/>
  <c r="J242" i="71" s="1"/>
  <c r="M241" i="71"/>
  <c r="L241" i="71" s="1"/>
  <c r="C228" i="69"/>
  <c r="B228" i="69"/>
  <c r="A227" i="69"/>
  <c r="D242" i="71" l="1"/>
  <c r="N227" i="69"/>
  <c r="Z227" i="69" s="1"/>
  <c r="M227" i="69"/>
  <c r="E228" i="69"/>
  <c r="J228" i="69" s="1"/>
  <c r="H242" i="71" l="1"/>
  <c r="I242" i="71"/>
  <c r="K242" i="71"/>
  <c r="P227" i="69"/>
  <c r="L225" i="69"/>
  <c r="D228" i="69"/>
  <c r="B243" i="71" l="1"/>
  <c r="A242" i="71"/>
  <c r="N242" i="71" s="1"/>
  <c r="C243" i="71"/>
  <c r="I228" i="69"/>
  <c r="H228" i="69"/>
  <c r="K228" i="69"/>
  <c r="S242" i="71" l="1"/>
  <c r="Z242" i="71"/>
  <c r="P242" i="71"/>
  <c r="Q242" i="71"/>
  <c r="M242" i="71"/>
  <c r="L242" i="71" s="1"/>
  <c r="E243" i="71"/>
  <c r="J243" i="71" s="1"/>
  <c r="C229" i="69"/>
  <c r="A228" i="69"/>
  <c r="B229" i="69"/>
  <c r="L226" i="69"/>
  <c r="D243" i="71" l="1"/>
  <c r="N228" i="69"/>
  <c r="Z228" i="69" s="1"/>
  <c r="M228" i="69"/>
  <c r="E229" i="69"/>
  <c r="J229" i="69" s="1"/>
  <c r="I243" i="71" l="1"/>
  <c r="H243" i="71"/>
  <c r="K243" i="71"/>
  <c r="P228" i="69"/>
  <c r="D229" i="69"/>
  <c r="I229" i="69" s="1"/>
  <c r="C244" i="71" l="1"/>
  <c r="A243" i="71"/>
  <c r="N243" i="71" s="1"/>
  <c r="B244" i="71"/>
  <c r="K229" i="69"/>
  <c r="C230" i="69" s="1"/>
  <c r="H229" i="69"/>
  <c r="S243" i="71" l="1"/>
  <c r="Z243" i="71"/>
  <c r="Q243" i="71" s="1"/>
  <c r="P243" i="71"/>
  <c r="E244" i="71"/>
  <c r="J244" i="71" s="1"/>
  <c r="M243" i="71"/>
  <c r="L243" i="71" s="1"/>
  <c r="B230" i="69"/>
  <c r="E230" i="69" s="1"/>
  <c r="J230" i="69" s="1"/>
  <c r="A229" i="69"/>
  <c r="L227" i="69"/>
  <c r="D244" i="71" l="1"/>
  <c r="N229" i="69"/>
  <c r="Z229" i="69" s="1"/>
  <c r="M229" i="69"/>
  <c r="D230" i="69"/>
  <c r="I244" i="71" l="1"/>
  <c r="H244" i="71"/>
  <c r="K244" i="71"/>
  <c r="P229" i="69"/>
  <c r="I230" i="69"/>
  <c r="H230" i="69"/>
  <c r="K230" i="69"/>
  <c r="L228" i="69"/>
  <c r="B245" i="71" l="1"/>
  <c r="C245" i="71"/>
  <c r="A244" i="71"/>
  <c r="N244" i="71" s="1"/>
  <c r="C231" i="69"/>
  <c r="A230" i="69"/>
  <c r="B231" i="69"/>
  <c r="S244" i="71" l="1"/>
  <c r="Z244" i="71"/>
  <c r="Q244" i="71" s="1"/>
  <c r="P244" i="71"/>
  <c r="M244" i="71"/>
  <c r="L244" i="71" s="1"/>
  <c r="E245" i="71"/>
  <c r="J245" i="71" s="1"/>
  <c r="N230" i="69"/>
  <c r="Z230" i="69" s="1"/>
  <c r="M230" i="69"/>
  <c r="E231" i="69"/>
  <c r="J231" i="69" s="1"/>
  <c r="D245" i="71" l="1"/>
  <c r="P230" i="69"/>
  <c r="D231" i="69"/>
  <c r="K231" i="69" s="1"/>
  <c r="C232" i="69" s="1"/>
  <c r="I245" i="71" l="1"/>
  <c r="H245" i="71"/>
  <c r="K245" i="71"/>
  <c r="B232" i="69"/>
  <c r="E232" i="69" s="1"/>
  <c r="J232" i="69" s="1"/>
  <c r="H231" i="69"/>
  <c r="I231" i="69"/>
  <c r="A231" i="69"/>
  <c r="L229" i="69"/>
  <c r="C246" i="71" l="1"/>
  <c r="A245" i="71"/>
  <c r="N245" i="71" s="1"/>
  <c r="B246" i="71"/>
  <c r="N231" i="69"/>
  <c r="Z231" i="69" s="1"/>
  <c r="M231" i="69"/>
  <c r="D232" i="69"/>
  <c r="S245" i="71" l="1"/>
  <c r="Z245" i="71"/>
  <c r="Q245" i="71" s="1"/>
  <c r="P245" i="71"/>
  <c r="E246" i="71"/>
  <c r="J246" i="71" s="1"/>
  <c r="M245" i="71"/>
  <c r="L245" i="71" s="1"/>
  <c r="P231" i="69"/>
  <c r="I232" i="69"/>
  <c r="H232" i="69"/>
  <c r="K232" i="69"/>
  <c r="L230" i="69"/>
  <c r="D246" i="71" l="1"/>
  <c r="H246" i="71" s="1"/>
  <c r="C233" i="69"/>
  <c r="A232" i="69"/>
  <c r="B233" i="69"/>
  <c r="K246" i="71" l="1"/>
  <c r="B247" i="71" s="1"/>
  <c r="I246" i="71"/>
  <c r="N232" i="69"/>
  <c r="Z232" i="69" s="1"/>
  <c r="M232" i="69"/>
  <c r="E233" i="69"/>
  <c r="J233" i="69" s="1"/>
  <c r="C247" i="71" l="1"/>
  <c r="A246" i="71"/>
  <c r="E247" i="71"/>
  <c r="J247" i="71" s="1"/>
  <c r="P232" i="69"/>
  <c r="L231" i="69"/>
  <c r="D233" i="69"/>
  <c r="N246" i="71" l="1"/>
  <c r="M246" i="71"/>
  <c r="L246" i="71" s="1"/>
  <c r="D247" i="71"/>
  <c r="I233" i="69"/>
  <c r="H233" i="69"/>
  <c r="K233" i="69"/>
  <c r="S246" i="71" l="1"/>
  <c r="Z246" i="71"/>
  <c r="Q246" i="71" s="1"/>
  <c r="P246" i="71"/>
  <c r="I247" i="71"/>
  <c r="H247" i="71"/>
  <c r="K247" i="71"/>
  <c r="C234" i="69"/>
  <c r="A233" i="69"/>
  <c r="B234" i="69"/>
  <c r="C248" i="71" l="1"/>
  <c r="A247" i="71"/>
  <c r="N247" i="71" s="1"/>
  <c r="B248" i="71"/>
  <c r="N233" i="69"/>
  <c r="Z233" i="69" s="1"/>
  <c r="M233" i="69"/>
  <c r="E234" i="69"/>
  <c r="J234" i="69" s="1"/>
  <c r="S247" i="71" l="1"/>
  <c r="Z247" i="71"/>
  <c r="Q247" i="71" s="1"/>
  <c r="P247" i="71"/>
  <c r="E248" i="71"/>
  <c r="J248" i="71" s="1"/>
  <c r="M247" i="71"/>
  <c r="L247" i="71" s="1"/>
  <c r="P233" i="69"/>
  <c r="L232" i="69"/>
  <c r="D234" i="69"/>
  <c r="D248" i="71" l="1"/>
  <c r="H248" i="71" s="1"/>
  <c r="I234" i="69"/>
  <c r="H234" i="69"/>
  <c r="K234" i="69"/>
  <c r="K248" i="71" l="1"/>
  <c r="C249" i="71" s="1"/>
  <c r="I248" i="71"/>
  <c r="C235" i="69"/>
  <c r="A234" i="69"/>
  <c r="B235" i="69"/>
  <c r="A248" i="71" l="1"/>
  <c r="B249" i="71"/>
  <c r="E249" i="71" s="1"/>
  <c r="J249" i="71" s="1"/>
  <c r="N234" i="69"/>
  <c r="Z234" i="69" s="1"/>
  <c r="M234" i="69"/>
  <c r="L233" i="69"/>
  <c r="E235" i="69"/>
  <c r="J235" i="69" s="1"/>
  <c r="N248" i="71" l="1"/>
  <c r="M248" i="71"/>
  <c r="L248" i="71" s="1"/>
  <c r="D249" i="71"/>
  <c r="I249" i="71" s="1"/>
  <c r="P234" i="69"/>
  <c r="D235" i="69"/>
  <c r="S248" i="71" l="1"/>
  <c r="Z248" i="71"/>
  <c r="Q248" i="71" s="1"/>
  <c r="P248" i="71"/>
  <c r="K249" i="71"/>
  <c r="B250" i="71" s="1"/>
  <c r="H249" i="71"/>
  <c r="I235" i="69"/>
  <c r="H235" i="69"/>
  <c r="K235" i="69"/>
  <c r="A249" i="71" l="1"/>
  <c r="C250" i="71"/>
  <c r="E250" i="71"/>
  <c r="J250" i="71" s="1"/>
  <c r="A235" i="69"/>
  <c r="C236" i="69"/>
  <c r="B236" i="69"/>
  <c r="N249" i="71" l="1"/>
  <c r="M249" i="71"/>
  <c r="L249" i="71" s="1"/>
  <c r="D250" i="71"/>
  <c r="N235" i="69"/>
  <c r="Z235" i="69" s="1"/>
  <c r="M235" i="69"/>
  <c r="E236" i="69"/>
  <c r="J236" i="69" s="1"/>
  <c r="L234" i="69"/>
  <c r="S249" i="71" l="1"/>
  <c r="Z249" i="71"/>
  <c r="Q249" i="71" s="1"/>
  <c r="P249" i="71"/>
  <c r="H250" i="71"/>
  <c r="I250" i="71"/>
  <c r="K250" i="71"/>
  <c r="P235" i="69"/>
  <c r="D236" i="69"/>
  <c r="I236" i="69" s="1"/>
  <c r="B251" i="71" l="1"/>
  <c r="C251" i="71"/>
  <c r="A250" i="71"/>
  <c r="N250" i="71" s="1"/>
  <c r="K236" i="69"/>
  <c r="C237" i="69" s="1"/>
  <c r="H236" i="69"/>
  <c r="S250" i="71" l="1"/>
  <c r="Z250" i="71"/>
  <c r="Q250" i="71" s="1"/>
  <c r="P250" i="71"/>
  <c r="M250" i="71"/>
  <c r="L250" i="71" s="1"/>
  <c r="E251" i="71"/>
  <c r="J251" i="71" s="1"/>
  <c r="A236" i="69"/>
  <c r="B237" i="69"/>
  <c r="E237" i="69" s="1"/>
  <c r="J237" i="69" s="1"/>
  <c r="D251" i="71" l="1"/>
  <c r="N236" i="69"/>
  <c r="Z236" i="69" s="1"/>
  <c r="M236" i="69"/>
  <c r="L235" i="69"/>
  <c r="D237" i="69"/>
  <c r="I251" i="71" l="1"/>
  <c r="H251" i="71"/>
  <c r="K251" i="71"/>
  <c r="P236" i="69"/>
  <c r="I237" i="69"/>
  <c r="H237" i="69"/>
  <c r="K237" i="69"/>
  <c r="C252" i="71" l="1"/>
  <c r="A251" i="71"/>
  <c r="N251" i="71" s="1"/>
  <c r="B252" i="71"/>
  <c r="C238" i="69"/>
  <c r="A237" i="69"/>
  <c r="B238" i="69"/>
  <c r="S251" i="71" l="1"/>
  <c r="Z251" i="71"/>
  <c r="P251" i="71"/>
  <c r="Q251" i="71"/>
  <c r="E252" i="71"/>
  <c r="J252" i="71" s="1"/>
  <c r="M251" i="71"/>
  <c r="L251" i="71" s="1"/>
  <c r="N237" i="69"/>
  <c r="Z237" i="69" s="1"/>
  <c r="M237" i="69"/>
  <c r="E238" i="69"/>
  <c r="J238" i="69" s="1"/>
  <c r="L236" i="69"/>
  <c r="D252" i="71" l="1"/>
  <c r="I252" i="71" s="1"/>
  <c r="P237" i="69"/>
  <c r="D238" i="69"/>
  <c r="K252" i="71" l="1"/>
  <c r="C253" i="71" s="1"/>
  <c r="H252" i="71"/>
  <c r="I238" i="69"/>
  <c r="H238" i="69"/>
  <c r="K238" i="69"/>
  <c r="B253" i="71" l="1"/>
  <c r="E253" i="71" s="1"/>
  <c r="J253" i="71" s="1"/>
  <c r="A252" i="71"/>
  <c r="C239" i="69"/>
  <c r="A238" i="69"/>
  <c r="B239" i="69"/>
  <c r="M252" i="71" l="1"/>
  <c r="L252" i="71" s="1"/>
  <c r="N252" i="71"/>
  <c r="D253" i="71"/>
  <c r="K253" i="71" s="1"/>
  <c r="C254" i="71" s="1"/>
  <c r="N238" i="69"/>
  <c r="Z238" i="69" s="1"/>
  <c r="M238" i="69"/>
  <c r="E239" i="69"/>
  <c r="J239" i="69" s="1"/>
  <c r="L237" i="69"/>
  <c r="S252" i="71" l="1"/>
  <c r="Z252" i="71"/>
  <c r="P252" i="71"/>
  <c r="Q252" i="71"/>
  <c r="I253" i="71"/>
  <c r="H253" i="71"/>
  <c r="A253" i="71"/>
  <c r="B254" i="71"/>
  <c r="E254" i="71" s="1"/>
  <c r="J254" i="71" s="1"/>
  <c r="P238" i="69"/>
  <c r="D239" i="69"/>
  <c r="I239" i="69" s="1"/>
  <c r="N253" i="71" l="1"/>
  <c r="M253" i="71"/>
  <c r="L253" i="71" s="1"/>
  <c r="D254" i="71"/>
  <c r="K254" i="71" s="1"/>
  <c r="B255" i="71" s="1"/>
  <c r="K239" i="69"/>
  <c r="C240" i="69" s="1"/>
  <c r="H239" i="69"/>
  <c r="L238" i="69"/>
  <c r="S253" i="71" l="1"/>
  <c r="Z253" i="71"/>
  <c r="Q253" i="71" s="1"/>
  <c r="P253" i="71"/>
  <c r="I254" i="71"/>
  <c r="H254" i="71"/>
  <c r="A254" i="71"/>
  <c r="C255" i="71"/>
  <c r="E255" i="71"/>
  <c r="J255" i="71" s="1"/>
  <c r="A239" i="69"/>
  <c r="B240" i="69"/>
  <c r="E240" i="69" s="1"/>
  <c r="J240" i="69" s="1"/>
  <c r="N254" i="71" l="1"/>
  <c r="M254" i="71"/>
  <c r="L254" i="71" s="1"/>
  <c r="D255" i="71"/>
  <c r="N239" i="69"/>
  <c r="Z239" i="69" s="1"/>
  <c r="M239" i="69"/>
  <c r="D240" i="69"/>
  <c r="H240" i="69" s="1"/>
  <c r="S254" i="71" l="1"/>
  <c r="Z254" i="71"/>
  <c r="P254" i="71"/>
  <c r="Q254" i="71"/>
  <c r="I255" i="71"/>
  <c r="H255" i="71"/>
  <c r="K255" i="71"/>
  <c r="P239" i="69"/>
  <c r="K240" i="69"/>
  <c r="A240" i="69" s="1"/>
  <c r="I240" i="69"/>
  <c r="C256" i="71" l="1"/>
  <c r="A255" i="71"/>
  <c r="N255" i="71" s="1"/>
  <c r="B256" i="71"/>
  <c r="C241" i="69"/>
  <c r="B241" i="69"/>
  <c r="E241" i="69" s="1"/>
  <c r="J241" i="69" s="1"/>
  <c r="N240" i="69"/>
  <c r="Z240" i="69" s="1"/>
  <c r="M240" i="69"/>
  <c r="L239" i="69"/>
  <c r="S255" i="71" l="1"/>
  <c r="Z255" i="71"/>
  <c r="Q255" i="71" s="1"/>
  <c r="P255" i="71"/>
  <c r="M255" i="71"/>
  <c r="L255" i="71" s="1"/>
  <c r="E256" i="71"/>
  <c r="J256" i="71" s="1"/>
  <c r="P240" i="69"/>
  <c r="D241" i="69"/>
  <c r="D256" i="71" l="1"/>
  <c r="I256" i="71" s="1"/>
  <c r="L240" i="69"/>
  <c r="I241" i="69"/>
  <c r="H241" i="69"/>
  <c r="K241" i="69"/>
  <c r="K256" i="71" l="1"/>
  <c r="C257" i="71" s="1"/>
  <c r="H256" i="71"/>
  <c r="C242" i="69"/>
  <c r="A241" i="69"/>
  <c r="B242" i="69"/>
  <c r="B257" i="71" l="1"/>
  <c r="E257" i="71" s="1"/>
  <c r="J257" i="71" s="1"/>
  <c r="A256" i="71"/>
  <c r="N241" i="69"/>
  <c r="Z241" i="69" s="1"/>
  <c r="M241" i="69"/>
  <c r="E242" i="69"/>
  <c r="J242" i="69" s="1"/>
  <c r="N256" i="71" l="1"/>
  <c r="M256" i="71"/>
  <c r="L256" i="71" s="1"/>
  <c r="D257" i="71"/>
  <c r="I257" i="71" s="1"/>
  <c r="P241" i="69"/>
  <c r="D242" i="69"/>
  <c r="S256" i="71" l="1"/>
  <c r="Z256" i="71"/>
  <c r="Q256" i="71" s="1"/>
  <c r="P256" i="71"/>
  <c r="K257" i="71"/>
  <c r="C258" i="71" s="1"/>
  <c r="H257" i="71"/>
  <c r="L241" i="69"/>
  <c r="I242" i="69"/>
  <c r="H242" i="69"/>
  <c r="K242" i="69"/>
  <c r="B258" i="71" l="1"/>
  <c r="E258" i="71" s="1"/>
  <c r="J258" i="71" s="1"/>
  <c r="A257" i="71"/>
  <c r="C243" i="69"/>
  <c r="A242" i="69"/>
  <c r="B243" i="69"/>
  <c r="N257" i="71" l="1"/>
  <c r="M257" i="71"/>
  <c r="L257" i="71" s="1"/>
  <c r="D258" i="71"/>
  <c r="K258" i="71" s="1"/>
  <c r="C259" i="71" s="1"/>
  <c r="N242" i="69"/>
  <c r="Z242" i="69" s="1"/>
  <c r="M242" i="69"/>
  <c r="E243" i="69"/>
  <c r="J243" i="69" s="1"/>
  <c r="S257" i="71" l="1"/>
  <c r="Z257" i="71"/>
  <c r="Q257" i="71" s="1"/>
  <c r="P257" i="71"/>
  <c r="B259" i="71"/>
  <c r="E259" i="71" s="1"/>
  <c r="J259" i="71" s="1"/>
  <c r="A258" i="71"/>
  <c r="I258" i="71"/>
  <c r="H258" i="71"/>
  <c r="P242" i="69"/>
  <c r="D243" i="69"/>
  <c r="M258" i="71" l="1"/>
  <c r="L258" i="71" s="1"/>
  <c r="N258" i="71"/>
  <c r="D259" i="71"/>
  <c r="I243" i="69"/>
  <c r="H243" i="69"/>
  <c r="K243" i="69"/>
  <c r="L242" i="69"/>
  <c r="S258" i="71" l="1"/>
  <c r="Z258" i="71"/>
  <c r="Q258" i="71" s="1"/>
  <c r="P258" i="71"/>
  <c r="I259" i="71"/>
  <c r="H259" i="71"/>
  <c r="K259" i="71"/>
  <c r="C244" i="69"/>
  <c r="B244" i="69"/>
  <c r="A243" i="69"/>
  <c r="C260" i="71" l="1"/>
  <c r="A259" i="71"/>
  <c r="N259" i="71" s="1"/>
  <c r="B260" i="71"/>
  <c r="N243" i="69"/>
  <c r="Z243" i="69" s="1"/>
  <c r="M243" i="69"/>
  <c r="E244" i="69"/>
  <c r="J244" i="69" s="1"/>
  <c r="S259" i="71" l="1"/>
  <c r="Z259" i="71"/>
  <c r="P259" i="71"/>
  <c r="Q259" i="71"/>
  <c r="E260" i="71"/>
  <c r="J260" i="71" s="1"/>
  <c r="M259" i="71"/>
  <c r="L259" i="71" s="1"/>
  <c r="P243" i="69"/>
  <c r="D244" i="69"/>
  <c r="K244" i="69" s="1"/>
  <c r="D260" i="71" l="1"/>
  <c r="I260" i="71" s="1"/>
  <c r="H244" i="69"/>
  <c r="I244" i="69"/>
  <c r="C245" i="69"/>
  <c r="A244" i="69"/>
  <c r="B245" i="69"/>
  <c r="L243" i="69"/>
  <c r="K260" i="71" l="1"/>
  <c r="C261" i="71" s="1"/>
  <c r="H260" i="71"/>
  <c r="N244" i="69"/>
  <c r="Z244" i="69" s="1"/>
  <c r="M244" i="69"/>
  <c r="E245" i="69"/>
  <c r="J245" i="69" s="1"/>
  <c r="A260" i="71" l="1"/>
  <c r="B261" i="71"/>
  <c r="E261" i="71" s="1"/>
  <c r="J261" i="71" s="1"/>
  <c r="P244" i="69"/>
  <c r="D245" i="69"/>
  <c r="N260" i="71" l="1"/>
  <c r="M260" i="71"/>
  <c r="L260" i="71" s="1"/>
  <c r="D261" i="71"/>
  <c r="I261" i="71" s="1"/>
  <c r="I245" i="69"/>
  <c r="H245" i="69"/>
  <c r="K245" i="69"/>
  <c r="S260" i="71" l="1"/>
  <c r="Z260" i="71"/>
  <c r="Q260" i="71" s="1"/>
  <c r="P260" i="71"/>
  <c r="K261" i="71"/>
  <c r="B262" i="71" s="1"/>
  <c r="H261" i="71"/>
  <c r="C246" i="69"/>
  <c r="A245" i="69"/>
  <c r="B246" i="69"/>
  <c r="L244" i="69"/>
  <c r="A261" i="71" l="1"/>
  <c r="C262" i="71"/>
  <c r="E262" i="71"/>
  <c r="J262" i="71" s="1"/>
  <c r="N245" i="69"/>
  <c r="Z245" i="69" s="1"/>
  <c r="M245" i="69"/>
  <c r="E246" i="69"/>
  <c r="J246" i="69" s="1"/>
  <c r="M261" i="71" l="1"/>
  <c r="L261" i="71" s="1"/>
  <c r="N261" i="71"/>
  <c r="D262" i="71"/>
  <c r="H262" i="71" s="1"/>
  <c r="P245" i="69"/>
  <c r="D246" i="69"/>
  <c r="S261" i="71" l="1"/>
  <c r="Z261" i="71"/>
  <c r="Q261" i="71" s="1"/>
  <c r="P261" i="71"/>
  <c r="K262" i="71"/>
  <c r="B263" i="71" s="1"/>
  <c r="I262" i="71"/>
  <c r="I246" i="69"/>
  <c r="H246" i="69"/>
  <c r="K246" i="69"/>
  <c r="C263" i="71" l="1"/>
  <c r="A262" i="71"/>
  <c r="E263" i="71"/>
  <c r="J263" i="71" s="1"/>
  <c r="C247" i="69"/>
  <c r="A246" i="69"/>
  <c r="B247" i="69"/>
  <c r="L245" i="69"/>
  <c r="N262" i="71" l="1"/>
  <c r="M262" i="71"/>
  <c r="L262" i="71" s="1"/>
  <c r="D263" i="71"/>
  <c r="N246" i="69"/>
  <c r="Z246" i="69" s="1"/>
  <c r="M246" i="69"/>
  <c r="E247" i="69"/>
  <c r="J247" i="69" s="1"/>
  <c r="S262" i="71" l="1"/>
  <c r="Z262" i="71"/>
  <c r="Q262" i="71" s="1"/>
  <c r="P262" i="71"/>
  <c r="I263" i="71"/>
  <c r="H263" i="71"/>
  <c r="K263" i="71"/>
  <c r="P246" i="69"/>
  <c r="D247" i="69"/>
  <c r="I247" i="69" s="1"/>
  <c r="C264" i="71" l="1"/>
  <c r="A263" i="71"/>
  <c r="N263" i="71" s="1"/>
  <c r="B264" i="71"/>
  <c r="K247" i="69"/>
  <c r="C248" i="69" s="1"/>
  <c r="H247" i="69"/>
  <c r="L246" i="69"/>
  <c r="S263" i="71" l="1"/>
  <c r="Z263" i="71"/>
  <c r="Q263" i="71" s="1"/>
  <c r="P263" i="71"/>
  <c r="E264" i="71"/>
  <c r="J264" i="71" s="1"/>
  <c r="M263" i="71"/>
  <c r="L263" i="71" s="1"/>
  <c r="A247" i="69"/>
  <c r="B248" i="69"/>
  <c r="E248" i="69" s="1"/>
  <c r="J248" i="69" s="1"/>
  <c r="D264" i="71" l="1"/>
  <c r="I264" i="71" s="1"/>
  <c r="N247" i="69"/>
  <c r="Z247" i="69" s="1"/>
  <c r="M247" i="69"/>
  <c r="D248" i="69"/>
  <c r="K264" i="71" l="1"/>
  <c r="B265" i="71" s="1"/>
  <c r="H264" i="71"/>
  <c r="P247" i="69"/>
  <c r="L247" i="69"/>
  <c r="I248" i="69"/>
  <c r="H248" i="69"/>
  <c r="K248" i="69"/>
  <c r="C265" i="71" l="1"/>
  <c r="A264" i="71"/>
  <c r="E265" i="71"/>
  <c r="J265" i="71" s="1"/>
  <c r="C249" i="69"/>
  <c r="A248" i="69"/>
  <c r="B249" i="69"/>
  <c r="N264" i="71" l="1"/>
  <c r="M264" i="71"/>
  <c r="L264" i="71" s="1"/>
  <c r="D265" i="71"/>
  <c r="N248" i="69"/>
  <c r="Z248" i="69" s="1"/>
  <c r="M248" i="69"/>
  <c r="E249" i="69"/>
  <c r="J249" i="69" s="1"/>
  <c r="S264" i="71" l="1"/>
  <c r="Z264" i="71"/>
  <c r="Q264" i="71" s="1"/>
  <c r="P264" i="71"/>
  <c r="I265" i="71"/>
  <c r="H265" i="71"/>
  <c r="K265" i="71"/>
  <c r="P248" i="69"/>
  <c r="D249" i="69"/>
  <c r="C266" i="71" l="1"/>
  <c r="A265" i="71"/>
  <c r="N265" i="71" s="1"/>
  <c r="B266" i="71"/>
  <c r="I249" i="69"/>
  <c r="H249" i="69"/>
  <c r="K249" i="69"/>
  <c r="L248" i="69"/>
  <c r="S265" i="71" l="1"/>
  <c r="Z265" i="71"/>
  <c r="Q265" i="71" s="1"/>
  <c r="P265" i="71"/>
  <c r="E266" i="71"/>
  <c r="J266" i="71" s="1"/>
  <c r="M265" i="71"/>
  <c r="L265" i="71" s="1"/>
  <c r="C250" i="69"/>
  <c r="A249" i="69"/>
  <c r="B250" i="69"/>
  <c r="D266" i="71" l="1"/>
  <c r="H266" i="71" s="1"/>
  <c r="N249" i="69"/>
  <c r="Z249" i="69" s="1"/>
  <c r="M249" i="69"/>
  <c r="E250" i="69"/>
  <c r="J250" i="69" s="1"/>
  <c r="I266" i="71" l="1"/>
  <c r="K266" i="71"/>
  <c r="B267" i="71" s="1"/>
  <c r="P249" i="69"/>
  <c r="D250" i="69"/>
  <c r="I250" i="69" s="1"/>
  <c r="C267" i="71" l="1"/>
  <c r="A266" i="71"/>
  <c r="E267" i="71"/>
  <c r="J267" i="71" s="1"/>
  <c r="K250" i="69"/>
  <c r="C251" i="69" s="1"/>
  <c r="H250" i="69"/>
  <c r="L249" i="69"/>
  <c r="N266" i="71" l="1"/>
  <c r="M266" i="71"/>
  <c r="L266" i="71" s="1"/>
  <c r="D267" i="71"/>
  <c r="A250" i="69"/>
  <c r="B251" i="69"/>
  <c r="E251" i="69" s="1"/>
  <c r="J251" i="69" s="1"/>
  <c r="S266" i="71" l="1"/>
  <c r="Z266" i="71"/>
  <c r="Q266" i="71" s="1"/>
  <c r="P266" i="71"/>
  <c r="I267" i="71"/>
  <c r="H267" i="71"/>
  <c r="K267" i="71"/>
  <c r="N250" i="69"/>
  <c r="Z250" i="69" s="1"/>
  <c r="M250" i="69"/>
  <c r="D251" i="69"/>
  <c r="H251" i="69" s="1"/>
  <c r="C268" i="71" l="1"/>
  <c r="A267" i="71"/>
  <c r="N267" i="71" s="1"/>
  <c r="B268" i="71"/>
  <c r="P250" i="69"/>
  <c r="K251" i="69"/>
  <c r="C252" i="69" s="1"/>
  <c r="I251" i="69"/>
  <c r="L250" i="69"/>
  <c r="S267" i="71" l="1"/>
  <c r="Z267" i="71"/>
  <c r="Q267" i="71" s="1"/>
  <c r="P267" i="71"/>
  <c r="M267" i="71"/>
  <c r="L267" i="71" s="1"/>
  <c r="E268" i="71"/>
  <c r="J268" i="71" s="1"/>
  <c r="A251" i="69"/>
  <c r="B252" i="69"/>
  <c r="E252" i="69" s="1"/>
  <c r="J252" i="69" s="1"/>
  <c r="D268" i="71" l="1"/>
  <c r="K268" i="71" s="1"/>
  <c r="B269" i="71" s="1"/>
  <c r="N251" i="69"/>
  <c r="Z251" i="69" s="1"/>
  <c r="M251" i="69"/>
  <c r="D252" i="69"/>
  <c r="A268" i="71" l="1"/>
  <c r="C269" i="71"/>
  <c r="I268" i="71"/>
  <c r="H268" i="71"/>
  <c r="E269" i="71"/>
  <c r="J269" i="71" s="1"/>
  <c r="P251" i="69"/>
  <c r="H252" i="69"/>
  <c r="I252" i="69"/>
  <c r="K252" i="69"/>
  <c r="M268" i="71" l="1"/>
  <c r="L268" i="71" s="1"/>
  <c r="N268" i="71"/>
  <c r="D269" i="71"/>
  <c r="B253" i="69"/>
  <c r="C253" i="69"/>
  <c r="A252" i="69"/>
  <c r="L251" i="69"/>
  <c r="S268" i="71" l="1"/>
  <c r="Z268" i="71"/>
  <c r="P268" i="71"/>
  <c r="Q268" i="71"/>
  <c r="I269" i="71"/>
  <c r="H269" i="71"/>
  <c r="K269" i="71"/>
  <c r="N252" i="69"/>
  <c r="Z252" i="69" s="1"/>
  <c r="M252" i="69"/>
  <c r="E253" i="69"/>
  <c r="J253" i="69" s="1"/>
  <c r="A269" i="71" l="1"/>
  <c r="N269" i="71" s="1"/>
  <c r="C270" i="71"/>
  <c r="B270" i="71"/>
  <c r="P252" i="69"/>
  <c r="D253" i="69"/>
  <c r="H253" i="69" s="1"/>
  <c r="S269" i="71" l="1"/>
  <c r="Z269" i="71"/>
  <c r="P269" i="71"/>
  <c r="Q269" i="71"/>
  <c r="E270" i="71"/>
  <c r="J270" i="71" s="1"/>
  <c r="M269" i="71"/>
  <c r="L269" i="71" s="1"/>
  <c r="I253" i="69"/>
  <c r="K253" i="69"/>
  <c r="C254" i="69" s="1"/>
  <c r="D270" i="71" l="1"/>
  <c r="B254" i="69"/>
  <c r="E254" i="69" s="1"/>
  <c r="J254" i="69" s="1"/>
  <c r="A253" i="69"/>
  <c r="L252" i="69"/>
  <c r="H270" i="71" l="1"/>
  <c r="I270" i="71"/>
  <c r="K270" i="71"/>
  <c r="N253" i="69"/>
  <c r="Z253" i="69" s="1"/>
  <c r="M253" i="69"/>
  <c r="D254" i="69"/>
  <c r="K254" i="69" s="1"/>
  <c r="B255" i="69" s="1"/>
  <c r="B271" i="71" l="1"/>
  <c r="C271" i="71"/>
  <c r="A270" i="71"/>
  <c r="N270" i="71" s="1"/>
  <c r="P253" i="69"/>
  <c r="I254" i="69"/>
  <c r="C255" i="69"/>
  <c r="H254" i="69"/>
  <c r="A254" i="69"/>
  <c r="E255" i="69"/>
  <c r="J255" i="69" s="1"/>
  <c r="S270" i="71" l="1"/>
  <c r="Z270" i="71"/>
  <c r="P270" i="71"/>
  <c r="Q270" i="71"/>
  <c r="M270" i="71"/>
  <c r="L270" i="71" s="1"/>
  <c r="E271" i="71"/>
  <c r="J271" i="71" s="1"/>
  <c r="N254" i="69"/>
  <c r="Z254" i="69" s="1"/>
  <c r="M254" i="69"/>
  <c r="D255" i="69"/>
  <c r="I255" i="69" s="1"/>
  <c r="L253" i="69"/>
  <c r="D271" i="71" l="1"/>
  <c r="P254" i="69"/>
  <c r="K255" i="69"/>
  <c r="A255" i="69" s="1"/>
  <c r="H255" i="69"/>
  <c r="I271" i="71" l="1"/>
  <c r="H271" i="71"/>
  <c r="K271" i="71"/>
  <c r="C256" i="69"/>
  <c r="B256" i="69"/>
  <c r="E256" i="69" s="1"/>
  <c r="J256" i="69" s="1"/>
  <c r="N255" i="69"/>
  <c r="Z255" i="69" s="1"/>
  <c r="M255" i="69"/>
  <c r="C272" i="71" l="1"/>
  <c r="A271" i="71"/>
  <c r="N271" i="71" s="1"/>
  <c r="B272" i="71"/>
  <c r="P255" i="69"/>
  <c r="D256" i="69"/>
  <c r="S271" i="71" l="1"/>
  <c r="Z271" i="71"/>
  <c r="Q271" i="71" s="1"/>
  <c r="P271" i="71"/>
  <c r="E272" i="71"/>
  <c r="J272" i="71" s="1"/>
  <c r="M271" i="71"/>
  <c r="L271" i="71" s="1"/>
  <c r="H256" i="69"/>
  <c r="I256" i="69"/>
  <c r="K256" i="69"/>
  <c r="L254" i="69"/>
  <c r="D272" i="71" l="1"/>
  <c r="H272" i="71" s="1"/>
  <c r="B257" i="69"/>
  <c r="C257" i="69"/>
  <c r="A256" i="69"/>
  <c r="K272" i="71" l="1"/>
  <c r="B273" i="71" s="1"/>
  <c r="I272" i="71"/>
  <c r="N256" i="69"/>
  <c r="Z256" i="69" s="1"/>
  <c r="M256" i="69"/>
  <c r="E257" i="69"/>
  <c r="J257" i="69" s="1"/>
  <c r="C273" i="71" l="1"/>
  <c r="A272" i="71"/>
  <c r="E273" i="71"/>
  <c r="J273" i="71" s="1"/>
  <c r="P256" i="69"/>
  <c r="D257" i="69"/>
  <c r="M272" i="71" l="1"/>
  <c r="L272" i="71" s="1"/>
  <c r="N272" i="71"/>
  <c r="D273" i="71"/>
  <c r="I273" i="71" s="1"/>
  <c r="L255" i="69"/>
  <c r="I257" i="69"/>
  <c r="H257" i="69"/>
  <c r="K257" i="69"/>
  <c r="S272" i="71" l="1"/>
  <c r="Z272" i="71"/>
  <c r="Q272" i="71" s="1"/>
  <c r="P272" i="71"/>
  <c r="K273" i="71"/>
  <c r="B274" i="71" s="1"/>
  <c r="H273" i="71"/>
  <c r="C258" i="69"/>
  <c r="A257" i="69"/>
  <c r="B258" i="69"/>
  <c r="A273" i="71" l="1"/>
  <c r="C274" i="71"/>
  <c r="E274" i="71"/>
  <c r="J274" i="71" s="1"/>
  <c r="N257" i="69"/>
  <c r="Z257" i="69" s="1"/>
  <c r="M257" i="69"/>
  <c r="E258" i="69"/>
  <c r="J258" i="69" s="1"/>
  <c r="N273" i="71" l="1"/>
  <c r="M273" i="71"/>
  <c r="L273" i="71" s="1"/>
  <c r="D274" i="71"/>
  <c r="P257" i="69"/>
  <c r="D258" i="69"/>
  <c r="H258" i="69" s="1"/>
  <c r="S273" i="71" l="1"/>
  <c r="Z273" i="71"/>
  <c r="Q273" i="71" s="1"/>
  <c r="P273" i="71"/>
  <c r="H274" i="71"/>
  <c r="I274" i="71"/>
  <c r="K274" i="71"/>
  <c r="I258" i="69"/>
  <c r="K258" i="69"/>
  <c r="B259" i="69" s="1"/>
  <c r="L256" i="69"/>
  <c r="B275" i="71" l="1"/>
  <c r="A274" i="71"/>
  <c r="N274" i="71" s="1"/>
  <c r="C275" i="71"/>
  <c r="C259" i="69"/>
  <c r="A258" i="69"/>
  <c r="E259" i="69"/>
  <c r="J259" i="69" s="1"/>
  <c r="S274" i="71" l="1"/>
  <c r="Z274" i="71"/>
  <c r="Q274" i="71" s="1"/>
  <c r="P274" i="71"/>
  <c r="M274" i="71"/>
  <c r="L274" i="71" s="1"/>
  <c r="E275" i="71"/>
  <c r="J275" i="71" s="1"/>
  <c r="N258" i="69"/>
  <c r="Z258" i="69" s="1"/>
  <c r="M258" i="69"/>
  <c r="D259" i="69"/>
  <c r="D275" i="71" l="1"/>
  <c r="I275" i="71" s="1"/>
  <c r="P258" i="69"/>
  <c r="I259" i="69"/>
  <c r="H259" i="69"/>
  <c r="K259" i="69"/>
  <c r="L257" i="69"/>
  <c r="K275" i="71" l="1"/>
  <c r="C276" i="71" s="1"/>
  <c r="H275" i="71"/>
  <c r="C260" i="69"/>
  <c r="A259" i="69"/>
  <c r="B260" i="69"/>
  <c r="B276" i="71" l="1"/>
  <c r="E276" i="71" s="1"/>
  <c r="J276" i="71" s="1"/>
  <c r="A275" i="71"/>
  <c r="N259" i="69"/>
  <c r="Z259" i="69" s="1"/>
  <c r="M259" i="69"/>
  <c r="E260" i="69"/>
  <c r="J260" i="69" s="1"/>
  <c r="N275" i="71" l="1"/>
  <c r="D276" i="71"/>
  <c r="H276" i="71" s="1"/>
  <c r="M275" i="71"/>
  <c r="L275" i="71" s="1"/>
  <c r="P259" i="69"/>
  <c r="D260" i="69"/>
  <c r="S275" i="71" l="1"/>
  <c r="Z275" i="71"/>
  <c r="Q275" i="71" s="1"/>
  <c r="P275" i="71"/>
  <c r="K276" i="71"/>
  <c r="C277" i="71" s="1"/>
  <c r="I276" i="71"/>
  <c r="L258" i="69"/>
  <c r="H260" i="69"/>
  <c r="I260" i="69"/>
  <c r="K260" i="69"/>
  <c r="A276" i="71" l="1"/>
  <c r="B277" i="71"/>
  <c r="E277" i="71" s="1"/>
  <c r="J277" i="71" s="1"/>
  <c r="B261" i="69"/>
  <c r="C261" i="69"/>
  <c r="A260" i="69"/>
  <c r="N276" i="71" l="1"/>
  <c r="M276" i="71"/>
  <c r="L276" i="71" s="1"/>
  <c r="D277" i="71"/>
  <c r="N260" i="69"/>
  <c r="Z260" i="69" s="1"/>
  <c r="M260" i="69"/>
  <c r="E261" i="69"/>
  <c r="J261" i="69" s="1"/>
  <c r="S276" i="71" l="1"/>
  <c r="Z276" i="71"/>
  <c r="Q276" i="71" s="1"/>
  <c r="P276" i="71"/>
  <c r="I277" i="71"/>
  <c r="H277" i="71"/>
  <c r="K277" i="71"/>
  <c r="P260" i="69"/>
  <c r="L259" i="69"/>
  <c r="D261" i="69"/>
  <c r="C278" i="71" l="1"/>
  <c r="B278" i="71"/>
  <c r="A277" i="71"/>
  <c r="N277" i="71" s="1"/>
  <c r="I261" i="69"/>
  <c r="H261" i="69"/>
  <c r="K261" i="69"/>
  <c r="S277" i="71" l="1"/>
  <c r="Z277" i="71"/>
  <c r="Q277" i="71" s="1"/>
  <c r="P277" i="71"/>
  <c r="M277" i="71"/>
  <c r="L277" i="71" s="1"/>
  <c r="E278" i="71"/>
  <c r="J278" i="71" s="1"/>
  <c r="C262" i="69"/>
  <c r="A261" i="69"/>
  <c r="B262" i="69"/>
  <c r="D278" i="71" l="1"/>
  <c r="H278" i="71" s="1"/>
  <c r="N261" i="69"/>
  <c r="Z261" i="69" s="1"/>
  <c r="M261" i="69"/>
  <c r="E262" i="69"/>
  <c r="J262" i="69" s="1"/>
  <c r="L260" i="69"/>
  <c r="K278" i="71" l="1"/>
  <c r="B279" i="71" s="1"/>
  <c r="I278" i="71"/>
  <c r="P261" i="69"/>
  <c r="D262" i="69"/>
  <c r="H262" i="69" s="1"/>
  <c r="A278" i="71" l="1"/>
  <c r="C279" i="71"/>
  <c r="E279" i="71"/>
  <c r="J279" i="71" s="1"/>
  <c r="I262" i="69"/>
  <c r="K262" i="69"/>
  <c r="C263" i="69" s="1"/>
  <c r="L261" i="69"/>
  <c r="N278" i="71" l="1"/>
  <c r="M278" i="71"/>
  <c r="L278" i="71" s="1"/>
  <c r="D279" i="71"/>
  <c r="B263" i="69"/>
  <c r="E263" i="69" s="1"/>
  <c r="J263" i="69" s="1"/>
  <c r="A262" i="69"/>
  <c r="S278" i="71" l="1"/>
  <c r="Z278" i="71"/>
  <c r="Q278" i="71" s="1"/>
  <c r="P278" i="71"/>
  <c r="I279" i="71"/>
  <c r="H279" i="71"/>
  <c r="K279" i="71"/>
  <c r="N262" i="69"/>
  <c r="Z262" i="69" s="1"/>
  <c r="M262" i="69"/>
  <c r="D263" i="69"/>
  <c r="I263" i="69" s="1"/>
  <c r="C280" i="71" l="1"/>
  <c r="A279" i="71"/>
  <c r="N279" i="71" s="1"/>
  <c r="B280" i="71"/>
  <c r="P262" i="69"/>
  <c r="K263" i="69"/>
  <c r="C264" i="69" s="1"/>
  <c r="H263" i="69"/>
  <c r="S279" i="71" l="1"/>
  <c r="Z279" i="71"/>
  <c r="Q279" i="71" s="1"/>
  <c r="P279" i="71"/>
  <c r="E280" i="71"/>
  <c r="J280" i="71" s="1"/>
  <c r="M279" i="71"/>
  <c r="L279" i="71" s="1"/>
  <c r="B264" i="69"/>
  <c r="E264" i="69" s="1"/>
  <c r="J264" i="69" s="1"/>
  <c r="A263" i="69"/>
  <c r="L262" i="69"/>
  <c r="D280" i="71" l="1"/>
  <c r="H280" i="71" s="1"/>
  <c r="N263" i="69"/>
  <c r="Z263" i="69" s="1"/>
  <c r="M263" i="69"/>
  <c r="D264" i="69"/>
  <c r="K280" i="71" l="1"/>
  <c r="B281" i="71" s="1"/>
  <c r="I280" i="71"/>
  <c r="P263" i="69"/>
  <c r="H264" i="69"/>
  <c r="I264" i="69"/>
  <c r="K264" i="69"/>
  <c r="C281" i="71" l="1"/>
  <c r="A280" i="71"/>
  <c r="E281" i="71"/>
  <c r="J281" i="71" s="1"/>
  <c r="B265" i="69"/>
  <c r="C265" i="69"/>
  <c r="A264" i="69"/>
  <c r="M280" i="71" l="1"/>
  <c r="L280" i="71" s="1"/>
  <c r="N280" i="71"/>
  <c r="D281" i="71"/>
  <c r="N264" i="69"/>
  <c r="Z264" i="69" s="1"/>
  <c r="M264" i="69"/>
  <c r="L263" i="69"/>
  <c r="E265" i="69"/>
  <c r="J265" i="69" s="1"/>
  <c r="S280" i="71" l="1"/>
  <c r="Z280" i="71"/>
  <c r="P280" i="71"/>
  <c r="Q280" i="71"/>
  <c r="I281" i="71"/>
  <c r="H281" i="71"/>
  <c r="K281" i="71"/>
  <c r="P264" i="69"/>
  <c r="D265" i="69"/>
  <c r="B282" i="71" l="1"/>
  <c r="C282" i="71"/>
  <c r="A281" i="71"/>
  <c r="N281" i="71" s="1"/>
  <c r="I265" i="69"/>
  <c r="H265" i="69"/>
  <c r="K265" i="69"/>
  <c r="S281" i="71" l="1"/>
  <c r="Z281" i="71"/>
  <c r="Q281" i="71" s="1"/>
  <c r="P281" i="71"/>
  <c r="M281" i="71"/>
  <c r="L281" i="71" s="1"/>
  <c r="E282" i="71"/>
  <c r="J282" i="71" s="1"/>
  <c r="C266" i="69"/>
  <c r="A265" i="69"/>
  <c r="B266" i="69"/>
  <c r="L264" i="69"/>
  <c r="D282" i="71" l="1"/>
  <c r="N265" i="69"/>
  <c r="Z265" i="69" s="1"/>
  <c r="M265" i="69"/>
  <c r="E266" i="69"/>
  <c r="J266" i="69" s="1"/>
  <c r="H282" i="71" l="1"/>
  <c r="I282" i="71"/>
  <c r="K282" i="71"/>
  <c r="P265" i="69"/>
  <c r="D266" i="69"/>
  <c r="L265" i="69"/>
  <c r="B283" i="71" l="1"/>
  <c r="C283" i="71"/>
  <c r="A282" i="71"/>
  <c r="N282" i="71" s="1"/>
  <c r="H266" i="69"/>
  <c r="I266" i="69"/>
  <c r="K266" i="69"/>
  <c r="S282" i="71" l="1"/>
  <c r="Z282" i="71"/>
  <c r="Q282" i="71" s="1"/>
  <c r="P282" i="71"/>
  <c r="M282" i="71"/>
  <c r="L282" i="71" s="1"/>
  <c r="E283" i="71"/>
  <c r="J283" i="71" s="1"/>
  <c r="B267" i="69"/>
  <c r="A266" i="69"/>
  <c r="C267" i="69"/>
  <c r="D283" i="71" l="1"/>
  <c r="N266" i="69"/>
  <c r="Z266" i="69" s="1"/>
  <c r="M266" i="69"/>
  <c r="E267" i="69"/>
  <c r="J267" i="69" s="1"/>
  <c r="I283" i="71" l="1"/>
  <c r="H283" i="71"/>
  <c r="K283" i="71"/>
  <c r="P266" i="69"/>
  <c r="L266" i="69"/>
  <c r="D267" i="69"/>
  <c r="C284" i="71" l="1"/>
  <c r="A283" i="71"/>
  <c r="N283" i="71" s="1"/>
  <c r="B284" i="71"/>
  <c r="I267" i="69"/>
  <c r="H267" i="69"/>
  <c r="K267" i="69"/>
  <c r="S283" i="71" l="1"/>
  <c r="Z283" i="71"/>
  <c r="Q283" i="71" s="1"/>
  <c r="P283" i="71"/>
  <c r="E284" i="71"/>
  <c r="J284" i="71" s="1"/>
  <c r="M283" i="71"/>
  <c r="L283" i="71" s="1"/>
  <c r="C268" i="69"/>
  <c r="A267" i="69"/>
  <c r="B268" i="69"/>
  <c r="D284" i="71" l="1"/>
  <c r="H284" i="71" s="1"/>
  <c r="N267" i="69"/>
  <c r="Z267" i="69" s="1"/>
  <c r="M267" i="69"/>
  <c r="E268" i="69"/>
  <c r="J268" i="69" s="1"/>
  <c r="K284" i="71" l="1"/>
  <c r="B285" i="71" s="1"/>
  <c r="I284" i="71"/>
  <c r="P267" i="69"/>
  <c r="L267" i="69"/>
  <c r="D268" i="69"/>
  <c r="A284" i="71" l="1"/>
  <c r="C285" i="71"/>
  <c r="E285" i="71"/>
  <c r="J285" i="71" s="1"/>
  <c r="H268" i="69"/>
  <c r="I268" i="69"/>
  <c r="K268" i="69"/>
  <c r="M284" i="71" l="1"/>
  <c r="L284" i="71" s="1"/>
  <c r="N284" i="71"/>
  <c r="D285" i="71"/>
  <c r="B269" i="69"/>
  <c r="C269" i="69"/>
  <c r="A268" i="69"/>
  <c r="S284" i="71" l="1"/>
  <c r="Z284" i="71"/>
  <c r="P284" i="71"/>
  <c r="Q284" i="71"/>
  <c r="H285" i="71"/>
  <c r="I285" i="71"/>
  <c r="K285" i="71"/>
  <c r="N268" i="69"/>
  <c r="Z268" i="69" s="1"/>
  <c r="M268" i="69"/>
  <c r="E269" i="69"/>
  <c r="J269" i="69" s="1"/>
  <c r="C286" i="71" l="1"/>
  <c r="B286" i="71"/>
  <c r="A285" i="71"/>
  <c r="N285" i="71" s="1"/>
  <c r="P268" i="69"/>
  <c r="L268" i="69"/>
  <c r="D269" i="69"/>
  <c r="S285" i="71" l="1"/>
  <c r="Z285" i="71"/>
  <c r="Q285" i="71" s="1"/>
  <c r="P285" i="71"/>
  <c r="E286" i="71"/>
  <c r="J286" i="71" s="1"/>
  <c r="M285" i="71"/>
  <c r="L285" i="71" s="1"/>
  <c r="I269" i="69"/>
  <c r="H269" i="69"/>
  <c r="K269" i="69"/>
  <c r="D286" i="71" l="1"/>
  <c r="C270" i="69"/>
  <c r="A269" i="69"/>
  <c r="B270" i="69"/>
  <c r="H286" i="71" l="1"/>
  <c r="I286" i="71"/>
  <c r="K286" i="71"/>
  <c r="N269" i="69"/>
  <c r="Z269" i="69" s="1"/>
  <c r="M269" i="69"/>
  <c r="E270" i="69"/>
  <c r="J270" i="69" s="1"/>
  <c r="B287" i="71" l="1"/>
  <c r="A286" i="71"/>
  <c r="N286" i="71" s="1"/>
  <c r="C287" i="71"/>
  <c r="P269" i="69"/>
  <c r="L269" i="69"/>
  <c r="D270" i="69"/>
  <c r="I270" i="69" s="1"/>
  <c r="S286" i="71" l="1"/>
  <c r="Z286" i="71"/>
  <c r="Q286" i="71" s="1"/>
  <c r="P286" i="71"/>
  <c r="M286" i="71"/>
  <c r="L286" i="71" s="1"/>
  <c r="E287" i="71"/>
  <c r="J287" i="71" s="1"/>
  <c r="H270" i="69"/>
  <c r="K270" i="69"/>
  <c r="B271" i="69" s="1"/>
  <c r="D287" i="71" l="1"/>
  <c r="A270" i="69"/>
  <c r="C271" i="69"/>
  <c r="E271" i="69"/>
  <c r="J271" i="69" s="1"/>
  <c r="I287" i="71" l="1"/>
  <c r="H287" i="71"/>
  <c r="K287" i="71"/>
  <c r="N270" i="69"/>
  <c r="Z270" i="69" s="1"/>
  <c r="M270" i="69"/>
  <c r="D271" i="69"/>
  <c r="C288" i="71" l="1"/>
  <c r="A287" i="71"/>
  <c r="N287" i="71" s="1"/>
  <c r="B288" i="71"/>
  <c r="P270" i="69"/>
  <c r="L270" i="69"/>
  <c r="I271" i="69"/>
  <c r="H271" i="69"/>
  <c r="K271" i="69"/>
  <c r="S287" i="71" l="1"/>
  <c r="Z287" i="71"/>
  <c r="P287" i="71"/>
  <c r="Q287" i="71"/>
  <c r="E288" i="71"/>
  <c r="J288" i="71" s="1"/>
  <c r="M287" i="71"/>
  <c r="L287" i="71" s="1"/>
  <c r="C272" i="69"/>
  <c r="A271" i="69"/>
  <c r="B272" i="69"/>
  <c r="D288" i="71" l="1"/>
  <c r="H288" i="71" s="1"/>
  <c r="N271" i="69"/>
  <c r="Z271" i="69" s="1"/>
  <c r="M271" i="69"/>
  <c r="E272" i="69"/>
  <c r="J272" i="69" s="1"/>
  <c r="K288" i="71" l="1"/>
  <c r="B289" i="71" s="1"/>
  <c r="I288" i="71"/>
  <c r="P271" i="69"/>
  <c r="L271" i="69"/>
  <c r="D272" i="69"/>
  <c r="K272" i="69" s="1"/>
  <c r="C273" i="69" s="1"/>
  <c r="A288" i="71" l="1"/>
  <c r="C289" i="71"/>
  <c r="E289" i="71"/>
  <c r="J289" i="71" s="1"/>
  <c r="A272" i="69"/>
  <c r="I272" i="69"/>
  <c r="B273" i="69"/>
  <c r="E273" i="69" s="1"/>
  <c r="J273" i="69" s="1"/>
  <c r="H272" i="69"/>
  <c r="N288" i="71" l="1"/>
  <c r="M288" i="71"/>
  <c r="L288" i="71" s="1"/>
  <c r="D289" i="71"/>
  <c r="N272" i="69"/>
  <c r="Z272" i="69" s="1"/>
  <c r="M272" i="69"/>
  <c r="D273" i="69"/>
  <c r="S288" i="71" l="1"/>
  <c r="Z288" i="71"/>
  <c r="Q288" i="71" s="1"/>
  <c r="P288" i="71"/>
  <c r="I289" i="71"/>
  <c r="H289" i="71"/>
  <c r="K289" i="71"/>
  <c r="P272" i="69"/>
  <c r="I273" i="69"/>
  <c r="H273" i="69"/>
  <c r="K273" i="69"/>
  <c r="L272" i="69"/>
  <c r="A289" i="71" l="1"/>
  <c r="N289" i="71" s="1"/>
  <c r="B290" i="71"/>
  <c r="C290" i="71"/>
  <c r="C274" i="69"/>
  <c r="A273" i="69"/>
  <c r="B274" i="69"/>
  <c r="S289" i="71" l="1"/>
  <c r="Z289" i="71"/>
  <c r="Q289" i="71" s="1"/>
  <c r="P289" i="71"/>
  <c r="E290" i="71"/>
  <c r="J290" i="71" s="1"/>
  <c r="M289" i="71"/>
  <c r="L289" i="71" s="1"/>
  <c r="N273" i="69"/>
  <c r="Z273" i="69" s="1"/>
  <c r="M273" i="69"/>
  <c r="E274" i="69"/>
  <c r="J274" i="69" s="1"/>
  <c r="D290" i="71" l="1"/>
  <c r="P273" i="69"/>
  <c r="D274" i="69"/>
  <c r="H290" i="71" l="1"/>
  <c r="I290" i="71"/>
  <c r="K290" i="71"/>
  <c r="H274" i="69"/>
  <c r="I274" i="69"/>
  <c r="K274" i="69"/>
  <c r="L273" i="69"/>
  <c r="B291" i="71" l="1"/>
  <c r="C291" i="71"/>
  <c r="A290" i="71"/>
  <c r="N290" i="71" s="1"/>
  <c r="B275" i="69"/>
  <c r="A274" i="69"/>
  <c r="C275" i="69"/>
  <c r="S290" i="71" l="1"/>
  <c r="Z290" i="71"/>
  <c r="Q290" i="71" s="1"/>
  <c r="P290" i="71"/>
  <c r="E291" i="71"/>
  <c r="J291" i="71" s="1"/>
  <c r="M290" i="71"/>
  <c r="L290" i="71" s="1"/>
  <c r="N274" i="69"/>
  <c r="Z274" i="69" s="1"/>
  <c r="M274" i="69"/>
  <c r="E275" i="69"/>
  <c r="J275" i="69" s="1"/>
  <c r="D291" i="71" l="1"/>
  <c r="P274" i="69"/>
  <c r="D275" i="69"/>
  <c r="I291" i="71" l="1"/>
  <c r="H291" i="71"/>
  <c r="K291" i="71"/>
  <c r="L274" i="69"/>
  <c r="I275" i="69"/>
  <c r="H275" i="69"/>
  <c r="K275" i="69"/>
  <c r="C292" i="71" l="1"/>
  <c r="A291" i="71"/>
  <c r="N291" i="71" s="1"/>
  <c r="B292" i="71"/>
  <c r="C276" i="69"/>
  <c r="A275" i="69"/>
  <c r="B276" i="69"/>
  <c r="S291" i="71" l="1"/>
  <c r="Z291" i="71"/>
  <c r="Q291" i="71" s="1"/>
  <c r="P291" i="71"/>
  <c r="M291" i="71"/>
  <c r="L291" i="71" s="1"/>
  <c r="E292" i="71"/>
  <c r="J292" i="71" s="1"/>
  <c r="N275" i="69"/>
  <c r="Z275" i="69" s="1"/>
  <c r="M275" i="69"/>
  <c r="E276" i="69"/>
  <c r="J276" i="69" s="1"/>
  <c r="D292" i="71" l="1"/>
  <c r="P275" i="69"/>
  <c r="L275" i="69"/>
  <c r="D276" i="69"/>
  <c r="H292" i="71" l="1"/>
  <c r="I292" i="71"/>
  <c r="K292" i="71"/>
  <c r="H276" i="69"/>
  <c r="I276" i="69"/>
  <c r="K276" i="69"/>
  <c r="B293" i="71" l="1"/>
  <c r="A292" i="71"/>
  <c r="N292" i="71" s="1"/>
  <c r="C293" i="71"/>
  <c r="B277" i="69"/>
  <c r="A276" i="69"/>
  <c r="C277" i="69"/>
  <c r="S292" i="71" l="1"/>
  <c r="Z292" i="71"/>
  <c r="Q292" i="71" s="1"/>
  <c r="P292" i="71"/>
  <c r="M292" i="71"/>
  <c r="L292" i="71" s="1"/>
  <c r="E293" i="71"/>
  <c r="J293" i="71" s="1"/>
  <c r="N276" i="69"/>
  <c r="Z276" i="69" s="1"/>
  <c r="M276" i="69"/>
  <c r="E277" i="69"/>
  <c r="J277" i="69" s="1"/>
  <c r="D293" i="71" l="1"/>
  <c r="I293" i="71" s="1"/>
  <c r="P276" i="69"/>
  <c r="L276" i="69"/>
  <c r="D277" i="69"/>
  <c r="K293" i="71" l="1"/>
  <c r="A293" i="71" s="1"/>
  <c r="N293" i="71" s="1"/>
  <c r="H293" i="71"/>
  <c r="I277" i="69"/>
  <c r="H277" i="69"/>
  <c r="K277" i="69"/>
  <c r="S293" i="71" l="1"/>
  <c r="Z293" i="71"/>
  <c r="Q293" i="71" s="1"/>
  <c r="P293" i="71"/>
  <c r="C294" i="71"/>
  <c r="B294" i="71"/>
  <c r="E294" i="71" s="1"/>
  <c r="J294" i="71" s="1"/>
  <c r="M293" i="71"/>
  <c r="L293" i="71" s="1"/>
  <c r="C278" i="69"/>
  <c r="A277" i="69"/>
  <c r="B278" i="69"/>
  <c r="D294" i="71" l="1"/>
  <c r="H294" i="71" s="1"/>
  <c r="N277" i="69"/>
  <c r="Z277" i="69" s="1"/>
  <c r="M277" i="69"/>
  <c r="E278" i="69"/>
  <c r="J278" i="69" s="1"/>
  <c r="K294" i="71" l="1"/>
  <c r="B295" i="71" s="1"/>
  <c r="I294" i="71"/>
  <c r="P277" i="69"/>
  <c r="L277" i="69"/>
  <c r="D278" i="69"/>
  <c r="A294" i="71" l="1"/>
  <c r="C295" i="71"/>
  <c r="E295" i="71"/>
  <c r="J295" i="71" s="1"/>
  <c r="H278" i="69"/>
  <c r="I278" i="69"/>
  <c r="K278" i="69"/>
  <c r="N294" i="71" l="1"/>
  <c r="M294" i="71"/>
  <c r="L294" i="71" s="1"/>
  <c r="D295" i="71"/>
  <c r="B279" i="69"/>
  <c r="C279" i="69"/>
  <c r="A278" i="69"/>
  <c r="S294" i="71" l="1"/>
  <c r="Z294" i="71"/>
  <c r="Q294" i="71" s="1"/>
  <c r="P294" i="71"/>
  <c r="I295" i="71"/>
  <c r="H295" i="71"/>
  <c r="K295" i="71"/>
  <c r="N278" i="69"/>
  <c r="Z278" i="69" s="1"/>
  <c r="M278" i="69"/>
  <c r="E279" i="69"/>
  <c r="J279" i="69" s="1"/>
  <c r="C296" i="71" l="1"/>
  <c r="A295" i="71"/>
  <c r="N295" i="71" s="1"/>
  <c r="B296" i="71"/>
  <c r="P278" i="69"/>
  <c r="L278" i="69"/>
  <c r="D279" i="69"/>
  <c r="S295" i="71" l="1"/>
  <c r="Z295" i="71"/>
  <c r="Q295" i="71" s="1"/>
  <c r="P295" i="71"/>
  <c r="M295" i="71"/>
  <c r="L295" i="71" s="1"/>
  <c r="E296" i="71"/>
  <c r="J296" i="71" s="1"/>
  <c r="I279" i="69"/>
  <c r="H279" i="69"/>
  <c r="K279" i="69"/>
  <c r="D296" i="71" l="1"/>
  <c r="C280" i="69"/>
  <c r="A279" i="69"/>
  <c r="B280" i="69"/>
  <c r="H296" i="71" l="1"/>
  <c r="I296" i="71"/>
  <c r="K296" i="71"/>
  <c r="N279" i="69"/>
  <c r="Z279" i="69" s="1"/>
  <c r="M279" i="69"/>
  <c r="E280" i="69"/>
  <c r="J280" i="69" s="1"/>
  <c r="B297" i="71" l="1"/>
  <c r="A296" i="71"/>
  <c r="N296" i="71" s="1"/>
  <c r="C297" i="71"/>
  <c r="P279" i="69"/>
  <c r="L279" i="69"/>
  <c r="D280" i="69"/>
  <c r="S296" i="71" l="1"/>
  <c r="Z296" i="71"/>
  <c r="P296" i="71"/>
  <c r="Q296" i="71"/>
  <c r="M296" i="71"/>
  <c r="L296" i="71" s="1"/>
  <c r="E297" i="71"/>
  <c r="J297" i="71" s="1"/>
  <c r="H280" i="69"/>
  <c r="I280" i="69"/>
  <c r="K280" i="69"/>
  <c r="D297" i="71" l="1"/>
  <c r="B281" i="69"/>
  <c r="C281" i="69"/>
  <c r="A280" i="69"/>
  <c r="I297" i="71" l="1"/>
  <c r="H297" i="71"/>
  <c r="K297" i="71"/>
  <c r="N280" i="69"/>
  <c r="Z280" i="69" s="1"/>
  <c r="M280" i="69"/>
  <c r="E281" i="69"/>
  <c r="J281" i="69" s="1"/>
  <c r="B298" i="71" l="1"/>
  <c r="C298" i="71"/>
  <c r="A297" i="71"/>
  <c r="N297" i="71" s="1"/>
  <c r="P280" i="69"/>
  <c r="L280" i="69"/>
  <c r="D281" i="69"/>
  <c r="I281" i="69" s="1"/>
  <c r="S297" i="71" l="1"/>
  <c r="Z297" i="71"/>
  <c r="Q297" i="71" s="1"/>
  <c r="P297" i="71"/>
  <c r="M297" i="71"/>
  <c r="L297" i="71" s="1"/>
  <c r="E298" i="71"/>
  <c r="J298" i="71" s="1"/>
  <c r="K281" i="69"/>
  <c r="C282" i="69" s="1"/>
  <c r="H281" i="69"/>
  <c r="D298" i="71" l="1"/>
  <c r="H298" i="71" s="1"/>
  <c r="B282" i="69"/>
  <c r="E282" i="69" s="1"/>
  <c r="J282" i="69" s="1"/>
  <c r="A281" i="69"/>
  <c r="I298" i="71" l="1"/>
  <c r="K298" i="71"/>
  <c r="A298" i="71" s="1"/>
  <c r="N298" i="71" s="1"/>
  <c r="M281" i="69"/>
  <c r="N281" i="69"/>
  <c r="Z281" i="69" s="1"/>
  <c r="D282" i="69"/>
  <c r="S298" i="71" l="1"/>
  <c r="Z298" i="71"/>
  <c r="Q298" i="71" s="1"/>
  <c r="P298" i="71"/>
  <c r="B299" i="71"/>
  <c r="E299" i="71" s="1"/>
  <c r="J299" i="71" s="1"/>
  <c r="C299" i="71"/>
  <c r="M298" i="71"/>
  <c r="L298" i="71" s="1"/>
  <c r="P281" i="69"/>
  <c r="L281" i="69"/>
  <c r="H282" i="69"/>
  <c r="I282" i="69"/>
  <c r="K282" i="69"/>
  <c r="D299" i="71" l="1"/>
  <c r="K299" i="71" s="1"/>
  <c r="C300" i="71" s="1"/>
  <c r="B283" i="69"/>
  <c r="A282" i="69"/>
  <c r="C283" i="69"/>
  <c r="H299" i="71" l="1"/>
  <c r="I299" i="71"/>
  <c r="B300" i="71"/>
  <c r="E300" i="71" s="1"/>
  <c r="A299" i="71"/>
  <c r="N282" i="69"/>
  <c r="Z282" i="69" s="1"/>
  <c r="M282" i="69"/>
  <c r="E283" i="69"/>
  <c r="J283" i="69" s="1"/>
  <c r="N299" i="71" l="1"/>
  <c r="M299" i="71"/>
  <c r="L299" i="71" s="1"/>
  <c r="J300" i="71"/>
  <c r="D300" i="71"/>
  <c r="H300" i="71" s="1"/>
  <c r="P282" i="69"/>
  <c r="D283" i="69"/>
  <c r="K283" i="69" s="1"/>
  <c r="C284" i="69" s="1"/>
  <c r="L282" i="69"/>
  <c r="S299" i="71" l="1"/>
  <c r="Z299" i="71"/>
  <c r="Q299" i="71" s="1"/>
  <c r="P299" i="71"/>
  <c r="K300" i="71"/>
  <c r="B301" i="71" s="1"/>
  <c r="I300" i="71"/>
  <c r="B284" i="69"/>
  <c r="E284" i="69" s="1"/>
  <c r="J284" i="69" s="1"/>
  <c r="A283" i="69"/>
  <c r="H283" i="69"/>
  <c r="I283" i="69"/>
  <c r="A300" i="71" l="1"/>
  <c r="C301" i="71"/>
  <c r="E301" i="71"/>
  <c r="J301" i="71" s="1"/>
  <c r="N283" i="69"/>
  <c r="Z283" i="69" s="1"/>
  <c r="M283" i="69"/>
  <c r="D284" i="69"/>
  <c r="M300" i="71" l="1"/>
  <c r="L300" i="71" s="1"/>
  <c r="N300" i="71"/>
  <c r="D301" i="71"/>
  <c r="P283" i="69"/>
  <c r="L283" i="69"/>
  <c r="H284" i="69"/>
  <c r="I284" i="69"/>
  <c r="K284" i="69"/>
  <c r="S300" i="71" l="1"/>
  <c r="Z300" i="71"/>
  <c r="Q300" i="71" s="1"/>
  <c r="P300" i="71"/>
  <c r="I301" i="71"/>
  <c r="H301" i="71"/>
  <c r="K301" i="71"/>
  <c r="B285" i="69"/>
  <c r="C285" i="69"/>
  <c r="A284" i="69"/>
  <c r="C302" i="71" l="1"/>
  <c r="A301" i="71"/>
  <c r="N301" i="71" s="1"/>
  <c r="B302" i="71"/>
  <c r="N284" i="69"/>
  <c r="Z284" i="69" s="1"/>
  <c r="M284" i="69"/>
  <c r="E285" i="69"/>
  <c r="J285" i="69" s="1"/>
  <c r="S301" i="71" l="1"/>
  <c r="Z301" i="71"/>
  <c r="Q301" i="71" s="1"/>
  <c r="P301" i="71"/>
  <c r="E302" i="71"/>
  <c r="J302" i="71" s="1"/>
  <c r="M301" i="71"/>
  <c r="L301" i="71" s="1"/>
  <c r="P284" i="69"/>
  <c r="D285" i="69"/>
  <c r="D302" i="71" l="1"/>
  <c r="I302" i="71" s="1"/>
  <c r="I285" i="69"/>
  <c r="H285" i="69"/>
  <c r="K285" i="69"/>
  <c r="L284" i="69"/>
  <c r="K302" i="71" l="1"/>
  <c r="A302" i="71" s="1"/>
  <c r="N302" i="71" s="1"/>
  <c r="H302" i="71"/>
  <c r="C286" i="69"/>
  <c r="A285" i="69"/>
  <c r="B286" i="69"/>
  <c r="S302" i="71" l="1"/>
  <c r="Z302" i="71"/>
  <c r="Q302" i="71" s="1"/>
  <c r="P302" i="71"/>
  <c r="B303" i="71"/>
  <c r="E303" i="71" s="1"/>
  <c r="J303" i="71" s="1"/>
  <c r="C303" i="71"/>
  <c r="M302" i="71"/>
  <c r="L302" i="71" s="1"/>
  <c r="N285" i="69"/>
  <c r="Z285" i="69" s="1"/>
  <c r="M285" i="69"/>
  <c r="E286" i="69"/>
  <c r="J286" i="69" s="1"/>
  <c r="D303" i="71" l="1"/>
  <c r="K303" i="71" s="1"/>
  <c r="C304" i="71" s="1"/>
  <c r="P285" i="69"/>
  <c r="D286" i="69"/>
  <c r="B304" i="71" l="1"/>
  <c r="E304" i="71" s="1"/>
  <c r="J304" i="71" s="1"/>
  <c r="A303" i="71"/>
  <c r="I303" i="71"/>
  <c r="H303" i="71"/>
  <c r="L285" i="69"/>
  <c r="H286" i="69"/>
  <c r="I286" i="69"/>
  <c r="K286" i="69"/>
  <c r="N303" i="71" l="1"/>
  <c r="M303" i="71"/>
  <c r="L303" i="71" s="1"/>
  <c r="D304" i="71"/>
  <c r="H304" i="71" s="1"/>
  <c r="B287" i="69"/>
  <c r="C287" i="69"/>
  <c r="A286" i="69"/>
  <c r="S303" i="71" l="1"/>
  <c r="Z303" i="71"/>
  <c r="Q303" i="71" s="1"/>
  <c r="P303" i="71"/>
  <c r="K304" i="71"/>
  <c r="B305" i="71" s="1"/>
  <c r="I304" i="71"/>
  <c r="N286" i="69"/>
  <c r="Z286" i="69" s="1"/>
  <c r="M286" i="69"/>
  <c r="E287" i="69"/>
  <c r="J287" i="69" s="1"/>
  <c r="C305" i="71" l="1"/>
  <c r="A304" i="71"/>
  <c r="E305" i="71"/>
  <c r="J305" i="71" s="1"/>
  <c r="P286" i="69"/>
  <c r="D287" i="69"/>
  <c r="N304" i="71" l="1"/>
  <c r="M304" i="71"/>
  <c r="L304" i="71" s="1"/>
  <c r="D305" i="71"/>
  <c r="I287" i="69"/>
  <c r="H287" i="69"/>
  <c r="K287" i="69"/>
  <c r="L286" i="69"/>
  <c r="S304" i="71" l="1"/>
  <c r="Z304" i="71"/>
  <c r="Q304" i="71" s="1"/>
  <c r="P304" i="71"/>
  <c r="I305" i="71"/>
  <c r="H305" i="71"/>
  <c r="K305" i="71"/>
  <c r="C288" i="69"/>
  <c r="A287" i="69"/>
  <c r="B288" i="69"/>
  <c r="C306" i="71" l="1"/>
  <c r="A305" i="71"/>
  <c r="N305" i="71" s="1"/>
  <c r="B306" i="71"/>
  <c r="N287" i="69"/>
  <c r="Z287" i="69" s="1"/>
  <c r="M287" i="69"/>
  <c r="E288" i="69"/>
  <c r="J288" i="69" s="1"/>
  <c r="S305" i="71" l="1"/>
  <c r="Z305" i="71"/>
  <c r="Q305" i="71" s="1"/>
  <c r="P305" i="71"/>
  <c r="E306" i="71"/>
  <c r="J306" i="71" s="1"/>
  <c r="M305" i="71"/>
  <c r="L305" i="71" s="1"/>
  <c r="P287" i="69"/>
  <c r="D288" i="69"/>
  <c r="D306" i="71" l="1"/>
  <c r="H306" i="71" s="1"/>
  <c r="H288" i="69"/>
  <c r="I288" i="69"/>
  <c r="K288" i="69"/>
  <c r="L287" i="69"/>
  <c r="K306" i="71" l="1"/>
  <c r="B307" i="71" s="1"/>
  <c r="I306" i="71"/>
  <c r="B289" i="69"/>
  <c r="A288" i="69"/>
  <c r="C289" i="69"/>
  <c r="A306" i="71" l="1"/>
  <c r="C307" i="71"/>
  <c r="E307" i="71"/>
  <c r="J307" i="71" s="1"/>
  <c r="N288" i="69"/>
  <c r="Z288" i="69" s="1"/>
  <c r="M288" i="69"/>
  <c r="E289" i="69"/>
  <c r="J289" i="69" s="1"/>
  <c r="N306" i="71" l="1"/>
  <c r="M306" i="71"/>
  <c r="L306" i="71" s="1"/>
  <c r="D307" i="71"/>
  <c r="P288" i="69"/>
  <c r="D289" i="69"/>
  <c r="S306" i="71" l="1"/>
  <c r="Z306" i="71"/>
  <c r="Q306" i="71" s="1"/>
  <c r="P306" i="71"/>
  <c r="I307" i="71"/>
  <c r="H307" i="71"/>
  <c r="K307" i="71"/>
  <c r="L288" i="69"/>
  <c r="I289" i="69"/>
  <c r="H289" i="69"/>
  <c r="K289" i="69"/>
  <c r="C308" i="71" l="1"/>
  <c r="A307" i="71"/>
  <c r="N307" i="71" s="1"/>
  <c r="B308" i="71"/>
  <c r="C290" i="69"/>
  <c r="A289" i="69"/>
  <c r="B290" i="69"/>
  <c r="S307" i="71" l="1"/>
  <c r="Z307" i="71"/>
  <c r="Q307" i="71" s="1"/>
  <c r="P307" i="71"/>
  <c r="M307" i="71"/>
  <c r="L307" i="71" s="1"/>
  <c r="E308" i="71"/>
  <c r="J308" i="71" s="1"/>
  <c r="N289" i="69"/>
  <c r="Z289" i="69" s="1"/>
  <c r="M289" i="69"/>
  <c r="E290" i="69"/>
  <c r="J290" i="69" s="1"/>
  <c r="D308" i="71" l="1"/>
  <c r="H308" i="71" s="1"/>
  <c r="P289" i="69"/>
  <c r="L289" i="69"/>
  <c r="D290" i="69"/>
  <c r="I290" i="69" s="1"/>
  <c r="K308" i="71" l="1"/>
  <c r="B309" i="71" s="1"/>
  <c r="I308" i="71"/>
  <c r="H290" i="69"/>
  <c r="K290" i="69"/>
  <c r="C291" i="69" s="1"/>
  <c r="A308" i="71" l="1"/>
  <c r="C309" i="71"/>
  <c r="E309" i="71"/>
  <c r="J309" i="71" s="1"/>
  <c r="B291" i="69"/>
  <c r="E291" i="69" s="1"/>
  <c r="J291" i="69" s="1"/>
  <c r="A290" i="69"/>
  <c r="M308" i="71" l="1"/>
  <c r="L308" i="71" s="1"/>
  <c r="N308" i="71"/>
  <c r="D309" i="71"/>
  <c r="N290" i="69"/>
  <c r="Z290" i="69" s="1"/>
  <c r="M290" i="69"/>
  <c r="D291" i="69"/>
  <c r="K291" i="69" s="1"/>
  <c r="C292" i="69" s="1"/>
  <c r="S308" i="71" l="1"/>
  <c r="Z308" i="71"/>
  <c r="P308" i="71"/>
  <c r="Q308" i="71"/>
  <c r="I309" i="71"/>
  <c r="H309" i="71"/>
  <c r="K309" i="71"/>
  <c r="P290" i="69"/>
  <c r="H291" i="69"/>
  <c r="L290" i="69"/>
  <c r="B292" i="69"/>
  <c r="E292" i="69" s="1"/>
  <c r="J292" i="69" s="1"/>
  <c r="I291" i="69"/>
  <c r="A291" i="69"/>
  <c r="C310" i="71" l="1"/>
  <c r="A309" i="71"/>
  <c r="N309" i="71" s="1"/>
  <c r="B310" i="71"/>
  <c r="N291" i="69"/>
  <c r="Z291" i="69" s="1"/>
  <c r="M291" i="69"/>
  <c r="D292" i="69"/>
  <c r="S309" i="71" l="1"/>
  <c r="Z309" i="71"/>
  <c r="P309" i="71"/>
  <c r="Q309" i="71"/>
  <c r="E310" i="71"/>
  <c r="J310" i="71" s="1"/>
  <c r="M309" i="71"/>
  <c r="L309" i="71" s="1"/>
  <c r="P291" i="69"/>
  <c r="L291" i="69"/>
  <c r="H292" i="69"/>
  <c r="I292" i="69"/>
  <c r="K292" i="69"/>
  <c r="D310" i="71" l="1"/>
  <c r="H310" i="71" s="1"/>
  <c r="B293" i="69"/>
  <c r="C293" i="69"/>
  <c r="A292" i="69"/>
  <c r="K310" i="71" l="1"/>
  <c r="A310" i="71" s="1"/>
  <c r="N310" i="71" s="1"/>
  <c r="I310" i="71"/>
  <c r="N292" i="69"/>
  <c r="Z292" i="69" s="1"/>
  <c r="M292" i="69"/>
  <c r="E293" i="69"/>
  <c r="J293" i="69" s="1"/>
  <c r="S310" i="71" l="1"/>
  <c r="Z310" i="71"/>
  <c r="Q310" i="71" s="1"/>
  <c r="P310" i="71"/>
  <c r="B311" i="71"/>
  <c r="E311" i="71" s="1"/>
  <c r="J311" i="71" s="1"/>
  <c r="C311" i="71"/>
  <c r="M310" i="71"/>
  <c r="L310" i="71" s="1"/>
  <c r="P292" i="69"/>
  <c r="D293" i="69"/>
  <c r="I293" i="69" s="1"/>
  <c r="D311" i="71" l="1"/>
  <c r="I311" i="71" s="1"/>
  <c r="K293" i="69"/>
  <c r="C294" i="69" s="1"/>
  <c r="H293" i="69"/>
  <c r="L292" i="69"/>
  <c r="H311" i="71" l="1"/>
  <c r="K311" i="71"/>
  <c r="C312" i="71" s="1"/>
  <c r="A293" i="69"/>
  <c r="B294" i="69"/>
  <c r="E294" i="69" s="1"/>
  <c r="J294" i="69" s="1"/>
  <c r="B312" i="71" l="1"/>
  <c r="E312" i="71" s="1"/>
  <c r="J312" i="71" s="1"/>
  <c r="A311" i="71"/>
  <c r="N293" i="69"/>
  <c r="Z293" i="69" s="1"/>
  <c r="M293" i="69"/>
  <c r="D294" i="69"/>
  <c r="I294" i="69" s="1"/>
  <c r="N311" i="71" l="1"/>
  <c r="M311" i="71"/>
  <c r="L311" i="71" s="1"/>
  <c r="D312" i="71"/>
  <c r="K312" i="71" s="1"/>
  <c r="B313" i="71" s="1"/>
  <c r="P293" i="69"/>
  <c r="K294" i="69"/>
  <c r="A294" i="69" s="1"/>
  <c r="H294" i="69"/>
  <c r="S311" i="71" l="1"/>
  <c r="Z311" i="71"/>
  <c r="P311" i="71"/>
  <c r="Q311" i="71"/>
  <c r="I312" i="71"/>
  <c r="H312" i="71"/>
  <c r="A312" i="71"/>
  <c r="C313" i="71"/>
  <c r="E313" i="71"/>
  <c r="J313" i="71" s="1"/>
  <c r="B295" i="69"/>
  <c r="E295" i="69" s="1"/>
  <c r="J295" i="69" s="1"/>
  <c r="C295" i="69"/>
  <c r="N294" i="69"/>
  <c r="Z294" i="69" s="1"/>
  <c r="M294" i="69"/>
  <c r="L293" i="69"/>
  <c r="N312" i="71" l="1"/>
  <c r="M312" i="71"/>
  <c r="L312" i="71" s="1"/>
  <c r="D313" i="71"/>
  <c r="P294" i="69"/>
  <c r="D295" i="69"/>
  <c r="I295" i="69" s="1"/>
  <c r="S312" i="71" l="1"/>
  <c r="Z312" i="71"/>
  <c r="Q312" i="71" s="1"/>
  <c r="P312" i="71"/>
  <c r="I313" i="71"/>
  <c r="H313" i="71"/>
  <c r="K313" i="71"/>
  <c r="H295" i="69"/>
  <c r="K295" i="69"/>
  <c r="A295" i="69" s="1"/>
  <c r="C314" i="71" l="1"/>
  <c r="A313" i="71"/>
  <c r="N313" i="71" s="1"/>
  <c r="B314" i="71"/>
  <c r="C296" i="69"/>
  <c r="B296" i="69"/>
  <c r="E296" i="69" s="1"/>
  <c r="J296" i="69" s="1"/>
  <c r="N295" i="69"/>
  <c r="Z295" i="69" s="1"/>
  <c r="M295" i="69"/>
  <c r="L294" i="69"/>
  <c r="S313" i="71" l="1"/>
  <c r="Z313" i="71"/>
  <c r="Q313" i="71" s="1"/>
  <c r="P313" i="71"/>
  <c r="E314" i="71"/>
  <c r="J314" i="71" s="1"/>
  <c r="M313" i="71"/>
  <c r="L313" i="71" s="1"/>
  <c r="P295" i="69"/>
  <c r="D296" i="69"/>
  <c r="H296" i="69" s="1"/>
  <c r="D314" i="71" l="1"/>
  <c r="I314" i="71" s="1"/>
  <c r="K296" i="69"/>
  <c r="C297" i="69" s="1"/>
  <c r="I296" i="69"/>
  <c r="K314" i="71" l="1"/>
  <c r="C315" i="71" s="1"/>
  <c r="H314" i="71"/>
  <c r="A296" i="69"/>
  <c r="B297" i="69"/>
  <c r="E297" i="69" s="1"/>
  <c r="J297" i="69" s="1"/>
  <c r="B315" i="71" l="1"/>
  <c r="E315" i="71" s="1"/>
  <c r="J315" i="71" s="1"/>
  <c r="A314" i="71"/>
  <c r="N296" i="69"/>
  <c r="Z296" i="69" s="1"/>
  <c r="M296" i="69"/>
  <c r="D297" i="69"/>
  <c r="K297" i="69" s="1"/>
  <c r="C298" i="69" s="1"/>
  <c r="L295" i="69"/>
  <c r="M314" i="71" l="1"/>
  <c r="L314" i="71" s="1"/>
  <c r="N314" i="71"/>
  <c r="D315" i="71"/>
  <c r="P296" i="69"/>
  <c r="H297" i="69"/>
  <c r="I297" i="69"/>
  <c r="B298" i="69"/>
  <c r="E298" i="69" s="1"/>
  <c r="J298" i="69" s="1"/>
  <c r="A297" i="69"/>
  <c r="S314" i="71" l="1"/>
  <c r="Z314" i="71"/>
  <c r="Q314" i="71" s="1"/>
  <c r="P314" i="71"/>
  <c r="I315" i="71"/>
  <c r="H315" i="71"/>
  <c r="K315" i="71"/>
  <c r="N297" i="69"/>
  <c r="Z297" i="69" s="1"/>
  <c r="M297" i="69"/>
  <c r="D298" i="69"/>
  <c r="C316" i="71" l="1"/>
  <c r="A315" i="71"/>
  <c r="N315" i="71" s="1"/>
  <c r="B316" i="71"/>
  <c r="P297" i="69"/>
  <c r="I298" i="69"/>
  <c r="H298" i="69"/>
  <c r="K298" i="69"/>
  <c r="S315" i="71" l="1"/>
  <c r="Z315" i="71"/>
  <c r="Q315" i="71" s="1"/>
  <c r="P315" i="71"/>
  <c r="E316" i="71"/>
  <c r="J316" i="71" s="1"/>
  <c r="M315" i="71"/>
  <c r="L315" i="71" s="1"/>
  <c r="L296" i="69"/>
  <c r="A298" i="69"/>
  <c r="C299" i="69"/>
  <c r="B299" i="69"/>
  <c r="D316" i="71" l="1"/>
  <c r="I316" i="71" s="1"/>
  <c r="N298" i="69"/>
  <c r="Z298" i="69" s="1"/>
  <c r="M298" i="69"/>
  <c r="E299" i="69"/>
  <c r="J299" i="69" s="1"/>
  <c r="K316" i="71" l="1"/>
  <c r="B317" i="71" s="1"/>
  <c r="H316" i="71"/>
  <c r="P298" i="69"/>
  <c r="D299" i="69"/>
  <c r="K299" i="69" s="1"/>
  <c r="C300" i="69" s="1"/>
  <c r="C317" i="71" l="1"/>
  <c r="A316" i="71"/>
  <c r="E317" i="71"/>
  <c r="J317" i="71" s="1"/>
  <c r="H299" i="69"/>
  <c r="I299" i="69"/>
  <c r="B300" i="69"/>
  <c r="E300" i="69" s="1"/>
  <c r="J300" i="69" s="1"/>
  <c r="A299" i="69"/>
  <c r="L297" i="69"/>
  <c r="M316" i="71" l="1"/>
  <c r="L316" i="71" s="1"/>
  <c r="N316" i="71"/>
  <c r="D317" i="71"/>
  <c r="N299" i="69"/>
  <c r="Z299" i="69" s="1"/>
  <c r="M299" i="69"/>
  <c r="D300" i="69"/>
  <c r="I300" i="69" s="1"/>
  <c r="S316" i="71" l="1"/>
  <c r="Z316" i="71"/>
  <c r="Q316" i="71" s="1"/>
  <c r="P316" i="71"/>
  <c r="I317" i="71"/>
  <c r="H317" i="71"/>
  <c r="K317" i="71"/>
  <c r="P299" i="69"/>
  <c r="K300" i="69"/>
  <c r="C301" i="69" s="1"/>
  <c r="H300" i="69"/>
  <c r="C318" i="71" l="1"/>
  <c r="A317" i="71"/>
  <c r="N317" i="71" s="1"/>
  <c r="B318" i="71"/>
  <c r="B301" i="69"/>
  <c r="E301" i="69" s="1"/>
  <c r="J301" i="69" s="1"/>
  <c r="A300" i="69"/>
  <c r="S317" i="71" l="1"/>
  <c r="Z317" i="71"/>
  <c r="Q317" i="71" s="1"/>
  <c r="P317" i="71"/>
  <c r="E318" i="71"/>
  <c r="J318" i="71" s="1"/>
  <c r="M317" i="71"/>
  <c r="L317" i="71" s="1"/>
  <c r="M300" i="69"/>
  <c r="N300" i="69"/>
  <c r="Z300" i="69" s="1"/>
  <c r="D301" i="69"/>
  <c r="K301" i="69" s="1"/>
  <c r="A301" i="69" s="1"/>
  <c r="L298" i="69"/>
  <c r="D318" i="71" l="1"/>
  <c r="P300" i="69"/>
  <c r="N301" i="69"/>
  <c r="Z301" i="69" s="1"/>
  <c r="B302" i="69"/>
  <c r="E302" i="69" s="1"/>
  <c r="J302" i="69" s="1"/>
  <c r="C302" i="69"/>
  <c r="H301" i="69"/>
  <c r="I301" i="69"/>
  <c r="M301" i="69"/>
  <c r="I318" i="71" l="1"/>
  <c r="H318" i="71"/>
  <c r="K318" i="71"/>
  <c r="P301" i="69"/>
  <c r="D302" i="69"/>
  <c r="C319" i="71" l="1"/>
  <c r="B319" i="71"/>
  <c r="A318" i="71"/>
  <c r="N318" i="71" s="1"/>
  <c r="I302" i="69"/>
  <c r="H302" i="69"/>
  <c r="K302" i="69"/>
  <c r="S318" i="71" l="1"/>
  <c r="Z318" i="71"/>
  <c r="Q318" i="71" s="1"/>
  <c r="P318" i="71"/>
  <c r="M318" i="71"/>
  <c r="L318" i="71" s="1"/>
  <c r="E319" i="71"/>
  <c r="J319" i="71" s="1"/>
  <c r="L299" i="69"/>
  <c r="B303" i="69"/>
  <c r="A302" i="69"/>
  <c r="C303" i="69"/>
  <c r="D319" i="71" l="1"/>
  <c r="N302" i="69"/>
  <c r="Z302" i="69" s="1"/>
  <c r="M302" i="69"/>
  <c r="E303" i="69"/>
  <c r="J303" i="69" s="1"/>
  <c r="I319" i="71" l="1"/>
  <c r="H319" i="71"/>
  <c r="K319" i="71"/>
  <c r="P302" i="69"/>
  <c r="D303" i="69"/>
  <c r="I303" i="69" s="1"/>
  <c r="C320" i="71" l="1"/>
  <c r="A319" i="71"/>
  <c r="N319" i="71" s="1"/>
  <c r="B320" i="71"/>
  <c r="K303" i="69"/>
  <c r="C304" i="69" s="1"/>
  <c r="H303" i="69"/>
  <c r="S319" i="71" l="1"/>
  <c r="Z319" i="71"/>
  <c r="Q319" i="71" s="1"/>
  <c r="P319" i="71"/>
  <c r="E320" i="71"/>
  <c r="J320" i="71" s="1"/>
  <c r="M319" i="71"/>
  <c r="L319" i="71" s="1"/>
  <c r="B304" i="69"/>
  <c r="E304" i="69" s="1"/>
  <c r="J304" i="69" s="1"/>
  <c r="A303" i="69"/>
  <c r="L300" i="69"/>
  <c r="D320" i="71" l="1"/>
  <c r="K320" i="71" s="1"/>
  <c r="B321" i="71" s="1"/>
  <c r="M303" i="69"/>
  <c r="N303" i="69"/>
  <c r="Z303" i="69" s="1"/>
  <c r="D304" i="69"/>
  <c r="A320" i="71" l="1"/>
  <c r="C321" i="71"/>
  <c r="H320" i="71"/>
  <c r="I320" i="71"/>
  <c r="E321" i="71"/>
  <c r="J321" i="71" s="1"/>
  <c r="P303" i="69"/>
  <c r="L301" i="69"/>
  <c r="I304" i="69"/>
  <c r="H304" i="69"/>
  <c r="K304" i="69"/>
  <c r="N320" i="71" l="1"/>
  <c r="M320" i="71"/>
  <c r="L320" i="71" s="1"/>
  <c r="D321" i="71"/>
  <c r="I321" i="71" s="1"/>
  <c r="C305" i="69"/>
  <c r="B305" i="69"/>
  <c r="A304" i="69"/>
  <c r="S320" i="71" l="1"/>
  <c r="Z320" i="71"/>
  <c r="Q320" i="71" s="1"/>
  <c r="P320" i="71"/>
  <c r="K321" i="71"/>
  <c r="C322" i="71" s="1"/>
  <c r="H321" i="71"/>
  <c r="N304" i="69"/>
  <c r="Z304" i="69" s="1"/>
  <c r="M304" i="69"/>
  <c r="E305" i="69"/>
  <c r="J305" i="69" s="1"/>
  <c r="B322" i="71" l="1"/>
  <c r="E322" i="71" s="1"/>
  <c r="J322" i="71" s="1"/>
  <c r="A321" i="71"/>
  <c r="P304" i="69"/>
  <c r="D305" i="69"/>
  <c r="H305" i="69" s="1"/>
  <c r="M321" i="71" l="1"/>
  <c r="L321" i="71" s="1"/>
  <c r="N321" i="71"/>
  <c r="D322" i="71"/>
  <c r="I322" i="71" s="1"/>
  <c r="K305" i="69"/>
  <c r="B306" i="69" s="1"/>
  <c r="I305" i="69"/>
  <c r="L302" i="69"/>
  <c r="S321" i="71" l="1"/>
  <c r="Z321" i="71"/>
  <c r="Q321" i="71" s="1"/>
  <c r="P321" i="71"/>
  <c r="K322" i="71"/>
  <c r="B323" i="71" s="1"/>
  <c r="H322" i="71"/>
  <c r="C306" i="69"/>
  <c r="A305" i="69"/>
  <c r="E306" i="69"/>
  <c r="J306" i="69" s="1"/>
  <c r="A322" i="71" l="1"/>
  <c r="C323" i="71"/>
  <c r="E323" i="71"/>
  <c r="J323" i="71" s="1"/>
  <c r="N305" i="69"/>
  <c r="Z305" i="69" s="1"/>
  <c r="M305" i="69"/>
  <c r="D306" i="69"/>
  <c r="N322" i="71" l="1"/>
  <c r="M322" i="71"/>
  <c r="L322" i="71" s="1"/>
  <c r="D323" i="71"/>
  <c r="P305" i="69"/>
  <c r="L303" i="69"/>
  <c r="I306" i="69"/>
  <c r="H306" i="69"/>
  <c r="K306" i="69"/>
  <c r="S322" i="71" l="1"/>
  <c r="Z322" i="71"/>
  <c r="P322" i="71"/>
  <c r="Q322" i="71"/>
  <c r="I323" i="71"/>
  <c r="H323" i="71"/>
  <c r="K323" i="71"/>
  <c r="C307" i="69"/>
  <c r="A306" i="69"/>
  <c r="B307" i="69"/>
  <c r="C324" i="71" l="1"/>
  <c r="A323" i="71"/>
  <c r="N323" i="71" s="1"/>
  <c r="B324" i="71"/>
  <c r="N306" i="69"/>
  <c r="Z306" i="69" s="1"/>
  <c r="M306" i="69"/>
  <c r="E307" i="69"/>
  <c r="J307" i="69" s="1"/>
  <c r="S323" i="71" l="1"/>
  <c r="Z323" i="71"/>
  <c r="Q323" i="71" s="1"/>
  <c r="P323" i="71"/>
  <c r="E324" i="71"/>
  <c r="J324" i="71" s="1"/>
  <c r="M323" i="71"/>
  <c r="L323" i="71" s="1"/>
  <c r="P306" i="69"/>
  <c r="D307" i="69"/>
  <c r="H307" i="69" s="1"/>
  <c r="D324" i="71" l="1"/>
  <c r="I324" i="71" s="1"/>
  <c r="K307" i="69"/>
  <c r="C308" i="69" s="1"/>
  <c r="I307" i="69"/>
  <c r="L304" i="69"/>
  <c r="K324" i="71" l="1"/>
  <c r="B325" i="71" s="1"/>
  <c r="H324" i="71"/>
  <c r="B308" i="69"/>
  <c r="E308" i="69" s="1"/>
  <c r="J308" i="69" s="1"/>
  <c r="A307" i="69"/>
  <c r="A324" i="71" l="1"/>
  <c r="C325" i="71"/>
  <c r="E325" i="71"/>
  <c r="J325" i="71" s="1"/>
  <c r="N307" i="69"/>
  <c r="Z307" i="69" s="1"/>
  <c r="M307" i="69"/>
  <c r="L305" i="69"/>
  <c r="D308" i="69"/>
  <c r="N324" i="71" l="1"/>
  <c r="M324" i="71"/>
  <c r="L324" i="71" s="1"/>
  <c r="D325" i="71"/>
  <c r="P307" i="69"/>
  <c r="I308" i="69"/>
  <c r="H308" i="69"/>
  <c r="K308" i="69"/>
  <c r="S324" i="71" l="1"/>
  <c r="Z324" i="71"/>
  <c r="Q324" i="71" s="1"/>
  <c r="P324" i="71"/>
  <c r="I325" i="71"/>
  <c r="H325" i="71"/>
  <c r="K325" i="71"/>
  <c r="C309" i="69"/>
  <c r="A308" i="69"/>
  <c r="B309" i="69"/>
  <c r="C326" i="71" l="1"/>
  <c r="A325" i="71"/>
  <c r="N325" i="71" s="1"/>
  <c r="B326" i="71"/>
  <c r="N308" i="69"/>
  <c r="Z308" i="69" s="1"/>
  <c r="M308" i="69"/>
  <c r="E309" i="69"/>
  <c r="J309" i="69" s="1"/>
  <c r="S325" i="71" l="1"/>
  <c r="Z325" i="71"/>
  <c r="P325" i="71"/>
  <c r="Q325" i="71"/>
  <c r="E326" i="71"/>
  <c r="J326" i="71" s="1"/>
  <c r="M325" i="71"/>
  <c r="L325" i="71" s="1"/>
  <c r="P308" i="69"/>
  <c r="D309" i="69"/>
  <c r="H309" i="69" s="1"/>
  <c r="L306" i="69"/>
  <c r="D326" i="71" l="1"/>
  <c r="H326" i="71" s="1"/>
  <c r="K309" i="69"/>
  <c r="B310" i="69" s="1"/>
  <c r="I309" i="69"/>
  <c r="K326" i="71" l="1"/>
  <c r="C327" i="71" s="1"/>
  <c r="I326" i="71"/>
  <c r="A309" i="69"/>
  <c r="C310" i="69"/>
  <c r="E310" i="69"/>
  <c r="J310" i="69" s="1"/>
  <c r="A326" i="71" l="1"/>
  <c r="B327" i="71"/>
  <c r="E327" i="71" s="1"/>
  <c r="J327" i="71" s="1"/>
  <c r="N309" i="69"/>
  <c r="Z309" i="69" s="1"/>
  <c r="M309" i="69"/>
  <c r="D310" i="69"/>
  <c r="I310" i="69" s="1"/>
  <c r="N326" i="71" l="1"/>
  <c r="M326" i="71"/>
  <c r="L326" i="71" s="1"/>
  <c r="D327" i="71"/>
  <c r="P309" i="69"/>
  <c r="K310" i="69"/>
  <c r="C311" i="69" s="1"/>
  <c r="H310" i="69"/>
  <c r="L307" i="69"/>
  <c r="S326" i="71" l="1"/>
  <c r="Z326" i="71"/>
  <c r="Q326" i="71" s="1"/>
  <c r="P326" i="71"/>
  <c r="I327" i="71"/>
  <c r="H327" i="71"/>
  <c r="K327" i="71"/>
  <c r="A310" i="69"/>
  <c r="B311" i="69"/>
  <c r="E311" i="69" s="1"/>
  <c r="J311" i="69" s="1"/>
  <c r="C328" i="71" l="1"/>
  <c r="A327" i="71"/>
  <c r="N327" i="71" s="1"/>
  <c r="B328" i="71"/>
  <c r="M310" i="69"/>
  <c r="N310" i="69"/>
  <c r="Z310" i="69" s="1"/>
  <c r="D311" i="69"/>
  <c r="S327" i="71" l="1"/>
  <c r="Z327" i="71"/>
  <c r="Q327" i="71" s="1"/>
  <c r="P327" i="71"/>
  <c r="E328" i="71"/>
  <c r="J328" i="71" s="1"/>
  <c r="M327" i="71"/>
  <c r="L327" i="71" s="1"/>
  <c r="P310" i="69"/>
  <c r="H311" i="69"/>
  <c r="I311" i="69"/>
  <c r="K311" i="69"/>
  <c r="D328" i="71" l="1"/>
  <c r="H328" i="71" s="1"/>
  <c r="B312" i="69"/>
  <c r="C312" i="69"/>
  <c r="A311" i="69"/>
  <c r="L308" i="69"/>
  <c r="I328" i="71" l="1"/>
  <c r="K328" i="71"/>
  <c r="B329" i="71" s="1"/>
  <c r="N311" i="69"/>
  <c r="Z311" i="69" s="1"/>
  <c r="M311" i="69"/>
  <c r="E312" i="69"/>
  <c r="J312" i="69" s="1"/>
  <c r="C329" i="71" l="1"/>
  <c r="A328" i="71"/>
  <c r="E329" i="71"/>
  <c r="J329" i="71" s="1"/>
  <c r="P311" i="69"/>
  <c r="D312" i="69"/>
  <c r="N328" i="71" l="1"/>
  <c r="M328" i="71"/>
  <c r="L328" i="71" s="1"/>
  <c r="D329" i="71"/>
  <c r="I312" i="69"/>
  <c r="H312" i="69"/>
  <c r="K312" i="69"/>
  <c r="S328" i="71" l="1"/>
  <c r="Z328" i="71"/>
  <c r="Q328" i="71" s="1"/>
  <c r="P328" i="71"/>
  <c r="I329" i="71"/>
  <c r="H329" i="71"/>
  <c r="K329" i="71"/>
  <c r="C313" i="69"/>
  <c r="A312" i="69"/>
  <c r="B313" i="69"/>
  <c r="L309" i="69"/>
  <c r="C330" i="71" l="1"/>
  <c r="A329" i="71"/>
  <c r="N329" i="71" s="1"/>
  <c r="B330" i="71"/>
  <c r="N312" i="69"/>
  <c r="Z312" i="69" s="1"/>
  <c r="M312" i="69"/>
  <c r="E313" i="69"/>
  <c r="J313" i="69" s="1"/>
  <c r="S329" i="71" l="1"/>
  <c r="Z329" i="71"/>
  <c r="Q329" i="71" s="1"/>
  <c r="P329" i="71"/>
  <c r="E330" i="71"/>
  <c r="J330" i="71" s="1"/>
  <c r="M329" i="71"/>
  <c r="L329" i="71" s="1"/>
  <c r="P312" i="69"/>
  <c r="D313" i="69"/>
  <c r="D330" i="71" l="1"/>
  <c r="I330" i="71" s="1"/>
  <c r="H313" i="69"/>
  <c r="I313" i="69"/>
  <c r="K313" i="69"/>
  <c r="K330" i="71" l="1"/>
  <c r="A330" i="71" s="1"/>
  <c r="N330" i="71" s="1"/>
  <c r="H330" i="71"/>
  <c r="L310" i="69"/>
  <c r="B314" i="69"/>
  <c r="C314" i="69"/>
  <c r="A313" i="69"/>
  <c r="S330" i="71" l="1"/>
  <c r="Z330" i="71"/>
  <c r="Q330" i="71" s="1"/>
  <c r="P330" i="71"/>
  <c r="C331" i="71"/>
  <c r="B331" i="71"/>
  <c r="E331" i="71" s="1"/>
  <c r="J331" i="71" s="1"/>
  <c r="M330" i="71"/>
  <c r="L330" i="71" s="1"/>
  <c r="N313" i="69"/>
  <c r="Z313" i="69" s="1"/>
  <c r="M313" i="69"/>
  <c r="E314" i="69"/>
  <c r="J314" i="69" s="1"/>
  <c r="D331" i="71" l="1"/>
  <c r="P313" i="69"/>
  <c r="D314" i="69"/>
  <c r="I331" i="71" l="1"/>
  <c r="H331" i="71"/>
  <c r="K331" i="71"/>
  <c r="I314" i="69"/>
  <c r="H314" i="69"/>
  <c r="K314" i="69"/>
  <c r="C332" i="71" l="1"/>
  <c r="A331" i="71"/>
  <c r="N331" i="71" s="1"/>
  <c r="B332" i="71"/>
  <c r="C315" i="69"/>
  <c r="A314" i="69"/>
  <c r="B315" i="69"/>
  <c r="L311" i="69"/>
  <c r="S331" i="71" l="1"/>
  <c r="Z331" i="71"/>
  <c r="Q331" i="71" s="1"/>
  <c r="P331" i="71"/>
  <c r="E332" i="71"/>
  <c r="J332" i="71" s="1"/>
  <c r="M331" i="71"/>
  <c r="L331" i="71" s="1"/>
  <c r="N314" i="69"/>
  <c r="Z314" i="69" s="1"/>
  <c r="M314" i="69"/>
  <c r="E315" i="69"/>
  <c r="J315" i="69" s="1"/>
  <c r="D332" i="71" l="1"/>
  <c r="H332" i="71" s="1"/>
  <c r="P314" i="69"/>
  <c r="D315" i="69"/>
  <c r="K332" i="71" l="1"/>
  <c r="B333" i="71" s="1"/>
  <c r="I332" i="71"/>
  <c r="H315" i="69"/>
  <c r="I315" i="69"/>
  <c r="K315" i="69"/>
  <c r="A332" i="71" l="1"/>
  <c r="C333" i="71"/>
  <c r="E333" i="71"/>
  <c r="J333" i="71" s="1"/>
  <c r="L312" i="69"/>
  <c r="B316" i="69"/>
  <c r="C316" i="69"/>
  <c r="A315" i="69"/>
  <c r="N332" i="71" l="1"/>
  <c r="M332" i="71"/>
  <c r="L332" i="71" s="1"/>
  <c r="D333" i="71"/>
  <c r="N315" i="69"/>
  <c r="Z315" i="69" s="1"/>
  <c r="M315" i="69"/>
  <c r="E316" i="69"/>
  <c r="J316" i="69" s="1"/>
  <c r="S332" i="71" l="1"/>
  <c r="Z332" i="71"/>
  <c r="Q332" i="71" s="1"/>
  <c r="P332" i="71"/>
  <c r="I333" i="71"/>
  <c r="H333" i="71"/>
  <c r="K333" i="71"/>
  <c r="P315" i="69"/>
  <c r="D316" i="69"/>
  <c r="C334" i="71" l="1"/>
  <c r="A333" i="71"/>
  <c r="N333" i="71" s="1"/>
  <c r="B334" i="71"/>
  <c r="I316" i="69"/>
  <c r="H316" i="69"/>
  <c r="K316" i="69"/>
  <c r="L313" i="69"/>
  <c r="S333" i="71" l="1"/>
  <c r="Z333" i="71"/>
  <c r="P333" i="71"/>
  <c r="Q333" i="71"/>
  <c r="E334" i="71"/>
  <c r="J334" i="71" s="1"/>
  <c r="M333" i="71"/>
  <c r="L333" i="71" s="1"/>
  <c r="C317" i="69"/>
  <c r="A316" i="69"/>
  <c r="B317" i="69"/>
  <c r="D334" i="71" l="1"/>
  <c r="I334" i="71" s="1"/>
  <c r="N316" i="69"/>
  <c r="Z316" i="69" s="1"/>
  <c r="M316" i="69"/>
  <c r="E317" i="69"/>
  <c r="J317" i="69" s="1"/>
  <c r="K334" i="71" l="1"/>
  <c r="B335" i="71" s="1"/>
  <c r="H334" i="71"/>
  <c r="P316" i="69"/>
  <c r="D317" i="69"/>
  <c r="A334" i="71" l="1"/>
  <c r="C335" i="71"/>
  <c r="E335" i="71"/>
  <c r="J335" i="71" s="1"/>
  <c r="H317" i="69"/>
  <c r="I317" i="69"/>
  <c r="K317" i="69"/>
  <c r="L314" i="69"/>
  <c r="M334" i="71" l="1"/>
  <c r="L334" i="71" s="1"/>
  <c r="N334" i="71"/>
  <c r="D335" i="71"/>
  <c r="I335" i="71" s="1"/>
  <c r="B318" i="69"/>
  <c r="C318" i="69"/>
  <c r="A317" i="69"/>
  <c r="S334" i="71" l="1"/>
  <c r="Z334" i="71"/>
  <c r="Q334" i="71" s="1"/>
  <c r="P334" i="71"/>
  <c r="K335" i="71"/>
  <c r="C336" i="71" s="1"/>
  <c r="H335" i="71"/>
  <c r="N317" i="69"/>
  <c r="Z317" i="69" s="1"/>
  <c r="M317" i="69"/>
  <c r="E318" i="69"/>
  <c r="J318" i="69" s="1"/>
  <c r="B336" i="71" l="1"/>
  <c r="E336" i="71" s="1"/>
  <c r="J336" i="71" s="1"/>
  <c r="A335" i="71"/>
  <c r="P317" i="69"/>
  <c r="D318" i="69"/>
  <c r="K318" i="69" s="1"/>
  <c r="C319" i="69" s="1"/>
  <c r="N335" i="71" l="1"/>
  <c r="M335" i="71"/>
  <c r="L335" i="71" s="1"/>
  <c r="D336" i="71"/>
  <c r="H336" i="71" s="1"/>
  <c r="I318" i="69"/>
  <c r="H318" i="69"/>
  <c r="B319" i="69"/>
  <c r="E319" i="69" s="1"/>
  <c r="J319" i="69" s="1"/>
  <c r="A318" i="69"/>
  <c r="L315" i="69"/>
  <c r="S335" i="71" l="1"/>
  <c r="Z335" i="71"/>
  <c r="Q335" i="71" s="1"/>
  <c r="P335" i="71"/>
  <c r="K336" i="71"/>
  <c r="A336" i="71" s="1"/>
  <c r="N336" i="71" s="1"/>
  <c r="I336" i="71"/>
  <c r="N318" i="69"/>
  <c r="Z318" i="69" s="1"/>
  <c r="M318" i="69"/>
  <c r="D319" i="69"/>
  <c r="K319" i="69" s="1"/>
  <c r="B320" i="69" s="1"/>
  <c r="S336" i="71" l="1"/>
  <c r="Z336" i="71"/>
  <c r="Q336" i="71" s="1"/>
  <c r="P336" i="71"/>
  <c r="C337" i="71"/>
  <c r="B337" i="71"/>
  <c r="E337" i="71" s="1"/>
  <c r="J337" i="71" s="1"/>
  <c r="M336" i="71"/>
  <c r="L336" i="71" s="1"/>
  <c r="P318" i="69"/>
  <c r="H319" i="69"/>
  <c r="A319" i="69"/>
  <c r="C320" i="69"/>
  <c r="I319" i="69"/>
  <c r="E320" i="69"/>
  <c r="J320" i="69" s="1"/>
  <c r="D337" i="71" l="1"/>
  <c r="N319" i="69"/>
  <c r="Z319" i="69" s="1"/>
  <c r="M319" i="69"/>
  <c r="D320" i="69"/>
  <c r="I337" i="71" l="1"/>
  <c r="H337" i="71"/>
  <c r="K337" i="71"/>
  <c r="P319" i="69"/>
  <c r="L316" i="69"/>
  <c r="I320" i="69"/>
  <c r="H320" i="69"/>
  <c r="K320" i="69"/>
  <c r="C338" i="71" l="1"/>
  <c r="A337" i="71"/>
  <c r="N337" i="71" s="1"/>
  <c r="B338" i="71"/>
  <c r="C321" i="69"/>
  <c r="A320" i="69"/>
  <c r="B321" i="69"/>
  <c r="S337" i="71" l="1"/>
  <c r="Z337" i="71"/>
  <c r="Q337" i="71" s="1"/>
  <c r="P337" i="71"/>
  <c r="E338" i="71"/>
  <c r="J338" i="71" s="1"/>
  <c r="M337" i="71"/>
  <c r="L337" i="71" s="1"/>
  <c r="N320" i="69"/>
  <c r="Z320" i="69" s="1"/>
  <c r="M320" i="69"/>
  <c r="E321" i="69"/>
  <c r="J321" i="69" s="1"/>
  <c r="D338" i="71" l="1"/>
  <c r="I338" i="71" s="1"/>
  <c r="P320" i="69"/>
  <c r="L317" i="69"/>
  <c r="D321" i="69"/>
  <c r="K338" i="71" l="1"/>
  <c r="C339" i="71" s="1"/>
  <c r="H338" i="71"/>
  <c r="H321" i="69"/>
  <c r="I321" i="69"/>
  <c r="K321" i="69"/>
  <c r="B339" i="71" l="1"/>
  <c r="E339" i="71" s="1"/>
  <c r="J339" i="71" s="1"/>
  <c r="A338" i="71"/>
  <c r="B322" i="69"/>
  <c r="A321" i="69"/>
  <c r="C322" i="69"/>
  <c r="N338" i="71" l="1"/>
  <c r="M338" i="71"/>
  <c r="L338" i="71" s="1"/>
  <c r="D339" i="71"/>
  <c r="N321" i="69"/>
  <c r="Z321" i="69" s="1"/>
  <c r="M321" i="69"/>
  <c r="E322" i="69"/>
  <c r="J322" i="69" s="1"/>
  <c r="L318" i="69"/>
  <c r="S338" i="71" l="1"/>
  <c r="Z338" i="71"/>
  <c r="Q338" i="71" s="1"/>
  <c r="P338" i="71"/>
  <c r="I339" i="71"/>
  <c r="H339" i="71"/>
  <c r="K339" i="71"/>
  <c r="P321" i="69"/>
  <c r="D322" i="69"/>
  <c r="I322" i="69" s="1"/>
  <c r="C340" i="71" l="1"/>
  <c r="A339" i="71"/>
  <c r="N339" i="71" s="1"/>
  <c r="B340" i="71"/>
  <c r="H322" i="69"/>
  <c r="K322" i="69"/>
  <c r="C323" i="69" s="1"/>
  <c r="S339" i="71" l="1"/>
  <c r="Z339" i="71"/>
  <c r="Q339" i="71" s="1"/>
  <c r="P339" i="71"/>
  <c r="M339" i="71"/>
  <c r="L339" i="71" s="1"/>
  <c r="E340" i="71"/>
  <c r="J340" i="71" s="1"/>
  <c r="A322" i="69"/>
  <c r="B323" i="69"/>
  <c r="E323" i="69" s="1"/>
  <c r="J323" i="69" s="1"/>
  <c r="D340" i="71" l="1"/>
  <c r="H340" i="71" s="1"/>
  <c r="M322" i="69"/>
  <c r="N322" i="69"/>
  <c r="Z322" i="69" s="1"/>
  <c r="L319" i="69"/>
  <c r="D323" i="69"/>
  <c r="K340" i="71" l="1"/>
  <c r="B341" i="71" s="1"/>
  <c r="I340" i="71"/>
  <c r="P322" i="69"/>
  <c r="H323" i="69"/>
  <c r="I323" i="69"/>
  <c r="K323" i="69"/>
  <c r="C341" i="71" l="1"/>
  <c r="A340" i="71"/>
  <c r="E341" i="71"/>
  <c r="J341" i="71" s="1"/>
  <c r="B324" i="69"/>
  <c r="C324" i="69"/>
  <c r="A323" i="69"/>
  <c r="L320" i="69"/>
  <c r="N340" i="71" l="1"/>
  <c r="M340" i="71"/>
  <c r="L340" i="71" s="1"/>
  <c r="D341" i="71"/>
  <c r="K341" i="71" s="1"/>
  <c r="C342" i="71" s="1"/>
  <c r="N323" i="69"/>
  <c r="Z323" i="69" s="1"/>
  <c r="M323" i="69"/>
  <c r="E324" i="69"/>
  <c r="J324" i="69" s="1"/>
  <c r="S340" i="71" l="1"/>
  <c r="Z340" i="71"/>
  <c r="Q340" i="71" s="1"/>
  <c r="P340" i="71"/>
  <c r="H341" i="71"/>
  <c r="I341" i="71"/>
  <c r="B342" i="71"/>
  <c r="E342" i="71" s="1"/>
  <c r="J342" i="71" s="1"/>
  <c r="A341" i="71"/>
  <c r="P323" i="69"/>
  <c r="D324" i="69"/>
  <c r="N341" i="71" l="1"/>
  <c r="D342" i="71"/>
  <c r="H342" i="71" s="1"/>
  <c r="M341" i="71"/>
  <c r="L341" i="71" s="1"/>
  <c r="I324" i="69"/>
  <c r="H324" i="69"/>
  <c r="K324" i="69"/>
  <c r="S341" i="71" l="1"/>
  <c r="Z341" i="71"/>
  <c r="Q341" i="71" s="1"/>
  <c r="P341" i="71"/>
  <c r="K342" i="71"/>
  <c r="A342" i="71" s="1"/>
  <c r="N342" i="71" s="1"/>
  <c r="I342" i="71"/>
  <c r="C325" i="69"/>
  <c r="A324" i="69"/>
  <c r="B325" i="69"/>
  <c r="L321" i="69"/>
  <c r="S342" i="71" l="1"/>
  <c r="Z342" i="71"/>
  <c r="Q342" i="71" s="1"/>
  <c r="P342" i="71"/>
  <c r="B343" i="71"/>
  <c r="E343" i="71" s="1"/>
  <c r="J343" i="71" s="1"/>
  <c r="C343" i="71"/>
  <c r="M342" i="71"/>
  <c r="L342" i="71" s="1"/>
  <c r="N324" i="69"/>
  <c r="Z324" i="69" s="1"/>
  <c r="M324" i="69"/>
  <c r="E325" i="69"/>
  <c r="J325" i="69" s="1"/>
  <c r="D343" i="71" l="1"/>
  <c r="P324" i="69"/>
  <c r="D325" i="69"/>
  <c r="H325" i="69" s="1"/>
  <c r="I343" i="71" l="1"/>
  <c r="H343" i="71"/>
  <c r="K343" i="71"/>
  <c r="K325" i="69"/>
  <c r="B326" i="69" s="1"/>
  <c r="I325" i="69"/>
  <c r="L322" i="69"/>
  <c r="C344" i="71" l="1"/>
  <c r="A343" i="71"/>
  <c r="N343" i="71" s="1"/>
  <c r="B344" i="71"/>
  <c r="C326" i="69"/>
  <c r="A325" i="69"/>
  <c r="E326" i="69"/>
  <c r="J326" i="69" s="1"/>
  <c r="S343" i="71" l="1"/>
  <c r="Z343" i="71"/>
  <c r="Q343" i="71" s="1"/>
  <c r="P343" i="71"/>
  <c r="M343" i="71"/>
  <c r="L343" i="71" s="1"/>
  <c r="E344" i="71"/>
  <c r="J344" i="71" s="1"/>
  <c r="N325" i="69"/>
  <c r="Z325" i="69" s="1"/>
  <c r="M325" i="69"/>
  <c r="L323" i="69"/>
  <c r="D326" i="69"/>
  <c r="D344" i="71" l="1"/>
  <c r="K344" i="71" s="1"/>
  <c r="B345" i="71" s="1"/>
  <c r="P325" i="69"/>
  <c r="I326" i="69"/>
  <c r="H326" i="69"/>
  <c r="K326" i="69"/>
  <c r="A344" i="71" l="1"/>
  <c r="I344" i="71"/>
  <c r="H344" i="71"/>
  <c r="C345" i="71"/>
  <c r="E345" i="71"/>
  <c r="J345" i="71" s="1"/>
  <c r="C327" i="69"/>
  <c r="A326" i="69"/>
  <c r="B327" i="69"/>
  <c r="L324" i="69"/>
  <c r="M344" i="71" l="1"/>
  <c r="L344" i="71" s="1"/>
  <c r="N344" i="71"/>
  <c r="D345" i="71"/>
  <c r="N326" i="69"/>
  <c r="Z326" i="69" s="1"/>
  <c r="M326" i="69"/>
  <c r="E327" i="69"/>
  <c r="J327" i="69" s="1"/>
  <c r="S344" i="71" l="1"/>
  <c r="Z344" i="71"/>
  <c r="Q344" i="71" s="1"/>
  <c r="P344" i="71"/>
  <c r="I345" i="71"/>
  <c r="H345" i="71"/>
  <c r="K345" i="71"/>
  <c r="P326" i="69"/>
  <c r="D327" i="69"/>
  <c r="H327" i="69" s="1"/>
  <c r="C346" i="71" l="1"/>
  <c r="A345" i="71"/>
  <c r="N345" i="71" s="1"/>
  <c r="B346" i="71"/>
  <c r="I327" i="69"/>
  <c r="K327" i="69"/>
  <c r="C328" i="69" s="1"/>
  <c r="S345" i="71" l="1"/>
  <c r="Z345" i="71"/>
  <c r="Q345" i="71" s="1"/>
  <c r="P345" i="71"/>
  <c r="E346" i="71"/>
  <c r="J346" i="71" s="1"/>
  <c r="M345" i="71"/>
  <c r="L345" i="71" s="1"/>
  <c r="A327" i="69"/>
  <c r="B328" i="69"/>
  <c r="E328" i="69" s="1"/>
  <c r="J328" i="69" s="1"/>
  <c r="L325" i="69"/>
  <c r="D346" i="71" l="1"/>
  <c r="K346" i="71" s="1"/>
  <c r="C347" i="71" s="1"/>
  <c r="N327" i="69"/>
  <c r="Z327" i="69" s="1"/>
  <c r="M327" i="69"/>
  <c r="D328" i="69"/>
  <c r="H346" i="71" l="1"/>
  <c r="I346" i="71"/>
  <c r="A346" i="71"/>
  <c r="B347" i="71"/>
  <c r="E347" i="71" s="1"/>
  <c r="J347" i="71" s="1"/>
  <c r="P327" i="69"/>
  <c r="I328" i="69"/>
  <c r="H328" i="69"/>
  <c r="K328" i="69"/>
  <c r="N346" i="71" l="1"/>
  <c r="M346" i="71"/>
  <c r="L346" i="71" s="1"/>
  <c r="D347" i="71"/>
  <c r="L326" i="69"/>
  <c r="C329" i="69"/>
  <c r="A328" i="69"/>
  <c r="B329" i="69"/>
  <c r="S346" i="71" l="1"/>
  <c r="Z346" i="71"/>
  <c r="Q346" i="71" s="1"/>
  <c r="P346" i="71"/>
  <c r="I347" i="71"/>
  <c r="H347" i="71"/>
  <c r="K347" i="71"/>
  <c r="N328" i="69"/>
  <c r="Z328" i="69" s="1"/>
  <c r="M328" i="69"/>
  <c r="E329" i="69"/>
  <c r="J329" i="69" s="1"/>
  <c r="C348" i="71" l="1"/>
  <c r="A347" i="71"/>
  <c r="N347" i="71" s="1"/>
  <c r="B348" i="71"/>
  <c r="P328" i="69"/>
  <c r="D329" i="69"/>
  <c r="S347" i="71" l="1"/>
  <c r="Z347" i="71"/>
  <c r="Q347" i="71" s="1"/>
  <c r="P347" i="71"/>
  <c r="E348" i="71"/>
  <c r="J348" i="71" s="1"/>
  <c r="M347" i="71"/>
  <c r="L347" i="71" s="1"/>
  <c r="L327" i="69"/>
  <c r="H329" i="69"/>
  <c r="I329" i="69"/>
  <c r="K329" i="69"/>
  <c r="D348" i="71" l="1"/>
  <c r="H348" i="71" s="1"/>
  <c r="B330" i="69"/>
  <c r="A329" i="69"/>
  <c r="C330" i="69"/>
  <c r="I348" i="71" l="1"/>
  <c r="K348" i="71"/>
  <c r="B349" i="71" s="1"/>
  <c r="N329" i="69"/>
  <c r="Z329" i="69" s="1"/>
  <c r="M329" i="69"/>
  <c r="E330" i="69"/>
  <c r="J330" i="69" s="1"/>
  <c r="C349" i="71" l="1"/>
  <c r="A348" i="71"/>
  <c r="E349" i="71"/>
  <c r="J349" i="71" s="1"/>
  <c r="P329" i="69"/>
  <c r="D330" i="69"/>
  <c r="I330" i="69" s="1"/>
  <c r="L328" i="69"/>
  <c r="M348" i="71" l="1"/>
  <c r="L348" i="71" s="1"/>
  <c r="N348" i="71"/>
  <c r="D349" i="71"/>
  <c r="K330" i="69"/>
  <c r="C331" i="69" s="1"/>
  <c r="H330" i="69"/>
  <c r="S348" i="71" l="1"/>
  <c r="Z348" i="71"/>
  <c r="Q348" i="71" s="1"/>
  <c r="P348" i="71"/>
  <c r="I349" i="71"/>
  <c r="H349" i="71"/>
  <c r="K349" i="71"/>
  <c r="B331" i="69"/>
  <c r="E331" i="69" s="1"/>
  <c r="J331" i="69" s="1"/>
  <c r="A330" i="69"/>
  <c r="C350" i="71" l="1"/>
  <c r="A349" i="71"/>
  <c r="N349" i="71" s="1"/>
  <c r="B350" i="71"/>
  <c r="N330" i="69"/>
  <c r="Z330" i="69" s="1"/>
  <c r="M330" i="69"/>
  <c r="D331" i="69"/>
  <c r="S349" i="71" l="1"/>
  <c r="Z349" i="71"/>
  <c r="Q349" i="71" s="1"/>
  <c r="P349" i="71"/>
  <c r="M349" i="71"/>
  <c r="L349" i="71" s="1"/>
  <c r="E350" i="71"/>
  <c r="J350" i="71" s="1"/>
  <c r="P330" i="69"/>
  <c r="H331" i="69"/>
  <c r="I331" i="69"/>
  <c r="K331" i="69"/>
  <c r="L329" i="69"/>
  <c r="D350" i="71" l="1"/>
  <c r="I350" i="71" s="1"/>
  <c r="B332" i="69"/>
  <c r="C332" i="69"/>
  <c r="A331" i="69"/>
  <c r="K350" i="71" l="1"/>
  <c r="A350" i="71" s="1"/>
  <c r="N350" i="71" s="1"/>
  <c r="H350" i="71"/>
  <c r="N331" i="69"/>
  <c r="Z331" i="69" s="1"/>
  <c r="M331" i="69"/>
  <c r="E332" i="69"/>
  <c r="J332" i="69" s="1"/>
  <c r="S350" i="71" l="1"/>
  <c r="Z350" i="71"/>
  <c r="Q350" i="71" s="1"/>
  <c r="P350" i="71"/>
  <c r="C351" i="71"/>
  <c r="B351" i="71"/>
  <c r="E351" i="71" s="1"/>
  <c r="J351" i="71" s="1"/>
  <c r="M350" i="71"/>
  <c r="L350" i="71" s="1"/>
  <c r="P331" i="69"/>
  <c r="D332" i="69"/>
  <c r="D351" i="71" l="1"/>
  <c r="I351" i="71" s="1"/>
  <c r="L330" i="69"/>
  <c r="I332" i="69"/>
  <c r="H332" i="69"/>
  <c r="K332" i="69"/>
  <c r="K351" i="71" l="1"/>
  <c r="C352" i="71" s="1"/>
  <c r="H351" i="71"/>
  <c r="C333" i="69"/>
  <c r="A332" i="69"/>
  <c r="B333" i="69"/>
  <c r="B352" i="71" l="1"/>
  <c r="E352" i="71" s="1"/>
  <c r="J352" i="71" s="1"/>
  <c r="A351" i="71"/>
  <c r="N332" i="69"/>
  <c r="Z332" i="69" s="1"/>
  <c r="M332" i="69"/>
  <c r="E333" i="69"/>
  <c r="J333" i="69" s="1"/>
  <c r="N351" i="71" l="1"/>
  <c r="M351" i="71"/>
  <c r="L351" i="71" s="1"/>
  <c r="D352" i="71"/>
  <c r="H352" i="71" s="1"/>
  <c r="P332" i="69"/>
  <c r="D333" i="69"/>
  <c r="L331" i="69"/>
  <c r="S351" i="71" l="1"/>
  <c r="Z351" i="71"/>
  <c r="Q351" i="71" s="1"/>
  <c r="P351" i="71"/>
  <c r="I352" i="71"/>
  <c r="K352" i="71"/>
  <c r="B353" i="71" s="1"/>
  <c r="H333" i="69"/>
  <c r="I333" i="69"/>
  <c r="K333" i="69"/>
  <c r="A352" i="71" l="1"/>
  <c r="C353" i="71"/>
  <c r="E353" i="71"/>
  <c r="J353" i="71" s="1"/>
  <c r="B334" i="69"/>
  <c r="C334" i="69"/>
  <c r="A333" i="69"/>
  <c r="N352" i="71" l="1"/>
  <c r="M352" i="71"/>
  <c r="L352" i="71" s="1"/>
  <c r="D353" i="71"/>
  <c r="N333" i="69"/>
  <c r="Z333" i="69" s="1"/>
  <c r="M333" i="69"/>
  <c r="E334" i="69"/>
  <c r="J334" i="69" s="1"/>
  <c r="S352" i="71" l="1"/>
  <c r="Z352" i="71"/>
  <c r="Q352" i="71" s="1"/>
  <c r="P352" i="71"/>
  <c r="I353" i="71"/>
  <c r="H353" i="71"/>
  <c r="K353" i="71"/>
  <c r="P333" i="69"/>
  <c r="L332" i="69"/>
  <c r="D334" i="69"/>
  <c r="C354" i="71" l="1"/>
  <c r="A353" i="71"/>
  <c r="N353" i="71" s="1"/>
  <c r="B354" i="71"/>
  <c r="I334" i="69"/>
  <c r="H334" i="69"/>
  <c r="K334" i="69"/>
  <c r="S353" i="71" l="1"/>
  <c r="Z353" i="71"/>
  <c r="Q353" i="71" s="1"/>
  <c r="P353" i="71"/>
  <c r="E354" i="71"/>
  <c r="J354" i="71" s="1"/>
  <c r="M353" i="71"/>
  <c r="L353" i="71" s="1"/>
  <c r="C335" i="69"/>
  <c r="A334" i="69"/>
  <c r="B335" i="69"/>
  <c r="D354" i="71" l="1"/>
  <c r="I354" i="71" s="1"/>
  <c r="N334" i="69"/>
  <c r="Z334" i="69" s="1"/>
  <c r="M334" i="69"/>
  <c r="E335" i="69"/>
  <c r="J335" i="69" s="1"/>
  <c r="H354" i="71" l="1"/>
  <c r="K354" i="71"/>
  <c r="B355" i="71" s="1"/>
  <c r="P334" i="69"/>
  <c r="D335" i="69"/>
  <c r="K335" i="69" s="1"/>
  <c r="B336" i="69" s="1"/>
  <c r="L333" i="69"/>
  <c r="A354" i="71" l="1"/>
  <c r="C355" i="71"/>
  <c r="E355" i="71"/>
  <c r="J355" i="71" s="1"/>
  <c r="I335" i="69"/>
  <c r="C336" i="69"/>
  <c r="H335" i="69"/>
  <c r="A335" i="69"/>
  <c r="E336" i="69"/>
  <c r="J336" i="69" s="1"/>
  <c r="M354" i="71" l="1"/>
  <c r="L354" i="71" s="1"/>
  <c r="N354" i="71"/>
  <c r="D355" i="71"/>
  <c r="N335" i="69"/>
  <c r="Z335" i="69" s="1"/>
  <c r="M335" i="69"/>
  <c r="D336" i="69"/>
  <c r="S354" i="71" l="1"/>
  <c r="Z354" i="71"/>
  <c r="Q354" i="71" s="1"/>
  <c r="P354" i="71"/>
  <c r="I355" i="71"/>
  <c r="H355" i="71"/>
  <c r="K355" i="71"/>
  <c r="P335" i="69"/>
  <c r="I336" i="69"/>
  <c r="H336" i="69"/>
  <c r="K336" i="69"/>
  <c r="C356" i="71" l="1"/>
  <c r="A355" i="71"/>
  <c r="N355" i="71" s="1"/>
  <c r="B356" i="71"/>
  <c r="L334" i="69"/>
  <c r="C337" i="69"/>
  <c r="A336" i="69"/>
  <c r="B337" i="69"/>
  <c r="S355" i="71" l="1"/>
  <c r="Z355" i="71"/>
  <c r="P355" i="71"/>
  <c r="Q355" i="71"/>
  <c r="E356" i="71"/>
  <c r="J356" i="71" s="1"/>
  <c r="M355" i="71"/>
  <c r="L355" i="71" s="1"/>
  <c r="N336" i="69"/>
  <c r="Z336" i="69" s="1"/>
  <c r="M336" i="69"/>
  <c r="E337" i="69"/>
  <c r="J337" i="69" s="1"/>
  <c r="D356" i="71" l="1"/>
  <c r="H356" i="71" s="1"/>
  <c r="P336" i="69"/>
  <c r="D337" i="69"/>
  <c r="K356" i="71" l="1"/>
  <c r="C357" i="71" s="1"/>
  <c r="I356" i="71"/>
  <c r="H337" i="69"/>
  <c r="I337" i="69"/>
  <c r="K337" i="69"/>
  <c r="A356" i="71" l="1"/>
  <c r="B357" i="71"/>
  <c r="E357" i="71" s="1"/>
  <c r="J357" i="71" s="1"/>
  <c r="L335" i="69"/>
  <c r="B338" i="69"/>
  <c r="C338" i="69"/>
  <c r="A337" i="69"/>
  <c r="M356" i="71" l="1"/>
  <c r="L356" i="71" s="1"/>
  <c r="N356" i="71"/>
  <c r="D357" i="71"/>
  <c r="I357" i="71" s="1"/>
  <c r="N337" i="69"/>
  <c r="Z337" i="69" s="1"/>
  <c r="M337" i="69"/>
  <c r="E338" i="69"/>
  <c r="J338" i="69" s="1"/>
  <c r="S356" i="71" l="1"/>
  <c r="Z356" i="71"/>
  <c r="Q356" i="71" s="1"/>
  <c r="P356" i="71"/>
  <c r="K357" i="71"/>
  <c r="C358" i="71" s="1"/>
  <c r="H357" i="71"/>
  <c r="P337" i="69"/>
  <c r="D338" i="69"/>
  <c r="B358" i="71" l="1"/>
  <c r="E358" i="71" s="1"/>
  <c r="J358" i="71" s="1"/>
  <c r="A357" i="71"/>
  <c r="I338" i="69"/>
  <c r="H338" i="69"/>
  <c r="K338" i="69"/>
  <c r="N357" i="71" l="1"/>
  <c r="M357" i="71"/>
  <c r="L357" i="71" s="1"/>
  <c r="D358" i="71"/>
  <c r="K358" i="71" s="1"/>
  <c r="C359" i="71" s="1"/>
  <c r="L336" i="69"/>
  <c r="C339" i="69"/>
  <c r="A338" i="69"/>
  <c r="B339" i="69"/>
  <c r="S357" i="71" l="1"/>
  <c r="Z357" i="71"/>
  <c r="P357" i="71"/>
  <c r="Q357" i="71"/>
  <c r="I358" i="71"/>
  <c r="H358" i="71"/>
  <c r="B359" i="71"/>
  <c r="E359" i="71" s="1"/>
  <c r="J359" i="71" s="1"/>
  <c r="A358" i="71"/>
  <c r="N338" i="69"/>
  <c r="Z338" i="69" s="1"/>
  <c r="M338" i="69"/>
  <c r="E339" i="69"/>
  <c r="J339" i="69" s="1"/>
  <c r="M358" i="71" l="1"/>
  <c r="L358" i="71" s="1"/>
  <c r="N358" i="71"/>
  <c r="D359" i="71"/>
  <c r="I359" i="71" s="1"/>
  <c r="P338" i="69"/>
  <c r="D339" i="69"/>
  <c r="S358" i="71" l="1"/>
  <c r="Z358" i="71"/>
  <c r="Q358" i="71" s="1"/>
  <c r="P358" i="71"/>
  <c r="H359" i="71"/>
  <c r="K359" i="71"/>
  <c r="C360" i="71" s="1"/>
  <c r="H339" i="69"/>
  <c r="I339" i="69"/>
  <c r="K339" i="69"/>
  <c r="B360" i="71" l="1"/>
  <c r="E360" i="71" s="1"/>
  <c r="A359" i="71"/>
  <c r="L337" i="69"/>
  <c r="B340" i="69"/>
  <c r="C340" i="69"/>
  <c r="A339" i="69"/>
  <c r="N359" i="71" l="1"/>
  <c r="J360" i="71"/>
  <c r="D360" i="71"/>
  <c r="I360" i="71" s="1"/>
  <c r="M359" i="71"/>
  <c r="L359" i="71" s="1"/>
  <c r="N339" i="69"/>
  <c r="Z339" i="69" s="1"/>
  <c r="M339" i="69"/>
  <c r="E340" i="69"/>
  <c r="J340" i="69" s="1"/>
  <c r="S359" i="71" l="1"/>
  <c r="Z359" i="71"/>
  <c r="Q359" i="71" s="1"/>
  <c r="P359" i="71"/>
  <c r="K360" i="71"/>
  <c r="C361" i="71" s="1"/>
  <c r="H360" i="71"/>
  <c r="P339" i="69"/>
  <c r="D340" i="69"/>
  <c r="B361" i="71" l="1"/>
  <c r="E361" i="71" s="1"/>
  <c r="J361" i="71" s="1"/>
  <c r="A360" i="71"/>
  <c r="I340" i="69"/>
  <c r="H340" i="69"/>
  <c r="K340" i="69"/>
  <c r="M360" i="71" l="1"/>
  <c r="L360" i="71" s="1"/>
  <c r="N360" i="71"/>
  <c r="D361" i="71"/>
  <c r="I361" i="71" s="1"/>
  <c r="C341" i="69"/>
  <c r="A340" i="69"/>
  <c r="B341" i="69"/>
  <c r="L338" i="69"/>
  <c r="S360" i="71" l="1"/>
  <c r="Z360" i="71"/>
  <c r="Q360" i="71" s="1"/>
  <c r="P360" i="71"/>
  <c r="K361" i="71"/>
  <c r="A361" i="71" s="1"/>
  <c r="N361" i="71" s="1"/>
  <c r="H361" i="71"/>
  <c r="N340" i="69"/>
  <c r="Z340" i="69" s="1"/>
  <c r="M340" i="69"/>
  <c r="E341" i="69"/>
  <c r="J341" i="69" s="1"/>
  <c r="S361" i="71" l="1"/>
  <c r="Z361" i="71"/>
  <c r="Q361" i="71" s="1"/>
  <c r="P361" i="71"/>
  <c r="B362" i="71"/>
  <c r="E362" i="71" s="1"/>
  <c r="J362" i="71" s="1"/>
  <c r="C362" i="71"/>
  <c r="M361" i="71"/>
  <c r="L361" i="71" s="1"/>
  <c r="P340" i="69"/>
  <c r="D341" i="69"/>
  <c r="K341" i="69" s="1"/>
  <c r="C342" i="69" s="1"/>
  <c r="D362" i="71" l="1"/>
  <c r="K362" i="71" s="1"/>
  <c r="C363" i="71" s="1"/>
  <c r="I341" i="69"/>
  <c r="H341" i="69"/>
  <c r="A341" i="69"/>
  <c r="B342" i="69"/>
  <c r="E342" i="69" s="1"/>
  <c r="J342" i="69" s="1"/>
  <c r="H362" i="71" l="1"/>
  <c r="I362" i="71"/>
  <c r="A362" i="71"/>
  <c r="B363" i="71"/>
  <c r="E363" i="71" s="1"/>
  <c r="J363" i="71" s="1"/>
  <c r="N341" i="69"/>
  <c r="Z341" i="69" s="1"/>
  <c r="M341" i="69"/>
  <c r="D342" i="69"/>
  <c r="I342" i="69" s="1"/>
  <c r="L339" i="69"/>
  <c r="N362" i="71" l="1"/>
  <c r="M362" i="71"/>
  <c r="L362" i="71" s="1"/>
  <c r="D363" i="71"/>
  <c r="P341" i="69"/>
  <c r="H342" i="69"/>
  <c r="K342" i="69"/>
  <c r="C343" i="69" s="1"/>
  <c r="S362" i="71" l="1"/>
  <c r="Z362" i="71"/>
  <c r="Q362" i="71" s="1"/>
  <c r="P362" i="71"/>
  <c r="I363" i="71"/>
  <c r="H363" i="71"/>
  <c r="K363" i="71"/>
  <c r="B343" i="69"/>
  <c r="E343" i="69" s="1"/>
  <c r="J343" i="69" s="1"/>
  <c r="A342" i="69"/>
  <c r="C364" i="71" l="1"/>
  <c r="A363" i="71"/>
  <c r="N363" i="71" s="1"/>
  <c r="B364" i="71"/>
  <c r="N342" i="69"/>
  <c r="Z342" i="69" s="1"/>
  <c r="M342" i="69"/>
  <c r="D343" i="69"/>
  <c r="S363" i="71" l="1"/>
  <c r="Z363" i="71"/>
  <c r="P363" i="71"/>
  <c r="Q363" i="71"/>
  <c r="M363" i="71"/>
  <c r="L363" i="71" s="1"/>
  <c r="E364" i="71"/>
  <c r="J364" i="71" s="1"/>
  <c r="P342" i="69"/>
  <c r="H343" i="69"/>
  <c r="I343" i="69"/>
  <c r="K343" i="69"/>
  <c r="L340" i="69"/>
  <c r="D364" i="71" l="1"/>
  <c r="K364" i="71" s="1"/>
  <c r="C365" i="71" s="1"/>
  <c r="B344" i="69"/>
  <c r="C344" i="69"/>
  <c r="A343" i="69"/>
  <c r="A364" i="71" l="1"/>
  <c r="H364" i="71"/>
  <c r="I364" i="71"/>
  <c r="B365" i="71"/>
  <c r="E365" i="71" s="1"/>
  <c r="J365" i="71" s="1"/>
  <c r="N343" i="69"/>
  <c r="Z343" i="69" s="1"/>
  <c r="M343" i="69"/>
  <c r="E344" i="69"/>
  <c r="J344" i="69" s="1"/>
  <c r="M364" i="71" l="1"/>
  <c r="L364" i="71" s="1"/>
  <c r="N364" i="71"/>
  <c r="D365" i="71"/>
  <c r="P343" i="69"/>
  <c r="D344" i="69"/>
  <c r="I344" i="69" s="1"/>
  <c r="S364" i="71" l="1"/>
  <c r="Z364" i="71"/>
  <c r="P364" i="71"/>
  <c r="Q364" i="71"/>
  <c r="I365" i="71"/>
  <c r="H365" i="71"/>
  <c r="K365" i="71"/>
  <c r="K344" i="69"/>
  <c r="C345" i="69" s="1"/>
  <c r="H344" i="69"/>
  <c r="L341" i="69"/>
  <c r="C366" i="71" l="1"/>
  <c r="A365" i="71"/>
  <c r="N365" i="71" s="1"/>
  <c r="B366" i="71"/>
  <c r="B345" i="69"/>
  <c r="E345" i="69" s="1"/>
  <c r="J345" i="69" s="1"/>
  <c r="A344" i="69"/>
  <c r="S365" i="71" l="1"/>
  <c r="Z365" i="71"/>
  <c r="Q365" i="71" s="1"/>
  <c r="P365" i="71"/>
  <c r="M365" i="71"/>
  <c r="L365" i="71" s="1"/>
  <c r="E366" i="71"/>
  <c r="J366" i="71" s="1"/>
  <c r="N344" i="69"/>
  <c r="Z344" i="69" s="1"/>
  <c r="M344" i="69"/>
  <c r="D345" i="69"/>
  <c r="K345" i="69" s="1"/>
  <c r="B346" i="69" s="1"/>
  <c r="D366" i="71" l="1"/>
  <c r="P344" i="69"/>
  <c r="H345" i="69"/>
  <c r="A345" i="69"/>
  <c r="C346" i="69"/>
  <c r="I345" i="69"/>
  <c r="E346" i="69"/>
  <c r="J346" i="69" s="1"/>
  <c r="I366" i="71" l="1"/>
  <c r="H366" i="71"/>
  <c r="K366" i="71"/>
  <c r="N345" i="69"/>
  <c r="Z345" i="69" s="1"/>
  <c r="M345" i="69"/>
  <c r="D346" i="69"/>
  <c r="I346" i="69" s="1"/>
  <c r="L342" i="69"/>
  <c r="C367" i="71" l="1"/>
  <c r="A366" i="71"/>
  <c r="N366" i="71" s="1"/>
  <c r="B367" i="71"/>
  <c r="P345" i="69"/>
  <c r="K346" i="69"/>
  <c r="C347" i="69" s="1"/>
  <c r="H346" i="69"/>
  <c r="S366" i="71" l="1"/>
  <c r="Z366" i="71"/>
  <c r="Q366" i="71" s="1"/>
  <c r="P366" i="71"/>
  <c r="E367" i="71"/>
  <c r="J367" i="71" s="1"/>
  <c r="M366" i="71"/>
  <c r="L366" i="71" s="1"/>
  <c r="B347" i="69"/>
  <c r="E347" i="69" s="1"/>
  <c r="J347" i="69" s="1"/>
  <c r="A346" i="69"/>
  <c r="L343" i="69"/>
  <c r="D367" i="71" l="1"/>
  <c r="H367" i="71" s="1"/>
  <c r="N346" i="69"/>
  <c r="Z346" i="69" s="1"/>
  <c r="M346" i="69"/>
  <c r="D347" i="69"/>
  <c r="K347" i="69" s="1"/>
  <c r="A347" i="69" s="1"/>
  <c r="K367" i="71" l="1"/>
  <c r="C368" i="71" s="1"/>
  <c r="I367" i="71"/>
  <c r="P346" i="69"/>
  <c r="C348" i="69"/>
  <c r="B348" i="69"/>
  <c r="E348" i="69" s="1"/>
  <c r="J348" i="69" s="1"/>
  <c r="I347" i="69"/>
  <c r="H347" i="69"/>
  <c r="N347" i="69"/>
  <c r="Z347" i="69" s="1"/>
  <c r="M347" i="69"/>
  <c r="B368" i="71" l="1"/>
  <c r="E368" i="71" s="1"/>
  <c r="J368" i="71" s="1"/>
  <c r="A367" i="71"/>
  <c r="P347" i="69"/>
  <c r="D348" i="69"/>
  <c r="I348" i="69" s="1"/>
  <c r="N367" i="71" l="1"/>
  <c r="M367" i="71"/>
  <c r="L367" i="71" s="1"/>
  <c r="D368" i="71"/>
  <c r="I368" i="71" s="1"/>
  <c r="K348" i="69"/>
  <c r="A348" i="69" s="1"/>
  <c r="H348" i="69"/>
  <c r="L344" i="69"/>
  <c r="S367" i="71" l="1"/>
  <c r="Z367" i="71"/>
  <c r="P367" i="71"/>
  <c r="Q367" i="71"/>
  <c r="H368" i="71"/>
  <c r="K368" i="71"/>
  <c r="C369" i="71" s="1"/>
  <c r="C349" i="69"/>
  <c r="B349" i="69"/>
  <c r="E349" i="69" s="1"/>
  <c r="J349" i="69" s="1"/>
  <c r="N348" i="69"/>
  <c r="Z348" i="69" s="1"/>
  <c r="M348" i="69"/>
  <c r="B369" i="71" l="1"/>
  <c r="E369" i="71" s="1"/>
  <c r="J369" i="71" s="1"/>
  <c r="A368" i="71"/>
  <c r="P348" i="69"/>
  <c r="D349" i="69"/>
  <c r="M368" i="71" l="1"/>
  <c r="L368" i="71" s="1"/>
  <c r="N368" i="71"/>
  <c r="D369" i="71"/>
  <c r="K369" i="71" s="1"/>
  <c r="C370" i="71" s="1"/>
  <c r="H349" i="69"/>
  <c r="I349" i="69"/>
  <c r="K349" i="69"/>
  <c r="L345" i="69"/>
  <c r="S368" i="71" l="1"/>
  <c r="Z368" i="71"/>
  <c r="P368" i="71"/>
  <c r="Q368" i="71"/>
  <c r="I369" i="71"/>
  <c r="H369" i="71"/>
  <c r="B370" i="71"/>
  <c r="E370" i="71" s="1"/>
  <c r="J370" i="71" s="1"/>
  <c r="A369" i="71"/>
  <c r="B350" i="69"/>
  <c r="C350" i="69"/>
  <c r="A349" i="69"/>
  <c r="M369" i="71" l="1"/>
  <c r="L369" i="71" s="1"/>
  <c r="N369" i="71"/>
  <c r="D370" i="71"/>
  <c r="I370" i="71" s="1"/>
  <c r="N349" i="69"/>
  <c r="Z349" i="69" s="1"/>
  <c r="M349" i="69"/>
  <c r="E350" i="69"/>
  <c r="J350" i="69" s="1"/>
  <c r="S369" i="71" l="1"/>
  <c r="Z369" i="71"/>
  <c r="Q369" i="71" s="1"/>
  <c r="P369" i="71"/>
  <c r="K370" i="71"/>
  <c r="C371" i="71" s="1"/>
  <c r="H370" i="71"/>
  <c r="P349" i="69"/>
  <c r="D350" i="69"/>
  <c r="B371" i="71" l="1"/>
  <c r="E371" i="71" s="1"/>
  <c r="J371" i="71" s="1"/>
  <c r="A370" i="71"/>
  <c r="L346" i="69"/>
  <c r="I350" i="69"/>
  <c r="H350" i="69"/>
  <c r="K350" i="69"/>
  <c r="M370" i="71" l="1"/>
  <c r="L370" i="71" s="1"/>
  <c r="N370" i="71"/>
  <c r="D371" i="71"/>
  <c r="I371" i="71" s="1"/>
  <c r="C351" i="69"/>
  <c r="A350" i="69"/>
  <c r="B351" i="69"/>
  <c r="S370" i="71" l="1"/>
  <c r="Z370" i="71"/>
  <c r="P370" i="71"/>
  <c r="Q370" i="71"/>
  <c r="K371" i="71"/>
  <c r="A371" i="71" s="1"/>
  <c r="N371" i="71" s="1"/>
  <c r="H371" i="71"/>
  <c r="N350" i="69"/>
  <c r="Z350" i="69" s="1"/>
  <c r="M350" i="69"/>
  <c r="E351" i="69"/>
  <c r="J351" i="69" s="1"/>
  <c r="S371" i="71" l="1"/>
  <c r="Z371" i="71"/>
  <c r="Q371" i="71" s="1"/>
  <c r="P371" i="71"/>
  <c r="B372" i="71"/>
  <c r="E372" i="71" s="1"/>
  <c r="J372" i="71" s="1"/>
  <c r="C372" i="71"/>
  <c r="M371" i="71"/>
  <c r="L371" i="71" s="1"/>
  <c r="P350" i="69"/>
  <c r="D351" i="69"/>
  <c r="D372" i="71" l="1"/>
  <c r="I372" i="71" s="1"/>
  <c r="L347" i="69"/>
  <c r="H351" i="69"/>
  <c r="I351" i="69"/>
  <c r="K351" i="69"/>
  <c r="K372" i="71" l="1"/>
  <c r="C373" i="71" s="1"/>
  <c r="H372" i="71"/>
  <c r="B352" i="69"/>
  <c r="C352" i="69"/>
  <c r="A351" i="69"/>
  <c r="B373" i="71" l="1"/>
  <c r="E373" i="71" s="1"/>
  <c r="J373" i="71" s="1"/>
  <c r="A372" i="71"/>
  <c r="N351" i="69"/>
  <c r="Z351" i="69" s="1"/>
  <c r="M351" i="69"/>
  <c r="E352" i="69"/>
  <c r="J352" i="69" s="1"/>
  <c r="M372" i="71" l="1"/>
  <c r="L372" i="71" s="1"/>
  <c r="N372" i="71"/>
  <c r="D373" i="71"/>
  <c r="I373" i="71" s="1"/>
  <c r="P351" i="69"/>
  <c r="D352" i="69"/>
  <c r="S372" i="71" l="1"/>
  <c r="Z372" i="71"/>
  <c r="Q372" i="71" s="1"/>
  <c r="P372" i="71"/>
  <c r="K373" i="71"/>
  <c r="C374" i="71" s="1"/>
  <c r="H373" i="71"/>
  <c r="L348" i="69"/>
  <c r="I352" i="69"/>
  <c r="H352" i="69"/>
  <c r="K352" i="69"/>
  <c r="B374" i="71" l="1"/>
  <c r="E374" i="71" s="1"/>
  <c r="J374" i="71" s="1"/>
  <c r="A373" i="71"/>
  <c r="C353" i="69"/>
  <c r="A352" i="69"/>
  <c r="B353" i="69"/>
  <c r="N373" i="71" l="1"/>
  <c r="M373" i="71"/>
  <c r="L373" i="71" s="1"/>
  <c r="D374" i="71"/>
  <c r="N352" i="69"/>
  <c r="Z352" i="69" s="1"/>
  <c r="M352" i="69"/>
  <c r="E353" i="69"/>
  <c r="J353" i="69" s="1"/>
  <c r="S373" i="71" l="1"/>
  <c r="Z373" i="71"/>
  <c r="Q373" i="71" s="1"/>
  <c r="P373" i="71"/>
  <c r="I374" i="71"/>
  <c r="H374" i="71"/>
  <c r="K374" i="71"/>
  <c r="P352" i="69"/>
  <c r="D353" i="69"/>
  <c r="C375" i="71" l="1"/>
  <c r="A374" i="71"/>
  <c r="N374" i="71" s="1"/>
  <c r="B375" i="71"/>
  <c r="H353" i="69"/>
  <c r="I353" i="69"/>
  <c r="K353" i="69"/>
  <c r="L349" i="69"/>
  <c r="S374" i="71" l="1"/>
  <c r="Z374" i="71"/>
  <c r="Q374" i="71" s="1"/>
  <c r="P374" i="71"/>
  <c r="E375" i="71"/>
  <c r="J375" i="71" s="1"/>
  <c r="M374" i="71"/>
  <c r="L374" i="71" s="1"/>
  <c r="B354" i="69"/>
  <c r="A353" i="69"/>
  <c r="C354" i="69"/>
  <c r="D375" i="71" l="1"/>
  <c r="I375" i="71" s="1"/>
  <c r="N353" i="69"/>
  <c r="Z353" i="69" s="1"/>
  <c r="M353" i="69"/>
  <c r="E354" i="69"/>
  <c r="J354" i="69" s="1"/>
  <c r="H375" i="71" l="1"/>
  <c r="K375" i="71"/>
  <c r="C376" i="71" s="1"/>
  <c r="P353" i="69"/>
  <c r="D354" i="69"/>
  <c r="I354" i="69" s="1"/>
  <c r="B376" i="71" l="1"/>
  <c r="E376" i="71" s="1"/>
  <c r="J376" i="71" s="1"/>
  <c r="A375" i="71"/>
  <c r="K354" i="69"/>
  <c r="C355" i="69" s="1"/>
  <c r="H354" i="69"/>
  <c r="L350" i="69"/>
  <c r="N375" i="71" l="1"/>
  <c r="M375" i="71"/>
  <c r="L375" i="71" s="1"/>
  <c r="D376" i="71"/>
  <c r="I376" i="71" s="1"/>
  <c r="B355" i="69"/>
  <c r="E355" i="69" s="1"/>
  <c r="J355" i="69" s="1"/>
  <c r="A354" i="69"/>
  <c r="S375" i="71" l="1"/>
  <c r="Z375" i="71"/>
  <c r="Q375" i="71" s="1"/>
  <c r="P375" i="71"/>
  <c r="K376" i="71"/>
  <c r="C377" i="71" s="1"/>
  <c r="H376" i="71"/>
  <c r="M354" i="69"/>
  <c r="N354" i="69"/>
  <c r="Z354" i="69" s="1"/>
  <c r="D355" i="69"/>
  <c r="B377" i="71" l="1"/>
  <c r="E377" i="71" s="1"/>
  <c r="J377" i="71" s="1"/>
  <c r="A376" i="71"/>
  <c r="P354" i="69"/>
  <c r="H355" i="69"/>
  <c r="I355" i="69"/>
  <c r="K355" i="69"/>
  <c r="N376" i="71" l="1"/>
  <c r="M376" i="71"/>
  <c r="L376" i="71" s="1"/>
  <c r="D377" i="71"/>
  <c r="I377" i="71" s="1"/>
  <c r="B356" i="69"/>
  <c r="C356" i="69"/>
  <c r="A355" i="69"/>
  <c r="L351" i="69"/>
  <c r="S376" i="71" l="1"/>
  <c r="Z376" i="71"/>
  <c r="Q376" i="71" s="1"/>
  <c r="P376" i="71"/>
  <c r="K377" i="71"/>
  <c r="A377" i="71" s="1"/>
  <c r="N377" i="71" s="1"/>
  <c r="H377" i="71"/>
  <c r="N355" i="69"/>
  <c r="Z355" i="69" s="1"/>
  <c r="M355" i="69"/>
  <c r="E356" i="69"/>
  <c r="J356" i="69" s="1"/>
  <c r="S377" i="71" l="1"/>
  <c r="Z377" i="71"/>
  <c r="P377" i="71"/>
  <c r="Q377" i="71"/>
  <c r="B378" i="71"/>
  <c r="E378" i="71" s="1"/>
  <c r="J378" i="71" s="1"/>
  <c r="C378" i="71"/>
  <c r="M377" i="71"/>
  <c r="L377" i="71" s="1"/>
  <c r="P355" i="69"/>
  <c r="D356" i="69"/>
  <c r="D378" i="71" l="1"/>
  <c r="K378" i="71" s="1"/>
  <c r="C379" i="71" s="1"/>
  <c r="H356" i="69"/>
  <c r="I356" i="69"/>
  <c r="K356" i="69"/>
  <c r="L352" i="69"/>
  <c r="H378" i="71" l="1"/>
  <c r="I378" i="71"/>
  <c r="B379" i="71"/>
  <c r="E379" i="71" s="1"/>
  <c r="J379" i="71" s="1"/>
  <c r="A378" i="71"/>
  <c r="C357" i="69"/>
  <c r="B357" i="69"/>
  <c r="A356" i="69"/>
  <c r="M378" i="71" l="1"/>
  <c r="L378" i="71" s="1"/>
  <c r="N378" i="71"/>
  <c r="D379" i="71"/>
  <c r="K379" i="71" s="1"/>
  <c r="C380" i="71" s="1"/>
  <c r="N356" i="69"/>
  <c r="Z356" i="69" s="1"/>
  <c r="M356" i="69"/>
  <c r="E357" i="69"/>
  <c r="J357" i="69" s="1"/>
  <c r="S378" i="71" l="1"/>
  <c r="Z378" i="71"/>
  <c r="P378" i="71"/>
  <c r="Q378" i="71"/>
  <c r="H379" i="71"/>
  <c r="I379" i="71"/>
  <c r="B380" i="71"/>
  <c r="E380" i="71" s="1"/>
  <c r="J380" i="71" s="1"/>
  <c r="A379" i="71"/>
  <c r="P356" i="69"/>
  <c r="D357" i="69"/>
  <c r="N379" i="71" l="1"/>
  <c r="D380" i="71"/>
  <c r="K380" i="71" s="1"/>
  <c r="C381" i="71" s="1"/>
  <c r="M379" i="71"/>
  <c r="L379" i="71" s="1"/>
  <c r="L353" i="69"/>
  <c r="H357" i="69"/>
  <c r="I357" i="69"/>
  <c r="K357" i="69"/>
  <c r="S379" i="71" l="1"/>
  <c r="Z379" i="71"/>
  <c r="Q379" i="71" s="1"/>
  <c r="P379" i="71"/>
  <c r="I380" i="71"/>
  <c r="B381" i="71"/>
  <c r="E381" i="71" s="1"/>
  <c r="J381" i="71" s="1"/>
  <c r="A380" i="71"/>
  <c r="H380" i="71"/>
  <c r="C358" i="69"/>
  <c r="B358" i="69"/>
  <c r="A357" i="69"/>
  <c r="M380" i="71" l="1"/>
  <c r="L380" i="71" s="1"/>
  <c r="N380" i="71"/>
  <c r="D381" i="71"/>
  <c r="I381" i="71" s="1"/>
  <c r="N357" i="69"/>
  <c r="Z357" i="69" s="1"/>
  <c r="M357" i="69"/>
  <c r="E358" i="69"/>
  <c r="J358" i="69" s="1"/>
  <c r="S380" i="71" l="1"/>
  <c r="Z380" i="71"/>
  <c r="P380" i="71"/>
  <c r="Q380" i="71"/>
  <c r="K381" i="71"/>
  <c r="C382" i="71" s="1"/>
  <c r="H381" i="71"/>
  <c r="P357" i="69"/>
  <c r="D358" i="69"/>
  <c r="K358" i="69" s="1"/>
  <c r="C359" i="69" s="1"/>
  <c r="L354" i="69"/>
  <c r="B382" i="71" l="1"/>
  <c r="E382" i="71" s="1"/>
  <c r="J382" i="71" s="1"/>
  <c r="A381" i="71"/>
  <c r="H358" i="69"/>
  <c r="I358" i="69"/>
  <c r="B359" i="69"/>
  <c r="E359" i="69" s="1"/>
  <c r="J359" i="69" s="1"/>
  <c r="A358" i="69"/>
  <c r="N381" i="71" l="1"/>
  <c r="M381" i="71"/>
  <c r="L381" i="71" s="1"/>
  <c r="D382" i="71"/>
  <c r="N358" i="69"/>
  <c r="Z358" i="69" s="1"/>
  <c r="M358" i="69"/>
  <c r="D359" i="69"/>
  <c r="H359" i="69" s="1"/>
  <c r="S381" i="71" l="1"/>
  <c r="Z381" i="71"/>
  <c r="Q381" i="71" s="1"/>
  <c r="P381" i="71"/>
  <c r="I382" i="71"/>
  <c r="H382" i="71"/>
  <c r="K382" i="71"/>
  <c r="P358" i="69"/>
  <c r="K359" i="69"/>
  <c r="B360" i="69" s="1"/>
  <c r="I359" i="69"/>
  <c r="C383" i="71" l="1"/>
  <c r="A382" i="71"/>
  <c r="N382" i="71" s="1"/>
  <c r="B383" i="71"/>
  <c r="A359" i="69"/>
  <c r="C360" i="69"/>
  <c r="L355" i="69"/>
  <c r="E360" i="69"/>
  <c r="J360" i="69" s="1"/>
  <c r="S382" i="71" l="1"/>
  <c r="Z382" i="71"/>
  <c r="Q382" i="71" s="1"/>
  <c r="P382" i="71"/>
  <c r="E383" i="71"/>
  <c r="J383" i="71" s="1"/>
  <c r="M382" i="71"/>
  <c r="L382" i="71" s="1"/>
  <c r="N359" i="69"/>
  <c r="Z359" i="69" s="1"/>
  <c r="M359" i="69"/>
  <c r="D360" i="69"/>
  <c r="D383" i="71" l="1"/>
  <c r="I383" i="71" s="1"/>
  <c r="P359" i="69"/>
  <c r="I360" i="69"/>
  <c r="H360" i="69"/>
  <c r="K360" i="69"/>
  <c r="H383" i="71" l="1"/>
  <c r="K383" i="71"/>
  <c r="C384" i="71" s="1"/>
  <c r="C361" i="69"/>
  <c r="A360" i="69"/>
  <c r="B361" i="69"/>
  <c r="L356" i="69"/>
  <c r="B384" i="71" l="1"/>
  <c r="E384" i="71" s="1"/>
  <c r="J384" i="71" s="1"/>
  <c r="A383" i="71"/>
  <c r="N360" i="69"/>
  <c r="Z360" i="69" s="1"/>
  <c r="M360" i="69"/>
  <c r="E361" i="69"/>
  <c r="J361" i="69" s="1"/>
  <c r="N383" i="71" l="1"/>
  <c r="M383" i="71"/>
  <c r="L383" i="71" s="1"/>
  <c r="D384" i="71"/>
  <c r="K384" i="71" s="1"/>
  <c r="C385" i="71" s="1"/>
  <c r="P360" i="69"/>
  <c r="D361" i="69"/>
  <c r="I361" i="69" s="1"/>
  <c r="S383" i="71" l="1"/>
  <c r="Z383" i="71"/>
  <c r="Q383" i="71" s="1"/>
  <c r="P383" i="71"/>
  <c r="H384" i="71"/>
  <c r="I384" i="71"/>
  <c r="B385" i="71"/>
  <c r="E385" i="71" s="1"/>
  <c r="J385" i="71" s="1"/>
  <c r="A384" i="71"/>
  <c r="K361" i="69"/>
  <c r="C362" i="69" s="1"/>
  <c r="H361" i="69"/>
  <c r="M384" i="71" l="1"/>
  <c r="L384" i="71" s="1"/>
  <c r="N384" i="71"/>
  <c r="D385" i="71"/>
  <c r="I385" i="71" s="1"/>
  <c r="B362" i="69"/>
  <c r="E362" i="69" s="1"/>
  <c r="J362" i="69" s="1"/>
  <c r="A361" i="69"/>
  <c r="L357" i="69"/>
  <c r="S384" i="71" l="1"/>
  <c r="Z384" i="71"/>
  <c r="Q384" i="71" s="1"/>
  <c r="P384" i="71"/>
  <c r="K385" i="71"/>
  <c r="A385" i="71" s="1"/>
  <c r="N385" i="71" s="1"/>
  <c r="H385" i="71"/>
  <c r="M361" i="69"/>
  <c r="N361" i="69"/>
  <c r="Z361" i="69" s="1"/>
  <c r="D362" i="69"/>
  <c r="I362" i="69" s="1"/>
  <c r="S385" i="71" l="1"/>
  <c r="Z385" i="71"/>
  <c r="Q385" i="71" s="1"/>
  <c r="P385" i="71"/>
  <c r="B386" i="71"/>
  <c r="E386" i="71" s="1"/>
  <c r="J386" i="71" s="1"/>
  <c r="C386" i="71"/>
  <c r="M385" i="71"/>
  <c r="L385" i="71" s="1"/>
  <c r="P361" i="69"/>
  <c r="K362" i="69"/>
  <c r="C363" i="69" s="1"/>
  <c r="H362" i="69"/>
  <c r="D386" i="71" l="1"/>
  <c r="I386" i="71" s="1"/>
  <c r="B363" i="69"/>
  <c r="E363" i="69" s="1"/>
  <c r="J363" i="69" s="1"/>
  <c r="A362" i="69"/>
  <c r="H386" i="71" l="1"/>
  <c r="K386" i="71"/>
  <c r="C387" i="71" s="1"/>
  <c r="M362" i="69"/>
  <c r="N362" i="69"/>
  <c r="Z362" i="69" s="1"/>
  <c r="D363" i="69"/>
  <c r="L358" i="69"/>
  <c r="B387" i="71" l="1"/>
  <c r="E387" i="71" s="1"/>
  <c r="J387" i="71" s="1"/>
  <c r="A386" i="71"/>
  <c r="P362" i="69"/>
  <c r="H363" i="69"/>
  <c r="I363" i="69"/>
  <c r="K363" i="69"/>
  <c r="M386" i="71" l="1"/>
  <c r="L386" i="71" s="1"/>
  <c r="N386" i="71"/>
  <c r="D387" i="71"/>
  <c r="I387" i="71" s="1"/>
  <c r="B364" i="69"/>
  <c r="A363" i="69"/>
  <c r="C364" i="69"/>
  <c r="S386" i="71" l="1"/>
  <c r="Z386" i="71"/>
  <c r="Q386" i="71" s="1"/>
  <c r="P386" i="71"/>
  <c r="K387" i="71"/>
  <c r="C388" i="71" s="1"/>
  <c r="H387" i="71"/>
  <c r="N363" i="69"/>
  <c r="Z363" i="69" s="1"/>
  <c r="M363" i="69"/>
  <c r="E364" i="69"/>
  <c r="J364" i="69" s="1"/>
  <c r="B388" i="71" l="1"/>
  <c r="E388" i="71" s="1"/>
  <c r="J388" i="71" s="1"/>
  <c r="A387" i="71"/>
  <c r="P363" i="69"/>
  <c r="L359" i="69"/>
  <c r="D364" i="69"/>
  <c r="N387" i="71" l="1"/>
  <c r="M387" i="71"/>
  <c r="L387" i="71" s="1"/>
  <c r="D388" i="71"/>
  <c r="K388" i="71" s="1"/>
  <c r="C389" i="71" s="1"/>
  <c r="I364" i="69"/>
  <c r="H364" i="69"/>
  <c r="K364" i="69"/>
  <c r="S387" i="71" l="1"/>
  <c r="Z387" i="71"/>
  <c r="Q387" i="71" s="1"/>
  <c r="P387" i="71"/>
  <c r="I388" i="71"/>
  <c r="H388" i="71"/>
  <c r="B389" i="71"/>
  <c r="E389" i="71" s="1"/>
  <c r="J389" i="71" s="1"/>
  <c r="A388" i="71"/>
  <c r="L360" i="69"/>
  <c r="C365" i="69"/>
  <c r="A364" i="69"/>
  <c r="B365" i="69"/>
  <c r="M388" i="71" l="1"/>
  <c r="L388" i="71" s="1"/>
  <c r="N388" i="71"/>
  <c r="D389" i="71"/>
  <c r="I389" i="71" s="1"/>
  <c r="N364" i="69"/>
  <c r="Z364" i="69" s="1"/>
  <c r="M364" i="69"/>
  <c r="E365" i="69"/>
  <c r="J365" i="69" s="1"/>
  <c r="S388" i="71" l="1"/>
  <c r="Z388" i="71"/>
  <c r="Q388" i="71" s="1"/>
  <c r="P388" i="71"/>
  <c r="K389" i="71"/>
  <c r="C390" i="71" s="1"/>
  <c r="H389" i="71"/>
  <c r="P364" i="69"/>
  <c r="D365" i="69"/>
  <c r="I365" i="69" s="1"/>
  <c r="B390" i="71" l="1"/>
  <c r="E390" i="71" s="1"/>
  <c r="J390" i="71" s="1"/>
  <c r="A389" i="71"/>
  <c r="K365" i="69"/>
  <c r="C366" i="69" s="1"/>
  <c r="H365" i="69"/>
  <c r="L361" i="69"/>
  <c r="N389" i="71" l="1"/>
  <c r="M389" i="71"/>
  <c r="L389" i="71" s="1"/>
  <c r="D390" i="71"/>
  <c r="H390" i="71" s="1"/>
  <c r="B366" i="69"/>
  <c r="E366" i="69" s="1"/>
  <c r="J366" i="69" s="1"/>
  <c r="A365" i="69"/>
  <c r="S389" i="71" l="1"/>
  <c r="Z389" i="71"/>
  <c r="Q389" i="71" s="1"/>
  <c r="P389" i="71"/>
  <c r="K390" i="71"/>
  <c r="C391" i="71" s="1"/>
  <c r="I390" i="71"/>
  <c r="M365" i="69"/>
  <c r="N365" i="69"/>
  <c r="Z365" i="69" s="1"/>
  <c r="D366" i="69"/>
  <c r="I366" i="69" s="1"/>
  <c r="L362" i="69"/>
  <c r="B391" i="71" l="1"/>
  <c r="E391" i="71" s="1"/>
  <c r="J391" i="71" s="1"/>
  <c r="A390" i="71"/>
  <c r="P365" i="69"/>
  <c r="K366" i="69"/>
  <c r="C367" i="69" s="1"/>
  <c r="H366" i="69"/>
  <c r="M390" i="71" l="1"/>
  <c r="L390" i="71" s="1"/>
  <c r="N390" i="71"/>
  <c r="D391" i="71"/>
  <c r="K391" i="71" s="1"/>
  <c r="C392" i="71" s="1"/>
  <c r="A366" i="69"/>
  <c r="B367" i="69"/>
  <c r="E367" i="69" s="1"/>
  <c r="J367" i="69" s="1"/>
  <c r="S390" i="71" l="1"/>
  <c r="Z390" i="71"/>
  <c r="P390" i="71"/>
  <c r="Q390" i="71"/>
  <c r="H391" i="71"/>
  <c r="B392" i="71"/>
  <c r="E392" i="71" s="1"/>
  <c r="J392" i="71" s="1"/>
  <c r="A391" i="71"/>
  <c r="I391" i="71"/>
  <c r="N366" i="69"/>
  <c r="Z366" i="69" s="1"/>
  <c r="M366" i="69"/>
  <c r="D367" i="69"/>
  <c r="H367" i="69" s="1"/>
  <c r="N391" i="71" l="1"/>
  <c r="M391" i="71"/>
  <c r="L391" i="71" s="1"/>
  <c r="D392" i="71"/>
  <c r="P366" i="69"/>
  <c r="I367" i="69"/>
  <c r="K367" i="69"/>
  <c r="B368" i="69" s="1"/>
  <c r="L363" i="69"/>
  <c r="S391" i="71" l="1"/>
  <c r="Z391" i="71"/>
  <c r="Q391" i="71" s="1"/>
  <c r="P391" i="71"/>
  <c r="I392" i="71"/>
  <c r="H392" i="71"/>
  <c r="K392" i="71"/>
  <c r="C368" i="69"/>
  <c r="A367" i="69"/>
  <c r="E368" i="69"/>
  <c r="J368" i="69" s="1"/>
  <c r="C393" i="71" l="1"/>
  <c r="A392" i="71"/>
  <c r="N392" i="71" s="1"/>
  <c r="B393" i="71"/>
  <c r="N367" i="69"/>
  <c r="Z367" i="69" s="1"/>
  <c r="M367" i="69"/>
  <c r="D368" i="69"/>
  <c r="S392" i="71" l="1"/>
  <c r="Z392" i="71"/>
  <c r="Q392" i="71" s="1"/>
  <c r="P392" i="71"/>
  <c r="M392" i="71"/>
  <c r="L392" i="71" s="1"/>
  <c r="E393" i="71"/>
  <c r="J393" i="71" s="1"/>
  <c r="P367" i="69"/>
  <c r="L364" i="69"/>
  <c r="I368" i="69"/>
  <c r="H368" i="69"/>
  <c r="K368" i="69"/>
  <c r="D393" i="71" l="1"/>
  <c r="C369" i="69"/>
  <c r="A368" i="69"/>
  <c r="B369" i="69"/>
  <c r="I393" i="71" l="1"/>
  <c r="H393" i="71"/>
  <c r="K393" i="71"/>
  <c r="N368" i="69"/>
  <c r="Z368" i="69" s="1"/>
  <c r="M368" i="69"/>
  <c r="E369" i="69"/>
  <c r="J369" i="69" s="1"/>
  <c r="C394" i="71" l="1"/>
  <c r="A393" i="71"/>
  <c r="N393" i="71" s="1"/>
  <c r="B394" i="71"/>
  <c r="P368" i="69"/>
  <c r="D369" i="69"/>
  <c r="I369" i="69" s="1"/>
  <c r="S393" i="71" l="1"/>
  <c r="Z393" i="71"/>
  <c r="Q393" i="71" s="1"/>
  <c r="P393" i="71"/>
  <c r="E394" i="71"/>
  <c r="J394" i="71" s="1"/>
  <c r="M393" i="71"/>
  <c r="L393" i="71" s="1"/>
  <c r="K369" i="69"/>
  <c r="C370" i="69" s="1"/>
  <c r="H369" i="69"/>
  <c r="L365" i="69"/>
  <c r="D394" i="71" l="1"/>
  <c r="I394" i="71" s="1"/>
  <c r="B370" i="69"/>
  <c r="E370" i="69" s="1"/>
  <c r="J370" i="69" s="1"/>
  <c r="A369" i="69"/>
  <c r="K394" i="71" l="1"/>
  <c r="C395" i="71" s="1"/>
  <c r="H394" i="71"/>
  <c r="N369" i="69"/>
  <c r="Z369" i="69" s="1"/>
  <c r="M369" i="69"/>
  <c r="D370" i="69"/>
  <c r="I370" i="69" s="1"/>
  <c r="B395" i="71" l="1"/>
  <c r="E395" i="71" s="1"/>
  <c r="J395" i="71" s="1"/>
  <c r="A394" i="71"/>
  <c r="P369" i="69"/>
  <c r="H370" i="69"/>
  <c r="K370" i="69"/>
  <c r="B371" i="69" s="1"/>
  <c r="L366" i="69"/>
  <c r="N394" i="71" l="1"/>
  <c r="M394" i="71"/>
  <c r="L394" i="71" s="1"/>
  <c r="D395" i="71"/>
  <c r="I395" i="71" s="1"/>
  <c r="A370" i="69"/>
  <c r="C371" i="69"/>
  <c r="E371" i="69"/>
  <c r="J371" i="69" s="1"/>
  <c r="S394" i="71" l="1"/>
  <c r="Z394" i="71"/>
  <c r="Q394" i="71" s="1"/>
  <c r="P394" i="71"/>
  <c r="K395" i="71"/>
  <c r="B396" i="71" s="1"/>
  <c r="H395" i="71"/>
  <c r="N370" i="69"/>
  <c r="Z370" i="69" s="1"/>
  <c r="M370" i="69"/>
  <c r="D371" i="69"/>
  <c r="C396" i="71" l="1"/>
  <c r="A395" i="71"/>
  <c r="E396" i="71"/>
  <c r="J396" i="71" s="1"/>
  <c r="P370" i="69"/>
  <c r="H371" i="69"/>
  <c r="I371" i="69"/>
  <c r="K371" i="69"/>
  <c r="N395" i="71" l="1"/>
  <c r="M395" i="71"/>
  <c r="L395" i="71" s="1"/>
  <c r="D396" i="71"/>
  <c r="B372" i="69"/>
  <c r="C372" i="69"/>
  <c r="A371" i="69"/>
  <c r="L367" i="69"/>
  <c r="S395" i="71" l="1"/>
  <c r="Z395" i="71"/>
  <c r="Q395" i="71" s="1"/>
  <c r="P395" i="71"/>
  <c r="I396" i="71"/>
  <c r="H396" i="71"/>
  <c r="K396" i="71"/>
  <c r="N371" i="69"/>
  <c r="Z371" i="69" s="1"/>
  <c r="M371" i="69"/>
  <c r="E372" i="69"/>
  <c r="J372" i="69" s="1"/>
  <c r="C397" i="71" l="1"/>
  <c r="A396" i="71"/>
  <c r="N396" i="71" s="1"/>
  <c r="B397" i="71"/>
  <c r="P371" i="69"/>
  <c r="D372" i="69"/>
  <c r="S396" i="71" l="1"/>
  <c r="Z396" i="71"/>
  <c r="Q396" i="71" s="1"/>
  <c r="P396" i="71"/>
  <c r="E397" i="71"/>
  <c r="J397" i="71" s="1"/>
  <c r="M396" i="71"/>
  <c r="L396" i="71" s="1"/>
  <c r="I372" i="69"/>
  <c r="H372" i="69"/>
  <c r="K372" i="69"/>
  <c r="D397" i="71" l="1"/>
  <c r="I397" i="71" s="1"/>
  <c r="L368" i="69"/>
  <c r="C373" i="69"/>
  <c r="A372" i="69"/>
  <c r="B373" i="69"/>
  <c r="K397" i="71" l="1"/>
  <c r="C398" i="71" s="1"/>
  <c r="H397" i="71"/>
  <c r="N372" i="69"/>
  <c r="Z372" i="69" s="1"/>
  <c r="M372" i="69"/>
  <c r="E373" i="69"/>
  <c r="J373" i="69" s="1"/>
  <c r="B398" i="71" l="1"/>
  <c r="E398" i="71" s="1"/>
  <c r="A397" i="71"/>
  <c r="P372" i="69"/>
  <c r="D373" i="69"/>
  <c r="M397" i="71" l="1"/>
  <c r="L397" i="71" s="1"/>
  <c r="N397" i="71"/>
  <c r="J398" i="71"/>
  <c r="D398" i="71"/>
  <c r="I398" i="71" s="1"/>
  <c r="I373" i="69"/>
  <c r="H373" i="69"/>
  <c r="K373" i="69"/>
  <c r="S397" i="71" l="1"/>
  <c r="Z397" i="71"/>
  <c r="Q397" i="71" s="1"/>
  <c r="P397" i="71"/>
  <c r="K398" i="71"/>
  <c r="C399" i="71" s="1"/>
  <c r="H398" i="71"/>
  <c r="B374" i="69"/>
  <c r="A373" i="69"/>
  <c r="C374" i="69"/>
  <c r="L369" i="69"/>
  <c r="B399" i="71" l="1"/>
  <c r="E399" i="71" s="1"/>
  <c r="J399" i="71" s="1"/>
  <c r="A398" i="71"/>
  <c r="N373" i="69"/>
  <c r="Z373" i="69" s="1"/>
  <c r="M373" i="69"/>
  <c r="E374" i="69"/>
  <c r="J374" i="69" s="1"/>
  <c r="M398" i="71" l="1"/>
  <c r="L398" i="71" s="1"/>
  <c r="N398" i="71"/>
  <c r="D399" i="71"/>
  <c r="P373" i="69"/>
  <c r="D374" i="69"/>
  <c r="K374" i="69" s="1"/>
  <c r="C375" i="69" s="1"/>
  <c r="S398" i="71" l="1"/>
  <c r="Z398" i="71"/>
  <c r="Q398" i="71" s="1"/>
  <c r="P398" i="71"/>
  <c r="H399" i="71"/>
  <c r="I399" i="71"/>
  <c r="K399" i="71"/>
  <c r="A374" i="69"/>
  <c r="B375" i="69"/>
  <c r="E375" i="69" s="1"/>
  <c r="J375" i="69" s="1"/>
  <c r="H374" i="69"/>
  <c r="I374" i="69"/>
  <c r="A399" i="71" l="1"/>
  <c r="N399" i="71" s="1"/>
  <c r="B400" i="71"/>
  <c r="C400" i="71"/>
  <c r="N374" i="69"/>
  <c r="Z374" i="69" s="1"/>
  <c r="M374" i="69"/>
  <c r="L370" i="69"/>
  <c r="D375" i="69"/>
  <c r="S399" i="71" l="1"/>
  <c r="Z399" i="71"/>
  <c r="Q399" i="71" s="1"/>
  <c r="P399" i="71"/>
  <c r="E400" i="71"/>
  <c r="J400" i="71" s="1"/>
  <c r="M399" i="71"/>
  <c r="L399" i="71" s="1"/>
  <c r="P374" i="69"/>
  <c r="H375" i="69"/>
  <c r="I375" i="69"/>
  <c r="K375" i="69"/>
  <c r="D400" i="71" l="1"/>
  <c r="K400" i="71" s="1"/>
  <c r="A400" i="71" s="1"/>
  <c r="N400" i="71" s="1"/>
  <c r="C376" i="69"/>
  <c r="B376" i="69"/>
  <c r="A375" i="69"/>
  <c r="S400" i="71" l="1"/>
  <c r="Z400" i="71"/>
  <c r="Q400" i="71" s="1"/>
  <c r="P400" i="71"/>
  <c r="C401" i="71"/>
  <c r="H400" i="71"/>
  <c r="I400" i="71"/>
  <c r="B401" i="71"/>
  <c r="E401" i="71" s="1"/>
  <c r="M400" i="71"/>
  <c r="L400" i="71" s="1"/>
  <c r="N375" i="69"/>
  <c r="Z375" i="69" s="1"/>
  <c r="M375" i="69"/>
  <c r="E376" i="69"/>
  <c r="J376" i="69" s="1"/>
  <c r="J401" i="71" l="1"/>
  <c r="D401" i="71"/>
  <c r="I401" i="71" s="1"/>
  <c r="P375" i="69"/>
  <c r="L371" i="69"/>
  <c r="D376" i="69"/>
  <c r="K401" i="71" l="1"/>
  <c r="C402" i="71" s="1"/>
  <c r="H401" i="71"/>
  <c r="I376" i="69"/>
  <c r="H376" i="69"/>
  <c r="K376" i="69"/>
  <c r="A401" i="71" l="1"/>
  <c r="B402" i="71"/>
  <c r="E402" i="71" s="1"/>
  <c r="J402" i="71" s="1"/>
  <c r="C377" i="69"/>
  <c r="B377" i="69"/>
  <c r="A376" i="69"/>
  <c r="N401" i="71" l="1"/>
  <c r="M401" i="71"/>
  <c r="L401" i="71" s="1"/>
  <c r="D402" i="71"/>
  <c r="I402" i="71" s="1"/>
  <c r="N376" i="69"/>
  <c r="Z376" i="69" s="1"/>
  <c r="M376" i="69"/>
  <c r="L372" i="69"/>
  <c r="E377" i="69"/>
  <c r="J377" i="69" s="1"/>
  <c r="S401" i="71" l="1"/>
  <c r="Z401" i="71"/>
  <c r="Q401" i="71" s="1"/>
  <c r="P401" i="71"/>
  <c r="K402" i="71"/>
  <c r="A402" i="71" s="1"/>
  <c r="N402" i="71" s="1"/>
  <c r="H402" i="71"/>
  <c r="P376" i="69"/>
  <c r="D377" i="69"/>
  <c r="S402" i="71" l="1"/>
  <c r="Z402" i="71"/>
  <c r="Q402" i="71" s="1"/>
  <c r="P402" i="71"/>
  <c r="C403" i="71"/>
  <c r="B403" i="71"/>
  <c r="E403" i="71" s="1"/>
  <c r="M402" i="71"/>
  <c r="L402" i="71" s="1"/>
  <c r="I377" i="69"/>
  <c r="H377" i="69"/>
  <c r="K377" i="69"/>
  <c r="J403" i="71" l="1"/>
  <c r="D403" i="71"/>
  <c r="K403" i="71" s="1"/>
  <c r="B404" i="71" s="1"/>
  <c r="C378" i="69"/>
  <c r="A377" i="69"/>
  <c r="B378" i="69"/>
  <c r="H403" i="71" l="1"/>
  <c r="I403" i="71"/>
  <c r="C404" i="71"/>
  <c r="A403" i="71"/>
  <c r="E404" i="71"/>
  <c r="J404" i="71" s="1"/>
  <c r="N377" i="69"/>
  <c r="Z377" i="69" s="1"/>
  <c r="M377" i="69"/>
  <c r="L373" i="69"/>
  <c r="E378" i="69"/>
  <c r="J378" i="69" s="1"/>
  <c r="N403" i="71" l="1"/>
  <c r="M403" i="71"/>
  <c r="L403" i="71" s="1"/>
  <c r="D404" i="71"/>
  <c r="P377" i="69"/>
  <c r="D378" i="69"/>
  <c r="S403" i="71" l="1"/>
  <c r="Z403" i="71"/>
  <c r="P403" i="71"/>
  <c r="Q403" i="71"/>
  <c r="I404" i="71"/>
  <c r="H404" i="71"/>
  <c r="K404" i="71"/>
  <c r="I378" i="69"/>
  <c r="H378" i="69"/>
  <c r="K378" i="69"/>
  <c r="C405" i="71" l="1"/>
  <c r="A404" i="71"/>
  <c r="N404" i="71" s="1"/>
  <c r="B405" i="71"/>
  <c r="C379" i="69"/>
  <c r="A378" i="69"/>
  <c r="B379" i="69"/>
  <c r="L374" i="69"/>
  <c r="S404" i="71" l="1"/>
  <c r="Z404" i="71"/>
  <c r="Q404" i="71" s="1"/>
  <c r="P404" i="71"/>
  <c r="M404" i="71"/>
  <c r="L404" i="71" s="1"/>
  <c r="E405" i="71"/>
  <c r="J405" i="71" s="1"/>
  <c r="N378" i="69"/>
  <c r="Z378" i="69" s="1"/>
  <c r="M378" i="69"/>
  <c r="E379" i="69"/>
  <c r="J379" i="69" s="1"/>
  <c r="D405" i="71" l="1"/>
  <c r="I405" i="71" s="1"/>
  <c r="P378" i="69"/>
  <c r="D379" i="69"/>
  <c r="K405" i="71" l="1"/>
  <c r="C406" i="71" s="1"/>
  <c r="H405" i="71"/>
  <c r="I379" i="69"/>
  <c r="H379" i="69"/>
  <c r="K379" i="69"/>
  <c r="B406" i="71" l="1"/>
  <c r="E406" i="71" s="1"/>
  <c r="J406" i="71" s="1"/>
  <c r="A405" i="71"/>
  <c r="C380" i="69"/>
  <c r="A379" i="69"/>
  <c r="B380" i="69"/>
  <c r="L375" i="69"/>
  <c r="N405" i="71" l="1"/>
  <c r="M405" i="71"/>
  <c r="L405" i="71" s="1"/>
  <c r="D406" i="71"/>
  <c r="K406" i="71" s="1"/>
  <c r="A406" i="71" s="1"/>
  <c r="N406" i="71" s="1"/>
  <c r="N379" i="69"/>
  <c r="Z379" i="69" s="1"/>
  <c r="M379" i="69"/>
  <c r="E380" i="69"/>
  <c r="J380" i="69" s="1"/>
  <c r="S406" i="71" l="1"/>
  <c r="Z406" i="71"/>
  <c r="Q406" i="71" s="1"/>
  <c r="S405" i="71"/>
  <c r="Z405" i="71"/>
  <c r="P406" i="71"/>
  <c r="P405" i="71"/>
  <c r="Q405" i="71"/>
  <c r="B407" i="71"/>
  <c r="E407" i="71" s="1"/>
  <c r="J407" i="71" s="1"/>
  <c r="C407" i="71"/>
  <c r="H406" i="71"/>
  <c r="I406" i="71"/>
  <c r="M406" i="71"/>
  <c r="L406" i="71" s="1"/>
  <c r="P379" i="69"/>
  <c r="D380" i="69"/>
  <c r="H380" i="69" s="1"/>
  <c r="D407" i="71" l="1"/>
  <c r="K380" i="69"/>
  <c r="A380" i="69" s="1"/>
  <c r="I380" i="69"/>
  <c r="H407" i="71" l="1"/>
  <c r="I407" i="71"/>
  <c r="K407" i="71"/>
  <c r="C381" i="69"/>
  <c r="B381" i="69"/>
  <c r="E381" i="69" s="1"/>
  <c r="J381" i="69" s="1"/>
  <c r="N380" i="69"/>
  <c r="Z380" i="69" s="1"/>
  <c r="M380" i="69"/>
  <c r="L376" i="69"/>
  <c r="C408" i="71" l="1"/>
  <c r="A407" i="71"/>
  <c r="N407" i="71" s="1"/>
  <c r="B408" i="71"/>
  <c r="P380" i="69"/>
  <c r="D381" i="69"/>
  <c r="S407" i="71" l="1"/>
  <c r="Z407" i="71"/>
  <c r="Q407" i="71" s="1"/>
  <c r="P407" i="71"/>
  <c r="E408" i="71"/>
  <c r="J408" i="71" s="1"/>
  <c r="M407" i="71"/>
  <c r="L407" i="71" s="1"/>
  <c r="I381" i="69"/>
  <c r="H381" i="69"/>
  <c r="K381" i="69"/>
  <c r="D408" i="71" l="1"/>
  <c r="I408" i="71" s="1"/>
  <c r="C382" i="69"/>
  <c r="A381" i="69"/>
  <c r="B382" i="69"/>
  <c r="L377" i="69"/>
  <c r="K408" i="71" l="1"/>
  <c r="C409" i="71" s="1"/>
  <c r="H408" i="71"/>
  <c r="N381" i="69"/>
  <c r="Z381" i="69" s="1"/>
  <c r="M381" i="69"/>
  <c r="E382" i="69"/>
  <c r="J382" i="69" s="1"/>
  <c r="B409" i="71" l="1"/>
  <c r="E409" i="71" s="1"/>
  <c r="J409" i="71" s="1"/>
  <c r="A408" i="71"/>
  <c r="P381" i="69"/>
  <c r="D382" i="69"/>
  <c r="K382" i="69" s="1"/>
  <c r="M408" i="71" l="1"/>
  <c r="L408" i="71" s="1"/>
  <c r="N408" i="71"/>
  <c r="D409" i="71"/>
  <c r="I409" i="71" s="1"/>
  <c r="H382" i="69"/>
  <c r="I382" i="69"/>
  <c r="C383" i="69"/>
  <c r="A382" i="69"/>
  <c r="B383" i="69"/>
  <c r="S408" i="71" l="1"/>
  <c r="Z408" i="71"/>
  <c r="P408" i="71"/>
  <c r="Q408" i="71"/>
  <c r="H409" i="71"/>
  <c r="K409" i="71"/>
  <c r="A409" i="71" s="1"/>
  <c r="N409" i="71" s="1"/>
  <c r="N382" i="69"/>
  <c r="Z382" i="69" s="1"/>
  <c r="M382" i="69"/>
  <c r="E383" i="69"/>
  <c r="J383" i="69" s="1"/>
  <c r="L378" i="69"/>
  <c r="S409" i="71" l="1"/>
  <c r="Z409" i="71"/>
  <c r="Q409" i="71" s="1"/>
  <c r="P409" i="71"/>
  <c r="B410" i="71"/>
  <c r="E410" i="71" s="1"/>
  <c r="J410" i="71" s="1"/>
  <c r="C410" i="71"/>
  <c r="M409" i="71"/>
  <c r="L409" i="71" s="1"/>
  <c r="P382" i="69"/>
  <c r="D383" i="69"/>
  <c r="D410" i="71" l="1"/>
  <c r="K410" i="71" s="1"/>
  <c r="C411" i="71" s="1"/>
  <c r="I383" i="69"/>
  <c r="H383" i="69"/>
  <c r="K383" i="69"/>
  <c r="H410" i="71" l="1"/>
  <c r="I410" i="71"/>
  <c r="B411" i="71"/>
  <c r="E411" i="71" s="1"/>
  <c r="J411" i="71" s="1"/>
  <c r="A410" i="71"/>
  <c r="C384" i="69"/>
  <c r="A383" i="69"/>
  <c r="B384" i="69"/>
  <c r="M410" i="71" l="1"/>
  <c r="L410" i="71" s="1"/>
  <c r="N410" i="71"/>
  <c r="D411" i="71"/>
  <c r="N383" i="69"/>
  <c r="Z383" i="69" s="1"/>
  <c r="M383" i="69"/>
  <c r="L379" i="69"/>
  <c r="E384" i="69"/>
  <c r="J384" i="69" s="1"/>
  <c r="S410" i="71" l="1"/>
  <c r="Z410" i="71"/>
  <c r="Q410" i="71" s="1"/>
  <c r="P410" i="71"/>
  <c r="I411" i="71"/>
  <c r="H411" i="71"/>
  <c r="K411" i="71"/>
  <c r="P383" i="69"/>
  <c r="D384" i="69"/>
  <c r="H384" i="69" s="1"/>
  <c r="B412" i="71" l="1"/>
  <c r="A411" i="71"/>
  <c r="N411" i="71" s="1"/>
  <c r="C412" i="71"/>
  <c r="K384" i="69"/>
  <c r="C385" i="69" s="1"/>
  <c r="I384" i="69"/>
  <c r="S411" i="71" l="1"/>
  <c r="Z411" i="71"/>
  <c r="P411" i="71"/>
  <c r="Q411" i="71"/>
  <c r="M411" i="71"/>
  <c r="L411" i="71" s="1"/>
  <c r="E412" i="71"/>
  <c r="J412" i="71" s="1"/>
  <c r="A384" i="69"/>
  <c r="B385" i="69"/>
  <c r="E385" i="69" s="1"/>
  <c r="J385" i="69" s="1"/>
  <c r="D412" i="71" l="1"/>
  <c r="N384" i="69"/>
  <c r="Z384" i="69" s="1"/>
  <c r="M384" i="69"/>
  <c r="L380" i="69"/>
  <c r="D385" i="69"/>
  <c r="I412" i="71" l="1"/>
  <c r="H412" i="71"/>
  <c r="K412" i="71"/>
  <c r="P384" i="69"/>
  <c r="I385" i="69"/>
  <c r="H385" i="69"/>
  <c r="K385" i="69"/>
  <c r="C413" i="71" l="1"/>
  <c r="A412" i="71"/>
  <c r="N412" i="71" s="1"/>
  <c r="B413" i="71"/>
  <c r="C386" i="69"/>
  <c r="A385" i="69"/>
  <c r="B386" i="69"/>
  <c r="S412" i="71" l="1"/>
  <c r="Z412" i="71"/>
  <c r="Q412" i="71" s="1"/>
  <c r="P412" i="71"/>
  <c r="E413" i="71"/>
  <c r="J413" i="71" s="1"/>
  <c r="M412" i="71"/>
  <c r="L412" i="71" s="1"/>
  <c r="N385" i="69"/>
  <c r="Z385" i="69" s="1"/>
  <c r="M385" i="69"/>
  <c r="E386" i="69"/>
  <c r="J386" i="69" s="1"/>
  <c r="D413" i="71" l="1"/>
  <c r="I413" i="71" s="1"/>
  <c r="P385" i="69"/>
  <c r="L381" i="69"/>
  <c r="D386" i="69"/>
  <c r="K413" i="71" l="1"/>
  <c r="C414" i="71" s="1"/>
  <c r="H413" i="71"/>
  <c r="I386" i="69"/>
  <c r="H386" i="69"/>
  <c r="K386" i="69"/>
  <c r="B414" i="71" l="1"/>
  <c r="E414" i="71" s="1"/>
  <c r="J414" i="71" s="1"/>
  <c r="A413" i="71"/>
  <c r="C387" i="69"/>
  <c r="A386" i="69"/>
  <c r="B387" i="69"/>
  <c r="N413" i="71" l="1"/>
  <c r="M413" i="71"/>
  <c r="L413" i="71" s="1"/>
  <c r="D414" i="71"/>
  <c r="I414" i="71" s="1"/>
  <c r="N386" i="69"/>
  <c r="Z386" i="69" s="1"/>
  <c r="M386" i="69"/>
  <c r="E387" i="69"/>
  <c r="J387" i="69" s="1"/>
  <c r="S413" i="71" l="1"/>
  <c r="Z413" i="71"/>
  <c r="Q413" i="71" s="1"/>
  <c r="P413" i="71"/>
  <c r="K414" i="71"/>
  <c r="A414" i="71" s="1"/>
  <c r="N414" i="71" s="1"/>
  <c r="H414" i="71"/>
  <c r="P386" i="69"/>
  <c r="L382" i="69"/>
  <c r="D387" i="69"/>
  <c r="S414" i="71" l="1"/>
  <c r="Z414" i="71"/>
  <c r="Q414" i="71" s="1"/>
  <c r="P414" i="71"/>
  <c r="B415" i="71"/>
  <c r="E415" i="71" s="1"/>
  <c r="J415" i="71" s="1"/>
  <c r="C415" i="71"/>
  <c r="M414" i="71"/>
  <c r="L414" i="71" s="1"/>
  <c r="I387" i="69"/>
  <c r="H387" i="69"/>
  <c r="K387" i="69"/>
  <c r="D415" i="71" l="1"/>
  <c r="H415" i="71" s="1"/>
  <c r="C388" i="69"/>
  <c r="A387" i="69"/>
  <c r="B388" i="69"/>
  <c r="I415" i="71" l="1"/>
  <c r="K415" i="71"/>
  <c r="A415" i="71" s="1"/>
  <c r="N415" i="71" s="1"/>
  <c r="N387" i="69"/>
  <c r="Z387" i="69" s="1"/>
  <c r="M387" i="69"/>
  <c r="E388" i="69"/>
  <c r="J388" i="69" s="1"/>
  <c r="S415" i="71" l="1"/>
  <c r="Z415" i="71"/>
  <c r="Q415" i="71" s="1"/>
  <c r="P415" i="71"/>
  <c r="B416" i="71"/>
  <c r="E416" i="71" s="1"/>
  <c r="J416" i="71" s="1"/>
  <c r="C416" i="71"/>
  <c r="M415" i="71"/>
  <c r="L415" i="71" s="1"/>
  <c r="P387" i="69"/>
  <c r="D388" i="69"/>
  <c r="K388" i="69" s="1"/>
  <c r="C389" i="69" s="1"/>
  <c r="L383" i="69"/>
  <c r="D416" i="71" l="1"/>
  <c r="I416" i="71" s="1"/>
  <c r="H388" i="69"/>
  <c r="I388" i="69"/>
  <c r="A388" i="69"/>
  <c r="B389" i="69"/>
  <c r="E389" i="69" s="1"/>
  <c r="J389" i="69" s="1"/>
  <c r="H416" i="71" l="1"/>
  <c r="K416" i="71"/>
  <c r="A416" i="71" s="1"/>
  <c r="N416" i="71" s="1"/>
  <c r="N388" i="69"/>
  <c r="Z388" i="69" s="1"/>
  <c r="M388" i="69"/>
  <c r="D389" i="69"/>
  <c r="S416" i="71" l="1"/>
  <c r="Z416" i="71"/>
  <c r="P416" i="71"/>
  <c r="Q416" i="71"/>
  <c r="B417" i="71"/>
  <c r="E417" i="71" s="1"/>
  <c r="J417" i="71" s="1"/>
  <c r="C417" i="71"/>
  <c r="M416" i="71"/>
  <c r="L416" i="71" s="1"/>
  <c r="P388" i="69"/>
  <c r="I389" i="69"/>
  <c r="H389" i="69"/>
  <c r="K389" i="69"/>
  <c r="L384" i="69"/>
  <c r="D417" i="71" l="1"/>
  <c r="I417" i="71" s="1"/>
  <c r="C390" i="69"/>
  <c r="A389" i="69"/>
  <c r="B390" i="69"/>
  <c r="H417" i="71" l="1"/>
  <c r="K417" i="71"/>
  <c r="C418" i="71" s="1"/>
  <c r="N389" i="69"/>
  <c r="Z389" i="69" s="1"/>
  <c r="M389" i="69"/>
  <c r="L385" i="69"/>
  <c r="E390" i="69"/>
  <c r="J390" i="69" s="1"/>
  <c r="B418" i="71" l="1"/>
  <c r="E418" i="71" s="1"/>
  <c r="J418" i="71" s="1"/>
  <c r="A417" i="71"/>
  <c r="P389" i="69"/>
  <c r="D390" i="69"/>
  <c r="N417" i="71" l="1"/>
  <c r="M417" i="71"/>
  <c r="L417" i="71" s="1"/>
  <c r="D418" i="71"/>
  <c r="I390" i="69"/>
  <c r="H390" i="69"/>
  <c r="K390" i="69"/>
  <c r="S417" i="71" l="1"/>
  <c r="Z417" i="71"/>
  <c r="P417" i="71"/>
  <c r="Q417" i="71"/>
  <c r="I418" i="71"/>
  <c r="H418" i="71"/>
  <c r="K418" i="71"/>
  <c r="C391" i="69"/>
  <c r="A390" i="69"/>
  <c r="B391" i="69"/>
  <c r="C419" i="71" l="1"/>
  <c r="A418" i="71"/>
  <c r="N418" i="71" s="1"/>
  <c r="B419" i="71"/>
  <c r="N390" i="69"/>
  <c r="Z390" i="69" s="1"/>
  <c r="M390" i="69"/>
  <c r="L386" i="69"/>
  <c r="E391" i="69"/>
  <c r="J391" i="69" s="1"/>
  <c r="S418" i="71" l="1"/>
  <c r="Z418" i="71"/>
  <c r="Q418" i="71" s="1"/>
  <c r="P418" i="71"/>
  <c r="E419" i="71"/>
  <c r="J419" i="71" s="1"/>
  <c r="M418" i="71"/>
  <c r="L418" i="71" s="1"/>
  <c r="P390" i="69"/>
  <c r="D391" i="69"/>
  <c r="I391" i="69" s="1"/>
  <c r="D419" i="71" l="1"/>
  <c r="I419" i="71" s="1"/>
  <c r="K391" i="69"/>
  <c r="A391" i="69" s="1"/>
  <c r="H391" i="69"/>
  <c r="K419" i="71" l="1"/>
  <c r="C420" i="71" s="1"/>
  <c r="H419" i="71"/>
  <c r="C392" i="69"/>
  <c r="B392" i="69"/>
  <c r="E392" i="69" s="1"/>
  <c r="J392" i="69" s="1"/>
  <c r="N391" i="69"/>
  <c r="Z391" i="69" s="1"/>
  <c r="M391" i="69"/>
  <c r="A419" i="71" l="1"/>
  <c r="B420" i="71"/>
  <c r="E420" i="71" s="1"/>
  <c r="J420" i="71" s="1"/>
  <c r="P391" i="69"/>
  <c r="L387" i="69"/>
  <c r="D392" i="69"/>
  <c r="N419" i="71" l="1"/>
  <c r="M419" i="71"/>
  <c r="L419" i="71" s="1"/>
  <c r="D420" i="71"/>
  <c r="I392" i="69"/>
  <c r="H392" i="69"/>
  <c r="K392" i="69"/>
  <c r="S419" i="71" l="1"/>
  <c r="Z419" i="71"/>
  <c r="Q419" i="71" s="1"/>
  <c r="P419" i="71"/>
  <c r="I420" i="71"/>
  <c r="H420" i="71"/>
  <c r="K420" i="71"/>
  <c r="C393" i="69"/>
  <c r="A392" i="69"/>
  <c r="B393" i="69"/>
  <c r="C421" i="71" l="1"/>
  <c r="A420" i="71"/>
  <c r="N420" i="71" s="1"/>
  <c r="B421" i="71"/>
  <c r="N392" i="69"/>
  <c r="Z392" i="69" s="1"/>
  <c r="M392" i="69"/>
  <c r="E393" i="69"/>
  <c r="J393" i="69" s="1"/>
  <c r="L388" i="69"/>
  <c r="S420" i="71" l="1"/>
  <c r="Z420" i="71"/>
  <c r="Q420" i="71" s="1"/>
  <c r="P420" i="71"/>
  <c r="E421" i="71"/>
  <c r="J421" i="71" s="1"/>
  <c r="M420" i="71"/>
  <c r="L420" i="71" s="1"/>
  <c r="P392" i="69"/>
  <c r="D393" i="69"/>
  <c r="H393" i="69" s="1"/>
  <c r="D421" i="71" l="1"/>
  <c r="I421" i="71" s="1"/>
  <c r="K393" i="69"/>
  <c r="B394" i="69" s="1"/>
  <c r="I393" i="69"/>
  <c r="L389" i="69"/>
  <c r="K421" i="71" l="1"/>
  <c r="C422" i="71" s="1"/>
  <c r="H421" i="71"/>
  <c r="A393" i="69"/>
  <c r="C394" i="69"/>
  <c r="E394" i="69"/>
  <c r="J394" i="69" s="1"/>
  <c r="B422" i="71" l="1"/>
  <c r="E422" i="71" s="1"/>
  <c r="J422" i="71" s="1"/>
  <c r="A421" i="71"/>
  <c r="N393" i="69"/>
  <c r="Z393" i="69" s="1"/>
  <c r="M393" i="69"/>
  <c r="D394" i="69"/>
  <c r="K394" i="69" s="1"/>
  <c r="B395" i="69" s="1"/>
  <c r="N421" i="71" l="1"/>
  <c r="M421" i="71"/>
  <c r="L421" i="71" s="1"/>
  <c r="D422" i="71"/>
  <c r="P393" i="69"/>
  <c r="I394" i="69"/>
  <c r="H394" i="69"/>
  <c r="A394" i="69"/>
  <c r="C395" i="69"/>
  <c r="L390" i="69"/>
  <c r="E395" i="69"/>
  <c r="J395" i="69" s="1"/>
  <c r="S421" i="71" l="1"/>
  <c r="Z421" i="71"/>
  <c r="Q421" i="71" s="1"/>
  <c r="P421" i="71"/>
  <c r="I422" i="71"/>
  <c r="H422" i="71"/>
  <c r="K422" i="71"/>
  <c r="N394" i="69"/>
  <c r="Z394" i="69" s="1"/>
  <c r="M394" i="69"/>
  <c r="D395" i="69"/>
  <c r="I395" i="69" s="1"/>
  <c r="C423" i="71" l="1"/>
  <c r="A422" i="71"/>
  <c r="N422" i="71" s="1"/>
  <c r="B423" i="71"/>
  <c r="P394" i="69"/>
  <c r="K395" i="69"/>
  <c r="A395" i="69" s="1"/>
  <c r="H395" i="69"/>
  <c r="S422" i="71" l="1"/>
  <c r="Z422" i="71"/>
  <c r="P422" i="71"/>
  <c r="Q422" i="71"/>
  <c r="E423" i="71"/>
  <c r="J423" i="71" s="1"/>
  <c r="M422" i="71"/>
  <c r="L422" i="71" s="1"/>
  <c r="B396" i="69"/>
  <c r="E396" i="69" s="1"/>
  <c r="J396" i="69" s="1"/>
  <c r="C396" i="69"/>
  <c r="N395" i="69"/>
  <c r="Z395" i="69" s="1"/>
  <c r="M395" i="69"/>
  <c r="L391" i="69"/>
  <c r="D423" i="71" l="1"/>
  <c r="H423" i="71" s="1"/>
  <c r="P395" i="69"/>
  <c r="D396" i="69"/>
  <c r="I423" i="71" l="1"/>
  <c r="K423" i="71"/>
  <c r="C424" i="71" s="1"/>
  <c r="I396" i="69"/>
  <c r="H396" i="69"/>
  <c r="K396" i="69"/>
  <c r="B424" i="71" l="1"/>
  <c r="E424" i="71" s="1"/>
  <c r="J424" i="71" s="1"/>
  <c r="A423" i="71"/>
  <c r="C397" i="69"/>
  <c r="A396" i="69"/>
  <c r="B397" i="69"/>
  <c r="N423" i="71" l="1"/>
  <c r="M423" i="71"/>
  <c r="L423" i="71" s="1"/>
  <c r="D424" i="71"/>
  <c r="K424" i="71" s="1"/>
  <c r="C425" i="71" s="1"/>
  <c r="N396" i="69"/>
  <c r="Z396" i="69" s="1"/>
  <c r="M396" i="69"/>
  <c r="L392" i="69"/>
  <c r="E397" i="69"/>
  <c r="J397" i="69" s="1"/>
  <c r="S423" i="71" l="1"/>
  <c r="Z423" i="71"/>
  <c r="Q423" i="71" s="1"/>
  <c r="P423" i="71"/>
  <c r="H424" i="71"/>
  <c r="I424" i="71"/>
  <c r="B425" i="71"/>
  <c r="E425" i="71" s="1"/>
  <c r="A424" i="71"/>
  <c r="P396" i="69"/>
  <c r="D397" i="69"/>
  <c r="N424" i="71" l="1"/>
  <c r="M424" i="71"/>
  <c r="L424" i="71" s="1"/>
  <c r="J425" i="71"/>
  <c r="D425" i="71"/>
  <c r="I425" i="71" s="1"/>
  <c r="H397" i="69"/>
  <c r="I397" i="69"/>
  <c r="K397" i="69"/>
  <c r="S424" i="71" l="1"/>
  <c r="Z424" i="71"/>
  <c r="Q424" i="71" s="1"/>
  <c r="P424" i="71"/>
  <c r="K425" i="71"/>
  <c r="A425" i="71" s="1"/>
  <c r="N425" i="71" s="1"/>
  <c r="H425" i="71"/>
  <c r="B398" i="69"/>
  <c r="C398" i="69"/>
  <c r="A397" i="69"/>
  <c r="L393" i="69"/>
  <c r="S425" i="71" l="1"/>
  <c r="Z425" i="71"/>
  <c r="Q425" i="71" s="1"/>
  <c r="P425" i="71"/>
  <c r="B426" i="71"/>
  <c r="E426" i="71" s="1"/>
  <c r="J426" i="71" s="1"/>
  <c r="C426" i="71"/>
  <c r="M425" i="71"/>
  <c r="L425" i="71" s="1"/>
  <c r="N397" i="69"/>
  <c r="Z397" i="69" s="1"/>
  <c r="M397" i="69"/>
  <c r="E398" i="69"/>
  <c r="J398" i="69" s="1"/>
  <c r="D426" i="71" l="1"/>
  <c r="P397" i="69"/>
  <c r="D398" i="69"/>
  <c r="K398" i="69" s="1"/>
  <c r="B399" i="69" s="1"/>
  <c r="I426" i="71" l="1"/>
  <c r="H426" i="71"/>
  <c r="K426" i="71"/>
  <c r="H398" i="69"/>
  <c r="A398" i="69"/>
  <c r="C399" i="69"/>
  <c r="I398" i="69"/>
  <c r="L394" i="69"/>
  <c r="E399" i="69"/>
  <c r="J399" i="69" s="1"/>
  <c r="C427" i="71" l="1"/>
  <c r="A426" i="71"/>
  <c r="N426" i="71" s="1"/>
  <c r="B427" i="71"/>
  <c r="N398" i="69"/>
  <c r="Z398" i="69" s="1"/>
  <c r="M398" i="69"/>
  <c r="D399" i="69"/>
  <c r="I399" i="69" s="1"/>
  <c r="S426" i="71" l="1"/>
  <c r="Z426" i="71"/>
  <c r="Q426" i="71" s="1"/>
  <c r="P426" i="71"/>
  <c r="M426" i="71"/>
  <c r="L426" i="71" s="1"/>
  <c r="E427" i="71"/>
  <c r="J427" i="71" s="1"/>
  <c r="P398" i="69"/>
  <c r="K399" i="69"/>
  <c r="B400" i="69" s="1"/>
  <c r="H399" i="69"/>
  <c r="L395" i="69"/>
  <c r="D427" i="71" l="1"/>
  <c r="K427" i="71" s="1"/>
  <c r="B428" i="71" s="1"/>
  <c r="A399" i="69"/>
  <c r="C400" i="69"/>
  <c r="E400" i="69"/>
  <c r="J400" i="69" s="1"/>
  <c r="H427" i="71" l="1"/>
  <c r="I427" i="71"/>
  <c r="C428" i="71"/>
  <c r="A427" i="71"/>
  <c r="E428" i="71"/>
  <c r="J428" i="71" s="1"/>
  <c r="N399" i="69"/>
  <c r="Z399" i="69" s="1"/>
  <c r="M399" i="69"/>
  <c r="D400" i="69"/>
  <c r="N427" i="71" l="1"/>
  <c r="M427" i="71"/>
  <c r="L427" i="71" s="1"/>
  <c r="D428" i="71"/>
  <c r="P399" i="69"/>
  <c r="I400" i="69"/>
  <c r="H400" i="69"/>
  <c r="K400" i="69"/>
  <c r="S427" i="71" l="1"/>
  <c r="Z427" i="71"/>
  <c r="Q427" i="71" s="1"/>
  <c r="P427" i="71"/>
  <c r="I428" i="71"/>
  <c r="H428" i="71"/>
  <c r="K428" i="71"/>
  <c r="C401" i="69"/>
  <c r="A400" i="69"/>
  <c r="B401" i="69"/>
  <c r="L396" i="69"/>
  <c r="C429" i="71" l="1"/>
  <c r="A428" i="71"/>
  <c r="N428" i="71" s="1"/>
  <c r="B429" i="71"/>
  <c r="N400" i="69"/>
  <c r="Z400" i="69" s="1"/>
  <c r="M400" i="69"/>
  <c r="E401" i="69"/>
  <c r="J401" i="69" s="1"/>
  <c r="S428" i="71" l="1"/>
  <c r="Z428" i="71"/>
  <c r="Q428" i="71" s="1"/>
  <c r="P428" i="71"/>
  <c r="E429" i="71"/>
  <c r="J429" i="71" s="1"/>
  <c r="M428" i="71"/>
  <c r="L428" i="71" s="1"/>
  <c r="P400" i="69"/>
  <c r="D401" i="69"/>
  <c r="D429" i="71" l="1"/>
  <c r="I429" i="71" s="1"/>
  <c r="H401" i="69"/>
  <c r="I401" i="69"/>
  <c r="K401" i="69"/>
  <c r="H429" i="71" l="1"/>
  <c r="K429" i="71"/>
  <c r="C430" i="71" s="1"/>
  <c r="B402" i="69"/>
  <c r="C402" i="69"/>
  <c r="A401" i="69"/>
  <c r="L397" i="69"/>
  <c r="B430" i="71" l="1"/>
  <c r="E430" i="71" s="1"/>
  <c r="J430" i="71" s="1"/>
  <c r="A429" i="71"/>
  <c r="N401" i="69"/>
  <c r="Z401" i="69" s="1"/>
  <c r="M401" i="69"/>
  <c r="E402" i="69"/>
  <c r="J402" i="69" s="1"/>
  <c r="N429" i="71" l="1"/>
  <c r="M429" i="71"/>
  <c r="L429" i="71" s="1"/>
  <c r="D430" i="71"/>
  <c r="I430" i="71" s="1"/>
  <c r="P401" i="69"/>
  <c r="D402" i="69"/>
  <c r="H402" i="69" s="1"/>
  <c r="S429" i="71" l="1"/>
  <c r="Z429" i="71"/>
  <c r="Q429" i="71" s="1"/>
  <c r="P429" i="71"/>
  <c r="K430" i="71"/>
  <c r="C431" i="71" s="1"/>
  <c r="H430" i="71"/>
  <c r="K402" i="69"/>
  <c r="B403" i="69" s="1"/>
  <c r="I402" i="69"/>
  <c r="A430" i="71" l="1"/>
  <c r="B431" i="71"/>
  <c r="E431" i="71" s="1"/>
  <c r="J431" i="71" s="1"/>
  <c r="A402" i="69"/>
  <c r="C403" i="69"/>
  <c r="E403" i="69"/>
  <c r="J403" i="69" s="1"/>
  <c r="L398" i="69"/>
  <c r="M430" i="71" l="1"/>
  <c r="L430" i="71" s="1"/>
  <c r="N430" i="71"/>
  <c r="D431" i="71"/>
  <c r="K431" i="71" s="1"/>
  <c r="C432" i="71" s="1"/>
  <c r="N402" i="69"/>
  <c r="Z402" i="69" s="1"/>
  <c r="M402" i="69"/>
  <c r="D403" i="69"/>
  <c r="H403" i="69" s="1"/>
  <c r="S430" i="71" l="1"/>
  <c r="Z430" i="71"/>
  <c r="P430" i="71"/>
  <c r="Q430" i="71"/>
  <c r="I431" i="71"/>
  <c r="H431" i="71"/>
  <c r="B432" i="71"/>
  <c r="E432" i="71" s="1"/>
  <c r="J432" i="71" s="1"/>
  <c r="A431" i="71"/>
  <c r="P402" i="69"/>
  <c r="K403" i="69"/>
  <c r="B404" i="69" s="1"/>
  <c r="I403" i="69"/>
  <c r="M431" i="71" l="1"/>
  <c r="L431" i="71" s="1"/>
  <c r="N431" i="71"/>
  <c r="D432" i="71"/>
  <c r="I432" i="71" s="1"/>
  <c r="A403" i="69"/>
  <c r="C404" i="69"/>
  <c r="E404" i="69"/>
  <c r="J404" i="69" s="1"/>
  <c r="S431" i="71" l="1"/>
  <c r="Z431" i="71"/>
  <c r="Q431" i="71" s="1"/>
  <c r="P431" i="71"/>
  <c r="K432" i="71"/>
  <c r="B433" i="71" s="1"/>
  <c r="H432" i="71"/>
  <c r="M403" i="69"/>
  <c r="N403" i="69"/>
  <c r="Z403" i="69" s="1"/>
  <c r="L399" i="69"/>
  <c r="D404" i="69"/>
  <c r="C433" i="71" l="1"/>
  <c r="A432" i="71"/>
  <c r="E433" i="71"/>
  <c r="J433" i="71" s="1"/>
  <c r="P403" i="69"/>
  <c r="I404" i="69"/>
  <c r="H404" i="69"/>
  <c r="K404" i="69"/>
  <c r="M432" i="71" l="1"/>
  <c r="L432" i="71" s="1"/>
  <c r="N432" i="71"/>
  <c r="D433" i="71"/>
  <c r="A404" i="69"/>
  <c r="C405" i="69"/>
  <c r="B405" i="69"/>
  <c r="S432" i="71" l="1"/>
  <c r="Z432" i="71"/>
  <c r="P432" i="71"/>
  <c r="Q432" i="71"/>
  <c r="I433" i="71"/>
  <c r="H433" i="71"/>
  <c r="K433" i="71"/>
  <c r="N404" i="69"/>
  <c r="Z404" i="69" s="1"/>
  <c r="M404" i="69"/>
  <c r="L400" i="69"/>
  <c r="E405" i="69"/>
  <c r="J405" i="69" s="1"/>
  <c r="C434" i="71" l="1"/>
  <c r="A433" i="71"/>
  <c r="N433" i="71" s="1"/>
  <c r="B434" i="71"/>
  <c r="P404" i="69"/>
  <c r="D405" i="69"/>
  <c r="I405" i="69" s="1"/>
  <c r="S433" i="71" l="1"/>
  <c r="Z433" i="71"/>
  <c r="Q433" i="71" s="1"/>
  <c r="P433" i="71"/>
  <c r="E434" i="71"/>
  <c r="J434" i="71" s="1"/>
  <c r="M433" i="71"/>
  <c r="L433" i="71" s="1"/>
  <c r="K405" i="69"/>
  <c r="B406" i="69" s="1"/>
  <c r="H405" i="69"/>
  <c r="D434" i="71" l="1"/>
  <c r="I434" i="71" s="1"/>
  <c r="A405" i="69"/>
  <c r="C406" i="69"/>
  <c r="L401" i="69"/>
  <c r="E406" i="69"/>
  <c r="J406" i="69" s="1"/>
  <c r="K434" i="71" l="1"/>
  <c r="C435" i="71" s="1"/>
  <c r="H434" i="71"/>
  <c r="N405" i="69"/>
  <c r="Z405" i="69" s="1"/>
  <c r="M405" i="69"/>
  <c r="D406" i="69"/>
  <c r="B435" i="71" l="1"/>
  <c r="E435" i="71" s="1"/>
  <c r="A434" i="71"/>
  <c r="P405" i="69"/>
  <c r="I406" i="69"/>
  <c r="H406" i="69"/>
  <c r="K406" i="69"/>
  <c r="M434" i="71" l="1"/>
  <c r="L434" i="71" s="1"/>
  <c r="N434" i="71"/>
  <c r="J435" i="71"/>
  <c r="D435" i="71"/>
  <c r="H435" i="71" s="1"/>
  <c r="C407" i="69"/>
  <c r="B407" i="69"/>
  <c r="A406" i="69"/>
  <c r="S434" i="71" l="1"/>
  <c r="Z434" i="71"/>
  <c r="Q434" i="71" s="1"/>
  <c r="P434" i="71"/>
  <c r="K435" i="71"/>
  <c r="A435" i="71" s="1"/>
  <c r="N435" i="71" s="1"/>
  <c r="I435" i="71"/>
  <c r="N406" i="69"/>
  <c r="Z406" i="69" s="1"/>
  <c r="M406" i="69"/>
  <c r="L402" i="69"/>
  <c r="E407" i="69"/>
  <c r="J407" i="69" s="1"/>
  <c r="S435" i="71" l="1"/>
  <c r="Z435" i="71"/>
  <c r="Q435" i="71" s="1"/>
  <c r="P435" i="71"/>
  <c r="B436" i="71"/>
  <c r="E436" i="71" s="1"/>
  <c r="J436" i="71" s="1"/>
  <c r="C436" i="71"/>
  <c r="M435" i="71"/>
  <c r="L435" i="71" s="1"/>
  <c r="P406" i="69"/>
  <c r="D407" i="69"/>
  <c r="I407" i="69" s="1"/>
  <c r="D436" i="71" l="1"/>
  <c r="H407" i="69"/>
  <c r="K407" i="69"/>
  <c r="C408" i="69" s="1"/>
  <c r="L403" i="69"/>
  <c r="I436" i="71" l="1"/>
  <c r="H436" i="71"/>
  <c r="K436" i="71"/>
  <c r="B408" i="69"/>
  <c r="E408" i="69" s="1"/>
  <c r="J408" i="69" s="1"/>
  <c r="A407" i="69"/>
  <c r="C437" i="71" l="1"/>
  <c r="A436" i="71"/>
  <c r="N436" i="71" s="1"/>
  <c r="B437" i="71"/>
  <c r="N407" i="69"/>
  <c r="Z407" i="69" s="1"/>
  <c r="M407" i="69"/>
  <c r="D408" i="69"/>
  <c r="S436" i="71" l="1"/>
  <c r="Z436" i="71"/>
  <c r="Q436" i="71" s="1"/>
  <c r="P436" i="71"/>
  <c r="E437" i="71"/>
  <c r="J437" i="71" s="1"/>
  <c r="M436" i="71"/>
  <c r="L436" i="71" s="1"/>
  <c r="P407" i="69"/>
  <c r="H408" i="69"/>
  <c r="I408" i="69"/>
  <c r="K408" i="69"/>
  <c r="D437" i="71" l="1"/>
  <c r="I437" i="71" s="1"/>
  <c r="L404" i="69"/>
  <c r="C409" i="69"/>
  <c r="B409" i="69"/>
  <c r="A408" i="69"/>
  <c r="K437" i="71" l="1"/>
  <c r="C438" i="71" s="1"/>
  <c r="H437" i="71"/>
  <c r="N408" i="69"/>
  <c r="Z408" i="69" s="1"/>
  <c r="M408" i="69"/>
  <c r="E409" i="69"/>
  <c r="J409" i="69" s="1"/>
  <c r="A437" i="71" l="1"/>
  <c r="B438" i="71"/>
  <c r="E438" i="71" s="1"/>
  <c r="J438" i="71" s="1"/>
  <c r="P408" i="69"/>
  <c r="D409" i="69"/>
  <c r="H409" i="69" s="1"/>
  <c r="M437" i="71" l="1"/>
  <c r="L437" i="71" s="1"/>
  <c r="N437" i="71"/>
  <c r="D438" i="71"/>
  <c r="I438" i="71" s="1"/>
  <c r="I409" i="69"/>
  <c r="K409" i="69"/>
  <c r="C410" i="69" s="1"/>
  <c r="S437" i="71" l="1"/>
  <c r="Z437" i="71"/>
  <c r="P437" i="71"/>
  <c r="Q437" i="71"/>
  <c r="K438" i="71"/>
  <c r="C439" i="71" s="1"/>
  <c r="H438" i="71"/>
  <c r="A409" i="69"/>
  <c r="B410" i="69"/>
  <c r="E410" i="69" s="1"/>
  <c r="J410" i="69" s="1"/>
  <c r="L405" i="69"/>
  <c r="A438" i="71" l="1"/>
  <c r="B439" i="71"/>
  <c r="E439" i="71" s="1"/>
  <c r="J439" i="71" s="1"/>
  <c r="N409" i="69"/>
  <c r="Z409" i="69" s="1"/>
  <c r="M409" i="69"/>
  <c r="D410" i="69"/>
  <c r="M438" i="71" l="1"/>
  <c r="L438" i="71" s="1"/>
  <c r="N438" i="71"/>
  <c r="D439" i="71"/>
  <c r="I439" i="71" s="1"/>
  <c r="P409" i="69"/>
  <c r="L406" i="69"/>
  <c r="I410" i="69"/>
  <c r="H410" i="69"/>
  <c r="K410" i="69"/>
  <c r="S438" i="71" l="1"/>
  <c r="Z438" i="71"/>
  <c r="Q438" i="71" s="1"/>
  <c r="P438" i="71"/>
  <c r="K439" i="71"/>
  <c r="C440" i="71" s="1"/>
  <c r="H439" i="71"/>
  <c r="C411" i="69"/>
  <c r="B411" i="69"/>
  <c r="A410" i="69"/>
  <c r="A439" i="71" l="1"/>
  <c r="B440" i="71"/>
  <c r="E440" i="71" s="1"/>
  <c r="J440" i="71" s="1"/>
  <c r="N410" i="69"/>
  <c r="Z410" i="69" s="1"/>
  <c r="M410" i="69"/>
  <c r="E411" i="69"/>
  <c r="J411" i="69" s="1"/>
  <c r="N439" i="71" l="1"/>
  <c r="M439" i="71"/>
  <c r="L439" i="71" s="1"/>
  <c r="D440" i="71"/>
  <c r="P410" i="69"/>
  <c r="D411" i="69"/>
  <c r="I411" i="69" s="1"/>
  <c r="L407" i="69"/>
  <c r="S439" i="71" l="1"/>
  <c r="Z439" i="71"/>
  <c r="Q439" i="71" s="1"/>
  <c r="P439" i="71"/>
  <c r="I440" i="71"/>
  <c r="H440" i="71"/>
  <c r="K440" i="71"/>
  <c r="K411" i="69"/>
  <c r="A411" i="69" s="1"/>
  <c r="H411" i="69"/>
  <c r="C441" i="71" l="1"/>
  <c r="A440" i="71"/>
  <c r="N440" i="71" s="1"/>
  <c r="B441" i="71"/>
  <c r="C412" i="69"/>
  <c r="B412" i="69"/>
  <c r="E412" i="69" s="1"/>
  <c r="J412" i="69" s="1"/>
  <c r="N411" i="69"/>
  <c r="Z411" i="69" s="1"/>
  <c r="M411" i="69"/>
  <c r="S440" i="71" l="1"/>
  <c r="Z440" i="71"/>
  <c r="Q440" i="71" s="1"/>
  <c r="P440" i="71"/>
  <c r="M440" i="71"/>
  <c r="L440" i="71" s="1"/>
  <c r="E441" i="71"/>
  <c r="J441" i="71" s="1"/>
  <c r="P411" i="69"/>
  <c r="D412" i="69"/>
  <c r="D441" i="71" l="1"/>
  <c r="I441" i="71" s="1"/>
  <c r="L408" i="69"/>
  <c r="I412" i="69"/>
  <c r="H412" i="69"/>
  <c r="K412" i="69"/>
  <c r="K441" i="71" l="1"/>
  <c r="C442" i="71" s="1"/>
  <c r="H441" i="71"/>
  <c r="C413" i="69"/>
  <c r="A412" i="69"/>
  <c r="B413" i="69"/>
  <c r="B442" i="71" l="1"/>
  <c r="E442" i="71" s="1"/>
  <c r="J442" i="71" s="1"/>
  <c r="A441" i="71"/>
  <c r="N412" i="69"/>
  <c r="Z412" i="69" s="1"/>
  <c r="M412" i="69"/>
  <c r="E413" i="69"/>
  <c r="J413" i="69" s="1"/>
  <c r="N441" i="71" l="1"/>
  <c r="M441" i="71"/>
  <c r="L441" i="71" s="1"/>
  <c r="D442" i="71"/>
  <c r="K442" i="71" s="1"/>
  <c r="C443" i="71" s="1"/>
  <c r="P412" i="69"/>
  <c r="D413" i="69"/>
  <c r="K413" i="69" s="1"/>
  <c r="C414" i="69" s="1"/>
  <c r="L409" i="69"/>
  <c r="S441" i="71" l="1"/>
  <c r="Z441" i="71"/>
  <c r="Q441" i="71" s="1"/>
  <c r="P441" i="71"/>
  <c r="I442" i="71"/>
  <c r="B443" i="71"/>
  <c r="E443" i="71" s="1"/>
  <c r="J443" i="71" s="1"/>
  <c r="H442" i="71"/>
  <c r="A442" i="71"/>
  <c r="B414" i="69"/>
  <c r="E414" i="69" s="1"/>
  <c r="J414" i="69" s="1"/>
  <c r="A413" i="69"/>
  <c r="H413" i="69"/>
  <c r="I413" i="69"/>
  <c r="M442" i="71" l="1"/>
  <c r="L442" i="71" s="1"/>
  <c r="N442" i="71"/>
  <c r="D443" i="71"/>
  <c r="I443" i="71" s="1"/>
  <c r="N413" i="69"/>
  <c r="Z413" i="69" s="1"/>
  <c r="M413" i="69"/>
  <c r="D414" i="69"/>
  <c r="I414" i="69" s="1"/>
  <c r="L410" i="69"/>
  <c r="S442" i="71" l="1"/>
  <c r="Z442" i="71"/>
  <c r="P442" i="71"/>
  <c r="Q442" i="71"/>
  <c r="K443" i="71"/>
  <c r="A443" i="71" s="1"/>
  <c r="N443" i="71" s="1"/>
  <c r="H443" i="71"/>
  <c r="P413" i="69"/>
  <c r="K414" i="69"/>
  <c r="B415" i="69" s="1"/>
  <c r="H414" i="69"/>
  <c r="S443" i="71" l="1"/>
  <c r="Z443" i="71"/>
  <c r="Q443" i="71" s="1"/>
  <c r="P443" i="71"/>
  <c r="C444" i="71"/>
  <c r="B444" i="71"/>
  <c r="E444" i="71" s="1"/>
  <c r="J444" i="71" s="1"/>
  <c r="M443" i="71"/>
  <c r="L443" i="71" s="1"/>
  <c r="C415" i="69"/>
  <c r="A414" i="69"/>
  <c r="E415" i="69"/>
  <c r="J415" i="69" s="1"/>
  <c r="D444" i="71" l="1"/>
  <c r="I444" i="71" s="1"/>
  <c r="M414" i="69"/>
  <c r="N414" i="69"/>
  <c r="Z414" i="69" s="1"/>
  <c r="L411" i="69"/>
  <c r="D415" i="69"/>
  <c r="H444" i="71" l="1"/>
  <c r="K444" i="71"/>
  <c r="C445" i="71" s="1"/>
  <c r="P414" i="69"/>
  <c r="I415" i="69"/>
  <c r="H415" i="69"/>
  <c r="K415" i="69"/>
  <c r="B445" i="71" l="1"/>
  <c r="E445" i="71" s="1"/>
  <c r="J445" i="71" s="1"/>
  <c r="A444" i="71"/>
  <c r="C416" i="69"/>
  <c r="A415" i="69"/>
  <c r="B416" i="69"/>
  <c r="M444" i="71" l="1"/>
  <c r="L444" i="71" s="1"/>
  <c r="N444" i="71"/>
  <c r="D445" i="71"/>
  <c r="N415" i="69"/>
  <c r="Z415" i="69" s="1"/>
  <c r="M415" i="69"/>
  <c r="E416" i="69"/>
  <c r="J416" i="69" s="1"/>
  <c r="L412" i="69"/>
  <c r="S444" i="71" l="1"/>
  <c r="Z444" i="71"/>
  <c r="P444" i="71"/>
  <c r="Q444" i="71"/>
  <c r="I445" i="71"/>
  <c r="H445" i="71"/>
  <c r="K445" i="71"/>
  <c r="P415" i="69"/>
  <c r="D416" i="69"/>
  <c r="C446" i="71" l="1"/>
  <c r="A445" i="71"/>
  <c r="N445" i="71" s="1"/>
  <c r="B446" i="71"/>
  <c r="I416" i="69"/>
  <c r="H416" i="69"/>
  <c r="K416" i="69"/>
  <c r="S445" i="71" l="1"/>
  <c r="Z445" i="71"/>
  <c r="Q445" i="71" s="1"/>
  <c r="P445" i="71"/>
  <c r="E446" i="71"/>
  <c r="J446" i="71" s="1"/>
  <c r="M445" i="71"/>
  <c r="L445" i="71" s="1"/>
  <c r="C417" i="69"/>
  <c r="A416" i="69"/>
  <c r="B417" i="69"/>
  <c r="D446" i="71" l="1"/>
  <c r="I446" i="71" s="1"/>
  <c r="N416" i="69"/>
  <c r="Z416" i="69" s="1"/>
  <c r="M416" i="69"/>
  <c r="L413" i="69"/>
  <c r="E417" i="69"/>
  <c r="J417" i="69" s="1"/>
  <c r="K446" i="71" l="1"/>
  <c r="A446" i="71" s="1"/>
  <c r="N446" i="71" s="1"/>
  <c r="H446" i="71"/>
  <c r="P416" i="69"/>
  <c r="D417" i="69"/>
  <c r="S446" i="71" l="1"/>
  <c r="Z446" i="71"/>
  <c r="Q446" i="71" s="1"/>
  <c r="P446" i="71"/>
  <c r="C447" i="71"/>
  <c r="B447" i="71"/>
  <c r="E447" i="71" s="1"/>
  <c r="J447" i="71" s="1"/>
  <c r="M446" i="71"/>
  <c r="L446" i="71" s="1"/>
  <c r="I417" i="69"/>
  <c r="H417" i="69"/>
  <c r="K417" i="69"/>
  <c r="D447" i="71" l="1"/>
  <c r="I447" i="71" s="1"/>
  <c r="C418" i="69"/>
  <c r="A417" i="69"/>
  <c r="B418" i="69"/>
  <c r="K447" i="71" l="1"/>
  <c r="A447" i="71" s="1"/>
  <c r="N447" i="71" s="1"/>
  <c r="H447" i="71"/>
  <c r="N417" i="69"/>
  <c r="Z417" i="69" s="1"/>
  <c r="M417" i="69"/>
  <c r="E418" i="69"/>
  <c r="J418" i="69" s="1"/>
  <c r="L414" i="69"/>
  <c r="S447" i="71" l="1"/>
  <c r="Z447" i="71"/>
  <c r="P447" i="71"/>
  <c r="Q447" i="71"/>
  <c r="C448" i="71"/>
  <c r="B448" i="71"/>
  <c r="E448" i="71" s="1"/>
  <c r="J448" i="71" s="1"/>
  <c r="M447" i="71"/>
  <c r="L447" i="71" s="1"/>
  <c r="P417" i="69"/>
  <c r="D418" i="69"/>
  <c r="D448" i="71" l="1"/>
  <c r="I418" i="69"/>
  <c r="H418" i="69"/>
  <c r="K418" i="69"/>
  <c r="I448" i="71" l="1"/>
  <c r="H448" i="71"/>
  <c r="K448" i="71"/>
  <c r="C419" i="69"/>
  <c r="B419" i="69"/>
  <c r="A418" i="69"/>
  <c r="C449" i="71" l="1"/>
  <c r="A448" i="71"/>
  <c r="N448" i="71" s="1"/>
  <c r="B449" i="71"/>
  <c r="N418" i="69"/>
  <c r="Z418" i="69" s="1"/>
  <c r="M418" i="69"/>
  <c r="E419" i="69"/>
  <c r="J419" i="69" s="1"/>
  <c r="L415" i="69"/>
  <c r="S448" i="71" l="1"/>
  <c r="Z448" i="71"/>
  <c r="Q448" i="71" s="1"/>
  <c r="P448" i="71"/>
  <c r="E449" i="71"/>
  <c r="J449" i="71" s="1"/>
  <c r="M448" i="71"/>
  <c r="L448" i="71" s="1"/>
  <c r="P418" i="69"/>
  <c r="D419" i="69"/>
  <c r="K419" i="69" s="1"/>
  <c r="C420" i="69" s="1"/>
  <c r="D449" i="71" l="1"/>
  <c r="I449" i="71" s="1"/>
  <c r="A419" i="69"/>
  <c r="H419" i="69"/>
  <c r="I419" i="69"/>
  <c r="B420" i="69"/>
  <c r="E420" i="69" s="1"/>
  <c r="J420" i="69" s="1"/>
  <c r="L416" i="69"/>
  <c r="H449" i="71" l="1"/>
  <c r="K449" i="71"/>
  <c r="C450" i="71" s="1"/>
  <c r="N419" i="69"/>
  <c r="Z419" i="69" s="1"/>
  <c r="M419" i="69"/>
  <c r="D420" i="69"/>
  <c r="B450" i="71" l="1"/>
  <c r="E450" i="71" s="1"/>
  <c r="J450" i="71" s="1"/>
  <c r="A449" i="71"/>
  <c r="P419" i="69"/>
  <c r="I420" i="69"/>
  <c r="H420" i="69"/>
  <c r="K420" i="69"/>
  <c r="N449" i="71" l="1"/>
  <c r="M449" i="71"/>
  <c r="L449" i="71" s="1"/>
  <c r="D450" i="71"/>
  <c r="H450" i="71" s="1"/>
  <c r="C421" i="69"/>
  <c r="A420" i="69"/>
  <c r="B421" i="69"/>
  <c r="S449" i="71" l="1"/>
  <c r="Z449" i="71"/>
  <c r="Q449" i="71" s="1"/>
  <c r="P449" i="71"/>
  <c r="K450" i="71"/>
  <c r="C451" i="71" s="1"/>
  <c r="I450" i="71"/>
  <c r="N420" i="69"/>
  <c r="Z420" i="69" s="1"/>
  <c r="M420" i="69"/>
  <c r="L417" i="69"/>
  <c r="E421" i="69"/>
  <c r="J421" i="69" s="1"/>
  <c r="A450" i="71" l="1"/>
  <c r="B451" i="71"/>
  <c r="E451" i="71" s="1"/>
  <c r="J451" i="71" s="1"/>
  <c r="P420" i="69"/>
  <c r="D421" i="69"/>
  <c r="M450" i="71" l="1"/>
  <c r="L450" i="71" s="1"/>
  <c r="N450" i="71"/>
  <c r="D451" i="71"/>
  <c r="I451" i="71" s="1"/>
  <c r="I421" i="69"/>
  <c r="H421" i="69"/>
  <c r="K421" i="69"/>
  <c r="S450" i="71" l="1"/>
  <c r="Z450" i="71"/>
  <c r="Q450" i="71" s="1"/>
  <c r="P450" i="71"/>
  <c r="K451" i="71"/>
  <c r="C452" i="71" s="1"/>
  <c r="H451" i="71"/>
  <c r="L418" i="69"/>
  <c r="C422" i="69"/>
  <c r="A421" i="69"/>
  <c r="B422" i="69"/>
  <c r="A451" i="71" l="1"/>
  <c r="B452" i="71"/>
  <c r="E452" i="71" s="1"/>
  <c r="J452" i="71" s="1"/>
  <c r="N421" i="69"/>
  <c r="Z421" i="69" s="1"/>
  <c r="M421" i="69"/>
  <c r="E422" i="69"/>
  <c r="J422" i="69" s="1"/>
  <c r="N451" i="71" l="1"/>
  <c r="M451" i="71"/>
  <c r="L451" i="71" s="1"/>
  <c r="D452" i="71"/>
  <c r="P421" i="69"/>
  <c r="D422" i="69"/>
  <c r="S451" i="71" l="1"/>
  <c r="Z451" i="71"/>
  <c r="Q451" i="71" s="1"/>
  <c r="P451" i="71"/>
  <c r="I452" i="71"/>
  <c r="H452" i="71"/>
  <c r="K452" i="71"/>
  <c r="L419" i="69"/>
  <c r="I422" i="69"/>
  <c r="H422" i="69"/>
  <c r="K422" i="69"/>
  <c r="C453" i="71" l="1"/>
  <c r="A452" i="71"/>
  <c r="N452" i="71" s="1"/>
  <c r="B453" i="71"/>
  <c r="C423" i="69"/>
  <c r="A422" i="69"/>
  <c r="B423" i="69"/>
  <c r="S452" i="71" l="1"/>
  <c r="Z452" i="71"/>
  <c r="Q452" i="71" s="1"/>
  <c r="P452" i="71"/>
  <c r="M452" i="71"/>
  <c r="L452" i="71" s="1"/>
  <c r="E453" i="71"/>
  <c r="J453" i="71" s="1"/>
  <c r="N422" i="69"/>
  <c r="Z422" i="69" s="1"/>
  <c r="M422" i="69"/>
  <c r="E423" i="69"/>
  <c r="J423" i="69" s="1"/>
  <c r="D453" i="71" l="1"/>
  <c r="P422" i="69"/>
  <c r="D423" i="69"/>
  <c r="I453" i="71" l="1"/>
  <c r="H453" i="71"/>
  <c r="K453" i="71"/>
  <c r="L420" i="69"/>
  <c r="I423" i="69"/>
  <c r="H423" i="69"/>
  <c r="K423" i="69"/>
  <c r="C454" i="71" l="1"/>
  <c r="A453" i="71"/>
  <c r="N453" i="71" s="1"/>
  <c r="B454" i="71"/>
  <c r="C424" i="69"/>
  <c r="A423" i="69"/>
  <c r="B424" i="69"/>
  <c r="S453" i="71" l="1"/>
  <c r="Z453" i="71"/>
  <c r="Q453" i="71" s="1"/>
  <c r="P453" i="71"/>
  <c r="E454" i="71"/>
  <c r="J454" i="71" s="1"/>
  <c r="M453" i="71"/>
  <c r="L453" i="71" s="1"/>
  <c r="N423" i="69"/>
  <c r="Z423" i="69" s="1"/>
  <c r="M423" i="69"/>
  <c r="E424" i="69"/>
  <c r="J424" i="69" s="1"/>
  <c r="D454" i="71" l="1"/>
  <c r="I454" i="71" s="1"/>
  <c r="P423" i="69"/>
  <c r="L421" i="69"/>
  <c r="D424" i="69"/>
  <c r="K454" i="71" l="1"/>
  <c r="C455" i="71" s="1"/>
  <c r="H454" i="71"/>
  <c r="H424" i="69"/>
  <c r="I424" i="69"/>
  <c r="K424" i="69"/>
  <c r="A454" i="71" l="1"/>
  <c r="B455" i="71"/>
  <c r="E455" i="71" s="1"/>
  <c r="J455" i="71" s="1"/>
  <c r="L422" i="69"/>
  <c r="B425" i="69"/>
  <c r="C425" i="69"/>
  <c r="A424" i="69"/>
  <c r="N454" i="71" l="1"/>
  <c r="M454" i="71"/>
  <c r="L454" i="71" s="1"/>
  <c r="D455" i="71"/>
  <c r="K455" i="71" s="1"/>
  <c r="C456" i="71" s="1"/>
  <c r="N424" i="69"/>
  <c r="Z424" i="69" s="1"/>
  <c r="M424" i="69"/>
  <c r="E425" i="69"/>
  <c r="J425" i="69" s="1"/>
  <c r="S454" i="71" l="1"/>
  <c r="Z454" i="71"/>
  <c r="Q454" i="71" s="1"/>
  <c r="P454" i="71"/>
  <c r="H455" i="71"/>
  <c r="I455" i="71"/>
  <c r="A455" i="71"/>
  <c r="B456" i="71"/>
  <c r="E456" i="71" s="1"/>
  <c r="J456" i="71" s="1"/>
  <c r="P424" i="69"/>
  <c r="D425" i="69"/>
  <c r="N455" i="71" l="1"/>
  <c r="M455" i="71"/>
  <c r="L455" i="71" s="1"/>
  <c r="D456" i="71"/>
  <c r="I456" i="71" s="1"/>
  <c r="I425" i="69"/>
  <c r="H425" i="69"/>
  <c r="K425" i="69"/>
  <c r="S455" i="71" l="1"/>
  <c r="Z455" i="71"/>
  <c r="P455" i="71"/>
  <c r="Q455" i="71"/>
  <c r="H456" i="71"/>
  <c r="K456" i="71"/>
  <c r="C457" i="71" s="1"/>
  <c r="C426" i="69"/>
  <c r="A425" i="69"/>
  <c r="B426" i="69"/>
  <c r="L423" i="69"/>
  <c r="B457" i="71" l="1"/>
  <c r="E457" i="71" s="1"/>
  <c r="J457" i="71" s="1"/>
  <c r="A456" i="71"/>
  <c r="N425" i="69"/>
  <c r="Z425" i="69" s="1"/>
  <c r="M425" i="69"/>
  <c r="E426" i="69"/>
  <c r="J426" i="69" s="1"/>
  <c r="N456" i="71" l="1"/>
  <c r="M456" i="71"/>
  <c r="L456" i="71" s="1"/>
  <c r="D457" i="71"/>
  <c r="P425" i="69"/>
  <c r="D426" i="69"/>
  <c r="S456" i="71" l="1"/>
  <c r="Z456" i="71"/>
  <c r="Q456" i="71" s="1"/>
  <c r="P456" i="71"/>
  <c r="I457" i="71"/>
  <c r="H457" i="71"/>
  <c r="K457" i="71"/>
  <c r="H426" i="69"/>
  <c r="I426" i="69"/>
  <c r="K426" i="69"/>
  <c r="C458" i="71" l="1"/>
  <c r="A457" i="71"/>
  <c r="N457" i="71" s="1"/>
  <c r="B458" i="71"/>
  <c r="B427" i="69"/>
  <c r="C427" i="69"/>
  <c r="A426" i="69"/>
  <c r="L424" i="69"/>
  <c r="S457" i="71" l="1"/>
  <c r="Z457" i="71"/>
  <c r="Q457" i="71" s="1"/>
  <c r="P457" i="71"/>
  <c r="M457" i="71"/>
  <c r="L457" i="71" s="1"/>
  <c r="E458" i="71"/>
  <c r="J458" i="71" s="1"/>
  <c r="N426" i="69"/>
  <c r="Z426" i="69" s="1"/>
  <c r="M426" i="69"/>
  <c r="E427" i="69"/>
  <c r="J427" i="69" s="1"/>
  <c r="D458" i="71" l="1"/>
  <c r="H458" i="71" s="1"/>
  <c r="P426" i="69"/>
  <c r="D427" i="69"/>
  <c r="K458" i="71" l="1"/>
  <c r="C459" i="71" s="1"/>
  <c r="I458" i="71"/>
  <c r="I427" i="69"/>
  <c r="H427" i="69"/>
  <c r="K427" i="69"/>
  <c r="B459" i="71" l="1"/>
  <c r="E459" i="71" s="1"/>
  <c r="J459" i="71" s="1"/>
  <c r="A458" i="71"/>
  <c r="C428" i="69"/>
  <c r="A427" i="69"/>
  <c r="B428" i="69"/>
  <c r="L425" i="69"/>
  <c r="N458" i="71" l="1"/>
  <c r="M458" i="71"/>
  <c r="L458" i="71" s="1"/>
  <c r="D459" i="71"/>
  <c r="I459" i="71" s="1"/>
  <c r="N427" i="69"/>
  <c r="Z427" i="69" s="1"/>
  <c r="M427" i="69"/>
  <c r="E428" i="69"/>
  <c r="J428" i="69" s="1"/>
  <c r="S458" i="71" l="1"/>
  <c r="Z458" i="71"/>
  <c r="Q458" i="71" s="1"/>
  <c r="P458" i="71"/>
  <c r="K459" i="71"/>
  <c r="B460" i="71" s="1"/>
  <c r="H459" i="71"/>
  <c r="P427" i="69"/>
  <c r="D428" i="69"/>
  <c r="A459" i="71" l="1"/>
  <c r="C460" i="71"/>
  <c r="E460" i="71"/>
  <c r="J460" i="71" s="1"/>
  <c r="H428" i="69"/>
  <c r="I428" i="69"/>
  <c r="K428" i="69"/>
  <c r="L426" i="69"/>
  <c r="N459" i="71" l="1"/>
  <c r="M459" i="71"/>
  <c r="L459" i="71" s="1"/>
  <c r="D460" i="71"/>
  <c r="B429" i="69"/>
  <c r="A428" i="69"/>
  <c r="C429" i="69"/>
  <c r="S459" i="71" l="1"/>
  <c r="Z459" i="71"/>
  <c r="Q459" i="71" s="1"/>
  <c r="P459" i="71"/>
  <c r="I460" i="71"/>
  <c r="H460" i="71"/>
  <c r="K460" i="71"/>
  <c r="N428" i="69"/>
  <c r="Z428" i="69" s="1"/>
  <c r="M428" i="69"/>
  <c r="E429" i="69"/>
  <c r="J429" i="69" s="1"/>
  <c r="C461" i="71" l="1"/>
  <c r="A460" i="71"/>
  <c r="N460" i="71" s="1"/>
  <c r="B461" i="71"/>
  <c r="P428" i="69"/>
  <c r="D429" i="69"/>
  <c r="S460" i="71" l="1"/>
  <c r="Z460" i="71"/>
  <c r="P460" i="71"/>
  <c r="Q460" i="71"/>
  <c r="E461" i="71"/>
  <c r="J461" i="71" s="1"/>
  <c r="M460" i="71"/>
  <c r="L460" i="71" s="1"/>
  <c r="L427" i="69"/>
  <c r="I429" i="69"/>
  <c r="H429" i="69"/>
  <c r="K429" i="69"/>
  <c r="D461" i="71" l="1"/>
  <c r="I461" i="71" s="1"/>
  <c r="C430" i="69"/>
  <c r="A429" i="69"/>
  <c r="B430" i="69"/>
  <c r="K461" i="71" l="1"/>
  <c r="C462" i="71" s="1"/>
  <c r="H461" i="71"/>
  <c r="N429" i="69"/>
  <c r="Z429" i="69" s="1"/>
  <c r="M429" i="69"/>
  <c r="E430" i="69"/>
  <c r="J430" i="69" s="1"/>
  <c r="A461" i="71" l="1"/>
  <c r="B462" i="71"/>
  <c r="E462" i="71" s="1"/>
  <c r="J462" i="71" s="1"/>
  <c r="P429" i="69"/>
  <c r="D430" i="69"/>
  <c r="H430" i="69" s="1"/>
  <c r="N461" i="71" l="1"/>
  <c r="M461" i="71"/>
  <c r="L461" i="71" s="1"/>
  <c r="D462" i="71"/>
  <c r="K462" i="71" s="1"/>
  <c r="C463" i="71" s="1"/>
  <c r="K430" i="69"/>
  <c r="B431" i="69" s="1"/>
  <c r="I430" i="69"/>
  <c r="L428" i="69"/>
  <c r="S461" i="71" l="1"/>
  <c r="Z461" i="71"/>
  <c r="Q461" i="71" s="1"/>
  <c r="P461" i="71"/>
  <c r="A462" i="71"/>
  <c r="H462" i="71"/>
  <c r="I462" i="71"/>
  <c r="B463" i="71"/>
  <c r="E463" i="71" s="1"/>
  <c r="J463" i="71" s="1"/>
  <c r="A430" i="69"/>
  <c r="C431" i="69"/>
  <c r="E431" i="69"/>
  <c r="J431" i="69" s="1"/>
  <c r="M462" i="71" l="1"/>
  <c r="L462" i="71" s="1"/>
  <c r="N462" i="71"/>
  <c r="D463" i="71"/>
  <c r="I463" i="71" s="1"/>
  <c r="N430" i="69"/>
  <c r="Z430" i="69" s="1"/>
  <c r="M430" i="69"/>
  <c r="D431" i="69"/>
  <c r="L429" i="69"/>
  <c r="S462" i="71" l="1"/>
  <c r="Z462" i="71"/>
  <c r="Q462" i="71" s="1"/>
  <c r="P462" i="71"/>
  <c r="H463" i="71"/>
  <c r="K463" i="71"/>
  <c r="C464" i="71" s="1"/>
  <c r="P430" i="69"/>
  <c r="I431" i="69"/>
  <c r="H431" i="69"/>
  <c r="K431" i="69"/>
  <c r="B464" i="71" l="1"/>
  <c r="E464" i="71" s="1"/>
  <c r="J464" i="71" s="1"/>
  <c r="A463" i="71"/>
  <c r="C432" i="69"/>
  <c r="A431" i="69"/>
  <c r="B432" i="69"/>
  <c r="N463" i="71" l="1"/>
  <c r="M463" i="71"/>
  <c r="L463" i="71" s="1"/>
  <c r="D464" i="71"/>
  <c r="N431" i="69"/>
  <c r="Z431" i="69" s="1"/>
  <c r="M431" i="69"/>
  <c r="E432" i="69"/>
  <c r="J432" i="69" s="1"/>
  <c r="S463" i="71" l="1"/>
  <c r="Z463" i="71"/>
  <c r="P463" i="71"/>
  <c r="Q463" i="71"/>
  <c r="I464" i="71"/>
  <c r="H464" i="71"/>
  <c r="K464" i="71"/>
  <c r="P431" i="69"/>
  <c r="L430" i="69"/>
  <c r="D432" i="69"/>
  <c r="C465" i="71" l="1"/>
  <c r="A464" i="71"/>
  <c r="N464" i="71" s="1"/>
  <c r="B465" i="71"/>
  <c r="H432" i="69"/>
  <c r="I432" i="69"/>
  <c r="K432" i="69"/>
  <c r="S464" i="71" l="1"/>
  <c r="Z464" i="71"/>
  <c r="Q464" i="71" s="1"/>
  <c r="P464" i="71"/>
  <c r="E465" i="71"/>
  <c r="J465" i="71" s="1"/>
  <c r="M464" i="71"/>
  <c r="L464" i="71" s="1"/>
  <c r="B433" i="69"/>
  <c r="C433" i="69"/>
  <c r="A432" i="69"/>
  <c r="D465" i="71" l="1"/>
  <c r="I465" i="71" s="1"/>
  <c r="N432" i="69"/>
  <c r="Z432" i="69" s="1"/>
  <c r="M432" i="69"/>
  <c r="E433" i="69"/>
  <c r="J433" i="69" s="1"/>
  <c r="K465" i="71" l="1"/>
  <c r="B466" i="71" s="1"/>
  <c r="H465" i="71"/>
  <c r="P432" i="69"/>
  <c r="L431" i="69"/>
  <c r="D433" i="69"/>
  <c r="A465" i="71" l="1"/>
  <c r="C466" i="71"/>
  <c r="E466" i="71"/>
  <c r="J466" i="71" s="1"/>
  <c r="I433" i="69"/>
  <c r="H433" i="69"/>
  <c r="K433" i="69"/>
  <c r="N465" i="71" l="1"/>
  <c r="M465" i="71"/>
  <c r="L465" i="71" s="1"/>
  <c r="D466" i="71"/>
  <c r="C434" i="69"/>
  <c r="A433" i="69"/>
  <c r="B434" i="69"/>
  <c r="S465" i="71" l="1"/>
  <c r="Z465" i="71"/>
  <c r="Q465" i="71" s="1"/>
  <c r="P465" i="71"/>
  <c r="I466" i="71"/>
  <c r="H466" i="71"/>
  <c r="K466" i="71"/>
  <c r="N433" i="69"/>
  <c r="Z433" i="69" s="1"/>
  <c r="M433" i="69"/>
  <c r="E434" i="69"/>
  <c r="J434" i="69" s="1"/>
  <c r="C467" i="71" l="1"/>
  <c r="A466" i="71"/>
  <c r="N466" i="71" s="1"/>
  <c r="B467" i="71"/>
  <c r="P433" i="69"/>
  <c r="D434" i="69"/>
  <c r="H434" i="69" s="1"/>
  <c r="L432" i="69"/>
  <c r="S466" i="71" l="1"/>
  <c r="Z466" i="71"/>
  <c r="Q466" i="71" s="1"/>
  <c r="P466" i="71"/>
  <c r="E467" i="71"/>
  <c r="J467" i="71" s="1"/>
  <c r="M466" i="71"/>
  <c r="L466" i="71" s="1"/>
  <c r="I434" i="69"/>
  <c r="K434" i="69"/>
  <c r="B435" i="69" s="1"/>
  <c r="D467" i="71" l="1"/>
  <c r="H467" i="71" s="1"/>
  <c r="A434" i="69"/>
  <c r="C435" i="69"/>
  <c r="E435" i="69"/>
  <c r="J435" i="69" s="1"/>
  <c r="K467" i="71" l="1"/>
  <c r="B468" i="71" s="1"/>
  <c r="I467" i="71"/>
  <c r="N434" i="69"/>
  <c r="Z434" i="69" s="1"/>
  <c r="M434" i="69"/>
  <c r="L433" i="69"/>
  <c r="D435" i="69"/>
  <c r="A467" i="71" l="1"/>
  <c r="C468" i="71"/>
  <c r="E468" i="71"/>
  <c r="J468" i="71" s="1"/>
  <c r="P434" i="69"/>
  <c r="I435" i="69"/>
  <c r="H435" i="69"/>
  <c r="K435" i="69"/>
  <c r="N467" i="71" l="1"/>
  <c r="M467" i="71"/>
  <c r="L467" i="71" s="1"/>
  <c r="D468" i="71"/>
  <c r="I468" i="71" s="1"/>
  <c r="C436" i="69"/>
  <c r="A435" i="69"/>
  <c r="B436" i="69"/>
  <c r="S467" i="71" l="1"/>
  <c r="Z467" i="71"/>
  <c r="P467" i="71"/>
  <c r="Q467" i="71"/>
  <c r="K468" i="71"/>
  <c r="C469" i="71" s="1"/>
  <c r="H468" i="71"/>
  <c r="N435" i="69"/>
  <c r="Z435" i="69" s="1"/>
  <c r="M435" i="69"/>
  <c r="E436" i="69"/>
  <c r="J436" i="69" s="1"/>
  <c r="B469" i="71" l="1"/>
  <c r="E469" i="71" s="1"/>
  <c r="J469" i="71" s="1"/>
  <c r="A468" i="71"/>
  <c r="P435" i="69"/>
  <c r="D436" i="69"/>
  <c r="L434" i="69"/>
  <c r="M468" i="71" l="1"/>
  <c r="L468" i="71" s="1"/>
  <c r="N468" i="71"/>
  <c r="D469" i="71"/>
  <c r="I469" i="71" s="1"/>
  <c r="H436" i="69"/>
  <c r="I436" i="69"/>
  <c r="K436" i="69"/>
  <c r="S468" i="71" l="1"/>
  <c r="Z468" i="71"/>
  <c r="Q468" i="71" s="1"/>
  <c r="P468" i="71"/>
  <c r="K469" i="71"/>
  <c r="B470" i="71" s="1"/>
  <c r="H469" i="71"/>
  <c r="B437" i="69"/>
  <c r="C437" i="69"/>
  <c r="A436" i="69"/>
  <c r="A469" i="71" l="1"/>
  <c r="C470" i="71"/>
  <c r="E470" i="71"/>
  <c r="J470" i="71" s="1"/>
  <c r="N436" i="69"/>
  <c r="Z436" i="69" s="1"/>
  <c r="M436" i="69"/>
  <c r="E437" i="69"/>
  <c r="J437" i="69" s="1"/>
  <c r="M469" i="71" l="1"/>
  <c r="L469" i="71" s="1"/>
  <c r="N469" i="71"/>
  <c r="D470" i="71"/>
  <c r="K470" i="71" s="1"/>
  <c r="C471" i="71" s="1"/>
  <c r="P436" i="69"/>
  <c r="L435" i="69"/>
  <c r="D437" i="69"/>
  <c r="S469" i="71" l="1"/>
  <c r="Z469" i="71"/>
  <c r="Q469" i="71" s="1"/>
  <c r="P469" i="71"/>
  <c r="H470" i="71"/>
  <c r="B471" i="71"/>
  <c r="E471" i="71" s="1"/>
  <c r="J471" i="71" s="1"/>
  <c r="I470" i="71"/>
  <c r="A470" i="71"/>
  <c r="I437" i="69"/>
  <c r="H437" i="69"/>
  <c r="K437" i="69"/>
  <c r="M470" i="71" l="1"/>
  <c r="L470" i="71" s="1"/>
  <c r="N470" i="71"/>
  <c r="D471" i="71"/>
  <c r="I471" i="71" s="1"/>
  <c r="C438" i="69"/>
  <c r="A437" i="69"/>
  <c r="B438" i="69"/>
  <c r="S470" i="71" l="1"/>
  <c r="Z470" i="71"/>
  <c r="Q470" i="71" s="1"/>
  <c r="P470" i="71"/>
  <c r="H471" i="71"/>
  <c r="K471" i="71"/>
  <c r="C472" i="71" s="1"/>
  <c r="N437" i="69"/>
  <c r="Z437" i="69" s="1"/>
  <c r="M437" i="69"/>
  <c r="E438" i="69"/>
  <c r="J438" i="69" s="1"/>
  <c r="B472" i="71" l="1"/>
  <c r="E472" i="71" s="1"/>
  <c r="J472" i="71" s="1"/>
  <c r="A471" i="71"/>
  <c r="P437" i="69"/>
  <c r="L436" i="69"/>
  <c r="D438" i="69"/>
  <c r="M471" i="71" l="1"/>
  <c r="L471" i="71" s="1"/>
  <c r="N471" i="71"/>
  <c r="D472" i="71"/>
  <c r="I472" i="71" s="1"/>
  <c r="H438" i="69"/>
  <c r="I438" i="69"/>
  <c r="K438" i="69"/>
  <c r="S471" i="71" l="1"/>
  <c r="Z471" i="71"/>
  <c r="Q471" i="71" s="1"/>
  <c r="P471" i="71"/>
  <c r="K472" i="71"/>
  <c r="C473" i="71" s="1"/>
  <c r="H472" i="71"/>
  <c r="B439" i="69"/>
  <c r="A438" i="69"/>
  <c r="C439" i="69"/>
  <c r="B473" i="71" l="1"/>
  <c r="E473" i="71" s="1"/>
  <c r="J473" i="71" s="1"/>
  <c r="A472" i="71"/>
  <c r="N438" i="69"/>
  <c r="Z438" i="69" s="1"/>
  <c r="M438" i="69"/>
  <c r="E439" i="69"/>
  <c r="J439" i="69" s="1"/>
  <c r="L437" i="69"/>
  <c r="M472" i="71" l="1"/>
  <c r="L472" i="71" s="1"/>
  <c r="N472" i="71"/>
  <c r="D473" i="71"/>
  <c r="I473" i="71" s="1"/>
  <c r="P438" i="69"/>
  <c r="D439" i="69"/>
  <c r="S472" i="71" l="1"/>
  <c r="Z472" i="71"/>
  <c r="Q472" i="71" s="1"/>
  <c r="P472" i="71"/>
  <c r="K473" i="71"/>
  <c r="C474" i="71" s="1"/>
  <c r="H473" i="71"/>
  <c r="I439" i="69"/>
  <c r="H439" i="69"/>
  <c r="K439" i="69"/>
  <c r="B474" i="71" l="1"/>
  <c r="E474" i="71" s="1"/>
  <c r="J474" i="71" s="1"/>
  <c r="A473" i="71"/>
  <c r="C440" i="69"/>
  <c r="A439" i="69"/>
  <c r="B440" i="69"/>
  <c r="M473" i="71" l="1"/>
  <c r="L473" i="71" s="1"/>
  <c r="N473" i="71"/>
  <c r="D474" i="71"/>
  <c r="K474" i="71" s="1"/>
  <c r="C475" i="71" s="1"/>
  <c r="N439" i="69"/>
  <c r="Z439" i="69" s="1"/>
  <c r="M439" i="69"/>
  <c r="E440" i="69"/>
  <c r="J440" i="69" s="1"/>
  <c r="L438" i="69"/>
  <c r="S473" i="71" l="1"/>
  <c r="Z473" i="71"/>
  <c r="Q473" i="71" s="1"/>
  <c r="P473" i="71"/>
  <c r="H474" i="71"/>
  <c r="I474" i="71"/>
  <c r="B475" i="71"/>
  <c r="E475" i="71" s="1"/>
  <c r="J475" i="71" s="1"/>
  <c r="A474" i="71"/>
  <c r="P439" i="69"/>
  <c r="D440" i="69"/>
  <c r="M474" i="71" l="1"/>
  <c r="L474" i="71" s="1"/>
  <c r="N474" i="71"/>
  <c r="D475" i="71"/>
  <c r="I475" i="71" s="1"/>
  <c r="H440" i="69"/>
  <c r="I440" i="69"/>
  <c r="K440" i="69"/>
  <c r="S474" i="71" l="1"/>
  <c r="Z474" i="71"/>
  <c r="Q474" i="71" s="1"/>
  <c r="P474" i="71"/>
  <c r="K475" i="71"/>
  <c r="B476" i="71" s="1"/>
  <c r="H475" i="71"/>
  <c r="B441" i="69"/>
  <c r="C441" i="69"/>
  <c r="A440" i="69"/>
  <c r="C476" i="71" l="1"/>
  <c r="A475" i="71"/>
  <c r="E476" i="71"/>
  <c r="J476" i="71" s="1"/>
  <c r="N440" i="69"/>
  <c r="Z440" i="69" s="1"/>
  <c r="M440" i="69"/>
  <c r="L439" i="69"/>
  <c r="E441" i="69"/>
  <c r="J441" i="69" s="1"/>
  <c r="N475" i="71" l="1"/>
  <c r="M475" i="71"/>
  <c r="L475" i="71" s="1"/>
  <c r="D476" i="71"/>
  <c r="P440" i="69"/>
  <c r="D441" i="69"/>
  <c r="S475" i="71" l="1"/>
  <c r="Z475" i="71"/>
  <c r="Q475" i="71" s="1"/>
  <c r="P475" i="71"/>
  <c r="I476" i="71"/>
  <c r="H476" i="71"/>
  <c r="K476" i="71"/>
  <c r="I441" i="69"/>
  <c r="H441" i="69"/>
  <c r="K441" i="69"/>
  <c r="C477" i="71" l="1"/>
  <c r="A476" i="71"/>
  <c r="N476" i="71" s="1"/>
  <c r="B477" i="71"/>
  <c r="L440" i="69"/>
  <c r="B442" i="69"/>
  <c r="C442" i="69"/>
  <c r="A441" i="69"/>
  <c r="S476" i="71" l="1"/>
  <c r="Z476" i="71"/>
  <c r="P476" i="71"/>
  <c r="Q476" i="71"/>
  <c r="M476" i="71"/>
  <c r="L476" i="71" s="1"/>
  <c r="E477" i="71"/>
  <c r="J477" i="71" s="1"/>
  <c r="N441" i="69"/>
  <c r="Z441" i="69" s="1"/>
  <c r="M441" i="69"/>
  <c r="E442" i="69"/>
  <c r="J442" i="69" s="1"/>
  <c r="D477" i="71" l="1"/>
  <c r="P441" i="69"/>
  <c r="D442" i="69"/>
  <c r="I477" i="71" l="1"/>
  <c r="H477" i="71"/>
  <c r="K477" i="71"/>
  <c r="L441" i="69"/>
  <c r="H442" i="69"/>
  <c r="I442" i="69"/>
  <c r="K442" i="69"/>
  <c r="C478" i="71" l="1"/>
  <c r="A477" i="71"/>
  <c r="N477" i="71" s="1"/>
  <c r="B478" i="71"/>
  <c r="C443" i="69"/>
  <c r="A442" i="69"/>
  <c r="B443" i="69"/>
  <c r="S477" i="71" l="1"/>
  <c r="Z477" i="71"/>
  <c r="Q477" i="71" s="1"/>
  <c r="P477" i="71"/>
  <c r="M477" i="71"/>
  <c r="L477" i="71" s="1"/>
  <c r="E478" i="71"/>
  <c r="J478" i="71" s="1"/>
  <c r="N442" i="69"/>
  <c r="Z442" i="69" s="1"/>
  <c r="M442" i="69"/>
  <c r="E443" i="69"/>
  <c r="J443" i="69" s="1"/>
  <c r="D478" i="71" l="1"/>
  <c r="H478" i="71" s="1"/>
  <c r="P442" i="69"/>
  <c r="D443" i="69"/>
  <c r="K478" i="71" l="1"/>
  <c r="C479" i="71" s="1"/>
  <c r="I478" i="71"/>
  <c r="H443" i="69"/>
  <c r="I443" i="69"/>
  <c r="K443" i="69"/>
  <c r="L442" i="69"/>
  <c r="B479" i="71" l="1"/>
  <c r="E479" i="71" s="1"/>
  <c r="J479" i="71" s="1"/>
  <c r="A478" i="71"/>
  <c r="B444" i="69"/>
  <c r="C444" i="69"/>
  <c r="A443" i="69"/>
  <c r="M478" i="71" l="1"/>
  <c r="L478" i="71" s="1"/>
  <c r="N478" i="71"/>
  <c r="D479" i="71"/>
  <c r="N443" i="69"/>
  <c r="Z443" i="69" s="1"/>
  <c r="M443" i="69"/>
  <c r="E444" i="69"/>
  <c r="J444" i="69" s="1"/>
  <c r="S478" i="71" l="1"/>
  <c r="Z478" i="71"/>
  <c r="Q478" i="71" s="1"/>
  <c r="P478" i="71"/>
  <c r="I479" i="71"/>
  <c r="H479" i="71"/>
  <c r="K479" i="71"/>
  <c r="P443" i="69"/>
  <c r="D444" i="69"/>
  <c r="C480" i="71" l="1"/>
  <c r="A479" i="71"/>
  <c r="N479" i="71" s="1"/>
  <c r="B480" i="71"/>
  <c r="I444" i="69"/>
  <c r="H444" i="69"/>
  <c r="K444" i="69"/>
  <c r="L443" i="69"/>
  <c r="S479" i="71" l="1"/>
  <c r="Z479" i="71"/>
  <c r="Q479" i="71" s="1"/>
  <c r="P479" i="71"/>
  <c r="M479" i="71"/>
  <c r="L479" i="71" s="1"/>
  <c r="E480" i="71"/>
  <c r="J480" i="71" s="1"/>
  <c r="C445" i="69"/>
  <c r="A444" i="69"/>
  <c r="B445" i="69"/>
  <c r="D480" i="71" l="1"/>
  <c r="I480" i="71" s="1"/>
  <c r="N444" i="69"/>
  <c r="Z444" i="69" s="1"/>
  <c r="M444" i="69"/>
  <c r="E445" i="69"/>
  <c r="J445" i="69" s="1"/>
  <c r="K480" i="71" l="1"/>
  <c r="C481" i="71" s="1"/>
  <c r="H480" i="71"/>
  <c r="P444" i="69"/>
  <c r="D445" i="69"/>
  <c r="H445" i="69" s="1"/>
  <c r="B481" i="71" l="1"/>
  <c r="E481" i="71" s="1"/>
  <c r="J481" i="71" s="1"/>
  <c r="A480" i="71"/>
  <c r="I445" i="69"/>
  <c r="K445" i="69"/>
  <c r="B446" i="69" s="1"/>
  <c r="L444" i="69"/>
  <c r="M480" i="71" l="1"/>
  <c r="L480" i="71" s="1"/>
  <c r="N480" i="71"/>
  <c r="D481" i="71"/>
  <c r="C446" i="69"/>
  <c r="A445" i="69"/>
  <c r="E446" i="69"/>
  <c r="J446" i="69" s="1"/>
  <c r="S480" i="71" l="1"/>
  <c r="Z480" i="71"/>
  <c r="P480" i="71"/>
  <c r="Q480" i="71"/>
  <c r="I481" i="71"/>
  <c r="H481" i="71"/>
  <c r="K481" i="71"/>
  <c r="N445" i="69"/>
  <c r="Z445" i="69" s="1"/>
  <c r="M445" i="69"/>
  <c r="D446" i="69"/>
  <c r="C482" i="71" l="1"/>
  <c r="A481" i="71"/>
  <c r="N481" i="71" s="1"/>
  <c r="B482" i="71"/>
  <c r="P445" i="69"/>
  <c r="I446" i="69"/>
  <c r="H446" i="69"/>
  <c r="K446" i="69"/>
  <c r="S481" i="71" l="1"/>
  <c r="Z481" i="71"/>
  <c r="Q481" i="71" s="1"/>
  <c r="P481" i="71"/>
  <c r="M481" i="71"/>
  <c r="L481" i="71" s="1"/>
  <c r="E482" i="71"/>
  <c r="J482" i="71" s="1"/>
  <c r="L445" i="69"/>
  <c r="C447" i="69"/>
  <c r="A446" i="69"/>
  <c r="B447" i="69"/>
  <c r="D482" i="71" l="1"/>
  <c r="I482" i="71" s="1"/>
  <c r="N446" i="69"/>
  <c r="Z446" i="69" s="1"/>
  <c r="M446" i="69"/>
  <c r="E447" i="69"/>
  <c r="J447" i="69" s="1"/>
  <c r="K482" i="71" l="1"/>
  <c r="C483" i="71" s="1"/>
  <c r="H482" i="71"/>
  <c r="P446" i="69"/>
  <c r="D447" i="69"/>
  <c r="A482" i="71" l="1"/>
  <c r="B483" i="71"/>
  <c r="E483" i="71" s="1"/>
  <c r="J483" i="71" s="1"/>
  <c r="H447" i="69"/>
  <c r="I447" i="69"/>
  <c r="K447" i="69"/>
  <c r="L446" i="69"/>
  <c r="N482" i="71" l="1"/>
  <c r="M482" i="71"/>
  <c r="L482" i="71" s="1"/>
  <c r="D483" i="71"/>
  <c r="K483" i="71" s="1"/>
  <c r="C484" i="71" s="1"/>
  <c r="B448" i="69"/>
  <c r="C448" i="69"/>
  <c r="A447" i="69"/>
  <c r="S482" i="71" l="1"/>
  <c r="Z482" i="71"/>
  <c r="P482" i="71"/>
  <c r="Q482" i="71"/>
  <c r="H483" i="71"/>
  <c r="I483" i="71"/>
  <c r="A483" i="71"/>
  <c r="B484" i="71"/>
  <c r="E484" i="71" s="1"/>
  <c r="J484" i="71" s="1"/>
  <c r="N447" i="69"/>
  <c r="Z447" i="69" s="1"/>
  <c r="M447" i="69"/>
  <c r="E448" i="69"/>
  <c r="J448" i="69" s="1"/>
  <c r="M483" i="71" l="1"/>
  <c r="L483" i="71" s="1"/>
  <c r="N483" i="71"/>
  <c r="D484" i="71"/>
  <c r="K484" i="71" s="1"/>
  <c r="C485" i="71" s="1"/>
  <c r="P447" i="69"/>
  <c r="D448" i="69"/>
  <c r="S483" i="71" l="1"/>
  <c r="Z483" i="71"/>
  <c r="P483" i="71"/>
  <c r="Q483" i="71"/>
  <c r="H484" i="71"/>
  <c r="I484" i="71"/>
  <c r="B485" i="71"/>
  <c r="E485" i="71" s="1"/>
  <c r="J485" i="71" s="1"/>
  <c r="A484" i="71"/>
  <c r="L447" i="69"/>
  <c r="I448" i="69"/>
  <c r="H448" i="69"/>
  <c r="K448" i="69"/>
  <c r="N484" i="71" l="1"/>
  <c r="M484" i="71"/>
  <c r="L484" i="71" s="1"/>
  <c r="D485" i="71"/>
  <c r="I485" i="71" s="1"/>
  <c r="C449" i="69"/>
  <c r="A448" i="69"/>
  <c r="B449" i="69"/>
  <c r="S484" i="71" l="1"/>
  <c r="Z484" i="71"/>
  <c r="Q484" i="71" s="1"/>
  <c r="P484" i="71"/>
  <c r="K485" i="71"/>
  <c r="C486" i="71" s="1"/>
  <c r="H485" i="71"/>
  <c r="N448" i="69"/>
  <c r="Z448" i="69" s="1"/>
  <c r="M448" i="69"/>
  <c r="E449" i="69"/>
  <c r="J449" i="69" s="1"/>
  <c r="B486" i="71" l="1"/>
  <c r="E486" i="71" s="1"/>
  <c r="J486" i="71" s="1"/>
  <c r="A485" i="71"/>
  <c r="P448" i="69"/>
  <c r="D449" i="69"/>
  <c r="L448" i="69"/>
  <c r="N485" i="71" l="1"/>
  <c r="D486" i="71"/>
  <c r="K486" i="71" s="1"/>
  <c r="C487" i="71" s="1"/>
  <c r="M485" i="71"/>
  <c r="L485" i="71" s="1"/>
  <c r="H449" i="69"/>
  <c r="I449" i="69"/>
  <c r="K449" i="69"/>
  <c r="S485" i="71" l="1"/>
  <c r="Z485" i="71"/>
  <c r="Q485" i="71" s="1"/>
  <c r="P485" i="71"/>
  <c r="H486" i="71"/>
  <c r="I486" i="71"/>
  <c r="B487" i="71"/>
  <c r="E487" i="71" s="1"/>
  <c r="J487" i="71" s="1"/>
  <c r="A486" i="71"/>
  <c r="B450" i="69"/>
  <c r="C450" i="69"/>
  <c r="A449" i="69"/>
  <c r="N486" i="71" l="1"/>
  <c r="M486" i="71"/>
  <c r="L486" i="71" s="1"/>
  <c r="D487" i="71"/>
  <c r="I487" i="71" s="1"/>
  <c r="N449" i="69"/>
  <c r="Z449" i="69" s="1"/>
  <c r="M449" i="69"/>
  <c r="E450" i="69"/>
  <c r="J450" i="69" s="1"/>
  <c r="S486" i="71" l="1"/>
  <c r="Z486" i="71"/>
  <c r="Q486" i="71" s="1"/>
  <c r="P486" i="71"/>
  <c r="K487" i="71"/>
  <c r="A487" i="71" s="1"/>
  <c r="N487" i="71" s="1"/>
  <c r="H487" i="71"/>
  <c r="P449" i="69"/>
  <c r="L449" i="69"/>
  <c r="D450" i="69"/>
  <c r="S487" i="71" l="1"/>
  <c r="Z487" i="71"/>
  <c r="Q487" i="71" s="1"/>
  <c r="P487" i="71"/>
  <c r="C488" i="71"/>
  <c r="B488" i="71"/>
  <c r="E488" i="71" s="1"/>
  <c r="J488" i="71" s="1"/>
  <c r="M487" i="71"/>
  <c r="L487" i="71" s="1"/>
  <c r="I450" i="69"/>
  <c r="H450" i="69"/>
  <c r="K450" i="69"/>
  <c r="D488" i="71" l="1"/>
  <c r="I488" i="71" s="1"/>
  <c r="C451" i="69"/>
  <c r="A450" i="69"/>
  <c r="B451" i="69"/>
  <c r="K488" i="71" l="1"/>
  <c r="C489" i="71" s="1"/>
  <c r="H488" i="71"/>
  <c r="N450" i="69"/>
  <c r="Z450" i="69" s="1"/>
  <c r="M450" i="69"/>
  <c r="E451" i="69"/>
  <c r="J451" i="69" s="1"/>
  <c r="B489" i="71" l="1"/>
  <c r="E489" i="71" s="1"/>
  <c r="J489" i="71" s="1"/>
  <c r="A488" i="71"/>
  <c r="P450" i="69"/>
  <c r="L450" i="69"/>
  <c r="D451" i="69"/>
  <c r="N488" i="71" l="1"/>
  <c r="M488" i="71"/>
  <c r="L488" i="71" s="1"/>
  <c r="D489" i="71"/>
  <c r="I489" i="71" s="1"/>
  <c r="H451" i="69"/>
  <c r="I451" i="69"/>
  <c r="K451" i="69"/>
  <c r="S488" i="71" l="1"/>
  <c r="Z488" i="71"/>
  <c r="Q488" i="71" s="1"/>
  <c r="P488" i="71"/>
  <c r="H489" i="71"/>
  <c r="K489" i="71"/>
  <c r="C490" i="71" s="1"/>
  <c r="B452" i="69"/>
  <c r="C452" i="69"/>
  <c r="A451" i="69"/>
  <c r="B490" i="71" l="1"/>
  <c r="E490" i="71" s="1"/>
  <c r="J490" i="71" s="1"/>
  <c r="A489" i="71"/>
  <c r="N451" i="69"/>
  <c r="Z451" i="69" s="1"/>
  <c r="M451" i="69"/>
  <c r="E452" i="69"/>
  <c r="J452" i="69" s="1"/>
  <c r="N489" i="71" l="1"/>
  <c r="M489" i="71"/>
  <c r="L489" i="71" s="1"/>
  <c r="D490" i="71"/>
  <c r="I490" i="71" s="1"/>
  <c r="P451" i="69"/>
  <c r="L451" i="69"/>
  <c r="D452" i="69"/>
  <c r="S489" i="71" l="1"/>
  <c r="Z489" i="71"/>
  <c r="Q489" i="71" s="1"/>
  <c r="P489" i="71"/>
  <c r="K490" i="71"/>
  <c r="C491" i="71" s="1"/>
  <c r="H490" i="71"/>
  <c r="I452" i="69"/>
  <c r="H452" i="69"/>
  <c r="K452" i="69"/>
  <c r="B491" i="71" l="1"/>
  <c r="E491" i="71" s="1"/>
  <c r="A490" i="71"/>
  <c r="C453" i="69"/>
  <c r="A452" i="69"/>
  <c r="B453" i="69"/>
  <c r="M490" i="71" l="1"/>
  <c r="L490" i="71" s="1"/>
  <c r="N490" i="71"/>
  <c r="J491" i="71"/>
  <c r="D491" i="71"/>
  <c r="I491" i="71" s="1"/>
  <c r="N452" i="69"/>
  <c r="Z452" i="69" s="1"/>
  <c r="M452" i="69"/>
  <c r="E453" i="69"/>
  <c r="J453" i="69" s="1"/>
  <c r="S490" i="71" l="1"/>
  <c r="Z490" i="71"/>
  <c r="Q490" i="71" s="1"/>
  <c r="P490" i="71"/>
  <c r="K491" i="71"/>
  <c r="C492" i="71" s="1"/>
  <c r="H491" i="71"/>
  <c r="P452" i="69"/>
  <c r="L452" i="69"/>
  <c r="D453" i="69"/>
  <c r="A491" i="71" l="1"/>
  <c r="B492" i="71"/>
  <c r="E492" i="71" s="1"/>
  <c r="J492" i="71" s="1"/>
  <c r="H453" i="69"/>
  <c r="I453" i="69"/>
  <c r="K453" i="69"/>
  <c r="N491" i="71" l="1"/>
  <c r="M491" i="71"/>
  <c r="L491" i="71" s="1"/>
  <c r="D492" i="71"/>
  <c r="K492" i="71" s="1"/>
  <c r="B454" i="69"/>
  <c r="C454" i="69"/>
  <c r="A453" i="69"/>
  <c r="S491" i="71" l="1"/>
  <c r="Z491" i="71"/>
  <c r="P491" i="71"/>
  <c r="Q491" i="71"/>
  <c r="I492" i="71"/>
  <c r="H492" i="71"/>
  <c r="C493" i="71"/>
  <c r="A492" i="71"/>
  <c r="N492" i="71" s="1"/>
  <c r="B493" i="71"/>
  <c r="N453" i="69"/>
  <c r="Z453" i="69" s="1"/>
  <c r="M453" i="69"/>
  <c r="E454" i="69"/>
  <c r="J454" i="69" s="1"/>
  <c r="S492" i="71" l="1"/>
  <c r="Z492" i="71"/>
  <c r="Q492" i="71" s="1"/>
  <c r="P492" i="71"/>
  <c r="E493" i="71"/>
  <c r="J493" i="71" s="1"/>
  <c r="M492" i="71"/>
  <c r="L492" i="71" s="1"/>
  <c r="P453" i="69"/>
  <c r="L453" i="69"/>
  <c r="D454" i="69"/>
  <c r="I454" i="69" s="1"/>
  <c r="D493" i="71" l="1"/>
  <c r="I493" i="71" s="1"/>
  <c r="H454" i="69"/>
  <c r="K454" i="69"/>
  <c r="C455" i="69" s="1"/>
  <c r="K493" i="71" l="1"/>
  <c r="C494" i="71" s="1"/>
  <c r="H493" i="71"/>
  <c r="B455" i="69"/>
  <c r="E455" i="69" s="1"/>
  <c r="J455" i="69" s="1"/>
  <c r="A454" i="69"/>
  <c r="B494" i="71" l="1"/>
  <c r="E494" i="71" s="1"/>
  <c r="J494" i="71" s="1"/>
  <c r="A493" i="71"/>
  <c r="N454" i="69"/>
  <c r="Z454" i="69" s="1"/>
  <c r="M454" i="69"/>
  <c r="D455" i="69"/>
  <c r="H455" i="69" s="1"/>
  <c r="N493" i="71" l="1"/>
  <c r="M493" i="71"/>
  <c r="L493" i="71" s="1"/>
  <c r="D494" i="71"/>
  <c r="I494" i="71" s="1"/>
  <c r="P454" i="69"/>
  <c r="K455" i="69"/>
  <c r="B456" i="69" s="1"/>
  <c r="I455" i="69"/>
  <c r="L454" i="69"/>
  <c r="S493" i="71" l="1"/>
  <c r="Z493" i="71"/>
  <c r="P493" i="71"/>
  <c r="Q493" i="71"/>
  <c r="K494" i="71"/>
  <c r="C495" i="71" s="1"/>
  <c r="H494" i="71"/>
  <c r="C456" i="69"/>
  <c r="A455" i="69"/>
  <c r="E456" i="69"/>
  <c r="J456" i="69" s="1"/>
  <c r="B495" i="71" l="1"/>
  <c r="E495" i="71" s="1"/>
  <c r="J495" i="71" s="1"/>
  <c r="A494" i="71"/>
  <c r="M455" i="69"/>
  <c r="N455" i="69"/>
  <c r="Z455" i="69" s="1"/>
  <c r="D456" i="69"/>
  <c r="I456" i="69" s="1"/>
  <c r="M494" i="71" l="1"/>
  <c r="L494" i="71" s="1"/>
  <c r="N494" i="71"/>
  <c r="D495" i="71"/>
  <c r="I495" i="71" s="1"/>
  <c r="P455" i="69"/>
  <c r="K456" i="69"/>
  <c r="C457" i="69" s="1"/>
  <c r="H456" i="69"/>
  <c r="L455" i="69"/>
  <c r="S494" i="71" l="1"/>
  <c r="Z494" i="71"/>
  <c r="Q494" i="71" s="1"/>
  <c r="P494" i="71"/>
  <c r="K495" i="71"/>
  <c r="A495" i="71" s="1"/>
  <c r="H495" i="71"/>
  <c r="B457" i="69"/>
  <c r="E457" i="69" s="1"/>
  <c r="J457" i="69" s="1"/>
  <c r="A456" i="69"/>
  <c r="N495" i="71" l="1"/>
  <c r="M495" i="71"/>
  <c r="N456" i="69"/>
  <c r="Z456" i="69" s="1"/>
  <c r="M456" i="69"/>
  <c r="D457" i="69"/>
  <c r="K457" i="69" s="1"/>
  <c r="B458" i="69" s="1"/>
  <c r="S495" i="71" l="1"/>
  <c r="Z495" i="71"/>
  <c r="P495" i="71"/>
  <c r="Q495" i="71"/>
  <c r="L495" i="71"/>
  <c r="P456" i="69"/>
  <c r="C458" i="69"/>
  <c r="A457" i="69"/>
  <c r="H457" i="69"/>
  <c r="I457" i="69"/>
  <c r="E458" i="69"/>
  <c r="J458" i="69" s="1"/>
  <c r="N457" i="69" l="1"/>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R5" i="69"/>
  <c r="P5" i="69"/>
  <c r="Q5" i="69"/>
  <c r="Q6" i="69"/>
  <c r="Q9" i="69" s="1"/>
  <c r="R6" i="69"/>
  <c r="R9" i="69" s="1"/>
  <c r="P6" i="69"/>
  <c r="J58" i="1"/>
  <c r="M65" i="1" s="1"/>
  <c r="O9" i="71" l="1"/>
  <c r="V8" i="71"/>
  <c r="AB3" i="71" s="1"/>
  <c r="O20" i="71"/>
  <c r="X20" i="71" s="1"/>
  <c r="AD20" i="71" s="1"/>
  <c r="AE20" i="71" s="1"/>
  <c r="P9" i="69"/>
  <c r="O6" i="69"/>
  <c r="D14" i="1"/>
  <c r="I52" i="33"/>
  <c r="B37" i="33"/>
  <c r="C37" i="33" s="1"/>
  <c r="B24" i="33"/>
  <c r="Q15" i="1"/>
  <c r="Q12" i="1"/>
  <c r="Q11" i="1"/>
  <c r="F5" i="58"/>
  <c r="F12" i="58"/>
  <c r="F11" i="58"/>
  <c r="F10" i="58"/>
  <c r="F9" i="58"/>
  <c r="J2" i="58"/>
  <c r="G8" i="58" s="1"/>
  <c r="O21" i="71" l="1"/>
  <c r="X21" i="71" s="1"/>
  <c r="AD21" i="71" s="1"/>
  <c r="AE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2" i="71" l="1"/>
  <c r="X22" i="71" s="1"/>
  <c r="AD22" i="71" s="1"/>
  <c r="AE22" i="71" s="1"/>
  <c r="AA6" i="69"/>
  <c r="B12" i="66"/>
  <c r="B11" i="66" s="1"/>
  <c r="O20" i="69"/>
  <c r="X20" i="69" s="1"/>
  <c r="AD19" i="69"/>
  <c r="AE19" i="69" s="1"/>
  <c r="Q16" i="1"/>
  <c r="R16" i="1"/>
  <c r="O23" i="71" l="1"/>
  <c r="X23" i="71" s="1"/>
  <c r="AD23" i="71" s="1"/>
  <c r="AE23" i="71" s="1"/>
  <c r="O21" i="69"/>
  <c r="X21" i="69" s="1"/>
  <c r="AD20" i="69"/>
  <c r="AE20" i="69" s="1"/>
  <c r="E3" i="4"/>
  <c r="F9" i="22"/>
  <c r="G9" i="22" s="1"/>
  <c r="G8" i="22"/>
  <c r="F7" i="22"/>
  <c r="G7" i="22" s="1"/>
  <c r="F6" i="22"/>
  <c r="G6" i="22" s="1"/>
  <c r="F5" i="22"/>
  <c r="G5" i="22" s="1"/>
  <c r="E7" i="15"/>
  <c r="F7" i="15" s="1"/>
  <c r="E6" i="15"/>
  <c r="F6" i="15" s="1"/>
  <c r="E5" i="15"/>
  <c r="F5" i="15" s="1"/>
  <c r="G8" i="15"/>
  <c r="O24" i="71" l="1"/>
  <c r="X24" i="71" s="1"/>
  <c r="AD24" i="71" s="1"/>
  <c r="AE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5" i="71" l="1"/>
  <c r="X25" i="71" s="1"/>
  <c r="AD25" i="71" s="1"/>
  <c r="AE25" i="71" s="1"/>
  <c r="O23" i="69"/>
  <c r="X23" i="69" s="1"/>
  <c r="AD22" i="69"/>
  <c r="AE22" i="69" s="1"/>
  <c r="G5" i="21"/>
  <c r="L9" i="4"/>
  <c r="O26" i="71" l="1"/>
  <c r="X26" i="71" s="1"/>
  <c r="AD26" i="71" s="1"/>
  <c r="AE26" i="71" s="1"/>
  <c r="O24" i="69"/>
  <c r="X24" i="69" s="1"/>
  <c r="AD23" i="69"/>
  <c r="AE23" i="69" s="1"/>
  <c r="F47" i="1"/>
  <c r="F16" i="1"/>
  <c r="E15" i="1"/>
  <c r="D15" i="1"/>
  <c r="B1" i="1"/>
  <c r="C1" i="1"/>
  <c r="D1" i="1"/>
  <c r="O27" i="71" l="1"/>
  <c r="X27" i="71" s="1"/>
  <c r="AD27" i="71" s="1"/>
  <c r="AE27" i="71" s="1"/>
  <c r="B6" i="1"/>
  <c r="O25" i="69"/>
  <c r="X25" i="69" s="1"/>
  <c r="AD24" i="69"/>
  <c r="AE24" i="69" s="1"/>
  <c r="C22" i="1"/>
  <c r="J22" i="1" s="1"/>
  <c r="G8" i="1"/>
  <c r="F22" i="1"/>
  <c r="B60" i="1"/>
  <c r="O28" i="71" l="1"/>
  <c r="X28" i="71" s="1"/>
  <c r="AD28" i="71" s="1"/>
  <c r="AE28" i="71" s="1"/>
  <c r="O26" i="69"/>
  <c r="X26" i="69" s="1"/>
  <c r="AD25" i="69"/>
  <c r="AE25" i="69" s="1"/>
  <c r="C44" i="1"/>
  <c r="E84" i="1"/>
  <c r="G85" i="1"/>
  <c r="D85" i="1"/>
  <c r="B19" i="1"/>
  <c r="O29" i="71" l="1"/>
  <c r="X29" i="71" s="1"/>
  <c r="AD29" i="71" s="1"/>
  <c r="AE29" i="71" s="1"/>
  <c r="O27" i="69"/>
  <c r="X27" i="69" s="1"/>
  <c r="AD26" i="69"/>
  <c r="AE26" i="69" s="1"/>
  <c r="I24" i="66"/>
  <c r="I25" i="66"/>
  <c r="G7" i="1"/>
  <c r="E10" i="1" s="1"/>
  <c r="G6" i="1"/>
  <c r="F19" i="1"/>
  <c r="O30" i="71" l="1"/>
  <c r="X30" i="71" s="1"/>
  <c r="AD30" i="71" s="1"/>
  <c r="AE30" i="71" s="1"/>
  <c r="O28" i="69"/>
  <c r="X28" i="69" s="1"/>
  <c r="AD27" i="69"/>
  <c r="AE27" i="69" s="1"/>
  <c r="C11" i="62"/>
  <c r="C9" i="62"/>
  <c r="C8" i="62"/>
  <c r="C7" i="62"/>
  <c r="C10" i="62"/>
  <c r="C5" i="62"/>
  <c r="C4" i="62"/>
  <c r="C3" i="62"/>
  <c r="O31" i="71" l="1"/>
  <c r="X31" i="71" s="1"/>
  <c r="AD31" i="71" s="1"/>
  <c r="AE31" i="71" s="1"/>
  <c r="O29" i="69"/>
  <c r="X29" i="69" s="1"/>
  <c r="AD28" i="69"/>
  <c r="AE28" i="69" s="1"/>
  <c r="C6" i="62"/>
  <c r="O32" i="71" l="1"/>
  <c r="S32" i="71" s="1"/>
  <c r="O30" i="69"/>
  <c r="X30" i="69" s="1"/>
  <c r="AD29" i="69"/>
  <c r="AE29" i="69" s="1"/>
  <c r="E13" i="59"/>
  <c r="Q32" i="71" l="1"/>
  <c r="O31" i="69"/>
  <c r="AD30" i="69"/>
  <c r="AE30" i="69" s="1"/>
  <c r="H13" i="59"/>
  <c r="S31" i="69" l="1"/>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31" i="69" l="1"/>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R213" i="71"/>
  <c r="U213" i="71" s="1"/>
  <c r="T213" i="71"/>
  <c r="Y213" i="71"/>
  <c r="AB213" i="71"/>
  <c r="R214" i="71"/>
  <c r="T214" i="71"/>
  <c r="Y214" i="71"/>
  <c r="AB214" i="71"/>
  <c r="R215" i="71"/>
  <c r="T215" i="71"/>
  <c r="Y215" i="71"/>
  <c r="AB215" i="71"/>
  <c r="R216" i="71"/>
  <c r="U216" i="71" s="1"/>
  <c r="T216" i="71"/>
  <c r="Y216" i="71"/>
  <c r="AB216" i="71"/>
  <c r="R217" i="71"/>
  <c r="U217" i="71" s="1"/>
  <c r="T217" i="71"/>
  <c r="Y217" i="71"/>
  <c r="AB217" i="71"/>
  <c r="R218" i="71"/>
  <c r="U218" i="71" s="1"/>
  <c r="T218" i="71"/>
  <c r="Y218" i="71"/>
  <c r="AB218" i="71"/>
  <c r="R219" i="71"/>
  <c r="U219" i="71" s="1"/>
  <c r="T219" i="71"/>
  <c r="Y219" i="71"/>
  <c r="AB219" i="71"/>
  <c r="R220" i="71"/>
  <c r="U220" i="71" s="1"/>
  <c r="T220" i="71"/>
  <c r="Y220" i="71"/>
  <c r="AB220" i="71"/>
  <c r="R221" i="71"/>
  <c r="U221" i="71" s="1"/>
  <c r="T221" i="71"/>
  <c r="Y221" i="71"/>
  <c r="AB221" i="71"/>
  <c r="R222" i="71"/>
  <c r="U222" i="71" s="1"/>
  <c r="T222" i="71"/>
  <c r="Y222" i="71"/>
  <c r="AB222" i="71"/>
  <c r="R223" i="71"/>
  <c r="U223" i="71" s="1"/>
  <c r="T223" i="71"/>
  <c r="Y223" i="71"/>
  <c r="AB223" i="71"/>
  <c r="R224" i="71"/>
  <c r="U224" i="71" s="1"/>
  <c r="T224" i="71"/>
  <c r="Y224" i="71"/>
  <c r="AB224" i="71"/>
  <c r="R225" i="71"/>
  <c r="U225" i="71" s="1"/>
  <c r="T225" i="71"/>
  <c r="Y225" i="71"/>
  <c r="AB225" i="71"/>
  <c r="R226" i="71"/>
  <c r="T226" i="71"/>
  <c r="Y226" i="71"/>
  <c r="AB226" i="71"/>
  <c r="R227" i="71"/>
  <c r="U227" i="71" s="1"/>
  <c r="T227" i="71"/>
  <c r="Y227" i="71"/>
  <c r="AB227" i="71"/>
  <c r="R228" i="71"/>
  <c r="U228" i="71" s="1"/>
  <c r="T228" i="71"/>
  <c r="Y228" i="71"/>
  <c r="AB228" i="71"/>
  <c r="R229" i="71"/>
  <c r="U229" i="71" s="1"/>
  <c r="T229" i="71"/>
  <c r="Y229" i="71"/>
  <c r="AB229" i="71"/>
  <c r="R230" i="71"/>
  <c r="U230" i="71" s="1"/>
  <c r="T230" i="71"/>
  <c r="Y230" i="71"/>
  <c r="AB230" i="71"/>
  <c r="R231" i="71"/>
  <c r="U231" i="71" s="1"/>
  <c r="T231" i="71"/>
  <c r="Y231" i="71"/>
  <c r="AB231" i="71"/>
  <c r="R232" i="71"/>
  <c r="U232" i="71" s="1"/>
  <c r="T232" i="71"/>
  <c r="Y232" i="71"/>
  <c r="AB232" i="71"/>
  <c r="R233" i="71"/>
  <c r="U233" i="71" s="1"/>
  <c r="T233" i="71"/>
  <c r="Y233" i="71"/>
  <c r="AB233" i="71"/>
  <c r="R234" i="71"/>
  <c r="U234" i="71" s="1"/>
  <c r="T234" i="71"/>
  <c r="Y234" i="71"/>
  <c r="AB234" i="71"/>
  <c r="R235" i="71"/>
  <c r="U235" i="71" s="1"/>
  <c r="T235" i="71"/>
  <c r="Y235" i="71"/>
  <c r="AB235" i="71"/>
  <c r="R236" i="71"/>
  <c r="U236" i="71" s="1"/>
  <c r="T236" i="71"/>
  <c r="Y236" i="71"/>
  <c r="AB236" i="71"/>
  <c r="R237" i="71"/>
  <c r="U237" i="71" s="1"/>
  <c r="T237" i="71"/>
  <c r="Y237" i="71"/>
  <c r="AB237" i="71"/>
  <c r="R238" i="71"/>
  <c r="U238" i="71" s="1"/>
  <c r="T238" i="71"/>
  <c r="Y238" i="71"/>
  <c r="AB238" i="71"/>
  <c r="R239" i="71"/>
  <c r="T239" i="71"/>
  <c r="Y239" i="71"/>
  <c r="AB239" i="71"/>
  <c r="R240" i="71"/>
  <c r="U240" i="71" s="1"/>
  <c r="T240" i="71"/>
  <c r="Y240" i="71"/>
  <c r="AB240" i="71"/>
  <c r="R241" i="71"/>
  <c r="U241" i="71" s="1"/>
  <c r="T241" i="71"/>
  <c r="Y241" i="71"/>
  <c r="AB241" i="71"/>
  <c r="R242" i="71"/>
  <c r="U242" i="71" s="1"/>
  <c r="T242" i="71"/>
  <c r="Y242" i="71"/>
  <c r="AB242" i="71"/>
  <c r="R243" i="71"/>
  <c r="U243" i="71" s="1"/>
  <c r="T243" i="71"/>
  <c r="Y243" i="71"/>
  <c r="AB243" i="71"/>
  <c r="R244" i="71"/>
  <c r="U244" i="71" s="1"/>
  <c r="T244" i="71"/>
  <c r="Y244" i="71"/>
  <c r="AB244" i="71"/>
  <c r="R245" i="71"/>
  <c r="U245" i="71" s="1"/>
  <c r="T245" i="71"/>
  <c r="Y245" i="71"/>
  <c r="AB245" i="71"/>
  <c r="R246" i="71"/>
  <c r="U246" i="71" s="1"/>
  <c r="T246" i="71"/>
  <c r="Y246" i="71"/>
  <c r="AB246" i="71"/>
  <c r="R247" i="71"/>
  <c r="U247" i="71" s="1"/>
  <c r="T247" i="71"/>
  <c r="Y247" i="71"/>
  <c r="AB247" i="71"/>
  <c r="R248" i="71"/>
  <c r="U248" i="71" s="1"/>
  <c r="T248" i="71"/>
  <c r="Y248" i="71"/>
  <c r="AB248" i="71"/>
  <c r="R249" i="71"/>
  <c r="U249" i="71" s="1"/>
  <c r="T249" i="71"/>
  <c r="Y249" i="71"/>
  <c r="AB249" i="71"/>
  <c r="R250" i="71"/>
  <c r="U250" i="71" s="1"/>
  <c r="T250" i="71"/>
  <c r="Y250" i="71"/>
  <c r="AB250" i="71"/>
  <c r="R251" i="71"/>
  <c r="U251" i="71" s="1"/>
  <c r="T251" i="71"/>
  <c r="Y251" i="71"/>
  <c r="AB251" i="71"/>
  <c r="R252" i="71"/>
  <c r="U252" i="71" s="1"/>
  <c r="T252" i="71"/>
  <c r="Y252" i="71"/>
  <c r="AB252" i="71"/>
  <c r="R253" i="71"/>
  <c r="U253" i="71" s="1"/>
  <c r="T253" i="71"/>
  <c r="Y253" i="71"/>
  <c r="AB253" i="71"/>
  <c r="R254" i="71"/>
  <c r="U254" i="71" s="1"/>
  <c r="T254" i="71"/>
  <c r="Y254" i="71"/>
  <c r="AB254" i="71"/>
  <c r="R255" i="71"/>
  <c r="U255" i="71" s="1"/>
  <c r="T255" i="71"/>
  <c r="Y255" i="71"/>
  <c r="AB255" i="71"/>
  <c r="R256" i="71"/>
  <c r="U256" i="71" s="1"/>
  <c r="T256" i="71"/>
  <c r="Y256" i="71"/>
  <c r="AB256" i="71"/>
  <c r="R257" i="71"/>
  <c r="U257" i="71" s="1"/>
  <c r="T257" i="71"/>
  <c r="Y257" i="71"/>
  <c r="AB257" i="71"/>
  <c r="R258" i="71"/>
  <c r="U258" i="71" s="1"/>
  <c r="T258" i="71"/>
  <c r="Y258" i="71"/>
  <c r="AB258" i="71"/>
  <c r="R259" i="71"/>
  <c r="U259" i="71" s="1"/>
  <c r="T259" i="71"/>
  <c r="Y259" i="71"/>
  <c r="AB259" i="71"/>
  <c r="R260" i="71"/>
  <c r="U260" i="71" s="1"/>
  <c r="T260" i="71"/>
  <c r="Y260" i="71"/>
  <c r="AB260" i="71"/>
  <c r="R261" i="71"/>
  <c r="U261" i="71" s="1"/>
  <c r="T261" i="71"/>
  <c r="Y261" i="71"/>
  <c r="AB261" i="71"/>
  <c r="R262" i="71"/>
  <c r="U262" i="71" s="1"/>
  <c r="T262" i="71"/>
  <c r="Y262" i="71"/>
  <c r="AB262" i="71"/>
  <c r="R263" i="71"/>
  <c r="U263" i="71" s="1"/>
  <c r="T263" i="71"/>
  <c r="Y263" i="71"/>
  <c r="AB263" i="71"/>
  <c r="R264" i="71"/>
  <c r="U264" i="71" s="1"/>
  <c r="T264" i="71"/>
  <c r="Y264" i="71"/>
  <c r="AB264" i="71"/>
  <c r="R265" i="71"/>
  <c r="T265" i="71"/>
  <c r="Y265" i="71"/>
  <c r="AB265" i="71"/>
  <c r="R266" i="71"/>
  <c r="U266" i="71" s="1"/>
  <c r="T266" i="71"/>
  <c r="Y266" i="71"/>
  <c r="AB266" i="71"/>
  <c r="R267" i="71"/>
  <c r="U267" i="71" s="1"/>
  <c r="T267" i="71"/>
  <c r="Y267" i="71"/>
  <c r="AB267" i="71"/>
  <c r="R268" i="71"/>
  <c r="U268" i="71" s="1"/>
  <c r="T268" i="71"/>
  <c r="Y268" i="71"/>
  <c r="AB268" i="71"/>
  <c r="R269" i="71"/>
  <c r="U269" i="71" s="1"/>
  <c r="T269" i="71"/>
  <c r="Y269" i="71"/>
  <c r="AB269" i="71"/>
  <c r="R270" i="71"/>
  <c r="U270" i="71" s="1"/>
  <c r="T270" i="71"/>
  <c r="Y270" i="71"/>
  <c r="AB270" i="71"/>
  <c r="R271" i="71"/>
  <c r="U271" i="71" s="1"/>
  <c r="T271" i="71"/>
  <c r="Y271" i="71"/>
  <c r="AB271" i="71"/>
  <c r="R272" i="71"/>
  <c r="U272" i="71" s="1"/>
  <c r="T272" i="71"/>
  <c r="Y272" i="71"/>
  <c r="AB272" i="71"/>
  <c r="R273" i="71"/>
  <c r="T273" i="71"/>
  <c r="Y273" i="71"/>
  <c r="AB273" i="71"/>
  <c r="R274" i="71"/>
  <c r="U274" i="71" s="1"/>
  <c r="T274" i="71"/>
  <c r="Y274" i="71"/>
  <c r="AB274" i="71"/>
  <c r="R275" i="71"/>
  <c r="U275" i="71" s="1"/>
  <c r="T275" i="71"/>
  <c r="Y275" i="71"/>
  <c r="AB275" i="71"/>
  <c r="R276" i="71"/>
  <c r="U276" i="71" s="1"/>
  <c r="T276" i="71"/>
  <c r="Y276" i="71"/>
  <c r="AB276" i="71"/>
  <c r="R277" i="71"/>
  <c r="U277" i="71" s="1"/>
  <c r="T277" i="71"/>
  <c r="Y277" i="71"/>
  <c r="AB277" i="71"/>
  <c r="R278" i="71"/>
  <c r="U278" i="71" s="1"/>
  <c r="T278" i="71"/>
  <c r="Y278" i="71"/>
  <c r="AB278" i="71"/>
  <c r="R279" i="71"/>
  <c r="U279" i="71" s="1"/>
  <c r="T279" i="71"/>
  <c r="Y279" i="71"/>
  <c r="AB279" i="71"/>
  <c r="R280" i="71"/>
  <c r="U280" i="71" s="1"/>
  <c r="T280" i="71"/>
  <c r="Y280" i="71"/>
  <c r="AB280" i="71"/>
  <c r="R281" i="71"/>
  <c r="T281" i="71"/>
  <c r="Y281" i="71"/>
  <c r="AB281" i="71"/>
  <c r="R282" i="71"/>
  <c r="U282" i="71" s="1"/>
  <c r="T282" i="71"/>
  <c r="Y282" i="71"/>
  <c r="AB282" i="71"/>
  <c r="R283" i="71"/>
  <c r="U283" i="71" s="1"/>
  <c r="T283" i="71"/>
  <c r="Y283" i="71"/>
  <c r="AB283" i="71"/>
  <c r="R284" i="71"/>
  <c r="U284" i="71" s="1"/>
  <c r="T284" i="71"/>
  <c r="Y284" i="71"/>
  <c r="AB284" i="71"/>
  <c r="R285" i="71"/>
  <c r="U285" i="71" s="1"/>
  <c r="T285" i="71"/>
  <c r="Y285" i="71"/>
  <c r="AB285" i="71"/>
  <c r="R286" i="71"/>
  <c r="U286" i="71" s="1"/>
  <c r="T286" i="71"/>
  <c r="Y286" i="71"/>
  <c r="AB286" i="71"/>
  <c r="R287" i="71"/>
  <c r="U287" i="71" s="1"/>
  <c r="T287" i="71"/>
  <c r="Y287" i="71"/>
  <c r="AB287" i="71"/>
  <c r="R288" i="71"/>
  <c r="U288" i="71" s="1"/>
  <c r="T288" i="71"/>
  <c r="Y288" i="71"/>
  <c r="AB288" i="71"/>
  <c r="R289" i="71"/>
  <c r="T289" i="71"/>
  <c r="Y289" i="71"/>
  <c r="AB289" i="71"/>
  <c r="R290" i="71"/>
  <c r="U290" i="71" s="1"/>
  <c r="T290" i="71"/>
  <c r="Y290" i="71"/>
  <c r="AB290" i="71"/>
  <c r="R291" i="71"/>
  <c r="U291" i="71" s="1"/>
  <c r="T291" i="71"/>
  <c r="Y291" i="71"/>
  <c r="AB291" i="71"/>
  <c r="R292" i="71"/>
  <c r="U292" i="71" s="1"/>
  <c r="T292" i="71"/>
  <c r="Y292" i="71"/>
  <c r="AB292" i="71"/>
  <c r="R293" i="71"/>
  <c r="U293" i="71" s="1"/>
  <c r="T293" i="71"/>
  <c r="Y293" i="71"/>
  <c r="AB293" i="71"/>
  <c r="R294" i="71"/>
  <c r="U294" i="71" s="1"/>
  <c r="T294" i="71"/>
  <c r="Y294" i="71"/>
  <c r="AB294" i="71"/>
  <c r="R295" i="71"/>
  <c r="U295" i="71" s="1"/>
  <c r="T295" i="71"/>
  <c r="Y295" i="71"/>
  <c r="AB295" i="71"/>
  <c r="R296" i="71"/>
  <c r="U296" i="71" s="1"/>
  <c r="T296" i="71"/>
  <c r="Y296" i="71"/>
  <c r="AB296" i="71"/>
  <c r="R297" i="71"/>
  <c r="T297" i="71"/>
  <c r="Y297" i="71"/>
  <c r="AB297" i="71"/>
  <c r="R298" i="71"/>
  <c r="U298" i="71" s="1"/>
  <c r="T298" i="71"/>
  <c r="Y298" i="71"/>
  <c r="AB298" i="71"/>
  <c r="R299" i="71"/>
  <c r="U299" i="71" s="1"/>
  <c r="T299" i="71"/>
  <c r="Y299" i="71"/>
  <c r="AB299" i="71"/>
  <c r="R300" i="71"/>
  <c r="U300" i="71" s="1"/>
  <c r="T300" i="71"/>
  <c r="Y300" i="71"/>
  <c r="AB300" i="71"/>
  <c r="R301" i="71"/>
  <c r="U301" i="71" s="1"/>
  <c r="T301" i="71"/>
  <c r="Y301" i="71"/>
  <c r="AB301" i="71"/>
  <c r="R302" i="71"/>
  <c r="U302" i="71" s="1"/>
  <c r="T302" i="71"/>
  <c r="Y302" i="71"/>
  <c r="AB302" i="71"/>
  <c r="R303" i="71"/>
  <c r="U303" i="71" s="1"/>
  <c r="T303" i="71"/>
  <c r="Y303" i="71"/>
  <c r="AB303" i="71"/>
  <c r="R304" i="71"/>
  <c r="U304" i="71" s="1"/>
  <c r="T304" i="71"/>
  <c r="Y304" i="71"/>
  <c r="AB304" i="71"/>
  <c r="R305" i="71"/>
  <c r="T305" i="71"/>
  <c r="Y305" i="71"/>
  <c r="AB305" i="71"/>
  <c r="R306" i="71"/>
  <c r="U306" i="71" s="1"/>
  <c r="T306" i="71"/>
  <c r="Y306" i="71"/>
  <c r="AB306" i="71"/>
  <c r="R307" i="71"/>
  <c r="U307" i="71" s="1"/>
  <c r="T307" i="71"/>
  <c r="Y307" i="71"/>
  <c r="AB307" i="71"/>
  <c r="R308" i="71"/>
  <c r="U308" i="71" s="1"/>
  <c r="T308" i="71"/>
  <c r="Y308" i="71"/>
  <c r="AB308" i="71"/>
  <c r="R309" i="71"/>
  <c r="U309" i="71" s="1"/>
  <c r="T309" i="71"/>
  <c r="Y309" i="71"/>
  <c r="AB309" i="71"/>
  <c r="R310" i="71"/>
  <c r="U310" i="71" s="1"/>
  <c r="T310" i="71"/>
  <c r="Y310" i="71"/>
  <c r="AB310" i="71"/>
  <c r="R311" i="71"/>
  <c r="U311" i="71" s="1"/>
  <c r="T311" i="71"/>
  <c r="Y311" i="71"/>
  <c r="AB311" i="71"/>
  <c r="R312" i="71"/>
  <c r="U312" i="71" s="1"/>
  <c r="T312" i="71"/>
  <c r="Y312" i="71"/>
  <c r="AB312" i="71"/>
  <c r="R313" i="71"/>
  <c r="T313" i="71"/>
  <c r="Y313" i="71"/>
  <c r="AB313" i="71"/>
  <c r="R314" i="71"/>
  <c r="U314" i="71" s="1"/>
  <c r="T314" i="71"/>
  <c r="Y314" i="71"/>
  <c r="AB314" i="71"/>
  <c r="R315" i="71"/>
  <c r="U315" i="71" s="1"/>
  <c r="T315" i="71"/>
  <c r="Y315" i="71"/>
  <c r="AB315" i="71"/>
  <c r="R316" i="71"/>
  <c r="U316" i="71" s="1"/>
  <c r="T316" i="71"/>
  <c r="Y316" i="71"/>
  <c r="AB316" i="71"/>
  <c r="R317" i="71"/>
  <c r="U317" i="71" s="1"/>
  <c r="T317" i="71"/>
  <c r="Y317" i="71"/>
  <c r="AB317" i="71"/>
  <c r="R318" i="71"/>
  <c r="U318" i="71" s="1"/>
  <c r="T318" i="71"/>
  <c r="Y318" i="71"/>
  <c r="AB318" i="71"/>
  <c r="R319" i="71"/>
  <c r="U319" i="71" s="1"/>
  <c r="T319" i="71"/>
  <c r="Y319" i="71"/>
  <c r="AB319" i="71"/>
  <c r="R320" i="71"/>
  <c r="U320" i="71" s="1"/>
  <c r="T320" i="71"/>
  <c r="Y320" i="71"/>
  <c r="AB320" i="71"/>
  <c r="R321" i="71"/>
  <c r="T321" i="71"/>
  <c r="Y321" i="71"/>
  <c r="AB321" i="71"/>
  <c r="R322" i="71"/>
  <c r="U322" i="71" s="1"/>
  <c r="T322" i="71"/>
  <c r="Y322" i="71"/>
  <c r="AB322" i="71"/>
  <c r="R323" i="71"/>
  <c r="U323" i="71" s="1"/>
  <c r="T323" i="71"/>
  <c r="Y323" i="71"/>
  <c r="AB323" i="71"/>
  <c r="R324" i="71"/>
  <c r="U324" i="71" s="1"/>
  <c r="T324" i="71"/>
  <c r="Y324" i="71"/>
  <c r="AB324" i="71"/>
  <c r="R325" i="71"/>
  <c r="U325" i="71" s="1"/>
  <c r="T325" i="71"/>
  <c r="Y325" i="71"/>
  <c r="AB325" i="71"/>
  <c r="R326" i="71"/>
  <c r="U326" i="71" s="1"/>
  <c r="T326" i="71"/>
  <c r="Y326" i="71"/>
  <c r="AB326" i="71"/>
  <c r="R327" i="71"/>
  <c r="T327" i="71"/>
  <c r="Y327" i="71"/>
  <c r="AB327" i="71"/>
  <c r="R328" i="71"/>
  <c r="U328" i="71" s="1"/>
  <c r="T328" i="71"/>
  <c r="Y328" i="71"/>
  <c r="AB328" i="71"/>
  <c r="R329" i="71"/>
  <c r="T329" i="71"/>
  <c r="Y329" i="71"/>
  <c r="AB329" i="71"/>
  <c r="R330" i="71"/>
  <c r="U330" i="71" s="1"/>
  <c r="T330" i="71"/>
  <c r="Y330" i="71"/>
  <c r="AB330" i="71"/>
  <c r="R331" i="71"/>
  <c r="U331" i="71" s="1"/>
  <c r="T331" i="71"/>
  <c r="Y331" i="71"/>
  <c r="AB331" i="71"/>
  <c r="R332" i="71"/>
  <c r="U332" i="71" s="1"/>
  <c r="T332" i="71"/>
  <c r="Y332" i="71"/>
  <c r="AB332" i="71"/>
  <c r="R333" i="71"/>
  <c r="U333" i="71" s="1"/>
  <c r="T333" i="71"/>
  <c r="Y333" i="71"/>
  <c r="AB333" i="71"/>
  <c r="R334" i="71"/>
  <c r="U334" i="71" s="1"/>
  <c r="T334" i="71"/>
  <c r="Y334" i="71"/>
  <c r="AB334" i="71"/>
  <c r="R335" i="71"/>
  <c r="T335" i="71"/>
  <c r="Y335" i="71"/>
  <c r="AB335" i="71"/>
  <c r="R336" i="71"/>
  <c r="U336" i="71" s="1"/>
  <c r="T336" i="71"/>
  <c r="Y336" i="71"/>
  <c r="AB336" i="71"/>
  <c r="R337" i="71"/>
  <c r="U337" i="71" s="1"/>
  <c r="T337" i="71"/>
  <c r="Y337" i="71"/>
  <c r="AB337" i="71"/>
  <c r="R338" i="71"/>
  <c r="T338" i="71"/>
  <c r="Y338" i="71"/>
  <c r="AB338" i="71"/>
  <c r="R339" i="71"/>
  <c r="U339" i="71" s="1"/>
  <c r="T339" i="71"/>
  <c r="Y339" i="71"/>
  <c r="AB339" i="71"/>
  <c r="R340" i="71"/>
  <c r="U340" i="71" s="1"/>
  <c r="T340" i="71"/>
  <c r="Y340" i="71"/>
  <c r="AB340" i="71"/>
  <c r="R341" i="71"/>
  <c r="U341" i="71" s="1"/>
  <c r="T341" i="71"/>
  <c r="Y341" i="71"/>
  <c r="AB341" i="71"/>
  <c r="R342" i="71"/>
  <c r="U342" i="71" s="1"/>
  <c r="T342" i="71"/>
  <c r="Y342" i="71"/>
  <c r="AB342" i="71"/>
  <c r="R343" i="71"/>
  <c r="T343" i="71"/>
  <c r="Y343" i="71"/>
  <c r="AB343" i="71"/>
  <c r="R344" i="71"/>
  <c r="U344" i="71" s="1"/>
  <c r="T344" i="71"/>
  <c r="Y344" i="71"/>
  <c r="AB344" i="71"/>
  <c r="R345" i="71"/>
  <c r="U345" i="71" s="1"/>
  <c r="T345" i="71"/>
  <c r="Y345" i="71"/>
  <c r="AB345" i="71"/>
  <c r="R346" i="71"/>
  <c r="T346" i="71"/>
  <c r="Y346" i="71"/>
  <c r="AB346" i="71"/>
  <c r="R347" i="71"/>
  <c r="U347" i="71" s="1"/>
  <c r="T347" i="71"/>
  <c r="Y347" i="71"/>
  <c r="AB347" i="71"/>
  <c r="R348" i="71"/>
  <c r="U348" i="71" s="1"/>
  <c r="T348" i="71"/>
  <c r="Y348" i="71"/>
  <c r="AB348" i="71"/>
  <c r="R349" i="71"/>
  <c r="U349" i="71" s="1"/>
  <c r="T349" i="71"/>
  <c r="Y349" i="71"/>
  <c r="AB349" i="71"/>
  <c r="R350" i="71"/>
  <c r="U350" i="71" s="1"/>
  <c r="T350" i="71"/>
  <c r="Y350" i="71"/>
  <c r="AB350" i="71"/>
  <c r="R351" i="71"/>
  <c r="T351" i="71"/>
  <c r="Y351" i="71"/>
  <c r="AB351" i="71"/>
  <c r="R352" i="71"/>
  <c r="U352" i="71" s="1"/>
  <c r="T352" i="71"/>
  <c r="Y352" i="71"/>
  <c r="AB352" i="71"/>
  <c r="R353" i="71"/>
  <c r="U353" i="71" s="1"/>
  <c r="T353" i="71"/>
  <c r="Y353" i="71"/>
  <c r="AB353" i="71"/>
  <c r="R354" i="71"/>
  <c r="T354" i="71"/>
  <c r="Y354" i="71"/>
  <c r="AB354" i="71"/>
  <c r="R355" i="71"/>
  <c r="U355" i="71" s="1"/>
  <c r="T355" i="71"/>
  <c r="Y355" i="71"/>
  <c r="AB355" i="71"/>
  <c r="R356" i="71"/>
  <c r="U356" i="71" s="1"/>
  <c r="T356" i="71"/>
  <c r="Y356" i="71"/>
  <c r="AB356" i="71"/>
  <c r="R357" i="71"/>
  <c r="U357" i="71" s="1"/>
  <c r="T357" i="71"/>
  <c r="Y357" i="71"/>
  <c r="AB357" i="71"/>
  <c r="R358" i="71"/>
  <c r="U358" i="71" s="1"/>
  <c r="T358" i="71"/>
  <c r="Y358" i="71"/>
  <c r="AB358" i="71"/>
  <c r="R359" i="71"/>
  <c r="T359" i="71"/>
  <c r="Y359" i="71"/>
  <c r="AB359" i="71"/>
  <c r="R360" i="71"/>
  <c r="U360" i="71" s="1"/>
  <c r="T360" i="71"/>
  <c r="Y360" i="71"/>
  <c r="AB360" i="71"/>
  <c r="R361" i="71"/>
  <c r="U361" i="71" s="1"/>
  <c r="T361" i="71"/>
  <c r="Y361" i="71"/>
  <c r="AB361" i="71"/>
  <c r="R362" i="71"/>
  <c r="T362" i="71"/>
  <c r="Y362" i="71"/>
  <c r="AB362" i="71"/>
  <c r="R363" i="71"/>
  <c r="U363" i="71" s="1"/>
  <c r="T363" i="71"/>
  <c r="Y363" i="71"/>
  <c r="AB363" i="71"/>
  <c r="R364" i="71"/>
  <c r="U364" i="71" s="1"/>
  <c r="T364" i="71"/>
  <c r="Y364" i="71"/>
  <c r="AB364" i="71"/>
  <c r="R365" i="71"/>
  <c r="U365" i="71" s="1"/>
  <c r="T365" i="71"/>
  <c r="Y365" i="71"/>
  <c r="AB365" i="71"/>
  <c r="R366" i="71"/>
  <c r="U366" i="71" s="1"/>
  <c r="T366" i="71"/>
  <c r="Y366" i="71"/>
  <c r="AB366" i="71"/>
  <c r="R367" i="71"/>
  <c r="T367" i="71"/>
  <c r="Y367" i="71"/>
  <c r="AB367" i="71"/>
  <c r="R368" i="71"/>
  <c r="U368" i="71" s="1"/>
  <c r="T368" i="71"/>
  <c r="Y368" i="71"/>
  <c r="AB368" i="71"/>
  <c r="R369" i="71"/>
  <c r="U369" i="71" s="1"/>
  <c r="T369" i="71"/>
  <c r="Y369" i="71"/>
  <c r="AB369" i="71"/>
  <c r="R370" i="71"/>
  <c r="T370" i="71"/>
  <c r="Y370" i="71"/>
  <c r="AB370" i="71"/>
  <c r="R371" i="71"/>
  <c r="U371" i="71" s="1"/>
  <c r="T371" i="71"/>
  <c r="Y371" i="71"/>
  <c r="AB371" i="71"/>
  <c r="R372" i="71"/>
  <c r="U372" i="71" s="1"/>
  <c r="T372" i="71"/>
  <c r="Y372" i="71"/>
  <c r="AB372" i="71"/>
  <c r="R373" i="71"/>
  <c r="U373" i="71" s="1"/>
  <c r="T373" i="71"/>
  <c r="Y373" i="71"/>
  <c r="AB373" i="71"/>
  <c r="R374" i="71"/>
  <c r="U374" i="71" s="1"/>
  <c r="T374" i="71"/>
  <c r="Y374" i="71"/>
  <c r="AB374" i="71"/>
  <c r="R375" i="71"/>
  <c r="T375" i="71"/>
  <c r="Y375" i="71"/>
  <c r="AB375" i="71"/>
  <c r="R376" i="71"/>
  <c r="U376" i="71" s="1"/>
  <c r="T376" i="71"/>
  <c r="Y376" i="71"/>
  <c r="AB376" i="71"/>
  <c r="R377" i="71"/>
  <c r="U377" i="71" s="1"/>
  <c r="T377" i="71"/>
  <c r="Y377" i="71"/>
  <c r="AB377" i="71"/>
  <c r="R378" i="71"/>
  <c r="T378" i="71"/>
  <c r="Y378" i="71"/>
  <c r="AB378" i="71"/>
  <c r="R379" i="71"/>
  <c r="U379" i="71" s="1"/>
  <c r="T379" i="71"/>
  <c r="Y379" i="71"/>
  <c r="AB379" i="71"/>
  <c r="R380" i="71"/>
  <c r="U380" i="71" s="1"/>
  <c r="T380" i="71"/>
  <c r="Y380" i="71"/>
  <c r="AB380" i="71"/>
  <c r="R381" i="71"/>
  <c r="U381" i="71" s="1"/>
  <c r="T381" i="71"/>
  <c r="Y381" i="71"/>
  <c r="AB381" i="71"/>
  <c r="R382" i="71"/>
  <c r="U382" i="71" s="1"/>
  <c r="T382" i="71"/>
  <c r="Y382" i="71"/>
  <c r="AB382" i="71"/>
  <c r="R383" i="71"/>
  <c r="T383" i="71"/>
  <c r="Y383" i="71"/>
  <c r="AB383" i="71"/>
  <c r="R384" i="71"/>
  <c r="U384" i="71" s="1"/>
  <c r="T384" i="71"/>
  <c r="Y384" i="71"/>
  <c r="AB384" i="71"/>
  <c r="R385" i="71"/>
  <c r="U385" i="71" s="1"/>
  <c r="T385" i="71"/>
  <c r="Y385" i="71"/>
  <c r="AB385" i="71"/>
  <c r="R386" i="71"/>
  <c r="T386" i="71"/>
  <c r="Y386" i="71"/>
  <c r="AB386" i="71"/>
  <c r="R387" i="71"/>
  <c r="T387" i="71"/>
  <c r="Y387" i="71"/>
  <c r="AB387" i="71"/>
  <c r="R388" i="71"/>
  <c r="U388" i="71" s="1"/>
  <c r="T388" i="71"/>
  <c r="Y388" i="71"/>
  <c r="AB388" i="71"/>
  <c r="R389" i="71"/>
  <c r="U389" i="71" s="1"/>
  <c r="T389" i="71"/>
  <c r="Y389" i="71"/>
  <c r="AB389" i="71"/>
  <c r="R390" i="71"/>
  <c r="U390" i="71" s="1"/>
  <c r="T390" i="71"/>
  <c r="Y390" i="71"/>
  <c r="AB390" i="71"/>
  <c r="R391" i="71"/>
  <c r="U391" i="71" s="1"/>
  <c r="T391" i="71"/>
  <c r="Y391" i="71"/>
  <c r="AB391" i="71"/>
  <c r="R392" i="71"/>
  <c r="U392" i="71" s="1"/>
  <c r="T392" i="71"/>
  <c r="Y392" i="71"/>
  <c r="AB392" i="71"/>
  <c r="R393" i="71"/>
  <c r="U393" i="71" s="1"/>
  <c r="T393" i="71"/>
  <c r="Y393" i="71"/>
  <c r="AB393" i="71"/>
  <c r="R394" i="71"/>
  <c r="T394" i="71"/>
  <c r="Y394" i="71"/>
  <c r="AB394" i="71"/>
  <c r="R395" i="71"/>
  <c r="U395" i="71" s="1"/>
  <c r="T395" i="71"/>
  <c r="Y395" i="71"/>
  <c r="AB395" i="71"/>
  <c r="R396" i="71"/>
  <c r="U396" i="71" s="1"/>
  <c r="T396" i="71"/>
  <c r="Y396" i="71"/>
  <c r="AB396" i="71"/>
  <c r="R397" i="71"/>
  <c r="U397" i="71" s="1"/>
  <c r="T397" i="71"/>
  <c r="Y397" i="71"/>
  <c r="AB397" i="71"/>
  <c r="R398" i="71"/>
  <c r="U398" i="71" s="1"/>
  <c r="T398" i="71"/>
  <c r="Y398" i="71"/>
  <c r="AB398" i="71"/>
  <c r="R399" i="71"/>
  <c r="U399" i="71" s="1"/>
  <c r="T399" i="71"/>
  <c r="Y399" i="71"/>
  <c r="AB399" i="71"/>
  <c r="R400" i="71"/>
  <c r="U400" i="71" s="1"/>
  <c r="T400" i="71"/>
  <c r="Y400" i="71"/>
  <c r="AB400" i="71"/>
  <c r="R401" i="71"/>
  <c r="U401" i="71" s="1"/>
  <c r="T401" i="71"/>
  <c r="Y401" i="71"/>
  <c r="AB401" i="71"/>
  <c r="R402" i="71"/>
  <c r="T402" i="71"/>
  <c r="Y402" i="71"/>
  <c r="AB402" i="71"/>
  <c r="R403" i="71"/>
  <c r="T403" i="71"/>
  <c r="Y403" i="71"/>
  <c r="AB403" i="71"/>
  <c r="R404" i="71"/>
  <c r="U404" i="71" s="1"/>
  <c r="T404" i="71"/>
  <c r="Y404" i="71"/>
  <c r="AB404" i="71"/>
  <c r="R405" i="71"/>
  <c r="U405" i="71" s="1"/>
  <c r="T405" i="71"/>
  <c r="Y405" i="71"/>
  <c r="AB405" i="71"/>
  <c r="R406" i="71"/>
  <c r="U406" i="71" s="1"/>
  <c r="T406" i="71"/>
  <c r="Y406" i="71"/>
  <c r="AB406" i="71"/>
  <c r="R407" i="71"/>
  <c r="T407" i="71"/>
  <c r="Y407" i="71"/>
  <c r="AB407" i="71"/>
  <c r="R408" i="71"/>
  <c r="U408" i="71" s="1"/>
  <c r="T408" i="71"/>
  <c r="Y408" i="71"/>
  <c r="AB408" i="71"/>
  <c r="R409" i="71"/>
  <c r="U409" i="71" s="1"/>
  <c r="T409" i="71"/>
  <c r="Y409" i="71"/>
  <c r="AB409" i="71"/>
  <c r="R410" i="71"/>
  <c r="U410" i="71" s="1"/>
  <c r="T410" i="71"/>
  <c r="Y410" i="71"/>
  <c r="AB410" i="71"/>
  <c r="R411" i="71"/>
  <c r="U411" i="71" s="1"/>
  <c r="T411" i="71"/>
  <c r="Y411" i="71"/>
  <c r="AB411" i="71"/>
  <c r="R412" i="71"/>
  <c r="U412" i="71" s="1"/>
  <c r="T412" i="71"/>
  <c r="Y412" i="71"/>
  <c r="AB412" i="71"/>
  <c r="R413" i="71"/>
  <c r="U413" i="71" s="1"/>
  <c r="T413" i="71"/>
  <c r="Y413" i="71"/>
  <c r="AB413" i="71"/>
  <c r="R414" i="71"/>
  <c r="U414" i="71" s="1"/>
  <c r="T414" i="71"/>
  <c r="Y414" i="71"/>
  <c r="AB414" i="71"/>
  <c r="R415" i="71"/>
  <c r="U415" i="71" s="1"/>
  <c r="T415" i="71"/>
  <c r="Y415" i="71"/>
  <c r="AB415" i="71"/>
  <c r="R416" i="71"/>
  <c r="U416" i="71" s="1"/>
  <c r="T416" i="71"/>
  <c r="Y416" i="71"/>
  <c r="AB416" i="71"/>
  <c r="R417" i="71"/>
  <c r="T417" i="71"/>
  <c r="Y417" i="71"/>
  <c r="AB417" i="71"/>
  <c r="R418" i="71"/>
  <c r="U418" i="71" s="1"/>
  <c r="T418" i="71"/>
  <c r="Y418" i="71"/>
  <c r="AB418" i="71"/>
  <c r="R419" i="71"/>
  <c r="U419" i="71" s="1"/>
  <c r="T419" i="71"/>
  <c r="Y419" i="71"/>
  <c r="AB419" i="71"/>
  <c r="R420" i="71"/>
  <c r="U420" i="71" s="1"/>
  <c r="T420" i="71"/>
  <c r="Y420" i="71"/>
  <c r="AB420" i="71"/>
  <c r="R421" i="71"/>
  <c r="U421" i="71" s="1"/>
  <c r="T421" i="71"/>
  <c r="Y421" i="71"/>
  <c r="AB421" i="71"/>
  <c r="R422" i="71"/>
  <c r="U422" i="71" s="1"/>
  <c r="T422" i="71"/>
  <c r="Y422" i="71"/>
  <c r="AB422" i="71"/>
  <c r="R423" i="71"/>
  <c r="U423" i="71" s="1"/>
  <c r="T423" i="71"/>
  <c r="Y423" i="71"/>
  <c r="AB423" i="71"/>
  <c r="R424" i="71"/>
  <c r="T424" i="71"/>
  <c r="Y424" i="71"/>
  <c r="AB424" i="71"/>
  <c r="R425" i="71"/>
  <c r="T425" i="71"/>
  <c r="Y425" i="71"/>
  <c r="AB425" i="71"/>
  <c r="R426" i="71"/>
  <c r="U426" i="71" s="1"/>
  <c r="T426" i="71"/>
  <c r="Y426" i="71"/>
  <c r="AB426" i="71"/>
  <c r="R427" i="71"/>
  <c r="U427" i="71" s="1"/>
  <c r="T427" i="71"/>
  <c r="Y427" i="71"/>
  <c r="AB427" i="71"/>
  <c r="R428" i="71"/>
  <c r="U428" i="71" s="1"/>
  <c r="T428" i="71"/>
  <c r="Y428" i="71"/>
  <c r="AB428" i="71"/>
  <c r="R429" i="71"/>
  <c r="U429" i="71" s="1"/>
  <c r="T429" i="71"/>
  <c r="Y429" i="71"/>
  <c r="AB429" i="71"/>
  <c r="R430" i="71"/>
  <c r="U430" i="71" s="1"/>
  <c r="T430" i="71"/>
  <c r="Y430" i="71"/>
  <c r="AB430" i="71"/>
  <c r="R431" i="71"/>
  <c r="U431" i="71" s="1"/>
  <c r="T431" i="71"/>
  <c r="Y431" i="71"/>
  <c r="AB431" i="71"/>
  <c r="R432" i="71"/>
  <c r="T432" i="71"/>
  <c r="Y432" i="71"/>
  <c r="AB432" i="71"/>
  <c r="R433" i="71"/>
  <c r="U433" i="71" s="1"/>
  <c r="T433" i="71"/>
  <c r="Y433" i="71"/>
  <c r="AB433" i="71"/>
  <c r="R434" i="71"/>
  <c r="U434" i="71" s="1"/>
  <c r="T434" i="71"/>
  <c r="Y434" i="71"/>
  <c r="AB434" i="71"/>
  <c r="R435" i="71"/>
  <c r="U435" i="71" s="1"/>
  <c r="T435" i="71"/>
  <c r="Y435" i="71"/>
  <c r="AB435" i="71"/>
  <c r="R436" i="71"/>
  <c r="U436" i="71" s="1"/>
  <c r="T436" i="71"/>
  <c r="Y436" i="71"/>
  <c r="AB436" i="71"/>
  <c r="R437" i="71"/>
  <c r="U437" i="71" s="1"/>
  <c r="T437" i="71"/>
  <c r="Y437" i="71"/>
  <c r="AB437" i="71"/>
  <c r="R438" i="71"/>
  <c r="U438" i="71" s="1"/>
  <c r="T438" i="71"/>
  <c r="Y438" i="71"/>
  <c r="AB438" i="71"/>
  <c r="R439" i="71"/>
  <c r="U439" i="71" s="1"/>
  <c r="T439" i="71"/>
  <c r="Y439" i="71"/>
  <c r="AB439" i="71"/>
  <c r="R440" i="71"/>
  <c r="T440" i="71"/>
  <c r="Y440" i="71"/>
  <c r="AB440" i="71"/>
  <c r="R441" i="71"/>
  <c r="U441" i="71" s="1"/>
  <c r="T441" i="71"/>
  <c r="Y441" i="71"/>
  <c r="AB441" i="71"/>
  <c r="R442" i="71"/>
  <c r="U442" i="71" s="1"/>
  <c r="T442" i="71"/>
  <c r="Y442" i="71"/>
  <c r="AB442" i="71"/>
  <c r="R443" i="71"/>
  <c r="U443" i="71" s="1"/>
  <c r="T443" i="71"/>
  <c r="Y443" i="71"/>
  <c r="AB443" i="71"/>
  <c r="R444" i="71"/>
  <c r="U444" i="71" s="1"/>
  <c r="T444" i="71"/>
  <c r="Y444" i="71"/>
  <c r="AB444" i="71"/>
  <c r="R445" i="71"/>
  <c r="U445" i="71" s="1"/>
  <c r="T445" i="71"/>
  <c r="Y445" i="71"/>
  <c r="AB445" i="71"/>
  <c r="R446" i="71"/>
  <c r="U446" i="71" s="1"/>
  <c r="T446" i="71"/>
  <c r="Y446" i="71"/>
  <c r="AB446" i="71"/>
  <c r="R447" i="71"/>
  <c r="U447" i="71" s="1"/>
  <c r="T447" i="71"/>
  <c r="Y447" i="71"/>
  <c r="AB447" i="71"/>
  <c r="R448" i="71"/>
  <c r="T448" i="71"/>
  <c r="Y448" i="71"/>
  <c r="AB448" i="71"/>
  <c r="R449" i="71"/>
  <c r="U449" i="71" s="1"/>
  <c r="T449" i="71"/>
  <c r="Y449" i="71"/>
  <c r="AB449" i="71"/>
  <c r="R450" i="71"/>
  <c r="U450" i="71" s="1"/>
  <c r="T450" i="71"/>
  <c r="Y450" i="71"/>
  <c r="AB450" i="71"/>
  <c r="R451" i="71"/>
  <c r="U451" i="71" s="1"/>
  <c r="T451" i="71"/>
  <c r="Y451" i="71"/>
  <c r="AB451" i="71"/>
  <c r="R452" i="71"/>
  <c r="U452" i="71" s="1"/>
  <c r="T452" i="71"/>
  <c r="Y452" i="71"/>
  <c r="AB452" i="71"/>
  <c r="R453" i="71"/>
  <c r="U453" i="71" s="1"/>
  <c r="T453" i="71"/>
  <c r="Y453" i="71"/>
  <c r="AB453" i="71"/>
  <c r="R454" i="71"/>
  <c r="U454" i="71" s="1"/>
  <c r="T454" i="71"/>
  <c r="Y454" i="71"/>
  <c r="AB454" i="71"/>
  <c r="R455" i="71"/>
  <c r="T455" i="71"/>
  <c r="Y455" i="71"/>
  <c r="AB455" i="71"/>
  <c r="R456" i="71"/>
  <c r="U456" i="71" s="1"/>
  <c r="T456" i="71"/>
  <c r="Y456" i="71"/>
  <c r="AB456" i="71"/>
  <c r="R457" i="71"/>
  <c r="U457" i="71" s="1"/>
  <c r="T457" i="71"/>
  <c r="Y457" i="71"/>
  <c r="AB457" i="71"/>
  <c r="R458" i="71"/>
  <c r="T458" i="71"/>
  <c r="Y458" i="71"/>
  <c r="AB458" i="71"/>
  <c r="R459" i="71"/>
  <c r="U459" i="71" s="1"/>
  <c r="T459" i="71"/>
  <c r="Y459" i="71"/>
  <c r="AB459" i="71"/>
  <c r="R460" i="71"/>
  <c r="U460" i="71" s="1"/>
  <c r="T460" i="71"/>
  <c r="Y460" i="71"/>
  <c r="AB460" i="71"/>
  <c r="R461" i="71"/>
  <c r="U461" i="71" s="1"/>
  <c r="T461" i="71"/>
  <c r="Y461" i="71"/>
  <c r="AB461" i="71"/>
  <c r="R462" i="71"/>
  <c r="U462" i="71" s="1"/>
  <c r="T462" i="71"/>
  <c r="Y462" i="71"/>
  <c r="AB462" i="71"/>
  <c r="R463" i="71"/>
  <c r="T463" i="71"/>
  <c r="Y463" i="71"/>
  <c r="AB463" i="71"/>
  <c r="R464" i="71"/>
  <c r="U464" i="71" s="1"/>
  <c r="T464" i="71"/>
  <c r="Y464" i="71"/>
  <c r="AB464" i="71"/>
  <c r="R465" i="71"/>
  <c r="U465" i="71" s="1"/>
  <c r="T465" i="71"/>
  <c r="Y465" i="71"/>
  <c r="AB465" i="71"/>
  <c r="R466" i="71"/>
  <c r="U466" i="71" s="1"/>
  <c r="T466" i="71"/>
  <c r="Y466" i="71"/>
  <c r="AB466" i="71"/>
  <c r="R467" i="71"/>
  <c r="U467" i="71" s="1"/>
  <c r="T467" i="71"/>
  <c r="Y467" i="71"/>
  <c r="AB467" i="71"/>
  <c r="R468" i="71"/>
  <c r="U468" i="71" s="1"/>
  <c r="T468" i="71"/>
  <c r="Y468" i="71"/>
  <c r="AB468" i="71"/>
  <c r="R469" i="71"/>
  <c r="U469" i="71" s="1"/>
  <c r="T469" i="71"/>
  <c r="Y469" i="71"/>
  <c r="AB469" i="71"/>
  <c r="R470" i="71"/>
  <c r="U470" i="71" s="1"/>
  <c r="T470" i="71"/>
  <c r="Y470" i="71"/>
  <c r="AB470" i="71"/>
  <c r="R471" i="71"/>
  <c r="T471" i="71"/>
  <c r="Y471" i="71"/>
  <c r="AB471" i="71"/>
  <c r="R472" i="71"/>
  <c r="T472" i="71"/>
  <c r="Y472" i="71"/>
  <c r="AB472" i="71"/>
  <c r="R473" i="71"/>
  <c r="U473" i="71" s="1"/>
  <c r="T473" i="71"/>
  <c r="Y473" i="71"/>
  <c r="AB473" i="71"/>
  <c r="R474" i="71"/>
  <c r="U474" i="71" s="1"/>
  <c r="T474" i="71"/>
  <c r="Y474" i="71"/>
  <c r="AB474" i="71"/>
  <c r="R475" i="71"/>
  <c r="U475" i="71" s="1"/>
  <c r="T475" i="71"/>
  <c r="Y475" i="71"/>
  <c r="AB475" i="71"/>
  <c r="R476" i="71"/>
  <c r="U476" i="71" s="1"/>
  <c r="T476" i="71"/>
  <c r="Y476" i="71"/>
  <c r="AB476" i="71"/>
  <c r="R477" i="71"/>
  <c r="U477" i="71" s="1"/>
  <c r="T477" i="71"/>
  <c r="Y477" i="71"/>
  <c r="AB477" i="71"/>
  <c r="R478" i="71"/>
  <c r="U478" i="71" s="1"/>
  <c r="T478" i="71"/>
  <c r="Y478" i="71"/>
  <c r="AB478" i="71"/>
  <c r="R479" i="71"/>
  <c r="T479" i="71"/>
  <c r="Y479" i="71"/>
  <c r="AB479" i="71"/>
  <c r="R480" i="71"/>
  <c r="U480" i="71" s="1"/>
  <c r="T480" i="71"/>
  <c r="Y480" i="71"/>
  <c r="AB480" i="71"/>
  <c r="R481" i="71"/>
  <c r="U481" i="71" s="1"/>
  <c r="T481" i="71"/>
  <c r="Y481" i="71"/>
  <c r="AB481" i="71"/>
  <c r="R482" i="71"/>
  <c r="U482" i="71" s="1"/>
  <c r="T482" i="71"/>
  <c r="Y482" i="71"/>
  <c r="AB482" i="71"/>
  <c r="R483" i="71"/>
  <c r="U483" i="71" s="1"/>
  <c r="T483" i="71"/>
  <c r="Y483" i="71"/>
  <c r="AB483" i="71"/>
  <c r="R484" i="71"/>
  <c r="U484" i="71" s="1"/>
  <c r="T484" i="71"/>
  <c r="Y484" i="71"/>
  <c r="AB484" i="71"/>
  <c r="R485" i="71"/>
  <c r="U485" i="71" s="1"/>
  <c r="T485" i="71"/>
  <c r="Y485" i="71"/>
  <c r="AB485" i="71"/>
  <c r="R486" i="71"/>
  <c r="U486" i="71" s="1"/>
  <c r="T486" i="71"/>
  <c r="Y486" i="71"/>
  <c r="AB486" i="71"/>
  <c r="R487" i="71"/>
  <c r="T487" i="71"/>
  <c r="Y487" i="71"/>
  <c r="AB487" i="71"/>
  <c r="R488" i="71"/>
  <c r="U488" i="71" s="1"/>
  <c r="T488" i="71"/>
  <c r="Y488" i="71"/>
  <c r="AB488" i="71"/>
  <c r="R489" i="71"/>
  <c r="U489" i="71" s="1"/>
  <c r="T489" i="71"/>
  <c r="Y489" i="71"/>
  <c r="AB489" i="71"/>
  <c r="R490" i="71"/>
  <c r="U490" i="71" s="1"/>
  <c r="T490" i="71"/>
  <c r="Y490" i="71"/>
  <c r="AB490" i="71"/>
  <c r="R491" i="71"/>
  <c r="U491" i="71" s="1"/>
  <c r="T491" i="71"/>
  <c r="Y491" i="71"/>
  <c r="AB491" i="71"/>
  <c r="R492" i="71"/>
  <c r="U492" i="71" s="1"/>
  <c r="T492" i="71"/>
  <c r="Y492" i="71"/>
  <c r="AB492" i="71"/>
  <c r="R493" i="71"/>
  <c r="U493" i="71" s="1"/>
  <c r="T493" i="71"/>
  <c r="Y493" i="71"/>
  <c r="AB493" i="71"/>
  <c r="R494" i="71"/>
  <c r="U494" i="71" s="1"/>
  <c r="T494" i="71"/>
  <c r="Y494" i="71"/>
  <c r="AB494" i="71"/>
  <c r="R495" i="71"/>
  <c r="T495" i="71"/>
  <c r="Y495" i="71"/>
  <c r="AB495" i="71"/>
  <c r="U425" i="71" l="1"/>
  <c r="V425" i="71" s="1"/>
  <c r="U487" i="71"/>
  <c r="V487" i="71" s="1"/>
  <c r="U387" i="71"/>
  <c r="V387" i="71" s="1"/>
  <c r="U472" i="71"/>
  <c r="V472" i="71" s="1"/>
  <c r="U383" i="71"/>
  <c r="V383" i="71" s="1"/>
  <c r="U479" i="71"/>
  <c r="V479" i="71" s="1"/>
  <c r="U407" i="71"/>
  <c r="V407" i="71" s="1"/>
  <c r="U495" i="71"/>
  <c r="V495" i="71" s="1"/>
  <c r="U432" i="71"/>
  <c r="V432" i="71" s="1"/>
  <c r="U424" i="71"/>
  <c r="V424" i="71" s="1"/>
  <c r="U362" i="71"/>
  <c r="V362" i="71" s="1"/>
  <c r="U471" i="71"/>
  <c r="V471" i="71" s="1"/>
  <c r="U403" i="71"/>
  <c r="V403" i="71" s="1"/>
  <c r="U463" i="71"/>
  <c r="V463" i="71" s="1"/>
  <c r="U458" i="71"/>
  <c r="V458" i="71" s="1"/>
  <c r="U417" i="71"/>
  <c r="V417" i="71" s="1"/>
  <c r="U448" i="71"/>
  <c r="V448" i="71" s="1"/>
  <c r="U375" i="71"/>
  <c r="V375" i="71" s="1"/>
  <c r="U370" i="71"/>
  <c r="V370" i="71" s="1"/>
  <c r="U402" i="71"/>
  <c r="V402" i="71" s="1"/>
  <c r="U440" i="71"/>
  <c r="V440" i="71" s="1"/>
  <c r="U455" i="71"/>
  <c r="V455" i="71" s="1"/>
  <c r="U343" i="71"/>
  <c r="V343" i="71" s="1"/>
  <c r="U329" i="71"/>
  <c r="V329" i="71" s="1"/>
  <c r="U226" i="71"/>
  <c r="V226" i="71" s="1"/>
  <c r="U214" i="71"/>
  <c r="V214" i="71" s="1"/>
  <c r="U394" i="71"/>
  <c r="V394" i="71" s="1"/>
  <c r="U367" i="71"/>
  <c r="V367" i="71" s="1"/>
  <c r="U354" i="71"/>
  <c r="V354" i="71" s="1"/>
  <c r="U327" i="71"/>
  <c r="V327" i="71" s="1"/>
  <c r="U378" i="71"/>
  <c r="V378" i="71" s="1"/>
  <c r="U351" i="71"/>
  <c r="V351" i="71" s="1"/>
  <c r="U338" i="71"/>
  <c r="V338" i="71" s="1"/>
  <c r="U386" i="71"/>
  <c r="U335" i="71"/>
  <c r="V335" i="71" s="1"/>
  <c r="U239" i="71"/>
  <c r="V239" i="71" s="1"/>
  <c r="U359" i="71"/>
  <c r="V359" i="71" s="1"/>
  <c r="U346" i="71"/>
  <c r="V346" i="71" s="1"/>
  <c r="U313" i="71"/>
  <c r="V313" i="71" s="1"/>
  <c r="U297" i="71"/>
  <c r="V297" i="71" s="1"/>
  <c r="U281" i="71"/>
  <c r="V281" i="71" s="1"/>
  <c r="U265" i="71"/>
  <c r="V265" i="71" s="1"/>
  <c r="U321" i="71"/>
  <c r="V321" i="71" s="1"/>
  <c r="U305" i="71"/>
  <c r="V305" i="71" s="1"/>
  <c r="U289" i="71"/>
  <c r="V289" i="71" s="1"/>
  <c r="U273" i="71"/>
  <c r="V273" i="71" s="1"/>
  <c r="U215" i="71"/>
  <c r="V215" i="71" s="1"/>
  <c r="V213" i="71"/>
  <c r="V216" i="71"/>
  <c r="V217" i="71"/>
  <c r="V218" i="71"/>
  <c r="V219" i="71"/>
  <c r="V220" i="71"/>
  <c r="V221" i="71"/>
  <c r="V222" i="71"/>
  <c r="V223" i="71"/>
  <c r="V224" i="71"/>
  <c r="V225" i="71"/>
  <c r="V227" i="71"/>
  <c r="V228" i="71"/>
  <c r="V229" i="71"/>
  <c r="V230" i="71"/>
  <c r="V231" i="71"/>
  <c r="V232" i="71"/>
  <c r="V233" i="71"/>
  <c r="V234" i="71"/>
  <c r="V235" i="71"/>
  <c r="V236" i="71"/>
  <c r="V237" i="71"/>
  <c r="V238"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4" i="71"/>
  <c r="V266" i="71"/>
  <c r="V267" i="71"/>
  <c r="V268" i="71"/>
  <c r="V269" i="71"/>
  <c r="V270" i="71"/>
  <c r="V271" i="71"/>
  <c r="V272" i="71"/>
  <c r="V274" i="71"/>
  <c r="V275" i="71"/>
  <c r="V276" i="71"/>
  <c r="V277" i="71"/>
  <c r="V278" i="71"/>
  <c r="V279" i="71"/>
  <c r="V280" i="71"/>
  <c r="V282" i="71"/>
  <c r="V283" i="71"/>
  <c r="V284" i="71"/>
  <c r="V285" i="71"/>
  <c r="V286" i="71"/>
  <c r="V287" i="71"/>
  <c r="V288" i="71"/>
  <c r="V290" i="71"/>
  <c r="V291" i="71"/>
  <c r="V292" i="71"/>
  <c r="V293" i="71"/>
  <c r="V294" i="71"/>
  <c r="V295" i="71"/>
  <c r="V296" i="71"/>
  <c r="V298" i="71"/>
  <c r="V299" i="71"/>
  <c r="V300" i="71"/>
  <c r="V301" i="71"/>
  <c r="V302" i="71"/>
  <c r="V303" i="71"/>
  <c r="V304" i="71"/>
  <c r="V306" i="71"/>
  <c r="V307" i="71"/>
  <c r="V308" i="71"/>
  <c r="V309" i="71"/>
  <c r="V310" i="71"/>
  <c r="V311" i="71"/>
  <c r="V312" i="71"/>
  <c r="V314" i="71"/>
  <c r="V315" i="71"/>
  <c r="V316" i="71"/>
  <c r="V317" i="71"/>
  <c r="V318" i="71"/>
  <c r="V319" i="71"/>
  <c r="V320" i="71"/>
  <c r="V322" i="71"/>
  <c r="V323" i="71"/>
  <c r="V324" i="71"/>
  <c r="V325" i="71"/>
  <c r="V326" i="71"/>
  <c r="V328" i="71"/>
  <c r="V330" i="71"/>
  <c r="V331" i="71"/>
  <c r="V332" i="71"/>
  <c r="V333" i="71"/>
  <c r="V334" i="71"/>
  <c r="V336" i="71"/>
  <c r="V337" i="71"/>
  <c r="V339" i="71"/>
  <c r="V340" i="71"/>
  <c r="V341" i="71"/>
  <c r="V342" i="71"/>
  <c r="V344" i="71"/>
  <c r="V345" i="71"/>
  <c r="V347" i="71"/>
  <c r="V348" i="71"/>
  <c r="V349" i="71"/>
  <c r="V350" i="71"/>
  <c r="V352" i="71"/>
  <c r="V353" i="71"/>
  <c r="V355" i="71"/>
  <c r="V356" i="71"/>
  <c r="V357" i="71"/>
  <c r="V358" i="71"/>
  <c r="V360" i="71"/>
  <c r="V361" i="71"/>
  <c r="V363" i="71"/>
  <c r="V364" i="71"/>
  <c r="V365" i="71"/>
  <c r="V366" i="71"/>
  <c r="V368" i="71"/>
  <c r="V369" i="71"/>
  <c r="V371" i="71"/>
  <c r="V372" i="71"/>
  <c r="V373" i="71"/>
  <c r="V374" i="71"/>
  <c r="V376" i="71"/>
  <c r="V377" i="71"/>
  <c r="V379" i="71"/>
  <c r="V380" i="71"/>
  <c r="V381" i="71"/>
  <c r="V382" i="71"/>
  <c r="V384" i="71"/>
  <c r="V385" i="71"/>
  <c r="V386" i="71"/>
  <c r="V388" i="71"/>
  <c r="V389" i="71"/>
  <c r="V390" i="71"/>
  <c r="V391" i="71"/>
  <c r="V392" i="71"/>
  <c r="V393" i="71"/>
  <c r="V395" i="71"/>
  <c r="V396" i="71"/>
  <c r="V397" i="71"/>
  <c r="V398" i="71"/>
  <c r="V399" i="71"/>
  <c r="V400" i="71"/>
  <c r="V401" i="71"/>
  <c r="V404" i="71"/>
  <c r="V405" i="71"/>
  <c r="V406" i="71"/>
  <c r="V408" i="71"/>
  <c r="V409" i="71"/>
  <c r="V410" i="71"/>
  <c r="V411" i="71"/>
  <c r="V412" i="71"/>
  <c r="V413" i="71"/>
  <c r="V414" i="71"/>
  <c r="V415" i="71"/>
  <c r="V416" i="71"/>
  <c r="V418" i="71"/>
  <c r="V419" i="71"/>
  <c r="V420" i="71"/>
  <c r="V421" i="71"/>
  <c r="V422" i="71"/>
  <c r="V423" i="71"/>
  <c r="V426" i="71"/>
  <c r="V427" i="71"/>
  <c r="V428" i="71"/>
  <c r="V429" i="71"/>
  <c r="V430" i="71"/>
  <c r="V431" i="71"/>
  <c r="V433" i="71"/>
  <c r="V434" i="71"/>
  <c r="V435" i="71"/>
  <c r="V436" i="71"/>
  <c r="V437" i="71"/>
  <c r="V438" i="71"/>
  <c r="V439" i="71"/>
  <c r="V441" i="71"/>
  <c r="V442" i="71"/>
  <c r="V443" i="71"/>
  <c r="V444" i="71"/>
  <c r="V445" i="71"/>
  <c r="V446" i="71"/>
  <c r="V447" i="71"/>
  <c r="V449" i="71"/>
  <c r="V450" i="71"/>
  <c r="V451" i="71"/>
  <c r="V452" i="71"/>
  <c r="V453" i="71"/>
  <c r="V454" i="71"/>
  <c r="V456" i="71"/>
  <c r="V457" i="71"/>
  <c r="V459" i="71"/>
  <c r="V460" i="71"/>
  <c r="V461" i="71"/>
  <c r="V462" i="71"/>
  <c r="V464" i="71"/>
  <c r="V465" i="71"/>
  <c r="V466" i="71"/>
  <c r="V467" i="71"/>
  <c r="V468" i="71"/>
  <c r="V469" i="71"/>
  <c r="V470" i="71"/>
  <c r="V473" i="71"/>
  <c r="V474" i="71"/>
  <c r="V475" i="71"/>
  <c r="V476" i="71"/>
  <c r="V477" i="71"/>
  <c r="V478" i="71"/>
  <c r="V480" i="71"/>
  <c r="V481" i="71"/>
  <c r="V482" i="71"/>
  <c r="V483" i="71"/>
  <c r="V484" i="71"/>
  <c r="V485" i="71"/>
  <c r="V486" i="71"/>
  <c r="V488" i="71"/>
  <c r="V489" i="71"/>
  <c r="V490" i="71"/>
  <c r="V491" i="71"/>
  <c r="V492" i="71"/>
  <c r="V493" i="71"/>
  <c r="V494" i="71"/>
  <c r="R32" i="71"/>
  <c r="X32" i="71" s="1"/>
  <c r="T32" i="71"/>
  <c r="Y32" i="71"/>
  <c r="AB32" i="71"/>
  <c r="AC32" i="71" s="1"/>
  <c r="W32" i="71" l="1"/>
  <c r="U32" i="71"/>
  <c r="V32" i="71" s="1"/>
  <c r="AB6" i="71"/>
  <c r="AD32" i="71"/>
  <c r="AE32" i="71" s="1"/>
  <c r="O33" i="71"/>
  <c r="S33" i="71" s="1"/>
  <c r="Q33" i="71" l="1"/>
  <c r="R33" i="71" s="1"/>
  <c r="AB33" i="71" l="1"/>
  <c r="AC33" i="71" s="1"/>
  <c r="T33" i="71"/>
  <c r="Y33" i="71"/>
  <c r="U33" i="71"/>
  <c r="W33" i="71"/>
  <c r="X33" i="71"/>
  <c r="V33" i="71" l="1"/>
  <c r="AD33" i="71"/>
  <c r="AE33" i="71" s="1"/>
  <c r="O34" i="71"/>
  <c r="S34" i="71" s="1"/>
  <c r="Q34" i="71" l="1"/>
  <c r="Y34" i="71" l="1"/>
  <c r="R34" i="71"/>
  <c r="T34" i="71"/>
  <c r="AB34" i="71"/>
  <c r="AC34" i="71" s="1"/>
  <c r="U34" i="71" l="1"/>
  <c r="V34" i="71" s="1"/>
  <c r="W34" i="71"/>
  <c r="X34" i="71"/>
  <c r="O35" i="71" l="1"/>
  <c r="S35" i="71" s="1"/>
  <c r="AD34" i="71"/>
  <c r="AE34" i="71" s="1"/>
  <c r="Q35" i="71" l="1"/>
  <c r="R35" i="71" l="1"/>
  <c r="AB35" i="71"/>
  <c r="AC35" i="71" s="1"/>
  <c r="T35" i="71"/>
  <c r="Y35" i="71"/>
  <c r="U35" i="71" l="1"/>
  <c r="V35" i="71" s="1"/>
  <c r="W35" i="71"/>
  <c r="X35" i="71"/>
  <c r="AD35" i="71" l="1"/>
  <c r="AE35" i="71" s="1"/>
  <c r="O36" i="71"/>
  <c r="S36" i="71" s="1"/>
  <c r="Q36" i="71" l="1"/>
  <c r="Y36" i="71" l="1"/>
  <c r="T36" i="71"/>
  <c r="R36" i="71"/>
  <c r="AB36" i="71"/>
  <c r="AC36" i="71" s="1"/>
  <c r="U36" i="71" l="1"/>
  <c r="V36" i="71" s="1"/>
  <c r="W36" i="71"/>
  <c r="X36" i="71"/>
  <c r="O37" i="71" l="1"/>
  <c r="S37" i="71" s="1"/>
  <c r="AD36" i="71"/>
  <c r="AE36" i="71" s="1"/>
  <c r="Q37" i="71" l="1"/>
  <c r="Y37" i="71" l="1"/>
  <c r="R37" i="71"/>
  <c r="AB37" i="71"/>
  <c r="AC37" i="71" s="1"/>
  <c r="T37" i="71"/>
  <c r="U37" i="71" l="1"/>
  <c r="V37" i="71" s="1"/>
  <c r="W37" i="71"/>
  <c r="X37" i="71"/>
  <c r="AD37" i="71" l="1"/>
  <c r="AE37" i="71" s="1"/>
  <c r="O38" i="71"/>
  <c r="S38" i="71" s="1"/>
  <c r="Q38" i="71" l="1"/>
  <c r="T38" i="71" l="1"/>
  <c r="Y38" i="71"/>
  <c r="R38" i="71"/>
  <c r="AB38" i="71"/>
  <c r="AC38" i="71" s="1"/>
  <c r="U38" i="71" l="1"/>
  <c r="V38" i="71" s="1"/>
  <c r="W38" i="71"/>
  <c r="X38" i="71"/>
  <c r="AD38" i="71" l="1"/>
  <c r="AE38" i="71" s="1"/>
  <c r="O39" i="71"/>
  <c r="S39" i="71" s="1"/>
  <c r="Q39" i="71" l="1"/>
  <c r="R39" i="71" l="1"/>
  <c r="AB39" i="71"/>
  <c r="AC39" i="71" s="1"/>
  <c r="T39" i="71"/>
  <c r="Y39" i="71"/>
  <c r="U39" i="71" l="1"/>
  <c r="V39" i="71" s="1"/>
  <c r="W39" i="71"/>
  <c r="X39" i="71"/>
  <c r="O40" i="71" l="1"/>
  <c r="S40" i="71" s="1"/>
  <c r="AD39" i="71"/>
  <c r="AE39" i="71" s="1"/>
  <c r="Q40" i="71" l="1"/>
  <c r="Y40" i="71" l="1"/>
  <c r="R40" i="71"/>
  <c r="AB40" i="71"/>
  <c r="AC40" i="71" s="1"/>
  <c r="T40" i="71"/>
  <c r="U40" i="71" l="1"/>
  <c r="V40" i="71" s="1"/>
  <c r="W40" i="71"/>
  <c r="X40" i="71"/>
  <c r="O41" i="71" l="1"/>
  <c r="S41" i="71" s="1"/>
  <c r="AD40" i="71"/>
  <c r="AE40" i="71" s="1"/>
  <c r="Q41" i="71" l="1"/>
  <c r="T41" i="71" l="1"/>
  <c r="R41" i="71"/>
  <c r="AB41" i="71"/>
  <c r="AC41" i="71" s="1"/>
  <c r="Y41" i="71"/>
  <c r="U41" i="71" l="1"/>
  <c r="V41" i="71" s="1"/>
  <c r="W41" i="71"/>
  <c r="X41" i="71"/>
  <c r="AD41" i="71" l="1"/>
  <c r="AE41" i="71" s="1"/>
  <c r="O42" i="71"/>
  <c r="S42" i="71" s="1"/>
  <c r="Q42" i="71" l="1"/>
  <c r="Y42" i="71" l="1"/>
  <c r="R42" i="71"/>
  <c r="AB42" i="71"/>
  <c r="AC42" i="71" s="1"/>
  <c r="T42" i="71"/>
  <c r="U42" i="71" l="1"/>
  <c r="V42" i="71" s="1"/>
  <c r="W42" i="71"/>
  <c r="X42" i="71"/>
  <c r="O43" i="71" l="1"/>
  <c r="S43" i="71" s="1"/>
  <c r="AD42" i="71"/>
  <c r="AE42" i="71" s="1"/>
  <c r="Q43" i="71" l="1"/>
  <c r="R43" i="71" l="1"/>
  <c r="AB43" i="71"/>
  <c r="AC43" i="71" s="1"/>
  <c r="T43" i="71"/>
  <c r="Y43" i="71"/>
  <c r="U43" i="71" l="1"/>
  <c r="V43" i="71" s="1"/>
  <c r="W43" i="71"/>
  <c r="X43" i="71"/>
  <c r="AD43" i="71" l="1"/>
  <c r="AE43" i="71" s="1"/>
  <c r="O44" i="71"/>
  <c r="S44" i="71" s="1"/>
  <c r="Q44" i="71" l="1"/>
  <c r="Y44" i="71" l="1"/>
  <c r="T44" i="71"/>
  <c r="R44" i="71"/>
  <c r="AB44" i="71"/>
  <c r="AC44" i="71" s="1"/>
  <c r="U44" i="71" l="1"/>
  <c r="V44" i="71" s="1"/>
  <c r="W44" i="71"/>
  <c r="X44" i="71"/>
  <c r="O45" i="71" l="1"/>
  <c r="S45" i="71" s="1"/>
  <c r="AD44" i="71"/>
  <c r="AE44" i="71" s="1"/>
  <c r="Q45" i="71" l="1"/>
  <c r="Y45" i="71" l="1"/>
  <c r="R45" i="71"/>
  <c r="AB45" i="71"/>
  <c r="AC45" i="71" s="1"/>
  <c r="T45" i="71"/>
  <c r="U45" i="71" l="1"/>
  <c r="V45" i="71" s="1"/>
  <c r="W45" i="71"/>
  <c r="X45" i="71"/>
  <c r="AD45" i="71" l="1"/>
  <c r="AE45" i="71" s="1"/>
  <c r="O46" i="71"/>
  <c r="S46" i="71" s="1"/>
  <c r="Q46" i="71" l="1"/>
  <c r="T46" i="71" l="1"/>
  <c r="Y46" i="71"/>
  <c r="R46" i="71"/>
  <c r="AB46" i="71"/>
  <c r="AC46" i="71" s="1"/>
  <c r="U46" i="71" l="1"/>
  <c r="V46" i="71" s="1"/>
  <c r="W46" i="71"/>
  <c r="X46" i="71"/>
  <c r="AD46" i="71" l="1"/>
  <c r="AE46" i="71" s="1"/>
  <c r="O47" i="71"/>
  <c r="S47" i="71" s="1"/>
  <c r="Q47" i="71" l="1"/>
  <c r="R47" i="71" l="1"/>
  <c r="AB47" i="71"/>
  <c r="AC47" i="71" s="1"/>
  <c r="T47" i="71"/>
  <c r="Y47" i="71"/>
  <c r="U47" i="71" l="1"/>
  <c r="V47" i="71" s="1"/>
  <c r="W47" i="71"/>
  <c r="X47" i="71"/>
  <c r="O48" i="71" l="1"/>
  <c r="S48" i="71" s="1"/>
  <c r="AD47" i="71"/>
  <c r="AE47" i="71" s="1"/>
  <c r="Q48" i="71" l="1"/>
  <c r="Y48" i="71" l="1"/>
  <c r="R48" i="71"/>
  <c r="AB48" i="71"/>
  <c r="AC48" i="71" s="1"/>
  <c r="T48" i="71"/>
  <c r="U48" i="71" l="1"/>
  <c r="V48" i="71" s="1"/>
  <c r="W48" i="71"/>
  <c r="X48" i="71"/>
  <c r="AD48" i="71" l="1"/>
  <c r="AE48" i="71" s="1"/>
  <c r="O49" i="71"/>
  <c r="S49" i="71" s="1"/>
  <c r="Q49" i="71" l="1"/>
  <c r="T49" i="71" l="1"/>
  <c r="R49" i="71"/>
  <c r="AB49" i="71"/>
  <c r="AC49" i="71" s="1"/>
  <c r="Y49" i="71"/>
  <c r="U49" i="71" l="1"/>
  <c r="V49" i="71" s="1"/>
  <c r="W49" i="71"/>
  <c r="X49" i="71"/>
  <c r="AD49" i="71" l="1"/>
  <c r="AE49" i="71" s="1"/>
  <c r="O50" i="71"/>
  <c r="S50" i="71" s="1"/>
  <c r="Q50" i="71" l="1"/>
  <c r="Y50" i="71" l="1"/>
  <c r="R50" i="71"/>
  <c r="T50" i="71"/>
  <c r="AB50" i="71"/>
  <c r="AC50" i="71" s="1"/>
  <c r="U50" i="71" l="1"/>
  <c r="V50" i="71" s="1"/>
  <c r="W50" i="71"/>
  <c r="X50" i="71"/>
  <c r="O51" i="71" l="1"/>
  <c r="S51" i="71" s="1"/>
  <c r="AD50" i="71"/>
  <c r="AE50" i="71" s="1"/>
  <c r="Q51" i="71" l="1"/>
  <c r="R51" i="71" l="1"/>
  <c r="AB51" i="71"/>
  <c r="AC51" i="71" s="1"/>
  <c r="T51" i="71"/>
  <c r="Y51" i="71"/>
  <c r="U51" i="71" l="1"/>
  <c r="V51" i="71" s="1"/>
  <c r="W51" i="71"/>
  <c r="X51" i="71"/>
  <c r="AD51" i="71" l="1"/>
  <c r="AE51" i="71" s="1"/>
  <c r="O52" i="71"/>
  <c r="S52" i="71" s="1"/>
  <c r="Q52" i="71" l="1"/>
  <c r="Y52" i="71" l="1"/>
  <c r="T52" i="71"/>
  <c r="R52" i="71"/>
  <c r="AB52" i="71"/>
  <c r="AC52" i="71" s="1"/>
  <c r="U52" i="71" l="1"/>
  <c r="V52" i="71" s="1"/>
  <c r="W52" i="71"/>
  <c r="X52" i="71"/>
  <c r="O53" i="71" l="1"/>
  <c r="S53" i="71" s="1"/>
  <c r="AD52" i="71"/>
  <c r="AE52" i="71" s="1"/>
  <c r="Q53" i="71" l="1"/>
  <c r="Y53" i="71" l="1"/>
  <c r="R53" i="71"/>
  <c r="AB53" i="71"/>
  <c r="AC53" i="71" s="1"/>
  <c r="T53" i="71"/>
  <c r="U53" i="71" l="1"/>
  <c r="V53" i="71" s="1"/>
  <c r="W53" i="71"/>
  <c r="X53" i="71"/>
  <c r="AD53" i="71" l="1"/>
  <c r="AE53" i="71" s="1"/>
  <c r="O54" i="71"/>
  <c r="S54" i="71" s="1"/>
  <c r="Q54" i="71" l="1"/>
  <c r="T54" i="71" l="1"/>
  <c r="Y54" i="71"/>
  <c r="R54" i="71"/>
  <c r="AB54" i="71"/>
  <c r="AC54" i="71" s="1"/>
  <c r="U54" i="71" l="1"/>
  <c r="V54" i="71" s="1"/>
  <c r="W54" i="71"/>
  <c r="X54" i="71"/>
  <c r="AD54" i="71" l="1"/>
  <c r="AE54" i="71" s="1"/>
  <c r="O55" i="71"/>
  <c r="S55" i="71" s="1"/>
  <c r="Q55" i="71" l="1"/>
  <c r="R55" i="71" l="1"/>
  <c r="AB55" i="71"/>
  <c r="AC55" i="71" s="1"/>
  <c r="T55" i="71"/>
  <c r="Y55" i="71"/>
  <c r="U55" i="71" l="1"/>
  <c r="V55" i="71" s="1"/>
  <c r="W55" i="71"/>
  <c r="X55" i="71"/>
  <c r="O56" i="71" l="1"/>
  <c r="S56" i="71" s="1"/>
  <c r="AD55" i="71"/>
  <c r="AE55" i="71" s="1"/>
  <c r="Q56" i="71" l="1"/>
  <c r="Y56" i="71" l="1"/>
  <c r="R56" i="71"/>
  <c r="AB56" i="71"/>
  <c r="AC56" i="71" s="1"/>
  <c r="T56" i="71"/>
  <c r="U56" i="71" l="1"/>
  <c r="V56" i="71" s="1"/>
  <c r="W56" i="71"/>
  <c r="X56" i="71"/>
  <c r="AD56" i="71" l="1"/>
  <c r="AE56" i="71" s="1"/>
  <c r="O57" i="71"/>
  <c r="S57" i="71" s="1"/>
  <c r="Q57" i="71" l="1"/>
  <c r="T57" i="71" l="1"/>
  <c r="R57" i="71"/>
  <c r="AB57" i="71"/>
  <c r="AC57" i="71" s="1"/>
  <c r="Y57" i="71"/>
  <c r="U57" i="71" l="1"/>
  <c r="V57" i="71" s="1"/>
  <c r="W57" i="71"/>
  <c r="X57" i="71"/>
  <c r="AD57" i="71" l="1"/>
  <c r="AE57" i="71" s="1"/>
  <c r="O58" i="71"/>
  <c r="S58" i="71" s="1"/>
  <c r="Q58" i="71" l="1"/>
  <c r="Y58" i="71" l="1"/>
  <c r="T58" i="71"/>
  <c r="AB58" i="71"/>
  <c r="AC58" i="71" s="1"/>
  <c r="R58" i="71"/>
  <c r="U58" i="71" l="1"/>
  <c r="V58" i="71" s="1"/>
  <c r="W58" i="71"/>
  <c r="X58" i="71"/>
  <c r="O59" i="71" l="1"/>
  <c r="S59" i="71" s="1"/>
  <c r="AD58" i="71"/>
  <c r="AE58" i="71" s="1"/>
  <c r="Q59" i="71" l="1"/>
  <c r="R59" i="71" l="1"/>
  <c r="AB59" i="71"/>
  <c r="AC59" i="71" s="1"/>
  <c r="T59" i="71"/>
  <c r="Y59" i="71"/>
  <c r="U59" i="71" l="1"/>
  <c r="V59" i="71" s="1"/>
  <c r="W59" i="71"/>
  <c r="X59" i="71"/>
  <c r="AD59" i="71" l="1"/>
  <c r="AE59" i="71" s="1"/>
  <c r="O60" i="71"/>
  <c r="S60" i="71" s="1"/>
  <c r="Q60" i="71" l="1"/>
  <c r="Y60" i="71" l="1"/>
  <c r="T60" i="71"/>
  <c r="AB60" i="71"/>
  <c r="AC60" i="71" s="1"/>
  <c r="R60" i="71"/>
  <c r="U60" i="71" l="1"/>
  <c r="V60" i="71" s="1"/>
  <c r="W60" i="71"/>
  <c r="X60" i="71"/>
  <c r="O61" i="71" l="1"/>
  <c r="S61" i="71" s="1"/>
  <c r="AD60" i="71"/>
  <c r="AE60" i="71" s="1"/>
  <c r="Q61" i="71" l="1"/>
  <c r="Y61" i="71" l="1"/>
  <c r="R61" i="71"/>
  <c r="AB61" i="71"/>
  <c r="AC61" i="71" s="1"/>
  <c r="T61" i="71"/>
  <c r="U61" i="71" l="1"/>
  <c r="V61" i="71" s="1"/>
  <c r="W61" i="71"/>
  <c r="X61" i="71"/>
  <c r="AD61" i="71" l="1"/>
  <c r="AE61" i="71" s="1"/>
  <c r="O62" i="71"/>
  <c r="S62" i="71" s="1"/>
  <c r="Q62" i="71" l="1"/>
  <c r="T62" i="71" l="1"/>
  <c r="Y62" i="71"/>
  <c r="R62" i="71"/>
  <c r="AB62" i="71"/>
  <c r="AC62" i="71" s="1"/>
  <c r="U62" i="71" l="1"/>
  <c r="V62" i="71" s="1"/>
  <c r="W62" i="71"/>
  <c r="X62" i="71"/>
  <c r="AD62" i="71" l="1"/>
  <c r="AE62" i="71" s="1"/>
  <c r="O63" i="71"/>
  <c r="S63" i="71" s="1"/>
  <c r="Q63" i="71" l="1"/>
  <c r="R63" i="71" l="1"/>
  <c r="AB63" i="71"/>
  <c r="AC63" i="71" s="1"/>
  <c r="T63" i="71"/>
  <c r="Y63" i="71"/>
  <c r="U63" i="71" l="1"/>
  <c r="V63" i="71" s="1"/>
  <c r="W63" i="71"/>
  <c r="X63" i="71"/>
  <c r="O64" i="71" l="1"/>
  <c r="S64" i="71" s="1"/>
  <c r="AD63" i="71"/>
  <c r="AE63" i="71" s="1"/>
  <c r="Q64" i="71" l="1"/>
  <c r="Y64" i="71" l="1"/>
  <c r="R64" i="71"/>
  <c r="AB64" i="71"/>
  <c r="AC64" i="71" s="1"/>
  <c r="T64" i="71"/>
  <c r="U64" i="71" l="1"/>
  <c r="V64" i="71" s="1"/>
  <c r="W64" i="71"/>
  <c r="X64" i="71"/>
  <c r="AD64" i="71" l="1"/>
  <c r="AE64" i="71" s="1"/>
  <c r="O65" i="71"/>
  <c r="S65" i="71" s="1"/>
  <c r="Q65" i="71" l="1"/>
  <c r="T65" i="71" l="1"/>
  <c r="R65" i="71"/>
  <c r="AB65" i="71"/>
  <c r="AC65" i="71" s="1"/>
  <c r="Y65" i="71"/>
  <c r="U65" i="71" l="1"/>
  <c r="V65" i="71" s="1"/>
  <c r="W65" i="71"/>
  <c r="X65" i="71"/>
  <c r="AD65" i="71" l="1"/>
  <c r="AE65" i="71" s="1"/>
  <c r="O66" i="71"/>
  <c r="S66" i="71" s="1"/>
  <c r="Q66" i="71" l="1"/>
  <c r="Y66" i="71" l="1"/>
  <c r="R66" i="71"/>
  <c r="T66" i="71"/>
  <c r="AB66" i="71"/>
  <c r="AC66" i="71" s="1"/>
  <c r="U66" i="71" l="1"/>
  <c r="V66" i="71" s="1"/>
  <c r="W66" i="71"/>
  <c r="X66" i="71"/>
  <c r="O67" i="71" l="1"/>
  <c r="S67" i="71" s="1"/>
  <c r="AD66" i="71"/>
  <c r="AE66" i="71" s="1"/>
  <c r="Q67" i="71" l="1"/>
  <c r="R67" i="71" l="1"/>
  <c r="AB67" i="71"/>
  <c r="AC67" i="71" s="1"/>
  <c r="T67" i="71"/>
  <c r="Y67" i="71"/>
  <c r="U67" i="71" l="1"/>
  <c r="V67" i="71" s="1"/>
  <c r="W67" i="71"/>
  <c r="X67" i="71"/>
  <c r="AD67" i="71" l="1"/>
  <c r="AE67" i="71" s="1"/>
  <c r="O68" i="71"/>
  <c r="S68" i="71" s="1"/>
  <c r="Q68" i="71" l="1"/>
  <c r="Y68" i="71" l="1"/>
  <c r="T68" i="71"/>
  <c r="R68" i="71"/>
  <c r="AB68" i="71"/>
  <c r="AC68" i="71" s="1"/>
  <c r="U68" i="71" l="1"/>
  <c r="V68" i="71" s="1"/>
  <c r="W68" i="71"/>
  <c r="X68" i="71"/>
  <c r="O69" i="71" l="1"/>
  <c r="S69" i="71" s="1"/>
  <c r="AD68" i="71"/>
  <c r="AE68" i="71" s="1"/>
  <c r="Q69" i="71" l="1"/>
  <c r="Y69" i="71" l="1"/>
  <c r="R69" i="71"/>
  <c r="AB69" i="71"/>
  <c r="AC69" i="71" s="1"/>
  <c r="T69" i="71"/>
  <c r="U69" i="71" l="1"/>
  <c r="V69" i="71" s="1"/>
  <c r="W69" i="71"/>
  <c r="X69" i="71"/>
  <c r="AD69" i="71" l="1"/>
  <c r="AE69" i="71" s="1"/>
  <c r="O70" i="71"/>
  <c r="S70" i="71" s="1"/>
  <c r="Q70" i="71" l="1"/>
  <c r="T70" i="71" l="1"/>
  <c r="Y70" i="71"/>
  <c r="R70" i="71"/>
  <c r="AB70" i="71"/>
  <c r="AC70" i="71" s="1"/>
  <c r="U70" i="71" l="1"/>
  <c r="V70" i="71" s="1"/>
  <c r="W70" i="71"/>
  <c r="X70" i="71"/>
  <c r="AD70" i="71" l="1"/>
  <c r="AE70" i="71" s="1"/>
  <c r="O71" i="71"/>
  <c r="S71" i="71" s="1"/>
  <c r="Q71" i="71" l="1"/>
  <c r="R71" i="71" l="1"/>
  <c r="AB71" i="71"/>
  <c r="AC71" i="71" s="1"/>
  <c r="T71" i="71"/>
  <c r="Y71" i="71"/>
  <c r="U71" i="71" l="1"/>
  <c r="V71" i="71" s="1"/>
  <c r="W71" i="71"/>
  <c r="X71" i="71"/>
  <c r="O72" i="71" l="1"/>
  <c r="S72" i="71" s="1"/>
  <c r="AD71" i="71"/>
  <c r="AE71" i="71" s="1"/>
  <c r="Q72" i="71" l="1"/>
  <c r="Y72" i="71" l="1"/>
  <c r="R72" i="71"/>
  <c r="AB72" i="71"/>
  <c r="AC72" i="71" s="1"/>
  <c r="T72" i="71"/>
  <c r="U72" i="71" l="1"/>
  <c r="V72" i="71" s="1"/>
  <c r="W72" i="71"/>
  <c r="X72" i="71"/>
  <c r="O73" i="71" l="1"/>
  <c r="S73" i="71" s="1"/>
  <c r="AD72" i="71"/>
  <c r="AE72" i="71" s="1"/>
  <c r="Q73" i="71" l="1"/>
  <c r="T73" i="71" l="1"/>
  <c r="R73" i="71"/>
  <c r="AB73" i="71"/>
  <c r="AC73" i="71" s="1"/>
  <c r="Y73" i="71"/>
  <c r="U73" i="71" l="1"/>
  <c r="V73" i="71" s="1"/>
  <c r="W73" i="71"/>
  <c r="X73" i="71"/>
  <c r="AD73" i="71" l="1"/>
  <c r="AE73" i="71" s="1"/>
  <c r="O74" i="71"/>
  <c r="S74" i="71" s="1"/>
  <c r="Q74" i="71" l="1"/>
  <c r="Y74" i="71" l="1"/>
  <c r="R74" i="71"/>
  <c r="AB74" i="71"/>
  <c r="AC74" i="71" s="1"/>
  <c r="T74" i="71"/>
  <c r="U74" i="71" l="1"/>
  <c r="V74" i="71" s="1"/>
  <c r="W74" i="71"/>
  <c r="X74" i="71"/>
  <c r="O75" i="71" l="1"/>
  <c r="S75" i="71" s="1"/>
  <c r="AD74" i="71"/>
  <c r="AE74" i="71" s="1"/>
  <c r="Q75" i="71" l="1"/>
  <c r="R75" i="71" l="1"/>
  <c r="AB75" i="71"/>
  <c r="AC75" i="71" s="1"/>
  <c r="T75" i="71"/>
  <c r="Y75" i="71"/>
  <c r="U75" i="71" l="1"/>
  <c r="V75" i="71" s="1"/>
  <c r="W75" i="71"/>
  <c r="X75" i="71"/>
  <c r="AD75" i="71" l="1"/>
  <c r="AE75" i="71" s="1"/>
  <c r="O76" i="71"/>
  <c r="S76" i="71" s="1"/>
  <c r="Q76" i="71" l="1"/>
  <c r="Y76" i="71" l="1"/>
  <c r="T76" i="71"/>
  <c r="R76" i="71"/>
  <c r="AB76" i="71"/>
  <c r="AC76" i="71" s="1"/>
  <c r="U76" i="71" l="1"/>
  <c r="V76" i="71" s="1"/>
  <c r="W76" i="71"/>
  <c r="X76" i="71"/>
  <c r="O77" i="71" l="1"/>
  <c r="S77" i="71" s="1"/>
  <c r="AD76" i="71"/>
  <c r="AE76" i="71" s="1"/>
  <c r="Q77" i="71" l="1"/>
  <c r="Y77" i="71" l="1"/>
  <c r="R77" i="71"/>
  <c r="AB77" i="71"/>
  <c r="AC77" i="71" s="1"/>
  <c r="T77" i="71"/>
  <c r="U77" i="71" l="1"/>
  <c r="V77" i="71" s="1"/>
  <c r="W77" i="71"/>
  <c r="X77" i="71"/>
  <c r="AD77" i="71" l="1"/>
  <c r="AE77" i="71" s="1"/>
  <c r="O78" i="71"/>
  <c r="S78" i="71" s="1"/>
  <c r="Q78" i="71" l="1"/>
  <c r="T78" i="71" l="1"/>
  <c r="Y78" i="71"/>
  <c r="R78" i="71"/>
  <c r="AB78" i="71"/>
  <c r="AC78" i="71" s="1"/>
  <c r="U78" i="71" l="1"/>
  <c r="V78" i="71" s="1"/>
  <c r="W78" i="71"/>
  <c r="X78" i="71"/>
  <c r="AD78" i="71" l="1"/>
  <c r="AE78" i="71" s="1"/>
  <c r="O79" i="71"/>
  <c r="S79" i="71" s="1"/>
  <c r="Q79" i="71" l="1"/>
  <c r="R79" i="71" l="1"/>
  <c r="AB79" i="71"/>
  <c r="AC79" i="71" s="1"/>
  <c r="T79" i="71"/>
  <c r="Y79" i="71"/>
  <c r="U79" i="71" l="1"/>
  <c r="V79" i="71" s="1"/>
  <c r="W79" i="71"/>
  <c r="X79" i="71"/>
  <c r="O80" i="71" l="1"/>
  <c r="S80" i="71" s="1"/>
  <c r="AD79" i="71"/>
  <c r="AE79" i="71" s="1"/>
  <c r="Q80" i="71" l="1"/>
  <c r="Y80" i="71" l="1"/>
  <c r="R80" i="71"/>
  <c r="AB80" i="71"/>
  <c r="AC80" i="71" s="1"/>
  <c r="T80" i="71"/>
  <c r="U80" i="71" l="1"/>
  <c r="V80" i="71" s="1"/>
  <c r="W80" i="71"/>
  <c r="X80" i="71"/>
  <c r="AD80" i="71" l="1"/>
  <c r="AE80" i="71" s="1"/>
  <c r="O81" i="71"/>
  <c r="S81" i="71" s="1"/>
  <c r="Q81" i="71" l="1"/>
  <c r="T81" i="71" l="1"/>
  <c r="R81" i="71"/>
  <c r="AB81" i="71"/>
  <c r="AC81" i="71" s="1"/>
  <c r="Y81" i="71"/>
  <c r="U81" i="71" l="1"/>
  <c r="V81" i="71" s="1"/>
  <c r="W81" i="71"/>
  <c r="X81" i="71"/>
  <c r="AD81" i="71" l="1"/>
  <c r="AE81" i="71" s="1"/>
  <c r="O82" i="71"/>
  <c r="S82" i="71" s="1"/>
  <c r="Q82" i="71" l="1"/>
  <c r="R82" i="71" l="1"/>
  <c r="T82" i="71"/>
  <c r="Y82" i="71"/>
  <c r="AB82" i="71"/>
  <c r="AC82" i="71" s="1"/>
  <c r="U82" i="71" l="1"/>
  <c r="V82" i="71" s="1"/>
  <c r="W82" i="71"/>
  <c r="X82" i="71"/>
  <c r="O83" i="71" l="1"/>
  <c r="S83" i="71" s="1"/>
  <c r="AD82" i="71"/>
  <c r="AE82" i="71" s="1"/>
  <c r="Q83" i="71" l="1"/>
  <c r="R83" i="71" l="1"/>
  <c r="AB83" i="71"/>
  <c r="AC83" i="71" s="1"/>
  <c r="Y83" i="71"/>
  <c r="T83" i="71"/>
  <c r="U83" i="71" l="1"/>
  <c r="V83" i="71" s="1"/>
  <c r="W83" i="71"/>
  <c r="X83" i="71"/>
  <c r="AD83" i="71" l="1"/>
  <c r="AE83" i="71" s="1"/>
  <c r="O84" i="71"/>
  <c r="S84" i="71" s="1"/>
  <c r="Q84" i="71" l="1"/>
  <c r="Y84" i="71" l="1"/>
  <c r="AB84" i="71"/>
  <c r="AC84" i="71" s="1"/>
  <c r="R84" i="71"/>
  <c r="T84" i="71"/>
  <c r="U84" i="71" l="1"/>
  <c r="V84" i="71" s="1"/>
  <c r="W84" i="71"/>
  <c r="X84" i="71"/>
  <c r="AD84" i="71" l="1"/>
  <c r="AE84" i="71" s="1"/>
  <c r="O85" i="71"/>
  <c r="S85" i="71" s="1"/>
  <c r="Q85" i="71" l="1"/>
  <c r="T85" i="71" l="1"/>
  <c r="AB85" i="71"/>
  <c r="AC85" i="71" s="1"/>
  <c r="Y85" i="71"/>
  <c r="R85" i="71"/>
  <c r="U85" i="71" l="1"/>
  <c r="V85" i="71" s="1"/>
  <c r="W85" i="71"/>
  <c r="X85" i="71"/>
  <c r="AD85" i="71" l="1"/>
  <c r="AE85" i="71" s="1"/>
  <c r="O86" i="71"/>
  <c r="S86" i="71" s="1"/>
  <c r="Q86" i="71" l="1"/>
  <c r="Y86" i="71" l="1"/>
  <c r="R86" i="71"/>
  <c r="T86" i="71"/>
  <c r="AB86" i="71"/>
  <c r="AC86" i="71" s="1"/>
  <c r="U86" i="71" l="1"/>
  <c r="V86" i="71" s="1"/>
  <c r="W86" i="71"/>
  <c r="X86" i="71"/>
  <c r="O87" i="71" l="1"/>
  <c r="S87" i="71" s="1"/>
  <c r="AD86" i="71"/>
  <c r="AE86" i="71" s="1"/>
  <c r="Q87" i="71" l="1"/>
  <c r="Y87" i="71" l="1"/>
  <c r="R87" i="71"/>
  <c r="AB87" i="71"/>
  <c r="AC87" i="71" s="1"/>
  <c r="T87" i="71"/>
  <c r="U87" i="71" l="1"/>
  <c r="V87" i="71" s="1"/>
  <c r="W87" i="71"/>
  <c r="X87" i="71"/>
  <c r="AD87" i="71" l="1"/>
  <c r="AE87" i="71" s="1"/>
  <c r="O88" i="71"/>
  <c r="S88" i="71" s="1"/>
  <c r="Q88" i="71" l="1"/>
  <c r="T88" i="71" l="1"/>
  <c r="Y88" i="71"/>
  <c r="R88" i="71"/>
  <c r="AB88" i="71"/>
  <c r="AC88" i="71" s="1"/>
  <c r="U88" i="71" l="1"/>
  <c r="V88" i="71" s="1"/>
  <c r="W88" i="71"/>
  <c r="X88" i="71"/>
  <c r="AD88" i="71" l="1"/>
  <c r="AE88" i="71" s="1"/>
  <c r="O89" i="71"/>
  <c r="S89" i="71" s="1"/>
  <c r="Q89" i="71" l="1"/>
  <c r="Y89" i="71" l="1"/>
  <c r="R89" i="71"/>
  <c r="AB89" i="71"/>
  <c r="AC89" i="71" s="1"/>
  <c r="T89" i="71"/>
  <c r="U89" i="71" l="1"/>
  <c r="V89" i="71" s="1"/>
  <c r="W89" i="71"/>
  <c r="X89" i="71"/>
  <c r="AD89" i="71" l="1"/>
  <c r="AE89" i="71" s="1"/>
  <c r="O90" i="71"/>
  <c r="S90" i="71" s="1"/>
  <c r="Q90" i="71" l="1"/>
  <c r="R90" i="71" l="1"/>
  <c r="AB90" i="71"/>
  <c r="AC90" i="71" s="1"/>
  <c r="T90" i="71"/>
  <c r="Y90" i="71"/>
  <c r="U90" i="71" l="1"/>
  <c r="V90" i="71" s="1"/>
  <c r="W90" i="71"/>
  <c r="X90" i="71"/>
  <c r="AD90" i="71" l="1"/>
  <c r="AE90" i="71" s="1"/>
  <c r="O91" i="71"/>
  <c r="S91" i="71" s="1"/>
  <c r="Q91" i="71" l="1"/>
  <c r="R91" i="71" l="1"/>
  <c r="AB91" i="71"/>
  <c r="AC91" i="71" s="1"/>
  <c r="AB7" i="71" s="1"/>
  <c r="T91" i="71"/>
  <c r="Y91" i="71"/>
  <c r="U91" i="71" l="1"/>
  <c r="V91" i="71" s="1"/>
  <c r="W91" i="71"/>
  <c r="X91" i="71"/>
  <c r="V11" i="71" l="1"/>
  <c r="AB4" i="71" s="1"/>
  <c r="AB5" i="71"/>
  <c r="O92" i="71"/>
  <c r="S92" i="71" s="1"/>
  <c r="AD91" i="71"/>
  <c r="AB8" i="71" s="1"/>
  <c r="Q92" i="71" l="1"/>
  <c r="AE91" i="71"/>
  <c r="AB9" i="71" s="1"/>
  <c r="Y92" i="71" l="1"/>
  <c r="R92" i="71"/>
  <c r="AB92" i="71"/>
  <c r="AC92" i="71" s="1"/>
  <c r="T92" i="71"/>
  <c r="U92" i="71" l="1"/>
  <c r="V92" i="71" s="1"/>
  <c r="W92" i="71"/>
  <c r="X92" i="71"/>
  <c r="AD92" i="71" l="1"/>
  <c r="AE92" i="71" s="1"/>
  <c r="O93" i="71"/>
  <c r="S93" i="71" s="1"/>
  <c r="Q93" i="71" l="1"/>
  <c r="T93" i="71" l="1"/>
  <c r="R93" i="71"/>
  <c r="AB93" i="71"/>
  <c r="AC93" i="71" s="1"/>
  <c r="Y93" i="71"/>
  <c r="U93" i="71" l="1"/>
  <c r="V93" i="71" s="1"/>
  <c r="W93" i="71"/>
  <c r="X93" i="71"/>
  <c r="AD93" i="71" l="1"/>
  <c r="AE93" i="71" s="1"/>
  <c r="O94" i="71"/>
  <c r="S94" i="71" s="1"/>
  <c r="Q94" i="71" l="1"/>
  <c r="Y94" i="71" l="1"/>
  <c r="R94" i="71"/>
  <c r="T94" i="71"/>
  <c r="AB94" i="71"/>
  <c r="AC94" i="71" s="1"/>
  <c r="U94" i="71" l="1"/>
  <c r="V94" i="71" s="1"/>
  <c r="W94" i="71"/>
  <c r="X94" i="71"/>
  <c r="O95" i="71" l="1"/>
  <c r="S95" i="71" s="1"/>
  <c r="AD94" i="71"/>
  <c r="AE94" i="71" s="1"/>
  <c r="Q95" i="71" l="1"/>
  <c r="Y95" i="71" l="1"/>
  <c r="R95" i="71"/>
  <c r="AB95" i="71"/>
  <c r="AC95" i="71" s="1"/>
  <c r="T95" i="71"/>
  <c r="U95" i="71" l="1"/>
  <c r="V95" i="71" s="1"/>
  <c r="W95" i="71"/>
  <c r="X95" i="71"/>
  <c r="AD95" i="71" l="1"/>
  <c r="AE95" i="71" s="1"/>
  <c r="O96" i="71"/>
  <c r="S96" i="71" s="1"/>
  <c r="Q96" i="71" l="1"/>
  <c r="T96" i="71" l="1"/>
  <c r="AB96" i="71"/>
  <c r="AC96" i="71" s="1"/>
  <c r="R96" i="71"/>
  <c r="Y96" i="71"/>
  <c r="U96" i="71" l="1"/>
  <c r="V96" i="71" s="1"/>
  <c r="W96" i="71"/>
  <c r="X96" i="71"/>
  <c r="AD96" i="71" l="1"/>
  <c r="AE96" i="71" s="1"/>
  <c r="O97" i="71"/>
  <c r="S97" i="71" s="1"/>
  <c r="Q97" i="71" l="1"/>
  <c r="Y97" i="71" l="1"/>
  <c r="R97" i="71"/>
  <c r="AB97" i="71"/>
  <c r="AC97" i="71" s="1"/>
  <c r="T97" i="71"/>
  <c r="U97" i="71" l="1"/>
  <c r="V97" i="71" s="1"/>
  <c r="W97" i="71"/>
  <c r="X97" i="71"/>
  <c r="AD97" i="71" l="1"/>
  <c r="AE97" i="71" s="1"/>
  <c r="O98" i="71"/>
  <c r="S98" i="71" s="1"/>
  <c r="Q98" i="71" l="1"/>
  <c r="R98" i="71" l="1"/>
  <c r="AB98" i="71"/>
  <c r="AC98" i="71" s="1"/>
  <c r="T98" i="71"/>
  <c r="Y98" i="71"/>
  <c r="U98" i="71" l="1"/>
  <c r="V98" i="71" s="1"/>
  <c r="W98" i="71"/>
  <c r="X98" i="71"/>
  <c r="AD98" i="71" l="1"/>
  <c r="AE98" i="71" s="1"/>
  <c r="O99" i="71"/>
  <c r="S99" i="71" s="1"/>
  <c r="Q99" i="71" l="1"/>
  <c r="Y99" i="71" l="1"/>
  <c r="AB99" i="71"/>
  <c r="AC99" i="71" s="1"/>
  <c r="R99" i="71"/>
  <c r="T99" i="71"/>
  <c r="U99" i="71" l="1"/>
  <c r="V99" i="71" s="1"/>
  <c r="W99" i="71"/>
  <c r="X99" i="71"/>
  <c r="O100" i="71" l="1"/>
  <c r="S100" i="71" s="1"/>
  <c r="AD99" i="71"/>
  <c r="AE99" i="71" s="1"/>
  <c r="Q100" i="71" l="1"/>
  <c r="Y100" i="71" l="1"/>
  <c r="R100" i="71"/>
  <c r="AB100" i="71"/>
  <c r="AC100" i="71" s="1"/>
  <c r="T100" i="71"/>
  <c r="U100" i="71" l="1"/>
  <c r="V100" i="71" s="1"/>
  <c r="W100" i="71"/>
  <c r="X100" i="71"/>
  <c r="AD100" i="71" l="1"/>
  <c r="AE100" i="71" s="1"/>
  <c r="O101" i="71"/>
  <c r="S101" i="71" s="1"/>
  <c r="Q101" i="71" l="1"/>
  <c r="T101" i="71" l="1"/>
  <c r="Y101" i="71"/>
  <c r="R101" i="71"/>
  <c r="AB101" i="71"/>
  <c r="AC101" i="71" s="1"/>
  <c r="U101" i="71" l="1"/>
  <c r="V101" i="71" s="1"/>
  <c r="W101" i="71"/>
  <c r="X101" i="71"/>
  <c r="AD101" i="71" l="1"/>
  <c r="AE101" i="71" s="1"/>
  <c r="O102" i="71"/>
  <c r="S102" i="71" s="1"/>
  <c r="Q102" i="71" l="1"/>
  <c r="Y102" i="71" l="1"/>
  <c r="R102" i="71"/>
  <c r="T102" i="71"/>
  <c r="AB102" i="71"/>
  <c r="AC102" i="71" s="1"/>
  <c r="U102" i="71" l="1"/>
  <c r="V102" i="71" s="1"/>
  <c r="W102" i="71"/>
  <c r="X102" i="71"/>
  <c r="O103" i="71" l="1"/>
  <c r="S103" i="71" s="1"/>
  <c r="AD102" i="71"/>
  <c r="AE102" i="71" s="1"/>
  <c r="Q103" i="71" l="1"/>
  <c r="Y103" i="71" l="1"/>
  <c r="R103" i="71"/>
  <c r="AB103" i="71"/>
  <c r="AC103" i="71" s="1"/>
  <c r="T103" i="71"/>
  <c r="U103" i="71" l="1"/>
  <c r="V103" i="71" s="1"/>
  <c r="W103" i="71"/>
  <c r="X103" i="71"/>
  <c r="AD103" i="71" l="1"/>
  <c r="AE103" i="71" s="1"/>
  <c r="O104" i="71"/>
  <c r="S104" i="71" s="1"/>
  <c r="Q104" i="71" l="1"/>
  <c r="T104" i="71" l="1"/>
  <c r="R104" i="71"/>
  <c r="Y104" i="71"/>
  <c r="AB104" i="71"/>
  <c r="AC104" i="71" s="1"/>
  <c r="U104" i="71" l="1"/>
  <c r="V104" i="71" s="1"/>
  <c r="W104" i="71"/>
  <c r="X104" i="71"/>
  <c r="AD104" i="71" l="1"/>
  <c r="AE104" i="71" s="1"/>
  <c r="O105" i="71"/>
  <c r="S105" i="71" s="1"/>
  <c r="Q105" i="71" l="1"/>
  <c r="Y105" i="71" l="1"/>
  <c r="R105" i="71"/>
  <c r="AB105" i="71"/>
  <c r="AC105" i="71" s="1"/>
  <c r="T105" i="71"/>
  <c r="U105" i="71" l="1"/>
  <c r="V105" i="71" s="1"/>
  <c r="W105" i="71"/>
  <c r="X105" i="71"/>
  <c r="AD105" i="71" l="1"/>
  <c r="AE105" i="71" s="1"/>
  <c r="O106" i="71"/>
  <c r="S106" i="71" s="1"/>
  <c r="Q106" i="71" l="1"/>
  <c r="R106" i="71" l="1"/>
  <c r="AB106" i="71"/>
  <c r="AC106" i="71" s="1"/>
  <c r="T106" i="71"/>
  <c r="Y106" i="71"/>
  <c r="U106" i="71" l="1"/>
  <c r="V106" i="71" s="1"/>
  <c r="W106" i="71"/>
  <c r="X106" i="71"/>
  <c r="AD106" i="71" l="1"/>
  <c r="AE106" i="71" s="1"/>
  <c r="O107" i="71"/>
  <c r="S107" i="71" s="1"/>
  <c r="Q107" i="71" l="1"/>
  <c r="AB107" i="71" l="1"/>
  <c r="AC107" i="71" s="1"/>
  <c r="R107" i="71"/>
  <c r="Y107" i="71"/>
  <c r="T107" i="71"/>
  <c r="U107" i="71" l="1"/>
  <c r="V107" i="71" s="1"/>
  <c r="W107" i="71"/>
  <c r="X107" i="71"/>
  <c r="O108" i="71" l="1"/>
  <c r="S108" i="71" s="1"/>
  <c r="AD107" i="71"/>
  <c r="AE107" i="71" s="1"/>
  <c r="Q108" i="71" l="1"/>
  <c r="Y108" i="71" l="1"/>
  <c r="R108" i="71"/>
  <c r="AB108" i="71"/>
  <c r="AC108" i="71" s="1"/>
  <c r="T108" i="71"/>
  <c r="U108" i="71" l="1"/>
  <c r="V108" i="71" s="1"/>
  <c r="W108" i="71"/>
  <c r="X108" i="71"/>
  <c r="O109" i="71" l="1"/>
  <c r="S109" i="71" s="1"/>
  <c r="AD108" i="71"/>
  <c r="AE108" i="71" s="1"/>
  <c r="Q109" i="71" l="1"/>
  <c r="T109" i="71" l="1"/>
  <c r="Y109" i="71"/>
  <c r="R109" i="71"/>
  <c r="AB109" i="71"/>
  <c r="AC109" i="71" s="1"/>
  <c r="U109" i="71" l="1"/>
  <c r="V109" i="71" s="1"/>
  <c r="W109" i="71"/>
  <c r="X109" i="71"/>
  <c r="AD109" i="71" l="1"/>
  <c r="AE109" i="71" s="1"/>
  <c r="O110" i="71"/>
  <c r="S110" i="71" s="1"/>
  <c r="Q110" i="71" l="1"/>
  <c r="AB110" i="71" l="1"/>
  <c r="AC110" i="71" s="1"/>
  <c r="R110" i="71"/>
  <c r="T110" i="71"/>
  <c r="Y110" i="71"/>
  <c r="U110" i="71" l="1"/>
  <c r="V110" i="71" s="1"/>
  <c r="W110" i="71"/>
  <c r="X110" i="71"/>
  <c r="O111" i="71" l="1"/>
  <c r="S111" i="71" s="1"/>
  <c r="AD110" i="71"/>
  <c r="AE110" i="71" s="1"/>
  <c r="Q111" i="71" l="1"/>
  <c r="Y111" i="71" l="1"/>
  <c r="R111" i="71"/>
  <c r="AB111" i="71"/>
  <c r="AC111" i="71" s="1"/>
  <c r="T111" i="71"/>
  <c r="U111" i="71" l="1"/>
  <c r="V111" i="71" s="1"/>
  <c r="W111" i="71"/>
  <c r="X111" i="71"/>
  <c r="O112" i="71" l="1"/>
  <c r="S112" i="71" s="1"/>
  <c r="AD111" i="71"/>
  <c r="AE111" i="71" s="1"/>
  <c r="Q112" i="71" l="1"/>
  <c r="T112" i="71" l="1"/>
  <c r="Y112" i="71"/>
  <c r="R112" i="71"/>
  <c r="AB112" i="71"/>
  <c r="AC112" i="71" s="1"/>
  <c r="U112" i="71" l="1"/>
  <c r="V112" i="71" s="1"/>
  <c r="W112" i="71"/>
  <c r="X112" i="71"/>
  <c r="AD112" i="71" l="1"/>
  <c r="AE112" i="71" s="1"/>
  <c r="O113" i="71"/>
  <c r="S113" i="71" s="1"/>
  <c r="Q113" i="71" l="1"/>
  <c r="Y113" i="71" l="1"/>
  <c r="AB113" i="71"/>
  <c r="AC113" i="71" s="1"/>
  <c r="R113" i="71"/>
  <c r="T113" i="71"/>
  <c r="U113" i="71" l="1"/>
  <c r="V113" i="71" s="1"/>
  <c r="W113" i="71"/>
  <c r="X113" i="71"/>
  <c r="AD113" i="71" l="1"/>
  <c r="AE113" i="71" s="1"/>
  <c r="O114" i="71"/>
  <c r="S114" i="71" s="1"/>
  <c r="Q114" i="71" l="1"/>
  <c r="R114" i="71" l="1"/>
  <c r="AB114" i="71"/>
  <c r="AC114" i="71" s="1"/>
  <c r="T114" i="71"/>
  <c r="Y114" i="71"/>
  <c r="U114" i="71" l="1"/>
  <c r="V114" i="71" s="1"/>
  <c r="W114" i="71"/>
  <c r="X114" i="71"/>
  <c r="AD114" i="71" l="1"/>
  <c r="AE114" i="71" s="1"/>
  <c r="O115" i="71"/>
  <c r="S115" i="71" s="1"/>
  <c r="Q115" i="71" l="1"/>
  <c r="AB115" i="71" l="1"/>
  <c r="AC115" i="71" s="1"/>
  <c r="R115" i="71"/>
  <c r="T115" i="71"/>
  <c r="Y115" i="71"/>
  <c r="U115" i="71" l="1"/>
  <c r="V115" i="71" s="1"/>
  <c r="W115" i="71"/>
  <c r="X115" i="71"/>
  <c r="O116" i="71" l="1"/>
  <c r="S116" i="71" s="1"/>
  <c r="AD115" i="71"/>
  <c r="AE115" i="71" s="1"/>
  <c r="Q116" i="71" l="1"/>
  <c r="Y116" i="71" l="1"/>
  <c r="R116" i="71"/>
  <c r="AB116" i="71"/>
  <c r="AC116" i="71" s="1"/>
  <c r="T116" i="71"/>
  <c r="U116" i="71" l="1"/>
  <c r="V116" i="71" s="1"/>
  <c r="W116" i="71"/>
  <c r="X116" i="71"/>
  <c r="O117" i="71" l="1"/>
  <c r="S117" i="71" s="1"/>
  <c r="AD116" i="71"/>
  <c r="AE116" i="71" s="1"/>
  <c r="Q117" i="71" l="1"/>
  <c r="T117" i="71" l="1"/>
  <c r="R117" i="71"/>
  <c r="AB117" i="71"/>
  <c r="AC117" i="71" s="1"/>
  <c r="Y117" i="71"/>
  <c r="U117" i="71" l="1"/>
  <c r="V117" i="71" s="1"/>
  <c r="W117" i="71"/>
  <c r="X117" i="71"/>
  <c r="AD117" i="71" l="1"/>
  <c r="AE117" i="71" s="1"/>
  <c r="O118" i="71"/>
  <c r="S118" i="71" s="1"/>
  <c r="Q118" i="71" l="1"/>
  <c r="T118" i="71" l="1"/>
  <c r="Y118" i="71"/>
  <c r="AB118" i="71"/>
  <c r="AC118" i="71" s="1"/>
  <c r="R118" i="71"/>
  <c r="U118" i="71" l="1"/>
  <c r="V118" i="71" s="1"/>
  <c r="W118" i="71"/>
  <c r="X118" i="71"/>
  <c r="O119" i="71" l="1"/>
  <c r="S119" i="71" s="1"/>
  <c r="AD118" i="71"/>
  <c r="AE118" i="71" s="1"/>
  <c r="Q119" i="71" l="1"/>
  <c r="R119" i="71" l="1"/>
  <c r="AB119" i="71"/>
  <c r="AC119" i="71" s="1"/>
  <c r="T119" i="71"/>
  <c r="Y119" i="71"/>
  <c r="U119" i="71" l="1"/>
  <c r="V119" i="71" s="1"/>
  <c r="W119" i="71"/>
  <c r="X119" i="71"/>
  <c r="AD119" i="71" l="1"/>
  <c r="AE119" i="71" s="1"/>
  <c r="O120" i="71"/>
  <c r="S120" i="71" s="1"/>
  <c r="Q120" i="71" l="1"/>
  <c r="Y120" i="71" l="1"/>
  <c r="AB120" i="71"/>
  <c r="AC120" i="71" s="1"/>
  <c r="T120" i="71"/>
  <c r="R120" i="71"/>
  <c r="U120" i="71" l="1"/>
  <c r="V120" i="71" s="1"/>
  <c r="W120" i="71"/>
  <c r="X120" i="71"/>
  <c r="AD120" i="71" l="1"/>
  <c r="AE120" i="71" s="1"/>
  <c r="O121" i="71"/>
  <c r="S121" i="71" s="1"/>
  <c r="Q121" i="71" l="1"/>
  <c r="R121" i="71" l="1"/>
  <c r="T121" i="71"/>
  <c r="Y121" i="71"/>
  <c r="AB121" i="71"/>
  <c r="AC121" i="71" s="1"/>
  <c r="U121" i="71" l="1"/>
  <c r="V121" i="71" s="1"/>
  <c r="W121" i="71"/>
  <c r="X121" i="71"/>
  <c r="O122" i="71" l="1"/>
  <c r="S122" i="71" s="1"/>
  <c r="AD121" i="71"/>
  <c r="AE121" i="71" s="1"/>
  <c r="Q122" i="71" l="1"/>
  <c r="Y122" i="71" l="1"/>
  <c r="AB122" i="71"/>
  <c r="AC122" i="71" s="1"/>
  <c r="R122" i="71"/>
  <c r="T122" i="71"/>
  <c r="U122" i="71" l="1"/>
  <c r="V122" i="71" s="1"/>
  <c r="W122" i="71"/>
  <c r="X122" i="71"/>
  <c r="O123" i="71" l="1"/>
  <c r="S123" i="71" s="1"/>
  <c r="AD122" i="71"/>
  <c r="AE122" i="71" s="1"/>
  <c r="Q123" i="71" l="1"/>
  <c r="R123" i="71" l="1"/>
  <c r="AB123" i="71"/>
  <c r="AC123" i="71" s="1"/>
  <c r="T123" i="71"/>
  <c r="Y123" i="71"/>
  <c r="U123" i="71" l="1"/>
  <c r="V123" i="71" s="1"/>
  <c r="W123" i="71"/>
  <c r="X123" i="71"/>
  <c r="AD123" i="71" l="1"/>
  <c r="AE123" i="71" s="1"/>
  <c r="O124" i="71"/>
  <c r="S124" i="71" s="1"/>
  <c r="Q124" i="71" l="1"/>
  <c r="Y124" i="71" l="1"/>
  <c r="T124" i="71"/>
  <c r="AB124" i="71"/>
  <c r="AC124" i="71" s="1"/>
  <c r="R124" i="71"/>
  <c r="U124" i="71" l="1"/>
  <c r="V124" i="71" s="1"/>
  <c r="W124" i="71"/>
  <c r="X124" i="71"/>
  <c r="AD124" i="71" l="1"/>
  <c r="AE124" i="71" s="1"/>
  <c r="O125" i="71"/>
  <c r="S125" i="71" s="1"/>
  <c r="Q125" i="71" l="1"/>
  <c r="R125" i="71" l="1"/>
  <c r="AB125" i="71"/>
  <c r="AC125" i="71" s="1"/>
  <c r="T125" i="71"/>
  <c r="Y125" i="71"/>
  <c r="U125" i="71" l="1"/>
  <c r="V125" i="71" s="1"/>
  <c r="W125" i="71"/>
  <c r="X125" i="71"/>
  <c r="AD125" i="71" l="1"/>
  <c r="AE125" i="71" s="1"/>
  <c r="O126" i="71"/>
  <c r="S126" i="71" s="1"/>
  <c r="Q126" i="71" l="1"/>
  <c r="Y126" i="71" l="1"/>
  <c r="AB126" i="71"/>
  <c r="AC126" i="71" s="1"/>
  <c r="R126" i="71"/>
  <c r="T126" i="71"/>
  <c r="U126" i="71" l="1"/>
  <c r="V126" i="71" s="1"/>
  <c r="W126" i="71"/>
  <c r="X126" i="71"/>
  <c r="AD126" i="71" l="1"/>
  <c r="AE126" i="71" s="1"/>
  <c r="O127" i="71"/>
  <c r="S127" i="71" s="1"/>
  <c r="Q127" i="71" l="1"/>
  <c r="R127" i="71" l="1"/>
  <c r="AB127" i="71"/>
  <c r="AC127" i="71" s="1"/>
  <c r="Y127" i="71"/>
  <c r="T127" i="71"/>
  <c r="U127" i="71" l="1"/>
  <c r="V127" i="71" s="1"/>
  <c r="W127" i="71"/>
  <c r="X127" i="71"/>
  <c r="O128" i="71" l="1"/>
  <c r="S128" i="71" s="1"/>
  <c r="AD127" i="71"/>
  <c r="AE127" i="71" s="1"/>
  <c r="Q128" i="71" l="1"/>
  <c r="Y128" i="71" l="1"/>
  <c r="AB128" i="71"/>
  <c r="AC128" i="71" s="1"/>
  <c r="R128" i="71"/>
  <c r="T128" i="71"/>
  <c r="U128" i="71" l="1"/>
  <c r="V128" i="71" s="1"/>
  <c r="W128" i="71"/>
  <c r="X128" i="71"/>
  <c r="AD128" i="71" l="1"/>
  <c r="AE128" i="71" s="1"/>
  <c r="O129" i="71"/>
  <c r="S129" i="71" s="1"/>
  <c r="Q129" i="71" l="1"/>
  <c r="T129" i="71" l="1"/>
  <c r="Y129" i="71"/>
  <c r="AB129" i="71"/>
  <c r="AC129" i="71" s="1"/>
  <c r="R129" i="71"/>
  <c r="U129" i="71" l="1"/>
  <c r="V129" i="71" s="1"/>
  <c r="W129" i="71"/>
  <c r="X129" i="71"/>
  <c r="AD129" i="71" l="1"/>
  <c r="AE129" i="71" s="1"/>
  <c r="O130" i="71"/>
  <c r="S130" i="71" s="1"/>
  <c r="Q130" i="71" l="1"/>
  <c r="Y130" i="71" l="1"/>
  <c r="AB130" i="71"/>
  <c r="AC130" i="71" s="1"/>
  <c r="R130" i="71"/>
  <c r="T130" i="71"/>
  <c r="U130" i="71" l="1"/>
  <c r="V130" i="71" s="1"/>
  <c r="W130" i="71"/>
  <c r="X130" i="71"/>
  <c r="AD130" i="71" l="1"/>
  <c r="AE130" i="71" s="1"/>
  <c r="O131" i="71"/>
  <c r="S131" i="71" s="1"/>
  <c r="Q131" i="71" l="1"/>
  <c r="R131" i="71" l="1"/>
  <c r="AB131" i="71"/>
  <c r="AC131" i="71" s="1"/>
  <c r="T131" i="71"/>
  <c r="Y131" i="71"/>
  <c r="U131" i="71" l="1"/>
  <c r="V131" i="71" s="1"/>
  <c r="W131" i="71"/>
  <c r="X131" i="71"/>
  <c r="AD131" i="71" l="1"/>
  <c r="AE131" i="71" s="1"/>
  <c r="O132" i="71"/>
  <c r="S132" i="71" s="1"/>
  <c r="Q132" i="71" l="1"/>
  <c r="Y132" i="71" l="1"/>
  <c r="AB132" i="71"/>
  <c r="AC132" i="71" s="1"/>
  <c r="R132" i="71"/>
  <c r="T132" i="71"/>
  <c r="U132" i="71" l="1"/>
  <c r="V132" i="71" s="1"/>
  <c r="W132" i="71"/>
  <c r="X132" i="71"/>
  <c r="O133" i="71" l="1"/>
  <c r="S133" i="71" s="1"/>
  <c r="AD132" i="71"/>
  <c r="AE132" i="71" s="1"/>
  <c r="Q133" i="71" l="1"/>
  <c r="R133" i="71" l="1"/>
  <c r="AB133" i="71"/>
  <c r="AC133" i="71" s="1"/>
  <c r="T133" i="71"/>
  <c r="Y133" i="71"/>
  <c r="U133" i="71" l="1"/>
  <c r="V133" i="71" s="1"/>
  <c r="W133" i="71"/>
  <c r="X133" i="71"/>
  <c r="AD133" i="71" l="1"/>
  <c r="AE133" i="71" s="1"/>
  <c r="O134" i="71"/>
  <c r="S134" i="71" s="1"/>
  <c r="Q134" i="71" l="1"/>
  <c r="Y134" i="71" l="1"/>
  <c r="AB134" i="71"/>
  <c r="AC134" i="71" s="1"/>
  <c r="R134" i="71"/>
  <c r="T134" i="71"/>
  <c r="U134" i="71" l="1"/>
  <c r="V134" i="71" s="1"/>
  <c r="W134" i="71"/>
  <c r="X134" i="71"/>
  <c r="O135" i="71" l="1"/>
  <c r="S135" i="71" s="1"/>
  <c r="AD134" i="71"/>
  <c r="AE134" i="71" s="1"/>
  <c r="Q135" i="71" l="1"/>
  <c r="R135" i="71" l="1"/>
  <c r="AB135" i="71"/>
  <c r="AC135" i="71" s="1"/>
  <c r="Y135" i="71"/>
  <c r="T135" i="71"/>
  <c r="U135" i="71" l="1"/>
  <c r="V135" i="71" s="1"/>
  <c r="W135" i="71"/>
  <c r="X135" i="71"/>
  <c r="O136" i="71" l="1"/>
  <c r="S136" i="71" s="1"/>
  <c r="AD135" i="71"/>
  <c r="AE135" i="71" s="1"/>
  <c r="Q136" i="71" l="1"/>
  <c r="Y136" i="71" l="1"/>
  <c r="AB136" i="71"/>
  <c r="AC136" i="71" s="1"/>
  <c r="T136" i="71"/>
  <c r="R136" i="71"/>
  <c r="U136" i="71" l="1"/>
  <c r="V136" i="71" s="1"/>
  <c r="W136" i="71"/>
  <c r="X136" i="71"/>
  <c r="O137" i="71" l="1"/>
  <c r="S137" i="71" s="1"/>
  <c r="AD136" i="71"/>
  <c r="AE136" i="71" s="1"/>
  <c r="Q137" i="71" l="1"/>
  <c r="T137" i="71" l="1"/>
  <c r="R137" i="71"/>
  <c r="Y137" i="71"/>
  <c r="AB137" i="71"/>
  <c r="AC137" i="71" s="1"/>
  <c r="U137" i="71" l="1"/>
  <c r="V137" i="71" s="1"/>
  <c r="W137" i="71"/>
  <c r="X137" i="71"/>
  <c r="AD137" i="71" l="1"/>
  <c r="AE137" i="71" s="1"/>
  <c r="O138" i="71"/>
  <c r="S138" i="71" s="1"/>
  <c r="Q138" i="71" l="1"/>
  <c r="Y138" i="71" l="1"/>
  <c r="T138" i="71"/>
  <c r="AB138" i="71"/>
  <c r="AC138" i="71" s="1"/>
  <c r="R138" i="71"/>
  <c r="U138" i="71" l="1"/>
  <c r="V138" i="71" s="1"/>
  <c r="W138" i="71"/>
  <c r="X138" i="71"/>
  <c r="O139" i="71" l="1"/>
  <c r="S139" i="71" s="1"/>
  <c r="AD138" i="71"/>
  <c r="AE138" i="71" s="1"/>
  <c r="Q139" i="71" l="1"/>
  <c r="R139" i="71" l="1"/>
  <c r="AB139" i="71"/>
  <c r="AC139" i="71" s="1"/>
  <c r="T139" i="71"/>
  <c r="Y139" i="71"/>
  <c r="U139" i="71" l="1"/>
  <c r="V139" i="71" s="1"/>
  <c r="W139" i="71"/>
  <c r="X139" i="71"/>
  <c r="AD139" i="71" l="1"/>
  <c r="AE139" i="71" s="1"/>
  <c r="O140" i="71"/>
  <c r="S140" i="71" s="1"/>
  <c r="Q140" i="71" l="1"/>
  <c r="AB140" i="71" l="1"/>
  <c r="AC140" i="71" s="1"/>
  <c r="T140" i="71"/>
  <c r="Y140" i="71"/>
  <c r="R140" i="71"/>
  <c r="U140" i="71" l="1"/>
  <c r="V140" i="71" s="1"/>
  <c r="W140" i="71"/>
  <c r="X140" i="71"/>
  <c r="AD140" i="71" l="1"/>
  <c r="AE140" i="71" s="1"/>
  <c r="O141" i="71"/>
  <c r="S141" i="71" s="1"/>
  <c r="Q141" i="71" l="1"/>
  <c r="R141" i="71" l="1"/>
  <c r="AB141" i="71"/>
  <c r="AC141" i="71" s="1"/>
  <c r="Y141" i="71"/>
  <c r="T141" i="71"/>
  <c r="U141" i="71" l="1"/>
  <c r="V141" i="71" s="1"/>
  <c r="W141" i="71"/>
  <c r="X141" i="71"/>
  <c r="AD141" i="71" l="1"/>
  <c r="AE141" i="71" s="1"/>
  <c r="O142" i="71"/>
  <c r="S142" i="71" s="1"/>
  <c r="Q142" i="71" l="1"/>
  <c r="AB142" i="71" l="1"/>
  <c r="AC142" i="71" s="1"/>
  <c r="Y142" i="71"/>
  <c r="T142" i="71"/>
  <c r="R142" i="71"/>
  <c r="U142" i="71" l="1"/>
  <c r="V142" i="71" s="1"/>
  <c r="W142" i="71"/>
  <c r="X142" i="71"/>
  <c r="AD142" i="71" l="1"/>
  <c r="AE142" i="71" s="1"/>
  <c r="O143" i="71"/>
  <c r="S143" i="71" s="1"/>
  <c r="Q143" i="71" l="1"/>
  <c r="T143" i="71" l="1"/>
  <c r="R143" i="71"/>
  <c r="AB143" i="71"/>
  <c r="AC143" i="71" s="1"/>
  <c r="Y143" i="71"/>
  <c r="U143" i="71" l="1"/>
  <c r="V143" i="71" s="1"/>
  <c r="W143" i="71"/>
  <c r="X143" i="71"/>
  <c r="AD143" i="71" l="1"/>
  <c r="AE143" i="71" s="1"/>
  <c r="O144" i="71"/>
  <c r="S144" i="71" s="1"/>
  <c r="Q144" i="71" l="1"/>
  <c r="Y144" i="71" l="1"/>
  <c r="T144" i="71"/>
  <c r="AB144" i="71"/>
  <c r="AC144" i="71" s="1"/>
  <c r="R144" i="71"/>
  <c r="U144" i="71" l="1"/>
  <c r="V144" i="71" s="1"/>
  <c r="W144" i="71"/>
  <c r="X144" i="71"/>
  <c r="AD144" i="71" l="1"/>
  <c r="AE144" i="71" s="1"/>
  <c r="O145" i="71"/>
  <c r="S145" i="71" s="1"/>
  <c r="Q145" i="71" l="1"/>
  <c r="T145" i="71" l="1"/>
  <c r="Y145" i="71"/>
  <c r="R145" i="71"/>
  <c r="AB145" i="71"/>
  <c r="AC145" i="71" s="1"/>
  <c r="U145" i="71" l="1"/>
  <c r="V145" i="71" s="1"/>
  <c r="W145" i="71"/>
  <c r="X145" i="71"/>
  <c r="O146" i="71" l="1"/>
  <c r="S146" i="71" s="1"/>
  <c r="AD145" i="71"/>
  <c r="AE145" i="71" s="1"/>
  <c r="Q146" i="71" l="1"/>
  <c r="Y146" i="71" l="1"/>
  <c r="AB146" i="71"/>
  <c r="AC146" i="71" s="1"/>
  <c r="R146" i="71"/>
  <c r="T146" i="71"/>
  <c r="U146" i="71" l="1"/>
  <c r="V146" i="71" s="1"/>
  <c r="W146" i="71"/>
  <c r="X146" i="71"/>
  <c r="O147" i="71" l="1"/>
  <c r="S147" i="71" s="1"/>
  <c r="AD146" i="71"/>
  <c r="AE146" i="71" s="1"/>
  <c r="Q147" i="71" l="1"/>
  <c r="T147" i="71" l="1"/>
  <c r="AB147" i="71"/>
  <c r="AC147" i="71" s="1"/>
  <c r="Y147" i="71"/>
  <c r="R147" i="71"/>
  <c r="U147" i="71" l="1"/>
  <c r="V147" i="71" s="1"/>
  <c r="W147" i="71"/>
  <c r="X147" i="71"/>
  <c r="AD147" i="71" l="1"/>
  <c r="AE147" i="71" s="1"/>
  <c r="O148" i="71"/>
  <c r="S148" i="71" s="1"/>
  <c r="Q148" i="71" l="1"/>
  <c r="R148" i="71" l="1"/>
  <c r="AB148" i="71"/>
  <c r="AC148" i="71" s="1"/>
  <c r="T148" i="71"/>
  <c r="Y148" i="71"/>
  <c r="U148" i="71" l="1"/>
  <c r="V148" i="71" s="1"/>
  <c r="W148" i="71"/>
  <c r="X148" i="71"/>
  <c r="AD148" i="71" l="1"/>
  <c r="AE148" i="71" s="1"/>
  <c r="O149" i="71"/>
  <c r="S149" i="71" s="1"/>
  <c r="Q149" i="71" l="1"/>
  <c r="R149" i="71" l="1"/>
  <c r="AB149" i="71"/>
  <c r="AC149" i="71" s="1"/>
  <c r="T149" i="71"/>
  <c r="Y149" i="71"/>
  <c r="U149" i="71" l="1"/>
  <c r="V149" i="71" s="1"/>
  <c r="W149" i="71"/>
  <c r="X149" i="71"/>
  <c r="O150" i="71" l="1"/>
  <c r="S150" i="71" s="1"/>
  <c r="AD149" i="71"/>
  <c r="AE149" i="71" s="1"/>
  <c r="Q150" i="71" l="1"/>
  <c r="Y150" i="71" l="1"/>
  <c r="R150" i="71"/>
  <c r="AB150" i="71"/>
  <c r="AC150" i="71" s="1"/>
  <c r="T150" i="71"/>
  <c r="U150" i="71" l="1"/>
  <c r="V150" i="71" s="1"/>
  <c r="W150" i="71"/>
  <c r="X150" i="71"/>
  <c r="AD150" i="71" l="1"/>
  <c r="AE150" i="71" s="1"/>
  <c r="O151" i="71"/>
  <c r="S151" i="71" s="1"/>
  <c r="Q151" i="71" l="1"/>
  <c r="T151" i="71" l="1"/>
  <c r="AB151" i="71"/>
  <c r="AC151" i="71" s="1"/>
  <c r="R151" i="71"/>
  <c r="Y151" i="71"/>
  <c r="U151" i="71" l="1"/>
  <c r="V151" i="71" s="1"/>
  <c r="W151" i="71"/>
  <c r="X151" i="71"/>
  <c r="AD151" i="71" l="1"/>
  <c r="AE151" i="71" s="1"/>
  <c r="O152" i="71"/>
  <c r="S152" i="71" s="1"/>
  <c r="Q152" i="71" l="1"/>
  <c r="AB152" i="71" l="1"/>
  <c r="AC152" i="71" s="1"/>
  <c r="T152" i="71"/>
  <c r="R152" i="71"/>
  <c r="Y152" i="71"/>
  <c r="U152" i="71" l="1"/>
  <c r="V152" i="71" s="1"/>
  <c r="W152" i="71"/>
  <c r="X152" i="71"/>
  <c r="AD152" i="71" l="1"/>
  <c r="AE152" i="71" s="1"/>
  <c r="O153" i="71"/>
  <c r="S153" i="71" s="1"/>
  <c r="Q153" i="71" l="1"/>
  <c r="R153" i="71" l="1"/>
  <c r="AB153" i="71"/>
  <c r="AC153" i="71" s="1"/>
  <c r="Y153" i="71"/>
  <c r="T153" i="71"/>
  <c r="U153" i="71" l="1"/>
  <c r="V153" i="71" s="1"/>
  <c r="W153" i="71"/>
  <c r="X153" i="71"/>
  <c r="O154" i="71" l="1"/>
  <c r="S154" i="71" s="1"/>
  <c r="AD153" i="71"/>
  <c r="AE153" i="71" s="1"/>
  <c r="Q154" i="71" l="1"/>
  <c r="Y154" i="71" l="1"/>
  <c r="AB154" i="71"/>
  <c r="AC154" i="71" s="1"/>
  <c r="T154" i="71"/>
  <c r="R154" i="71"/>
  <c r="U154" i="71" l="1"/>
  <c r="V154" i="71" s="1"/>
  <c r="W154" i="71"/>
  <c r="X154" i="71"/>
  <c r="O155" i="71" l="1"/>
  <c r="S155" i="71" s="1"/>
  <c r="AD154" i="71"/>
  <c r="AE154" i="71" s="1"/>
  <c r="Q155" i="71" l="1"/>
  <c r="Y155" i="71" l="1"/>
  <c r="T155" i="71"/>
  <c r="AB155" i="71"/>
  <c r="AC155" i="71" s="1"/>
  <c r="R155" i="71"/>
  <c r="U155" i="71" l="1"/>
  <c r="V155" i="71" s="1"/>
  <c r="W155" i="71"/>
  <c r="X155" i="71"/>
  <c r="AD155" i="71" l="1"/>
  <c r="AE155" i="71" s="1"/>
  <c r="O156" i="71"/>
  <c r="S156" i="71" s="1"/>
  <c r="Q156" i="71" l="1"/>
  <c r="T156" i="71" l="1"/>
  <c r="Y156" i="71"/>
  <c r="AB156" i="71"/>
  <c r="AC156" i="71" s="1"/>
  <c r="R156" i="71"/>
  <c r="U156" i="71" l="1"/>
  <c r="V156" i="71" s="1"/>
  <c r="W156" i="71"/>
  <c r="X156" i="71"/>
  <c r="AD156" i="71" l="1"/>
  <c r="AE156" i="71" s="1"/>
  <c r="O157" i="71"/>
  <c r="S157" i="71" s="1"/>
  <c r="Q157" i="71" l="1"/>
  <c r="R157" i="71" l="1"/>
  <c r="AB157" i="71"/>
  <c r="AC157" i="71" s="1"/>
  <c r="Y157" i="71"/>
  <c r="T157" i="71"/>
  <c r="U157" i="71" l="1"/>
  <c r="V157" i="71" s="1"/>
  <c r="W157" i="71"/>
  <c r="X157" i="71"/>
  <c r="O158" i="71" l="1"/>
  <c r="S158" i="71" s="1"/>
  <c r="AD157" i="71"/>
  <c r="AE157" i="71" s="1"/>
  <c r="Q158" i="71" l="1"/>
  <c r="Y158" i="71" l="1"/>
  <c r="R158" i="71"/>
  <c r="AB158" i="71"/>
  <c r="AC158" i="71" s="1"/>
  <c r="T158" i="71"/>
  <c r="U158" i="71" l="1"/>
  <c r="V158" i="71" s="1"/>
  <c r="W158" i="71"/>
  <c r="X158" i="71"/>
  <c r="O159" i="71" l="1"/>
  <c r="S159" i="71" s="1"/>
  <c r="AD158" i="71"/>
  <c r="AE158" i="71" s="1"/>
  <c r="Q159" i="71" l="1"/>
  <c r="T159" i="71" l="1"/>
  <c r="Y159" i="71"/>
  <c r="AB159" i="71"/>
  <c r="AC159" i="71" s="1"/>
  <c r="R159" i="71"/>
  <c r="U159" i="71" l="1"/>
  <c r="V159" i="71" s="1"/>
  <c r="W159" i="71"/>
  <c r="X159" i="71"/>
  <c r="AD159" i="71" l="1"/>
  <c r="AE159" i="71" s="1"/>
  <c r="O160" i="71"/>
  <c r="S160" i="71" s="1"/>
  <c r="Q160" i="71" l="1"/>
  <c r="Y160" i="71" l="1"/>
  <c r="AB160" i="71"/>
  <c r="AC160" i="71" s="1"/>
  <c r="R160" i="71"/>
  <c r="T160" i="71"/>
  <c r="U160" i="71" l="1"/>
  <c r="V160" i="71" s="1"/>
  <c r="W160" i="71"/>
  <c r="X160" i="71"/>
  <c r="O161" i="71" l="1"/>
  <c r="S161" i="71" s="1"/>
  <c r="AD160" i="71"/>
  <c r="AE160" i="71" s="1"/>
  <c r="Q161" i="71" l="1"/>
  <c r="R161" i="71" l="1"/>
  <c r="AB161" i="71"/>
  <c r="AC161" i="71" s="1"/>
  <c r="Y161" i="71"/>
  <c r="T161" i="71"/>
  <c r="U161" i="71" l="1"/>
  <c r="V161" i="71" s="1"/>
  <c r="W161" i="71"/>
  <c r="X161" i="71"/>
  <c r="O162" i="71" l="1"/>
  <c r="S162" i="71" s="1"/>
  <c r="AD161" i="71"/>
  <c r="AE161" i="71" s="1"/>
  <c r="Q162" i="71" l="1"/>
  <c r="Y162" i="71" l="1"/>
  <c r="AB162" i="71"/>
  <c r="AC162" i="71" s="1"/>
  <c r="R162" i="71"/>
  <c r="T162" i="71"/>
  <c r="U162" i="71" l="1"/>
  <c r="V162" i="71" s="1"/>
  <c r="W162" i="71"/>
  <c r="X162" i="71"/>
  <c r="O163" i="71" l="1"/>
  <c r="S163" i="71" s="1"/>
  <c r="AD162" i="71"/>
  <c r="AE162" i="71" s="1"/>
  <c r="Q163" i="71" l="1"/>
  <c r="Y163" i="71" l="1"/>
  <c r="T163" i="71"/>
  <c r="AB163" i="71"/>
  <c r="AC163" i="71" s="1"/>
  <c r="R163" i="71"/>
  <c r="U163" i="71" l="1"/>
  <c r="V163" i="71" s="1"/>
  <c r="W163" i="71"/>
  <c r="X163" i="71"/>
  <c r="AD163" i="71" l="1"/>
  <c r="AE163" i="71" s="1"/>
  <c r="O164" i="71"/>
  <c r="S164" i="71" s="1"/>
  <c r="Q164" i="71" l="1"/>
  <c r="T164" i="71" l="1"/>
  <c r="Y164" i="71"/>
  <c r="R164" i="71"/>
  <c r="AB164" i="71"/>
  <c r="AC164" i="71" s="1"/>
  <c r="U164" i="71" l="1"/>
  <c r="V164" i="71" s="1"/>
  <c r="W164" i="71"/>
  <c r="X164" i="71"/>
  <c r="AD164" i="71" l="1"/>
  <c r="AE164" i="71" s="1"/>
  <c r="O165" i="71"/>
  <c r="S165" i="71" s="1"/>
  <c r="Q165" i="71" l="1"/>
  <c r="R165" i="71" l="1"/>
  <c r="AB165" i="71"/>
  <c r="AC165" i="71" s="1"/>
  <c r="Y165" i="71"/>
  <c r="T165" i="71"/>
  <c r="U165" i="71" l="1"/>
  <c r="V165" i="71" s="1"/>
  <c r="W165" i="71"/>
  <c r="X165" i="71"/>
  <c r="O166" i="71" l="1"/>
  <c r="S166" i="71" s="1"/>
  <c r="AD165" i="71"/>
  <c r="AE165" i="71" s="1"/>
  <c r="Q166" i="71" l="1"/>
  <c r="Y166" i="71" l="1"/>
  <c r="R166" i="71"/>
  <c r="AB166" i="71"/>
  <c r="AC166" i="71" s="1"/>
  <c r="T166" i="71"/>
  <c r="U166" i="71" l="1"/>
  <c r="V166" i="71" s="1"/>
  <c r="W166" i="71"/>
  <c r="X166" i="71"/>
  <c r="O167" i="71" l="1"/>
  <c r="S167" i="71" s="1"/>
  <c r="AD166" i="71"/>
  <c r="AE166" i="71" s="1"/>
  <c r="Q167" i="71" l="1"/>
  <c r="T167" i="71" l="1"/>
  <c r="Y167" i="71"/>
  <c r="R167" i="71"/>
  <c r="AB167" i="71"/>
  <c r="AC167" i="71" s="1"/>
  <c r="U167" i="71" l="1"/>
  <c r="V167" i="71" s="1"/>
  <c r="W167" i="71"/>
  <c r="X167" i="71"/>
  <c r="AD167" i="71" l="1"/>
  <c r="AE167" i="71" s="1"/>
  <c r="O168" i="71"/>
  <c r="S168" i="71" s="1"/>
  <c r="Q168" i="71" l="1"/>
  <c r="Y168" i="71" l="1"/>
  <c r="R168" i="71"/>
  <c r="T168" i="71"/>
  <c r="AB168" i="71"/>
  <c r="AC168" i="71" s="1"/>
  <c r="U168" i="71" l="1"/>
  <c r="V168" i="71" s="1"/>
  <c r="W168" i="71"/>
  <c r="X168" i="71"/>
  <c r="O169" i="71" l="1"/>
  <c r="S169" i="71" s="1"/>
  <c r="AD168" i="71"/>
  <c r="AE168" i="71" s="1"/>
  <c r="Q169" i="71" l="1"/>
  <c r="R169" i="71" l="1"/>
  <c r="AB169" i="71"/>
  <c r="AC169" i="71" s="1"/>
  <c r="T169" i="71"/>
  <c r="Y169" i="71"/>
  <c r="U169" i="71" l="1"/>
  <c r="V169" i="71" s="1"/>
  <c r="W169" i="71"/>
  <c r="X169" i="71"/>
  <c r="O170" i="71" l="1"/>
  <c r="S170" i="71" s="1"/>
  <c r="AD169" i="71"/>
  <c r="AE169" i="71" s="1"/>
  <c r="Q170" i="71" l="1"/>
  <c r="Y170" i="71" l="1"/>
  <c r="R170" i="71"/>
  <c r="T170" i="71"/>
  <c r="AB170" i="71"/>
  <c r="AC170" i="71" s="1"/>
  <c r="U170" i="71" l="1"/>
  <c r="V170" i="71" s="1"/>
  <c r="W170" i="71"/>
  <c r="X170" i="71"/>
  <c r="O171" i="71" l="1"/>
  <c r="S171" i="71" s="1"/>
  <c r="AD170" i="71"/>
  <c r="AE170" i="71" s="1"/>
  <c r="Q171" i="71" l="1"/>
  <c r="Y171" i="71" l="1"/>
  <c r="T171" i="71"/>
  <c r="R171" i="71"/>
  <c r="AB171" i="71"/>
  <c r="AC171" i="71" s="1"/>
  <c r="U171" i="71" l="1"/>
  <c r="V171" i="71" s="1"/>
  <c r="W171" i="71"/>
  <c r="X171" i="71"/>
  <c r="AD171" i="71" l="1"/>
  <c r="AE171" i="71" s="1"/>
  <c r="O172" i="71"/>
  <c r="S172" i="71" s="1"/>
  <c r="Q172" i="71" l="1"/>
  <c r="T172" i="71" l="1"/>
  <c r="Y172" i="71"/>
  <c r="AB172" i="71"/>
  <c r="AC172" i="71" s="1"/>
  <c r="R172" i="71"/>
  <c r="U172" i="71" l="1"/>
  <c r="V172" i="71" s="1"/>
  <c r="W172" i="71"/>
  <c r="X172" i="71"/>
  <c r="AD172" i="71" l="1"/>
  <c r="AE172" i="71" s="1"/>
  <c r="O173" i="71"/>
  <c r="S173" i="71" s="1"/>
  <c r="Q173" i="71" l="1"/>
  <c r="R173" i="71" l="1"/>
  <c r="Y173" i="71"/>
  <c r="T173" i="71"/>
  <c r="AB173" i="71"/>
  <c r="AC173" i="71" s="1"/>
  <c r="U173" i="71" l="1"/>
  <c r="V173" i="71" s="1"/>
  <c r="W173" i="71"/>
  <c r="X173" i="71"/>
  <c r="O174" i="71" l="1"/>
  <c r="S174" i="71" s="1"/>
  <c r="AD173" i="71"/>
  <c r="AE173" i="71" s="1"/>
  <c r="Q174" i="71" l="1"/>
  <c r="R174" i="71" l="1"/>
  <c r="AB174" i="71"/>
  <c r="AC174" i="71" s="1"/>
  <c r="Y174" i="71"/>
  <c r="T174" i="71"/>
  <c r="U174" i="71" l="1"/>
  <c r="V174" i="71" s="1"/>
  <c r="W174" i="71"/>
  <c r="X174" i="71"/>
  <c r="O175" i="71" l="1"/>
  <c r="S175" i="71" s="1"/>
  <c r="AD174" i="71"/>
  <c r="AE174" i="71" s="1"/>
  <c r="Q175" i="71" l="1"/>
  <c r="AB175" i="71" l="1"/>
  <c r="AC175" i="71" s="1"/>
  <c r="R175" i="71"/>
  <c r="Y175" i="71"/>
  <c r="T175" i="71"/>
  <c r="U175" i="71" l="1"/>
  <c r="V175" i="71" s="1"/>
  <c r="W175" i="71"/>
  <c r="X175" i="71"/>
  <c r="AD175" i="71" l="1"/>
  <c r="AE175" i="71" s="1"/>
  <c r="O176" i="71"/>
  <c r="S176" i="71" s="1"/>
  <c r="Q176" i="71" l="1"/>
  <c r="R176" i="71" l="1"/>
  <c r="T176" i="71"/>
  <c r="AB176" i="71"/>
  <c r="AC176" i="71" s="1"/>
  <c r="Y176" i="71"/>
  <c r="U176" i="71" l="1"/>
  <c r="V176" i="71" s="1"/>
  <c r="W176" i="71"/>
  <c r="X176" i="71"/>
  <c r="AD176" i="71" l="1"/>
  <c r="AE176" i="71" s="1"/>
  <c r="O177" i="71"/>
  <c r="S177" i="71" s="1"/>
  <c r="Q177" i="71" l="1"/>
  <c r="R177" i="71" l="1"/>
  <c r="T177" i="71"/>
  <c r="Y177" i="71"/>
  <c r="AB177" i="71"/>
  <c r="AC177" i="71" s="1"/>
  <c r="U177" i="71" l="1"/>
  <c r="V177" i="71" s="1"/>
  <c r="W177" i="71"/>
  <c r="X177" i="71"/>
  <c r="AD177" i="71" l="1"/>
  <c r="AE177" i="71" s="1"/>
  <c r="O178" i="71"/>
  <c r="S178" i="71" s="1"/>
  <c r="Q178" i="71" l="1"/>
  <c r="R178" i="71" l="1"/>
  <c r="AB178" i="71"/>
  <c r="AC178" i="71" s="1"/>
  <c r="Y178" i="71"/>
  <c r="T178" i="71"/>
  <c r="U178" i="71" l="1"/>
  <c r="V178" i="71" s="1"/>
  <c r="W178" i="71"/>
  <c r="X178" i="71"/>
  <c r="O179" i="71" l="1"/>
  <c r="S179" i="71" s="1"/>
  <c r="AD178" i="71"/>
  <c r="AE178" i="71" s="1"/>
  <c r="Q179" i="71" l="1"/>
  <c r="Y179" i="71" l="1"/>
  <c r="R179" i="71"/>
  <c r="AB179" i="71"/>
  <c r="AC179" i="71" s="1"/>
  <c r="T179" i="71"/>
  <c r="U179" i="71" l="1"/>
  <c r="V179" i="71" s="1"/>
  <c r="W179" i="71"/>
  <c r="X179" i="71"/>
  <c r="O180" i="71" l="1"/>
  <c r="S180" i="71" s="1"/>
  <c r="AD179" i="71"/>
  <c r="AE179" i="71" s="1"/>
  <c r="Q180" i="71" l="1"/>
  <c r="Y180" i="71" l="1"/>
  <c r="T180" i="71"/>
  <c r="R180" i="71"/>
  <c r="AB180" i="71"/>
  <c r="AC180" i="71" s="1"/>
  <c r="U180" i="71" l="1"/>
  <c r="V180" i="71" s="1"/>
  <c r="W180" i="71"/>
  <c r="X180" i="71"/>
  <c r="AD180" i="71" l="1"/>
  <c r="AE180" i="71" s="1"/>
  <c r="O181" i="71"/>
  <c r="S181" i="71" s="1"/>
  <c r="Q181" i="71" l="1"/>
  <c r="T181" i="71" l="1"/>
  <c r="R181" i="71"/>
  <c r="AB181" i="71"/>
  <c r="AC181" i="71" s="1"/>
  <c r="Y181" i="71"/>
  <c r="U181" i="71" l="1"/>
  <c r="V181" i="71" s="1"/>
  <c r="W181" i="71"/>
  <c r="X181" i="71"/>
  <c r="AD181" i="71" l="1"/>
  <c r="AE181" i="71" s="1"/>
  <c r="O182" i="71"/>
  <c r="S182" i="71" s="1"/>
  <c r="Q182" i="71" l="1"/>
  <c r="R182" i="71" l="1"/>
  <c r="AB182" i="71"/>
  <c r="AC182" i="71" s="1"/>
  <c r="T182" i="71"/>
  <c r="Y182" i="71"/>
  <c r="U182" i="71" l="1"/>
  <c r="V182" i="71" s="1"/>
  <c r="W182" i="71"/>
  <c r="X182" i="71"/>
  <c r="O183" i="71" l="1"/>
  <c r="S183" i="71" s="1"/>
  <c r="AD182" i="71"/>
  <c r="AE182" i="71" s="1"/>
  <c r="Q183" i="71" l="1"/>
  <c r="Y183" i="71" l="1"/>
  <c r="R183" i="71"/>
  <c r="AB183" i="71"/>
  <c r="AC183" i="71" s="1"/>
  <c r="T183" i="71"/>
  <c r="U183" i="71" l="1"/>
  <c r="V183" i="71" s="1"/>
  <c r="W183" i="71"/>
  <c r="X183" i="71"/>
  <c r="O184" i="71" l="1"/>
  <c r="S184" i="71" s="1"/>
  <c r="AD183" i="71"/>
  <c r="AE183" i="71" s="1"/>
  <c r="Q184" i="71" l="1"/>
  <c r="T184" i="71" l="1"/>
  <c r="Y184" i="71"/>
  <c r="AB184" i="71"/>
  <c r="AC184" i="71" s="1"/>
  <c r="R184" i="71"/>
  <c r="U184" i="71" l="1"/>
  <c r="V184" i="71" s="1"/>
  <c r="W184" i="71"/>
  <c r="X184" i="71"/>
  <c r="AD184" i="71" l="1"/>
  <c r="AE184" i="71" s="1"/>
  <c r="O185" i="71"/>
  <c r="S185" i="71" s="1"/>
  <c r="Q185" i="71" l="1"/>
  <c r="T185" i="71" l="1"/>
  <c r="AB185" i="71"/>
  <c r="AC185" i="71" s="1"/>
  <c r="R185" i="71"/>
  <c r="Y185" i="71"/>
  <c r="U185" i="71" l="1"/>
  <c r="V185" i="71" s="1"/>
  <c r="W185" i="71"/>
  <c r="X185" i="71"/>
  <c r="AD185" i="71" l="1"/>
  <c r="AE185" i="71" s="1"/>
  <c r="O186" i="71"/>
  <c r="S186" i="71" s="1"/>
  <c r="Q186" i="71" l="1"/>
  <c r="R186" i="71" l="1"/>
  <c r="AB186" i="71"/>
  <c r="AC186" i="71" s="1"/>
  <c r="T186" i="71"/>
  <c r="Y186" i="71"/>
  <c r="U186" i="71" l="1"/>
  <c r="V186" i="71" s="1"/>
  <c r="W186" i="71"/>
  <c r="X186" i="71"/>
  <c r="O187" i="71" l="1"/>
  <c r="S187" i="71" s="1"/>
  <c r="AD186" i="71"/>
  <c r="AE186" i="71" s="1"/>
  <c r="Q187" i="71" l="1"/>
  <c r="Y187" i="71" l="1"/>
  <c r="R187" i="71"/>
  <c r="AB187" i="71"/>
  <c r="AC187" i="71" s="1"/>
  <c r="T187" i="71"/>
  <c r="U187" i="71" l="1"/>
  <c r="V187" i="71" s="1"/>
  <c r="W187" i="71"/>
  <c r="X187" i="71"/>
  <c r="O188" i="71" l="1"/>
  <c r="S188" i="71" s="1"/>
  <c r="AD187" i="71"/>
  <c r="AE187" i="71" s="1"/>
  <c r="Q188" i="71" l="1"/>
  <c r="Y188" i="71" l="1"/>
  <c r="T188" i="71"/>
  <c r="AB188" i="71"/>
  <c r="AC188" i="71" s="1"/>
  <c r="R188" i="71"/>
  <c r="U188" i="71" l="1"/>
  <c r="V188" i="71" s="1"/>
  <c r="W188" i="71"/>
  <c r="X188" i="71"/>
  <c r="AD188" i="71" l="1"/>
  <c r="AE188" i="71" s="1"/>
  <c r="O189" i="71"/>
  <c r="S189" i="71" s="1"/>
  <c r="Q189" i="71" l="1"/>
  <c r="T189" i="71" l="1"/>
  <c r="Y189" i="71"/>
  <c r="AB189" i="71"/>
  <c r="AC189" i="71" s="1"/>
  <c r="R189" i="71"/>
  <c r="U189" i="71" l="1"/>
  <c r="V189" i="71" s="1"/>
  <c r="W189" i="71"/>
  <c r="X189" i="71"/>
  <c r="AD189" i="71" l="1"/>
  <c r="AE189" i="71" s="1"/>
  <c r="O190" i="71"/>
  <c r="S190" i="71" s="1"/>
  <c r="Q190" i="71" l="1"/>
  <c r="R190" i="71" l="1"/>
  <c r="AB190" i="71"/>
  <c r="AC190" i="71" s="1"/>
  <c r="Y190" i="71"/>
  <c r="T190" i="71"/>
  <c r="U190" i="71" l="1"/>
  <c r="V190" i="71" s="1"/>
  <c r="W190" i="71"/>
  <c r="X190" i="71"/>
  <c r="O191" i="71" l="1"/>
  <c r="S191" i="71" s="1"/>
  <c r="AD190" i="71"/>
  <c r="AE190" i="71" s="1"/>
  <c r="Q191" i="71" l="1"/>
  <c r="Y191" i="71" l="1"/>
  <c r="R191" i="71"/>
  <c r="AB191" i="71"/>
  <c r="AC191" i="71" s="1"/>
  <c r="T191" i="71"/>
  <c r="U191" i="71" l="1"/>
  <c r="V191" i="71" s="1"/>
  <c r="W191" i="71"/>
  <c r="X191" i="71"/>
  <c r="O192" i="71" l="1"/>
  <c r="S192" i="71" s="1"/>
  <c r="AD191" i="71"/>
  <c r="AE191" i="71" s="1"/>
  <c r="Q192" i="71" l="1"/>
  <c r="T192" i="71" l="1"/>
  <c r="Y192" i="71"/>
  <c r="R192" i="71"/>
  <c r="AB192" i="71"/>
  <c r="AC192" i="71" s="1"/>
  <c r="U192" i="71" l="1"/>
  <c r="V192" i="71" s="1"/>
  <c r="W192" i="71"/>
  <c r="X192" i="71"/>
  <c r="AD192" i="71" l="1"/>
  <c r="AE192" i="71" s="1"/>
  <c r="O193" i="71"/>
  <c r="S193" i="71" s="1"/>
  <c r="Q193" i="71" l="1"/>
  <c r="T193" i="71" l="1"/>
  <c r="R193" i="71"/>
  <c r="Y193" i="71"/>
  <c r="AB193" i="71"/>
  <c r="AC193" i="71" s="1"/>
  <c r="U193" i="71" l="1"/>
  <c r="V193" i="71" s="1"/>
  <c r="W193" i="71"/>
  <c r="X193" i="71"/>
  <c r="AD193" i="71" l="1"/>
  <c r="AE193" i="71" s="1"/>
  <c r="O194" i="71"/>
  <c r="S194" i="71" s="1"/>
  <c r="Q194" i="71" l="1"/>
  <c r="R194" i="71" l="1"/>
  <c r="AB194" i="71"/>
  <c r="AC194" i="71" s="1"/>
  <c r="Y194" i="71"/>
  <c r="T194" i="71"/>
  <c r="U194" i="71" l="1"/>
  <c r="V194" i="71" s="1"/>
  <c r="W194" i="71"/>
  <c r="X194" i="71"/>
  <c r="O195" i="71" l="1"/>
  <c r="S195" i="71" s="1"/>
  <c r="AD194" i="71"/>
  <c r="AE194" i="71" s="1"/>
  <c r="Q195" i="71" l="1"/>
  <c r="Y195" i="71" l="1"/>
  <c r="R195" i="71"/>
  <c r="AB195" i="71"/>
  <c r="AC195" i="71" s="1"/>
  <c r="T195" i="71"/>
  <c r="U195" i="71" l="1"/>
  <c r="V195" i="71" s="1"/>
  <c r="W195" i="71"/>
  <c r="X195" i="71"/>
  <c r="O196" i="71" l="1"/>
  <c r="S196" i="71" s="1"/>
  <c r="AD195" i="71"/>
  <c r="AE195" i="71" s="1"/>
  <c r="Q196" i="71" l="1"/>
  <c r="Y196" i="71" l="1"/>
  <c r="T196" i="71"/>
  <c r="R196" i="71"/>
  <c r="AB196" i="71"/>
  <c r="AC196" i="71" s="1"/>
  <c r="U196" i="71" l="1"/>
  <c r="V196" i="71" s="1"/>
  <c r="W196" i="71"/>
  <c r="X196" i="71"/>
  <c r="AD196" i="71" l="1"/>
  <c r="AE196" i="71" s="1"/>
  <c r="O197" i="71"/>
  <c r="S197" i="71" s="1"/>
  <c r="Q197" i="71" l="1"/>
  <c r="T197" i="71" l="1"/>
  <c r="R197" i="71"/>
  <c r="Y197" i="71"/>
  <c r="AB197" i="71"/>
  <c r="AC197" i="71" s="1"/>
  <c r="U197" i="71" l="1"/>
  <c r="V197" i="71" s="1"/>
  <c r="W197" i="71"/>
  <c r="X197" i="71"/>
  <c r="AD197" i="71" l="1"/>
  <c r="AE197" i="71" s="1"/>
  <c r="O198" i="71"/>
  <c r="S198" i="71" s="1"/>
  <c r="Q198" i="71" l="1"/>
  <c r="R198" i="71" l="1"/>
  <c r="AB198" i="71"/>
  <c r="AC198" i="71" s="1"/>
  <c r="T198" i="71"/>
  <c r="Y198" i="71"/>
  <c r="U198" i="71" l="1"/>
  <c r="V198" i="71" s="1"/>
  <c r="W198" i="71"/>
  <c r="X198" i="71"/>
  <c r="O199" i="71" l="1"/>
  <c r="S199" i="71" s="1"/>
  <c r="AD198" i="71"/>
  <c r="AE198" i="71" s="1"/>
  <c r="Q199" i="71" l="1"/>
  <c r="Y199" i="71" l="1"/>
  <c r="R199" i="71"/>
  <c r="AB199" i="71"/>
  <c r="AC199" i="71" s="1"/>
  <c r="T199" i="71"/>
  <c r="U199" i="71" l="1"/>
  <c r="V199" i="71" s="1"/>
  <c r="W199" i="71"/>
  <c r="X199" i="71"/>
  <c r="O200" i="71" l="1"/>
  <c r="S200" i="71" s="1"/>
  <c r="AD199" i="71"/>
  <c r="AE199" i="71" s="1"/>
  <c r="Q200" i="71" l="1"/>
  <c r="T200" i="71" l="1"/>
  <c r="Y200" i="71"/>
  <c r="AB200" i="71"/>
  <c r="AC200" i="71" s="1"/>
  <c r="R200" i="71"/>
  <c r="U200" i="71" l="1"/>
  <c r="V200" i="71" s="1"/>
  <c r="W200" i="71"/>
  <c r="X200" i="71"/>
  <c r="AD200" i="71" l="1"/>
  <c r="AE200" i="71" s="1"/>
  <c r="O201" i="71"/>
  <c r="S201" i="71" s="1"/>
  <c r="Q201" i="71" l="1"/>
  <c r="T201" i="71" l="1"/>
  <c r="AB201" i="71"/>
  <c r="AC201" i="71" s="1"/>
  <c r="R201" i="71"/>
  <c r="Y201" i="71"/>
  <c r="U201" i="71" l="1"/>
  <c r="V201" i="71" s="1"/>
  <c r="W201" i="71"/>
  <c r="X201" i="71"/>
  <c r="AD201" i="71" l="1"/>
  <c r="AE201" i="71" s="1"/>
  <c r="O202" i="71"/>
  <c r="S202" i="71" s="1"/>
  <c r="Q202" i="71" l="1"/>
  <c r="R202" i="71" l="1"/>
  <c r="AB202" i="71"/>
  <c r="AC202" i="71" s="1"/>
  <c r="T202" i="71"/>
  <c r="Y202" i="71"/>
  <c r="U202" i="71" l="1"/>
  <c r="V202" i="71" s="1"/>
  <c r="W202" i="71"/>
  <c r="X202" i="71"/>
  <c r="O203" i="71" l="1"/>
  <c r="S203" i="71" s="1"/>
  <c r="AD202" i="71"/>
  <c r="AE202" i="71" s="1"/>
  <c r="Q203" i="71" l="1"/>
  <c r="Y203" i="71" l="1"/>
  <c r="R203" i="71"/>
  <c r="AB203" i="71"/>
  <c r="AC203" i="71" s="1"/>
  <c r="T203" i="71"/>
  <c r="U203" i="71" l="1"/>
  <c r="V203" i="71" s="1"/>
  <c r="W203" i="71"/>
  <c r="X203" i="71"/>
  <c r="O204" i="71" l="1"/>
  <c r="S204" i="71" s="1"/>
  <c r="AD203" i="71"/>
  <c r="AE203" i="71" s="1"/>
  <c r="Q204" i="71" l="1"/>
  <c r="Y204" i="71" l="1"/>
  <c r="T204" i="71"/>
  <c r="AB204" i="71"/>
  <c r="AC204" i="71" s="1"/>
  <c r="R204" i="71"/>
  <c r="U204" i="71" l="1"/>
  <c r="V204" i="71" s="1"/>
  <c r="W204" i="71"/>
  <c r="X204" i="71"/>
  <c r="AD204" i="71" l="1"/>
  <c r="AE204" i="71" s="1"/>
  <c r="O205" i="71"/>
  <c r="S205" i="71" s="1"/>
  <c r="Q205" i="71" l="1"/>
  <c r="T205" i="71" l="1"/>
  <c r="Y205" i="71"/>
  <c r="AB205" i="71"/>
  <c r="AC205" i="71" s="1"/>
  <c r="R205" i="71"/>
  <c r="U205" i="71" l="1"/>
  <c r="V205" i="71" s="1"/>
  <c r="W205" i="71"/>
  <c r="X205" i="71"/>
  <c r="AD205" i="71" l="1"/>
  <c r="AE205" i="71" s="1"/>
  <c r="O206" i="71"/>
  <c r="S206" i="71" s="1"/>
  <c r="Q206" i="71" l="1"/>
  <c r="R206" i="71" l="1"/>
  <c r="AB206" i="71"/>
  <c r="AC206" i="71" s="1"/>
  <c r="Y206" i="71"/>
  <c r="T206" i="71"/>
  <c r="U206" i="71" l="1"/>
  <c r="V206" i="71" s="1"/>
  <c r="W206" i="71"/>
  <c r="X206" i="71"/>
  <c r="O207" i="71" l="1"/>
  <c r="S207" i="71" s="1"/>
  <c r="AD206" i="71"/>
  <c r="AE206" i="71" s="1"/>
  <c r="Q207" i="71" l="1"/>
  <c r="Y207" i="71" l="1"/>
  <c r="R207" i="71"/>
  <c r="AB207" i="71"/>
  <c r="AC207" i="71" s="1"/>
  <c r="T207" i="71"/>
  <c r="U207" i="71" l="1"/>
  <c r="V207" i="71" s="1"/>
  <c r="W207" i="71"/>
  <c r="X207" i="71"/>
  <c r="O208" i="71" l="1"/>
  <c r="S208" i="71" s="1"/>
  <c r="AD207" i="71"/>
  <c r="AE207" i="71" s="1"/>
  <c r="Q208" i="71" l="1"/>
  <c r="T208" i="71" l="1"/>
  <c r="Y208" i="71"/>
  <c r="R208" i="71"/>
  <c r="AB208" i="71"/>
  <c r="AC208" i="71" s="1"/>
  <c r="U208" i="71" l="1"/>
  <c r="V208" i="71" s="1"/>
  <c r="W208" i="71"/>
  <c r="X208" i="71"/>
  <c r="AD208" i="71" l="1"/>
  <c r="AE208" i="71" s="1"/>
  <c r="O209" i="71"/>
  <c r="S209" i="71" s="1"/>
  <c r="Q209" i="71" l="1"/>
  <c r="T209" i="71" l="1"/>
  <c r="R209" i="71"/>
  <c r="Y209" i="71"/>
  <c r="AB209" i="71"/>
  <c r="AC209" i="71" s="1"/>
  <c r="U209" i="71" l="1"/>
  <c r="V209" i="71" s="1"/>
  <c r="W209" i="71"/>
  <c r="X209" i="71"/>
  <c r="AD209" i="71" l="1"/>
  <c r="AE209" i="71" s="1"/>
  <c r="O210" i="71"/>
  <c r="S210" i="71" s="1"/>
  <c r="Q210" i="71" l="1"/>
  <c r="R210" i="71" l="1"/>
  <c r="AB210" i="71"/>
  <c r="AC210" i="71" s="1"/>
  <c r="Y210" i="71"/>
  <c r="T210" i="71"/>
  <c r="U210" i="71" l="1"/>
  <c r="V210" i="71" s="1"/>
  <c r="W210" i="71"/>
  <c r="X210" i="71"/>
  <c r="O211" i="71" l="1"/>
  <c r="S211" i="71" s="1"/>
  <c r="AD210" i="71"/>
  <c r="AE210" i="71" s="1"/>
  <c r="Q211" i="71" l="1"/>
  <c r="Y211" i="71" l="1"/>
  <c r="T211" i="71"/>
  <c r="AB211" i="71"/>
  <c r="AC211" i="71" s="1"/>
  <c r="R211" i="71"/>
  <c r="U211" i="71" l="1"/>
  <c r="V211" i="71" s="1"/>
  <c r="W211" i="71"/>
  <c r="X211" i="71"/>
  <c r="AE211" i="71" l="1"/>
  <c r="O212" i="71"/>
  <c r="S212" i="71" s="1"/>
  <c r="AD211" i="71"/>
  <c r="X212" i="71" l="1"/>
  <c r="AD212" i="71" l="1"/>
  <c r="AE212" i="71"/>
  <c r="O213" i="71"/>
  <c r="X213" i="71" s="1"/>
  <c r="Y212" i="71"/>
  <c r="T212" i="71"/>
  <c r="AB212" i="71"/>
  <c r="R212" i="71"/>
  <c r="AC212" i="7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O214" i="71" l="1"/>
  <c r="X214" i="71" s="1"/>
  <c r="AD213" i="71"/>
  <c r="AE213" i="71"/>
  <c r="U212" i="71"/>
  <c r="V212" i="71" s="1"/>
  <c r="W218" i="71"/>
  <c r="W822" i="71"/>
  <c r="W642" i="71"/>
  <c r="W259" i="71"/>
  <c r="W233" i="71"/>
  <c r="W241" i="71"/>
  <c r="W721" i="71"/>
  <c r="W802" i="71"/>
  <c r="W238" i="71"/>
  <c r="W433" i="71"/>
  <c r="W474" i="71"/>
  <c r="W254" i="71"/>
  <c r="W419" i="71"/>
  <c r="W346" i="71"/>
  <c r="W446" i="71"/>
  <c r="W214" i="71"/>
  <c r="W590" i="71"/>
  <c r="W462" i="71"/>
  <c r="W395" i="71"/>
  <c r="W541" i="71"/>
  <c r="W750" i="71"/>
  <c r="W445" i="71"/>
  <c r="W507" i="71"/>
  <c r="W704" i="71"/>
  <c r="W771" i="71"/>
  <c r="W352" i="71"/>
  <c r="W733" i="71"/>
  <c r="W605" i="71"/>
  <c r="W370" i="71"/>
  <c r="W270" i="71"/>
  <c r="W606" i="71"/>
  <c r="W330" i="71"/>
  <c r="W709" i="71"/>
  <c r="W762" i="71"/>
  <c r="W472" i="71"/>
  <c r="W780" i="71"/>
  <c r="W672" i="71"/>
  <c r="W592" i="71"/>
  <c r="W468" i="71"/>
  <c r="W725" i="71"/>
  <c r="W775" i="71"/>
  <c r="W527" i="71"/>
  <c r="W555" i="71"/>
  <c r="W586" i="71"/>
  <c r="W392" i="71"/>
  <c r="W718" i="71"/>
  <c r="W529" i="71"/>
  <c r="W422" i="71"/>
  <c r="W654" i="71"/>
  <c r="W303" i="71"/>
  <c r="W613" i="71"/>
  <c r="W266" i="71"/>
  <c r="W569" i="71"/>
  <c r="W557" i="71"/>
  <c r="W286" i="71"/>
  <c r="W564" i="71"/>
  <c r="W401" i="71"/>
  <c r="W581" i="71"/>
  <c r="W411" i="71"/>
  <c r="W758" i="71"/>
  <c r="W768" i="71"/>
  <c r="W348" i="71"/>
  <c r="W304" i="71"/>
  <c r="W710" i="71"/>
  <c r="W324" i="71"/>
  <c r="W556" i="71"/>
  <c r="W568" i="71"/>
  <c r="W420" i="71"/>
  <c r="W722" i="71"/>
  <c r="W354" i="71"/>
  <c r="W549" i="71"/>
  <c r="W769" i="71"/>
  <c r="W609" i="71"/>
  <c r="W374" i="71"/>
  <c r="W221" i="71"/>
  <c r="W435" i="71"/>
  <c r="W546" i="71"/>
  <c r="W510" i="71"/>
  <c r="W594" i="71"/>
  <c r="W426" i="71"/>
  <c r="W357" i="71"/>
  <c r="W226" i="71"/>
  <c r="W447" i="71"/>
  <c r="W414" i="71"/>
  <c r="W314" i="71"/>
  <c r="W465" i="71"/>
  <c r="W397" i="71"/>
  <c r="W698" i="71"/>
  <c r="W350" i="71"/>
  <c r="W454" i="71"/>
  <c r="W312" i="71"/>
  <c r="W585" i="71"/>
  <c r="W298" i="71"/>
  <c r="W635" i="71"/>
  <c r="W772" i="71"/>
  <c r="W647" i="71"/>
  <c r="W320" i="71"/>
  <c r="W257" i="71"/>
  <c r="W515" i="71"/>
  <c r="W279" i="71"/>
  <c r="W661" i="71"/>
  <c r="W260" i="71"/>
  <c r="W517" i="71"/>
  <c r="W673" i="71"/>
  <c r="W815" i="71"/>
  <c r="W362" i="71"/>
  <c r="W550" i="71"/>
  <c r="W596" i="71"/>
  <c r="W264" i="71"/>
  <c r="W237" i="71"/>
  <c r="W719" i="71"/>
  <c r="W675" i="71"/>
  <c r="W679" i="71"/>
  <c r="W487" i="71"/>
  <c r="W343" i="71"/>
  <c r="W743" i="71"/>
  <c r="W408" i="71"/>
  <c r="W239" i="71"/>
  <c r="W636" i="71"/>
  <c r="W290" i="71"/>
  <c r="W277" i="71"/>
  <c r="W756" i="71"/>
  <c r="W491" i="71"/>
  <c r="W561" i="71"/>
  <c r="W457" i="71"/>
  <c r="W463" i="71"/>
  <c r="W215" i="71"/>
  <c r="W784" i="71"/>
  <c r="W376" i="71"/>
  <c r="W305" i="71"/>
  <c r="W344" i="71"/>
  <c r="W437" i="71"/>
  <c r="W387" i="71"/>
  <c r="W579" i="71"/>
  <c r="W325" i="71"/>
  <c r="W694" i="71"/>
  <c r="W313" i="71"/>
  <c r="W228" i="71"/>
  <c r="W424" i="71"/>
  <c r="W633" i="71"/>
  <c r="W406" i="71"/>
  <c r="W823" i="71"/>
  <c r="W220" i="71"/>
  <c r="W315" i="71"/>
  <c r="W565" i="71"/>
  <c r="W548" i="71"/>
  <c r="W355" i="71"/>
  <c r="W361" i="71"/>
  <c r="W580" i="71"/>
  <c r="W696" i="71"/>
  <c r="W806" i="71"/>
  <c r="W543" i="71"/>
  <c r="W788" i="71"/>
  <c r="W366" i="71"/>
  <c r="W705" i="71"/>
  <c r="W301" i="71"/>
  <c r="W505" i="71"/>
  <c r="W369" i="71"/>
  <c r="W274" i="71"/>
  <c r="W551" i="71"/>
  <c r="W299" i="71"/>
  <c r="W824" i="71"/>
  <c r="W757" i="71"/>
  <c r="W617" i="71"/>
  <c r="W442" i="71"/>
  <c r="W828" i="71"/>
  <c r="W365" i="71"/>
  <c r="W720" i="71"/>
  <c r="W382" i="71"/>
  <c r="W821" i="71"/>
  <c r="W801" i="71"/>
  <c r="W621" i="71"/>
  <c r="W250" i="71"/>
  <c r="W562" i="71"/>
  <c r="W471" i="71"/>
  <c r="W663" i="71"/>
  <c r="W252" i="71"/>
  <c r="W634" i="71"/>
  <c r="W482" i="71"/>
  <c r="W484" i="71"/>
  <c r="W213" i="71"/>
  <c r="W495" i="71"/>
  <c r="W470" i="71"/>
  <c r="W513" i="71"/>
  <c r="W261" i="71"/>
  <c r="W514" i="71"/>
  <c r="W607" i="71"/>
  <c r="W311" i="71"/>
  <c r="W760" i="71"/>
  <c r="W670" i="71"/>
  <c r="W479" i="71"/>
  <c r="W567" i="71"/>
  <c r="W293" i="71"/>
  <c r="W622" i="71"/>
  <c r="W409" i="71"/>
  <c r="W289" i="71"/>
  <c r="W646" i="71"/>
  <c r="W532" i="71"/>
  <c r="W751" i="71"/>
  <c r="W296" i="71"/>
  <c r="W582" i="71"/>
  <c r="W287" i="71"/>
  <c r="W268" i="71"/>
  <c r="W732" i="71"/>
  <c r="W388" i="71"/>
  <c r="W473" i="71"/>
  <c r="W386" i="71"/>
  <c r="W796" i="71"/>
  <c r="W649" i="71"/>
  <c r="W358" i="71"/>
  <c r="W703" i="71"/>
  <c r="W488" i="71"/>
  <c r="W349" i="71"/>
  <c r="W508" i="71"/>
  <c r="W359" i="71"/>
  <c r="W497" i="71"/>
  <c r="W493" i="71"/>
  <c r="W689" i="71"/>
  <c r="W818" i="71"/>
  <c r="W523" i="71"/>
  <c r="W490" i="71"/>
  <c r="W627" i="71"/>
  <c r="W808" i="71"/>
  <c r="W500" i="71"/>
  <c r="W761" i="71"/>
  <c r="W656" i="71"/>
  <c r="W620" i="71"/>
  <c r="W441" i="71"/>
  <c r="W269" i="71"/>
  <c r="W628" i="71"/>
  <c r="W451" i="71"/>
  <c r="W662" i="71"/>
  <c r="W639" i="71"/>
  <c r="W542" i="71"/>
  <c r="W747" i="71"/>
  <c r="W600" i="71"/>
  <c r="W498" i="71"/>
  <c r="W631" i="71"/>
  <c r="W666" i="71"/>
  <c r="W774" i="71"/>
  <c r="W248" i="71"/>
  <c r="W795" i="71"/>
  <c r="W227" i="71"/>
  <c r="W394" i="71"/>
  <c r="W794" i="71"/>
  <c r="W404" i="71"/>
  <c r="W676" i="71"/>
  <c r="W558" i="71"/>
  <c r="W668" i="71"/>
  <c r="W618" i="71"/>
  <c r="W427" i="71"/>
  <c r="W340" i="71"/>
  <c r="W643" i="71"/>
  <c r="W574" i="71"/>
  <c r="W288" i="71"/>
  <c r="W632" i="71"/>
  <c r="W819" i="71"/>
  <c r="W489" i="71"/>
  <c r="W765" i="71"/>
  <c r="W727" i="71"/>
  <c r="W494" i="71"/>
  <c r="W223" i="71"/>
  <c r="W799" i="71"/>
  <c r="W785" i="71"/>
  <c r="W267" i="71"/>
  <c r="W316" i="71"/>
  <c r="W383" i="71"/>
  <c r="W459" i="71"/>
  <c r="W337" i="71"/>
  <c r="W328" i="71"/>
  <c r="W469" i="71"/>
  <c r="W351" i="71"/>
  <c r="W338" i="71"/>
  <c r="W690" i="71"/>
  <c r="W686" i="71"/>
  <c r="W461" i="71"/>
  <c r="W570" i="71"/>
  <c r="W827" i="71"/>
  <c r="W659" i="71"/>
  <c r="W317" i="71"/>
  <c r="W530" i="71"/>
  <c r="W450" i="71"/>
  <c r="W448" i="71"/>
  <c r="W638" i="71"/>
  <c r="W812" i="71"/>
  <c r="W453" i="71"/>
  <c r="W578" i="71"/>
  <c r="W693" i="71"/>
  <c r="W281" i="71"/>
  <c r="W598" i="71"/>
  <c r="W332" i="71"/>
  <c r="W552" i="71"/>
  <c r="W602" i="71"/>
  <c r="W526" i="71"/>
  <c r="W629" i="71"/>
  <c r="W360" i="71"/>
  <c r="W531" i="71"/>
  <c r="W610" i="71"/>
  <c r="W726" i="71"/>
  <c r="W658" i="71"/>
  <c r="W773" i="71"/>
  <c r="W525" i="71"/>
  <c r="W603" i="71"/>
  <c r="W458" i="71"/>
  <c r="W413" i="71"/>
  <c r="W820" i="71"/>
  <c r="W475" i="71"/>
  <c r="W587" i="71"/>
  <c r="W783" i="71"/>
  <c r="W588" i="71"/>
  <c r="W428" i="71"/>
  <c r="W249" i="71"/>
  <c r="W342" i="71"/>
  <c r="W242" i="71"/>
  <c r="W665" i="71"/>
  <c r="W738" i="71"/>
  <c r="W412" i="71"/>
  <c r="W687" i="71"/>
  <c r="W439" i="71"/>
  <c r="W244" i="71"/>
  <c r="W364" i="71"/>
  <c r="W310" i="71"/>
  <c r="W243" i="71"/>
  <c r="W781" i="71"/>
  <c r="W297" i="71"/>
  <c r="W234" i="71"/>
  <c r="W246" i="71"/>
  <c r="W245" i="71"/>
  <c r="W509" i="71"/>
  <c r="W456" i="71"/>
  <c r="W222" i="71"/>
  <c r="W368" i="71"/>
  <c r="W811" i="71"/>
  <c r="W813" i="71"/>
  <c r="W384" i="71"/>
  <c r="W477" i="71"/>
  <c r="W480" i="71"/>
  <c r="W645" i="71"/>
  <c r="W572" i="71"/>
  <c r="W378" i="71"/>
  <c r="W280" i="71"/>
  <c r="W385" i="71"/>
  <c r="W282" i="71"/>
  <c r="W779" i="71"/>
  <c r="W407" i="71"/>
  <c r="W708" i="71"/>
  <c r="W753" i="71"/>
  <c r="W415" i="71"/>
  <c r="W236" i="71"/>
  <c r="W421" i="71"/>
  <c r="W331" i="71"/>
  <c r="W817" i="71"/>
  <c r="W611" i="71"/>
  <c r="W503" i="71"/>
  <c r="W256" i="71"/>
  <c r="W814" i="71"/>
  <c r="W752" i="71"/>
  <c r="W308" i="71"/>
  <c r="W736" i="71"/>
  <c r="W683" i="71"/>
  <c r="W777" i="71"/>
  <c r="W512" i="71"/>
  <c r="W524" i="71"/>
  <c r="W347" i="71"/>
  <c r="W749" i="71"/>
  <c r="W418" i="71"/>
  <c r="W723" i="71"/>
  <c r="W571" i="71"/>
  <c r="W504" i="71"/>
  <c r="W730" i="71"/>
  <c r="W389" i="71"/>
  <c r="W702" i="71"/>
  <c r="W502" i="71"/>
  <c r="W240" i="71"/>
  <c r="W263" i="71"/>
  <c r="W232" i="71"/>
  <c r="W319" i="71"/>
  <c r="W499" i="71"/>
  <c r="W432" i="71"/>
  <c r="W262" i="71"/>
  <c r="W797" i="71"/>
  <c r="W830" i="71"/>
  <c r="W539" i="71"/>
  <c r="W481" i="71"/>
  <c r="W746" i="71"/>
  <c r="W688" i="71"/>
  <c r="W724" i="71"/>
  <c r="W810" i="71"/>
  <c r="W805" i="71"/>
  <c r="W398" i="71"/>
  <c r="W534" i="71"/>
  <c r="W518" i="71"/>
  <c r="W336" i="71"/>
  <c r="W739" i="71"/>
  <c r="W229" i="71"/>
  <c r="W669" i="71"/>
  <c r="W692" i="71"/>
  <c r="W742" i="71"/>
  <c r="W253" i="71"/>
  <c r="W595" i="71"/>
  <c r="W522" i="71"/>
  <c r="W306" i="71"/>
  <c r="W417" i="71"/>
  <c r="W533" i="71"/>
  <c r="W700" i="71"/>
  <c r="W396" i="71"/>
  <c r="W372" i="71"/>
  <c r="W538" i="71"/>
  <c r="W573" i="71"/>
  <c r="W576" i="71"/>
  <c r="W399" i="71"/>
  <c r="W553" i="71"/>
  <c r="W273" i="71"/>
  <c r="W327" i="71"/>
  <c r="W492" i="71"/>
  <c r="W219" i="71"/>
  <c r="W217" i="71"/>
  <c r="W294" i="71"/>
  <c r="W212" i="71"/>
  <c r="W323" i="71"/>
  <c r="W559" i="71"/>
  <c r="W231" i="71"/>
  <c r="W759" i="71"/>
  <c r="W798" i="71"/>
  <c r="W381" i="71"/>
  <c r="W682" i="71"/>
  <c r="W496" i="71"/>
  <c r="W601" i="71"/>
  <c r="W276" i="71"/>
  <c r="W521" i="71"/>
  <c r="W699" i="71"/>
  <c r="W745" i="71"/>
  <c r="W464" i="71"/>
  <c r="W335" i="71"/>
  <c r="W410" i="71"/>
  <c r="W767" i="71"/>
  <c r="W715" i="71"/>
  <c r="W706" i="71"/>
  <c r="W763" i="71"/>
  <c r="W295" i="71"/>
  <c r="W440" i="71"/>
  <c r="W225" i="71"/>
  <c r="W511" i="71"/>
  <c r="W728" i="71"/>
  <c r="W680" i="71"/>
  <c r="W701" i="71"/>
  <c r="W402" i="71"/>
  <c r="W593" i="71"/>
  <c r="W566" i="71"/>
  <c r="W345" i="71"/>
  <c r="W329" i="71"/>
  <c r="W309" i="71"/>
  <c r="W778" i="71"/>
  <c r="W436" i="71"/>
  <c r="W657" i="71"/>
  <c r="W272" i="71"/>
  <c r="W789" i="71"/>
  <c r="W832" i="71"/>
  <c r="W625" i="71"/>
  <c r="W741" i="71"/>
  <c r="W278" i="71"/>
  <c r="W375" i="71"/>
  <c r="W691" i="71"/>
  <c r="W271" i="71"/>
  <c r="W754" i="71"/>
  <c r="W478" i="71"/>
  <c r="W712" i="71"/>
  <c r="W321" i="71"/>
  <c r="W377" i="71"/>
  <c r="W717" i="71"/>
  <c r="W748" i="71"/>
  <c r="W554" i="71"/>
  <c r="W681" i="71"/>
  <c r="W652" i="71"/>
  <c r="W713" i="71"/>
  <c r="W339" i="71"/>
  <c r="W455" i="71"/>
  <c r="W616" i="71"/>
  <c r="W671" i="71"/>
  <c r="W660" i="71"/>
  <c r="W540" i="71"/>
  <c r="W744" i="71"/>
  <c r="W619" i="71"/>
  <c r="W791" i="71"/>
  <c r="W224" i="71"/>
  <c r="W615" i="71"/>
  <c r="W740" i="71"/>
  <c r="W537" i="71"/>
  <c r="W766" i="71"/>
  <c r="W536" i="71"/>
  <c r="W650" i="71"/>
  <c r="W677" i="71"/>
  <c r="W535" i="71"/>
  <c r="W486" i="71"/>
  <c r="W302" i="71"/>
  <c r="W373" i="71"/>
  <c r="W216" i="71"/>
  <c r="W782" i="71"/>
  <c r="W804" i="71"/>
  <c r="W485" i="71"/>
  <c r="W429" i="71"/>
  <c r="W258" i="71"/>
  <c r="W583" i="71"/>
  <c r="W697" i="71"/>
  <c r="W651" i="71"/>
  <c r="W664" i="71"/>
  <c r="W641" i="71"/>
  <c r="W390" i="71"/>
  <c r="W434" i="71"/>
  <c r="W371" i="71"/>
  <c r="W285" i="71"/>
  <c r="W425" i="71"/>
  <c r="W460" i="71"/>
  <c r="W563" i="71"/>
  <c r="W528" i="71"/>
  <c r="W684" i="71"/>
  <c r="W589" i="71"/>
  <c r="W831" i="71"/>
  <c r="W363" i="71"/>
  <c r="W597" i="71"/>
  <c r="W423" i="71"/>
  <c r="W624" i="71"/>
  <c r="W247" i="71"/>
  <c r="W230" i="71"/>
  <c r="W711" i="71"/>
  <c r="W322" i="71"/>
  <c r="W438" i="71"/>
  <c r="W623" i="71"/>
  <c r="W516" i="71"/>
  <c r="W380" i="71"/>
  <c r="W519" i="71"/>
  <c r="W292" i="71"/>
  <c r="W807" i="71"/>
  <c r="W731" i="71"/>
  <c r="W275" i="71"/>
  <c r="W770" i="71"/>
  <c r="W334" i="71"/>
  <c r="W501" i="71"/>
  <c r="W443" i="71"/>
  <c r="W786" i="71"/>
  <c r="W476" i="71"/>
  <c r="W667" i="71"/>
  <c r="W483" i="71"/>
  <c r="W640" i="71"/>
  <c r="W291" i="71"/>
  <c r="W300" i="71"/>
  <c r="W391" i="71"/>
  <c r="W403" i="71"/>
  <c r="W560" i="71"/>
  <c r="W379" i="71"/>
  <c r="W449" i="71"/>
  <c r="W341" i="71"/>
  <c r="W251" i="71"/>
  <c r="W674" i="71"/>
  <c r="W755" i="71"/>
  <c r="W544" i="71"/>
  <c r="W829" i="71"/>
  <c r="W575" i="71"/>
  <c r="W695" i="71"/>
  <c r="W284" i="71"/>
  <c r="W591" i="71"/>
  <c r="W648" i="71"/>
  <c r="W506" i="71"/>
  <c r="W405" i="71"/>
  <c r="W466" i="71"/>
  <c r="W644" i="71"/>
  <c r="W776" i="71"/>
  <c r="W734" i="71"/>
  <c r="W318" i="71"/>
  <c r="W630" i="71"/>
  <c r="W265" i="71"/>
  <c r="W612" i="71"/>
  <c r="W599" i="71"/>
  <c r="W792" i="71"/>
  <c r="W255" i="71"/>
  <c r="W787" i="71"/>
  <c r="W353" i="71"/>
  <c r="W685" i="71"/>
  <c r="W833" i="71"/>
  <c r="W444" i="71"/>
  <c r="W333" i="71"/>
  <c r="W729" i="71"/>
  <c r="W547" i="71"/>
  <c r="W626" i="71"/>
  <c r="W653" i="71"/>
  <c r="W707" i="71"/>
  <c r="W307" i="71"/>
  <c r="W793" i="71"/>
  <c r="W608" i="71"/>
  <c r="W235" i="71"/>
  <c r="W655" i="71"/>
  <c r="W283" i="71"/>
  <c r="W356" i="71"/>
  <c r="W584" i="71"/>
  <c r="W367" i="71"/>
  <c r="W826" i="71"/>
  <c r="W430" i="71"/>
  <c r="W803" i="71"/>
  <c r="W431" i="71"/>
  <c r="W467" i="71"/>
  <c r="W326" i="71"/>
  <c r="W577" i="71"/>
  <c r="W416" i="71"/>
  <c r="W614" i="71"/>
  <c r="W816" i="71"/>
  <c r="W809" i="71"/>
  <c r="W604" i="71"/>
  <c r="W452" i="71"/>
  <c r="W716" i="71"/>
  <c r="W520" i="71"/>
  <c r="W678" i="71"/>
  <c r="W790" i="71"/>
  <c r="W825" i="71"/>
  <c r="W714" i="71"/>
  <c r="W764" i="71"/>
  <c r="W545" i="71"/>
  <c r="W735" i="71"/>
  <c r="W637" i="71"/>
  <c r="W737" i="71"/>
  <c r="W400" i="71"/>
  <c r="W393" i="71"/>
  <c r="W800" i="71"/>
  <c r="AD214" i="71" l="1"/>
  <c r="AE214" i="71"/>
  <c r="O215" i="71"/>
  <c r="X215" i="71" s="1"/>
  <c r="O216" i="71" l="1"/>
  <c r="X216" i="71" s="1"/>
  <c r="AD215" i="71"/>
  <c r="AE215" i="71"/>
  <c r="AD216" i="71" l="1"/>
  <c r="AE216" i="71"/>
  <c r="O217" i="71"/>
  <c r="X217" i="71" s="1"/>
  <c r="O218" i="71" l="1"/>
  <c r="X218" i="71" s="1"/>
  <c r="AE217" i="71"/>
  <c r="AD217" i="71"/>
  <c r="AD218" i="71" l="1"/>
  <c r="AE218" i="71"/>
  <c r="O219" i="71"/>
  <c r="X219" i="71" s="1"/>
  <c r="O220" i="71" l="1"/>
  <c r="X220" i="71" s="1"/>
  <c r="AD219" i="71"/>
  <c r="AE219" i="71"/>
  <c r="AD220" i="71" l="1"/>
  <c r="AE220" i="71"/>
  <c r="O221" i="71"/>
  <c r="X221" i="71" s="1"/>
  <c r="O222" i="71" l="1"/>
  <c r="X222" i="71" s="1"/>
  <c r="AD221" i="71"/>
  <c r="AE221" i="71"/>
  <c r="AD222" i="71" l="1"/>
  <c r="AE222" i="71"/>
  <c r="O223" i="71"/>
  <c r="X223" i="71" s="1"/>
  <c r="O224" i="71" l="1"/>
  <c r="X224" i="71" s="1"/>
  <c r="AD223" i="71"/>
  <c r="AE223" i="71"/>
  <c r="AD224" i="71" l="1"/>
  <c r="O225" i="71"/>
  <c r="X225" i="71" s="1"/>
  <c r="AE224" i="71"/>
  <c r="O226" i="71" l="1"/>
  <c r="X226" i="71" s="1"/>
  <c r="AD225" i="71"/>
  <c r="AE225" i="71"/>
  <c r="AD226" i="71" l="1"/>
  <c r="AE226" i="71"/>
  <c r="O227" i="71"/>
  <c r="X227" i="71" s="1"/>
  <c r="O228" i="71" l="1"/>
  <c r="X228" i="71" s="1"/>
  <c r="AD227" i="71"/>
  <c r="AE227" i="71"/>
  <c r="AD228" i="71" l="1"/>
  <c r="AE228" i="71"/>
  <c r="O229" i="71"/>
  <c r="X229" i="71" s="1"/>
  <c r="O230" i="71" l="1"/>
  <c r="X230" i="71" s="1"/>
  <c r="AD229" i="71"/>
  <c r="AE229" i="71"/>
  <c r="AD230" i="71" l="1"/>
  <c r="AE230" i="71"/>
  <c r="O231" i="71"/>
  <c r="X231" i="71" s="1"/>
  <c r="O232" i="71" l="1"/>
  <c r="X232" i="71" s="1"/>
  <c r="AD231" i="71"/>
  <c r="AE231" i="71"/>
  <c r="AD232" i="71" l="1"/>
  <c r="AE232" i="71"/>
  <c r="O233" i="71"/>
  <c r="X233" i="71" s="1"/>
  <c r="O234" i="71" l="1"/>
  <c r="X234" i="71" s="1"/>
  <c r="AE233" i="71"/>
  <c r="AD233" i="71"/>
  <c r="AD234" i="71" l="1"/>
  <c r="AE234" i="71"/>
  <c r="O235" i="71"/>
  <c r="X235" i="71" s="1"/>
  <c r="O236" i="71" l="1"/>
  <c r="X236" i="71" s="1"/>
  <c r="AD235" i="71"/>
  <c r="AE235" i="71"/>
  <c r="AD236" i="71" l="1"/>
  <c r="AE236" i="71"/>
  <c r="O237" i="71"/>
  <c r="X237" i="71" s="1"/>
  <c r="O238" i="71" l="1"/>
  <c r="X238" i="71" s="1"/>
  <c r="AD237" i="71"/>
  <c r="AE237" i="71"/>
  <c r="AD238" i="71" l="1"/>
  <c r="AE238" i="71"/>
  <c r="O239" i="71"/>
  <c r="X239" i="71" s="1"/>
  <c r="O240" i="71" l="1"/>
  <c r="X240" i="71" s="1"/>
  <c r="AD239" i="71"/>
  <c r="AE239" i="71"/>
  <c r="AD240" i="71" l="1"/>
  <c r="O241" i="71"/>
  <c r="X241" i="71" s="1"/>
  <c r="AE240" i="71"/>
  <c r="O242" i="71" l="1"/>
  <c r="X242" i="71" s="1"/>
  <c r="AD241" i="71"/>
  <c r="AE241" i="71"/>
  <c r="AD242" i="71" l="1"/>
  <c r="AE242" i="71"/>
  <c r="O243" i="71"/>
  <c r="X243" i="71" s="1"/>
  <c r="O244" i="71" l="1"/>
  <c r="X244" i="71" s="1"/>
  <c r="AD243" i="71"/>
  <c r="AE243" i="71"/>
  <c r="AD244" i="71" l="1"/>
  <c r="AE244" i="71"/>
  <c r="O245" i="71"/>
  <c r="X245" i="71" s="1"/>
  <c r="O246" i="71" l="1"/>
  <c r="X246" i="71" s="1"/>
  <c r="AD245" i="71"/>
  <c r="AE245" i="71"/>
  <c r="AD246" i="71" l="1"/>
  <c r="AE246" i="71"/>
  <c r="O247" i="71"/>
  <c r="X247" i="71" s="1"/>
  <c r="AD247" i="71" l="1"/>
  <c r="AE247" i="71"/>
  <c r="O248" i="71"/>
  <c r="X248" i="71" s="1"/>
  <c r="AD248" i="71" l="1"/>
  <c r="O249" i="71"/>
  <c r="X249" i="71" s="1"/>
  <c r="AE248" i="71"/>
  <c r="O250" i="71" l="1"/>
  <c r="X250" i="71" s="1"/>
  <c r="AD249" i="71"/>
  <c r="AE249" i="71"/>
  <c r="AD250" i="71" l="1"/>
  <c r="AE250" i="71"/>
  <c r="O251" i="71"/>
  <c r="X251" i="71" s="1"/>
  <c r="AD251" i="71" l="1"/>
  <c r="AE251" i="71"/>
  <c r="O252" i="71"/>
  <c r="X252" i="71" s="1"/>
  <c r="AD252" i="71" l="1"/>
  <c r="AE252" i="71"/>
  <c r="O253" i="71"/>
  <c r="X253" i="71" s="1"/>
  <c r="O254" i="71" l="1"/>
  <c r="X254" i="71" s="1"/>
  <c r="AD253" i="71"/>
  <c r="AE253" i="71"/>
  <c r="O255" i="71" l="1"/>
  <c r="X255" i="71" s="1"/>
  <c r="AD254" i="71"/>
  <c r="AE254" i="71"/>
  <c r="AD255" i="71" l="1"/>
  <c r="AE255" i="71"/>
  <c r="O256" i="71"/>
  <c r="X256" i="71" s="1"/>
  <c r="AD256" i="71" l="1"/>
  <c r="AE256" i="71"/>
  <c r="O257" i="71"/>
  <c r="X257" i="71" s="1"/>
  <c r="O258" i="71" l="1"/>
  <c r="X258" i="71" s="1"/>
  <c r="AD257" i="71"/>
  <c r="AE257" i="71"/>
  <c r="AE258" i="71" l="1"/>
  <c r="AD258" i="71"/>
  <c r="O259" i="71"/>
  <c r="X259" i="71" s="1"/>
  <c r="AE259" i="71" l="1"/>
  <c r="O260" i="71"/>
  <c r="X260" i="71" s="1"/>
  <c r="AD259" i="71"/>
  <c r="AD260" i="71" l="1"/>
  <c r="AE260" i="71"/>
  <c r="O261" i="71"/>
  <c r="X261" i="71" s="1"/>
  <c r="O262" i="71" l="1"/>
  <c r="X262" i="71" s="1"/>
  <c r="AE261" i="71"/>
  <c r="AD261" i="71"/>
  <c r="AE262" i="71" l="1"/>
  <c r="O263" i="71"/>
  <c r="X263" i="71" s="1"/>
  <c r="AD262" i="71"/>
  <c r="AE263" i="71" l="1"/>
  <c r="O264" i="71"/>
  <c r="X264" i="71" s="1"/>
  <c r="AD263" i="71"/>
  <c r="AD264" i="71" l="1"/>
  <c r="O265" i="71"/>
  <c r="X265" i="71" s="1"/>
  <c r="AE264" i="71"/>
  <c r="O266" i="71" l="1"/>
  <c r="X266" i="71" s="1"/>
  <c r="AE265" i="71"/>
  <c r="AD265" i="71"/>
  <c r="AE266" i="71" l="1"/>
  <c r="O267" i="71"/>
  <c r="X267" i="71" s="1"/>
  <c r="AD266" i="71"/>
  <c r="AD267" i="71" l="1"/>
  <c r="O268" i="71"/>
  <c r="X268" i="71" s="1"/>
  <c r="AE267" i="71"/>
  <c r="AD268" i="71" l="1"/>
  <c r="O269" i="71"/>
  <c r="X269" i="71" s="1"/>
  <c r="AE268" i="71"/>
  <c r="O270" i="71" l="1"/>
  <c r="X270" i="71" s="1"/>
  <c r="AD269" i="71"/>
  <c r="AE269" i="71"/>
  <c r="AD270" i="71" l="1"/>
  <c r="AE270" i="71"/>
  <c r="O271" i="71"/>
  <c r="X271" i="71" s="1"/>
  <c r="O272" i="71" l="1"/>
  <c r="X272" i="71" s="1"/>
  <c r="AD271" i="71"/>
  <c r="AE271" i="71"/>
  <c r="AD272" i="71" l="1"/>
  <c r="O273" i="71"/>
  <c r="X273" i="71" s="1"/>
  <c r="AE272" i="71"/>
  <c r="O274" i="71" l="1"/>
  <c r="X274" i="71" s="1"/>
  <c r="AD273" i="71"/>
  <c r="AE273" i="71"/>
  <c r="O275" i="71" l="1"/>
  <c r="X275" i="71" s="1"/>
  <c r="AD274" i="71"/>
  <c r="AE274" i="71"/>
  <c r="AD275" i="71" l="1"/>
  <c r="O276" i="71"/>
  <c r="X276" i="71" s="1"/>
  <c r="AE275" i="71"/>
  <c r="AD276" i="71" l="1"/>
  <c r="AE276" i="71"/>
  <c r="O277" i="71"/>
  <c r="X277" i="71" s="1"/>
  <c r="O278" i="71" l="1"/>
  <c r="X278" i="71" s="1"/>
  <c r="AD277" i="71"/>
  <c r="AE277" i="71"/>
  <c r="AD278" i="71" l="1"/>
  <c r="O279" i="71"/>
  <c r="X279" i="71" s="1"/>
  <c r="AE278" i="71"/>
  <c r="AE279" i="71" l="1"/>
  <c r="O280" i="71"/>
  <c r="X280" i="71" s="1"/>
  <c r="AD279" i="71"/>
  <c r="AD280" i="71" l="1"/>
  <c r="AE280" i="71"/>
  <c r="O281" i="71"/>
  <c r="X281" i="71" s="1"/>
  <c r="O282" i="71" l="1"/>
  <c r="X282" i="71" s="1"/>
  <c r="AD281" i="71"/>
  <c r="AE281" i="71"/>
  <c r="AE282" i="71" l="1"/>
  <c r="O283" i="71"/>
  <c r="X283" i="71" s="1"/>
  <c r="AD282" i="71"/>
  <c r="AD283" i="71" l="1"/>
  <c r="AE283" i="71"/>
  <c r="O284" i="71"/>
  <c r="X284" i="71" s="1"/>
  <c r="AD284" i="71" l="1"/>
  <c r="AE284" i="71"/>
  <c r="O285" i="71"/>
  <c r="X285" i="71" s="1"/>
  <c r="O286" i="71" l="1"/>
  <c r="X286" i="71" s="1"/>
  <c r="AE285" i="71"/>
  <c r="AD285" i="71"/>
  <c r="AD286" i="71" l="1"/>
  <c r="AE286" i="71"/>
  <c r="O287" i="71"/>
  <c r="X287" i="71" s="1"/>
  <c r="AD287" i="71" l="1"/>
  <c r="O288" i="71"/>
  <c r="X288" i="71" s="1"/>
  <c r="AE287" i="71"/>
  <c r="AD288" i="71" l="1"/>
  <c r="AE288" i="71"/>
  <c r="O289" i="71"/>
  <c r="X289" i="71" s="1"/>
  <c r="O290" i="71" l="1"/>
  <c r="X290" i="71" s="1"/>
  <c r="AE289" i="71"/>
  <c r="AD289" i="71"/>
  <c r="AD290" i="71" l="1"/>
  <c r="AE290" i="71"/>
  <c r="O291" i="71"/>
  <c r="X291" i="71" s="1"/>
  <c r="AD291" i="71" l="1"/>
  <c r="O292" i="71"/>
  <c r="X292" i="71" s="1"/>
  <c r="AE291" i="71"/>
  <c r="AD292" i="71" l="1"/>
  <c r="AE292" i="71"/>
  <c r="O293" i="71"/>
  <c r="X293" i="71" s="1"/>
  <c r="O294" i="71" l="1"/>
  <c r="X294" i="71" s="1"/>
  <c r="AD293" i="71"/>
  <c r="AE293" i="71"/>
  <c r="AD294" i="71" l="1"/>
  <c r="AE294" i="71"/>
  <c r="O295" i="71"/>
  <c r="X295" i="71" s="1"/>
  <c r="AD295" i="71" l="1"/>
  <c r="O296" i="71"/>
  <c r="X296" i="71" s="1"/>
  <c r="AE295" i="71"/>
  <c r="AD296" i="71" l="1"/>
  <c r="AE296" i="71"/>
  <c r="O297" i="71"/>
  <c r="X297" i="71" s="1"/>
  <c r="O298" i="71" l="1"/>
  <c r="X298" i="71" s="1"/>
  <c r="AE297" i="71"/>
  <c r="AD297" i="71"/>
  <c r="AD298" i="71" l="1"/>
  <c r="AE298" i="71"/>
  <c r="O299" i="71"/>
  <c r="X299" i="71" s="1"/>
  <c r="AD299" i="71" l="1"/>
  <c r="O300" i="71"/>
  <c r="X300" i="71" s="1"/>
  <c r="AE299" i="71"/>
  <c r="AD300" i="71" l="1"/>
  <c r="AE300" i="71"/>
  <c r="O301" i="71"/>
  <c r="X301" i="71" s="1"/>
  <c r="O302" i="71" l="1"/>
  <c r="X302" i="71" s="1"/>
  <c r="AD301" i="71"/>
  <c r="AE301" i="71"/>
  <c r="AD302" i="71" l="1"/>
  <c r="AE302" i="71"/>
  <c r="O303" i="71"/>
  <c r="X303" i="71" s="1"/>
  <c r="AD303" i="71" l="1"/>
  <c r="O304" i="71"/>
  <c r="X304" i="71" s="1"/>
  <c r="AE303" i="71"/>
  <c r="AD304" i="71" l="1"/>
  <c r="AE304" i="71"/>
  <c r="O305" i="71"/>
  <c r="X305" i="71" s="1"/>
  <c r="O306" i="71" l="1"/>
  <c r="X306" i="71" s="1"/>
  <c r="AE305" i="71"/>
  <c r="AD305" i="71"/>
  <c r="AD306" i="71" l="1"/>
  <c r="AE306" i="71"/>
  <c r="O307" i="71"/>
  <c r="X307" i="71" s="1"/>
  <c r="O308" i="71" l="1"/>
  <c r="X308" i="71" s="1"/>
  <c r="AE307" i="71"/>
  <c r="AD307" i="71"/>
  <c r="AD308" i="71" l="1"/>
  <c r="AE308" i="71"/>
  <c r="O309" i="71"/>
  <c r="X309" i="71" s="1"/>
  <c r="O310" i="71" l="1"/>
  <c r="X310" i="71" s="1"/>
  <c r="AE309" i="71"/>
  <c r="AD309" i="71"/>
  <c r="AD310" i="71" l="1"/>
  <c r="O311" i="71"/>
  <c r="X311" i="71" s="1"/>
  <c r="AE310" i="71"/>
  <c r="O312" i="71" l="1"/>
  <c r="X312" i="71" s="1"/>
  <c r="AD311" i="71"/>
  <c r="AE311" i="71"/>
  <c r="AD312" i="71" l="1"/>
  <c r="AE312" i="71"/>
  <c r="O313" i="71"/>
  <c r="X313" i="71" s="1"/>
  <c r="O314" i="71" l="1"/>
  <c r="X314" i="71" s="1"/>
  <c r="AD313" i="71"/>
  <c r="AE313" i="71"/>
  <c r="AD314" i="71" l="1"/>
  <c r="AE314" i="71"/>
  <c r="O315" i="71"/>
  <c r="X315" i="71" s="1"/>
  <c r="O316" i="71" l="1"/>
  <c r="X316" i="71" s="1"/>
  <c r="AD315" i="71"/>
  <c r="AE315" i="71"/>
  <c r="AD316" i="71" l="1"/>
  <c r="AE316" i="71"/>
  <c r="O317" i="71"/>
  <c r="X317" i="71" s="1"/>
  <c r="O318" i="71" l="1"/>
  <c r="X318" i="71" s="1"/>
  <c r="AD317" i="71"/>
  <c r="AE317" i="71"/>
  <c r="AD318" i="71" l="1"/>
  <c r="O319" i="71"/>
  <c r="X319" i="71" s="1"/>
  <c r="AE318" i="71"/>
  <c r="O320" i="71" l="1"/>
  <c r="X320" i="71" s="1"/>
  <c r="AD319" i="71"/>
  <c r="AE319" i="71"/>
  <c r="AD320" i="71" l="1"/>
  <c r="AE320" i="71"/>
  <c r="O321" i="71"/>
  <c r="X321" i="71" s="1"/>
  <c r="O322" i="71" l="1"/>
  <c r="X322" i="71" s="1"/>
  <c r="AD321" i="71"/>
  <c r="AE321" i="71"/>
  <c r="AD322" i="71" l="1"/>
  <c r="AE322" i="71"/>
  <c r="O323" i="71"/>
  <c r="X323" i="71" s="1"/>
  <c r="O324" i="71" l="1"/>
  <c r="X324" i="71" s="1"/>
  <c r="AE323" i="71"/>
  <c r="AD323" i="71"/>
  <c r="AD324" i="71" l="1"/>
  <c r="AE324" i="71"/>
  <c r="O325" i="71"/>
  <c r="X325" i="71" s="1"/>
  <c r="O326" i="71" l="1"/>
  <c r="X326" i="71" s="1"/>
  <c r="AE325" i="71"/>
  <c r="AD325" i="71"/>
  <c r="AD326" i="71" l="1"/>
  <c r="O327" i="71"/>
  <c r="X327" i="71" s="1"/>
  <c r="AE326" i="71"/>
  <c r="O328" i="71" l="1"/>
  <c r="X328" i="71" s="1"/>
  <c r="AD327" i="71"/>
  <c r="AE327" i="71"/>
  <c r="AD328" i="71" l="1"/>
  <c r="AE328" i="71"/>
  <c r="O329" i="71"/>
  <c r="X329" i="71" s="1"/>
  <c r="O330" i="71" l="1"/>
  <c r="X330" i="71" s="1"/>
  <c r="AD329" i="71"/>
  <c r="AE329" i="71"/>
  <c r="AD330" i="71" l="1"/>
  <c r="AE330" i="71"/>
  <c r="O331" i="71"/>
  <c r="X331" i="71" s="1"/>
  <c r="O332" i="71" l="1"/>
  <c r="X332" i="71" s="1"/>
  <c r="AE331" i="71"/>
  <c r="AD331" i="71"/>
  <c r="AD332" i="71" l="1"/>
  <c r="AE332" i="71"/>
  <c r="O333" i="71"/>
  <c r="X333" i="71" s="1"/>
  <c r="O334" i="71" l="1"/>
  <c r="X334" i="71" s="1"/>
  <c r="AE333" i="71"/>
  <c r="AD333" i="71"/>
  <c r="AD334" i="71" l="1"/>
  <c r="AE334" i="71"/>
  <c r="O335" i="71"/>
  <c r="X335" i="71" s="1"/>
  <c r="O336" i="71" l="1"/>
  <c r="X336" i="71" s="1"/>
  <c r="AD335" i="71"/>
  <c r="AE335" i="71"/>
  <c r="AD336" i="71" l="1"/>
  <c r="AE336" i="71"/>
  <c r="O337" i="71"/>
  <c r="X337" i="71" s="1"/>
  <c r="O338" i="71" l="1"/>
  <c r="X338" i="71" s="1"/>
  <c r="AD337" i="71"/>
  <c r="AE337" i="71"/>
  <c r="AD338" i="71" l="1"/>
  <c r="AE338" i="71"/>
  <c r="O339" i="71"/>
  <c r="X339" i="71" s="1"/>
  <c r="O340" i="71" l="1"/>
  <c r="X340" i="71" s="1"/>
  <c r="AE339" i="71"/>
  <c r="AD339" i="71"/>
  <c r="AD340" i="71" l="1"/>
  <c r="AE340" i="71"/>
  <c r="O341" i="71"/>
  <c r="X341" i="71" s="1"/>
  <c r="O342" i="71" l="1"/>
  <c r="X342" i="71" s="1"/>
  <c r="AE341" i="71"/>
  <c r="AD341" i="71"/>
  <c r="AD342" i="71" l="1"/>
  <c r="O343" i="71"/>
  <c r="X343" i="71" s="1"/>
  <c r="AE342" i="71"/>
  <c r="O344" i="71" l="1"/>
  <c r="X344" i="71" s="1"/>
  <c r="AD343" i="71"/>
  <c r="AE343" i="71"/>
  <c r="AD344" i="71" l="1"/>
  <c r="AE344" i="71"/>
  <c r="O345" i="71"/>
  <c r="X345" i="71" s="1"/>
  <c r="O346" i="71" l="1"/>
  <c r="X346" i="71" s="1"/>
  <c r="AD345" i="71"/>
  <c r="AE345" i="71"/>
  <c r="AD346" i="71" l="1"/>
  <c r="AE346" i="71"/>
  <c r="O347" i="71"/>
  <c r="X347" i="71" s="1"/>
  <c r="O348" i="71" l="1"/>
  <c r="X348" i="71" s="1"/>
  <c r="AD347" i="71"/>
  <c r="AE347" i="71"/>
  <c r="AD348" i="71" l="1"/>
  <c r="AE348" i="71"/>
  <c r="O349" i="71"/>
  <c r="X349" i="71" s="1"/>
  <c r="O350" i="71" l="1"/>
  <c r="X350" i="71" s="1"/>
  <c r="AD349" i="71"/>
  <c r="AE349" i="71"/>
  <c r="AD350" i="71" l="1"/>
  <c r="O351" i="71"/>
  <c r="X351" i="71" s="1"/>
  <c r="AE350" i="71"/>
  <c r="O352" i="71" l="1"/>
  <c r="X352" i="71" s="1"/>
  <c r="AD351" i="71"/>
  <c r="AE351" i="71"/>
  <c r="AD352" i="71" l="1"/>
  <c r="AE352" i="71"/>
  <c r="O353" i="71"/>
  <c r="X353" i="71" s="1"/>
  <c r="O354" i="71" l="1"/>
  <c r="X354" i="71" s="1"/>
  <c r="AD353" i="71"/>
  <c r="AE353" i="71"/>
  <c r="AD354" i="71" l="1"/>
  <c r="AE354" i="71"/>
  <c r="O355" i="71"/>
  <c r="X355" i="71" s="1"/>
  <c r="O356" i="71" l="1"/>
  <c r="X356" i="71" s="1"/>
  <c r="AE355" i="71"/>
  <c r="AD355" i="71"/>
  <c r="AD356" i="71" l="1"/>
  <c r="AE356" i="71"/>
  <c r="O357" i="71"/>
  <c r="X357" i="71" s="1"/>
  <c r="O358" i="71" l="1"/>
  <c r="X358" i="71" s="1"/>
  <c r="AE357" i="71"/>
  <c r="AD357" i="71"/>
  <c r="AD358" i="71" l="1"/>
  <c r="O359" i="71"/>
  <c r="X359" i="71" s="1"/>
  <c r="AE358" i="71"/>
  <c r="O360" i="71" l="1"/>
  <c r="X360" i="71" s="1"/>
  <c r="AD359" i="71"/>
  <c r="AE359" i="71"/>
  <c r="AD360" i="71" l="1"/>
  <c r="AE360" i="71"/>
  <c r="O361" i="71"/>
  <c r="X361" i="71" s="1"/>
  <c r="O362" i="71" l="1"/>
  <c r="X362" i="71" s="1"/>
  <c r="AD361" i="71"/>
  <c r="AE361" i="71"/>
  <c r="AD362" i="71" l="1"/>
  <c r="AE362" i="71"/>
  <c r="O363" i="71"/>
  <c r="X363" i="71" s="1"/>
  <c r="O364" i="71" l="1"/>
  <c r="X364" i="71" s="1"/>
  <c r="AE363" i="71"/>
  <c r="AD363" i="71"/>
  <c r="AD364" i="71" l="1"/>
  <c r="AE364" i="71"/>
  <c r="O365" i="71"/>
  <c r="X365" i="71" s="1"/>
  <c r="O366" i="71" l="1"/>
  <c r="X366" i="71" s="1"/>
  <c r="AE365" i="71"/>
  <c r="AD365" i="71"/>
  <c r="AD366" i="71" l="1"/>
  <c r="AE366" i="71"/>
  <c r="O367" i="71"/>
  <c r="X367" i="71" s="1"/>
  <c r="O368" i="71" l="1"/>
  <c r="X368" i="71" s="1"/>
  <c r="AD367" i="71"/>
  <c r="AE367" i="71"/>
  <c r="AD368" i="71" l="1"/>
  <c r="AE368" i="71"/>
  <c r="O369" i="71"/>
  <c r="X369" i="71" s="1"/>
  <c r="O370" i="71" l="1"/>
  <c r="X370" i="71" s="1"/>
  <c r="AD369" i="71"/>
  <c r="AE369" i="71"/>
  <c r="AD370" i="71" l="1"/>
  <c r="AE370" i="71"/>
  <c r="O371" i="71"/>
  <c r="X371" i="71" s="1"/>
  <c r="O372" i="71" l="1"/>
  <c r="X372" i="71" s="1"/>
  <c r="AE371" i="71"/>
  <c r="AD371" i="71"/>
  <c r="AD372" i="71" l="1"/>
  <c r="AE372" i="71"/>
  <c r="O373" i="71"/>
  <c r="X373" i="71" s="1"/>
  <c r="O374" i="71" l="1"/>
  <c r="X374" i="71" s="1"/>
  <c r="AD373" i="71"/>
  <c r="AE373" i="71"/>
  <c r="AD374" i="71" l="1"/>
  <c r="O375" i="71"/>
  <c r="X375" i="71" s="1"/>
  <c r="AE374" i="71"/>
  <c r="O376" i="71" l="1"/>
  <c r="X376" i="71" s="1"/>
  <c r="AE375" i="71"/>
  <c r="AD375" i="71"/>
  <c r="AD376" i="71" l="1"/>
  <c r="AE376" i="71"/>
  <c r="O377" i="71"/>
  <c r="X377" i="71" s="1"/>
  <c r="O378" i="71" l="1"/>
  <c r="X378" i="71" s="1"/>
  <c r="AD377" i="71"/>
  <c r="AE377" i="71"/>
  <c r="AD378" i="71" l="1"/>
  <c r="O379" i="71"/>
  <c r="X379" i="71" s="1"/>
  <c r="AE378" i="71"/>
  <c r="O380" i="71" l="1"/>
  <c r="X380" i="71" s="1"/>
  <c r="AD379" i="71"/>
  <c r="AE379" i="71"/>
  <c r="AD380" i="71" l="1"/>
  <c r="AE380" i="71"/>
  <c r="O381" i="71"/>
  <c r="X381" i="71" s="1"/>
  <c r="O382" i="71" l="1"/>
  <c r="X382" i="71" s="1"/>
  <c r="AD381" i="71"/>
  <c r="AE381" i="71"/>
  <c r="AD382" i="71" l="1"/>
  <c r="O383" i="71"/>
  <c r="X383" i="71" s="1"/>
  <c r="AE382" i="71"/>
  <c r="O384" i="71" l="1"/>
  <c r="X384" i="71" s="1"/>
  <c r="AE383" i="71"/>
  <c r="AD383" i="71"/>
  <c r="AD384" i="71" l="1"/>
  <c r="AE384" i="71"/>
  <c r="O385" i="71"/>
  <c r="X385" i="71" s="1"/>
  <c r="O386" i="71" l="1"/>
  <c r="X386" i="71" s="1"/>
  <c r="AD385" i="71"/>
  <c r="AE385" i="71"/>
  <c r="AD386" i="71" l="1"/>
  <c r="AE386" i="71"/>
  <c r="O387" i="71"/>
  <c r="X387" i="71" s="1"/>
  <c r="O388" i="71" l="1"/>
  <c r="X388" i="71" s="1"/>
  <c r="AE387" i="71"/>
  <c r="AD387" i="71"/>
  <c r="AD388" i="71" l="1"/>
  <c r="AE388" i="71"/>
  <c r="O389" i="71"/>
  <c r="X389" i="71" s="1"/>
  <c r="O390" i="71" l="1"/>
  <c r="X390" i="71" s="1"/>
  <c r="AD389" i="71"/>
  <c r="AE389" i="71"/>
  <c r="AD390" i="71" l="1"/>
  <c r="O391" i="71"/>
  <c r="X391" i="71" s="1"/>
  <c r="AE390" i="71"/>
  <c r="O392" i="71" l="1"/>
  <c r="X392" i="71" s="1"/>
  <c r="AE391" i="71"/>
  <c r="AD391" i="71"/>
  <c r="AD392" i="71" l="1"/>
  <c r="AE392" i="71"/>
  <c r="O393" i="71"/>
  <c r="X393" i="71" s="1"/>
  <c r="O394" i="71" l="1"/>
  <c r="X394" i="71" s="1"/>
  <c r="AD393" i="71"/>
  <c r="AE393" i="71"/>
  <c r="AD394" i="71" l="1"/>
  <c r="O395" i="71"/>
  <c r="X395" i="71" s="1"/>
  <c r="AE394" i="71"/>
  <c r="O396" i="71" l="1"/>
  <c r="X396" i="71" s="1"/>
  <c r="AD395" i="71"/>
  <c r="AE395" i="71"/>
  <c r="AD396" i="71" l="1"/>
  <c r="AE396" i="71"/>
  <c r="O397" i="71"/>
  <c r="X397" i="71" s="1"/>
  <c r="O398" i="71" l="1"/>
  <c r="X398" i="71" s="1"/>
  <c r="AD397" i="71"/>
  <c r="AE397" i="71"/>
  <c r="AD398" i="71" l="1"/>
  <c r="O399" i="71"/>
  <c r="X399" i="71" s="1"/>
  <c r="AE398" i="71"/>
  <c r="O400" i="71" l="1"/>
  <c r="X400" i="71" s="1"/>
  <c r="AE399" i="71"/>
  <c r="AD399" i="71"/>
  <c r="AD400" i="71" l="1"/>
  <c r="AE400" i="71"/>
  <c r="O401" i="71"/>
  <c r="X401" i="71" s="1"/>
  <c r="O402" i="71" l="1"/>
  <c r="X402" i="71" s="1"/>
  <c r="AD401" i="71"/>
  <c r="AE401" i="71"/>
  <c r="AD402" i="71" l="1"/>
  <c r="AE402" i="71"/>
  <c r="O403" i="71"/>
  <c r="X403" i="71" s="1"/>
  <c r="O404" i="71" l="1"/>
  <c r="X404" i="71" s="1"/>
  <c r="AE403" i="71"/>
  <c r="AD403" i="71"/>
  <c r="AD404" i="71" l="1"/>
  <c r="AE404" i="71"/>
  <c r="O405" i="71"/>
  <c r="X405" i="71" s="1"/>
  <c r="O406" i="71" l="1"/>
  <c r="X406" i="71" s="1"/>
  <c r="AD405" i="71"/>
  <c r="AE405" i="71"/>
  <c r="AD406" i="71" l="1"/>
  <c r="O407" i="71"/>
  <c r="X407" i="71" s="1"/>
  <c r="AE406" i="71"/>
  <c r="O408" i="71" l="1"/>
  <c r="X408" i="71" s="1"/>
  <c r="AE407" i="71"/>
  <c r="AD407" i="71"/>
  <c r="AD408" i="71" l="1"/>
  <c r="AE408" i="71"/>
  <c r="O409" i="71"/>
  <c r="X409" i="71" s="1"/>
  <c r="O410" i="71" l="1"/>
  <c r="X410" i="71" s="1"/>
  <c r="AD409" i="71"/>
  <c r="AE409" i="71"/>
  <c r="AD410" i="71" l="1"/>
  <c r="O411" i="71"/>
  <c r="X411" i="71" s="1"/>
  <c r="AE410" i="71"/>
  <c r="O412" i="71" l="1"/>
  <c r="X412" i="71" s="1"/>
  <c r="AD411" i="71"/>
  <c r="AE411" i="71"/>
  <c r="AD412" i="71" l="1"/>
  <c r="AE412" i="71"/>
  <c r="O413" i="71"/>
  <c r="X413" i="71" s="1"/>
  <c r="O414" i="71" l="1"/>
  <c r="X414" i="71" s="1"/>
  <c r="AD413" i="71"/>
  <c r="AE413" i="71"/>
  <c r="AD414" i="71" l="1"/>
  <c r="O415" i="71"/>
  <c r="X415" i="71" s="1"/>
  <c r="AE414" i="71"/>
  <c r="O416" i="71" l="1"/>
  <c r="X416" i="71" s="1"/>
  <c r="AE415" i="71"/>
  <c r="AD415" i="71"/>
  <c r="AD416" i="71" l="1"/>
  <c r="AE416" i="71"/>
  <c r="O417" i="71"/>
  <c r="X417" i="71" s="1"/>
  <c r="O418" i="71" l="1"/>
  <c r="X418" i="71" s="1"/>
  <c r="AE417" i="71"/>
  <c r="AD417" i="71"/>
  <c r="AD418" i="71" l="1"/>
  <c r="O419" i="71"/>
  <c r="X419" i="71" s="1"/>
  <c r="AE418" i="71"/>
  <c r="AE419" i="71" l="1"/>
  <c r="O420" i="71"/>
  <c r="X420" i="71" s="1"/>
  <c r="AD419" i="71"/>
  <c r="AD420" i="71" l="1"/>
  <c r="O421" i="71"/>
  <c r="X421" i="71" s="1"/>
  <c r="AE420" i="71"/>
  <c r="O422" i="71" l="1"/>
  <c r="X422" i="71" s="1"/>
  <c r="AD421" i="71"/>
  <c r="AE421" i="71"/>
  <c r="AE422" i="71" l="1"/>
  <c r="O423" i="71"/>
  <c r="X423" i="71" s="1"/>
  <c r="AD422" i="71"/>
  <c r="O424" i="71" l="1"/>
  <c r="X424" i="71" s="1"/>
  <c r="AD423" i="71"/>
  <c r="AE423" i="71"/>
  <c r="AD424" i="71" l="1"/>
  <c r="AE424" i="71"/>
  <c r="O425" i="71"/>
  <c r="X425" i="71" s="1"/>
  <c r="O426" i="71" l="1"/>
  <c r="X426" i="71" s="1"/>
  <c r="AE425" i="71"/>
  <c r="AD425" i="71"/>
  <c r="O427" i="71" l="1"/>
  <c r="X427" i="71" s="1"/>
  <c r="AD426" i="71"/>
  <c r="AE426" i="71"/>
  <c r="AD427" i="71" l="1"/>
  <c r="AE427" i="71"/>
  <c r="O428" i="71"/>
  <c r="X428" i="71" s="1"/>
  <c r="AD428" i="71" l="1"/>
  <c r="O429" i="71"/>
  <c r="X429" i="71" s="1"/>
  <c r="AE428" i="71"/>
  <c r="O430" i="71" l="1"/>
  <c r="X430" i="71" s="1"/>
  <c r="AD429" i="71"/>
  <c r="AE429" i="71"/>
  <c r="AD430" i="71" l="1"/>
  <c r="AE430" i="71"/>
  <c r="O431" i="71"/>
  <c r="X431" i="71" s="1"/>
  <c r="AD431" i="71" l="1"/>
  <c r="O432" i="71"/>
  <c r="X432" i="71" s="1"/>
  <c r="AE431" i="71"/>
  <c r="AD432" i="71" l="1"/>
  <c r="AE432" i="71"/>
  <c r="O433" i="71"/>
  <c r="X433" i="71" s="1"/>
  <c r="O434" i="71" l="1"/>
  <c r="X434" i="71" s="1"/>
  <c r="AD433" i="71"/>
  <c r="AE433" i="71"/>
  <c r="AD434" i="71" l="1"/>
  <c r="O435" i="71"/>
  <c r="X435" i="71" s="1"/>
  <c r="AE434" i="71"/>
  <c r="O436" i="71" l="1"/>
  <c r="X436" i="71" s="1"/>
  <c r="AD435" i="71"/>
  <c r="AE435" i="71"/>
  <c r="AD436" i="71" l="1"/>
  <c r="O437" i="71"/>
  <c r="X437" i="71" s="1"/>
  <c r="AE436" i="71"/>
  <c r="AD437" i="71" l="1"/>
  <c r="AE437" i="71"/>
  <c r="O438" i="71"/>
  <c r="X438" i="71" s="1"/>
  <c r="AD438" i="71" l="1"/>
  <c r="O439" i="71"/>
  <c r="X439" i="71" s="1"/>
  <c r="AE438" i="71"/>
  <c r="O440" i="71" l="1"/>
  <c r="X440" i="71" s="1"/>
  <c r="AD439" i="71"/>
  <c r="AE439" i="71"/>
  <c r="AD440" i="71" l="1"/>
  <c r="O441" i="71"/>
  <c r="X441" i="71" s="1"/>
  <c r="AE440" i="71"/>
  <c r="AD441" i="71" l="1"/>
  <c r="AE441" i="71"/>
  <c r="O442" i="71"/>
  <c r="X442" i="71" s="1"/>
  <c r="AD442" i="71" l="1"/>
  <c r="O443" i="71"/>
  <c r="X443" i="71" s="1"/>
  <c r="AE442" i="71"/>
  <c r="O444" i="71" l="1"/>
  <c r="X444" i="71" s="1"/>
  <c r="AD443" i="71"/>
  <c r="AE443" i="71"/>
  <c r="AD444" i="71" l="1"/>
  <c r="O445" i="71"/>
  <c r="X445" i="71" s="1"/>
  <c r="AE444" i="71"/>
  <c r="AD445" i="71" l="1"/>
  <c r="AE445" i="71"/>
  <c r="O446" i="71"/>
  <c r="X446" i="71" s="1"/>
  <c r="AD446" i="71" l="1"/>
  <c r="O447" i="71"/>
  <c r="X447" i="71" s="1"/>
  <c r="AE446" i="71"/>
  <c r="O448" i="71" l="1"/>
  <c r="X448" i="71" s="1"/>
  <c r="AD447" i="71"/>
  <c r="AE447" i="71"/>
  <c r="AD448" i="71" l="1"/>
  <c r="O449" i="71"/>
  <c r="X449" i="71" s="1"/>
  <c r="AE448" i="71"/>
  <c r="AD449" i="71" l="1"/>
  <c r="AE449" i="71"/>
  <c r="O450" i="71"/>
  <c r="X450" i="71" s="1"/>
  <c r="AD450" i="71" l="1"/>
  <c r="O451" i="71"/>
  <c r="X451" i="71" s="1"/>
  <c r="AE450" i="71"/>
  <c r="O452" i="71" l="1"/>
  <c r="X452" i="71" s="1"/>
  <c r="AD451" i="71"/>
  <c r="AE451" i="71"/>
  <c r="AD452" i="71" l="1"/>
  <c r="O453" i="71"/>
  <c r="X453" i="71" s="1"/>
  <c r="AE452" i="71"/>
  <c r="AD453" i="71" l="1"/>
  <c r="AE453" i="71"/>
  <c r="O454" i="71"/>
  <c r="X454" i="71" s="1"/>
  <c r="AD454" i="71" l="1"/>
  <c r="O455" i="71"/>
  <c r="X455" i="71" s="1"/>
  <c r="AE454" i="71"/>
  <c r="O456" i="71" l="1"/>
  <c r="X456" i="71" s="1"/>
  <c r="AD455" i="71"/>
  <c r="AE455" i="71"/>
  <c r="AD456" i="71" l="1"/>
  <c r="O457" i="71"/>
  <c r="X457" i="71" s="1"/>
  <c r="AE456" i="71"/>
  <c r="AD457" i="71" l="1"/>
  <c r="AE457" i="71"/>
  <c r="O458" i="71"/>
  <c r="X458" i="71" s="1"/>
  <c r="AD458" i="71" l="1"/>
  <c r="O459" i="71"/>
  <c r="X459" i="71" s="1"/>
  <c r="AE458" i="71"/>
  <c r="O460" i="71" l="1"/>
  <c r="X460" i="71" s="1"/>
  <c r="AD459" i="71"/>
  <c r="AE459" i="71"/>
  <c r="AD460" i="71" l="1"/>
  <c r="O461" i="71"/>
  <c r="X461" i="71" s="1"/>
  <c r="AE460" i="71"/>
  <c r="AD461" i="71" l="1"/>
  <c r="AE461" i="71"/>
  <c r="O462" i="71"/>
  <c r="X462" i="71" s="1"/>
  <c r="AD462" i="71" l="1"/>
  <c r="O463" i="71"/>
  <c r="X463" i="71" s="1"/>
  <c r="AE462" i="71"/>
  <c r="O464" i="71" l="1"/>
  <c r="X464" i="71" s="1"/>
  <c r="AD463" i="71"/>
  <c r="AE463" i="71"/>
  <c r="AD464" i="71" l="1"/>
  <c r="O465" i="71"/>
  <c r="X465" i="71" s="1"/>
  <c r="AE464" i="71"/>
  <c r="AD465" i="71" l="1"/>
  <c r="AE465" i="71"/>
  <c r="O466" i="71"/>
  <c r="X466" i="71" s="1"/>
  <c r="AD466" i="71" l="1"/>
  <c r="O467" i="71"/>
  <c r="X467" i="71" s="1"/>
  <c r="AE466" i="71"/>
  <c r="O468" i="71" l="1"/>
  <c r="X468" i="71" s="1"/>
  <c r="AD467" i="71"/>
  <c r="AE467" i="71"/>
  <c r="AD468" i="71" l="1"/>
  <c r="O469" i="71"/>
  <c r="X469" i="71" s="1"/>
  <c r="AE468" i="71"/>
  <c r="AD469" i="71" l="1"/>
  <c r="AE469" i="71"/>
  <c r="O470" i="71"/>
  <c r="X470" i="71" s="1"/>
  <c r="AD470" i="71" l="1"/>
  <c r="O471" i="71"/>
  <c r="X471" i="71" s="1"/>
  <c r="AE470" i="71"/>
  <c r="O472" i="71" l="1"/>
  <c r="X472" i="71" s="1"/>
  <c r="AD471" i="71"/>
  <c r="AE471" i="71"/>
  <c r="AD472" i="71" l="1"/>
  <c r="O473" i="71"/>
  <c r="X473" i="71" s="1"/>
  <c r="AE472" i="71"/>
  <c r="AD473" i="71" l="1"/>
  <c r="AE473" i="71"/>
  <c r="O474" i="71"/>
  <c r="X474" i="71" s="1"/>
  <c r="AD474" i="71" l="1"/>
  <c r="O475" i="71"/>
  <c r="X475" i="71" s="1"/>
  <c r="AE474" i="71"/>
  <c r="O476" i="71" l="1"/>
  <c r="X476" i="71" s="1"/>
  <c r="AD475" i="71"/>
  <c r="AE475" i="71"/>
  <c r="AD476" i="71" l="1"/>
  <c r="O477" i="71"/>
  <c r="X477" i="71" s="1"/>
  <c r="AE476" i="71"/>
  <c r="AD477" i="71" l="1"/>
  <c r="AE477" i="71"/>
  <c r="O478" i="71"/>
  <c r="X478" i="71" s="1"/>
  <c r="AD478" i="71" l="1"/>
  <c r="O479" i="71"/>
  <c r="X479" i="71" s="1"/>
  <c r="AE478" i="71"/>
  <c r="O480" i="71" l="1"/>
  <c r="X480" i="71" s="1"/>
  <c r="AD479" i="71"/>
  <c r="AE479" i="71"/>
  <c r="AD480" i="71" l="1"/>
  <c r="O481" i="71"/>
  <c r="X481" i="71" s="1"/>
  <c r="AE480" i="71"/>
  <c r="AD481" i="71" l="1"/>
  <c r="AE481" i="71"/>
  <c r="O482" i="71"/>
  <c r="X482" i="71" s="1"/>
  <c r="AD482" i="71" l="1"/>
  <c r="O483" i="71"/>
  <c r="X483" i="71" s="1"/>
  <c r="AE482" i="71"/>
  <c r="O484" i="71" l="1"/>
  <c r="X484" i="71" s="1"/>
  <c r="AD483" i="71"/>
  <c r="AE483" i="71"/>
  <c r="AD484" i="71" l="1"/>
  <c r="O485" i="71"/>
  <c r="X485" i="71" s="1"/>
  <c r="AE484" i="71"/>
  <c r="AD485" i="71" l="1"/>
  <c r="O486" i="71"/>
  <c r="X486" i="71" s="1"/>
  <c r="AE485" i="71"/>
  <c r="AD486" i="71" l="1"/>
  <c r="O487" i="71"/>
  <c r="X487" i="71" s="1"/>
  <c r="AE486" i="71"/>
  <c r="O488" i="71" l="1"/>
  <c r="X488" i="71" s="1"/>
  <c r="AD487" i="71"/>
  <c r="AE487" i="71"/>
  <c r="AD488" i="71" l="1"/>
  <c r="O489" i="71"/>
  <c r="X489" i="71" s="1"/>
  <c r="AE488" i="71"/>
  <c r="AD489" i="71" l="1"/>
  <c r="O490" i="71"/>
  <c r="X490" i="71" s="1"/>
  <c r="AE489" i="71"/>
  <c r="AD490" i="71" l="1"/>
  <c r="O491" i="71"/>
  <c r="X491" i="71" s="1"/>
  <c r="AE490" i="71"/>
  <c r="O492" i="71" l="1"/>
  <c r="X492" i="71" s="1"/>
  <c r="AD491" i="71"/>
  <c r="AE491" i="71"/>
  <c r="AD492" i="71" l="1"/>
  <c r="O493" i="71"/>
  <c r="X493" i="71" s="1"/>
  <c r="AE492" i="71"/>
  <c r="AD493" i="71" l="1"/>
  <c r="O494" i="71"/>
  <c r="X494" i="71" s="1"/>
  <c r="AE493" i="71"/>
  <c r="AD494" i="71" l="1"/>
  <c r="O495" i="71"/>
  <c r="X495" i="71" s="1"/>
  <c r="AE494" i="71"/>
  <c r="O496" i="71" l="1"/>
  <c r="X496" i="71" s="1"/>
  <c r="AD495" i="71"/>
  <c r="AE495" i="71"/>
  <c r="AD496" i="71" l="1"/>
  <c r="O497" i="71"/>
  <c r="X497" i="71" s="1"/>
  <c r="AE496" i="71"/>
  <c r="AD497" i="71" l="1"/>
  <c r="O498" i="71"/>
  <c r="X498" i="71" s="1"/>
  <c r="AE497" i="71"/>
  <c r="AD498" i="71" l="1"/>
  <c r="O499" i="71"/>
  <c r="X499" i="71" s="1"/>
  <c r="AE498" i="71"/>
  <c r="O500" i="71" l="1"/>
  <c r="X500" i="71" s="1"/>
  <c r="AD499" i="71"/>
  <c r="AE499" i="71"/>
  <c r="AD500" i="71" l="1"/>
  <c r="O501" i="71"/>
  <c r="X501" i="71" s="1"/>
  <c r="AE500" i="71"/>
  <c r="AD501" i="71" l="1"/>
  <c r="O502" i="71"/>
  <c r="X502" i="71" s="1"/>
  <c r="AE501" i="71"/>
  <c r="AD502" i="71" l="1"/>
  <c r="O503" i="71"/>
  <c r="X503" i="71" s="1"/>
  <c r="AE502" i="71"/>
  <c r="O504" i="71" l="1"/>
  <c r="X504" i="71" s="1"/>
  <c r="AD503" i="71"/>
  <c r="AE503" i="71"/>
  <c r="AD504" i="71" l="1"/>
  <c r="O505" i="71"/>
  <c r="X505" i="71" s="1"/>
  <c r="AE504" i="71"/>
  <c r="AD505" i="71" l="1"/>
  <c r="O506" i="71"/>
  <c r="X506" i="71" s="1"/>
  <c r="AE505" i="71"/>
  <c r="AD506" i="71" l="1"/>
  <c r="O507" i="71"/>
  <c r="X507" i="71" s="1"/>
  <c r="AE506" i="71"/>
  <c r="O508" i="71" l="1"/>
  <c r="X508" i="71" s="1"/>
  <c r="AD507" i="71"/>
  <c r="AE507" i="71"/>
  <c r="AD508" i="71" l="1"/>
  <c r="O509" i="71"/>
  <c r="X509" i="71" s="1"/>
  <c r="AE508" i="71"/>
  <c r="AD509" i="71" l="1"/>
  <c r="O510" i="71"/>
  <c r="X510" i="71" s="1"/>
  <c r="AE509" i="71"/>
  <c r="AD510" i="71" l="1"/>
  <c r="O511" i="71"/>
  <c r="X511" i="71" s="1"/>
  <c r="AE510" i="71"/>
  <c r="O512" i="71" l="1"/>
  <c r="X512" i="71" s="1"/>
  <c r="AD511" i="71"/>
  <c r="AE511" i="71"/>
  <c r="AD512" i="71" l="1"/>
  <c r="O513" i="71"/>
  <c r="X513" i="71" s="1"/>
  <c r="AE512" i="71"/>
  <c r="AD513" i="71" l="1"/>
  <c r="O514" i="71"/>
  <c r="X514" i="71" s="1"/>
  <c r="AE513" i="71"/>
  <c r="AD514" i="71" l="1"/>
  <c r="O515" i="71"/>
  <c r="X515" i="71" s="1"/>
  <c r="AE514" i="71"/>
  <c r="O516" i="71" l="1"/>
  <c r="X516" i="71" s="1"/>
  <c r="AD515" i="71"/>
  <c r="AE515" i="71"/>
  <c r="AD516" i="71" l="1"/>
  <c r="O517" i="71"/>
  <c r="X517" i="71" s="1"/>
  <c r="AE516" i="71"/>
  <c r="AD517" i="71" l="1"/>
  <c r="O518" i="71"/>
  <c r="X518" i="71" s="1"/>
  <c r="AE517" i="71"/>
  <c r="AD518" i="71" l="1"/>
  <c r="O519" i="71"/>
  <c r="X519" i="71" s="1"/>
  <c r="AE518" i="71"/>
  <c r="O520" i="71" l="1"/>
  <c r="X520" i="71" s="1"/>
  <c r="AD519" i="71"/>
  <c r="AE519" i="71"/>
  <c r="AD520" i="71" l="1"/>
  <c r="O521" i="71"/>
  <c r="X521" i="71" s="1"/>
  <c r="AE520" i="71"/>
  <c r="AD521" i="71" l="1"/>
  <c r="O522" i="71"/>
  <c r="X522" i="71" s="1"/>
  <c r="AE521" i="71"/>
  <c r="AD522" i="71" l="1"/>
  <c r="O523" i="71"/>
  <c r="X523" i="71" s="1"/>
  <c r="AE522" i="71"/>
  <c r="O524" i="71" l="1"/>
  <c r="X524" i="71" s="1"/>
  <c r="AD523" i="71"/>
  <c r="AE523" i="71"/>
  <c r="AD524" i="71" l="1"/>
  <c r="O525" i="71"/>
  <c r="X525" i="71" s="1"/>
  <c r="AE524" i="71"/>
  <c r="AD525" i="71" l="1"/>
  <c r="O526" i="71"/>
  <c r="X526" i="71" s="1"/>
  <c r="AE525" i="71"/>
  <c r="AD526" i="71" l="1"/>
  <c r="AE526" i="71"/>
  <c r="O527" i="71"/>
  <c r="X527" i="71" s="1"/>
  <c r="AE527" i="71" l="1"/>
  <c r="O528" i="71"/>
  <c r="X528" i="71" s="1"/>
  <c r="AD527" i="71"/>
  <c r="AD528" i="71" l="1"/>
  <c r="AE528" i="71"/>
  <c r="O529" i="71"/>
  <c r="X529" i="71" s="1"/>
  <c r="AD529" i="71" l="1"/>
  <c r="AE529" i="71"/>
  <c r="O530" i="71"/>
  <c r="X530" i="71" s="1"/>
  <c r="AD530" i="71" l="1"/>
  <c r="AE530" i="71"/>
  <c r="O531" i="71"/>
  <c r="X531" i="71" s="1"/>
  <c r="AE531" i="71" l="1"/>
  <c r="O532" i="71"/>
  <c r="X532" i="71" s="1"/>
  <c r="AD531" i="71"/>
  <c r="O533" i="71" l="1"/>
  <c r="X533" i="71" s="1"/>
  <c r="AD532" i="71"/>
  <c r="AE532" i="71"/>
  <c r="AD533" i="71" l="1"/>
  <c r="AE533" i="71"/>
  <c r="O534" i="71"/>
  <c r="X534" i="71" s="1"/>
  <c r="AD534" i="71" l="1"/>
  <c r="AE534" i="71"/>
  <c r="O535" i="71"/>
  <c r="X535" i="71" s="1"/>
  <c r="AE535" i="71" l="1"/>
  <c r="O536" i="71"/>
  <c r="X536" i="71" s="1"/>
  <c r="AD535" i="71"/>
  <c r="AD536" i="71" l="1"/>
  <c r="AE536" i="71"/>
  <c r="O537" i="71"/>
  <c r="X537" i="71" s="1"/>
  <c r="AD537" i="71" l="1"/>
  <c r="O538" i="71"/>
  <c r="X538" i="71" s="1"/>
  <c r="AE537" i="71"/>
  <c r="AD538" i="71" l="1"/>
  <c r="AE538" i="71"/>
  <c r="O539" i="71"/>
  <c r="X539" i="71" s="1"/>
  <c r="AE539" i="71" l="1"/>
  <c r="O540" i="71"/>
  <c r="X540" i="71" s="1"/>
  <c r="AD539" i="71"/>
  <c r="O541" i="71" l="1"/>
  <c r="X541" i="71" s="1"/>
  <c r="AD540" i="71"/>
  <c r="AE540" i="71"/>
  <c r="AD541" i="71" l="1"/>
  <c r="AE541" i="71"/>
  <c r="O542" i="71"/>
  <c r="X542" i="71" s="1"/>
  <c r="AD542" i="71" l="1"/>
  <c r="AE542" i="71"/>
  <c r="O543" i="71"/>
  <c r="X543" i="71" s="1"/>
  <c r="AE543" i="71" l="1"/>
  <c r="O544" i="71"/>
  <c r="X544" i="71" s="1"/>
  <c r="AD543" i="71"/>
  <c r="AD544" i="71" l="1"/>
  <c r="AE544" i="71"/>
  <c r="O545" i="71"/>
  <c r="X545" i="71" s="1"/>
  <c r="AD545" i="71" l="1"/>
  <c r="AE545" i="71"/>
  <c r="O546" i="71"/>
  <c r="X546" i="71" s="1"/>
  <c r="AD546" i="71" l="1"/>
  <c r="AE546" i="71"/>
  <c r="O547" i="71"/>
  <c r="X547" i="71" s="1"/>
  <c r="AE547" i="71" l="1"/>
  <c r="O548" i="71"/>
  <c r="X548" i="71" s="1"/>
  <c r="AD547" i="71"/>
  <c r="O549" i="71" l="1"/>
  <c r="X549" i="71" s="1"/>
  <c r="AD548" i="71"/>
  <c r="AE548" i="71"/>
  <c r="AD549" i="71" l="1"/>
  <c r="AE549" i="71"/>
  <c r="O550" i="71"/>
  <c r="X550" i="71" s="1"/>
  <c r="AD550" i="71" l="1"/>
  <c r="AE550" i="71"/>
  <c r="O551" i="71"/>
  <c r="X551" i="71" s="1"/>
  <c r="AE551" i="71" l="1"/>
  <c r="O552" i="71"/>
  <c r="X552" i="71" s="1"/>
  <c r="AD551" i="71"/>
  <c r="AD552" i="71" l="1"/>
  <c r="AE552" i="71"/>
  <c r="O553" i="71"/>
  <c r="X553" i="71" s="1"/>
  <c r="AD553" i="71" l="1"/>
  <c r="O554" i="71"/>
  <c r="X554" i="71" s="1"/>
  <c r="AE553" i="71"/>
  <c r="AD554" i="71" l="1"/>
  <c r="AE554" i="71"/>
  <c r="O555" i="71"/>
  <c r="X555" i="71" s="1"/>
  <c r="AE555" i="71" l="1"/>
  <c r="O556" i="71"/>
  <c r="X556" i="71" s="1"/>
  <c r="AD555" i="71"/>
  <c r="O557" i="71" l="1"/>
  <c r="X557" i="71" s="1"/>
  <c r="AD556" i="71"/>
  <c r="AE556" i="71"/>
  <c r="AD557" i="71" l="1"/>
  <c r="AE557" i="71"/>
  <c r="O558" i="71"/>
  <c r="X558" i="71" s="1"/>
  <c r="AD558" i="71" l="1"/>
  <c r="AE558" i="71"/>
  <c r="O559" i="71"/>
  <c r="X559" i="71" s="1"/>
  <c r="AE559" i="71" l="1"/>
  <c r="O560" i="71"/>
  <c r="X560" i="71" s="1"/>
  <c r="AD559" i="71"/>
  <c r="AD560" i="71" l="1"/>
  <c r="AE560" i="71"/>
  <c r="O561" i="71"/>
  <c r="X561" i="71" s="1"/>
  <c r="AD561" i="71" l="1"/>
  <c r="AE561" i="71"/>
  <c r="O562" i="71"/>
  <c r="X562" i="71" s="1"/>
  <c r="AD562" i="71" l="1"/>
  <c r="AE562" i="71"/>
  <c r="O563" i="71"/>
  <c r="X563" i="71" s="1"/>
  <c r="AE563" i="71" l="1"/>
  <c r="O564" i="71"/>
  <c r="X564" i="71" s="1"/>
  <c r="AD563" i="71"/>
  <c r="O565" i="71" l="1"/>
  <c r="X565" i="71" s="1"/>
  <c r="AD564" i="71"/>
  <c r="AE564" i="71"/>
  <c r="AD565" i="71" l="1"/>
  <c r="AE565" i="71"/>
  <c r="O566" i="71"/>
  <c r="X566" i="71" s="1"/>
  <c r="AD566" i="71" l="1"/>
  <c r="AE566" i="71"/>
  <c r="O567" i="71"/>
  <c r="X567" i="71" s="1"/>
  <c r="AE567" i="71" l="1"/>
  <c r="O568" i="71"/>
  <c r="X568" i="71" s="1"/>
  <c r="AD567" i="71"/>
  <c r="AD568" i="71" l="1"/>
  <c r="AE568" i="71"/>
  <c r="O569" i="71"/>
  <c r="X569" i="71" s="1"/>
  <c r="AD569" i="71" l="1"/>
  <c r="O570" i="71"/>
  <c r="X570" i="71" s="1"/>
  <c r="AE569" i="71"/>
  <c r="AD570" i="71" l="1"/>
  <c r="AE570" i="71"/>
  <c r="O571" i="71"/>
  <c r="X571" i="71" s="1"/>
  <c r="AE571" i="71" l="1"/>
  <c r="O572" i="71"/>
  <c r="X572" i="71" s="1"/>
  <c r="AD571" i="71"/>
  <c r="O573" i="71" l="1"/>
  <c r="X573" i="71" s="1"/>
  <c r="AD572" i="71"/>
  <c r="AE572" i="71"/>
  <c r="AD573" i="71" l="1"/>
  <c r="AE573" i="71"/>
  <c r="O574" i="71"/>
  <c r="X574" i="71" s="1"/>
  <c r="AD574" i="71" l="1"/>
  <c r="AE574" i="71"/>
  <c r="O575" i="71"/>
  <c r="X575" i="71" s="1"/>
  <c r="AE575" i="71" l="1"/>
  <c r="O576" i="71"/>
  <c r="X576" i="71" s="1"/>
  <c r="AD575" i="71"/>
  <c r="AD576" i="71" l="1"/>
  <c r="AE576" i="71"/>
  <c r="O577" i="71"/>
  <c r="X577" i="71" s="1"/>
  <c r="AD577" i="71" l="1"/>
  <c r="AE577" i="71"/>
  <c r="O578" i="71"/>
  <c r="X578" i="71" s="1"/>
  <c r="AD578" i="71" l="1"/>
  <c r="AE578" i="71"/>
  <c r="O579" i="71"/>
  <c r="X579" i="71" s="1"/>
  <c r="AE579" i="71" l="1"/>
  <c r="O580" i="71"/>
  <c r="X580" i="71" s="1"/>
  <c r="AD579" i="71"/>
  <c r="O581" i="71" l="1"/>
  <c r="X581" i="71" s="1"/>
  <c r="AD580" i="71"/>
  <c r="AE580" i="71"/>
  <c r="AD581" i="71" l="1"/>
  <c r="AE581" i="71"/>
  <c r="O582" i="71"/>
  <c r="X582" i="71" s="1"/>
  <c r="AD582" i="71" l="1"/>
  <c r="AE582" i="71"/>
  <c r="O583" i="71"/>
  <c r="X583" i="71" s="1"/>
  <c r="AE583" i="71" l="1"/>
  <c r="O584" i="71"/>
  <c r="X584" i="71" s="1"/>
  <c r="AD583" i="71"/>
  <c r="AD584" i="71" l="1"/>
  <c r="AE584" i="71"/>
  <c r="O585" i="71"/>
  <c r="X585" i="71" s="1"/>
  <c r="AD585" i="71" l="1"/>
  <c r="O586" i="71"/>
  <c r="X586" i="71" s="1"/>
  <c r="AE585" i="71"/>
  <c r="AD586" i="71" l="1"/>
  <c r="AE586" i="71"/>
  <c r="O587" i="71"/>
  <c r="X587" i="71" s="1"/>
  <c r="AE587" i="71" l="1"/>
  <c r="O588" i="71"/>
  <c r="X588" i="71" s="1"/>
  <c r="AD587" i="71"/>
  <c r="O589" i="71" l="1"/>
  <c r="X589" i="71" s="1"/>
  <c r="AD588" i="71"/>
  <c r="AE588" i="71"/>
  <c r="AD589" i="71" l="1"/>
  <c r="AE589" i="71"/>
  <c r="O590" i="71"/>
  <c r="X590" i="71" s="1"/>
  <c r="AD590" i="71" l="1"/>
  <c r="AE590" i="71"/>
  <c r="O591" i="71"/>
  <c r="X591" i="71" s="1"/>
  <c r="AE591" i="71" l="1"/>
  <c r="O592" i="71"/>
  <c r="X592" i="71" s="1"/>
  <c r="AD591" i="71"/>
  <c r="AD592" i="71" l="1"/>
  <c r="AE592" i="71"/>
  <c r="O593" i="71"/>
  <c r="X593" i="71" s="1"/>
  <c r="AD593" i="71" l="1"/>
  <c r="AE593" i="71"/>
  <c r="O594" i="71"/>
  <c r="X594" i="71" s="1"/>
  <c r="AD594" i="71" l="1"/>
  <c r="AE594" i="71"/>
  <c r="O595" i="71"/>
  <c r="X595" i="71" s="1"/>
  <c r="AE595" i="71" l="1"/>
  <c r="O596" i="71"/>
  <c r="X596" i="71" s="1"/>
  <c r="AD595" i="71"/>
  <c r="O597" i="71" l="1"/>
  <c r="X597" i="71" s="1"/>
  <c r="AD596" i="71"/>
  <c r="AE596" i="71"/>
  <c r="AD597" i="71" l="1"/>
  <c r="AE597" i="71"/>
  <c r="O598" i="71"/>
  <c r="X598" i="71" s="1"/>
  <c r="AD598" i="71" l="1"/>
  <c r="AE598" i="71"/>
  <c r="O599" i="71"/>
  <c r="X599" i="71" s="1"/>
  <c r="AE599" i="71" l="1"/>
  <c r="O600" i="71"/>
  <c r="X600" i="71" s="1"/>
  <c r="AD599" i="71"/>
  <c r="AD600" i="71" l="1"/>
  <c r="AE600" i="71"/>
  <c r="O601" i="71"/>
  <c r="X601" i="71" s="1"/>
  <c r="AD601" i="71" l="1"/>
  <c r="O602" i="71"/>
  <c r="X602" i="71" s="1"/>
  <c r="AE601" i="71"/>
  <c r="AD602" i="71" l="1"/>
  <c r="AE602" i="71"/>
  <c r="O603" i="71"/>
  <c r="X603" i="71" s="1"/>
  <c r="AE603" i="71" l="1"/>
  <c r="O604" i="71"/>
  <c r="X604" i="71" s="1"/>
  <c r="AD603" i="71"/>
  <c r="O605" i="71" l="1"/>
  <c r="X605" i="71" s="1"/>
  <c r="AD604" i="71"/>
  <c r="AE604" i="71"/>
  <c r="AD605" i="71" l="1"/>
  <c r="AE605" i="71"/>
  <c r="O606" i="71"/>
  <c r="X606" i="71" s="1"/>
  <c r="AD606" i="71" l="1"/>
  <c r="AE606" i="71"/>
  <c r="O607" i="71"/>
  <c r="X607" i="71" s="1"/>
  <c r="AE607" i="71" l="1"/>
  <c r="O608" i="71"/>
  <c r="X608" i="71" s="1"/>
  <c r="AD607" i="71"/>
  <c r="AD608" i="71" l="1"/>
  <c r="AE608" i="71"/>
  <c r="O609" i="71"/>
  <c r="X609" i="71" s="1"/>
  <c r="AD609" i="71" l="1"/>
  <c r="AE609" i="71"/>
  <c r="O610" i="71"/>
  <c r="X610" i="71" s="1"/>
  <c r="AD610" i="71" l="1"/>
  <c r="AE610" i="71"/>
  <c r="O611" i="71"/>
  <c r="X611" i="71" s="1"/>
  <c r="AE611" i="71" l="1"/>
  <c r="O612" i="71"/>
  <c r="X612" i="71" s="1"/>
  <c r="AD611" i="71"/>
  <c r="O613" i="71" l="1"/>
  <c r="X613" i="71" s="1"/>
  <c r="AD612" i="71"/>
  <c r="AE612" i="71"/>
  <c r="AD613" i="71" l="1"/>
  <c r="AE613" i="71"/>
  <c r="O614" i="71"/>
  <c r="X614" i="71" s="1"/>
  <c r="AD614" i="71" l="1"/>
  <c r="AE614" i="71"/>
  <c r="O615" i="71"/>
  <c r="X615" i="71" s="1"/>
  <c r="AE615" i="71" l="1"/>
  <c r="O616" i="71"/>
  <c r="X616" i="71" s="1"/>
  <c r="AD615" i="71"/>
  <c r="AD616" i="71" l="1"/>
  <c r="AE616" i="71"/>
  <c r="O617" i="71"/>
  <c r="X617" i="71" s="1"/>
  <c r="AD617" i="71" l="1"/>
  <c r="O618" i="71"/>
  <c r="X618" i="71" s="1"/>
  <c r="AE617" i="71"/>
  <c r="AD618" i="71" l="1"/>
  <c r="AE618" i="71"/>
  <c r="O619" i="71"/>
  <c r="X619" i="71" s="1"/>
  <c r="O620" i="71" l="1"/>
  <c r="X620" i="71" s="1"/>
  <c r="AD619" i="71"/>
  <c r="AE619" i="71"/>
  <c r="AE620" i="71" l="1"/>
  <c r="O621" i="71"/>
  <c r="X621" i="71" s="1"/>
  <c r="AD620" i="71"/>
  <c r="AD621" i="71" l="1"/>
  <c r="AE621" i="71"/>
  <c r="O622" i="71"/>
  <c r="X622" i="71" s="1"/>
  <c r="AD622" i="71" l="1"/>
  <c r="AE622" i="71"/>
  <c r="O623" i="71"/>
  <c r="X623" i="71" s="1"/>
  <c r="O624" i="71" l="1"/>
  <c r="X624" i="71" s="1"/>
  <c r="AD623" i="71"/>
  <c r="AE623" i="71"/>
  <c r="AE624" i="71" l="1"/>
  <c r="O625" i="71"/>
  <c r="X625" i="71" s="1"/>
  <c r="AD624" i="71"/>
  <c r="AD625" i="71" l="1"/>
  <c r="AE625" i="71"/>
  <c r="O626" i="71"/>
  <c r="X626" i="71" s="1"/>
  <c r="AD626" i="71" l="1"/>
  <c r="O627" i="71"/>
  <c r="X627" i="71" s="1"/>
  <c r="AE626" i="71"/>
  <c r="O628" i="71" l="1"/>
  <c r="X628" i="71" s="1"/>
  <c r="AD627" i="71"/>
  <c r="AE627" i="71"/>
  <c r="AD628" i="71" l="1"/>
  <c r="AE628" i="71"/>
  <c r="O629" i="71"/>
  <c r="X629" i="71" s="1"/>
  <c r="AD629" i="71" l="1"/>
  <c r="AE629" i="71"/>
  <c r="O630" i="71"/>
  <c r="X630" i="71" s="1"/>
  <c r="AD630" i="71" l="1"/>
  <c r="O631" i="71"/>
  <c r="X631" i="71" s="1"/>
  <c r="AE630" i="71"/>
  <c r="O632" i="71" l="1"/>
  <c r="X632" i="71" s="1"/>
  <c r="AE631" i="71"/>
  <c r="AD631" i="71"/>
  <c r="AD632" i="71" l="1"/>
  <c r="AE632" i="71"/>
  <c r="O633" i="71"/>
  <c r="X633" i="71" s="1"/>
  <c r="AD633" i="71" l="1"/>
  <c r="AE633" i="71"/>
  <c r="O634" i="71"/>
  <c r="X634" i="71" s="1"/>
  <c r="AD634" i="71" l="1"/>
  <c r="O635" i="71"/>
  <c r="X635" i="71" s="1"/>
  <c r="AE634" i="71"/>
  <c r="O636" i="71" l="1"/>
  <c r="X636" i="71" s="1"/>
  <c r="AD635" i="71"/>
  <c r="AE635" i="71"/>
  <c r="AE636" i="71" l="1"/>
  <c r="AD636" i="71"/>
  <c r="O637" i="71"/>
  <c r="X637" i="71" s="1"/>
  <c r="AD637" i="71" l="1"/>
  <c r="AE637" i="71"/>
  <c r="O638" i="71"/>
  <c r="X638" i="71" s="1"/>
  <c r="AD638" i="71" l="1"/>
  <c r="O639" i="71"/>
  <c r="X639" i="71" s="1"/>
  <c r="AE638" i="71"/>
  <c r="O640" i="71" l="1"/>
  <c r="X640" i="71" s="1"/>
  <c r="AD639" i="71"/>
  <c r="AE639" i="71"/>
  <c r="AE640" i="71" l="1"/>
  <c r="O641" i="71"/>
  <c r="X641" i="71" s="1"/>
  <c r="AD640" i="71"/>
  <c r="AD641" i="71" l="1"/>
  <c r="AE641" i="71"/>
  <c r="O642" i="71"/>
  <c r="X642" i="71" s="1"/>
  <c r="AD642" i="71" l="1"/>
  <c r="O643" i="71"/>
  <c r="X643" i="71" s="1"/>
  <c r="AE642" i="71"/>
  <c r="O644" i="71" l="1"/>
  <c r="X644" i="71" s="1"/>
  <c r="AE643" i="71"/>
  <c r="AD643" i="71"/>
  <c r="AD644" i="71" l="1"/>
  <c r="AE644" i="71"/>
  <c r="O645" i="71"/>
  <c r="X645" i="71" s="1"/>
  <c r="AD645" i="71" l="1"/>
  <c r="AE645" i="71"/>
  <c r="O646" i="71"/>
  <c r="X646" i="71" s="1"/>
  <c r="AD646" i="71" l="1"/>
  <c r="O647" i="71"/>
  <c r="X647" i="71" s="1"/>
  <c r="AE646" i="71"/>
  <c r="O648" i="71" l="1"/>
  <c r="X648" i="71" s="1"/>
  <c r="AE647" i="71"/>
  <c r="AD647" i="71"/>
  <c r="AD648" i="71" l="1"/>
  <c r="AE648" i="71"/>
  <c r="O649" i="71"/>
  <c r="X649" i="71" s="1"/>
  <c r="AD649" i="71" l="1"/>
  <c r="AE649" i="71"/>
  <c r="O650" i="71"/>
  <c r="X650" i="71" s="1"/>
  <c r="AD650" i="71" l="1"/>
  <c r="O651" i="71"/>
  <c r="X651" i="71" s="1"/>
  <c r="AE650" i="71"/>
  <c r="O652" i="71" l="1"/>
  <c r="X652" i="71" s="1"/>
  <c r="AD651" i="71"/>
  <c r="AE651" i="71"/>
  <c r="AD652" i="71" l="1"/>
  <c r="AE652" i="71"/>
  <c r="O653" i="71"/>
  <c r="X653" i="71" s="1"/>
  <c r="AD653" i="71" l="1"/>
  <c r="AE653" i="71"/>
  <c r="O654" i="71"/>
  <c r="X654" i="71" s="1"/>
  <c r="AD654" i="71" l="1"/>
  <c r="O655" i="71"/>
  <c r="X655" i="71" s="1"/>
  <c r="AE654" i="71"/>
  <c r="O656" i="71" l="1"/>
  <c r="X656" i="71" s="1"/>
  <c r="AD655" i="71"/>
  <c r="AE655" i="71"/>
  <c r="AE656" i="71" l="1"/>
  <c r="O657" i="71"/>
  <c r="X657" i="71" s="1"/>
  <c r="AD656" i="71"/>
  <c r="AD657" i="71" l="1"/>
  <c r="AE657" i="71"/>
  <c r="O658" i="71"/>
  <c r="X658" i="71" s="1"/>
  <c r="AD658" i="71" l="1"/>
  <c r="O659" i="71"/>
  <c r="X659" i="71" s="1"/>
  <c r="AE658" i="71"/>
  <c r="O660" i="71" l="1"/>
  <c r="X660" i="71" s="1"/>
  <c r="AD659" i="71"/>
  <c r="AE659" i="71"/>
  <c r="AD660" i="71" l="1"/>
  <c r="AE660" i="71"/>
  <c r="O661" i="71"/>
  <c r="X661" i="71" s="1"/>
  <c r="AD661" i="71" l="1"/>
  <c r="AE661" i="71"/>
  <c r="O662" i="71"/>
  <c r="X662" i="71" s="1"/>
  <c r="AD662" i="71" l="1"/>
  <c r="O663" i="71"/>
  <c r="X663" i="71" s="1"/>
  <c r="AE662" i="71"/>
  <c r="AE663" i="71" l="1"/>
  <c r="O664" i="71"/>
  <c r="X664" i="71" s="1"/>
  <c r="AD663" i="71"/>
  <c r="AE664" i="71" l="1"/>
  <c r="AD664" i="71"/>
  <c r="O665" i="71"/>
  <c r="X665" i="71" s="1"/>
  <c r="AD665" i="71" l="1"/>
  <c r="AE665" i="71"/>
  <c r="O666" i="71"/>
  <c r="X666" i="71" s="1"/>
  <c r="AD666" i="71" l="1"/>
  <c r="AE666" i="71"/>
  <c r="O667" i="71"/>
  <c r="X667" i="71" s="1"/>
  <c r="AE667" i="71" l="1"/>
  <c r="O668" i="71"/>
  <c r="X668" i="71" s="1"/>
  <c r="AD667" i="71"/>
  <c r="AD668" i="71" l="1"/>
  <c r="AE668" i="71"/>
  <c r="O669" i="71"/>
  <c r="X669" i="71" s="1"/>
  <c r="AD669" i="71" l="1"/>
  <c r="AE669" i="71"/>
  <c r="O670" i="71"/>
  <c r="X670" i="71" s="1"/>
  <c r="AD670" i="71" l="1"/>
  <c r="AE670" i="71"/>
  <c r="O671" i="71"/>
  <c r="X671" i="71" s="1"/>
  <c r="AE671" i="71" l="1"/>
  <c r="O672" i="71"/>
  <c r="X672" i="71" s="1"/>
  <c r="AD671" i="71"/>
  <c r="AE672" i="71" l="1"/>
  <c r="AD672" i="71"/>
  <c r="O673" i="71"/>
  <c r="X673" i="71" s="1"/>
  <c r="AD673" i="71" l="1"/>
  <c r="AE673" i="71"/>
  <c r="O674" i="71"/>
  <c r="X674" i="71" s="1"/>
  <c r="AD674" i="71" l="1"/>
  <c r="AE674" i="71"/>
  <c r="O675" i="71"/>
  <c r="X675" i="71" s="1"/>
  <c r="AE675" i="71" l="1"/>
  <c r="O676" i="71"/>
  <c r="X676" i="71" s="1"/>
  <c r="AD675" i="71"/>
  <c r="AD676" i="71" l="1"/>
  <c r="AE676" i="71"/>
  <c r="O677" i="71"/>
  <c r="X677" i="71" s="1"/>
  <c r="AD677" i="71" l="1"/>
  <c r="AE677" i="71"/>
  <c r="O678" i="71"/>
  <c r="X678" i="71" s="1"/>
  <c r="AD678" i="71" l="1"/>
  <c r="AE678" i="71"/>
  <c r="O679" i="71"/>
  <c r="X679" i="71" s="1"/>
  <c r="AE679" i="71" l="1"/>
  <c r="O680" i="71"/>
  <c r="X680" i="71" s="1"/>
  <c r="AD679" i="71"/>
  <c r="AE680" i="71" l="1"/>
  <c r="O681" i="71"/>
  <c r="X681" i="71" s="1"/>
  <c r="AD680" i="71"/>
  <c r="AD681" i="71" l="1"/>
  <c r="AE681" i="71"/>
  <c r="O682" i="71"/>
  <c r="X682" i="71" s="1"/>
  <c r="AD682" i="71" l="1"/>
  <c r="AE682" i="71"/>
  <c r="O683" i="71"/>
  <c r="X683" i="71" s="1"/>
  <c r="AE683" i="71" l="1"/>
  <c r="O684" i="71"/>
  <c r="X684" i="71" s="1"/>
  <c r="AD683" i="71"/>
  <c r="AD684" i="71" l="1"/>
  <c r="AE684" i="71"/>
  <c r="O685" i="71"/>
  <c r="X685" i="71" s="1"/>
  <c r="AD685" i="71" l="1"/>
  <c r="AE685" i="71"/>
  <c r="O686" i="71"/>
  <c r="X686" i="71" s="1"/>
  <c r="AD686" i="71" l="1"/>
  <c r="AE686" i="71"/>
  <c r="O687" i="71"/>
  <c r="X687" i="71" s="1"/>
  <c r="AE687" i="71" l="1"/>
  <c r="O688" i="71"/>
  <c r="X688" i="71" s="1"/>
  <c r="AD687" i="71"/>
  <c r="AE688" i="71" l="1"/>
  <c r="AD688" i="71"/>
  <c r="O689" i="71"/>
  <c r="X689" i="71" s="1"/>
  <c r="AD689" i="71" l="1"/>
  <c r="AE689" i="71"/>
  <c r="O690" i="71"/>
  <c r="X690" i="71" s="1"/>
  <c r="AD690" i="71" l="1"/>
  <c r="AE690" i="71"/>
  <c r="O691" i="71"/>
  <c r="X691" i="71" s="1"/>
  <c r="AE691" i="71" l="1"/>
  <c r="O692" i="71"/>
  <c r="X692" i="71" s="1"/>
  <c r="AD691" i="71"/>
  <c r="AD692" i="71" l="1"/>
  <c r="AE692" i="71"/>
  <c r="O693" i="71"/>
  <c r="X693" i="71" s="1"/>
  <c r="AD693" i="71" l="1"/>
  <c r="AE693" i="71"/>
  <c r="O694" i="71"/>
  <c r="X694" i="71" s="1"/>
  <c r="AD694" i="71" l="1"/>
  <c r="AE694" i="71"/>
  <c r="O695" i="71"/>
  <c r="X695" i="71" s="1"/>
  <c r="AE695" i="71" l="1"/>
  <c r="O696" i="71"/>
  <c r="X696" i="71" s="1"/>
  <c r="AD695" i="71"/>
  <c r="AE696" i="71" l="1"/>
  <c r="AD696" i="71"/>
  <c r="O697" i="71"/>
  <c r="X697" i="71" s="1"/>
  <c r="AD697" i="71" l="1"/>
  <c r="AE697" i="71"/>
  <c r="O698" i="71"/>
  <c r="X698" i="71" s="1"/>
  <c r="AD698" i="71" l="1"/>
  <c r="AE698" i="71"/>
  <c r="O699" i="71"/>
  <c r="X699" i="71" s="1"/>
  <c r="AE699" i="71" l="1"/>
  <c r="O700" i="71"/>
  <c r="X700" i="71" s="1"/>
  <c r="AD699" i="71"/>
  <c r="AD700" i="71" l="1"/>
  <c r="AE700" i="71"/>
  <c r="O701" i="71"/>
  <c r="X701" i="71" s="1"/>
  <c r="AD701" i="71" l="1"/>
  <c r="AE701" i="71"/>
  <c r="O702" i="71"/>
  <c r="X702" i="71" s="1"/>
  <c r="AD702" i="71" l="1"/>
  <c r="AE702" i="71"/>
  <c r="O703" i="71"/>
  <c r="X703" i="71" s="1"/>
  <c r="AE703" i="71" l="1"/>
  <c r="O704" i="71"/>
  <c r="X704" i="71" s="1"/>
  <c r="AD703" i="71"/>
  <c r="AE704" i="71" l="1"/>
  <c r="O705" i="71"/>
  <c r="X705" i="71" s="1"/>
  <c r="AD704" i="71"/>
  <c r="AD705" i="71" l="1"/>
  <c r="AE705" i="71"/>
  <c r="O706" i="71"/>
  <c r="X706" i="71" s="1"/>
  <c r="AD706" i="71" l="1"/>
  <c r="AE706" i="71"/>
  <c r="O707" i="71"/>
  <c r="X707" i="71" s="1"/>
  <c r="AE707" i="71" l="1"/>
  <c r="O708" i="71"/>
  <c r="X708" i="71" s="1"/>
  <c r="AD707" i="71"/>
  <c r="AD708" i="71" l="1"/>
  <c r="AE708" i="71"/>
  <c r="O709" i="71"/>
  <c r="X709" i="71" s="1"/>
  <c r="AD709" i="71" l="1"/>
  <c r="AE709" i="71"/>
  <c r="O710" i="71"/>
  <c r="X710" i="71" s="1"/>
  <c r="AD710" i="71" l="1"/>
  <c r="AE710" i="71"/>
  <c r="O711" i="71"/>
  <c r="X711" i="71" s="1"/>
  <c r="AE711" i="71" l="1"/>
  <c r="O712" i="71"/>
  <c r="X712" i="71" s="1"/>
  <c r="AD711" i="71"/>
  <c r="AE712" i="71" l="1"/>
  <c r="O713" i="71"/>
  <c r="X713" i="71" s="1"/>
  <c r="AD712" i="71"/>
  <c r="AD713" i="71" l="1"/>
  <c r="AE713" i="71"/>
  <c r="O714" i="71"/>
  <c r="X714" i="71" s="1"/>
  <c r="AD714" i="71" l="1"/>
  <c r="AE714" i="71"/>
  <c r="O715" i="71"/>
  <c r="X715" i="71" s="1"/>
  <c r="AE715" i="71" l="1"/>
  <c r="O716" i="71"/>
  <c r="X716" i="71" s="1"/>
  <c r="AD715" i="71"/>
  <c r="AD716" i="71" l="1"/>
  <c r="AE716" i="71"/>
  <c r="O717" i="71"/>
  <c r="X717" i="71" s="1"/>
  <c r="AD717" i="71" l="1"/>
  <c r="AE717" i="71"/>
  <c r="O718" i="71"/>
  <c r="X718" i="71" s="1"/>
  <c r="AD718" i="71" l="1"/>
  <c r="AE718" i="71"/>
  <c r="O719" i="71"/>
  <c r="X719" i="71" s="1"/>
  <c r="AE719" i="71" l="1"/>
  <c r="O720" i="71"/>
  <c r="X720" i="71" s="1"/>
  <c r="AD719" i="71"/>
  <c r="AE720" i="71" l="1"/>
  <c r="AD720" i="71"/>
  <c r="O721" i="71"/>
  <c r="X721" i="71" s="1"/>
  <c r="AD721" i="71" l="1"/>
  <c r="AE721" i="71"/>
  <c r="O722" i="71"/>
  <c r="X722" i="71" s="1"/>
  <c r="AD722" i="71" l="1"/>
  <c r="AE722" i="71"/>
  <c r="O723" i="71"/>
  <c r="X723" i="71" s="1"/>
  <c r="AE723" i="71" l="1"/>
  <c r="O724" i="71"/>
  <c r="X724" i="71" s="1"/>
  <c r="AD723" i="71"/>
  <c r="AD724" i="71" l="1"/>
  <c r="AE724" i="71"/>
  <c r="O725" i="71"/>
  <c r="X725" i="71" s="1"/>
  <c r="AD725" i="71" l="1"/>
  <c r="AE725" i="71"/>
  <c r="O726" i="71"/>
  <c r="X726" i="71" s="1"/>
  <c r="AD726" i="71" l="1"/>
  <c r="AE726" i="71"/>
  <c r="O727" i="71"/>
  <c r="X727" i="71" s="1"/>
  <c r="AE727" i="71" l="1"/>
  <c r="O728" i="71"/>
  <c r="X728" i="71" s="1"/>
  <c r="AD727" i="71"/>
  <c r="AE728" i="71" l="1"/>
  <c r="AD728" i="71"/>
  <c r="O729" i="71"/>
  <c r="X729" i="71" s="1"/>
  <c r="AD729" i="71" l="1"/>
  <c r="AE729" i="71"/>
  <c r="O730" i="71"/>
  <c r="X730" i="71" s="1"/>
  <c r="AD730" i="71" l="1"/>
  <c r="AE730" i="71"/>
  <c r="O731" i="71"/>
  <c r="X731" i="71" s="1"/>
  <c r="AE731" i="71" l="1"/>
  <c r="O732" i="71"/>
  <c r="X732" i="71" s="1"/>
  <c r="AD731" i="71"/>
  <c r="AD732" i="71" l="1"/>
  <c r="AE732" i="71"/>
  <c r="O733" i="71"/>
  <c r="X733" i="71" s="1"/>
  <c r="AD733" i="71" l="1"/>
  <c r="AE733" i="71"/>
  <c r="O734" i="71"/>
  <c r="X734" i="71" s="1"/>
  <c r="AD734" i="71" l="1"/>
  <c r="AE734" i="71"/>
  <c r="O735" i="71"/>
  <c r="X735" i="71" s="1"/>
  <c r="O736" i="71" l="1"/>
  <c r="X736" i="71" s="1"/>
  <c r="AD735" i="71"/>
  <c r="AE735" i="71"/>
  <c r="O737" i="71" l="1"/>
  <c r="X737" i="71" s="1"/>
  <c r="AD736" i="71"/>
  <c r="AE736" i="71"/>
  <c r="AD737" i="71" l="1"/>
  <c r="AE737" i="71"/>
  <c r="O738" i="71"/>
  <c r="X738" i="71" s="1"/>
  <c r="AD738" i="71" l="1"/>
  <c r="AE738" i="71"/>
  <c r="O739" i="71"/>
  <c r="X739" i="71" s="1"/>
  <c r="O740" i="71" l="1"/>
  <c r="X740" i="71" s="1"/>
  <c r="AD739" i="71"/>
  <c r="AE739" i="71"/>
  <c r="AE740" i="71" l="1"/>
  <c r="AD740" i="71"/>
  <c r="O741" i="71"/>
  <c r="X741" i="71" s="1"/>
  <c r="AD741" i="71" l="1"/>
  <c r="AE741" i="71"/>
  <c r="O742" i="71"/>
  <c r="X742" i="71" s="1"/>
  <c r="AD742" i="71" l="1"/>
  <c r="O743" i="71"/>
  <c r="X743" i="71" s="1"/>
  <c r="AE742" i="71"/>
  <c r="O744" i="71" l="1"/>
  <c r="X744" i="71" s="1"/>
  <c r="AE743" i="71"/>
  <c r="AD743" i="71"/>
  <c r="AE744" i="71" l="1"/>
  <c r="O745" i="71"/>
  <c r="X745" i="71" s="1"/>
  <c r="AD744" i="71"/>
  <c r="AD745" i="71" l="1"/>
  <c r="AE745" i="71"/>
  <c r="O746" i="71"/>
  <c r="X746" i="71" s="1"/>
  <c r="AD746" i="71" l="1"/>
  <c r="O747" i="71"/>
  <c r="X747" i="71" s="1"/>
  <c r="AE746" i="71"/>
  <c r="O748" i="71" l="1"/>
  <c r="X748" i="71" s="1"/>
  <c r="AE747" i="71"/>
  <c r="AD747" i="71"/>
  <c r="AD748" i="71" l="1"/>
  <c r="AE748" i="71"/>
  <c r="O749" i="71"/>
  <c r="X749" i="71" s="1"/>
  <c r="AD749" i="71" l="1"/>
  <c r="AE749" i="71"/>
  <c r="O750" i="71"/>
  <c r="X750" i="71" s="1"/>
  <c r="AD750" i="71" l="1"/>
  <c r="O751" i="71"/>
  <c r="X751" i="71" s="1"/>
  <c r="AE750" i="71"/>
  <c r="O752" i="71" l="1"/>
  <c r="X752" i="71" s="1"/>
  <c r="AE751" i="71"/>
  <c r="AD751" i="71"/>
  <c r="AD752" i="71" l="1"/>
  <c r="AE752" i="71"/>
  <c r="O753" i="71"/>
  <c r="X753" i="71" s="1"/>
  <c r="AD753" i="71" l="1"/>
  <c r="AE753" i="71"/>
  <c r="O754" i="71"/>
  <c r="X754" i="71" s="1"/>
  <c r="AD754" i="71" l="1"/>
  <c r="O755" i="71"/>
  <c r="X755" i="71" s="1"/>
  <c r="AE754" i="71"/>
  <c r="O756" i="71" l="1"/>
  <c r="X756" i="71" s="1"/>
  <c r="AD755" i="71"/>
  <c r="AE755" i="71"/>
  <c r="AE756" i="71" l="1"/>
  <c r="O757" i="71"/>
  <c r="X757" i="71" s="1"/>
  <c r="AD756" i="71"/>
  <c r="AD757" i="71" l="1"/>
  <c r="AE757" i="71"/>
  <c r="O758" i="71"/>
  <c r="X758" i="71" s="1"/>
  <c r="AD758" i="71" l="1"/>
  <c r="O759" i="71"/>
  <c r="X759" i="71" s="1"/>
  <c r="AE758" i="71"/>
  <c r="O760" i="71" l="1"/>
  <c r="X760" i="71" s="1"/>
  <c r="AD759" i="71"/>
  <c r="AE759" i="71"/>
  <c r="AE760" i="71" l="1"/>
  <c r="O761" i="71"/>
  <c r="X761" i="71" s="1"/>
  <c r="AD760" i="71"/>
  <c r="AD761" i="71" l="1"/>
  <c r="O762" i="71"/>
  <c r="X762" i="71" s="1"/>
  <c r="AE761" i="71"/>
  <c r="AD762" i="71" l="1"/>
  <c r="O763" i="71"/>
  <c r="X763" i="71" s="1"/>
  <c r="AE762" i="71"/>
  <c r="O764" i="71" l="1"/>
  <c r="X764" i="71" s="1"/>
  <c r="AE763" i="71"/>
  <c r="AD763" i="71"/>
  <c r="AD764" i="71" l="1"/>
  <c r="AE764" i="71"/>
  <c r="O765" i="71"/>
  <c r="X765" i="71" s="1"/>
  <c r="AE765" i="71" l="1"/>
  <c r="O766" i="71"/>
  <c r="X766" i="71" s="1"/>
  <c r="AD765" i="71"/>
  <c r="AE766" i="71" l="1"/>
  <c r="AD766" i="71"/>
  <c r="O767" i="71"/>
  <c r="X767" i="71" s="1"/>
  <c r="AD767" i="71" l="1"/>
  <c r="AE767" i="71"/>
  <c r="O768" i="71"/>
  <c r="X768" i="71" s="1"/>
  <c r="AD768" i="71" l="1"/>
  <c r="AE768" i="71"/>
  <c r="O769" i="71"/>
  <c r="X769" i="71" s="1"/>
  <c r="AE769" i="71" l="1"/>
  <c r="O770" i="71"/>
  <c r="X770" i="71" s="1"/>
  <c r="AD769" i="71"/>
  <c r="AE770" i="71" l="1"/>
  <c r="O771" i="71"/>
  <c r="X771" i="71" s="1"/>
  <c r="AD770" i="71"/>
  <c r="AD771" i="71" l="1"/>
  <c r="O772" i="71"/>
  <c r="X772" i="71" s="1"/>
  <c r="AE771" i="71"/>
  <c r="AD772" i="71" l="1"/>
  <c r="AE772" i="71"/>
  <c r="O773" i="71"/>
  <c r="X773" i="71" s="1"/>
  <c r="AE773" i="71" l="1"/>
  <c r="O774" i="71"/>
  <c r="X774" i="71" s="1"/>
  <c r="AD773" i="71"/>
  <c r="AE774" i="71" l="1"/>
  <c r="AD774" i="71"/>
  <c r="O775" i="71"/>
  <c r="X775" i="71" s="1"/>
  <c r="AD775" i="71" l="1"/>
  <c r="AE775" i="71"/>
  <c r="O776" i="71"/>
  <c r="X776" i="71" s="1"/>
  <c r="AD776" i="71" l="1"/>
  <c r="AE776" i="71"/>
  <c r="O777" i="71"/>
  <c r="X777" i="71" s="1"/>
  <c r="AE777" i="71" l="1"/>
  <c r="O778" i="71"/>
  <c r="X778" i="71" s="1"/>
  <c r="AD777" i="71"/>
  <c r="AE778" i="71" l="1"/>
  <c r="O779" i="71"/>
  <c r="X779" i="71" s="1"/>
  <c r="AD778" i="71"/>
  <c r="AD779" i="71" l="1"/>
  <c r="O780" i="71"/>
  <c r="X780" i="71" s="1"/>
  <c r="AE779" i="71"/>
  <c r="AD780" i="71" l="1"/>
  <c r="AE780" i="71"/>
  <c r="O781" i="71"/>
  <c r="X781" i="71" s="1"/>
  <c r="AE781" i="71" l="1"/>
  <c r="O782" i="71"/>
  <c r="X782" i="71" s="1"/>
  <c r="AD781" i="71"/>
  <c r="AE782" i="71" l="1"/>
  <c r="AD782" i="71"/>
  <c r="O783" i="71"/>
  <c r="X783" i="71" s="1"/>
  <c r="AD783" i="71" l="1"/>
  <c r="O784" i="71"/>
  <c r="X784" i="71" s="1"/>
  <c r="AE783" i="71"/>
  <c r="AD784" i="71" l="1"/>
  <c r="AE784" i="71"/>
  <c r="O785" i="71"/>
  <c r="X785" i="71" s="1"/>
  <c r="AE785" i="71" l="1"/>
  <c r="O786" i="71"/>
  <c r="X786" i="71" s="1"/>
  <c r="AD785" i="71"/>
  <c r="AE786" i="71" l="1"/>
  <c r="O787" i="71"/>
  <c r="X787" i="71" s="1"/>
  <c r="AD786" i="71"/>
  <c r="AD787" i="71" l="1"/>
  <c r="AE787" i="71"/>
  <c r="O788" i="71"/>
  <c r="X788" i="71" s="1"/>
  <c r="AD788" i="71" l="1"/>
  <c r="AE788" i="71"/>
  <c r="O789" i="71"/>
  <c r="X789" i="71" s="1"/>
  <c r="AE789" i="71" l="1"/>
  <c r="O790" i="71"/>
  <c r="X790" i="71" s="1"/>
  <c r="AD789" i="71"/>
  <c r="AE790" i="71" l="1"/>
  <c r="O791" i="71"/>
  <c r="X791" i="71" s="1"/>
  <c r="AD790" i="71"/>
  <c r="AD791" i="71" l="1"/>
  <c r="AE791" i="71"/>
  <c r="O792" i="71"/>
  <c r="X792" i="71" s="1"/>
  <c r="AD792" i="71" l="1"/>
  <c r="AE792" i="71"/>
  <c r="O793" i="71"/>
  <c r="X793" i="71" s="1"/>
  <c r="AE793" i="71" l="1"/>
  <c r="O794" i="71"/>
  <c r="X794" i="71" s="1"/>
  <c r="AD793" i="71"/>
  <c r="AE794" i="71" l="1"/>
  <c r="AD794" i="71"/>
  <c r="O795" i="71"/>
  <c r="X795" i="71" s="1"/>
  <c r="AD795" i="71" l="1"/>
  <c r="O796" i="71"/>
  <c r="X796" i="71" s="1"/>
  <c r="AE795" i="71"/>
  <c r="AD796" i="71" l="1"/>
  <c r="AE796" i="71"/>
  <c r="O797" i="71"/>
  <c r="X797" i="71" s="1"/>
  <c r="AE797" i="71" l="1"/>
  <c r="O798" i="71"/>
  <c r="X798" i="71" s="1"/>
  <c r="AD797" i="71"/>
  <c r="AE798" i="71" l="1"/>
  <c r="AD798" i="71"/>
  <c r="O799" i="71"/>
  <c r="X799" i="71" s="1"/>
  <c r="AD799" i="71" l="1"/>
  <c r="AE799" i="71"/>
  <c r="O800" i="71"/>
  <c r="X800" i="71" s="1"/>
  <c r="AD800" i="71" l="1"/>
  <c r="AE800" i="71"/>
  <c r="O801" i="71"/>
  <c r="X801" i="71" s="1"/>
  <c r="AE801" i="71" l="1"/>
  <c r="O802" i="71"/>
  <c r="X802" i="71" s="1"/>
  <c r="AD801" i="71"/>
  <c r="AE802" i="71" l="1"/>
  <c r="AD802" i="71"/>
  <c r="O803" i="71"/>
  <c r="X803" i="71" s="1"/>
  <c r="AD803" i="71" l="1"/>
  <c r="AE803" i="71"/>
  <c r="O804" i="71"/>
  <c r="X804" i="71" s="1"/>
  <c r="AD804" i="71" l="1"/>
  <c r="AE804" i="71"/>
  <c r="O805" i="71"/>
  <c r="X805" i="71" s="1"/>
  <c r="AE805" i="71" l="1"/>
  <c r="O806" i="71"/>
  <c r="X806" i="71" s="1"/>
  <c r="AD805" i="71"/>
  <c r="AE806" i="71" l="1"/>
  <c r="AD806" i="71"/>
  <c r="O807" i="71"/>
  <c r="X807" i="71" s="1"/>
  <c r="AD807" i="71" l="1"/>
  <c r="AE807" i="71"/>
  <c r="O808" i="71"/>
  <c r="X808" i="71" s="1"/>
  <c r="AD808" i="71" l="1"/>
  <c r="AE808" i="71"/>
  <c r="O809" i="71"/>
  <c r="X809" i="71" s="1"/>
  <c r="AE809" i="71" l="1"/>
  <c r="O810" i="71"/>
  <c r="X810" i="71" s="1"/>
  <c r="AD809" i="71"/>
  <c r="AE810" i="71" l="1"/>
  <c r="O811" i="71"/>
  <c r="X811" i="71" s="1"/>
  <c r="AD810" i="71"/>
  <c r="AD811" i="71" l="1"/>
  <c r="O812" i="71"/>
  <c r="X812" i="71" s="1"/>
  <c r="AE811" i="71"/>
  <c r="AD812" i="71" l="1"/>
  <c r="AE812" i="71"/>
  <c r="O813" i="71"/>
  <c r="X813" i="71" s="1"/>
  <c r="AE813" i="71" l="1"/>
  <c r="O814" i="71"/>
  <c r="X814" i="71" s="1"/>
  <c r="AD813" i="71"/>
  <c r="AE814" i="71" l="1"/>
  <c r="AD814" i="71"/>
  <c r="O815" i="71"/>
  <c r="X815" i="71" s="1"/>
  <c r="AD815" i="71" l="1"/>
  <c r="O816" i="71"/>
  <c r="X816" i="71" s="1"/>
  <c r="AE815" i="71"/>
  <c r="AD816" i="71" l="1"/>
  <c r="AE816" i="71"/>
  <c r="O817" i="71"/>
  <c r="X817" i="71" s="1"/>
  <c r="AE817" i="71" l="1"/>
  <c r="O818" i="71"/>
  <c r="X818" i="71" s="1"/>
  <c r="AD817" i="71"/>
  <c r="AE818" i="71" l="1"/>
  <c r="O819" i="71"/>
  <c r="X819" i="71" s="1"/>
  <c r="AD818" i="71"/>
  <c r="AD819" i="71" l="1"/>
  <c r="AE819" i="71"/>
  <c r="O820" i="71"/>
  <c r="X820" i="71" s="1"/>
  <c r="AD820" i="71" l="1"/>
  <c r="AE820" i="71"/>
  <c r="O821" i="71"/>
  <c r="X821" i="71" s="1"/>
  <c r="AE821" i="71" l="1"/>
  <c r="O822" i="71"/>
  <c r="X822" i="71" s="1"/>
  <c r="AD821" i="71"/>
  <c r="AE822" i="71" l="1"/>
  <c r="O823" i="71"/>
  <c r="X823" i="71" s="1"/>
  <c r="AD822" i="71"/>
  <c r="AD823" i="71" l="1"/>
  <c r="AE823" i="71"/>
  <c r="O824" i="71"/>
  <c r="X824" i="71" s="1"/>
  <c r="AD824" i="71" l="1"/>
  <c r="AE824" i="71"/>
  <c r="O825" i="71"/>
  <c r="X825" i="71" s="1"/>
  <c r="AE825" i="71" l="1"/>
  <c r="O826" i="71"/>
  <c r="X826" i="71" s="1"/>
  <c r="AD825" i="71"/>
  <c r="AE826" i="71" l="1"/>
  <c r="AD826" i="71"/>
  <c r="O827" i="71"/>
  <c r="X827" i="71" s="1"/>
  <c r="AD827" i="71" l="1"/>
  <c r="AE827" i="71"/>
  <c r="O828" i="71"/>
  <c r="X828" i="71" s="1"/>
  <c r="AD828" i="71" l="1"/>
  <c r="AE828" i="71"/>
  <c r="O829" i="71"/>
  <c r="X829" i="71" s="1"/>
  <c r="AE829" i="71" l="1"/>
  <c r="O830" i="71"/>
  <c r="X830" i="71" s="1"/>
  <c r="AD829" i="71"/>
  <c r="AE830" i="71" l="1"/>
  <c r="O831" i="71"/>
  <c r="X831" i="71" s="1"/>
  <c r="AD830" i="71"/>
  <c r="AD831" i="71" l="1"/>
  <c r="AE831" i="71"/>
  <c r="O832" i="71"/>
  <c r="X832" i="71" s="1"/>
  <c r="AD832" i="71" l="1"/>
  <c r="AE832" i="71"/>
  <c r="O833" i="71"/>
  <c r="X833" i="71" s="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<sst xmlns="http://schemas.openxmlformats.org/spreadsheetml/2006/main" count="2977" uniqueCount="1192">
  <si>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</si>
  <si>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</si>
  <si>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</si>
  <si>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</si>
  <si>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</si>
  <si>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</si>
  <si>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</si>
  <si>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</si>
  <si>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</si>
  <si>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</si>
  <si>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</si>
  <si>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</si>
  <si>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</si>
  <si>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</si>
  <si>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</si>
  <si>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</si>
  <si>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</si>
  <si>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</si>
  <si>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</si>
  <si>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</si>
  <si>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</si>
  <si>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</si>
  <si>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</si>
  <si>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</si>
  <si>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</si>
  <si>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</si>
  <si>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</si>
  <si>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</si>
  <si>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</si>
  <si>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</si>
  <si>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</si>
  <si>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</si>
  <si>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</si>
  <si>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</si>
  <si>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</si>
  <si>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</si>
  <si>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</si>
  <si>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</si>
  <si>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</si>
  <si>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</si>
  <si>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</si>
  <si>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</si>
  <si>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</si>
  <si>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</si>
  <si>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</si>
  <si>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</si>
  <si>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</si>
  <si>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</si>
  <si>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</si>
  <si>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</si>
  <si>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</si>
  <si>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</si>
  <si>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</si>
  <si>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</si>
  <si>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</si>
  <si>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</si>
  <si>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</si>
  <si>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</si>
  <si>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</si>
  <si>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</si>
  <si>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</si>
  <si>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</si>
  <si>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</si>
  <si>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</si>
  <si>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</si>
  <si>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</si>
  <si>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</si>
  <si>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</si>
  <si>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</si>
  <si>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</si>
  <si>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</si>
  <si>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</si>
  <si>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</si>
  <si>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</si>
  <si>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</si>
  <si>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</si>
  <si>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</si>
  <si>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</si>
  <si>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</si>
  <si>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</si>
  <si>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</si>
  <si>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</si>
  <si>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</si>
  <si>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</si>
  <si>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</si>
  <si>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</si>
  <si>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</si>
  <si>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</si>
  <si>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</si>
  <si>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</si>
  <si>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</si>
  <si>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</si>
  <si>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</si>
  <si>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</si>
  <si>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</si>
  <si>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</si>
  <si>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</si>
  <si>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</si>
  <si>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</si>
  <si>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</si>
  <si>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</si>
  <si>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</si>
  <si>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</si>
  <si>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</si>
  <si>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</si>
  <si>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</si>
  <si>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</si>
  <si>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</si>
  <si>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</si>
  <si>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</si>
  <si>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</si>
  <si>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</si>
  <si>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</si>
  <si>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</si>
  <si>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</si>
  <si>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</si>
  <si>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</si>
  <si>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</si>
  <si>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</si>
  <si>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</si>
  <si>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</si>
  <si>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</si>
  <si>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</si>
  <si>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</si>
  <si>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</si>
  <si>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</si>
  <si>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</si>
  <si>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</si>
  <si>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</si>
  <si>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</si>
  <si>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</si>
  <si>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</si>
  <si>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</si>
  <si>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</si>
  <si>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</si>
  <si>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</si>
  <si>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</si>
  <si>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</si>
  <si>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</si>
  <si>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</si>
  <si>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</si>
  <si>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</si>
  <si>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</si>
  <si>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</si>
  <si>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</si>
  <si>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</si>
  <si>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</si>
  <si>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</si>
  <si>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</si>
  <si>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</si>
  <si>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</si>
  <si>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</si>
  <si>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</si>
  <si>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</si>
  <si>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</si>
  <si>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</si>
  <si>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</si>
  <si>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</si>
  <si>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</si>
  <si>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</si>
  <si>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</si>
  <si>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</si>
  <si>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</si>
  <si>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</si>
  <si>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</si>
  <si>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</si>
  <si>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</si>
  <si>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</si>
  <si>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</si>
  <si>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</si>
  <si>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</si>
  <si>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</si>
  <si>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</si>
  <si>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</si>
  <si>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</si>
  <si>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</si>
  <si>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</si>
  <si>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</si>
  <si>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</si>
  <si>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</si>
  <si>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</si>
  <si>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</si>
  <si>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</si>
  <si>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</si>
  <si>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</si>
  <si>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</si>
  <si>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</si>
  <si>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</si>
  <si>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</si>
  <si>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</si>
  <si>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</si>
  <si>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</si>
  <si>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</si>
  <si>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</si>
  <si>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</si>
  <si>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</si>
  <si>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</si>
  <si>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</si>
  <si>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</si>
  <si>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</si>
  <si>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</si>
  <si>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</si>
  <si>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</si>
  <si>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</si>
  <si>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</si>
  <si>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</si>
  <si>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</si>
  <si>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</si>
  <si>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</si>
  <si>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</si>
  <si>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</si>
  <si>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</si>
  <si>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</si>
  <si>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</si>
  <si>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</si>
  <si>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</si>
  <si>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</si>
  <si>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</si>
  <si>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</si>
  <si>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</si>
  <si>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</si>
  <si>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</si>
  <si>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</si>
  <si>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</si>
  <si>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</si>
  <si>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</si>
  <si>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</si>
  <si>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</si>
  <si>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</si>
  <si>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</si>
  <si>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</si>
  <si>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</si>
  <si>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</si>
  <si>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</si>
  <si>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</si>
  <si>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</si>
  <si>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</si>
  <si>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</si>
  <si>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</si>
  <si>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</si>
  <si>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</si>
  <si>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</si>
  <si>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</si>
  <si>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</si>
  <si>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</si>
  <si>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</si>
  <si>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</si>
  <si>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</si>
  <si>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</si>
  <si>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</si>
  <si>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</si>
  <si>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</si>
  <si>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</si>
  <si>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</si>
  <si>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</si>
  <si>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</si>
  <si>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</si>
  <si>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</si>
  <si>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</si>
  <si>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</si>
  <si>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</si>
  <si>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</si>
  <si>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</si>
  <si>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</si>
  <si>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</si>
  <si>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</si>
  <si>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</si>
  <si>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</si>
  <si>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</si>
  <si>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</si>
  <si>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</si>
  <si>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</si>
  <si>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</si>
  <si>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</si>
  <si>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</si>
  <si>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</si>
  <si>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</si>
  <si>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</si>
  <si>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</si>
  <si>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</si>
  <si>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</si>
  <si>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</si>
  <si>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</si>
  <si>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</si>
  <si>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</si>
  <si>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</si>
  <si>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</si>
  <si>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</si>
  <si>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</si>
  <si>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</si>
  <si>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</si>
  <si>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</si>
  <si>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</si>
  <si>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</si>
  <si>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</si>
  <si>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</si>
  <si>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</si>
  <si>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</si>
  <si>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</si>
  <si>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</si>
  <si>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</si>
  <si>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</si>
  <si>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</si>
  <si>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</si>
  <si>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</si>
  <si>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</si>
  <si>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</si>
  <si>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</si>
  <si>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</si>
  <si>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</si>
  <si>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</si>
  <si>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</si>
  <si>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</si>
  <si>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</si>
  <si>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</si>
  <si>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</si>
  <si>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</si>
  <si>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</si>
  <si>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</si>
  <si>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</si>
  <si>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</si>
  <si>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</si>
  <si>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</si>
  <si>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</si>
  <si>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</si>
  <si>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</si>
  <si>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</si>
  <si>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</si>
  <si>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</si>
  <si>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</si>
  <si>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</si>
  <si>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</si>
  <si>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</si>
  <si>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</si>
  <si>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</si>
  <si>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</si>
  <si>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</si>
  <si>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</si>
  <si>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</si>
  <si>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</si>
  <si>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</si>
  <si>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</si>
  <si>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</si>
  <si>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</si>
  <si>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</si>
  <si>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</si>
  <si>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</si>
  <si>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</si>
  <si>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</si>
  <si>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</si>
  <si>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</si>
  <si>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</si>
  <si>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</si>
  <si>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</si>
  <si>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</si>
  <si>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</si>
  <si>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</si>
  <si>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</si>
  <si>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</si>
  <si>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</si>
  <si>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</si>
  <si>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</si>
  <si>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</si>
  <si>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</si>
  <si>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</si>
  <si>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</si>
  <si>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</si>
  <si>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</si>
  <si>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</si>
  <si>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</si>
  <si>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</si>
  <si>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</si>
  <si>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</si>
  <si>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</si>
  <si>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</si>
  <si>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</si>
  <si>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</si>
  <si>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</si>
  <si>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</si>
  <si>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</si>
  <si>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</si>
  <si>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</si>
  <si>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</si>
  <si>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</si>
  <si>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</si>
  <si>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</si>
  <si>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</si>
  <si>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</si>
  <si>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</si>
  <si>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</si>
  <si>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</si>
  <si>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</si>
  <si>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</si>
  <si>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</si>
  <si>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</si>
  <si>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</si>
  <si>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</si>
  <si>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</si>
  <si>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</si>
  <si>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</si>
  <si>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</si>
  <si>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</si>
  <si>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</si>
  <si>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</si>
  <si>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</si>
  <si>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</si>
  <si>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</si>
  <si>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</si>
  <si>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</si>
  <si>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</si>
  <si>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</si>
  <si>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</si>
  <si>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</si>
  <si>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</si>
  <si>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</si>
  <si>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</si>
  <si>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</si>
  <si>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</si>
  <si>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</si>
  <si>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</si>
  <si>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</si>
  <si>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</si>
  <si>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</si>
  <si>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</si>
  <si>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</si>
  <si>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</si>
  <si>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</si>
  <si>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</si>
  <si>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</si>
  <si>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</si>
  <si>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</si>
  <si>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</si>
  <si>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</si>
  <si>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</si>
  <si>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</si>
  <si>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</si>
  <si>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</si>
  <si>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</si>
  <si>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</si>
  <si>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</si>
  <si>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</si>
  <si>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</si>
  <si>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</si>
  <si>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</si>
  <si>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</si>
  <si>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</si>
  <si>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</si>
  <si>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</si>
  <si>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</si>
  <si>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</si>
  <si>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</si>
  <si>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</si>
  <si>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</si>
  <si>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</si>
  <si>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</si>
  <si>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</si>
  <si>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</si>
  <si>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</si>
  <si>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</si>
  <si>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</si>
  <si>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</si>
  <si>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</si>
  <si>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</si>
  <si>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</si>
  <si>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</si>
  <si>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</si>
  <si>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</si>
  <si>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</si>
  <si>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</si>
  <si>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</si>
  <si>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</si>
  <si>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</si>
  <si>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</si>
  <si>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</si>
  <si>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</si>
  <si>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</si>
  <si>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</si>
  <si>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</si>
  <si>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</si>
  <si>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</si>
  <si>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</si>
  <si>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</si>
  <si>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</si>
  <si>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</si>
  <si>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</si>
  <si>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</si>
  <si>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</si>
  <si>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</si>
  <si>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</si>
  <si>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</si>
  <si>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</si>
  <si>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</si>
  <si>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</si>
  <si>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</si>
  <si>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</si>
  <si>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</si>
  <si>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</si>
  <si>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</si>
  <si>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</si>
  <si>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</si>
  <si>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</si>
  <si>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</si>
  <si>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</si>
  <si>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</si>
  <si>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</si>
  <si>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</si>
  <si>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</si>
  <si>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</si>
  <si>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</si>
  <si>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</si>
  <si>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</si>
  <si>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</si>
  <si>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</si>
  <si>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</si>
  <si>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</si>
  <si>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</si>
  <si>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</si>
  <si>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</si>
  <si>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</si>
  <si>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</si>
  <si>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</si>
  <si>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</si>
  <si>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</si>
  <si>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</si>
  <si>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</si>
  <si>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</si>
  <si>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</si>
  <si>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</si>
  <si>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</si>
  <si>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</si>
  <si>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</si>
  <si>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</si>
  <si>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</si>
  <si>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</si>
  <si>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</si>
  <si>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</si>
  <si>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</si>
  <si>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</si>
  <si>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</si>
  <si>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</si>
  <si>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</si>
  <si>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</si>
  <si>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</si>
  <si>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</si>
  <si>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</si>
  <si>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</si>
  <si>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</si>
  <si>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</si>
  <si>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</si>
  <si>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</si>
  <si>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</si>
  <si>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</si>
  <si>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</si>
  <si>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</si>
  <si>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</si>
  <si>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</si>
  <si>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</si>
  <si>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</si>
  <si>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</si>
  <si>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</si>
  <si>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</si>
  <si>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</si>
  <si>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</si>
  <si>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</si>
  <si>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</si>
  <si>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</si>
  <si>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</si>
  <si>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</si>
  <si>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</si>
  <si>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</si>
  <si>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</si>
  <si>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</si>
  <si>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</si>
  <si>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</si>
  <si>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</si>
  <si>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</si>
  <si>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</si>
  <si>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</si>
  <si>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</si>
  <si>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</si>
  <si>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</si>
  <si>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</si>
  <si>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</si>
  <si>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</si>
  <si>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</si>
  <si>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</si>
  <si>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</si>
  <si>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</si>
  <si>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</si>
  <si>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</si>
  <si>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</si>
  <si>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</si>
  <si>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</si>
  <si>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</si>
  <si>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</si>
  <si>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</si>
  <si>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</si>
  <si>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</si>
  <si>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</si>
  <si>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</si>
  <si>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</si>
  <si>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</si>
  <si>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</si>
  <si>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</si>
  <si>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</si>
  <si>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</si>
  <si>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</si>
  <si>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</si>
  <si>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</si>
  <si>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</si>
  <si>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</si>
  <si>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</si>
  <si>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</si>
  <si>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</si>
  <si>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</si>
  <si>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</si>
  <si>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</si>
  <si>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</si>
  <si>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</si>
  <si>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</si>
  <si>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</si>
  <si>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</si>
  <si>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</si>
  <si>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</si>
  <si>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</si>
  <si>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</si>
  <si>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</si>
  <si>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</si>
  <si>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</si>
  <si>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</si>
  <si>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</si>
  <si>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</si>
  <si>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</si>
  <si>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</si>
  <si>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</si>
  <si>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</si>
  <si>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</si>
  <si>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</si>
  <si>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</si>
  <si>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</si>
  <si>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</si>
  <si>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</si>
  <si>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</si>
  <si>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</si>
  <si>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</si>
  <si>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</si>
  <si>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</si>
  <si>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</si>
  <si>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</si>
  <si>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</si>
  <si>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</si>
  <si>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</si>
  <si>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</si>
  <si>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</si>
  <si>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</si>
  <si>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</si>
  <si>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</si>
  <si>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</si>
  <si>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</si>
  <si>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</si>
  <si>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</si>
  <si>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</si>
  <si>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</si>
  <si>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</si>
  <si>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</si>
  <si>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</si>
  <si>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</si>
  <si>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</si>
  <si>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</si>
  <si>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</si>
  <si>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</si>
  <si>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</si>
  <si>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</si>
  <si>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</si>
  <si>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</si>
  <si>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</si>
  <si>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</si>
  <si>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</si>
  <si>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</si>
  <si>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</si>
  <si>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</si>
  <si>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</si>
  <si>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</si>
  <si>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</si>
  <si>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</si>
  <si>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</si>
  <si>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</si>
  <si>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</si>
  <si>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</si>
  <si>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</si>
  <si>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</si>
  <si>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</si>
  <si>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</si>
  <si>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</si>
  <si>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</si>
  <si>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</si>
  <si>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</si>
  <si>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</si>
  <si>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</si>
  <si>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</si>
  <si>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</si>
  <si>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</si>
  <si>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</si>
  <si>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</si>
  <si>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</si>
  <si>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</si>
  <si>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</si>
  <si>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</si>
  <si>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</si>
  <si>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</si>
  <si>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</si>
  <si>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</si>
  <si>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</si>
  <si>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</si>
  <si>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</si>
  <si>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</si>
  <si>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</si>
  <si>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</si>
  <si>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</si>
  <si>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</si>
  <si>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</si>
  <si>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</si>
  <si>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</si>
  <si>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</si>
  <si>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</si>
  <si>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</si>
  <si>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</si>
  <si>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</si>
  <si>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</si>
  <si>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</si>
  <si>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</si>
  <si>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</si>
  <si>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</si>
  <si>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</si>
  <si>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</si>
  <si>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</si>
  <si>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</si>
  <si>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</si>
  <si>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</si>
  <si>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</si>
  <si>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</si>
  <si>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</si>
  <si>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</si>
  <si>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</si>
  <si>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</si>
  <si>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</si>
  <si>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</si>
  <si>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</si>
  <si>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</si>
  <si>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</si>
  <si>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</si>
  <si>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</si>
  <si>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</si>
  <si>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</si>
  <si>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</si>
  <si>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</si>
  <si>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</si>
  <si>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</si>
  <si>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</si>
  <si>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</si>
  <si>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</si>
  <si>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</si>
  <si>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</si>
  <si>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</si>
  <si>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</si>
  <si>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</si>
  <si>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</si>
  <si>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</si>
  <si>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</si>
  <si>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</si>
  <si>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</si>
  <si>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</si>
  <si>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</si>
  <si>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</si>
  <si>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</si>
  <si>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</si>
  <si>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</si>
  <si>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</si>
  <si>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</si>
  <si>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</si>
  <si>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</si>
  <si>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</si>
  <si>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</si>
  <si>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</si>
  <si>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</si>
  <si>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</si>
  <si>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</si>
  <si>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</si>
  <si>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</si>
  <si>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</si>
  <si>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</si>
  <si>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</si>
  <si>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</si>
  <si>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</si>
  <si>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</si>
  <si>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</si>
  <si>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</si>
  <si>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</si>
  <si>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</si>
  <si>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</si>
  <si>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</si>
  <si>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</si>
  <si>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</si>
  <si>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</si>
  <si>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</si>
  <si>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</si>
  <si>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</si>
  <si>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</si>
  <si>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</si>
  <si>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</si>
  <si>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</si>
  <si>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</si>
  <si>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</si>
  <si>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</si>
  <si>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</si>
  <si>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</si>
  <si>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</si>
  <si>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</si>
  <si>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</si>
  <si>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</si>
  <si>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</si>
  <si>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</si>
  <si>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</si>
  <si>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</si>
  <si>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</si>
  <si>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</si>
  <si>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</si>
  <si>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</si>
  <si>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</si>
  <si>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</si>
  <si>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</si>
  <si>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</si>
  <si>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</si>
  <si>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</si>
  <si>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</si>
  <si>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</si>
  <si>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</si>
  <si>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</si>
  <si>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</si>
  <si>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</si>
  <si>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</si>
  <si>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</si>
  <si>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</si>
  <si>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</si>
  <si>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</si>
  <si>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</si>
  <si>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</si>
  <si>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</si>
  <si>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</si>
  <si>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</si>
  <si>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</si>
  <si>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</si>
  <si>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</si>
  <si>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</si>
  <si>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</si>
  <si>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</si>
  <si>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</si>
  <si>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</si>
  <si>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</si>
  <si>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</si>
  <si>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</si>
  <si>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</si>
  <si>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</si>
  <si>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</si>
  <si>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</si>
  <si>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</si>
  <si>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</si>
  <si>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</si>
  <si>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</si>
  <si>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</si>
  <si>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</si>
  <si>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</si>
  <si>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</si>
  <si>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</si>
  <si>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</si>
  <si>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</si>
  <si>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</si>
  <si>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</si>
  <si>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</si>
  <si>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</si>
  <si>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</si>
  <si>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</si>
  <si>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</si>
  <si>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</si>
  <si>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</si>
  <si>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</si>
  <si>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</si>
  <si>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</si>
  <si>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</si>
  <si>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</si>
  <si>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</si>
  <si>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</si>
  <si>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</si>
  <si>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</si>
  <si>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</si>
  <si>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</si>
  <si>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</si>
  <si>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</si>
  <si>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</si>
  <si>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</si>
  <si>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</si>
  <si>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</si>
  <si>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</si>
  <si>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</si>
  <si>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</si>
  <si>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</si>
  <si>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</si>
  <si>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</si>
  <si>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</si>
  <si>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</si>
  <si>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</si>
  <si>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</si>
  <si>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</si>
  <si>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</si>
  <si>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</si>
  <si>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</si>
  <si>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</si>
  <si>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</si>
  <si>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</si>
  <si>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</si>
  <si>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</si>
  <si>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</si>
  <si>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</si>
  <si>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</si>
  <si>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</si>
  <si>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</si>
  <si>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</si>
  <si>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</si>
  <si>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</si>
  <si>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</si>
  <si>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</si>
  <si>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</si>
  <si>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</si>
  <si>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</si>
  <si>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</si>
  <si>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</si>
  <si>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</si>
  <si>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</si>
  <si>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</si>
  <si>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</si>
  <si>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</si>
  <si>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</si>
  <si>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</si>
  <si>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</si>
  <si>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</si>
  <si>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</si>
  <si>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</si>
  <si>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</si>
  <si>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</si>
  <si>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</si>
  <si>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</si>
  <si>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</si>
  <si>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</si>
  <si>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</si>
  <si>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</si>
  <si>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</si>
  <si>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</si>
  <si>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</si>
  <si>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</si>
  <si>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</si>
  <si>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</si>
  <si>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</si>
  <si>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</si>
  <si>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</si>
  <si>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</si>
  <si>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</si>
  <si>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</si>
  <si>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</si>
  <si>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</si>
  <si>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</si>
  <si>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</si>
  <si>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</si>
  <si>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</si>
  <si>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</si>
  <si>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</si>
  <si>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</si>
  <si>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</si>
  <si>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</si>
  <si>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</si>
  <si>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</si>
  <si>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</si>
  <si>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</si>
  <si>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</si>
  <si>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</si>
  <si>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</si>
  <si>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</si>
  <si>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</si>
  <si>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</si>
  <si>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</si>
  <si>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</si>
  <si>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</si>
  <si>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</si>
  <si>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</si>
  <si>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</si>
  <si>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</si>
  <si>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</si>
  <si>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</si>
  <si>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</si>
  <si>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</si>
  <si>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</si>
  <si>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</si>
  <si>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</si>
  <si>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</si>
  <si>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</si>
  <si>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</si>
  <si>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</si>
  <si>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</si>
  <si>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</si>
  <si>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</si>
  <si>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</si>
  <si>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</si>
  <si>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</si>
  <si>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</si>
  <si>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</si>
  <si>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</si>
  <si>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</si>
  <si>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</si>
  <si>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</si>
  <si>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</si>
  <si>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</si>
  <si>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</si>
  <si>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</si>
  <si>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</si>
  <si>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</si>
  <si>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</si>
  <si>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</si>
  <si>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</si>
  <si>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</si>
  <si>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</si>
  <si>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</si>
  <si>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</si>
  <si>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</si>
  <si>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</si>
  <si>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</si>
  <si>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</si>
  <si>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</si>
  <si>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</si>
  <si>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</si>
  <si>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</si>
  <si>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</si>
  <si>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</si>
  <si>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</si>
  <si>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</si>
  <si>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</si>
  <si>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</si>
  <si>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</si>
  <si>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</si>
  <si>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</si>
  <si>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</si>
  <si>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</si>
  <si>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</si>
  <si>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</si>
  <si>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</si>
  <si>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</si>
  <si>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</si>
  <si>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</si>
  <si>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</si>
  <si>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</si>
  <si>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</si>
  <si>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</si>
  <si>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</si>
  <si>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</si>
  <si>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</si>
  <si>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</si>
  <si>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</si>
  <si>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</si>
  <si>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</si>
  <si>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</si>
  <si>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</si>
  <si>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</si>
  <si>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</si>
  <si>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</si>
  <si>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</si>
  <si>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</si>
  <si>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</si>
  <si>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</si>
  <si>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</si>
  <si>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</si>
  <si>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</si>
  <si>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</si>
  <si>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</si>
  <si>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</si>
  <si>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</si>
  <si>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</si>
  <si>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</si>
  <si>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</si>
  <si>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</si>
  <si>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</si>
  <si>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</si>
  <si>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</si>
  <si>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</si>
  <si>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</si>
  <si>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</si>
  <si>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</si>
  <si>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</si>
  <si>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</si>
  <si>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</si>
  <si>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</si>
  <si>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</si>
  <si>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</si>
  <si>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</si>
  <si>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</si>
  <si>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</si>
  <si>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</si>
  <si>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</si>
  <si>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</si>
  <si>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</si>
  <si>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</si>
  <si>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</si>
  <si>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</si>
  <si>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</si>
  <si>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</si>
  <si>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</si>
  <si>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</si>
  <si>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</si>
  <si>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</si>
  <si>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</si>
  <si>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</si>
  <si>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</si>
  <si>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</si>
  <si>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</si>
  <si>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</si>
  <si>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</si>
  <si>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</si>
  <si>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</si>
  <si>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</si>
  <si>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</si>
  <si>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</si>
  <si>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</si>
  <si>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</si>
  <si>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</si>
  <si>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</si>
  <si>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</si>
  <si>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</si>
  <si>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</si>
  <si>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</si>
  <si>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</si>
  <si>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</si>
  <si>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</si>
  <si>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</si>
  <si>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</si>
  <si>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</si>
  <si>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</si>
  <si>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</si>
  <si>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</si>
  <si>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</si>
  <si>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</si>
  <si>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</si>
  <si>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</si>
  <si>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</si>
  <si>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</si>
  <si>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</si>
  <si>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</si>
  <si>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</si>
  <si>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</si>
  <si>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</si>
  <si>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</si>
  <si>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</si>
  <si>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</si>
  <si>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</si>
  <si>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</si>
  <si>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</si>
  <si>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</si>
  <si>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</si>
  <si>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</si>
  <si>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</si>
  <si>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</si>
  <si>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</si>
  <si>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</si>
  <si>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</si>
  <si>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</si>
  <si>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</si>
  <si>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</si>
  <si>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</si>
  <si>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</si>
  <si>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</si>
  <si>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</si>
  <si>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</si>
  <si>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</si>
  <si>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</si>
  <si>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</si>
  <si>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</si>
  <si>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</si>
  <si>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</si>
  <si>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</si>
  <si>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</si>
  <si>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Princ2</t>
  </si>
  <si>
    <t>Int3</t>
  </si>
  <si>
    <t>Rate Change Date:</t>
  </si>
  <si>
    <t>First Rate Period Years/Months:</t>
  </si>
  <si>
    <t>Contract Period Years/Months:</t>
  </si>
  <si>
    <t>Points added to Interest Rate:(2nd Period)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</si>
</sst>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3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41">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0" fontId="1" fillId="20" borderId="33" xfId="0" applyFont="1" applyFill="1" applyBorder="1" applyAlignment="1">
      <alignment horizontal="center" wrapText="1"/>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0" fontId="1" fillId="0" borderId="34" xfId="0" applyFont="1" applyBorder="1" applyAlignment="1">
      <alignment horizontal="right"/>
    </xf>
    <xf numFmtId="0" fontId="0" fillId="0" borderId="35" xfId="0" applyBorder="1"/>
    <xf numFmtId="14" fontId="0" fillId="18" borderId="34" xfId="0" applyNumberFormat="1" applyFill="1" applyBorder="1"/>
    <xf numFmtId="0" fontId="0" fillId="18" borderId="35" xfId="0" applyFill="1" applyBorder="1"/>
    <xf numFmtId="0" fontId="0" fillId="0" borderId="36" xfId="0" applyBorder="1"/>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34" xfId="0" applyNumberFormat="1" applyFont="1" applyBorder="1" applyAlignment="1">
      <alignment horizontal="center"/>
    </xf>
    <xf numFmtId="0" fontId="1" fillId="0" borderId="35" xfId="0" applyFont="1" applyBorder="1" applyAlignment="1">
      <alignment horizontal="center"/>
    </xf>
    <xf numFmtId="3" fontId="1" fillId="0" borderId="6" xfId="0" applyNumberFormat="1" applyFont="1" applyBorder="1" applyAlignment="1">
      <alignment horizontal="center"/>
    </xf>
    <xf numFmtId="0" fontId="1" fillId="0" borderId="1" xfId="0" applyFont="1" applyBorder="1" applyAlignment="1">
      <alignment horizontal="center"/>
    </xf>
    <xf numFmtId="0" fontId="0" fillId="0" borderId="1" xfId="0" applyBorder="1"/>
    <xf numFmtId="0" fontId="0" fillId="0" borderId="7" xfId="0" applyBorder="1"/>
    <xf numFmtId="0" fontId="1" fillId="0" borderId="7" xfId="0" applyFont="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3" fontId="1" fillId="0" borderId="36" xfId="0" applyNumberFormat="1" applyFont="1" applyBorder="1" applyAlignment="1">
      <alignment horizontal="center"/>
    </xf>
    <xf numFmtId="0" fontId="1" fillId="0" borderId="36" xfId="0" applyFont="1" applyBorder="1" applyAlignment="1">
      <alignment horizontal="center"/>
    </xf>
    <xf numFmtId="0" fontId="1" fillId="0" borderId="2" xfId="0" applyFont="1" applyBorder="1" applyAlignment="1">
      <alignment horizontal="center"/>
    </xf>
    <xf numFmtId="0" fontId="1" fillId="0" borderId="9" xfId="0" applyFont="1" applyBorder="1" applyAlignment="1">
      <alignment horizontal="center"/>
    </xf>
    <xf numFmtId="0" fontId="1" fillId="0" borderId="3" xfId="0" applyFont="1" applyBorder="1" applyAlignment="1">
      <alignment horizontal="center"/>
    </xf>
    <xf numFmtId="3" fontId="1" fillId="33" borderId="34" xfId="0" applyNumberFormat="1" applyFont="1" applyFill="1" applyBorder="1" applyAlignment="1">
      <alignment horizontal="center" vertical="center"/>
    </xf>
    <xf numFmtId="3" fontId="1" fillId="33" borderId="36" xfId="0" applyNumberFormat="1" applyFont="1" applyFill="1" applyBorder="1" applyAlignment="1">
      <alignment horizontal="center" vertical="center"/>
    </xf>
    <xf numFmtId="0" fontId="0" fillId="0" borderId="35" xfId="0"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14" fontId="15" fillId="2" borderId="34" xfId="0" applyNumberFormat="1" applyFont="1" applyFill="1" applyBorder="1" applyAlignment="1">
      <alignment horizontal="center" vertical="center"/>
    </xf>
    <xf numFmtId="0" fontId="1" fillId="0" borderId="34" xfId="0"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3">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auto="1"/>
        </left>
        <right style="medium">
          <color auto="1"/>
        </right>
        <top/>
        <bottom/>
        <vertical/>
        <horizontal/>
      </border>
    </dxf>
    <dxf>
      <numFmt numFmtId="3" formatCode="#,##0"/>
    </dxf>
    <dxf>
      <border outline="0">
        <top style="medium">
          <color auto="1"/>
        </top>
      </border>
    </dxf>
    <dxf>
      <border outline="0">
        <bottom style="medium">
          <color auto="1"/>
        </bottom>
      </border>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5" tint="0.79998168889431442"/>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2"/>
      <tableStyleElement type="headerRow" dxfId="131"/>
      <tableStyleElement type="firstRowStripe" dxfId="130"/>
    </tableStyle>
    <tableStyle name="Gantt Table Style 2" pivot="0" count="3" xr9:uid="{188EAD57-0217-4B5E-8A07-C858B28862F4}">
      <tableStyleElement type="wholeTable" dxfId="129"/>
      <tableStyleElement type="headerRow" dxfId="128"/>
      <tableStyleElement type="firstRowStripe" dxfId="12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6" headerRowBorderDxfId="125">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4"/>
    <tableColumn id="2" xr3:uid="{97169920-9E20-46B0-9275-CDB69F2B7E20}" name="Beg" dataDxfId="123"/>
    <tableColumn id="3" xr3:uid="{29B13418-7AB5-4BED-8938-1AFD73584620}" name="Payment" dataDxfId="122"/>
    <tableColumn id="4" xr3:uid="{59D98215-D250-4E98-B28F-28E8FEF5B704}" name="Princ" dataDxfId="121"/>
    <tableColumn id="5" xr3:uid="{CA09D9DD-EDE2-4CFD-9E21-030519667110}" name="Int" dataDxfId="120"/>
    <tableColumn id="6" xr3:uid="{EDF5A829-F409-40AE-89E2-E8CB9B5D0FF4}" name="Ins" dataDxfId="119"/>
    <tableColumn id="7" xr3:uid="{589E968B-91B9-4913-8C3D-42359D5891E7}" name="Taxes" dataDxfId="118"/>
    <tableColumn id="8" xr3:uid="{08030123-3EE6-4201-B7FB-4B90DBAD70D8}" name="Total " dataDxfId="117"/>
    <tableColumn id="9" xr3:uid="{B55DFD4A-3AC5-40B7-8DCD-59805B6DBFDB}" name="Princ2" dataDxfId="116"/>
    <tableColumn id="10" xr3:uid="{6B0DA8E4-1B75-412D-9DAC-6338B0794CBF}" name="Int3" dataDxfId="115"/>
    <tableColumn id="11" xr3:uid="{F8CE94A6-5C5E-4EDE-B208-4DCC524F986E}" name="End" dataDxfId="114"/>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3" dataDxfId="111" headerRowBorderDxfId="112" tableBorderDxfId="110">
  <autoFilter ref="L19:M833" xr:uid="{73D951D4-A168-44D6-974D-EBA44A3BA7B6}">
    <filterColumn colId="0" hiddenButton="1"/>
    <filterColumn colId="1" hiddenButton="1"/>
  </autoFilter>
  <tableColumns count="2">
    <tableColumn id="1" xr3:uid="{CCF10384-7D00-426D-996F-822402246933}" name="Year" dataDxfId="109"/>
    <tableColumn id="2" xr3:uid="{147517BE-5732-44A7-974A-14DAE4109340}" name="Period" dataDxfId="108">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X833" totalsRowShown="0" headerRowDxfId="107" headerRowBorderDxfId="106">
  <autoFilter ref="N19:X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DDA00FAE-6541-4633-9315-7209104CD2E1}" name="Date" dataDxfId="105">
      <calculatedColumnFormula>INDEX(tblSubjectToLoan[Date],ROW()-ROW(tblContractForDeed[#Headers]))</calculatedColumnFormula>
    </tableColumn>
    <tableColumn id="2" xr3:uid="{ECB873B5-C083-4C40-8069-B9E5F8698705}" name="Beg" dataDxfId="104">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3">
      <calculatedColumnFormula>IF(tblContractForDeed[[#This Row],[Date]]="","",IF(tblContractForDeed[[#This Row],[Date]]&lt;cfdRateChangeDate,cfdRate1,cfdRate2))</calculatedColumnFormula>
    </tableColumn>
    <tableColumn id="4" xr3:uid="{1636A52E-B78B-4971-A350-27AAF73BE8AB}" name="Payment" dataDxfId="102">
      <calculatedColumnFormula>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1">
      <calculatedColumnFormula>IF(tblContractForDeed[[#This Row],[Payment]]=0,0,MAX(0,MIN(tblContractForDeed[[#This Row],[Beg]],tblContractForDeed[[#This Row],[Payment]]-tblContractForDeed[[#This Row],[Int]])))</calculatedColumnFormula>
    </tableColumn>
    <tableColumn id="6" xr3:uid="{333AB5D2-CFCA-47CE-BEB7-DEC4603F289D}" name="Int" dataDxfId="100">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99">
      <calculatedColumnFormula>IF(tblContractForDeed[[#This Row],[Payment]]=0,0,$W$2)</calculatedColumnFormula>
    </tableColumn>
    <tableColumn id="8" xr3:uid="{953DECD1-A993-404F-BB01-67C5B5235815}" name="Taxes" dataDxfId="98">
      <calculatedColumnFormula>IF(tblContractForDeed[[#This Row],[Princ]]=0,0,$W$3)</calculatedColumnFormula>
    </tableColumn>
    <tableColumn id="9" xr3:uid="{61523046-F564-451D-8252-202BB1589694}" name="Total" dataDxfId="97">
      <calculatedColumnFormula>SUM(tblContractForDeed[[#This Row],[Princ]],tblContractForDeed[[#This Row],[Int]],tblContractForDeed[[#This Row],[Ins]],tblContractForDeed[[#This Row],[Taxes]])</calculatedColumnFormula>
    </tableColumn>
    <tableColumn id="10" xr3:uid="{0044FA08-9081-4FAC-B454-F81C52BDD807}" name="Cumul Princ" dataDxfId="96">
      <calculatedColumnFormula>SUM(INDEX(tblContractForDeed[Princ],1):INDEX(tblContractForDeed[Princ],ROW()-ROW(tblContractForDeed[#Headers])))</calculatedColumnFormula>
    </tableColumn>
    <tableColumn id="11" xr3:uid="{E4D2C53C-A408-49FE-BA58-469487DDF7C4}" name="End Bal" dataDxfId="95">
      <calculatedColumnFormula>IF(tblContractForDeed[[#This Row],[Beg]]&lt;=0,0,tblContractForDeed[[#This Row],[Beg]]-tblContractForDeed[[#This Row],[Princ]])</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Y19:AE833" totalsRowShown="0" headerRowBorderDxfId="94" tableBorderDxfId="93">
  <autoFilter ref="Y19:AE833" xr:uid="{DB4FDAD9-0E7D-4B79-94EF-A9BF827DCE7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9B22664-90C6-4FB9-9727-70C53E0E81B3}" name="Pay Delta" dataDxfId="92">
      <calculatedColumnFormula>IF(INDEX(tblContractForDeed[Payment],ROW()-ROW(tblBuyerOutputs[#Headers]))=0,0,INDEX(tblContractForDeed[Payment],ROW()-ROW(tblBuyerOutputs[#Headers]))-INDEX(tblSubjectToLoan[Payment],ROW()-ROW(tblBuyerOutputs[#Headers])))</calculatedColumnFormula>
    </tableColumn>
    <tableColumn id="2" xr3:uid="{EA08434C-BCF5-4BE9-A15F-55FF6006821B}" name="Period" dataDxfId="91">
      <calculatedColumnFormula>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Appr],ROW()-ROW(tblBuyerOutputs[#Headers])-1)))*$AK$2/12)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682" t="s">
        <v>853</v>
      </c>
      <c r="G1" s="683"/>
      <c r="H1" s="683"/>
      <c r="I1" s="683"/>
      <c r="J1" s="683"/>
      <c r="K1" s="684"/>
      <c r="L1" s="684"/>
      <c r="M1" s="685"/>
      <c r="R1" s="38" t="s">
        <v>634</v>
      </c>
      <c r="S1" s="37" t="b">
        <v>0</v>
      </c>
    </row>
    <row r="2" spans="1:25" ht="16.5" customHeight="1" thickBot="1" x14ac:dyDescent="0.3">
      <c r="A2" s="113"/>
      <c r="B2" s="763" t="s">
        <v>737</v>
      </c>
      <c r="C2" s="764"/>
      <c r="D2" s="764"/>
      <c r="E2" s="762" t="s">
        <v>738</v>
      </c>
      <c r="F2" s="650"/>
      <c r="G2" s="443" t="s">
        <v>739</v>
      </c>
      <c r="H2" s="590"/>
      <c r="I2" s="590"/>
      <c r="J2" s="590"/>
      <c r="K2" s="590"/>
      <c r="L2" s="669" t="s">
        <v>1</v>
      </c>
      <c r="M2" s="757">
        <v>45715</v>
      </c>
      <c r="O2" s="428" t="s">
        <v>2</v>
      </c>
      <c r="P2" s="428"/>
      <c r="R2" s="38" t="s">
        <v>633</v>
      </c>
      <c r="S2" s="37" t="b">
        <v>0</v>
      </c>
    </row>
    <row r="3" spans="1:25" ht="12" customHeight="1" thickBot="1" x14ac:dyDescent="0.25">
      <c r="A3" s="115" t="s">
        <v>4</v>
      </c>
      <c r="B3" s="116"/>
      <c r="D3" s="671" t="s">
        <v>1156</v>
      </c>
      <c r="E3" s="672"/>
      <c r="F3" s="671" t="s">
        <v>1163</v>
      </c>
      <c r="G3" s="672"/>
      <c r="H3" s="671" t="s">
        <v>1164</v>
      </c>
      <c r="I3" s="672"/>
      <c r="J3" s="671" t="s">
        <v>0</v>
      </c>
      <c r="K3" s="672"/>
      <c r="L3" s="670"/>
      <c r="M3" s="758"/>
      <c r="R3" s="131" t="s">
        <v>35</v>
      </c>
      <c r="S3" s="37" t="b">
        <v>0</v>
      </c>
      <c r="T3" s="37">
        <v>3</v>
      </c>
    </row>
    <row r="4" spans="1:25" ht="12" customHeight="1" thickBot="1" x14ac:dyDescent="0.25">
      <c r="A4" s="38" t="s">
        <v>5</v>
      </c>
      <c r="B4" s="673">
        <v>330000</v>
      </c>
      <c r="C4" s="674"/>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675">
        <f>IF(B1="Flip",B4,IF(C1="hold",B4*(1+C5),+Amortization!O3))</f>
        <v>346500</v>
      </c>
      <c r="C6" s="676"/>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669" t="s">
        <v>10</v>
      </c>
      <c r="M7" s="688">
        <v>0.03</v>
      </c>
      <c r="Q7" s="261"/>
      <c r="R7" s="427"/>
    </row>
    <row r="8" spans="1:25" ht="12" customHeight="1" thickBot="1" x14ac:dyDescent="0.25">
      <c r="A8" s="38" t="s">
        <v>1157</v>
      </c>
      <c r="B8" s="327"/>
      <c r="C8" s="391"/>
      <c r="D8" s="361"/>
      <c r="E8" s="336"/>
      <c r="F8" s="340"/>
      <c r="G8" s="341">
        <f>+IF($C$1="hold",$M$7,0)*$C$50/12*B4</f>
        <v>0</v>
      </c>
      <c r="H8" s="595"/>
      <c r="I8" s="600"/>
      <c r="J8" s="374"/>
      <c r="K8" s="375"/>
      <c r="L8" s="670"/>
      <c r="M8" s="689"/>
    </row>
    <row r="9" spans="1:25" ht="12" customHeight="1" thickBot="1" x14ac:dyDescent="0.25">
      <c r="A9" s="130" t="str">
        <f>IF(T3=3,"Delta Mortgages","Monthly Rent:")</f>
        <v>Delta Mortgages</v>
      </c>
      <c r="B9" s="665">
        <v>1800</v>
      </c>
      <c r="C9" s="666"/>
      <c r="D9" s="363"/>
      <c r="E9" s="364"/>
      <c r="F9" s="382"/>
      <c r="G9" s="366"/>
      <c r="H9" s="596"/>
      <c r="I9" s="601"/>
      <c r="J9" s="379"/>
      <c r="K9" s="388">
        <f>IF(OR(C1="Hold",D1="Slow Flip"),IF(C1="hold",+B9,+Amortization!AA9),"")</f>
        <v>835.83</v>
      </c>
      <c r="L9" s="669" t="s">
        <v>12</v>
      </c>
      <c r="M9" s="760">
        <v>1368</v>
      </c>
    </row>
    <row r="10" spans="1:25" ht="12" customHeight="1" thickBot="1" x14ac:dyDescent="0.25">
      <c r="C10" s="680" t="s">
        <v>13</v>
      </c>
      <c r="D10" s="681" t="s">
        <v>13</v>
      </c>
      <c r="E10" s="117">
        <f>SUM(D4:E9)</f>
        <v>0</v>
      </c>
      <c r="F10" s="709">
        <f>+SUM(F4:G9)</f>
        <v>34650</v>
      </c>
      <c r="G10" s="710"/>
      <c r="H10" s="114"/>
      <c r="I10" s="114"/>
      <c r="J10" s="709">
        <f>SUM(J4:K9)</f>
        <v>835.83</v>
      </c>
      <c r="K10" s="710"/>
      <c r="L10" s="670"/>
      <c r="M10" s="761"/>
      <c r="O10" s="476" t="s">
        <v>625</v>
      </c>
      <c r="P10" s="477"/>
      <c r="Q10" s="470"/>
      <c r="R10" s="478"/>
      <c r="U10" s="37" t="s">
        <v>740</v>
      </c>
      <c r="V10" s="37" t="s">
        <v>741</v>
      </c>
      <c r="W10" s="133"/>
    </row>
    <row r="11" spans="1:25" ht="12" customHeight="1" thickBot="1" x14ac:dyDescent="0.3">
      <c r="C11" s="118"/>
      <c r="D11" s="677" t="str">
        <f>IF(T3=3,"Profit calculations based on selling in 5 years","")</f>
        <v>Profit calculations based on selling in 5 years</v>
      </c>
      <c r="E11" s="678"/>
      <c r="F11" s="678"/>
      <c r="G11" s="678"/>
      <c r="H11" s="678"/>
      <c r="I11" s="678"/>
      <c r="J11" s="678"/>
      <c r="K11" s="679"/>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686" t="s">
        <v>16</v>
      </c>
      <c r="I14" s="687"/>
      <c r="J14" s="623"/>
      <c r="K14" s="620"/>
      <c r="L14" s="694" t="s">
        <v>17</v>
      </c>
      <c r="M14" s="695"/>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696"/>
      <c r="M15" s="697"/>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696"/>
      <c r="M16" s="697"/>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698"/>
      <c r="M17" s="699"/>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34">
        <f>-SUM(D14:D20)</f>
        <v>130291.26</v>
      </c>
      <c r="C21" s="622"/>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21" t="s">
        <v>609</v>
      </c>
      <c r="M22" s="722"/>
      <c r="R22" s="427"/>
    </row>
    <row r="23" spans="1:24" ht="12" customHeight="1" thickBot="1" x14ac:dyDescent="0.25">
      <c r="A23" s="38" t="s">
        <v>600</v>
      </c>
      <c r="B23" s="342">
        <v>6.5000000000000002E-2</v>
      </c>
      <c r="C23" s="343">
        <v>30</v>
      </c>
      <c r="D23" s="335"/>
      <c r="E23" s="336"/>
      <c r="F23" s="340"/>
      <c r="G23" s="341"/>
      <c r="H23" s="592"/>
      <c r="I23" s="600"/>
      <c r="J23" s="377"/>
      <c r="K23" s="375"/>
      <c r="L23" s="721" t="s">
        <v>597</v>
      </c>
      <c r="M23" s="722"/>
      <c r="R23" s="427"/>
    </row>
    <row r="24" spans="1:24" ht="12" customHeight="1" thickBot="1" x14ac:dyDescent="0.25">
      <c r="A24" s="38" t="s">
        <v>601</v>
      </c>
      <c r="B24" s="711">
        <v>45566</v>
      </c>
      <c r="C24" s="712"/>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667">
        <v>5000</v>
      </c>
      <c r="C27" s="668">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690" t="s">
        <v>23</v>
      </c>
      <c r="M29" s="691"/>
      <c r="S29" s="133"/>
    </row>
    <row r="30" spans="1:24" ht="12" customHeight="1" thickBot="1" x14ac:dyDescent="0.25">
      <c r="A30" s="130" t="s">
        <v>580</v>
      </c>
      <c r="C30" s="495">
        <f>+B45/C50</f>
        <v>706.85208086111106</v>
      </c>
      <c r="D30" s="361"/>
      <c r="E30" s="336"/>
      <c r="F30" s="340"/>
      <c r="G30" s="341"/>
      <c r="H30" s="592"/>
      <c r="I30" s="600"/>
      <c r="J30" s="376"/>
      <c r="K30" s="375"/>
      <c r="L30" s="692"/>
      <c r="M30" s="693"/>
      <c r="Q30" s="261"/>
      <c r="R30" s="427"/>
    </row>
    <row r="31" spans="1:24" ht="12" customHeight="1" x14ac:dyDescent="0.2">
      <c r="A31" s="130" t="s">
        <v>841</v>
      </c>
      <c r="B31" s="508">
        <f>+Carrying!B25/Profit!$B$28</f>
        <v>14.95234426229508</v>
      </c>
      <c r="C31" s="122"/>
      <c r="D31" s="361"/>
      <c r="E31" s="336"/>
      <c r="F31" s="340"/>
      <c r="G31" s="341"/>
      <c r="H31" s="592"/>
      <c r="I31" s="600"/>
      <c r="J31" s="376"/>
      <c r="K31" s="375"/>
      <c r="L31" s="704" t="s">
        <v>25</v>
      </c>
      <c r="M31" s="705"/>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06"/>
      <c r="M32" s="707"/>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06"/>
      <c r="M33" s="707"/>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08"/>
      <c r="M34" s="633"/>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32" t="s">
        <v>26</v>
      </c>
      <c r="M41" s="700">
        <f>IF(+T3=3,-J54,+B42/B28)</f>
        <v>1478.7032229508197</v>
      </c>
    </row>
    <row r="42" spans="1:13" ht="12" customHeight="1" thickBot="1" x14ac:dyDescent="0.3">
      <c r="A42" s="38" t="s">
        <v>26</v>
      </c>
      <c r="B42" s="731">
        <f>+B28*SUM(B31:B41)</f>
        <v>5503.2800000000007</v>
      </c>
      <c r="C42" s="620"/>
      <c r="D42" s="335">
        <f>-B42</f>
        <v>-5503.2800000000007</v>
      </c>
      <c r="E42" s="336"/>
      <c r="F42" s="340"/>
      <c r="G42" s="341"/>
      <c r="H42" s="592"/>
      <c r="I42" s="600"/>
      <c r="J42" s="376"/>
      <c r="K42" s="375"/>
      <c r="L42" s="733"/>
      <c r="M42" s="701"/>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32" t="s">
        <v>1040</v>
      </c>
      <c r="M44" s="700">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33"/>
      <c r="M45" s="701"/>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02" t="s">
        <v>27</v>
      </c>
      <c r="M47" s="700">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03"/>
      <c r="M48" s="701"/>
    </row>
    <row r="49" spans="1:17" ht="12" customHeight="1" thickBot="1" x14ac:dyDescent="0.25">
      <c r="A49" s="131" t="s">
        <v>37</v>
      </c>
      <c r="B49" s="399"/>
      <c r="C49" s="183">
        <v>2.4E-2</v>
      </c>
      <c r="D49" s="361"/>
      <c r="E49" s="336"/>
      <c r="F49" s="340">
        <f>IF(S5,IF(OR(T3=1,T3=2),-C49*$F$10,0),"")</f>
        <v>0</v>
      </c>
      <c r="G49" s="341"/>
      <c r="H49" s="592"/>
      <c r="I49" s="600"/>
      <c r="J49" s="377"/>
      <c r="K49" s="375"/>
      <c r="L49" s="702" t="s">
        <v>31</v>
      </c>
      <c r="M49" s="700">
        <f>-E55</f>
        <v>-4446.7850890000082</v>
      </c>
    </row>
    <row r="50" spans="1:17" ht="12" customHeight="1" thickBot="1" x14ac:dyDescent="0.25">
      <c r="A50" s="184" t="s">
        <v>38</v>
      </c>
      <c r="B50" s="182"/>
      <c r="C50" s="210">
        <v>36</v>
      </c>
      <c r="D50" s="361"/>
      <c r="E50" s="336"/>
      <c r="F50" s="340"/>
      <c r="G50" s="341"/>
      <c r="H50" s="592"/>
      <c r="I50" s="600"/>
      <c r="J50" s="377"/>
      <c r="K50" s="375"/>
      <c r="L50" s="703"/>
      <c r="M50" s="701"/>
    </row>
    <row r="51" spans="1:17" ht="12" customHeight="1" thickBot="1" x14ac:dyDescent="0.3">
      <c r="A51" s="38" t="s">
        <v>39</v>
      </c>
      <c r="B51" s="665"/>
      <c r="C51" s="720"/>
      <c r="D51" s="362"/>
      <c r="E51" s="336"/>
      <c r="F51" s="340">
        <f>-C51</f>
        <v>0</v>
      </c>
      <c r="G51" s="341"/>
      <c r="H51" s="592"/>
      <c r="I51" s="600"/>
      <c r="J51" s="378"/>
      <c r="K51" s="375"/>
      <c r="L51" s="747" t="s">
        <v>34</v>
      </c>
      <c r="M51" s="748"/>
    </row>
    <row r="52" spans="1:17" ht="12" customHeight="1" thickBot="1" x14ac:dyDescent="0.25">
      <c r="A52" s="38" t="s">
        <v>40</v>
      </c>
      <c r="B52" s="718">
        <f>+D91</f>
        <v>940</v>
      </c>
      <c r="C52" s="719"/>
      <c r="D52" s="361">
        <f>-B52</f>
        <v>-940</v>
      </c>
      <c r="E52" s="336"/>
      <c r="F52" s="340"/>
      <c r="G52" s="341"/>
      <c r="H52" s="592"/>
      <c r="I52" s="600"/>
      <c r="J52" s="378"/>
      <c r="K52" s="375"/>
      <c r="L52" s="749"/>
      <c r="M52" s="750"/>
    </row>
    <row r="53" spans="1:17" ht="12" customHeight="1" thickBot="1" x14ac:dyDescent="0.25">
      <c r="A53" s="38" t="s">
        <v>41</v>
      </c>
      <c r="B53" s="716">
        <f>+D102</f>
        <v>290</v>
      </c>
      <c r="C53" s="717"/>
      <c r="D53" s="363"/>
      <c r="E53" s="364"/>
      <c r="F53" s="365">
        <f>-B53</f>
        <v>-290</v>
      </c>
      <c r="G53" s="366"/>
      <c r="H53" s="591"/>
      <c r="I53" s="601"/>
      <c r="J53" s="379"/>
      <c r="K53" s="380"/>
    </row>
    <row r="54" spans="1:17" ht="12" customHeight="1" thickBot="1" x14ac:dyDescent="0.25">
      <c r="B54" s="715" t="s">
        <v>42</v>
      </c>
      <c r="C54" s="681"/>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29" t="s">
        <v>43</v>
      </c>
      <c r="C55" s="730"/>
      <c r="D55" s="730"/>
      <c r="E55" s="602">
        <f>+SUM(D10:E53)</f>
        <v>4446.7850890000082</v>
      </c>
      <c r="F55" s="759">
        <f>+SUM(F10:G53)</f>
        <v>49968.999999999971</v>
      </c>
      <c r="G55" s="664"/>
      <c r="H55" s="735"/>
      <c r="I55" s="735"/>
      <c r="J55" s="135"/>
      <c r="K55" s="137">
        <f>+SUM(J54:K54)</f>
        <v>210.83000000000015</v>
      </c>
      <c r="Q55" s="112"/>
    </row>
    <row r="56" spans="1:17" ht="12" customHeight="1" thickBot="1" x14ac:dyDescent="0.25">
      <c r="A56" s="39"/>
      <c r="B56" s="39"/>
      <c r="D56" s="39"/>
      <c r="E56" s="662" t="s">
        <v>44</v>
      </c>
      <c r="F56" s="663"/>
      <c r="G56" s="587">
        <f>SUM(E55:G55)</f>
        <v>54415.785088999983</v>
      </c>
      <c r="H56" s="664">
        <f>+SUM(H10:I53)</f>
        <v>-152955.03</v>
      </c>
      <c r="I56" s="664"/>
      <c r="J56" s="135"/>
      <c r="K56" s="137"/>
      <c r="L56" s="779" t="s">
        <v>45</v>
      </c>
      <c r="M56" s="767" t="s">
        <v>46</v>
      </c>
      <c r="Q56" s="112"/>
    </row>
    <row r="57" spans="1:17" ht="12" customHeight="1" x14ac:dyDescent="0.2">
      <c r="A57" s="39"/>
      <c r="B57" s="39"/>
      <c r="D57" s="39"/>
      <c r="E57" s="662" t="s">
        <v>44</v>
      </c>
      <c r="F57" s="663"/>
      <c r="G57" s="134"/>
      <c r="H57" s="134"/>
      <c r="I57" s="134">
        <f>SUM(G56:I56)</f>
        <v>-98539.244911000016</v>
      </c>
      <c r="J57" s="135"/>
      <c r="K57" s="137"/>
      <c r="L57" s="780"/>
      <c r="M57" s="768"/>
      <c r="Q57" s="112"/>
    </row>
    <row r="58" spans="1:17" ht="12" customHeight="1" thickBot="1" x14ac:dyDescent="0.25">
      <c r="A58" s="39"/>
      <c r="B58" s="39"/>
      <c r="E58" s="662" t="s">
        <v>47</v>
      </c>
      <c r="F58" s="663"/>
      <c r="G58" s="663"/>
      <c r="H58" s="135"/>
      <c r="I58" s="604"/>
      <c r="J58" s="606">
        <f>IF(OR(T3=2,T3=3),IF(T3=2,C50,60),0)</f>
        <v>60</v>
      </c>
      <c r="K58" s="605">
        <f>IF(OR(T3=2,T3=3),+J58*K55,0)</f>
        <v>12649.80000000001</v>
      </c>
      <c r="L58" s="781"/>
      <c r="M58" s="768"/>
    </row>
    <row r="59" spans="1:17" ht="12" customHeight="1" thickBot="1" x14ac:dyDescent="0.25">
      <c r="A59" s="39"/>
      <c r="B59" s="39"/>
      <c r="E59" s="136"/>
      <c r="F59" s="782" t="s">
        <v>611</v>
      </c>
      <c r="G59" s="783"/>
      <c r="H59" s="603"/>
      <c r="I59" s="603"/>
      <c r="J59" s="597"/>
      <c r="K59" s="597">
        <f>+K58+I57</f>
        <v>-85889.444910999999</v>
      </c>
      <c r="L59" s="123">
        <f>$B$25*$K$59</f>
        <v>0</v>
      </c>
      <c r="M59" s="124">
        <f>+$K$59-L59</f>
        <v>-85889.444910999999</v>
      </c>
    </row>
    <row r="60" spans="1:17" ht="12" customHeight="1" thickTop="1" thickBot="1" x14ac:dyDescent="0.3">
      <c r="A60" s="125" t="s">
        <v>48</v>
      </c>
      <c r="B60" s="727">
        <f>IF(OR(C1="Hold",D1="slow flip"),0.15,0)</f>
        <v>0.15</v>
      </c>
      <c r="C60" s="728"/>
      <c r="D60" s="125"/>
      <c r="E60" s="125"/>
      <c r="F60" s="782" t="s">
        <v>602</v>
      </c>
      <c r="G60" s="658"/>
      <c r="H60" s="658"/>
      <c r="I60" s="659"/>
      <c r="J60" s="659"/>
      <c r="K60" s="659"/>
      <c r="L60" s="134">
        <f>-I85</f>
        <v>0</v>
      </c>
      <c r="M60" s="168">
        <f>+I85</f>
        <v>0</v>
      </c>
    </row>
    <row r="61" spans="1:17" ht="12" customHeight="1" thickTop="1" thickBot="1" x14ac:dyDescent="0.3">
      <c r="A61" s="38" t="s">
        <v>49</v>
      </c>
      <c r="B61" s="723">
        <v>0.1</v>
      </c>
      <c r="C61" s="724">
        <v>0.15</v>
      </c>
      <c r="D61" s="725">
        <f>+M63*B61</f>
        <v>-7300.6028174349995</v>
      </c>
      <c r="E61" s="726"/>
      <c r="F61" s="657" t="s">
        <v>1158</v>
      </c>
      <c r="G61" s="658"/>
      <c r="H61" s="658"/>
      <c r="I61" s="659"/>
      <c r="J61" s="659"/>
      <c r="K61" s="659"/>
      <c r="L61" s="400" t="s">
        <v>471</v>
      </c>
      <c r="M61" s="168">
        <f>IF(B60="",0,-$B$60*SUM(M59:M60))</f>
        <v>12883.416736649999</v>
      </c>
    </row>
    <row r="62" spans="1:17" ht="12" customHeight="1" x14ac:dyDescent="0.25">
      <c r="F62" s="657" t="s">
        <v>1159</v>
      </c>
      <c r="G62" s="658"/>
      <c r="H62" s="658"/>
      <c r="I62" s="659"/>
      <c r="J62" s="659"/>
      <c r="K62" s="659"/>
      <c r="L62" s="123">
        <f>SUM(L59:L61)</f>
        <v>0</v>
      </c>
      <c r="M62" s="124">
        <f>SUM(M59:M61)</f>
        <v>-73006.028174349995</v>
      </c>
    </row>
    <row r="63" spans="1:17" ht="12" customHeight="1" thickBot="1" x14ac:dyDescent="0.3">
      <c r="A63" s="116"/>
      <c r="C63" s="38"/>
      <c r="D63" s="38"/>
      <c r="E63" s="38"/>
      <c r="F63" s="657" t="s">
        <v>612</v>
      </c>
      <c r="G63" s="658"/>
      <c r="H63" s="658"/>
      <c r="I63" s="659"/>
      <c r="J63" s="659"/>
      <c r="K63" s="659"/>
      <c r="L63" s="128"/>
      <c r="M63" s="320">
        <f>SUM(L62:M62)</f>
        <v>-73006.028174349995</v>
      </c>
    </row>
    <row r="64" spans="1:17" ht="12" customHeight="1" x14ac:dyDescent="0.25">
      <c r="A64" s="116"/>
      <c r="F64" s="657" t="s">
        <v>1160</v>
      </c>
      <c r="G64" s="658"/>
      <c r="H64" s="658"/>
      <c r="I64" s="659"/>
      <c r="J64" s="659"/>
      <c r="K64" s="659"/>
      <c r="L64" s="134"/>
      <c r="M64" s="588">
        <f>IF($T$3=3,Docs!I23,0)</f>
        <v>236592</v>
      </c>
    </row>
    <row r="65" spans="1:13" ht="12" customHeight="1" thickBot="1" x14ac:dyDescent="0.3">
      <c r="A65" s="116"/>
      <c r="C65" s="38"/>
      <c r="F65" s="657" t="s">
        <v>1162</v>
      </c>
      <c r="G65" s="658"/>
      <c r="H65" s="658"/>
      <c r="I65" s="659"/>
      <c r="J65" s="659"/>
      <c r="K65" s="659"/>
      <c r="L65" s="134"/>
      <c r="M65" s="589">
        <f>+'Trade Properties'!R11*J58</f>
        <v>197160</v>
      </c>
    </row>
    <row r="66" spans="1:13" ht="12" customHeight="1" thickBot="1" x14ac:dyDescent="0.3">
      <c r="A66" s="116"/>
      <c r="C66" s="38"/>
      <c r="D66" s="38"/>
      <c r="E66" s="38"/>
      <c r="F66" s="660" t="s">
        <v>1166</v>
      </c>
      <c r="G66" s="661"/>
      <c r="H66" s="661"/>
      <c r="I66" s="632"/>
      <c r="J66" s="632"/>
      <c r="K66" s="632"/>
      <c r="L66" s="587"/>
      <c r="M66" s="589">
        <f>SUM(M63:M65)</f>
        <v>360745.97182565002</v>
      </c>
    </row>
    <row r="67" spans="1:13" ht="12" customHeight="1" thickTop="1" x14ac:dyDescent="0.2">
      <c r="A67" s="119" t="s">
        <v>50</v>
      </c>
    </row>
    <row r="68" spans="1:13" ht="12" customHeight="1" thickBot="1" x14ac:dyDescent="0.25">
      <c r="A68" s="38" t="s">
        <v>51</v>
      </c>
      <c r="B68" s="738">
        <f>+'Gnatt Chart'!J5</f>
        <v>25446.674910999998</v>
      </c>
      <c r="C68" s="738"/>
      <c r="D68" s="738">
        <f>-B68</f>
        <v>-25446.674910999998</v>
      </c>
      <c r="E68" s="738"/>
    </row>
    <row r="69" spans="1:13" ht="12" customHeight="1" thickBot="1" x14ac:dyDescent="0.25">
      <c r="A69" s="38" t="s">
        <v>52</v>
      </c>
      <c r="B69" s="126">
        <v>0.1</v>
      </c>
      <c r="D69" s="738"/>
      <c r="E69" s="738"/>
      <c r="G69" s="694" t="s">
        <v>53</v>
      </c>
      <c r="H69" s="789"/>
      <c r="I69" s="789"/>
      <c r="J69" s="790"/>
      <c r="K69" s="790"/>
      <c r="L69" s="691"/>
    </row>
    <row r="70" spans="1:13" ht="12" customHeight="1" thickBot="1" x14ac:dyDescent="0.25">
      <c r="A70" s="38" t="s">
        <v>54</v>
      </c>
      <c r="B70" s="751">
        <f>IF(M13,0,+B69*SUM(B68:C68))</f>
        <v>0</v>
      </c>
      <c r="C70" s="751"/>
      <c r="D70" s="751">
        <f>-B70</f>
        <v>0</v>
      </c>
      <c r="E70" s="751"/>
      <c r="G70" s="791"/>
      <c r="H70" s="792"/>
      <c r="I70" s="792"/>
      <c r="J70" s="792"/>
      <c r="K70" s="792"/>
      <c r="L70" s="793"/>
    </row>
    <row r="71" spans="1:13" ht="12" customHeight="1" thickBot="1" x14ac:dyDescent="0.25">
      <c r="A71" s="38" t="s">
        <v>55</v>
      </c>
      <c r="D71" s="743">
        <f>+SUM(D68:E70)</f>
        <v>-25446.674910999998</v>
      </c>
      <c r="E71" s="744"/>
      <c r="G71" s="775" t="s">
        <v>1165</v>
      </c>
      <c r="H71" s="776"/>
      <c r="I71" s="776"/>
      <c r="J71" s="777"/>
      <c r="K71" s="777"/>
      <c r="L71" s="778"/>
    </row>
    <row r="72" spans="1:13" ht="12" customHeight="1" thickTop="1" thickBot="1" x14ac:dyDescent="0.25">
      <c r="A72" s="127" t="s">
        <v>56</v>
      </c>
      <c r="B72" s="125"/>
      <c r="C72" s="125"/>
      <c r="D72" s="38"/>
      <c r="E72" s="38"/>
      <c r="G72" s="772"/>
      <c r="H72" s="773"/>
      <c r="I72" s="773"/>
      <c r="J72" s="773"/>
      <c r="K72" s="773"/>
      <c r="L72" s="774"/>
    </row>
    <row r="73" spans="1:13" ht="12" customHeight="1" x14ac:dyDescent="0.2">
      <c r="A73" s="38" t="s">
        <v>57</v>
      </c>
      <c r="B73" s="736">
        <v>350</v>
      </c>
      <c r="C73" s="737"/>
      <c r="D73" s="738"/>
      <c r="E73" s="738"/>
      <c r="J73" s="37"/>
      <c r="K73" s="37"/>
    </row>
    <row r="74" spans="1:13" ht="12" customHeight="1" thickBot="1" x14ac:dyDescent="0.25">
      <c r="A74" s="38" t="s">
        <v>58</v>
      </c>
      <c r="B74" s="713">
        <v>0</v>
      </c>
      <c r="C74" s="714"/>
      <c r="D74" s="738"/>
      <c r="E74" s="738"/>
      <c r="J74" s="37"/>
      <c r="K74" s="37"/>
    </row>
    <row r="75" spans="1:13" ht="12" customHeight="1" thickBot="1" x14ac:dyDescent="0.25">
      <c r="A75" s="38" t="s">
        <v>59</v>
      </c>
      <c r="B75" s="713">
        <v>250</v>
      </c>
      <c r="C75" s="714"/>
      <c r="F75" s="765" t="s">
        <v>480</v>
      </c>
      <c r="G75" s="766"/>
      <c r="H75" s="766" t="s">
        <v>212</v>
      </c>
      <c r="I75" s="766"/>
      <c r="J75" s="303" t="s">
        <v>481</v>
      </c>
      <c r="K75" s="37"/>
    </row>
    <row r="76" spans="1:13" ht="12" customHeight="1" thickBot="1" x14ac:dyDescent="0.3">
      <c r="A76" s="38" t="s">
        <v>59</v>
      </c>
      <c r="B76" s="713"/>
      <c r="C76" s="714"/>
      <c r="F76" s="796">
        <f>_xlfn.DAYS(J76,H76)</f>
        <v>183</v>
      </c>
      <c r="G76" s="629"/>
      <c r="H76" s="797">
        <v>45748</v>
      </c>
      <c r="I76" s="712"/>
      <c r="J76" s="469">
        <v>45931</v>
      </c>
      <c r="K76" s="37"/>
    </row>
    <row r="77" spans="1:13" ht="12" customHeight="1" x14ac:dyDescent="0.2">
      <c r="A77" s="38" t="s">
        <v>60</v>
      </c>
      <c r="B77" s="713"/>
      <c r="C77" s="714"/>
      <c r="D77" s="121"/>
      <c r="E77" s="114"/>
      <c r="F77" s="114"/>
      <c r="G77" s="114"/>
      <c r="H77" s="304"/>
      <c r="I77" s="305"/>
      <c r="J77" s="114"/>
      <c r="K77" s="784" t="s">
        <v>564</v>
      </c>
    </row>
    <row r="78" spans="1:13" ht="12" customHeight="1" x14ac:dyDescent="0.2">
      <c r="A78" s="38" t="s">
        <v>60</v>
      </c>
      <c r="B78" s="713"/>
      <c r="C78" s="714"/>
      <c r="D78" s="306"/>
      <c r="G78" s="787" t="s">
        <v>482</v>
      </c>
      <c r="H78" s="787" t="s">
        <v>483</v>
      </c>
      <c r="I78" s="787" t="s">
        <v>484</v>
      </c>
      <c r="J78" s="787" t="s">
        <v>485</v>
      </c>
      <c r="K78" s="785"/>
    </row>
    <row r="79" spans="1:13" ht="12" customHeight="1" thickBot="1" x14ac:dyDescent="0.25">
      <c r="A79" s="38" t="s">
        <v>61</v>
      </c>
      <c r="B79" s="713"/>
      <c r="C79" s="714"/>
      <c r="D79" s="115" t="s">
        <v>253</v>
      </c>
      <c r="E79" s="752" t="s">
        <v>486</v>
      </c>
      <c r="F79" s="752"/>
      <c r="G79" s="788"/>
      <c r="H79" s="788"/>
      <c r="I79" s="788"/>
      <c r="J79" s="788"/>
      <c r="K79" s="786"/>
    </row>
    <row r="80" spans="1:13" ht="12" customHeight="1" x14ac:dyDescent="0.25">
      <c r="A80" s="38" t="s">
        <v>62</v>
      </c>
      <c r="B80" s="713"/>
      <c r="C80" s="714"/>
      <c r="D80" s="581">
        <v>45397</v>
      </c>
      <c r="E80" s="753" t="s">
        <v>605</v>
      </c>
      <c r="F80" s="754"/>
      <c r="G80" s="369"/>
      <c r="H80" s="370">
        <f>+G80/$G$86</f>
        <v>0</v>
      </c>
      <c r="I80" s="371">
        <f>+$L$59*H80</f>
        <v>0</v>
      </c>
      <c r="J80" s="372">
        <f>+G80+I80</f>
        <v>0</v>
      </c>
      <c r="K80" s="373">
        <f>IF(G80="",0,+I80/G80*365/_xlfn.DAYS($J$76,D80))</f>
        <v>0</v>
      </c>
    </row>
    <row r="81" spans="1:12" ht="12" customHeight="1" x14ac:dyDescent="0.25">
      <c r="A81" s="38" t="s">
        <v>63</v>
      </c>
      <c r="B81" s="713"/>
      <c r="C81" s="714"/>
      <c r="D81" s="581">
        <f>+D80+90</f>
        <v>45487</v>
      </c>
      <c r="E81" s="753" t="str">
        <f>+E80</f>
        <v>unknown</v>
      </c>
      <c r="F81" s="754"/>
      <c r="G81" s="369"/>
      <c r="H81" s="370">
        <f>+G81/$G$86</f>
        <v>0</v>
      </c>
      <c r="I81" s="371">
        <f>+$L$59*H81</f>
        <v>0</v>
      </c>
      <c r="J81" s="372">
        <f>+G81+I81</f>
        <v>0</v>
      </c>
      <c r="K81" s="373">
        <f>IF(G81="",0,+I81/G81*365/_xlfn.DAYS($J$76,D81))</f>
        <v>0</v>
      </c>
    </row>
    <row r="82" spans="1:12" ht="12" customHeight="1" x14ac:dyDescent="0.25">
      <c r="A82" s="38" t="s">
        <v>64</v>
      </c>
      <c r="B82" s="713"/>
      <c r="C82" s="714"/>
      <c r="D82" s="581">
        <f>+D81+270</f>
        <v>45757</v>
      </c>
      <c r="E82" s="753" t="str">
        <f>+E81</f>
        <v>unknown</v>
      </c>
      <c r="F82" s="754"/>
      <c r="G82" s="369"/>
      <c r="H82" s="370">
        <f>+G82/$G$86</f>
        <v>0</v>
      </c>
      <c r="I82" s="371">
        <f>+$L$59*H82</f>
        <v>0</v>
      </c>
      <c r="J82" s="372">
        <f>+G82+I82</f>
        <v>0</v>
      </c>
      <c r="K82" s="373">
        <f>IF(G82="",0,+I82/G82*365/_xlfn.DAYS($J$76,D82))</f>
        <v>0</v>
      </c>
    </row>
    <row r="83" spans="1:12" ht="12" customHeight="1" thickBot="1" x14ac:dyDescent="0.3">
      <c r="A83" s="38" t="s">
        <v>65</v>
      </c>
      <c r="B83" s="713"/>
      <c r="C83" s="714"/>
      <c r="D83" s="581">
        <f>+J76-120</f>
        <v>45811</v>
      </c>
      <c r="E83" s="753" t="str">
        <f>+E82</f>
        <v>unknown</v>
      </c>
      <c r="F83" s="754"/>
      <c r="G83" s="369"/>
      <c r="H83" s="370">
        <f>+G83/$G$86</f>
        <v>0</v>
      </c>
      <c r="I83" s="371">
        <f>+$L$59*H83</f>
        <v>0</v>
      </c>
      <c r="J83" s="372">
        <f>+G83+I83</f>
        <v>0</v>
      </c>
      <c r="K83" s="373">
        <f>IF(G83="",0,+I83/G83*365/_xlfn.DAYS($J$76,D83))</f>
        <v>0</v>
      </c>
    </row>
    <row r="84" spans="1:12" ht="12" customHeight="1" thickBot="1" x14ac:dyDescent="0.3">
      <c r="A84" s="38" t="s">
        <v>66</v>
      </c>
      <c r="B84" s="713">
        <v>200</v>
      </c>
      <c r="C84" s="714"/>
      <c r="D84" s="582">
        <v>45422</v>
      </c>
      <c r="E84" s="755" t="str">
        <f>+F1</f>
        <v>Heritage Management</v>
      </c>
      <c r="F84" s="756"/>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13"/>
      <c r="C85" s="714"/>
      <c r="D85" s="348" t="str">
        <f>+J75</f>
        <v>End Date</v>
      </c>
      <c r="E85" s="794" t="s">
        <v>603</v>
      </c>
      <c r="F85" s="795"/>
      <c r="G85" s="349">
        <f>+SUM(G79:G82)</f>
        <v>0</v>
      </c>
      <c r="H85" s="350">
        <f>+SUM(H79:H82)</f>
        <v>0</v>
      </c>
      <c r="I85" s="349">
        <f>+SUM(I79:I82)</f>
        <v>0</v>
      </c>
      <c r="J85" s="349">
        <f>+SUM(J79:J82)</f>
        <v>0</v>
      </c>
      <c r="K85" s="351">
        <f>AVERAGE(K79:K82)</f>
        <v>0</v>
      </c>
    </row>
    <row r="86" spans="1:12" ht="12" customHeight="1" thickBot="1" x14ac:dyDescent="0.3">
      <c r="A86" s="38" t="s">
        <v>68</v>
      </c>
      <c r="B86" s="713"/>
      <c r="C86" s="714"/>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13">
        <v>90</v>
      </c>
      <c r="C87" s="714"/>
      <c r="D87" s="738"/>
      <c r="E87" s="738"/>
    </row>
    <row r="88" spans="1:12" ht="12" customHeight="1" x14ac:dyDescent="0.2">
      <c r="A88" s="38" t="s">
        <v>565</v>
      </c>
      <c r="B88" s="713">
        <v>20</v>
      </c>
      <c r="C88" s="714"/>
      <c r="D88" s="738"/>
      <c r="E88" s="738"/>
    </row>
    <row r="89" spans="1:12" ht="12" customHeight="1" x14ac:dyDescent="0.2">
      <c r="A89" s="38" t="s">
        <v>70</v>
      </c>
      <c r="B89" s="713">
        <v>30</v>
      </c>
      <c r="C89" s="714"/>
      <c r="D89" s="738"/>
      <c r="E89" s="738"/>
    </row>
    <row r="90" spans="1:12" ht="12" customHeight="1" thickBot="1" x14ac:dyDescent="0.25">
      <c r="A90" s="38" t="s">
        <v>71</v>
      </c>
      <c r="B90" s="739"/>
      <c r="C90" s="740"/>
      <c r="D90" s="741"/>
      <c r="E90" s="742"/>
    </row>
    <row r="91" spans="1:12" ht="12" customHeight="1" thickBot="1" x14ac:dyDescent="0.25">
      <c r="D91" s="743">
        <f>+SUM(B73:C90)</f>
        <v>940</v>
      </c>
      <c r="E91" s="744"/>
      <c r="G91" s="747" t="s">
        <v>72</v>
      </c>
      <c r="H91" s="769"/>
      <c r="I91" s="769"/>
      <c r="J91" s="770"/>
      <c r="K91" s="770"/>
      <c r="L91" s="771"/>
    </row>
    <row r="92" spans="1:12" ht="12" customHeight="1" thickBot="1" x14ac:dyDescent="0.25">
      <c r="G92" s="772"/>
      <c r="H92" s="773"/>
      <c r="I92" s="773"/>
      <c r="J92" s="773"/>
      <c r="K92" s="773"/>
      <c r="L92" s="774"/>
    </row>
    <row r="93" spans="1:12" ht="12" customHeight="1" thickTop="1" thickBot="1" x14ac:dyDescent="0.25">
      <c r="A93" s="127" t="s">
        <v>73</v>
      </c>
      <c r="B93" s="125"/>
      <c r="C93" s="125"/>
      <c r="D93" s="125"/>
      <c r="E93" s="125"/>
    </row>
    <row r="94" spans="1:12" ht="12" customHeight="1" x14ac:dyDescent="0.2">
      <c r="A94" s="38" t="s">
        <v>57</v>
      </c>
      <c r="B94" s="736"/>
      <c r="C94" s="737"/>
      <c r="D94" s="738"/>
      <c r="E94" s="738"/>
    </row>
    <row r="95" spans="1:12" ht="12" customHeight="1" x14ac:dyDescent="0.2">
      <c r="A95" s="38" t="s">
        <v>59</v>
      </c>
      <c r="B95" s="713">
        <v>250</v>
      </c>
      <c r="C95" s="714"/>
      <c r="D95" s="738"/>
      <c r="E95" s="738"/>
    </row>
    <row r="96" spans="1:12" ht="12" customHeight="1" x14ac:dyDescent="0.2">
      <c r="A96" s="38" t="s">
        <v>74</v>
      </c>
      <c r="B96" s="713">
        <v>0</v>
      </c>
      <c r="C96" s="714"/>
      <c r="D96" s="738"/>
      <c r="E96" s="738"/>
    </row>
    <row r="97" spans="1:12" ht="12" customHeight="1" x14ac:dyDescent="0.2">
      <c r="A97" s="38" t="s">
        <v>75</v>
      </c>
      <c r="B97" s="713"/>
      <c r="C97" s="714"/>
      <c r="D97" s="738"/>
      <c r="E97" s="738"/>
    </row>
    <row r="98" spans="1:12" ht="12" customHeight="1" x14ac:dyDescent="0.2">
      <c r="A98" s="38" t="s">
        <v>69</v>
      </c>
      <c r="B98" s="713"/>
      <c r="C98" s="714"/>
      <c r="D98" s="738"/>
      <c r="E98" s="738"/>
    </row>
    <row r="99" spans="1:12" ht="12" customHeight="1" x14ac:dyDescent="0.2">
      <c r="A99" s="38" t="s">
        <v>76</v>
      </c>
      <c r="B99" s="713">
        <v>40</v>
      </c>
      <c r="C99" s="714"/>
      <c r="D99" s="738"/>
      <c r="E99" s="738"/>
    </row>
    <row r="100" spans="1:12" ht="12" customHeight="1" x14ac:dyDescent="0.2">
      <c r="A100" s="38" t="s">
        <v>77</v>
      </c>
      <c r="B100" s="713"/>
      <c r="C100" s="714"/>
      <c r="D100" s="738"/>
      <c r="E100" s="738"/>
    </row>
    <row r="101" spans="1:12" ht="12" customHeight="1" thickBot="1" x14ac:dyDescent="0.25">
      <c r="A101" s="38" t="s">
        <v>71</v>
      </c>
      <c r="B101" s="745"/>
      <c r="C101" s="746"/>
      <c r="D101" s="741"/>
      <c r="E101" s="742"/>
    </row>
    <row r="102" spans="1:12" ht="12" customHeight="1" thickTop="1" thickBot="1" x14ac:dyDescent="0.25">
      <c r="D102" s="743">
        <f>+SUM(B94:C101)</f>
        <v>290</v>
      </c>
      <c r="E102" s="744"/>
      <c r="G102" s="747" t="s">
        <v>78</v>
      </c>
      <c r="H102" s="769"/>
      <c r="I102" s="769"/>
      <c r="J102" s="770"/>
      <c r="K102" s="770"/>
      <c r="L102" s="771"/>
    </row>
    <row r="103" spans="1:12" ht="12" customHeight="1" thickBot="1" x14ac:dyDescent="0.25">
      <c r="G103" s="772"/>
      <c r="H103" s="773"/>
      <c r="I103" s="773"/>
      <c r="J103" s="773"/>
      <c r="K103" s="773"/>
      <c r="L103" s="774"/>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Q833"/>
  <sheetViews>
    <sheetView tabSelected="1" topLeftCell="G1" workbookViewId="0">
      <pane ySplit="19" topLeftCell="A20" activePane="bottomLeft" state="frozen"/>
      <selection pane="bottomLeft" activeCell="S1" sqref="S1"/>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3.7109375" style="276" customWidth="1"/>
    <col min="24" max="24" width="9.5703125" style="460" customWidth="1"/>
    <col min="25" max="25" width="11.42578125" style="276" customWidth="1"/>
    <col min="26" max="26" width="9.85546875" style="14" bestFit="1" customWidth="1"/>
    <col min="27" max="27" width="7.5703125" style="276" bestFit="1" customWidth="1"/>
    <col min="28" max="28" width="20" style="276" customWidth="1"/>
    <col min="29" max="29" width="18.140625" style="276" customWidth="1"/>
    <col min="30" max="30" width="15.42578125" style="276" customWidth="1"/>
    <col min="31" max="31" width="13.5703125" style="276"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618">
        <v>3</v>
      </c>
      <c r="T1" s="13"/>
      <c r="Y1" s="329"/>
      <c r="Z1" s="456"/>
      <c r="AC1" s="14"/>
      <c r="AD1" s="13"/>
      <c r="AI1" s="276"/>
      <c r="AJ1" s="276"/>
      <c r="AK1" s="276"/>
      <c r="AL1" s="276"/>
      <c r="AO1"/>
    </row>
    <row r="2" spans="2:41" ht="15.75" thickBot="1" x14ac:dyDescent="0.3">
      <c r="B2" s="330" t="s">
        <v>592</v>
      </c>
      <c r="C2" s="465">
        <f>+Profit!C15</f>
        <v>97228</v>
      </c>
      <c r="J2" s="2" t="s">
        <v>1139</v>
      </c>
      <c r="K2" s="651">
        <v>0</v>
      </c>
      <c r="L2" s="652"/>
      <c r="N2" s="30" t="s">
        <v>1140</v>
      </c>
      <c r="O2" s="572">
        <f>IF($S$1=1,P2,IF($S$1=2,Q2,IF($S$1=3,R2)))</f>
        <v>0.05</v>
      </c>
      <c r="P2" s="573">
        <v>0.05</v>
      </c>
      <c r="Q2" s="573">
        <v>0.05</v>
      </c>
      <c r="R2" s="573">
        <v>0.05</v>
      </c>
      <c r="U2" s="14"/>
      <c r="V2" s="456" t="s">
        <v>1151</v>
      </c>
      <c r="W2" s="458">
        <v>134.16999999999999</v>
      </c>
      <c r="Y2" s="628" t="s">
        <v>1177</v>
      </c>
      <c r="Z2" s="643"/>
      <c r="AA2" s="644"/>
      <c r="AB2" s="629"/>
      <c r="AI2" s="276"/>
      <c r="AJ2" s="276"/>
      <c r="AK2" s="276"/>
      <c r="AL2" s="276"/>
      <c r="AO2"/>
    </row>
    <row r="3" spans="2:41" ht="15.75" thickBot="1" x14ac:dyDescent="0.3">
      <c r="B3" s="330"/>
      <c r="C3" s="465"/>
      <c r="J3" s="30" t="s">
        <v>1141</v>
      </c>
      <c r="K3" s="653">
        <v>0.1</v>
      </c>
      <c r="L3" s="654"/>
      <c r="N3" s="30" t="s">
        <v>1142</v>
      </c>
      <c r="O3" s="384">
        <f>IF($S$1=1,P3,IF($S$1=2,Q3,IF($S$1=3,R3)))</f>
        <v>346500</v>
      </c>
      <c r="P3" s="574">
        <f>+Profit!$B$4*(1++P2)</f>
        <v>346500</v>
      </c>
      <c r="Q3" s="385">
        <f>+Profit!$B$4*(1++Q2)</f>
        <v>346500</v>
      </c>
      <c r="R3" s="386">
        <f>+Profit!$B$4*(1++R2)</f>
        <v>346500</v>
      </c>
      <c r="U3" s="14"/>
      <c r="V3" s="456" t="s">
        <v>1152</v>
      </c>
      <c r="W3" s="458">
        <v>188.55</v>
      </c>
      <c r="Y3" s="637" t="s">
        <v>1178</v>
      </c>
      <c r="Z3" s="638"/>
      <c r="AA3" s="639"/>
      <c r="AB3" s="609">
        <f>cfdRate1Payment</f>
        <v>676.44</v>
      </c>
      <c r="AI3" s="276"/>
      <c r="AJ3" s="276"/>
      <c r="AK3" s="276"/>
      <c r="AL3" s="276"/>
      <c r="AO3"/>
    </row>
    <row r="4" spans="2:41" ht="15.75" thickBot="1" x14ac:dyDescent="0.3">
      <c r="B4" s="330" t="s">
        <v>591</v>
      </c>
      <c r="C4" s="441">
        <f>+Profit!B15</f>
        <v>3.7499999999999999E-2</v>
      </c>
      <c r="J4" s="30" t="s">
        <v>1143</v>
      </c>
      <c r="K4" s="655">
        <f>+Profit!M63</f>
        <v>-73006.028174349995</v>
      </c>
      <c r="L4" s="656"/>
      <c r="N4" s="30" t="s">
        <v>1144</v>
      </c>
      <c r="O4" s="384">
        <f>IF($S$1=1,P4,IF($S$1=2,Q4,IF($S$1=3,R4)))</f>
        <v>34650</v>
      </c>
      <c r="P4" s="574">
        <f>+$O$3*$K$3</f>
        <v>34650</v>
      </c>
      <c r="Q4" s="385">
        <f>+$O$3*$K$3</f>
        <v>34650</v>
      </c>
      <c r="R4" s="386">
        <f>+$O$3*$K$3</f>
        <v>34650</v>
      </c>
      <c r="U4" s="14"/>
      <c r="V4" s="456" t="s">
        <v>1155</v>
      </c>
      <c r="W4" s="457">
        <f>+O9+W2+W3</f>
        <v>999.16000000000008</v>
      </c>
      <c r="Y4" s="637" t="s">
        <v>1179</v>
      </c>
      <c r="Z4" s="638"/>
      <c r="AA4" s="639"/>
      <c r="AB4" s="609">
        <f>cfdRate2Payment</f>
        <v>699.17</v>
      </c>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Y5" s="637" t="s">
        <v>1180</v>
      </c>
      <c r="Z5" s="638"/>
      <c r="AA5" s="639"/>
      <c r="AB5" s="609">
        <f>IFERROR(_xlfn.XLOOKUP(cfdFirstRateMonths-1,tblBuyerOutputs[Period],tblContractForDeed[End Bal]),"")</f>
        <v>58259.390000000021</v>
      </c>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Y6" s="637" t="s">
        <v>1181</v>
      </c>
      <c r="Z6" s="638"/>
      <c r="AA6" s="639"/>
      <c r="AB6" s="609">
        <f>IFERROR(_xlfn.XLOOKUP(12,tblScheduleIndex[Period],tblBuyerOutputs[Monthly Cash Flow]),"")</f>
        <v>48.560000000000059</v>
      </c>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Y7" s="637" t="s">
        <v>1182</v>
      </c>
      <c r="Z7" s="638"/>
      <c r="AA7" s="639"/>
      <c r="AB7" s="609">
        <f>IFERROR(_xlfn.XLOOKUP(cfdFirstRateMonths-1,tblBuyerOutputs[Period],tblBuyerOutputs[Cumul Cash Flow]),"")</f>
        <v>2433.04</v>
      </c>
      <c r="AG7" s="22"/>
      <c r="AH7" s="22"/>
      <c r="AI7" s="22"/>
      <c r="AJ7"/>
    </row>
    <row r="8" spans="2:41" ht="15.75" thickBot="1" x14ac:dyDescent="0.3">
      <c r="B8" s="330" t="s">
        <v>1148</v>
      </c>
      <c r="C8" s="576">
        <v>52322</v>
      </c>
      <c r="N8" s="30" t="s">
        <v>1173</v>
      </c>
      <c r="O8" s="441">
        <f>IF($S$1=1,P8,IF($S$1=2,Q8,IF($S$1=3,R8)))</f>
        <v>7.0000000000000007E-2</v>
      </c>
      <c r="P8" s="577">
        <f>+$C$4+P7</f>
        <v>6.25E-2</v>
      </c>
      <c r="Q8" s="578">
        <f>+$C$4+Q7</f>
        <v>7.2500000000000009E-2</v>
      </c>
      <c r="R8" s="579">
        <f>+$C$4+R7</f>
        <v>7.0000000000000007E-2</v>
      </c>
      <c r="U8" s="444" t="str">
        <f>"Rate 1 Payment at "&amp;TEXT($O$8,"0.00%")</f>
        <v>Rate 1 Payment at 7.00%</v>
      </c>
      <c r="V8" s="384">
        <f>IF(cfdContractMonths&lt;=0,0,ROUND(PMT(cfdRate1/12,cfdContractMonths,-$O$6,0),2))</f>
        <v>676.44</v>
      </c>
      <c r="Y8" s="637" t="s">
        <v>1183</v>
      </c>
      <c r="Z8" s="638"/>
      <c r="AA8" s="639"/>
      <c r="AB8" s="609">
        <f>IFERROR(_xlfn.XLOOKUP(cfdFirstRateMonths-1,tblBuyerOutputs[Period],tblBuyerOutputs[Monthly Appr]),"")</f>
        <v>0</v>
      </c>
      <c r="AG8" s="22"/>
      <c r="AH8" s="22"/>
      <c r="AI8" s="22"/>
      <c r="AJ8"/>
    </row>
    <row r="9" spans="2:41" ht="15.75" thickBot="1" x14ac:dyDescent="0.3">
      <c r="N9" s="30" t="s">
        <v>1149</v>
      </c>
      <c r="O9" s="384">
        <f>IF($P$14&lt;=0,0,ROUND(PMT($O$8/12,$P$14,-$O$6,0),2))</f>
        <v>676.44</v>
      </c>
      <c r="P9" s="574">
        <f>IF($P$14&lt;=0,0,ROUND(PMT(P8/12,$P$14,-P6,0),2))</f>
        <v>645.28</v>
      </c>
      <c r="Q9" s="385">
        <f>IF($P$14&lt;=0,0,ROUND(PMT(Q8/12,$P$14,-Q6,0),2))</f>
        <v>687</v>
      </c>
      <c r="R9" s="386">
        <f>IF($P$14&lt;=0,0,ROUND(PMT(R8/12,$P$14,-R6,0),2))</f>
        <v>676.44</v>
      </c>
      <c r="Y9" s="637" t="s">
        <v>1184</v>
      </c>
      <c r="Z9" s="638"/>
      <c r="AA9" s="639"/>
      <c r="AB9" s="609">
        <f>IFERROR(_xlfn.XLOOKUP(cfdFirstRateMonths-1,tblBuyerOutputs[Period],tblBuyerOutputs[Cumul Appr]),"")</f>
        <v>0</v>
      </c>
      <c r="AG9" s="22"/>
      <c r="AH9" s="22"/>
      <c r="AI9" s="22"/>
      <c r="AJ9"/>
    </row>
    <row r="10" spans="2:41" ht="15.75" thickBot="1" x14ac:dyDescent="0.3">
      <c r="N10" s="30" t="s">
        <v>1191</v>
      </c>
      <c r="P10" s="575">
        <v>0.03</v>
      </c>
      <c r="Q10" s="575">
        <v>3.5000000000000003E-2</v>
      </c>
      <c r="R10" s="575">
        <v>0.04</v>
      </c>
      <c r="Y10" s="640" t="s">
        <v>1185</v>
      </c>
      <c r="Z10" s="641"/>
      <c r="AA10" s="642"/>
      <c r="AB10" s="610">
        <f>cfdFirstRateMonths</f>
        <v>60</v>
      </c>
      <c r="AG10" s="22"/>
      <c r="AH10" s="22"/>
      <c r="AI10" s="22"/>
      <c r="AJ10"/>
    </row>
    <row r="11" spans="2:41" ht="15.75" thickBot="1" x14ac:dyDescent="0.3">
      <c r="N11" s="30" t="s">
        <v>1174</v>
      </c>
      <c r="O11" s="441">
        <f>IF($S$1=1,P11,IF($S$1=2,Q11,IF($S$1=3,R11)))</f>
        <v>7.7499999999999999E-2</v>
      </c>
      <c r="P11" s="577">
        <f>+$C$4+P10</f>
        <v>6.7500000000000004E-2</v>
      </c>
      <c r="Q11" s="429">
        <f>+$C$4+Q10</f>
        <v>7.2500000000000009E-2</v>
      </c>
      <c r="R11" s="430">
        <f>+$C$4+R10</f>
        <v>7.7499999999999999E-2</v>
      </c>
      <c r="T11" s="13"/>
      <c r="U11" s="444" t="str">
        <f>"Rate 2 Payment at "&amp;TEXT($O$11,"0.00%")</f>
        <v>Rate 2 Payment at 7.75%</v>
      </c>
      <c r="V11" s="384">
        <f>IF(MAX(0,cfdContractMonths-cfdFirstRateMonths)&lt;=0,0,ROUND(PMT(cfdRate2/12,MAX(0,cfdContractMonths-cfdFirstRateMonths),-IFERROR(_xlfn.XLOOKUP(cfdFirstRateMonths-1,tblBuyerOutputs[Period],tblContractForDeed[End Bal]),$O$6),0),2))</f>
        <v>699.17</v>
      </c>
      <c r="AG11" s="22"/>
      <c r="AH11" s="22"/>
      <c r="AI11" s="22"/>
      <c r="AJ11"/>
    </row>
    <row r="12" spans="2:41" ht="15.75" thickBot="1" x14ac:dyDescent="0.3">
      <c r="N12" s="30"/>
      <c r="O12" s="384"/>
      <c r="P12" s="574"/>
      <c r="Q12" s="607"/>
      <c r="R12" s="608"/>
      <c r="T12" s="13"/>
      <c r="AB12"/>
      <c r="AG12" s="22"/>
      <c r="AH12" s="22"/>
      <c r="AI12" s="22"/>
      <c r="AJ12"/>
    </row>
    <row r="13" spans="2:41" ht="15.75" thickBot="1" x14ac:dyDescent="0.3">
      <c r="H13" s="619" t="s">
        <v>1153</v>
      </c>
      <c r="I13" s="620"/>
      <c r="J13" s="617">
        <v>46204</v>
      </c>
      <c r="K13" s="619" t="s">
        <v>1189</v>
      </c>
      <c r="L13" s="623"/>
      <c r="M13" s="623"/>
      <c r="N13" s="620"/>
      <c r="O13" s="464">
        <v>5</v>
      </c>
      <c r="P13" s="465">
        <f>+O13*12</f>
        <v>60</v>
      </c>
      <c r="Q13" s="619" t="s">
        <v>1188</v>
      </c>
      <c r="R13" s="620"/>
      <c r="S13" s="621">
        <f>EDATE(J13,P13)</f>
        <v>48030</v>
      </c>
      <c r="T13" s="622"/>
      <c r="AB13"/>
      <c r="AG13" s="22"/>
      <c r="AH13" s="22"/>
      <c r="AI13" s="22"/>
      <c r="AJ13"/>
    </row>
    <row r="14" spans="2:41" ht="15.75" thickBot="1" x14ac:dyDescent="0.3">
      <c r="K14" s="619" t="s">
        <v>1190</v>
      </c>
      <c r="L14" s="623"/>
      <c r="M14" s="623"/>
      <c r="N14" s="620"/>
      <c r="O14" s="464">
        <v>15</v>
      </c>
      <c r="P14" s="465">
        <f>+O14*12</f>
        <v>180</v>
      </c>
      <c r="Q14" s="619" t="s">
        <v>1154</v>
      </c>
      <c r="R14" s="620"/>
      <c r="S14" s="621">
        <f>EDATE(J13,P14-1)</f>
        <v>51653</v>
      </c>
      <c r="T14" s="622"/>
      <c r="AB14"/>
      <c r="AG14" s="22"/>
      <c r="AH14" s="22"/>
      <c r="AI14" s="22"/>
      <c r="AJ14"/>
    </row>
    <row r="15" spans="2:41" ht="15" customHeight="1" x14ac:dyDescent="0.25">
      <c r="Y15" s="460"/>
      <c r="Z15" s="460"/>
      <c r="AD15" s="14"/>
    </row>
    <row r="16" spans="2:41" ht="15.75" thickBot="1" x14ac:dyDescent="0.3">
      <c r="O16" s="276"/>
      <c r="P16" s="276"/>
      <c r="Q16" s="276"/>
      <c r="R16" s="276"/>
      <c r="S16" s="276"/>
      <c r="T16" s="276"/>
      <c r="Y16" s="611"/>
      <c r="Z16" s="456"/>
      <c r="AD16" s="14"/>
      <c r="AI16" s="431"/>
      <c r="AJ16" s="431"/>
      <c r="AK16" s="431"/>
      <c r="AL16" s="276"/>
    </row>
    <row r="17" spans="1:31" ht="15.75" thickBot="1" x14ac:dyDescent="0.3">
      <c r="N17" s="460"/>
      <c r="O17" s="648" t="str">
        <f>"Official Contract for Deed Schedule: "&amp;TEXT($O$8,"0.00%")&amp;" for first "&amp;$O$13&amp;" years, then "&amp;TEXT($O$11,"0.00%")</f>
        <v>Official Contract for Deed Schedule: 7.00% for first 5 years, then 7.75%</v>
      </c>
      <c r="P17" s="649"/>
      <c r="Q17" s="649"/>
      <c r="R17" s="649"/>
      <c r="S17" s="649"/>
      <c r="T17" s="649"/>
      <c r="U17" s="649"/>
      <c r="V17" s="649"/>
      <c r="W17" s="649"/>
      <c r="X17" s="649"/>
      <c r="Y17" s="649"/>
      <c r="Z17" s="650"/>
    </row>
    <row r="18" spans="1:31" ht="15" customHeight="1" thickBot="1" x14ac:dyDescent="0.3">
      <c r="C18" s="624" t="s">
        <v>658</v>
      </c>
      <c r="D18" s="625"/>
      <c r="E18" s="626"/>
      <c r="F18" s="626"/>
      <c r="G18" s="626"/>
      <c r="H18" s="627"/>
      <c r="I18" s="628" t="s">
        <v>655</v>
      </c>
      <c r="J18" s="629"/>
      <c r="N18" s="460"/>
      <c r="O18" s="466"/>
      <c r="P18" s="454"/>
      <c r="Q18" s="630" t="s">
        <v>658</v>
      </c>
      <c r="R18" s="631"/>
      <c r="S18" s="632"/>
      <c r="T18" s="632"/>
      <c r="U18" s="632"/>
      <c r="V18" s="633"/>
      <c r="W18" s="630" t="s">
        <v>655</v>
      </c>
      <c r="X18" s="634"/>
      <c r="Y18" s="635" t="s">
        <v>1175</v>
      </c>
      <c r="Z18" s="636"/>
      <c r="AA18" s="645" t="s">
        <v>1169</v>
      </c>
      <c r="AB18" s="646"/>
      <c r="AC18" s="646"/>
      <c r="AD18" s="646"/>
      <c r="AE18" s="647"/>
    </row>
    <row r="19" spans="1:31" ht="15" customHeight="1" thickBot="1" x14ac:dyDescent="0.3">
      <c r="A19" s="461" t="s">
        <v>253</v>
      </c>
      <c r="B19" s="331" t="s">
        <v>662</v>
      </c>
      <c r="C19" s="459" t="s">
        <v>200</v>
      </c>
      <c r="D19" s="463" t="s">
        <v>659</v>
      </c>
      <c r="E19" s="459" t="s">
        <v>656</v>
      </c>
      <c r="F19" s="459" t="s">
        <v>663</v>
      </c>
      <c r="G19" s="459" t="s">
        <v>661</v>
      </c>
      <c r="H19" s="459" t="s">
        <v>660</v>
      </c>
      <c r="I19" s="455" t="s">
        <v>1186</v>
      </c>
      <c r="J19" s="455" t="s">
        <v>1187</v>
      </c>
      <c r="K19" s="393" t="s">
        <v>664</v>
      </c>
      <c r="L19" s="614" t="s">
        <v>608</v>
      </c>
      <c r="M19" s="614" t="s">
        <v>594</v>
      </c>
      <c r="N19" s="461" t="s">
        <v>253</v>
      </c>
      <c r="O19" s="331" t="s">
        <v>662</v>
      </c>
      <c r="P19" s="459" t="s">
        <v>657</v>
      </c>
      <c r="Q19" s="459" t="s">
        <v>200</v>
      </c>
      <c r="R19" s="459" t="s">
        <v>659</v>
      </c>
      <c r="S19" s="459" t="s">
        <v>656</v>
      </c>
      <c r="T19" s="459" t="s">
        <v>663</v>
      </c>
      <c r="U19" s="459" t="s">
        <v>661</v>
      </c>
      <c r="V19" s="459" t="s">
        <v>268</v>
      </c>
      <c r="W19" s="455" t="s">
        <v>1167</v>
      </c>
      <c r="X19" s="455" t="s">
        <v>1168</v>
      </c>
      <c r="Y19" s="455" t="s">
        <v>1176</v>
      </c>
      <c r="Z19" s="387" t="s">
        <v>594</v>
      </c>
      <c r="AA19" s="328" t="s">
        <v>596</v>
      </c>
      <c r="AB19" s="459" t="s">
        <v>0</v>
      </c>
      <c r="AC19" s="459" t="s">
        <v>1170</v>
      </c>
      <c r="AD19" s="331" t="s">
        <v>1171</v>
      </c>
      <c r="AE19" s="331" t="s">
        <v>1172</v>
      </c>
    </row>
    <row r="20" spans="1:31" x14ac:dyDescent="0.25">
      <c r="A20" s="613">
        <f>+C7</f>
        <v>45870</v>
      </c>
      <c r="B20" s="276">
        <f>+C2</f>
        <v>97228</v>
      </c>
      <c r="C20" s="14">
        <f t="shared" ref="C20:C83" si="1">IF(+$K19&lt;=0,0,$C$6)</f>
        <v>627.88</v>
      </c>
      <c r="D20" s="14">
        <f>+C20-E20</f>
        <v>324.04000000000002</v>
      </c>
      <c r="E20" s="14">
        <f t="shared" ref="E20:E83" si="2">ROUND($B20*($C$4/12), 2)</f>
        <v>303.83999999999997</v>
      </c>
      <c r="I20" s="276">
        <f>+C20</f>
        <v>627.88</v>
      </c>
      <c r="J20" s="276">
        <f>+E20</f>
        <v>303.83999999999997</v>
      </c>
      <c r="K20" s="276">
        <f>+B20-D20</f>
        <v>96903.96</v>
      </c>
      <c r="L20" s="394">
        <f t="shared" ref="L20:L83" si="3">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7.0000000000000007E-2</v>
      </c>
      <c r="Q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467">
        <f>IF(INDEX(tblContractForDeed[Payment],ROW()-ROW(tblBuyerOutputs[#Headers]))=0,0,INDEX(tblContractForDeed[Payment],ROW()-ROW(tblBuyerOutputs[#Headers]))-INDEX(tblSubjectToLoan[Payment],ROW()-ROW(tblBuyerOutputs[#Headers])))</f>
        <v>0</v>
      </c>
      <c r="Z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Appr],ROW()-ROW(tblBuyerOutputs[#Headers])-1)))*$AK$2/12)</f>
        <v>0</v>
      </c>
      <c r="AE20" s="276">
        <f>IF(INDEX(tblContractForDeed[End Bal],ROW()-ROW(tblBuyerOutputs[#Headers]))&lt;=0,0,IF(ROW()=ROW(tblBuyerOutputs[#Headers])+1,0,INDEX(tblBuyerOutputs[Cumul Appr],ROW()-ROW(tblBuyerOutputs[#Headers])-1))+tblBuyerOutputs[[#This Row],[Monthly Appr]])</f>
        <v>0</v>
      </c>
    </row>
    <row r="21" spans="1:31" x14ac:dyDescent="0.25">
      <c r="A21" s="613">
        <f>IF(K21&lt;=0," ",+A20+30)</f>
        <v>45900</v>
      </c>
      <c r="B21" s="276">
        <f t="shared" ref="B21:B84" si="4">IF(+K20&lt;0,0,+K20)</f>
        <v>96903.96</v>
      </c>
      <c r="C21" s="14">
        <f t="shared" si="1"/>
        <v>627.88</v>
      </c>
      <c r="D21" s="14">
        <f>+C21-E21</f>
        <v>325.06</v>
      </c>
      <c r="E21" s="14">
        <f t="shared" si="2"/>
        <v>302.82</v>
      </c>
      <c r="I21" s="276">
        <f>$D21+$I20</f>
        <v>952.94</v>
      </c>
      <c r="J21" s="276">
        <f>$E21+$J20</f>
        <v>606.66</v>
      </c>
      <c r="K21" s="276">
        <f>+B21-D21</f>
        <v>96578.900000000009</v>
      </c>
      <c r="L21" s="394">
        <f t="shared" si="3"/>
        <v>0</v>
      </c>
      <c r="M21" s="394">
        <f t="shared" ref="M21:M84" si="5">IF($A21&lt;&gt;"",M20+1,0)</f>
        <v>1</v>
      </c>
      <c r="N21" s="613">
        <f>INDEX(tblSubjectToLoan[Date],ROW()-ROW(tblContractForDeed[#Headers]))</f>
        <v>45900</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7.0000000000000007E-2</v>
      </c>
      <c r="Q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467">
        <f>IF(INDEX(tblContractForDeed[Payment],ROW()-ROW(tblBuyerOutputs[#Headers]))=0,0,INDEX(tblContractForDeed[Payment],ROW()-ROW(tblBuyerOutputs[#Headers]))-INDEX(tblSubjectToLoan[Payment],ROW()-ROW(tblBuyerOutputs[#Headers])))</f>
        <v>0</v>
      </c>
      <c r="Z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Appr],ROW()-ROW(tblBuyerOutputs[#Headers])-1)))*$AK$2/12)</f>
        <v>0</v>
      </c>
      <c r="AE21" s="276">
        <f>IF(INDEX(tblContractForDeed[End Bal],ROW()-ROW(tblBuyerOutputs[#Headers]))&lt;=0,0,IF(ROW()=ROW(tblBuyerOutputs[#Headers])+1,0,INDEX(tblBuyerOutputs[Cumul Appr],ROW()-ROW(tblBuyerOutputs[#Headers])-1))+tblBuyerOutputs[[#This Row],[Monthly Appr]])</f>
        <v>0</v>
      </c>
    </row>
    <row r="22" spans="1:31" x14ac:dyDescent="0.25">
      <c r="A22" s="613">
        <f t="shared" ref="A22:A85" si="6">IF(K22&lt;=0," ",+A21+30)</f>
        <v>45930</v>
      </c>
      <c r="B22" s="276">
        <f t="shared" si="4"/>
        <v>96578.900000000009</v>
      </c>
      <c r="C22" s="14">
        <f t="shared" si="1"/>
        <v>627.88</v>
      </c>
      <c r="D22" s="14">
        <f t="shared" ref="D22:D85" si="7">+C22-E22</f>
        <v>326.07</v>
      </c>
      <c r="E22" s="14">
        <f t="shared" si="2"/>
        <v>301.81</v>
      </c>
      <c r="I22" s="276">
        <f t="shared" ref="I22:I85" si="8">$D22+$I21</f>
        <v>1279.01</v>
      </c>
      <c r="J22" s="276">
        <f t="shared" ref="J22:J85" si="9">$E22+$J21</f>
        <v>908.47</v>
      </c>
      <c r="K22" s="276">
        <f t="shared" ref="K22:K85" si="10">+B22-D22</f>
        <v>96252.83</v>
      </c>
      <c r="L22" s="394">
        <f t="shared" si="3"/>
        <v>0</v>
      </c>
      <c r="M22" s="394">
        <f t="shared" si="5"/>
        <v>2</v>
      </c>
      <c r="N22" s="613">
        <f>INDEX(tblSubjectToLoan[Date],ROW()-ROW(tblContractForDeed[#Headers]))</f>
        <v>45930</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7.0000000000000007E-2</v>
      </c>
      <c r="Q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467">
        <f>IF(INDEX(tblContractForDeed[Payment],ROW()-ROW(tblBuyerOutputs[#Headers]))=0,0,INDEX(tblContractForDeed[Payment],ROW()-ROW(tblBuyerOutputs[#Headers]))-INDEX(tblSubjectToLoan[Payment],ROW()-ROW(tblBuyerOutputs[#Headers])))</f>
        <v>0</v>
      </c>
      <c r="Z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Appr],ROW()-ROW(tblBuyerOutputs[#Headers])-1)))*$AK$2/12)</f>
        <v>0</v>
      </c>
      <c r="AE22" s="276">
        <f>IF(INDEX(tblContractForDeed[End Bal],ROW()-ROW(tblBuyerOutputs[#Headers]))&lt;=0,0,IF(ROW()=ROW(tblBuyerOutputs[#Headers])+1,0,INDEX(tblBuyerOutputs[Cumul Appr],ROW()-ROW(tblBuyerOutputs[#Headers])-1))+tblBuyerOutputs[[#This Row],[Monthly Appr]])</f>
        <v>0</v>
      </c>
    </row>
    <row r="23" spans="1:31" x14ac:dyDescent="0.25">
      <c r="A23" s="613">
        <f t="shared" si="6"/>
        <v>45960</v>
      </c>
      <c r="B23" s="276">
        <f t="shared" si="4"/>
        <v>96252.83</v>
      </c>
      <c r="C23" s="14">
        <f t="shared" si="1"/>
        <v>627.88</v>
      </c>
      <c r="D23" s="14">
        <f t="shared" si="7"/>
        <v>327.08999999999997</v>
      </c>
      <c r="E23" s="14">
        <f t="shared" si="2"/>
        <v>300.79000000000002</v>
      </c>
      <c r="I23" s="276">
        <f t="shared" si="8"/>
        <v>1606.1</v>
      </c>
      <c r="J23" s="276">
        <f t="shared" si="9"/>
        <v>1209.26</v>
      </c>
      <c r="K23" s="276">
        <f t="shared" si="10"/>
        <v>95925.74</v>
      </c>
      <c r="L23" s="394">
        <f t="shared" si="3"/>
        <v>0</v>
      </c>
      <c r="M23" s="394">
        <f t="shared" si="5"/>
        <v>3</v>
      </c>
      <c r="N23" s="613">
        <f>INDEX(tblSubjectToLoan[Date],ROW()-ROW(tblContractForDeed[#Headers]))</f>
        <v>45960</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7.0000000000000007E-2</v>
      </c>
      <c r="Q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467">
        <f>IF(INDEX(tblContractForDeed[Payment],ROW()-ROW(tblBuyerOutputs[#Headers]))=0,0,INDEX(tblContractForDeed[Payment],ROW()-ROW(tblBuyerOutputs[#Headers]))-INDEX(tblSubjectToLoan[Payment],ROW()-ROW(tblBuyerOutputs[#Headers])))</f>
        <v>0</v>
      </c>
      <c r="Z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Appr],ROW()-ROW(tblBuyerOutputs[#Headers])-1)))*$AK$2/12)</f>
        <v>0</v>
      </c>
      <c r="AE23" s="276">
        <f>IF(INDEX(tblContractForDeed[End Bal],ROW()-ROW(tblBuyerOutputs[#Headers]))&lt;=0,0,IF(ROW()=ROW(tblBuyerOutputs[#Headers])+1,0,INDEX(tblBuyerOutputs[Cumul Appr],ROW()-ROW(tblBuyerOutputs[#Headers])-1))+tblBuyerOutputs[[#This Row],[Monthly Appr]])</f>
        <v>0</v>
      </c>
    </row>
    <row r="24" spans="1:31" x14ac:dyDescent="0.25">
      <c r="A24" s="613">
        <f t="shared" si="6"/>
        <v>45990</v>
      </c>
      <c r="B24" s="276">
        <f t="shared" si="4"/>
        <v>95925.74</v>
      </c>
      <c r="C24" s="14">
        <f t="shared" si="1"/>
        <v>627.88</v>
      </c>
      <c r="D24" s="14">
        <f t="shared" si="7"/>
        <v>328.11</v>
      </c>
      <c r="E24" s="14">
        <f t="shared" si="2"/>
        <v>299.77</v>
      </c>
      <c r="I24" s="276">
        <f t="shared" si="8"/>
        <v>1934.21</v>
      </c>
      <c r="J24" s="276">
        <f t="shared" si="9"/>
        <v>1509.03</v>
      </c>
      <c r="K24" s="276">
        <f t="shared" si="10"/>
        <v>95597.63</v>
      </c>
      <c r="L24" s="394">
        <f t="shared" si="3"/>
        <v>0</v>
      </c>
      <c r="M24" s="394">
        <f t="shared" si="5"/>
        <v>4</v>
      </c>
      <c r="N24" s="613">
        <f>INDEX(tblSubjectToLoan[Date],ROW()-ROW(tblContractForDeed[#Headers]))</f>
        <v>45990</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7.0000000000000007E-2</v>
      </c>
      <c r="Q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467">
        <f>IF(INDEX(tblContractForDeed[Payment],ROW()-ROW(tblBuyerOutputs[#Headers]))=0,0,INDEX(tblContractForDeed[Payment],ROW()-ROW(tblBuyerOutputs[#Headers]))-INDEX(tblSubjectToLoan[Payment],ROW()-ROW(tblBuyerOutputs[#Headers])))</f>
        <v>0</v>
      </c>
      <c r="Z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Appr],ROW()-ROW(tblBuyerOutputs[#Headers])-1)))*$AK$2/12)</f>
        <v>0</v>
      </c>
      <c r="AE24" s="276">
        <f>IF(INDEX(tblContractForDeed[End Bal],ROW()-ROW(tblBuyerOutputs[#Headers]))&lt;=0,0,IF(ROW()=ROW(tblBuyerOutputs[#Headers])+1,0,INDEX(tblBuyerOutputs[Cumul Appr],ROW()-ROW(tblBuyerOutputs[#Headers])-1))+tblBuyerOutputs[[#This Row],[Monthly Appr]])</f>
        <v>0</v>
      </c>
    </row>
    <row r="25" spans="1:31" x14ac:dyDescent="0.25">
      <c r="A25" s="613">
        <f t="shared" si="6"/>
        <v>46020</v>
      </c>
      <c r="B25" s="276">
        <f t="shared" si="4"/>
        <v>95597.63</v>
      </c>
      <c r="C25" s="14">
        <f t="shared" si="1"/>
        <v>627.88</v>
      </c>
      <c r="D25" s="14">
        <f t="shared" si="7"/>
        <v>329.14</v>
      </c>
      <c r="E25" s="14">
        <f t="shared" si="2"/>
        <v>298.74</v>
      </c>
      <c r="I25" s="276">
        <f t="shared" si="8"/>
        <v>2263.35</v>
      </c>
      <c r="J25" s="276">
        <f t="shared" si="9"/>
        <v>1807.77</v>
      </c>
      <c r="K25" s="276">
        <f t="shared" si="10"/>
        <v>95268.49</v>
      </c>
      <c r="L25" s="394">
        <f t="shared" si="3"/>
        <v>0</v>
      </c>
      <c r="M25" s="394">
        <f t="shared" si="5"/>
        <v>5</v>
      </c>
      <c r="N25" s="613">
        <f>INDEX(tblSubjectToLoan[Date],ROW()-ROW(tblContractForDeed[#Headers]))</f>
        <v>46020</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7.0000000000000007E-2</v>
      </c>
      <c r="Q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467">
        <f>IF(INDEX(tblContractForDeed[Payment],ROW()-ROW(tblBuyerOutputs[#Headers]))=0,0,INDEX(tblContractForDeed[Payment],ROW()-ROW(tblBuyerOutputs[#Headers]))-INDEX(tblSubjectToLoan[Payment],ROW()-ROW(tblBuyerOutputs[#Headers])))</f>
        <v>0</v>
      </c>
      <c r="Z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Appr],ROW()-ROW(tblBuyerOutputs[#Headers])-1)))*$AK$2/12)</f>
        <v>0</v>
      </c>
      <c r="AE25" s="276">
        <f>IF(INDEX(tblContractForDeed[End Bal],ROW()-ROW(tblBuyerOutputs[#Headers]))&lt;=0,0,IF(ROW()=ROW(tblBuyerOutputs[#Headers])+1,0,INDEX(tblBuyerOutputs[Cumul Appr],ROW()-ROW(tblBuyerOutputs[#Headers])-1))+tblBuyerOutputs[[#This Row],[Monthly Appr]])</f>
        <v>0</v>
      </c>
    </row>
    <row r="26" spans="1:31" x14ac:dyDescent="0.25">
      <c r="A26" s="613">
        <f t="shared" si="6"/>
        <v>46050</v>
      </c>
      <c r="B26" s="276">
        <f t="shared" si="4"/>
        <v>95268.49</v>
      </c>
      <c r="C26" s="14">
        <f t="shared" si="1"/>
        <v>627.88</v>
      </c>
      <c r="D26" s="14">
        <f t="shared" si="7"/>
        <v>330.17</v>
      </c>
      <c r="E26" s="14">
        <f t="shared" si="2"/>
        <v>297.70999999999998</v>
      </c>
      <c r="I26" s="276">
        <f t="shared" si="8"/>
        <v>2593.52</v>
      </c>
      <c r="J26" s="276">
        <f t="shared" si="9"/>
        <v>2105.48</v>
      </c>
      <c r="K26" s="276">
        <f t="shared" si="10"/>
        <v>94938.32</v>
      </c>
      <c r="L26" s="394">
        <f t="shared" si="3"/>
        <v>0</v>
      </c>
      <c r="M26" s="394">
        <f t="shared" si="5"/>
        <v>6</v>
      </c>
      <c r="N26" s="613">
        <f>INDEX(tblSubjectToLoan[Date],ROW()-ROW(tblContractForDeed[#Headers]))</f>
        <v>46050</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7.0000000000000007E-2</v>
      </c>
      <c r="Q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467">
        <f>IF(INDEX(tblContractForDeed[Payment],ROW()-ROW(tblBuyerOutputs[#Headers]))=0,0,INDEX(tblContractForDeed[Payment],ROW()-ROW(tblBuyerOutputs[#Headers]))-INDEX(tblSubjectToLoan[Payment],ROW()-ROW(tblBuyerOutputs[#Headers])))</f>
        <v>0</v>
      </c>
      <c r="Z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Appr],ROW()-ROW(tblBuyerOutputs[#Headers])-1)))*$AK$2/12)</f>
        <v>0</v>
      </c>
      <c r="AE26" s="276">
        <f>IF(INDEX(tblContractForDeed[End Bal],ROW()-ROW(tblBuyerOutputs[#Headers]))&lt;=0,0,IF(ROW()=ROW(tblBuyerOutputs[#Headers])+1,0,INDEX(tblBuyerOutputs[Cumul Appr],ROW()-ROW(tblBuyerOutputs[#Headers])-1))+tblBuyerOutputs[[#This Row],[Monthly Appr]])</f>
        <v>0</v>
      </c>
    </row>
    <row r="27" spans="1:31" x14ac:dyDescent="0.25">
      <c r="A27" s="613">
        <f t="shared" si="6"/>
        <v>46080</v>
      </c>
      <c r="B27" s="276">
        <f t="shared" si="4"/>
        <v>94938.32</v>
      </c>
      <c r="C27" s="14">
        <f t="shared" si="1"/>
        <v>627.88</v>
      </c>
      <c r="D27" s="14">
        <f t="shared" si="7"/>
        <v>331.2</v>
      </c>
      <c r="E27" s="14">
        <f t="shared" si="2"/>
        <v>296.68</v>
      </c>
      <c r="I27" s="276">
        <f t="shared" si="8"/>
        <v>2924.72</v>
      </c>
      <c r="J27" s="276">
        <f t="shared" si="9"/>
        <v>2402.16</v>
      </c>
      <c r="K27" s="276">
        <f t="shared" si="10"/>
        <v>94607.12000000001</v>
      </c>
      <c r="L27" s="394">
        <f t="shared" si="3"/>
        <v>0</v>
      </c>
      <c r="M27" s="394">
        <f t="shared" si="5"/>
        <v>7</v>
      </c>
      <c r="N27" s="613">
        <f>INDEX(tblSubjectToLoan[Date],ROW()-ROW(tblContractForDeed[#Headers]))</f>
        <v>46080</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7.0000000000000007E-2</v>
      </c>
      <c r="Q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467">
        <f>IF(INDEX(tblContractForDeed[Payment],ROW()-ROW(tblBuyerOutputs[#Headers]))=0,0,INDEX(tblContractForDeed[Payment],ROW()-ROW(tblBuyerOutputs[#Headers]))-INDEX(tblSubjectToLoan[Payment],ROW()-ROW(tblBuyerOutputs[#Headers])))</f>
        <v>0</v>
      </c>
      <c r="Z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Appr],ROW()-ROW(tblBuyerOutputs[#Headers])-1)))*$AK$2/12)</f>
        <v>0</v>
      </c>
      <c r="AE27" s="276">
        <f>IF(INDEX(tblContractForDeed[End Bal],ROW()-ROW(tblBuyerOutputs[#Headers]))&lt;=0,0,IF(ROW()=ROW(tblBuyerOutputs[#Headers])+1,0,INDEX(tblBuyerOutputs[Cumul Appr],ROW()-ROW(tblBuyerOutputs[#Headers])-1))+tblBuyerOutputs[[#This Row],[Monthly Appr]])</f>
        <v>0</v>
      </c>
    </row>
    <row r="28" spans="1:31" x14ac:dyDescent="0.25">
      <c r="A28" s="613">
        <f t="shared" si="6"/>
        <v>46110</v>
      </c>
      <c r="B28" s="276">
        <f t="shared" si="4"/>
        <v>94607.12000000001</v>
      </c>
      <c r="C28" s="14">
        <f t="shared" si="1"/>
        <v>627.88</v>
      </c>
      <c r="D28" s="14">
        <f t="shared" si="7"/>
        <v>332.23</v>
      </c>
      <c r="E28" s="14">
        <f t="shared" si="2"/>
        <v>295.64999999999998</v>
      </c>
      <c r="I28" s="276">
        <f t="shared" si="8"/>
        <v>3256.95</v>
      </c>
      <c r="J28" s="276">
        <f t="shared" si="9"/>
        <v>2697.81</v>
      </c>
      <c r="K28" s="276">
        <f t="shared" si="10"/>
        <v>94274.890000000014</v>
      </c>
      <c r="L28" s="394">
        <f t="shared" si="3"/>
        <v>0</v>
      </c>
      <c r="M28" s="394">
        <f t="shared" si="5"/>
        <v>8</v>
      </c>
      <c r="N28" s="613">
        <f>INDEX(tblSubjectToLoan[Date],ROW()-ROW(tblContractForDeed[#Headers]))</f>
        <v>46110</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7.0000000000000007E-2</v>
      </c>
      <c r="Q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467">
        <f>IF(INDEX(tblContractForDeed[Payment],ROW()-ROW(tblBuyerOutputs[#Headers]))=0,0,INDEX(tblContractForDeed[Payment],ROW()-ROW(tblBuyerOutputs[#Headers]))-INDEX(tblSubjectToLoan[Payment],ROW()-ROW(tblBuyerOutputs[#Headers])))</f>
        <v>0</v>
      </c>
      <c r="Z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Appr],ROW()-ROW(tblBuyerOutputs[#Headers])-1)))*$AK$2/12)</f>
        <v>0</v>
      </c>
      <c r="AE28" s="276">
        <f>IF(INDEX(tblContractForDeed[End Bal],ROW()-ROW(tblBuyerOutputs[#Headers]))&lt;=0,0,IF(ROW()=ROW(tblBuyerOutputs[#Headers])+1,0,INDEX(tblBuyerOutputs[Cumul Appr],ROW()-ROW(tblBuyerOutputs[#Headers])-1))+tblBuyerOutputs[[#This Row],[Monthly Appr]])</f>
        <v>0</v>
      </c>
    </row>
    <row r="29" spans="1:31" x14ac:dyDescent="0.25">
      <c r="A29" s="613">
        <f t="shared" si="6"/>
        <v>46140</v>
      </c>
      <c r="B29" s="276">
        <f t="shared" si="4"/>
        <v>94274.890000000014</v>
      </c>
      <c r="C29" s="14">
        <f t="shared" si="1"/>
        <v>627.88</v>
      </c>
      <c r="D29" s="14">
        <f t="shared" si="7"/>
        <v>333.27</v>
      </c>
      <c r="E29" s="14">
        <f t="shared" si="2"/>
        <v>294.61</v>
      </c>
      <c r="I29" s="276">
        <f t="shared" si="8"/>
        <v>3590.22</v>
      </c>
      <c r="J29" s="276">
        <f t="shared" si="9"/>
        <v>2992.42</v>
      </c>
      <c r="K29" s="276">
        <f t="shared" si="10"/>
        <v>93941.62000000001</v>
      </c>
      <c r="L29" s="394">
        <f t="shared" si="3"/>
        <v>0</v>
      </c>
      <c r="M29" s="394">
        <f t="shared" si="5"/>
        <v>9</v>
      </c>
      <c r="N29" s="613">
        <f>INDEX(tblSubjectToLoan[Date],ROW()-ROW(tblContractForDeed[#Headers]))</f>
        <v>46140</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7.0000000000000007E-2</v>
      </c>
      <c r="Q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467">
        <f>IF(INDEX(tblContractForDeed[Payment],ROW()-ROW(tblBuyerOutputs[#Headers]))=0,0,INDEX(tblContractForDeed[Payment],ROW()-ROW(tblBuyerOutputs[#Headers]))-INDEX(tblSubjectToLoan[Payment],ROW()-ROW(tblBuyerOutputs[#Headers])))</f>
        <v>0</v>
      </c>
      <c r="Z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Appr],ROW()-ROW(tblBuyerOutputs[#Headers])-1)))*$AK$2/12)</f>
        <v>0</v>
      </c>
      <c r="AE29" s="276">
        <f>IF(INDEX(tblContractForDeed[End Bal],ROW()-ROW(tblBuyerOutputs[#Headers]))&lt;=0,0,IF(ROW()=ROW(tblBuyerOutputs[#Headers])+1,0,INDEX(tblBuyerOutputs[Cumul Appr],ROW()-ROW(tblBuyerOutputs[#Headers])-1))+tblBuyerOutputs[[#This Row],[Monthly Appr]])</f>
        <v>0</v>
      </c>
    </row>
    <row r="30" spans="1:31" x14ac:dyDescent="0.25">
      <c r="A30" s="613">
        <f t="shared" si="6"/>
        <v>46170</v>
      </c>
      <c r="B30" s="276">
        <f t="shared" si="4"/>
        <v>93941.62000000001</v>
      </c>
      <c r="C30" s="14">
        <f t="shared" si="1"/>
        <v>627.88</v>
      </c>
      <c r="D30" s="14">
        <f t="shared" si="7"/>
        <v>334.31</v>
      </c>
      <c r="E30" s="14">
        <f t="shared" si="2"/>
        <v>293.57</v>
      </c>
      <c r="I30" s="276">
        <f t="shared" si="8"/>
        <v>3924.5299999999997</v>
      </c>
      <c r="J30" s="276">
        <f t="shared" si="9"/>
        <v>3285.9900000000002</v>
      </c>
      <c r="K30" s="276">
        <f t="shared" si="10"/>
        <v>93607.310000000012</v>
      </c>
      <c r="L30" s="394">
        <f t="shared" si="3"/>
        <v>0</v>
      </c>
      <c r="M30" s="394">
        <f t="shared" si="5"/>
        <v>10</v>
      </c>
      <c r="N30" s="613">
        <f>INDEX(tblSubjectToLoan[Date],ROW()-ROW(tblContractForDeed[#Headers]))</f>
        <v>46170</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7.0000000000000007E-2</v>
      </c>
      <c r="Q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467">
        <f>IF(INDEX(tblContractForDeed[Payment],ROW()-ROW(tblBuyerOutputs[#Headers]))=0,0,INDEX(tblContractForDeed[Payment],ROW()-ROW(tblBuyerOutputs[#Headers]))-INDEX(tblSubjectToLoan[Payment],ROW()-ROW(tblBuyerOutputs[#Headers])))</f>
        <v>0</v>
      </c>
      <c r="Z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Appr],ROW()-ROW(tblBuyerOutputs[#Headers])-1)))*$AK$2/12)</f>
        <v>0</v>
      </c>
      <c r="AE30" s="276">
        <f>IF(INDEX(tblContractForDeed[End Bal],ROW()-ROW(tblBuyerOutputs[#Headers]))&lt;=0,0,IF(ROW()=ROW(tblBuyerOutputs[#Headers])+1,0,INDEX(tblBuyerOutputs[Cumul Appr],ROW()-ROW(tblBuyerOutputs[#Headers])-1))+tblBuyerOutputs[[#This Row],[Monthly Appr]])</f>
        <v>0</v>
      </c>
    </row>
    <row r="31" spans="1:31" ht="15.75" thickBot="1" x14ac:dyDescent="0.3">
      <c r="A31" s="615">
        <f t="shared" si="6"/>
        <v>46200</v>
      </c>
      <c r="B31" s="332">
        <f t="shared" si="4"/>
        <v>93607.310000000012</v>
      </c>
      <c r="C31" s="21">
        <f t="shared" si="1"/>
        <v>627.88</v>
      </c>
      <c r="D31" s="21">
        <f t="shared" si="7"/>
        <v>335.36</v>
      </c>
      <c r="E31" s="21">
        <f t="shared" si="2"/>
        <v>292.52</v>
      </c>
      <c r="F31" s="21"/>
      <c r="G31" s="21"/>
      <c r="H31" s="21"/>
      <c r="I31" s="332">
        <f t="shared" si="8"/>
        <v>4259.8899999999994</v>
      </c>
      <c r="J31" s="332">
        <f t="shared" si="9"/>
        <v>3578.51</v>
      </c>
      <c r="K31" s="332">
        <f t="shared" si="10"/>
        <v>93271.950000000012</v>
      </c>
      <c r="L31" s="395">
        <f t="shared" si="3"/>
        <v>0</v>
      </c>
      <c r="M31" s="395">
        <f t="shared" si="5"/>
        <v>11</v>
      </c>
      <c r="N31" s="615">
        <f>INDEX(tblSubjectToLoan[Date],ROW()-ROW(tblContractForDeed[#Headers]))</f>
        <v>46200</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7.0000000000000007E-2</v>
      </c>
      <c r="Q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 s="332">
        <f>IF(tblContractForDeed[[#This Row],[Payment]]=0,0,MAX(0,MIN(tblContractForDeed[[#This Row],[Beg]],tblContractForDeed[[#This Row],[Payment]]-tblContractForDeed[[#This Row],[Int]])))</f>
        <v>0</v>
      </c>
      <c r="S31" s="332">
        <f>IF(OR(tblContractForDeed[[#This Row],[Date]]&lt;cfdContractDate,tblContractForDeed[[#This Row],[Date]]&gt;cfdEndDate),0,ROUND(tblContractForDeed[[#This Row],[Beg]]*(tblContractForDeed[[#This Row],[Int Rate]]/12),2))</f>
        <v>0</v>
      </c>
      <c r="T31" s="332">
        <f>IF(tblContractForDeed[[#This Row],[Payment]]=0,0,$W$2)</f>
        <v>0</v>
      </c>
      <c r="U31" s="332">
        <f>IF(tblContractForDeed[[#This Row],[Princ]]=0,0,$W$3)</f>
        <v>0</v>
      </c>
      <c r="V31" s="332">
        <f>SUM(tblContractForDeed[[#This Row],[Princ]],tblContractForDeed[[#This Row],[Int]],tblContractForDeed[[#This Row],[Ins]],tblContractForDeed[[#This Row],[Taxes]])</f>
        <v>0</v>
      </c>
      <c r="W31" s="332">
        <f>SUM(INDEX(tblContractForDeed[Princ],1):INDEX(tblContractForDeed[Princ],ROW()-ROW(tblContractForDeed[#Headers])))</f>
        <v>0</v>
      </c>
      <c r="X31" s="332">
        <f>IF(tblContractForDeed[[#This Row],[Beg]]&lt;=0,0,tblContractForDeed[[#This Row],[Beg]]-tblContractForDeed[[#This Row],[Princ]])</f>
        <v>75258</v>
      </c>
      <c r="Y31" s="468">
        <f>IF(INDEX(tblContractForDeed[Payment],ROW()-ROW(tblBuyerOutputs[#Headers]))=0,0,INDEX(tblContractForDeed[Payment],ROW()-ROW(tblBuyerOutputs[#Headers]))-INDEX(tblSubjectToLoan[Payment],ROW()-ROW(tblBuyerOutputs[#Headers])))</f>
        <v>0</v>
      </c>
      <c r="Z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 s="23"/>
      <c r="AB31" s="21">
        <f>IF(INDEX(tblContractForDeed[Payment],ROW()-ROW(tblBuyerOutputs[#Headers]))=0,0,INDEX(tblContractForDeed[Payment],ROW()-ROW(tblBuyerOutputs[#Headers]))-INDEX(tblSubjectToLoan[Payment],ROW()-ROW(tblBuyerOutputs[#Headers])))-IFERROR(tblBuyerOutputs[[#This Row],[PMI]],0)</f>
        <v>0</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32">
        <f>IF(INDEX(tblContractForDeed[End Bal],ROW()-ROW(tblBuyerOutputs[#Headers]))&lt;=0,0,($O$6+IF(ROW()=ROW(tblBuyerOutputs[#Headers])+1,0,INDEX(tblBuyerOutputs[Cumul Appr],ROW()-ROW(tblBuyerOutputs[#Headers])-1)))*$AK$2/12)</f>
        <v>0</v>
      </c>
      <c r="AE31" s="276">
        <f>IF(INDEX(tblContractForDeed[End Bal],ROW()-ROW(tblBuyerOutputs[#Headers]))&lt;=0,0,IF(ROW()=ROW(tblBuyerOutputs[#Headers])+1,0,INDEX(tblBuyerOutputs[Cumul Appr],ROW()-ROW(tblBuyerOutputs[#Headers])-1))+tblBuyerOutputs[[#This Row],[Monthly Appr]])</f>
        <v>0</v>
      </c>
    </row>
    <row r="32" spans="1:31" x14ac:dyDescent="0.25">
      <c r="A32" s="613">
        <f t="shared" si="6"/>
        <v>46230</v>
      </c>
      <c r="B32" s="276">
        <f t="shared" si="4"/>
        <v>93271.950000000012</v>
      </c>
      <c r="C32" s="14">
        <f t="shared" si="1"/>
        <v>627.88</v>
      </c>
      <c r="D32" s="14">
        <f t="shared" si="7"/>
        <v>336.40999999999997</v>
      </c>
      <c r="E32" s="14">
        <f t="shared" si="2"/>
        <v>291.47000000000003</v>
      </c>
      <c r="I32" s="276">
        <f t="shared" si="8"/>
        <v>4596.2999999999993</v>
      </c>
      <c r="J32" s="276">
        <f t="shared" si="9"/>
        <v>3869.9800000000005</v>
      </c>
      <c r="K32" s="276">
        <f t="shared" si="10"/>
        <v>92935.540000000008</v>
      </c>
      <c r="L32" s="394">
        <f t="shared" si="3"/>
        <v>1</v>
      </c>
      <c r="M32" s="394">
        <f t="shared" si="5"/>
        <v>12</v>
      </c>
      <c r="N32" s="613">
        <f>INDEX(tblSubjectToLoan[Date],ROW()-ROW(tblContractForDeed[#Headers]))</f>
        <v>46230</v>
      </c>
      <c r="O32" s="276">
        <f>IF(ROW()=ROW(tblContractForDeed[#Headers])+1,$O$6,IF(INDEX(tblContractForDeed[End Bal],ROW()-ROW(tblContractForDeed[#Headers])-1)&lt;0,0,INDEX(tblContractForDeed[End Bal],ROW()-ROW(tblContractForDeed[#Headers])-1)))</f>
        <v>75258</v>
      </c>
      <c r="P32" s="454">
        <f>IF(tblContractForDeed[[#This Row],[Date]]="","",IF(tblContractForDeed[[#This Row],[Date]]&lt;cfdRateChangeDate,cfdRate1,cfdRate2))</f>
        <v>7.0000000000000007E-2</v>
      </c>
      <c r="Q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2" s="276">
        <f>IF(tblContractForDeed[[#This Row],[Payment]]=0,0,MAX(0,MIN(tblContractForDeed[[#This Row],[Beg]],tblContractForDeed[[#This Row],[Payment]]-tblContractForDeed[[#This Row],[Int]])))</f>
        <v>237.43000000000006</v>
      </c>
      <c r="S32" s="276">
        <f>IF(OR(tblContractForDeed[[#This Row],[Date]]&lt;cfdContractDate,tblContractForDeed[[#This Row],[Date]]&gt;cfdEndDate),0,ROUND(tblContractForDeed[[#This Row],[Beg]]*(tblContractForDeed[[#This Row],[Int Rate]]/12),2))</f>
        <v>439.01</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999.16000000000008</v>
      </c>
      <c r="W32" s="276">
        <f>SUM(INDEX(tblContractForDeed[Princ],1):INDEX(tblContractForDeed[Princ],ROW()-ROW(tblContractForDeed[#Headers])))</f>
        <v>237.43000000000006</v>
      </c>
      <c r="X32" s="276">
        <f>IF(tblContractForDeed[[#This Row],[Beg]]&lt;=0,0,tblContractForDeed[[#This Row],[Beg]]-tblContractForDeed[[#This Row],[Princ]])</f>
        <v>75020.570000000007</v>
      </c>
      <c r="Y32" s="467">
        <f>IF(INDEX(tblContractForDeed[Payment],ROW()-ROW(tblBuyerOutputs[#Headers]))=0,0,INDEX(tblContractForDeed[Payment],ROW()-ROW(tblBuyerOutputs[#Headers]))-INDEX(tblSubjectToLoan[Payment],ROW()-ROW(tblBuyerOutputs[#Headers])))</f>
        <v>48.560000000000059</v>
      </c>
      <c r="Z3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0</v>
      </c>
      <c r="AA32"/>
      <c r="AB32" s="14">
        <f>IF(INDEX(tblContractForDeed[Payment],ROW()-ROW(tblBuyerOutputs[#Headers]))=0,0,INDEX(tblContractForDeed[Payment],ROW()-ROW(tblBuyerOutputs[#Headers]))-INDEX(tblSubjectToLoan[Payment],ROW()-ROW(tblBuyerOutputs[#Headers])))-IFERROR(tblBuyerOutputs[[#This Row],[PMI]],0)</f>
        <v>48.560000000000059</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48.560000000000059</v>
      </c>
      <c r="AD32" s="276">
        <f>IF(INDEX(tblContractForDeed[End Bal],ROW()-ROW(tblBuyerOutputs[#Headers]))&lt;=0,0,($O$6+IF(ROW()=ROW(tblBuyerOutputs[#Headers])+1,0,INDEX(tblBuyerOutputs[Cumul Appr],ROW()-ROW(tblBuyerOutputs[#Headers])-1)))*$AK$2/12)</f>
        <v>0</v>
      </c>
      <c r="AE32" s="276">
        <f>IF(INDEX(tblContractForDeed[End Bal],ROW()-ROW(tblBuyerOutputs[#Headers]))&lt;=0,0,IF(ROW()=ROW(tblBuyerOutputs[#Headers])+1,0,INDEX(tblBuyerOutputs[Cumul Appr],ROW()-ROW(tblBuyerOutputs[#Headers])-1))+tblBuyerOutputs[[#This Row],[Monthly Appr]])</f>
        <v>0</v>
      </c>
    </row>
    <row r="33" spans="1:31" x14ac:dyDescent="0.25">
      <c r="A33" s="613">
        <f t="shared" si="6"/>
        <v>46260</v>
      </c>
      <c r="B33" s="276">
        <f t="shared" si="4"/>
        <v>92935.540000000008</v>
      </c>
      <c r="C33" s="14">
        <f t="shared" si="1"/>
        <v>627.88</v>
      </c>
      <c r="D33" s="14">
        <f t="shared" si="7"/>
        <v>337.46</v>
      </c>
      <c r="E33" s="14">
        <f t="shared" si="2"/>
        <v>290.42</v>
      </c>
      <c r="I33" s="276">
        <f t="shared" si="8"/>
        <v>4933.7599999999993</v>
      </c>
      <c r="J33" s="276">
        <f t="shared" si="9"/>
        <v>4160.4000000000005</v>
      </c>
      <c r="K33" s="276">
        <f t="shared" si="10"/>
        <v>92598.080000000002</v>
      </c>
      <c r="L33" s="394">
        <f t="shared" si="3"/>
        <v>1</v>
      </c>
      <c r="M33" s="394">
        <f t="shared" si="5"/>
        <v>13</v>
      </c>
      <c r="N33" s="613">
        <f>INDEX(tblSubjectToLoan[Date],ROW()-ROW(tblContractForDeed[#Headers]))</f>
        <v>46260</v>
      </c>
      <c r="O33" s="276">
        <f>IF(ROW()=ROW(tblContractForDeed[#Headers])+1,$O$6,IF(INDEX(tblContractForDeed[End Bal],ROW()-ROW(tblContractForDeed[#Headers])-1)&lt;0,0,INDEX(tblContractForDeed[End Bal],ROW()-ROW(tblContractForDeed[#Headers])-1)))</f>
        <v>75020.570000000007</v>
      </c>
      <c r="P33" s="454">
        <f>IF(tblContractForDeed[[#This Row],[Date]]="","",IF(tblContractForDeed[[#This Row],[Date]]&lt;cfdRateChangeDate,cfdRate1,cfdRate2))</f>
        <v>7.0000000000000007E-2</v>
      </c>
      <c r="Q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3" s="276">
        <f>IF(tblContractForDeed[[#This Row],[Payment]]=0,0,MAX(0,MIN(tblContractForDeed[[#This Row],[Beg]],tblContractForDeed[[#This Row],[Payment]]-tblContractForDeed[[#This Row],[Int]])))</f>
        <v>238.82000000000005</v>
      </c>
      <c r="S33" s="276">
        <f>IF(OR(tblContractForDeed[[#This Row],[Date]]&lt;cfdContractDate,tblContractForDeed[[#This Row],[Date]]&gt;cfdEndDate),0,ROUND(tblContractForDeed[[#This Row],[Beg]]*(tblContractForDeed[[#This Row],[Int Rate]]/12),2))</f>
        <v>437.62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999.16000000000008</v>
      </c>
      <c r="W33" s="276">
        <f>SUM(INDEX(tblContractForDeed[Princ],1):INDEX(tblContractForDeed[Princ],ROW()-ROW(tblContractForDeed[#Headers])))</f>
        <v>476.25000000000011</v>
      </c>
      <c r="X33" s="276">
        <f>IF(tblContractForDeed[[#This Row],[Beg]]&lt;=0,0,tblContractForDeed[[#This Row],[Beg]]-tblContractForDeed[[#This Row],[Princ]])</f>
        <v>74781.75</v>
      </c>
      <c r="Y33" s="467">
        <f>IF(INDEX(tblContractForDeed[Payment],ROW()-ROW(tblBuyerOutputs[#Headers]))=0,0,INDEX(tblContractForDeed[Payment],ROW()-ROW(tblBuyerOutputs[#Headers]))-INDEX(tblSubjectToLoan[Payment],ROW()-ROW(tblBuyerOutputs[#Headers])))</f>
        <v>48.560000000000059</v>
      </c>
      <c r="Z3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v>
      </c>
      <c r="AA33"/>
      <c r="AB33" s="14">
        <f>IF(INDEX(tblContractForDeed[Payment],ROW()-ROW(tblBuyerOutputs[#Headers]))=0,0,INDEX(tblContractForDeed[Payment],ROW()-ROW(tblBuyerOutputs[#Headers]))-INDEX(tblSubjectToLoan[Payment],ROW()-ROW(tblBuyerOutputs[#Headers])))-IFERROR(tblBuyerOutputs[[#This Row],[PMI]],0)</f>
        <v>48.560000000000059</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97.120000000000118</v>
      </c>
      <c r="AD33" s="276">
        <f>IF(INDEX(tblContractForDeed[End Bal],ROW()-ROW(tblBuyerOutputs[#Headers]))&lt;=0,0,($O$6+IF(ROW()=ROW(tblBuyerOutputs[#Headers])+1,0,INDEX(tblBuyerOutputs[Cumul Appr],ROW()-ROW(tblBuyerOutputs[#Headers])-1)))*$AK$2/12)</f>
        <v>0</v>
      </c>
      <c r="AE33" s="276">
        <f>IF(INDEX(tblContractForDeed[End Bal],ROW()-ROW(tblBuyerOutputs[#Headers]))&lt;=0,0,IF(ROW()=ROW(tblBuyerOutputs[#Headers])+1,0,INDEX(tblBuyerOutputs[Cumul Appr],ROW()-ROW(tblBuyerOutputs[#Headers])-1))+tblBuyerOutputs[[#This Row],[Monthly Appr]])</f>
        <v>0</v>
      </c>
    </row>
    <row r="34" spans="1:31" x14ac:dyDescent="0.25">
      <c r="A34" s="613">
        <f t="shared" si="6"/>
        <v>46290</v>
      </c>
      <c r="B34" s="276">
        <f t="shared" si="4"/>
        <v>92598.080000000002</v>
      </c>
      <c r="C34" s="14">
        <f t="shared" si="1"/>
        <v>627.88</v>
      </c>
      <c r="D34" s="14">
        <f t="shared" si="7"/>
        <v>338.51</v>
      </c>
      <c r="E34" s="14">
        <f t="shared" si="2"/>
        <v>289.37</v>
      </c>
      <c r="I34" s="276">
        <f t="shared" si="8"/>
        <v>5272.2699999999995</v>
      </c>
      <c r="J34" s="276">
        <f t="shared" si="9"/>
        <v>4449.7700000000004</v>
      </c>
      <c r="K34" s="276">
        <f t="shared" si="10"/>
        <v>92259.57</v>
      </c>
      <c r="L34" s="394">
        <f t="shared" si="3"/>
        <v>1</v>
      </c>
      <c r="M34" s="394">
        <f t="shared" si="5"/>
        <v>14</v>
      </c>
      <c r="N34" s="613">
        <f>INDEX(tblSubjectToLoan[Date],ROW()-ROW(tblContractForDeed[#Headers]))</f>
        <v>46290</v>
      </c>
      <c r="O34" s="276">
        <f>IF(ROW()=ROW(tblContractForDeed[#Headers])+1,$O$6,IF(INDEX(tblContractForDeed[End Bal],ROW()-ROW(tblContractForDeed[#Headers])-1)&lt;0,0,INDEX(tblContractForDeed[End Bal],ROW()-ROW(tblContractForDeed[#Headers])-1)))</f>
        <v>74781.75</v>
      </c>
      <c r="P34" s="454">
        <f>IF(tblContractForDeed[[#This Row],[Date]]="","",IF(tblContractForDeed[[#This Row],[Date]]&lt;cfdRateChangeDate,cfdRate1,cfdRate2))</f>
        <v>7.0000000000000007E-2</v>
      </c>
      <c r="Q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4" s="276">
        <f>IF(tblContractForDeed[[#This Row],[Payment]]=0,0,MAX(0,MIN(tblContractForDeed[[#This Row],[Beg]],tblContractForDeed[[#This Row],[Payment]]-tblContractForDeed[[#This Row],[Int]])))</f>
        <v>240.21000000000004</v>
      </c>
      <c r="S34" s="276">
        <f>IF(OR(tblContractForDeed[[#This Row],[Date]]&lt;cfdContractDate,tblContractForDeed[[#This Row],[Date]]&gt;cfdEndDate),0,ROUND(tblContractForDeed[[#This Row],[Beg]]*(tblContractForDeed[[#This Row],[Int Rate]]/12),2))</f>
        <v>436.23</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999.16000000000008</v>
      </c>
      <c r="W34" s="276">
        <f>SUM(INDEX(tblContractForDeed[Princ],1):INDEX(tblContractForDeed[Princ],ROW()-ROW(tblContractForDeed[#Headers])))</f>
        <v>716.46000000000015</v>
      </c>
      <c r="X34" s="276">
        <f>IF(tblContractForDeed[[#This Row],[Beg]]&lt;=0,0,tblContractForDeed[[#This Row],[Beg]]-tblContractForDeed[[#This Row],[Princ]])</f>
        <v>74541.539999999994</v>
      </c>
      <c r="Y34" s="467">
        <f>IF(INDEX(tblContractForDeed[Payment],ROW()-ROW(tblBuyerOutputs[#Headers]))=0,0,INDEX(tblContractForDeed[Payment],ROW()-ROW(tblBuyerOutputs[#Headers]))-INDEX(tblSubjectToLoan[Payment],ROW()-ROW(tblBuyerOutputs[#Headers])))</f>
        <v>48.560000000000059</v>
      </c>
      <c r="Z3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v>
      </c>
      <c r="AA34"/>
      <c r="AB34" s="14">
        <f>IF(INDEX(tblContractForDeed[Payment],ROW()-ROW(tblBuyerOutputs[#Headers]))=0,0,INDEX(tblContractForDeed[Payment],ROW()-ROW(tblBuyerOutputs[#Headers]))-INDEX(tblSubjectToLoan[Payment],ROW()-ROW(tblBuyerOutputs[#Headers])))-IFERROR(tblBuyerOutputs[[#This Row],[PMI]],0)</f>
        <v>48.560000000000059</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145.68000000000018</v>
      </c>
      <c r="AD34" s="276">
        <f>IF(INDEX(tblContractForDeed[End Bal],ROW()-ROW(tblBuyerOutputs[#Headers]))&lt;=0,0,($O$6+IF(ROW()=ROW(tblBuyerOutputs[#Headers])+1,0,INDEX(tblBuyerOutputs[Cumul Appr],ROW()-ROW(tblBuyerOutputs[#Headers])-1)))*$AK$2/12)</f>
        <v>0</v>
      </c>
      <c r="AE34" s="276">
        <f>IF(INDEX(tblContractForDeed[End Bal],ROW()-ROW(tblBuyerOutputs[#Headers]))&lt;=0,0,IF(ROW()=ROW(tblBuyerOutputs[#Headers])+1,0,INDEX(tblBuyerOutputs[Cumul Appr],ROW()-ROW(tblBuyerOutputs[#Headers])-1))+tblBuyerOutputs[[#This Row],[Monthly Appr]])</f>
        <v>0</v>
      </c>
    </row>
    <row r="35" spans="1:31" x14ac:dyDescent="0.25">
      <c r="A35" s="613">
        <f t="shared" si="6"/>
        <v>46320</v>
      </c>
      <c r="B35" s="276">
        <f t="shared" si="4"/>
        <v>92259.57</v>
      </c>
      <c r="C35" s="14">
        <f t="shared" si="1"/>
        <v>627.88</v>
      </c>
      <c r="D35" s="14">
        <f t="shared" si="7"/>
        <v>339.57</v>
      </c>
      <c r="E35" s="14">
        <f t="shared" si="2"/>
        <v>288.31</v>
      </c>
      <c r="I35" s="276">
        <f t="shared" si="8"/>
        <v>5611.8399999999992</v>
      </c>
      <c r="J35" s="276">
        <f t="shared" si="9"/>
        <v>4738.0800000000008</v>
      </c>
      <c r="K35" s="276">
        <f t="shared" si="10"/>
        <v>91920</v>
      </c>
      <c r="L35" s="394">
        <f t="shared" si="3"/>
        <v>1</v>
      </c>
      <c r="M35" s="394">
        <f t="shared" si="5"/>
        <v>15</v>
      </c>
      <c r="N35" s="613">
        <f>INDEX(tblSubjectToLoan[Date],ROW()-ROW(tblContractForDeed[#Headers]))</f>
        <v>46320</v>
      </c>
      <c r="O35" s="276">
        <f>IF(ROW()=ROW(tblContractForDeed[#Headers])+1,$O$6,IF(INDEX(tblContractForDeed[End Bal],ROW()-ROW(tblContractForDeed[#Headers])-1)&lt;0,0,INDEX(tblContractForDeed[End Bal],ROW()-ROW(tblContractForDeed[#Headers])-1)))</f>
        <v>74541.539999999994</v>
      </c>
      <c r="P35" s="454">
        <f>IF(tblContractForDeed[[#This Row],[Date]]="","",IF(tblContractForDeed[[#This Row],[Date]]&lt;cfdRateChangeDate,cfdRate1,cfdRate2))</f>
        <v>7.0000000000000007E-2</v>
      </c>
      <c r="Q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5" s="276">
        <f>IF(tblContractForDeed[[#This Row],[Payment]]=0,0,MAX(0,MIN(tblContractForDeed[[#This Row],[Beg]],tblContractForDeed[[#This Row],[Payment]]-tblContractForDeed[[#This Row],[Int]])))</f>
        <v>241.61000000000007</v>
      </c>
      <c r="S35" s="276">
        <f>IF(OR(tblContractForDeed[[#This Row],[Date]]&lt;cfdContractDate,tblContractForDeed[[#This Row],[Date]]&gt;cfdEndDate),0,ROUND(tblContractForDeed[[#This Row],[Beg]]*(tblContractForDeed[[#This Row],[Int Rate]]/12),2))</f>
        <v>434.83</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999.16000000000008</v>
      </c>
      <c r="W35" s="276">
        <f>SUM(INDEX(tblContractForDeed[Princ],1):INDEX(tblContractForDeed[Princ],ROW()-ROW(tblContractForDeed[#Headers])))</f>
        <v>958.07000000000016</v>
      </c>
      <c r="X35" s="276">
        <f>IF(tblContractForDeed[[#This Row],[Beg]]&lt;=0,0,tblContractForDeed[[#This Row],[Beg]]-tblContractForDeed[[#This Row],[Princ]])</f>
        <v>74299.929999999993</v>
      </c>
      <c r="Y35" s="467">
        <f>IF(INDEX(tblContractForDeed[Payment],ROW()-ROW(tblBuyerOutputs[#Headers]))=0,0,INDEX(tblContractForDeed[Payment],ROW()-ROW(tblBuyerOutputs[#Headers]))-INDEX(tblSubjectToLoan[Payment],ROW()-ROW(tblBuyerOutputs[#Headers])))</f>
        <v>48.560000000000059</v>
      </c>
      <c r="Z3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v>
      </c>
      <c r="AA35"/>
      <c r="AB35" s="14">
        <f>IF(INDEX(tblContractForDeed[Payment],ROW()-ROW(tblBuyerOutputs[#Headers]))=0,0,INDEX(tblContractForDeed[Payment],ROW()-ROW(tblBuyerOutputs[#Headers]))-INDEX(tblSubjectToLoan[Payment],ROW()-ROW(tblBuyerOutputs[#Headers])))-IFERROR(tblBuyerOutputs[[#This Row],[PMI]],0)</f>
        <v>48.560000000000059</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194.24000000000024</v>
      </c>
      <c r="AD35" s="276">
        <f>IF(INDEX(tblContractForDeed[End Bal],ROW()-ROW(tblBuyerOutputs[#Headers]))&lt;=0,0,($O$6+IF(ROW()=ROW(tblBuyerOutputs[#Headers])+1,0,INDEX(tblBuyerOutputs[Cumul Appr],ROW()-ROW(tblBuyerOutputs[#Headers])-1)))*$AK$2/12)</f>
        <v>0</v>
      </c>
      <c r="AE35" s="276">
        <f>IF(INDEX(tblContractForDeed[End Bal],ROW()-ROW(tblBuyerOutputs[#Headers]))&lt;=0,0,IF(ROW()=ROW(tblBuyerOutputs[#Headers])+1,0,INDEX(tblBuyerOutputs[Cumul Appr],ROW()-ROW(tblBuyerOutputs[#Headers])-1))+tblBuyerOutputs[[#This Row],[Monthly Appr]])</f>
        <v>0</v>
      </c>
    </row>
    <row r="36" spans="1:31" x14ac:dyDescent="0.25">
      <c r="A36" s="613">
        <f t="shared" si="6"/>
        <v>46350</v>
      </c>
      <c r="B36" s="276">
        <f t="shared" si="4"/>
        <v>91920</v>
      </c>
      <c r="C36" s="14">
        <f t="shared" si="1"/>
        <v>627.88</v>
      </c>
      <c r="D36" s="14">
        <f t="shared" si="7"/>
        <v>340.63</v>
      </c>
      <c r="E36" s="14">
        <f t="shared" si="2"/>
        <v>287.25</v>
      </c>
      <c r="I36" s="276">
        <f t="shared" si="8"/>
        <v>5952.4699999999993</v>
      </c>
      <c r="J36" s="276">
        <f t="shared" si="9"/>
        <v>5025.3300000000008</v>
      </c>
      <c r="K36" s="276">
        <f t="shared" si="10"/>
        <v>91579.37</v>
      </c>
      <c r="L36" s="394">
        <f t="shared" si="3"/>
        <v>1</v>
      </c>
      <c r="M36" s="394">
        <f t="shared" si="5"/>
        <v>16</v>
      </c>
      <c r="N36" s="613">
        <f>INDEX(tblSubjectToLoan[Date],ROW()-ROW(tblContractForDeed[#Headers]))</f>
        <v>46350</v>
      </c>
      <c r="O36" s="276">
        <f>IF(ROW()=ROW(tblContractForDeed[#Headers])+1,$O$6,IF(INDEX(tblContractForDeed[End Bal],ROW()-ROW(tblContractForDeed[#Headers])-1)&lt;0,0,INDEX(tblContractForDeed[End Bal],ROW()-ROW(tblContractForDeed[#Headers])-1)))</f>
        <v>74299.929999999993</v>
      </c>
      <c r="P36" s="454">
        <f>IF(tblContractForDeed[[#This Row],[Date]]="","",IF(tblContractForDeed[[#This Row],[Date]]&lt;cfdRateChangeDate,cfdRate1,cfdRate2))</f>
        <v>7.0000000000000007E-2</v>
      </c>
      <c r="Q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6" s="276">
        <f>IF(tblContractForDeed[[#This Row],[Payment]]=0,0,MAX(0,MIN(tblContractForDeed[[#This Row],[Beg]],tblContractForDeed[[#This Row],[Payment]]-tblContractForDeed[[#This Row],[Int]])))</f>
        <v>243.02000000000004</v>
      </c>
      <c r="S36" s="276">
        <f>IF(OR(tblContractForDeed[[#This Row],[Date]]&lt;cfdContractDate,tblContractForDeed[[#This Row],[Date]]&gt;cfdEndDate),0,ROUND(tblContractForDeed[[#This Row],[Beg]]*(tblContractForDeed[[#This Row],[Int Rate]]/12),2))</f>
        <v>433.42</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999.16000000000008</v>
      </c>
      <c r="W36" s="276">
        <f>SUM(INDEX(tblContractForDeed[Princ],1):INDEX(tblContractForDeed[Princ],ROW()-ROW(tblContractForDeed[#Headers])))</f>
        <v>1201.0900000000001</v>
      </c>
      <c r="X36" s="276">
        <f>IF(tblContractForDeed[[#This Row],[Beg]]&lt;=0,0,tblContractForDeed[[#This Row],[Beg]]-tblContractForDeed[[#This Row],[Princ]])</f>
        <v>74056.909999999989</v>
      </c>
      <c r="Y36" s="467">
        <f>IF(INDEX(tblContractForDeed[Payment],ROW()-ROW(tblBuyerOutputs[#Headers]))=0,0,INDEX(tblContractForDeed[Payment],ROW()-ROW(tblBuyerOutputs[#Headers]))-INDEX(tblSubjectToLoan[Payment],ROW()-ROW(tblBuyerOutputs[#Headers])))</f>
        <v>48.560000000000059</v>
      </c>
      <c r="Z3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v>
      </c>
      <c r="AA36"/>
      <c r="AB36" s="14">
        <f>IF(INDEX(tblContractForDeed[Payment],ROW()-ROW(tblBuyerOutputs[#Headers]))=0,0,INDEX(tblContractForDeed[Payment],ROW()-ROW(tblBuyerOutputs[#Headers]))-INDEX(tblSubjectToLoan[Payment],ROW()-ROW(tblBuyerOutputs[#Headers])))-IFERROR(tblBuyerOutputs[[#This Row],[PMI]],0)</f>
        <v>48.560000000000059</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242.8000000000003</v>
      </c>
      <c r="AD36" s="276">
        <f>IF(INDEX(tblContractForDeed[End Bal],ROW()-ROW(tblBuyerOutputs[#Headers]))&lt;=0,0,($O$6+IF(ROW()=ROW(tblBuyerOutputs[#Headers])+1,0,INDEX(tblBuyerOutputs[Cumul Appr],ROW()-ROW(tblBuyerOutputs[#Headers])-1)))*$AK$2/12)</f>
        <v>0</v>
      </c>
      <c r="AE36" s="276">
        <f>IF(INDEX(tblContractForDeed[End Bal],ROW()-ROW(tblBuyerOutputs[#Headers]))&lt;=0,0,IF(ROW()=ROW(tblBuyerOutputs[#Headers])+1,0,INDEX(tblBuyerOutputs[Cumul Appr],ROW()-ROW(tblBuyerOutputs[#Headers])-1))+tblBuyerOutputs[[#This Row],[Monthly Appr]])</f>
        <v>0</v>
      </c>
    </row>
    <row r="37" spans="1:31" x14ac:dyDescent="0.25">
      <c r="A37" s="613">
        <f t="shared" si="6"/>
        <v>46380</v>
      </c>
      <c r="B37" s="276">
        <f t="shared" si="4"/>
        <v>91579.37</v>
      </c>
      <c r="C37" s="14">
        <f t="shared" si="1"/>
        <v>627.88</v>
      </c>
      <c r="D37" s="14">
        <f t="shared" si="7"/>
        <v>341.69</v>
      </c>
      <c r="E37" s="14">
        <f t="shared" si="2"/>
        <v>286.19</v>
      </c>
      <c r="I37" s="276">
        <f t="shared" si="8"/>
        <v>6294.1599999999989</v>
      </c>
      <c r="J37" s="276">
        <f t="shared" si="9"/>
        <v>5311.52</v>
      </c>
      <c r="K37" s="276">
        <f t="shared" si="10"/>
        <v>91237.68</v>
      </c>
      <c r="L37" s="394">
        <f t="shared" si="3"/>
        <v>1</v>
      </c>
      <c r="M37" s="394">
        <f t="shared" si="5"/>
        <v>17</v>
      </c>
      <c r="N37" s="613">
        <f>INDEX(tblSubjectToLoan[Date],ROW()-ROW(tblContractForDeed[#Headers]))</f>
        <v>46380</v>
      </c>
      <c r="O37" s="276">
        <f>IF(ROW()=ROW(tblContractForDeed[#Headers])+1,$O$6,IF(INDEX(tblContractForDeed[End Bal],ROW()-ROW(tblContractForDeed[#Headers])-1)&lt;0,0,INDEX(tblContractForDeed[End Bal],ROW()-ROW(tblContractForDeed[#Headers])-1)))</f>
        <v>74056.909999999989</v>
      </c>
      <c r="P37" s="454">
        <f>IF(tblContractForDeed[[#This Row],[Date]]="","",IF(tblContractForDeed[[#This Row],[Date]]&lt;cfdRateChangeDate,cfdRate1,cfdRate2))</f>
        <v>7.0000000000000007E-2</v>
      </c>
      <c r="Q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7" s="276">
        <f>IF(tblContractForDeed[[#This Row],[Payment]]=0,0,MAX(0,MIN(tblContractForDeed[[#This Row],[Beg]],tblContractForDeed[[#This Row],[Payment]]-tblContractForDeed[[#This Row],[Int]])))</f>
        <v>244.44000000000005</v>
      </c>
      <c r="S37" s="276">
        <f>IF(OR(tblContractForDeed[[#This Row],[Date]]&lt;cfdContractDate,tblContractForDeed[[#This Row],[Date]]&gt;cfdEndDate),0,ROUND(tblContractForDeed[[#This Row],[Beg]]*(tblContractForDeed[[#This Row],[Int Rate]]/12),2))</f>
        <v>432</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999.16000000000008</v>
      </c>
      <c r="W37" s="276">
        <f>SUM(INDEX(tblContractForDeed[Princ],1):INDEX(tblContractForDeed[Princ],ROW()-ROW(tblContractForDeed[#Headers])))</f>
        <v>1445.5300000000002</v>
      </c>
      <c r="X37" s="276">
        <f>IF(tblContractForDeed[[#This Row],[Beg]]&lt;=0,0,tblContractForDeed[[#This Row],[Beg]]-tblContractForDeed[[#This Row],[Princ]])</f>
        <v>73812.469999999987</v>
      </c>
      <c r="Y37" s="467">
        <f>IF(INDEX(tblContractForDeed[Payment],ROW()-ROW(tblBuyerOutputs[#Headers]))=0,0,INDEX(tblContractForDeed[Payment],ROW()-ROW(tblBuyerOutputs[#Headers]))-INDEX(tblSubjectToLoan[Payment],ROW()-ROW(tblBuyerOutputs[#Headers])))</f>
        <v>48.560000000000059</v>
      </c>
      <c r="Z3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v>
      </c>
      <c r="AA37"/>
      <c r="AB37" s="14">
        <f>IF(INDEX(tblContractForDeed[Payment],ROW()-ROW(tblBuyerOutputs[#Headers]))=0,0,INDEX(tblContractForDeed[Payment],ROW()-ROW(tblBuyerOutputs[#Headers]))-INDEX(tblSubjectToLoan[Payment],ROW()-ROW(tblBuyerOutputs[#Headers])))-IFERROR(tblBuyerOutputs[[#This Row],[PMI]],0)</f>
        <v>48.560000000000059</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291.36000000000035</v>
      </c>
      <c r="AD37" s="276">
        <f>IF(INDEX(tblContractForDeed[End Bal],ROW()-ROW(tblBuyerOutputs[#Headers]))&lt;=0,0,($O$6+IF(ROW()=ROW(tblBuyerOutputs[#Headers])+1,0,INDEX(tblBuyerOutputs[Cumul Appr],ROW()-ROW(tblBuyerOutputs[#Headers])-1)))*$AK$2/12)</f>
        <v>0</v>
      </c>
      <c r="AE37" s="276">
        <f>IF(INDEX(tblContractForDeed[End Bal],ROW()-ROW(tblBuyerOutputs[#Headers]))&lt;=0,0,IF(ROW()=ROW(tblBuyerOutputs[#Headers])+1,0,INDEX(tblBuyerOutputs[Cumul Appr],ROW()-ROW(tblBuyerOutputs[#Headers])-1))+tblBuyerOutputs[[#This Row],[Monthly Appr]])</f>
        <v>0</v>
      </c>
    </row>
    <row r="38" spans="1:31" x14ac:dyDescent="0.25">
      <c r="A38" s="613">
        <f t="shared" si="6"/>
        <v>46410</v>
      </c>
      <c r="B38" s="276">
        <f t="shared" si="4"/>
        <v>91237.68</v>
      </c>
      <c r="C38" s="14">
        <f t="shared" si="1"/>
        <v>627.88</v>
      </c>
      <c r="D38" s="14">
        <f t="shared" si="7"/>
        <v>342.76</v>
      </c>
      <c r="E38" s="14">
        <f t="shared" si="2"/>
        <v>285.12</v>
      </c>
      <c r="I38" s="276">
        <f t="shared" si="8"/>
        <v>6636.9199999999992</v>
      </c>
      <c r="J38" s="276">
        <f t="shared" si="9"/>
        <v>5596.64</v>
      </c>
      <c r="K38" s="276">
        <f t="shared" si="10"/>
        <v>90894.92</v>
      </c>
      <c r="L38" s="394">
        <f t="shared" si="3"/>
        <v>1</v>
      </c>
      <c r="M38" s="394">
        <f t="shared" si="5"/>
        <v>18</v>
      </c>
      <c r="N38" s="613">
        <f>INDEX(tblSubjectToLoan[Date],ROW()-ROW(tblContractForDeed[#Headers]))</f>
        <v>46410</v>
      </c>
      <c r="O38" s="276">
        <f>IF(ROW()=ROW(tblContractForDeed[#Headers])+1,$O$6,IF(INDEX(tblContractForDeed[End Bal],ROW()-ROW(tblContractForDeed[#Headers])-1)&lt;0,0,INDEX(tblContractForDeed[End Bal],ROW()-ROW(tblContractForDeed[#Headers])-1)))</f>
        <v>73812.469999999987</v>
      </c>
      <c r="P38" s="454">
        <f>IF(tblContractForDeed[[#This Row],[Date]]="","",IF(tblContractForDeed[[#This Row],[Date]]&lt;cfdRateChangeDate,cfdRate1,cfdRate2))</f>
        <v>7.0000000000000007E-2</v>
      </c>
      <c r="Q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8" s="276">
        <f>IF(tblContractForDeed[[#This Row],[Payment]]=0,0,MAX(0,MIN(tblContractForDeed[[#This Row],[Beg]],tblContractForDeed[[#This Row],[Payment]]-tblContractForDeed[[#This Row],[Int]])))</f>
        <v>245.87000000000006</v>
      </c>
      <c r="S38" s="276">
        <f>IF(OR(tblContractForDeed[[#This Row],[Date]]&lt;cfdContractDate,tblContractForDeed[[#This Row],[Date]]&gt;cfdEndDate),0,ROUND(tblContractForDeed[[#This Row],[Beg]]*(tblContractForDeed[[#This Row],[Int Rate]]/12),2))</f>
        <v>430.57</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999.16000000000008</v>
      </c>
      <c r="W38" s="276">
        <f>SUM(INDEX(tblContractForDeed[Princ],1):INDEX(tblContractForDeed[Princ],ROW()-ROW(tblContractForDeed[#Headers])))</f>
        <v>1691.4000000000003</v>
      </c>
      <c r="X38" s="276">
        <f>IF(tblContractForDeed[[#This Row],[Beg]]&lt;=0,0,tblContractForDeed[[#This Row],[Beg]]-tblContractForDeed[[#This Row],[Princ]])</f>
        <v>73566.599999999991</v>
      </c>
      <c r="Y38" s="467">
        <f>IF(INDEX(tblContractForDeed[Payment],ROW()-ROW(tblBuyerOutputs[#Headers]))=0,0,INDEX(tblContractForDeed[Payment],ROW()-ROW(tblBuyerOutputs[#Headers]))-INDEX(tblSubjectToLoan[Payment],ROW()-ROW(tblBuyerOutputs[#Headers])))</f>
        <v>48.560000000000059</v>
      </c>
      <c r="Z3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v>
      </c>
      <c r="AA38"/>
      <c r="AB38" s="14">
        <f>IF(INDEX(tblContractForDeed[Payment],ROW()-ROW(tblBuyerOutputs[#Headers]))=0,0,INDEX(tblContractForDeed[Payment],ROW()-ROW(tblBuyerOutputs[#Headers]))-INDEX(tblSubjectToLoan[Payment],ROW()-ROW(tblBuyerOutputs[#Headers])))-IFERROR(tblBuyerOutputs[[#This Row],[PMI]],0)</f>
        <v>48.560000000000059</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339.92000000000041</v>
      </c>
      <c r="AD38" s="276">
        <f>IF(INDEX(tblContractForDeed[End Bal],ROW()-ROW(tblBuyerOutputs[#Headers]))&lt;=0,0,($O$6+IF(ROW()=ROW(tblBuyerOutputs[#Headers])+1,0,INDEX(tblBuyerOutputs[Cumul Appr],ROW()-ROW(tblBuyerOutputs[#Headers])-1)))*$AK$2/12)</f>
        <v>0</v>
      </c>
      <c r="AE38" s="276">
        <f>IF(INDEX(tblContractForDeed[End Bal],ROW()-ROW(tblBuyerOutputs[#Headers]))&lt;=0,0,IF(ROW()=ROW(tblBuyerOutputs[#Headers])+1,0,INDEX(tblBuyerOutputs[Cumul Appr],ROW()-ROW(tblBuyerOutputs[#Headers])-1))+tblBuyerOutputs[[#This Row],[Monthly Appr]])</f>
        <v>0</v>
      </c>
    </row>
    <row r="39" spans="1:31" x14ac:dyDescent="0.25">
      <c r="A39" s="613">
        <f t="shared" si="6"/>
        <v>46440</v>
      </c>
      <c r="B39" s="276">
        <f t="shared" si="4"/>
        <v>90894.92</v>
      </c>
      <c r="C39" s="14">
        <f t="shared" si="1"/>
        <v>627.88</v>
      </c>
      <c r="D39" s="14">
        <f t="shared" si="7"/>
        <v>343.83</v>
      </c>
      <c r="E39" s="14">
        <f t="shared" si="2"/>
        <v>284.05</v>
      </c>
      <c r="I39" s="276">
        <f t="shared" si="8"/>
        <v>6980.7499999999991</v>
      </c>
      <c r="J39" s="276">
        <f t="shared" si="9"/>
        <v>5880.6900000000005</v>
      </c>
      <c r="K39" s="276">
        <f t="shared" si="10"/>
        <v>90551.09</v>
      </c>
      <c r="L39" s="394">
        <f t="shared" si="3"/>
        <v>1</v>
      </c>
      <c r="M39" s="394">
        <f t="shared" si="5"/>
        <v>19</v>
      </c>
      <c r="N39" s="613">
        <f>INDEX(tblSubjectToLoan[Date],ROW()-ROW(tblContractForDeed[#Headers]))</f>
        <v>46440</v>
      </c>
      <c r="O39" s="276">
        <f>IF(ROW()=ROW(tblContractForDeed[#Headers])+1,$O$6,IF(INDEX(tblContractForDeed[End Bal],ROW()-ROW(tblContractForDeed[#Headers])-1)&lt;0,0,INDEX(tblContractForDeed[End Bal],ROW()-ROW(tblContractForDeed[#Headers])-1)))</f>
        <v>73566.599999999991</v>
      </c>
      <c r="P39" s="454">
        <f>IF(tblContractForDeed[[#This Row],[Date]]="","",IF(tblContractForDeed[[#This Row],[Date]]&lt;cfdRateChangeDate,cfdRate1,cfdRate2))</f>
        <v>7.0000000000000007E-2</v>
      </c>
      <c r="Q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9" s="276">
        <f>IF(tblContractForDeed[[#This Row],[Payment]]=0,0,MAX(0,MIN(tblContractForDeed[[#This Row],[Beg]],tblContractForDeed[[#This Row],[Payment]]-tblContractForDeed[[#This Row],[Int]])))</f>
        <v>247.30000000000007</v>
      </c>
      <c r="S39" s="276">
        <f>IF(OR(tblContractForDeed[[#This Row],[Date]]&lt;cfdContractDate,tblContractForDeed[[#This Row],[Date]]&gt;cfdEndDate),0,ROUND(tblContractForDeed[[#This Row],[Beg]]*(tblContractForDeed[[#This Row],[Int Rate]]/12),2))</f>
        <v>429.14</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999.16000000000008</v>
      </c>
      <c r="W39" s="276">
        <f>SUM(INDEX(tblContractForDeed[Princ],1):INDEX(tblContractForDeed[Princ],ROW()-ROW(tblContractForDeed[#Headers])))</f>
        <v>1938.7000000000003</v>
      </c>
      <c r="X39" s="276">
        <f>IF(tblContractForDeed[[#This Row],[Beg]]&lt;=0,0,tblContractForDeed[[#This Row],[Beg]]-tblContractForDeed[[#This Row],[Princ]])</f>
        <v>73319.299999999988</v>
      </c>
      <c r="Y39" s="467">
        <f>IF(INDEX(tblContractForDeed[Payment],ROW()-ROW(tblBuyerOutputs[#Headers]))=0,0,INDEX(tblContractForDeed[Payment],ROW()-ROW(tblBuyerOutputs[#Headers]))-INDEX(tblSubjectToLoan[Payment],ROW()-ROW(tblBuyerOutputs[#Headers])))</f>
        <v>48.560000000000059</v>
      </c>
      <c r="Z3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v>
      </c>
      <c r="AA39"/>
      <c r="AB39" s="14">
        <f>IF(INDEX(tblContractForDeed[Payment],ROW()-ROW(tblBuyerOutputs[#Headers]))=0,0,INDEX(tblContractForDeed[Payment],ROW()-ROW(tblBuyerOutputs[#Headers]))-INDEX(tblSubjectToLoan[Payment],ROW()-ROW(tblBuyerOutputs[#Headers])))-IFERROR(tblBuyerOutputs[[#This Row],[PMI]],0)</f>
        <v>48.560000000000059</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388.48000000000047</v>
      </c>
      <c r="AD39" s="276">
        <f>IF(INDEX(tblContractForDeed[End Bal],ROW()-ROW(tblBuyerOutputs[#Headers]))&lt;=0,0,($O$6+IF(ROW()=ROW(tblBuyerOutputs[#Headers])+1,0,INDEX(tblBuyerOutputs[Cumul Appr],ROW()-ROW(tblBuyerOutputs[#Headers])-1)))*$AK$2/12)</f>
        <v>0</v>
      </c>
      <c r="AE39" s="276">
        <f>IF(INDEX(tblContractForDeed[End Bal],ROW()-ROW(tblBuyerOutputs[#Headers]))&lt;=0,0,IF(ROW()=ROW(tblBuyerOutputs[#Headers])+1,0,INDEX(tblBuyerOutputs[Cumul Appr],ROW()-ROW(tblBuyerOutputs[#Headers])-1))+tblBuyerOutputs[[#This Row],[Monthly Appr]])</f>
        <v>0</v>
      </c>
    </row>
    <row r="40" spans="1:31" x14ac:dyDescent="0.25">
      <c r="A40" s="613">
        <f t="shared" si="6"/>
        <v>46470</v>
      </c>
      <c r="B40" s="276">
        <f t="shared" si="4"/>
        <v>90551.09</v>
      </c>
      <c r="C40" s="14">
        <f t="shared" si="1"/>
        <v>627.88</v>
      </c>
      <c r="D40" s="14">
        <f t="shared" si="7"/>
        <v>344.90999999999997</v>
      </c>
      <c r="E40" s="14">
        <f t="shared" si="2"/>
        <v>282.97000000000003</v>
      </c>
      <c r="I40" s="276">
        <f t="shared" si="8"/>
        <v>7325.6599999999989</v>
      </c>
      <c r="J40" s="276">
        <f t="shared" si="9"/>
        <v>6163.6600000000008</v>
      </c>
      <c r="K40" s="276">
        <f t="shared" si="10"/>
        <v>90206.18</v>
      </c>
      <c r="L40" s="394">
        <f t="shared" si="3"/>
        <v>1</v>
      </c>
      <c r="M40" s="394">
        <f t="shared" si="5"/>
        <v>20</v>
      </c>
      <c r="N40" s="613">
        <f>INDEX(tblSubjectToLoan[Date],ROW()-ROW(tblContractForDeed[#Headers]))</f>
        <v>46470</v>
      </c>
      <c r="O40" s="276">
        <f>IF(ROW()=ROW(tblContractForDeed[#Headers])+1,$O$6,IF(INDEX(tblContractForDeed[End Bal],ROW()-ROW(tblContractForDeed[#Headers])-1)&lt;0,0,INDEX(tblContractForDeed[End Bal],ROW()-ROW(tblContractForDeed[#Headers])-1)))</f>
        <v>73319.299999999988</v>
      </c>
      <c r="P40" s="454">
        <f>IF(tblContractForDeed[[#This Row],[Date]]="","",IF(tblContractForDeed[[#This Row],[Date]]&lt;cfdRateChangeDate,cfdRate1,cfdRate2))</f>
        <v>7.0000000000000007E-2</v>
      </c>
      <c r="Q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0" s="276">
        <f>IF(tblContractForDeed[[#This Row],[Payment]]=0,0,MAX(0,MIN(tblContractForDeed[[#This Row],[Beg]],tblContractForDeed[[#This Row],[Payment]]-tblContractForDeed[[#This Row],[Int]])))</f>
        <v>248.74000000000007</v>
      </c>
      <c r="S40" s="276">
        <f>IF(OR(tblContractForDeed[[#This Row],[Date]]&lt;cfdContractDate,tblContractForDeed[[#This Row],[Date]]&gt;cfdEndDate),0,ROUND(tblContractForDeed[[#This Row],[Beg]]*(tblContractForDeed[[#This Row],[Int Rate]]/12),2))</f>
        <v>427.7</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999.16000000000008</v>
      </c>
      <c r="W40" s="276">
        <f>SUM(INDEX(tblContractForDeed[Princ],1):INDEX(tblContractForDeed[Princ],ROW()-ROW(tblContractForDeed[#Headers])))</f>
        <v>2187.4400000000005</v>
      </c>
      <c r="X40" s="276">
        <f>IF(tblContractForDeed[[#This Row],[Beg]]&lt;=0,0,tblContractForDeed[[#This Row],[Beg]]-tblContractForDeed[[#This Row],[Princ]])</f>
        <v>73070.559999999983</v>
      </c>
      <c r="Y40" s="467">
        <f>IF(INDEX(tblContractForDeed[Payment],ROW()-ROW(tblBuyerOutputs[#Headers]))=0,0,INDEX(tblContractForDeed[Payment],ROW()-ROW(tblBuyerOutputs[#Headers]))-INDEX(tblSubjectToLoan[Payment],ROW()-ROW(tblBuyerOutputs[#Headers])))</f>
        <v>48.560000000000059</v>
      </c>
      <c r="Z4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v>
      </c>
      <c r="AA40"/>
      <c r="AB40" s="14">
        <f>IF(INDEX(tblContractForDeed[Payment],ROW()-ROW(tblBuyerOutputs[#Headers]))=0,0,INDEX(tblContractForDeed[Payment],ROW()-ROW(tblBuyerOutputs[#Headers]))-INDEX(tblSubjectToLoan[Payment],ROW()-ROW(tblBuyerOutputs[#Headers])))-IFERROR(tblBuyerOutputs[[#This Row],[PMI]],0)</f>
        <v>48.560000000000059</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437.04000000000053</v>
      </c>
      <c r="AD40" s="276">
        <f>IF(INDEX(tblContractForDeed[End Bal],ROW()-ROW(tblBuyerOutputs[#Headers]))&lt;=0,0,($O$6+IF(ROW()=ROW(tblBuyerOutputs[#Headers])+1,0,INDEX(tblBuyerOutputs[Cumul Appr],ROW()-ROW(tblBuyerOutputs[#Headers])-1)))*$AK$2/12)</f>
        <v>0</v>
      </c>
      <c r="AE40" s="276">
        <f>IF(INDEX(tblContractForDeed[End Bal],ROW()-ROW(tblBuyerOutputs[#Headers]))&lt;=0,0,IF(ROW()=ROW(tblBuyerOutputs[#Headers])+1,0,INDEX(tblBuyerOutputs[Cumul Appr],ROW()-ROW(tblBuyerOutputs[#Headers])-1))+tblBuyerOutputs[[#This Row],[Monthly Appr]])</f>
        <v>0</v>
      </c>
    </row>
    <row r="41" spans="1:31" x14ac:dyDescent="0.25">
      <c r="A41" s="613">
        <f t="shared" si="6"/>
        <v>46500</v>
      </c>
      <c r="B41" s="276">
        <f t="shared" si="4"/>
        <v>90206.18</v>
      </c>
      <c r="C41" s="14">
        <f t="shared" si="1"/>
        <v>627.88</v>
      </c>
      <c r="D41" s="14">
        <f t="shared" si="7"/>
        <v>345.99</v>
      </c>
      <c r="E41" s="14">
        <f t="shared" si="2"/>
        <v>281.89</v>
      </c>
      <c r="I41" s="276">
        <f t="shared" si="8"/>
        <v>7671.6499999999987</v>
      </c>
      <c r="J41" s="276">
        <f t="shared" si="9"/>
        <v>6445.5500000000011</v>
      </c>
      <c r="K41" s="276">
        <f t="shared" si="10"/>
        <v>89860.189999999988</v>
      </c>
      <c r="L41" s="394">
        <f t="shared" si="3"/>
        <v>1</v>
      </c>
      <c r="M41" s="394">
        <f t="shared" si="5"/>
        <v>21</v>
      </c>
      <c r="N41" s="613">
        <f>INDEX(tblSubjectToLoan[Date],ROW()-ROW(tblContractForDeed[#Headers]))</f>
        <v>46500</v>
      </c>
      <c r="O41" s="276">
        <f>IF(ROW()=ROW(tblContractForDeed[#Headers])+1,$O$6,IF(INDEX(tblContractForDeed[End Bal],ROW()-ROW(tblContractForDeed[#Headers])-1)&lt;0,0,INDEX(tblContractForDeed[End Bal],ROW()-ROW(tblContractForDeed[#Headers])-1)))</f>
        <v>73070.559999999983</v>
      </c>
      <c r="P41" s="454">
        <f>IF(tblContractForDeed[[#This Row],[Date]]="","",IF(tblContractForDeed[[#This Row],[Date]]&lt;cfdRateChangeDate,cfdRate1,cfdRate2))</f>
        <v>7.0000000000000007E-2</v>
      </c>
      <c r="Q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1" s="276">
        <f>IF(tblContractForDeed[[#This Row],[Payment]]=0,0,MAX(0,MIN(tblContractForDeed[[#This Row],[Beg]],tblContractForDeed[[#This Row],[Payment]]-tblContractForDeed[[#This Row],[Int]])))</f>
        <v>250.20000000000005</v>
      </c>
      <c r="S41" s="276">
        <f>IF(OR(tblContractForDeed[[#This Row],[Date]]&lt;cfdContractDate,tblContractForDeed[[#This Row],[Date]]&gt;cfdEndDate),0,ROUND(tblContractForDeed[[#This Row],[Beg]]*(tblContractForDeed[[#This Row],[Int Rate]]/12),2))</f>
        <v>426.24</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999.16000000000008</v>
      </c>
      <c r="W41" s="276">
        <f>SUM(INDEX(tblContractForDeed[Princ],1):INDEX(tblContractForDeed[Princ],ROW()-ROW(tblContractForDeed[#Headers])))</f>
        <v>2437.6400000000003</v>
      </c>
      <c r="X41" s="276">
        <f>IF(tblContractForDeed[[#This Row],[Beg]]&lt;=0,0,tblContractForDeed[[#This Row],[Beg]]-tblContractForDeed[[#This Row],[Princ]])</f>
        <v>72820.359999999986</v>
      </c>
      <c r="Y41" s="467">
        <f>IF(INDEX(tblContractForDeed[Payment],ROW()-ROW(tblBuyerOutputs[#Headers]))=0,0,INDEX(tblContractForDeed[Payment],ROW()-ROW(tblBuyerOutputs[#Headers]))-INDEX(tblSubjectToLoan[Payment],ROW()-ROW(tblBuyerOutputs[#Headers])))</f>
        <v>48.560000000000059</v>
      </c>
      <c r="Z4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v>
      </c>
      <c r="AA41"/>
      <c r="AB41" s="14">
        <f>IF(INDEX(tblContractForDeed[Payment],ROW()-ROW(tblBuyerOutputs[#Headers]))=0,0,INDEX(tblContractForDeed[Payment],ROW()-ROW(tblBuyerOutputs[#Headers]))-INDEX(tblSubjectToLoan[Payment],ROW()-ROW(tblBuyerOutputs[#Headers])))-IFERROR(tblBuyerOutputs[[#This Row],[PMI]],0)</f>
        <v>48.560000000000059</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485.60000000000059</v>
      </c>
      <c r="AD41" s="276">
        <f>IF(INDEX(tblContractForDeed[End Bal],ROW()-ROW(tblBuyerOutputs[#Headers]))&lt;=0,0,($O$6+IF(ROW()=ROW(tblBuyerOutputs[#Headers])+1,0,INDEX(tblBuyerOutputs[Cumul Appr],ROW()-ROW(tblBuyerOutputs[#Headers])-1)))*$AK$2/12)</f>
        <v>0</v>
      </c>
      <c r="AE41" s="276">
        <f>IF(INDEX(tblContractForDeed[End Bal],ROW()-ROW(tblBuyerOutputs[#Headers]))&lt;=0,0,IF(ROW()=ROW(tblBuyerOutputs[#Headers])+1,0,INDEX(tblBuyerOutputs[Cumul Appr],ROW()-ROW(tblBuyerOutputs[#Headers])-1))+tblBuyerOutputs[[#This Row],[Monthly Appr]])</f>
        <v>0</v>
      </c>
    </row>
    <row r="42" spans="1:31" x14ac:dyDescent="0.25">
      <c r="A42" s="613">
        <f t="shared" si="6"/>
        <v>46530</v>
      </c>
      <c r="B42" s="276">
        <f t="shared" si="4"/>
        <v>89860.189999999988</v>
      </c>
      <c r="C42" s="14">
        <f t="shared" si="1"/>
        <v>627.88</v>
      </c>
      <c r="D42" s="14">
        <f t="shared" si="7"/>
        <v>347.07</v>
      </c>
      <c r="E42" s="14">
        <f t="shared" si="2"/>
        <v>280.81</v>
      </c>
      <c r="I42" s="276">
        <f t="shared" si="8"/>
        <v>8018.7199999999984</v>
      </c>
      <c r="J42" s="276">
        <f t="shared" si="9"/>
        <v>6726.3600000000015</v>
      </c>
      <c r="K42" s="276">
        <f t="shared" si="10"/>
        <v>89513.119999999981</v>
      </c>
      <c r="L42" s="394">
        <f t="shared" si="3"/>
        <v>1</v>
      </c>
      <c r="M42" s="394">
        <f t="shared" si="5"/>
        <v>22</v>
      </c>
      <c r="N42" s="613">
        <f>INDEX(tblSubjectToLoan[Date],ROW()-ROW(tblContractForDeed[#Headers]))</f>
        <v>46530</v>
      </c>
      <c r="O42" s="276">
        <f>IF(ROW()=ROW(tblContractForDeed[#Headers])+1,$O$6,IF(INDEX(tblContractForDeed[End Bal],ROW()-ROW(tblContractForDeed[#Headers])-1)&lt;0,0,INDEX(tblContractForDeed[End Bal],ROW()-ROW(tblContractForDeed[#Headers])-1)))</f>
        <v>72820.359999999986</v>
      </c>
      <c r="P42" s="454">
        <f>IF(tblContractForDeed[[#This Row],[Date]]="","",IF(tblContractForDeed[[#This Row],[Date]]&lt;cfdRateChangeDate,cfdRate1,cfdRate2))</f>
        <v>7.0000000000000007E-2</v>
      </c>
      <c r="Q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2" s="276">
        <f>IF(tblContractForDeed[[#This Row],[Payment]]=0,0,MAX(0,MIN(tblContractForDeed[[#This Row],[Beg]],tblContractForDeed[[#This Row],[Payment]]-tblContractForDeed[[#This Row],[Int]])))</f>
        <v>251.65000000000003</v>
      </c>
      <c r="S42" s="276">
        <f>IF(OR(tblContractForDeed[[#This Row],[Date]]&lt;cfdContractDate,tblContractForDeed[[#This Row],[Date]]&gt;cfdEndDate),0,ROUND(tblContractForDeed[[#This Row],[Beg]]*(tblContractForDeed[[#This Row],[Int Rate]]/12),2))</f>
        <v>424.79</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999.16000000000008</v>
      </c>
      <c r="W42" s="276">
        <f>SUM(INDEX(tblContractForDeed[Princ],1):INDEX(tblContractForDeed[Princ],ROW()-ROW(tblContractForDeed[#Headers])))</f>
        <v>2689.2900000000004</v>
      </c>
      <c r="X42" s="276">
        <f>IF(tblContractForDeed[[#This Row],[Beg]]&lt;=0,0,tblContractForDeed[[#This Row],[Beg]]-tblContractForDeed[[#This Row],[Princ]])</f>
        <v>72568.709999999992</v>
      </c>
      <c r="Y42" s="467">
        <f>IF(INDEX(tblContractForDeed[Payment],ROW()-ROW(tblBuyerOutputs[#Headers]))=0,0,INDEX(tblContractForDeed[Payment],ROW()-ROW(tblBuyerOutputs[#Headers]))-INDEX(tblSubjectToLoan[Payment],ROW()-ROW(tblBuyerOutputs[#Headers])))</f>
        <v>48.560000000000059</v>
      </c>
      <c r="Z4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v>
      </c>
      <c r="AA42"/>
      <c r="AB42" s="14">
        <f>IF(INDEX(tblContractForDeed[Payment],ROW()-ROW(tblBuyerOutputs[#Headers]))=0,0,INDEX(tblContractForDeed[Payment],ROW()-ROW(tblBuyerOutputs[#Headers]))-INDEX(tblSubjectToLoan[Payment],ROW()-ROW(tblBuyerOutputs[#Headers])))-IFERROR(tblBuyerOutputs[[#This Row],[PMI]],0)</f>
        <v>48.560000000000059</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534.16000000000065</v>
      </c>
      <c r="AD42" s="276">
        <f>IF(INDEX(tblContractForDeed[End Bal],ROW()-ROW(tblBuyerOutputs[#Headers]))&lt;=0,0,($O$6+IF(ROW()=ROW(tblBuyerOutputs[#Headers])+1,0,INDEX(tblBuyerOutputs[Cumul Appr],ROW()-ROW(tblBuyerOutputs[#Headers])-1)))*$AK$2/12)</f>
        <v>0</v>
      </c>
      <c r="AE42" s="276">
        <f>IF(INDEX(tblContractForDeed[End Bal],ROW()-ROW(tblBuyerOutputs[#Headers]))&lt;=0,0,IF(ROW()=ROW(tblBuyerOutputs[#Headers])+1,0,INDEX(tblBuyerOutputs[Cumul Appr],ROW()-ROW(tblBuyerOutputs[#Headers])-1))+tblBuyerOutputs[[#This Row],[Monthly Appr]])</f>
        <v>0</v>
      </c>
    </row>
    <row r="43" spans="1:31" ht="15.75" thickBot="1" x14ac:dyDescent="0.3">
      <c r="A43" s="615">
        <f t="shared" si="6"/>
        <v>46560</v>
      </c>
      <c r="B43" s="332">
        <f t="shared" si="4"/>
        <v>89513.119999999981</v>
      </c>
      <c r="C43" s="21">
        <f t="shared" si="1"/>
        <v>627.88</v>
      </c>
      <c r="D43" s="21">
        <f t="shared" si="7"/>
        <v>348.15</v>
      </c>
      <c r="E43" s="21">
        <f t="shared" si="2"/>
        <v>279.73</v>
      </c>
      <c r="F43" s="21"/>
      <c r="G43" s="21"/>
      <c r="H43" s="21"/>
      <c r="I43" s="332">
        <f t="shared" si="8"/>
        <v>8366.869999999999</v>
      </c>
      <c r="J43" s="332">
        <f t="shared" si="9"/>
        <v>7006.090000000002</v>
      </c>
      <c r="K43" s="332">
        <f t="shared" si="10"/>
        <v>89164.969999999987</v>
      </c>
      <c r="L43" s="395">
        <f t="shared" si="3"/>
        <v>1</v>
      </c>
      <c r="M43" s="395">
        <f t="shared" si="5"/>
        <v>23</v>
      </c>
      <c r="N43" s="615">
        <f>INDEX(tblSubjectToLoan[Date],ROW()-ROW(tblContractForDeed[#Headers]))</f>
        <v>46560</v>
      </c>
      <c r="O43" s="332">
        <f>IF(ROW()=ROW(tblContractForDeed[#Headers])+1,$O$6,IF(INDEX(tblContractForDeed[End Bal],ROW()-ROW(tblContractForDeed[#Headers])-1)&lt;0,0,INDEX(tblContractForDeed[End Bal],ROW()-ROW(tblContractForDeed[#Headers])-1)))</f>
        <v>72568.709999999992</v>
      </c>
      <c r="P43" s="454">
        <f>IF(tblContractForDeed[[#This Row],[Date]]="","",IF(tblContractForDeed[[#This Row],[Date]]&lt;cfdRateChangeDate,cfdRate1,cfdRate2))</f>
        <v>7.0000000000000007E-2</v>
      </c>
      <c r="Q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3" s="332">
        <f>IF(tblContractForDeed[[#This Row],[Payment]]=0,0,MAX(0,MIN(tblContractForDeed[[#This Row],[Beg]],tblContractForDeed[[#This Row],[Payment]]-tblContractForDeed[[#This Row],[Int]])))</f>
        <v>253.12000000000006</v>
      </c>
      <c r="S43" s="332">
        <f>IF(OR(tblContractForDeed[[#This Row],[Date]]&lt;cfdContractDate,tblContractForDeed[[#This Row],[Date]]&gt;cfdEndDate),0,ROUND(tblContractForDeed[[#This Row],[Beg]]*(tblContractForDeed[[#This Row],[Int Rate]]/12),2))</f>
        <v>423.32</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999.16000000000008</v>
      </c>
      <c r="W43" s="332">
        <f>SUM(INDEX(tblContractForDeed[Princ],1):INDEX(tblContractForDeed[Princ],ROW()-ROW(tblContractForDeed[#Headers])))</f>
        <v>2942.4100000000003</v>
      </c>
      <c r="X43" s="332">
        <f>IF(tblContractForDeed[[#This Row],[Beg]]&lt;=0,0,tblContractForDeed[[#This Row],[Beg]]-tblContractForDeed[[#This Row],[Princ]])</f>
        <v>72315.59</v>
      </c>
      <c r="Y43" s="468">
        <f>IF(INDEX(tblContractForDeed[Payment],ROW()-ROW(tblBuyerOutputs[#Headers]))=0,0,INDEX(tblContractForDeed[Payment],ROW()-ROW(tblBuyerOutputs[#Headers]))-INDEX(tblSubjectToLoan[Payment],ROW()-ROW(tblBuyerOutputs[#Headers])))</f>
        <v>48.560000000000059</v>
      </c>
      <c r="Z4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v>
      </c>
      <c r="AA43" s="23"/>
      <c r="AB43" s="21">
        <f>IF(INDEX(tblContractForDeed[Payment],ROW()-ROW(tblBuyerOutputs[#Headers]))=0,0,INDEX(tblContractForDeed[Payment],ROW()-ROW(tblBuyerOutputs[#Headers]))-INDEX(tblSubjectToLoan[Payment],ROW()-ROW(tblBuyerOutputs[#Headers])))-IFERROR(tblBuyerOutputs[[#This Row],[PMI]],0)</f>
        <v>48.560000000000059</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582.72000000000071</v>
      </c>
      <c r="AD43" s="332">
        <f>IF(INDEX(tblContractForDeed[End Bal],ROW()-ROW(tblBuyerOutputs[#Headers]))&lt;=0,0,($O$6+IF(ROW()=ROW(tblBuyerOutputs[#Headers])+1,0,INDEX(tblBuyerOutputs[Cumul Appr],ROW()-ROW(tblBuyerOutputs[#Headers])-1)))*$AK$2/12)</f>
        <v>0</v>
      </c>
      <c r="AE43" s="332">
        <f>IF(INDEX(tblContractForDeed[End Bal],ROW()-ROW(tblBuyerOutputs[#Headers]))&lt;=0,0,IF(ROW()=ROW(tblBuyerOutputs[#Headers])+1,0,INDEX(tblBuyerOutputs[Cumul Appr],ROW()-ROW(tblBuyerOutputs[#Headers])-1))+tblBuyerOutputs[[#This Row],[Monthly Appr]])</f>
        <v>0</v>
      </c>
    </row>
    <row r="44" spans="1:31" x14ac:dyDescent="0.25">
      <c r="A44" s="613">
        <f t="shared" si="6"/>
        <v>46590</v>
      </c>
      <c r="B44" s="276">
        <f t="shared" si="4"/>
        <v>89164.969999999987</v>
      </c>
      <c r="C44" s="14">
        <f t="shared" si="1"/>
        <v>627.88</v>
      </c>
      <c r="D44" s="14">
        <f t="shared" si="7"/>
        <v>349.24</v>
      </c>
      <c r="E44" s="14">
        <f t="shared" si="2"/>
        <v>278.64</v>
      </c>
      <c r="I44" s="276">
        <f t="shared" si="8"/>
        <v>8716.1099999999988</v>
      </c>
      <c r="J44" s="276">
        <f t="shared" si="9"/>
        <v>7284.7300000000023</v>
      </c>
      <c r="K44" s="276">
        <f t="shared" si="10"/>
        <v>88815.729999999981</v>
      </c>
      <c r="L44" s="394">
        <f t="shared" si="3"/>
        <v>2</v>
      </c>
      <c r="M44" s="394">
        <f t="shared" si="5"/>
        <v>24</v>
      </c>
      <c r="N44" s="613">
        <f>INDEX(tblSubjectToLoan[Date],ROW()-ROW(tblContractForDeed[#Headers]))</f>
        <v>46590</v>
      </c>
      <c r="O44" s="276">
        <f>IF(ROW()=ROW(tblContractForDeed[#Headers])+1,$O$6,IF(INDEX(tblContractForDeed[End Bal],ROW()-ROW(tblContractForDeed[#Headers])-1)&lt;0,0,INDEX(tblContractForDeed[End Bal],ROW()-ROW(tblContractForDeed[#Headers])-1)))</f>
        <v>72315.59</v>
      </c>
      <c r="P44" s="454">
        <f>IF(tblContractForDeed[[#This Row],[Date]]="","",IF(tblContractForDeed[[#This Row],[Date]]&lt;cfdRateChangeDate,cfdRate1,cfdRate2))</f>
        <v>7.0000000000000007E-2</v>
      </c>
      <c r="Q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4" s="276">
        <f>IF(tblContractForDeed[[#This Row],[Payment]]=0,0,MAX(0,MIN(tblContractForDeed[[#This Row],[Beg]],tblContractForDeed[[#This Row],[Payment]]-tblContractForDeed[[#This Row],[Int]])))</f>
        <v>254.60000000000008</v>
      </c>
      <c r="S44" s="276">
        <f>IF(OR(tblContractForDeed[[#This Row],[Date]]&lt;cfdContractDate,tblContractForDeed[[#This Row],[Date]]&gt;cfdEndDate),0,ROUND(tblContractForDeed[[#This Row],[Beg]]*(tblContractForDeed[[#This Row],[Int Rate]]/12),2))</f>
        <v>421.84</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999.16000000000008</v>
      </c>
      <c r="W44" s="276">
        <f>SUM(INDEX(tblContractForDeed[Princ],1):INDEX(tblContractForDeed[Princ],ROW()-ROW(tblContractForDeed[#Headers])))</f>
        <v>3197.01</v>
      </c>
      <c r="X44" s="276">
        <f>IF(tblContractForDeed[[#This Row],[Beg]]&lt;=0,0,tblContractForDeed[[#This Row],[Beg]]-tblContractForDeed[[#This Row],[Princ]])</f>
        <v>72060.989999999991</v>
      </c>
      <c r="Y44" s="467">
        <f>IF(INDEX(tblContractForDeed[Payment],ROW()-ROW(tblBuyerOutputs[#Headers]))=0,0,INDEX(tblContractForDeed[Payment],ROW()-ROW(tblBuyerOutputs[#Headers]))-INDEX(tblSubjectToLoan[Payment],ROW()-ROW(tblBuyerOutputs[#Headers])))</f>
        <v>48.560000000000059</v>
      </c>
      <c r="Z4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v>
      </c>
      <c r="AA44"/>
      <c r="AB44" s="14">
        <f>IF(INDEX(tblContractForDeed[Payment],ROW()-ROW(tblBuyerOutputs[#Headers]))=0,0,INDEX(tblContractForDeed[Payment],ROW()-ROW(tblBuyerOutputs[#Headers]))-INDEX(tblSubjectToLoan[Payment],ROW()-ROW(tblBuyerOutputs[#Headers])))-IFERROR(tblBuyerOutputs[[#This Row],[PMI]],0)</f>
        <v>48.560000000000059</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631.28000000000077</v>
      </c>
      <c r="AD44" s="276">
        <f>IF(INDEX(tblContractForDeed[End Bal],ROW()-ROW(tblBuyerOutputs[#Headers]))&lt;=0,0,($O$6+IF(ROW()=ROW(tblBuyerOutputs[#Headers])+1,0,INDEX(tblBuyerOutputs[Cumul Appr],ROW()-ROW(tblBuyerOutputs[#Headers])-1)))*$AK$2/12)</f>
        <v>0</v>
      </c>
      <c r="AE44" s="276">
        <f>IF(INDEX(tblContractForDeed[End Bal],ROW()-ROW(tblBuyerOutputs[#Headers]))&lt;=0,0,IF(ROW()=ROW(tblBuyerOutputs[#Headers])+1,0,INDEX(tblBuyerOutputs[Cumul Appr],ROW()-ROW(tblBuyerOutputs[#Headers])-1))+tblBuyerOutputs[[#This Row],[Monthly Appr]])</f>
        <v>0</v>
      </c>
    </row>
    <row r="45" spans="1:31" x14ac:dyDescent="0.25">
      <c r="A45" s="613">
        <f t="shared" si="6"/>
        <v>46620</v>
      </c>
      <c r="B45" s="276">
        <f t="shared" si="4"/>
        <v>88815.729999999981</v>
      </c>
      <c r="C45" s="14">
        <f t="shared" si="1"/>
        <v>627.88</v>
      </c>
      <c r="D45" s="14">
        <f t="shared" si="7"/>
        <v>350.33</v>
      </c>
      <c r="E45" s="14">
        <f t="shared" si="2"/>
        <v>277.55</v>
      </c>
      <c r="I45" s="276">
        <f t="shared" si="8"/>
        <v>9066.4399999999987</v>
      </c>
      <c r="J45" s="276">
        <f t="shared" si="9"/>
        <v>7562.2800000000025</v>
      </c>
      <c r="K45" s="276">
        <f t="shared" si="10"/>
        <v>88465.39999999998</v>
      </c>
      <c r="L45" s="394">
        <f t="shared" si="3"/>
        <v>2</v>
      </c>
      <c r="M45" s="394">
        <f t="shared" si="5"/>
        <v>25</v>
      </c>
      <c r="N45" s="613">
        <f>INDEX(tblSubjectToLoan[Date],ROW()-ROW(tblContractForDeed[#Headers]))</f>
        <v>46620</v>
      </c>
      <c r="O45" s="276">
        <f>IF(ROW()=ROW(tblContractForDeed[#Headers])+1,$O$6,IF(INDEX(tblContractForDeed[End Bal],ROW()-ROW(tblContractForDeed[#Headers])-1)&lt;0,0,INDEX(tblContractForDeed[End Bal],ROW()-ROW(tblContractForDeed[#Headers])-1)))</f>
        <v>72060.989999999991</v>
      </c>
      <c r="P45" s="454">
        <f>IF(tblContractForDeed[[#This Row],[Date]]="","",IF(tblContractForDeed[[#This Row],[Date]]&lt;cfdRateChangeDate,cfdRate1,cfdRate2))</f>
        <v>7.0000000000000007E-2</v>
      </c>
      <c r="Q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5" s="276">
        <f>IF(tblContractForDeed[[#This Row],[Payment]]=0,0,MAX(0,MIN(tblContractForDeed[[#This Row],[Beg]],tblContractForDeed[[#This Row],[Payment]]-tblContractForDeed[[#This Row],[Int]])))</f>
        <v>256.08000000000004</v>
      </c>
      <c r="S45" s="276">
        <f>IF(OR(tblContractForDeed[[#This Row],[Date]]&lt;cfdContractDate,tblContractForDeed[[#This Row],[Date]]&gt;cfdEndDate),0,ROUND(tblContractForDeed[[#This Row],[Beg]]*(tblContractForDeed[[#This Row],[Int Rate]]/12),2))</f>
        <v>420.36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999.16000000000008</v>
      </c>
      <c r="W45" s="276">
        <f>SUM(INDEX(tblContractForDeed[Princ],1):INDEX(tblContractForDeed[Princ],ROW()-ROW(tblContractForDeed[#Headers])))</f>
        <v>3453.09</v>
      </c>
      <c r="X45" s="276">
        <f>IF(tblContractForDeed[[#This Row],[Beg]]&lt;=0,0,tblContractForDeed[[#This Row],[Beg]]-tblContractForDeed[[#This Row],[Princ]])</f>
        <v>71804.909999999989</v>
      </c>
      <c r="Y45" s="467">
        <f>IF(INDEX(tblContractForDeed[Payment],ROW()-ROW(tblBuyerOutputs[#Headers]))=0,0,INDEX(tblContractForDeed[Payment],ROW()-ROW(tblBuyerOutputs[#Headers]))-INDEX(tblSubjectToLoan[Payment],ROW()-ROW(tblBuyerOutputs[#Headers])))</f>
        <v>48.560000000000059</v>
      </c>
      <c r="Z4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v>
      </c>
      <c r="AA45"/>
      <c r="AB45" s="14">
        <f>IF(INDEX(tblContractForDeed[Payment],ROW()-ROW(tblBuyerOutputs[#Headers]))=0,0,INDEX(tblContractForDeed[Payment],ROW()-ROW(tblBuyerOutputs[#Headers]))-INDEX(tblSubjectToLoan[Payment],ROW()-ROW(tblBuyerOutputs[#Headers])))-IFERROR(tblBuyerOutputs[[#This Row],[PMI]],0)</f>
        <v>48.560000000000059</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679.84000000000083</v>
      </c>
      <c r="AD45" s="276">
        <f>IF(INDEX(tblContractForDeed[End Bal],ROW()-ROW(tblBuyerOutputs[#Headers]))&lt;=0,0,($O$6+IF(ROW()=ROW(tblBuyerOutputs[#Headers])+1,0,INDEX(tblBuyerOutputs[Cumul Appr],ROW()-ROW(tblBuyerOutputs[#Headers])-1)))*$AK$2/12)</f>
        <v>0</v>
      </c>
      <c r="AE45" s="276">
        <f>IF(INDEX(tblContractForDeed[End Bal],ROW()-ROW(tblBuyerOutputs[#Headers]))&lt;=0,0,IF(ROW()=ROW(tblBuyerOutputs[#Headers])+1,0,INDEX(tblBuyerOutputs[Cumul Appr],ROW()-ROW(tblBuyerOutputs[#Headers])-1))+tblBuyerOutputs[[#This Row],[Monthly Appr]])</f>
        <v>0</v>
      </c>
    </row>
    <row r="46" spans="1:31" x14ac:dyDescent="0.25">
      <c r="A46" s="613">
        <f t="shared" si="6"/>
        <v>46650</v>
      </c>
      <c r="B46" s="276">
        <f t="shared" si="4"/>
        <v>88465.39999999998</v>
      </c>
      <c r="C46" s="14">
        <f t="shared" si="1"/>
        <v>627.88</v>
      </c>
      <c r="D46" s="14">
        <f t="shared" si="7"/>
        <v>351.43</v>
      </c>
      <c r="E46" s="14">
        <f t="shared" si="2"/>
        <v>276.45</v>
      </c>
      <c r="I46" s="276">
        <f t="shared" si="8"/>
        <v>9417.869999999999</v>
      </c>
      <c r="J46" s="276">
        <f t="shared" si="9"/>
        <v>7838.7300000000023</v>
      </c>
      <c r="K46" s="276">
        <f t="shared" si="10"/>
        <v>88113.969999999987</v>
      </c>
      <c r="L46" s="394">
        <f t="shared" si="3"/>
        <v>2</v>
      </c>
      <c r="M46" s="394">
        <f t="shared" si="5"/>
        <v>26</v>
      </c>
      <c r="N46" s="613">
        <f>INDEX(tblSubjectToLoan[Date],ROW()-ROW(tblContractForDeed[#Headers]))</f>
        <v>46650</v>
      </c>
      <c r="O46" s="276">
        <f>IF(ROW()=ROW(tblContractForDeed[#Headers])+1,$O$6,IF(INDEX(tblContractForDeed[End Bal],ROW()-ROW(tblContractForDeed[#Headers])-1)&lt;0,0,INDEX(tblContractForDeed[End Bal],ROW()-ROW(tblContractForDeed[#Headers])-1)))</f>
        <v>71804.909999999989</v>
      </c>
      <c r="P46" s="454">
        <f>IF(tblContractForDeed[[#This Row],[Date]]="","",IF(tblContractForDeed[[#This Row],[Date]]&lt;cfdRateChangeDate,cfdRate1,cfdRate2))</f>
        <v>7.0000000000000007E-2</v>
      </c>
      <c r="Q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6" s="276">
        <f>IF(tblContractForDeed[[#This Row],[Payment]]=0,0,MAX(0,MIN(tblContractForDeed[[#This Row],[Beg]],tblContractForDeed[[#This Row],[Payment]]-tblContractForDeed[[#This Row],[Int]])))</f>
        <v>257.58000000000004</v>
      </c>
      <c r="S46" s="276">
        <f>IF(OR(tblContractForDeed[[#This Row],[Date]]&lt;cfdContractDate,tblContractForDeed[[#This Row],[Date]]&gt;cfdEndDate),0,ROUND(tblContractForDeed[[#This Row],[Beg]]*(tblContractForDeed[[#This Row],[Int Rate]]/12),2))</f>
        <v>418.86</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999.16000000000008</v>
      </c>
      <c r="W46" s="276">
        <f>SUM(INDEX(tblContractForDeed[Princ],1):INDEX(tblContractForDeed[Princ],ROW()-ROW(tblContractForDeed[#Headers])))</f>
        <v>3710.67</v>
      </c>
      <c r="X46" s="276">
        <f>IF(tblContractForDeed[[#This Row],[Beg]]&lt;=0,0,tblContractForDeed[[#This Row],[Beg]]-tblContractForDeed[[#This Row],[Princ]])</f>
        <v>71547.329999999987</v>
      </c>
      <c r="Y46" s="467">
        <f>IF(INDEX(tblContractForDeed[Payment],ROW()-ROW(tblBuyerOutputs[#Headers]))=0,0,INDEX(tblContractForDeed[Payment],ROW()-ROW(tblBuyerOutputs[#Headers]))-INDEX(tblSubjectToLoan[Payment],ROW()-ROW(tblBuyerOutputs[#Headers])))</f>
        <v>48.560000000000059</v>
      </c>
      <c r="Z4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v>
      </c>
      <c r="AA46"/>
      <c r="AB46" s="14">
        <f>IF(INDEX(tblContractForDeed[Payment],ROW()-ROW(tblBuyerOutputs[#Headers]))=0,0,INDEX(tblContractForDeed[Payment],ROW()-ROW(tblBuyerOutputs[#Headers]))-INDEX(tblSubjectToLoan[Payment],ROW()-ROW(tblBuyerOutputs[#Headers])))-IFERROR(tblBuyerOutputs[[#This Row],[PMI]],0)</f>
        <v>48.560000000000059</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728.40000000000089</v>
      </c>
      <c r="AD46" s="276">
        <f>IF(INDEX(tblContractForDeed[End Bal],ROW()-ROW(tblBuyerOutputs[#Headers]))&lt;=0,0,($O$6+IF(ROW()=ROW(tblBuyerOutputs[#Headers])+1,0,INDEX(tblBuyerOutputs[Cumul Appr],ROW()-ROW(tblBuyerOutputs[#Headers])-1)))*$AK$2/12)</f>
        <v>0</v>
      </c>
      <c r="AE46" s="276">
        <f>IF(INDEX(tblContractForDeed[End Bal],ROW()-ROW(tblBuyerOutputs[#Headers]))&lt;=0,0,IF(ROW()=ROW(tblBuyerOutputs[#Headers])+1,0,INDEX(tblBuyerOutputs[Cumul Appr],ROW()-ROW(tblBuyerOutputs[#Headers])-1))+tblBuyerOutputs[[#This Row],[Monthly Appr]])</f>
        <v>0</v>
      </c>
    </row>
    <row r="47" spans="1:31" x14ac:dyDescent="0.25">
      <c r="A47" s="613">
        <f t="shared" si="6"/>
        <v>46680</v>
      </c>
      <c r="B47" s="276">
        <f t="shared" si="4"/>
        <v>88113.969999999987</v>
      </c>
      <c r="C47" s="14">
        <f t="shared" si="1"/>
        <v>627.88</v>
      </c>
      <c r="D47" s="14">
        <f t="shared" si="7"/>
        <v>352.52</v>
      </c>
      <c r="E47" s="14">
        <f t="shared" si="2"/>
        <v>275.36</v>
      </c>
      <c r="I47" s="276">
        <f t="shared" si="8"/>
        <v>9770.39</v>
      </c>
      <c r="J47" s="276">
        <f t="shared" si="9"/>
        <v>8114.090000000002</v>
      </c>
      <c r="K47" s="276">
        <f t="shared" si="10"/>
        <v>87761.449999999983</v>
      </c>
      <c r="L47" s="394">
        <f t="shared" si="3"/>
        <v>2</v>
      </c>
      <c r="M47" s="394">
        <f t="shared" si="5"/>
        <v>27</v>
      </c>
      <c r="N47" s="613">
        <f>INDEX(tblSubjectToLoan[Date],ROW()-ROW(tblContractForDeed[#Headers]))</f>
        <v>46680</v>
      </c>
      <c r="O47" s="276">
        <f>IF(ROW()=ROW(tblContractForDeed[#Headers])+1,$O$6,IF(INDEX(tblContractForDeed[End Bal],ROW()-ROW(tblContractForDeed[#Headers])-1)&lt;0,0,INDEX(tblContractForDeed[End Bal],ROW()-ROW(tblContractForDeed[#Headers])-1)))</f>
        <v>71547.329999999987</v>
      </c>
      <c r="P47" s="454">
        <f>IF(tblContractForDeed[[#This Row],[Date]]="","",IF(tblContractForDeed[[#This Row],[Date]]&lt;cfdRateChangeDate,cfdRate1,cfdRate2))</f>
        <v>7.0000000000000007E-2</v>
      </c>
      <c r="Q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7" s="276">
        <f>IF(tblContractForDeed[[#This Row],[Payment]]=0,0,MAX(0,MIN(tblContractForDeed[[#This Row],[Beg]],tblContractForDeed[[#This Row],[Payment]]-tblContractForDeed[[#This Row],[Int]])))</f>
        <v>259.08000000000004</v>
      </c>
      <c r="S47" s="276">
        <f>IF(OR(tblContractForDeed[[#This Row],[Date]]&lt;cfdContractDate,tblContractForDeed[[#This Row],[Date]]&gt;cfdEndDate),0,ROUND(tblContractForDeed[[#This Row],[Beg]]*(tblContractForDeed[[#This Row],[Int Rate]]/12),2))</f>
        <v>417.36</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999.16000000000008</v>
      </c>
      <c r="W47" s="276">
        <f>SUM(INDEX(tblContractForDeed[Princ],1):INDEX(tblContractForDeed[Princ],ROW()-ROW(tblContractForDeed[#Headers])))</f>
        <v>3969.75</v>
      </c>
      <c r="X47" s="276">
        <f>IF(tblContractForDeed[[#This Row],[Beg]]&lt;=0,0,tblContractForDeed[[#This Row],[Beg]]-tblContractForDeed[[#This Row],[Princ]])</f>
        <v>71288.249999999985</v>
      </c>
      <c r="Y47" s="467">
        <f>IF(INDEX(tblContractForDeed[Payment],ROW()-ROW(tblBuyerOutputs[#Headers]))=0,0,INDEX(tblContractForDeed[Payment],ROW()-ROW(tblBuyerOutputs[#Headers]))-INDEX(tblSubjectToLoan[Payment],ROW()-ROW(tblBuyerOutputs[#Headers])))</f>
        <v>48.560000000000059</v>
      </c>
      <c r="Z4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v>
      </c>
      <c r="AA47"/>
      <c r="AB47" s="14">
        <f>IF(INDEX(tblContractForDeed[Payment],ROW()-ROW(tblBuyerOutputs[#Headers]))=0,0,INDEX(tblContractForDeed[Payment],ROW()-ROW(tblBuyerOutputs[#Headers]))-INDEX(tblSubjectToLoan[Payment],ROW()-ROW(tblBuyerOutputs[#Headers])))-IFERROR(tblBuyerOutputs[[#This Row],[PMI]],0)</f>
        <v>48.560000000000059</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776.96000000000095</v>
      </c>
      <c r="AD47" s="276">
        <f>IF(INDEX(tblContractForDeed[End Bal],ROW()-ROW(tblBuyerOutputs[#Headers]))&lt;=0,0,($O$6+IF(ROW()=ROW(tblBuyerOutputs[#Headers])+1,0,INDEX(tblBuyerOutputs[Cumul Appr],ROW()-ROW(tblBuyerOutputs[#Headers])-1)))*$AK$2/12)</f>
        <v>0</v>
      </c>
      <c r="AE47" s="276">
        <f>IF(INDEX(tblContractForDeed[End Bal],ROW()-ROW(tblBuyerOutputs[#Headers]))&lt;=0,0,IF(ROW()=ROW(tblBuyerOutputs[#Headers])+1,0,INDEX(tblBuyerOutputs[Cumul Appr],ROW()-ROW(tblBuyerOutputs[#Headers])-1))+tblBuyerOutputs[[#This Row],[Monthly Appr]])</f>
        <v>0</v>
      </c>
    </row>
    <row r="48" spans="1:31" x14ac:dyDescent="0.25">
      <c r="A48" s="613">
        <f t="shared" si="6"/>
        <v>46710</v>
      </c>
      <c r="B48" s="276">
        <f t="shared" si="4"/>
        <v>87761.449999999983</v>
      </c>
      <c r="C48" s="14">
        <f t="shared" si="1"/>
        <v>627.88</v>
      </c>
      <c r="D48" s="14">
        <f t="shared" si="7"/>
        <v>353.63</v>
      </c>
      <c r="E48" s="14">
        <f t="shared" si="2"/>
        <v>274.25</v>
      </c>
      <c r="I48" s="276">
        <f t="shared" si="8"/>
        <v>10124.019999999999</v>
      </c>
      <c r="J48" s="276">
        <f t="shared" si="9"/>
        <v>8388.340000000002</v>
      </c>
      <c r="K48" s="276">
        <f t="shared" si="10"/>
        <v>87407.819999999978</v>
      </c>
      <c r="L48" s="394">
        <f t="shared" si="3"/>
        <v>2</v>
      </c>
      <c r="M48" s="394">
        <f t="shared" si="5"/>
        <v>28</v>
      </c>
      <c r="N48" s="613">
        <f>INDEX(tblSubjectToLoan[Date],ROW()-ROW(tblContractForDeed[#Headers]))</f>
        <v>46710</v>
      </c>
      <c r="O48" s="276">
        <f>IF(ROW()=ROW(tblContractForDeed[#Headers])+1,$O$6,IF(INDEX(tblContractForDeed[End Bal],ROW()-ROW(tblContractForDeed[#Headers])-1)&lt;0,0,INDEX(tblContractForDeed[End Bal],ROW()-ROW(tblContractForDeed[#Headers])-1)))</f>
        <v>71288.249999999985</v>
      </c>
      <c r="P48" s="454">
        <f>IF(tblContractForDeed[[#This Row],[Date]]="","",IF(tblContractForDeed[[#This Row],[Date]]&lt;cfdRateChangeDate,cfdRate1,cfdRate2))</f>
        <v>7.0000000000000007E-2</v>
      </c>
      <c r="Q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8" s="276">
        <f>IF(tblContractForDeed[[#This Row],[Payment]]=0,0,MAX(0,MIN(tblContractForDeed[[#This Row],[Beg]],tblContractForDeed[[#This Row],[Payment]]-tblContractForDeed[[#This Row],[Int]])))</f>
        <v>260.59000000000003</v>
      </c>
      <c r="S48" s="276">
        <f>IF(OR(tblContractForDeed[[#This Row],[Date]]&lt;cfdContractDate,tblContractForDeed[[#This Row],[Date]]&gt;cfdEndDate),0,ROUND(tblContractForDeed[[#This Row],[Beg]]*(tblContractForDeed[[#This Row],[Int Rate]]/12),2))</f>
        <v>415.85</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999.16000000000008</v>
      </c>
      <c r="W48" s="276">
        <f>SUM(INDEX(tblContractForDeed[Princ],1):INDEX(tblContractForDeed[Princ],ROW()-ROW(tblContractForDeed[#Headers])))</f>
        <v>4230.34</v>
      </c>
      <c r="X48" s="276">
        <f>IF(tblContractForDeed[[#This Row],[Beg]]&lt;=0,0,tblContractForDeed[[#This Row],[Beg]]-tblContractForDeed[[#This Row],[Princ]])</f>
        <v>71027.659999999989</v>
      </c>
      <c r="Y48" s="467">
        <f>IF(INDEX(tblContractForDeed[Payment],ROW()-ROW(tblBuyerOutputs[#Headers]))=0,0,INDEX(tblContractForDeed[Payment],ROW()-ROW(tblBuyerOutputs[#Headers]))-INDEX(tblSubjectToLoan[Payment],ROW()-ROW(tblBuyerOutputs[#Headers])))</f>
        <v>48.560000000000059</v>
      </c>
      <c r="Z4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v>
      </c>
      <c r="AA48"/>
      <c r="AB48" s="14">
        <f>IF(INDEX(tblContractForDeed[Payment],ROW()-ROW(tblBuyerOutputs[#Headers]))=0,0,INDEX(tblContractForDeed[Payment],ROW()-ROW(tblBuyerOutputs[#Headers]))-INDEX(tblSubjectToLoan[Payment],ROW()-ROW(tblBuyerOutputs[#Headers])))-IFERROR(tblBuyerOutputs[[#This Row],[PMI]],0)</f>
        <v>48.560000000000059</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825.520000000001</v>
      </c>
      <c r="AD48" s="276">
        <f>IF(INDEX(tblContractForDeed[End Bal],ROW()-ROW(tblBuyerOutputs[#Headers]))&lt;=0,0,($O$6+IF(ROW()=ROW(tblBuyerOutputs[#Headers])+1,0,INDEX(tblBuyerOutputs[Cumul Appr],ROW()-ROW(tblBuyerOutputs[#Headers])-1)))*$AK$2/12)</f>
        <v>0</v>
      </c>
      <c r="AE48" s="276">
        <f>IF(INDEX(tblContractForDeed[End Bal],ROW()-ROW(tblBuyerOutputs[#Headers]))&lt;=0,0,IF(ROW()=ROW(tblBuyerOutputs[#Headers])+1,0,INDEX(tblBuyerOutputs[Cumul Appr],ROW()-ROW(tblBuyerOutputs[#Headers])-1))+tblBuyerOutputs[[#This Row],[Monthly Appr]])</f>
        <v>0</v>
      </c>
    </row>
    <row r="49" spans="1:31" x14ac:dyDescent="0.25">
      <c r="A49" s="613">
        <f t="shared" si="6"/>
        <v>46740</v>
      </c>
      <c r="B49" s="276">
        <f t="shared" si="4"/>
        <v>87407.819999999978</v>
      </c>
      <c r="C49" s="14">
        <f t="shared" si="1"/>
        <v>627.88</v>
      </c>
      <c r="D49" s="14">
        <f t="shared" si="7"/>
        <v>354.73</v>
      </c>
      <c r="E49" s="14">
        <f t="shared" si="2"/>
        <v>273.14999999999998</v>
      </c>
      <c r="I49" s="276">
        <f t="shared" si="8"/>
        <v>10478.749999999998</v>
      </c>
      <c r="J49" s="276">
        <f t="shared" si="9"/>
        <v>8661.4900000000016</v>
      </c>
      <c r="K49" s="276">
        <f t="shared" si="10"/>
        <v>87053.089999999982</v>
      </c>
      <c r="L49" s="394">
        <f t="shared" si="3"/>
        <v>2</v>
      </c>
      <c r="M49" s="394">
        <f t="shared" si="5"/>
        <v>29</v>
      </c>
      <c r="N49" s="613">
        <f>INDEX(tblSubjectToLoan[Date],ROW()-ROW(tblContractForDeed[#Headers]))</f>
        <v>46740</v>
      </c>
      <c r="O49" s="276">
        <f>IF(ROW()=ROW(tblContractForDeed[#Headers])+1,$O$6,IF(INDEX(tblContractForDeed[End Bal],ROW()-ROW(tblContractForDeed[#Headers])-1)&lt;0,0,INDEX(tblContractForDeed[End Bal],ROW()-ROW(tblContractForDeed[#Headers])-1)))</f>
        <v>71027.659999999989</v>
      </c>
      <c r="P49" s="454">
        <f>IF(tblContractForDeed[[#This Row],[Date]]="","",IF(tblContractForDeed[[#This Row],[Date]]&lt;cfdRateChangeDate,cfdRate1,cfdRate2))</f>
        <v>7.0000000000000007E-2</v>
      </c>
      <c r="Q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9" s="276">
        <f>IF(tblContractForDeed[[#This Row],[Payment]]=0,0,MAX(0,MIN(tblContractForDeed[[#This Row],[Beg]],tblContractForDeed[[#This Row],[Payment]]-tblContractForDeed[[#This Row],[Int]])))</f>
        <v>262.11000000000007</v>
      </c>
      <c r="S49" s="276">
        <f>IF(OR(tblContractForDeed[[#This Row],[Date]]&lt;cfdContractDate,tblContractForDeed[[#This Row],[Date]]&gt;cfdEndDate),0,ROUND(tblContractForDeed[[#This Row],[Beg]]*(tblContractForDeed[[#This Row],[Int Rate]]/12),2))</f>
        <v>414.33</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999.16000000000008</v>
      </c>
      <c r="W49" s="276">
        <f>SUM(INDEX(tblContractForDeed[Princ],1):INDEX(tblContractForDeed[Princ],ROW()-ROW(tblContractForDeed[#Headers])))</f>
        <v>4492.45</v>
      </c>
      <c r="X49" s="276">
        <f>IF(tblContractForDeed[[#This Row],[Beg]]&lt;=0,0,tblContractForDeed[[#This Row],[Beg]]-tblContractForDeed[[#This Row],[Princ]])</f>
        <v>70765.549999999988</v>
      </c>
      <c r="Y49" s="467">
        <f>IF(INDEX(tblContractForDeed[Payment],ROW()-ROW(tblBuyerOutputs[#Headers]))=0,0,INDEX(tblContractForDeed[Payment],ROW()-ROW(tblBuyerOutputs[#Headers]))-INDEX(tblSubjectToLoan[Payment],ROW()-ROW(tblBuyerOutputs[#Headers])))</f>
        <v>48.560000000000059</v>
      </c>
      <c r="Z4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v>
      </c>
      <c r="AA49"/>
      <c r="AB49" s="14">
        <f>IF(INDEX(tblContractForDeed[Payment],ROW()-ROW(tblBuyerOutputs[#Headers]))=0,0,INDEX(tblContractForDeed[Payment],ROW()-ROW(tblBuyerOutputs[#Headers]))-INDEX(tblSubjectToLoan[Payment],ROW()-ROW(tblBuyerOutputs[#Headers])))-IFERROR(tblBuyerOutputs[[#This Row],[PMI]],0)</f>
        <v>48.560000000000059</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874.08000000000106</v>
      </c>
      <c r="AD49" s="276">
        <f>IF(INDEX(tblContractForDeed[End Bal],ROW()-ROW(tblBuyerOutputs[#Headers]))&lt;=0,0,($O$6+IF(ROW()=ROW(tblBuyerOutputs[#Headers])+1,0,INDEX(tblBuyerOutputs[Cumul Appr],ROW()-ROW(tblBuyerOutputs[#Headers])-1)))*$AK$2/12)</f>
        <v>0</v>
      </c>
      <c r="AE49" s="276">
        <f>IF(INDEX(tblContractForDeed[End Bal],ROW()-ROW(tblBuyerOutputs[#Headers]))&lt;=0,0,IF(ROW()=ROW(tblBuyerOutputs[#Headers])+1,0,INDEX(tblBuyerOutputs[Cumul Appr],ROW()-ROW(tblBuyerOutputs[#Headers])-1))+tblBuyerOutputs[[#This Row],[Monthly Appr]])</f>
        <v>0</v>
      </c>
    </row>
    <row r="50" spans="1:31" x14ac:dyDescent="0.25">
      <c r="A50" s="613">
        <f t="shared" si="6"/>
        <v>46770</v>
      </c>
      <c r="B50" s="276">
        <f t="shared" si="4"/>
        <v>87053.089999999982</v>
      </c>
      <c r="C50" s="14">
        <f t="shared" si="1"/>
        <v>627.88</v>
      </c>
      <c r="D50" s="14">
        <f t="shared" si="7"/>
        <v>355.84</v>
      </c>
      <c r="E50" s="14">
        <f t="shared" si="2"/>
        <v>272.04000000000002</v>
      </c>
      <c r="I50" s="276">
        <f t="shared" si="8"/>
        <v>10834.589999999998</v>
      </c>
      <c r="J50" s="276">
        <f t="shared" si="9"/>
        <v>8933.5300000000025</v>
      </c>
      <c r="K50" s="276">
        <f t="shared" si="10"/>
        <v>86697.249999999985</v>
      </c>
      <c r="L50" s="394">
        <f t="shared" si="3"/>
        <v>2</v>
      </c>
      <c r="M50" s="394">
        <f t="shared" si="5"/>
        <v>30</v>
      </c>
      <c r="N50" s="613">
        <f>INDEX(tblSubjectToLoan[Date],ROW()-ROW(tblContractForDeed[#Headers]))</f>
        <v>46770</v>
      </c>
      <c r="O50" s="276">
        <f>IF(ROW()=ROW(tblContractForDeed[#Headers])+1,$O$6,IF(INDEX(tblContractForDeed[End Bal],ROW()-ROW(tblContractForDeed[#Headers])-1)&lt;0,0,INDEX(tblContractForDeed[End Bal],ROW()-ROW(tblContractForDeed[#Headers])-1)))</f>
        <v>70765.549999999988</v>
      </c>
      <c r="P50" s="454">
        <f>IF(tblContractForDeed[[#This Row],[Date]]="","",IF(tblContractForDeed[[#This Row],[Date]]&lt;cfdRateChangeDate,cfdRate1,cfdRate2))</f>
        <v>7.0000000000000007E-2</v>
      </c>
      <c r="Q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0" s="276">
        <f>IF(tblContractForDeed[[#This Row],[Payment]]=0,0,MAX(0,MIN(tblContractForDeed[[#This Row],[Beg]],tblContractForDeed[[#This Row],[Payment]]-tblContractForDeed[[#This Row],[Int]])))</f>
        <v>263.64000000000004</v>
      </c>
      <c r="S50" s="276">
        <f>IF(OR(tblContractForDeed[[#This Row],[Date]]&lt;cfdContractDate,tblContractForDeed[[#This Row],[Date]]&gt;cfdEndDate),0,ROUND(tblContractForDeed[[#This Row],[Beg]]*(tblContractForDeed[[#This Row],[Int Rate]]/12),2))</f>
        <v>412.8</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999.16000000000008</v>
      </c>
      <c r="W50" s="276">
        <f>SUM(INDEX(tblContractForDeed[Princ],1):INDEX(tblContractForDeed[Princ],ROW()-ROW(tblContractForDeed[#Headers])))</f>
        <v>4756.09</v>
      </c>
      <c r="X50" s="276">
        <f>IF(tblContractForDeed[[#This Row],[Beg]]&lt;=0,0,tblContractForDeed[[#This Row],[Beg]]-tblContractForDeed[[#This Row],[Princ]])</f>
        <v>70501.909999999989</v>
      </c>
      <c r="Y50" s="467">
        <f>IF(INDEX(tblContractForDeed[Payment],ROW()-ROW(tblBuyerOutputs[#Headers]))=0,0,INDEX(tblContractForDeed[Payment],ROW()-ROW(tblBuyerOutputs[#Headers]))-INDEX(tblSubjectToLoan[Payment],ROW()-ROW(tblBuyerOutputs[#Headers])))</f>
        <v>48.560000000000059</v>
      </c>
      <c r="Z5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18</v>
      </c>
      <c r="AA50"/>
      <c r="AB50" s="14">
        <f>IF(INDEX(tblContractForDeed[Payment],ROW()-ROW(tblBuyerOutputs[#Headers]))=0,0,INDEX(tblContractForDeed[Payment],ROW()-ROW(tblBuyerOutputs[#Headers]))-INDEX(tblSubjectToLoan[Payment],ROW()-ROW(tblBuyerOutputs[#Headers])))-IFERROR(tblBuyerOutputs[[#This Row],[PMI]],0)</f>
        <v>48.560000000000059</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922.64000000000112</v>
      </c>
      <c r="AD50" s="276">
        <f>IF(INDEX(tblContractForDeed[End Bal],ROW()-ROW(tblBuyerOutputs[#Headers]))&lt;=0,0,($O$6+IF(ROW()=ROW(tblBuyerOutputs[#Headers])+1,0,INDEX(tblBuyerOutputs[Cumul Appr],ROW()-ROW(tblBuyerOutputs[#Headers])-1)))*$AK$2/12)</f>
        <v>0</v>
      </c>
      <c r="AE50" s="276">
        <f>IF(INDEX(tblContractForDeed[End Bal],ROW()-ROW(tblBuyerOutputs[#Headers]))&lt;=0,0,IF(ROW()=ROW(tblBuyerOutputs[#Headers])+1,0,INDEX(tblBuyerOutputs[Cumul Appr],ROW()-ROW(tblBuyerOutputs[#Headers])-1))+tblBuyerOutputs[[#This Row],[Monthly Appr]])</f>
        <v>0</v>
      </c>
    </row>
    <row r="51" spans="1:31" x14ac:dyDescent="0.25">
      <c r="A51" s="613">
        <f t="shared" si="6"/>
        <v>46800</v>
      </c>
      <c r="B51" s="276">
        <f t="shared" si="4"/>
        <v>86697.249999999985</v>
      </c>
      <c r="C51" s="14">
        <f t="shared" si="1"/>
        <v>627.88</v>
      </c>
      <c r="D51" s="14">
        <f t="shared" si="7"/>
        <v>356.95</v>
      </c>
      <c r="E51" s="14">
        <f t="shared" si="2"/>
        <v>270.93</v>
      </c>
      <c r="I51" s="276">
        <f t="shared" si="8"/>
        <v>11191.539999999999</v>
      </c>
      <c r="J51" s="276">
        <f t="shared" si="9"/>
        <v>9204.4600000000028</v>
      </c>
      <c r="K51" s="276">
        <f t="shared" si="10"/>
        <v>86340.299999999988</v>
      </c>
      <c r="L51" s="394">
        <f t="shared" si="3"/>
        <v>2</v>
      </c>
      <c r="M51" s="394">
        <f t="shared" si="5"/>
        <v>31</v>
      </c>
      <c r="N51" s="613">
        <f>INDEX(tblSubjectToLoan[Date],ROW()-ROW(tblContractForDeed[#Headers]))</f>
        <v>46800</v>
      </c>
      <c r="O51" s="276">
        <f>IF(ROW()=ROW(tblContractForDeed[#Headers])+1,$O$6,IF(INDEX(tblContractForDeed[End Bal],ROW()-ROW(tblContractForDeed[#Headers])-1)&lt;0,0,INDEX(tblContractForDeed[End Bal],ROW()-ROW(tblContractForDeed[#Headers])-1)))</f>
        <v>70501.909999999989</v>
      </c>
      <c r="P51" s="454">
        <f>IF(tblContractForDeed[[#This Row],[Date]]="","",IF(tblContractForDeed[[#This Row],[Date]]&lt;cfdRateChangeDate,cfdRate1,cfdRate2))</f>
        <v>7.0000000000000007E-2</v>
      </c>
      <c r="Q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1" s="276">
        <f>IF(tblContractForDeed[[#This Row],[Payment]]=0,0,MAX(0,MIN(tblContractForDeed[[#This Row],[Beg]],tblContractForDeed[[#This Row],[Payment]]-tblContractForDeed[[#This Row],[Int]])))</f>
        <v>265.18000000000006</v>
      </c>
      <c r="S51" s="276">
        <f>IF(OR(tblContractForDeed[[#This Row],[Date]]&lt;cfdContractDate,tblContractForDeed[[#This Row],[Date]]&gt;cfdEndDate),0,ROUND(tblContractForDeed[[#This Row],[Beg]]*(tblContractForDeed[[#This Row],[Int Rate]]/12),2))</f>
        <v>411.26</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999.16000000000008</v>
      </c>
      <c r="W51" s="276">
        <f>SUM(INDEX(tblContractForDeed[Princ],1):INDEX(tblContractForDeed[Princ],ROW()-ROW(tblContractForDeed[#Headers])))</f>
        <v>5021.2700000000004</v>
      </c>
      <c r="X51" s="276">
        <f>IF(tblContractForDeed[[#This Row],[Beg]]&lt;=0,0,tblContractForDeed[[#This Row],[Beg]]-tblContractForDeed[[#This Row],[Princ]])</f>
        <v>70236.73</v>
      </c>
      <c r="Y51" s="467">
        <f>IF(INDEX(tblContractForDeed[Payment],ROW()-ROW(tblBuyerOutputs[#Headers]))=0,0,INDEX(tblContractForDeed[Payment],ROW()-ROW(tblBuyerOutputs[#Headers]))-INDEX(tblSubjectToLoan[Payment],ROW()-ROW(tblBuyerOutputs[#Headers])))</f>
        <v>48.560000000000059</v>
      </c>
      <c r="Z5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19</v>
      </c>
      <c r="AA51"/>
      <c r="AB51" s="14">
        <f>IF(INDEX(tblContractForDeed[Payment],ROW()-ROW(tblBuyerOutputs[#Headers]))=0,0,INDEX(tblContractForDeed[Payment],ROW()-ROW(tblBuyerOutputs[#Headers]))-INDEX(tblSubjectToLoan[Payment],ROW()-ROW(tblBuyerOutputs[#Headers])))-IFERROR(tblBuyerOutputs[[#This Row],[PMI]],0)</f>
        <v>48.560000000000059</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971.20000000000118</v>
      </c>
      <c r="AD51" s="276">
        <f>IF(INDEX(tblContractForDeed[End Bal],ROW()-ROW(tblBuyerOutputs[#Headers]))&lt;=0,0,($O$6+IF(ROW()=ROW(tblBuyerOutputs[#Headers])+1,0,INDEX(tblBuyerOutputs[Cumul Appr],ROW()-ROW(tblBuyerOutputs[#Headers])-1)))*$AK$2/12)</f>
        <v>0</v>
      </c>
      <c r="AE51" s="276">
        <f>IF(INDEX(tblContractForDeed[End Bal],ROW()-ROW(tblBuyerOutputs[#Headers]))&lt;=0,0,IF(ROW()=ROW(tblBuyerOutputs[#Headers])+1,0,INDEX(tblBuyerOutputs[Cumul Appr],ROW()-ROW(tblBuyerOutputs[#Headers])-1))+tblBuyerOutputs[[#This Row],[Monthly Appr]])</f>
        <v>0</v>
      </c>
    </row>
    <row r="52" spans="1:31" x14ac:dyDescent="0.25">
      <c r="A52" s="613">
        <f t="shared" si="6"/>
        <v>46830</v>
      </c>
      <c r="B52" s="276">
        <f t="shared" si="4"/>
        <v>86340.299999999988</v>
      </c>
      <c r="C52" s="14">
        <f t="shared" si="1"/>
        <v>627.88</v>
      </c>
      <c r="D52" s="14">
        <f t="shared" si="7"/>
        <v>358.07</v>
      </c>
      <c r="E52" s="14">
        <f t="shared" si="2"/>
        <v>269.81</v>
      </c>
      <c r="I52" s="276">
        <f t="shared" si="8"/>
        <v>11549.609999999999</v>
      </c>
      <c r="J52" s="276">
        <f t="shared" si="9"/>
        <v>9474.2700000000023</v>
      </c>
      <c r="K52" s="276">
        <f t="shared" si="10"/>
        <v>85982.229999999981</v>
      </c>
      <c r="L52" s="394">
        <f t="shared" si="3"/>
        <v>2</v>
      </c>
      <c r="M52" s="394">
        <f t="shared" si="5"/>
        <v>32</v>
      </c>
      <c r="N52" s="613">
        <f>INDEX(tblSubjectToLoan[Date],ROW()-ROW(tblContractForDeed[#Headers]))</f>
        <v>46830</v>
      </c>
      <c r="O52" s="276">
        <f>IF(ROW()=ROW(tblContractForDeed[#Headers])+1,$O$6,IF(INDEX(tblContractForDeed[End Bal],ROW()-ROW(tblContractForDeed[#Headers])-1)&lt;0,0,INDEX(tblContractForDeed[End Bal],ROW()-ROW(tblContractForDeed[#Headers])-1)))</f>
        <v>70236.73</v>
      </c>
      <c r="P52" s="454">
        <f>IF(tblContractForDeed[[#This Row],[Date]]="","",IF(tblContractForDeed[[#This Row],[Date]]&lt;cfdRateChangeDate,cfdRate1,cfdRate2))</f>
        <v>7.0000000000000007E-2</v>
      </c>
      <c r="Q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2" s="276">
        <f>IF(tblContractForDeed[[#This Row],[Payment]]=0,0,MAX(0,MIN(tblContractForDeed[[#This Row],[Beg]],tblContractForDeed[[#This Row],[Payment]]-tblContractForDeed[[#This Row],[Int]])))</f>
        <v>266.73000000000008</v>
      </c>
      <c r="S52" s="276">
        <f>IF(OR(tblContractForDeed[[#This Row],[Date]]&lt;cfdContractDate,tblContractForDeed[[#This Row],[Date]]&gt;cfdEndDate),0,ROUND(tblContractForDeed[[#This Row],[Beg]]*(tblContractForDeed[[#This Row],[Int Rate]]/12),2))</f>
        <v>409.71</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999.16000000000008</v>
      </c>
      <c r="W52" s="276">
        <f>SUM(INDEX(tblContractForDeed[Princ],1):INDEX(tblContractForDeed[Princ],ROW()-ROW(tblContractForDeed[#Headers])))</f>
        <v>5288.0000000000009</v>
      </c>
      <c r="X52" s="276">
        <f>IF(tblContractForDeed[[#This Row],[Beg]]&lt;=0,0,tblContractForDeed[[#This Row],[Beg]]-tblContractForDeed[[#This Row],[Princ]])</f>
        <v>69970</v>
      </c>
      <c r="Y52" s="467">
        <f>IF(INDEX(tblContractForDeed[Payment],ROW()-ROW(tblBuyerOutputs[#Headers]))=0,0,INDEX(tblContractForDeed[Payment],ROW()-ROW(tblBuyerOutputs[#Headers]))-INDEX(tblSubjectToLoan[Payment],ROW()-ROW(tblBuyerOutputs[#Headers])))</f>
        <v>48.560000000000059</v>
      </c>
      <c r="Z5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20</v>
      </c>
      <c r="AA52"/>
      <c r="AB52" s="14">
        <f>IF(INDEX(tblContractForDeed[Payment],ROW()-ROW(tblBuyerOutputs[#Headers]))=0,0,INDEX(tblContractForDeed[Payment],ROW()-ROW(tblBuyerOutputs[#Headers]))-INDEX(tblSubjectToLoan[Payment],ROW()-ROW(tblBuyerOutputs[#Headers])))-IFERROR(tblBuyerOutputs[[#This Row],[PMI]],0)</f>
        <v>48.560000000000059</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1019.7600000000012</v>
      </c>
      <c r="AD52" s="276">
        <f>IF(INDEX(tblContractForDeed[End Bal],ROW()-ROW(tblBuyerOutputs[#Headers]))&lt;=0,0,($O$6+IF(ROW()=ROW(tblBuyerOutputs[#Headers])+1,0,INDEX(tblBuyerOutputs[Cumul Appr],ROW()-ROW(tblBuyerOutputs[#Headers])-1)))*$AK$2/12)</f>
        <v>0</v>
      </c>
      <c r="AE52" s="276">
        <f>IF(INDEX(tblContractForDeed[End Bal],ROW()-ROW(tblBuyerOutputs[#Headers]))&lt;=0,0,IF(ROW()=ROW(tblBuyerOutputs[#Headers])+1,0,INDEX(tblBuyerOutputs[Cumul Appr],ROW()-ROW(tblBuyerOutputs[#Headers])-1))+tblBuyerOutputs[[#This Row],[Monthly Appr]])</f>
        <v>0</v>
      </c>
    </row>
    <row r="53" spans="1:31" x14ac:dyDescent="0.25">
      <c r="A53" s="613">
        <f t="shared" si="6"/>
        <v>46860</v>
      </c>
      <c r="B53" s="276">
        <f t="shared" si="4"/>
        <v>85982.229999999981</v>
      </c>
      <c r="C53" s="14">
        <f t="shared" si="1"/>
        <v>627.88</v>
      </c>
      <c r="D53" s="14">
        <f t="shared" si="7"/>
        <v>359.19</v>
      </c>
      <c r="E53" s="14">
        <f t="shared" si="2"/>
        <v>268.69</v>
      </c>
      <c r="I53" s="276">
        <f t="shared" si="8"/>
        <v>11908.8</v>
      </c>
      <c r="J53" s="276">
        <f t="shared" si="9"/>
        <v>9742.9600000000028</v>
      </c>
      <c r="K53" s="276">
        <f t="shared" si="10"/>
        <v>85623.039999999979</v>
      </c>
      <c r="L53" s="394">
        <f t="shared" si="3"/>
        <v>2</v>
      </c>
      <c r="M53" s="394">
        <f t="shared" si="5"/>
        <v>33</v>
      </c>
      <c r="N53" s="613">
        <f>INDEX(tblSubjectToLoan[Date],ROW()-ROW(tblContractForDeed[#Headers]))</f>
        <v>46860</v>
      </c>
      <c r="O53" s="276">
        <f>IF(ROW()=ROW(tblContractForDeed[#Headers])+1,$O$6,IF(INDEX(tblContractForDeed[End Bal],ROW()-ROW(tblContractForDeed[#Headers])-1)&lt;0,0,INDEX(tblContractForDeed[End Bal],ROW()-ROW(tblContractForDeed[#Headers])-1)))</f>
        <v>69970</v>
      </c>
      <c r="P53" s="454">
        <f>IF(tblContractForDeed[[#This Row],[Date]]="","",IF(tblContractForDeed[[#This Row],[Date]]&lt;cfdRateChangeDate,cfdRate1,cfdRate2))</f>
        <v>7.0000000000000007E-2</v>
      </c>
      <c r="Q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3" s="276">
        <f>IF(tblContractForDeed[[#This Row],[Payment]]=0,0,MAX(0,MIN(tblContractForDeed[[#This Row],[Beg]],tblContractForDeed[[#This Row],[Payment]]-tblContractForDeed[[#This Row],[Int]])))</f>
        <v>268.28000000000003</v>
      </c>
      <c r="S53" s="276">
        <f>IF(OR(tblContractForDeed[[#This Row],[Date]]&lt;cfdContractDate,tblContractForDeed[[#This Row],[Date]]&gt;cfdEndDate),0,ROUND(tblContractForDeed[[#This Row],[Beg]]*(tblContractForDeed[[#This Row],[Int Rate]]/12),2))</f>
        <v>408.16</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999.16000000000008</v>
      </c>
      <c r="W53" s="276">
        <f>SUM(INDEX(tblContractForDeed[Princ],1):INDEX(tblContractForDeed[Princ],ROW()-ROW(tblContractForDeed[#Headers])))</f>
        <v>5556.2800000000007</v>
      </c>
      <c r="X53" s="276">
        <f>IF(tblContractForDeed[[#This Row],[Beg]]&lt;=0,0,tblContractForDeed[[#This Row],[Beg]]-tblContractForDeed[[#This Row],[Princ]])</f>
        <v>69701.72</v>
      </c>
      <c r="Y53" s="467">
        <f>IF(INDEX(tblContractForDeed[Payment],ROW()-ROW(tblBuyerOutputs[#Headers]))=0,0,INDEX(tblContractForDeed[Payment],ROW()-ROW(tblBuyerOutputs[#Headers]))-INDEX(tblSubjectToLoan[Payment],ROW()-ROW(tblBuyerOutputs[#Headers])))</f>
        <v>48.560000000000059</v>
      </c>
      <c r="Z5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21</v>
      </c>
      <c r="AA53"/>
      <c r="AB53" s="14">
        <f>IF(INDEX(tblContractForDeed[Payment],ROW()-ROW(tblBuyerOutputs[#Headers]))=0,0,INDEX(tblContractForDeed[Payment],ROW()-ROW(tblBuyerOutputs[#Headers]))-INDEX(tblSubjectToLoan[Payment],ROW()-ROW(tblBuyerOutputs[#Headers])))-IFERROR(tblBuyerOutputs[[#This Row],[PMI]],0)</f>
        <v>48.560000000000059</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1068.3200000000013</v>
      </c>
      <c r="AD53" s="276">
        <f>IF(INDEX(tblContractForDeed[End Bal],ROW()-ROW(tblBuyerOutputs[#Headers]))&lt;=0,0,($O$6+IF(ROW()=ROW(tblBuyerOutputs[#Headers])+1,0,INDEX(tblBuyerOutputs[Cumul Appr],ROW()-ROW(tblBuyerOutputs[#Headers])-1)))*$AK$2/12)</f>
        <v>0</v>
      </c>
      <c r="AE53" s="276">
        <f>IF(INDEX(tblContractForDeed[End Bal],ROW()-ROW(tblBuyerOutputs[#Headers]))&lt;=0,0,IF(ROW()=ROW(tblBuyerOutputs[#Headers])+1,0,INDEX(tblBuyerOutputs[Cumul Appr],ROW()-ROW(tblBuyerOutputs[#Headers])-1))+tblBuyerOutputs[[#This Row],[Monthly Appr]])</f>
        <v>0</v>
      </c>
    </row>
    <row r="54" spans="1:31" x14ac:dyDescent="0.25">
      <c r="A54" s="613">
        <f t="shared" si="6"/>
        <v>46890</v>
      </c>
      <c r="B54" s="276">
        <f t="shared" si="4"/>
        <v>85623.039999999979</v>
      </c>
      <c r="C54" s="14">
        <f t="shared" si="1"/>
        <v>627.88</v>
      </c>
      <c r="D54" s="14">
        <f t="shared" si="7"/>
        <v>360.31</v>
      </c>
      <c r="E54" s="14">
        <f t="shared" si="2"/>
        <v>267.57</v>
      </c>
      <c r="I54" s="276">
        <f t="shared" si="8"/>
        <v>12269.109999999999</v>
      </c>
      <c r="J54" s="276">
        <f t="shared" si="9"/>
        <v>10010.530000000002</v>
      </c>
      <c r="K54" s="276">
        <f t="shared" si="10"/>
        <v>85262.729999999981</v>
      </c>
      <c r="L54" s="394">
        <f t="shared" si="3"/>
        <v>2</v>
      </c>
      <c r="M54" s="394">
        <f t="shared" si="5"/>
        <v>34</v>
      </c>
      <c r="N54" s="613">
        <f>INDEX(tblSubjectToLoan[Date],ROW()-ROW(tblContractForDeed[#Headers]))</f>
        <v>46890</v>
      </c>
      <c r="O54" s="276">
        <f>IF(ROW()=ROW(tblContractForDeed[#Headers])+1,$O$6,IF(INDEX(tblContractForDeed[End Bal],ROW()-ROW(tblContractForDeed[#Headers])-1)&lt;0,0,INDEX(tblContractForDeed[End Bal],ROW()-ROW(tblContractForDeed[#Headers])-1)))</f>
        <v>69701.72</v>
      </c>
      <c r="P54" s="454">
        <f>IF(tblContractForDeed[[#This Row],[Date]]="","",IF(tblContractForDeed[[#This Row],[Date]]&lt;cfdRateChangeDate,cfdRate1,cfdRate2))</f>
        <v>7.0000000000000007E-2</v>
      </c>
      <c r="Q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4" s="276">
        <f>IF(tblContractForDeed[[#This Row],[Payment]]=0,0,MAX(0,MIN(tblContractForDeed[[#This Row],[Beg]],tblContractForDeed[[#This Row],[Payment]]-tblContractForDeed[[#This Row],[Int]])))</f>
        <v>269.85000000000008</v>
      </c>
      <c r="S54" s="276">
        <f>IF(OR(tblContractForDeed[[#This Row],[Date]]&lt;cfdContractDate,tblContractForDeed[[#This Row],[Date]]&gt;cfdEndDate),0,ROUND(tblContractForDeed[[#This Row],[Beg]]*(tblContractForDeed[[#This Row],[Int Rate]]/12),2))</f>
        <v>406.59</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999.16000000000008</v>
      </c>
      <c r="W54" s="276">
        <f>SUM(INDEX(tblContractForDeed[Princ],1):INDEX(tblContractForDeed[Princ],ROW()-ROW(tblContractForDeed[#Headers])))</f>
        <v>5826.130000000001</v>
      </c>
      <c r="X54" s="276">
        <f>IF(tblContractForDeed[[#This Row],[Beg]]&lt;=0,0,tblContractForDeed[[#This Row],[Beg]]-tblContractForDeed[[#This Row],[Princ]])</f>
        <v>69431.87</v>
      </c>
      <c r="Y54" s="467">
        <f>IF(INDEX(tblContractForDeed[Payment],ROW()-ROW(tblBuyerOutputs[#Headers]))=0,0,INDEX(tblContractForDeed[Payment],ROW()-ROW(tblBuyerOutputs[#Headers]))-INDEX(tblSubjectToLoan[Payment],ROW()-ROW(tblBuyerOutputs[#Headers])))</f>
        <v>48.560000000000059</v>
      </c>
      <c r="Z5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22</v>
      </c>
      <c r="AA54"/>
      <c r="AB54" s="14">
        <f>IF(INDEX(tblContractForDeed[Payment],ROW()-ROW(tblBuyerOutputs[#Headers]))=0,0,INDEX(tblContractForDeed[Payment],ROW()-ROW(tblBuyerOutputs[#Headers]))-INDEX(tblSubjectToLoan[Payment],ROW()-ROW(tblBuyerOutputs[#Headers])))-IFERROR(tblBuyerOutputs[[#This Row],[PMI]],0)</f>
        <v>48.560000000000059</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1116.8800000000015</v>
      </c>
      <c r="AD54" s="276">
        <f>IF(INDEX(tblContractForDeed[End Bal],ROW()-ROW(tblBuyerOutputs[#Headers]))&lt;=0,0,($O$6+IF(ROW()=ROW(tblBuyerOutputs[#Headers])+1,0,INDEX(tblBuyerOutputs[Cumul Appr],ROW()-ROW(tblBuyerOutputs[#Headers])-1)))*$AK$2/12)</f>
        <v>0</v>
      </c>
      <c r="AE54" s="276">
        <f>IF(INDEX(tblContractForDeed[End Bal],ROW()-ROW(tblBuyerOutputs[#Headers]))&lt;=0,0,IF(ROW()=ROW(tblBuyerOutputs[#Headers])+1,0,INDEX(tblBuyerOutputs[Cumul Appr],ROW()-ROW(tblBuyerOutputs[#Headers])-1))+tblBuyerOutputs[[#This Row],[Monthly Appr]])</f>
        <v>0</v>
      </c>
    </row>
    <row r="55" spans="1:31" ht="15.75" thickBot="1" x14ac:dyDescent="0.3">
      <c r="A55" s="615">
        <f t="shared" si="6"/>
        <v>46920</v>
      </c>
      <c r="B55" s="332">
        <f t="shared" si="4"/>
        <v>85262.729999999981</v>
      </c>
      <c r="C55" s="21">
        <f t="shared" si="1"/>
        <v>627.88</v>
      </c>
      <c r="D55" s="21">
        <f t="shared" si="7"/>
        <v>361.43</v>
      </c>
      <c r="E55" s="21">
        <f t="shared" si="2"/>
        <v>266.45</v>
      </c>
      <c r="F55" s="21"/>
      <c r="G55" s="21"/>
      <c r="H55" s="21"/>
      <c r="I55" s="332">
        <f t="shared" si="8"/>
        <v>12630.539999999999</v>
      </c>
      <c r="J55" s="332">
        <f t="shared" si="9"/>
        <v>10276.980000000003</v>
      </c>
      <c r="K55" s="332">
        <f t="shared" si="10"/>
        <v>84901.299999999988</v>
      </c>
      <c r="L55" s="395">
        <f t="shared" si="3"/>
        <v>2</v>
      </c>
      <c r="M55" s="395">
        <f t="shared" si="5"/>
        <v>35</v>
      </c>
      <c r="N55" s="615">
        <f>INDEX(tblSubjectToLoan[Date],ROW()-ROW(tblContractForDeed[#Headers]))</f>
        <v>46920</v>
      </c>
      <c r="O55" s="332">
        <f>IF(ROW()=ROW(tblContractForDeed[#Headers])+1,$O$6,IF(INDEX(tblContractForDeed[End Bal],ROW()-ROW(tblContractForDeed[#Headers])-1)&lt;0,0,INDEX(tblContractForDeed[End Bal],ROW()-ROW(tblContractForDeed[#Headers])-1)))</f>
        <v>69431.87</v>
      </c>
      <c r="P55" s="454">
        <f>IF(tblContractForDeed[[#This Row],[Date]]="","",IF(tblContractForDeed[[#This Row],[Date]]&lt;cfdRateChangeDate,cfdRate1,cfdRate2))</f>
        <v>7.0000000000000007E-2</v>
      </c>
      <c r="Q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5" s="332">
        <f>IF(tblContractForDeed[[#This Row],[Payment]]=0,0,MAX(0,MIN(tblContractForDeed[[#This Row],[Beg]],tblContractForDeed[[#This Row],[Payment]]-tblContractForDeed[[#This Row],[Int]])))</f>
        <v>271.42000000000007</v>
      </c>
      <c r="S55" s="332">
        <f>IF(OR(tblContractForDeed[[#This Row],[Date]]&lt;cfdContractDate,tblContractForDeed[[#This Row],[Date]]&gt;cfdEndDate),0,ROUND(tblContractForDeed[[#This Row],[Beg]]*(tblContractForDeed[[#This Row],[Int Rate]]/12),2))</f>
        <v>405.02</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999.16000000000008</v>
      </c>
      <c r="W55" s="332">
        <f>SUM(INDEX(tblContractForDeed[Princ],1):INDEX(tblContractForDeed[Princ],ROW()-ROW(tblContractForDeed[#Headers])))</f>
        <v>6097.5500000000011</v>
      </c>
      <c r="X55" s="332">
        <f>IF(tblContractForDeed[[#This Row],[Beg]]&lt;=0,0,tblContractForDeed[[#This Row],[Beg]]-tblContractForDeed[[#This Row],[Princ]])</f>
        <v>69160.45</v>
      </c>
      <c r="Y55" s="468">
        <f>IF(INDEX(tblContractForDeed[Payment],ROW()-ROW(tblBuyerOutputs[#Headers]))=0,0,INDEX(tblContractForDeed[Payment],ROW()-ROW(tblBuyerOutputs[#Headers]))-INDEX(tblSubjectToLoan[Payment],ROW()-ROW(tblBuyerOutputs[#Headers])))</f>
        <v>48.560000000000059</v>
      </c>
      <c r="Z5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23</v>
      </c>
      <c r="AA55" s="23"/>
      <c r="AB55" s="21">
        <f>IF(INDEX(tblContractForDeed[Payment],ROW()-ROW(tblBuyerOutputs[#Headers]))=0,0,INDEX(tblContractForDeed[Payment],ROW()-ROW(tblBuyerOutputs[#Headers]))-INDEX(tblSubjectToLoan[Payment],ROW()-ROW(tblBuyerOutputs[#Headers])))-IFERROR(tblBuyerOutputs[[#This Row],[PMI]],0)</f>
        <v>48.560000000000059</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1165.4400000000014</v>
      </c>
      <c r="AD55" s="332">
        <f>IF(INDEX(tblContractForDeed[End Bal],ROW()-ROW(tblBuyerOutputs[#Headers]))&lt;=0,0,($O$6+IF(ROW()=ROW(tblBuyerOutputs[#Headers])+1,0,INDEX(tblBuyerOutputs[Cumul Appr],ROW()-ROW(tblBuyerOutputs[#Headers])-1)))*$AK$2/12)</f>
        <v>0</v>
      </c>
      <c r="AE55" s="332">
        <f>IF(INDEX(tblContractForDeed[End Bal],ROW()-ROW(tblBuyerOutputs[#Headers]))&lt;=0,0,IF(ROW()=ROW(tblBuyerOutputs[#Headers])+1,0,INDEX(tblBuyerOutputs[Cumul Appr],ROW()-ROW(tblBuyerOutputs[#Headers])-1))+tblBuyerOutputs[[#This Row],[Monthly Appr]])</f>
        <v>0</v>
      </c>
    </row>
    <row r="56" spans="1:31" x14ac:dyDescent="0.25">
      <c r="A56" s="613">
        <f t="shared" si="6"/>
        <v>46950</v>
      </c>
      <c r="B56" s="276">
        <f t="shared" si="4"/>
        <v>84901.299999999988</v>
      </c>
      <c r="C56" s="14">
        <f t="shared" si="1"/>
        <v>627.88</v>
      </c>
      <c r="D56" s="14">
        <f t="shared" si="7"/>
        <v>362.56</v>
      </c>
      <c r="E56" s="14">
        <f t="shared" si="2"/>
        <v>265.32</v>
      </c>
      <c r="I56" s="276">
        <f t="shared" si="8"/>
        <v>12993.099999999999</v>
      </c>
      <c r="J56" s="276">
        <f t="shared" si="9"/>
        <v>10542.300000000003</v>
      </c>
      <c r="K56" s="276">
        <f t="shared" si="10"/>
        <v>84538.739999999991</v>
      </c>
      <c r="L56" s="394">
        <f t="shared" si="3"/>
        <v>3</v>
      </c>
      <c r="M56" s="394">
        <f t="shared" si="5"/>
        <v>36</v>
      </c>
      <c r="N56" s="613">
        <f>INDEX(tblSubjectToLoan[Date],ROW()-ROW(tblContractForDeed[#Headers]))</f>
        <v>46950</v>
      </c>
      <c r="O56" s="276">
        <f>IF(ROW()=ROW(tblContractForDeed[#Headers])+1,$O$6,IF(INDEX(tblContractForDeed[End Bal],ROW()-ROW(tblContractForDeed[#Headers])-1)&lt;0,0,INDEX(tblContractForDeed[End Bal],ROW()-ROW(tblContractForDeed[#Headers])-1)))</f>
        <v>69160.45</v>
      </c>
      <c r="P56" s="454">
        <f>IF(tblContractForDeed[[#This Row],[Date]]="","",IF(tblContractForDeed[[#This Row],[Date]]&lt;cfdRateChangeDate,cfdRate1,cfdRate2))</f>
        <v>7.0000000000000007E-2</v>
      </c>
      <c r="Q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6" s="276">
        <f>IF(tblContractForDeed[[#This Row],[Payment]]=0,0,MAX(0,MIN(tblContractForDeed[[#This Row],[Beg]],tblContractForDeed[[#This Row],[Payment]]-tblContractForDeed[[#This Row],[Int]])))</f>
        <v>273.00000000000006</v>
      </c>
      <c r="S56" s="276">
        <f>IF(OR(tblContractForDeed[[#This Row],[Date]]&lt;cfdContractDate,tblContractForDeed[[#This Row],[Date]]&gt;cfdEndDate),0,ROUND(tblContractForDeed[[#This Row],[Beg]]*(tblContractForDeed[[#This Row],[Int Rate]]/12),2))</f>
        <v>403.44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999.16000000000008</v>
      </c>
      <c r="W56" s="276">
        <f>SUM(INDEX(tblContractForDeed[Princ],1):INDEX(tblContractForDeed[Princ],ROW()-ROW(tblContractForDeed[#Headers])))</f>
        <v>6370.5500000000011</v>
      </c>
      <c r="X56" s="276">
        <f>IF(tblContractForDeed[[#This Row],[Beg]]&lt;=0,0,tblContractForDeed[[#This Row],[Beg]]-tblContractForDeed[[#This Row],[Princ]])</f>
        <v>68887.45</v>
      </c>
      <c r="Y56" s="467">
        <f>IF(INDEX(tblContractForDeed[Payment],ROW()-ROW(tblBuyerOutputs[#Headers]))=0,0,INDEX(tblContractForDeed[Payment],ROW()-ROW(tblBuyerOutputs[#Headers]))-INDEX(tblSubjectToLoan[Payment],ROW()-ROW(tblBuyerOutputs[#Headers])))</f>
        <v>48.560000000000059</v>
      </c>
      <c r="Z5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24</v>
      </c>
      <c r="AA56"/>
      <c r="AB56" s="14">
        <f>IF(INDEX(tblContractForDeed[Payment],ROW()-ROW(tblBuyerOutputs[#Headers]))=0,0,INDEX(tblContractForDeed[Payment],ROW()-ROW(tblBuyerOutputs[#Headers]))-INDEX(tblSubjectToLoan[Payment],ROW()-ROW(tblBuyerOutputs[#Headers])))-IFERROR(tblBuyerOutputs[[#This Row],[PMI]],0)</f>
        <v>48.560000000000059</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1214.0000000000014</v>
      </c>
      <c r="AD56" s="276">
        <f>IF(INDEX(tblContractForDeed[End Bal],ROW()-ROW(tblBuyerOutputs[#Headers]))&lt;=0,0,($O$6+IF(ROW()=ROW(tblBuyerOutputs[#Headers])+1,0,INDEX(tblBuyerOutputs[Cumul Appr],ROW()-ROW(tblBuyerOutputs[#Headers])-1)))*$AK$2/12)</f>
        <v>0</v>
      </c>
      <c r="AE56" s="276">
        <f>IF(INDEX(tblContractForDeed[End Bal],ROW()-ROW(tblBuyerOutputs[#Headers]))&lt;=0,0,IF(ROW()=ROW(tblBuyerOutputs[#Headers])+1,0,INDEX(tblBuyerOutputs[Cumul Appr],ROW()-ROW(tblBuyerOutputs[#Headers])-1))+tblBuyerOutputs[[#This Row],[Monthly Appr]])</f>
        <v>0</v>
      </c>
    </row>
    <row r="57" spans="1:31" x14ac:dyDescent="0.25">
      <c r="A57" s="613">
        <f t="shared" si="6"/>
        <v>46980</v>
      </c>
      <c r="B57" s="276">
        <f t="shared" si="4"/>
        <v>84538.739999999991</v>
      </c>
      <c r="C57" s="14">
        <f t="shared" si="1"/>
        <v>627.88</v>
      </c>
      <c r="D57" s="14">
        <f t="shared" si="7"/>
        <v>363.7</v>
      </c>
      <c r="E57" s="14">
        <f t="shared" si="2"/>
        <v>264.18</v>
      </c>
      <c r="I57" s="276">
        <f t="shared" si="8"/>
        <v>13356.8</v>
      </c>
      <c r="J57" s="276">
        <f t="shared" si="9"/>
        <v>10806.480000000003</v>
      </c>
      <c r="K57" s="276">
        <f t="shared" si="10"/>
        <v>84175.039999999994</v>
      </c>
      <c r="L57" s="394">
        <f t="shared" si="3"/>
        <v>3</v>
      </c>
      <c r="M57" s="394">
        <f t="shared" si="5"/>
        <v>37</v>
      </c>
      <c r="N57" s="613">
        <f>INDEX(tblSubjectToLoan[Date],ROW()-ROW(tblContractForDeed[#Headers]))</f>
        <v>46980</v>
      </c>
      <c r="O57" s="276">
        <f>IF(ROW()=ROW(tblContractForDeed[#Headers])+1,$O$6,IF(INDEX(tblContractForDeed[End Bal],ROW()-ROW(tblContractForDeed[#Headers])-1)&lt;0,0,INDEX(tblContractForDeed[End Bal],ROW()-ROW(tblContractForDeed[#Headers])-1)))</f>
        <v>68887.45</v>
      </c>
      <c r="P57" s="454">
        <f>IF(tblContractForDeed[[#This Row],[Date]]="","",IF(tblContractForDeed[[#This Row],[Date]]&lt;cfdRateChangeDate,cfdRate1,cfdRate2))</f>
        <v>7.0000000000000007E-2</v>
      </c>
      <c r="Q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7" s="276">
        <f>IF(tblContractForDeed[[#This Row],[Payment]]=0,0,MAX(0,MIN(tblContractForDeed[[#This Row],[Beg]],tblContractForDeed[[#This Row],[Payment]]-tblContractForDeed[[#This Row],[Int]])))</f>
        <v>274.60000000000008</v>
      </c>
      <c r="S57" s="276">
        <f>IF(OR(tblContractForDeed[[#This Row],[Date]]&lt;cfdContractDate,tblContractForDeed[[#This Row],[Date]]&gt;cfdEndDate),0,ROUND(tblContractForDeed[[#This Row],[Beg]]*(tblContractForDeed[[#This Row],[Int Rate]]/12),2))</f>
        <v>401.84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999.16000000000008</v>
      </c>
      <c r="W57" s="276">
        <f>SUM(INDEX(tblContractForDeed[Princ],1):INDEX(tblContractForDeed[Princ],ROW()-ROW(tblContractForDeed[#Headers])))</f>
        <v>6645.1500000000015</v>
      </c>
      <c r="X57" s="276">
        <f>IF(tblContractForDeed[[#This Row],[Beg]]&lt;=0,0,tblContractForDeed[[#This Row],[Beg]]-tblContractForDeed[[#This Row],[Princ]])</f>
        <v>68612.849999999991</v>
      </c>
      <c r="Y57" s="467">
        <f>IF(INDEX(tblContractForDeed[Payment],ROW()-ROW(tblBuyerOutputs[#Headers]))=0,0,INDEX(tblContractForDeed[Payment],ROW()-ROW(tblBuyerOutputs[#Headers]))-INDEX(tblSubjectToLoan[Payment],ROW()-ROW(tblBuyerOutputs[#Headers])))</f>
        <v>48.560000000000059</v>
      </c>
      <c r="Z5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25</v>
      </c>
      <c r="AA57"/>
      <c r="AB57" s="14">
        <f>IF(INDEX(tblContractForDeed[Payment],ROW()-ROW(tblBuyerOutputs[#Headers]))=0,0,INDEX(tblContractForDeed[Payment],ROW()-ROW(tblBuyerOutputs[#Headers]))-INDEX(tblSubjectToLoan[Payment],ROW()-ROW(tblBuyerOutputs[#Headers])))-IFERROR(tblBuyerOutputs[[#This Row],[PMI]],0)</f>
        <v>48.560000000000059</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1262.5600000000013</v>
      </c>
      <c r="AD57" s="276">
        <f>IF(INDEX(tblContractForDeed[End Bal],ROW()-ROW(tblBuyerOutputs[#Headers]))&lt;=0,0,($O$6+IF(ROW()=ROW(tblBuyerOutputs[#Headers])+1,0,INDEX(tblBuyerOutputs[Cumul Appr],ROW()-ROW(tblBuyerOutputs[#Headers])-1)))*$AK$2/12)</f>
        <v>0</v>
      </c>
      <c r="AE57" s="276">
        <f>IF(INDEX(tblContractForDeed[End Bal],ROW()-ROW(tblBuyerOutputs[#Headers]))&lt;=0,0,IF(ROW()=ROW(tblBuyerOutputs[#Headers])+1,0,INDEX(tblBuyerOutputs[Cumul Appr],ROW()-ROW(tblBuyerOutputs[#Headers])-1))+tblBuyerOutputs[[#This Row],[Monthly Appr]])</f>
        <v>0</v>
      </c>
    </row>
    <row r="58" spans="1:31" x14ac:dyDescent="0.25">
      <c r="A58" s="613">
        <f t="shared" si="6"/>
        <v>47010</v>
      </c>
      <c r="B58" s="276">
        <f t="shared" si="4"/>
        <v>84175.039999999994</v>
      </c>
      <c r="C58" s="14">
        <f t="shared" si="1"/>
        <v>627.88</v>
      </c>
      <c r="D58" s="14">
        <f t="shared" si="7"/>
        <v>364.83</v>
      </c>
      <c r="E58" s="14">
        <f t="shared" si="2"/>
        <v>263.05</v>
      </c>
      <c r="I58" s="276">
        <f t="shared" si="8"/>
        <v>13721.63</v>
      </c>
      <c r="J58" s="276">
        <f t="shared" si="9"/>
        <v>11069.530000000002</v>
      </c>
      <c r="K58" s="276">
        <f t="shared" si="10"/>
        <v>83810.209999999992</v>
      </c>
      <c r="L58" s="394">
        <f t="shared" si="3"/>
        <v>3</v>
      </c>
      <c r="M58" s="394">
        <f t="shared" si="5"/>
        <v>38</v>
      </c>
      <c r="N58" s="613">
        <f>INDEX(tblSubjectToLoan[Date],ROW()-ROW(tblContractForDeed[#Headers]))</f>
        <v>47010</v>
      </c>
      <c r="O58" s="276">
        <f>IF(ROW()=ROW(tblContractForDeed[#Headers])+1,$O$6,IF(INDEX(tblContractForDeed[End Bal],ROW()-ROW(tblContractForDeed[#Headers])-1)&lt;0,0,INDEX(tblContractForDeed[End Bal],ROW()-ROW(tblContractForDeed[#Headers])-1)))</f>
        <v>68612.849999999991</v>
      </c>
      <c r="P58" s="454">
        <f>IF(tblContractForDeed[[#This Row],[Date]]="","",IF(tblContractForDeed[[#This Row],[Date]]&lt;cfdRateChangeDate,cfdRate1,cfdRate2))</f>
        <v>7.0000000000000007E-2</v>
      </c>
      <c r="Q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8" s="276">
        <f>IF(tblContractForDeed[[#This Row],[Payment]]=0,0,MAX(0,MIN(tblContractForDeed[[#This Row],[Beg]],tblContractForDeed[[#This Row],[Payment]]-tblContractForDeed[[#This Row],[Int]])))</f>
        <v>276.20000000000005</v>
      </c>
      <c r="S58" s="276">
        <f>IF(OR(tblContractForDeed[[#This Row],[Date]]&lt;cfdContractDate,tblContractForDeed[[#This Row],[Date]]&gt;cfdEndDate),0,ROUND(tblContractForDeed[[#This Row],[Beg]]*(tblContractForDeed[[#This Row],[Int Rate]]/12),2))</f>
        <v>400.24</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999.16000000000008</v>
      </c>
      <c r="W58" s="276">
        <f>SUM(INDEX(tblContractForDeed[Princ],1):INDEX(tblContractForDeed[Princ],ROW()-ROW(tblContractForDeed[#Headers])))</f>
        <v>6921.3500000000013</v>
      </c>
      <c r="X58" s="276">
        <f>IF(tblContractForDeed[[#This Row],[Beg]]&lt;=0,0,tblContractForDeed[[#This Row],[Beg]]-tblContractForDeed[[#This Row],[Princ]])</f>
        <v>68336.649999999994</v>
      </c>
      <c r="Y58" s="467">
        <f>IF(INDEX(tblContractForDeed[Payment],ROW()-ROW(tblBuyerOutputs[#Headers]))=0,0,INDEX(tblContractForDeed[Payment],ROW()-ROW(tblBuyerOutputs[#Headers]))-INDEX(tblSubjectToLoan[Payment],ROW()-ROW(tblBuyerOutputs[#Headers])))</f>
        <v>48.560000000000059</v>
      </c>
      <c r="Z5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26</v>
      </c>
      <c r="AA58"/>
      <c r="AB58" s="14">
        <f>IF(INDEX(tblContractForDeed[Payment],ROW()-ROW(tblBuyerOutputs[#Headers]))=0,0,INDEX(tblContractForDeed[Payment],ROW()-ROW(tblBuyerOutputs[#Headers]))-INDEX(tblSubjectToLoan[Payment],ROW()-ROW(tblBuyerOutputs[#Headers])))-IFERROR(tblBuyerOutputs[[#This Row],[PMI]],0)</f>
        <v>48.560000000000059</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1311.1200000000013</v>
      </c>
      <c r="AD58" s="276">
        <f>IF(INDEX(tblContractForDeed[End Bal],ROW()-ROW(tblBuyerOutputs[#Headers]))&lt;=0,0,($O$6+IF(ROW()=ROW(tblBuyerOutputs[#Headers])+1,0,INDEX(tblBuyerOutputs[Cumul Appr],ROW()-ROW(tblBuyerOutputs[#Headers])-1)))*$AK$2/12)</f>
        <v>0</v>
      </c>
      <c r="AE58" s="276">
        <f>IF(INDEX(tblContractForDeed[End Bal],ROW()-ROW(tblBuyerOutputs[#Headers]))&lt;=0,0,IF(ROW()=ROW(tblBuyerOutputs[#Headers])+1,0,INDEX(tblBuyerOutputs[Cumul Appr],ROW()-ROW(tblBuyerOutputs[#Headers])-1))+tblBuyerOutputs[[#This Row],[Monthly Appr]])</f>
        <v>0</v>
      </c>
    </row>
    <row r="59" spans="1:31" x14ac:dyDescent="0.25">
      <c r="A59" s="613">
        <f t="shared" si="6"/>
        <v>47040</v>
      </c>
      <c r="B59" s="276">
        <f t="shared" si="4"/>
        <v>83810.209999999992</v>
      </c>
      <c r="C59" s="14">
        <f t="shared" si="1"/>
        <v>627.88</v>
      </c>
      <c r="D59" s="14">
        <f t="shared" si="7"/>
        <v>365.96999999999997</v>
      </c>
      <c r="E59" s="14">
        <f t="shared" si="2"/>
        <v>261.91000000000003</v>
      </c>
      <c r="I59" s="276">
        <f t="shared" si="8"/>
        <v>14087.599999999999</v>
      </c>
      <c r="J59" s="276">
        <f t="shared" si="9"/>
        <v>11331.440000000002</v>
      </c>
      <c r="K59" s="276">
        <f t="shared" si="10"/>
        <v>83444.239999999991</v>
      </c>
      <c r="L59" s="394">
        <f t="shared" si="3"/>
        <v>3</v>
      </c>
      <c r="M59" s="394">
        <f t="shared" si="5"/>
        <v>39</v>
      </c>
      <c r="N59" s="613">
        <f>INDEX(tblSubjectToLoan[Date],ROW()-ROW(tblContractForDeed[#Headers]))</f>
        <v>47040</v>
      </c>
      <c r="O59" s="276">
        <f>IF(ROW()=ROW(tblContractForDeed[#Headers])+1,$O$6,IF(INDEX(tblContractForDeed[End Bal],ROW()-ROW(tblContractForDeed[#Headers])-1)&lt;0,0,INDEX(tblContractForDeed[End Bal],ROW()-ROW(tblContractForDeed[#Headers])-1)))</f>
        <v>68336.649999999994</v>
      </c>
      <c r="P59" s="454">
        <f>IF(tblContractForDeed[[#This Row],[Date]]="","",IF(tblContractForDeed[[#This Row],[Date]]&lt;cfdRateChangeDate,cfdRate1,cfdRate2))</f>
        <v>7.0000000000000007E-2</v>
      </c>
      <c r="Q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9" s="276">
        <f>IF(tblContractForDeed[[#This Row],[Payment]]=0,0,MAX(0,MIN(tblContractForDeed[[#This Row],[Beg]],tblContractForDeed[[#This Row],[Payment]]-tblContractForDeed[[#This Row],[Int]])))</f>
        <v>277.81000000000006</v>
      </c>
      <c r="S59" s="276">
        <f>IF(OR(tblContractForDeed[[#This Row],[Date]]&lt;cfdContractDate,tblContractForDeed[[#This Row],[Date]]&gt;cfdEndDate),0,ROUND(tblContractForDeed[[#This Row],[Beg]]*(tblContractForDeed[[#This Row],[Int Rate]]/12),2))</f>
        <v>398.63</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999.16000000000008</v>
      </c>
      <c r="W59" s="276">
        <f>SUM(INDEX(tblContractForDeed[Princ],1):INDEX(tblContractForDeed[Princ],ROW()-ROW(tblContractForDeed[#Headers])))</f>
        <v>7199.1600000000017</v>
      </c>
      <c r="X59" s="276">
        <f>IF(tblContractForDeed[[#This Row],[Beg]]&lt;=0,0,tblContractForDeed[[#This Row],[Beg]]-tblContractForDeed[[#This Row],[Princ]])</f>
        <v>68058.84</v>
      </c>
      <c r="Y59" s="467">
        <f>IF(INDEX(tblContractForDeed[Payment],ROW()-ROW(tblBuyerOutputs[#Headers]))=0,0,INDEX(tblContractForDeed[Payment],ROW()-ROW(tblBuyerOutputs[#Headers]))-INDEX(tblSubjectToLoan[Payment],ROW()-ROW(tblBuyerOutputs[#Headers])))</f>
        <v>48.560000000000059</v>
      </c>
      <c r="Z5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27</v>
      </c>
      <c r="AA59"/>
      <c r="AB59" s="14">
        <f>IF(INDEX(tblContractForDeed[Payment],ROW()-ROW(tblBuyerOutputs[#Headers]))=0,0,INDEX(tblContractForDeed[Payment],ROW()-ROW(tblBuyerOutputs[#Headers]))-INDEX(tblSubjectToLoan[Payment],ROW()-ROW(tblBuyerOutputs[#Headers])))-IFERROR(tblBuyerOutputs[[#This Row],[PMI]],0)</f>
        <v>48.560000000000059</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1359.6800000000012</v>
      </c>
      <c r="AD59" s="276">
        <f>IF(INDEX(tblContractForDeed[End Bal],ROW()-ROW(tblBuyerOutputs[#Headers]))&lt;=0,0,($O$6+IF(ROW()=ROW(tblBuyerOutputs[#Headers])+1,0,INDEX(tblBuyerOutputs[Cumul Appr],ROW()-ROW(tblBuyerOutputs[#Headers])-1)))*$AK$2/12)</f>
        <v>0</v>
      </c>
      <c r="AE59" s="276">
        <f>IF(INDEX(tblContractForDeed[End Bal],ROW()-ROW(tblBuyerOutputs[#Headers]))&lt;=0,0,IF(ROW()=ROW(tblBuyerOutputs[#Headers])+1,0,INDEX(tblBuyerOutputs[Cumul Appr],ROW()-ROW(tblBuyerOutputs[#Headers])-1))+tblBuyerOutputs[[#This Row],[Monthly Appr]])</f>
        <v>0</v>
      </c>
    </row>
    <row r="60" spans="1:31" x14ac:dyDescent="0.25">
      <c r="A60" s="613">
        <f t="shared" si="6"/>
        <v>47070</v>
      </c>
      <c r="B60" s="276">
        <f t="shared" si="4"/>
        <v>83444.239999999991</v>
      </c>
      <c r="C60" s="14">
        <f t="shared" si="1"/>
        <v>627.88</v>
      </c>
      <c r="D60" s="14">
        <f t="shared" si="7"/>
        <v>367.12</v>
      </c>
      <c r="E60" s="14">
        <f t="shared" si="2"/>
        <v>260.76</v>
      </c>
      <c r="I60" s="276">
        <f t="shared" si="8"/>
        <v>14454.72</v>
      </c>
      <c r="J60" s="276">
        <f t="shared" si="9"/>
        <v>11592.200000000003</v>
      </c>
      <c r="K60" s="276">
        <f t="shared" si="10"/>
        <v>83077.119999999995</v>
      </c>
      <c r="L60" s="394">
        <f t="shared" si="3"/>
        <v>3</v>
      </c>
      <c r="M60" s="394">
        <f t="shared" si="5"/>
        <v>40</v>
      </c>
      <c r="N60" s="613">
        <f>INDEX(tblSubjectToLoan[Date],ROW()-ROW(tblContractForDeed[#Headers]))</f>
        <v>47070</v>
      </c>
      <c r="O60" s="276">
        <f>IF(ROW()=ROW(tblContractForDeed[#Headers])+1,$O$6,IF(INDEX(tblContractForDeed[End Bal],ROW()-ROW(tblContractForDeed[#Headers])-1)&lt;0,0,INDEX(tblContractForDeed[End Bal],ROW()-ROW(tblContractForDeed[#Headers])-1)))</f>
        <v>68058.84</v>
      </c>
      <c r="P60" s="454">
        <f>IF(tblContractForDeed[[#This Row],[Date]]="","",IF(tblContractForDeed[[#This Row],[Date]]&lt;cfdRateChangeDate,cfdRate1,cfdRate2))</f>
        <v>7.0000000000000007E-2</v>
      </c>
      <c r="Q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0" s="276">
        <f>IF(tblContractForDeed[[#This Row],[Payment]]=0,0,MAX(0,MIN(tblContractForDeed[[#This Row],[Beg]],tblContractForDeed[[#This Row],[Payment]]-tblContractForDeed[[#This Row],[Int]])))</f>
        <v>279.43000000000006</v>
      </c>
      <c r="S60" s="276">
        <f>IF(OR(tblContractForDeed[[#This Row],[Date]]&lt;cfdContractDate,tblContractForDeed[[#This Row],[Date]]&gt;cfdEndDate),0,ROUND(tblContractForDeed[[#This Row],[Beg]]*(tblContractForDeed[[#This Row],[Int Rate]]/12),2))</f>
        <v>397.01</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999.16000000000008</v>
      </c>
      <c r="W60" s="276">
        <f>SUM(INDEX(tblContractForDeed[Princ],1):INDEX(tblContractForDeed[Princ],ROW()-ROW(tblContractForDeed[#Headers])))</f>
        <v>7478.590000000002</v>
      </c>
      <c r="X60" s="276">
        <f>IF(tblContractForDeed[[#This Row],[Beg]]&lt;=0,0,tblContractForDeed[[#This Row],[Beg]]-tblContractForDeed[[#This Row],[Princ]])</f>
        <v>67779.41</v>
      </c>
      <c r="Y60" s="467">
        <f>IF(INDEX(tblContractForDeed[Payment],ROW()-ROW(tblBuyerOutputs[#Headers]))=0,0,INDEX(tblContractForDeed[Payment],ROW()-ROW(tblBuyerOutputs[#Headers]))-INDEX(tblSubjectToLoan[Payment],ROW()-ROW(tblBuyerOutputs[#Headers])))</f>
        <v>48.560000000000059</v>
      </c>
      <c r="Z6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28</v>
      </c>
      <c r="AA60"/>
      <c r="AB60" s="14">
        <f>IF(INDEX(tblContractForDeed[Payment],ROW()-ROW(tblBuyerOutputs[#Headers]))=0,0,INDEX(tblContractForDeed[Payment],ROW()-ROW(tblBuyerOutputs[#Headers]))-INDEX(tblSubjectToLoan[Payment],ROW()-ROW(tblBuyerOutputs[#Headers])))-IFERROR(tblBuyerOutputs[[#This Row],[PMI]],0)</f>
        <v>48.560000000000059</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1408.2400000000011</v>
      </c>
      <c r="AD60" s="276">
        <f>IF(INDEX(tblContractForDeed[End Bal],ROW()-ROW(tblBuyerOutputs[#Headers]))&lt;=0,0,($O$6+IF(ROW()=ROW(tblBuyerOutputs[#Headers])+1,0,INDEX(tblBuyerOutputs[Cumul Appr],ROW()-ROW(tblBuyerOutputs[#Headers])-1)))*$AK$2/12)</f>
        <v>0</v>
      </c>
      <c r="AE60" s="276">
        <f>IF(INDEX(tblContractForDeed[End Bal],ROW()-ROW(tblBuyerOutputs[#Headers]))&lt;=0,0,IF(ROW()=ROW(tblBuyerOutputs[#Headers])+1,0,INDEX(tblBuyerOutputs[Cumul Appr],ROW()-ROW(tblBuyerOutputs[#Headers])-1))+tblBuyerOutputs[[#This Row],[Monthly Appr]])</f>
        <v>0</v>
      </c>
    </row>
    <row r="61" spans="1:31" x14ac:dyDescent="0.25">
      <c r="A61" s="613">
        <f t="shared" si="6"/>
        <v>47100</v>
      </c>
      <c r="B61" s="276">
        <f t="shared" si="4"/>
        <v>83077.119999999995</v>
      </c>
      <c r="C61" s="14">
        <f t="shared" si="1"/>
        <v>627.88</v>
      </c>
      <c r="D61" s="14">
        <f t="shared" si="7"/>
        <v>368.26</v>
      </c>
      <c r="E61" s="14">
        <f t="shared" si="2"/>
        <v>259.62</v>
      </c>
      <c r="I61" s="276">
        <f t="shared" si="8"/>
        <v>14822.98</v>
      </c>
      <c r="J61" s="276">
        <f t="shared" si="9"/>
        <v>11851.820000000003</v>
      </c>
      <c r="K61" s="276">
        <f t="shared" si="10"/>
        <v>82708.86</v>
      </c>
      <c r="L61" s="394">
        <f t="shared" si="3"/>
        <v>3</v>
      </c>
      <c r="M61" s="394">
        <f t="shared" si="5"/>
        <v>41</v>
      </c>
      <c r="N61" s="613">
        <f>INDEX(tblSubjectToLoan[Date],ROW()-ROW(tblContractForDeed[#Headers]))</f>
        <v>47100</v>
      </c>
      <c r="O61" s="276">
        <f>IF(ROW()=ROW(tblContractForDeed[#Headers])+1,$O$6,IF(INDEX(tblContractForDeed[End Bal],ROW()-ROW(tblContractForDeed[#Headers])-1)&lt;0,0,INDEX(tblContractForDeed[End Bal],ROW()-ROW(tblContractForDeed[#Headers])-1)))</f>
        <v>67779.41</v>
      </c>
      <c r="P61" s="454">
        <f>IF(tblContractForDeed[[#This Row],[Date]]="","",IF(tblContractForDeed[[#This Row],[Date]]&lt;cfdRateChangeDate,cfdRate1,cfdRate2))</f>
        <v>7.0000000000000007E-2</v>
      </c>
      <c r="Q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1" s="276">
        <f>IF(tblContractForDeed[[#This Row],[Payment]]=0,0,MAX(0,MIN(tblContractForDeed[[#This Row],[Beg]],tblContractForDeed[[#This Row],[Payment]]-tblContractForDeed[[#This Row],[Int]])))</f>
        <v>281.06000000000006</v>
      </c>
      <c r="S61" s="276">
        <f>IF(OR(tblContractForDeed[[#This Row],[Date]]&lt;cfdContractDate,tblContractForDeed[[#This Row],[Date]]&gt;cfdEndDate),0,ROUND(tblContractForDeed[[#This Row],[Beg]]*(tblContractForDeed[[#This Row],[Int Rate]]/12),2))</f>
        <v>395.38</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999.16000000000008</v>
      </c>
      <c r="W61" s="276">
        <f>SUM(INDEX(tblContractForDeed[Princ],1):INDEX(tblContractForDeed[Princ],ROW()-ROW(tblContractForDeed[#Headers])))</f>
        <v>7759.6500000000024</v>
      </c>
      <c r="X61" s="276">
        <f>IF(tblContractForDeed[[#This Row],[Beg]]&lt;=0,0,tblContractForDeed[[#This Row],[Beg]]-tblContractForDeed[[#This Row],[Princ]])</f>
        <v>67498.350000000006</v>
      </c>
      <c r="Y61" s="467">
        <f>IF(INDEX(tblContractForDeed[Payment],ROW()-ROW(tblBuyerOutputs[#Headers]))=0,0,INDEX(tblContractForDeed[Payment],ROW()-ROW(tblBuyerOutputs[#Headers]))-INDEX(tblSubjectToLoan[Payment],ROW()-ROW(tblBuyerOutputs[#Headers])))</f>
        <v>48.560000000000059</v>
      </c>
      <c r="Z6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29</v>
      </c>
      <c r="AA61"/>
      <c r="AB61" s="14">
        <f>IF(INDEX(tblContractForDeed[Payment],ROW()-ROW(tblBuyerOutputs[#Headers]))=0,0,INDEX(tblContractForDeed[Payment],ROW()-ROW(tblBuyerOutputs[#Headers]))-INDEX(tblSubjectToLoan[Payment],ROW()-ROW(tblBuyerOutputs[#Headers])))-IFERROR(tblBuyerOutputs[[#This Row],[PMI]],0)</f>
        <v>48.560000000000059</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1456.8000000000011</v>
      </c>
      <c r="AD61" s="276">
        <f>IF(INDEX(tblContractForDeed[End Bal],ROW()-ROW(tblBuyerOutputs[#Headers]))&lt;=0,0,($O$6+IF(ROW()=ROW(tblBuyerOutputs[#Headers])+1,0,INDEX(tblBuyerOutputs[Cumul Appr],ROW()-ROW(tblBuyerOutputs[#Headers])-1)))*$AK$2/12)</f>
        <v>0</v>
      </c>
      <c r="AE61" s="276">
        <f>IF(INDEX(tblContractForDeed[End Bal],ROW()-ROW(tblBuyerOutputs[#Headers]))&lt;=0,0,IF(ROW()=ROW(tblBuyerOutputs[#Headers])+1,0,INDEX(tblBuyerOutputs[Cumul Appr],ROW()-ROW(tblBuyerOutputs[#Headers])-1))+tblBuyerOutputs[[#This Row],[Monthly Appr]])</f>
        <v>0</v>
      </c>
    </row>
    <row r="62" spans="1:31" x14ac:dyDescent="0.25">
      <c r="A62" s="613">
        <f t="shared" si="6"/>
        <v>47130</v>
      </c>
      <c r="B62" s="276">
        <f t="shared" si="4"/>
        <v>82708.86</v>
      </c>
      <c r="C62" s="14">
        <f t="shared" si="1"/>
        <v>627.88</v>
      </c>
      <c r="D62" s="14">
        <f t="shared" si="7"/>
        <v>369.40999999999997</v>
      </c>
      <c r="E62" s="14">
        <f t="shared" si="2"/>
        <v>258.47000000000003</v>
      </c>
      <c r="F62" s="14">
        <f>IF(C62=0,0,$W$2)</f>
        <v>134.16999999999999</v>
      </c>
      <c r="G62" s="14">
        <f>IF(D62=0,0,$W$3)</f>
        <v>188.55</v>
      </c>
      <c r="H62" s="14">
        <f>SUM(D62:G62)</f>
        <v>950.59999999999991</v>
      </c>
      <c r="I62" s="276">
        <f t="shared" si="8"/>
        <v>15192.39</v>
      </c>
      <c r="J62" s="276">
        <f t="shared" si="9"/>
        <v>12110.290000000003</v>
      </c>
      <c r="K62" s="276">
        <f t="shared" si="10"/>
        <v>82339.45</v>
      </c>
      <c r="L62" s="394">
        <f t="shared" si="3"/>
        <v>3</v>
      </c>
      <c r="M62" s="394">
        <f t="shared" si="5"/>
        <v>42</v>
      </c>
      <c r="N62" s="613">
        <f>INDEX(tblSubjectToLoan[Date],ROW()-ROW(tblContractForDeed[#Headers]))</f>
        <v>47130</v>
      </c>
      <c r="O62" s="276">
        <f>IF(ROW()=ROW(tblContractForDeed[#Headers])+1,$O$6,IF(INDEX(tblContractForDeed[End Bal],ROW()-ROW(tblContractForDeed[#Headers])-1)&lt;0,0,INDEX(tblContractForDeed[End Bal],ROW()-ROW(tblContractForDeed[#Headers])-1)))</f>
        <v>67498.350000000006</v>
      </c>
      <c r="P62" s="454">
        <f>IF(tblContractForDeed[[#This Row],[Date]]="","",IF(tblContractForDeed[[#This Row],[Date]]&lt;cfdRateChangeDate,cfdRate1,cfdRate2))</f>
        <v>7.0000000000000007E-2</v>
      </c>
      <c r="Q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2" s="276">
        <f>IF(tblContractForDeed[[#This Row],[Payment]]=0,0,MAX(0,MIN(tblContractForDeed[[#This Row],[Beg]],tblContractForDeed[[#This Row],[Payment]]-tblContractForDeed[[#This Row],[Int]])))</f>
        <v>282.70000000000005</v>
      </c>
      <c r="S62" s="276">
        <f>IF(OR(tblContractForDeed[[#This Row],[Date]]&lt;cfdContractDate,tblContractForDeed[[#This Row],[Date]]&gt;cfdEndDate),0,ROUND(tblContractForDeed[[#This Row],[Beg]]*(tblContractForDeed[[#This Row],[Int Rate]]/12),2))</f>
        <v>393.74</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999.16000000000008</v>
      </c>
      <c r="W62" s="276">
        <f>SUM(INDEX(tblContractForDeed[Princ],1):INDEX(tblContractForDeed[Princ],ROW()-ROW(tblContractForDeed[#Headers])))</f>
        <v>8042.3500000000022</v>
      </c>
      <c r="X62" s="276">
        <f>IF(tblContractForDeed[[#This Row],[Beg]]&lt;=0,0,tblContractForDeed[[#This Row],[Beg]]-tblContractForDeed[[#This Row],[Princ]])</f>
        <v>67215.650000000009</v>
      </c>
      <c r="Y62" s="467">
        <f>IF(INDEX(tblContractForDeed[Payment],ROW()-ROW(tblBuyerOutputs[#Headers]))=0,0,INDEX(tblContractForDeed[Payment],ROW()-ROW(tblBuyerOutputs[#Headers]))-INDEX(tblSubjectToLoan[Payment],ROW()-ROW(tblBuyerOutputs[#Headers])))</f>
        <v>48.560000000000059</v>
      </c>
      <c r="Z6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30</v>
      </c>
      <c r="AA62"/>
      <c r="AB62" s="14">
        <f>IF(INDEX(tblContractForDeed[Payment],ROW()-ROW(tblBuyerOutputs[#Headers]))=0,0,INDEX(tblContractForDeed[Payment],ROW()-ROW(tblBuyerOutputs[#Headers]))-INDEX(tblSubjectToLoan[Payment],ROW()-ROW(tblBuyerOutputs[#Headers])))-IFERROR(tblBuyerOutputs[[#This Row],[PMI]],0)</f>
        <v>48.560000000000059</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1505.360000000001</v>
      </c>
      <c r="AD62" s="276">
        <f>IF(INDEX(tblContractForDeed[End Bal],ROW()-ROW(tblBuyerOutputs[#Headers]))&lt;=0,0,($O$6+IF(ROW()=ROW(tblBuyerOutputs[#Headers])+1,0,INDEX(tblBuyerOutputs[Cumul Appr],ROW()-ROW(tblBuyerOutputs[#Headers])-1)))*$AK$2/12)</f>
        <v>0</v>
      </c>
      <c r="AE62" s="276">
        <f>IF(INDEX(tblContractForDeed[End Bal],ROW()-ROW(tblBuyerOutputs[#Headers]))&lt;=0,0,IF(ROW()=ROW(tblBuyerOutputs[#Headers])+1,0,INDEX(tblBuyerOutputs[Cumul Appr],ROW()-ROW(tblBuyerOutputs[#Headers])-1))+tblBuyerOutputs[[#This Row],[Monthly Appr]])</f>
        <v>0</v>
      </c>
    </row>
    <row r="63" spans="1:31" x14ac:dyDescent="0.25">
      <c r="A63" s="613">
        <f t="shared" si="6"/>
        <v>47160</v>
      </c>
      <c r="B63" s="276">
        <f t="shared" si="4"/>
        <v>82339.45</v>
      </c>
      <c r="C63" s="14">
        <f t="shared" si="1"/>
        <v>627.88</v>
      </c>
      <c r="D63" s="14">
        <f t="shared" si="7"/>
        <v>370.57</v>
      </c>
      <c r="E63" s="14">
        <f t="shared" si="2"/>
        <v>257.31</v>
      </c>
      <c r="F63" s="14">
        <f t="shared" ref="F63:H78" si="11">+F62</f>
        <v>134.16999999999999</v>
      </c>
      <c r="G63" s="14">
        <f t="shared" si="11"/>
        <v>188.55</v>
      </c>
      <c r="H63" s="14">
        <f t="shared" si="11"/>
        <v>950.59999999999991</v>
      </c>
      <c r="I63" s="276">
        <f t="shared" si="8"/>
        <v>15562.96</v>
      </c>
      <c r="J63" s="276">
        <f t="shared" si="9"/>
        <v>12367.600000000002</v>
      </c>
      <c r="K63" s="276">
        <f t="shared" si="10"/>
        <v>81968.87999999999</v>
      </c>
      <c r="L63" s="394">
        <f t="shared" si="3"/>
        <v>3</v>
      </c>
      <c r="M63" s="394">
        <f t="shared" si="5"/>
        <v>43</v>
      </c>
      <c r="N63" s="613">
        <f>INDEX(tblSubjectToLoan[Date],ROW()-ROW(tblContractForDeed[#Headers]))</f>
        <v>47160</v>
      </c>
      <c r="O63" s="276">
        <f>IF(ROW()=ROW(tblContractForDeed[#Headers])+1,$O$6,IF(INDEX(tblContractForDeed[End Bal],ROW()-ROW(tblContractForDeed[#Headers])-1)&lt;0,0,INDEX(tblContractForDeed[End Bal],ROW()-ROW(tblContractForDeed[#Headers])-1)))</f>
        <v>67215.650000000009</v>
      </c>
      <c r="P63" s="454">
        <f>IF(tblContractForDeed[[#This Row],[Date]]="","",IF(tblContractForDeed[[#This Row],[Date]]&lt;cfdRateChangeDate,cfdRate1,cfdRate2))</f>
        <v>7.0000000000000007E-2</v>
      </c>
      <c r="Q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3" s="276">
        <f>IF(tblContractForDeed[[#This Row],[Payment]]=0,0,MAX(0,MIN(tblContractForDeed[[#This Row],[Beg]],tblContractForDeed[[#This Row],[Payment]]-tblContractForDeed[[#This Row],[Int]])))</f>
        <v>284.35000000000008</v>
      </c>
      <c r="S63" s="276">
        <f>IF(OR(tblContractForDeed[[#This Row],[Date]]&lt;cfdContractDate,tblContractForDeed[[#This Row],[Date]]&gt;cfdEndDate),0,ROUND(tblContractForDeed[[#This Row],[Beg]]*(tblContractForDeed[[#This Row],[Int Rate]]/12),2))</f>
        <v>392.09</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999.16000000000008</v>
      </c>
      <c r="W63" s="276">
        <f>SUM(INDEX(tblContractForDeed[Princ],1):INDEX(tblContractForDeed[Princ],ROW()-ROW(tblContractForDeed[#Headers])))</f>
        <v>8326.7000000000025</v>
      </c>
      <c r="X63" s="276">
        <f>IF(tblContractForDeed[[#This Row],[Beg]]&lt;=0,0,tblContractForDeed[[#This Row],[Beg]]-tblContractForDeed[[#This Row],[Princ]])</f>
        <v>66931.3</v>
      </c>
      <c r="Y63" s="467">
        <f>IF(INDEX(tblContractForDeed[Payment],ROW()-ROW(tblBuyerOutputs[#Headers]))=0,0,INDEX(tblContractForDeed[Payment],ROW()-ROW(tblBuyerOutputs[#Headers]))-INDEX(tblSubjectToLoan[Payment],ROW()-ROW(tblBuyerOutputs[#Headers])))</f>
        <v>48.560000000000059</v>
      </c>
      <c r="Z6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31</v>
      </c>
      <c r="AA63"/>
      <c r="AB63" s="14">
        <f>IF(INDEX(tblContractForDeed[Payment],ROW()-ROW(tblBuyerOutputs[#Headers]))=0,0,INDEX(tblContractForDeed[Payment],ROW()-ROW(tblBuyerOutputs[#Headers]))-INDEX(tblSubjectToLoan[Payment],ROW()-ROW(tblBuyerOutputs[#Headers])))-IFERROR(tblBuyerOutputs[[#This Row],[PMI]],0)</f>
        <v>48.560000000000059</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1553.920000000001</v>
      </c>
      <c r="AD63" s="276">
        <f>IF(INDEX(tblContractForDeed[End Bal],ROW()-ROW(tblBuyerOutputs[#Headers]))&lt;=0,0,($O$6+IF(ROW()=ROW(tblBuyerOutputs[#Headers])+1,0,INDEX(tblBuyerOutputs[Cumul Appr],ROW()-ROW(tblBuyerOutputs[#Headers])-1)))*$AK$2/12)</f>
        <v>0</v>
      </c>
      <c r="AE63" s="276">
        <f>IF(INDEX(tblContractForDeed[End Bal],ROW()-ROW(tblBuyerOutputs[#Headers]))&lt;=0,0,IF(ROW()=ROW(tblBuyerOutputs[#Headers])+1,0,INDEX(tblBuyerOutputs[Cumul Appr],ROW()-ROW(tblBuyerOutputs[#Headers])-1))+tblBuyerOutputs[[#This Row],[Monthly Appr]])</f>
        <v>0</v>
      </c>
    </row>
    <row r="64" spans="1:31" x14ac:dyDescent="0.25">
      <c r="A64" s="613">
        <f t="shared" si="6"/>
        <v>47190</v>
      </c>
      <c r="B64" s="276">
        <f t="shared" si="4"/>
        <v>81968.87999999999</v>
      </c>
      <c r="C64" s="14">
        <f t="shared" si="1"/>
        <v>627.88</v>
      </c>
      <c r="D64" s="14">
        <f t="shared" si="7"/>
        <v>371.73</v>
      </c>
      <c r="E64" s="14">
        <f t="shared" si="2"/>
        <v>256.14999999999998</v>
      </c>
      <c r="F64" s="14">
        <f t="shared" si="11"/>
        <v>134.16999999999999</v>
      </c>
      <c r="G64" s="14">
        <f t="shared" si="11"/>
        <v>188.55</v>
      </c>
      <c r="H64" s="14">
        <f t="shared" ref="H64:H127" si="12">SUM(D64:G64)</f>
        <v>950.59999999999991</v>
      </c>
      <c r="I64" s="276">
        <f t="shared" si="8"/>
        <v>15934.689999999999</v>
      </c>
      <c r="J64" s="276">
        <f t="shared" si="9"/>
        <v>12623.750000000002</v>
      </c>
      <c r="K64" s="276">
        <f t="shared" si="10"/>
        <v>81597.149999999994</v>
      </c>
      <c r="L64" s="394">
        <f t="shared" si="3"/>
        <v>3</v>
      </c>
      <c r="M64" s="394">
        <f t="shared" si="5"/>
        <v>44</v>
      </c>
      <c r="N64" s="613">
        <f>INDEX(tblSubjectToLoan[Date],ROW()-ROW(tblContractForDeed[#Headers]))</f>
        <v>47190</v>
      </c>
      <c r="O64" s="276">
        <f>IF(ROW()=ROW(tblContractForDeed[#Headers])+1,$O$6,IF(INDEX(tblContractForDeed[End Bal],ROW()-ROW(tblContractForDeed[#Headers])-1)&lt;0,0,INDEX(tblContractForDeed[End Bal],ROW()-ROW(tblContractForDeed[#Headers])-1)))</f>
        <v>66931.3</v>
      </c>
      <c r="P64" s="454">
        <f>IF(tblContractForDeed[[#This Row],[Date]]="","",IF(tblContractForDeed[[#This Row],[Date]]&lt;cfdRateChangeDate,cfdRate1,cfdRate2))</f>
        <v>7.0000000000000007E-2</v>
      </c>
      <c r="Q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4" s="276">
        <f>IF(tblContractForDeed[[#This Row],[Payment]]=0,0,MAX(0,MIN(tblContractForDeed[[#This Row],[Beg]],tblContractForDeed[[#This Row],[Payment]]-tblContractForDeed[[#This Row],[Int]])))</f>
        <v>286.01000000000005</v>
      </c>
      <c r="S64" s="276">
        <f>IF(OR(tblContractForDeed[[#This Row],[Date]]&lt;cfdContractDate,tblContractForDeed[[#This Row],[Date]]&gt;cfdEndDate),0,ROUND(tblContractForDeed[[#This Row],[Beg]]*(tblContractForDeed[[#This Row],[Int Rate]]/12),2))</f>
        <v>390.43</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999.16000000000008</v>
      </c>
      <c r="W64" s="276">
        <f>SUM(INDEX(tblContractForDeed[Princ],1):INDEX(tblContractForDeed[Princ],ROW()-ROW(tblContractForDeed[#Headers])))</f>
        <v>8612.7100000000028</v>
      </c>
      <c r="X64" s="276">
        <f>IF(tblContractForDeed[[#This Row],[Beg]]&lt;=0,0,tblContractForDeed[[#This Row],[Beg]]-tblContractForDeed[[#This Row],[Princ]])</f>
        <v>66645.290000000008</v>
      </c>
      <c r="Y64" s="467">
        <f>IF(INDEX(tblContractForDeed[Payment],ROW()-ROW(tblBuyerOutputs[#Headers]))=0,0,INDEX(tblContractForDeed[Payment],ROW()-ROW(tblBuyerOutputs[#Headers]))-INDEX(tblSubjectToLoan[Payment],ROW()-ROW(tblBuyerOutputs[#Headers])))</f>
        <v>48.560000000000059</v>
      </c>
      <c r="Z6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32</v>
      </c>
      <c r="AA64">
        <v>120.14</v>
      </c>
      <c r="AB64" s="14">
        <f>IF(INDEX(tblContractForDeed[Payment],ROW()-ROW(tblBuyerOutputs[#Headers]))=0,0,INDEX(tblContractForDeed[Payment],ROW()-ROW(tblBuyerOutputs[#Headers]))-INDEX(tblSubjectToLoan[Payment],ROW()-ROW(tblBuyerOutputs[#Headers])))-IFERROR(tblBuyerOutputs[[#This Row],[PMI]],0)</f>
        <v>-71.579999999999941</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1482.3400000000011</v>
      </c>
      <c r="AD64" s="276">
        <f>IF(INDEX(tblContractForDeed[End Bal],ROW()-ROW(tblBuyerOutputs[#Headers]))&lt;=0,0,($O$6+IF(ROW()=ROW(tblBuyerOutputs[#Headers])+1,0,INDEX(tblBuyerOutputs[Cumul Appr],ROW()-ROW(tblBuyerOutputs[#Headers])-1)))*$AK$2/12)</f>
        <v>0</v>
      </c>
      <c r="AE64" s="276">
        <f>IF(INDEX(tblContractForDeed[End Bal],ROW()-ROW(tblBuyerOutputs[#Headers]))&lt;=0,0,IF(ROW()=ROW(tblBuyerOutputs[#Headers])+1,0,INDEX(tblBuyerOutputs[Cumul Appr],ROW()-ROW(tblBuyerOutputs[#Headers])-1))+tblBuyerOutputs[[#This Row],[Monthly Appr]])</f>
        <v>0</v>
      </c>
    </row>
    <row r="65" spans="1:31" x14ac:dyDescent="0.25">
      <c r="A65" s="613">
        <f t="shared" si="6"/>
        <v>47220</v>
      </c>
      <c r="B65" s="276">
        <f t="shared" si="4"/>
        <v>81597.149999999994</v>
      </c>
      <c r="C65" s="14">
        <f t="shared" si="1"/>
        <v>627.88</v>
      </c>
      <c r="D65" s="14">
        <f t="shared" si="7"/>
        <v>372.89</v>
      </c>
      <c r="E65" s="14">
        <f t="shared" si="2"/>
        <v>254.99</v>
      </c>
      <c r="F65" s="14">
        <f t="shared" si="11"/>
        <v>134.16999999999999</v>
      </c>
      <c r="G65" s="14">
        <f t="shared" si="11"/>
        <v>188.55</v>
      </c>
      <c r="H65" s="14">
        <f t="shared" si="12"/>
        <v>950.59999999999991</v>
      </c>
      <c r="I65" s="276">
        <f t="shared" si="8"/>
        <v>16307.579999999998</v>
      </c>
      <c r="J65" s="276">
        <f t="shared" si="9"/>
        <v>12878.740000000002</v>
      </c>
      <c r="K65" s="276">
        <f t="shared" si="10"/>
        <v>81224.259999999995</v>
      </c>
      <c r="L65" s="394">
        <f t="shared" si="3"/>
        <v>3</v>
      </c>
      <c r="M65" s="394">
        <f t="shared" si="5"/>
        <v>45</v>
      </c>
      <c r="N65" s="613">
        <f>INDEX(tblSubjectToLoan[Date],ROW()-ROW(tblContractForDeed[#Headers]))</f>
        <v>47220</v>
      </c>
      <c r="O65" s="276">
        <f>IF(ROW()=ROW(tblContractForDeed[#Headers])+1,$O$6,IF(INDEX(tblContractForDeed[End Bal],ROW()-ROW(tblContractForDeed[#Headers])-1)&lt;0,0,INDEX(tblContractForDeed[End Bal],ROW()-ROW(tblContractForDeed[#Headers])-1)))</f>
        <v>66645.290000000008</v>
      </c>
      <c r="P65" s="454">
        <f>IF(tblContractForDeed[[#This Row],[Date]]="","",IF(tblContractForDeed[[#This Row],[Date]]&lt;cfdRateChangeDate,cfdRate1,cfdRate2))</f>
        <v>7.0000000000000007E-2</v>
      </c>
      <c r="Q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5" s="276">
        <f>IF(tblContractForDeed[[#This Row],[Payment]]=0,0,MAX(0,MIN(tblContractForDeed[[#This Row],[Beg]],tblContractForDeed[[#This Row],[Payment]]-tblContractForDeed[[#This Row],[Int]])))</f>
        <v>287.68000000000006</v>
      </c>
      <c r="S65" s="276">
        <f>IF(OR(tblContractForDeed[[#This Row],[Date]]&lt;cfdContractDate,tblContractForDeed[[#This Row],[Date]]&gt;cfdEndDate),0,ROUND(tblContractForDeed[[#This Row],[Beg]]*(tblContractForDeed[[#This Row],[Int Rate]]/12),2))</f>
        <v>388.76</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999.16000000000008</v>
      </c>
      <c r="W65" s="276">
        <f>SUM(INDEX(tblContractForDeed[Princ],1):INDEX(tblContractForDeed[Princ],ROW()-ROW(tblContractForDeed[#Headers])))</f>
        <v>8900.3900000000031</v>
      </c>
      <c r="X65" s="276">
        <f>IF(tblContractForDeed[[#This Row],[Beg]]&lt;=0,0,tblContractForDeed[[#This Row],[Beg]]-tblContractForDeed[[#This Row],[Princ]])</f>
        <v>66357.610000000015</v>
      </c>
      <c r="Y65" s="467">
        <f>IF(INDEX(tblContractForDeed[Payment],ROW()-ROW(tblBuyerOutputs[#Headers]))=0,0,INDEX(tblContractForDeed[Payment],ROW()-ROW(tblBuyerOutputs[#Headers]))-INDEX(tblSubjectToLoan[Payment],ROW()-ROW(tblBuyerOutputs[#Headers])))</f>
        <v>48.560000000000059</v>
      </c>
      <c r="Z6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33</v>
      </c>
      <c r="AA65">
        <v>120.14</v>
      </c>
      <c r="AB65" s="14">
        <f>IF(INDEX(tblContractForDeed[Payment],ROW()-ROW(tblBuyerOutputs[#Headers]))=0,0,INDEX(tblContractForDeed[Payment],ROW()-ROW(tblBuyerOutputs[#Headers]))-INDEX(tblSubjectToLoan[Payment],ROW()-ROW(tblBuyerOutputs[#Headers])))-IFERROR(tblBuyerOutputs[[#This Row],[PMI]],0)</f>
        <v>-71.579999999999941</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1410.7600000000011</v>
      </c>
      <c r="AD65" s="276">
        <f>IF(INDEX(tblContractForDeed[End Bal],ROW()-ROW(tblBuyerOutputs[#Headers]))&lt;=0,0,($O$6+IF(ROW()=ROW(tblBuyerOutputs[#Headers])+1,0,INDEX(tblBuyerOutputs[Cumul Appr],ROW()-ROW(tblBuyerOutputs[#Headers])-1)))*$AK$2/12)</f>
        <v>0</v>
      </c>
      <c r="AE65" s="276">
        <f>IF(INDEX(tblContractForDeed[End Bal],ROW()-ROW(tblBuyerOutputs[#Headers]))&lt;=0,0,IF(ROW()=ROW(tblBuyerOutputs[#Headers])+1,0,INDEX(tblBuyerOutputs[Cumul Appr],ROW()-ROW(tblBuyerOutputs[#Headers])-1))+tblBuyerOutputs[[#This Row],[Monthly Appr]])</f>
        <v>0</v>
      </c>
    </row>
    <row r="66" spans="1:31" x14ac:dyDescent="0.25">
      <c r="A66" s="613">
        <f t="shared" si="6"/>
        <v>47250</v>
      </c>
      <c r="B66" s="276">
        <f t="shared" si="4"/>
        <v>81224.259999999995</v>
      </c>
      <c r="C66" s="14">
        <f t="shared" si="1"/>
        <v>627.88</v>
      </c>
      <c r="D66" s="14">
        <f t="shared" si="7"/>
        <v>374.04999999999995</v>
      </c>
      <c r="E66" s="14">
        <f t="shared" si="2"/>
        <v>253.83</v>
      </c>
      <c r="F66" s="14">
        <f t="shared" si="11"/>
        <v>134.16999999999999</v>
      </c>
      <c r="G66" s="14">
        <f t="shared" si="11"/>
        <v>188.55</v>
      </c>
      <c r="H66" s="14">
        <f t="shared" si="12"/>
        <v>950.59999999999991</v>
      </c>
      <c r="I66" s="276">
        <f t="shared" si="8"/>
        <v>16681.629999999997</v>
      </c>
      <c r="J66" s="276">
        <f t="shared" si="9"/>
        <v>13132.570000000002</v>
      </c>
      <c r="K66" s="276">
        <f t="shared" si="10"/>
        <v>80850.209999999992</v>
      </c>
      <c r="L66" s="394">
        <f t="shared" si="3"/>
        <v>3</v>
      </c>
      <c r="M66" s="394">
        <f t="shared" si="5"/>
        <v>46</v>
      </c>
      <c r="N66" s="613">
        <f>INDEX(tblSubjectToLoan[Date],ROW()-ROW(tblContractForDeed[#Headers]))</f>
        <v>47250</v>
      </c>
      <c r="O66" s="276">
        <f>IF(ROW()=ROW(tblContractForDeed[#Headers])+1,$O$6,IF(INDEX(tblContractForDeed[End Bal],ROW()-ROW(tblContractForDeed[#Headers])-1)&lt;0,0,INDEX(tblContractForDeed[End Bal],ROW()-ROW(tblContractForDeed[#Headers])-1)))</f>
        <v>66357.610000000015</v>
      </c>
      <c r="P66" s="454">
        <f>IF(tblContractForDeed[[#This Row],[Date]]="","",IF(tblContractForDeed[[#This Row],[Date]]&lt;cfdRateChangeDate,cfdRate1,cfdRate2))</f>
        <v>7.0000000000000007E-2</v>
      </c>
      <c r="Q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6" s="276">
        <f>IF(tblContractForDeed[[#This Row],[Payment]]=0,0,MAX(0,MIN(tblContractForDeed[[#This Row],[Beg]],tblContractForDeed[[#This Row],[Payment]]-tblContractForDeed[[#This Row],[Int]])))</f>
        <v>289.35000000000008</v>
      </c>
      <c r="S66" s="276">
        <f>IF(OR(tblContractForDeed[[#This Row],[Date]]&lt;cfdContractDate,tblContractForDeed[[#This Row],[Date]]&gt;cfdEndDate),0,ROUND(tblContractForDeed[[#This Row],[Beg]]*(tblContractForDeed[[#This Row],[Int Rate]]/12),2))</f>
        <v>387.09</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999.16000000000008</v>
      </c>
      <c r="W66" s="276">
        <f>SUM(INDEX(tblContractForDeed[Princ],1):INDEX(tblContractForDeed[Princ],ROW()-ROW(tblContractForDeed[#Headers])))</f>
        <v>9189.7400000000034</v>
      </c>
      <c r="X66" s="276">
        <f>IF(tblContractForDeed[[#This Row],[Beg]]&lt;=0,0,tblContractForDeed[[#This Row],[Beg]]-tblContractForDeed[[#This Row],[Princ]])</f>
        <v>66068.260000000009</v>
      </c>
      <c r="Y66" s="467">
        <f>IF(INDEX(tblContractForDeed[Payment],ROW()-ROW(tblBuyerOutputs[#Headers]))=0,0,INDEX(tblContractForDeed[Payment],ROW()-ROW(tblBuyerOutputs[#Headers]))-INDEX(tblSubjectToLoan[Payment],ROW()-ROW(tblBuyerOutputs[#Headers])))</f>
        <v>48.560000000000059</v>
      </c>
      <c r="Z6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34</v>
      </c>
      <c r="AA66">
        <v>120.14</v>
      </c>
      <c r="AB66" s="14">
        <f>IF(INDEX(tblContractForDeed[Payment],ROW()-ROW(tblBuyerOutputs[#Headers]))=0,0,INDEX(tblContractForDeed[Payment],ROW()-ROW(tblBuyerOutputs[#Headers]))-INDEX(tblSubjectToLoan[Payment],ROW()-ROW(tblBuyerOutputs[#Headers])))-IFERROR(tblBuyerOutputs[[#This Row],[PMI]],0)</f>
        <v>-71.579999999999941</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1339.1800000000012</v>
      </c>
      <c r="AD66" s="276">
        <f>IF(INDEX(tblContractForDeed[End Bal],ROW()-ROW(tblBuyerOutputs[#Headers]))&lt;=0,0,($O$6+IF(ROW()=ROW(tblBuyerOutputs[#Headers])+1,0,INDEX(tblBuyerOutputs[Cumul Appr],ROW()-ROW(tblBuyerOutputs[#Headers])-1)))*$AK$2/12)</f>
        <v>0</v>
      </c>
      <c r="AE66" s="276">
        <f>IF(INDEX(tblContractForDeed[End Bal],ROW()-ROW(tblBuyerOutputs[#Headers]))&lt;=0,0,IF(ROW()=ROW(tblBuyerOutputs[#Headers])+1,0,INDEX(tblBuyerOutputs[Cumul Appr],ROW()-ROW(tblBuyerOutputs[#Headers])-1))+tblBuyerOutputs[[#This Row],[Monthly Appr]])</f>
        <v>0</v>
      </c>
    </row>
    <row r="67" spans="1:31" ht="15.75" thickBot="1" x14ac:dyDescent="0.3">
      <c r="A67" s="615">
        <f t="shared" si="6"/>
        <v>47280</v>
      </c>
      <c r="B67" s="332">
        <f t="shared" si="4"/>
        <v>80850.209999999992</v>
      </c>
      <c r="C67" s="21">
        <f t="shared" si="1"/>
        <v>627.88</v>
      </c>
      <c r="D67" s="21">
        <f t="shared" si="7"/>
        <v>375.22</v>
      </c>
      <c r="E67" s="21">
        <f t="shared" si="2"/>
        <v>252.66</v>
      </c>
      <c r="F67" s="21">
        <f t="shared" si="11"/>
        <v>134.16999999999999</v>
      </c>
      <c r="G67" s="21">
        <f t="shared" si="11"/>
        <v>188.55</v>
      </c>
      <c r="H67" s="21">
        <f t="shared" si="12"/>
        <v>950.59999999999991</v>
      </c>
      <c r="I67" s="332">
        <f t="shared" si="8"/>
        <v>17056.849999999999</v>
      </c>
      <c r="J67" s="332">
        <f t="shared" si="9"/>
        <v>13385.230000000001</v>
      </c>
      <c r="K67" s="332">
        <f t="shared" si="10"/>
        <v>80474.989999999991</v>
      </c>
      <c r="L67" s="395">
        <f t="shared" si="3"/>
        <v>3</v>
      </c>
      <c r="M67" s="395">
        <f t="shared" si="5"/>
        <v>47</v>
      </c>
      <c r="N67" s="615">
        <f>INDEX(tblSubjectToLoan[Date],ROW()-ROW(tblContractForDeed[#Headers]))</f>
        <v>47280</v>
      </c>
      <c r="O67" s="332">
        <f>IF(ROW()=ROW(tblContractForDeed[#Headers])+1,$O$6,IF(INDEX(tblContractForDeed[End Bal],ROW()-ROW(tblContractForDeed[#Headers])-1)&lt;0,0,INDEX(tblContractForDeed[End Bal],ROW()-ROW(tblContractForDeed[#Headers])-1)))</f>
        <v>66068.260000000009</v>
      </c>
      <c r="P67" s="454">
        <f>IF(tblContractForDeed[[#This Row],[Date]]="","",IF(tblContractForDeed[[#This Row],[Date]]&lt;cfdRateChangeDate,cfdRate1,cfdRate2))</f>
        <v>7.0000000000000007E-2</v>
      </c>
      <c r="Q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7" s="332">
        <f>IF(tblContractForDeed[[#This Row],[Payment]]=0,0,MAX(0,MIN(tblContractForDeed[[#This Row],[Beg]],tblContractForDeed[[#This Row],[Payment]]-tblContractForDeed[[#This Row],[Int]])))</f>
        <v>291.04000000000008</v>
      </c>
      <c r="S67" s="332">
        <f>IF(OR(tblContractForDeed[[#This Row],[Date]]&lt;cfdContractDate,tblContractForDeed[[#This Row],[Date]]&gt;cfdEndDate),0,ROUND(tblContractForDeed[[#This Row],[Beg]]*(tblContractForDeed[[#This Row],[Int Rate]]/12),2))</f>
        <v>385.4</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999.16000000000008</v>
      </c>
      <c r="W67" s="332">
        <f>SUM(INDEX(tblContractForDeed[Princ],1):INDEX(tblContractForDeed[Princ],ROW()-ROW(tblContractForDeed[#Headers])))</f>
        <v>9480.7800000000043</v>
      </c>
      <c r="X67" s="332">
        <f>IF(tblContractForDeed[[#This Row],[Beg]]&lt;=0,0,tblContractForDeed[[#This Row],[Beg]]-tblContractForDeed[[#This Row],[Princ]])</f>
        <v>65777.220000000016</v>
      </c>
      <c r="Y67" s="468">
        <f>IF(INDEX(tblContractForDeed[Payment],ROW()-ROW(tblBuyerOutputs[#Headers]))=0,0,INDEX(tblContractForDeed[Payment],ROW()-ROW(tblBuyerOutputs[#Headers]))-INDEX(tblSubjectToLoan[Payment],ROW()-ROW(tblBuyerOutputs[#Headers])))</f>
        <v>48.560000000000059</v>
      </c>
      <c r="Z6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35</v>
      </c>
      <c r="AA67">
        <v>120.14</v>
      </c>
      <c r="AB67" s="21">
        <f>IF(INDEX(tblContractForDeed[Payment],ROW()-ROW(tblBuyerOutputs[#Headers]))=0,0,INDEX(tblContractForDeed[Payment],ROW()-ROW(tblBuyerOutputs[#Headers]))-INDEX(tblSubjectToLoan[Payment],ROW()-ROW(tblBuyerOutputs[#Headers])))-IFERROR(tblBuyerOutputs[[#This Row],[PMI]],0)</f>
        <v>-71.579999999999941</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1267.6000000000013</v>
      </c>
      <c r="AD67" s="332">
        <f>IF(INDEX(tblContractForDeed[End Bal],ROW()-ROW(tblBuyerOutputs[#Headers]))&lt;=0,0,($O$6+IF(ROW()=ROW(tblBuyerOutputs[#Headers])+1,0,INDEX(tblBuyerOutputs[Cumul Appr],ROW()-ROW(tblBuyerOutputs[#Headers])-1)))*$AK$2/12)</f>
        <v>0</v>
      </c>
      <c r="AE67" s="332">
        <f>IF(INDEX(tblContractForDeed[End Bal],ROW()-ROW(tblBuyerOutputs[#Headers]))&lt;=0,0,IF(ROW()=ROW(tblBuyerOutputs[#Headers])+1,0,INDEX(tblBuyerOutputs[Cumul Appr],ROW()-ROW(tblBuyerOutputs[#Headers])-1))+tblBuyerOutputs[[#This Row],[Monthly Appr]])</f>
        <v>0</v>
      </c>
    </row>
    <row r="68" spans="1:31" x14ac:dyDescent="0.25">
      <c r="A68" s="613">
        <f t="shared" si="6"/>
        <v>47310</v>
      </c>
      <c r="B68" s="276">
        <f t="shared" si="4"/>
        <v>80474.989999999991</v>
      </c>
      <c r="C68" s="14">
        <f t="shared" si="1"/>
        <v>627.88</v>
      </c>
      <c r="D68" s="14">
        <f t="shared" si="7"/>
        <v>376.4</v>
      </c>
      <c r="E68" s="14">
        <f t="shared" si="2"/>
        <v>251.48</v>
      </c>
      <c r="F68" s="14">
        <f t="shared" si="11"/>
        <v>134.16999999999999</v>
      </c>
      <c r="G68" s="14">
        <f t="shared" si="11"/>
        <v>188.55</v>
      </c>
      <c r="H68" s="14">
        <f t="shared" si="12"/>
        <v>950.59999999999991</v>
      </c>
      <c r="I68" s="276">
        <f t="shared" si="8"/>
        <v>17433.25</v>
      </c>
      <c r="J68" s="276">
        <f t="shared" si="9"/>
        <v>13636.710000000001</v>
      </c>
      <c r="K68" s="276">
        <f t="shared" si="10"/>
        <v>80098.59</v>
      </c>
      <c r="L68" s="394">
        <f t="shared" si="3"/>
        <v>4</v>
      </c>
      <c r="M68" s="394">
        <f t="shared" si="5"/>
        <v>48</v>
      </c>
      <c r="N68" s="613">
        <f>INDEX(tblSubjectToLoan[Date],ROW()-ROW(tblContractForDeed[#Headers]))</f>
        <v>47310</v>
      </c>
      <c r="O68" s="276">
        <f>IF(ROW()=ROW(tblContractForDeed[#Headers])+1,$O$6,IF(INDEX(tblContractForDeed[End Bal],ROW()-ROW(tblContractForDeed[#Headers])-1)&lt;0,0,INDEX(tblContractForDeed[End Bal],ROW()-ROW(tblContractForDeed[#Headers])-1)))</f>
        <v>65777.220000000016</v>
      </c>
      <c r="P68" s="454">
        <f>IF(tblContractForDeed[[#This Row],[Date]]="","",IF(tblContractForDeed[[#This Row],[Date]]&lt;cfdRateChangeDate,cfdRate1,cfdRate2))</f>
        <v>7.0000000000000007E-2</v>
      </c>
      <c r="Q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8" s="276">
        <f>IF(tblContractForDeed[[#This Row],[Payment]]=0,0,MAX(0,MIN(tblContractForDeed[[#This Row],[Beg]],tblContractForDeed[[#This Row],[Payment]]-tblContractForDeed[[#This Row],[Int]])))</f>
        <v>292.74000000000007</v>
      </c>
      <c r="S68" s="276">
        <f>IF(OR(tblContractForDeed[[#This Row],[Date]]&lt;cfdContractDate,tblContractForDeed[[#This Row],[Date]]&gt;cfdEndDate),0,ROUND(tblContractForDeed[[#This Row],[Beg]]*(tblContractForDeed[[#This Row],[Int Rate]]/12),2))</f>
        <v>383.7</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999.16000000000008</v>
      </c>
      <c r="W68" s="276">
        <f>SUM(INDEX(tblContractForDeed[Princ],1):INDEX(tblContractForDeed[Princ],ROW()-ROW(tblContractForDeed[#Headers])))</f>
        <v>9773.5200000000041</v>
      </c>
      <c r="X68" s="276">
        <f>IF(tblContractForDeed[[#This Row],[Beg]]&lt;=0,0,tblContractForDeed[[#This Row],[Beg]]-tblContractForDeed[[#This Row],[Princ]])</f>
        <v>65484.480000000018</v>
      </c>
      <c r="Y68" s="467">
        <f>IF(INDEX(tblContractForDeed[Payment],ROW()-ROW(tblBuyerOutputs[#Headers]))=0,0,INDEX(tblContractForDeed[Payment],ROW()-ROW(tblBuyerOutputs[#Headers]))-INDEX(tblSubjectToLoan[Payment],ROW()-ROW(tblBuyerOutputs[#Headers])))</f>
        <v>48.560000000000059</v>
      </c>
      <c r="Z6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36</v>
      </c>
      <c r="AA68"/>
      <c r="AB68" s="14">
        <f>IF(INDEX(tblContractForDeed[Payment],ROW()-ROW(tblBuyerOutputs[#Headers]))=0,0,INDEX(tblContractForDeed[Payment],ROW()-ROW(tblBuyerOutputs[#Headers]))-INDEX(tblSubjectToLoan[Payment],ROW()-ROW(tblBuyerOutputs[#Headers])))-IFERROR(tblBuyerOutputs[[#This Row],[PMI]],0)</f>
        <v>48.560000000000059</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1316.1600000000012</v>
      </c>
      <c r="AD68" s="276">
        <f>IF(INDEX(tblContractForDeed[End Bal],ROW()-ROW(tblBuyerOutputs[#Headers]))&lt;=0,0,($O$6+IF(ROW()=ROW(tblBuyerOutputs[#Headers])+1,0,INDEX(tblBuyerOutputs[Cumul Appr],ROW()-ROW(tblBuyerOutputs[#Headers])-1)))*$AK$2/12)</f>
        <v>0</v>
      </c>
      <c r="AE68" s="276">
        <f>IF(INDEX(tblContractForDeed[End Bal],ROW()-ROW(tblBuyerOutputs[#Headers]))&lt;=0,0,IF(ROW()=ROW(tblBuyerOutputs[#Headers])+1,0,INDEX(tblBuyerOutputs[Cumul Appr],ROW()-ROW(tblBuyerOutputs[#Headers])-1))+tblBuyerOutputs[[#This Row],[Monthly Appr]])</f>
        <v>0</v>
      </c>
    </row>
    <row r="69" spans="1:31" x14ac:dyDescent="0.25">
      <c r="A69" s="613">
        <f t="shared" si="6"/>
        <v>47340</v>
      </c>
      <c r="B69" s="276">
        <f t="shared" si="4"/>
        <v>80098.59</v>
      </c>
      <c r="C69" s="14">
        <f t="shared" si="1"/>
        <v>627.88</v>
      </c>
      <c r="D69" s="14">
        <f t="shared" si="7"/>
        <v>377.57</v>
      </c>
      <c r="E69" s="14">
        <f t="shared" si="2"/>
        <v>250.31</v>
      </c>
      <c r="F69" s="14">
        <f t="shared" si="11"/>
        <v>134.16999999999999</v>
      </c>
      <c r="G69" s="14">
        <f t="shared" si="11"/>
        <v>188.55</v>
      </c>
      <c r="H69" s="14">
        <f t="shared" si="12"/>
        <v>950.59999999999991</v>
      </c>
      <c r="I69" s="276">
        <f t="shared" si="8"/>
        <v>17810.82</v>
      </c>
      <c r="J69" s="276">
        <f t="shared" si="9"/>
        <v>13887.02</v>
      </c>
      <c r="K69" s="276">
        <f t="shared" si="10"/>
        <v>79721.01999999999</v>
      </c>
      <c r="L69" s="394">
        <f t="shared" si="3"/>
        <v>4</v>
      </c>
      <c r="M69" s="394">
        <f t="shared" si="5"/>
        <v>49</v>
      </c>
      <c r="N69" s="613">
        <f>INDEX(tblSubjectToLoan[Date],ROW()-ROW(tblContractForDeed[#Headers]))</f>
        <v>47340</v>
      </c>
      <c r="O69" s="276">
        <f>IF(ROW()=ROW(tblContractForDeed[#Headers])+1,$O$6,IF(INDEX(tblContractForDeed[End Bal],ROW()-ROW(tblContractForDeed[#Headers])-1)&lt;0,0,INDEX(tblContractForDeed[End Bal],ROW()-ROW(tblContractForDeed[#Headers])-1)))</f>
        <v>65484.480000000018</v>
      </c>
      <c r="P69" s="454">
        <f>IF(tblContractForDeed[[#This Row],[Date]]="","",IF(tblContractForDeed[[#This Row],[Date]]&lt;cfdRateChangeDate,cfdRate1,cfdRate2))</f>
        <v>7.0000000000000007E-2</v>
      </c>
      <c r="Q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9" s="276">
        <f>IF(tblContractForDeed[[#This Row],[Payment]]=0,0,MAX(0,MIN(tblContractForDeed[[#This Row],[Beg]],tblContractForDeed[[#This Row],[Payment]]-tblContractForDeed[[#This Row],[Int]])))</f>
        <v>294.45000000000005</v>
      </c>
      <c r="S69" s="276">
        <f>IF(OR(tblContractForDeed[[#This Row],[Date]]&lt;cfdContractDate,tblContractForDeed[[#This Row],[Date]]&gt;cfdEndDate),0,ROUND(tblContractForDeed[[#This Row],[Beg]]*(tblContractForDeed[[#This Row],[Int Rate]]/12),2))</f>
        <v>381.99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999.16000000000008</v>
      </c>
      <c r="W69" s="276">
        <f>SUM(INDEX(tblContractForDeed[Princ],1):INDEX(tblContractForDeed[Princ],ROW()-ROW(tblContractForDeed[#Headers])))</f>
        <v>10067.970000000005</v>
      </c>
      <c r="X69" s="276">
        <f>IF(tblContractForDeed[[#This Row],[Beg]]&lt;=0,0,tblContractForDeed[[#This Row],[Beg]]-tblContractForDeed[[#This Row],[Princ]])</f>
        <v>65190.030000000021</v>
      </c>
      <c r="Y69" s="467">
        <f>IF(INDEX(tblContractForDeed[Payment],ROW()-ROW(tblBuyerOutputs[#Headers]))=0,0,INDEX(tblContractForDeed[Payment],ROW()-ROW(tblBuyerOutputs[#Headers]))-INDEX(tblSubjectToLoan[Payment],ROW()-ROW(tblBuyerOutputs[#Headers])))</f>
        <v>48.560000000000059</v>
      </c>
      <c r="Z6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37</v>
      </c>
      <c r="AA69"/>
      <c r="AB69" s="14">
        <f>IF(INDEX(tblContractForDeed[Payment],ROW()-ROW(tblBuyerOutputs[#Headers]))=0,0,INDEX(tblContractForDeed[Payment],ROW()-ROW(tblBuyerOutputs[#Headers]))-INDEX(tblSubjectToLoan[Payment],ROW()-ROW(tblBuyerOutputs[#Headers])))-IFERROR(tblBuyerOutputs[[#This Row],[PMI]],0)</f>
        <v>48.560000000000059</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1364.7200000000012</v>
      </c>
      <c r="AD69" s="276">
        <f>IF(INDEX(tblContractForDeed[End Bal],ROW()-ROW(tblBuyerOutputs[#Headers]))&lt;=0,0,($O$6+IF(ROW()=ROW(tblBuyerOutputs[#Headers])+1,0,INDEX(tblBuyerOutputs[Cumul Appr],ROW()-ROW(tblBuyerOutputs[#Headers])-1)))*$AK$2/12)</f>
        <v>0</v>
      </c>
      <c r="AE69" s="276">
        <f>IF(INDEX(tblContractForDeed[End Bal],ROW()-ROW(tblBuyerOutputs[#Headers]))&lt;=0,0,IF(ROW()=ROW(tblBuyerOutputs[#Headers])+1,0,INDEX(tblBuyerOutputs[Cumul Appr],ROW()-ROW(tblBuyerOutputs[#Headers])-1))+tblBuyerOutputs[[#This Row],[Monthly Appr]])</f>
        <v>0</v>
      </c>
    </row>
    <row r="70" spans="1:31" x14ac:dyDescent="0.25">
      <c r="A70" s="613">
        <f t="shared" si="6"/>
        <v>47370</v>
      </c>
      <c r="B70" s="276">
        <f t="shared" si="4"/>
        <v>79721.01999999999</v>
      </c>
      <c r="C70" s="14">
        <f t="shared" si="1"/>
        <v>627.88</v>
      </c>
      <c r="D70" s="14">
        <f t="shared" si="7"/>
        <v>378.75</v>
      </c>
      <c r="E70" s="14">
        <f t="shared" si="2"/>
        <v>249.13</v>
      </c>
      <c r="F70" s="14">
        <f t="shared" si="11"/>
        <v>134.16999999999999</v>
      </c>
      <c r="G70" s="14">
        <f t="shared" si="11"/>
        <v>188.55</v>
      </c>
      <c r="H70" s="14">
        <f t="shared" si="12"/>
        <v>950.59999999999991</v>
      </c>
      <c r="I70" s="276">
        <f t="shared" si="8"/>
        <v>18189.57</v>
      </c>
      <c r="J70" s="276">
        <f t="shared" si="9"/>
        <v>14136.15</v>
      </c>
      <c r="K70" s="276">
        <f t="shared" si="10"/>
        <v>79342.26999999999</v>
      </c>
      <c r="L70" s="394">
        <f t="shared" si="3"/>
        <v>4</v>
      </c>
      <c r="M70" s="394">
        <f t="shared" si="5"/>
        <v>50</v>
      </c>
      <c r="N70" s="613">
        <f>INDEX(tblSubjectToLoan[Date],ROW()-ROW(tblContractForDeed[#Headers]))</f>
        <v>47370</v>
      </c>
      <c r="O70" s="276">
        <f>IF(ROW()=ROW(tblContractForDeed[#Headers])+1,$O$6,IF(INDEX(tblContractForDeed[End Bal],ROW()-ROW(tblContractForDeed[#Headers])-1)&lt;0,0,INDEX(tblContractForDeed[End Bal],ROW()-ROW(tblContractForDeed[#Headers])-1)))</f>
        <v>65190.030000000021</v>
      </c>
      <c r="P70" s="454">
        <f>IF(tblContractForDeed[[#This Row],[Date]]="","",IF(tblContractForDeed[[#This Row],[Date]]&lt;cfdRateChangeDate,cfdRate1,cfdRate2))</f>
        <v>7.0000000000000007E-2</v>
      </c>
      <c r="Q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0" s="276">
        <f>IF(tblContractForDeed[[#This Row],[Payment]]=0,0,MAX(0,MIN(tblContractForDeed[[#This Row],[Beg]],tblContractForDeed[[#This Row],[Payment]]-tblContractForDeed[[#This Row],[Int]])))</f>
        <v>296.16000000000008</v>
      </c>
      <c r="S70" s="276">
        <f>IF(OR(tblContractForDeed[[#This Row],[Date]]&lt;cfdContractDate,tblContractForDeed[[#This Row],[Date]]&gt;cfdEndDate),0,ROUND(tblContractForDeed[[#This Row],[Beg]]*(tblContractForDeed[[#This Row],[Int Rate]]/12),2))</f>
        <v>380.28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999.16000000000008</v>
      </c>
      <c r="W70" s="276">
        <f>SUM(INDEX(tblContractForDeed[Princ],1):INDEX(tblContractForDeed[Princ],ROW()-ROW(tblContractForDeed[#Headers])))</f>
        <v>10364.130000000005</v>
      </c>
      <c r="X70" s="276">
        <f>IF(tblContractForDeed[[#This Row],[Beg]]&lt;=0,0,tblContractForDeed[[#This Row],[Beg]]-tblContractForDeed[[#This Row],[Princ]])</f>
        <v>64893.870000000017</v>
      </c>
      <c r="Y70" s="467">
        <f>IF(INDEX(tblContractForDeed[Payment],ROW()-ROW(tblBuyerOutputs[#Headers]))=0,0,INDEX(tblContractForDeed[Payment],ROW()-ROW(tblBuyerOutputs[#Headers]))-INDEX(tblSubjectToLoan[Payment],ROW()-ROW(tblBuyerOutputs[#Headers])))</f>
        <v>48.560000000000059</v>
      </c>
      <c r="Z7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38</v>
      </c>
      <c r="AA70"/>
      <c r="AB70" s="14">
        <f>IF(INDEX(tblContractForDeed[Payment],ROW()-ROW(tblBuyerOutputs[#Headers]))=0,0,INDEX(tblContractForDeed[Payment],ROW()-ROW(tblBuyerOutputs[#Headers]))-INDEX(tblSubjectToLoan[Payment],ROW()-ROW(tblBuyerOutputs[#Headers])))-IFERROR(tblBuyerOutputs[[#This Row],[PMI]],0)</f>
        <v>48.560000000000059</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1413.2800000000011</v>
      </c>
      <c r="AD70" s="276">
        <f>IF(INDEX(tblContractForDeed[End Bal],ROW()-ROW(tblBuyerOutputs[#Headers]))&lt;=0,0,($O$6+IF(ROW()=ROW(tblBuyerOutputs[#Headers])+1,0,INDEX(tblBuyerOutputs[Cumul Appr],ROW()-ROW(tblBuyerOutputs[#Headers])-1)))*$AK$2/12)</f>
        <v>0</v>
      </c>
      <c r="AE70" s="276">
        <f>IF(INDEX(tblContractForDeed[End Bal],ROW()-ROW(tblBuyerOutputs[#Headers]))&lt;=0,0,IF(ROW()=ROW(tblBuyerOutputs[#Headers])+1,0,INDEX(tblBuyerOutputs[Cumul Appr],ROW()-ROW(tblBuyerOutputs[#Headers])-1))+tblBuyerOutputs[[#This Row],[Monthly Appr]])</f>
        <v>0</v>
      </c>
    </row>
    <row r="71" spans="1:31" x14ac:dyDescent="0.25">
      <c r="A71" s="613">
        <f t="shared" si="6"/>
        <v>47400</v>
      </c>
      <c r="B71" s="276">
        <f t="shared" si="4"/>
        <v>79342.26999999999</v>
      </c>
      <c r="C71" s="14">
        <f t="shared" si="1"/>
        <v>627.88</v>
      </c>
      <c r="D71" s="14">
        <f t="shared" si="7"/>
        <v>379.94</v>
      </c>
      <c r="E71" s="14">
        <f t="shared" si="2"/>
        <v>247.94</v>
      </c>
      <c r="F71" s="14">
        <f t="shared" si="11"/>
        <v>134.16999999999999</v>
      </c>
      <c r="G71" s="14">
        <f t="shared" si="11"/>
        <v>188.55</v>
      </c>
      <c r="H71" s="14">
        <f t="shared" si="12"/>
        <v>950.59999999999991</v>
      </c>
      <c r="I71" s="276">
        <f t="shared" si="8"/>
        <v>18569.509999999998</v>
      </c>
      <c r="J71" s="276">
        <f t="shared" si="9"/>
        <v>14384.09</v>
      </c>
      <c r="K71" s="276">
        <f t="shared" si="10"/>
        <v>78962.329999999987</v>
      </c>
      <c r="L71" s="394">
        <f t="shared" si="3"/>
        <v>4</v>
      </c>
      <c r="M71" s="394">
        <f t="shared" si="5"/>
        <v>51</v>
      </c>
      <c r="N71" s="613">
        <f>INDEX(tblSubjectToLoan[Date],ROW()-ROW(tblContractForDeed[#Headers]))</f>
        <v>47400</v>
      </c>
      <c r="O71" s="276">
        <f>IF(ROW()=ROW(tblContractForDeed[#Headers])+1,$O$6,IF(INDEX(tblContractForDeed[End Bal],ROW()-ROW(tblContractForDeed[#Headers])-1)&lt;0,0,INDEX(tblContractForDeed[End Bal],ROW()-ROW(tblContractForDeed[#Headers])-1)))</f>
        <v>64893.870000000017</v>
      </c>
      <c r="P71" s="454">
        <f>IF(tblContractForDeed[[#This Row],[Date]]="","",IF(tblContractForDeed[[#This Row],[Date]]&lt;cfdRateChangeDate,cfdRate1,cfdRate2))</f>
        <v>7.0000000000000007E-2</v>
      </c>
      <c r="Q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1" s="276">
        <f>IF(tblContractForDeed[[#This Row],[Payment]]=0,0,MAX(0,MIN(tblContractForDeed[[#This Row],[Beg]],tblContractForDeed[[#This Row],[Payment]]-tblContractForDeed[[#This Row],[Int]])))</f>
        <v>297.89000000000004</v>
      </c>
      <c r="S71" s="276">
        <f>IF(OR(tblContractForDeed[[#This Row],[Date]]&lt;cfdContractDate,tblContractForDeed[[#This Row],[Date]]&gt;cfdEndDate),0,ROUND(tblContractForDeed[[#This Row],[Beg]]*(tblContractForDeed[[#This Row],[Int Rate]]/12),2))</f>
        <v>378.55</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999.16000000000008</v>
      </c>
      <c r="W71" s="276">
        <f>SUM(INDEX(tblContractForDeed[Princ],1):INDEX(tblContractForDeed[Princ],ROW()-ROW(tblContractForDeed[#Headers])))</f>
        <v>10662.020000000004</v>
      </c>
      <c r="X71" s="276">
        <f>IF(tblContractForDeed[[#This Row],[Beg]]&lt;=0,0,tblContractForDeed[[#This Row],[Beg]]-tblContractForDeed[[#This Row],[Princ]])</f>
        <v>64595.980000000018</v>
      </c>
      <c r="Y71" s="467">
        <f>IF(INDEX(tblContractForDeed[Payment],ROW()-ROW(tblBuyerOutputs[#Headers]))=0,0,INDEX(tblContractForDeed[Payment],ROW()-ROW(tblBuyerOutputs[#Headers]))-INDEX(tblSubjectToLoan[Payment],ROW()-ROW(tblBuyerOutputs[#Headers])))</f>
        <v>48.560000000000059</v>
      </c>
      <c r="Z7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39</v>
      </c>
      <c r="AA71"/>
      <c r="AB71" s="14">
        <f>IF(INDEX(tblContractForDeed[Payment],ROW()-ROW(tblBuyerOutputs[#Headers]))=0,0,INDEX(tblContractForDeed[Payment],ROW()-ROW(tblBuyerOutputs[#Headers]))-INDEX(tblSubjectToLoan[Payment],ROW()-ROW(tblBuyerOutputs[#Headers])))-IFERROR(tblBuyerOutputs[[#This Row],[PMI]],0)</f>
        <v>48.560000000000059</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1461.8400000000011</v>
      </c>
      <c r="AD71" s="276">
        <f>IF(INDEX(tblContractForDeed[End Bal],ROW()-ROW(tblBuyerOutputs[#Headers]))&lt;=0,0,($O$6+IF(ROW()=ROW(tblBuyerOutputs[#Headers])+1,0,INDEX(tblBuyerOutputs[Cumul Appr],ROW()-ROW(tblBuyerOutputs[#Headers])-1)))*$AK$2/12)</f>
        <v>0</v>
      </c>
      <c r="AE71" s="276">
        <f>IF(INDEX(tblContractForDeed[End Bal],ROW()-ROW(tblBuyerOutputs[#Headers]))&lt;=0,0,IF(ROW()=ROW(tblBuyerOutputs[#Headers])+1,0,INDEX(tblBuyerOutputs[Cumul Appr],ROW()-ROW(tblBuyerOutputs[#Headers])-1))+tblBuyerOutputs[[#This Row],[Monthly Appr]])</f>
        <v>0</v>
      </c>
    </row>
    <row r="72" spans="1:31" x14ac:dyDescent="0.25">
      <c r="A72" s="613">
        <f t="shared" si="6"/>
        <v>47430</v>
      </c>
      <c r="B72" s="276">
        <f t="shared" si="4"/>
        <v>78962.329999999987</v>
      </c>
      <c r="C72" s="14">
        <f t="shared" si="1"/>
        <v>627.88</v>
      </c>
      <c r="D72" s="14">
        <f t="shared" si="7"/>
        <v>381.12</v>
      </c>
      <c r="E72" s="14">
        <f t="shared" si="2"/>
        <v>246.76</v>
      </c>
      <c r="F72" s="14">
        <f t="shared" si="11"/>
        <v>134.16999999999999</v>
      </c>
      <c r="G72" s="14">
        <f t="shared" si="11"/>
        <v>188.55</v>
      </c>
      <c r="H72" s="14">
        <f t="shared" si="12"/>
        <v>950.59999999999991</v>
      </c>
      <c r="I72" s="276">
        <f t="shared" si="8"/>
        <v>18950.629999999997</v>
      </c>
      <c r="J72" s="276">
        <f t="shared" si="9"/>
        <v>14630.85</v>
      </c>
      <c r="K72" s="276">
        <f t="shared" si="10"/>
        <v>78581.209999999992</v>
      </c>
      <c r="L72" s="394">
        <f t="shared" si="3"/>
        <v>4</v>
      </c>
      <c r="M72" s="394">
        <f t="shared" si="5"/>
        <v>52</v>
      </c>
      <c r="N72" s="613">
        <f>INDEX(tblSubjectToLoan[Date],ROW()-ROW(tblContractForDeed[#Headers]))</f>
        <v>47430</v>
      </c>
      <c r="O72" s="276">
        <f>IF(ROW()=ROW(tblContractForDeed[#Headers])+1,$O$6,IF(INDEX(tblContractForDeed[End Bal],ROW()-ROW(tblContractForDeed[#Headers])-1)&lt;0,0,INDEX(tblContractForDeed[End Bal],ROW()-ROW(tblContractForDeed[#Headers])-1)))</f>
        <v>64595.980000000018</v>
      </c>
      <c r="P72" s="454">
        <f>IF(tblContractForDeed[[#This Row],[Date]]="","",IF(tblContractForDeed[[#This Row],[Date]]&lt;cfdRateChangeDate,cfdRate1,cfdRate2))</f>
        <v>7.0000000000000007E-2</v>
      </c>
      <c r="Q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2" s="276">
        <f>IF(tblContractForDeed[[#This Row],[Payment]]=0,0,MAX(0,MIN(tblContractForDeed[[#This Row],[Beg]],tblContractForDeed[[#This Row],[Payment]]-tblContractForDeed[[#This Row],[Int]])))</f>
        <v>299.63000000000005</v>
      </c>
      <c r="S72" s="276">
        <f>IF(OR(tblContractForDeed[[#This Row],[Date]]&lt;cfdContractDate,tblContractForDeed[[#This Row],[Date]]&gt;cfdEndDate),0,ROUND(tblContractForDeed[[#This Row],[Beg]]*(tblContractForDeed[[#This Row],[Int Rate]]/12),2))</f>
        <v>376.81</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999.16000000000008</v>
      </c>
      <c r="W72" s="276">
        <f>SUM(INDEX(tblContractForDeed[Princ],1):INDEX(tblContractForDeed[Princ],ROW()-ROW(tblContractForDeed[#Headers])))</f>
        <v>10961.650000000003</v>
      </c>
      <c r="X72" s="276">
        <f>IF(tblContractForDeed[[#This Row],[Beg]]&lt;=0,0,tblContractForDeed[[#This Row],[Beg]]-tblContractForDeed[[#This Row],[Princ]])</f>
        <v>64296.35000000002</v>
      </c>
      <c r="Y72" s="467">
        <f>IF(INDEX(tblContractForDeed[Payment],ROW()-ROW(tblBuyerOutputs[#Headers]))=0,0,INDEX(tblContractForDeed[Payment],ROW()-ROW(tblBuyerOutputs[#Headers]))-INDEX(tblSubjectToLoan[Payment],ROW()-ROW(tblBuyerOutputs[#Headers])))</f>
        <v>48.560000000000059</v>
      </c>
      <c r="Z7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40</v>
      </c>
      <c r="AA72"/>
      <c r="AB72" s="14">
        <f>IF(INDEX(tblContractForDeed[Payment],ROW()-ROW(tblBuyerOutputs[#Headers]))=0,0,INDEX(tblContractForDeed[Payment],ROW()-ROW(tblBuyerOutputs[#Headers]))-INDEX(tblSubjectToLoan[Payment],ROW()-ROW(tblBuyerOutputs[#Headers])))-IFERROR(tblBuyerOutputs[[#This Row],[PMI]],0)</f>
        <v>48.560000000000059</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1510.400000000001</v>
      </c>
      <c r="AD72" s="276">
        <f>IF(INDEX(tblContractForDeed[End Bal],ROW()-ROW(tblBuyerOutputs[#Headers]))&lt;=0,0,($O$6+IF(ROW()=ROW(tblBuyerOutputs[#Headers])+1,0,INDEX(tblBuyerOutputs[Cumul Appr],ROW()-ROW(tblBuyerOutputs[#Headers])-1)))*$AK$2/12)</f>
        <v>0</v>
      </c>
      <c r="AE72" s="276">
        <f>IF(INDEX(tblContractForDeed[End Bal],ROW()-ROW(tblBuyerOutputs[#Headers]))&lt;=0,0,IF(ROW()=ROW(tblBuyerOutputs[#Headers])+1,0,INDEX(tblBuyerOutputs[Cumul Appr],ROW()-ROW(tblBuyerOutputs[#Headers])-1))+tblBuyerOutputs[[#This Row],[Monthly Appr]])</f>
        <v>0</v>
      </c>
    </row>
    <row r="73" spans="1:31" x14ac:dyDescent="0.25">
      <c r="A73" s="613">
        <f t="shared" si="6"/>
        <v>47460</v>
      </c>
      <c r="B73" s="276">
        <f t="shared" si="4"/>
        <v>78581.209999999992</v>
      </c>
      <c r="C73" s="14">
        <f t="shared" si="1"/>
        <v>627.88</v>
      </c>
      <c r="D73" s="14">
        <f t="shared" si="7"/>
        <v>382.31</v>
      </c>
      <c r="E73" s="14">
        <f t="shared" si="2"/>
        <v>245.57</v>
      </c>
      <c r="F73" s="14">
        <f t="shared" si="11"/>
        <v>134.16999999999999</v>
      </c>
      <c r="G73" s="14">
        <f t="shared" si="11"/>
        <v>188.55</v>
      </c>
      <c r="H73" s="14">
        <f t="shared" si="12"/>
        <v>950.59999999999991</v>
      </c>
      <c r="I73" s="276">
        <f t="shared" si="8"/>
        <v>19332.939999999999</v>
      </c>
      <c r="J73" s="276">
        <f t="shared" si="9"/>
        <v>14876.42</v>
      </c>
      <c r="K73" s="276">
        <f t="shared" si="10"/>
        <v>78198.899999999994</v>
      </c>
      <c r="L73" s="394">
        <f t="shared" si="3"/>
        <v>4</v>
      </c>
      <c r="M73" s="394">
        <f t="shared" si="5"/>
        <v>53</v>
      </c>
      <c r="N73" s="613">
        <f>INDEX(tblSubjectToLoan[Date],ROW()-ROW(tblContractForDeed[#Headers]))</f>
        <v>47460</v>
      </c>
      <c r="O73" s="276">
        <f>IF(ROW()=ROW(tblContractForDeed[#Headers])+1,$O$6,IF(INDEX(tblContractForDeed[End Bal],ROW()-ROW(tblContractForDeed[#Headers])-1)&lt;0,0,INDEX(tblContractForDeed[End Bal],ROW()-ROW(tblContractForDeed[#Headers])-1)))</f>
        <v>64296.35000000002</v>
      </c>
      <c r="P73" s="454">
        <f>IF(tblContractForDeed[[#This Row],[Date]]="","",IF(tblContractForDeed[[#This Row],[Date]]&lt;cfdRateChangeDate,cfdRate1,cfdRate2))</f>
        <v>7.0000000000000007E-2</v>
      </c>
      <c r="Q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3" s="276">
        <f>IF(tblContractForDeed[[#This Row],[Payment]]=0,0,MAX(0,MIN(tblContractForDeed[[#This Row],[Beg]],tblContractForDeed[[#This Row],[Payment]]-tblContractForDeed[[#This Row],[Int]])))</f>
        <v>301.38000000000005</v>
      </c>
      <c r="S73" s="276">
        <f>IF(OR(tblContractForDeed[[#This Row],[Date]]&lt;cfdContractDate,tblContractForDeed[[#This Row],[Date]]&gt;cfdEndDate),0,ROUND(tblContractForDeed[[#This Row],[Beg]]*(tblContractForDeed[[#This Row],[Int Rate]]/12),2))</f>
        <v>375.06</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999.16000000000008</v>
      </c>
      <c r="W73" s="276">
        <f>SUM(INDEX(tblContractForDeed[Princ],1):INDEX(tblContractForDeed[Princ],ROW()-ROW(tblContractForDeed[#Headers])))</f>
        <v>11263.030000000002</v>
      </c>
      <c r="X73" s="276">
        <f>IF(tblContractForDeed[[#This Row],[Beg]]&lt;=0,0,tblContractForDeed[[#This Row],[Beg]]-tblContractForDeed[[#This Row],[Princ]])</f>
        <v>63994.970000000023</v>
      </c>
      <c r="Y73" s="467">
        <f>IF(INDEX(tblContractForDeed[Payment],ROW()-ROW(tblBuyerOutputs[#Headers]))=0,0,INDEX(tblContractForDeed[Payment],ROW()-ROW(tblBuyerOutputs[#Headers]))-INDEX(tblSubjectToLoan[Payment],ROW()-ROW(tblBuyerOutputs[#Headers])))</f>
        <v>48.560000000000059</v>
      </c>
      <c r="Z7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41</v>
      </c>
      <c r="AA73"/>
      <c r="AB73" s="14">
        <f>IF(INDEX(tblContractForDeed[Payment],ROW()-ROW(tblBuyerOutputs[#Headers]))=0,0,INDEX(tblContractForDeed[Payment],ROW()-ROW(tblBuyerOutputs[#Headers]))-INDEX(tblSubjectToLoan[Payment],ROW()-ROW(tblBuyerOutputs[#Headers])))-IFERROR(tblBuyerOutputs[[#This Row],[PMI]],0)</f>
        <v>48.560000000000059</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1558.9600000000009</v>
      </c>
      <c r="AD73" s="276">
        <f>IF(INDEX(tblContractForDeed[End Bal],ROW()-ROW(tblBuyerOutputs[#Headers]))&lt;=0,0,($O$6+IF(ROW()=ROW(tblBuyerOutputs[#Headers])+1,0,INDEX(tblBuyerOutputs[Cumul Appr],ROW()-ROW(tblBuyerOutputs[#Headers])-1)))*$AK$2/12)</f>
        <v>0</v>
      </c>
      <c r="AE73" s="276">
        <f>IF(INDEX(tblContractForDeed[End Bal],ROW()-ROW(tblBuyerOutputs[#Headers]))&lt;=0,0,IF(ROW()=ROW(tblBuyerOutputs[#Headers])+1,0,INDEX(tblBuyerOutputs[Cumul Appr],ROW()-ROW(tblBuyerOutputs[#Headers])-1))+tblBuyerOutputs[[#This Row],[Monthly Appr]])</f>
        <v>0</v>
      </c>
    </row>
    <row r="74" spans="1:31" x14ac:dyDescent="0.25">
      <c r="A74" s="613">
        <f t="shared" si="6"/>
        <v>47490</v>
      </c>
      <c r="B74" s="276">
        <f t="shared" si="4"/>
        <v>78198.899999999994</v>
      </c>
      <c r="C74" s="14">
        <f t="shared" si="1"/>
        <v>627.88</v>
      </c>
      <c r="D74" s="14">
        <f t="shared" si="7"/>
        <v>383.51</v>
      </c>
      <c r="E74" s="14">
        <f t="shared" si="2"/>
        <v>244.37</v>
      </c>
      <c r="F74" s="14">
        <f t="shared" si="11"/>
        <v>134.16999999999999</v>
      </c>
      <c r="G74" s="14">
        <f t="shared" si="11"/>
        <v>188.55</v>
      </c>
      <c r="H74" s="14">
        <f t="shared" si="12"/>
        <v>950.59999999999991</v>
      </c>
      <c r="I74" s="276">
        <f t="shared" si="8"/>
        <v>19716.449999999997</v>
      </c>
      <c r="J74" s="276">
        <f t="shared" si="9"/>
        <v>15120.79</v>
      </c>
      <c r="K74" s="276">
        <f t="shared" si="10"/>
        <v>77815.39</v>
      </c>
      <c r="L74" s="394">
        <f t="shared" si="3"/>
        <v>4</v>
      </c>
      <c r="M74" s="394">
        <f t="shared" si="5"/>
        <v>54</v>
      </c>
      <c r="N74" s="613">
        <f>INDEX(tblSubjectToLoan[Date],ROW()-ROW(tblContractForDeed[#Headers]))</f>
        <v>47490</v>
      </c>
      <c r="O74" s="276">
        <f>IF(ROW()=ROW(tblContractForDeed[#Headers])+1,$O$6,IF(INDEX(tblContractForDeed[End Bal],ROW()-ROW(tblContractForDeed[#Headers])-1)&lt;0,0,INDEX(tblContractForDeed[End Bal],ROW()-ROW(tblContractForDeed[#Headers])-1)))</f>
        <v>63994.970000000023</v>
      </c>
      <c r="P74" s="454">
        <f>IF(tblContractForDeed[[#This Row],[Date]]="","",IF(tblContractForDeed[[#This Row],[Date]]&lt;cfdRateChangeDate,cfdRate1,cfdRate2))</f>
        <v>7.0000000000000007E-2</v>
      </c>
      <c r="Q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4" s="276">
        <f>IF(tblContractForDeed[[#This Row],[Payment]]=0,0,MAX(0,MIN(tblContractForDeed[[#This Row],[Beg]],tblContractForDeed[[#This Row],[Payment]]-tblContractForDeed[[#This Row],[Int]])))</f>
        <v>303.14000000000004</v>
      </c>
      <c r="S74" s="276">
        <f>IF(OR(tblContractForDeed[[#This Row],[Date]]&lt;cfdContractDate,tblContractForDeed[[#This Row],[Date]]&gt;cfdEndDate),0,ROUND(tblContractForDeed[[#This Row],[Beg]]*(tblContractForDeed[[#This Row],[Int Rate]]/12),2))</f>
        <v>373.3</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999.16000000000008</v>
      </c>
      <c r="W74" s="276">
        <f>SUM(INDEX(tblContractForDeed[Princ],1):INDEX(tblContractForDeed[Princ],ROW()-ROW(tblContractForDeed[#Headers])))</f>
        <v>11566.170000000002</v>
      </c>
      <c r="X74" s="276">
        <f>IF(tblContractForDeed[[#This Row],[Beg]]&lt;=0,0,tblContractForDeed[[#This Row],[Beg]]-tblContractForDeed[[#This Row],[Princ]])</f>
        <v>63691.830000000024</v>
      </c>
      <c r="Y74" s="467">
        <f>IF(INDEX(tblContractForDeed[Payment],ROW()-ROW(tblBuyerOutputs[#Headers]))=0,0,INDEX(tblContractForDeed[Payment],ROW()-ROW(tblBuyerOutputs[#Headers]))-INDEX(tblSubjectToLoan[Payment],ROW()-ROW(tblBuyerOutputs[#Headers])))</f>
        <v>48.560000000000059</v>
      </c>
      <c r="Z7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42</v>
      </c>
      <c r="AA74"/>
      <c r="AB74" s="14">
        <f>IF(INDEX(tblContractForDeed[Payment],ROW()-ROW(tblBuyerOutputs[#Headers]))=0,0,INDEX(tblContractForDeed[Payment],ROW()-ROW(tblBuyerOutputs[#Headers]))-INDEX(tblSubjectToLoan[Payment],ROW()-ROW(tblBuyerOutputs[#Headers])))-IFERROR(tblBuyerOutputs[[#This Row],[PMI]],0)</f>
        <v>48.560000000000059</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1607.5200000000009</v>
      </c>
      <c r="AD74" s="276">
        <f>IF(INDEX(tblContractForDeed[End Bal],ROW()-ROW(tblBuyerOutputs[#Headers]))&lt;=0,0,($O$6+IF(ROW()=ROW(tblBuyerOutputs[#Headers])+1,0,INDEX(tblBuyerOutputs[Cumul Appr],ROW()-ROW(tblBuyerOutputs[#Headers])-1)))*$AK$2/12)</f>
        <v>0</v>
      </c>
      <c r="AE74" s="276">
        <f>IF(INDEX(tblContractForDeed[End Bal],ROW()-ROW(tblBuyerOutputs[#Headers]))&lt;=0,0,IF(ROW()=ROW(tblBuyerOutputs[#Headers])+1,0,INDEX(tblBuyerOutputs[Cumul Appr],ROW()-ROW(tblBuyerOutputs[#Headers])-1))+tblBuyerOutputs[[#This Row],[Monthly Appr]])</f>
        <v>0</v>
      </c>
    </row>
    <row r="75" spans="1:31" x14ac:dyDescent="0.25">
      <c r="A75" s="613">
        <f t="shared" si="6"/>
        <v>47520</v>
      </c>
      <c r="B75" s="276">
        <f t="shared" si="4"/>
        <v>77815.39</v>
      </c>
      <c r="C75" s="14">
        <f t="shared" si="1"/>
        <v>627.88</v>
      </c>
      <c r="D75" s="14">
        <f t="shared" si="7"/>
        <v>384.71000000000004</v>
      </c>
      <c r="E75" s="14">
        <f t="shared" si="2"/>
        <v>243.17</v>
      </c>
      <c r="F75" s="14">
        <f t="shared" si="11"/>
        <v>134.16999999999999</v>
      </c>
      <c r="G75" s="14">
        <f t="shared" si="11"/>
        <v>188.55</v>
      </c>
      <c r="H75" s="14">
        <f t="shared" si="12"/>
        <v>950.59999999999991</v>
      </c>
      <c r="I75" s="276">
        <f t="shared" si="8"/>
        <v>20101.159999999996</v>
      </c>
      <c r="J75" s="276">
        <f t="shared" si="9"/>
        <v>15363.960000000001</v>
      </c>
      <c r="K75" s="276">
        <f t="shared" si="10"/>
        <v>77430.679999999993</v>
      </c>
      <c r="L75" s="394">
        <f t="shared" si="3"/>
        <v>4</v>
      </c>
      <c r="M75" s="394">
        <f t="shared" si="5"/>
        <v>55</v>
      </c>
      <c r="N75" s="613">
        <f>INDEX(tblSubjectToLoan[Date],ROW()-ROW(tblContractForDeed[#Headers]))</f>
        <v>47520</v>
      </c>
      <c r="O75" s="276">
        <f>IF(ROW()=ROW(tblContractForDeed[#Headers])+1,$O$6,IF(INDEX(tblContractForDeed[End Bal],ROW()-ROW(tblContractForDeed[#Headers])-1)&lt;0,0,INDEX(tblContractForDeed[End Bal],ROW()-ROW(tblContractForDeed[#Headers])-1)))</f>
        <v>63691.830000000024</v>
      </c>
      <c r="P75" s="454">
        <f>IF(tblContractForDeed[[#This Row],[Date]]="","",IF(tblContractForDeed[[#This Row],[Date]]&lt;cfdRateChangeDate,cfdRate1,cfdRate2))</f>
        <v>7.0000000000000007E-2</v>
      </c>
      <c r="Q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5" s="276">
        <f>IF(tblContractForDeed[[#This Row],[Payment]]=0,0,MAX(0,MIN(tblContractForDeed[[#This Row],[Beg]],tblContractForDeed[[#This Row],[Payment]]-tblContractForDeed[[#This Row],[Int]])))</f>
        <v>304.90000000000003</v>
      </c>
      <c r="S75" s="276">
        <f>IF(OR(tblContractForDeed[[#This Row],[Date]]&lt;cfdContractDate,tblContractForDeed[[#This Row],[Date]]&gt;cfdEndDate),0,ROUND(tblContractForDeed[[#This Row],[Beg]]*(tblContractForDeed[[#This Row],[Int Rate]]/12),2))</f>
        <v>371.54</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999.16000000000008</v>
      </c>
      <c r="W75" s="276">
        <f>SUM(INDEX(tblContractForDeed[Princ],1):INDEX(tblContractForDeed[Princ],ROW()-ROW(tblContractForDeed[#Headers])))</f>
        <v>11871.070000000002</v>
      </c>
      <c r="X75" s="276">
        <f>IF(tblContractForDeed[[#This Row],[Beg]]&lt;=0,0,tblContractForDeed[[#This Row],[Beg]]-tblContractForDeed[[#This Row],[Princ]])</f>
        <v>63386.930000000022</v>
      </c>
      <c r="Y75" s="467">
        <f>IF(INDEX(tblContractForDeed[Payment],ROW()-ROW(tblBuyerOutputs[#Headers]))=0,0,INDEX(tblContractForDeed[Payment],ROW()-ROW(tblBuyerOutputs[#Headers]))-INDEX(tblSubjectToLoan[Payment],ROW()-ROW(tblBuyerOutputs[#Headers])))</f>
        <v>48.560000000000059</v>
      </c>
      <c r="Z7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43</v>
      </c>
      <c r="AA75"/>
      <c r="AB75" s="14">
        <f>IF(INDEX(tblContractForDeed[Payment],ROW()-ROW(tblBuyerOutputs[#Headers]))=0,0,INDEX(tblContractForDeed[Payment],ROW()-ROW(tblBuyerOutputs[#Headers]))-INDEX(tblSubjectToLoan[Payment],ROW()-ROW(tblBuyerOutputs[#Headers])))-IFERROR(tblBuyerOutputs[[#This Row],[PMI]],0)</f>
        <v>48.560000000000059</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1656.0800000000008</v>
      </c>
      <c r="AD75" s="276">
        <f>IF(INDEX(tblContractForDeed[End Bal],ROW()-ROW(tblBuyerOutputs[#Headers]))&lt;=0,0,($O$6+IF(ROW()=ROW(tblBuyerOutputs[#Headers])+1,0,INDEX(tblBuyerOutputs[Cumul Appr],ROW()-ROW(tblBuyerOutputs[#Headers])-1)))*$AK$2/12)</f>
        <v>0</v>
      </c>
      <c r="AE75" s="276">
        <f>IF(INDEX(tblContractForDeed[End Bal],ROW()-ROW(tblBuyerOutputs[#Headers]))&lt;=0,0,IF(ROW()=ROW(tblBuyerOutputs[#Headers])+1,0,INDEX(tblBuyerOutputs[Cumul Appr],ROW()-ROW(tblBuyerOutputs[#Headers])-1))+tblBuyerOutputs[[#This Row],[Monthly Appr]])</f>
        <v>0</v>
      </c>
    </row>
    <row r="76" spans="1:31" x14ac:dyDescent="0.25">
      <c r="A76" s="613">
        <f t="shared" si="6"/>
        <v>47550</v>
      </c>
      <c r="B76" s="276">
        <f t="shared" si="4"/>
        <v>77430.679999999993</v>
      </c>
      <c r="C76" s="14">
        <f t="shared" si="1"/>
        <v>627.88</v>
      </c>
      <c r="D76" s="14">
        <f t="shared" si="7"/>
        <v>385.90999999999997</v>
      </c>
      <c r="E76" s="14">
        <f t="shared" si="2"/>
        <v>241.97</v>
      </c>
      <c r="F76" s="14">
        <f t="shared" si="11"/>
        <v>134.16999999999999</v>
      </c>
      <c r="G76" s="14">
        <f t="shared" si="11"/>
        <v>188.55</v>
      </c>
      <c r="H76" s="14">
        <f t="shared" si="12"/>
        <v>950.59999999999991</v>
      </c>
      <c r="I76" s="276">
        <f t="shared" si="8"/>
        <v>20487.069999999996</v>
      </c>
      <c r="J76" s="276">
        <f t="shared" si="9"/>
        <v>15605.93</v>
      </c>
      <c r="K76" s="276">
        <f t="shared" si="10"/>
        <v>77044.76999999999</v>
      </c>
      <c r="L76" s="394">
        <f t="shared" si="3"/>
        <v>4</v>
      </c>
      <c r="M76" s="394">
        <f t="shared" si="5"/>
        <v>56</v>
      </c>
      <c r="N76" s="613">
        <f>INDEX(tblSubjectToLoan[Date],ROW()-ROW(tblContractForDeed[#Headers]))</f>
        <v>47550</v>
      </c>
      <c r="O76" s="276">
        <f>IF(ROW()=ROW(tblContractForDeed[#Headers])+1,$O$6,IF(INDEX(tblContractForDeed[End Bal],ROW()-ROW(tblContractForDeed[#Headers])-1)&lt;0,0,INDEX(tblContractForDeed[End Bal],ROW()-ROW(tblContractForDeed[#Headers])-1)))</f>
        <v>63386.930000000022</v>
      </c>
      <c r="P76" s="454">
        <f>IF(tblContractForDeed[[#This Row],[Date]]="","",IF(tblContractForDeed[[#This Row],[Date]]&lt;cfdRateChangeDate,cfdRate1,cfdRate2))</f>
        <v>7.0000000000000007E-2</v>
      </c>
      <c r="Q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6" s="276">
        <f>IF(tblContractForDeed[[#This Row],[Payment]]=0,0,MAX(0,MIN(tblContractForDeed[[#This Row],[Beg]],tblContractForDeed[[#This Row],[Payment]]-tblContractForDeed[[#This Row],[Int]])))</f>
        <v>306.68000000000006</v>
      </c>
      <c r="S76" s="276">
        <f>IF(OR(tblContractForDeed[[#This Row],[Date]]&lt;cfdContractDate,tblContractForDeed[[#This Row],[Date]]&gt;cfdEndDate),0,ROUND(tblContractForDeed[[#This Row],[Beg]]*(tblContractForDeed[[#This Row],[Int Rate]]/12),2))</f>
        <v>369.76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999.16000000000008</v>
      </c>
      <c r="W76" s="276">
        <f>SUM(INDEX(tblContractForDeed[Princ],1):INDEX(tblContractForDeed[Princ],ROW()-ROW(tblContractForDeed[#Headers])))</f>
        <v>12177.750000000002</v>
      </c>
      <c r="X76" s="276">
        <f>IF(tblContractForDeed[[#This Row],[Beg]]&lt;=0,0,tblContractForDeed[[#This Row],[Beg]]-tblContractForDeed[[#This Row],[Princ]])</f>
        <v>63080.250000000022</v>
      </c>
      <c r="Y76" s="467">
        <f>IF(INDEX(tblContractForDeed[Payment],ROW()-ROW(tblBuyerOutputs[#Headers]))=0,0,INDEX(tblContractForDeed[Payment],ROW()-ROW(tblBuyerOutputs[#Headers]))-INDEX(tblSubjectToLoan[Payment],ROW()-ROW(tblBuyerOutputs[#Headers])))</f>
        <v>48.560000000000059</v>
      </c>
      <c r="Z7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44</v>
      </c>
      <c r="AA76"/>
      <c r="AB76" s="14">
        <f>IF(INDEX(tblContractForDeed[Payment],ROW()-ROW(tblBuyerOutputs[#Headers]))=0,0,INDEX(tblContractForDeed[Payment],ROW()-ROW(tblBuyerOutputs[#Headers]))-INDEX(tblSubjectToLoan[Payment],ROW()-ROW(tblBuyerOutputs[#Headers])))-IFERROR(tblBuyerOutputs[[#This Row],[PMI]],0)</f>
        <v>48.560000000000059</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1704.6400000000008</v>
      </c>
      <c r="AD76" s="276">
        <f>IF(INDEX(tblContractForDeed[End Bal],ROW()-ROW(tblBuyerOutputs[#Headers]))&lt;=0,0,($O$6+IF(ROW()=ROW(tblBuyerOutputs[#Headers])+1,0,INDEX(tblBuyerOutputs[Cumul Appr],ROW()-ROW(tblBuyerOutputs[#Headers])-1)))*$AK$2/12)</f>
        <v>0</v>
      </c>
      <c r="AE76" s="276">
        <f>IF(INDEX(tblContractForDeed[End Bal],ROW()-ROW(tblBuyerOutputs[#Headers]))&lt;=0,0,IF(ROW()=ROW(tblBuyerOutputs[#Headers])+1,0,INDEX(tblBuyerOutputs[Cumul Appr],ROW()-ROW(tblBuyerOutputs[#Headers])-1))+tblBuyerOutputs[[#This Row],[Monthly Appr]])</f>
        <v>0</v>
      </c>
    </row>
    <row r="77" spans="1:31" x14ac:dyDescent="0.25">
      <c r="A77" s="613">
        <f t="shared" si="6"/>
        <v>47580</v>
      </c>
      <c r="B77" s="276">
        <f t="shared" si="4"/>
        <v>77044.76999999999</v>
      </c>
      <c r="C77" s="14">
        <f t="shared" si="1"/>
        <v>627.88</v>
      </c>
      <c r="D77" s="14">
        <f t="shared" si="7"/>
        <v>387.12</v>
      </c>
      <c r="E77" s="14">
        <f t="shared" si="2"/>
        <v>240.76</v>
      </c>
      <c r="F77" s="14">
        <f t="shared" si="11"/>
        <v>134.16999999999999</v>
      </c>
      <c r="G77" s="14">
        <f t="shared" si="11"/>
        <v>188.55</v>
      </c>
      <c r="H77" s="14">
        <f t="shared" si="12"/>
        <v>950.59999999999991</v>
      </c>
      <c r="I77" s="276">
        <f t="shared" si="8"/>
        <v>20874.189999999995</v>
      </c>
      <c r="J77" s="276">
        <f t="shared" si="9"/>
        <v>15846.69</v>
      </c>
      <c r="K77" s="276">
        <f t="shared" si="10"/>
        <v>76657.649999999994</v>
      </c>
      <c r="L77" s="394">
        <f t="shared" si="3"/>
        <v>4</v>
      </c>
      <c r="M77" s="394">
        <f t="shared" si="5"/>
        <v>57</v>
      </c>
      <c r="N77" s="613">
        <f>INDEX(tblSubjectToLoan[Date],ROW()-ROW(tblContractForDeed[#Headers]))</f>
        <v>47580</v>
      </c>
      <c r="O77" s="276">
        <f>IF(ROW()=ROW(tblContractForDeed[#Headers])+1,$O$6,IF(INDEX(tblContractForDeed[End Bal],ROW()-ROW(tblContractForDeed[#Headers])-1)&lt;0,0,INDEX(tblContractForDeed[End Bal],ROW()-ROW(tblContractForDeed[#Headers])-1)))</f>
        <v>63080.250000000022</v>
      </c>
      <c r="P77" s="454">
        <f>IF(tblContractForDeed[[#This Row],[Date]]="","",IF(tblContractForDeed[[#This Row],[Date]]&lt;cfdRateChangeDate,cfdRate1,cfdRate2))</f>
        <v>7.0000000000000007E-2</v>
      </c>
      <c r="Q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7" s="276">
        <f>IF(tblContractForDeed[[#This Row],[Payment]]=0,0,MAX(0,MIN(tblContractForDeed[[#This Row],[Beg]],tblContractForDeed[[#This Row],[Payment]]-tblContractForDeed[[#This Row],[Int]])))</f>
        <v>308.47000000000003</v>
      </c>
      <c r="S77" s="276">
        <f>IF(OR(tblContractForDeed[[#This Row],[Date]]&lt;cfdContractDate,tblContractForDeed[[#This Row],[Date]]&gt;cfdEndDate),0,ROUND(tblContractForDeed[[#This Row],[Beg]]*(tblContractForDeed[[#This Row],[Int Rate]]/12),2))</f>
        <v>367.97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999.16000000000008</v>
      </c>
      <c r="W77" s="276">
        <f>SUM(INDEX(tblContractForDeed[Princ],1):INDEX(tblContractForDeed[Princ],ROW()-ROW(tblContractForDeed[#Headers])))</f>
        <v>12486.220000000001</v>
      </c>
      <c r="X77" s="276">
        <f>IF(tblContractForDeed[[#This Row],[Beg]]&lt;=0,0,tblContractForDeed[[#This Row],[Beg]]-tblContractForDeed[[#This Row],[Princ]])</f>
        <v>62771.780000000021</v>
      </c>
      <c r="Y77" s="467">
        <f>IF(INDEX(tblContractForDeed[Payment],ROW()-ROW(tblBuyerOutputs[#Headers]))=0,0,INDEX(tblContractForDeed[Payment],ROW()-ROW(tblBuyerOutputs[#Headers]))-INDEX(tblSubjectToLoan[Payment],ROW()-ROW(tblBuyerOutputs[#Headers])))</f>
        <v>48.560000000000059</v>
      </c>
      <c r="Z7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45</v>
      </c>
      <c r="AA77"/>
      <c r="AB77" s="14">
        <f>IF(INDEX(tblContractForDeed[Payment],ROW()-ROW(tblBuyerOutputs[#Headers]))=0,0,INDEX(tblContractForDeed[Payment],ROW()-ROW(tblBuyerOutputs[#Headers]))-INDEX(tblSubjectToLoan[Payment],ROW()-ROW(tblBuyerOutputs[#Headers])))-IFERROR(tblBuyerOutputs[[#This Row],[PMI]],0)</f>
        <v>48.560000000000059</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1753.2000000000007</v>
      </c>
      <c r="AD77" s="276">
        <f>IF(INDEX(tblContractForDeed[End Bal],ROW()-ROW(tblBuyerOutputs[#Headers]))&lt;=0,0,($O$6+IF(ROW()=ROW(tblBuyerOutputs[#Headers])+1,0,INDEX(tblBuyerOutputs[Cumul Appr],ROW()-ROW(tblBuyerOutputs[#Headers])-1)))*$AK$2/12)</f>
        <v>0</v>
      </c>
      <c r="AE77" s="276">
        <f>IF(INDEX(tblContractForDeed[End Bal],ROW()-ROW(tblBuyerOutputs[#Headers]))&lt;=0,0,IF(ROW()=ROW(tblBuyerOutputs[#Headers])+1,0,INDEX(tblBuyerOutputs[Cumul Appr],ROW()-ROW(tblBuyerOutputs[#Headers])-1))+tblBuyerOutputs[[#This Row],[Monthly Appr]])</f>
        <v>0</v>
      </c>
    </row>
    <row r="78" spans="1:31" x14ac:dyDescent="0.25">
      <c r="A78" s="613">
        <f t="shared" si="6"/>
        <v>47610</v>
      </c>
      <c r="B78" s="276">
        <f t="shared" si="4"/>
        <v>76657.649999999994</v>
      </c>
      <c r="C78" s="14">
        <f t="shared" si="1"/>
        <v>627.88</v>
      </c>
      <c r="D78" s="14">
        <f t="shared" si="7"/>
        <v>388.32</v>
      </c>
      <c r="E78" s="14">
        <f t="shared" si="2"/>
        <v>239.56</v>
      </c>
      <c r="F78" s="14">
        <f t="shared" si="11"/>
        <v>134.16999999999999</v>
      </c>
      <c r="G78" s="14">
        <f t="shared" si="11"/>
        <v>188.55</v>
      </c>
      <c r="H78" s="14">
        <f t="shared" si="12"/>
        <v>950.59999999999991</v>
      </c>
      <c r="I78" s="276">
        <f t="shared" si="8"/>
        <v>21262.509999999995</v>
      </c>
      <c r="J78" s="276">
        <f t="shared" si="9"/>
        <v>16086.25</v>
      </c>
      <c r="K78" s="276">
        <f t="shared" si="10"/>
        <v>76269.329999999987</v>
      </c>
      <c r="L78" s="394">
        <f t="shared" si="3"/>
        <v>4</v>
      </c>
      <c r="M78" s="394">
        <f t="shared" si="5"/>
        <v>58</v>
      </c>
      <c r="N78" s="613">
        <f>INDEX(tblSubjectToLoan[Date],ROW()-ROW(tblContractForDeed[#Headers]))</f>
        <v>47610</v>
      </c>
      <c r="O78" s="276">
        <f>IF(ROW()=ROW(tblContractForDeed[#Headers])+1,$O$6,IF(INDEX(tblContractForDeed[End Bal],ROW()-ROW(tblContractForDeed[#Headers])-1)&lt;0,0,INDEX(tblContractForDeed[End Bal],ROW()-ROW(tblContractForDeed[#Headers])-1)))</f>
        <v>62771.780000000021</v>
      </c>
      <c r="P78" s="454">
        <f>IF(tblContractForDeed[[#This Row],[Date]]="","",IF(tblContractForDeed[[#This Row],[Date]]&lt;cfdRateChangeDate,cfdRate1,cfdRate2))</f>
        <v>7.0000000000000007E-2</v>
      </c>
      <c r="Q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8" s="276">
        <f>IF(tblContractForDeed[[#This Row],[Payment]]=0,0,MAX(0,MIN(tblContractForDeed[[#This Row],[Beg]],tblContractForDeed[[#This Row],[Payment]]-tblContractForDeed[[#This Row],[Int]])))</f>
        <v>310.27000000000004</v>
      </c>
      <c r="S78" s="276">
        <f>IF(OR(tblContractForDeed[[#This Row],[Date]]&lt;cfdContractDate,tblContractForDeed[[#This Row],[Date]]&gt;cfdEndDate),0,ROUND(tblContractForDeed[[#This Row],[Beg]]*(tblContractForDeed[[#This Row],[Int Rate]]/12),2))</f>
        <v>366.17</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999.16000000000008</v>
      </c>
      <c r="W78" s="276">
        <f>SUM(INDEX(tblContractForDeed[Princ],1):INDEX(tblContractForDeed[Princ],ROW()-ROW(tblContractForDeed[#Headers])))</f>
        <v>12796.490000000002</v>
      </c>
      <c r="X78" s="276">
        <f>IF(tblContractForDeed[[#This Row],[Beg]]&lt;=0,0,tblContractForDeed[[#This Row],[Beg]]-tblContractForDeed[[#This Row],[Princ]])</f>
        <v>62461.510000000024</v>
      </c>
      <c r="Y78" s="467">
        <f>IF(INDEX(tblContractForDeed[Payment],ROW()-ROW(tblBuyerOutputs[#Headers]))=0,0,INDEX(tblContractForDeed[Payment],ROW()-ROW(tblBuyerOutputs[#Headers]))-INDEX(tblSubjectToLoan[Payment],ROW()-ROW(tblBuyerOutputs[#Headers])))</f>
        <v>48.560000000000059</v>
      </c>
      <c r="Z7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46</v>
      </c>
      <c r="AA78"/>
      <c r="AB78" s="14">
        <f>IF(INDEX(tblContractForDeed[Payment],ROW()-ROW(tblBuyerOutputs[#Headers]))=0,0,INDEX(tblContractForDeed[Payment],ROW()-ROW(tblBuyerOutputs[#Headers]))-INDEX(tblSubjectToLoan[Payment],ROW()-ROW(tblBuyerOutputs[#Headers])))-IFERROR(tblBuyerOutputs[[#This Row],[PMI]],0)</f>
        <v>48.560000000000059</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1801.7600000000007</v>
      </c>
      <c r="AD78" s="276">
        <f>IF(INDEX(tblContractForDeed[End Bal],ROW()-ROW(tblBuyerOutputs[#Headers]))&lt;=0,0,($O$6+IF(ROW()=ROW(tblBuyerOutputs[#Headers])+1,0,INDEX(tblBuyerOutputs[Cumul Appr],ROW()-ROW(tblBuyerOutputs[#Headers])-1)))*$AK$2/12)</f>
        <v>0</v>
      </c>
      <c r="AE78" s="276">
        <f>IF(INDEX(tblContractForDeed[End Bal],ROW()-ROW(tblBuyerOutputs[#Headers]))&lt;=0,0,IF(ROW()=ROW(tblBuyerOutputs[#Headers])+1,0,INDEX(tblBuyerOutputs[Cumul Appr],ROW()-ROW(tblBuyerOutputs[#Headers])-1))+tblBuyerOutputs[[#This Row],[Monthly Appr]])</f>
        <v>0</v>
      </c>
    </row>
    <row r="79" spans="1:31" ht="15.75" thickBot="1" x14ac:dyDescent="0.3">
      <c r="A79" s="615">
        <f t="shared" si="6"/>
        <v>47640</v>
      </c>
      <c r="B79" s="332">
        <f t="shared" si="4"/>
        <v>76269.329999999987</v>
      </c>
      <c r="C79" s="21">
        <f t="shared" si="1"/>
        <v>627.88</v>
      </c>
      <c r="D79" s="21">
        <f t="shared" si="7"/>
        <v>389.53999999999996</v>
      </c>
      <c r="E79" s="21">
        <f t="shared" si="2"/>
        <v>238.34</v>
      </c>
      <c r="F79" s="21">
        <f t="shared" ref="F79:G94" si="13">+F78</f>
        <v>134.16999999999999</v>
      </c>
      <c r="G79" s="21">
        <f t="shared" si="13"/>
        <v>188.55</v>
      </c>
      <c r="H79" s="21">
        <f t="shared" si="12"/>
        <v>950.59999999999991</v>
      </c>
      <c r="I79" s="332">
        <f t="shared" si="8"/>
        <v>21652.049999999996</v>
      </c>
      <c r="J79" s="332">
        <f t="shared" si="9"/>
        <v>16324.59</v>
      </c>
      <c r="K79" s="332">
        <f t="shared" si="10"/>
        <v>75879.789999999994</v>
      </c>
      <c r="L79" s="395">
        <f t="shared" si="3"/>
        <v>4</v>
      </c>
      <c r="M79" s="395">
        <f t="shared" si="5"/>
        <v>59</v>
      </c>
      <c r="N79" s="615">
        <f>INDEX(tblSubjectToLoan[Date],ROW()-ROW(tblContractForDeed[#Headers]))</f>
        <v>47640</v>
      </c>
      <c r="O79" s="332">
        <f>IF(ROW()=ROW(tblContractForDeed[#Headers])+1,$O$6,IF(INDEX(tblContractForDeed[End Bal],ROW()-ROW(tblContractForDeed[#Headers])-1)&lt;0,0,INDEX(tblContractForDeed[End Bal],ROW()-ROW(tblContractForDeed[#Headers])-1)))</f>
        <v>62461.510000000024</v>
      </c>
      <c r="P79" s="454">
        <f>IF(tblContractForDeed[[#This Row],[Date]]="","",IF(tblContractForDeed[[#This Row],[Date]]&lt;cfdRateChangeDate,cfdRate1,cfdRate2))</f>
        <v>7.0000000000000007E-2</v>
      </c>
      <c r="Q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9" s="332">
        <f>IF(tblContractForDeed[[#This Row],[Payment]]=0,0,MAX(0,MIN(tblContractForDeed[[#This Row],[Beg]],tblContractForDeed[[#This Row],[Payment]]-tblContractForDeed[[#This Row],[Int]])))</f>
        <v>312.08000000000004</v>
      </c>
      <c r="S79" s="332">
        <f>IF(OR(tblContractForDeed[[#This Row],[Date]]&lt;cfdContractDate,tblContractForDeed[[#This Row],[Date]]&gt;cfdEndDate),0,ROUND(tblContractForDeed[[#This Row],[Beg]]*(tblContractForDeed[[#This Row],[Int Rate]]/12),2))</f>
        <v>364.36</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999.16000000000008</v>
      </c>
      <c r="W79" s="332">
        <f>SUM(INDEX(tblContractForDeed[Princ],1):INDEX(tblContractForDeed[Princ],ROW()-ROW(tblContractForDeed[#Headers])))</f>
        <v>13108.570000000002</v>
      </c>
      <c r="X79" s="332">
        <f>IF(tblContractForDeed[[#This Row],[Beg]]&lt;=0,0,tblContractForDeed[[#This Row],[Beg]]-tblContractForDeed[[#This Row],[Princ]])</f>
        <v>62149.430000000022</v>
      </c>
      <c r="Y79" s="468">
        <f>IF(INDEX(tblContractForDeed[Payment],ROW()-ROW(tblBuyerOutputs[#Headers]))=0,0,INDEX(tblContractForDeed[Payment],ROW()-ROW(tblBuyerOutputs[#Headers]))-INDEX(tblSubjectToLoan[Payment],ROW()-ROW(tblBuyerOutputs[#Headers])))</f>
        <v>48.560000000000059</v>
      </c>
      <c r="Z7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47</v>
      </c>
      <c r="AA79" s="23"/>
      <c r="AB79" s="21">
        <f>IF(INDEX(tblContractForDeed[Payment],ROW()-ROW(tblBuyerOutputs[#Headers]))=0,0,INDEX(tblContractForDeed[Payment],ROW()-ROW(tblBuyerOutputs[#Headers]))-INDEX(tblSubjectToLoan[Payment],ROW()-ROW(tblBuyerOutputs[#Headers])))-IFERROR(tblBuyerOutputs[[#This Row],[PMI]],0)</f>
        <v>48.560000000000059</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1850.3200000000006</v>
      </c>
      <c r="AD79" s="332">
        <f>IF(INDEX(tblContractForDeed[End Bal],ROW()-ROW(tblBuyerOutputs[#Headers]))&lt;=0,0,($O$6+IF(ROW()=ROW(tblBuyerOutputs[#Headers])+1,0,INDEX(tblBuyerOutputs[Cumul Appr],ROW()-ROW(tblBuyerOutputs[#Headers])-1)))*$AK$2/12)</f>
        <v>0</v>
      </c>
      <c r="AE79" s="332">
        <f>IF(INDEX(tblContractForDeed[End Bal],ROW()-ROW(tblBuyerOutputs[#Headers]))&lt;=0,0,IF(ROW()=ROW(tblBuyerOutputs[#Headers])+1,0,INDEX(tblBuyerOutputs[Cumul Appr],ROW()-ROW(tblBuyerOutputs[#Headers])-1))+tblBuyerOutputs[[#This Row],[Monthly Appr]])</f>
        <v>0</v>
      </c>
    </row>
    <row r="80" spans="1:31" x14ac:dyDescent="0.25">
      <c r="A80" s="613">
        <f t="shared" si="6"/>
        <v>47670</v>
      </c>
      <c r="B80" s="276">
        <f t="shared" si="4"/>
        <v>75879.789999999994</v>
      </c>
      <c r="C80" s="14">
        <f t="shared" si="1"/>
        <v>627.88</v>
      </c>
      <c r="D80" s="14">
        <f t="shared" si="7"/>
        <v>390.76</v>
      </c>
      <c r="E80" s="14">
        <f t="shared" si="2"/>
        <v>237.12</v>
      </c>
      <c r="F80" s="14">
        <f t="shared" si="13"/>
        <v>134.16999999999999</v>
      </c>
      <c r="G80" s="14">
        <f t="shared" si="13"/>
        <v>188.55</v>
      </c>
      <c r="H80" s="14">
        <f t="shared" si="12"/>
        <v>950.59999999999991</v>
      </c>
      <c r="I80" s="276">
        <f t="shared" si="8"/>
        <v>22042.809999999994</v>
      </c>
      <c r="J80" s="276">
        <f t="shared" si="9"/>
        <v>16561.71</v>
      </c>
      <c r="K80" s="276">
        <f t="shared" si="10"/>
        <v>75489.03</v>
      </c>
      <c r="L80" s="394">
        <f t="shared" si="3"/>
        <v>5</v>
      </c>
      <c r="M80" s="394">
        <f t="shared" si="5"/>
        <v>60</v>
      </c>
      <c r="N80" s="613">
        <f>INDEX(tblSubjectToLoan[Date],ROW()-ROW(tblContractForDeed[#Headers]))</f>
        <v>47670</v>
      </c>
      <c r="O80" s="276">
        <f>IF(ROW()=ROW(tblContractForDeed[#Headers])+1,$O$6,IF(INDEX(tblContractForDeed[End Bal],ROW()-ROW(tblContractForDeed[#Headers])-1)&lt;0,0,INDEX(tblContractForDeed[End Bal],ROW()-ROW(tblContractForDeed[#Headers])-1)))</f>
        <v>62149.430000000022</v>
      </c>
      <c r="P80" s="454">
        <f>IF(tblContractForDeed[[#This Row],[Date]]="","",IF(tblContractForDeed[[#This Row],[Date]]&lt;cfdRateChangeDate,cfdRate1,cfdRate2))</f>
        <v>7.0000000000000007E-2</v>
      </c>
      <c r="Q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0" s="276">
        <f>IF(tblContractForDeed[[#This Row],[Payment]]=0,0,MAX(0,MIN(tblContractForDeed[[#This Row],[Beg]],tblContractForDeed[[#This Row],[Payment]]-tblContractForDeed[[#This Row],[Int]])))</f>
        <v>313.90000000000003</v>
      </c>
      <c r="S80" s="276">
        <f>IF(OR(tblContractForDeed[[#This Row],[Date]]&lt;cfdContractDate,tblContractForDeed[[#This Row],[Date]]&gt;cfdEndDate),0,ROUND(tblContractForDeed[[#This Row],[Beg]]*(tblContractForDeed[[#This Row],[Int Rate]]/12),2))</f>
        <v>362.54</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999.16000000000008</v>
      </c>
      <c r="W80" s="276">
        <f>SUM(INDEX(tblContractForDeed[Princ],1):INDEX(tblContractForDeed[Princ],ROW()-ROW(tblContractForDeed[#Headers])))</f>
        <v>13422.470000000001</v>
      </c>
      <c r="X80" s="276">
        <f>IF(tblContractForDeed[[#This Row],[Beg]]&lt;=0,0,tblContractForDeed[[#This Row],[Beg]]-tblContractForDeed[[#This Row],[Princ]])</f>
        <v>61835.530000000021</v>
      </c>
      <c r="Y80" s="467">
        <f>IF(INDEX(tblContractForDeed[Payment],ROW()-ROW(tblBuyerOutputs[#Headers]))=0,0,INDEX(tblContractForDeed[Payment],ROW()-ROW(tblBuyerOutputs[#Headers]))-INDEX(tblSubjectToLoan[Payment],ROW()-ROW(tblBuyerOutputs[#Headers])))</f>
        <v>48.560000000000059</v>
      </c>
      <c r="Z8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48</v>
      </c>
      <c r="AA80"/>
      <c r="AB80" s="14">
        <f>IF(INDEX(tblContractForDeed[Payment],ROW()-ROW(tblBuyerOutputs[#Headers]))=0,0,INDEX(tblContractForDeed[Payment],ROW()-ROW(tblBuyerOutputs[#Headers]))-INDEX(tblSubjectToLoan[Payment],ROW()-ROW(tblBuyerOutputs[#Headers])))-IFERROR(tblBuyerOutputs[[#This Row],[PMI]],0)</f>
        <v>48.560000000000059</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1898.8800000000006</v>
      </c>
      <c r="AD80" s="276">
        <f>IF(INDEX(tblContractForDeed[End Bal],ROW()-ROW(tblBuyerOutputs[#Headers]))&lt;=0,0,($O$6+IF(ROW()=ROW(tblBuyerOutputs[#Headers])+1,0,INDEX(tblBuyerOutputs[Cumul Appr],ROW()-ROW(tblBuyerOutputs[#Headers])-1)))*$AK$2/12)</f>
        <v>0</v>
      </c>
      <c r="AE80" s="276">
        <f>IF(INDEX(tblContractForDeed[End Bal],ROW()-ROW(tblBuyerOutputs[#Headers]))&lt;=0,0,IF(ROW()=ROW(tblBuyerOutputs[#Headers])+1,0,INDEX(tblBuyerOutputs[Cumul Appr],ROW()-ROW(tblBuyerOutputs[#Headers])-1))+tblBuyerOutputs[[#This Row],[Monthly Appr]])</f>
        <v>0</v>
      </c>
    </row>
    <row r="81" spans="1:31" x14ac:dyDescent="0.25">
      <c r="A81" s="613">
        <f t="shared" si="6"/>
        <v>47700</v>
      </c>
      <c r="B81" s="276">
        <f t="shared" si="4"/>
        <v>75489.03</v>
      </c>
      <c r="C81" s="14">
        <f t="shared" si="1"/>
        <v>627.88</v>
      </c>
      <c r="D81" s="14">
        <f t="shared" si="7"/>
        <v>391.98</v>
      </c>
      <c r="E81" s="14">
        <f t="shared" si="2"/>
        <v>235.9</v>
      </c>
      <c r="F81" s="14">
        <f t="shared" si="13"/>
        <v>134.16999999999999</v>
      </c>
      <c r="G81" s="14">
        <f t="shared" si="13"/>
        <v>188.55</v>
      </c>
      <c r="H81" s="14">
        <f t="shared" si="12"/>
        <v>950.59999999999991</v>
      </c>
      <c r="I81" s="276">
        <f t="shared" si="8"/>
        <v>22434.789999999994</v>
      </c>
      <c r="J81" s="276">
        <f t="shared" si="9"/>
        <v>16797.61</v>
      </c>
      <c r="K81" s="276">
        <f t="shared" si="10"/>
        <v>75097.05</v>
      </c>
      <c r="L81" s="394">
        <f t="shared" si="3"/>
        <v>5</v>
      </c>
      <c r="M81" s="394">
        <f t="shared" si="5"/>
        <v>61</v>
      </c>
      <c r="N81" s="613">
        <f>INDEX(tblSubjectToLoan[Date],ROW()-ROW(tblContractForDeed[#Headers]))</f>
        <v>47700</v>
      </c>
      <c r="O81" s="276">
        <f>IF(ROW()=ROW(tblContractForDeed[#Headers])+1,$O$6,IF(INDEX(tblContractForDeed[End Bal],ROW()-ROW(tblContractForDeed[#Headers])-1)&lt;0,0,INDEX(tblContractForDeed[End Bal],ROW()-ROW(tblContractForDeed[#Headers])-1)))</f>
        <v>61835.530000000021</v>
      </c>
      <c r="P81" s="454">
        <f>IF(tblContractForDeed[[#This Row],[Date]]="","",IF(tblContractForDeed[[#This Row],[Date]]&lt;cfdRateChangeDate,cfdRate1,cfdRate2))</f>
        <v>7.0000000000000007E-2</v>
      </c>
      <c r="Q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1" s="276">
        <f>IF(tblContractForDeed[[#This Row],[Payment]]=0,0,MAX(0,MIN(tblContractForDeed[[#This Row],[Beg]],tblContractForDeed[[#This Row],[Payment]]-tblContractForDeed[[#This Row],[Int]])))</f>
        <v>315.73000000000008</v>
      </c>
      <c r="S81" s="276">
        <f>IF(OR(tblContractForDeed[[#This Row],[Date]]&lt;cfdContractDate,tblContractForDeed[[#This Row],[Date]]&gt;cfdEndDate),0,ROUND(tblContractForDeed[[#This Row],[Beg]]*(tblContractForDeed[[#This Row],[Int Rate]]/12),2))</f>
        <v>360.71</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999.16000000000008</v>
      </c>
      <c r="W81" s="276">
        <f>SUM(INDEX(tblContractForDeed[Princ],1):INDEX(tblContractForDeed[Princ],ROW()-ROW(tblContractForDeed[#Headers])))</f>
        <v>13738.2</v>
      </c>
      <c r="X81" s="276">
        <f>IF(tblContractForDeed[[#This Row],[Beg]]&lt;=0,0,tblContractForDeed[[#This Row],[Beg]]-tblContractForDeed[[#This Row],[Princ]])</f>
        <v>61519.800000000017</v>
      </c>
      <c r="Y81" s="467">
        <f>IF(INDEX(tblContractForDeed[Payment],ROW()-ROW(tblBuyerOutputs[#Headers]))=0,0,INDEX(tblContractForDeed[Payment],ROW()-ROW(tblBuyerOutputs[#Headers]))-INDEX(tblSubjectToLoan[Payment],ROW()-ROW(tblBuyerOutputs[#Headers])))</f>
        <v>48.560000000000059</v>
      </c>
      <c r="Z8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49</v>
      </c>
      <c r="AA81"/>
      <c r="AB81" s="14">
        <f>IF(INDEX(tblContractForDeed[Payment],ROW()-ROW(tblBuyerOutputs[#Headers]))=0,0,INDEX(tblContractForDeed[Payment],ROW()-ROW(tblBuyerOutputs[#Headers]))-INDEX(tblSubjectToLoan[Payment],ROW()-ROW(tblBuyerOutputs[#Headers])))-IFERROR(tblBuyerOutputs[[#This Row],[PMI]],0)</f>
        <v>48.560000000000059</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1947.4400000000005</v>
      </c>
      <c r="AD81" s="276">
        <f>IF(INDEX(tblContractForDeed[End Bal],ROW()-ROW(tblBuyerOutputs[#Headers]))&lt;=0,0,($O$6+IF(ROW()=ROW(tblBuyerOutputs[#Headers])+1,0,INDEX(tblBuyerOutputs[Cumul Appr],ROW()-ROW(tblBuyerOutputs[#Headers])-1)))*$AK$2/12)</f>
        <v>0</v>
      </c>
      <c r="AE81" s="276">
        <f>IF(INDEX(tblContractForDeed[End Bal],ROW()-ROW(tblBuyerOutputs[#Headers]))&lt;=0,0,IF(ROW()=ROW(tblBuyerOutputs[#Headers])+1,0,INDEX(tblBuyerOutputs[Cumul Appr],ROW()-ROW(tblBuyerOutputs[#Headers])-1))+tblBuyerOutputs[[#This Row],[Monthly Appr]])</f>
        <v>0</v>
      </c>
    </row>
    <row r="82" spans="1:31" x14ac:dyDescent="0.25">
      <c r="A82" s="613">
        <f t="shared" si="6"/>
        <v>47730</v>
      </c>
      <c r="B82" s="276">
        <f t="shared" si="4"/>
        <v>75097.05</v>
      </c>
      <c r="C82" s="14">
        <f t="shared" si="1"/>
        <v>627.88</v>
      </c>
      <c r="D82" s="14">
        <f t="shared" si="7"/>
        <v>393.2</v>
      </c>
      <c r="E82" s="14">
        <f t="shared" si="2"/>
        <v>234.68</v>
      </c>
      <c r="F82" s="14">
        <f t="shared" si="13"/>
        <v>134.16999999999999</v>
      </c>
      <c r="G82" s="14">
        <f t="shared" si="13"/>
        <v>188.55</v>
      </c>
      <c r="H82" s="14">
        <f t="shared" si="12"/>
        <v>950.59999999999991</v>
      </c>
      <c r="I82" s="276">
        <f t="shared" si="8"/>
        <v>22827.989999999994</v>
      </c>
      <c r="J82" s="276">
        <f t="shared" si="9"/>
        <v>17032.29</v>
      </c>
      <c r="K82" s="276">
        <f t="shared" si="10"/>
        <v>74703.850000000006</v>
      </c>
      <c r="L82" s="394">
        <f t="shared" si="3"/>
        <v>5</v>
      </c>
      <c r="M82" s="394">
        <f t="shared" si="5"/>
        <v>62</v>
      </c>
      <c r="N82" s="613">
        <f>INDEX(tblSubjectToLoan[Date],ROW()-ROW(tblContractForDeed[#Headers]))</f>
        <v>47730</v>
      </c>
      <c r="O82" s="276">
        <f>IF(ROW()=ROW(tblContractForDeed[#Headers])+1,$O$6,IF(INDEX(tblContractForDeed[End Bal],ROW()-ROW(tblContractForDeed[#Headers])-1)&lt;0,0,INDEX(tblContractForDeed[End Bal],ROW()-ROW(tblContractForDeed[#Headers])-1)))</f>
        <v>61519.800000000017</v>
      </c>
      <c r="P82" s="454">
        <f>IF(tblContractForDeed[[#This Row],[Date]]="","",IF(tblContractForDeed[[#This Row],[Date]]&lt;cfdRateChangeDate,cfdRate1,cfdRate2))</f>
        <v>7.0000000000000007E-2</v>
      </c>
      <c r="Q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2" s="276">
        <f>IF(tblContractForDeed[[#This Row],[Payment]]=0,0,MAX(0,MIN(tblContractForDeed[[#This Row],[Beg]],tblContractForDeed[[#This Row],[Payment]]-tblContractForDeed[[#This Row],[Int]])))</f>
        <v>317.57000000000005</v>
      </c>
      <c r="S82" s="276">
        <f>IF(OR(tblContractForDeed[[#This Row],[Date]]&lt;cfdContractDate,tblContractForDeed[[#This Row],[Date]]&gt;cfdEndDate),0,ROUND(tblContractForDeed[[#This Row],[Beg]]*(tblContractForDeed[[#This Row],[Int Rate]]/12),2))</f>
        <v>358.87</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999.16000000000008</v>
      </c>
      <c r="W82" s="276">
        <f>SUM(INDEX(tblContractForDeed[Princ],1):INDEX(tblContractForDeed[Princ],ROW()-ROW(tblContractForDeed[#Headers])))</f>
        <v>14055.77</v>
      </c>
      <c r="X82" s="276">
        <f>IF(tblContractForDeed[[#This Row],[Beg]]&lt;=0,0,tblContractForDeed[[#This Row],[Beg]]-tblContractForDeed[[#This Row],[Princ]])</f>
        <v>61202.230000000018</v>
      </c>
      <c r="Y82" s="467">
        <f>IF(INDEX(tblContractForDeed[Payment],ROW()-ROW(tblBuyerOutputs[#Headers]))=0,0,INDEX(tblContractForDeed[Payment],ROW()-ROW(tblBuyerOutputs[#Headers]))-INDEX(tblSubjectToLoan[Payment],ROW()-ROW(tblBuyerOutputs[#Headers])))</f>
        <v>48.560000000000059</v>
      </c>
      <c r="Z8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50</v>
      </c>
      <c r="AA82"/>
      <c r="AB82" s="14">
        <f>IF(INDEX(tblContractForDeed[Payment],ROW()-ROW(tblBuyerOutputs[#Headers]))=0,0,INDEX(tblContractForDeed[Payment],ROW()-ROW(tblBuyerOutputs[#Headers]))-INDEX(tblSubjectToLoan[Payment],ROW()-ROW(tblBuyerOutputs[#Headers])))-IFERROR(tblBuyerOutputs[[#This Row],[PMI]],0)</f>
        <v>48.560000000000059</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1996.0000000000005</v>
      </c>
      <c r="AD82" s="276">
        <f>IF(INDEX(tblContractForDeed[End Bal],ROW()-ROW(tblBuyerOutputs[#Headers]))&lt;=0,0,($O$6+IF(ROW()=ROW(tblBuyerOutputs[#Headers])+1,0,INDEX(tblBuyerOutputs[Cumul Appr],ROW()-ROW(tblBuyerOutputs[#Headers])-1)))*$AK$2/12)</f>
        <v>0</v>
      </c>
      <c r="AE82" s="276">
        <f>IF(INDEX(tblContractForDeed[End Bal],ROW()-ROW(tblBuyerOutputs[#Headers]))&lt;=0,0,IF(ROW()=ROW(tblBuyerOutputs[#Headers])+1,0,INDEX(tblBuyerOutputs[Cumul Appr],ROW()-ROW(tblBuyerOutputs[#Headers])-1))+tblBuyerOutputs[[#This Row],[Monthly Appr]])</f>
        <v>0</v>
      </c>
    </row>
    <row r="83" spans="1:31" x14ac:dyDescent="0.25">
      <c r="A83" s="613">
        <f t="shared" si="6"/>
        <v>47760</v>
      </c>
      <c r="B83" s="276">
        <f t="shared" si="4"/>
        <v>74703.850000000006</v>
      </c>
      <c r="C83" s="14">
        <f t="shared" si="1"/>
        <v>627.88</v>
      </c>
      <c r="D83" s="14">
        <f t="shared" si="7"/>
        <v>394.43</v>
      </c>
      <c r="E83" s="14">
        <f t="shared" si="2"/>
        <v>233.45</v>
      </c>
      <c r="F83" s="14">
        <f t="shared" si="13"/>
        <v>134.16999999999999</v>
      </c>
      <c r="G83" s="14">
        <f t="shared" si="13"/>
        <v>188.55</v>
      </c>
      <c r="H83" s="14">
        <f t="shared" si="12"/>
        <v>950.59999999999991</v>
      </c>
      <c r="I83" s="276">
        <f t="shared" si="8"/>
        <v>23222.419999999995</v>
      </c>
      <c r="J83" s="276">
        <f t="shared" si="9"/>
        <v>17265.740000000002</v>
      </c>
      <c r="K83" s="276">
        <f t="shared" si="10"/>
        <v>74309.420000000013</v>
      </c>
      <c r="L83" s="394">
        <f t="shared" si="3"/>
        <v>5</v>
      </c>
      <c r="M83" s="394">
        <f t="shared" si="5"/>
        <v>63</v>
      </c>
      <c r="N83" s="613">
        <f>INDEX(tblSubjectToLoan[Date],ROW()-ROW(tblContractForDeed[#Headers]))</f>
        <v>47760</v>
      </c>
      <c r="O83" s="276">
        <f>IF(ROW()=ROW(tblContractForDeed[#Headers])+1,$O$6,IF(INDEX(tblContractForDeed[End Bal],ROW()-ROW(tblContractForDeed[#Headers])-1)&lt;0,0,INDEX(tblContractForDeed[End Bal],ROW()-ROW(tblContractForDeed[#Headers])-1)))</f>
        <v>61202.230000000018</v>
      </c>
      <c r="P83" s="454">
        <f>IF(tblContractForDeed[[#This Row],[Date]]="","",IF(tblContractForDeed[[#This Row],[Date]]&lt;cfdRateChangeDate,cfdRate1,cfdRate2))</f>
        <v>7.0000000000000007E-2</v>
      </c>
      <c r="Q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3" s="276">
        <f>IF(tblContractForDeed[[#This Row],[Payment]]=0,0,MAX(0,MIN(tblContractForDeed[[#This Row],[Beg]],tblContractForDeed[[#This Row],[Payment]]-tblContractForDeed[[#This Row],[Int]])))</f>
        <v>319.43000000000006</v>
      </c>
      <c r="S83" s="276">
        <f>IF(OR(tblContractForDeed[[#This Row],[Date]]&lt;cfdContractDate,tblContractForDeed[[#This Row],[Date]]&gt;cfdEndDate),0,ROUND(tblContractForDeed[[#This Row],[Beg]]*(tblContractForDeed[[#This Row],[Int Rate]]/12),2))</f>
        <v>357.01</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999.16000000000008</v>
      </c>
      <c r="W83" s="276">
        <f>SUM(INDEX(tblContractForDeed[Princ],1):INDEX(tblContractForDeed[Princ],ROW()-ROW(tblContractForDeed[#Headers])))</f>
        <v>14375.2</v>
      </c>
      <c r="X83" s="276">
        <f>IF(tblContractForDeed[[#This Row],[Beg]]&lt;=0,0,tblContractForDeed[[#This Row],[Beg]]-tblContractForDeed[[#This Row],[Princ]])</f>
        <v>60882.800000000017</v>
      </c>
      <c r="Y83" s="467">
        <f>IF(INDEX(tblContractForDeed[Payment],ROW()-ROW(tblBuyerOutputs[#Headers]))=0,0,INDEX(tblContractForDeed[Payment],ROW()-ROW(tblBuyerOutputs[#Headers]))-INDEX(tblSubjectToLoan[Payment],ROW()-ROW(tblBuyerOutputs[#Headers])))</f>
        <v>48.560000000000059</v>
      </c>
      <c r="Z8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51</v>
      </c>
      <c r="AA83"/>
      <c r="AB83" s="14">
        <f>IF(INDEX(tblContractForDeed[Payment],ROW()-ROW(tblBuyerOutputs[#Headers]))=0,0,INDEX(tblContractForDeed[Payment],ROW()-ROW(tblBuyerOutputs[#Headers]))-INDEX(tblSubjectToLoan[Payment],ROW()-ROW(tblBuyerOutputs[#Headers])))-IFERROR(tblBuyerOutputs[[#This Row],[PMI]],0)</f>
        <v>48.560000000000059</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2044.5600000000004</v>
      </c>
      <c r="AD83" s="276">
        <f>IF(INDEX(tblContractForDeed[End Bal],ROW()-ROW(tblBuyerOutputs[#Headers]))&lt;=0,0,($O$6+IF(ROW()=ROW(tblBuyerOutputs[#Headers])+1,0,INDEX(tblBuyerOutputs[Cumul Appr],ROW()-ROW(tblBuyerOutputs[#Headers])-1)))*$AK$2/12)</f>
        <v>0</v>
      </c>
      <c r="AE83" s="276">
        <f>IF(INDEX(tblContractForDeed[End Bal],ROW()-ROW(tblBuyerOutputs[#Headers]))&lt;=0,0,IF(ROW()=ROW(tblBuyerOutputs[#Headers])+1,0,INDEX(tblBuyerOutputs[Cumul Appr],ROW()-ROW(tblBuyerOutputs[#Headers])-1))+tblBuyerOutputs[[#This Row],[Monthly Appr]])</f>
        <v>0</v>
      </c>
    </row>
    <row r="84" spans="1:31" x14ac:dyDescent="0.25">
      <c r="A84" s="613">
        <f t="shared" si="6"/>
        <v>47790</v>
      </c>
      <c r="B84" s="276">
        <f t="shared" si="4"/>
        <v>74309.420000000013</v>
      </c>
      <c r="C84" s="14">
        <f t="shared" ref="C84:C147" si="14">IF(+$K83&lt;=0,0,$C$6)</f>
        <v>627.88</v>
      </c>
      <c r="D84" s="14">
        <f t="shared" si="7"/>
        <v>395.65999999999997</v>
      </c>
      <c r="E84" s="14">
        <f t="shared" ref="E84:E147" si="15">ROUND($B84*($C$4/12), 2)</f>
        <v>232.22</v>
      </c>
      <c r="F84" s="14">
        <f t="shared" si="13"/>
        <v>134.16999999999999</v>
      </c>
      <c r="G84" s="14">
        <f t="shared" si="13"/>
        <v>188.55</v>
      </c>
      <c r="H84" s="14">
        <f t="shared" si="12"/>
        <v>950.59999999999991</v>
      </c>
      <c r="I84" s="276">
        <f t="shared" si="8"/>
        <v>23618.079999999994</v>
      </c>
      <c r="J84" s="276">
        <f t="shared" si="9"/>
        <v>17497.960000000003</v>
      </c>
      <c r="K84" s="276">
        <f t="shared" si="10"/>
        <v>73913.760000000009</v>
      </c>
      <c r="L84" s="394">
        <f t="shared" ref="L84:L112" si="16">IF(MOD(M84,12)=0,M84/12,L83)</f>
        <v>5</v>
      </c>
      <c r="M84" s="394">
        <f t="shared" si="5"/>
        <v>64</v>
      </c>
      <c r="N84" s="613">
        <f>INDEX(tblSubjectToLoan[Date],ROW()-ROW(tblContractForDeed[#Headers]))</f>
        <v>47790</v>
      </c>
      <c r="O84" s="276">
        <f>IF(ROW()=ROW(tblContractForDeed[#Headers])+1,$O$6,IF(INDEX(tblContractForDeed[End Bal],ROW()-ROW(tblContractForDeed[#Headers])-1)&lt;0,0,INDEX(tblContractForDeed[End Bal],ROW()-ROW(tblContractForDeed[#Headers])-1)))</f>
        <v>60882.800000000017</v>
      </c>
      <c r="P84" s="454">
        <f>IF(tblContractForDeed[[#This Row],[Date]]="","",IF(tblContractForDeed[[#This Row],[Date]]&lt;cfdRateChangeDate,cfdRate1,cfdRate2))</f>
        <v>7.0000000000000007E-2</v>
      </c>
      <c r="Q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4" s="276">
        <f>IF(tblContractForDeed[[#This Row],[Payment]]=0,0,MAX(0,MIN(tblContractForDeed[[#This Row],[Beg]],tblContractForDeed[[#This Row],[Payment]]-tblContractForDeed[[#This Row],[Int]])))</f>
        <v>321.29000000000008</v>
      </c>
      <c r="S84" s="276">
        <f>IF(OR(tblContractForDeed[[#This Row],[Date]]&lt;cfdContractDate,tblContractForDeed[[#This Row],[Date]]&gt;cfdEndDate),0,ROUND(tblContractForDeed[[#This Row],[Beg]]*(tblContractForDeed[[#This Row],[Int Rate]]/12),2))</f>
        <v>355.15</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999.16000000000008</v>
      </c>
      <c r="W84" s="276">
        <f>SUM(INDEX(tblContractForDeed[Princ],1):INDEX(tblContractForDeed[Princ],ROW()-ROW(tblContractForDeed[#Headers])))</f>
        <v>14696.490000000002</v>
      </c>
      <c r="X84" s="276">
        <f>IF(tblContractForDeed[[#This Row],[Beg]]&lt;=0,0,tblContractForDeed[[#This Row],[Beg]]-tblContractForDeed[[#This Row],[Princ]])</f>
        <v>60561.510000000017</v>
      </c>
      <c r="Y84" s="467">
        <f>IF(INDEX(tblContractForDeed[Payment],ROW()-ROW(tblBuyerOutputs[#Headers]))=0,0,INDEX(tblContractForDeed[Payment],ROW()-ROW(tblBuyerOutputs[#Headers]))-INDEX(tblSubjectToLoan[Payment],ROW()-ROW(tblBuyerOutputs[#Headers])))</f>
        <v>48.560000000000059</v>
      </c>
      <c r="Z8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52</v>
      </c>
      <c r="AA84"/>
      <c r="AB84" s="14">
        <f>IF(INDEX(tblContractForDeed[Payment],ROW()-ROW(tblBuyerOutputs[#Headers]))=0,0,INDEX(tblContractForDeed[Payment],ROW()-ROW(tblBuyerOutputs[#Headers]))-INDEX(tblSubjectToLoan[Payment],ROW()-ROW(tblBuyerOutputs[#Headers])))-IFERROR(tblBuyerOutputs[[#This Row],[PMI]],0)</f>
        <v>48.560000000000059</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2093.1200000000003</v>
      </c>
      <c r="AD84" s="276">
        <f>IF(INDEX(tblContractForDeed[End Bal],ROW()-ROW(tblBuyerOutputs[#Headers]))&lt;=0,0,($O$6+IF(ROW()=ROW(tblBuyerOutputs[#Headers])+1,0,INDEX(tblBuyerOutputs[Cumul Appr],ROW()-ROW(tblBuyerOutputs[#Headers])-1)))*$AK$2/12)</f>
        <v>0</v>
      </c>
      <c r="AE84" s="276">
        <f>IF(INDEX(tblContractForDeed[End Bal],ROW()-ROW(tblBuyerOutputs[#Headers]))&lt;=0,0,IF(ROW()=ROW(tblBuyerOutputs[#Headers])+1,0,INDEX(tblBuyerOutputs[Cumul Appr],ROW()-ROW(tblBuyerOutputs[#Headers])-1))+tblBuyerOutputs[[#This Row],[Monthly Appr]])</f>
        <v>0</v>
      </c>
    </row>
    <row r="85" spans="1:31" x14ac:dyDescent="0.25">
      <c r="A85" s="613">
        <f t="shared" si="6"/>
        <v>47820</v>
      </c>
      <c r="B85" s="276">
        <f t="shared" ref="B85:B148" si="17">IF(+K84&lt;0,0,+K84)</f>
        <v>73913.760000000009</v>
      </c>
      <c r="C85" s="14">
        <f t="shared" si="14"/>
        <v>627.88</v>
      </c>
      <c r="D85" s="14">
        <f t="shared" si="7"/>
        <v>396.9</v>
      </c>
      <c r="E85" s="14">
        <f t="shared" si="15"/>
        <v>230.98</v>
      </c>
      <c r="F85" s="14">
        <f t="shared" si="13"/>
        <v>134.16999999999999</v>
      </c>
      <c r="G85" s="14">
        <f t="shared" si="13"/>
        <v>188.55</v>
      </c>
      <c r="H85" s="14">
        <f t="shared" si="12"/>
        <v>950.59999999999991</v>
      </c>
      <c r="I85" s="276">
        <f t="shared" si="8"/>
        <v>24014.979999999996</v>
      </c>
      <c r="J85" s="276">
        <f t="shared" si="9"/>
        <v>17728.940000000002</v>
      </c>
      <c r="K85" s="276">
        <f t="shared" si="10"/>
        <v>73516.860000000015</v>
      </c>
      <c r="L85" s="394">
        <f t="shared" si="16"/>
        <v>5</v>
      </c>
      <c r="M85" s="394">
        <f t="shared" ref="M85:M148" si="18">IF($A85&lt;&gt;"",M84+1,0)</f>
        <v>65</v>
      </c>
      <c r="N85" s="613">
        <f>INDEX(tblSubjectToLoan[Date],ROW()-ROW(tblContractForDeed[#Headers]))</f>
        <v>47820</v>
      </c>
      <c r="O85" s="276">
        <f>IF(ROW()=ROW(tblContractForDeed[#Headers])+1,$O$6,IF(INDEX(tblContractForDeed[End Bal],ROW()-ROW(tblContractForDeed[#Headers])-1)&lt;0,0,INDEX(tblContractForDeed[End Bal],ROW()-ROW(tblContractForDeed[#Headers])-1)))</f>
        <v>60561.510000000017</v>
      </c>
      <c r="P85" s="454">
        <f>IF(tblContractForDeed[[#This Row],[Date]]="","",IF(tblContractForDeed[[#This Row],[Date]]&lt;cfdRateChangeDate,cfdRate1,cfdRate2))</f>
        <v>7.0000000000000007E-2</v>
      </c>
      <c r="Q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5" s="276">
        <f>IF(tblContractForDeed[[#This Row],[Payment]]=0,0,MAX(0,MIN(tblContractForDeed[[#This Row],[Beg]],tblContractForDeed[[#This Row],[Payment]]-tblContractForDeed[[#This Row],[Int]])))</f>
        <v>323.16000000000008</v>
      </c>
      <c r="S85" s="276">
        <f>IF(OR(tblContractForDeed[[#This Row],[Date]]&lt;cfdContractDate,tblContractForDeed[[#This Row],[Date]]&gt;cfdEndDate),0,ROUND(tblContractForDeed[[#This Row],[Beg]]*(tblContractForDeed[[#This Row],[Int Rate]]/12),2))</f>
        <v>353.28</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999.16000000000008</v>
      </c>
      <c r="W85" s="276">
        <f>SUM(INDEX(tblContractForDeed[Princ],1):INDEX(tblContractForDeed[Princ],ROW()-ROW(tblContractForDeed[#Headers])))</f>
        <v>15019.650000000001</v>
      </c>
      <c r="X85" s="276">
        <f>IF(tblContractForDeed[[#This Row],[Beg]]&lt;=0,0,tblContractForDeed[[#This Row],[Beg]]-tblContractForDeed[[#This Row],[Princ]])</f>
        <v>60238.350000000013</v>
      </c>
      <c r="Y85" s="467">
        <f>IF(INDEX(tblContractForDeed[Payment],ROW()-ROW(tblBuyerOutputs[#Headers]))=0,0,INDEX(tblContractForDeed[Payment],ROW()-ROW(tblBuyerOutputs[#Headers]))-INDEX(tblSubjectToLoan[Payment],ROW()-ROW(tblBuyerOutputs[#Headers])))</f>
        <v>48.560000000000059</v>
      </c>
      <c r="Z8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53</v>
      </c>
      <c r="AA85"/>
      <c r="AB85" s="14">
        <f>IF(INDEX(tblContractForDeed[Payment],ROW()-ROW(tblBuyerOutputs[#Headers]))=0,0,INDEX(tblContractForDeed[Payment],ROW()-ROW(tblBuyerOutputs[#Headers]))-INDEX(tblSubjectToLoan[Payment],ROW()-ROW(tblBuyerOutputs[#Headers])))-IFERROR(tblBuyerOutputs[[#This Row],[PMI]],0)</f>
        <v>48.560000000000059</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2141.6800000000003</v>
      </c>
      <c r="AD85" s="276">
        <f>IF(INDEX(tblContractForDeed[End Bal],ROW()-ROW(tblBuyerOutputs[#Headers]))&lt;=0,0,($O$6+IF(ROW()=ROW(tblBuyerOutputs[#Headers])+1,0,INDEX(tblBuyerOutputs[Cumul Appr],ROW()-ROW(tblBuyerOutputs[#Headers])-1)))*$AK$2/12)</f>
        <v>0</v>
      </c>
      <c r="AE85" s="276">
        <f>IF(INDEX(tblContractForDeed[End Bal],ROW()-ROW(tblBuyerOutputs[#Headers]))&lt;=0,0,IF(ROW()=ROW(tblBuyerOutputs[#Headers])+1,0,INDEX(tblBuyerOutputs[Cumul Appr],ROW()-ROW(tblBuyerOutputs[#Headers])-1))+tblBuyerOutputs[[#This Row],[Monthly Appr]])</f>
        <v>0</v>
      </c>
    </row>
    <row r="86" spans="1:31" x14ac:dyDescent="0.25">
      <c r="A86" s="613">
        <f t="shared" ref="A86:A149" si="19">IF(K86&lt;=0," ",+A85+30)</f>
        <v>47850</v>
      </c>
      <c r="B86" s="276">
        <f t="shared" si="17"/>
        <v>73516.860000000015</v>
      </c>
      <c r="C86" s="14">
        <f t="shared" si="14"/>
        <v>627.88</v>
      </c>
      <c r="D86" s="14">
        <f t="shared" ref="D86:D149" si="20">+C86-E86</f>
        <v>398.14</v>
      </c>
      <c r="E86" s="14">
        <f t="shared" si="15"/>
        <v>229.74</v>
      </c>
      <c r="F86" s="14">
        <f t="shared" si="13"/>
        <v>134.16999999999999</v>
      </c>
      <c r="G86" s="14">
        <f t="shared" si="13"/>
        <v>188.55</v>
      </c>
      <c r="H86" s="14">
        <f t="shared" si="12"/>
        <v>950.59999999999991</v>
      </c>
      <c r="I86" s="276">
        <f t="shared" ref="I86:I149" si="21">$D86+$I85</f>
        <v>24413.119999999995</v>
      </c>
      <c r="J86" s="276">
        <f t="shared" ref="J86:J149" si="22">$E86+$J85</f>
        <v>17958.680000000004</v>
      </c>
      <c r="K86" s="276">
        <f t="shared" ref="K86:K149" si="23">+B86-D86</f>
        <v>73118.720000000016</v>
      </c>
      <c r="L86" s="394">
        <f t="shared" si="16"/>
        <v>5</v>
      </c>
      <c r="M86" s="394">
        <f t="shared" si="18"/>
        <v>66</v>
      </c>
      <c r="N86" s="613">
        <f>INDEX(tblSubjectToLoan[Date],ROW()-ROW(tblContractForDeed[#Headers]))</f>
        <v>47850</v>
      </c>
      <c r="O86" s="276">
        <f>IF(ROW()=ROW(tblContractForDeed[#Headers])+1,$O$6,IF(INDEX(tblContractForDeed[End Bal],ROW()-ROW(tblContractForDeed[#Headers])-1)&lt;0,0,INDEX(tblContractForDeed[End Bal],ROW()-ROW(tblContractForDeed[#Headers])-1)))</f>
        <v>60238.350000000013</v>
      </c>
      <c r="P86" s="454">
        <f>IF(tblContractForDeed[[#This Row],[Date]]="","",IF(tblContractForDeed[[#This Row],[Date]]&lt;cfdRateChangeDate,cfdRate1,cfdRate2))</f>
        <v>7.0000000000000007E-2</v>
      </c>
      <c r="Q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6" s="276">
        <f>IF(tblContractForDeed[[#This Row],[Payment]]=0,0,MAX(0,MIN(tblContractForDeed[[#This Row],[Beg]],tblContractForDeed[[#This Row],[Payment]]-tblContractForDeed[[#This Row],[Int]])))</f>
        <v>325.05000000000007</v>
      </c>
      <c r="S86" s="276">
        <f>IF(OR(tblContractForDeed[[#This Row],[Date]]&lt;cfdContractDate,tblContractForDeed[[#This Row],[Date]]&gt;cfdEndDate),0,ROUND(tblContractForDeed[[#This Row],[Beg]]*(tblContractForDeed[[#This Row],[Int Rate]]/12),2))</f>
        <v>351.39</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999.16000000000008</v>
      </c>
      <c r="W86" s="276">
        <f>SUM(INDEX(tblContractForDeed[Princ],1):INDEX(tblContractForDeed[Princ],ROW()-ROW(tblContractForDeed[#Headers])))</f>
        <v>15344.7</v>
      </c>
      <c r="X86" s="276">
        <f>IF(tblContractForDeed[[#This Row],[Beg]]&lt;=0,0,tblContractForDeed[[#This Row],[Beg]]-tblContractForDeed[[#This Row],[Princ]])</f>
        <v>59913.30000000001</v>
      </c>
      <c r="Y86" s="467">
        <f>IF(INDEX(tblContractForDeed[Payment],ROW()-ROW(tblBuyerOutputs[#Headers]))=0,0,INDEX(tblContractForDeed[Payment],ROW()-ROW(tblBuyerOutputs[#Headers]))-INDEX(tblSubjectToLoan[Payment],ROW()-ROW(tblBuyerOutputs[#Headers])))</f>
        <v>48.560000000000059</v>
      </c>
      <c r="Z8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54</v>
      </c>
      <c r="AA86"/>
      <c r="AB86" s="14">
        <f>IF(INDEX(tblContractForDeed[Payment],ROW()-ROW(tblBuyerOutputs[#Headers]))=0,0,INDEX(tblContractForDeed[Payment],ROW()-ROW(tblBuyerOutputs[#Headers]))-INDEX(tblSubjectToLoan[Payment],ROW()-ROW(tblBuyerOutputs[#Headers])))-IFERROR(tblBuyerOutputs[[#This Row],[PMI]],0)</f>
        <v>48.560000000000059</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2190.2400000000002</v>
      </c>
      <c r="AD86" s="276">
        <f>IF(INDEX(tblContractForDeed[End Bal],ROW()-ROW(tblBuyerOutputs[#Headers]))&lt;=0,0,($O$6+IF(ROW()=ROW(tblBuyerOutputs[#Headers])+1,0,INDEX(tblBuyerOutputs[Cumul Appr],ROW()-ROW(tblBuyerOutputs[#Headers])-1)))*$AK$2/12)</f>
        <v>0</v>
      </c>
      <c r="AE86" s="276">
        <f>IF(INDEX(tblContractForDeed[End Bal],ROW()-ROW(tblBuyerOutputs[#Headers]))&lt;=0,0,IF(ROW()=ROW(tblBuyerOutputs[#Headers])+1,0,INDEX(tblBuyerOutputs[Cumul Appr],ROW()-ROW(tblBuyerOutputs[#Headers])-1))+tblBuyerOutputs[[#This Row],[Monthly Appr]])</f>
        <v>0</v>
      </c>
    </row>
    <row r="87" spans="1:31" x14ac:dyDescent="0.25">
      <c r="A87" s="613">
        <f t="shared" si="19"/>
        <v>47880</v>
      </c>
      <c r="B87" s="276">
        <f t="shared" si="17"/>
        <v>73118.720000000016</v>
      </c>
      <c r="C87" s="14">
        <f t="shared" si="14"/>
        <v>627.88</v>
      </c>
      <c r="D87" s="14">
        <f t="shared" si="20"/>
        <v>399.38</v>
      </c>
      <c r="E87" s="14">
        <f t="shared" si="15"/>
        <v>228.5</v>
      </c>
      <c r="F87" s="14">
        <f t="shared" si="13"/>
        <v>134.16999999999999</v>
      </c>
      <c r="G87" s="14">
        <f t="shared" si="13"/>
        <v>188.55</v>
      </c>
      <c r="H87" s="14">
        <f t="shared" si="12"/>
        <v>950.59999999999991</v>
      </c>
      <c r="I87" s="276">
        <f t="shared" si="21"/>
        <v>24812.499999999996</v>
      </c>
      <c r="J87" s="276">
        <f t="shared" si="22"/>
        <v>18187.180000000004</v>
      </c>
      <c r="K87" s="276">
        <f t="shared" si="23"/>
        <v>72719.340000000011</v>
      </c>
      <c r="L87" s="394">
        <f t="shared" si="16"/>
        <v>5</v>
      </c>
      <c r="M87" s="394">
        <f t="shared" si="18"/>
        <v>67</v>
      </c>
      <c r="N87" s="613">
        <f>INDEX(tblSubjectToLoan[Date],ROW()-ROW(tblContractForDeed[#Headers]))</f>
        <v>47880</v>
      </c>
      <c r="O87" s="276">
        <f>IF(ROW()=ROW(tblContractForDeed[#Headers])+1,$O$6,IF(INDEX(tblContractForDeed[End Bal],ROW()-ROW(tblContractForDeed[#Headers])-1)&lt;0,0,INDEX(tblContractForDeed[End Bal],ROW()-ROW(tblContractForDeed[#Headers])-1)))</f>
        <v>59913.30000000001</v>
      </c>
      <c r="P87" s="454">
        <f>IF(tblContractForDeed[[#This Row],[Date]]="","",IF(tblContractForDeed[[#This Row],[Date]]&lt;cfdRateChangeDate,cfdRate1,cfdRate2))</f>
        <v>7.0000000000000007E-2</v>
      </c>
      <c r="Q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7" s="276">
        <f>IF(tblContractForDeed[[#This Row],[Payment]]=0,0,MAX(0,MIN(tblContractForDeed[[#This Row],[Beg]],tblContractForDeed[[#This Row],[Payment]]-tblContractForDeed[[#This Row],[Int]])))</f>
        <v>326.95000000000005</v>
      </c>
      <c r="S87" s="276">
        <f>IF(OR(tblContractForDeed[[#This Row],[Date]]&lt;cfdContractDate,tblContractForDeed[[#This Row],[Date]]&gt;cfdEndDate),0,ROUND(tblContractForDeed[[#This Row],[Beg]]*(tblContractForDeed[[#This Row],[Int Rate]]/12),2))</f>
        <v>349.49</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999.16000000000008</v>
      </c>
      <c r="W87" s="276">
        <f>SUM(INDEX(tblContractForDeed[Princ],1):INDEX(tblContractForDeed[Princ],ROW()-ROW(tblContractForDeed[#Headers])))</f>
        <v>15671.650000000001</v>
      </c>
      <c r="X87" s="276">
        <f>IF(tblContractForDeed[[#This Row],[Beg]]&lt;=0,0,tblContractForDeed[[#This Row],[Beg]]-tblContractForDeed[[#This Row],[Princ]])</f>
        <v>59586.350000000013</v>
      </c>
      <c r="Y87" s="467">
        <f>IF(INDEX(tblContractForDeed[Payment],ROW()-ROW(tblBuyerOutputs[#Headers]))=0,0,INDEX(tblContractForDeed[Payment],ROW()-ROW(tblBuyerOutputs[#Headers]))-INDEX(tblSubjectToLoan[Payment],ROW()-ROW(tblBuyerOutputs[#Headers])))</f>
        <v>48.560000000000059</v>
      </c>
      <c r="Z8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55</v>
      </c>
      <c r="AA87"/>
      <c r="AB87" s="14">
        <f>IF(INDEX(tblContractForDeed[Payment],ROW()-ROW(tblBuyerOutputs[#Headers]))=0,0,INDEX(tblContractForDeed[Payment],ROW()-ROW(tblBuyerOutputs[#Headers]))-INDEX(tblSubjectToLoan[Payment],ROW()-ROW(tblBuyerOutputs[#Headers])))-IFERROR(tblBuyerOutputs[[#This Row],[PMI]],0)</f>
        <v>48.560000000000059</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2238.8000000000002</v>
      </c>
      <c r="AD87" s="276">
        <f>IF(INDEX(tblContractForDeed[End Bal],ROW()-ROW(tblBuyerOutputs[#Headers]))&lt;=0,0,($O$6+IF(ROW()=ROW(tblBuyerOutputs[#Headers])+1,0,INDEX(tblBuyerOutputs[Cumul Appr],ROW()-ROW(tblBuyerOutputs[#Headers])-1)))*$AK$2/12)</f>
        <v>0</v>
      </c>
      <c r="AE87" s="276">
        <f>IF(INDEX(tblContractForDeed[End Bal],ROW()-ROW(tblBuyerOutputs[#Headers]))&lt;=0,0,IF(ROW()=ROW(tblBuyerOutputs[#Headers])+1,0,INDEX(tblBuyerOutputs[Cumul Appr],ROW()-ROW(tblBuyerOutputs[#Headers])-1))+tblBuyerOutputs[[#This Row],[Monthly Appr]])</f>
        <v>0</v>
      </c>
    </row>
    <row r="88" spans="1:31" x14ac:dyDescent="0.25">
      <c r="A88" s="613">
        <f t="shared" si="19"/>
        <v>47910</v>
      </c>
      <c r="B88" s="276">
        <f t="shared" si="17"/>
        <v>72719.340000000011</v>
      </c>
      <c r="C88" s="14">
        <f t="shared" si="14"/>
        <v>627.88</v>
      </c>
      <c r="D88" s="14">
        <f t="shared" si="20"/>
        <v>400.63</v>
      </c>
      <c r="E88" s="14">
        <f t="shared" si="15"/>
        <v>227.25</v>
      </c>
      <c r="F88" s="14">
        <f t="shared" si="13"/>
        <v>134.16999999999999</v>
      </c>
      <c r="G88" s="14">
        <f t="shared" si="13"/>
        <v>188.55</v>
      </c>
      <c r="H88" s="14">
        <f t="shared" si="12"/>
        <v>950.59999999999991</v>
      </c>
      <c r="I88" s="276">
        <f t="shared" si="21"/>
        <v>25213.129999999997</v>
      </c>
      <c r="J88" s="276">
        <f t="shared" si="22"/>
        <v>18414.430000000004</v>
      </c>
      <c r="K88" s="276">
        <f t="shared" si="23"/>
        <v>72318.710000000006</v>
      </c>
      <c r="L88" s="394">
        <f t="shared" si="16"/>
        <v>5</v>
      </c>
      <c r="M88" s="394">
        <f t="shared" si="18"/>
        <v>68</v>
      </c>
      <c r="N88" s="613">
        <f>INDEX(tblSubjectToLoan[Date],ROW()-ROW(tblContractForDeed[#Headers]))</f>
        <v>47910</v>
      </c>
      <c r="O88" s="276">
        <f>IF(ROW()=ROW(tblContractForDeed[#Headers])+1,$O$6,IF(INDEX(tblContractForDeed[End Bal],ROW()-ROW(tblContractForDeed[#Headers])-1)&lt;0,0,INDEX(tblContractForDeed[End Bal],ROW()-ROW(tblContractForDeed[#Headers])-1)))</f>
        <v>59586.350000000013</v>
      </c>
      <c r="P88" s="454">
        <f>IF(tblContractForDeed[[#This Row],[Date]]="","",IF(tblContractForDeed[[#This Row],[Date]]&lt;cfdRateChangeDate,cfdRate1,cfdRate2))</f>
        <v>7.0000000000000007E-2</v>
      </c>
      <c r="Q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8" s="276">
        <f>IF(tblContractForDeed[[#This Row],[Payment]]=0,0,MAX(0,MIN(tblContractForDeed[[#This Row],[Beg]],tblContractForDeed[[#This Row],[Payment]]-tblContractForDeed[[#This Row],[Int]])))</f>
        <v>328.85000000000008</v>
      </c>
      <c r="S88" s="276">
        <f>IF(OR(tblContractForDeed[[#This Row],[Date]]&lt;cfdContractDate,tblContractForDeed[[#This Row],[Date]]&gt;cfdEndDate),0,ROUND(tblContractForDeed[[#This Row],[Beg]]*(tblContractForDeed[[#This Row],[Int Rate]]/12),2))</f>
        <v>347.59</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999.16000000000008</v>
      </c>
      <c r="W88" s="276">
        <f>SUM(INDEX(tblContractForDeed[Princ],1):INDEX(tblContractForDeed[Princ],ROW()-ROW(tblContractForDeed[#Headers])))</f>
        <v>16000.500000000002</v>
      </c>
      <c r="X88" s="276">
        <f>IF(tblContractForDeed[[#This Row],[Beg]]&lt;=0,0,tblContractForDeed[[#This Row],[Beg]]-tblContractForDeed[[#This Row],[Princ]])</f>
        <v>59257.500000000015</v>
      </c>
      <c r="Y88" s="467">
        <f>IF(INDEX(tblContractForDeed[Payment],ROW()-ROW(tblBuyerOutputs[#Headers]))=0,0,INDEX(tblContractForDeed[Payment],ROW()-ROW(tblBuyerOutputs[#Headers]))-INDEX(tblSubjectToLoan[Payment],ROW()-ROW(tblBuyerOutputs[#Headers])))</f>
        <v>48.560000000000059</v>
      </c>
      <c r="Z8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56</v>
      </c>
      <c r="AA88"/>
      <c r="AB88" s="14">
        <f>IF(INDEX(tblContractForDeed[Payment],ROW()-ROW(tblBuyerOutputs[#Headers]))=0,0,INDEX(tblContractForDeed[Payment],ROW()-ROW(tblBuyerOutputs[#Headers]))-INDEX(tblSubjectToLoan[Payment],ROW()-ROW(tblBuyerOutputs[#Headers])))-IFERROR(tblBuyerOutputs[[#This Row],[PMI]],0)</f>
        <v>48.560000000000059</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2287.36</v>
      </c>
      <c r="AD88" s="276">
        <f>IF(INDEX(tblContractForDeed[End Bal],ROW()-ROW(tblBuyerOutputs[#Headers]))&lt;=0,0,($O$6+IF(ROW()=ROW(tblBuyerOutputs[#Headers])+1,0,INDEX(tblBuyerOutputs[Cumul Appr],ROW()-ROW(tblBuyerOutputs[#Headers])-1)))*$AK$2/12)</f>
        <v>0</v>
      </c>
      <c r="AE88" s="276">
        <f>IF(INDEX(tblContractForDeed[End Bal],ROW()-ROW(tblBuyerOutputs[#Headers]))&lt;=0,0,IF(ROW()=ROW(tblBuyerOutputs[#Headers])+1,0,INDEX(tblBuyerOutputs[Cumul Appr],ROW()-ROW(tblBuyerOutputs[#Headers])-1))+tblBuyerOutputs[[#This Row],[Monthly Appr]])</f>
        <v>0</v>
      </c>
    </row>
    <row r="89" spans="1:31" x14ac:dyDescent="0.25">
      <c r="A89" s="613">
        <f t="shared" si="19"/>
        <v>47940</v>
      </c>
      <c r="B89" s="276">
        <f t="shared" si="17"/>
        <v>72318.710000000006</v>
      </c>
      <c r="C89" s="14">
        <f t="shared" si="14"/>
        <v>627.88</v>
      </c>
      <c r="D89" s="14">
        <f t="shared" si="20"/>
        <v>401.88</v>
      </c>
      <c r="E89" s="14">
        <f t="shared" si="15"/>
        <v>226</v>
      </c>
      <c r="F89" s="14">
        <f t="shared" si="13"/>
        <v>134.16999999999999</v>
      </c>
      <c r="G89" s="14">
        <f t="shared" si="13"/>
        <v>188.55</v>
      </c>
      <c r="H89" s="14">
        <f t="shared" si="12"/>
        <v>950.59999999999991</v>
      </c>
      <c r="I89" s="276">
        <f t="shared" si="21"/>
        <v>25615.01</v>
      </c>
      <c r="J89" s="276">
        <f t="shared" si="22"/>
        <v>18640.430000000004</v>
      </c>
      <c r="K89" s="276">
        <f t="shared" si="23"/>
        <v>71916.83</v>
      </c>
      <c r="L89" s="394">
        <f t="shared" si="16"/>
        <v>5</v>
      </c>
      <c r="M89" s="394">
        <f t="shared" si="18"/>
        <v>69</v>
      </c>
      <c r="N89" s="613">
        <f>INDEX(tblSubjectToLoan[Date],ROW()-ROW(tblContractForDeed[#Headers]))</f>
        <v>47940</v>
      </c>
      <c r="O89" s="276">
        <f>IF(ROW()=ROW(tblContractForDeed[#Headers])+1,$O$6,IF(INDEX(tblContractForDeed[End Bal],ROW()-ROW(tblContractForDeed[#Headers])-1)&lt;0,0,INDEX(tblContractForDeed[End Bal],ROW()-ROW(tblContractForDeed[#Headers])-1)))</f>
        <v>59257.500000000015</v>
      </c>
      <c r="P89" s="454">
        <f>IF(tblContractForDeed[[#This Row],[Date]]="","",IF(tblContractForDeed[[#This Row],[Date]]&lt;cfdRateChangeDate,cfdRate1,cfdRate2))</f>
        <v>7.0000000000000007E-2</v>
      </c>
      <c r="Q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9" s="276">
        <f>IF(tblContractForDeed[[#This Row],[Payment]]=0,0,MAX(0,MIN(tblContractForDeed[[#This Row],[Beg]],tblContractForDeed[[#This Row],[Payment]]-tblContractForDeed[[#This Row],[Int]])))</f>
        <v>330.77000000000004</v>
      </c>
      <c r="S89" s="276">
        <f>IF(OR(tblContractForDeed[[#This Row],[Date]]&lt;cfdContractDate,tblContractForDeed[[#This Row],[Date]]&gt;cfdEndDate),0,ROUND(tblContractForDeed[[#This Row],[Beg]]*(tblContractForDeed[[#This Row],[Int Rate]]/12),2))</f>
        <v>345.67</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999.16000000000008</v>
      </c>
      <c r="W89" s="276">
        <f>SUM(INDEX(tblContractForDeed[Princ],1):INDEX(tblContractForDeed[Princ],ROW()-ROW(tblContractForDeed[#Headers])))</f>
        <v>16331.270000000002</v>
      </c>
      <c r="X89" s="276">
        <f>IF(tblContractForDeed[[#This Row],[Beg]]&lt;=0,0,tblContractForDeed[[#This Row],[Beg]]-tblContractForDeed[[#This Row],[Princ]])</f>
        <v>58926.730000000018</v>
      </c>
      <c r="Y89" s="467">
        <f>IF(INDEX(tblContractForDeed[Payment],ROW()-ROW(tblBuyerOutputs[#Headers]))=0,0,INDEX(tblContractForDeed[Payment],ROW()-ROW(tblBuyerOutputs[#Headers]))-INDEX(tblSubjectToLoan[Payment],ROW()-ROW(tblBuyerOutputs[#Headers])))</f>
        <v>48.560000000000059</v>
      </c>
      <c r="Z8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57</v>
      </c>
      <c r="AA89"/>
      <c r="AB89" s="14">
        <f>IF(INDEX(tblContractForDeed[Payment],ROW()-ROW(tblBuyerOutputs[#Headers]))=0,0,INDEX(tblContractForDeed[Payment],ROW()-ROW(tblBuyerOutputs[#Headers]))-INDEX(tblSubjectToLoan[Payment],ROW()-ROW(tblBuyerOutputs[#Headers])))-IFERROR(tblBuyerOutputs[[#This Row],[PMI]],0)</f>
        <v>48.560000000000059</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2335.92</v>
      </c>
      <c r="AD89" s="276">
        <f>IF(INDEX(tblContractForDeed[End Bal],ROW()-ROW(tblBuyerOutputs[#Headers]))&lt;=0,0,($O$6+IF(ROW()=ROW(tblBuyerOutputs[#Headers])+1,0,INDEX(tblBuyerOutputs[Cumul Appr],ROW()-ROW(tblBuyerOutputs[#Headers])-1)))*$AK$2/12)</f>
        <v>0</v>
      </c>
      <c r="AE89" s="276">
        <f>IF(INDEX(tblContractForDeed[End Bal],ROW()-ROW(tblBuyerOutputs[#Headers]))&lt;=0,0,IF(ROW()=ROW(tblBuyerOutputs[#Headers])+1,0,INDEX(tblBuyerOutputs[Cumul Appr],ROW()-ROW(tblBuyerOutputs[#Headers])-1))+tblBuyerOutputs[[#This Row],[Monthly Appr]])</f>
        <v>0</v>
      </c>
    </row>
    <row r="90" spans="1:31" x14ac:dyDescent="0.25">
      <c r="A90" s="613">
        <f t="shared" si="19"/>
        <v>47970</v>
      </c>
      <c r="B90" s="276">
        <f t="shared" si="17"/>
        <v>71916.83</v>
      </c>
      <c r="C90" s="14">
        <f t="shared" si="14"/>
        <v>627.88</v>
      </c>
      <c r="D90" s="14">
        <f t="shared" si="20"/>
        <v>403.14</v>
      </c>
      <c r="E90" s="14">
        <f t="shared" si="15"/>
        <v>224.74</v>
      </c>
      <c r="F90" s="14">
        <f t="shared" si="13"/>
        <v>134.16999999999999</v>
      </c>
      <c r="G90" s="14">
        <f t="shared" si="13"/>
        <v>188.55</v>
      </c>
      <c r="H90" s="14">
        <f t="shared" si="12"/>
        <v>950.59999999999991</v>
      </c>
      <c r="I90" s="276">
        <f t="shared" si="21"/>
        <v>26018.149999999998</v>
      </c>
      <c r="J90" s="276">
        <f t="shared" si="22"/>
        <v>18865.170000000006</v>
      </c>
      <c r="K90" s="276">
        <f t="shared" si="23"/>
        <v>71513.69</v>
      </c>
      <c r="L90" s="394">
        <f t="shared" si="16"/>
        <v>5</v>
      </c>
      <c r="M90" s="394">
        <f t="shared" si="18"/>
        <v>70</v>
      </c>
      <c r="N90" s="613">
        <f>INDEX(tblSubjectToLoan[Date],ROW()-ROW(tblContractForDeed[#Headers]))</f>
        <v>47970</v>
      </c>
      <c r="O90" s="276">
        <f>IF(ROW()=ROW(tblContractForDeed[#Headers])+1,$O$6,IF(INDEX(tblContractForDeed[End Bal],ROW()-ROW(tblContractForDeed[#Headers])-1)&lt;0,0,INDEX(tblContractForDeed[End Bal],ROW()-ROW(tblContractForDeed[#Headers])-1)))</f>
        <v>58926.730000000018</v>
      </c>
      <c r="P90" s="454">
        <f>IF(tblContractForDeed[[#This Row],[Date]]="","",IF(tblContractForDeed[[#This Row],[Date]]&lt;cfdRateChangeDate,cfdRate1,cfdRate2))</f>
        <v>7.0000000000000007E-2</v>
      </c>
      <c r="Q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90" s="276">
        <f>IF(tblContractForDeed[[#This Row],[Payment]]=0,0,MAX(0,MIN(tblContractForDeed[[#This Row],[Beg]],tblContractForDeed[[#This Row],[Payment]]-tblContractForDeed[[#This Row],[Int]])))</f>
        <v>332.70000000000005</v>
      </c>
      <c r="S90" s="276">
        <f>IF(OR(tblContractForDeed[[#This Row],[Date]]&lt;cfdContractDate,tblContractForDeed[[#This Row],[Date]]&gt;cfdEndDate),0,ROUND(tblContractForDeed[[#This Row],[Beg]]*(tblContractForDeed[[#This Row],[Int Rate]]/12),2))</f>
        <v>343.74</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999.16000000000008</v>
      </c>
      <c r="W90" s="276">
        <f>SUM(INDEX(tblContractForDeed[Princ],1):INDEX(tblContractForDeed[Princ],ROW()-ROW(tblContractForDeed[#Headers])))</f>
        <v>16663.97</v>
      </c>
      <c r="X90" s="276">
        <f>IF(tblContractForDeed[[#This Row],[Beg]]&lt;=0,0,tblContractForDeed[[#This Row],[Beg]]-tblContractForDeed[[#This Row],[Princ]])</f>
        <v>58594.030000000021</v>
      </c>
      <c r="Y90" s="467">
        <f>IF(INDEX(tblContractForDeed[Payment],ROW()-ROW(tblBuyerOutputs[#Headers]))=0,0,INDEX(tblContractForDeed[Payment],ROW()-ROW(tblBuyerOutputs[#Headers]))-INDEX(tblSubjectToLoan[Payment],ROW()-ROW(tblBuyerOutputs[#Headers])))</f>
        <v>48.560000000000059</v>
      </c>
      <c r="Z9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58</v>
      </c>
      <c r="AA90"/>
      <c r="AB90" s="14">
        <f>IF(INDEX(tblContractForDeed[Payment],ROW()-ROW(tblBuyerOutputs[#Headers]))=0,0,INDEX(tblContractForDeed[Payment],ROW()-ROW(tblBuyerOutputs[#Headers]))-INDEX(tblSubjectToLoan[Payment],ROW()-ROW(tblBuyerOutputs[#Headers])))-IFERROR(tblBuyerOutputs[[#This Row],[PMI]],0)</f>
        <v>48.560000000000059</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2384.48</v>
      </c>
      <c r="AD90" s="276">
        <f>IF(INDEX(tblContractForDeed[End Bal],ROW()-ROW(tblBuyerOutputs[#Headers]))&lt;=0,0,($O$6+IF(ROW()=ROW(tblBuyerOutputs[#Headers])+1,0,INDEX(tblBuyerOutputs[Cumul Appr],ROW()-ROW(tblBuyerOutputs[#Headers])-1)))*$AK$2/12)</f>
        <v>0</v>
      </c>
      <c r="AE90" s="276">
        <f>IF(INDEX(tblContractForDeed[End Bal],ROW()-ROW(tblBuyerOutputs[#Headers]))&lt;=0,0,IF(ROW()=ROW(tblBuyerOutputs[#Headers])+1,0,INDEX(tblBuyerOutputs[Cumul Appr],ROW()-ROW(tblBuyerOutputs[#Headers])-1))+tblBuyerOutputs[[#This Row],[Monthly Appr]])</f>
        <v>0</v>
      </c>
    </row>
    <row r="91" spans="1:31" ht="15.75" thickBot="1" x14ac:dyDescent="0.3">
      <c r="A91" s="615">
        <f t="shared" si="19"/>
        <v>48000</v>
      </c>
      <c r="B91" s="332">
        <f t="shared" si="17"/>
        <v>71513.69</v>
      </c>
      <c r="C91" s="21">
        <f t="shared" si="14"/>
        <v>627.88</v>
      </c>
      <c r="D91" s="21">
        <f t="shared" si="20"/>
        <v>404.4</v>
      </c>
      <c r="E91" s="21">
        <f t="shared" si="15"/>
        <v>223.48</v>
      </c>
      <c r="F91" s="21">
        <f t="shared" si="13"/>
        <v>134.16999999999999</v>
      </c>
      <c r="G91" s="21">
        <f t="shared" si="13"/>
        <v>188.55</v>
      </c>
      <c r="H91" s="21">
        <f t="shared" si="12"/>
        <v>950.59999999999991</v>
      </c>
      <c r="I91" s="332">
        <f t="shared" si="21"/>
        <v>26422.55</v>
      </c>
      <c r="J91" s="332">
        <f t="shared" si="22"/>
        <v>19088.650000000005</v>
      </c>
      <c r="K91" s="332">
        <f t="shared" si="23"/>
        <v>71109.290000000008</v>
      </c>
      <c r="L91" s="395">
        <f t="shared" si="16"/>
        <v>5</v>
      </c>
      <c r="M91" s="395">
        <f t="shared" si="18"/>
        <v>71</v>
      </c>
      <c r="N91" s="615">
        <f>INDEX(tblSubjectToLoan[Date],ROW()-ROW(tblContractForDeed[#Headers]))</f>
        <v>48000</v>
      </c>
      <c r="O91" s="332">
        <f>IF(ROW()=ROW(tblContractForDeed[#Headers])+1,$O$6,IF(INDEX(tblContractForDeed[End Bal],ROW()-ROW(tblContractForDeed[#Headers])-1)&lt;0,0,INDEX(tblContractForDeed[End Bal],ROW()-ROW(tblContractForDeed[#Headers])-1)))</f>
        <v>58594.030000000021</v>
      </c>
      <c r="P91" s="454">
        <f>IF(tblContractForDeed[[#This Row],[Date]]="","",IF(tblContractForDeed[[#This Row],[Date]]&lt;cfdRateChangeDate,cfdRate1,cfdRate2))</f>
        <v>7.0000000000000007E-2</v>
      </c>
      <c r="Q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91" s="332">
        <f>IF(tblContractForDeed[[#This Row],[Payment]]=0,0,MAX(0,MIN(tblContractForDeed[[#This Row],[Beg]],tblContractForDeed[[#This Row],[Payment]]-tblContractForDeed[[#This Row],[Int]])))</f>
        <v>334.64000000000004</v>
      </c>
      <c r="S91" s="332">
        <f>IF(OR(tblContractForDeed[[#This Row],[Date]]&lt;cfdContractDate,tblContractForDeed[[#This Row],[Date]]&gt;cfdEndDate),0,ROUND(tblContractForDeed[[#This Row],[Beg]]*(tblContractForDeed[[#This Row],[Int Rate]]/12),2))</f>
        <v>341.8</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999.16000000000008</v>
      </c>
      <c r="W91" s="332">
        <f>SUM(INDEX(tblContractForDeed[Princ],1):INDEX(tblContractForDeed[Princ],ROW()-ROW(tblContractForDeed[#Headers])))</f>
        <v>16998.61</v>
      </c>
      <c r="X91" s="332">
        <f>IF(tblContractForDeed[[#This Row],[Beg]]&lt;=0,0,tblContractForDeed[[#This Row],[Beg]]-tblContractForDeed[[#This Row],[Princ]])</f>
        <v>58259.390000000021</v>
      </c>
      <c r="Y91" s="468">
        <f>IF(INDEX(tblContractForDeed[Payment],ROW()-ROW(tblBuyerOutputs[#Headers]))=0,0,INDEX(tblContractForDeed[Payment],ROW()-ROW(tblBuyerOutputs[#Headers]))-INDEX(tblSubjectToLoan[Payment],ROW()-ROW(tblBuyerOutputs[#Headers])))</f>
        <v>48.560000000000059</v>
      </c>
      <c r="Z9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59</v>
      </c>
      <c r="AA91" s="23"/>
      <c r="AB91" s="21">
        <f>IF(INDEX(tblContractForDeed[Payment],ROW()-ROW(tblBuyerOutputs[#Headers]))=0,0,INDEX(tblContractForDeed[Payment],ROW()-ROW(tblBuyerOutputs[#Headers]))-INDEX(tblSubjectToLoan[Payment],ROW()-ROW(tblBuyerOutputs[#Headers])))-IFERROR(tblBuyerOutputs[[#This Row],[PMI]],0)</f>
        <v>48.560000000000059</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2433.04</v>
      </c>
      <c r="AD91" s="332">
        <f>IF(INDEX(tblContractForDeed[End Bal],ROW()-ROW(tblBuyerOutputs[#Headers]))&lt;=0,0,($O$6+IF(ROW()=ROW(tblBuyerOutputs[#Headers])+1,0,INDEX(tblBuyerOutputs[Cumul Appr],ROW()-ROW(tblBuyerOutputs[#Headers])-1)))*$AK$2/12)</f>
        <v>0</v>
      </c>
      <c r="AE91" s="332">
        <f>IF(INDEX(tblContractForDeed[End Bal],ROW()-ROW(tblBuyerOutputs[#Headers]))&lt;=0,0,IF(ROW()=ROW(tblBuyerOutputs[#Headers])+1,0,INDEX(tblBuyerOutputs[Cumul Appr],ROW()-ROW(tblBuyerOutputs[#Headers])-1))+tblBuyerOutputs[[#This Row],[Monthly Appr]])</f>
        <v>0</v>
      </c>
    </row>
    <row r="92" spans="1:31" x14ac:dyDescent="0.25">
      <c r="A92" s="613">
        <f t="shared" si="19"/>
        <v>48030</v>
      </c>
      <c r="B92" s="276">
        <f t="shared" si="17"/>
        <v>71109.290000000008</v>
      </c>
      <c r="C92" s="14">
        <f t="shared" si="14"/>
        <v>627.88</v>
      </c>
      <c r="D92" s="14">
        <f t="shared" si="20"/>
        <v>405.65999999999997</v>
      </c>
      <c r="E92" s="14">
        <f t="shared" si="15"/>
        <v>222.22</v>
      </c>
      <c r="F92" s="14">
        <f t="shared" si="13"/>
        <v>134.16999999999999</v>
      </c>
      <c r="G92" s="14">
        <f t="shared" si="13"/>
        <v>188.55</v>
      </c>
      <c r="H92" s="14">
        <f t="shared" si="12"/>
        <v>950.59999999999991</v>
      </c>
      <c r="I92" s="276">
        <f t="shared" si="21"/>
        <v>26828.21</v>
      </c>
      <c r="J92" s="276">
        <f t="shared" si="22"/>
        <v>19310.870000000006</v>
      </c>
      <c r="K92" s="276">
        <f t="shared" si="23"/>
        <v>70703.63</v>
      </c>
      <c r="L92" s="394">
        <f t="shared" si="16"/>
        <v>6</v>
      </c>
      <c r="M92" s="394">
        <f t="shared" si="18"/>
        <v>72</v>
      </c>
      <c r="N92" s="613">
        <f>INDEX(tblSubjectToLoan[Date],ROW()-ROW(tblContractForDeed[#Headers]))</f>
        <v>48030</v>
      </c>
      <c r="O92" s="276">
        <f>IF(ROW()=ROW(tblContractForDeed[#Headers])+1,$O$6,IF(INDEX(tblContractForDeed[End Bal],ROW()-ROW(tblContractForDeed[#Headers])-1)&lt;0,0,INDEX(tblContractForDeed[End Bal],ROW()-ROW(tblContractForDeed[#Headers])-1)))</f>
        <v>58259.390000000021</v>
      </c>
      <c r="P92" s="454">
        <f>IF(tblContractForDeed[[#This Row],[Date]]="","",IF(tblContractForDeed[[#This Row],[Date]]&lt;cfdRateChangeDate,cfdRate1,cfdRate2))</f>
        <v>7.7499999999999999E-2</v>
      </c>
      <c r="Q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2" s="276">
        <f>IF(tblContractForDeed[[#This Row],[Payment]]=0,0,MAX(0,MIN(tblContractForDeed[[#This Row],[Beg]],tblContractForDeed[[#This Row],[Payment]]-tblContractForDeed[[#This Row],[Int]])))</f>
        <v>322.90999999999997</v>
      </c>
      <c r="S92" s="276">
        <f>IF(OR(tblContractForDeed[[#This Row],[Date]]&lt;cfdContractDate,tblContractForDeed[[#This Row],[Date]]&gt;cfdEndDate),0,ROUND(tblContractForDeed[[#This Row],[Beg]]*(tblContractForDeed[[#This Row],[Int Rate]]/12),2))</f>
        <v>376.26</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1021.8899999999999</v>
      </c>
      <c r="W92" s="276">
        <f>SUM(INDEX(tblContractForDeed[Princ],1):INDEX(tblContractForDeed[Princ],ROW()-ROW(tblContractForDeed[#Headers])))</f>
        <v>17321.52</v>
      </c>
      <c r="X92" s="276">
        <f>IF(tblContractForDeed[[#This Row],[Beg]]&lt;=0,0,tblContractForDeed[[#This Row],[Beg]]-tblContractForDeed[[#This Row],[Princ]])</f>
        <v>57936.480000000018</v>
      </c>
      <c r="Y92" s="467">
        <f>IF(INDEX(tblContractForDeed[Payment],ROW()-ROW(tblBuyerOutputs[#Headers]))=0,0,INDEX(tblContractForDeed[Payment],ROW()-ROW(tblBuyerOutputs[#Headers]))-INDEX(tblSubjectToLoan[Payment],ROW()-ROW(tblBuyerOutputs[#Headers])))</f>
        <v>71.289999999999964</v>
      </c>
      <c r="Z9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60</v>
      </c>
      <c r="AA92"/>
      <c r="AB92" s="14">
        <f>IF(INDEX(tblContractForDeed[Payment],ROW()-ROW(tblBuyerOutputs[#Headers]))=0,0,INDEX(tblContractForDeed[Payment],ROW()-ROW(tblBuyerOutputs[#Headers]))-INDEX(tblSubjectToLoan[Payment],ROW()-ROW(tblBuyerOutputs[#Headers])))-IFERROR(tblBuyerOutputs[[#This Row],[PMI]],0)</f>
        <v>71.289999999999964</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2504.33</v>
      </c>
      <c r="AD92" s="276">
        <f>IF(INDEX(tblContractForDeed[End Bal],ROW()-ROW(tblBuyerOutputs[#Headers]))&lt;=0,0,($O$6+IF(ROW()=ROW(tblBuyerOutputs[#Headers])+1,0,INDEX(tblBuyerOutputs[Cumul Appr],ROW()-ROW(tblBuyerOutputs[#Headers])-1)))*$AK$2/12)</f>
        <v>0</v>
      </c>
      <c r="AE92" s="276">
        <f>IF(INDEX(tblContractForDeed[End Bal],ROW()-ROW(tblBuyerOutputs[#Headers]))&lt;=0,0,IF(ROW()=ROW(tblBuyerOutputs[#Headers])+1,0,INDEX(tblBuyerOutputs[Cumul Appr],ROW()-ROW(tblBuyerOutputs[#Headers])-1))+tblBuyerOutputs[[#This Row],[Monthly Appr]])</f>
        <v>0</v>
      </c>
    </row>
    <row r="93" spans="1:31" x14ac:dyDescent="0.25">
      <c r="A93" s="613">
        <f t="shared" si="19"/>
        <v>48060</v>
      </c>
      <c r="B93" s="276">
        <f t="shared" si="17"/>
        <v>70703.63</v>
      </c>
      <c r="C93" s="14">
        <f t="shared" si="14"/>
        <v>627.88</v>
      </c>
      <c r="D93" s="14">
        <f t="shared" si="20"/>
        <v>406.93</v>
      </c>
      <c r="E93" s="14">
        <f t="shared" si="15"/>
        <v>220.95</v>
      </c>
      <c r="F93" s="14">
        <f t="shared" si="13"/>
        <v>134.16999999999999</v>
      </c>
      <c r="G93" s="14">
        <f t="shared" si="13"/>
        <v>188.55</v>
      </c>
      <c r="H93" s="14">
        <f t="shared" si="12"/>
        <v>950.59999999999991</v>
      </c>
      <c r="I93" s="276">
        <f t="shared" si="21"/>
        <v>27235.14</v>
      </c>
      <c r="J93" s="276">
        <f t="shared" si="22"/>
        <v>19531.820000000007</v>
      </c>
      <c r="K93" s="276">
        <f t="shared" si="23"/>
        <v>70296.700000000012</v>
      </c>
      <c r="L93" s="394">
        <f t="shared" si="16"/>
        <v>6</v>
      </c>
      <c r="M93" s="394">
        <f t="shared" si="18"/>
        <v>73</v>
      </c>
      <c r="N93" s="613">
        <f>INDEX(tblSubjectToLoan[Date],ROW()-ROW(tblContractForDeed[#Headers]))</f>
        <v>48060</v>
      </c>
      <c r="O93" s="276">
        <f>IF(ROW()=ROW(tblContractForDeed[#Headers])+1,$O$6,IF(INDEX(tblContractForDeed[End Bal],ROW()-ROW(tblContractForDeed[#Headers])-1)&lt;0,0,INDEX(tblContractForDeed[End Bal],ROW()-ROW(tblContractForDeed[#Headers])-1)))</f>
        <v>57936.480000000018</v>
      </c>
      <c r="P93" s="454">
        <f>IF(tblContractForDeed[[#This Row],[Date]]="","",IF(tblContractForDeed[[#This Row],[Date]]&lt;cfdRateChangeDate,cfdRate1,cfdRate2))</f>
        <v>7.7499999999999999E-2</v>
      </c>
      <c r="Q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3" s="276">
        <f>IF(tblContractForDeed[[#This Row],[Payment]]=0,0,MAX(0,MIN(tblContractForDeed[[#This Row],[Beg]],tblContractForDeed[[#This Row],[Payment]]-tblContractForDeed[[#This Row],[Int]])))</f>
        <v>324.99999999999994</v>
      </c>
      <c r="S93" s="276">
        <f>IF(OR(tblContractForDeed[[#This Row],[Date]]&lt;cfdContractDate,tblContractForDeed[[#This Row],[Date]]&gt;cfdEndDate),0,ROUND(tblContractForDeed[[#This Row],[Beg]]*(tblContractForDeed[[#This Row],[Int Rate]]/12),2))</f>
        <v>374.17</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1021.8899999999999</v>
      </c>
      <c r="W93" s="276">
        <f>SUM(INDEX(tblContractForDeed[Princ],1):INDEX(tblContractForDeed[Princ],ROW()-ROW(tblContractForDeed[#Headers])))</f>
        <v>17646.52</v>
      </c>
      <c r="X93" s="276">
        <f>IF(tblContractForDeed[[#This Row],[Beg]]&lt;=0,0,tblContractForDeed[[#This Row],[Beg]]-tblContractForDeed[[#This Row],[Princ]])</f>
        <v>57611.480000000018</v>
      </c>
      <c r="Y93" s="467">
        <f>IF(INDEX(tblContractForDeed[Payment],ROW()-ROW(tblBuyerOutputs[#Headers]))=0,0,INDEX(tblContractForDeed[Payment],ROW()-ROW(tblBuyerOutputs[#Headers]))-INDEX(tblSubjectToLoan[Payment],ROW()-ROW(tblBuyerOutputs[#Headers])))</f>
        <v>71.289999999999964</v>
      </c>
      <c r="Z9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61</v>
      </c>
      <c r="AA93"/>
      <c r="AB93" s="14">
        <f>IF(INDEX(tblContractForDeed[Payment],ROW()-ROW(tblBuyerOutputs[#Headers]))=0,0,INDEX(tblContractForDeed[Payment],ROW()-ROW(tblBuyerOutputs[#Headers]))-INDEX(tblSubjectToLoan[Payment],ROW()-ROW(tblBuyerOutputs[#Headers])))-IFERROR(tblBuyerOutputs[[#This Row],[PMI]],0)</f>
        <v>71.289999999999964</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2575.62</v>
      </c>
      <c r="AD93" s="276">
        <f>IF(INDEX(tblContractForDeed[End Bal],ROW()-ROW(tblBuyerOutputs[#Headers]))&lt;=0,0,($O$6+IF(ROW()=ROW(tblBuyerOutputs[#Headers])+1,0,INDEX(tblBuyerOutputs[Cumul Appr],ROW()-ROW(tblBuyerOutputs[#Headers])-1)))*$AK$2/12)</f>
        <v>0</v>
      </c>
      <c r="AE93" s="276">
        <f>IF(INDEX(tblContractForDeed[End Bal],ROW()-ROW(tblBuyerOutputs[#Headers]))&lt;=0,0,IF(ROW()=ROW(tblBuyerOutputs[#Headers])+1,0,INDEX(tblBuyerOutputs[Cumul Appr],ROW()-ROW(tblBuyerOutputs[#Headers])-1))+tblBuyerOutputs[[#This Row],[Monthly Appr]])</f>
        <v>0</v>
      </c>
    </row>
    <row r="94" spans="1:31" x14ac:dyDescent="0.25">
      <c r="A94" s="613">
        <f t="shared" si="19"/>
        <v>48090</v>
      </c>
      <c r="B94" s="276">
        <f t="shared" si="17"/>
        <v>70296.700000000012</v>
      </c>
      <c r="C94" s="14">
        <f t="shared" si="14"/>
        <v>627.88</v>
      </c>
      <c r="D94" s="14">
        <f t="shared" si="20"/>
        <v>408.2</v>
      </c>
      <c r="E94" s="14">
        <f t="shared" si="15"/>
        <v>219.68</v>
      </c>
      <c r="F94" s="14">
        <f t="shared" si="13"/>
        <v>134.16999999999999</v>
      </c>
      <c r="G94" s="14">
        <f t="shared" si="13"/>
        <v>188.55</v>
      </c>
      <c r="H94" s="14">
        <f t="shared" si="12"/>
        <v>950.59999999999991</v>
      </c>
      <c r="I94" s="276">
        <f t="shared" si="21"/>
        <v>27643.34</v>
      </c>
      <c r="J94" s="276">
        <f t="shared" si="22"/>
        <v>19751.500000000007</v>
      </c>
      <c r="K94" s="276">
        <f t="shared" si="23"/>
        <v>69888.500000000015</v>
      </c>
      <c r="L94" s="394">
        <f t="shared" si="16"/>
        <v>6</v>
      </c>
      <c r="M94" s="394">
        <f t="shared" si="18"/>
        <v>74</v>
      </c>
      <c r="N94" s="613">
        <f>INDEX(tblSubjectToLoan[Date],ROW()-ROW(tblContractForDeed[#Headers]))</f>
        <v>48090</v>
      </c>
      <c r="O94" s="276">
        <f>IF(ROW()=ROW(tblContractForDeed[#Headers])+1,$O$6,IF(INDEX(tblContractForDeed[End Bal],ROW()-ROW(tblContractForDeed[#Headers])-1)&lt;0,0,INDEX(tblContractForDeed[End Bal],ROW()-ROW(tblContractForDeed[#Headers])-1)))</f>
        <v>57611.480000000018</v>
      </c>
      <c r="P94" s="454">
        <f>IF(tblContractForDeed[[#This Row],[Date]]="","",IF(tblContractForDeed[[#This Row],[Date]]&lt;cfdRateChangeDate,cfdRate1,cfdRate2))</f>
        <v>7.7499999999999999E-2</v>
      </c>
      <c r="Q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4" s="276">
        <f>IF(tblContractForDeed[[#This Row],[Payment]]=0,0,MAX(0,MIN(tblContractForDeed[[#This Row],[Beg]],tblContractForDeed[[#This Row],[Payment]]-tblContractForDeed[[#This Row],[Int]])))</f>
        <v>327.09999999999997</v>
      </c>
      <c r="S94" s="276">
        <f>IF(OR(tblContractForDeed[[#This Row],[Date]]&lt;cfdContractDate,tblContractForDeed[[#This Row],[Date]]&gt;cfdEndDate),0,ROUND(tblContractForDeed[[#This Row],[Beg]]*(tblContractForDeed[[#This Row],[Int Rate]]/12),2))</f>
        <v>372.07</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1021.8899999999999</v>
      </c>
      <c r="W94" s="276">
        <f>SUM(INDEX(tblContractForDeed[Princ],1):INDEX(tblContractForDeed[Princ],ROW()-ROW(tblContractForDeed[#Headers])))</f>
        <v>17973.62</v>
      </c>
      <c r="X94" s="276">
        <f>IF(tblContractForDeed[[#This Row],[Beg]]&lt;=0,0,tblContractForDeed[[#This Row],[Beg]]-tblContractForDeed[[#This Row],[Princ]])</f>
        <v>57284.380000000019</v>
      </c>
      <c r="Y94" s="467">
        <f>IF(INDEX(tblContractForDeed[Payment],ROW()-ROW(tblBuyerOutputs[#Headers]))=0,0,INDEX(tblContractForDeed[Payment],ROW()-ROW(tblBuyerOutputs[#Headers]))-INDEX(tblSubjectToLoan[Payment],ROW()-ROW(tblBuyerOutputs[#Headers])))</f>
        <v>71.289999999999964</v>
      </c>
      <c r="Z9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62</v>
      </c>
      <c r="AA94"/>
      <c r="AB94" s="14">
        <f>IF(INDEX(tblContractForDeed[Payment],ROW()-ROW(tblBuyerOutputs[#Headers]))=0,0,INDEX(tblContractForDeed[Payment],ROW()-ROW(tblBuyerOutputs[#Headers]))-INDEX(tblSubjectToLoan[Payment],ROW()-ROW(tblBuyerOutputs[#Headers])))-IFERROR(tblBuyerOutputs[[#This Row],[PMI]],0)</f>
        <v>71.289999999999964</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2646.91</v>
      </c>
      <c r="AD94" s="276">
        <f>IF(INDEX(tblContractForDeed[End Bal],ROW()-ROW(tblBuyerOutputs[#Headers]))&lt;=0,0,($O$6+IF(ROW()=ROW(tblBuyerOutputs[#Headers])+1,0,INDEX(tblBuyerOutputs[Cumul Appr],ROW()-ROW(tblBuyerOutputs[#Headers])-1)))*$AK$2/12)</f>
        <v>0</v>
      </c>
      <c r="AE94" s="276">
        <f>IF(INDEX(tblContractForDeed[End Bal],ROW()-ROW(tblBuyerOutputs[#Headers]))&lt;=0,0,IF(ROW()=ROW(tblBuyerOutputs[#Headers])+1,0,INDEX(tblBuyerOutputs[Cumul Appr],ROW()-ROW(tblBuyerOutputs[#Headers])-1))+tblBuyerOutputs[[#This Row],[Monthly Appr]])</f>
        <v>0</v>
      </c>
    </row>
    <row r="95" spans="1:31" x14ac:dyDescent="0.25">
      <c r="A95" s="613">
        <f t="shared" si="19"/>
        <v>48120</v>
      </c>
      <c r="B95" s="276">
        <f t="shared" si="17"/>
        <v>69888.500000000015</v>
      </c>
      <c r="C95" s="14">
        <f t="shared" si="14"/>
        <v>627.88</v>
      </c>
      <c r="D95" s="14">
        <f t="shared" si="20"/>
        <v>409.48</v>
      </c>
      <c r="E95" s="14">
        <f t="shared" si="15"/>
        <v>218.4</v>
      </c>
      <c r="F95" s="14">
        <f t="shared" ref="F95:G110" si="24">+F94</f>
        <v>134.16999999999999</v>
      </c>
      <c r="G95" s="14">
        <f t="shared" si="24"/>
        <v>188.55</v>
      </c>
      <c r="H95" s="14">
        <f t="shared" si="12"/>
        <v>950.59999999999991</v>
      </c>
      <c r="I95" s="276">
        <f t="shared" si="21"/>
        <v>28052.82</v>
      </c>
      <c r="J95" s="276">
        <f t="shared" si="22"/>
        <v>19969.900000000009</v>
      </c>
      <c r="K95" s="276">
        <f t="shared" si="23"/>
        <v>69479.020000000019</v>
      </c>
      <c r="L95" s="394">
        <f t="shared" si="16"/>
        <v>6</v>
      </c>
      <c r="M95" s="394">
        <f t="shared" si="18"/>
        <v>75</v>
      </c>
      <c r="N95" s="613">
        <f>INDEX(tblSubjectToLoan[Date],ROW()-ROW(tblContractForDeed[#Headers]))</f>
        <v>48120</v>
      </c>
      <c r="O95" s="276">
        <f>IF(ROW()=ROW(tblContractForDeed[#Headers])+1,$O$6,IF(INDEX(tblContractForDeed[End Bal],ROW()-ROW(tblContractForDeed[#Headers])-1)&lt;0,0,INDEX(tblContractForDeed[End Bal],ROW()-ROW(tblContractForDeed[#Headers])-1)))</f>
        <v>57284.380000000019</v>
      </c>
      <c r="P95" s="454">
        <f>IF(tblContractForDeed[[#This Row],[Date]]="","",IF(tblContractForDeed[[#This Row],[Date]]&lt;cfdRateChangeDate,cfdRate1,cfdRate2))</f>
        <v>7.7499999999999999E-2</v>
      </c>
      <c r="Q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5" s="276">
        <f>IF(tblContractForDeed[[#This Row],[Payment]]=0,0,MAX(0,MIN(tblContractForDeed[[#This Row],[Beg]],tblContractForDeed[[#This Row],[Payment]]-tblContractForDeed[[#This Row],[Int]])))</f>
        <v>329.21</v>
      </c>
      <c r="S95" s="276">
        <f>IF(OR(tblContractForDeed[[#This Row],[Date]]&lt;cfdContractDate,tblContractForDeed[[#This Row],[Date]]&gt;cfdEndDate),0,ROUND(tblContractForDeed[[#This Row],[Beg]]*(tblContractForDeed[[#This Row],[Int Rate]]/12),2))</f>
        <v>369.96</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1021.8899999999999</v>
      </c>
      <c r="W95" s="276">
        <f>SUM(INDEX(tblContractForDeed[Princ],1):INDEX(tblContractForDeed[Princ],ROW()-ROW(tblContractForDeed[#Headers])))</f>
        <v>18302.829999999998</v>
      </c>
      <c r="X95" s="276">
        <f>IF(tblContractForDeed[[#This Row],[Beg]]&lt;=0,0,tblContractForDeed[[#This Row],[Beg]]-tblContractForDeed[[#This Row],[Princ]])</f>
        <v>56955.17000000002</v>
      </c>
      <c r="Y95" s="467">
        <f>IF(INDEX(tblContractForDeed[Payment],ROW()-ROW(tblBuyerOutputs[#Headers]))=0,0,INDEX(tblContractForDeed[Payment],ROW()-ROW(tblBuyerOutputs[#Headers]))-INDEX(tblSubjectToLoan[Payment],ROW()-ROW(tblBuyerOutputs[#Headers])))</f>
        <v>71.289999999999964</v>
      </c>
      <c r="Z9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63</v>
      </c>
      <c r="AA95"/>
      <c r="AB95" s="14">
        <f>IF(INDEX(tblContractForDeed[Payment],ROW()-ROW(tblBuyerOutputs[#Headers]))=0,0,INDEX(tblContractForDeed[Payment],ROW()-ROW(tblBuyerOutputs[#Headers]))-INDEX(tblSubjectToLoan[Payment],ROW()-ROW(tblBuyerOutputs[#Headers])))-IFERROR(tblBuyerOutputs[[#This Row],[PMI]],0)</f>
        <v>71.289999999999964</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2718.2</v>
      </c>
      <c r="AD95" s="276">
        <f>IF(INDEX(tblContractForDeed[End Bal],ROW()-ROW(tblBuyerOutputs[#Headers]))&lt;=0,0,($O$6+IF(ROW()=ROW(tblBuyerOutputs[#Headers])+1,0,INDEX(tblBuyerOutputs[Cumul Appr],ROW()-ROW(tblBuyerOutputs[#Headers])-1)))*$AK$2/12)</f>
        <v>0</v>
      </c>
      <c r="AE95" s="276">
        <f>IF(INDEX(tblContractForDeed[End Bal],ROW()-ROW(tblBuyerOutputs[#Headers]))&lt;=0,0,IF(ROW()=ROW(tblBuyerOutputs[#Headers])+1,0,INDEX(tblBuyerOutputs[Cumul Appr],ROW()-ROW(tblBuyerOutputs[#Headers])-1))+tblBuyerOutputs[[#This Row],[Monthly Appr]])</f>
        <v>0</v>
      </c>
    </row>
    <row r="96" spans="1:31" x14ac:dyDescent="0.25">
      <c r="A96" s="613">
        <f t="shared" si="19"/>
        <v>48150</v>
      </c>
      <c r="B96" s="276">
        <f t="shared" si="17"/>
        <v>69479.020000000019</v>
      </c>
      <c r="C96" s="14">
        <f t="shared" si="14"/>
        <v>627.88</v>
      </c>
      <c r="D96" s="14">
        <f t="shared" si="20"/>
        <v>410.76</v>
      </c>
      <c r="E96" s="14">
        <f t="shared" si="15"/>
        <v>217.12</v>
      </c>
      <c r="F96" s="14">
        <f t="shared" si="24"/>
        <v>134.16999999999999</v>
      </c>
      <c r="G96" s="14">
        <f t="shared" si="24"/>
        <v>188.55</v>
      </c>
      <c r="H96" s="14">
        <f t="shared" si="12"/>
        <v>950.59999999999991</v>
      </c>
      <c r="I96" s="276">
        <f t="shared" si="21"/>
        <v>28463.579999999998</v>
      </c>
      <c r="J96" s="276">
        <f t="shared" si="22"/>
        <v>20187.020000000008</v>
      </c>
      <c r="K96" s="276">
        <f t="shared" si="23"/>
        <v>69068.260000000024</v>
      </c>
      <c r="L96" s="394">
        <f t="shared" si="16"/>
        <v>6</v>
      </c>
      <c r="M96" s="394">
        <f t="shared" si="18"/>
        <v>76</v>
      </c>
      <c r="N96" s="613">
        <f>INDEX(tblSubjectToLoan[Date],ROW()-ROW(tblContractForDeed[#Headers]))</f>
        <v>48150</v>
      </c>
      <c r="O96" s="276">
        <f>IF(ROW()=ROW(tblContractForDeed[#Headers])+1,$O$6,IF(INDEX(tblContractForDeed[End Bal],ROW()-ROW(tblContractForDeed[#Headers])-1)&lt;0,0,INDEX(tblContractForDeed[End Bal],ROW()-ROW(tblContractForDeed[#Headers])-1)))</f>
        <v>56955.17000000002</v>
      </c>
      <c r="P96" s="454">
        <f>IF(tblContractForDeed[[#This Row],[Date]]="","",IF(tblContractForDeed[[#This Row],[Date]]&lt;cfdRateChangeDate,cfdRate1,cfdRate2))</f>
        <v>7.7499999999999999E-2</v>
      </c>
      <c r="Q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6" s="276">
        <f>IF(tblContractForDeed[[#This Row],[Payment]]=0,0,MAX(0,MIN(tblContractForDeed[[#This Row],[Beg]],tblContractForDeed[[#This Row],[Payment]]-tblContractForDeed[[#This Row],[Int]])))</f>
        <v>331.33</v>
      </c>
      <c r="S96" s="276">
        <f>IF(OR(tblContractForDeed[[#This Row],[Date]]&lt;cfdContractDate,tblContractForDeed[[#This Row],[Date]]&gt;cfdEndDate),0,ROUND(tblContractForDeed[[#This Row],[Beg]]*(tblContractForDeed[[#This Row],[Int Rate]]/12),2))</f>
        <v>367.84</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1021.8899999999999</v>
      </c>
      <c r="W96" s="276">
        <f>SUM(INDEX(tblContractForDeed[Princ],1):INDEX(tblContractForDeed[Princ],ROW()-ROW(tblContractForDeed[#Headers])))</f>
        <v>18634.16</v>
      </c>
      <c r="X96" s="276">
        <f>IF(tblContractForDeed[[#This Row],[Beg]]&lt;=0,0,tblContractForDeed[[#This Row],[Beg]]-tblContractForDeed[[#This Row],[Princ]])</f>
        <v>56623.840000000018</v>
      </c>
      <c r="Y96" s="467">
        <f>IF(INDEX(tblContractForDeed[Payment],ROW()-ROW(tblBuyerOutputs[#Headers]))=0,0,INDEX(tblContractForDeed[Payment],ROW()-ROW(tblBuyerOutputs[#Headers]))-INDEX(tblSubjectToLoan[Payment],ROW()-ROW(tblBuyerOutputs[#Headers])))</f>
        <v>71.289999999999964</v>
      </c>
      <c r="Z9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64</v>
      </c>
      <c r="AA96"/>
      <c r="AB96" s="14">
        <f>IF(INDEX(tblContractForDeed[Payment],ROW()-ROW(tblBuyerOutputs[#Headers]))=0,0,INDEX(tblContractForDeed[Payment],ROW()-ROW(tblBuyerOutputs[#Headers]))-INDEX(tblSubjectToLoan[Payment],ROW()-ROW(tblBuyerOutputs[#Headers])))-IFERROR(tblBuyerOutputs[[#This Row],[PMI]],0)</f>
        <v>71.289999999999964</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2789.49</v>
      </c>
      <c r="AD96" s="276">
        <f>IF(INDEX(tblContractForDeed[End Bal],ROW()-ROW(tblBuyerOutputs[#Headers]))&lt;=0,0,($O$6+IF(ROW()=ROW(tblBuyerOutputs[#Headers])+1,0,INDEX(tblBuyerOutputs[Cumul Appr],ROW()-ROW(tblBuyerOutputs[#Headers])-1)))*$AK$2/12)</f>
        <v>0</v>
      </c>
      <c r="AE96" s="276">
        <f>IF(INDEX(tblContractForDeed[End Bal],ROW()-ROW(tblBuyerOutputs[#Headers]))&lt;=0,0,IF(ROW()=ROW(tblBuyerOutputs[#Headers])+1,0,INDEX(tblBuyerOutputs[Cumul Appr],ROW()-ROW(tblBuyerOutputs[#Headers])-1))+tblBuyerOutputs[[#This Row],[Monthly Appr]])</f>
        <v>0</v>
      </c>
    </row>
    <row r="97" spans="1:31" x14ac:dyDescent="0.25">
      <c r="A97" s="613">
        <f t="shared" si="19"/>
        <v>48180</v>
      </c>
      <c r="B97" s="276">
        <f t="shared" si="17"/>
        <v>69068.260000000024</v>
      </c>
      <c r="C97" s="14">
        <f t="shared" si="14"/>
        <v>627.88</v>
      </c>
      <c r="D97" s="14">
        <f t="shared" si="20"/>
        <v>412.03999999999996</v>
      </c>
      <c r="E97" s="14">
        <f t="shared" si="15"/>
        <v>215.84</v>
      </c>
      <c r="F97" s="14">
        <f t="shared" si="24"/>
        <v>134.16999999999999</v>
      </c>
      <c r="G97" s="14">
        <f t="shared" si="24"/>
        <v>188.55</v>
      </c>
      <c r="H97" s="14">
        <f t="shared" si="12"/>
        <v>950.59999999999991</v>
      </c>
      <c r="I97" s="276">
        <f t="shared" si="21"/>
        <v>28875.62</v>
      </c>
      <c r="J97" s="276">
        <f t="shared" si="22"/>
        <v>20402.860000000008</v>
      </c>
      <c r="K97" s="276">
        <f t="shared" si="23"/>
        <v>68656.22000000003</v>
      </c>
      <c r="L97" s="394">
        <f t="shared" si="16"/>
        <v>6</v>
      </c>
      <c r="M97" s="394">
        <f t="shared" si="18"/>
        <v>77</v>
      </c>
      <c r="N97" s="613">
        <f>INDEX(tblSubjectToLoan[Date],ROW()-ROW(tblContractForDeed[#Headers]))</f>
        <v>48180</v>
      </c>
      <c r="O97" s="276">
        <f>IF(ROW()=ROW(tblContractForDeed[#Headers])+1,$O$6,IF(INDEX(tblContractForDeed[End Bal],ROW()-ROW(tblContractForDeed[#Headers])-1)&lt;0,0,INDEX(tblContractForDeed[End Bal],ROW()-ROW(tblContractForDeed[#Headers])-1)))</f>
        <v>56623.840000000018</v>
      </c>
      <c r="P97" s="454">
        <f>IF(tblContractForDeed[[#This Row],[Date]]="","",IF(tblContractForDeed[[#This Row],[Date]]&lt;cfdRateChangeDate,cfdRate1,cfdRate2))</f>
        <v>7.7499999999999999E-2</v>
      </c>
      <c r="Q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7" s="276">
        <f>IF(tblContractForDeed[[#This Row],[Payment]]=0,0,MAX(0,MIN(tblContractForDeed[[#This Row],[Beg]],tblContractForDeed[[#This Row],[Payment]]-tblContractForDeed[[#This Row],[Int]])))</f>
        <v>333.46999999999997</v>
      </c>
      <c r="S97" s="276">
        <f>IF(OR(tblContractForDeed[[#This Row],[Date]]&lt;cfdContractDate,tblContractForDeed[[#This Row],[Date]]&gt;cfdEndDate),0,ROUND(tblContractForDeed[[#This Row],[Beg]]*(tblContractForDeed[[#This Row],[Int Rate]]/12),2))</f>
        <v>365.7</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1021.8899999999999</v>
      </c>
      <c r="W97" s="276">
        <f>SUM(INDEX(tblContractForDeed[Princ],1):INDEX(tblContractForDeed[Princ],ROW()-ROW(tblContractForDeed[#Headers])))</f>
        <v>18967.63</v>
      </c>
      <c r="X97" s="276">
        <f>IF(tblContractForDeed[[#This Row],[Beg]]&lt;=0,0,tblContractForDeed[[#This Row],[Beg]]-tblContractForDeed[[#This Row],[Princ]])</f>
        <v>56290.370000000017</v>
      </c>
      <c r="Y97" s="467">
        <f>IF(INDEX(tblContractForDeed[Payment],ROW()-ROW(tblBuyerOutputs[#Headers]))=0,0,INDEX(tblContractForDeed[Payment],ROW()-ROW(tblBuyerOutputs[#Headers]))-INDEX(tblSubjectToLoan[Payment],ROW()-ROW(tblBuyerOutputs[#Headers])))</f>
        <v>71.289999999999964</v>
      </c>
      <c r="Z9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65</v>
      </c>
      <c r="AA97"/>
      <c r="AB97" s="14">
        <f>IF(INDEX(tblContractForDeed[Payment],ROW()-ROW(tblBuyerOutputs[#Headers]))=0,0,INDEX(tblContractForDeed[Payment],ROW()-ROW(tblBuyerOutputs[#Headers]))-INDEX(tblSubjectToLoan[Payment],ROW()-ROW(tblBuyerOutputs[#Headers])))-IFERROR(tblBuyerOutputs[[#This Row],[PMI]],0)</f>
        <v>71.289999999999964</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2860.7799999999997</v>
      </c>
      <c r="AD97" s="276">
        <f>IF(INDEX(tblContractForDeed[End Bal],ROW()-ROW(tblBuyerOutputs[#Headers]))&lt;=0,0,($O$6+IF(ROW()=ROW(tblBuyerOutputs[#Headers])+1,0,INDEX(tblBuyerOutputs[Cumul Appr],ROW()-ROW(tblBuyerOutputs[#Headers])-1)))*$AK$2/12)</f>
        <v>0</v>
      </c>
      <c r="AE97" s="276">
        <f>IF(INDEX(tblContractForDeed[End Bal],ROW()-ROW(tblBuyerOutputs[#Headers]))&lt;=0,0,IF(ROW()=ROW(tblBuyerOutputs[#Headers])+1,0,INDEX(tblBuyerOutputs[Cumul Appr],ROW()-ROW(tblBuyerOutputs[#Headers])-1))+tblBuyerOutputs[[#This Row],[Monthly Appr]])</f>
        <v>0</v>
      </c>
    </row>
    <row r="98" spans="1:31" x14ac:dyDescent="0.25">
      <c r="A98" s="613">
        <f t="shared" si="19"/>
        <v>48210</v>
      </c>
      <c r="B98" s="276">
        <f t="shared" si="17"/>
        <v>68656.22000000003</v>
      </c>
      <c r="C98" s="14">
        <f t="shared" si="14"/>
        <v>627.88</v>
      </c>
      <c r="D98" s="14">
        <f t="shared" si="20"/>
        <v>413.33</v>
      </c>
      <c r="E98" s="14">
        <f t="shared" si="15"/>
        <v>214.55</v>
      </c>
      <c r="F98" s="14">
        <f t="shared" si="24"/>
        <v>134.16999999999999</v>
      </c>
      <c r="G98" s="14">
        <f t="shared" si="24"/>
        <v>188.55</v>
      </c>
      <c r="H98" s="14">
        <f t="shared" si="12"/>
        <v>950.59999999999991</v>
      </c>
      <c r="I98" s="276">
        <f t="shared" si="21"/>
        <v>29288.95</v>
      </c>
      <c r="J98" s="276">
        <f t="shared" si="22"/>
        <v>20617.410000000007</v>
      </c>
      <c r="K98" s="276">
        <f t="shared" si="23"/>
        <v>68242.890000000029</v>
      </c>
      <c r="L98" s="394">
        <f t="shared" si="16"/>
        <v>6</v>
      </c>
      <c r="M98" s="394">
        <f t="shared" si="18"/>
        <v>78</v>
      </c>
      <c r="N98" s="613">
        <f>INDEX(tblSubjectToLoan[Date],ROW()-ROW(tblContractForDeed[#Headers]))</f>
        <v>48210</v>
      </c>
      <c r="O98" s="276">
        <f>IF(ROW()=ROW(tblContractForDeed[#Headers])+1,$O$6,IF(INDEX(tblContractForDeed[End Bal],ROW()-ROW(tblContractForDeed[#Headers])-1)&lt;0,0,INDEX(tblContractForDeed[End Bal],ROW()-ROW(tblContractForDeed[#Headers])-1)))</f>
        <v>56290.370000000017</v>
      </c>
      <c r="P98" s="454">
        <f>IF(tblContractForDeed[[#This Row],[Date]]="","",IF(tblContractForDeed[[#This Row],[Date]]&lt;cfdRateChangeDate,cfdRate1,cfdRate2))</f>
        <v>7.7499999999999999E-2</v>
      </c>
      <c r="Q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8" s="276">
        <f>IF(tblContractForDeed[[#This Row],[Payment]]=0,0,MAX(0,MIN(tblContractForDeed[[#This Row],[Beg]],tblContractForDeed[[#This Row],[Payment]]-tblContractForDeed[[#This Row],[Int]])))</f>
        <v>335.62999999999994</v>
      </c>
      <c r="S98" s="276">
        <f>IF(OR(tblContractForDeed[[#This Row],[Date]]&lt;cfdContractDate,tblContractForDeed[[#This Row],[Date]]&gt;cfdEndDate),0,ROUND(tblContractForDeed[[#This Row],[Beg]]*(tblContractForDeed[[#This Row],[Int Rate]]/12),2))</f>
        <v>363.54</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1021.8899999999999</v>
      </c>
      <c r="W98" s="276">
        <f>SUM(INDEX(tblContractForDeed[Princ],1):INDEX(tblContractForDeed[Princ],ROW()-ROW(tblContractForDeed[#Headers])))</f>
        <v>19303.260000000002</v>
      </c>
      <c r="X98" s="276">
        <f>IF(tblContractForDeed[[#This Row],[Beg]]&lt;=0,0,tblContractForDeed[[#This Row],[Beg]]-tblContractForDeed[[#This Row],[Princ]])</f>
        <v>55954.74000000002</v>
      </c>
      <c r="Y98" s="467">
        <f>IF(INDEX(tblContractForDeed[Payment],ROW()-ROW(tblBuyerOutputs[#Headers]))=0,0,INDEX(tblContractForDeed[Payment],ROW()-ROW(tblBuyerOutputs[#Headers]))-INDEX(tblSubjectToLoan[Payment],ROW()-ROW(tblBuyerOutputs[#Headers])))</f>
        <v>71.289999999999964</v>
      </c>
      <c r="Z9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66</v>
      </c>
      <c r="AA98"/>
      <c r="AB98" s="14">
        <f>IF(INDEX(tblContractForDeed[Payment],ROW()-ROW(tblBuyerOutputs[#Headers]))=0,0,INDEX(tblContractForDeed[Payment],ROW()-ROW(tblBuyerOutputs[#Headers]))-INDEX(tblSubjectToLoan[Payment],ROW()-ROW(tblBuyerOutputs[#Headers])))-IFERROR(tblBuyerOutputs[[#This Row],[PMI]],0)</f>
        <v>71.289999999999964</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2932.0699999999997</v>
      </c>
      <c r="AD98" s="276">
        <f>IF(INDEX(tblContractForDeed[End Bal],ROW()-ROW(tblBuyerOutputs[#Headers]))&lt;=0,0,($O$6+IF(ROW()=ROW(tblBuyerOutputs[#Headers])+1,0,INDEX(tblBuyerOutputs[Cumul Appr],ROW()-ROW(tblBuyerOutputs[#Headers])-1)))*$AK$2/12)</f>
        <v>0</v>
      </c>
      <c r="AE98" s="276">
        <f>IF(INDEX(tblContractForDeed[End Bal],ROW()-ROW(tblBuyerOutputs[#Headers]))&lt;=0,0,IF(ROW()=ROW(tblBuyerOutputs[#Headers])+1,0,INDEX(tblBuyerOutputs[Cumul Appr],ROW()-ROW(tblBuyerOutputs[#Headers])-1))+tblBuyerOutputs[[#This Row],[Monthly Appr]])</f>
        <v>0</v>
      </c>
    </row>
    <row r="99" spans="1:31" x14ac:dyDescent="0.25">
      <c r="A99" s="613">
        <f t="shared" si="19"/>
        <v>48240</v>
      </c>
      <c r="B99" s="276">
        <f t="shared" si="17"/>
        <v>68242.890000000029</v>
      </c>
      <c r="C99" s="14">
        <f t="shared" si="14"/>
        <v>627.88</v>
      </c>
      <c r="D99" s="14">
        <f t="shared" si="20"/>
        <v>414.62</v>
      </c>
      <c r="E99" s="14">
        <f t="shared" si="15"/>
        <v>213.26</v>
      </c>
      <c r="F99" s="14">
        <f t="shared" si="24"/>
        <v>134.16999999999999</v>
      </c>
      <c r="G99" s="14">
        <f t="shared" si="24"/>
        <v>188.55</v>
      </c>
      <c r="H99" s="14">
        <f t="shared" si="12"/>
        <v>950.59999999999991</v>
      </c>
      <c r="I99" s="276">
        <f t="shared" si="21"/>
        <v>29703.57</v>
      </c>
      <c r="J99" s="276">
        <f t="shared" si="22"/>
        <v>20830.670000000006</v>
      </c>
      <c r="K99" s="276">
        <f t="shared" si="23"/>
        <v>67828.270000000033</v>
      </c>
      <c r="L99" s="394">
        <f t="shared" si="16"/>
        <v>6</v>
      </c>
      <c r="M99" s="394">
        <f t="shared" si="18"/>
        <v>79</v>
      </c>
      <c r="N99" s="613">
        <f>INDEX(tblSubjectToLoan[Date],ROW()-ROW(tblContractForDeed[#Headers]))</f>
        <v>48240</v>
      </c>
      <c r="O99" s="276">
        <f>IF(ROW()=ROW(tblContractForDeed[#Headers])+1,$O$6,IF(INDEX(tblContractForDeed[End Bal],ROW()-ROW(tblContractForDeed[#Headers])-1)&lt;0,0,INDEX(tblContractForDeed[End Bal],ROW()-ROW(tblContractForDeed[#Headers])-1)))</f>
        <v>55954.74000000002</v>
      </c>
      <c r="P99" s="454">
        <f>IF(tblContractForDeed[[#This Row],[Date]]="","",IF(tblContractForDeed[[#This Row],[Date]]&lt;cfdRateChangeDate,cfdRate1,cfdRate2))</f>
        <v>7.7499999999999999E-2</v>
      </c>
      <c r="Q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9" s="276">
        <f>IF(tblContractForDeed[[#This Row],[Payment]]=0,0,MAX(0,MIN(tblContractForDeed[[#This Row],[Beg]],tblContractForDeed[[#This Row],[Payment]]-tblContractForDeed[[#This Row],[Int]])))</f>
        <v>337.79999999999995</v>
      </c>
      <c r="S99" s="276">
        <f>IF(OR(tblContractForDeed[[#This Row],[Date]]&lt;cfdContractDate,tblContractForDeed[[#This Row],[Date]]&gt;cfdEndDate),0,ROUND(tblContractForDeed[[#This Row],[Beg]]*(tblContractForDeed[[#This Row],[Int Rate]]/12),2))</f>
        <v>361.37</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1021.8899999999999</v>
      </c>
      <c r="W99" s="276">
        <f>SUM(INDEX(tblContractForDeed[Princ],1):INDEX(tblContractForDeed[Princ],ROW()-ROW(tblContractForDeed[#Headers])))</f>
        <v>19641.060000000001</v>
      </c>
      <c r="X99" s="276">
        <f>IF(tblContractForDeed[[#This Row],[Beg]]&lt;=0,0,tblContractForDeed[[#This Row],[Beg]]-tblContractForDeed[[#This Row],[Princ]])</f>
        <v>55616.940000000017</v>
      </c>
      <c r="Y99" s="467">
        <f>IF(INDEX(tblContractForDeed[Payment],ROW()-ROW(tblBuyerOutputs[#Headers]))=0,0,INDEX(tblContractForDeed[Payment],ROW()-ROW(tblBuyerOutputs[#Headers]))-INDEX(tblSubjectToLoan[Payment],ROW()-ROW(tblBuyerOutputs[#Headers])))</f>
        <v>71.289999999999964</v>
      </c>
      <c r="Z9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67</v>
      </c>
      <c r="AA99"/>
      <c r="AB99" s="14">
        <f>IF(INDEX(tblContractForDeed[Payment],ROW()-ROW(tblBuyerOutputs[#Headers]))=0,0,INDEX(tblContractForDeed[Payment],ROW()-ROW(tblBuyerOutputs[#Headers]))-INDEX(tblSubjectToLoan[Payment],ROW()-ROW(tblBuyerOutputs[#Headers])))-IFERROR(tblBuyerOutputs[[#This Row],[PMI]],0)</f>
        <v>71.289999999999964</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3003.3599999999997</v>
      </c>
      <c r="AD99" s="276">
        <f>IF(INDEX(tblContractForDeed[End Bal],ROW()-ROW(tblBuyerOutputs[#Headers]))&lt;=0,0,($O$6+IF(ROW()=ROW(tblBuyerOutputs[#Headers])+1,0,INDEX(tblBuyerOutputs[Cumul Appr],ROW()-ROW(tblBuyerOutputs[#Headers])-1)))*$AK$2/12)</f>
        <v>0</v>
      </c>
      <c r="AE99" s="276">
        <f>IF(INDEX(tblContractForDeed[End Bal],ROW()-ROW(tblBuyerOutputs[#Headers]))&lt;=0,0,IF(ROW()=ROW(tblBuyerOutputs[#Headers])+1,0,INDEX(tblBuyerOutputs[Cumul Appr],ROW()-ROW(tblBuyerOutputs[#Headers])-1))+tblBuyerOutputs[[#This Row],[Monthly Appr]])</f>
        <v>0</v>
      </c>
    </row>
    <row r="100" spans="1:31" x14ac:dyDescent="0.25">
      <c r="A100" s="613">
        <f t="shared" si="19"/>
        <v>48270</v>
      </c>
      <c r="B100" s="276">
        <f t="shared" si="17"/>
        <v>67828.270000000033</v>
      </c>
      <c r="C100" s="14">
        <f t="shared" si="14"/>
        <v>627.88</v>
      </c>
      <c r="D100" s="14">
        <f t="shared" si="20"/>
        <v>415.91999999999996</v>
      </c>
      <c r="E100" s="14">
        <f t="shared" si="15"/>
        <v>211.96</v>
      </c>
      <c r="F100" s="14">
        <f t="shared" si="24"/>
        <v>134.16999999999999</v>
      </c>
      <c r="G100" s="14">
        <f t="shared" si="24"/>
        <v>188.55</v>
      </c>
      <c r="H100" s="14">
        <f t="shared" si="12"/>
        <v>950.59999999999991</v>
      </c>
      <c r="I100" s="276">
        <f t="shared" si="21"/>
        <v>30119.489999999998</v>
      </c>
      <c r="J100" s="276">
        <f t="shared" si="22"/>
        <v>21042.630000000005</v>
      </c>
      <c r="K100" s="276">
        <f t="shared" si="23"/>
        <v>67412.350000000035</v>
      </c>
      <c r="L100" s="394">
        <f t="shared" si="16"/>
        <v>6</v>
      </c>
      <c r="M100" s="394">
        <f t="shared" si="18"/>
        <v>80</v>
      </c>
      <c r="N100" s="613">
        <f>INDEX(tblSubjectToLoan[Date],ROW()-ROW(tblContractForDeed[#Headers]))</f>
        <v>48270</v>
      </c>
      <c r="O100" s="276">
        <f>IF(ROW()=ROW(tblContractForDeed[#Headers])+1,$O$6,IF(INDEX(tblContractForDeed[End Bal],ROW()-ROW(tblContractForDeed[#Headers])-1)&lt;0,0,INDEX(tblContractForDeed[End Bal],ROW()-ROW(tblContractForDeed[#Headers])-1)))</f>
        <v>55616.940000000017</v>
      </c>
      <c r="P100" s="454">
        <f>IF(tblContractForDeed[[#This Row],[Date]]="","",IF(tblContractForDeed[[#This Row],[Date]]&lt;cfdRateChangeDate,cfdRate1,cfdRate2))</f>
        <v>7.7499999999999999E-2</v>
      </c>
      <c r="Q1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0" s="276">
        <f>IF(tblContractForDeed[[#This Row],[Payment]]=0,0,MAX(0,MIN(tblContractForDeed[[#This Row],[Beg]],tblContractForDeed[[#This Row],[Payment]]-tblContractForDeed[[#This Row],[Int]])))</f>
        <v>339.97999999999996</v>
      </c>
      <c r="S100" s="276">
        <f>IF(OR(tblContractForDeed[[#This Row],[Date]]&lt;cfdContractDate,tblContractForDeed[[#This Row],[Date]]&gt;cfdEndDate),0,ROUND(tblContractForDeed[[#This Row],[Beg]]*(tblContractForDeed[[#This Row],[Int Rate]]/12),2))</f>
        <v>359.19</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1021.8899999999999</v>
      </c>
      <c r="W100" s="276">
        <f>SUM(INDEX(tblContractForDeed[Princ],1):INDEX(tblContractForDeed[Princ],ROW()-ROW(tblContractForDeed[#Headers])))</f>
        <v>19981.04</v>
      </c>
      <c r="X100" s="276">
        <f>IF(tblContractForDeed[[#This Row],[Beg]]&lt;=0,0,tblContractForDeed[[#This Row],[Beg]]-tblContractForDeed[[#This Row],[Princ]])</f>
        <v>55276.960000000014</v>
      </c>
      <c r="Y100" s="467">
        <f>IF(INDEX(tblContractForDeed[Payment],ROW()-ROW(tblBuyerOutputs[#Headers]))=0,0,INDEX(tblContractForDeed[Payment],ROW()-ROW(tblBuyerOutputs[#Headers]))-INDEX(tblSubjectToLoan[Payment],ROW()-ROW(tblBuyerOutputs[#Headers])))</f>
        <v>71.289999999999964</v>
      </c>
      <c r="Z10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68</v>
      </c>
      <c r="AA100"/>
      <c r="AB100" s="14">
        <f>IF(INDEX(tblContractForDeed[Payment],ROW()-ROW(tblBuyerOutputs[#Headers]))=0,0,INDEX(tblContractForDeed[Payment],ROW()-ROW(tblBuyerOutputs[#Headers]))-INDEX(tblSubjectToLoan[Payment],ROW()-ROW(tblBuyerOutputs[#Headers])))-IFERROR(tblBuyerOutputs[[#This Row],[PMI]],0)</f>
        <v>71.289999999999964</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3074.6499999999996</v>
      </c>
      <c r="AD100" s="276">
        <f>IF(INDEX(tblContractForDeed[End Bal],ROW()-ROW(tblBuyerOutputs[#Headers]))&lt;=0,0,($O$6+IF(ROW()=ROW(tblBuyerOutputs[#Headers])+1,0,INDEX(tblBuyerOutputs[Cumul Appr],ROW()-ROW(tblBuyerOutputs[#Headers])-1)))*$AK$2/12)</f>
        <v>0</v>
      </c>
      <c r="AE100" s="276">
        <f>IF(INDEX(tblContractForDeed[End Bal],ROW()-ROW(tblBuyerOutputs[#Headers]))&lt;=0,0,IF(ROW()=ROW(tblBuyerOutputs[#Headers])+1,0,INDEX(tblBuyerOutputs[Cumul Appr],ROW()-ROW(tblBuyerOutputs[#Headers])-1))+tblBuyerOutputs[[#This Row],[Monthly Appr]])</f>
        <v>0</v>
      </c>
    </row>
    <row r="101" spans="1:31" x14ac:dyDescent="0.25">
      <c r="A101" s="613">
        <f t="shared" si="19"/>
        <v>48300</v>
      </c>
      <c r="B101" s="276">
        <f t="shared" si="17"/>
        <v>67412.350000000035</v>
      </c>
      <c r="C101" s="14">
        <f t="shared" si="14"/>
        <v>627.88</v>
      </c>
      <c r="D101" s="14">
        <f t="shared" si="20"/>
        <v>417.22</v>
      </c>
      <c r="E101" s="14">
        <f t="shared" si="15"/>
        <v>210.66</v>
      </c>
      <c r="F101" s="14">
        <f t="shared" si="24"/>
        <v>134.16999999999999</v>
      </c>
      <c r="G101" s="14">
        <f t="shared" si="24"/>
        <v>188.55</v>
      </c>
      <c r="H101" s="14">
        <f t="shared" si="12"/>
        <v>950.59999999999991</v>
      </c>
      <c r="I101" s="276">
        <f t="shared" si="21"/>
        <v>30536.71</v>
      </c>
      <c r="J101" s="276">
        <f t="shared" si="22"/>
        <v>21253.290000000005</v>
      </c>
      <c r="K101" s="276">
        <f t="shared" si="23"/>
        <v>66995.130000000034</v>
      </c>
      <c r="L101" s="394">
        <f t="shared" si="16"/>
        <v>6</v>
      </c>
      <c r="M101" s="394">
        <f t="shared" si="18"/>
        <v>81</v>
      </c>
      <c r="N101" s="613">
        <f>INDEX(tblSubjectToLoan[Date],ROW()-ROW(tblContractForDeed[#Headers]))</f>
        <v>48300</v>
      </c>
      <c r="O101" s="276">
        <f>IF(ROW()=ROW(tblContractForDeed[#Headers])+1,$O$6,IF(INDEX(tblContractForDeed[End Bal],ROW()-ROW(tblContractForDeed[#Headers])-1)&lt;0,0,INDEX(tblContractForDeed[End Bal],ROW()-ROW(tblContractForDeed[#Headers])-1)))</f>
        <v>55276.960000000014</v>
      </c>
      <c r="P101" s="454">
        <f>IF(tblContractForDeed[[#This Row],[Date]]="","",IF(tblContractForDeed[[#This Row],[Date]]&lt;cfdRateChangeDate,cfdRate1,cfdRate2))</f>
        <v>7.7499999999999999E-2</v>
      </c>
      <c r="Q1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1" s="276">
        <f>IF(tblContractForDeed[[#This Row],[Payment]]=0,0,MAX(0,MIN(tblContractForDeed[[#This Row],[Beg]],tblContractForDeed[[#This Row],[Payment]]-tblContractForDeed[[#This Row],[Int]])))</f>
        <v>342.16999999999996</v>
      </c>
      <c r="S101" s="276">
        <f>IF(OR(tblContractForDeed[[#This Row],[Date]]&lt;cfdContractDate,tblContractForDeed[[#This Row],[Date]]&gt;cfdEndDate),0,ROUND(tblContractForDeed[[#This Row],[Beg]]*(tblContractForDeed[[#This Row],[Int Rate]]/12),2))</f>
        <v>357</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1021.8899999999999</v>
      </c>
      <c r="W101" s="276">
        <f>SUM(INDEX(tblContractForDeed[Princ],1):INDEX(tblContractForDeed[Princ],ROW()-ROW(tblContractForDeed[#Headers])))</f>
        <v>20323.21</v>
      </c>
      <c r="X101" s="276">
        <f>IF(tblContractForDeed[[#This Row],[Beg]]&lt;=0,0,tblContractForDeed[[#This Row],[Beg]]-tblContractForDeed[[#This Row],[Princ]])</f>
        <v>54934.790000000015</v>
      </c>
      <c r="Y101" s="467">
        <f>IF(INDEX(tblContractForDeed[Payment],ROW()-ROW(tblBuyerOutputs[#Headers]))=0,0,INDEX(tblContractForDeed[Payment],ROW()-ROW(tblBuyerOutputs[#Headers]))-INDEX(tblSubjectToLoan[Payment],ROW()-ROW(tblBuyerOutputs[#Headers])))</f>
        <v>71.289999999999964</v>
      </c>
      <c r="Z10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69</v>
      </c>
      <c r="AA101"/>
      <c r="AB101" s="14">
        <f>IF(INDEX(tblContractForDeed[Payment],ROW()-ROW(tblBuyerOutputs[#Headers]))=0,0,INDEX(tblContractForDeed[Payment],ROW()-ROW(tblBuyerOutputs[#Headers]))-INDEX(tblSubjectToLoan[Payment],ROW()-ROW(tblBuyerOutputs[#Headers])))-IFERROR(tblBuyerOutputs[[#This Row],[PMI]],0)</f>
        <v>71.289999999999964</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3145.9399999999996</v>
      </c>
      <c r="AD101" s="276">
        <f>IF(INDEX(tblContractForDeed[End Bal],ROW()-ROW(tblBuyerOutputs[#Headers]))&lt;=0,0,($O$6+IF(ROW()=ROW(tblBuyerOutputs[#Headers])+1,0,INDEX(tblBuyerOutputs[Cumul Appr],ROW()-ROW(tblBuyerOutputs[#Headers])-1)))*$AK$2/12)</f>
        <v>0</v>
      </c>
      <c r="AE101" s="276">
        <f>IF(INDEX(tblContractForDeed[End Bal],ROW()-ROW(tblBuyerOutputs[#Headers]))&lt;=0,0,IF(ROW()=ROW(tblBuyerOutputs[#Headers])+1,0,INDEX(tblBuyerOutputs[Cumul Appr],ROW()-ROW(tblBuyerOutputs[#Headers])-1))+tblBuyerOutputs[[#This Row],[Monthly Appr]])</f>
        <v>0</v>
      </c>
    </row>
    <row r="102" spans="1:31" x14ac:dyDescent="0.25">
      <c r="A102" s="613">
        <f t="shared" si="19"/>
        <v>48330</v>
      </c>
      <c r="B102" s="276">
        <f t="shared" si="17"/>
        <v>66995.130000000034</v>
      </c>
      <c r="C102" s="14">
        <f t="shared" si="14"/>
        <v>627.88</v>
      </c>
      <c r="D102" s="14">
        <f t="shared" si="20"/>
        <v>418.52</v>
      </c>
      <c r="E102" s="14">
        <f t="shared" si="15"/>
        <v>209.36</v>
      </c>
      <c r="F102" s="14">
        <f t="shared" si="24"/>
        <v>134.16999999999999</v>
      </c>
      <c r="G102" s="14">
        <f t="shared" si="24"/>
        <v>188.55</v>
      </c>
      <c r="H102" s="14">
        <f t="shared" si="12"/>
        <v>950.59999999999991</v>
      </c>
      <c r="I102" s="276">
        <f t="shared" si="21"/>
        <v>30955.23</v>
      </c>
      <c r="J102" s="276">
        <f t="shared" si="22"/>
        <v>21462.650000000005</v>
      </c>
      <c r="K102" s="276">
        <f t="shared" si="23"/>
        <v>66576.61000000003</v>
      </c>
      <c r="L102" s="394">
        <f t="shared" si="16"/>
        <v>6</v>
      </c>
      <c r="M102" s="394">
        <f t="shared" si="18"/>
        <v>82</v>
      </c>
      <c r="N102" s="613">
        <f>INDEX(tblSubjectToLoan[Date],ROW()-ROW(tblContractForDeed[#Headers]))</f>
        <v>48330</v>
      </c>
      <c r="O102" s="276">
        <f>IF(ROW()=ROW(tblContractForDeed[#Headers])+1,$O$6,IF(INDEX(tblContractForDeed[End Bal],ROW()-ROW(tblContractForDeed[#Headers])-1)&lt;0,0,INDEX(tblContractForDeed[End Bal],ROW()-ROW(tblContractForDeed[#Headers])-1)))</f>
        <v>54934.790000000015</v>
      </c>
      <c r="P102" s="454">
        <f>IF(tblContractForDeed[[#This Row],[Date]]="","",IF(tblContractForDeed[[#This Row],[Date]]&lt;cfdRateChangeDate,cfdRate1,cfdRate2))</f>
        <v>7.7499999999999999E-2</v>
      </c>
      <c r="Q1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2" s="276">
        <f>IF(tblContractForDeed[[#This Row],[Payment]]=0,0,MAX(0,MIN(tblContractForDeed[[#This Row],[Beg]],tblContractForDeed[[#This Row],[Payment]]-tblContractForDeed[[#This Row],[Int]])))</f>
        <v>344.37999999999994</v>
      </c>
      <c r="S102" s="276">
        <f>IF(OR(tblContractForDeed[[#This Row],[Date]]&lt;cfdContractDate,tblContractForDeed[[#This Row],[Date]]&gt;cfdEndDate),0,ROUND(tblContractForDeed[[#This Row],[Beg]]*(tblContractForDeed[[#This Row],[Int Rate]]/12),2))</f>
        <v>354.79</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1021.8899999999999</v>
      </c>
      <c r="W102" s="276">
        <f>SUM(INDEX(tblContractForDeed[Princ],1):INDEX(tblContractForDeed[Princ],ROW()-ROW(tblContractForDeed[#Headers])))</f>
        <v>20667.59</v>
      </c>
      <c r="X102" s="276">
        <f>IF(tblContractForDeed[[#This Row],[Beg]]&lt;=0,0,tblContractForDeed[[#This Row],[Beg]]-tblContractForDeed[[#This Row],[Princ]])</f>
        <v>54590.410000000018</v>
      </c>
      <c r="Y102" s="467">
        <f>IF(INDEX(tblContractForDeed[Payment],ROW()-ROW(tblBuyerOutputs[#Headers]))=0,0,INDEX(tblContractForDeed[Payment],ROW()-ROW(tblBuyerOutputs[#Headers]))-INDEX(tblSubjectToLoan[Payment],ROW()-ROW(tblBuyerOutputs[#Headers])))</f>
        <v>71.289999999999964</v>
      </c>
      <c r="Z10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70</v>
      </c>
      <c r="AA102"/>
      <c r="AB102" s="14">
        <f>IF(INDEX(tblContractForDeed[Payment],ROW()-ROW(tblBuyerOutputs[#Headers]))=0,0,INDEX(tblContractForDeed[Payment],ROW()-ROW(tblBuyerOutputs[#Headers]))-INDEX(tblSubjectToLoan[Payment],ROW()-ROW(tblBuyerOutputs[#Headers])))-IFERROR(tblBuyerOutputs[[#This Row],[PMI]],0)</f>
        <v>71.289999999999964</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3217.2299999999996</v>
      </c>
      <c r="AD102" s="276">
        <f>IF(INDEX(tblContractForDeed[End Bal],ROW()-ROW(tblBuyerOutputs[#Headers]))&lt;=0,0,($O$6+IF(ROW()=ROW(tblBuyerOutputs[#Headers])+1,0,INDEX(tblBuyerOutputs[Cumul Appr],ROW()-ROW(tblBuyerOutputs[#Headers])-1)))*$AK$2/12)</f>
        <v>0</v>
      </c>
      <c r="AE102" s="276">
        <f>IF(INDEX(tblContractForDeed[End Bal],ROW()-ROW(tblBuyerOutputs[#Headers]))&lt;=0,0,IF(ROW()=ROW(tblBuyerOutputs[#Headers])+1,0,INDEX(tblBuyerOutputs[Cumul Appr],ROW()-ROW(tblBuyerOutputs[#Headers])-1))+tblBuyerOutputs[[#This Row],[Monthly Appr]])</f>
        <v>0</v>
      </c>
    </row>
    <row r="103" spans="1:31" ht="15.75" thickBot="1" x14ac:dyDescent="0.3">
      <c r="A103" s="615">
        <f t="shared" si="19"/>
        <v>48360</v>
      </c>
      <c r="B103" s="332">
        <f t="shared" si="17"/>
        <v>66576.61000000003</v>
      </c>
      <c r="C103" s="21">
        <f t="shared" si="14"/>
        <v>627.88</v>
      </c>
      <c r="D103" s="21">
        <f t="shared" si="20"/>
        <v>419.83</v>
      </c>
      <c r="E103" s="21">
        <f t="shared" si="15"/>
        <v>208.05</v>
      </c>
      <c r="F103" s="21">
        <f t="shared" si="24"/>
        <v>134.16999999999999</v>
      </c>
      <c r="G103" s="21">
        <f t="shared" si="24"/>
        <v>188.55</v>
      </c>
      <c r="H103" s="21">
        <f t="shared" si="12"/>
        <v>950.59999999999991</v>
      </c>
      <c r="I103" s="332">
        <f t="shared" si="21"/>
        <v>31375.06</v>
      </c>
      <c r="J103" s="332">
        <f t="shared" si="22"/>
        <v>21670.700000000004</v>
      </c>
      <c r="K103" s="332">
        <f t="shared" si="23"/>
        <v>66156.780000000028</v>
      </c>
      <c r="L103" s="395">
        <f t="shared" si="16"/>
        <v>6</v>
      </c>
      <c r="M103" s="395">
        <f t="shared" si="18"/>
        <v>83</v>
      </c>
      <c r="N103" s="615">
        <f>INDEX(tblSubjectToLoan[Date],ROW()-ROW(tblContractForDeed[#Headers]))</f>
        <v>48360</v>
      </c>
      <c r="O103" s="332">
        <f>IF(ROW()=ROW(tblContractForDeed[#Headers])+1,$O$6,IF(INDEX(tblContractForDeed[End Bal],ROW()-ROW(tblContractForDeed[#Headers])-1)&lt;0,0,INDEX(tblContractForDeed[End Bal],ROW()-ROW(tblContractForDeed[#Headers])-1)))</f>
        <v>54590.410000000018</v>
      </c>
      <c r="P103" s="454">
        <f>IF(tblContractForDeed[[#This Row],[Date]]="","",IF(tblContractForDeed[[#This Row],[Date]]&lt;cfdRateChangeDate,cfdRate1,cfdRate2))</f>
        <v>7.7499999999999999E-2</v>
      </c>
      <c r="Q1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3" s="332">
        <f>IF(tblContractForDeed[[#This Row],[Payment]]=0,0,MAX(0,MIN(tblContractForDeed[[#This Row],[Beg]],tblContractForDeed[[#This Row],[Payment]]-tblContractForDeed[[#This Row],[Int]])))</f>
        <v>346.60999999999996</v>
      </c>
      <c r="S103" s="332">
        <f>IF(OR(tblContractForDeed[[#This Row],[Date]]&lt;cfdContractDate,tblContractForDeed[[#This Row],[Date]]&gt;cfdEndDate),0,ROUND(tblContractForDeed[[#This Row],[Beg]]*(tblContractForDeed[[#This Row],[Int Rate]]/12),2))</f>
        <v>352.56</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1021.8899999999999</v>
      </c>
      <c r="W103" s="332">
        <f>SUM(INDEX(tblContractForDeed[Princ],1):INDEX(tblContractForDeed[Princ],ROW()-ROW(tblContractForDeed[#Headers])))</f>
        <v>21014.2</v>
      </c>
      <c r="X103" s="332">
        <f>IF(tblContractForDeed[[#This Row],[Beg]]&lt;=0,0,tblContractForDeed[[#This Row],[Beg]]-tblContractForDeed[[#This Row],[Princ]])</f>
        <v>54243.800000000017</v>
      </c>
      <c r="Y103" s="468">
        <f>IF(INDEX(tblContractForDeed[Payment],ROW()-ROW(tblBuyerOutputs[#Headers]))=0,0,INDEX(tblContractForDeed[Payment],ROW()-ROW(tblBuyerOutputs[#Headers]))-INDEX(tblSubjectToLoan[Payment],ROW()-ROW(tblBuyerOutputs[#Headers])))</f>
        <v>71.289999999999964</v>
      </c>
      <c r="Z10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71</v>
      </c>
      <c r="AA103" s="23"/>
      <c r="AB103" s="21">
        <f>IF(INDEX(tblContractForDeed[Payment],ROW()-ROW(tblBuyerOutputs[#Headers]))=0,0,INDEX(tblContractForDeed[Payment],ROW()-ROW(tblBuyerOutputs[#Headers]))-INDEX(tblSubjectToLoan[Payment],ROW()-ROW(tblBuyerOutputs[#Headers])))-IFERROR(tblBuyerOutputs[[#This Row],[PMI]],0)</f>
        <v>71.289999999999964</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3288.5199999999995</v>
      </c>
      <c r="AD103" s="332">
        <f>IF(INDEX(tblContractForDeed[End Bal],ROW()-ROW(tblBuyerOutputs[#Headers]))&lt;=0,0,($O$6+IF(ROW()=ROW(tblBuyerOutputs[#Headers])+1,0,INDEX(tblBuyerOutputs[Cumul Appr],ROW()-ROW(tblBuyerOutputs[#Headers])-1)))*$AK$2/12)</f>
        <v>0</v>
      </c>
      <c r="AE103" s="332">
        <f>IF(INDEX(tblContractForDeed[End Bal],ROW()-ROW(tblBuyerOutputs[#Headers]))&lt;=0,0,IF(ROW()=ROW(tblBuyerOutputs[#Headers])+1,0,INDEX(tblBuyerOutputs[Cumul Appr],ROW()-ROW(tblBuyerOutputs[#Headers])-1))+tblBuyerOutputs[[#This Row],[Monthly Appr]])</f>
        <v>0</v>
      </c>
    </row>
    <row r="104" spans="1:31" x14ac:dyDescent="0.25">
      <c r="A104" s="613">
        <f t="shared" si="19"/>
        <v>48390</v>
      </c>
      <c r="B104" s="276">
        <f t="shared" si="17"/>
        <v>66156.780000000028</v>
      </c>
      <c r="C104" s="14">
        <f t="shared" si="14"/>
        <v>627.88</v>
      </c>
      <c r="D104" s="14">
        <f t="shared" si="20"/>
        <v>421.14</v>
      </c>
      <c r="E104" s="14">
        <f t="shared" si="15"/>
        <v>206.74</v>
      </c>
      <c r="F104" s="14">
        <f t="shared" si="24"/>
        <v>134.16999999999999</v>
      </c>
      <c r="G104" s="14">
        <f t="shared" si="24"/>
        <v>188.55</v>
      </c>
      <c r="H104" s="14">
        <f t="shared" si="12"/>
        <v>950.59999999999991</v>
      </c>
      <c r="I104" s="276">
        <f t="shared" si="21"/>
        <v>31796.2</v>
      </c>
      <c r="J104" s="276">
        <f t="shared" si="22"/>
        <v>21877.440000000006</v>
      </c>
      <c r="K104" s="276">
        <f t="shared" si="23"/>
        <v>65735.640000000029</v>
      </c>
      <c r="L104" s="394">
        <f t="shared" si="16"/>
        <v>7</v>
      </c>
      <c r="M104" s="394">
        <f t="shared" si="18"/>
        <v>84</v>
      </c>
      <c r="N104" s="613">
        <f>INDEX(tblSubjectToLoan[Date],ROW()-ROW(tblContractForDeed[#Headers]))</f>
        <v>48390</v>
      </c>
      <c r="O104" s="276">
        <f>IF(ROW()=ROW(tblContractForDeed[#Headers])+1,$O$6,IF(INDEX(tblContractForDeed[End Bal],ROW()-ROW(tblContractForDeed[#Headers])-1)&lt;0,0,INDEX(tblContractForDeed[End Bal],ROW()-ROW(tblContractForDeed[#Headers])-1)))</f>
        <v>54243.800000000017</v>
      </c>
      <c r="P104" s="454">
        <f>IF(tblContractForDeed[[#This Row],[Date]]="","",IF(tblContractForDeed[[#This Row],[Date]]&lt;cfdRateChangeDate,cfdRate1,cfdRate2))</f>
        <v>7.7499999999999999E-2</v>
      </c>
      <c r="Q1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4" s="276">
        <f>IF(tblContractForDeed[[#This Row],[Payment]]=0,0,MAX(0,MIN(tblContractForDeed[[#This Row],[Beg]],tblContractForDeed[[#This Row],[Payment]]-tblContractForDeed[[#This Row],[Int]])))</f>
        <v>348.84999999999997</v>
      </c>
      <c r="S104" s="276">
        <f>IF(OR(tblContractForDeed[[#This Row],[Date]]&lt;cfdContractDate,tblContractForDeed[[#This Row],[Date]]&gt;cfdEndDate),0,ROUND(tblContractForDeed[[#This Row],[Beg]]*(tblContractForDeed[[#This Row],[Int Rate]]/12),2))</f>
        <v>350.32</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1021.8899999999999</v>
      </c>
      <c r="W104" s="276">
        <f>SUM(INDEX(tblContractForDeed[Princ],1):INDEX(tblContractForDeed[Princ],ROW()-ROW(tblContractForDeed[#Headers])))</f>
        <v>21363.05</v>
      </c>
      <c r="X104" s="276">
        <f>IF(tblContractForDeed[[#This Row],[Beg]]&lt;=0,0,tblContractForDeed[[#This Row],[Beg]]-tblContractForDeed[[#This Row],[Princ]])</f>
        <v>53894.950000000019</v>
      </c>
      <c r="Y104" s="467">
        <f>IF(INDEX(tblContractForDeed[Payment],ROW()-ROW(tblBuyerOutputs[#Headers]))=0,0,INDEX(tblContractForDeed[Payment],ROW()-ROW(tblBuyerOutputs[#Headers]))-INDEX(tblSubjectToLoan[Payment],ROW()-ROW(tblBuyerOutputs[#Headers])))</f>
        <v>71.289999999999964</v>
      </c>
      <c r="Z10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72</v>
      </c>
      <c r="AA104"/>
      <c r="AB104" s="14">
        <f>IF(INDEX(tblContractForDeed[Payment],ROW()-ROW(tblBuyerOutputs[#Headers]))=0,0,INDEX(tblContractForDeed[Payment],ROW()-ROW(tblBuyerOutputs[#Headers]))-INDEX(tblSubjectToLoan[Payment],ROW()-ROW(tblBuyerOutputs[#Headers])))-IFERROR(tblBuyerOutputs[[#This Row],[PMI]],0)</f>
        <v>71.289999999999964</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3359.8099999999995</v>
      </c>
      <c r="AD104" s="276">
        <f>IF(INDEX(tblContractForDeed[End Bal],ROW()-ROW(tblBuyerOutputs[#Headers]))&lt;=0,0,($O$6+IF(ROW()=ROW(tblBuyerOutputs[#Headers])+1,0,INDEX(tblBuyerOutputs[Cumul Appr],ROW()-ROW(tblBuyerOutputs[#Headers])-1)))*$AK$2/12)</f>
        <v>0</v>
      </c>
      <c r="AE104" s="276">
        <f>IF(INDEX(tblContractForDeed[End Bal],ROW()-ROW(tblBuyerOutputs[#Headers]))&lt;=0,0,IF(ROW()=ROW(tblBuyerOutputs[#Headers])+1,0,INDEX(tblBuyerOutputs[Cumul Appr],ROW()-ROW(tblBuyerOutputs[#Headers])-1))+tblBuyerOutputs[[#This Row],[Monthly Appr]])</f>
        <v>0</v>
      </c>
    </row>
    <row r="105" spans="1:31" x14ac:dyDescent="0.25">
      <c r="A105" s="613">
        <f t="shared" si="19"/>
        <v>48420</v>
      </c>
      <c r="B105" s="276">
        <f t="shared" si="17"/>
        <v>65735.640000000029</v>
      </c>
      <c r="C105" s="14">
        <f t="shared" si="14"/>
        <v>627.88</v>
      </c>
      <c r="D105" s="14">
        <f t="shared" si="20"/>
        <v>422.46000000000004</v>
      </c>
      <c r="E105" s="14">
        <f t="shared" si="15"/>
        <v>205.42</v>
      </c>
      <c r="F105" s="14">
        <f t="shared" si="24"/>
        <v>134.16999999999999</v>
      </c>
      <c r="G105" s="14">
        <f t="shared" si="24"/>
        <v>188.55</v>
      </c>
      <c r="H105" s="14">
        <f t="shared" si="12"/>
        <v>950.59999999999991</v>
      </c>
      <c r="I105" s="276">
        <f t="shared" si="21"/>
        <v>32218.66</v>
      </c>
      <c r="J105" s="276">
        <f t="shared" si="22"/>
        <v>22082.860000000004</v>
      </c>
      <c r="K105" s="276">
        <f t="shared" si="23"/>
        <v>65313.180000000029</v>
      </c>
      <c r="L105" s="394">
        <f t="shared" si="16"/>
        <v>7</v>
      </c>
      <c r="M105" s="394">
        <f t="shared" si="18"/>
        <v>85</v>
      </c>
      <c r="N105" s="613">
        <f>INDEX(tblSubjectToLoan[Date],ROW()-ROW(tblContractForDeed[#Headers]))</f>
        <v>48420</v>
      </c>
      <c r="O105" s="276">
        <f>IF(ROW()=ROW(tblContractForDeed[#Headers])+1,$O$6,IF(INDEX(tblContractForDeed[End Bal],ROW()-ROW(tblContractForDeed[#Headers])-1)&lt;0,0,INDEX(tblContractForDeed[End Bal],ROW()-ROW(tblContractForDeed[#Headers])-1)))</f>
        <v>53894.950000000019</v>
      </c>
      <c r="P105" s="454">
        <f>IF(tblContractForDeed[[#This Row],[Date]]="","",IF(tblContractForDeed[[#This Row],[Date]]&lt;cfdRateChangeDate,cfdRate1,cfdRate2))</f>
        <v>7.7499999999999999E-2</v>
      </c>
      <c r="Q1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5" s="276">
        <f>IF(tblContractForDeed[[#This Row],[Payment]]=0,0,MAX(0,MIN(tblContractForDeed[[#This Row],[Beg]],tblContractForDeed[[#This Row],[Payment]]-tblContractForDeed[[#This Row],[Int]])))</f>
        <v>351.09999999999997</v>
      </c>
      <c r="S105" s="276">
        <f>IF(OR(tblContractForDeed[[#This Row],[Date]]&lt;cfdContractDate,tblContractForDeed[[#This Row],[Date]]&gt;cfdEndDate),0,ROUND(tblContractForDeed[[#This Row],[Beg]]*(tblContractForDeed[[#This Row],[Int Rate]]/12),2))</f>
        <v>348.07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1021.8899999999999</v>
      </c>
      <c r="W105" s="276">
        <f>SUM(INDEX(tblContractForDeed[Princ],1):INDEX(tblContractForDeed[Princ],ROW()-ROW(tblContractForDeed[#Headers])))</f>
        <v>21714.149999999998</v>
      </c>
      <c r="X105" s="276">
        <f>IF(tblContractForDeed[[#This Row],[Beg]]&lt;=0,0,tblContractForDeed[[#This Row],[Beg]]-tblContractForDeed[[#This Row],[Princ]])</f>
        <v>53543.85000000002</v>
      </c>
      <c r="Y105" s="467">
        <f>IF(INDEX(tblContractForDeed[Payment],ROW()-ROW(tblBuyerOutputs[#Headers]))=0,0,INDEX(tblContractForDeed[Payment],ROW()-ROW(tblBuyerOutputs[#Headers]))-INDEX(tblSubjectToLoan[Payment],ROW()-ROW(tblBuyerOutputs[#Headers])))</f>
        <v>71.289999999999964</v>
      </c>
      <c r="Z10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73</v>
      </c>
      <c r="AA105"/>
      <c r="AB105" s="14">
        <f>IF(INDEX(tblContractForDeed[Payment],ROW()-ROW(tblBuyerOutputs[#Headers]))=0,0,INDEX(tblContractForDeed[Payment],ROW()-ROW(tblBuyerOutputs[#Headers]))-INDEX(tblSubjectToLoan[Payment],ROW()-ROW(tblBuyerOutputs[#Headers])))-IFERROR(tblBuyerOutputs[[#This Row],[PMI]],0)</f>
        <v>71.289999999999964</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3431.0999999999995</v>
      </c>
      <c r="AD105" s="276">
        <f>IF(INDEX(tblContractForDeed[End Bal],ROW()-ROW(tblBuyerOutputs[#Headers]))&lt;=0,0,($O$6+IF(ROW()=ROW(tblBuyerOutputs[#Headers])+1,0,INDEX(tblBuyerOutputs[Cumul Appr],ROW()-ROW(tblBuyerOutputs[#Headers])-1)))*$AK$2/12)</f>
        <v>0</v>
      </c>
      <c r="AE105" s="276">
        <f>IF(INDEX(tblContractForDeed[End Bal],ROW()-ROW(tblBuyerOutputs[#Headers]))&lt;=0,0,IF(ROW()=ROW(tblBuyerOutputs[#Headers])+1,0,INDEX(tblBuyerOutputs[Cumul Appr],ROW()-ROW(tblBuyerOutputs[#Headers])-1))+tblBuyerOutputs[[#This Row],[Monthly Appr]])</f>
        <v>0</v>
      </c>
    </row>
    <row r="106" spans="1:31" x14ac:dyDescent="0.25">
      <c r="A106" s="613">
        <f t="shared" si="19"/>
        <v>48450</v>
      </c>
      <c r="B106" s="276">
        <f t="shared" si="17"/>
        <v>65313.180000000029</v>
      </c>
      <c r="C106" s="14">
        <f t="shared" si="14"/>
        <v>627.88</v>
      </c>
      <c r="D106" s="14">
        <f t="shared" si="20"/>
        <v>423.78</v>
      </c>
      <c r="E106" s="14">
        <f t="shared" si="15"/>
        <v>204.1</v>
      </c>
      <c r="F106" s="14">
        <f t="shared" si="24"/>
        <v>134.16999999999999</v>
      </c>
      <c r="G106" s="14">
        <f t="shared" si="24"/>
        <v>188.55</v>
      </c>
      <c r="H106" s="14">
        <f t="shared" si="12"/>
        <v>950.59999999999991</v>
      </c>
      <c r="I106" s="276">
        <f t="shared" si="21"/>
        <v>32642.44</v>
      </c>
      <c r="J106" s="276">
        <f t="shared" si="22"/>
        <v>22286.960000000003</v>
      </c>
      <c r="K106" s="276">
        <f t="shared" si="23"/>
        <v>64889.400000000031</v>
      </c>
      <c r="L106" s="394">
        <f t="shared" si="16"/>
        <v>7</v>
      </c>
      <c r="M106" s="394">
        <f t="shared" si="18"/>
        <v>86</v>
      </c>
      <c r="N106" s="613">
        <f>INDEX(tblSubjectToLoan[Date],ROW()-ROW(tblContractForDeed[#Headers]))</f>
        <v>48450</v>
      </c>
      <c r="O106" s="276">
        <f>IF(ROW()=ROW(tblContractForDeed[#Headers])+1,$O$6,IF(INDEX(tblContractForDeed[End Bal],ROW()-ROW(tblContractForDeed[#Headers])-1)&lt;0,0,INDEX(tblContractForDeed[End Bal],ROW()-ROW(tblContractForDeed[#Headers])-1)))</f>
        <v>53543.85000000002</v>
      </c>
      <c r="P106" s="454">
        <f>IF(tblContractForDeed[[#This Row],[Date]]="","",IF(tblContractForDeed[[#This Row],[Date]]&lt;cfdRateChangeDate,cfdRate1,cfdRate2))</f>
        <v>7.7499999999999999E-2</v>
      </c>
      <c r="Q1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6" s="276">
        <f>IF(tblContractForDeed[[#This Row],[Payment]]=0,0,MAX(0,MIN(tblContractForDeed[[#This Row],[Beg]],tblContractForDeed[[#This Row],[Payment]]-tblContractForDeed[[#This Row],[Int]])))</f>
        <v>353.36999999999995</v>
      </c>
      <c r="S106" s="276">
        <f>IF(OR(tblContractForDeed[[#This Row],[Date]]&lt;cfdContractDate,tblContractForDeed[[#This Row],[Date]]&gt;cfdEndDate),0,ROUND(tblContractForDeed[[#This Row],[Beg]]*(tblContractForDeed[[#This Row],[Int Rate]]/12),2))</f>
        <v>345.8</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1021.8899999999999</v>
      </c>
      <c r="W106" s="276">
        <f>SUM(INDEX(tblContractForDeed[Princ],1):INDEX(tblContractForDeed[Princ],ROW()-ROW(tblContractForDeed[#Headers])))</f>
        <v>22067.519999999997</v>
      </c>
      <c r="X106" s="276">
        <f>IF(tblContractForDeed[[#This Row],[Beg]]&lt;=0,0,tblContractForDeed[[#This Row],[Beg]]-tblContractForDeed[[#This Row],[Princ]])</f>
        <v>53190.480000000018</v>
      </c>
      <c r="Y106" s="467">
        <f>IF(INDEX(tblContractForDeed[Payment],ROW()-ROW(tblBuyerOutputs[#Headers]))=0,0,INDEX(tblContractForDeed[Payment],ROW()-ROW(tblBuyerOutputs[#Headers]))-INDEX(tblSubjectToLoan[Payment],ROW()-ROW(tblBuyerOutputs[#Headers])))</f>
        <v>71.289999999999964</v>
      </c>
      <c r="Z10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74</v>
      </c>
      <c r="AA106"/>
      <c r="AB106" s="14">
        <f>IF(INDEX(tblContractForDeed[Payment],ROW()-ROW(tblBuyerOutputs[#Headers]))=0,0,INDEX(tblContractForDeed[Payment],ROW()-ROW(tblBuyerOutputs[#Headers]))-INDEX(tblSubjectToLoan[Payment],ROW()-ROW(tblBuyerOutputs[#Headers])))-IFERROR(tblBuyerOutputs[[#This Row],[PMI]],0)</f>
        <v>71.289999999999964</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3502.3899999999994</v>
      </c>
      <c r="AD106" s="276">
        <f>IF(INDEX(tblContractForDeed[End Bal],ROW()-ROW(tblBuyerOutputs[#Headers]))&lt;=0,0,($O$6+IF(ROW()=ROW(tblBuyerOutputs[#Headers])+1,0,INDEX(tblBuyerOutputs[Cumul Appr],ROW()-ROW(tblBuyerOutputs[#Headers])-1)))*$AK$2/12)</f>
        <v>0</v>
      </c>
      <c r="AE106" s="276">
        <f>IF(INDEX(tblContractForDeed[End Bal],ROW()-ROW(tblBuyerOutputs[#Headers]))&lt;=0,0,IF(ROW()=ROW(tblBuyerOutputs[#Headers])+1,0,INDEX(tblBuyerOutputs[Cumul Appr],ROW()-ROW(tblBuyerOutputs[#Headers])-1))+tblBuyerOutputs[[#This Row],[Monthly Appr]])</f>
        <v>0</v>
      </c>
    </row>
    <row r="107" spans="1:31" x14ac:dyDescent="0.25">
      <c r="A107" s="613">
        <f t="shared" si="19"/>
        <v>48480</v>
      </c>
      <c r="B107" s="276">
        <f t="shared" si="17"/>
        <v>64889.400000000031</v>
      </c>
      <c r="C107" s="14">
        <f t="shared" si="14"/>
        <v>627.88</v>
      </c>
      <c r="D107" s="14">
        <f t="shared" si="20"/>
        <v>425.1</v>
      </c>
      <c r="E107" s="14">
        <f t="shared" si="15"/>
        <v>202.78</v>
      </c>
      <c r="F107" s="14">
        <f t="shared" si="24"/>
        <v>134.16999999999999</v>
      </c>
      <c r="G107" s="14">
        <f t="shared" si="24"/>
        <v>188.55</v>
      </c>
      <c r="H107" s="14">
        <f t="shared" si="12"/>
        <v>950.59999999999991</v>
      </c>
      <c r="I107" s="276">
        <f t="shared" si="21"/>
        <v>33067.54</v>
      </c>
      <c r="J107" s="276">
        <f t="shared" si="22"/>
        <v>22489.74</v>
      </c>
      <c r="K107" s="276">
        <f t="shared" si="23"/>
        <v>64464.300000000032</v>
      </c>
      <c r="L107" s="394">
        <f t="shared" si="16"/>
        <v>7</v>
      </c>
      <c r="M107" s="394">
        <f t="shared" si="18"/>
        <v>87</v>
      </c>
      <c r="N107" s="613">
        <f>INDEX(tblSubjectToLoan[Date],ROW()-ROW(tblContractForDeed[#Headers]))</f>
        <v>48480</v>
      </c>
      <c r="O107" s="276">
        <f>IF(ROW()=ROW(tblContractForDeed[#Headers])+1,$O$6,IF(INDEX(tblContractForDeed[End Bal],ROW()-ROW(tblContractForDeed[#Headers])-1)&lt;0,0,INDEX(tblContractForDeed[End Bal],ROW()-ROW(tblContractForDeed[#Headers])-1)))</f>
        <v>53190.480000000018</v>
      </c>
      <c r="P107" s="454">
        <f>IF(tblContractForDeed[[#This Row],[Date]]="","",IF(tblContractForDeed[[#This Row],[Date]]&lt;cfdRateChangeDate,cfdRate1,cfdRate2))</f>
        <v>7.7499999999999999E-2</v>
      </c>
      <c r="Q1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7" s="276">
        <f>IF(tblContractForDeed[[#This Row],[Payment]]=0,0,MAX(0,MIN(tblContractForDeed[[#This Row],[Beg]],tblContractForDeed[[#This Row],[Payment]]-tblContractForDeed[[#This Row],[Int]])))</f>
        <v>355.65</v>
      </c>
      <c r="S107" s="276">
        <f>IF(OR(tblContractForDeed[[#This Row],[Date]]&lt;cfdContractDate,tblContractForDeed[[#This Row],[Date]]&gt;cfdEndDate),0,ROUND(tblContractForDeed[[#This Row],[Beg]]*(tblContractForDeed[[#This Row],[Int Rate]]/12),2))</f>
        <v>343.52</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1021.8899999999999</v>
      </c>
      <c r="W107" s="276">
        <f>SUM(INDEX(tblContractForDeed[Princ],1):INDEX(tblContractForDeed[Princ],ROW()-ROW(tblContractForDeed[#Headers])))</f>
        <v>22423.17</v>
      </c>
      <c r="X107" s="276">
        <f>IF(tblContractForDeed[[#This Row],[Beg]]&lt;=0,0,tblContractForDeed[[#This Row],[Beg]]-tblContractForDeed[[#This Row],[Princ]])</f>
        <v>52834.830000000016</v>
      </c>
      <c r="Y107" s="467">
        <f>IF(INDEX(tblContractForDeed[Payment],ROW()-ROW(tblBuyerOutputs[#Headers]))=0,0,INDEX(tblContractForDeed[Payment],ROW()-ROW(tblBuyerOutputs[#Headers]))-INDEX(tblSubjectToLoan[Payment],ROW()-ROW(tblBuyerOutputs[#Headers])))</f>
        <v>71.289999999999964</v>
      </c>
      <c r="Z10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75</v>
      </c>
      <c r="AA107"/>
      <c r="AB107" s="14">
        <f>IF(INDEX(tblContractForDeed[Payment],ROW()-ROW(tblBuyerOutputs[#Headers]))=0,0,INDEX(tblContractForDeed[Payment],ROW()-ROW(tblBuyerOutputs[#Headers]))-INDEX(tblSubjectToLoan[Payment],ROW()-ROW(tblBuyerOutputs[#Headers])))-IFERROR(tblBuyerOutputs[[#This Row],[PMI]],0)</f>
        <v>71.289999999999964</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3573.6799999999994</v>
      </c>
      <c r="AD107" s="276">
        <f>IF(INDEX(tblContractForDeed[End Bal],ROW()-ROW(tblBuyerOutputs[#Headers]))&lt;=0,0,($O$6+IF(ROW()=ROW(tblBuyerOutputs[#Headers])+1,0,INDEX(tblBuyerOutputs[Cumul Appr],ROW()-ROW(tblBuyerOutputs[#Headers])-1)))*$AK$2/12)</f>
        <v>0</v>
      </c>
      <c r="AE107" s="276">
        <f>IF(INDEX(tblContractForDeed[End Bal],ROW()-ROW(tblBuyerOutputs[#Headers]))&lt;=0,0,IF(ROW()=ROW(tblBuyerOutputs[#Headers])+1,0,INDEX(tblBuyerOutputs[Cumul Appr],ROW()-ROW(tblBuyerOutputs[#Headers])-1))+tblBuyerOutputs[[#This Row],[Monthly Appr]])</f>
        <v>0</v>
      </c>
    </row>
    <row r="108" spans="1:31" x14ac:dyDescent="0.25">
      <c r="A108" s="613">
        <f t="shared" si="19"/>
        <v>48510</v>
      </c>
      <c r="B108" s="276">
        <f t="shared" si="17"/>
        <v>64464.300000000032</v>
      </c>
      <c r="C108" s="14">
        <f t="shared" si="14"/>
        <v>627.88</v>
      </c>
      <c r="D108" s="14">
        <f t="shared" si="20"/>
        <v>426.43</v>
      </c>
      <c r="E108" s="14">
        <f t="shared" si="15"/>
        <v>201.45</v>
      </c>
      <c r="F108" s="14">
        <f t="shared" si="24"/>
        <v>134.16999999999999</v>
      </c>
      <c r="G108" s="14">
        <f t="shared" si="24"/>
        <v>188.55</v>
      </c>
      <c r="H108" s="14">
        <f t="shared" si="12"/>
        <v>950.59999999999991</v>
      </c>
      <c r="I108" s="276">
        <f t="shared" si="21"/>
        <v>33493.97</v>
      </c>
      <c r="J108" s="276">
        <f t="shared" si="22"/>
        <v>22691.190000000002</v>
      </c>
      <c r="K108" s="276">
        <f t="shared" si="23"/>
        <v>64037.870000000032</v>
      </c>
      <c r="L108" s="394">
        <f t="shared" si="16"/>
        <v>7</v>
      </c>
      <c r="M108" s="394">
        <f t="shared" si="18"/>
        <v>88</v>
      </c>
      <c r="N108" s="613">
        <f>INDEX(tblSubjectToLoan[Date],ROW()-ROW(tblContractForDeed[#Headers]))</f>
        <v>48510</v>
      </c>
      <c r="O108" s="276">
        <f>IF(ROW()=ROW(tblContractForDeed[#Headers])+1,$O$6,IF(INDEX(tblContractForDeed[End Bal],ROW()-ROW(tblContractForDeed[#Headers])-1)&lt;0,0,INDEX(tblContractForDeed[End Bal],ROW()-ROW(tblContractForDeed[#Headers])-1)))</f>
        <v>52834.830000000016</v>
      </c>
      <c r="P108" s="454">
        <f>IF(tblContractForDeed[[#This Row],[Date]]="","",IF(tblContractForDeed[[#This Row],[Date]]&lt;cfdRateChangeDate,cfdRate1,cfdRate2))</f>
        <v>7.7499999999999999E-2</v>
      </c>
      <c r="Q1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8" s="276">
        <f>IF(tblContractForDeed[[#This Row],[Payment]]=0,0,MAX(0,MIN(tblContractForDeed[[#This Row],[Beg]],tblContractForDeed[[#This Row],[Payment]]-tblContractForDeed[[#This Row],[Int]])))</f>
        <v>357.94999999999993</v>
      </c>
      <c r="S108" s="276">
        <f>IF(OR(tblContractForDeed[[#This Row],[Date]]&lt;cfdContractDate,tblContractForDeed[[#This Row],[Date]]&gt;cfdEndDate),0,ROUND(tblContractForDeed[[#This Row],[Beg]]*(tblContractForDeed[[#This Row],[Int Rate]]/12),2))</f>
        <v>341.22</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1021.8899999999999</v>
      </c>
      <c r="W108" s="276">
        <f>SUM(INDEX(tblContractForDeed[Princ],1):INDEX(tblContractForDeed[Princ],ROW()-ROW(tblContractForDeed[#Headers])))</f>
        <v>22781.119999999999</v>
      </c>
      <c r="X108" s="276">
        <f>IF(tblContractForDeed[[#This Row],[Beg]]&lt;=0,0,tblContractForDeed[[#This Row],[Beg]]-tblContractForDeed[[#This Row],[Princ]])</f>
        <v>52476.880000000019</v>
      </c>
      <c r="Y108" s="467">
        <f>IF(INDEX(tblContractForDeed[Payment],ROW()-ROW(tblBuyerOutputs[#Headers]))=0,0,INDEX(tblContractForDeed[Payment],ROW()-ROW(tblBuyerOutputs[#Headers]))-INDEX(tblSubjectToLoan[Payment],ROW()-ROW(tblBuyerOutputs[#Headers])))</f>
        <v>71.289999999999964</v>
      </c>
      <c r="Z10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76</v>
      </c>
      <c r="AA108"/>
      <c r="AB108" s="14">
        <f>IF(INDEX(tblContractForDeed[Payment],ROW()-ROW(tblBuyerOutputs[#Headers]))=0,0,INDEX(tblContractForDeed[Payment],ROW()-ROW(tblBuyerOutputs[#Headers]))-INDEX(tblSubjectToLoan[Payment],ROW()-ROW(tblBuyerOutputs[#Headers])))-IFERROR(tblBuyerOutputs[[#This Row],[PMI]],0)</f>
        <v>71.289999999999964</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3644.9699999999993</v>
      </c>
      <c r="AD108" s="276">
        <f>IF(INDEX(tblContractForDeed[End Bal],ROW()-ROW(tblBuyerOutputs[#Headers]))&lt;=0,0,($O$6+IF(ROW()=ROW(tblBuyerOutputs[#Headers])+1,0,INDEX(tblBuyerOutputs[Cumul Appr],ROW()-ROW(tblBuyerOutputs[#Headers])-1)))*$AK$2/12)</f>
        <v>0</v>
      </c>
      <c r="AE108" s="276">
        <f>IF(INDEX(tblContractForDeed[End Bal],ROW()-ROW(tblBuyerOutputs[#Headers]))&lt;=0,0,IF(ROW()=ROW(tblBuyerOutputs[#Headers])+1,0,INDEX(tblBuyerOutputs[Cumul Appr],ROW()-ROW(tblBuyerOutputs[#Headers])-1))+tblBuyerOutputs[[#This Row],[Monthly Appr]])</f>
        <v>0</v>
      </c>
    </row>
    <row r="109" spans="1:31" x14ac:dyDescent="0.25">
      <c r="A109" s="613">
        <f t="shared" si="19"/>
        <v>48540</v>
      </c>
      <c r="B109" s="276">
        <f t="shared" si="17"/>
        <v>64037.870000000032</v>
      </c>
      <c r="C109" s="14">
        <f t="shared" si="14"/>
        <v>627.88</v>
      </c>
      <c r="D109" s="14">
        <f t="shared" si="20"/>
        <v>427.76</v>
      </c>
      <c r="E109" s="14">
        <f t="shared" si="15"/>
        <v>200.12</v>
      </c>
      <c r="F109" s="14">
        <f t="shared" si="24"/>
        <v>134.16999999999999</v>
      </c>
      <c r="G109" s="14">
        <f t="shared" si="24"/>
        <v>188.55</v>
      </c>
      <c r="H109" s="14">
        <f t="shared" si="12"/>
        <v>950.59999999999991</v>
      </c>
      <c r="I109" s="276">
        <f t="shared" si="21"/>
        <v>33921.730000000003</v>
      </c>
      <c r="J109" s="276">
        <f t="shared" si="22"/>
        <v>22891.31</v>
      </c>
      <c r="K109" s="276">
        <f t="shared" si="23"/>
        <v>63610.11000000003</v>
      </c>
      <c r="L109" s="394">
        <f t="shared" si="16"/>
        <v>7</v>
      </c>
      <c r="M109" s="394">
        <f t="shared" si="18"/>
        <v>89</v>
      </c>
      <c r="N109" s="613">
        <f>INDEX(tblSubjectToLoan[Date],ROW()-ROW(tblContractForDeed[#Headers]))</f>
        <v>48540</v>
      </c>
      <c r="O109" s="276">
        <f>IF(ROW()=ROW(tblContractForDeed[#Headers])+1,$O$6,IF(INDEX(tblContractForDeed[End Bal],ROW()-ROW(tblContractForDeed[#Headers])-1)&lt;0,0,INDEX(tblContractForDeed[End Bal],ROW()-ROW(tblContractForDeed[#Headers])-1)))</f>
        <v>52476.880000000019</v>
      </c>
      <c r="P109" s="454">
        <f>IF(tblContractForDeed[[#This Row],[Date]]="","",IF(tblContractForDeed[[#This Row],[Date]]&lt;cfdRateChangeDate,cfdRate1,cfdRate2))</f>
        <v>7.7499999999999999E-2</v>
      </c>
      <c r="Q1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9" s="276">
        <f>IF(tblContractForDeed[[#This Row],[Payment]]=0,0,MAX(0,MIN(tblContractForDeed[[#This Row],[Beg]],tblContractForDeed[[#This Row],[Payment]]-tblContractForDeed[[#This Row],[Int]])))</f>
        <v>360.25999999999993</v>
      </c>
      <c r="S109" s="276">
        <f>IF(OR(tblContractForDeed[[#This Row],[Date]]&lt;cfdContractDate,tblContractForDeed[[#This Row],[Date]]&gt;cfdEndDate),0,ROUND(tblContractForDeed[[#This Row],[Beg]]*(tblContractForDeed[[#This Row],[Int Rate]]/12),2))</f>
        <v>338.91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1021.8899999999999</v>
      </c>
      <c r="W109" s="276">
        <f>SUM(INDEX(tblContractForDeed[Princ],1):INDEX(tblContractForDeed[Princ],ROW()-ROW(tblContractForDeed[#Headers])))</f>
        <v>23141.379999999997</v>
      </c>
      <c r="X109" s="276">
        <f>IF(tblContractForDeed[[#This Row],[Beg]]&lt;=0,0,tblContractForDeed[[#This Row],[Beg]]-tblContractForDeed[[#This Row],[Princ]])</f>
        <v>52116.620000000017</v>
      </c>
      <c r="Y109" s="467">
        <f>IF(INDEX(tblContractForDeed[Payment],ROW()-ROW(tblBuyerOutputs[#Headers]))=0,0,INDEX(tblContractForDeed[Payment],ROW()-ROW(tblBuyerOutputs[#Headers]))-INDEX(tblSubjectToLoan[Payment],ROW()-ROW(tblBuyerOutputs[#Headers])))</f>
        <v>71.289999999999964</v>
      </c>
      <c r="Z10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77</v>
      </c>
      <c r="AA109"/>
      <c r="AB109" s="14">
        <f>IF(INDEX(tblContractForDeed[Payment],ROW()-ROW(tblBuyerOutputs[#Headers]))=0,0,INDEX(tblContractForDeed[Payment],ROW()-ROW(tblBuyerOutputs[#Headers]))-INDEX(tblSubjectToLoan[Payment],ROW()-ROW(tblBuyerOutputs[#Headers])))-IFERROR(tblBuyerOutputs[[#This Row],[PMI]],0)</f>
        <v>71.289999999999964</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3716.2599999999993</v>
      </c>
      <c r="AD109" s="276">
        <f>IF(INDEX(tblContractForDeed[End Bal],ROW()-ROW(tblBuyerOutputs[#Headers]))&lt;=0,0,($O$6+IF(ROW()=ROW(tblBuyerOutputs[#Headers])+1,0,INDEX(tblBuyerOutputs[Cumul Appr],ROW()-ROW(tblBuyerOutputs[#Headers])-1)))*$AK$2/12)</f>
        <v>0</v>
      </c>
      <c r="AE109" s="276">
        <f>IF(INDEX(tblContractForDeed[End Bal],ROW()-ROW(tblBuyerOutputs[#Headers]))&lt;=0,0,IF(ROW()=ROW(tblBuyerOutputs[#Headers])+1,0,INDEX(tblBuyerOutputs[Cumul Appr],ROW()-ROW(tblBuyerOutputs[#Headers])-1))+tblBuyerOutputs[[#This Row],[Monthly Appr]])</f>
        <v>0</v>
      </c>
    </row>
    <row r="110" spans="1:31" x14ac:dyDescent="0.25">
      <c r="A110" s="613">
        <f t="shared" si="19"/>
        <v>48570</v>
      </c>
      <c r="B110" s="276">
        <f t="shared" si="17"/>
        <v>63610.11000000003</v>
      </c>
      <c r="C110" s="14">
        <f t="shared" si="14"/>
        <v>627.88</v>
      </c>
      <c r="D110" s="14">
        <f t="shared" si="20"/>
        <v>429.1</v>
      </c>
      <c r="E110" s="14">
        <f t="shared" si="15"/>
        <v>198.78</v>
      </c>
      <c r="F110" s="14">
        <f t="shared" si="24"/>
        <v>134.16999999999999</v>
      </c>
      <c r="G110" s="14">
        <f t="shared" si="24"/>
        <v>188.55</v>
      </c>
      <c r="H110" s="14">
        <f t="shared" si="12"/>
        <v>950.59999999999991</v>
      </c>
      <c r="I110" s="276">
        <f t="shared" si="21"/>
        <v>34350.83</v>
      </c>
      <c r="J110" s="276">
        <f t="shared" si="22"/>
        <v>23090.09</v>
      </c>
      <c r="K110" s="276">
        <f t="shared" si="23"/>
        <v>63181.010000000031</v>
      </c>
      <c r="L110" s="394">
        <f t="shared" si="16"/>
        <v>7</v>
      </c>
      <c r="M110" s="394">
        <f t="shared" si="18"/>
        <v>90</v>
      </c>
      <c r="N110" s="613">
        <f>INDEX(tblSubjectToLoan[Date],ROW()-ROW(tblContractForDeed[#Headers]))</f>
        <v>48570</v>
      </c>
      <c r="O110" s="276">
        <f>IF(ROW()=ROW(tblContractForDeed[#Headers])+1,$O$6,IF(INDEX(tblContractForDeed[End Bal],ROW()-ROW(tblContractForDeed[#Headers])-1)&lt;0,0,INDEX(tblContractForDeed[End Bal],ROW()-ROW(tblContractForDeed[#Headers])-1)))</f>
        <v>52116.620000000017</v>
      </c>
      <c r="P110" s="454">
        <f>IF(tblContractForDeed[[#This Row],[Date]]="","",IF(tblContractForDeed[[#This Row],[Date]]&lt;cfdRateChangeDate,cfdRate1,cfdRate2))</f>
        <v>7.7499999999999999E-2</v>
      </c>
      <c r="Q1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0" s="276">
        <f>IF(tblContractForDeed[[#This Row],[Payment]]=0,0,MAX(0,MIN(tblContractForDeed[[#This Row],[Beg]],tblContractForDeed[[#This Row],[Payment]]-tblContractForDeed[[#This Row],[Int]])))</f>
        <v>362.58</v>
      </c>
      <c r="S110" s="276">
        <f>IF(OR(tblContractForDeed[[#This Row],[Date]]&lt;cfdContractDate,tblContractForDeed[[#This Row],[Date]]&gt;cfdEndDate),0,ROUND(tblContractForDeed[[#This Row],[Beg]]*(tblContractForDeed[[#This Row],[Int Rate]]/12),2))</f>
        <v>336.59</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1021.8899999999999</v>
      </c>
      <c r="W110" s="276">
        <f>SUM(INDEX(tblContractForDeed[Princ],1):INDEX(tblContractForDeed[Princ],ROW()-ROW(tblContractForDeed[#Headers])))</f>
        <v>23503.96</v>
      </c>
      <c r="X110" s="276">
        <f>IF(tblContractForDeed[[#This Row],[Beg]]&lt;=0,0,tblContractForDeed[[#This Row],[Beg]]-tblContractForDeed[[#This Row],[Princ]])</f>
        <v>51754.040000000015</v>
      </c>
      <c r="Y110" s="467">
        <f>IF(INDEX(tblContractForDeed[Payment],ROW()-ROW(tblBuyerOutputs[#Headers]))=0,0,INDEX(tblContractForDeed[Payment],ROW()-ROW(tblBuyerOutputs[#Headers]))-INDEX(tblSubjectToLoan[Payment],ROW()-ROW(tblBuyerOutputs[#Headers])))</f>
        <v>71.289999999999964</v>
      </c>
      <c r="Z11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78</v>
      </c>
      <c r="AA110"/>
      <c r="AB110" s="14">
        <f>IF(INDEX(tblContractForDeed[Payment],ROW()-ROW(tblBuyerOutputs[#Headers]))=0,0,INDEX(tblContractForDeed[Payment],ROW()-ROW(tblBuyerOutputs[#Headers]))-INDEX(tblSubjectToLoan[Payment],ROW()-ROW(tblBuyerOutputs[#Headers])))-IFERROR(tblBuyerOutputs[[#This Row],[PMI]],0)</f>
        <v>71.289999999999964</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3787.5499999999993</v>
      </c>
      <c r="AD110" s="276">
        <f>IF(INDEX(tblContractForDeed[End Bal],ROW()-ROW(tblBuyerOutputs[#Headers]))&lt;=0,0,($O$6+IF(ROW()=ROW(tblBuyerOutputs[#Headers])+1,0,INDEX(tblBuyerOutputs[Cumul Appr],ROW()-ROW(tblBuyerOutputs[#Headers])-1)))*$AK$2/12)</f>
        <v>0</v>
      </c>
      <c r="AE110" s="276">
        <f>IF(INDEX(tblContractForDeed[End Bal],ROW()-ROW(tblBuyerOutputs[#Headers]))&lt;=0,0,IF(ROW()=ROW(tblBuyerOutputs[#Headers])+1,0,INDEX(tblBuyerOutputs[Cumul Appr],ROW()-ROW(tblBuyerOutputs[#Headers])-1))+tblBuyerOutputs[[#This Row],[Monthly Appr]])</f>
        <v>0</v>
      </c>
    </row>
    <row r="111" spans="1:31" x14ac:dyDescent="0.25">
      <c r="A111" s="613">
        <f t="shared" si="19"/>
        <v>48600</v>
      </c>
      <c r="B111" s="276">
        <f t="shared" si="17"/>
        <v>63181.010000000031</v>
      </c>
      <c r="C111" s="14">
        <f t="shared" si="14"/>
        <v>627.88</v>
      </c>
      <c r="D111" s="14">
        <f t="shared" si="20"/>
        <v>430.44</v>
      </c>
      <c r="E111" s="14">
        <f t="shared" si="15"/>
        <v>197.44</v>
      </c>
      <c r="F111" s="14">
        <f t="shared" ref="F111:G126" si="25">+F110</f>
        <v>134.16999999999999</v>
      </c>
      <c r="G111" s="14">
        <f t="shared" si="25"/>
        <v>188.55</v>
      </c>
      <c r="H111" s="14">
        <f t="shared" si="12"/>
        <v>950.59999999999991</v>
      </c>
      <c r="I111" s="276">
        <f t="shared" si="21"/>
        <v>34781.270000000004</v>
      </c>
      <c r="J111" s="276">
        <f t="shared" si="22"/>
        <v>23287.53</v>
      </c>
      <c r="K111" s="276">
        <f t="shared" si="23"/>
        <v>62750.570000000029</v>
      </c>
      <c r="L111" s="394">
        <f t="shared" si="16"/>
        <v>7</v>
      </c>
      <c r="M111" s="394">
        <f t="shared" si="18"/>
        <v>91</v>
      </c>
      <c r="N111" s="613">
        <f>INDEX(tblSubjectToLoan[Date],ROW()-ROW(tblContractForDeed[#Headers]))</f>
        <v>48600</v>
      </c>
      <c r="O111" s="276">
        <f>IF(ROW()=ROW(tblContractForDeed[#Headers])+1,$O$6,IF(INDEX(tblContractForDeed[End Bal],ROW()-ROW(tblContractForDeed[#Headers])-1)&lt;0,0,INDEX(tblContractForDeed[End Bal],ROW()-ROW(tblContractForDeed[#Headers])-1)))</f>
        <v>51754.040000000015</v>
      </c>
      <c r="P111" s="454">
        <f>IF(tblContractForDeed[[#This Row],[Date]]="","",IF(tblContractForDeed[[#This Row],[Date]]&lt;cfdRateChangeDate,cfdRate1,cfdRate2))</f>
        <v>7.7499999999999999E-2</v>
      </c>
      <c r="Q1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1" s="276">
        <f>IF(tblContractForDeed[[#This Row],[Payment]]=0,0,MAX(0,MIN(tblContractForDeed[[#This Row],[Beg]],tblContractForDeed[[#This Row],[Payment]]-tblContractForDeed[[#This Row],[Int]])))</f>
        <v>364.92999999999995</v>
      </c>
      <c r="S111" s="276">
        <f>IF(OR(tblContractForDeed[[#This Row],[Date]]&lt;cfdContractDate,tblContractForDeed[[#This Row],[Date]]&gt;cfdEndDate),0,ROUND(tblContractForDeed[[#This Row],[Beg]]*(tblContractForDeed[[#This Row],[Int Rate]]/12),2))</f>
        <v>334.24</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1021.8899999999999</v>
      </c>
      <c r="W111" s="276">
        <f>SUM(INDEX(tblContractForDeed[Princ],1):INDEX(tblContractForDeed[Princ],ROW()-ROW(tblContractForDeed[#Headers])))</f>
        <v>23868.89</v>
      </c>
      <c r="X111" s="276">
        <f>IF(tblContractForDeed[[#This Row],[Beg]]&lt;=0,0,tblContractForDeed[[#This Row],[Beg]]-tblContractForDeed[[#This Row],[Princ]])</f>
        <v>51389.110000000015</v>
      </c>
      <c r="Y111" s="467">
        <f>IF(INDEX(tblContractForDeed[Payment],ROW()-ROW(tblBuyerOutputs[#Headers]))=0,0,INDEX(tblContractForDeed[Payment],ROW()-ROW(tblBuyerOutputs[#Headers]))-INDEX(tblSubjectToLoan[Payment],ROW()-ROW(tblBuyerOutputs[#Headers])))</f>
        <v>71.289999999999964</v>
      </c>
      <c r="Z11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79</v>
      </c>
      <c r="AA111"/>
      <c r="AB111" s="14">
        <f>IF(INDEX(tblContractForDeed[Payment],ROW()-ROW(tblBuyerOutputs[#Headers]))=0,0,INDEX(tblContractForDeed[Payment],ROW()-ROW(tblBuyerOutputs[#Headers]))-INDEX(tblSubjectToLoan[Payment],ROW()-ROW(tblBuyerOutputs[#Headers])))-IFERROR(tblBuyerOutputs[[#This Row],[PMI]],0)</f>
        <v>71.289999999999964</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3858.8399999999992</v>
      </c>
      <c r="AD111" s="276">
        <f>IF(INDEX(tblContractForDeed[End Bal],ROW()-ROW(tblBuyerOutputs[#Headers]))&lt;=0,0,($O$6+IF(ROW()=ROW(tblBuyerOutputs[#Headers])+1,0,INDEX(tblBuyerOutputs[Cumul Appr],ROW()-ROW(tblBuyerOutputs[#Headers])-1)))*$AK$2/12)</f>
        <v>0</v>
      </c>
      <c r="AE111" s="276">
        <f>IF(INDEX(tblContractForDeed[End Bal],ROW()-ROW(tblBuyerOutputs[#Headers]))&lt;=0,0,IF(ROW()=ROW(tblBuyerOutputs[#Headers])+1,0,INDEX(tblBuyerOutputs[Cumul Appr],ROW()-ROW(tblBuyerOutputs[#Headers])-1))+tblBuyerOutputs[[#This Row],[Monthly Appr]])</f>
        <v>0</v>
      </c>
    </row>
    <row r="112" spans="1:31" x14ac:dyDescent="0.25">
      <c r="A112" s="613">
        <f t="shared" si="19"/>
        <v>48630</v>
      </c>
      <c r="B112" s="276">
        <f t="shared" si="17"/>
        <v>62750.570000000029</v>
      </c>
      <c r="C112" s="14">
        <f t="shared" si="14"/>
        <v>627.88</v>
      </c>
      <c r="D112" s="14">
        <f t="shared" si="20"/>
        <v>431.78</v>
      </c>
      <c r="E112" s="14">
        <f t="shared" si="15"/>
        <v>196.1</v>
      </c>
      <c r="F112" s="14">
        <f t="shared" si="25"/>
        <v>134.16999999999999</v>
      </c>
      <c r="G112" s="14">
        <f t="shared" si="25"/>
        <v>188.55</v>
      </c>
      <c r="H112" s="14">
        <f t="shared" si="12"/>
        <v>950.59999999999991</v>
      </c>
      <c r="I112" s="276">
        <f t="shared" si="21"/>
        <v>35213.050000000003</v>
      </c>
      <c r="J112" s="276">
        <f t="shared" si="22"/>
        <v>23483.629999999997</v>
      </c>
      <c r="K112" s="276">
        <f t="shared" si="23"/>
        <v>62318.79000000003</v>
      </c>
      <c r="L112" s="394">
        <f t="shared" si="16"/>
        <v>7</v>
      </c>
      <c r="M112" s="394">
        <f t="shared" si="18"/>
        <v>92</v>
      </c>
      <c r="N112" s="613">
        <f>INDEX(tblSubjectToLoan[Date],ROW()-ROW(tblContractForDeed[#Headers]))</f>
        <v>48630</v>
      </c>
      <c r="O112" s="276">
        <f>IF(ROW()=ROW(tblContractForDeed[#Headers])+1,$O$6,IF(INDEX(tblContractForDeed[End Bal],ROW()-ROW(tblContractForDeed[#Headers])-1)&lt;0,0,INDEX(tblContractForDeed[End Bal],ROW()-ROW(tblContractForDeed[#Headers])-1)))</f>
        <v>51389.110000000015</v>
      </c>
      <c r="P112" s="454">
        <f>IF(tblContractForDeed[[#This Row],[Date]]="","",IF(tblContractForDeed[[#This Row],[Date]]&lt;cfdRateChangeDate,cfdRate1,cfdRate2))</f>
        <v>7.7499999999999999E-2</v>
      </c>
      <c r="Q1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2" s="276">
        <f>IF(tblContractForDeed[[#This Row],[Payment]]=0,0,MAX(0,MIN(tblContractForDeed[[#This Row],[Beg]],tblContractForDeed[[#This Row],[Payment]]-tblContractForDeed[[#This Row],[Int]])))</f>
        <v>367.28</v>
      </c>
      <c r="S112" s="276">
        <f>IF(OR(tblContractForDeed[[#This Row],[Date]]&lt;cfdContractDate,tblContractForDeed[[#This Row],[Date]]&gt;cfdEndDate),0,ROUND(tblContractForDeed[[#This Row],[Beg]]*(tblContractForDeed[[#This Row],[Int Rate]]/12),2))</f>
        <v>331.89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1021.8899999999999</v>
      </c>
      <c r="W112" s="276">
        <f>SUM(INDEX(tblContractForDeed[Princ],1):INDEX(tblContractForDeed[Princ],ROW()-ROW(tblContractForDeed[#Headers])))</f>
        <v>24236.17</v>
      </c>
      <c r="X112" s="276">
        <f>IF(tblContractForDeed[[#This Row],[Beg]]&lt;=0,0,tblContractForDeed[[#This Row],[Beg]]-tblContractForDeed[[#This Row],[Princ]])</f>
        <v>51021.830000000016</v>
      </c>
      <c r="Y112" s="467">
        <f>IF(INDEX(tblContractForDeed[Payment],ROW()-ROW(tblBuyerOutputs[#Headers]))=0,0,INDEX(tblContractForDeed[Payment],ROW()-ROW(tblBuyerOutputs[#Headers]))-INDEX(tblSubjectToLoan[Payment],ROW()-ROW(tblBuyerOutputs[#Headers])))</f>
        <v>71.289999999999964</v>
      </c>
      <c r="Z11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80</v>
      </c>
      <c r="AA112"/>
      <c r="AB112" s="14">
        <f>IF(INDEX(tblContractForDeed[Payment],ROW()-ROW(tblBuyerOutputs[#Headers]))=0,0,INDEX(tblContractForDeed[Payment],ROW()-ROW(tblBuyerOutputs[#Headers]))-INDEX(tblSubjectToLoan[Payment],ROW()-ROW(tblBuyerOutputs[#Headers])))-IFERROR(tblBuyerOutputs[[#This Row],[PMI]],0)</f>
        <v>71.289999999999964</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3930.1299999999992</v>
      </c>
      <c r="AD112" s="276">
        <f>IF(INDEX(tblContractForDeed[End Bal],ROW()-ROW(tblBuyerOutputs[#Headers]))&lt;=0,0,($O$6+IF(ROW()=ROW(tblBuyerOutputs[#Headers])+1,0,INDEX(tblBuyerOutputs[Cumul Appr],ROW()-ROW(tblBuyerOutputs[#Headers])-1)))*$AK$2/12)</f>
        <v>0</v>
      </c>
      <c r="AE112" s="276">
        <f>IF(INDEX(tblContractForDeed[End Bal],ROW()-ROW(tblBuyerOutputs[#Headers]))&lt;=0,0,IF(ROW()=ROW(tblBuyerOutputs[#Headers])+1,0,INDEX(tblBuyerOutputs[Cumul Appr],ROW()-ROW(tblBuyerOutputs[#Headers])-1))+tblBuyerOutputs[[#This Row],[Monthly Appr]])</f>
        <v>0</v>
      </c>
    </row>
    <row r="113" spans="1:31" x14ac:dyDescent="0.25">
      <c r="A113" s="613">
        <f t="shared" si="19"/>
        <v>48660</v>
      </c>
      <c r="B113" s="276">
        <f t="shared" si="17"/>
        <v>62318.79000000003</v>
      </c>
      <c r="C113" s="14">
        <f t="shared" si="14"/>
        <v>627.88</v>
      </c>
      <c r="D113" s="14">
        <f t="shared" si="20"/>
        <v>433.13</v>
      </c>
      <c r="E113" s="14">
        <f t="shared" si="15"/>
        <v>194.75</v>
      </c>
      <c r="F113" s="14">
        <f t="shared" si="25"/>
        <v>134.16999999999999</v>
      </c>
      <c r="G113" s="14">
        <f t="shared" si="25"/>
        <v>188.55</v>
      </c>
      <c r="H113" s="14">
        <f t="shared" si="12"/>
        <v>950.59999999999991</v>
      </c>
      <c r="I113" s="276">
        <f t="shared" si="21"/>
        <v>35646.18</v>
      </c>
      <c r="J113" s="276">
        <f t="shared" si="22"/>
        <v>23678.379999999997</v>
      </c>
      <c r="K113" s="276">
        <f t="shared" si="23"/>
        <v>61885.660000000033</v>
      </c>
      <c r="L113" s="394">
        <f>IF(MOD(M113,12)=0,M113/12,L112)</f>
        <v>7</v>
      </c>
      <c r="M113" s="394">
        <f t="shared" si="18"/>
        <v>93</v>
      </c>
      <c r="N113" s="613">
        <f>INDEX(tblSubjectToLoan[Date],ROW()-ROW(tblContractForDeed[#Headers]))</f>
        <v>48660</v>
      </c>
      <c r="O113" s="276">
        <f>IF(ROW()=ROW(tblContractForDeed[#Headers])+1,$O$6,IF(INDEX(tblContractForDeed[End Bal],ROW()-ROW(tblContractForDeed[#Headers])-1)&lt;0,0,INDEX(tblContractForDeed[End Bal],ROW()-ROW(tblContractForDeed[#Headers])-1)))</f>
        <v>51021.830000000016</v>
      </c>
      <c r="P113" s="454">
        <f>IF(tblContractForDeed[[#This Row],[Date]]="","",IF(tblContractForDeed[[#This Row],[Date]]&lt;cfdRateChangeDate,cfdRate1,cfdRate2))</f>
        <v>7.7499999999999999E-2</v>
      </c>
      <c r="Q1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3" s="276">
        <f>IF(tblContractForDeed[[#This Row],[Payment]]=0,0,MAX(0,MIN(tblContractForDeed[[#This Row],[Beg]],tblContractForDeed[[#This Row],[Payment]]-tblContractForDeed[[#This Row],[Int]])))</f>
        <v>369.65</v>
      </c>
      <c r="S113" s="276">
        <f>IF(OR(tblContractForDeed[[#This Row],[Date]]&lt;cfdContractDate,tblContractForDeed[[#This Row],[Date]]&gt;cfdEndDate),0,ROUND(tblContractForDeed[[#This Row],[Beg]]*(tblContractForDeed[[#This Row],[Int Rate]]/12),2))</f>
        <v>329.52</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1021.8899999999999</v>
      </c>
      <c r="W113" s="276">
        <f>SUM(INDEX(tblContractForDeed[Princ],1):INDEX(tblContractForDeed[Princ],ROW()-ROW(tblContractForDeed[#Headers])))</f>
        <v>24605.82</v>
      </c>
      <c r="X113" s="276">
        <f>IF(tblContractForDeed[[#This Row],[Beg]]&lt;=0,0,tblContractForDeed[[#This Row],[Beg]]-tblContractForDeed[[#This Row],[Princ]])</f>
        <v>50652.180000000015</v>
      </c>
      <c r="Y113" s="467">
        <f>IF(INDEX(tblContractForDeed[Payment],ROW()-ROW(tblBuyerOutputs[#Headers]))=0,0,INDEX(tblContractForDeed[Payment],ROW()-ROW(tblBuyerOutputs[#Headers]))-INDEX(tblSubjectToLoan[Payment],ROW()-ROW(tblBuyerOutputs[#Headers])))</f>
        <v>71.289999999999964</v>
      </c>
      <c r="Z11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81</v>
      </c>
      <c r="AA113"/>
      <c r="AB113" s="14">
        <f>IF(INDEX(tblContractForDeed[Payment],ROW()-ROW(tblBuyerOutputs[#Headers]))=0,0,INDEX(tblContractForDeed[Payment],ROW()-ROW(tblBuyerOutputs[#Headers]))-INDEX(tblSubjectToLoan[Payment],ROW()-ROW(tblBuyerOutputs[#Headers])))-IFERROR(tblBuyerOutputs[[#This Row],[PMI]],0)</f>
        <v>71.289999999999964</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4001.4199999999992</v>
      </c>
      <c r="AD113" s="276">
        <f>IF(INDEX(tblContractForDeed[End Bal],ROW()-ROW(tblBuyerOutputs[#Headers]))&lt;=0,0,($O$6+IF(ROW()=ROW(tblBuyerOutputs[#Headers])+1,0,INDEX(tblBuyerOutputs[Cumul Appr],ROW()-ROW(tblBuyerOutputs[#Headers])-1)))*$AK$2/12)</f>
        <v>0</v>
      </c>
      <c r="AE113" s="276">
        <f>IF(INDEX(tblContractForDeed[End Bal],ROW()-ROW(tblBuyerOutputs[#Headers]))&lt;=0,0,IF(ROW()=ROW(tblBuyerOutputs[#Headers])+1,0,INDEX(tblBuyerOutputs[Cumul Appr],ROW()-ROW(tblBuyerOutputs[#Headers])-1))+tblBuyerOutputs[[#This Row],[Monthly Appr]])</f>
        <v>0</v>
      </c>
    </row>
    <row r="114" spans="1:31" x14ac:dyDescent="0.25">
      <c r="A114" s="613">
        <f t="shared" si="19"/>
        <v>48690</v>
      </c>
      <c r="B114" s="276">
        <f t="shared" si="17"/>
        <v>61885.660000000033</v>
      </c>
      <c r="C114" s="14">
        <f t="shared" si="14"/>
        <v>627.88</v>
      </c>
      <c r="D114" s="14">
        <f t="shared" si="20"/>
        <v>434.49</v>
      </c>
      <c r="E114" s="14">
        <f t="shared" si="15"/>
        <v>193.39</v>
      </c>
      <c r="F114" s="14">
        <f t="shared" si="25"/>
        <v>134.16999999999999</v>
      </c>
      <c r="G114" s="14">
        <f t="shared" si="25"/>
        <v>188.55</v>
      </c>
      <c r="H114" s="14">
        <f t="shared" si="12"/>
        <v>950.59999999999991</v>
      </c>
      <c r="I114" s="276">
        <f t="shared" si="21"/>
        <v>36080.67</v>
      </c>
      <c r="J114" s="276">
        <f t="shared" si="22"/>
        <v>23871.769999999997</v>
      </c>
      <c r="K114" s="276">
        <f t="shared" si="23"/>
        <v>61451.170000000035</v>
      </c>
      <c r="L114" s="394">
        <f>IF(MOD(M114,12)=0,M114/12,L113)</f>
        <v>7</v>
      </c>
      <c r="M114" s="394">
        <f t="shared" si="18"/>
        <v>94</v>
      </c>
      <c r="N114" s="613">
        <f>INDEX(tblSubjectToLoan[Date],ROW()-ROW(tblContractForDeed[#Headers]))</f>
        <v>48690</v>
      </c>
      <c r="O114" s="276">
        <f>IF(ROW()=ROW(tblContractForDeed[#Headers])+1,$O$6,IF(INDEX(tblContractForDeed[End Bal],ROW()-ROW(tblContractForDeed[#Headers])-1)&lt;0,0,INDEX(tblContractForDeed[End Bal],ROW()-ROW(tblContractForDeed[#Headers])-1)))</f>
        <v>50652.180000000015</v>
      </c>
      <c r="P114" s="454">
        <f>IF(tblContractForDeed[[#This Row],[Date]]="","",IF(tblContractForDeed[[#This Row],[Date]]&lt;cfdRateChangeDate,cfdRate1,cfdRate2))</f>
        <v>7.7499999999999999E-2</v>
      </c>
      <c r="Q1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4" s="276">
        <f>IF(tblContractForDeed[[#This Row],[Payment]]=0,0,MAX(0,MIN(tblContractForDeed[[#This Row],[Beg]],tblContractForDeed[[#This Row],[Payment]]-tblContractForDeed[[#This Row],[Int]])))</f>
        <v>372.03999999999996</v>
      </c>
      <c r="S114" s="276">
        <f>IF(OR(tblContractForDeed[[#This Row],[Date]]&lt;cfdContractDate,tblContractForDeed[[#This Row],[Date]]&gt;cfdEndDate),0,ROUND(tblContractForDeed[[#This Row],[Beg]]*(tblContractForDeed[[#This Row],[Int Rate]]/12),2))</f>
        <v>327.13</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1021.8899999999999</v>
      </c>
      <c r="W114" s="276">
        <f>SUM(INDEX(tblContractForDeed[Princ],1):INDEX(tblContractForDeed[Princ],ROW()-ROW(tblContractForDeed[#Headers])))</f>
        <v>24977.86</v>
      </c>
      <c r="X114" s="276">
        <f>IF(tblContractForDeed[[#This Row],[Beg]]&lt;=0,0,tblContractForDeed[[#This Row],[Beg]]-tblContractForDeed[[#This Row],[Princ]])</f>
        <v>50280.140000000014</v>
      </c>
      <c r="Y114" s="467">
        <f>IF(INDEX(tblContractForDeed[Payment],ROW()-ROW(tblBuyerOutputs[#Headers]))=0,0,INDEX(tblContractForDeed[Payment],ROW()-ROW(tblBuyerOutputs[#Headers]))-INDEX(tblSubjectToLoan[Payment],ROW()-ROW(tblBuyerOutputs[#Headers])))</f>
        <v>71.289999999999964</v>
      </c>
      <c r="Z11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82</v>
      </c>
      <c r="AA114"/>
      <c r="AB114" s="14">
        <f>IF(INDEX(tblContractForDeed[Payment],ROW()-ROW(tblBuyerOutputs[#Headers]))=0,0,INDEX(tblContractForDeed[Payment],ROW()-ROW(tblBuyerOutputs[#Headers]))-INDEX(tblSubjectToLoan[Payment],ROW()-ROW(tblBuyerOutputs[#Headers])))-IFERROR(tblBuyerOutputs[[#This Row],[PMI]],0)</f>
        <v>71.289999999999964</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4072.7099999999991</v>
      </c>
      <c r="AD114" s="276">
        <f>IF(INDEX(tblContractForDeed[End Bal],ROW()-ROW(tblBuyerOutputs[#Headers]))&lt;=0,0,($O$6+IF(ROW()=ROW(tblBuyerOutputs[#Headers])+1,0,INDEX(tblBuyerOutputs[Cumul Appr],ROW()-ROW(tblBuyerOutputs[#Headers])-1)))*$AK$2/12)</f>
        <v>0</v>
      </c>
      <c r="AE114" s="276">
        <f>IF(INDEX(tblContractForDeed[End Bal],ROW()-ROW(tblBuyerOutputs[#Headers]))&lt;=0,0,IF(ROW()=ROW(tblBuyerOutputs[#Headers])+1,0,INDEX(tblBuyerOutputs[Cumul Appr],ROW()-ROW(tblBuyerOutputs[#Headers])-1))+tblBuyerOutputs[[#This Row],[Monthly Appr]])</f>
        <v>0</v>
      </c>
    </row>
    <row r="115" spans="1:31" ht="15.75" thickBot="1" x14ac:dyDescent="0.3">
      <c r="A115" s="615">
        <f t="shared" si="19"/>
        <v>48720</v>
      </c>
      <c r="B115" s="332">
        <f t="shared" si="17"/>
        <v>61451.170000000035</v>
      </c>
      <c r="C115" s="21">
        <f t="shared" si="14"/>
        <v>627.88</v>
      </c>
      <c r="D115" s="21">
        <f t="shared" si="20"/>
        <v>435.85</v>
      </c>
      <c r="E115" s="21">
        <f t="shared" si="15"/>
        <v>192.03</v>
      </c>
      <c r="F115" s="21">
        <f t="shared" si="25"/>
        <v>134.16999999999999</v>
      </c>
      <c r="G115" s="21">
        <f t="shared" si="25"/>
        <v>188.55</v>
      </c>
      <c r="H115" s="21">
        <f t="shared" si="12"/>
        <v>950.59999999999991</v>
      </c>
      <c r="I115" s="332">
        <f t="shared" si="21"/>
        <v>36516.519999999997</v>
      </c>
      <c r="J115" s="332">
        <f t="shared" si="22"/>
        <v>24063.799999999996</v>
      </c>
      <c r="K115" s="332">
        <f t="shared" si="23"/>
        <v>61015.320000000036</v>
      </c>
      <c r="L115" s="395">
        <f>IF(MOD(M115,12)=0,M115/12,L114)</f>
        <v>7</v>
      </c>
      <c r="M115" s="395">
        <f t="shared" si="18"/>
        <v>95</v>
      </c>
      <c r="N115" s="615">
        <f>INDEX(tblSubjectToLoan[Date],ROW()-ROW(tblContractForDeed[#Headers]))</f>
        <v>48720</v>
      </c>
      <c r="O115" s="332">
        <f>IF(ROW()=ROW(tblContractForDeed[#Headers])+1,$O$6,IF(INDEX(tblContractForDeed[End Bal],ROW()-ROW(tblContractForDeed[#Headers])-1)&lt;0,0,INDEX(tblContractForDeed[End Bal],ROW()-ROW(tblContractForDeed[#Headers])-1)))</f>
        <v>50280.140000000014</v>
      </c>
      <c r="P115" s="454">
        <f>IF(tblContractForDeed[[#This Row],[Date]]="","",IF(tblContractForDeed[[#This Row],[Date]]&lt;cfdRateChangeDate,cfdRate1,cfdRate2))</f>
        <v>7.7499999999999999E-2</v>
      </c>
      <c r="Q1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5" s="332">
        <f>IF(tblContractForDeed[[#This Row],[Payment]]=0,0,MAX(0,MIN(tblContractForDeed[[#This Row],[Beg]],tblContractForDeed[[#This Row],[Payment]]-tblContractForDeed[[#This Row],[Int]])))</f>
        <v>374.43999999999994</v>
      </c>
      <c r="S115" s="332">
        <f>IF(OR(tblContractForDeed[[#This Row],[Date]]&lt;cfdContractDate,tblContractForDeed[[#This Row],[Date]]&gt;cfdEndDate),0,ROUND(tblContractForDeed[[#This Row],[Beg]]*(tblContractForDeed[[#This Row],[Int Rate]]/12),2))</f>
        <v>324.73</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1021.8899999999999</v>
      </c>
      <c r="W115" s="332">
        <f>SUM(INDEX(tblContractForDeed[Princ],1):INDEX(tblContractForDeed[Princ],ROW()-ROW(tblContractForDeed[#Headers])))</f>
        <v>25352.3</v>
      </c>
      <c r="X115" s="332">
        <f>IF(tblContractForDeed[[#This Row],[Beg]]&lt;=0,0,tblContractForDeed[[#This Row],[Beg]]-tblContractForDeed[[#This Row],[Princ]])</f>
        <v>49905.700000000012</v>
      </c>
      <c r="Y115" s="468">
        <f>IF(INDEX(tblContractForDeed[Payment],ROW()-ROW(tblBuyerOutputs[#Headers]))=0,0,INDEX(tblContractForDeed[Payment],ROW()-ROW(tblBuyerOutputs[#Headers]))-INDEX(tblSubjectToLoan[Payment],ROW()-ROW(tblBuyerOutputs[#Headers])))</f>
        <v>71.289999999999964</v>
      </c>
      <c r="Z11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83</v>
      </c>
      <c r="AA115" s="23"/>
      <c r="AB115" s="21">
        <f>IF(INDEX(tblContractForDeed[Payment],ROW()-ROW(tblBuyerOutputs[#Headers]))=0,0,INDEX(tblContractForDeed[Payment],ROW()-ROW(tblBuyerOutputs[#Headers]))-INDEX(tblSubjectToLoan[Payment],ROW()-ROW(tblBuyerOutputs[#Headers])))-IFERROR(tblBuyerOutputs[[#This Row],[PMI]],0)</f>
        <v>71.289999999999964</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4143.9999999999991</v>
      </c>
      <c r="AD115" s="332">
        <f>IF(INDEX(tblContractForDeed[End Bal],ROW()-ROW(tblBuyerOutputs[#Headers]))&lt;=0,0,($O$6+IF(ROW()=ROW(tblBuyerOutputs[#Headers])+1,0,INDEX(tblBuyerOutputs[Cumul Appr],ROW()-ROW(tblBuyerOutputs[#Headers])-1)))*$AK$2/12)</f>
        <v>0</v>
      </c>
      <c r="AE115" s="332">
        <f>IF(INDEX(tblContractForDeed[End Bal],ROW()-ROW(tblBuyerOutputs[#Headers]))&lt;=0,0,IF(ROW()=ROW(tblBuyerOutputs[#Headers])+1,0,INDEX(tblBuyerOutputs[Cumul Appr],ROW()-ROW(tblBuyerOutputs[#Headers])-1))+tblBuyerOutputs[[#This Row],[Monthly Appr]])</f>
        <v>0</v>
      </c>
    </row>
    <row r="116" spans="1:31" x14ac:dyDescent="0.25">
      <c r="A116" s="613">
        <f t="shared" si="19"/>
        <v>48750</v>
      </c>
      <c r="B116" s="276">
        <f t="shared" si="17"/>
        <v>61015.320000000036</v>
      </c>
      <c r="C116" s="14">
        <f t="shared" si="14"/>
        <v>627.88</v>
      </c>
      <c r="D116" s="14">
        <f t="shared" si="20"/>
        <v>437.21000000000004</v>
      </c>
      <c r="E116" s="14">
        <f t="shared" si="15"/>
        <v>190.67</v>
      </c>
      <c r="F116" s="14">
        <f t="shared" si="25"/>
        <v>134.16999999999999</v>
      </c>
      <c r="G116" s="14">
        <f t="shared" si="25"/>
        <v>188.55</v>
      </c>
      <c r="H116" s="14">
        <f t="shared" si="12"/>
        <v>950.59999999999991</v>
      </c>
      <c r="I116" s="276">
        <f t="shared" si="21"/>
        <v>36953.729999999996</v>
      </c>
      <c r="J116" s="276">
        <f t="shared" si="22"/>
        <v>24254.469999999994</v>
      </c>
      <c r="K116" s="276">
        <f t="shared" si="23"/>
        <v>60578.110000000037</v>
      </c>
      <c r="L116" s="394">
        <f t="shared" ref="L116:L179" si="26">IF(MOD(M116,12)=0,M116/12,L115)</f>
        <v>8</v>
      </c>
      <c r="M116" s="394">
        <f t="shared" si="18"/>
        <v>96</v>
      </c>
      <c r="N116" s="613">
        <f>INDEX(tblSubjectToLoan[Date],ROW()-ROW(tblContractForDeed[#Headers]))</f>
        <v>48750</v>
      </c>
      <c r="O116" s="276">
        <f>IF(ROW()=ROW(tblContractForDeed[#Headers])+1,$O$6,IF(INDEX(tblContractForDeed[End Bal],ROW()-ROW(tblContractForDeed[#Headers])-1)&lt;0,0,INDEX(tblContractForDeed[End Bal],ROW()-ROW(tblContractForDeed[#Headers])-1)))</f>
        <v>49905.700000000012</v>
      </c>
      <c r="P116" s="454">
        <f>IF(tblContractForDeed[[#This Row],[Date]]="","",IF(tblContractForDeed[[#This Row],[Date]]&lt;cfdRateChangeDate,cfdRate1,cfdRate2))</f>
        <v>7.7499999999999999E-2</v>
      </c>
      <c r="Q1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6" s="276">
        <f>IF(tblContractForDeed[[#This Row],[Payment]]=0,0,MAX(0,MIN(tblContractForDeed[[#This Row],[Beg]],tblContractForDeed[[#This Row],[Payment]]-tblContractForDeed[[#This Row],[Int]])))</f>
        <v>376.85999999999996</v>
      </c>
      <c r="S116" s="276">
        <f>IF(OR(tblContractForDeed[[#This Row],[Date]]&lt;cfdContractDate,tblContractForDeed[[#This Row],[Date]]&gt;cfdEndDate),0,ROUND(tblContractForDeed[[#This Row],[Beg]]*(tblContractForDeed[[#This Row],[Int Rate]]/12),2))</f>
        <v>322.31</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1021.8899999999999</v>
      </c>
      <c r="W116" s="276">
        <f>SUM(INDEX(tblContractForDeed[Princ],1):INDEX(tblContractForDeed[Princ],ROW()-ROW(tblContractForDeed[#Headers])))</f>
        <v>25729.16</v>
      </c>
      <c r="X116" s="276">
        <f>IF(tblContractForDeed[[#This Row],[Beg]]&lt;=0,0,tblContractForDeed[[#This Row],[Beg]]-tblContractForDeed[[#This Row],[Princ]])</f>
        <v>49528.840000000011</v>
      </c>
      <c r="Y116" s="467">
        <f>IF(INDEX(tblContractForDeed[Payment],ROW()-ROW(tblBuyerOutputs[#Headers]))=0,0,INDEX(tblContractForDeed[Payment],ROW()-ROW(tblBuyerOutputs[#Headers]))-INDEX(tblSubjectToLoan[Payment],ROW()-ROW(tblBuyerOutputs[#Headers])))</f>
        <v>71.289999999999964</v>
      </c>
      <c r="Z11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84</v>
      </c>
      <c r="AA116"/>
      <c r="AB116" s="14">
        <f>IF(INDEX(tblContractForDeed[Payment],ROW()-ROW(tblBuyerOutputs[#Headers]))=0,0,INDEX(tblContractForDeed[Payment],ROW()-ROW(tblBuyerOutputs[#Headers]))-INDEX(tblSubjectToLoan[Payment],ROW()-ROW(tblBuyerOutputs[#Headers])))-IFERROR(tblBuyerOutputs[[#This Row],[PMI]],0)</f>
        <v>71.289999999999964</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4215.2899999999991</v>
      </c>
      <c r="AD116" s="276">
        <f>IF(INDEX(tblContractForDeed[End Bal],ROW()-ROW(tblBuyerOutputs[#Headers]))&lt;=0,0,($O$6+IF(ROW()=ROW(tblBuyerOutputs[#Headers])+1,0,INDEX(tblBuyerOutputs[Cumul Appr],ROW()-ROW(tblBuyerOutputs[#Headers])-1)))*$AK$2/12)</f>
        <v>0</v>
      </c>
      <c r="AE116" s="276">
        <f>IF(INDEX(tblContractForDeed[End Bal],ROW()-ROW(tblBuyerOutputs[#Headers]))&lt;=0,0,IF(ROW()=ROW(tblBuyerOutputs[#Headers])+1,0,INDEX(tblBuyerOutputs[Cumul Appr],ROW()-ROW(tblBuyerOutputs[#Headers])-1))+tblBuyerOutputs[[#This Row],[Monthly Appr]])</f>
        <v>0</v>
      </c>
    </row>
    <row r="117" spans="1:31" x14ac:dyDescent="0.25">
      <c r="A117" s="613">
        <f t="shared" si="19"/>
        <v>48780</v>
      </c>
      <c r="B117" s="276">
        <f t="shared" si="17"/>
        <v>60578.110000000037</v>
      </c>
      <c r="C117" s="14">
        <f t="shared" si="14"/>
        <v>627.88</v>
      </c>
      <c r="D117" s="14">
        <f t="shared" si="20"/>
        <v>438.57</v>
      </c>
      <c r="E117" s="14">
        <f t="shared" si="15"/>
        <v>189.31</v>
      </c>
      <c r="F117" s="14">
        <f t="shared" si="25"/>
        <v>134.16999999999999</v>
      </c>
      <c r="G117" s="14">
        <f t="shared" si="25"/>
        <v>188.55</v>
      </c>
      <c r="H117" s="14">
        <f t="shared" si="12"/>
        <v>950.59999999999991</v>
      </c>
      <c r="I117" s="276">
        <f t="shared" si="21"/>
        <v>37392.299999999996</v>
      </c>
      <c r="J117" s="276">
        <f t="shared" si="22"/>
        <v>24443.779999999995</v>
      </c>
      <c r="K117" s="276">
        <f t="shared" si="23"/>
        <v>60139.540000000037</v>
      </c>
      <c r="L117" s="394">
        <f t="shared" si="26"/>
        <v>8</v>
      </c>
      <c r="M117" s="394">
        <f t="shared" si="18"/>
        <v>97</v>
      </c>
      <c r="N117" s="613">
        <f>INDEX(tblSubjectToLoan[Date],ROW()-ROW(tblContractForDeed[#Headers]))</f>
        <v>48780</v>
      </c>
      <c r="O117" s="276">
        <f>IF(ROW()=ROW(tblContractForDeed[#Headers])+1,$O$6,IF(INDEX(tblContractForDeed[End Bal],ROW()-ROW(tblContractForDeed[#Headers])-1)&lt;0,0,INDEX(tblContractForDeed[End Bal],ROW()-ROW(tblContractForDeed[#Headers])-1)))</f>
        <v>49528.840000000011</v>
      </c>
      <c r="P117" s="454">
        <f>IF(tblContractForDeed[[#This Row],[Date]]="","",IF(tblContractForDeed[[#This Row],[Date]]&lt;cfdRateChangeDate,cfdRate1,cfdRate2))</f>
        <v>7.7499999999999999E-2</v>
      </c>
      <c r="Q1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7" s="276">
        <f>IF(tblContractForDeed[[#This Row],[Payment]]=0,0,MAX(0,MIN(tblContractForDeed[[#This Row],[Beg]],tblContractForDeed[[#This Row],[Payment]]-tblContractForDeed[[#This Row],[Int]])))</f>
        <v>379.29999999999995</v>
      </c>
      <c r="S117" s="276">
        <f>IF(OR(tblContractForDeed[[#This Row],[Date]]&lt;cfdContractDate,tblContractForDeed[[#This Row],[Date]]&gt;cfdEndDate),0,ROUND(tblContractForDeed[[#This Row],[Beg]]*(tblContractForDeed[[#This Row],[Int Rate]]/12),2))</f>
        <v>319.87</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1021.8899999999999</v>
      </c>
      <c r="W117" s="276">
        <f>SUM(INDEX(tblContractForDeed[Princ],1):INDEX(tblContractForDeed[Princ],ROW()-ROW(tblContractForDeed[#Headers])))</f>
        <v>26108.46</v>
      </c>
      <c r="X117" s="276">
        <f>IF(tblContractForDeed[[#This Row],[Beg]]&lt;=0,0,tblContractForDeed[[#This Row],[Beg]]-tblContractForDeed[[#This Row],[Princ]])</f>
        <v>49149.540000000008</v>
      </c>
      <c r="Y117" s="467">
        <f>IF(INDEX(tblContractForDeed[Payment],ROW()-ROW(tblBuyerOutputs[#Headers]))=0,0,INDEX(tblContractForDeed[Payment],ROW()-ROW(tblBuyerOutputs[#Headers]))-INDEX(tblSubjectToLoan[Payment],ROW()-ROW(tblBuyerOutputs[#Headers])))</f>
        <v>71.289999999999964</v>
      </c>
      <c r="Z11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85</v>
      </c>
      <c r="AA117"/>
      <c r="AB117" s="14">
        <f>IF(INDEX(tblContractForDeed[Payment],ROW()-ROW(tblBuyerOutputs[#Headers]))=0,0,INDEX(tblContractForDeed[Payment],ROW()-ROW(tblBuyerOutputs[#Headers]))-INDEX(tblSubjectToLoan[Payment],ROW()-ROW(tblBuyerOutputs[#Headers])))-IFERROR(tblBuyerOutputs[[#This Row],[PMI]],0)</f>
        <v>71.289999999999964</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4286.579999999999</v>
      </c>
      <c r="AD117" s="276">
        <f>IF(INDEX(tblContractForDeed[End Bal],ROW()-ROW(tblBuyerOutputs[#Headers]))&lt;=0,0,($O$6+IF(ROW()=ROW(tblBuyerOutputs[#Headers])+1,0,INDEX(tblBuyerOutputs[Cumul Appr],ROW()-ROW(tblBuyerOutputs[#Headers])-1)))*$AK$2/12)</f>
        <v>0</v>
      </c>
      <c r="AE117" s="276">
        <f>IF(INDEX(tblContractForDeed[End Bal],ROW()-ROW(tblBuyerOutputs[#Headers]))&lt;=0,0,IF(ROW()=ROW(tblBuyerOutputs[#Headers])+1,0,INDEX(tblBuyerOutputs[Cumul Appr],ROW()-ROW(tblBuyerOutputs[#Headers])-1))+tblBuyerOutputs[[#This Row],[Monthly Appr]])</f>
        <v>0</v>
      </c>
    </row>
    <row r="118" spans="1:31" x14ac:dyDescent="0.25">
      <c r="A118" s="613">
        <f t="shared" si="19"/>
        <v>48810</v>
      </c>
      <c r="B118" s="276">
        <f t="shared" si="17"/>
        <v>60139.540000000037</v>
      </c>
      <c r="C118" s="14">
        <f t="shared" si="14"/>
        <v>627.88</v>
      </c>
      <c r="D118" s="14">
        <f t="shared" si="20"/>
        <v>439.94</v>
      </c>
      <c r="E118" s="14">
        <f t="shared" si="15"/>
        <v>187.94</v>
      </c>
      <c r="F118" s="14">
        <f t="shared" si="25"/>
        <v>134.16999999999999</v>
      </c>
      <c r="G118" s="14">
        <f t="shared" si="25"/>
        <v>188.55</v>
      </c>
      <c r="H118" s="14">
        <f t="shared" si="12"/>
        <v>950.59999999999991</v>
      </c>
      <c r="I118" s="276">
        <f t="shared" si="21"/>
        <v>37832.239999999998</v>
      </c>
      <c r="J118" s="276">
        <f t="shared" si="22"/>
        <v>24631.719999999994</v>
      </c>
      <c r="K118" s="276">
        <f t="shared" si="23"/>
        <v>59699.600000000035</v>
      </c>
      <c r="L118" s="394">
        <f t="shared" si="26"/>
        <v>8</v>
      </c>
      <c r="M118" s="394">
        <f t="shared" si="18"/>
        <v>98</v>
      </c>
      <c r="N118" s="613">
        <f>INDEX(tblSubjectToLoan[Date],ROW()-ROW(tblContractForDeed[#Headers]))</f>
        <v>48810</v>
      </c>
      <c r="O118" s="276">
        <f>IF(ROW()=ROW(tblContractForDeed[#Headers])+1,$O$6,IF(INDEX(tblContractForDeed[End Bal],ROW()-ROW(tblContractForDeed[#Headers])-1)&lt;0,0,INDEX(tblContractForDeed[End Bal],ROW()-ROW(tblContractForDeed[#Headers])-1)))</f>
        <v>49149.540000000008</v>
      </c>
      <c r="P118" s="454">
        <f>IF(tblContractForDeed[[#This Row],[Date]]="","",IF(tblContractForDeed[[#This Row],[Date]]&lt;cfdRateChangeDate,cfdRate1,cfdRate2))</f>
        <v>7.7499999999999999E-2</v>
      </c>
      <c r="Q1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8" s="276">
        <f>IF(tblContractForDeed[[#This Row],[Payment]]=0,0,MAX(0,MIN(tblContractForDeed[[#This Row],[Beg]],tblContractForDeed[[#This Row],[Payment]]-tblContractForDeed[[#This Row],[Int]])))</f>
        <v>381.74999999999994</v>
      </c>
      <c r="S118" s="276">
        <f>IF(OR(tblContractForDeed[[#This Row],[Date]]&lt;cfdContractDate,tblContractForDeed[[#This Row],[Date]]&gt;cfdEndDate),0,ROUND(tblContractForDeed[[#This Row],[Beg]]*(tblContractForDeed[[#This Row],[Int Rate]]/12),2))</f>
        <v>317.42</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1021.8899999999999</v>
      </c>
      <c r="W118" s="276">
        <f>SUM(INDEX(tblContractForDeed[Princ],1):INDEX(tblContractForDeed[Princ],ROW()-ROW(tblContractForDeed[#Headers])))</f>
        <v>26490.21</v>
      </c>
      <c r="X118" s="276">
        <f>IF(tblContractForDeed[[#This Row],[Beg]]&lt;=0,0,tblContractForDeed[[#This Row],[Beg]]-tblContractForDeed[[#This Row],[Princ]])</f>
        <v>48767.790000000008</v>
      </c>
      <c r="Y118" s="467">
        <f>IF(INDEX(tblContractForDeed[Payment],ROW()-ROW(tblBuyerOutputs[#Headers]))=0,0,INDEX(tblContractForDeed[Payment],ROW()-ROW(tblBuyerOutputs[#Headers]))-INDEX(tblSubjectToLoan[Payment],ROW()-ROW(tblBuyerOutputs[#Headers])))</f>
        <v>71.289999999999964</v>
      </c>
      <c r="Z11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86</v>
      </c>
      <c r="AA118"/>
      <c r="AB118" s="14">
        <f>IF(INDEX(tblContractForDeed[Payment],ROW()-ROW(tblBuyerOutputs[#Headers]))=0,0,INDEX(tblContractForDeed[Payment],ROW()-ROW(tblBuyerOutputs[#Headers]))-INDEX(tblSubjectToLoan[Payment],ROW()-ROW(tblBuyerOutputs[#Headers])))-IFERROR(tblBuyerOutputs[[#This Row],[PMI]],0)</f>
        <v>71.289999999999964</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4357.869999999999</v>
      </c>
      <c r="AD118" s="276">
        <f>IF(INDEX(tblContractForDeed[End Bal],ROW()-ROW(tblBuyerOutputs[#Headers]))&lt;=0,0,($O$6+IF(ROW()=ROW(tblBuyerOutputs[#Headers])+1,0,INDEX(tblBuyerOutputs[Cumul Appr],ROW()-ROW(tblBuyerOutputs[#Headers])-1)))*$AK$2/12)</f>
        <v>0</v>
      </c>
      <c r="AE118" s="276">
        <f>IF(INDEX(tblContractForDeed[End Bal],ROW()-ROW(tblBuyerOutputs[#Headers]))&lt;=0,0,IF(ROW()=ROW(tblBuyerOutputs[#Headers])+1,0,INDEX(tblBuyerOutputs[Cumul Appr],ROW()-ROW(tblBuyerOutputs[#Headers])-1))+tblBuyerOutputs[[#This Row],[Monthly Appr]])</f>
        <v>0</v>
      </c>
    </row>
    <row r="119" spans="1:31" x14ac:dyDescent="0.25">
      <c r="A119" s="613">
        <f t="shared" si="19"/>
        <v>48840</v>
      </c>
      <c r="B119" s="276">
        <f t="shared" si="17"/>
        <v>59699.600000000035</v>
      </c>
      <c r="C119" s="14">
        <f t="shared" si="14"/>
        <v>627.88</v>
      </c>
      <c r="D119" s="14">
        <f t="shared" si="20"/>
        <v>441.32</v>
      </c>
      <c r="E119" s="14">
        <f t="shared" si="15"/>
        <v>186.56</v>
      </c>
      <c r="F119" s="14">
        <f t="shared" si="25"/>
        <v>134.16999999999999</v>
      </c>
      <c r="G119" s="14">
        <f t="shared" si="25"/>
        <v>188.55</v>
      </c>
      <c r="H119" s="14">
        <f t="shared" si="12"/>
        <v>950.59999999999991</v>
      </c>
      <c r="I119" s="276">
        <f t="shared" si="21"/>
        <v>38273.56</v>
      </c>
      <c r="J119" s="276">
        <f t="shared" si="22"/>
        <v>24818.279999999995</v>
      </c>
      <c r="K119" s="276">
        <f t="shared" si="23"/>
        <v>59258.280000000035</v>
      </c>
      <c r="L119" s="394">
        <f t="shared" si="26"/>
        <v>8</v>
      </c>
      <c r="M119" s="394">
        <f t="shared" si="18"/>
        <v>99</v>
      </c>
      <c r="N119" s="613">
        <f>INDEX(tblSubjectToLoan[Date],ROW()-ROW(tblContractForDeed[#Headers]))</f>
        <v>48840</v>
      </c>
      <c r="O119" s="276">
        <f>IF(ROW()=ROW(tblContractForDeed[#Headers])+1,$O$6,IF(INDEX(tblContractForDeed[End Bal],ROW()-ROW(tblContractForDeed[#Headers])-1)&lt;0,0,INDEX(tblContractForDeed[End Bal],ROW()-ROW(tblContractForDeed[#Headers])-1)))</f>
        <v>48767.790000000008</v>
      </c>
      <c r="P119" s="454">
        <f>IF(tblContractForDeed[[#This Row],[Date]]="","",IF(tblContractForDeed[[#This Row],[Date]]&lt;cfdRateChangeDate,cfdRate1,cfdRate2))</f>
        <v>7.7499999999999999E-2</v>
      </c>
      <c r="Q1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9" s="276">
        <f>IF(tblContractForDeed[[#This Row],[Payment]]=0,0,MAX(0,MIN(tblContractForDeed[[#This Row],[Beg]],tblContractForDeed[[#This Row],[Payment]]-tblContractForDeed[[#This Row],[Int]])))</f>
        <v>384.21</v>
      </c>
      <c r="S119" s="276">
        <f>IF(OR(tblContractForDeed[[#This Row],[Date]]&lt;cfdContractDate,tblContractForDeed[[#This Row],[Date]]&gt;cfdEndDate),0,ROUND(tblContractForDeed[[#This Row],[Beg]]*(tblContractForDeed[[#This Row],[Int Rate]]/12),2))</f>
        <v>314.95999999999998</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1021.8899999999999</v>
      </c>
      <c r="W119" s="276">
        <f>SUM(INDEX(tblContractForDeed[Princ],1):INDEX(tblContractForDeed[Princ],ROW()-ROW(tblContractForDeed[#Headers])))</f>
        <v>26874.42</v>
      </c>
      <c r="X119" s="276">
        <f>IF(tblContractForDeed[[#This Row],[Beg]]&lt;=0,0,tblContractForDeed[[#This Row],[Beg]]-tblContractForDeed[[#This Row],[Princ]])</f>
        <v>48383.580000000009</v>
      </c>
      <c r="Y119" s="467">
        <f>IF(INDEX(tblContractForDeed[Payment],ROW()-ROW(tblBuyerOutputs[#Headers]))=0,0,INDEX(tblContractForDeed[Payment],ROW()-ROW(tblBuyerOutputs[#Headers]))-INDEX(tblSubjectToLoan[Payment],ROW()-ROW(tblBuyerOutputs[#Headers])))</f>
        <v>71.289999999999964</v>
      </c>
      <c r="Z11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87</v>
      </c>
      <c r="AA119"/>
      <c r="AB119" s="14">
        <f>IF(INDEX(tblContractForDeed[Payment],ROW()-ROW(tblBuyerOutputs[#Headers]))=0,0,INDEX(tblContractForDeed[Payment],ROW()-ROW(tblBuyerOutputs[#Headers]))-INDEX(tblSubjectToLoan[Payment],ROW()-ROW(tblBuyerOutputs[#Headers])))-IFERROR(tblBuyerOutputs[[#This Row],[PMI]],0)</f>
        <v>71.289999999999964</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4429.1599999999989</v>
      </c>
      <c r="AD119" s="276">
        <f>IF(INDEX(tblContractForDeed[End Bal],ROW()-ROW(tblBuyerOutputs[#Headers]))&lt;=0,0,($O$6+IF(ROW()=ROW(tblBuyerOutputs[#Headers])+1,0,INDEX(tblBuyerOutputs[Cumul Appr],ROW()-ROW(tblBuyerOutputs[#Headers])-1)))*$AK$2/12)</f>
        <v>0</v>
      </c>
      <c r="AE119" s="276">
        <f>IF(INDEX(tblContractForDeed[End Bal],ROW()-ROW(tblBuyerOutputs[#Headers]))&lt;=0,0,IF(ROW()=ROW(tblBuyerOutputs[#Headers])+1,0,INDEX(tblBuyerOutputs[Cumul Appr],ROW()-ROW(tblBuyerOutputs[#Headers])-1))+tblBuyerOutputs[[#This Row],[Monthly Appr]])</f>
        <v>0</v>
      </c>
    </row>
    <row r="120" spans="1:31" x14ac:dyDescent="0.25">
      <c r="A120" s="613">
        <f t="shared" si="19"/>
        <v>48870</v>
      </c>
      <c r="B120" s="276">
        <f t="shared" si="17"/>
        <v>59258.280000000035</v>
      </c>
      <c r="C120" s="14">
        <f t="shared" si="14"/>
        <v>627.88</v>
      </c>
      <c r="D120" s="14">
        <f t="shared" si="20"/>
        <v>442.7</v>
      </c>
      <c r="E120" s="14">
        <f t="shared" si="15"/>
        <v>185.18</v>
      </c>
      <c r="F120" s="14">
        <f t="shared" si="25"/>
        <v>134.16999999999999</v>
      </c>
      <c r="G120" s="14">
        <f t="shared" si="25"/>
        <v>188.55</v>
      </c>
      <c r="H120" s="14">
        <f t="shared" si="12"/>
        <v>950.59999999999991</v>
      </c>
      <c r="I120" s="276">
        <f t="shared" si="21"/>
        <v>38716.259999999995</v>
      </c>
      <c r="J120" s="276">
        <f t="shared" si="22"/>
        <v>25003.459999999995</v>
      </c>
      <c r="K120" s="276">
        <f t="shared" si="23"/>
        <v>58815.580000000038</v>
      </c>
      <c r="L120" s="394">
        <f t="shared" si="26"/>
        <v>8</v>
      </c>
      <c r="M120" s="394">
        <f t="shared" si="18"/>
        <v>100</v>
      </c>
      <c r="N120" s="613">
        <f>INDEX(tblSubjectToLoan[Date],ROW()-ROW(tblContractForDeed[#Headers]))</f>
        <v>48870</v>
      </c>
      <c r="O120" s="276">
        <f>IF(ROW()=ROW(tblContractForDeed[#Headers])+1,$O$6,IF(INDEX(tblContractForDeed[End Bal],ROW()-ROW(tblContractForDeed[#Headers])-1)&lt;0,0,INDEX(tblContractForDeed[End Bal],ROW()-ROW(tblContractForDeed[#Headers])-1)))</f>
        <v>48383.580000000009</v>
      </c>
      <c r="P120" s="454">
        <f>IF(tblContractForDeed[[#This Row],[Date]]="","",IF(tblContractForDeed[[#This Row],[Date]]&lt;cfdRateChangeDate,cfdRate1,cfdRate2))</f>
        <v>7.7499999999999999E-2</v>
      </c>
      <c r="Q1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0" s="276">
        <f>IF(tblContractForDeed[[#This Row],[Payment]]=0,0,MAX(0,MIN(tblContractForDeed[[#This Row],[Beg]],tblContractForDeed[[#This Row],[Payment]]-tblContractForDeed[[#This Row],[Int]])))</f>
        <v>386.68999999999994</v>
      </c>
      <c r="S120" s="276">
        <f>IF(OR(tblContractForDeed[[#This Row],[Date]]&lt;cfdContractDate,tblContractForDeed[[#This Row],[Date]]&gt;cfdEndDate),0,ROUND(tblContractForDeed[[#This Row],[Beg]]*(tblContractForDeed[[#This Row],[Int Rate]]/12),2))</f>
        <v>312.48</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1021.8899999999999</v>
      </c>
      <c r="W120" s="276">
        <f>SUM(INDEX(tblContractForDeed[Princ],1):INDEX(tblContractForDeed[Princ],ROW()-ROW(tblContractForDeed[#Headers])))</f>
        <v>27261.109999999997</v>
      </c>
      <c r="X120" s="276">
        <f>IF(tblContractForDeed[[#This Row],[Beg]]&lt;=0,0,tblContractForDeed[[#This Row],[Beg]]-tblContractForDeed[[#This Row],[Princ]])</f>
        <v>47996.890000000007</v>
      </c>
      <c r="Y120" s="467">
        <f>IF(INDEX(tblContractForDeed[Payment],ROW()-ROW(tblBuyerOutputs[#Headers]))=0,0,INDEX(tblContractForDeed[Payment],ROW()-ROW(tblBuyerOutputs[#Headers]))-INDEX(tblSubjectToLoan[Payment],ROW()-ROW(tblBuyerOutputs[#Headers])))</f>
        <v>71.289999999999964</v>
      </c>
      <c r="Z12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88</v>
      </c>
      <c r="AA120"/>
      <c r="AB120" s="14">
        <f>IF(INDEX(tblContractForDeed[Payment],ROW()-ROW(tblBuyerOutputs[#Headers]))=0,0,INDEX(tblContractForDeed[Payment],ROW()-ROW(tblBuyerOutputs[#Headers]))-INDEX(tblSubjectToLoan[Payment],ROW()-ROW(tblBuyerOutputs[#Headers])))-IFERROR(tblBuyerOutputs[[#This Row],[PMI]],0)</f>
        <v>71.289999999999964</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4500.4499999999989</v>
      </c>
      <c r="AD120" s="276">
        <f>IF(INDEX(tblContractForDeed[End Bal],ROW()-ROW(tblBuyerOutputs[#Headers]))&lt;=0,0,($O$6+IF(ROW()=ROW(tblBuyerOutputs[#Headers])+1,0,INDEX(tblBuyerOutputs[Cumul Appr],ROW()-ROW(tblBuyerOutputs[#Headers])-1)))*$AK$2/12)</f>
        <v>0</v>
      </c>
      <c r="AE120" s="276">
        <f>IF(INDEX(tblContractForDeed[End Bal],ROW()-ROW(tblBuyerOutputs[#Headers]))&lt;=0,0,IF(ROW()=ROW(tblBuyerOutputs[#Headers])+1,0,INDEX(tblBuyerOutputs[Cumul Appr],ROW()-ROW(tblBuyerOutputs[#Headers])-1))+tblBuyerOutputs[[#This Row],[Monthly Appr]])</f>
        <v>0</v>
      </c>
    </row>
    <row r="121" spans="1:31" x14ac:dyDescent="0.25">
      <c r="A121" s="613">
        <f t="shared" si="19"/>
        <v>48900</v>
      </c>
      <c r="B121" s="276">
        <f t="shared" si="17"/>
        <v>58815.580000000038</v>
      </c>
      <c r="C121" s="14">
        <f t="shared" si="14"/>
        <v>627.88</v>
      </c>
      <c r="D121" s="14">
        <f t="shared" si="20"/>
        <v>444.08</v>
      </c>
      <c r="E121" s="14">
        <f t="shared" si="15"/>
        <v>183.8</v>
      </c>
      <c r="F121" s="14">
        <f t="shared" si="25"/>
        <v>134.16999999999999</v>
      </c>
      <c r="G121" s="14">
        <f t="shared" si="25"/>
        <v>188.55</v>
      </c>
      <c r="H121" s="14">
        <f t="shared" si="12"/>
        <v>950.59999999999991</v>
      </c>
      <c r="I121" s="276">
        <f t="shared" si="21"/>
        <v>39160.339999999997</v>
      </c>
      <c r="J121" s="276">
        <f t="shared" si="22"/>
        <v>25187.259999999995</v>
      </c>
      <c r="K121" s="276">
        <f t="shared" si="23"/>
        <v>58371.500000000036</v>
      </c>
      <c r="L121" s="394">
        <f t="shared" si="26"/>
        <v>8</v>
      </c>
      <c r="M121" s="394">
        <f t="shared" si="18"/>
        <v>101</v>
      </c>
      <c r="N121" s="613">
        <f>INDEX(tblSubjectToLoan[Date],ROW()-ROW(tblContractForDeed[#Headers]))</f>
        <v>48900</v>
      </c>
      <c r="O121" s="276">
        <f>IF(ROW()=ROW(tblContractForDeed[#Headers])+1,$O$6,IF(INDEX(tblContractForDeed[End Bal],ROW()-ROW(tblContractForDeed[#Headers])-1)&lt;0,0,INDEX(tblContractForDeed[End Bal],ROW()-ROW(tblContractForDeed[#Headers])-1)))</f>
        <v>47996.890000000007</v>
      </c>
      <c r="P121" s="454">
        <f>IF(tblContractForDeed[[#This Row],[Date]]="","",IF(tblContractForDeed[[#This Row],[Date]]&lt;cfdRateChangeDate,cfdRate1,cfdRate2))</f>
        <v>7.7499999999999999E-2</v>
      </c>
      <c r="Q1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1" s="276">
        <f>IF(tblContractForDeed[[#This Row],[Payment]]=0,0,MAX(0,MIN(tblContractForDeed[[#This Row],[Beg]],tblContractForDeed[[#This Row],[Payment]]-tblContractForDeed[[#This Row],[Int]])))</f>
        <v>389.18999999999994</v>
      </c>
      <c r="S121" s="276">
        <f>IF(OR(tblContractForDeed[[#This Row],[Date]]&lt;cfdContractDate,tblContractForDeed[[#This Row],[Date]]&gt;cfdEndDate),0,ROUND(tblContractForDeed[[#This Row],[Beg]]*(tblContractForDeed[[#This Row],[Int Rate]]/12),2))</f>
        <v>309.98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1021.8899999999999</v>
      </c>
      <c r="W121" s="276">
        <f>SUM(INDEX(tblContractForDeed[Princ],1):INDEX(tblContractForDeed[Princ],ROW()-ROW(tblContractForDeed[#Headers])))</f>
        <v>27650.299999999996</v>
      </c>
      <c r="X121" s="276">
        <f>IF(tblContractForDeed[[#This Row],[Beg]]&lt;=0,0,tblContractForDeed[[#This Row],[Beg]]-tblContractForDeed[[#This Row],[Princ]])</f>
        <v>47607.700000000004</v>
      </c>
      <c r="Y121" s="467">
        <f>IF(INDEX(tblContractForDeed[Payment],ROW()-ROW(tblBuyerOutputs[#Headers]))=0,0,INDEX(tblContractForDeed[Payment],ROW()-ROW(tblBuyerOutputs[#Headers]))-INDEX(tblSubjectToLoan[Payment],ROW()-ROW(tblBuyerOutputs[#Headers])))</f>
        <v>71.289999999999964</v>
      </c>
      <c r="Z12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89</v>
      </c>
      <c r="AA121"/>
      <c r="AB121" s="14">
        <f>IF(INDEX(tblContractForDeed[Payment],ROW()-ROW(tblBuyerOutputs[#Headers]))=0,0,INDEX(tblContractForDeed[Payment],ROW()-ROW(tblBuyerOutputs[#Headers]))-INDEX(tblSubjectToLoan[Payment],ROW()-ROW(tblBuyerOutputs[#Headers])))-IFERROR(tblBuyerOutputs[[#This Row],[PMI]],0)</f>
        <v>71.289999999999964</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4571.7399999999989</v>
      </c>
      <c r="AD121" s="276">
        <f>IF(INDEX(tblContractForDeed[End Bal],ROW()-ROW(tblBuyerOutputs[#Headers]))&lt;=0,0,($O$6+IF(ROW()=ROW(tblBuyerOutputs[#Headers])+1,0,INDEX(tblBuyerOutputs[Cumul Appr],ROW()-ROW(tblBuyerOutputs[#Headers])-1)))*$AK$2/12)</f>
        <v>0</v>
      </c>
      <c r="AE121" s="276">
        <f>IF(INDEX(tblContractForDeed[End Bal],ROW()-ROW(tblBuyerOutputs[#Headers]))&lt;=0,0,IF(ROW()=ROW(tblBuyerOutputs[#Headers])+1,0,INDEX(tblBuyerOutputs[Cumul Appr],ROW()-ROW(tblBuyerOutputs[#Headers])-1))+tblBuyerOutputs[[#This Row],[Monthly Appr]])</f>
        <v>0</v>
      </c>
    </row>
    <row r="122" spans="1:31" x14ac:dyDescent="0.25">
      <c r="A122" s="613">
        <f t="shared" si="19"/>
        <v>48930</v>
      </c>
      <c r="B122" s="276">
        <f t="shared" si="17"/>
        <v>58371.500000000036</v>
      </c>
      <c r="C122" s="14">
        <f t="shared" si="14"/>
        <v>627.88</v>
      </c>
      <c r="D122" s="14">
        <f t="shared" si="20"/>
        <v>445.47</v>
      </c>
      <c r="E122" s="14">
        <f t="shared" si="15"/>
        <v>182.41</v>
      </c>
      <c r="F122" s="14">
        <f t="shared" si="25"/>
        <v>134.16999999999999</v>
      </c>
      <c r="G122" s="14">
        <f t="shared" si="25"/>
        <v>188.55</v>
      </c>
      <c r="H122" s="14">
        <f t="shared" si="12"/>
        <v>950.59999999999991</v>
      </c>
      <c r="I122" s="276">
        <f t="shared" si="21"/>
        <v>39605.81</v>
      </c>
      <c r="J122" s="276">
        <f t="shared" si="22"/>
        <v>25369.669999999995</v>
      </c>
      <c r="K122" s="276">
        <f t="shared" si="23"/>
        <v>57926.030000000035</v>
      </c>
      <c r="L122" s="394">
        <f t="shared" si="26"/>
        <v>8</v>
      </c>
      <c r="M122" s="394">
        <f t="shared" si="18"/>
        <v>102</v>
      </c>
      <c r="N122" s="613">
        <f>INDEX(tblSubjectToLoan[Date],ROW()-ROW(tblContractForDeed[#Headers]))</f>
        <v>48930</v>
      </c>
      <c r="O122" s="276">
        <f>IF(ROW()=ROW(tblContractForDeed[#Headers])+1,$O$6,IF(INDEX(tblContractForDeed[End Bal],ROW()-ROW(tblContractForDeed[#Headers])-1)&lt;0,0,INDEX(tblContractForDeed[End Bal],ROW()-ROW(tblContractForDeed[#Headers])-1)))</f>
        <v>47607.700000000004</v>
      </c>
      <c r="P122" s="454">
        <f>IF(tblContractForDeed[[#This Row],[Date]]="","",IF(tblContractForDeed[[#This Row],[Date]]&lt;cfdRateChangeDate,cfdRate1,cfdRate2))</f>
        <v>7.7499999999999999E-2</v>
      </c>
      <c r="Q1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2" s="276">
        <f>IF(tblContractForDeed[[#This Row],[Payment]]=0,0,MAX(0,MIN(tblContractForDeed[[#This Row],[Beg]],tblContractForDeed[[#This Row],[Payment]]-tblContractForDeed[[#This Row],[Int]])))</f>
        <v>391.69999999999993</v>
      </c>
      <c r="S122" s="276">
        <f>IF(OR(tblContractForDeed[[#This Row],[Date]]&lt;cfdContractDate,tblContractForDeed[[#This Row],[Date]]&gt;cfdEndDate),0,ROUND(tblContractForDeed[[#This Row],[Beg]]*(tblContractForDeed[[#This Row],[Int Rate]]/12),2))</f>
        <v>307.47000000000003</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1021.8899999999999</v>
      </c>
      <c r="W122" s="276">
        <f>SUM(INDEX(tblContractForDeed[Princ],1):INDEX(tblContractForDeed[Princ],ROW()-ROW(tblContractForDeed[#Headers])))</f>
        <v>28041.999999999996</v>
      </c>
      <c r="X122" s="276">
        <f>IF(tblContractForDeed[[#This Row],[Beg]]&lt;=0,0,tblContractForDeed[[#This Row],[Beg]]-tblContractForDeed[[#This Row],[Princ]])</f>
        <v>47216.000000000007</v>
      </c>
      <c r="Y122" s="467">
        <f>IF(INDEX(tblContractForDeed[Payment],ROW()-ROW(tblBuyerOutputs[#Headers]))=0,0,INDEX(tblContractForDeed[Payment],ROW()-ROW(tblBuyerOutputs[#Headers]))-INDEX(tblSubjectToLoan[Payment],ROW()-ROW(tblBuyerOutputs[#Headers])))</f>
        <v>71.289999999999964</v>
      </c>
      <c r="Z12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90</v>
      </c>
      <c r="AA122"/>
      <c r="AB122" s="14">
        <f>IF(INDEX(tblContractForDeed[Payment],ROW()-ROW(tblBuyerOutputs[#Headers]))=0,0,INDEX(tblContractForDeed[Payment],ROW()-ROW(tblBuyerOutputs[#Headers]))-INDEX(tblSubjectToLoan[Payment],ROW()-ROW(tblBuyerOutputs[#Headers])))-IFERROR(tblBuyerOutputs[[#This Row],[PMI]],0)</f>
        <v>71.289999999999964</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4643.0299999999988</v>
      </c>
      <c r="AD122" s="276">
        <f>IF(INDEX(tblContractForDeed[End Bal],ROW()-ROW(tblBuyerOutputs[#Headers]))&lt;=0,0,($O$6+IF(ROW()=ROW(tblBuyerOutputs[#Headers])+1,0,INDEX(tblBuyerOutputs[Cumul Appr],ROW()-ROW(tblBuyerOutputs[#Headers])-1)))*$AK$2/12)</f>
        <v>0</v>
      </c>
      <c r="AE122" s="276">
        <f>IF(INDEX(tblContractForDeed[End Bal],ROW()-ROW(tblBuyerOutputs[#Headers]))&lt;=0,0,IF(ROW()=ROW(tblBuyerOutputs[#Headers])+1,0,INDEX(tblBuyerOutputs[Cumul Appr],ROW()-ROW(tblBuyerOutputs[#Headers])-1))+tblBuyerOutputs[[#This Row],[Monthly Appr]])</f>
        <v>0</v>
      </c>
    </row>
    <row r="123" spans="1:31" x14ac:dyDescent="0.25">
      <c r="A123" s="613">
        <f t="shared" si="19"/>
        <v>48960</v>
      </c>
      <c r="B123" s="276">
        <f t="shared" si="17"/>
        <v>57926.030000000035</v>
      </c>
      <c r="C123" s="14">
        <f t="shared" si="14"/>
        <v>627.88</v>
      </c>
      <c r="D123" s="14">
        <f t="shared" si="20"/>
        <v>446.86</v>
      </c>
      <c r="E123" s="14">
        <f t="shared" si="15"/>
        <v>181.02</v>
      </c>
      <c r="F123" s="14">
        <f t="shared" si="25"/>
        <v>134.16999999999999</v>
      </c>
      <c r="G123" s="14">
        <f t="shared" si="25"/>
        <v>188.55</v>
      </c>
      <c r="H123" s="14">
        <f t="shared" si="12"/>
        <v>950.59999999999991</v>
      </c>
      <c r="I123" s="276">
        <f t="shared" si="21"/>
        <v>40052.67</v>
      </c>
      <c r="J123" s="276">
        <f t="shared" si="22"/>
        <v>25550.689999999995</v>
      </c>
      <c r="K123" s="276">
        <f t="shared" si="23"/>
        <v>57479.170000000035</v>
      </c>
      <c r="L123" s="394">
        <f t="shared" si="26"/>
        <v>8</v>
      </c>
      <c r="M123" s="394">
        <f t="shared" si="18"/>
        <v>103</v>
      </c>
      <c r="N123" s="613">
        <f>INDEX(tblSubjectToLoan[Date],ROW()-ROW(tblContractForDeed[#Headers]))</f>
        <v>48960</v>
      </c>
      <c r="O123" s="276">
        <f>IF(ROW()=ROW(tblContractForDeed[#Headers])+1,$O$6,IF(INDEX(tblContractForDeed[End Bal],ROW()-ROW(tblContractForDeed[#Headers])-1)&lt;0,0,INDEX(tblContractForDeed[End Bal],ROW()-ROW(tblContractForDeed[#Headers])-1)))</f>
        <v>47216.000000000007</v>
      </c>
      <c r="P123" s="454">
        <f>IF(tblContractForDeed[[#This Row],[Date]]="","",IF(tblContractForDeed[[#This Row],[Date]]&lt;cfdRateChangeDate,cfdRate1,cfdRate2))</f>
        <v>7.7499999999999999E-2</v>
      </c>
      <c r="Q1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3" s="276">
        <f>IF(tblContractForDeed[[#This Row],[Payment]]=0,0,MAX(0,MIN(tblContractForDeed[[#This Row],[Beg]],tblContractForDeed[[#This Row],[Payment]]-tblContractForDeed[[#This Row],[Int]])))</f>
        <v>394.22999999999996</v>
      </c>
      <c r="S123" s="276">
        <f>IF(OR(tblContractForDeed[[#This Row],[Date]]&lt;cfdContractDate,tblContractForDeed[[#This Row],[Date]]&gt;cfdEndDate),0,ROUND(tblContractForDeed[[#This Row],[Beg]]*(tblContractForDeed[[#This Row],[Int Rate]]/12),2))</f>
        <v>304.94</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1021.8899999999999</v>
      </c>
      <c r="W123" s="276">
        <f>SUM(INDEX(tblContractForDeed[Princ],1):INDEX(tblContractForDeed[Princ],ROW()-ROW(tblContractForDeed[#Headers])))</f>
        <v>28436.229999999996</v>
      </c>
      <c r="X123" s="276">
        <f>IF(tblContractForDeed[[#This Row],[Beg]]&lt;=0,0,tblContractForDeed[[#This Row],[Beg]]-tblContractForDeed[[#This Row],[Princ]])</f>
        <v>46821.770000000004</v>
      </c>
      <c r="Y123" s="467">
        <f>IF(INDEX(tblContractForDeed[Payment],ROW()-ROW(tblBuyerOutputs[#Headers]))=0,0,INDEX(tblContractForDeed[Payment],ROW()-ROW(tblBuyerOutputs[#Headers]))-INDEX(tblSubjectToLoan[Payment],ROW()-ROW(tblBuyerOutputs[#Headers])))</f>
        <v>71.289999999999964</v>
      </c>
      <c r="Z12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91</v>
      </c>
      <c r="AA123"/>
      <c r="AB123" s="14">
        <f>IF(INDEX(tblContractForDeed[Payment],ROW()-ROW(tblBuyerOutputs[#Headers]))=0,0,INDEX(tblContractForDeed[Payment],ROW()-ROW(tblBuyerOutputs[#Headers]))-INDEX(tblSubjectToLoan[Payment],ROW()-ROW(tblBuyerOutputs[#Headers])))-IFERROR(tblBuyerOutputs[[#This Row],[PMI]],0)</f>
        <v>71.289999999999964</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4714.3199999999988</v>
      </c>
      <c r="AD123" s="276">
        <f>IF(INDEX(tblContractForDeed[End Bal],ROW()-ROW(tblBuyerOutputs[#Headers]))&lt;=0,0,($O$6+IF(ROW()=ROW(tblBuyerOutputs[#Headers])+1,0,INDEX(tblBuyerOutputs[Cumul Appr],ROW()-ROW(tblBuyerOutputs[#Headers])-1)))*$AK$2/12)</f>
        <v>0</v>
      </c>
      <c r="AE123" s="276">
        <f>IF(INDEX(tblContractForDeed[End Bal],ROW()-ROW(tblBuyerOutputs[#Headers]))&lt;=0,0,IF(ROW()=ROW(tblBuyerOutputs[#Headers])+1,0,INDEX(tblBuyerOutputs[Cumul Appr],ROW()-ROW(tblBuyerOutputs[#Headers])-1))+tblBuyerOutputs[[#This Row],[Monthly Appr]])</f>
        <v>0</v>
      </c>
    </row>
    <row r="124" spans="1:31" x14ac:dyDescent="0.25">
      <c r="A124" s="613">
        <f t="shared" si="19"/>
        <v>48990</v>
      </c>
      <c r="B124" s="276">
        <f t="shared" si="17"/>
        <v>57479.170000000035</v>
      </c>
      <c r="C124" s="14">
        <f t="shared" si="14"/>
        <v>627.88</v>
      </c>
      <c r="D124" s="14">
        <f t="shared" si="20"/>
        <v>448.26</v>
      </c>
      <c r="E124" s="14">
        <f t="shared" si="15"/>
        <v>179.62</v>
      </c>
      <c r="F124" s="14">
        <f t="shared" si="25"/>
        <v>134.16999999999999</v>
      </c>
      <c r="G124" s="14">
        <f t="shared" si="25"/>
        <v>188.55</v>
      </c>
      <c r="H124" s="14">
        <f t="shared" si="12"/>
        <v>950.59999999999991</v>
      </c>
      <c r="I124" s="276">
        <f t="shared" si="21"/>
        <v>40500.93</v>
      </c>
      <c r="J124" s="276">
        <f t="shared" si="22"/>
        <v>25730.309999999994</v>
      </c>
      <c r="K124" s="276">
        <f t="shared" si="23"/>
        <v>57030.910000000033</v>
      </c>
      <c r="L124" s="394">
        <f t="shared" si="26"/>
        <v>8</v>
      </c>
      <c r="M124" s="394">
        <f t="shared" si="18"/>
        <v>104</v>
      </c>
      <c r="N124" s="613">
        <f>INDEX(tblSubjectToLoan[Date],ROW()-ROW(tblContractForDeed[#Headers]))</f>
        <v>48990</v>
      </c>
      <c r="O124" s="276">
        <f>IF(ROW()=ROW(tblContractForDeed[#Headers])+1,$O$6,IF(INDEX(tblContractForDeed[End Bal],ROW()-ROW(tblContractForDeed[#Headers])-1)&lt;0,0,INDEX(tblContractForDeed[End Bal],ROW()-ROW(tblContractForDeed[#Headers])-1)))</f>
        <v>46821.770000000004</v>
      </c>
      <c r="P124" s="454">
        <f>IF(tblContractForDeed[[#This Row],[Date]]="","",IF(tblContractForDeed[[#This Row],[Date]]&lt;cfdRateChangeDate,cfdRate1,cfdRate2))</f>
        <v>7.7499999999999999E-2</v>
      </c>
      <c r="Q1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4" s="276">
        <f>IF(tblContractForDeed[[#This Row],[Payment]]=0,0,MAX(0,MIN(tblContractForDeed[[#This Row],[Beg]],tblContractForDeed[[#This Row],[Payment]]-tblContractForDeed[[#This Row],[Int]])))</f>
        <v>396.78</v>
      </c>
      <c r="S124" s="276">
        <f>IF(OR(tblContractForDeed[[#This Row],[Date]]&lt;cfdContractDate,tblContractForDeed[[#This Row],[Date]]&gt;cfdEndDate),0,ROUND(tblContractForDeed[[#This Row],[Beg]]*(tblContractForDeed[[#This Row],[Int Rate]]/12),2))</f>
        <v>302.39</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1021.8899999999999</v>
      </c>
      <c r="W124" s="276">
        <f>SUM(INDEX(tblContractForDeed[Princ],1):INDEX(tblContractForDeed[Princ],ROW()-ROW(tblContractForDeed[#Headers])))</f>
        <v>28833.009999999995</v>
      </c>
      <c r="X124" s="276">
        <f>IF(tblContractForDeed[[#This Row],[Beg]]&lt;=0,0,tblContractForDeed[[#This Row],[Beg]]-tblContractForDeed[[#This Row],[Princ]])</f>
        <v>46424.990000000005</v>
      </c>
      <c r="Y124" s="467">
        <f>IF(INDEX(tblContractForDeed[Payment],ROW()-ROW(tblBuyerOutputs[#Headers]))=0,0,INDEX(tblContractForDeed[Payment],ROW()-ROW(tblBuyerOutputs[#Headers]))-INDEX(tblSubjectToLoan[Payment],ROW()-ROW(tblBuyerOutputs[#Headers])))</f>
        <v>71.289999999999964</v>
      </c>
      <c r="Z12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92</v>
      </c>
      <c r="AA124"/>
      <c r="AB124" s="14">
        <f>IF(INDEX(tblContractForDeed[Payment],ROW()-ROW(tblBuyerOutputs[#Headers]))=0,0,INDEX(tblContractForDeed[Payment],ROW()-ROW(tblBuyerOutputs[#Headers]))-INDEX(tblSubjectToLoan[Payment],ROW()-ROW(tblBuyerOutputs[#Headers])))-IFERROR(tblBuyerOutputs[[#This Row],[PMI]],0)</f>
        <v>71.289999999999964</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4785.6099999999988</v>
      </c>
      <c r="AD124" s="276">
        <f>IF(INDEX(tblContractForDeed[End Bal],ROW()-ROW(tblBuyerOutputs[#Headers]))&lt;=0,0,($O$6+IF(ROW()=ROW(tblBuyerOutputs[#Headers])+1,0,INDEX(tblBuyerOutputs[Cumul Appr],ROW()-ROW(tblBuyerOutputs[#Headers])-1)))*$AK$2/12)</f>
        <v>0</v>
      </c>
      <c r="AE124" s="276">
        <f>IF(INDEX(tblContractForDeed[End Bal],ROW()-ROW(tblBuyerOutputs[#Headers]))&lt;=0,0,IF(ROW()=ROW(tblBuyerOutputs[#Headers])+1,0,INDEX(tblBuyerOutputs[Cumul Appr],ROW()-ROW(tblBuyerOutputs[#Headers])-1))+tblBuyerOutputs[[#This Row],[Monthly Appr]])</f>
        <v>0</v>
      </c>
    </row>
    <row r="125" spans="1:31" x14ac:dyDescent="0.25">
      <c r="A125" s="613">
        <f t="shared" si="19"/>
        <v>49020</v>
      </c>
      <c r="B125" s="276">
        <f t="shared" si="17"/>
        <v>57030.910000000033</v>
      </c>
      <c r="C125" s="14">
        <f t="shared" si="14"/>
        <v>627.88</v>
      </c>
      <c r="D125" s="14">
        <f t="shared" si="20"/>
        <v>449.65999999999997</v>
      </c>
      <c r="E125" s="14">
        <f t="shared" si="15"/>
        <v>178.22</v>
      </c>
      <c r="F125" s="14">
        <f t="shared" si="25"/>
        <v>134.16999999999999</v>
      </c>
      <c r="G125" s="14">
        <f t="shared" si="25"/>
        <v>188.55</v>
      </c>
      <c r="H125" s="14">
        <f t="shared" si="12"/>
        <v>950.59999999999991</v>
      </c>
      <c r="I125" s="276">
        <f t="shared" si="21"/>
        <v>40950.590000000004</v>
      </c>
      <c r="J125" s="276">
        <f t="shared" si="22"/>
        <v>25908.529999999995</v>
      </c>
      <c r="K125" s="276">
        <f t="shared" si="23"/>
        <v>56581.250000000029</v>
      </c>
      <c r="L125" s="394">
        <f t="shared" si="26"/>
        <v>8</v>
      </c>
      <c r="M125" s="394">
        <f t="shared" si="18"/>
        <v>105</v>
      </c>
      <c r="N125" s="613">
        <f>INDEX(tblSubjectToLoan[Date],ROW()-ROW(tblContractForDeed[#Headers]))</f>
        <v>49020</v>
      </c>
      <c r="O125" s="276">
        <f>IF(ROW()=ROW(tblContractForDeed[#Headers])+1,$O$6,IF(INDEX(tblContractForDeed[End Bal],ROW()-ROW(tblContractForDeed[#Headers])-1)&lt;0,0,INDEX(tblContractForDeed[End Bal],ROW()-ROW(tblContractForDeed[#Headers])-1)))</f>
        <v>46424.990000000005</v>
      </c>
      <c r="P125" s="454">
        <f>IF(tblContractForDeed[[#This Row],[Date]]="","",IF(tblContractForDeed[[#This Row],[Date]]&lt;cfdRateChangeDate,cfdRate1,cfdRate2))</f>
        <v>7.7499999999999999E-2</v>
      </c>
      <c r="Q1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5" s="276">
        <f>IF(tblContractForDeed[[#This Row],[Payment]]=0,0,MAX(0,MIN(tblContractForDeed[[#This Row],[Beg]],tblContractForDeed[[#This Row],[Payment]]-tblContractForDeed[[#This Row],[Int]])))</f>
        <v>399.34</v>
      </c>
      <c r="S125" s="276">
        <f>IF(OR(tblContractForDeed[[#This Row],[Date]]&lt;cfdContractDate,tblContractForDeed[[#This Row],[Date]]&gt;cfdEndDate),0,ROUND(tblContractForDeed[[#This Row],[Beg]]*(tblContractForDeed[[#This Row],[Int Rate]]/12),2))</f>
        <v>299.83</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1021.8899999999999</v>
      </c>
      <c r="W125" s="276">
        <f>SUM(INDEX(tblContractForDeed[Princ],1):INDEX(tblContractForDeed[Princ],ROW()-ROW(tblContractForDeed[#Headers])))</f>
        <v>29232.349999999995</v>
      </c>
      <c r="X125" s="276">
        <f>IF(tblContractForDeed[[#This Row],[Beg]]&lt;=0,0,tblContractForDeed[[#This Row],[Beg]]-tblContractForDeed[[#This Row],[Princ]])</f>
        <v>46025.650000000009</v>
      </c>
      <c r="Y125" s="467">
        <f>IF(INDEX(tblContractForDeed[Payment],ROW()-ROW(tblBuyerOutputs[#Headers]))=0,0,INDEX(tblContractForDeed[Payment],ROW()-ROW(tblBuyerOutputs[#Headers]))-INDEX(tblSubjectToLoan[Payment],ROW()-ROW(tblBuyerOutputs[#Headers])))</f>
        <v>71.289999999999964</v>
      </c>
      <c r="Z12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93</v>
      </c>
      <c r="AA125"/>
      <c r="AB125" s="14">
        <f>IF(INDEX(tblContractForDeed[Payment],ROW()-ROW(tblBuyerOutputs[#Headers]))=0,0,INDEX(tblContractForDeed[Payment],ROW()-ROW(tblBuyerOutputs[#Headers]))-INDEX(tblSubjectToLoan[Payment],ROW()-ROW(tblBuyerOutputs[#Headers])))-IFERROR(tblBuyerOutputs[[#This Row],[PMI]],0)</f>
        <v>71.289999999999964</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4856.8999999999987</v>
      </c>
      <c r="AD125" s="276">
        <f>IF(INDEX(tblContractForDeed[End Bal],ROW()-ROW(tblBuyerOutputs[#Headers]))&lt;=0,0,($O$6+IF(ROW()=ROW(tblBuyerOutputs[#Headers])+1,0,INDEX(tblBuyerOutputs[Cumul Appr],ROW()-ROW(tblBuyerOutputs[#Headers])-1)))*$AK$2/12)</f>
        <v>0</v>
      </c>
      <c r="AE125" s="276">
        <f>IF(INDEX(tblContractForDeed[End Bal],ROW()-ROW(tblBuyerOutputs[#Headers]))&lt;=0,0,IF(ROW()=ROW(tblBuyerOutputs[#Headers])+1,0,INDEX(tblBuyerOutputs[Cumul Appr],ROW()-ROW(tblBuyerOutputs[#Headers])-1))+tblBuyerOutputs[[#This Row],[Monthly Appr]])</f>
        <v>0</v>
      </c>
    </row>
    <row r="126" spans="1:31" x14ac:dyDescent="0.25">
      <c r="A126" s="613">
        <f t="shared" si="19"/>
        <v>49050</v>
      </c>
      <c r="B126" s="276">
        <f t="shared" si="17"/>
        <v>56581.250000000029</v>
      </c>
      <c r="C126" s="14">
        <f t="shared" si="14"/>
        <v>627.88</v>
      </c>
      <c r="D126" s="14">
        <f t="shared" si="20"/>
        <v>451.06</v>
      </c>
      <c r="E126" s="14">
        <f t="shared" si="15"/>
        <v>176.82</v>
      </c>
      <c r="F126" s="14">
        <f t="shared" si="25"/>
        <v>134.16999999999999</v>
      </c>
      <c r="G126" s="14">
        <f t="shared" si="25"/>
        <v>188.55</v>
      </c>
      <c r="H126" s="14">
        <f t="shared" si="12"/>
        <v>950.59999999999991</v>
      </c>
      <c r="I126" s="276">
        <f t="shared" si="21"/>
        <v>41401.65</v>
      </c>
      <c r="J126" s="276">
        <f t="shared" si="22"/>
        <v>26085.349999999995</v>
      </c>
      <c r="K126" s="276">
        <f t="shared" si="23"/>
        <v>56130.190000000031</v>
      </c>
      <c r="L126" s="394">
        <f t="shared" si="26"/>
        <v>8</v>
      </c>
      <c r="M126" s="394">
        <f t="shared" si="18"/>
        <v>106</v>
      </c>
      <c r="N126" s="613">
        <f>INDEX(tblSubjectToLoan[Date],ROW()-ROW(tblContractForDeed[#Headers]))</f>
        <v>49050</v>
      </c>
      <c r="O126" s="276">
        <f>IF(ROW()=ROW(tblContractForDeed[#Headers])+1,$O$6,IF(INDEX(tblContractForDeed[End Bal],ROW()-ROW(tblContractForDeed[#Headers])-1)&lt;0,0,INDEX(tblContractForDeed[End Bal],ROW()-ROW(tblContractForDeed[#Headers])-1)))</f>
        <v>46025.650000000009</v>
      </c>
      <c r="P126" s="454">
        <f>IF(tblContractForDeed[[#This Row],[Date]]="","",IF(tblContractForDeed[[#This Row],[Date]]&lt;cfdRateChangeDate,cfdRate1,cfdRate2))</f>
        <v>7.7499999999999999E-2</v>
      </c>
      <c r="Q1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6" s="276">
        <f>IF(tblContractForDeed[[#This Row],[Payment]]=0,0,MAX(0,MIN(tblContractForDeed[[#This Row],[Beg]],tblContractForDeed[[#This Row],[Payment]]-tblContractForDeed[[#This Row],[Int]])))</f>
        <v>401.91999999999996</v>
      </c>
      <c r="S126" s="276">
        <f>IF(OR(tblContractForDeed[[#This Row],[Date]]&lt;cfdContractDate,tblContractForDeed[[#This Row],[Date]]&gt;cfdEndDate),0,ROUND(tblContractForDeed[[#This Row],[Beg]]*(tblContractForDeed[[#This Row],[Int Rate]]/12),2))</f>
        <v>297.25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1021.8899999999999</v>
      </c>
      <c r="W126" s="276">
        <f>SUM(INDEX(tblContractForDeed[Princ],1):INDEX(tblContractForDeed[Princ],ROW()-ROW(tblContractForDeed[#Headers])))</f>
        <v>29634.269999999993</v>
      </c>
      <c r="X126" s="276">
        <f>IF(tblContractForDeed[[#This Row],[Beg]]&lt;=0,0,tblContractForDeed[[#This Row],[Beg]]-tblContractForDeed[[#This Row],[Princ]])</f>
        <v>45623.73000000001</v>
      </c>
      <c r="Y126" s="467">
        <f>IF(INDEX(tblContractForDeed[Payment],ROW()-ROW(tblBuyerOutputs[#Headers]))=0,0,INDEX(tblContractForDeed[Payment],ROW()-ROW(tblBuyerOutputs[#Headers]))-INDEX(tblSubjectToLoan[Payment],ROW()-ROW(tblBuyerOutputs[#Headers])))</f>
        <v>71.289999999999964</v>
      </c>
      <c r="Z12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94</v>
      </c>
      <c r="AA126"/>
      <c r="AB126" s="14">
        <f>IF(INDEX(tblContractForDeed[Payment],ROW()-ROW(tblBuyerOutputs[#Headers]))=0,0,INDEX(tblContractForDeed[Payment],ROW()-ROW(tblBuyerOutputs[#Headers]))-INDEX(tblSubjectToLoan[Payment],ROW()-ROW(tblBuyerOutputs[#Headers])))-IFERROR(tblBuyerOutputs[[#This Row],[PMI]],0)</f>
        <v>71.289999999999964</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4928.1899999999987</v>
      </c>
      <c r="AD126" s="276">
        <f>IF(INDEX(tblContractForDeed[End Bal],ROW()-ROW(tblBuyerOutputs[#Headers]))&lt;=0,0,($O$6+IF(ROW()=ROW(tblBuyerOutputs[#Headers])+1,0,INDEX(tblBuyerOutputs[Cumul Appr],ROW()-ROW(tblBuyerOutputs[#Headers])-1)))*$AK$2/12)</f>
        <v>0</v>
      </c>
      <c r="AE126" s="276">
        <f>IF(INDEX(tblContractForDeed[End Bal],ROW()-ROW(tblBuyerOutputs[#Headers]))&lt;=0,0,IF(ROW()=ROW(tblBuyerOutputs[#Headers])+1,0,INDEX(tblBuyerOutputs[Cumul Appr],ROW()-ROW(tblBuyerOutputs[#Headers])-1))+tblBuyerOutputs[[#This Row],[Monthly Appr]])</f>
        <v>0</v>
      </c>
    </row>
    <row r="127" spans="1:31" ht="15.75" thickBot="1" x14ac:dyDescent="0.3">
      <c r="A127" s="615">
        <f t="shared" si="19"/>
        <v>49080</v>
      </c>
      <c r="B127" s="332">
        <f t="shared" si="17"/>
        <v>56130.190000000031</v>
      </c>
      <c r="C127" s="21">
        <f t="shared" si="14"/>
        <v>627.88</v>
      </c>
      <c r="D127" s="21">
        <f t="shared" si="20"/>
        <v>452.47</v>
      </c>
      <c r="E127" s="21">
        <f t="shared" si="15"/>
        <v>175.41</v>
      </c>
      <c r="F127" s="21">
        <f t="shared" ref="F127:G142" si="27">+F126</f>
        <v>134.16999999999999</v>
      </c>
      <c r="G127" s="21">
        <f t="shared" si="27"/>
        <v>188.55</v>
      </c>
      <c r="H127" s="21">
        <f t="shared" si="12"/>
        <v>950.59999999999991</v>
      </c>
      <c r="I127" s="332">
        <f t="shared" si="21"/>
        <v>41854.120000000003</v>
      </c>
      <c r="J127" s="332">
        <f t="shared" si="22"/>
        <v>26260.759999999995</v>
      </c>
      <c r="K127" s="332">
        <f t="shared" si="23"/>
        <v>55677.72000000003</v>
      </c>
      <c r="L127" s="395">
        <f t="shared" si="26"/>
        <v>8</v>
      </c>
      <c r="M127" s="395">
        <f t="shared" si="18"/>
        <v>107</v>
      </c>
      <c r="N127" s="615">
        <f>INDEX(tblSubjectToLoan[Date],ROW()-ROW(tblContractForDeed[#Headers]))</f>
        <v>49080</v>
      </c>
      <c r="O127" s="332">
        <f>IF(ROW()=ROW(tblContractForDeed[#Headers])+1,$O$6,IF(INDEX(tblContractForDeed[End Bal],ROW()-ROW(tblContractForDeed[#Headers])-1)&lt;0,0,INDEX(tblContractForDeed[End Bal],ROW()-ROW(tblContractForDeed[#Headers])-1)))</f>
        <v>45623.73000000001</v>
      </c>
      <c r="P127" s="454">
        <f>IF(tblContractForDeed[[#This Row],[Date]]="","",IF(tblContractForDeed[[#This Row],[Date]]&lt;cfdRateChangeDate,cfdRate1,cfdRate2))</f>
        <v>7.7499999999999999E-2</v>
      </c>
      <c r="Q1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7" s="332">
        <f>IF(tblContractForDeed[[#This Row],[Payment]]=0,0,MAX(0,MIN(tblContractForDeed[[#This Row],[Beg]],tblContractForDeed[[#This Row],[Payment]]-tblContractForDeed[[#This Row],[Int]])))</f>
        <v>404.52</v>
      </c>
      <c r="S127" s="332">
        <f>IF(OR(tblContractForDeed[[#This Row],[Date]]&lt;cfdContractDate,tblContractForDeed[[#This Row],[Date]]&gt;cfdEndDate),0,ROUND(tblContractForDeed[[#This Row],[Beg]]*(tblContractForDeed[[#This Row],[Int Rate]]/12),2))</f>
        <v>294.64999999999998</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1021.8899999999999</v>
      </c>
      <c r="W127" s="332">
        <f>SUM(INDEX(tblContractForDeed[Princ],1):INDEX(tblContractForDeed[Princ],ROW()-ROW(tblContractForDeed[#Headers])))</f>
        <v>30038.789999999994</v>
      </c>
      <c r="X127" s="332">
        <f>IF(tblContractForDeed[[#This Row],[Beg]]&lt;=0,0,tblContractForDeed[[#This Row],[Beg]]-tblContractForDeed[[#This Row],[Princ]])</f>
        <v>45219.210000000014</v>
      </c>
      <c r="Y127" s="468">
        <f>IF(INDEX(tblContractForDeed[Payment],ROW()-ROW(tblBuyerOutputs[#Headers]))=0,0,INDEX(tblContractForDeed[Payment],ROW()-ROW(tblBuyerOutputs[#Headers]))-INDEX(tblSubjectToLoan[Payment],ROW()-ROW(tblBuyerOutputs[#Headers])))</f>
        <v>71.289999999999964</v>
      </c>
      <c r="Z12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95</v>
      </c>
      <c r="AA127" s="23"/>
      <c r="AB127" s="21">
        <f>IF(INDEX(tblContractForDeed[Payment],ROW()-ROW(tblBuyerOutputs[#Headers]))=0,0,INDEX(tblContractForDeed[Payment],ROW()-ROW(tblBuyerOutputs[#Headers]))-INDEX(tblSubjectToLoan[Payment],ROW()-ROW(tblBuyerOutputs[#Headers])))-IFERROR(tblBuyerOutputs[[#This Row],[PMI]],0)</f>
        <v>71.289999999999964</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4999.4799999999987</v>
      </c>
      <c r="AD127" s="332">
        <f>IF(INDEX(tblContractForDeed[End Bal],ROW()-ROW(tblBuyerOutputs[#Headers]))&lt;=0,0,($O$6+IF(ROW()=ROW(tblBuyerOutputs[#Headers])+1,0,INDEX(tblBuyerOutputs[Cumul Appr],ROW()-ROW(tblBuyerOutputs[#Headers])-1)))*$AK$2/12)</f>
        <v>0</v>
      </c>
      <c r="AE127" s="332">
        <f>IF(INDEX(tblContractForDeed[End Bal],ROW()-ROW(tblBuyerOutputs[#Headers]))&lt;=0,0,IF(ROW()=ROW(tblBuyerOutputs[#Headers])+1,0,INDEX(tblBuyerOutputs[Cumul Appr],ROW()-ROW(tblBuyerOutputs[#Headers])-1))+tblBuyerOutputs[[#This Row],[Monthly Appr]])</f>
        <v>0</v>
      </c>
    </row>
    <row r="128" spans="1:31" x14ac:dyDescent="0.25">
      <c r="A128" s="613">
        <f t="shared" si="19"/>
        <v>49110</v>
      </c>
      <c r="B128" s="276">
        <f t="shared" si="17"/>
        <v>55677.72000000003</v>
      </c>
      <c r="C128" s="14">
        <f t="shared" si="14"/>
        <v>627.88</v>
      </c>
      <c r="D128" s="14">
        <f t="shared" si="20"/>
        <v>453.89</v>
      </c>
      <c r="E128" s="14">
        <f t="shared" si="15"/>
        <v>173.99</v>
      </c>
      <c r="F128" s="14">
        <f t="shared" si="27"/>
        <v>134.16999999999999</v>
      </c>
      <c r="G128" s="14">
        <f t="shared" si="27"/>
        <v>188.55</v>
      </c>
      <c r="H128" s="14">
        <f t="shared" ref="H128:H191" si="28">SUM(D128:G128)</f>
        <v>950.59999999999991</v>
      </c>
      <c r="I128" s="276">
        <f t="shared" si="21"/>
        <v>42308.01</v>
      </c>
      <c r="J128" s="276">
        <f t="shared" si="22"/>
        <v>26434.749999999996</v>
      </c>
      <c r="K128" s="276">
        <f t="shared" si="23"/>
        <v>55223.830000000031</v>
      </c>
      <c r="L128" s="394">
        <f t="shared" si="26"/>
        <v>9</v>
      </c>
      <c r="M128" s="394">
        <f t="shared" si="18"/>
        <v>108</v>
      </c>
      <c r="N128" s="613">
        <f>INDEX(tblSubjectToLoan[Date],ROW()-ROW(tblContractForDeed[#Headers]))</f>
        <v>49110</v>
      </c>
      <c r="O128" s="276">
        <f>IF(ROW()=ROW(tblContractForDeed[#Headers])+1,$O$6,IF(INDEX(tblContractForDeed[End Bal],ROW()-ROW(tblContractForDeed[#Headers])-1)&lt;0,0,INDEX(tblContractForDeed[End Bal],ROW()-ROW(tblContractForDeed[#Headers])-1)))</f>
        <v>45219.210000000014</v>
      </c>
      <c r="P128" s="454">
        <f>IF(tblContractForDeed[[#This Row],[Date]]="","",IF(tblContractForDeed[[#This Row],[Date]]&lt;cfdRateChangeDate,cfdRate1,cfdRate2))</f>
        <v>7.7499999999999999E-2</v>
      </c>
      <c r="Q1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8" s="276">
        <f>IF(tblContractForDeed[[#This Row],[Payment]]=0,0,MAX(0,MIN(tblContractForDeed[[#This Row],[Beg]],tblContractForDeed[[#This Row],[Payment]]-tblContractForDeed[[#This Row],[Int]])))</f>
        <v>407.12999999999994</v>
      </c>
      <c r="S128" s="276">
        <f>IF(OR(tblContractForDeed[[#This Row],[Date]]&lt;cfdContractDate,tblContractForDeed[[#This Row],[Date]]&gt;cfdEndDate),0,ROUND(tblContractForDeed[[#This Row],[Beg]]*(tblContractForDeed[[#This Row],[Int Rate]]/12),2))</f>
        <v>292.04000000000002</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1021.8899999999999</v>
      </c>
      <c r="W128" s="276">
        <f>SUM(INDEX(tblContractForDeed[Princ],1):INDEX(tblContractForDeed[Princ],ROW()-ROW(tblContractForDeed[#Headers])))</f>
        <v>30445.919999999995</v>
      </c>
      <c r="X128" s="276">
        <f>IF(tblContractForDeed[[#This Row],[Beg]]&lt;=0,0,tblContractForDeed[[#This Row],[Beg]]-tblContractForDeed[[#This Row],[Princ]])</f>
        <v>44812.080000000016</v>
      </c>
      <c r="Y128" s="467">
        <f>IF(INDEX(tblContractForDeed[Payment],ROW()-ROW(tblBuyerOutputs[#Headers]))=0,0,INDEX(tblContractForDeed[Payment],ROW()-ROW(tblBuyerOutputs[#Headers]))-INDEX(tblSubjectToLoan[Payment],ROW()-ROW(tblBuyerOutputs[#Headers])))</f>
        <v>71.289999999999964</v>
      </c>
      <c r="Z12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96</v>
      </c>
      <c r="AA128"/>
      <c r="AB128" s="14">
        <f>IF(INDEX(tblContractForDeed[Payment],ROW()-ROW(tblBuyerOutputs[#Headers]))=0,0,INDEX(tblContractForDeed[Payment],ROW()-ROW(tblBuyerOutputs[#Headers]))-INDEX(tblSubjectToLoan[Payment],ROW()-ROW(tblBuyerOutputs[#Headers])))-IFERROR(tblBuyerOutputs[[#This Row],[PMI]],0)</f>
        <v>71.289999999999964</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5070.7699999999986</v>
      </c>
      <c r="AD128" s="276">
        <f>IF(INDEX(tblContractForDeed[End Bal],ROW()-ROW(tblBuyerOutputs[#Headers]))&lt;=0,0,($O$6+IF(ROW()=ROW(tblBuyerOutputs[#Headers])+1,0,INDEX(tblBuyerOutputs[Cumul Appr],ROW()-ROW(tblBuyerOutputs[#Headers])-1)))*$AK$2/12)</f>
        <v>0</v>
      </c>
      <c r="AE128" s="276">
        <f>IF(INDEX(tblContractForDeed[End Bal],ROW()-ROW(tblBuyerOutputs[#Headers]))&lt;=0,0,IF(ROW()=ROW(tblBuyerOutputs[#Headers])+1,0,INDEX(tblBuyerOutputs[Cumul Appr],ROW()-ROW(tblBuyerOutputs[#Headers])-1))+tblBuyerOutputs[[#This Row],[Monthly Appr]])</f>
        <v>0</v>
      </c>
    </row>
    <row r="129" spans="1:31" x14ac:dyDescent="0.25">
      <c r="A129" s="613">
        <f t="shared" si="19"/>
        <v>49140</v>
      </c>
      <c r="B129" s="276">
        <f t="shared" si="17"/>
        <v>55223.830000000031</v>
      </c>
      <c r="C129" s="14">
        <f t="shared" si="14"/>
        <v>627.88</v>
      </c>
      <c r="D129" s="14">
        <f t="shared" si="20"/>
        <v>455.31</v>
      </c>
      <c r="E129" s="14">
        <f t="shared" si="15"/>
        <v>172.57</v>
      </c>
      <c r="F129" s="14">
        <f t="shared" si="27"/>
        <v>134.16999999999999</v>
      </c>
      <c r="G129" s="14">
        <f t="shared" si="27"/>
        <v>188.55</v>
      </c>
      <c r="H129" s="14">
        <f t="shared" si="28"/>
        <v>950.59999999999991</v>
      </c>
      <c r="I129" s="276">
        <f t="shared" si="21"/>
        <v>42763.32</v>
      </c>
      <c r="J129" s="276">
        <f t="shared" si="22"/>
        <v>26607.319999999996</v>
      </c>
      <c r="K129" s="276">
        <f t="shared" si="23"/>
        <v>54768.520000000033</v>
      </c>
      <c r="L129" s="394">
        <f t="shared" si="26"/>
        <v>9</v>
      </c>
      <c r="M129" s="394">
        <f t="shared" si="18"/>
        <v>109</v>
      </c>
      <c r="N129" s="613">
        <f>INDEX(tblSubjectToLoan[Date],ROW()-ROW(tblContractForDeed[#Headers]))</f>
        <v>49140</v>
      </c>
      <c r="O129" s="276">
        <f>IF(ROW()=ROW(tblContractForDeed[#Headers])+1,$O$6,IF(INDEX(tblContractForDeed[End Bal],ROW()-ROW(tblContractForDeed[#Headers])-1)&lt;0,0,INDEX(tblContractForDeed[End Bal],ROW()-ROW(tblContractForDeed[#Headers])-1)))</f>
        <v>44812.080000000016</v>
      </c>
      <c r="P129" s="454">
        <f>IF(tblContractForDeed[[#This Row],[Date]]="","",IF(tblContractForDeed[[#This Row],[Date]]&lt;cfdRateChangeDate,cfdRate1,cfdRate2))</f>
        <v>7.7499999999999999E-2</v>
      </c>
      <c r="Q1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9" s="276">
        <f>IF(tblContractForDeed[[#This Row],[Payment]]=0,0,MAX(0,MIN(tblContractForDeed[[#This Row],[Beg]],tblContractForDeed[[#This Row],[Payment]]-tblContractForDeed[[#This Row],[Int]])))</f>
        <v>409.75999999999993</v>
      </c>
      <c r="S129" s="276">
        <f>IF(OR(tblContractForDeed[[#This Row],[Date]]&lt;cfdContractDate,tblContractForDeed[[#This Row],[Date]]&gt;cfdEndDate),0,ROUND(tblContractForDeed[[#This Row],[Beg]]*(tblContractForDeed[[#This Row],[Int Rate]]/12),2))</f>
        <v>289.41000000000003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1021.8899999999999</v>
      </c>
      <c r="W129" s="276">
        <f>SUM(INDEX(tblContractForDeed[Princ],1):INDEX(tblContractForDeed[Princ],ROW()-ROW(tblContractForDeed[#Headers])))</f>
        <v>30855.679999999993</v>
      </c>
      <c r="X129" s="276">
        <f>IF(tblContractForDeed[[#This Row],[Beg]]&lt;=0,0,tblContractForDeed[[#This Row],[Beg]]-tblContractForDeed[[#This Row],[Princ]])</f>
        <v>44402.320000000014</v>
      </c>
      <c r="Y129" s="467">
        <f>IF(INDEX(tblContractForDeed[Payment],ROW()-ROW(tblBuyerOutputs[#Headers]))=0,0,INDEX(tblContractForDeed[Payment],ROW()-ROW(tblBuyerOutputs[#Headers]))-INDEX(tblSubjectToLoan[Payment],ROW()-ROW(tblBuyerOutputs[#Headers])))</f>
        <v>71.289999999999964</v>
      </c>
      <c r="Z12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97</v>
      </c>
      <c r="AA129"/>
      <c r="AB129" s="14">
        <f>IF(INDEX(tblContractForDeed[Payment],ROW()-ROW(tblBuyerOutputs[#Headers]))=0,0,INDEX(tblContractForDeed[Payment],ROW()-ROW(tblBuyerOutputs[#Headers]))-INDEX(tblSubjectToLoan[Payment],ROW()-ROW(tblBuyerOutputs[#Headers])))-IFERROR(tblBuyerOutputs[[#This Row],[PMI]],0)</f>
        <v>71.289999999999964</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5142.0599999999986</v>
      </c>
      <c r="AD129" s="276">
        <f>IF(INDEX(tblContractForDeed[End Bal],ROW()-ROW(tblBuyerOutputs[#Headers]))&lt;=0,0,($O$6+IF(ROW()=ROW(tblBuyerOutputs[#Headers])+1,0,INDEX(tblBuyerOutputs[Cumul Appr],ROW()-ROW(tblBuyerOutputs[#Headers])-1)))*$AK$2/12)</f>
        <v>0</v>
      </c>
      <c r="AE129" s="276">
        <f>IF(INDEX(tblContractForDeed[End Bal],ROW()-ROW(tblBuyerOutputs[#Headers]))&lt;=0,0,IF(ROW()=ROW(tblBuyerOutputs[#Headers])+1,0,INDEX(tblBuyerOutputs[Cumul Appr],ROW()-ROW(tblBuyerOutputs[#Headers])-1))+tblBuyerOutputs[[#This Row],[Monthly Appr]])</f>
        <v>0</v>
      </c>
    </row>
    <row r="130" spans="1:31" x14ac:dyDescent="0.25">
      <c r="A130" s="613">
        <f t="shared" si="19"/>
        <v>49170</v>
      </c>
      <c r="B130" s="276">
        <f t="shared" si="17"/>
        <v>54768.520000000033</v>
      </c>
      <c r="C130" s="14">
        <f t="shared" si="14"/>
        <v>627.88</v>
      </c>
      <c r="D130" s="14">
        <f t="shared" si="20"/>
        <v>456.73</v>
      </c>
      <c r="E130" s="14">
        <f t="shared" si="15"/>
        <v>171.15</v>
      </c>
      <c r="F130" s="14">
        <f t="shared" si="27"/>
        <v>134.16999999999999</v>
      </c>
      <c r="G130" s="14">
        <f t="shared" si="27"/>
        <v>188.55</v>
      </c>
      <c r="H130" s="14">
        <f t="shared" si="28"/>
        <v>950.59999999999991</v>
      </c>
      <c r="I130" s="276">
        <f t="shared" si="21"/>
        <v>43220.05</v>
      </c>
      <c r="J130" s="276">
        <f t="shared" si="22"/>
        <v>26778.469999999998</v>
      </c>
      <c r="K130" s="276">
        <f t="shared" si="23"/>
        <v>54311.79000000003</v>
      </c>
      <c r="L130" s="394">
        <f t="shared" si="26"/>
        <v>9</v>
      </c>
      <c r="M130" s="394">
        <f t="shared" si="18"/>
        <v>110</v>
      </c>
      <c r="N130" s="613">
        <f>INDEX(tblSubjectToLoan[Date],ROW()-ROW(tblContractForDeed[#Headers]))</f>
        <v>49170</v>
      </c>
      <c r="O130" s="276">
        <f>IF(ROW()=ROW(tblContractForDeed[#Headers])+1,$O$6,IF(INDEX(tblContractForDeed[End Bal],ROW()-ROW(tblContractForDeed[#Headers])-1)&lt;0,0,INDEX(tblContractForDeed[End Bal],ROW()-ROW(tblContractForDeed[#Headers])-1)))</f>
        <v>44402.320000000014</v>
      </c>
      <c r="P130" s="454">
        <f>IF(tblContractForDeed[[#This Row],[Date]]="","",IF(tblContractForDeed[[#This Row],[Date]]&lt;cfdRateChangeDate,cfdRate1,cfdRate2))</f>
        <v>7.7499999999999999E-2</v>
      </c>
      <c r="Q1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0" s="276">
        <f>IF(tblContractForDeed[[#This Row],[Payment]]=0,0,MAX(0,MIN(tblContractForDeed[[#This Row],[Beg]],tblContractForDeed[[#This Row],[Payment]]-tblContractForDeed[[#This Row],[Int]])))</f>
        <v>412.40999999999997</v>
      </c>
      <c r="S130" s="276">
        <f>IF(OR(tblContractForDeed[[#This Row],[Date]]&lt;cfdContractDate,tblContractForDeed[[#This Row],[Date]]&gt;cfdEndDate),0,ROUND(tblContractForDeed[[#This Row],[Beg]]*(tblContractForDeed[[#This Row],[Int Rate]]/12),2))</f>
        <v>286.76</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1021.8899999999999</v>
      </c>
      <c r="W130" s="276">
        <f>SUM(INDEX(tblContractForDeed[Princ],1):INDEX(tblContractForDeed[Princ],ROW()-ROW(tblContractForDeed[#Headers])))</f>
        <v>31268.089999999993</v>
      </c>
      <c r="X130" s="276">
        <f>IF(tblContractForDeed[[#This Row],[Beg]]&lt;=0,0,tblContractForDeed[[#This Row],[Beg]]-tblContractForDeed[[#This Row],[Princ]])</f>
        <v>43989.910000000011</v>
      </c>
      <c r="Y130" s="467">
        <f>IF(INDEX(tblContractForDeed[Payment],ROW()-ROW(tblBuyerOutputs[#Headers]))=0,0,INDEX(tblContractForDeed[Payment],ROW()-ROW(tblBuyerOutputs[#Headers]))-INDEX(tblSubjectToLoan[Payment],ROW()-ROW(tblBuyerOutputs[#Headers])))</f>
        <v>71.289999999999964</v>
      </c>
      <c r="Z13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98</v>
      </c>
      <c r="AA130"/>
      <c r="AB130" s="14">
        <f>IF(INDEX(tblContractForDeed[Payment],ROW()-ROW(tblBuyerOutputs[#Headers]))=0,0,INDEX(tblContractForDeed[Payment],ROW()-ROW(tblBuyerOutputs[#Headers]))-INDEX(tblSubjectToLoan[Payment],ROW()-ROW(tblBuyerOutputs[#Headers])))-IFERROR(tblBuyerOutputs[[#This Row],[PMI]],0)</f>
        <v>71.289999999999964</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5213.3499999999985</v>
      </c>
      <c r="AD130" s="276">
        <f>IF(INDEX(tblContractForDeed[End Bal],ROW()-ROW(tblBuyerOutputs[#Headers]))&lt;=0,0,($O$6+IF(ROW()=ROW(tblBuyerOutputs[#Headers])+1,0,INDEX(tblBuyerOutputs[Cumul Appr],ROW()-ROW(tblBuyerOutputs[#Headers])-1)))*$AK$2/12)</f>
        <v>0</v>
      </c>
      <c r="AE130" s="276">
        <f>IF(INDEX(tblContractForDeed[End Bal],ROW()-ROW(tblBuyerOutputs[#Headers]))&lt;=0,0,IF(ROW()=ROW(tblBuyerOutputs[#Headers])+1,0,INDEX(tblBuyerOutputs[Cumul Appr],ROW()-ROW(tblBuyerOutputs[#Headers])-1))+tblBuyerOutputs[[#This Row],[Monthly Appr]])</f>
        <v>0</v>
      </c>
    </row>
    <row r="131" spans="1:31" x14ac:dyDescent="0.25">
      <c r="A131" s="613">
        <f t="shared" si="19"/>
        <v>49200</v>
      </c>
      <c r="B131" s="276">
        <f t="shared" si="17"/>
        <v>54311.79000000003</v>
      </c>
      <c r="C131" s="14">
        <f t="shared" si="14"/>
        <v>627.88</v>
      </c>
      <c r="D131" s="14">
        <f t="shared" si="20"/>
        <v>458.15999999999997</v>
      </c>
      <c r="E131" s="14">
        <f t="shared" si="15"/>
        <v>169.72</v>
      </c>
      <c r="F131" s="14">
        <f t="shared" si="27"/>
        <v>134.16999999999999</v>
      </c>
      <c r="G131" s="14">
        <f t="shared" si="27"/>
        <v>188.55</v>
      </c>
      <c r="H131" s="14">
        <f t="shared" si="28"/>
        <v>950.59999999999991</v>
      </c>
      <c r="I131" s="276">
        <f t="shared" si="21"/>
        <v>43678.210000000006</v>
      </c>
      <c r="J131" s="276">
        <f t="shared" si="22"/>
        <v>26948.19</v>
      </c>
      <c r="K131" s="276">
        <f t="shared" si="23"/>
        <v>53853.630000000026</v>
      </c>
      <c r="L131" s="394">
        <f t="shared" si="26"/>
        <v>9</v>
      </c>
      <c r="M131" s="394">
        <f t="shared" si="18"/>
        <v>111</v>
      </c>
      <c r="N131" s="613">
        <f>INDEX(tblSubjectToLoan[Date],ROW()-ROW(tblContractForDeed[#Headers]))</f>
        <v>49200</v>
      </c>
      <c r="O131" s="276">
        <f>IF(ROW()=ROW(tblContractForDeed[#Headers])+1,$O$6,IF(INDEX(tblContractForDeed[End Bal],ROW()-ROW(tblContractForDeed[#Headers])-1)&lt;0,0,INDEX(tblContractForDeed[End Bal],ROW()-ROW(tblContractForDeed[#Headers])-1)))</f>
        <v>43989.910000000011</v>
      </c>
      <c r="P131" s="454">
        <f>IF(tblContractForDeed[[#This Row],[Date]]="","",IF(tblContractForDeed[[#This Row],[Date]]&lt;cfdRateChangeDate,cfdRate1,cfdRate2))</f>
        <v>7.7499999999999999E-2</v>
      </c>
      <c r="Q1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1" s="276">
        <f>IF(tblContractForDeed[[#This Row],[Payment]]=0,0,MAX(0,MIN(tblContractForDeed[[#This Row],[Beg]],tblContractForDeed[[#This Row],[Payment]]-tblContractForDeed[[#This Row],[Int]])))</f>
        <v>415.06999999999994</v>
      </c>
      <c r="S131" s="276">
        <f>IF(OR(tblContractForDeed[[#This Row],[Date]]&lt;cfdContractDate,tblContractForDeed[[#This Row],[Date]]&gt;cfdEndDate),0,ROUND(tblContractForDeed[[#This Row],[Beg]]*(tblContractForDeed[[#This Row],[Int Rate]]/12),2))</f>
        <v>284.10000000000002</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1021.8899999999999</v>
      </c>
      <c r="W131" s="276">
        <f>SUM(INDEX(tblContractForDeed[Princ],1):INDEX(tblContractForDeed[Princ],ROW()-ROW(tblContractForDeed[#Headers])))</f>
        <v>31683.159999999993</v>
      </c>
      <c r="X131" s="276">
        <f>IF(tblContractForDeed[[#This Row],[Beg]]&lt;=0,0,tblContractForDeed[[#This Row],[Beg]]-tblContractForDeed[[#This Row],[Princ]])</f>
        <v>43574.840000000011</v>
      </c>
      <c r="Y131" s="467">
        <f>IF(INDEX(tblContractForDeed[Payment],ROW()-ROW(tblBuyerOutputs[#Headers]))=0,0,INDEX(tblContractForDeed[Payment],ROW()-ROW(tblBuyerOutputs[#Headers]))-INDEX(tblSubjectToLoan[Payment],ROW()-ROW(tblBuyerOutputs[#Headers])))</f>
        <v>71.289999999999964</v>
      </c>
      <c r="Z13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99</v>
      </c>
      <c r="AA131"/>
      <c r="AB131" s="14">
        <f>IF(INDEX(tblContractForDeed[Payment],ROW()-ROW(tblBuyerOutputs[#Headers]))=0,0,INDEX(tblContractForDeed[Payment],ROW()-ROW(tblBuyerOutputs[#Headers]))-INDEX(tblSubjectToLoan[Payment],ROW()-ROW(tblBuyerOutputs[#Headers])))-IFERROR(tblBuyerOutputs[[#This Row],[PMI]],0)</f>
        <v>71.289999999999964</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5284.6399999999985</v>
      </c>
      <c r="AD131" s="276">
        <f>IF(INDEX(tblContractForDeed[End Bal],ROW()-ROW(tblBuyerOutputs[#Headers]))&lt;=0,0,($O$6+IF(ROW()=ROW(tblBuyerOutputs[#Headers])+1,0,INDEX(tblBuyerOutputs[Cumul Appr],ROW()-ROW(tblBuyerOutputs[#Headers])-1)))*$AK$2/12)</f>
        <v>0</v>
      </c>
      <c r="AE131" s="276">
        <f>IF(INDEX(tblContractForDeed[End Bal],ROW()-ROW(tblBuyerOutputs[#Headers]))&lt;=0,0,IF(ROW()=ROW(tblBuyerOutputs[#Headers])+1,0,INDEX(tblBuyerOutputs[Cumul Appr],ROW()-ROW(tblBuyerOutputs[#Headers])-1))+tblBuyerOutputs[[#This Row],[Monthly Appr]])</f>
        <v>0</v>
      </c>
    </row>
    <row r="132" spans="1:31" x14ac:dyDescent="0.25">
      <c r="A132" s="613">
        <f t="shared" si="19"/>
        <v>49230</v>
      </c>
      <c r="B132" s="276">
        <f t="shared" si="17"/>
        <v>53853.630000000026</v>
      </c>
      <c r="C132" s="14">
        <f t="shared" si="14"/>
        <v>627.88</v>
      </c>
      <c r="D132" s="14">
        <f t="shared" si="20"/>
        <v>459.59000000000003</v>
      </c>
      <c r="E132" s="14">
        <f t="shared" si="15"/>
        <v>168.29</v>
      </c>
      <c r="F132" s="14">
        <f t="shared" si="27"/>
        <v>134.16999999999999</v>
      </c>
      <c r="G132" s="14">
        <f t="shared" si="27"/>
        <v>188.55</v>
      </c>
      <c r="H132" s="14">
        <f t="shared" si="28"/>
        <v>950.59999999999991</v>
      </c>
      <c r="I132" s="276">
        <f t="shared" si="21"/>
        <v>44137.8</v>
      </c>
      <c r="J132" s="276">
        <f t="shared" si="22"/>
        <v>27116.48</v>
      </c>
      <c r="K132" s="276">
        <f t="shared" si="23"/>
        <v>53394.04000000003</v>
      </c>
      <c r="L132" s="394">
        <f t="shared" si="26"/>
        <v>9</v>
      </c>
      <c r="M132" s="394">
        <f t="shared" si="18"/>
        <v>112</v>
      </c>
      <c r="N132" s="613">
        <f>INDEX(tblSubjectToLoan[Date],ROW()-ROW(tblContractForDeed[#Headers]))</f>
        <v>49230</v>
      </c>
      <c r="O132" s="276">
        <f>IF(ROW()=ROW(tblContractForDeed[#Headers])+1,$O$6,IF(INDEX(tblContractForDeed[End Bal],ROW()-ROW(tblContractForDeed[#Headers])-1)&lt;0,0,INDEX(tblContractForDeed[End Bal],ROW()-ROW(tblContractForDeed[#Headers])-1)))</f>
        <v>43574.840000000011</v>
      </c>
      <c r="P132" s="454">
        <f>IF(tblContractForDeed[[#This Row],[Date]]="","",IF(tblContractForDeed[[#This Row],[Date]]&lt;cfdRateChangeDate,cfdRate1,cfdRate2))</f>
        <v>7.7499999999999999E-2</v>
      </c>
      <c r="Q1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2" s="276">
        <f>IF(tblContractForDeed[[#This Row],[Payment]]=0,0,MAX(0,MIN(tblContractForDeed[[#This Row],[Beg]],tblContractForDeed[[#This Row],[Payment]]-tblContractForDeed[[#This Row],[Int]])))</f>
        <v>417.74999999999994</v>
      </c>
      <c r="S132" s="276">
        <f>IF(OR(tblContractForDeed[[#This Row],[Date]]&lt;cfdContractDate,tblContractForDeed[[#This Row],[Date]]&gt;cfdEndDate),0,ROUND(tblContractForDeed[[#This Row],[Beg]]*(tblContractForDeed[[#This Row],[Int Rate]]/12),2))</f>
        <v>281.42</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1021.8899999999999</v>
      </c>
      <c r="W132" s="276">
        <f>SUM(INDEX(tblContractForDeed[Princ],1):INDEX(tblContractForDeed[Princ],ROW()-ROW(tblContractForDeed[#Headers])))</f>
        <v>32100.909999999993</v>
      </c>
      <c r="X132" s="276">
        <f>IF(tblContractForDeed[[#This Row],[Beg]]&lt;=0,0,tblContractForDeed[[#This Row],[Beg]]-tblContractForDeed[[#This Row],[Princ]])</f>
        <v>43157.090000000011</v>
      </c>
      <c r="Y132" s="467">
        <f>IF(INDEX(tblContractForDeed[Payment],ROW()-ROW(tblBuyerOutputs[#Headers]))=0,0,INDEX(tblContractForDeed[Payment],ROW()-ROW(tblBuyerOutputs[#Headers]))-INDEX(tblSubjectToLoan[Payment],ROW()-ROW(tblBuyerOutputs[#Headers])))</f>
        <v>71.289999999999964</v>
      </c>
      <c r="Z13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100</v>
      </c>
      <c r="AA132"/>
      <c r="AB132" s="14">
        <f>IF(INDEX(tblContractForDeed[Payment],ROW()-ROW(tblBuyerOutputs[#Headers]))=0,0,INDEX(tblContractForDeed[Payment],ROW()-ROW(tblBuyerOutputs[#Headers]))-INDEX(tblSubjectToLoan[Payment],ROW()-ROW(tblBuyerOutputs[#Headers])))-IFERROR(tblBuyerOutputs[[#This Row],[PMI]],0)</f>
        <v>71.289999999999964</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5355.9299999999985</v>
      </c>
      <c r="AD132" s="276">
        <f>IF(INDEX(tblContractForDeed[End Bal],ROW()-ROW(tblBuyerOutputs[#Headers]))&lt;=0,0,($O$6+IF(ROW()=ROW(tblBuyerOutputs[#Headers])+1,0,INDEX(tblBuyerOutputs[Cumul Appr],ROW()-ROW(tblBuyerOutputs[#Headers])-1)))*$AK$2/12)</f>
        <v>0</v>
      </c>
      <c r="AE132" s="276">
        <f>IF(INDEX(tblContractForDeed[End Bal],ROW()-ROW(tblBuyerOutputs[#Headers]))&lt;=0,0,IF(ROW()=ROW(tblBuyerOutputs[#Headers])+1,0,INDEX(tblBuyerOutputs[Cumul Appr],ROW()-ROW(tblBuyerOutputs[#Headers])-1))+tblBuyerOutputs[[#This Row],[Monthly Appr]])</f>
        <v>0</v>
      </c>
    </row>
    <row r="133" spans="1:31" x14ac:dyDescent="0.25">
      <c r="A133" s="613">
        <f t="shared" si="19"/>
        <v>49260</v>
      </c>
      <c r="B133" s="276">
        <f t="shared" si="17"/>
        <v>53394.04000000003</v>
      </c>
      <c r="C133" s="14">
        <f t="shared" si="14"/>
        <v>627.88</v>
      </c>
      <c r="D133" s="14">
        <f t="shared" si="20"/>
        <v>461.02</v>
      </c>
      <c r="E133" s="14">
        <f t="shared" si="15"/>
        <v>166.86</v>
      </c>
      <c r="F133" s="14">
        <f t="shared" si="27"/>
        <v>134.16999999999999</v>
      </c>
      <c r="G133" s="14">
        <f t="shared" si="27"/>
        <v>188.55</v>
      </c>
      <c r="H133" s="14">
        <f t="shared" si="28"/>
        <v>950.59999999999991</v>
      </c>
      <c r="I133" s="276">
        <f t="shared" si="21"/>
        <v>44598.82</v>
      </c>
      <c r="J133" s="276">
        <f t="shared" si="22"/>
        <v>27283.34</v>
      </c>
      <c r="K133" s="276">
        <f t="shared" si="23"/>
        <v>52933.020000000033</v>
      </c>
      <c r="L133" s="394">
        <f t="shared" si="26"/>
        <v>9</v>
      </c>
      <c r="M133" s="394">
        <f t="shared" si="18"/>
        <v>113</v>
      </c>
      <c r="N133" s="613">
        <f>INDEX(tblSubjectToLoan[Date],ROW()-ROW(tblContractForDeed[#Headers]))</f>
        <v>49260</v>
      </c>
      <c r="O133" s="276">
        <f>IF(ROW()=ROW(tblContractForDeed[#Headers])+1,$O$6,IF(INDEX(tblContractForDeed[End Bal],ROW()-ROW(tblContractForDeed[#Headers])-1)&lt;0,0,INDEX(tblContractForDeed[End Bal],ROW()-ROW(tblContractForDeed[#Headers])-1)))</f>
        <v>43157.090000000011</v>
      </c>
      <c r="P133" s="454">
        <f>IF(tblContractForDeed[[#This Row],[Date]]="","",IF(tblContractForDeed[[#This Row],[Date]]&lt;cfdRateChangeDate,cfdRate1,cfdRate2))</f>
        <v>7.7499999999999999E-2</v>
      </c>
      <c r="Q1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3" s="276">
        <f>IF(tblContractForDeed[[#This Row],[Payment]]=0,0,MAX(0,MIN(tblContractForDeed[[#This Row],[Beg]],tblContractForDeed[[#This Row],[Payment]]-tblContractForDeed[[#This Row],[Int]])))</f>
        <v>420.44999999999993</v>
      </c>
      <c r="S133" s="276">
        <f>IF(OR(tblContractForDeed[[#This Row],[Date]]&lt;cfdContractDate,tblContractForDeed[[#This Row],[Date]]&gt;cfdEndDate),0,ROUND(tblContractForDeed[[#This Row],[Beg]]*(tblContractForDeed[[#This Row],[Int Rate]]/12),2))</f>
        <v>278.72000000000003</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1021.8899999999999</v>
      </c>
      <c r="W133" s="276">
        <f>SUM(INDEX(tblContractForDeed[Princ],1):INDEX(tblContractForDeed[Princ],ROW()-ROW(tblContractForDeed[#Headers])))</f>
        <v>32521.359999999993</v>
      </c>
      <c r="X133" s="276">
        <f>IF(tblContractForDeed[[#This Row],[Beg]]&lt;=0,0,tblContractForDeed[[#This Row],[Beg]]-tblContractForDeed[[#This Row],[Princ]])</f>
        <v>42736.640000000014</v>
      </c>
      <c r="Y133" s="467">
        <f>IF(INDEX(tblContractForDeed[Payment],ROW()-ROW(tblBuyerOutputs[#Headers]))=0,0,INDEX(tblContractForDeed[Payment],ROW()-ROW(tblBuyerOutputs[#Headers]))-INDEX(tblSubjectToLoan[Payment],ROW()-ROW(tblBuyerOutputs[#Headers])))</f>
        <v>71.289999999999964</v>
      </c>
      <c r="Z13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101</v>
      </c>
      <c r="AA133"/>
      <c r="AB133" s="14">
        <f>IF(INDEX(tblContractForDeed[Payment],ROW()-ROW(tblBuyerOutputs[#Headers]))=0,0,INDEX(tblContractForDeed[Payment],ROW()-ROW(tblBuyerOutputs[#Headers]))-INDEX(tblSubjectToLoan[Payment],ROW()-ROW(tblBuyerOutputs[#Headers])))-IFERROR(tblBuyerOutputs[[#This Row],[PMI]],0)</f>
        <v>71.289999999999964</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5427.2199999999984</v>
      </c>
      <c r="AD133" s="276">
        <f>IF(INDEX(tblContractForDeed[End Bal],ROW()-ROW(tblBuyerOutputs[#Headers]))&lt;=0,0,($O$6+IF(ROW()=ROW(tblBuyerOutputs[#Headers])+1,0,INDEX(tblBuyerOutputs[Cumul Appr],ROW()-ROW(tblBuyerOutputs[#Headers])-1)))*$AK$2/12)</f>
        <v>0</v>
      </c>
      <c r="AE133" s="276">
        <f>IF(INDEX(tblContractForDeed[End Bal],ROW()-ROW(tblBuyerOutputs[#Headers]))&lt;=0,0,IF(ROW()=ROW(tblBuyerOutputs[#Headers])+1,0,INDEX(tblBuyerOutputs[Cumul Appr],ROW()-ROW(tblBuyerOutputs[#Headers])-1))+tblBuyerOutputs[[#This Row],[Monthly Appr]])</f>
        <v>0</v>
      </c>
    </row>
    <row r="134" spans="1:31" x14ac:dyDescent="0.25">
      <c r="A134" s="613">
        <f t="shared" si="19"/>
        <v>49290</v>
      </c>
      <c r="B134" s="276">
        <f t="shared" si="17"/>
        <v>52933.020000000033</v>
      </c>
      <c r="C134" s="14">
        <f t="shared" si="14"/>
        <v>627.88</v>
      </c>
      <c r="D134" s="14">
        <f t="shared" si="20"/>
        <v>462.46000000000004</v>
      </c>
      <c r="E134" s="14">
        <f t="shared" si="15"/>
        <v>165.42</v>
      </c>
      <c r="F134" s="14">
        <f t="shared" si="27"/>
        <v>134.16999999999999</v>
      </c>
      <c r="G134" s="14">
        <f t="shared" si="27"/>
        <v>188.55</v>
      </c>
      <c r="H134" s="14">
        <f t="shared" si="28"/>
        <v>950.59999999999991</v>
      </c>
      <c r="I134" s="276">
        <f t="shared" si="21"/>
        <v>45061.279999999999</v>
      </c>
      <c r="J134" s="276">
        <f t="shared" si="22"/>
        <v>27448.76</v>
      </c>
      <c r="K134" s="276">
        <f t="shared" si="23"/>
        <v>52470.560000000034</v>
      </c>
      <c r="L134" s="394">
        <f t="shared" si="26"/>
        <v>9</v>
      </c>
      <c r="M134" s="394">
        <f t="shared" si="18"/>
        <v>114</v>
      </c>
      <c r="N134" s="613">
        <f>INDEX(tblSubjectToLoan[Date],ROW()-ROW(tblContractForDeed[#Headers]))</f>
        <v>49290</v>
      </c>
      <c r="O134" s="276">
        <f>IF(ROW()=ROW(tblContractForDeed[#Headers])+1,$O$6,IF(INDEX(tblContractForDeed[End Bal],ROW()-ROW(tblContractForDeed[#Headers])-1)&lt;0,0,INDEX(tblContractForDeed[End Bal],ROW()-ROW(tblContractForDeed[#Headers])-1)))</f>
        <v>42736.640000000014</v>
      </c>
      <c r="P134" s="454">
        <f>IF(tblContractForDeed[[#This Row],[Date]]="","",IF(tblContractForDeed[[#This Row],[Date]]&lt;cfdRateChangeDate,cfdRate1,cfdRate2))</f>
        <v>7.7499999999999999E-2</v>
      </c>
      <c r="Q1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4" s="276">
        <f>IF(tblContractForDeed[[#This Row],[Payment]]=0,0,MAX(0,MIN(tblContractForDeed[[#This Row],[Beg]],tblContractForDeed[[#This Row],[Payment]]-tblContractForDeed[[#This Row],[Int]])))</f>
        <v>423.15999999999997</v>
      </c>
      <c r="S134" s="276">
        <f>IF(OR(tblContractForDeed[[#This Row],[Date]]&lt;cfdContractDate,tblContractForDeed[[#This Row],[Date]]&gt;cfdEndDate),0,ROUND(tblContractForDeed[[#This Row],[Beg]]*(tblContractForDeed[[#This Row],[Int Rate]]/12),2))</f>
        <v>276.01</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1021.8899999999999</v>
      </c>
      <c r="W134" s="276">
        <f>SUM(INDEX(tblContractForDeed[Princ],1):INDEX(tblContractForDeed[Princ],ROW()-ROW(tblContractForDeed[#Headers])))</f>
        <v>32944.519999999997</v>
      </c>
      <c r="X134" s="276">
        <f>IF(tblContractForDeed[[#This Row],[Beg]]&lt;=0,0,tblContractForDeed[[#This Row],[Beg]]-tblContractForDeed[[#This Row],[Princ]])</f>
        <v>42313.48000000001</v>
      </c>
      <c r="Y134" s="467">
        <f>IF(INDEX(tblContractForDeed[Payment],ROW()-ROW(tblBuyerOutputs[#Headers]))=0,0,INDEX(tblContractForDeed[Payment],ROW()-ROW(tblBuyerOutputs[#Headers]))-INDEX(tblSubjectToLoan[Payment],ROW()-ROW(tblBuyerOutputs[#Headers])))</f>
        <v>71.289999999999964</v>
      </c>
      <c r="Z13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102</v>
      </c>
      <c r="AA134"/>
      <c r="AB134" s="14">
        <f>IF(INDEX(tblContractForDeed[Payment],ROW()-ROW(tblBuyerOutputs[#Headers]))=0,0,INDEX(tblContractForDeed[Payment],ROW()-ROW(tblBuyerOutputs[#Headers]))-INDEX(tblSubjectToLoan[Payment],ROW()-ROW(tblBuyerOutputs[#Headers])))-IFERROR(tblBuyerOutputs[[#This Row],[PMI]],0)</f>
        <v>71.289999999999964</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5498.5099999999984</v>
      </c>
      <c r="AD134" s="276">
        <f>IF(INDEX(tblContractForDeed[End Bal],ROW()-ROW(tblBuyerOutputs[#Headers]))&lt;=0,0,($O$6+IF(ROW()=ROW(tblBuyerOutputs[#Headers])+1,0,INDEX(tblBuyerOutputs[Cumul Appr],ROW()-ROW(tblBuyerOutputs[#Headers])-1)))*$AK$2/12)</f>
        <v>0</v>
      </c>
      <c r="AE134" s="276">
        <f>IF(INDEX(tblContractForDeed[End Bal],ROW()-ROW(tblBuyerOutputs[#Headers]))&lt;=0,0,IF(ROW()=ROW(tblBuyerOutputs[#Headers])+1,0,INDEX(tblBuyerOutputs[Cumul Appr],ROW()-ROW(tblBuyerOutputs[#Headers])-1))+tblBuyerOutputs[[#This Row],[Monthly Appr]])</f>
        <v>0</v>
      </c>
    </row>
    <row r="135" spans="1:31" x14ac:dyDescent="0.25">
      <c r="A135" s="613">
        <f t="shared" si="19"/>
        <v>49320</v>
      </c>
      <c r="B135" s="276">
        <f t="shared" si="17"/>
        <v>52470.560000000034</v>
      </c>
      <c r="C135" s="14">
        <f t="shared" si="14"/>
        <v>627.88</v>
      </c>
      <c r="D135" s="14">
        <f t="shared" si="20"/>
        <v>463.90999999999997</v>
      </c>
      <c r="E135" s="14">
        <f t="shared" si="15"/>
        <v>163.97</v>
      </c>
      <c r="F135" s="14">
        <f t="shared" si="27"/>
        <v>134.16999999999999</v>
      </c>
      <c r="G135" s="14">
        <f t="shared" si="27"/>
        <v>188.55</v>
      </c>
      <c r="H135" s="14">
        <f t="shared" si="28"/>
        <v>950.59999999999991</v>
      </c>
      <c r="I135" s="276">
        <f t="shared" si="21"/>
        <v>45525.19</v>
      </c>
      <c r="J135" s="276">
        <f t="shared" si="22"/>
        <v>27612.73</v>
      </c>
      <c r="K135" s="276">
        <f t="shared" si="23"/>
        <v>52006.650000000031</v>
      </c>
      <c r="L135" s="394">
        <f t="shared" si="26"/>
        <v>9</v>
      </c>
      <c r="M135" s="394">
        <f t="shared" si="18"/>
        <v>115</v>
      </c>
      <c r="N135" s="613">
        <f>INDEX(tblSubjectToLoan[Date],ROW()-ROW(tblContractForDeed[#Headers]))</f>
        <v>49320</v>
      </c>
      <c r="O135" s="276">
        <f>IF(ROW()=ROW(tblContractForDeed[#Headers])+1,$O$6,IF(INDEX(tblContractForDeed[End Bal],ROW()-ROW(tblContractForDeed[#Headers])-1)&lt;0,0,INDEX(tblContractForDeed[End Bal],ROW()-ROW(tblContractForDeed[#Headers])-1)))</f>
        <v>42313.48000000001</v>
      </c>
      <c r="P135" s="454">
        <f>IF(tblContractForDeed[[#This Row],[Date]]="","",IF(tblContractForDeed[[#This Row],[Date]]&lt;cfdRateChangeDate,cfdRate1,cfdRate2))</f>
        <v>7.7499999999999999E-2</v>
      </c>
      <c r="Q1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5" s="276">
        <f>IF(tblContractForDeed[[#This Row],[Payment]]=0,0,MAX(0,MIN(tblContractForDeed[[#This Row],[Beg]],tblContractForDeed[[#This Row],[Payment]]-tblContractForDeed[[#This Row],[Int]])))</f>
        <v>425.9</v>
      </c>
      <c r="S135" s="276">
        <f>IF(OR(tblContractForDeed[[#This Row],[Date]]&lt;cfdContractDate,tblContractForDeed[[#This Row],[Date]]&gt;cfdEndDate),0,ROUND(tblContractForDeed[[#This Row],[Beg]]*(tblContractForDeed[[#This Row],[Int Rate]]/12),2))</f>
        <v>273.27</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1021.8899999999999</v>
      </c>
      <c r="W135" s="276">
        <f>SUM(INDEX(tblContractForDeed[Princ],1):INDEX(tblContractForDeed[Princ],ROW()-ROW(tblContractForDeed[#Headers])))</f>
        <v>33370.42</v>
      </c>
      <c r="X135" s="276">
        <f>IF(tblContractForDeed[[#This Row],[Beg]]&lt;=0,0,tblContractForDeed[[#This Row],[Beg]]-tblContractForDeed[[#This Row],[Princ]])</f>
        <v>41887.580000000009</v>
      </c>
      <c r="Y135" s="467">
        <f>IF(INDEX(tblContractForDeed[Payment],ROW()-ROW(tblBuyerOutputs[#Headers]))=0,0,INDEX(tblContractForDeed[Payment],ROW()-ROW(tblBuyerOutputs[#Headers]))-INDEX(tblSubjectToLoan[Payment],ROW()-ROW(tblBuyerOutputs[#Headers])))</f>
        <v>71.289999999999964</v>
      </c>
      <c r="Z13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103</v>
      </c>
      <c r="AA135"/>
      <c r="AB135" s="14">
        <f>IF(INDEX(tblContractForDeed[Payment],ROW()-ROW(tblBuyerOutputs[#Headers]))=0,0,INDEX(tblContractForDeed[Payment],ROW()-ROW(tblBuyerOutputs[#Headers]))-INDEX(tblSubjectToLoan[Payment],ROW()-ROW(tblBuyerOutputs[#Headers])))-IFERROR(tblBuyerOutputs[[#This Row],[PMI]],0)</f>
        <v>71.289999999999964</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5569.7999999999984</v>
      </c>
      <c r="AD135" s="276">
        <f>IF(INDEX(tblContractForDeed[End Bal],ROW()-ROW(tblBuyerOutputs[#Headers]))&lt;=0,0,($O$6+IF(ROW()=ROW(tblBuyerOutputs[#Headers])+1,0,INDEX(tblBuyerOutputs[Cumul Appr],ROW()-ROW(tblBuyerOutputs[#Headers])-1)))*$AK$2/12)</f>
        <v>0</v>
      </c>
      <c r="AE135" s="276">
        <f>IF(INDEX(tblContractForDeed[End Bal],ROW()-ROW(tblBuyerOutputs[#Headers]))&lt;=0,0,IF(ROW()=ROW(tblBuyerOutputs[#Headers])+1,0,INDEX(tblBuyerOutputs[Cumul Appr],ROW()-ROW(tblBuyerOutputs[#Headers])-1))+tblBuyerOutputs[[#This Row],[Monthly Appr]])</f>
        <v>0</v>
      </c>
    </row>
    <row r="136" spans="1:31" x14ac:dyDescent="0.25">
      <c r="A136" s="613">
        <f t="shared" si="19"/>
        <v>49350</v>
      </c>
      <c r="B136" s="276">
        <f t="shared" si="17"/>
        <v>52006.650000000031</v>
      </c>
      <c r="C136" s="14">
        <f t="shared" si="14"/>
        <v>627.88</v>
      </c>
      <c r="D136" s="14">
        <f t="shared" si="20"/>
        <v>465.36</v>
      </c>
      <c r="E136" s="14">
        <f t="shared" si="15"/>
        <v>162.52000000000001</v>
      </c>
      <c r="F136" s="14">
        <f t="shared" si="27"/>
        <v>134.16999999999999</v>
      </c>
      <c r="G136" s="14">
        <f t="shared" si="27"/>
        <v>188.55</v>
      </c>
      <c r="H136" s="14">
        <f t="shared" si="28"/>
        <v>950.59999999999991</v>
      </c>
      <c r="I136" s="276">
        <f t="shared" si="21"/>
        <v>45990.55</v>
      </c>
      <c r="J136" s="276">
        <f t="shared" si="22"/>
        <v>27775.25</v>
      </c>
      <c r="K136" s="276">
        <f t="shared" si="23"/>
        <v>51541.29000000003</v>
      </c>
      <c r="L136" s="394">
        <f t="shared" si="26"/>
        <v>9</v>
      </c>
      <c r="M136" s="394">
        <f t="shared" si="18"/>
        <v>116</v>
      </c>
      <c r="N136" s="613">
        <f>INDEX(tblSubjectToLoan[Date],ROW()-ROW(tblContractForDeed[#Headers]))</f>
        <v>49350</v>
      </c>
      <c r="O136" s="276">
        <f>IF(ROW()=ROW(tblContractForDeed[#Headers])+1,$O$6,IF(INDEX(tblContractForDeed[End Bal],ROW()-ROW(tblContractForDeed[#Headers])-1)&lt;0,0,INDEX(tblContractForDeed[End Bal],ROW()-ROW(tblContractForDeed[#Headers])-1)))</f>
        <v>41887.580000000009</v>
      </c>
      <c r="P136" s="454">
        <f>IF(tblContractForDeed[[#This Row],[Date]]="","",IF(tblContractForDeed[[#This Row],[Date]]&lt;cfdRateChangeDate,cfdRate1,cfdRate2))</f>
        <v>7.7499999999999999E-2</v>
      </c>
      <c r="Q1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6" s="276">
        <f>IF(tblContractForDeed[[#This Row],[Payment]]=0,0,MAX(0,MIN(tblContractForDeed[[#This Row],[Beg]],tblContractForDeed[[#This Row],[Payment]]-tblContractForDeed[[#This Row],[Int]])))</f>
        <v>428.65</v>
      </c>
      <c r="S136" s="276">
        <f>IF(OR(tblContractForDeed[[#This Row],[Date]]&lt;cfdContractDate,tblContractForDeed[[#This Row],[Date]]&gt;cfdEndDate),0,ROUND(tblContractForDeed[[#This Row],[Beg]]*(tblContractForDeed[[#This Row],[Int Rate]]/12),2))</f>
        <v>270.52</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1021.8899999999999</v>
      </c>
      <c r="W136" s="276">
        <f>SUM(INDEX(tblContractForDeed[Princ],1):INDEX(tblContractForDeed[Princ],ROW()-ROW(tblContractForDeed[#Headers])))</f>
        <v>33799.07</v>
      </c>
      <c r="X136" s="276">
        <f>IF(tblContractForDeed[[#This Row],[Beg]]&lt;=0,0,tblContractForDeed[[#This Row],[Beg]]-tblContractForDeed[[#This Row],[Princ]])</f>
        <v>41458.930000000008</v>
      </c>
      <c r="Y136" s="467">
        <f>IF(INDEX(tblContractForDeed[Payment],ROW()-ROW(tblBuyerOutputs[#Headers]))=0,0,INDEX(tblContractForDeed[Payment],ROW()-ROW(tblBuyerOutputs[#Headers]))-INDEX(tblSubjectToLoan[Payment],ROW()-ROW(tblBuyerOutputs[#Headers])))</f>
        <v>71.289999999999964</v>
      </c>
      <c r="Z13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104</v>
      </c>
      <c r="AA136"/>
      <c r="AB136" s="14">
        <f>IF(INDEX(tblContractForDeed[Payment],ROW()-ROW(tblBuyerOutputs[#Headers]))=0,0,INDEX(tblContractForDeed[Payment],ROW()-ROW(tblBuyerOutputs[#Headers]))-INDEX(tblSubjectToLoan[Payment],ROW()-ROW(tblBuyerOutputs[#Headers])))-IFERROR(tblBuyerOutputs[[#This Row],[PMI]],0)</f>
        <v>71.289999999999964</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5641.0899999999983</v>
      </c>
      <c r="AD136" s="276">
        <f>IF(INDEX(tblContractForDeed[End Bal],ROW()-ROW(tblBuyerOutputs[#Headers]))&lt;=0,0,($O$6+IF(ROW()=ROW(tblBuyerOutputs[#Headers])+1,0,INDEX(tblBuyerOutputs[Cumul Appr],ROW()-ROW(tblBuyerOutputs[#Headers])-1)))*$AK$2/12)</f>
        <v>0</v>
      </c>
      <c r="AE136" s="276">
        <f>IF(INDEX(tblContractForDeed[End Bal],ROW()-ROW(tblBuyerOutputs[#Headers]))&lt;=0,0,IF(ROW()=ROW(tblBuyerOutputs[#Headers])+1,0,INDEX(tblBuyerOutputs[Cumul Appr],ROW()-ROW(tblBuyerOutputs[#Headers])-1))+tblBuyerOutputs[[#This Row],[Monthly Appr]])</f>
        <v>0</v>
      </c>
    </row>
    <row r="137" spans="1:31" x14ac:dyDescent="0.25">
      <c r="A137" s="613">
        <f t="shared" si="19"/>
        <v>49380</v>
      </c>
      <c r="B137" s="276">
        <f t="shared" si="17"/>
        <v>51541.29000000003</v>
      </c>
      <c r="C137" s="14">
        <f t="shared" si="14"/>
        <v>627.88</v>
      </c>
      <c r="D137" s="14">
        <f t="shared" si="20"/>
        <v>466.81</v>
      </c>
      <c r="E137" s="14">
        <f t="shared" si="15"/>
        <v>161.07</v>
      </c>
      <c r="F137" s="14">
        <f t="shared" si="27"/>
        <v>134.16999999999999</v>
      </c>
      <c r="G137" s="14">
        <f t="shared" si="27"/>
        <v>188.55</v>
      </c>
      <c r="H137" s="14">
        <f t="shared" si="28"/>
        <v>950.59999999999991</v>
      </c>
      <c r="I137" s="276">
        <f t="shared" si="21"/>
        <v>46457.36</v>
      </c>
      <c r="J137" s="276">
        <f t="shared" si="22"/>
        <v>27936.32</v>
      </c>
      <c r="K137" s="276">
        <f t="shared" si="23"/>
        <v>51074.480000000032</v>
      </c>
      <c r="L137" s="394">
        <f t="shared" si="26"/>
        <v>9</v>
      </c>
      <c r="M137" s="394">
        <f t="shared" si="18"/>
        <v>117</v>
      </c>
      <c r="N137" s="613">
        <f>INDEX(tblSubjectToLoan[Date],ROW()-ROW(tblContractForDeed[#Headers]))</f>
        <v>49380</v>
      </c>
      <c r="O137" s="276">
        <f>IF(ROW()=ROW(tblContractForDeed[#Headers])+1,$O$6,IF(INDEX(tblContractForDeed[End Bal],ROW()-ROW(tblContractForDeed[#Headers])-1)&lt;0,0,INDEX(tblContractForDeed[End Bal],ROW()-ROW(tblContractForDeed[#Headers])-1)))</f>
        <v>41458.930000000008</v>
      </c>
      <c r="P137" s="454">
        <f>IF(tblContractForDeed[[#This Row],[Date]]="","",IF(tblContractForDeed[[#This Row],[Date]]&lt;cfdRateChangeDate,cfdRate1,cfdRate2))</f>
        <v>7.7499999999999999E-2</v>
      </c>
      <c r="Q1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7" s="276">
        <f>IF(tblContractForDeed[[#This Row],[Payment]]=0,0,MAX(0,MIN(tblContractForDeed[[#This Row],[Beg]],tblContractForDeed[[#This Row],[Payment]]-tblContractForDeed[[#This Row],[Int]])))</f>
        <v>431.40999999999997</v>
      </c>
      <c r="S137" s="276">
        <f>IF(OR(tblContractForDeed[[#This Row],[Date]]&lt;cfdContractDate,tblContractForDeed[[#This Row],[Date]]&gt;cfdEndDate),0,ROUND(tblContractForDeed[[#This Row],[Beg]]*(tblContractForDeed[[#This Row],[Int Rate]]/12),2))</f>
        <v>267.76</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1021.8899999999999</v>
      </c>
      <c r="W137" s="276">
        <f>SUM(INDEX(tblContractForDeed[Princ],1):INDEX(tblContractForDeed[Princ],ROW()-ROW(tblContractForDeed[#Headers])))</f>
        <v>34230.480000000003</v>
      </c>
      <c r="X137" s="276">
        <f>IF(tblContractForDeed[[#This Row],[Beg]]&lt;=0,0,tblContractForDeed[[#This Row],[Beg]]-tblContractForDeed[[#This Row],[Princ]])</f>
        <v>41027.520000000004</v>
      </c>
      <c r="Y137" s="467">
        <f>IF(INDEX(tblContractForDeed[Payment],ROW()-ROW(tblBuyerOutputs[#Headers]))=0,0,INDEX(tblContractForDeed[Payment],ROW()-ROW(tblBuyerOutputs[#Headers]))-INDEX(tblSubjectToLoan[Payment],ROW()-ROW(tblBuyerOutputs[#Headers])))</f>
        <v>71.289999999999964</v>
      </c>
      <c r="Z13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105</v>
      </c>
      <c r="AA137"/>
      <c r="AB137" s="14">
        <f>IF(INDEX(tblContractForDeed[Payment],ROW()-ROW(tblBuyerOutputs[#Headers]))=0,0,INDEX(tblContractForDeed[Payment],ROW()-ROW(tblBuyerOutputs[#Headers]))-INDEX(tblSubjectToLoan[Payment],ROW()-ROW(tblBuyerOutputs[#Headers])))-IFERROR(tblBuyerOutputs[[#This Row],[PMI]],0)</f>
        <v>71.289999999999964</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5712.3799999999983</v>
      </c>
      <c r="AD137" s="276">
        <f>IF(INDEX(tblContractForDeed[End Bal],ROW()-ROW(tblBuyerOutputs[#Headers]))&lt;=0,0,($O$6+IF(ROW()=ROW(tblBuyerOutputs[#Headers])+1,0,INDEX(tblBuyerOutputs[Cumul Appr],ROW()-ROW(tblBuyerOutputs[#Headers])-1)))*$AK$2/12)</f>
        <v>0</v>
      </c>
      <c r="AE137" s="276">
        <f>IF(INDEX(tblContractForDeed[End Bal],ROW()-ROW(tblBuyerOutputs[#Headers]))&lt;=0,0,IF(ROW()=ROW(tblBuyerOutputs[#Headers])+1,0,INDEX(tblBuyerOutputs[Cumul Appr],ROW()-ROW(tblBuyerOutputs[#Headers])-1))+tblBuyerOutputs[[#This Row],[Monthly Appr]])</f>
        <v>0</v>
      </c>
    </row>
    <row r="138" spans="1:31" x14ac:dyDescent="0.25">
      <c r="A138" s="613">
        <f t="shared" si="19"/>
        <v>49410</v>
      </c>
      <c r="B138" s="276">
        <f t="shared" si="17"/>
        <v>51074.480000000032</v>
      </c>
      <c r="C138" s="14">
        <f t="shared" si="14"/>
        <v>627.88</v>
      </c>
      <c r="D138" s="14">
        <f t="shared" si="20"/>
        <v>468.27</v>
      </c>
      <c r="E138" s="14">
        <f t="shared" si="15"/>
        <v>159.61000000000001</v>
      </c>
      <c r="F138" s="14">
        <f t="shared" si="27"/>
        <v>134.16999999999999</v>
      </c>
      <c r="G138" s="14">
        <f t="shared" si="27"/>
        <v>188.55</v>
      </c>
      <c r="H138" s="14">
        <f t="shared" si="28"/>
        <v>950.59999999999991</v>
      </c>
      <c r="I138" s="276">
        <f t="shared" si="21"/>
        <v>46925.63</v>
      </c>
      <c r="J138" s="276">
        <f t="shared" si="22"/>
        <v>28095.93</v>
      </c>
      <c r="K138" s="276">
        <f t="shared" si="23"/>
        <v>50606.210000000036</v>
      </c>
      <c r="L138" s="394">
        <f t="shared" si="26"/>
        <v>9</v>
      </c>
      <c r="M138" s="394">
        <f t="shared" si="18"/>
        <v>118</v>
      </c>
      <c r="N138" s="613">
        <f>INDEX(tblSubjectToLoan[Date],ROW()-ROW(tblContractForDeed[#Headers]))</f>
        <v>49410</v>
      </c>
      <c r="O138" s="276">
        <f>IF(ROW()=ROW(tblContractForDeed[#Headers])+1,$O$6,IF(INDEX(tblContractForDeed[End Bal],ROW()-ROW(tblContractForDeed[#Headers])-1)&lt;0,0,INDEX(tblContractForDeed[End Bal],ROW()-ROW(tblContractForDeed[#Headers])-1)))</f>
        <v>41027.520000000004</v>
      </c>
      <c r="P138" s="454">
        <f>IF(tblContractForDeed[[#This Row],[Date]]="","",IF(tblContractForDeed[[#This Row],[Date]]&lt;cfdRateChangeDate,cfdRate1,cfdRate2))</f>
        <v>7.7499999999999999E-2</v>
      </c>
      <c r="Q1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8" s="276">
        <f>IF(tblContractForDeed[[#This Row],[Payment]]=0,0,MAX(0,MIN(tblContractForDeed[[#This Row],[Beg]],tblContractForDeed[[#This Row],[Payment]]-tblContractForDeed[[#This Row],[Int]])))</f>
        <v>434.19999999999993</v>
      </c>
      <c r="S138" s="276">
        <f>IF(OR(tblContractForDeed[[#This Row],[Date]]&lt;cfdContractDate,tblContractForDeed[[#This Row],[Date]]&gt;cfdEndDate),0,ROUND(tblContractForDeed[[#This Row],[Beg]]*(tblContractForDeed[[#This Row],[Int Rate]]/12),2))</f>
        <v>264.97000000000003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1021.8899999999999</v>
      </c>
      <c r="W138" s="276">
        <f>SUM(INDEX(tblContractForDeed[Princ],1):INDEX(tblContractForDeed[Princ],ROW()-ROW(tblContractForDeed[#Headers])))</f>
        <v>34664.68</v>
      </c>
      <c r="X138" s="276">
        <f>IF(tblContractForDeed[[#This Row],[Beg]]&lt;=0,0,tblContractForDeed[[#This Row],[Beg]]-tblContractForDeed[[#This Row],[Princ]])</f>
        <v>40593.320000000007</v>
      </c>
      <c r="Y138" s="467">
        <f>IF(INDEX(tblContractForDeed[Payment],ROW()-ROW(tblBuyerOutputs[#Headers]))=0,0,INDEX(tblContractForDeed[Payment],ROW()-ROW(tblBuyerOutputs[#Headers]))-INDEX(tblSubjectToLoan[Payment],ROW()-ROW(tblBuyerOutputs[#Headers])))</f>
        <v>71.289999999999964</v>
      </c>
      <c r="Z13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106</v>
      </c>
      <c r="AA138"/>
      <c r="AB138" s="14">
        <f>IF(INDEX(tblContractForDeed[Payment],ROW()-ROW(tblBuyerOutputs[#Headers]))=0,0,INDEX(tblContractForDeed[Payment],ROW()-ROW(tblBuyerOutputs[#Headers]))-INDEX(tblSubjectToLoan[Payment],ROW()-ROW(tblBuyerOutputs[#Headers])))-IFERROR(tblBuyerOutputs[[#This Row],[PMI]],0)</f>
        <v>71.289999999999964</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5783.6699999999983</v>
      </c>
      <c r="AD138" s="276">
        <f>IF(INDEX(tblContractForDeed[End Bal],ROW()-ROW(tblBuyerOutputs[#Headers]))&lt;=0,0,($O$6+IF(ROW()=ROW(tblBuyerOutputs[#Headers])+1,0,INDEX(tblBuyerOutputs[Cumul Appr],ROW()-ROW(tblBuyerOutputs[#Headers])-1)))*$AK$2/12)</f>
        <v>0</v>
      </c>
      <c r="AE138" s="276">
        <f>IF(INDEX(tblContractForDeed[End Bal],ROW()-ROW(tblBuyerOutputs[#Headers]))&lt;=0,0,IF(ROW()=ROW(tblBuyerOutputs[#Headers])+1,0,INDEX(tblBuyerOutputs[Cumul Appr],ROW()-ROW(tblBuyerOutputs[#Headers])-1))+tblBuyerOutputs[[#This Row],[Monthly Appr]])</f>
        <v>0</v>
      </c>
    </row>
    <row r="139" spans="1:31" ht="15.75" thickBot="1" x14ac:dyDescent="0.3">
      <c r="A139" s="615">
        <f t="shared" si="19"/>
        <v>49440</v>
      </c>
      <c r="B139" s="332">
        <f t="shared" si="17"/>
        <v>50606.210000000036</v>
      </c>
      <c r="C139" s="21">
        <f t="shared" si="14"/>
        <v>627.88</v>
      </c>
      <c r="D139" s="21">
        <f t="shared" si="20"/>
        <v>469.74</v>
      </c>
      <c r="E139" s="21">
        <f t="shared" si="15"/>
        <v>158.13999999999999</v>
      </c>
      <c r="F139" s="21">
        <f t="shared" si="27"/>
        <v>134.16999999999999</v>
      </c>
      <c r="G139" s="21">
        <f t="shared" si="27"/>
        <v>188.55</v>
      </c>
      <c r="H139" s="21">
        <f t="shared" si="28"/>
        <v>950.59999999999991</v>
      </c>
      <c r="I139" s="332">
        <f t="shared" si="21"/>
        <v>47395.369999999995</v>
      </c>
      <c r="J139" s="332">
        <f t="shared" si="22"/>
        <v>28254.07</v>
      </c>
      <c r="K139" s="332">
        <f t="shared" si="23"/>
        <v>50136.470000000038</v>
      </c>
      <c r="L139" s="395">
        <f t="shared" si="26"/>
        <v>9</v>
      </c>
      <c r="M139" s="395">
        <f t="shared" si="18"/>
        <v>119</v>
      </c>
      <c r="N139" s="615">
        <f>INDEX(tblSubjectToLoan[Date],ROW()-ROW(tblContractForDeed[#Headers]))</f>
        <v>49440</v>
      </c>
      <c r="O139" s="332">
        <f>IF(ROW()=ROW(tblContractForDeed[#Headers])+1,$O$6,IF(INDEX(tblContractForDeed[End Bal],ROW()-ROW(tblContractForDeed[#Headers])-1)&lt;0,0,INDEX(tblContractForDeed[End Bal],ROW()-ROW(tblContractForDeed[#Headers])-1)))</f>
        <v>40593.320000000007</v>
      </c>
      <c r="P139" s="454">
        <f>IF(tblContractForDeed[[#This Row],[Date]]="","",IF(tblContractForDeed[[#This Row],[Date]]&lt;cfdRateChangeDate,cfdRate1,cfdRate2))</f>
        <v>7.7499999999999999E-2</v>
      </c>
      <c r="Q1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9" s="332">
        <f>IF(tblContractForDeed[[#This Row],[Payment]]=0,0,MAX(0,MIN(tblContractForDeed[[#This Row],[Beg]],tblContractForDeed[[#This Row],[Payment]]-tblContractForDeed[[#This Row],[Int]])))</f>
        <v>436.99999999999994</v>
      </c>
      <c r="S139" s="332">
        <f>IF(OR(tblContractForDeed[[#This Row],[Date]]&lt;cfdContractDate,tblContractForDeed[[#This Row],[Date]]&gt;cfdEndDate),0,ROUND(tblContractForDeed[[#This Row],[Beg]]*(tblContractForDeed[[#This Row],[Int Rate]]/12),2))</f>
        <v>262.17</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1021.8899999999999</v>
      </c>
      <c r="W139" s="332">
        <f>SUM(INDEX(tblContractForDeed[Princ],1):INDEX(tblContractForDeed[Princ],ROW()-ROW(tblContractForDeed[#Headers])))</f>
        <v>35101.68</v>
      </c>
      <c r="X139" s="332">
        <f>IF(tblContractForDeed[[#This Row],[Beg]]&lt;=0,0,tblContractForDeed[[#This Row],[Beg]]-tblContractForDeed[[#This Row],[Princ]])</f>
        <v>40156.320000000007</v>
      </c>
      <c r="Y139" s="468">
        <f>IF(INDEX(tblContractForDeed[Payment],ROW()-ROW(tblBuyerOutputs[#Headers]))=0,0,INDEX(tblContractForDeed[Payment],ROW()-ROW(tblBuyerOutputs[#Headers]))-INDEX(tblSubjectToLoan[Payment],ROW()-ROW(tblBuyerOutputs[#Headers])))</f>
        <v>71.289999999999964</v>
      </c>
      <c r="Z13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107</v>
      </c>
      <c r="AA139" s="23"/>
      <c r="AB139" s="21">
        <f>IF(INDEX(tblContractForDeed[Payment],ROW()-ROW(tblBuyerOutputs[#Headers]))=0,0,INDEX(tblContractForDeed[Payment],ROW()-ROW(tblBuyerOutputs[#Headers]))-INDEX(tblSubjectToLoan[Payment],ROW()-ROW(tblBuyerOutputs[#Headers])))-IFERROR(tblBuyerOutputs[[#This Row],[PMI]],0)</f>
        <v>71.289999999999964</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5854.9599999999982</v>
      </c>
      <c r="AD139" s="332">
        <f>IF(INDEX(tblContractForDeed[End Bal],ROW()-ROW(tblBuyerOutputs[#Headers]))&lt;=0,0,($O$6+IF(ROW()=ROW(tblBuyerOutputs[#Headers])+1,0,INDEX(tblBuyerOutputs[Cumul Appr],ROW()-ROW(tblBuyerOutputs[#Headers])-1)))*$AK$2/12)</f>
        <v>0</v>
      </c>
      <c r="AE139" s="332">
        <f>IF(INDEX(tblContractForDeed[End Bal],ROW()-ROW(tblBuyerOutputs[#Headers]))&lt;=0,0,IF(ROW()=ROW(tblBuyerOutputs[#Headers])+1,0,INDEX(tblBuyerOutputs[Cumul Appr],ROW()-ROW(tblBuyerOutputs[#Headers])-1))+tblBuyerOutputs[[#This Row],[Monthly Appr]])</f>
        <v>0</v>
      </c>
    </row>
    <row r="140" spans="1:31" x14ac:dyDescent="0.25">
      <c r="A140" s="613">
        <f t="shared" si="19"/>
        <v>49470</v>
      </c>
      <c r="B140" s="276">
        <f t="shared" si="17"/>
        <v>50136.470000000038</v>
      </c>
      <c r="C140" s="14">
        <f t="shared" si="14"/>
        <v>627.88</v>
      </c>
      <c r="D140" s="14">
        <f t="shared" si="20"/>
        <v>471.2</v>
      </c>
      <c r="E140" s="14">
        <f t="shared" si="15"/>
        <v>156.68</v>
      </c>
      <c r="F140" s="14">
        <f t="shared" si="27"/>
        <v>134.16999999999999</v>
      </c>
      <c r="G140" s="14">
        <f t="shared" si="27"/>
        <v>188.55</v>
      </c>
      <c r="H140" s="14">
        <f t="shared" si="28"/>
        <v>950.59999999999991</v>
      </c>
      <c r="I140" s="276">
        <f t="shared" si="21"/>
        <v>47866.569999999992</v>
      </c>
      <c r="J140" s="276">
        <f t="shared" si="22"/>
        <v>28410.75</v>
      </c>
      <c r="K140" s="276">
        <f t="shared" si="23"/>
        <v>49665.27000000004</v>
      </c>
      <c r="L140" s="394">
        <f t="shared" si="26"/>
        <v>10</v>
      </c>
      <c r="M140" s="394">
        <f t="shared" si="18"/>
        <v>120</v>
      </c>
      <c r="N140" s="613">
        <f>INDEX(tblSubjectToLoan[Date],ROW()-ROW(tblContractForDeed[#Headers]))</f>
        <v>49470</v>
      </c>
      <c r="O140" s="276">
        <f>IF(ROW()=ROW(tblContractForDeed[#Headers])+1,$O$6,IF(INDEX(tblContractForDeed[End Bal],ROW()-ROW(tblContractForDeed[#Headers])-1)&lt;0,0,INDEX(tblContractForDeed[End Bal],ROW()-ROW(tblContractForDeed[#Headers])-1)))</f>
        <v>40156.320000000007</v>
      </c>
      <c r="P140" s="454">
        <f>IF(tblContractForDeed[[#This Row],[Date]]="","",IF(tblContractForDeed[[#This Row],[Date]]&lt;cfdRateChangeDate,cfdRate1,cfdRate2))</f>
        <v>7.7499999999999999E-2</v>
      </c>
      <c r="Q1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0" s="276">
        <f>IF(tblContractForDeed[[#This Row],[Payment]]=0,0,MAX(0,MIN(tblContractForDeed[[#This Row],[Beg]],tblContractForDeed[[#This Row],[Payment]]-tblContractForDeed[[#This Row],[Int]])))</f>
        <v>439.83</v>
      </c>
      <c r="S140" s="276">
        <f>IF(OR(tblContractForDeed[[#This Row],[Date]]&lt;cfdContractDate,tblContractForDeed[[#This Row],[Date]]&gt;cfdEndDate),0,ROUND(tblContractForDeed[[#This Row],[Beg]]*(tblContractForDeed[[#This Row],[Int Rate]]/12),2))</f>
        <v>259.33999999999997</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1021.8899999999999</v>
      </c>
      <c r="W140" s="276">
        <f>SUM(INDEX(tblContractForDeed[Princ],1):INDEX(tblContractForDeed[Princ],ROW()-ROW(tblContractForDeed[#Headers])))</f>
        <v>35541.51</v>
      </c>
      <c r="X140" s="276">
        <f>IF(tblContractForDeed[[#This Row],[Beg]]&lt;=0,0,tblContractForDeed[[#This Row],[Beg]]-tblContractForDeed[[#This Row],[Princ]])</f>
        <v>39716.490000000005</v>
      </c>
      <c r="Y140" s="467">
        <f>IF(INDEX(tblContractForDeed[Payment],ROW()-ROW(tblBuyerOutputs[#Headers]))=0,0,INDEX(tblContractForDeed[Payment],ROW()-ROW(tblBuyerOutputs[#Headers]))-INDEX(tblSubjectToLoan[Payment],ROW()-ROW(tblBuyerOutputs[#Headers])))</f>
        <v>71.289999999999964</v>
      </c>
      <c r="Z14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108</v>
      </c>
      <c r="AA140"/>
      <c r="AB140" s="14">
        <f>IF(INDEX(tblContractForDeed[Payment],ROW()-ROW(tblBuyerOutputs[#Headers]))=0,0,INDEX(tblContractForDeed[Payment],ROW()-ROW(tblBuyerOutputs[#Headers]))-INDEX(tblSubjectToLoan[Payment],ROW()-ROW(tblBuyerOutputs[#Headers])))-IFERROR(tblBuyerOutputs[[#This Row],[PMI]],0)</f>
        <v>71.289999999999964</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5926.2499999999982</v>
      </c>
      <c r="AD140" s="276">
        <f>IF(INDEX(tblContractForDeed[End Bal],ROW()-ROW(tblBuyerOutputs[#Headers]))&lt;=0,0,($O$6+IF(ROW()=ROW(tblBuyerOutputs[#Headers])+1,0,INDEX(tblBuyerOutputs[Cumul Appr],ROW()-ROW(tblBuyerOutputs[#Headers])-1)))*$AK$2/12)</f>
        <v>0</v>
      </c>
      <c r="AE140" s="276">
        <f>IF(INDEX(tblContractForDeed[End Bal],ROW()-ROW(tblBuyerOutputs[#Headers]))&lt;=0,0,IF(ROW()=ROW(tblBuyerOutputs[#Headers])+1,0,INDEX(tblBuyerOutputs[Cumul Appr],ROW()-ROW(tblBuyerOutputs[#Headers])-1))+tblBuyerOutputs[[#This Row],[Monthly Appr]])</f>
        <v>0</v>
      </c>
    </row>
    <row r="141" spans="1:31" x14ac:dyDescent="0.25">
      <c r="A141" s="613">
        <f t="shared" si="19"/>
        <v>49500</v>
      </c>
      <c r="B141" s="276">
        <f t="shared" si="17"/>
        <v>49665.27000000004</v>
      </c>
      <c r="C141" s="14">
        <f t="shared" si="14"/>
        <v>627.88</v>
      </c>
      <c r="D141" s="14">
        <f t="shared" si="20"/>
        <v>472.68</v>
      </c>
      <c r="E141" s="14">
        <f t="shared" si="15"/>
        <v>155.19999999999999</v>
      </c>
      <c r="F141" s="14">
        <f t="shared" si="27"/>
        <v>134.16999999999999</v>
      </c>
      <c r="G141" s="14">
        <f t="shared" si="27"/>
        <v>188.55</v>
      </c>
      <c r="H141" s="14">
        <f t="shared" si="28"/>
        <v>950.59999999999991</v>
      </c>
      <c r="I141" s="276">
        <f t="shared" si="21"/>
        <v>48339.249999999993</v>
      </c>
      <c r="J141" s="276">
        <f t="shared" si="22"/>
        <v>28565.95</v>
      </c>
      <c r="K141" s="276">
        <f t="shared" si="23"/>
        <v>49192.59000000004</v>
      </c>
      <c r="L141" s="394">
        <f t="shared" si="26"/>
        <v>10</v>
      </c>
      <c r="M141" s="394">
        <f t="shared" si="18"/>
        <v>121</v>
      </c>
      <c r="N141" s="613">
        <f>INDEX(tblSubjectToLoan[Date],ROW()-ROW(tblContractForDeed[#Headers]))</f>
        <v>49500</v>
      </c>
      <c r="O141" s="276">
        <f>IF(ROW()=ROW(tblContractForDeed[#Headers])+1,$O$6,IF(INDEX(tblContractForDeed[End Bal],ROW()-ROW(tblContractForDeed[#Headers])-1)&lt;0,0,INDEX(tblContractForDeed[End Bal],ROW()-ROW(tblContractForDeed[#Headers])-1)))</f>
        <v>39716.490000000005</v>
      </c>
      <c r="P141" s="454">
        <f>IF(tblContractForDeed[[#This Row],[Date]]="","",IF(tblContractForDeed[[#This Row],[Date]]&lt;cfdRateChangeDate,cfdRate1,cfdRate2))</f>
        <v>7.7499999999999999E-2</v>
      </c>
      <c r="Q1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1" s="276">
        <f>IF(tblContractForDeed[[#This Row],[Payment]]=0,0,MAX(0,MIN(tblContractForDeed[[#This Row],[Beg]],tblContractForDeed[[#This Row],[Payment]]-tblContractForDeed[[#This Row],[Int]])))</f>
        <v>442.66999999999996</v>
      </c>
      <c r="S141" s="276">
        <f>IF(OR(tblContractForDeed[[#This Row],[Date]]&lt;cfdContractDate,tblContractForDeed[[#This Row],[Date]]&gt;cfdEndDate),0,ROUND(tblContractForDeed[[#This Row],[Beg]]*(tblContractForDeed[[#This Row],[Int Rate]]/12),2))</f>
        <v>256.5</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1021.8899999999999</v>
      </c>
      <c r="W141" s="276">
        <f>SUM(INDEX(tblContractForDeed[Princ],1):INDEX(tblContractForDeed[Princ],ROW()-ROW(tblContractForDeed[#Headers])))</f>
        <v>35984.18</v>
      </c>
      <c r="X141" s="276">
        <f>IF(tblContractForDeed[[#This Row],[Beg]]&lt;=0,0,tblContractForDeed[[#This Row],[Beg]]-tblContractForDeed[[#This Row],[Princ]])</f>
        <v>39273.820000000007</v>
      </c>
      <c r="Y141" s="467">
        <f>IF(INDEX(tblContractForDeed[Payment],ROW()-ROW(tblBuyerOutputs[#Headers]))=0,0,INDEX(tblContractForDeed[Payment],ROW()-ROW(tblBuyerOutputs[#Headers]))-INDEX(tblSubjectToLoan[Payment],ROW()-ROW(tblBuyerOutputs[#Headers])))</f>
        <v>71.289999999999964</v>
      </c>
      <c r="Z14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109</v>
      </c>
      <c r="AA141"/>
      <c r="AB141" s="14">
        <f>IF(INDEX(tblContractForDeed[Payment],ROW()-ROW(tblBuyerOutputs[#Headers]))=0,0,INDEX(tblContractForDeed[Payment],ROW()-ROW(tblBuyerOutputs[#Headers]))-INDEX(tblSubjectToLoan[Payment],ROW()-ROW(tblBuyerOutputs[#Headers])))-IFERROR(tblBuyerOutputs[[#This Row],[PMI]],0)</f>
        <v>71.289999999999964</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5997.5399999999981</v>
      </c>
      <c r="AD141" s="276">
        <f>IF(INDEX(tblContractForDeed[End Bal],ROW()-ROW(tblBuyerOutputs[#Headers]))&lt;=0,0,($O$6+IF(ROW()=ROW(tblBuyerOutputs[#Headers])+1,0,INDEX(tblBuyerOutputs[Cumul Appr],ROW()-ROW(tblBuyerOutputs[#Headers])-1)))*$AK$2/12)</f>
        <v>0</v>
      </c>
      <c r="AE141" s="276">
        <f>IF(INDEX(tblContractForDeed[End Bal],ROW()-ROW(tblBuyerOutputs[#Headers]))&lt;=0,0,IF(ROW()=ROW(tblBuyerOutputs[#Headers])+1,0,INDEX(tblBuyerOutputs[Cumul Appr],ROW()-ROW(tblBuyerOutputs[#Headers])-1))+tblBuyerOutputs[[#This Row],[Monthly Appr]])</f>
        <v>0</v>
      </c>
    </row>
    <row r="142" spans="1:31" x14ac:dyDescent="0.25">
      <c r="A142" s="613">
        <f t="shared" si="19"/>
        <v>49530</v>
      </c>
      <c r="B142" s="276">
        <f t="shared" si="17"/>
        <v>49192.59000000004</v>
      </c>
      <c r="C142" s="14">
        <f t="shared" si="14"/>
        <v>627.88</v>
      </c>
      <c r="D142" s="14">
        <f t="shared" si="20"/>
        <v>474.15</v>
      </c>
      <c r="E142" s="14">
        <f t="shared" si="15"/>
        <v>153.72999999999999</v>
      </c>
      <c r="F142" s="14">
        <f t="shared" si="27"/>
        <v>134.16999999999999</v>
      </c>
      <c r="G142" s="14">
        <f t="shared" si="27"/>
        <v>188.55</v>
      </c>
      <c r="H142" s="14">
        <f t="shared" si="28"/>
        <v>950.59999999999991</v>
      </c>
      <c r="I142" s="276">
        <f t="shared" si="21"/>
        <v>48813.399999999994</v>
      </c>
      <c r="J142" s="276">
        <f t="shared" si="22"/>
        <v>28719.68</v>
      </c>
      <c r="K142" s="276">
        <f t="shared" si="23"/>
        <v>48718.440000000039</v>
      </c>
      <c r="L142" s="394">
        <f t="shared" si="26"/>
        <v>10</v>
      </c>
      <c r="M142" s="394">
        <f t="shared" si="18"/>
        <v>122</v>
      </c>
      <c r="N142" s="613">
        <f>INDEX(tblSubjectToLoan[Date],ROW()-ROW(tblContractForDeed[#Headers]))</f>
        <v>49530</v>
      </c>
      <c r="O142" s="276">
        <f>IF(ROW()=ROW(tblContractForDeed[#Headers])+1,$O$6,IF(INDEX(tblContractForDeed[End Bal],ROW()-ROW(tblContractForDeed[#Headers])-1)&lt;0,0,INDEX(tblContractForDeed[End Bal],ROW()-ROW(tblContractForDeed[#Headers])-1)))</f>
        <v>39273.820000000007</v>
      </c>
      <c r="P142" s="454">
        <f>IF(tblContractForDeed[[#This Row],[Date]]="","",IF(tblContractForDeed[[#This Row],[Date]]&lt;cfdRateChangeDate,cfdRate1,cfdRate2))</f>
        <v>7.7499999999999999E-2</v>
      </c>
      <c r="Q1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2" s="276">
        <f>IF(tblContractForDeed[[#This Row],[Payment]]=0,0,MAX(0,MIN(tblContractForDeed[[#This Row],[Beg]],tblContractForDeed[[#This Row],[Payment]]-tblContractForDeed[[#This Row],[Int]])))</f>
        <v>445.53</v>
      </c>
      <c r="S142" s="276">
        <f>IF(OR(tblContractForDeed[[#This Row],[Date]]&lt;cfdContractDate,tblContractForDeed[[#This Row],[Date]]&gt;cfdEndDate),0,ROUND(tblContractForDeed[[#This Row],[Beg]]*(tblContractForDeed[[#This Row],[Int Rate]]/12),2))</f>
        <v>253.64</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1021.8899999999999</v>
      </c>
      <c r="W142" s="276">
        <f>SUM(INDEX(tblContractForDeed[Princ],1):INDEX(tblContractForDeed[Princ],ROW()-ROW(tblContractForDeed[#Headers])))</f>
        <v>36429.71</v>
      </c>
      <c r="X142" s="276">
        <f>IF(tblContractForDeed[[#This Row],[Beg]]&lt;=0,0,tblContractForDeed[[#This Row],[Beg]]-tblContractForDeed[[#This Row],[Princ]])</f>
        <v>38828.290000000008</v>
      </c>
      <c r="Y142" s="467">
        <f>IF(INDEX(tblContractForDeed[Payment],ROW()-ROW(tblBuyerOutputs[#Headers]))=0,0,INDEX(tblContractForDeed[Payment],ROW()-ROW(tblBuyerOutputs[#Headers]))-INDEX(tblSubjectToLoan[Payment],ROW()-ROW(tblBuyerOutputs[#Headers])))</f>
        <v>71.289999999999964</v>
      </c>
      <c r="Z14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110</v>
      </c>
      <c r="AA142"/>
      <c r="AB142" s="14">
        <f>IF(INDEX(tblContractForDeed[Payment],ROW()-ROW(tblBuyerOutputs[#Headers]))=0,0,INDEX(tblContractForDeed[Payment],ROW()-ROW(tblBuyerOutputs[#Headers]))-INDEX(tblSubjectToLoan[Payment],ROW()-ROW(tblBuyerOutputs[#Headers])))-IFERROR(tblBuyerOutputs[[#This Row],[PMI]],0)</f>
        <v>71.289999999999964</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6068.8299999999981</v>
      </c>
      <c r="AD142" s="276">
        <f>IF(INDEX(tblContractForDeed[End Bal],ROW()-ROW(tblBuyerOutputs[#Headers]))&lt;=0,0,($O$6+IF(ROW()=ROW(tblBuyerOutputs[#Headers])+1,0,INDEX(tblBuyerOutputs[Cumul Appr],ROW()-ROW(tblBuyerOutputs[#Headers])-1)))*$AK$2/12)</f>
        <v>0</v>
      </c>
      <c r="AE142" s="276">
        <f>IF(INDEX(tblContractForDeed[End Bal],ROW()-ROW(tblBuyerOutputs[#Headers]))&lt;=0,0,IF(ROW()=ROW(tblBuyerOutputs[#Headers])+1,0,INDEX(tblBuyerOutputs[Cumul Appr],ROW()-ROW(tblBuyerOutputs[#Headers])-1))+tblBuyerOutputs[[#This Row],[Monthly Appr]])</f>
        <v>0</v>
      </c>
    </row>
    <row r="143" spans="1:31" x14ac:dyDescent="0.25">
      <c r="A143" s="613">
        <f t="shared" si="19"/>
        <v>49560</v>
      </c>
      <c r="B143" s="276">
        <f t="shared" si="17"/>
        <v>48718.440000000039</v>
      </c>
      <c r="C143" s="14">
        <f t="shared" si="14"/>
        <v>627.88</v>
      </c>
      <c r="D143" s="14">
        <f t="shared" si="20"/>
        <v>475.63</v>
      </c>
      <c r="E143" s="14">
        <f t="shared" si="15"/>
        <v>152.25</v>
      </c>
      <c r="F143" s="14">
        <f t="shared" ref="F143:G158" si="29">+F142</f>
        <v>134.16999999999999</v>
      </c>
      <c r="G143" s="14">
        <f t="shared" si="29"/>
        <v>188.55</v>
      </c>
      <c r="H143" s="14">
        <f t="shared" si="28"/>
        <v>950.59999999999991</v>
      </c>
      <c r="I143" s="276">
        <f t="shared" si="21"/>
        <v>49289.029999999992</v>
      </c>
      <c r="J143" s="276">
        <f t="shared" si="22"/>
        <v>28871.93</v>
      </c>
      <c r="K143" s="276">
        <f t="shared" si="23"/>
        <v>48242.810000000041</v>
      </c>
      <c r="L143" s="394">
        <f t="shared" si="26"/>
        <v>10</v>
      </c>
      <c r="M143" s="394">
        <f t="shared" si="18"/>
        <v>123</v>
      </c>
      <c r="N143" s="613">
        <f>INDEX(tblSubjectToLoan[Date],ROW()-ROW(tblContractForDeed[#Headers]))</f>
        <v>49560</v>
      </c>
      <c r="O143" s="276">
        <f>IF(ROW()=ROW(tblContractForDeed[#Headers])+1,$O$6,IF(INDEX(tblContractForDeed[End Bal],ROW()-ROW(tblContractForDeed[#Headers])-1)&lt;0,0,INDEX(tblContractForDeed[End Bal],ROW()-ROW(tblContractForDeed[#Headers])-1)))</f>
        <v>38828.290000000008</v>
      </c>
      <c r="P143" s="454">
        <f>IF(tblContractForDeed[[#This Row],[Date]]="","",IF(tblContractForDeed[[#This Row],[Date]]&lt;cfdRateChangeDate,cfdRate1,cfdRate2))</f>
        <v>7.7499999999999999E-2</v>
      </c>
      <c r="Q1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3" s="276">
        <f>IF(tblContractForDeed[[#This Row],[Payment]]=0,0,MAX(0,MIN(tblContractForDeed[[#This Row],[Beg]],tblContractForDeed[[#This Row],[Payment]]-tblContractForDeed[[#This Row],[Int]])))</f>
        <v>448.4</v>
      </c>
      <c r="S143" s="276">
        <f>IF(OR(tblContractForDeed[[#This Row],[Date]]&lt;cfdContractDate,tblContractForDeed[[#This Row],[Date]]&gt;cfdEndDate),0,ROUND(tblContractForDeed[[#This Row],[Beg]]*(tblContractForDeed[[#This Row],[Int Rate]]/12),2))</f>
        <v>250.77</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1021.8899999999999</v>
      </c>
      <c r="W143" s="276">
        <f>SUM(INDEX(tblContractForDeed[Princ],1):INDEX(tblContractForDeed[Princ],ROW()-ROW(tblContractForDeed[#Headers])))</f>
        <v>36878.11</v>
      </c>
      <c r="X143" s="276">
        <f>IF(tblContractForDeed[[#This Row],[Beg]]&lt;=0,0,tblContractForDeed[[#This Row],[Beg]]-tblContractForDeed[[#This Row],[Princ]])</f>
        <v>38379.890000000007</v>
      </c>
      <c r="Y143" s="467">
        <f>IF(INDEX(tblContractForDeed[Payment],ROW()-ROW(tblBuyerOutputs[#Headers]))=0,0,INDEX(tblContractForDeed[Payment],ROW()-ROW(tblBuyerOutputs[#Headers]))-INDEX(tblSubjectToLoan[Payment],ROW()-ROW(tblBuyerOutputs[#Headers])))</f>
        <v>71.289999999999964</v>
      </c>
      <c r="Z14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111</v>
      </c>
      <c r="AA143"/>
      <c r="AB143" s="14">
        <f>IF(INDEX(tblContractForDeed[Payment],ROW()-ROW(tblBuyerOutputs[#Headers]))=0,0,INDEX(tblContractForDeed[Payment],ROW()-ROW(tblBuyerOutputs[#Headers]))-INDEX(tblSubjectToLoan[Payment],ROW()-ROW(tblBuyerOutputs[#Headers])))-IFERROR(tblBuyerOutputs[[#This Row],[PMI]],0)</f>
        <v>71.289999999999964</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6140.1199999999981</v>
      </c>
      <c r="AD143" s="276">
        <f>IF(INDEX(tblContractForDeed[End Bal],ROW()-ROW(tblBuyerOutputs[#Headers]))&lt;=0,0,($O$6+IF(ROW()=ROW(tblBuyerOutputs[#Headers])+1,0,INDEX(tblBuyerOutputs[Cumul Appr],ROW()-ROW(tblBuyerOutputs[#Headers])-1)))*$AK$2/12)</f>
        <v>0</v>
      </c>
      <c r="AE143" s="276">
        <f>IF(INDEX(tblContractForDeed[End Bal],ROW()-ROW(tblBuyerOutputs[#Headers]))&lt;=0,0,IF(ROW()=ROW(tblBuyerOutputs[#Headers])+1,0,INDEX(tblBuyerOutputs[Cumul Appr],ROW()-ROW(tblBuyerOutputs[#Headers])-1))+tblBuyerOutputs[[#This Row],[Monthly Appr]])</f>
        <v>0</v>
      </c>
    </row>
    <row r="144" spans="1:31" x14ac:dyDescent="0.25">
      <c r="A144" s="613">
        <f t="shared" si="19"/>
        <v>49590</v>
      </c>
      <c r="B144" s="276">
        <f t="shared" si="17"/>
        <v>48242.810000000041</v>
      </c>
      <c r="C144" s="14">
        <f t="shared" si="14"/>
        <v>627.88</v>
      </c>
      <c r="D144" s="14">
        <f t="shared" si="20"/>
        <v>477.12</v>
      </c>
      <c r="E144" s="14">
        <f t="shared" si="15"/>
        <v>150.76</v>
      </c>
      <c r="F144" s="14">
        <f t="shared" si="29"/>
        <v>134.16999999999999</v>
      </c>
      <c r="G144" s="14">
        <f t="shared" si="29"/>
        <v>188.55</v>
      </c>
      <c r="H144" s="14">
        <f t="shared" si="28"/>
        <v>950.59999999999991</v>
      </c>
      <c r="I144" s="276">
        <f t="shared" si="21"/>
        <v>49766.149999999994</v>
      </c>
      <c r="J144" s="276">
        <f t="shared" si="22"/>
        <v>29022.69</v>
      </c>
      <c r="K144" s="276">
        <f t="shared" si="23"/>
        <v>47765.690000000039</v>
      </c>
      <c r="L144" s="394">
        <f t="shared" si="26"/>
        <v>10</v>
      </c>
      <c r="M144" s="394">
        <f t="shared" si="18"/>
        <v>124</v>
      </c>
      <c r="N144" s="613">
        <f>INDEX(tblSubjectToLoan[Date],ROW()-ROW(tblContractForDeed[#Headers]))</f>
        <v>49590</v>
      </c>
      <c r="O144" s="276">
        <f>IF(ROW()=ROW(tblContractForDeed[#Headers])+1,$O$6,IF(INDEX(tblContractForDeed[End Bal],ROW()-ROW(tblContractForDeed[#Headers])-1)&lt;0,0,INDEX(tblContractForDeed[End Bal],ROW()-ROW(tblContractForDeed[#Headers])-1)))</f>
        <v>38379.890000000007</v>
      </c>
      <c r="P144" s="454">
        <f>IF(tblContractForDeed[[#This Row],[Date]]="","",IF(tblContractForDeed[[#This Row],[Date]]&lt;cfdRateChangeDate,cfdRate1,cfdRate2))</f>
        <v>7.7499999999999999E-2</v>
      </c>
      <c r="Q1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4" s="276">
        <f>IF(tblContractForDeed[[#This Row],[Payment]]=0,0,MAX(0,MIN(tblContractForDeed[[#This Row],[Beg]],tblContractForDeed[[#This Row],[Payment]]-tblContractForDeed[[#This Row],[Int]])))</f>
        <v>451.29999999999995</v>
      </c>
      <c r="S144" s="276">
        <f>IF(OR(tblContractForDeed[[#This Row],[Date]]&lt;cfdContractDate,tblContractForDeed[[#This Row],[Date]]&gt;cfdEndDate),0,ROUND(tblContractForDeed[[#This Row],[Beg]]*(tblContractForDeed[[#This Row],[Int Rate]]/12),2))</f>
        <v>247.87</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1021.8899999999999</v>
      </c>
      <c r="W144" s="276">
        <f>SUM(INDEX(tblContractForDeed[Princ],1):INDEX(tblContractForDeed[Princ],ROW()-ROW(tblContractForDeed[#Headers])))</f>
        <v>37329.410000000003</v>
      </c>
      <c r="X144" s="276">
        <f>IF(tblContractForDeed[[#This Row],[Beg]]&lt;=0,0,tblContractForDeed[[#This Row],[Beg]]-tblContractForDeed[[#This Row],[Princ]])</f>
        <v>37928.590000000004</v>
      </c>
      <c r="Y144" s="467">
        <f>IF(INDEX(tblContractForDeed[Payment],ROW()-ROW(tblBuyerOutputs[#Headers]))=0,0,INDEX(tblContractForDeed[Payment],ROW()-ROW(tblBuyerOutputs[#Headers]))-INDEX(tblSubjectToLoan[Payment],ROW()-ROW(tblBuyerOutputs[#Headers])))</f>
        <v>71.289999999999964</v>
      </c>
      <c r="Z14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112</v>
      </c>
      <c r="AA144"/>
      <c r="AB144" s="14">
        <f>IF(INDEX(tblContractForDeed[Payment],ROW()-ROW(tblBuyerOutputs[#Headers]))=0,0,INDEX(tblContractForDeed[Payment],ROW()-ROW(tblBuyerOutputs[#Headers]))-INDEX(tblSubjectToLoan[Payment],ROW()-ROW(tblBuyerOutputs[#Headers])))-IFERROR(tblBuyerOutputs[[#This Row],[PMI]],0)</f>
        <v>71.289999999999964</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6211.409999999998</v>
      </c>
      <c r="AD144" s="276">
        <f>IF(INDEX(tblContractForDeed[End Bal],ROW()-ROW(tblBuyerOutputs[#Headers]))&lt;=0,0,($O$6+IF(ROW()=ROW(tblBuyerOutputs[#Headers])+1,0,INDEX(tblBuyerOutputs[Cumul Appr],ROW()-ROW(tblBuyerOutputs[#Headers])-1)))*$AK$2/12)</f>
        <v>0</v>
      </c>
      <c r="AE144" s="276">
        <f>IF(INDEX(tblContractForDeed[End Bal],ROW()-ROW(tblBuyerOutputs[#Headers]))&lt;=0,0,IF(ROW()=ROW(tblBuyerOutputs[#Headers])+1,0,INDEX(tblBuyerOutputs[Cumul Appr],ROW()-ROW(tblBuyerOutputs[#Headers])-1))+tblBuyerOutputs[[#This Row],[Monthly Appr]])</f>
        <v>0</v>
      </c>
    </row>
    <row r="145" spans="1:31" x14ac:dyDescent="0.25">
      <c r="A145" s="613">
        <f t="shared" si="19"/>
        <v>49620</v>
      </c>
      <c r="B145" s="276">
        <f t="shared" si="17"/>
        <v>47765.690000000039</v>
      </c>
      <c r="C145" s="14">
        <f t="shared" si="14"/>
        <v>627.88</v>
      </c>
      <c r="D145" s="14">
        <f t="shared" si="20"/>
        <v>478.61</v>
      </c>
      <c r="E145" s="14">
        <f t="shared" si="15"/>
        <v>149.27000000000001</v>
      </c>
      <c r="F145" s="14">
        <f t="shared" si="29"/>
        <v>134.16999999999999</v>
      </c>
      <c r="G145" s="14">
        <f t="shared" si="29"/>
        <v>188.55</v>
      </c>
      <c r="H145" s="14">
        <f t="shared" si="28"/>
        <v>950.59999999999991</v>
      </c>
      <c r="I145" s="276">
        <f t="shared" si="21"/>
        <v>50244.759999999995</v>
      </c>
      <c r="J145" s="276">
        <f t="shared" si="22"/>
        <v>29171.96</v>
      </c>
      <c r="K145" s="276">
        <f t="shared" si="23"/>
        <v>47287.080000000038</v>
      </c>
      <c r="L145" s="394">
        <f t="shared" si="26"/>
        <v>10</v>
      </c>
      <c r="M145" s="394">
        <f t="shared" si="18"/>
        <v>125</v>
      </c>
      <c r="N145" s="613">
        <f>INDEX(tblSubjectToLoan[Date],ROW()-ROW(tblContractForDeed[#Headers]))</f>
        <v>49620</v>
      </c>
      <c r="O145" s="276">
        <f>IF(ROW()=ROW(tblContractForDeed[#Headers])+1,$O$6,IF(INDEX(tblContractForDeed[End Bal],ROW()-ROW(tblContractForDeed[#Headers])-1)&lt;0,0,INDEX(tblContractForDeed[End Bal],ROW()-ROW(tblContractForDeed[#Headers])-1)))</f>
        <v>37928.590000000004</v>
      </c>
      <c r="P145" s="454">
        <f>IF(tblContractForDeed[[#This Row],[Date]]="","",IF(tblContractForDeed[[#This Row],[Date]]&lt;cfdRateChangeDate,cfdRate1,cfdRate2))</f>
        <v>7.7499999999999999E-2</v>
      </c>
      <c r="Q1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5" s="276">
        <f>IF(tblContractForDeed[[#This Row],[Payment]]=0,0,MAX(0,MIN(tblContractForDeed[[#This Row],[Beg]],tblContractForDeed[[#This Row],[Payment]]-tblContractForDeed[[#This Row],[Int]])))</f>
        <v>454.20999999999992</v>
      </c>
      <c r="S145" s="276">
        <f>IF(OR(tblContractForDeed[[#This Row],[Date]]&lt;cfdContractDate,tblContractForDeed[[#This Row],[Date]]&gt;cfdEndDate),0,ROUND(tblContractForDeed[[#This Row],[Beg]]*(tblContractForDeed[[#This Row],[Int Rate]]/12),2))</f>
        <v>244.96</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1021.8899999999999</v>
      </c>
      <c r="W145" s="276">
        <f>SUM(INDEX(tblContractForDeed[Princ],1):INDEX(tblContractForDeed[Princ],ROW()-ROW(tblContractForDeed[#Headers])))</f>
        <v>37783.620000000003</v>
      </c>
      <c r="X145" s="276">
        <f>IF(tblContractForDeed[[#This Row],[Beg]]&lt;=0,0,tblContractForDeed[[#This Row],[Beg]]-tblContractForDeed[[#This Row],[Princ]])</f>
        <v>37474.380000000005</v>
      </c>
      <c r="Y145" s="467">
        <f>IF(INDEX(tblContractForDeed[Payment],ROW()-ROW(tblBuyerOutputs[#Headers]))=0,0,INDEX(tblContractForDeed[Payment],ROW()-ROW(tblBuyerOutputs[#Headers]))-INDEX(tblSubjectToLoan[Payment],ROW()-ROW(tblBuyerOutputs[#Headers])))</f>
        <v>71.289999999999964</v>
      </c>
      <c r="Z14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113</v>
      </c>
      <c r="AA145"/>
      <c r="AB145" s="14">
        <f>IF(INDEX(tblContractForDeed[Payment],ROW()-ROW(tblBuyerOutputs[#Headers]))=0,0,INDEX(tblContractForDeed[Payment],ROW()-ROW(tblBuyerOutputs[#Headers]))-INDEX(tblSubjectToLoan[Payment],ROW()-ROW(tblBuyerOutputs[#Headers])))-IFERROR(tblBuyerOutputs[[#This Row],[PMI]],0)</f>
        <v>71.289999999999964</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6282.699999999998</v>
      </c>
      <c r="AD145" s="276">
        <f>IF(INDEX(tblContractForDeed[End Bal],ROW()-ROW(tblBuyerOutputs[#Headers]))&lt;=0,0,($O$6+IF(ROW()=ROW(tblBuyerOutputs[#Headers])+1,0,INDEX(tblBuyerOutputs[Cumul Appr],ROW()-ROW(tblBuyerOutputs[#Headers])-1)))*$AK$2/12)</f>
        <v>0</v>
      </c>
      <c r="AE145" s="276">
        <f>IF(INDEX(tblContractForDeed[End Bal],ROW()-ROW(tblBuyerOutputs[#Headers]))&lt;=0,0,IF(ROW()=ROW(tblBuyerOutputs[#Headers])+1,0,INDEX(tblBuyerOutputs[Cumul Appr],ROW()-ROW(tblBuyerOutputs[#Headers])-1))+tblBuyerOutputs[[#This Row],[Monthly Appr]])</f>
        <v>0</v>
      </c>
    </row>
    <row r="146" spans="1:31" x14ac:dyDescent="0.25">
      <c r="A146" s="613">
        <f t="shared" si="19"/>
        <v>49650</v>
      </c>
      <c r="B146" s="276">
        <f t="shared" si="17"/>
        <v>47287.080000000038</v>
      </c>
      <c r="C146" s="14">
        <f t="shared" si="14"/>
        <v>627.88</v>
      </c>
      <c r="D146" s="14">
        <f t="shared" si="20"/>
        <v>480.11</v>
      </c>
      <c r="E146" s="14">
        <f t="shared" si="15"/>
        <v>147.77000000000001</v>
      </c>
      <c r="F146" s="14">
        <f t="shared" si="29"/>
        <v>134.16999999999999</v>
      </c>
      <c r="G146" s="14">
        <f t="shared" si="29"/>
        <v>188.55</v>
      </c>
      <c r="H146" s="14">
        <f t="shared" si="28"/>
        <v>950.59999999999991</v>
      </c>
      <c r="I146" s="276">
        <f t="shared" si="21"/>
        <v>50724.869999999995</v>
      </c>
      <c r="J146" s="276">
        <f t="shared" si="22"/>
        <v>29319.73</v>
      </c>
      <c r="K146" s="276">
        <f t="shared" si="23"/>
        <v>46806.970000000038</v>
      </c>
      <c r="L146" s="394">
        <f t="shared" si="26"/>
        <v>10</v>
      </c>
      <c r="M146" s="394">
        <f t="shared" si="18"/>
        <v>126</v>
      </c>
      <c r="N146" s="613">
        <f>INDEX(tblSubjectToLoan[Date],ROW()-ROW(tblContractForDeed[#Headers]))</f>
        <v>49650</v>
      </c>
      <c r="O146" s="276">
        <f>IF(ROW()=ROW(tblContractForDeed[#Headers])+1,$O$6,IF(INDEX(tblContractForDeed[End Bal],ROW()-ROW(tblContractForDeed[#Headers])-1)&lt;0,0,INDEX(tblContractForDeed[End Bal],ROW()-ROW(tblContractForDeed[#Headers])-1)))</f>
        <v>37474.380000000005</v>
      </c>
      <c r="P146" s="454">
        <f>IF(tblContractForDeed[[#This Row],[Date]]="","",IF(tblContractForDeed[[#This Row],[Date]]&lt;cfdRateChangeDate,cfdRate1,cfdRate2))</f>
        <v>7.7499999999999999E-2</v>
      </c>
      <c r="Q1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6" s="276">
        <f>IF(tblContractForDeed[[#This Row],[Payment]]=0,0,MAX(0,MIN(tblContractForDeed[[#This Row],[Beg]],tblContractForDeed[[#This Row],[Payment]]-tblContractForDeed[[#This Row],[Int]])))</f>
        <v>457.15</v>
      </c>
      <c r="S146" s="276">
        <f>IF(OR(tblContractForDeed[[#This Row],[Date]]&lt;cfdContractDate,tblContractForDeed[[#This Row],[Date]]&gt;cfdEndDate),0,ROUND(tblContractForDeed[[#This Row],[Beg]]*(tblContractForDeed[[#This Row],[Int Rate]]/12),2))</f>
        <v>242.02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1021.8899999999999</v>
      </c>
      <c r="W146" s="276">
        <f>SUM(INDEX(tblContractForDeed[Princ],1):INDEX(tblContractForDeed[Princ],ROW()-ROW(tblContractForDeed[#Headers])))</f>
        <v>38240.770000000004</v>
      </c>
      <c r="X146" s="276">
        <f>IF(tblContractForDeed[[#This Row],[Beg]]&lt;=0,0,tblContractForDeed[[#This Row],[Beg]]-tblContractForDeed[[#This Row],[Princ]])</f>
        <v>37017.230000000003</v>
      </c>
      <c r="Y146" s="467">
        <f>IF(INDEX(tblContractForDeed[Payment],ROW()-ROW(tblBuyerOutputs[#Headers]))=0,0,INDEX(tblContractForDeed[Payment],ROW()-ROW(tblBuyerOutputs[#Headers]))-INDEX(tblSubjectToLoan[Payment],ROW()-ROW(tblBuyerOutputs[#Headers])))</f>
        <v>71.289999999999964</v>
      </c>
      <c r="Z14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114</v>
      </c>
      <c r="AA146"/>
      <c r="AB146" s="14">
        <f>IF(INDEX(tblContractForDeed[Payment],ROW()-ROW(tblBuyerOutputs[#Headers]))=0,0,INDEX(tblContractForDeed[Payment],ROW()-ROW(tblBuyerOutputs[#Headers]))-INDEX(tblSubjectToLoan[Payment],ROW()-ROW(tblBuyerOutputs[#Headers])))-IFERROR(tblBuyerOutputs[[#This Row],[PMI]],0)</f>
        <v>71.289999999999964</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6353.989999999998</v>
      </c>
      <c r="AD146" s="276">
        <f>IF(INDEX(tblContractForDeed[End Bal],ROW()-ROW(tblBuyerOutputs[#Headers]))&lt;=0,0,($O$6+IF(ROW()=ROW(tblBuyerOutputs[#Headers])+1,0,INDEX(tblBuyerOutputs[Cumul Appr],ROW()-ROW(tblBuyerOutputs[#Headers])-1)))*$AK$2/12)</f>
        <v>0</v>
      </c>
      <c r="AE146" s="276">
        <f>IF(INDEX(tblContractForDeed[End Bal],ROW()-ROW(tblBuyerOutputs[#Headers]))&lt;=0,0,IF(ROW()=ROW(tblBuyerOutputs[#Headers])+1,0,INDEX(tblBuyerOutputs[Cumul Appr],ROW()-ROW(tblBuyerOutputs[#Headers])-1))+tblBuyerOutputs[[#This Row],[Monthly Appr]])</f>
        <v>0</v>
      </c>
    </row>
    <row r="147" spans="1:31" x14ac:dyDescent="0.25">
      <c r="A147" s="613">
        <f t="shared" si="19"/>
        <v>49680</v>
      </c>
      <c r="B147" s="276">
        <f t="shared" si="17"/>
        <v>46806.970000000038</v>
      </c>
      <c r="C147" s="14">
        <f t="shared" si="14"/>
        <v>627.88</v>
      </c>
      <c r="D147" s="14">
        <f t="shared" si="20"/>
        <v>481.61</v>
      </c>
      <c r="E147" s="14">
        <f t="shared" si="15"/>
        <v>146.27000000000001</v>
      </c>
      <c r="F147" s="14">
        <f t="shared" si="29"/>
        <v>134.16999999999999</v>
      </c>
      <c r="G147" s="14">
        <f t="shared" si="29"/>
        <v>188.55</v>
      </c>
      <c r="H147" s="14">
        <f t="shared" si="28"/>
        <v>950.59999999999991</v>
      </c>
      <c r="I147" s="276">
        <f t="shared" si="21"/>
        <v>51206.479999999996</v>
      </c>
      <c r="J147" s="276">
        <f t="shared" si="22"/>
        <v>29466</v>
      </c>
      <c r="K147" s="276">
        <f t="shared" si="23"/>
        <v>46325.360000000037</v>
      </c>
      <c r="L147" s="394">
        <f t="shared" si="26"/>
        <v>10</v>
      </c>
      <c r="M147" s="394">
        <f t="shared" si="18"/>
        <v>127</v>
      </c>
      <c r="N147" s="613">
        <f>INDEX(tblSubjectToLoan[Date],ROW()-ROW(tblContractForDeed[#Headers]))</f>
        <v>49680</v>
      </c>
      <c r="O147" s="276">
        <f>IF(ROW()=ROW(tblContractForDeed[#Headers])+1,$O$6,IF(INDEX(tblContractForDeed[End Bal],ROW()-ROW(tblContractForDeed[#Headers])-1)&lt;0,0,INDEX(tblContractForDeed[End Bal],ROW()-ROW(tblContractForDeed[#Headers])-1)))</f>
        <v>37017.230000000003</v>
      </c>
      <c r="P147" s="454">
        <f>IF(tblContractForDeed[[#This Row],[Date]]="","",IF(tblContractForDeed[[#This Row],[Date]]&lt;cfdRateChangeDate,cfdRate1,cfdRate2))</f>
        <v>7.7499999999999999E-2</v>
      </c>
      <c r="Q1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7" s="276">
        <f>IF(tblContractForDeed[[#This Row],[Payment]]=0,0,MAX(0,MIN(tblContractForDeed[[#This Row],[Beg]],tblContractForDeed[[#This Row],[Payment]]-tblContractForDeed[[#This Row],[Int]])))</f>
        <v>460.09999999999997</v>
      </c>
      <c r="S147" s="276">
        <f>IF(OR(tblContractForDeed[[#This Row],[Date]]&lt;cfdContractDate,tblContractForDeed[[#This Row],[Date]]&gt;cfdEndDate),0,ROUND(tblContractForDeed[[#This Row],[Beg]]*(tblContractForDeed[[#This Row],[Int Rate]]/12),2))</f>
        <v>239.07</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1021.8899999999999</v>
      </c>
      <c r="W147" s="276">
        <f>SUM(INDEX(tblContractForDeed[Princ],1):INDEX(tblContractForDeed[Princ],ROW()-ROW(tblContractForDeed[#Headers])))</f>
        <v>38700.870000000003</v>
      </c>
      <c r="X147" s="276">
        <f>IF(tblContractForDeed[[#This Row],[Beg]]&lt;=0,0,tblContractForDeed[[#This Row],[Beg]]-tblContractForDeed[[#This Row],[Princ]])</f>
        <v>36557.130000000005</v>
      </c>
      <c r="Y147" s="467">
        <f>IF(INDEX(tblContractForDeed[Payment],ROW()-ROW(tblBuyerOutputs[#Headers]))=0,0,INDEX(tblContractForDeed[Payment],ROW()-ROW(tblBuyerOutputs[#Headers]))-INDEX(tblSubjectToLoan[Payment],ROW()-ROW(tblBuyerOutputs[#Headers])))</f>
        <v>71.289999999999964</v>
      </c>
      <c r="Z14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115</v>
      </c>
      <c r="AA147"/>
      <c r="AB147" s="14">
        <f>IF(INDEX(tblContractForDeed[Payment],ROW()-ROW(tblBuyerOutputs[#Headers]))=0,0,INDEX(tblContractForDeed[Payment],ROW()-ROW(tblBuyerOutputs[#Headers]))-INDEX(tblSubjectToLoan[Payment],ROW()-ROW(tblBuyerOutputs[#Headers])))-IFERROR(tblBuyerOutputs[[#This Row],[PMI]],0)</f>
        <v>71.289999999999964</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6425.2799999999979</v>
      </c>
      <c r="AD147" s="276">
        <f>IF(INDEX(tblContractForDeed[End Bal],ROW()-ROW(tblBuyerOutputs[#Headers]))&lt;=0,0,($O$6+IF(ROW()=ROW(tblBuyerOutputs[#Headers])+1,0,INDEX(tblBuyerOutputs[Cumul Appr],ROW()-ROW(tblBuyerOutputs[#Headers])-1)))*$AK$2/12)</f>
        <v>0</v>
      </c>
      <c r="AE147" s="276">
        <f>IF(INDEX(tblContractForDeed[End Bal],ROW()-ROW(tblBuyerOutputs[#Headers]))&lt;=0,0,IF(ROW()=ROW(tblBuyerOutputs[#Headers])+1,0,INDEX(tblBuyerOutputs[Cumul Appr],ROW()-ROW(tblBuyerOutputs[#Headers])-1))+tblBuyerOutputs[[#This Row],[Monthly Appr]])</f>
        <v>0</v>
      </c>
    </row>
    <row r="148" spans="1:31" x14ac:dyDescent="0.25">
      <c r="A148" s="613">
        <f t="shared" si="19"/>
        <v>49710</v>
      </c>
      <c r="B148" s="276">
        <f t="shared" si="17"/>
        <v>46325.360000000037</v>
      </c>
      <c r="C148" s="14">
        <f t="shared" ref="C148:C211" si="30">IF(+$K147&lt;=0,0,$C$6)</f>
        <v>627.88</v>
      </c>
      <c r="D148" s="14">
        <f t="shared" si="20"/>
        <v>483.11</v>
      </c>
      <c r="E148" s="14">
        <f t="shared" ref="E148:E211" si="31">ROUND($B148*($C$4/12), 2)</f>
        <v>144.77000000000001</v>
      </c>
      <c r="F148" s="14">
        <f t="shared" si="29"/>
        <v>134.16999999999999</v>
      </c>
      <c r="G148" s="14">
        <f t="shared" si="29"/>
        <v>188.55</v>
      </c>
      <c r="H148" s="14">
        <f t="shared" si="28"/>
        <v>950.59999999999991</v>
      </c>
      <c r="I148" s="276">
        <f t="shared" si="21"/>
        <v>51689.59</v>
      </c>
      <c r="J148" s="276">
        <f t="shared" si="22"/>
        <v>29610.77</v>
      </c>
      <c r="K148" s="276">
        <f t="shared" si="23"/>
        <v>45842.250000000036</v>
      </c>
      <c r="L148" s="394">
        <f t="shared" si="26"/>
        <v>10</v>
      </c>
      <c r="M148" s="394">
        <f t="shared" si="18"/>
        <v>128</v>
      </c>
      <c r="N148" s="613">
        <f>INDEX(tblSubjectToLoan[Date],ROW()-ROW(tblContractForDeed[#Headers]))</f>
        <v>49710</v>
      </c>
      <c r="O148" s="276">
        <f>IF(ROW()=ROW(tblContractForDeed[#Headers])+1,$O$6,IF(INDEX(tblContractForDeed[End Bal],ROW()-ROW(tblContractForDeed[#Headers])-1)&lt;0,0,INDEX(tblContractForDeed[End Bal],ROW()-ROW(tblContractForDeed[#Headers])-1)))</f>
        <v>36557.130000000005</v>
      </c>
      <c r="P148" s="454">
        <f>IF(tblContractForDeed[[#This Row],[Date]]="","",IF(tblContractForDeed[[#This Row],[Date]]&lt;cfdRateChangeDate,cfdRate1,cfdRate2))</f>
        <v>7.7499999999999999E-2</v>
      </c>
      <c r="Q1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8" s="276">
        <f>IF(tblContractForDeed[[#This Row],[Payment]]=0,0,MAX(0,MIN(tblContractForDeed[[#This Row],[Beg]],tblContractForDeed[[#This Row],[Payment]]-tblContractForDeed[[#This Row],[Int]])))</f>
        <v>463.06999999999994</v>
      </c>
      <c r="S148" s="276">
        <f>IF(OR(tblContractForDeed[[#This Row],[Date]]&lt;cfdContractDate,tblContractForDeed[[#This Row],[Date]]&gt;cfdEndDate),0,ROUND(tblContractForDeed[[#This Row],[Beg]]*(tblContractForDeed[[#This Row],[Int Rate]]/12),2))</f>
        <v>236.1</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1021.8899999999999</v>
      </c>
      <c r="W148" s="276">
        <f>SUM(INDEX(tblContractForDeed[Princ],1):INDEX(tblContractForDeed[Princ],ROW()-ROW(tblContractForDeed[#Headers])))</f>
        <v>39163.94</v>
      </c>
      <c r="X148" s="276">
        <f>IF(tblContractForDeed[[#This Row],[Beg]]&lt;=0,0,tblContractForDeed[[#This Row],[Beg]]-tblContractForDeed[[#This Row],[Princ]])</f>
        <v>36094.060000000005</v>
      </c>
      <c r="Y148" s="467">
        <f>IF(INDEX(tblContractForDeed[Payment],ROW()-ROW(tblBuyerOutputs[#Headers]))=0,0,INDEX(tblContractForDeed[Payment],ROW()-ROW(tblBuyerOutputs[#Headers]))-INDEX(tblSubjectToLoan[Payment],ROW()-ROW(tblBuyerOutputs[#Headers])))</f>
        <v>71.289999999999964</v>
      </c>
      <c r="Z14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116</v>
      </c>
      <c r="AA148"/>
      <c r="AB148" s="14">
        <f>IF(INDEX(tblContractForDeed[Payment],ROW()-ROW(tblBuyerOutputs[#Headers]))=0,0,INDEX(tblContractForDeed[Payment],ROW()-ROW(tblBuyerOutputs[#Headers]))-INDEX(tblSubjectToLoan[Payment],ROW()-ROW(tblBuyerOutputs[#Headers])))-IFERROR(tblBuyerOutputs[[#This Row],[PMI]],0)</f>
        <v>71.289999999999964</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6496.5699999999979</v>
      </c>
      <c r="AD148" s="276">
        <f>IF(INDEX(tblContractForDeed[End Bal],ROW()-ROW(tblBuyerOutputs[#Headers]))&lt;=0,0,($O$6+IF(ROW()=ROW(tblBuyerOutputs[#Headers])+1,0,INDEX(tblBuyerOutputs[Cumul Appr],ROW()-ROW(tblBuyerOutputs[#Headers])-1)))*$AK$2/12)</f>
        <v>0</v>
      </c>
      <c r="AE148" s="276">
        <f>IF(INDEX(tblContractForDeed[End Bal],ROW()-ROW(tblBuyerOutputs[#Headers]))&lt;=0,0,IF(ROW()=ROW(tblBuyerOutputs[#Headers])+1,0,INDEX(tblBuyerOutputs[Cumul Appr],ROW()-ROW(tblBuyerOutputs[#Headers])-1))+tblBuyerOutputs[[#This Row],[Monthly Appr]])</f>
        <v>0</v>
      </c>
    </row>
    <row r="149" spans="1:31" x14ac:dyDescent="0.25">
      <c r="A149" s="613">
        <f t="shared" si="19"/>
        <v>49740</v>
      </c>
      <c r="B149" s="276">
        <f t="shared" ref="B149:B212" si="32">IF(+K148&lt;0,0,+K148)</f>
        <v>45842.250000000036</v>
      </c>
      <c r="C149" s="14">
        <f t="shared" si="30"/>
        <v>627.88</v>
      </c>
      <c r="D149" s="14">
        <f t="shared" si="20"/>
        <v>484.62</v>
      </c>
      <c r="E149" s="14">
        <f t="shared" si="31"/>
        <v>143.26</v>
      </c>
      <c r="F149" s="14">
        <f t="shared" si="29"/>
        <v>134.16999999999999</v>
      </c>
      <c r="G149" s="14">
        <f t="shared" si="29"/>
        <v>188.55</v>
      </c>
      <c r="H149" s="14">
        <f t="shared" si="28"/>
        <v>950.59999999999991</v>
      </c>
      <c r="I149" s="276">
        <f t="shared" si="21"/>
        <v>52174.21</v>
      </c>
      <c r="J149" s="276">
        <f t="shared" si="22"/>
        <v>29754.03</v>
      </c>
      <c r="K149" s="276">
        <f t="shared" si="23"/>
        <v>45357.630000000034</v>
      </c>
      <c r="L149" s="394">
        <f t="shared" si="26"/>
        <v>10</v>
      </c>
      <c r="M149" s="394">
        <f t="shared" ref="M149:M212" si="33">IF($A149&lt;&gt;"",M148+1,0)</f>
        <v>129</v>
      </c>
      <c r="N149" s="613">
        <f>INDEX(tblSubjectToLoan[Date],ROW()-ROW(tblContractForDeed[#Headers]))</f>
        <v>49740</v>
      </c>
      <c r="O149" s="276">
        <f>IF(ROW()=ROW(tblContractForDeed[#Headers])+1,$O$6,IF(INDEX(tblContractForDeed[End Bal],ROW()-ROW(tblContractForDeed[#Headers])-1)&lt;0,0,INDEX(tblContractForDeed[End Bal],ROW()-ROW(tblContractForDeed[#Headers])-1)))</f>
        <v>36094.060000000005</v>
      </c>
      <c r="P149" s="454">
        <f>IF(tblContractForDeed[[#This Row],[Date]]="","",IF(tblContractForDeed[[#This Row],[Date]]&lt;cfdRateChangeDate,cfdRate1,cfdRate2))</f>
        <v>7.7499999999999999E-2</v>
      </c>
      <c r="Q1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233.11</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1021.8899999999999</v>
      </c>
      <c r="W149" s="276">
        <f>SUM(INDEX(tblContractForDeed[Princ],1):INDEX(tblContractForDeed[Princ],ROW()-ROW(tblContractForDeed[#Headers])))</f>
        <v>39630</v>
      </c>
      <c r="X149" s="276">
        <f>IF(tblContractForDeed[[#This Row],[Beg]]&lt;=0,0,tblContractForDeed[[#This Row],[Beg]]-tblContractForDeed[[#This Row],[Princ]])</f>
        <v>35628.000000000007</v>
      </c>
      <c r="Y149" s="467">
        <f>IF(INDEX(tblContractForDeed[Payment],ROW()-ROW(tblBuyerOutputs[#Headers]))=0,0,INDEX(tblContractForDeed[Payment],ROW()-ROW(tblBuyerOutputs[#Headers]))-INDEX(tblSubjectToLoan[Payment],ROW()-ROW(tblBuyerOutputs[#Headers])))</f>
        <v>71.289999999999964</v>
      </c>
      <c r="Z14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117</v>
      </c>
      <c r="AA149"/>
      <c r="AB149" s="14">
        <f>IF(INDEX(tblContractForDeed[Payment],ROW()-ROW(tblBuyerOutputs[#Headers]))=0,0,INDEX(tblContractForDeed[Payment],ROW()-ROW(tblBuyerOutputs[#Headers]))-INDEX(tblSubjectToLoan[Payment],ROW()-ROW(tblBuyerOutputs[#Headers])))-IFERROR(tblBuyerOutputs[[#This Row],[PMI]],0)</f>
        <v>71.289999999999964</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6567.8599999999979</v>
      </c>
      <c r="AD149" s="276">
        <f>IF(INDEX(tblContractForDeed[End Bal],ROW()-ROW(tblBuyerOutputs[#Headers]))&lt;=0,0,($O$6+IF(ROW()=ROW(tblBuyerOutputs[#Headers])+1,0,INDEX(tblBuyerOutputs[Cumul Appr],ROW()-ROW(tblBuyerOutputs[#Headers])-1)))*$AK$2/12)</f>
        <v>0</v>
      </c>
      <c r="AE149" s="276">
        <f>IF(INDEX(tblContractForDeed[End Bal],ROW()-ROW(tblBuyerOutputs[#Headers]))&lt;=0,0,IF(ROW()=ROW(tblBuyerOutputs[#Headers])+1,0,INDEX(tblBuyerOutputs[Cumul Appr],ROW()-ROW(tblBuyerOutputs[#Headers])-1))+tblBuyerOutputs[[#This Row],[Monthly Appr]])</f>
        <v>0</v>
      </c>
    </row>
    <row r="150" spans="1:31" x14ac:dyDescent="0.25">
      <c r="A150" s="613">
        <f t="shared" ref="A150:A213" si="34">IF(K150&lt;=0," ",+A149+30)</f>
        <v>49770</v>
      </c>
      <c r="B150" s="276">
        <f t="shared" si="32"/>
        <v>45357.630000000034</v>
      </c>
      <c r="C150" s="14">
        <f t="shared" si="30"/>
        <v>627.88</v>
      </c>
      <c r="D150" s="14">
        <f t="shared" ref="D150:D213" si="35">+C150-E150</f>
        <v>486.14</v>
      </c>
      <c r="E150" s="14">
        <f t="shared" si="31"/>
        <v>141.74</v>
      </c>
      <c r="F150" s="14">
        <f t="shared" si="29"/>
        <v>134.16999999999999</v>
      </c>
      <c r="G150" s="14">
        <f t="shared" si="29"/>
        <v>188.55</v>
      </c>
      <c r="H150" s="14">
        <f t="shared" si="28"/>
        <v>950.59999999999991</v>
      </c>
      <c r="I150" s="276">
        <f t="shared" ref="I150:I213" si="36">$D150+$I149</f>
        <v>52660.35</v>
      </c>
      <c r="J150" s="276">
        <f t="shared" ref="J150:J213" si="37">$E150+$J149</f>
        <v>29895.77</v>
      </c>
      <c r="K150" s="276">
        <f t="shared" ref="K150:K213" si="38">+B150-D150</f>
        <v>44871.490000000034</v>
      </c>
      <c r="L150" s="394">
        <f t="shared" si="26"/>
        <v>10</v>
      </c>
      <c r="M150" s="394">
        <f t="shared" si="33"/>
        <v>130</v>
      </c>
      <c r="N150" s="613">
        <f>INDEX(tblSubjectToLoan[Date],ROW()-ROW(tblContractForDeed[#Headers]))</f>
        <v>49770</v>
      </c>
      <c r="O150" s="276">
        <f>IF(ROW()=ROW(tblContractForDeed[#Headers])+1,$O$6,IF(INDEX(tblContractForDeed[End Bal],ROW()-ROW(tblContractForDeed[#Headers])-1)&lt;0,0,INDEX(tblContractForDeed[End Bal],ROW()-ROW(tblContractForDeed[#Headers])-1)))</f>
        <v>35628.000000000007</v>
      </c>
      <c r="P150" s="454">
        <f>IF(tblContractForDeed[[#This Row],[Date]]="","",IF(tblContractForDeed[[#This Row],[Date]]&lt;cfdRateChangeDate,cfdRate1,cfdRate2))</f>
        <v>7.7499999999999999E-2</v>
      </c>
      <c r="Q1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0" s="276">
        <f>IF(tblContractForDeed[[#This Row],[Payment]]=0,0,MAX(0,MIN(tblContractForDeed[[#This Row],[Beg]],tblContractForDeed[[#This Row],[Payment]]-tblContractForDeed[[#This Row],[Int]])))</f>
        <v>469.06999999999994</v>
      </c>
      <c r="S150" s="276">
        <f>IF(OR(tblContractForDeed[[#This Row],[Date]]&lt;cfdContractDate,tblContractForDeed[[#This Row],[Date]]&gt;cfdEndDate),0,ROUND(tblContractForDeed[[#This Row],[Beg]]*(tblContractForDeed[[#This Row],[Int Rate]]/12),2))</f>
        <v>230.1</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1021.8899999999999</v>
      </c>
      <c r="W150" s="276">
        <f>SUM(INDEX(tblContractForDeed[Princ],1):INDEX(tblContractForDeed[Princ],ROW()-ROW(tblContractForDeed[#Headers])))</f>
        <v>40099.07</v>
      </c>
      <c r="X150" s="276">
        <f>IF(tblContractForDeed[[#This Row],[Beg]]&lt;=0,0,tblContractForDeed[[#This Row],[Beg]]-tblContractForDeed[[#This Row],[Princ]])</f>
        <v>35158.930000000008</v>
      </c>
      <c r="Y150" s="467">
        <f>IF(INDEX(tblContractForDeed[Payment],ROW()-ROW(tblBuyerOutputs[#Headers]))=0,0,INDEX(tblContractForDeed[Payment],ROW()-ROW(tblBuyerOutputs[#Headers]))-INDEX(tblSubjectToLoan[Payment],ROW()-ROW(tblBuyerOutputs[#Headers])))</f>
        <v>71.289999999999964</v>
      </c>
      <c r="Z15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118</v>
      </c>
      <c r="AA150"/>
      <c r="AB150" s="14">
        <f>IF(INDEX(tblContractForDeed[Payment],ROW()-ROW(tblBuyerOutputs[#Headers]))=0,0,INDEX(tblContractForDeed[Payment],ROW()-ROW(tblBuyerOutputs[#Headers]))-INDEX(tblSubjectToLoan[Payment],ROW()-ROW(tblBuyerOutputs[#Headers])))-IFERROR(tblBuyerOutputs[[#This Row],[PMI]],0)</f>
        <v>71.289999999999964</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6639.1499999999978</v>
      </c>
      <c r="AD150" s="276">
        <f>IF(INDEX(tblContractForDeed[End Bal],ROW()-ROW(tblBuyerOutputs[#Headers]))&lt;=0,0,($O$6+IF(ROW()=ROW(tblBuyerOutputs[#Headers])+1,0,INDEX(tblBuyerOutputs[Cumul Appr],ROW()-ROW(tblBuyerOutputs[#Headers])-1)))*$AK$2/12)</f>
        <v>0</v>
      </c>
      <c r="AE150" s="276">
        <f>IF(INDEX(tblContractForDeed[End Bal],ROW()-ROW(tblBuyerOutputs[#Headers]))&lt;=0,0,IF(ROW()=ROW(tblBuyerOutputs[#Headers])+1,0,INDEX(tblBuyerOutputs[Cumul Appr],ROW()-ROW(tblBuyerOutputs[#Headers])-1))+tblBuyerOutputs[[#This Row],[Monthly Appr]])</f>
        <v>0</v>
      </c>
    </row>
    <row r="151" spans="1:31" ht="15.75" thickBot="1" x14ac:dyDescent="0.3">
      <c r="A151" s="615">
        <f t="shared" si="34"/>
        <v>49800</v>
      </c>
      <c r="B151" s="332">
        <f t="shared" si="32"/>
        <v>44871.490000000034</v>
      </c>
      <c r="C151" s="21">
        <f t="shared" si="30"/>
        <v>627.88</v>
      </c>
      <c r="D151" s="21">
        <f t="shared" si="35"/>
        <v>487.65999999999997</v>
      </c>
      <c r="E151" s="21">
        <f t="shared" si="31"/>
        <v>140.22</v>
      </c>
      <c r="F151" s="21">
        <f t="shared" si="29"/>
        <v>134.16999999999999</v>
      </c>
      <c r="G151" s="21">
        <f t="shared" si="29"/>
        <v>188.55</v>
      </c>
      <c r="H151" s="21">
        <f t="shared" si="28"/>
        <v>950.59999999999991</v>
      </c>
      <c r="I151" s="332">
        <f t="shared" si="36"/>
        <v>53148.01</v>
      </c>
      <c r="J151" s="332">
        <f t="shared" si="37"/>
        <v>30035.99</v>
      </c>
      <c r="K151" s="332">
        <f t="shared" si="38"/>
        <v>44383.830000000031</v>
      </c>
      <c r="L151" s="395">
        <f t="shared" si="26"/>
        <v>10</v>
      </c>
      <c r="M151" s="395">
        <f t="shared" si="33"/>
        <v>131</v>
      </c>
      <c r="N151" s="615">
        <f>INDEX(tblSubjectToLoan[Date],ROW()-ROW(tblContractForDeed[#Headers]))</f>
        <v>49800</v>
      </c>
      <c r="O151" s="332">
        <f>IF(ROW()=ROW(tblContractForDeed[#Headers])+1,$O$6,IF(INDEX(tblContractForDeed[End Bal],ROW()-ROW(tblContractForDeed[#Headers])-1)&lt;0,0,INDEX(tblContractForDeed[End Bal],ROW()-ROW(tblContractForDeed[#Headers])-1)))</f>
        <v>35158.930000000008</v>
      </c>
      <c r="P151" s="454">
        <f>IF(tblContractForDeed[[#This Row],[Date]]="","",IF(tblContractForDeed[[#This Row],[Date]]&lt;cfdRateChangeDate,cfdRate1,cfdRate2))</f>
        <v>7.7499999999999999E-2</v>
      </c>
      <c r="Q1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1" s="332">
        <f>IF(tblContractForDeed[[#This Row],[Payment]]=0,0,MAX(0,MIN(tblContractForDeed[[#This Row],[Beg]],tblContractForDeed[[#This Row],[Payment]]-tblContractForDeed[[#This Row],[Int]])))</f>
        <v>472.09999999999997</v>
      </c>
      <c r="S151" s="332">
        <f>IF(OR(tblContractForDeed[[#This Row],[Date]]&lt;cfdContractDate,tblContractForDeed[[#This Row],[Date]]&gt;cfdEndDate),0,ROUND(tblContractForDeed[[#This Row],[Beg]]*(tblContractForDeed[[#This Row],[Int Rate]]/12),2))</f>
        <v>227.07</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1021.8899999999999</v>
      </c>
      <c r="W151" s="332">
        <f>SUM(INDEX(tblContractForDeed[Princ],1):INDEX(tblContractForDeed[Princ],ROW()-ROW(tblContractForDeed[#Headers])))</f>
        <v>40571.17</v>
      </c>
      <c r="X151" s="332">
        <f>IF(tblContractForDeed[[#This Row],[Beg]]&lt;=0,0,tblContractForDeed[[#This Row],[Beg]]-tblContractForDeed[[#This Row],[Princ]])</f>
        <v>34686.830000000009</v>
      </c>
      <c r="Y151" s="468">
        <f>IF(INDEX(tblContractForDeed[Payment],ROW()-ROW(tblBuyerOutputs[#Headers]))=0,0,INDEX(tblContractForDeed[Payment],ROW()-ROW(tblBuyerOutputs[#Headers]))-INDEX(tblSubjectToLoan[Payment],ROW()-ROW(tblBuyerOutputs[#Headers])))</f>
        <v>71.289999999999964</v>
      </c>
      <c r="Z15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119</v>
      </c>
      <c r="AA151" s="23"/>
      <c r="AB151" s="21">
        <f>IF(INDEX(tblContractForDeed[Payment],ROW()-ROW(tblBuyerOutputs[#Headers]))=0,0,INDEX(tblContractForDeed[Payment],ROW()-ROW(tblBuyerOutputs[#Headers]))-INDEX(tblSubjectToLoan[Payment],ROW()-ROW(tblBuyerOutputs[#Headers])))-IFERROR(tblBuyerOutputs[[#This Row],[PMI]],0)</f>
        <v>71.289999999999964</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6710.4399999999978</v>
      </c>
      <c r="AD151" s="332">
        <f>IF(INDEX(tblContractForDeed[End Bal],ROW()-ROW(tblBuyerOutputs[#Headers]))&lt;=0,0,($O$6+IF(ROW()=ROW(tblBuyerOutputs[#Headers])+1,0,INDEX(tblBuyerOutputs[Cumul Appr],ROW()-ROW(tblBuyerOutputs[#Headers])-1)))*$AK$2/12)</f>
        <v>0</v>
      </c>
      <c r="AE151" s="332">
        <f>IF(INDEX(tblContractForDeed[End Bal],ROW()-ROW(tblBuyerOutputs[#Headers]))&lt;=0,0,IF(ROW()=ROW(tblBuyerOutputs[#Headers])+1,0,INDEX(tblBuyerOutputs[Cumul Appr],ROW()-ROW(tblBuyerOutputs[#Headers])-1))+tblBuyerOutputs[[#This Row],[Monthly Appr]])</f>
        <v>0</v>
      </c>
    </row>
    <row r="152" spans="1:31" x14ac:dyDescent="0.25">
      <c r="A152" s="613">
        <f t="shared" si="34"/>
        <v>49830</v>
      </c>
      <c r="B152" s="276">
        <f t="shared" si="32"/>
        <v>44383.830000000031</v>
      </c>
      <c r="C152" s="14">
        <f t="shared" si="30"/>
        <v>627.88</v>
      </c>
      <c r="D152" s="14">
        <f t="shared" si="35"/>
        <v>489.18</v>
      </c>
      <c r="E152" s="14">
        <f t="shared" si="31"/>
        <v>138.69999999999999</v>
      </c>
      <c r="F152" s="14">
        <f t="shared" si="29"/>
        <v>134.16999999999999</v>
      </c>
      <c r="G152" s="14">
        <f t="shared" si="29"/>
        <v>188.55</v>
      </c>
      <c r="H152" s="14">
        <f t="shared" si="28"/>
        <v>950.59999999999991</v>
      </c>
      <c r="I152" s="276">
        <f t="shared" si="36"/>
        <v>53637.19</v>
      </c>
      <c r="J152" s="276">
        <f t="shared" si="37"/>
        <v>30174.690000000002</v>
      </c>
      <c r="K152" s="276">
        <f t="shared" si="38"/>
        <v>43894.650000000031</v>
      </c>
      <c r="L152" s="394">
        <f t="shared" si="26"/>
        <v>11</v>
      </c>
      <c r="M152" s="394">
        <f t="shared" si="33"/>
        <v>132</v>
      </c>
      <c r="N152" s="613">
        <f>INDEX(tblSubjectToLoan[Date],ROW()-ROW(tblContractForDeed[#Headers]))</f>
        <v>49830</v>
      </c>
      <c r="O152" s="276">
        <f>IF(ROW()=ROW(tblContractForDeed[#Headers])+1,$O$6,IF(INDEX(tblContractForDeed[End Bal],ROW()-ROW(tblContractForDeed[#Headers])-1)&lt;0,0,INDEX(tblContractForDeed[End Bal],ROW()-ROW(tblContractForDeed[#Headers])-1)))</f>
        <v>34686.830000000009</v>
      </c>
      <c r="P152" s="454">
        <f>IF(tblContractForDeed[[#This Row],[Date]]="","",IF(tblContractForDeed[[#This Row],[Date]]&lt;cfdRateChangeDate,cfdRate1,cfdRate2))</f>
        <v>7.7499999999999999E-2</v>
      </c>
      <c r="Q1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2" s="276">
        <f>IF(tblContractForDeed[[#This Row],[Payment]]=0,0,MAX(0,MIN(tblContractForDeed[[#This Row],[Beg]],tblContractForDeed[[#This Row],[Payment]]-tblContractForDeed[[#This Row],[Int]])))</f>
        <v>475.15</v>
      </c>
      <c r="S152" s="276">
        <f>IF(OR(tblContractForDeed[[#This Row],[Date]]&lt;cfdContractDate,tblContractForDeed[[#This Row],[Date]]&gt;cfdEndDate),0,ROUND(tblContractForDeed[[#This Row],[Beg]]*(tblContractForDeed[[#This Row],[Int Rate]]/12),2))</f>
        <v>224.02</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1021.8899999999999</v>
      </c>
      <c r="W152" s="276">
        <f>SUM(INDEX(tblContractForDeed[Princ],1):INDEX(tblContractForDeed[Princ],ROW()-ROW(tblContractForDeed[#Headers])))</f>
        <v>41046.32</v>
      </c>
      <c r="X152" s="276">
        <f>IF(tblContractForDeed[[#This Row],[Beg]]&lt;=0,0,tblContractForDeed[[#This Row],[Beg]]-tblContractForDeed[[#This Row],[Princ]])</f>
        <v>34211.680000000008</v>
      </c>
      <c r="Y152" s="467">
        <f>IF(INDEX(tblContractForDeed[Payment],ROW()-ROW(tblBuyerOutputs[#Headers]))=0,0,INDEX(tblContractForDeed[Payment],ROW()-ROW(tblBuyerOutputs[#Headers]))-INDEX(tblSubjectToLoan[Payment],ROW()-ROW(tblBuyerOutputs[#Headers])))</f>
        <v>71.289999999999964</v>
      </c>
      <c r="Z15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120</v>
      </c>
      <c r="AA152"/>
      <c r="AB152" s="14">
        <f>IF(INDEX(tblContractForDeed[Payment],ROW()-ROW(tblBuyerOutputs[#Headers]))=0,0,INDEX(tblContractForDeed[Payment],ROW()-ROW(tblBuyerOutputs[#Headers]))-INDEX(tblSubjectToLoan[Payment],ROW()-ROW(tblBuyerOutputs[#Headers])))-IFERROR(tblBuyerOutputs[[#This Row],[PMI]],0)</f>
        <v>71.289999999999964</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6781.7299999999977</v>
      </c>
      <c r="AD152" s="276">
        <f>IF(INDEX(tblContractForDeed[End Bal],ROW()-ROW(tblBuyerOutputs[#Headers]))&lt;=0,0,($O$6+IF(ROW()=ROW(tblBuyerOutputs[#Headers])+1,0,INDEX(tblBuyerOutputs[Cumul Appr],ROW()-ROW(tblBuyerOutputs[#Headers])-1)))*$AK$2/12)</f>
        <v>0</v>
      </c>
      <c r="AE152" s="276">
        <f>IF(INDEX(tblContractForDeed[End Bal],ROW()-ROW(tblBuyerOutputs[#Headers]))&lt;=0,0,IF(ROW()=ROW(tblBuyerOutputs[#Headers])+1,0,INDEX(tblBuyerOutputs[Cumul Appr],ROW()-ROW(tblBuyerOutputs[#Headers])-1))+tblBuyerOutputs[[#This Row],[Monthly Appr]])</f>
        <v>0</v>
      </c>
    </row>
    <row r="153" spans="1:31" x14ac:dyDescent="0.25">
      <c r="A153" s="613">
        <f t="shared" si="34"/>
        <v>49860</v>
      </c>
      <c r="B153" s="276">
        <f t="shared" si="32"/>
        <v>43894.650000000031</v>
      </c>
      <c r="C153" s="14">
        <f t="shared" si="30"/>
        <v>627.88</v>
      </c>
      <c r="D153" s="14">
        <f t="shared" si="35"/>
        <v>490.71000000000004</v>
      </c>
      <c r="E153" s="14">
        <f t="shared" si="31"/>
        <v>137.16999999999999</v>
      </c>
      <c r="F153" s="14">
        <f t="shared" si="29"/>
        <v>134.16999999999999</v>
      </c>
      <c r="G153" s="14">
        <f t="shared" si="29"/>
        <v>188.55</v>
      </c>
      <c r="H153" s="14">
        <f t="shared" si="28"/>
        <v>950.59999999999991</v>
      </c>
      <c r="I153" s="276">
        <f t="shared" si="36"/>
        <v>54127.9</v>
      </c>
      <c r="J153" s="276">
        <f t="shared" si="37"/>
        <v>30311.86</v>
      </c>
      <c r="K153" s="276">
        <f t="shared" si="38"/>
        <v>43403.940000000031</v>
      </c>
      <c r="L153" s="394">
        <f t="shared" si="26"/>
        <v>11</v>
      </c>
      <c r="M153" s="394">
        <f t="shared" si="33"/>
        <v>133</v>
      </c>
      <c r="N153" s="613">
        <f>INDEX(tblSubjectToLoan[Date],ROW()-ROW(tblContractForDeed[#Headers]))</f>
        <v>49860</v>
      </c>
      <c r="O153" s="276">
        <f>IF(ROW()=ROW(tblContractForDeed[#Headers])+1,$O$6,IF(INDEX(tblContractForDeed[End Bal],ROW()-ROW(tblContractForDeed[#Headers])-1)&lt;0,0,INDEX(tblContractForDeed[End Bal],ROW()-ROW(tblContractForDeed[#Headers])-1)))</f>
        <v>34211.680000000008</v>
      </c>
      <c r="P153" s="454">
        <f>IF(tblContractForDeed[[#This Row],[Date]]="","",IF(tblContractForDeed[[#This Row],[Date]]&lt;cfdRateChangeDate,cfdRate1,cfdRate2))</f>
        <v>7.7499999999999999E-2</v>
      </c>
      <c r="Q1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3" s="276">
        <f>IF(tblContractForDeed[[#This Row],[Payment]]=0,0,MAX(0,MIN(tblContractForDeed[[#This Row],[Beg]],tblContractForDeed[[#This Row],[Payment]]-tblContractForDeed[[#This Row],[Int]])))</f>
        <v>478.21999999999997</v>
      </c>
      <c r="S153" s="276">
        <f>IF(OR(tblContractForDeed[[#This Row],[Date]]&lt;cfdContractDate,tblContractForDeed[[#This Row],[Date]]&gt;cfdEndDate),0,ROUND(tblContractForDeed[[#This Row],[Beg]]*(tblContractForDeed[[#This Row],[Int Rate]]/12),2))</f>
        <v>220.95</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1021.8899999999999</v>
      </c>
      <c r="W153" s="276">
        <f>SUM(INDEX(tblContractForDeed[Princ],1):INDEX(tblContractForDeed[Princ],ROW()-ROW(tblContractForDeed[#Headers])))</f>
        <v>41524.54</v>
      </c>
      <c r="X153" s="276">
        <f>IF(tblContractForDeed[[#This Row],[Beg]]&lt;=0,0,tblContractForDeed[[#This Row],[Beg]]-tblContractForDeed[[#This Row],[Princ]])</f>
        <v>33733.460000000006</v>
      </c>
      <c r="Y153" s="467">
        <f>IF(INDEX(tblContractForDeed[Payment],ROW()-ROW(tblBuyerOutputs[#Headers]))=0,0,INDEX(tblContractForDeed[Payment],ROW()-ROW(tblBuyerOutputs[#Headers]))-INDEX(tblSubjectToLoan[Payment],ROW()-ROW(tblBuyerOutputs[#Headers])))</f>
        <v>71.289999999999964</v>
      </c>
      <c r="Z15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121</v>
      </c>
      <c r="AA153"/>
      <c r="AB153" s="14">
        <f>IF(INDEX(tblContractForDeed[Payment],ROW()-ROW(tblBuyerOutputs[#Headers]))=0,0,INDEX(tblContractForDeed[Payment],ROW()-ROW(tblBuyerOutputs[#Headers]))-INDEX(tblSubjectToLoan[Payment],ROW()-ROW(tblBuyerOutputs[#Headers])))-IFERROR(tblBuyerOutputs[[#This Row],[PMI]],0)</f>
        <v>71.289999999999964</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6853.0199999999977</v>
      </c>
      <c r="AD153" s="276">
        <f>IF(INDEX(tblContractForDeed[End Bal],ROW()-ROW(tblBuyerOutputs[#Headers]))&lt;=0,0,($O$6+IF(ROW()=ROW(tblBuyerOutputs[#Headers])+1,0,INDEX(tblBuyerOutputs[Cumul Appr],ROW()-ROW(tblBuyerOutputs[#Headers])-1)))*$AK$2/12)</f>
        <v>0</v>
      </c>
      <c r="AE153" s="276">
        <f>IF(INDEX(tblContractForDeed[End Bal],ROW()-ROW(tblBuyerOutputs[#Headers]))&lt;=0,0,IF(ROW()=ROW(tblBuyerOutputs[#Headers])+1,0,INDEX(tblBuyerOutputs[Cumul Appr],ROW()-ROW(tblBuyerOutputs[#Headers])-1))+tblBuyerOutputs[[#This Row],[Monthly Appr]])</f>
        <v>0</v>
      </c>
    </row>
    <row r="154" spans="1:31" x14ac:dyDescent="0.25">
      <c r="A154" s="613">
        <f t="shared" si="34"/>
        <v>49890</v>
      </c>
      <c r="B154" s="276">
        <f t="shared" si="32"/>
        <v>43403.940000000031</v>
      </c>
      <c r="C154" s="14">
        <f t="shared" si="30"/>
        <v>627.88</v>
      </c>
      <c r="D154" s="14">
        <f t="shared" si="35"/>
        <v>492.24</v>
      </c>
      <c r="E154" s="14">
        <f t="shared" si="31"/>
        <v>135.63999999999999</v>
      </c>
      <c r="F154" s="14">
        <f t="shared" si="29"/>
        <v>134.16999999999999</v>
      </c>
      <c r="G154" s="14">
        <f t="shared" si="29"/>
        <v>188.55</v>
      </c>
      <c r="H154" s="14">
        <f t="shared" si="28"/>
        <v>950.59999999999991</v>
      </c>
      <c r="I154" s="276">
        <f t="shared" si="36"/>
        <v>54620.14</v>
      </c>
      <c r="J154" s="276">
        <f t="shared" si="37"/>
        <v>30447.5</v>
      </c>
      <c r="K154" s="276">
        <f t="shared" si="38"/>
        <v>42911.700000000033</v>
      </c>
      <c r="L154" s="394">
        <f t="shared" si="26"/>
        <v>11</v>
      </c>
      <c r="M154" s="394">
        <f t="shared" si="33"/>
        <v>134</v>
      </c>
      <c r="N154" s="613">
        <f>INDEX(tblSubjectToLoan[Date],ROW()-ROW(tblContractForDeed[#Headers]))</f>
        <v>49890</v>
      </c>
      <c r="O154" s="276">
        <f>IF(ROW()=ROW(tblContractForDeed[#Headers])+1,$O$6,IF(INDEX(tblContractForDeed[End Bal],ROW()-ROW(tblContractForDeed[#Headers])-1)&lt;0,0,INDEX(tblContractForDeed[End Bal],ROW()-ROW(tblContractForDeed[#Headers])-1)))</f>
        <v>33733.460000000006</v>
      </c>
      <c r="P154" s="454">
        <f>IF(tblContractForDeed[[#This Row],[Date]]="","",IF(tblContractForDeed[[#This Row],[Date]]&lt;cfdRateChangeDate,cfdRate1,cfdRate2))</f>
        <v>7.7499999999999999E-2</v>
      </c>
      <c r="Q1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4" s="276">
        <f>IF(tblContractForDeed[[#This Row],[Payment]]=0,0,MAX(0,MIN(tblContractForDeed[[#This Row],[Beg]],tblContractForDeed[[#This Row],[Payment]]-tblContractForDeed[[#This Row],[Int]])))</f>
        <v>481.30999999999995</v>
      </c>
      <c r="S154" s="276">
        <f>IF(OR(tblContractForDeed[[#This Row],[Date]]&lt;cfdContractDate,tblContractForDeed[[#This Row],[Date]]&gt;cfdEndDate),0,ROUND(tblContractForDeed[[#This Row],[Beg]]*(tblContractForDeed[[#This Row],[Int Rate]]/12),2))</f>
        <v>217.86</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1021.8899999999999</v>
      </c>
      <c r="W154" s="276">
        <f>SUM(INDEX(tblContractForDeed[Princ],1):INDEX(tblContractForDeed[Princ],ROW()-ROW(tblContractForDeed[#Headers])))</f>
        <v>42005.85</v>
      </c>
      <c r="X154" s="276">
        <f>IF(tblContractForDeed[[#This Row],[Beg]]&lt;=0,0,tblContractForDeed[[#This Row],[Beg]]-tblContractForDeed[[#This Row],[Princ]])</f>
        <v>33252.150000000009</v>
      </c>
      <c r="Y154" s="467">
        <f>IF(INDEX(tblContractForDeed[Payment],ROW()-ROW(tblBuyerOutputs[#Headers]))=0,0,INDEX(tblContractForDeed[Payment],ROW()-ROW(tblBuyerOutputs[#Headers]))-INDEX(tblSubjectToLoan[Payment],ROW()-ROW(tblBuyerOutputs[#Headers])))</f>
        <v>71.289999999999964</v>
      </c>
      <c r="Z15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122</v>
      </c>
      <c r="AA154"/>
      <c r="AB154" s="14">
        <f>IF(INDEX(tblContractForDeed[Payment],ROW()-ROW(tblBuyerOutputs[#Headers]))=0,0,INDEX(tblContractForDeed[Payment],ROW()-ROW(tblBuyerOutputs[#Headers]))-INDEX(tblSubjectToLoan[Payment],ROW()-ROW(tblBuyerOutputs[#Headers])))-IFERROR(tblBuyerOutputs[[#This Row],[PMI]],0)</f>
        <v>71.289999999999964</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6924.3099999999977</v>
      </c>
      <c r="AD154" s="276">
        <f>IF(INDEX(tblContractForDeed[End Bal],ROW()-ROW(tblBuyerOutputs[#Headers]))&lt;=0,0,($O$6+IF(ROW()=ROW(tblBuyerOutputs[#Headers])+1,0,INDEX(tblBuyerOutputs[Cumul Appr],ROW()-ROW(tblBuyerOutputs[#Headers])-1)))*$AK$2/12)</f>
        <v>0</v>
      </c>
      <c r="AE154" s="276">
        <f>IF(INDEX(tblContractForDeed[End Bal],ROW()-ROW(tblBuyerOutputs[#Headers]))&lt;=0,0,IF(ROW()=ROW(tblBuyerOutputs[#Headers])+1,0,INDEX(tblBuyerOutputs[Cumul Appr],ROW()-ROW(tblBuyerOutputs[#Headers])-1))+tblBuyerOutputs[[#This Row],[Monthly Appr]])</f>
        <v>0</v>
      </c>
    </row>
    <row r="155" spans="1:31" x14ac:dyDescent="0.25">
      <c r="A155" s="613">
        <f t="shared" si="34"/>
        <v>49920</v>
      </c>
      <c r="B155" s="276">
        <f t="shared" si="32"/>
        <v>42911.700000000033</v>
      </c>
      <c r="C155" s="14">
        <f t="shared" si="30"/>
        <v>627.88</v>
      </c>
      <c r="D155" s="14">
        <f t="shared" si="35"/>
        <v>493.78</v>
      </c>
      <c r="E155" s="14">
        <f t="shared" si="31"/>
        <v>134.1</v>
      </c>
      <c r="F155" s="14">
        <f t="shared" si="29"/>
        <v>134.16999999999999</v>
      </c>
      <c r="G155" s="14">
        <f t="shared" si="29"/>
        <v>188.55</v>
      </c>
      <c r="H155" s="14">
        <f t="shared" si="28"/>
        <v>950.59999999999991</v>
      </c>
      <c r="I155" s="276">
        <f t="shared" si="36"/>
        <v>55113.919999999998</v>
      </c>
      <c r="J155" s="276">
        <f t="shared" si="37"/>
        <v>30581.599999999999</v>
      </c>
      <c r="K155" s="276">
        <f t="shared" si="38"/>
        <v>42417.920000000035</v>
      </c>
      <c r="L155" s="394">
        <f t="shared" si="26"/>
        <v>11</v>
      </c>
      <c r="M155" s="394">
        <f t="shared" si="33"/>
        <v>135</v>
      </c>
      <c r="N155" s="613">
        <f>INDEX(tblSubjectToLoan[Date],ROW()-ROW(tblContractForDeed[#Headers]))</f>
        <v>49920</v>
      </c>
      <c r="O155" s="276">
        <f>IF(ROW()=ROW(tblContractForDeed[#Headers])+1,$O$6,IF(INDEX(tblContractForDeed[End Bal],ROW()-ROW(tblContractForDeed[#Headers])-1)&lt;0,0,INDEX(tblContractForDeed[End Bal],ROW()-ROW(tblContractForDeed[#Headers])-1)))</f>
        <v>33252.150000000009</v>
      </c>
      <c r="P155" s="454">
        <f>IF(tblContractForDeed[[#This Row],[Date]]="","",IF(tblContractForDeed[[#This Row],[Date]]&lt;cfdRateChangeDate,cfdRate1,cfdRate2))</f>
        <v>7.7499999999999999E-2</v>
      </c>
      <c r="Q1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5" s="276">
        <f>IF(tblContractForDeed[[#This Row],[Payment]]=0,0,MAX(0,MIN(tblContractForDeed[[#This Row],[Beg]],tblContractForDeed[[#This Row],[Payment]]-tblContractForDeed[[#This Row],[Int]])))</f>
        <v>484.41999999999996</v>
      </c>
      <c r="S155" s="276">
        <f>IF(OR(tblContractForDeed[[#This Row],[Date]]&lt;cfdContractDate,tblContractForDeed[[#This Row],[Date]]&gt;cfdEndDate),0,ROUND(tblContractForDeed[[#This Row],[Beg]]*(tblContractForDeed[[#This Row],[Int Rate]]/12),2))</f>
        <v>214.75</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1021.8899999999999</v>
      </c>
      <c r="W155" s="276">
        <f>SUM(INDEX(tblContractForDeed[Princ],1):INDEX(tblContractForDeed[Princ],ROW()-ROW(tblContractForDeed[#Headers])))</f>
        <v>42490.27</v>
      </c>
      <c r="X155" s="276">
        <f>IF(tblContractForDeed[[#This Row],[Beg]]&lt;=0,0,tblContractForDeed[[#This Row],[Beg]]-tblContractForDeed[[#This Row],[Princ]])</f>
        <v>32767.73000000001</v>
      </c>
      <c r="Y155" s="467">
        <f>IF(INDEX(tblContractForDeed[Payment],ROW()-ROW(tblBuyerOutputs[#Headers]))=0,0,INDEX(tblContractForDeed[Payment],ROW()-ROW(tblBuyerOutputs[#Headers]))-INDEX(tblSubjectToLoan[Payment],ROW()-ROW(tblBuyerOutputs[#Headers])))</f>
        <v>71.289999999999964</v>
      </c>
      <c r="Z15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123</v>
      </c>
      <c r="AA155"/>
      <c r="AB155" s="14">
        <f>IF(INDEX(tblContractForDeed[Payment],ROW()-ROW(tblBuyerOutputs[#Headers]))=0,0,INDEX(tblContractForDeed[Payment],ROW()-ROW(tblBuyerOutputs[#Headers]))-INDEX(tblSubjectToLoan[Payment],ROW()-ROW(tblBuyerOutputs[#Headers])))-IFERROR(tblBuyerOutputs[[#This Row],[PMI]],0)</f>
        <v>71.289999999999964</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6995.5999999999976</v>
      </c>
      <c r="AD155" s="276">
        <f>IF(INDEX(tblContractForDeed[End Bal],ROW()-ROW(tblBuyerOutputs[#Headers]))&lt;=0,0,($O$6+IF(ROW()=ROW(tblBuyerOutputs[#Headers])+1,0,INDEX(tblBuyerOutputs[Cumul Appr],ROW()-ROW(tblBuyerOutputs[#Headers])-1)))*$AK$2/12)</f>
        <v>0</v>
      </c>
      <c r="AE155" s="276">
        <f>IF(INDEX(tblContractForDeed[End Bal],ROW()-ROW(tblBuyerOutputs[#Headers]))&lt;=0,0,IF(ROW()=ROW(tblBuyerOutputs[#Headers])+1,0,INDEX(tblBuyerOutputs[Cumul Appr],ROW()-ROW(tblBuyerOutputs[#Headers])-1))+tblBuyerOutputs[[#This Row],[Monthly Appr]])</f>
        <v>0</v>
      </c>
    </row>
    <row r="156" spans="1:31" x14ac:dyDescent="0.25">
      <c r="A156" s="613">
        <f t="shared" si="34"/>
        <v>49950</v>
      </c>
      <c r="B156" s="276">
        <f t="shared" si="32"/>
        <v>42417.920000000035</v>
      </c>
      <c r="C156" s="14">
        <f t="shared" si="30"/>
        <v>627.88</v>
      </c>
      <c r="D156" s="14">
        <f t="shared" si="35"/>
        <v>495.32</v>
      </c>
      <c r="E156" s="14">
        <f t="shared" si="31"/>
        <v>132.56</v>
      </c>
      <c r="F156" s="14">
        <f t="shared" si="29"/>
        <v>134.16999999999999</v>
      </c>
      <c r="G156" s="14">
        <f t="shared" si="29"/>
        <v>188.55</v>
      </c>
      <c r="H156" s="14">
        <f t="shared" si="28"/>
        <v>950.59999999999991</v>
      </c>
      <c r="I156" s="276">
        <f t="shared" si="36"/>
        <v>55609.24</v>
      </c>
      <c r="J156" s="276">
        <f t="shared" si="37"/>
        <v>30714.16</v>
      </c>
      <c r="K156" s="276">
        <f t="shared" si="38"/>
        <v>41922.600000000035</v>
      </c>
      <c r="L156" s="394">
        <f t="shared" si="26"/>
        <v>11</v>
      </c>
      <c r="M156" s="394">
        <f t="shared" si="33"/>
        <v>136</v>
      </c>
      <c r="N156" s="613">
        <f>INDEX(tblSubjectToLoan[Date],ROW()-ROW(tblContractForDeed[#Headers]))</f>
        <v>49950</v>
      </c>
      <c r="O156" s="276">
        <f>IF(ROW()=ROW(tblContractForDeed[#Headers])+1,$O$6,IF(INDEX(tblContractForDeed[End Bal],ROW()-ROW(tblContractForDeed[#Headers])-1)&lt;0,0,INDEX(tblContractForDeed[End Bal],ROW()-ROW(tblContractForDeed[#Headers])-1)))</f>
        <v>32767.73000000001</v>
      </c>
      <c r="P156" s="454">
        <f>IF(tblContractForDeed[[#This Row],[Date]]="","",IF(tblContractForDeed[[#This Row],[Date]]&lt;cfdRateChangeDate,cfdRate1,cfdRate2))</f>
        <v>7.7499999999999999E-2</v>
      </c>
      <c r="Q1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6" s="276">
        <f>IF(tblContractForDeed[[#This Row],[Payment]]=0,0,MAX(0,MIN(tblContractForDeed[[#This Row],[Beg]],tblContractForDeed[[#This Row],[Payment]]-tblContractForDeed[[#This Row],[Int]])))</f>
        <v>487.54999999999995</v>
      </c>
      <c r="S156" s="276">
        <f>IF(OR(tblContractForDeed[[#This Row],[Date]]&lt;cfdContractDate,tblContractForDeed[[#This Row],[Date]]&gt;cfdEndDate),0,ROUND(tblContractForDeed[[#This Row],[Beg]]*(tblContractForDeed[[#This Row],[Int Rate]]/12),2))</f>
        <v>211.62</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1021.8899999999999</v>
      </c>
      <c r="W156" s="276">
        <f>SUM(INDEX(tblContractForDeed[Princ],1):INDEX(tblContractForDeed[Princ],ROW()-ROW(tblContractForDeed[#Headers])))</f>
        <v>42977.82</v>
      </c>
      <c r="X156" s="276">
        <f>IF(tblContractForDeed[[#This Row],[Beg]]&lt;=0,0,tblContractForDeed[[#This Row],[Beg]]-tblContractForDeed[[#This Row],[Princ]])</f>
        <v>32280.180000000011</v>
      </c>
      <c r="Y156" s="467">
        <f>IF(INDEX(tblContractForDeed[Payment],ROW()-ROW(tblBuyerOutputs[#Headers]))=0,0,INDEX(tblContractForDeed[Payment],ROW()-ROW(tblBuyerOutputs[#Headers]))-INDEX(tblSubjectToLoan[Payment],ROW()-ROW(tblBuyerOutputs[#Headers])))</f>
        <v>71.289999999999964</v>
      </c>
      <c r="Z15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124</v>
      </c>
      <c r="AA156"/>
      <c r="AB156" s="14">
        <f>IF(INDEX(tblContractForDeed[Payment],ROW()-ROW(tblBuyerOutputs[#Headers]))=0,0,INDEX(tblContractForDeed[Payment],ROW()-ROW(tblBuyerOutputs[#Headers]))-INDEX(tblSubjectToLoan[Payment],ROW()-ROW(tblBuyerOutputs[#Headers])))-IFERROR(tblBuyerOutputs[[#This Row],[PMI]],0)</f>
        <v>71.289999999999964</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7066.8899999999976</v>
      </c>
      <c r="AD156" s="276">
        <f>IF(INDEX(tblContractForDeed[End Bal],ROW()-ROW(tblBuyerOutputs[#Headers]))&lt;=0,0,($O$6+IF(ROW()=ROW(tblBuyerOutputs[#Headers])+1,0,INDEX(tblBuyerOutputs[Cumul Appr],ROW()-ROW(tblBuyerOutputs[#Headers])-1)))*$AK$2/12)</f>
        <v>0</v>
      </c>
      <c r="AE156" s="276">
        <f>IF(INDEX(tblContractForDeed[End Bal],ROW()-ROW(tblBuyerOutputs[#Headers]))&lt;=0,0,IF(ROW()=ROW(tblBuyerOutputs[#Headers])+1,0,INDEX(tblBuyerOutputs[Cumul Appr],ROW()-ROW(tblBuyerOutputs[#Headers])-1))+tblBuyerOutputs[[#This Row],[Monthly Appr]])</f>
        <v>0</v>
      </c>
    </row>
    <row r="157" spans="1:31" x14ac:dyDescent="0.25">
      <c r="A157" s="613">
        <f t="shared" si="34"/>
        <v>49980</v>
      </c>
      <c r="B157" s="276">
        <f t="shared" si="32"/>
        <v>41922.600000000035</v>
      </c>
      <c r="C157" s="14">
        <f t="shared" si="30"/>
        <v>627.88</v>
      </c>
      <c r="D157" s="14">
        <f t="shared" si="35"/>
        <v>496.87</v>
      </c>
      <c r="E157" s="14">
        <f t="shared" si="31"/>
        <v>131.01</v>
      </c>
      <c r="F157" s="14">
        <f t="shared" si="29"/>
        <v>134.16999999999999</v>
      </c>
      <c r="G157" s="14">
        <f t="shared" si="29"/>
        <v>188.55</v>
      </c>
      <c r="H157" s="14">
        <f t="shared" si="28"/>
        <v>950.59999999999991</v>
      </c>
      <c r="I157" s="276">
        <f t="shared" si="36"/>
        <v>56106.11</v>
      </c>
      <c r="J157" s="276">
        <f t="shared" si="37"/>
        <v>30845.17</v>
      </c>
      <c r="K157" s="276">
        <f t="shared" si="38"/>
        <v>41425.730000000032</v>
      </c>
      <c r="L157" s="394">
        <f t="shared" si="26"/>
        <v>11</v>
      </c>
      <c r="M157" s="394">
        <f t="shared" si="33"/>
        <v>137</v>
      </c>
      <c r="N157" s="613">
        <f>INDEX(tblSubjectToLoan[Date],ROW()-ROW(tblContractForDeed[#Headers]))</f>
        <v>49980</v>
      </c>
      <c r="O157" s="276">
        <f>IF(ROW()=ROW(tblContractForDeed[#Headers])+1,$O$6,IF(INDEX(tblContractForDeed[End Bal],ROW()-ROW(tblContractForDeed[#Headers])-1)&lt;0,0,INDEX(tblContractForDeed[End Bal],ROW()-ROW(tblContractForDeed[#Headers])-1)))</f>
        <v>32280.180000000011</v>
      </c>
      <c r="P157" s="454">
        <f>IF(tblContractForDeed[[#This Row],[Date]]="","",IF(tblContractForDeed[[#This Row],[Date]]&lt;cfdRateChangeDate,cfdRate1,cfdRate2))</f>
        <v>7.7499999999999999E-2</v>
      </c>
      <c r="Q1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7" s="276">
        <f>IF(tblContractForDeed[[#This Row],[Payment]]=0,0,MAX(0,MIN(tblContractForDeed[[#This Row],[Beg]],tblContractForDeed[[#This Row],[Payment]]-tblContractForDeed[[#This Row],[Int]])))</f>
        <v>490.68999999999994</v>
      </c>
      <c r="S157" s="276">
        <f>IF(OR(tblContractForDeed[[#This Row],[Date]]&lt;cfdContractDate,tblContractForDeed[[#This Row],[Date]]&gt;cfdEndDate),0,ROUND(tblContractForDeed[[#This Row],[Beg]]*(tblContractForDeed[[#This Row],[Int Rate]]/12),2))</f>
        <v>208.48</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1021.8899999999999</v>
      </c>
      <c r="W157" s="276">
        <f>SUM(INDEX(tblContractForDeed[Princ],1):INDEX(tblContractForDeed[Princ],ROW()-ROW(tblContractForDeed[#Headers])))</f>
        <v>43468.51</v>
      </c>
      <c r="X157" s="276">
        <f>IF(tblContractForDeed[[#This Row],[Beg]]&lt;=0,0,tblContractForDeed[[#This Row],[Beg]]-tblContractForDeed[[#This Row],[Princ]])</f>
        <v>31789.490000000013</v>
      </c>
      <c r="Y157" s="467">
        <f>IF(INDEX(tblContractForDeed[Payment],ROW()-ROW(tblBuyerOutputs[#Headers]))=0,0,INDEX(tblContractForDeed[Payment],ROW()-ROW(tblBuyerOutputs[#Headers]))-INDEX(tblSubjectToLoan[Payment],ROW()-ROW(tblBuyerOutputs[#Headers])))</f>
        <v>71.289999999999964</v>
      </c>
      <c r="Z15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125</v>
      </c>
      <c r="AA157"/>
      <c r="AB157" s="14">
        <f>IF(INDEX(tblContractForDeed[Payment],ROW()-ROW(tblBuyerOutputs[#Headers]))=0,0,INDEX(tblContractForDeed[Payment],ROW()-ROW(tblBuyerOutputs[#Headers]))-INDEX(tblSubjectToLoan[Payment],ROW()-ROW(tblBuyerOutputs[#Headers])))-IFERROR(tblBuyerOutputs[[#This Row],[PMI]],0)</f>
        <v>71.289999999999964</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7138.1799999999976</v>
      </c>
      <c r="AD157" s="276">
        <f>IF(INDEX(tblContractForDeed[End Bal],ROW()-ROW(tblBuyerOutputs[#Headers]))&lt;=0,0,($O$6+IF(ROW()=ROW(tblBuyerOutputs[#Headers])+1,0,INDEX(tblBuyerOutputs[Cumul Appr],ROW()-ROW(tblBuyerOutputs[#Headers])-1)))*$AK$2/12)</f>
        <v>0</v>
      </c>
      <c r="AE157" s="276">
        <f>IF(INDEX(tblContractForDeed[End Bal],ROW()-ROW(tblBuyerOutputs[#Headers]))&lt;=0,0,IF(ROW()=ROW(tblBuyerOutputs[#Headers])+1,0,INDEX(tblBuyerOutputs[Cumul Appr],ROW()-ROW(tblBuyerOutputs[#Headers])-1))+tblBuyerOutputs[[#This Row],[Monthly Appr]])</f>
        <v>0</v>
      </c>
    </row>
    <row r="158" spans="1:31" x14ac:dyDescent="0.25">
      <c r="A158" s="613">
        <f t="shared" si="34"/>
        <v>50010</v>
      </c>
      <c r="B158" s="276">
        <f t="shared" si="32"/>
        <v>41425.730000000032</v>
      </c>
      <c r="C158" s="14">
        <f t="shared" si="30"/>
        <v>627.88</v>
      </c>
      <c r="D158" s="14">
        <f t="shared" si="35"/>
        <v>498.41999999999996</v>
      </c>
      <c r="E158" s="14">
        <f t="shared" si="31"/>
        <v>129.46</v>
      </c>
      <c r="F158" s="14">
        <f t="shared" si="29"/>
        <v>134.16999999999999</v>
      </c>
      <c r="G158" s="14">
        <f t="shared" si="29"/>
        <v>188.55</v>
      </c>
      <c r="H158" s="14">
        <f t="shared" si="28"/>
        <v>950.59999999999991</v>
      </c>
      <c r="I158" s="276">
        <f t="shared" si="36"/>
        <v>56604.53</v>
      </c>
      <c r="J158" s="276">
        <f t="shared" si="37"/>
        <v>30974.629999999997</v>
      </c>
      <c r="K158" s="276">
        <f t="shared" si="38"/>
        <v>40927.310000000034</v>
      </c>
      <c r="L158" s="394">
        <f t="shared" si="26"/>
        <v>11</v>
      </c>
      <c r="M158" s="394">
        <f t="shared" si="33"/>
        <v>138</v>
      </c>
      <c r="N158" s="613">
        <f>INDEX(tblSubjectToLoan[Date],ROW()-ROW(tblContractForDeed[#Headers]))</f>
        <v>50010</v>
      </c>
      <c r="O158" s="276">
        <f>IF(ROW()=ROW(tblContractForDeed[#Headers])+1,$O$6,IF(INDEX(tblContractForDeed[End Bal],ROW()-ROW(tblContractForDeed[#Headers])-1)&lt;0,0,INDEX(tblContractForDeed[End Bal],ROW()-ROW(tblContractForDeed[#Headers])-1)))</f>
        <v>31789.490000000013</v>
      </c>
      <c r="P158" s="454">
        <f>IF(tblContractForDeed[[#This Row],[Date]]="","",IF(tblContractForDeed[[#This Row],[Date]]&lt;cfdRateChangeDate,cfdRate1,cfdRate2))</f>
        <v>7.7499999999999999E-2</v>
      </c>
      <c r="Q1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8" s="276">
        <f>IF(tblContractForDeed[[#This Row],[Payment]]=0,0,MAX(0,MIN(tblContractForDeed[[#This Row],[Beg]],tblContractForDeed[[#This Row],[Payment]]-tblContractForDeed[[#This Row],[Int]])))</f>
        <v>493.85999999999996</v>
      </c>
      <c r="S158" s="276">
        <f>IF(OR(tblContractForDeed[[#This Row],[Date]]&lt;cfdContractDate,tblContractForDeed[[#This Row],[Date]]&gt;cfdEndDate),0,ROUND(tblContractForDeed[[#This Row],[Beg]]*(tblContractForDeed[[#This Row],[Int Rate]]/12),2))</f>
        <v>205.31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1021.8899999999999</v>
      </c>
      <c r="W158" s="276">
        <f>SUM(INDEX(tblContractForDeed[Princ],1):INDEX(tblContractForDeed[Princ],ROW()-ROW(tblContractForDeed[#Headers])))</f>
        <v>43962.37</v>
      </c>
      <c r="X158" s="276">
        <f>IF(tblContractForDeed[[#This Row],[Beg]]&lt;=0,0,tblContractForDeed[[#This Row],[Beg]]-tblContractForDeed[[#This Row],[Princ]])</f>
        <v>31295.630000000012</v>
      </c>
      <c r="Y158" s="467">
        <f>IF(INDEX(tblContractForDeed[Payment],ROW()-ROW(tblBuyerOutputs[#Headers]))=0,0,INDEX(tblContractForDeed[Payment],ROW()-ROW(tblBuyerOutputs[#Headers]))-INDEX(tblSubjectToLoan[Payment],ROW()-ROW(tblBuyerOutputs[#Headers])))</f>
        <v>71.289999999999964</v>
      </c>
      <c r="Z15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126</v>
      </c>
      <c r="AA158"/>
      <c r="AB158" s="14">
        <f>IF(INDEX(tblContractForDeed[Payment],ROW()-ROW(tblBuyerOutputs[#Headers]))=0,0,INDEX(tblContractForDeed[Payment],ROW()-ROW(tblBuyerOutputs[#Headers]))-INDEX(tblSubjectToLoan[Payment],ROW()-ROW(tblBuyerOutputs[#Headers])))-IFERROR(tblBuyerOutputs[[#This Row],[PMI]],0)</f>
        <v>71.289999999999964</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7209.4699999999975</v>
      </c>
      <c r="AD158" s="276">
        <f>IF(INDEX(tblContractForDeed[End Bal],ROW()-ROW(tblBuyerOutputs[#Headers]))&lt;=0,0,($O$6+IF(ROW()=ROW(tblBuyerOutputs[#Headers])+1,0,INDEX(tblBuyerOutputs[Cumul Appr],ROW()-ROW(tblBuyerOutputs[#Headers])-1)))*$AK$2/12)</f>
        <v>0</v>
      </c>
      <c r="AE158" s="276">
        <f>IF(INDEX(tblContractForDeed[End Bal],ROW()-ROW(tblBuyerOutputs[#Headers]))&lt;=0,0,IF(ROW()=ROW(tblBuyerOutputs[#Headers])+1,0,INDEX(tblBuyerOutputs[Cumul Appr],ROW()-ROW(tblBuyerOutputs[#Headers])-1))+tblBuyerOutputs[[#This Row],[Monthly Appr]])</f>
        <v>0</v>
      </c>
    </row>
    <row r="159" spans="1:31" x14ac:dyDescent="0.25">
      <c r="A159" s="613">
        <f t="shared" si="34"/>
        <v>50040</v>
      </c>
      <c r="B159" s="276">
        <f t="shared" si="32"/>
        <v>40927.310000000034</v>
      </c>
      <c r="C159" s="14">
        <f t="shared" si="30"/>
        <v>627.88</v>
      </c>
      <c r="D159" s="14">
        <f t="shared" si="35"/>
        <v>499.98</v>
      </c>
      <c r="E159" s="14">
        <f t="shared" si="31"/>
        <v>127.9</v>
      </c>
      <c r="F159" s="14">
        <f t="shared" ref="F159:G174" si="39">+F158</f>
        <v>134.16999999999999</v>
      </c>
      <c r="G159" s="14">
        <f t="shared" si="39"/>
        <v>188.55</v>
      </c>
      <c r="H159" s="14">
        <f t="shared" si="28"/>
        <v>950.59999999999991</v>
      </c>
      <c r="I159" s="276">
        <f t="shared" si="36"/>
        <v>57104.51</v>
      </c>
      <c r="J159" s="276">
        <f t="shared" si="37"/>
        <v>31102.53</v>
      </c>
      <c r="K159" s="276">
        <f t="shared" si="38"/>
        <v>40427.330000000031</v>
      </c>
      <c r="L159" s="394">
        <f t="shared" si="26"/>
        <v>11</v>
      </c>
      <c r="M159" s="394">
        <f t="shared" si="33"/>
        <v>139</v>
      </c>
      <c r="N159" s="613">
        <f>INDEX(tblSubjectToLoan[Date],ROW()-ROW(tblContractForDeed[#Headers]))</f>
        <v>50040</v>
      </c>
      <c r="O159" s="276">
        <f>IF(ROW()=ROW(tblContractForDeed[#Headers])+1,$O$6,IF(INDEX(tblContractForDeed[End Bal],ROW()-ROW(tblContractForDeed[#Headers])-1)&lt;0,0,INDEX(tblContractForDeed[End Bal],ROW()-ROW(tblContractForDeed[#Headers])-1)))</f>
        <v>31295.630000000012</v>
      </c>
      <c r="P159" s="454">
        <f>IF(tblContractForDeed[[#This Row],[Date]]="","",IF(tblContractForDeed[[#This Row],[Date]]&lt;cfdRateChangeDate,cfdRate1,cfdRate2))</f>
        <v>7.7499999999999999E-2</v>
      </c>
      <c r="Q1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9" s="276">
        <f>IF(tblContractForDeed[[#This Row],[Payment]]=0,0,MAX(0,MIN(tblContractForDeed[[#This Row],[Beg]],tblContractForDeed[[#This Row],[Payment]]-tblContractForDeed[[#This Row],[Int]])))</f>
        <v>497.04999999999995</v>
      </c>
      <c r="S159" s="276">
        <f>IF(OR(tblContractForDeed[[#This Row],[Date]]&lt;cfdContractDate,tblContractForDeed[[#This Row],[Date]]&gt;cfdEndDate),0,ROUND(tblContractForDeed[[#This Row],[Beg]]*(tblContractForDeed[[#This Row],[Int Rate]]/12),2))</f>
        <v>202.12</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1021.8899999999999</v>
      </c>
      <c r="W159" s="276">
        <f>SUM(INDEX(tblContractForDeed[Princ],1):INDEX(tblContractForDeed[Princ],ROW()-ROW(tblContractForDeed[#Headers])))</f>
        <v>44459.420000000006</v>
      </c>
      <c r="X159" s="276">
        <f>IF(tblContractForDeed[[#This Row],[Beg]]&lt;=0,0,tblContractForDeed[[#This Row],[Beg]]-tblContractForDeed[[#This Row],[Princ]])</f>
        <v>30798.580000000013</v>
      </c>
      <c r="Y159" s="467">
        <f>IF(INDEX(tblContractForDeed[Payment],ROW()-ROW(tblBuyerOutputs[#Headers]))=0,0,INDEX(tblContractForDeed[Payment],ROW()-ROW(tblBuyerOutputs[#Headers]))-INDEX(tblSubjectToLoan[Payment],ROW()-ROW(tblBuyerOutputs[#Headers])))</f>
        <v>71.289999999999964</v>
      </c>
      <c r="Z15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127</v>
      </c>
      <c r="AA159"/>
      <c r="AB159" s="14">
        <f>IF(INDEX(tblContractForDeed[Payment],ROW()-ROW(tblBuyerOutputs[#Headers]))=0,0,INDEX(tblContractForDeed[Payment],ROW()-ROW(tblBuyerOutputs[#Headers]))-INDEX(tblSubjectToLoan[Payment],ROW()-ROW(tblBuyerOutputs[#Headers])))-IFERROR(tblBuyerOutputs[[#This Row],[PMI]],0)</f>
        <v>71.289999999999964</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7280.7599999999975</v>
      </c>
      <c r="AD159" s="276">
        <f>IF(INDEX(tblContractForDeed[End Bal],ROW()-ROW(tblBuyerOutputs[#Headers]))&lt;=0,0,($O$6+IF(ROW()=ROW(tblBuyerOutputs[#Headers])+1,0,INDEX(tblBuyerOutputs[Cumul Appr],ROW()-ROW(tblBuyerOutputs[#Headers])-1)))*$AK$2/12)</f>
        <v>0</v>
      </c>
      <c r="AE159" s="276">
        <f>IF(INDEX(tblContractForDeed[End Bal],ROW()-ROW(tblBuyerOutputs[#Headers]))&lt;=0,0,IF(ROW()=ROW(tblBuyerOutputs[#Headers])+1,0,INDEX(tblBuyerOutputs[Cumul Appr],ROW()-ROW(tblBuyerOutputs[#Headers])-1))+tblBuyerOutputs[[#This Row],[Monthly Appr]])</f>
        <v>0</v>
      </c>
    </row>
    <row r="160" spans="1:31" x14ac:dyDescent="0.25">
      <c r="A160" s="613">
        <f t="shared" si="34"/>
        <v>50070</v>
      </c>
      <c r="B160" s="276">
        <f t="shared" si="32"/>
        <v>40427.330000000031</v>
      </c>
      <c r="C160" s="14">
        <f t="shared" si="30"/>
        <v>627.88</v>
      </c>
      <c r="D160" s="14">
        <f t="shared" si="35"/>
        <v>501.53999999999996</v>
      </c>
      <c r="E160" s="14">
        <f t="shared" si="31"/>
        <v>126.34</v>
      </c>
      <c r="F160" s="14">
        <f t="shared" si="39"/>
        <v>134.16999999999999</v>
      </c>
      <c r="G160" s="14">
        <f t="shared" si="39"/>
        <v>188.55</v>
      </c>
      <c r="H160" s="14">
        <f t="shared" si="28"/>
        <v>950.59999999999991</v>
      </c>
      <c r="I160" s="276">
        <f t="shared" si="36"/>
        <v>57606.05</v>
      </c>
      <c r="J160" s="276">
        <f t="shared" si="37"/>
        <v>31228.87</v>
      </c>
      <c r="K160" s="276">
        <f t="shared" si="38"/>
        <v>39925.79000000003</v>
      </c>
      <c r="L160" s="394">
        <f t="shared" si="26"/>
        <v>11</v>
      </c>
      <c r="M160" s="394">
        <f t="shared" si="33"/>
        <v>140</v>
      </c>
      <c r="N160" s="613">
        <f>INDEX(tblSubjectToLoan[Date],ROW()-ROW(tblContractForDeed[#Headers]))</f>
        <v>50070</v>
      </c>
      <c r="O160" s="276">
        <f>IF(ROW()=ROW(tblContractForDeed[#Headers])+1,$O$6,IF(INDEX(tblContractForDeed[End Bal],ROW()-ROW(tblContractForDeed[#Headers])-1)&lt;0,0,INDEX(tblContractForDeed[End Bal],ROW()-ROW(tblContractForDeed[#Headers])-1)))</f>
        <v>30798.580000000013</v>
      </c>
      <c r="P160" s="454">
        <f>IF(tblContractForDeed[[#This Row],[Date]]="","",IF(tblContractForDeed[[#This Row],[Date]]&lt;cfdRateChangeDate,cfdRate1,cfdRate2))</f>
        <v>7.7499999999999999E-2</v>
      </c>
      <c r="Q1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0" s="276">
        <f>IF(tblContractForDeed[[#This Row],[Payment]]=0,0,MAX(0,MIN(tblContractForDeed[[#This Row],[Beg]],tblContractForDeed[[#This Row],[Payment]]-tblContractForDeed[[#This Row],[Int]])))</f>
        <v>500.26</v>
      </c>
      <c r="S160" s="276">
        <f>IF(OR(tblContractForDeed[[#This Row],[Date]]&lt;cfdContractDate,tblContractForDeed[[#This Row],[Date]]&gt;cfdEndDate),0,ROUND(tblContractForDeed[[#This Row],[Beg]]*(tblContractForDeed[[#This Row],[Int Rate]]/12),2))</f>
        <v>198.91</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1021.8899999999999</v>
      </c>
      <c r="W160" s="276">
        <f>SUM(INDEX(tblContractForDeed[Princ],1):INDEX(tblContractForDeed[Princ],ROW()-ROW(tblContractForDeed[#Headers])))</f>
        <v>44959.680000000008</v>
      </c>
      <c r="X160" s="276">
        <f>IF(tblContractForDeed[[#This Row],[Beg]]&lt;=0,0,tblContractForDeed[[#This Row],[Beg]]-tblContractForDeed[[#This Row],[Princ]])</f>
        <v>30298.320000000014</v>
      </c>
      <c r="Y160" s="467">
        <f>IF(INDEX(tblContractForDeed[Payment],ROW()-ROW(tblBuyerOutputs[#Headers]))=0,0,INDEX(tblContractForDeed[Payment],ROW()-ROW(tblBuyerOutputs[#Headers]))-INDEX(tblSubjectToLoan[Payment],ROW()-ROW(tblBuyerOutputs[#Headers])))</f>
        <v>71.289999999999964</v>
      </c>
      <c r="Z16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128</v>
      </c>
      <c r="AA160"/>
      <c r="AB160" s="14">
        <f>IF(INDEX(tblContractForDeed[Payment],ROW()-ROW(tblBuyerOutputs[#Headers]))=0,0,INDEX(tblContractForDeed[Payment],ROW()-ROW(tblBuyerOutputs[#Headers]))-INDEX(tblSubjectToLoan[Payment],ROW()-ROW(tblBuyerOutputs[#Headers])))-IFERROR(tblBuyerOutputs[[#This Row],[PMI]],0)</f>
        <v>71.289999999999964</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7352.0499999999975</v>
      </c>
      <c r="AD160" s="276">
        <f>IF(INDEX(tblContractForDeed[End Bal],ROW()-ROW(tblBuyerOutputs[#Headers]))&lt;=0,0,($O$6+IF(ROW()=ROW(tblBuyerOutputs[#Headers])+1,0,INDEX(tblBuyerOutputs[Cumul Appr],ROW()-ROW(tblBuyerOutputs[#Headers])-1)))*$AK$2/12)</f>
        <v>0</v>
      </c>
      <c r="AE160" s="276">
        <f>IF(INDEX(tblContractForDeed[End Bal],ROW()-ROW(tblBuyerOutputs[#Headers]))&lt;=0,0,IF(ROW()=ROW(tblBuyerOutputs[#Headers])+1,0,INDEX(tblBuyerOutputs[Cumul Appr],ROW()-ROW(tblBuyerOutputs[#Headers])-1))+tblBuyerOutputs[[#This Row],[Monthly Appr]])</f>
        <v>0</v>
      </c>
    </row>
    <row r="161" spans="1:31" x14ac:dyDescent="0.25">
      <c r="A161" s="613">
        <f t="shared" si="34"/>
        <v>50100</v>
      </c>
      <c r="B161" s="276">
        <f t="shared" si="32"/>
        <v>39925.79000000003</v>
      </c>
      <c r="C161" s="14">
        <f t="shared" si="30"/>
        <v>627.88</v>
      </c>
      <c r="D161" s="14">
        <f t="shared" si="35"/>
        <v>503.11</v>
      </c>
      <c r="E161" s="14">
        <f t="shared" si="31"/>
        <v>124.77</v>
      </c>
      <c r="F161" s="14">
        <f t="shared" si="39"/>
        <v>134.16999999999999</v>
      </c>
      <c r="G161" s="14">
        <f t="shared" si="39"/>
        <v>188.55</v>
      </c>
      <c r="H161" s="14">
        <f t="shared" si="28"/>
        <v>950.59999999999991</v>
      </c>
      <c r="I161" s="276">
        <f t="shared" si="36"/>
        <v>58109.16</v>
      </c>
      <c r="J161" s="276">
        <f t="shared" si="37"/>
        <v>31353.64</v>
      </c>
      <c r="K161" s="276">
        <f t="shared" si="38"/>
        <v>39422.680000000029</v>
      </c>
      <c r="L161" s="394">
        <f t="shared" si="26"/>
        <v>11</v>
      </c>
      <c r="M161" s="394">
        <f t="shared" si="33"/>
        <v>141</v>
      </c>
      <c r="N161" s="613">
        <f>INDEX(tblSubjectToLoan[Date],ROW()-ROW(tblContractForDeed[#Headers]))</f>
        <v>50100</v>
      </c>
      <c r="O161" s="276">
        <f>IF(ROW()=ROW(tblContractForDeed[#Headers])+1,$O$6,IF(INDEX(tblContractForDeed[End Bal],ROW()-ROW(tblContractForDeed[#Headers])-1)&lt;0,0,INDEX(tblContractForDeed[End Bal],ROW()-ROW(tblContractForDeed[#Headers])-1)))</f>
        <v>30298.320000000014</v>
      </c>
      <c r="P161" s="454">
        <f>IF(tblContractForDeed[[#This Row],[Date]]="","",IF(tblContractForDeed[[#This Row],[Date]]&lt;cfdRateChangeDate,cfdRate1,cfdRate2))</f>
        <v>7.7499999999999999E-2</v>
      </c>
      <c r="Q1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1" s="276">
        <f>IF(tblContractForDeed[[#This Row],[Payment]]=0,0,MAX(0,MIN(tblContractForDeed[[#This Row],[Beg]],tblContractForDeed[[#This Row],[Payment]]-tblContractForDeed[[#This Row],[Int]])))</f>
        <v>503.48999999999995</v>
      </c>
      <c r="S161" s="276">
        <f>IF(OR(tblContractForDeed[[#This Row],[Date]]&lt;cfdContractDate,tblContractForDeed[[#This Row],[Date]]&gt;cfdEndDate),0,ROUND(tblContractForDeed[[#This Row],[Beg]]*(tblContractForDeed[[#This Row],[Int Rate]]/12),2))</f>
        <v>195.68</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1021.8899999999999</v>
      </c>
      <c r="W161" s="276">
        <f>SUM(INDEX(tblContractForDeed[Princ],1):INDEX(tblContractForDeed[Princ],ROW()-ROW(tblContractForDeed[#Headers])))</f>
        <v>45463.170000000006</v>
      </c>
      <c r="X161" s="276">
        <f>IF(tblContractForDeed[[#This Row],[Beg]]&lt;=0,0,tblContractForDeed[[#This Row],[Beg]]-tblContractForDeed[[#This Row],[Princ]])</f>
        <v>29794.830000000013</v>
      </c>
      <c r="Y161" s="467">
        <f>IF(INDEX(tblContractForDeed[Payment],ROW()-ROW(tblBuyerOutputs[#Headers]))=0,0,INDEX(tblContractForDeed[Payment],ROW()-ROW(tblBuyerOutputs[#Headers]))-INDEX(tblSubjectToLoan[Payment],ROW()-ROW(tblBuyerOutputs[#Headers])))</f>
        <v>71.289999999999964</v>
      </c>
      <c r="Z16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129</v>
      </c>
      <c r="AA161"/>
      <c r="AB161" s="14">
        <f>IF(INDEX(tblContractForDeed[Payment],ROW()-ROW(tblBuyerOutputs[#Headers]))=0,0,INDEX(tblContractForDeed[Payment],ROW()-ROW(tblBuyerOutputs[#Headers]))-INDEX(tblSubjectToLoan[Payment],ROW()-ROW(tblBuyerOutputs[#Headers])))-IFERROR(tblBuyerOutputs[[#This Row],[PMI]],0)</f>
        <v>71.289999999999964</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7423.3399999999974</v>
      </c>
      <c r="AD161" s="276">
        <f>IF(INDEX(tblContractForDeed[End Bal],ROW()-ROW(tblBuyerOutputs[#Headers]))&lt;=0,0,($O$6+IF(ROW()=ROW(tblBuyerOutputs[#Headers])+1,0,INDEX(tblBuyerOutputs[Cumul Appr],ROW()-ROW(tblBuyerOutputs[#Headers])-1)))*$AK$2/12)</f>
        <v>0</v>
      </c>
      <c r="AE161" s="276">
        <f>IF(INDEX(tblContractForDeed[End Bal],ROW()-ROW(tblBuyerOutputs[#Headers]))&lt;=0,0,IF(ROW()=ROW(tblBuyerOutputs[#Headers])+1,0,INDEX(tblBuyerOutputs[Cumul Appr],ROW()-ROW(tblBuyerOutputs[#Headers])-1))+tblBuyerOutputs[[#This Row],[Monthly Appr]])</f>
        <v>0</v>
      </c>
    </row>
    <row r="162" spans="1:31" x14ac:dyDescent="0.25">
      <c r="A162" s="613">
        <f t="shared" si="34"/>
        <v>50130</v>
      </c>
      <c r="B162" s="276">
        <f t="shared" si="32"/>
        <v>39422.680000000029</v>
      </c>
      <c r="C162" s="14">
        <f t="shared" si="30"/>
        <v>627.88</v>
      </c>
      <c r="D162" s="14">
        <f t="shared" si="35"/>
        <v>504.68</v>
      </c>
      <c r="E162" s="14">
        <f t="shared" si="31"/>
        <v>123.2</v>
      </c>
      <c r="F162" s="14">
        <f t="shared" si="39"/>
        <v>134.16999999999999</v>
      </c>
      <c r="G162" s="14">
        <f t="shared" si="39"/>
        <v>188.55</v>
      </c>
      <c r="H162" s="14">
        <f t="shared" si="28"/>
        <v>950.59999999999991</v>
      </c>
      <c r="I162" s="276">
        <f t="shared" si="36"/>
        <v>58613.840000000004</v>
      </c>
      <c r="J162" s="276">
        <f t="shared" si="37"/>
        <v>31476.84</v>
      </c>
      <c r="K162" s="276">
        <f t="shared" si="38"/>
        <v>38918.000000000029</v>
      </c>
      <c r="L162" s="394">
        <f t="shared" si="26"/>
        <v>11</v>
      </c>
      <c r="M162" s="394">
        <f t="shared" si="33"/>
        <v>142</v>
      </c>
      <c r="N162" s="613">
        <f>INDEX(tblSubjectToLoan[Date],ROW()-ROW(tblContractForDeed[#Headers]))</f>
        <v>50130</v>
      </c>
      <c r="O162" s="276">
        <f>IF(ROW()=ROW(tblContractForDeed[#Headers])+1,$O$6,IF(INDEX(tblContractForDeed[End Bal],ROW()-ROW(tblContractForDeed[#Headers])-1)&lt;0,0,INDEX(tblContractForDeed[End Bal],ROW()-ROW(tblContractForDeed[#Headers])-1)))</f>
        <v>29794.830000000013</v>
      </c>
      <c r="P162" s="454">
        <f>IF(tblContractForDeed[[#This Row],[Date]]="","",IF(tblContractForDeed[[#This Row],[Date]]&lt;cfdRateChangeDate,cfdRate1,cfdRate2))</f>
        <v>7.7499999999999999E-2</v>
      </c>
      <c r="Q1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2" s="276">
        <f>IF(tblContractForDeed[[#This Row],[Payment]]=0,0,MAX(0,MIN(tblContractForDeed[[#This Row],[Beg]],tblContractForDeed[[#This Row],[Payment]]-tblContractForDeed[[#This Row],[Int]])))</f>
        <v>506.75</v>
      </c>
      <c r="S162" s="276">
        <f>IF(OR(tblContractForDeed[[#This Row],[Date]]&lt;cfdContractDate,tblContractForDeed[[#This Row],[Date]]&gt;cfdEndDate),0,ROUND(tblContractForDeed[[#This Row],[Beg]]*(tblContractForDeed[[#This Row],[Int Rate]]/12),2))</f>
        <v>192.42</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1021.8899999999999</v>
      </c>
      <c r="W162" s="276">
        <f>SUM(INDEX(tblContractForDeed[Princ],1):INDEX(tblContractForDeed[Princ],ROW()-ROW(tblContractForDeed[#Headers])))</f>
        <v>45969.920000000006</v>
      </c>
      <c r="X162" s="276">
        <f>IF(tblContractForDeed[[#This Row],[Beg]]&lt;=0,0,tblContractForDeed[[#This Row],[Beg]]-tblContractForDeed[[#This Row],[Princ]])</f>
        <v>29288.080000000013</v>
      </c>
      <c r="Y162" s="467">
        <f>IF(INDEX(tblContractForDeed[Payment],ROW()-ROW(tblBuyerOutputs[#Headers]))=0,0,INDEX(tblContractForDeed[Payment],ROW()-ROW(tblBuyerOutputs[#Headers]))-INDEX(tblSubjectToLoan[Payment],ROW()-ROW(tblBuyerOutputs[#Headers])))</f>
        <v>71.289999999999964</v>
      </c>
      <c r="Z16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130</v>
      </c>
      <c r="AA162"/>
      <c r="AB162" s="14">
        <f>IF(INDEX(tblContractForDeed[Payment],ROW()-ROW(tblBuyerOutputs[#Headers]))=0,0,INDEX(tblContractForDeed[Payment],ROW()-ROW(tblBuyerOutputs[#Headers]))-INDEX(tblSubjectToLoan[Payment],ROW()-ROW(tblBuyerOutputs[#Headers])))-IFERROR(tblBuyerOutputs[[#This Row],[PMI]],0)</f>
        <v>71.289999999999964</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7494.6299999999974</v>
      </c>
      <c r="AD162" s="276">
        <f>IF(INDEX(tblContractForDeed[End Bal],ROW()-ROW(tblBuyerOutputs[#Headers]))&lt;=0,0,($O$6+IF(ROW()=ROW(tblBuyerOutputs[#Headers])+1,0,INDEX(tblBuyerOutputs[Cumul Appr],ROW()-ROW(tblBuyerOutputs[#Headers])-1)))*$AK$2/12)</f>
        <v>0</v>
      </c>
      <c r="AE162" s="276">
        <f>IF(INDEX(tblContractForDeed[End Bal],ROW()-ROW(tblBuyerOutputs[#Headers]))&lt;=0,0,IF(ROW()=ROW(tblBuyerOutputs[#Headers])+1,0,INDEX(tblBuyerOutputs[Cumul Appr],ROW()-ROW(tblBuyerOutputs[#Headers])-1))+tblBuyerOutputs[[#This Row],[Monthly Appr]])</f>
        <v>0</v>
      </c>
    </row>
    <row r="163" spans="1:31" ht="15.75" thickBot="1" x14ac:dyDescent="0.3">
      <c r="A163" s="615">
        <f t="shared" si="34"/>
        <v>50160</v>
      </c>
      <c r="B163" s="332">
        <f t="shared" si="32"/>
        <v>38918.000000000029</v>
      </c>
      <c r="C163" s="21">
        <f t="shared" si="30"/>
        <v>627.88</v>
      </c>
      <c r="D163" s="21">
        <f t="shared" si="35"/>
        <v>506.26</v>
      </c>
      <c r="E163" s="21">
        <f t="shared" si="31"/>
        <v>121.62</v>
      </c>
      <c r="F163" s="21">
        <f t="shared" si="39"/>
        <v>134.16999999999999</v>
      </c>
      <c r="G163" s="21">
        <f t="shared" si="39"/>
        <v>188.55</v>
      </c>
      <c r="H163" s="21">
        <f t="shared" si="28"/>
        <v>950.59999999999991</v>
      </c>
      <c r="I163" s="332">
        <f t="shared" si="36"/>
        <v>59120.100000000006</v>
      </c>
      <c r="J163" s="332">
        <f t="shared" si="37"/>
        <v>31598.46</v>
      </c>
      <c r="K163" s="332">
        <f t="shared" si="38"/>
        <v>38411.740000000027</v>
      </c>
      <c r="L163" s="395">
        <f t="shared" si="26"/>
        <v>11</v>
      </c>
      <c r="M163" s="395">
        <f t="shared" si="33"/>
        <v>143</v>
      </c>
      <c r="N163" s="615">
        <f>INDEX(tblSubjectToLoan[Date],ROW()-ROW(tblContractForDeed[#Headers]))</f>
        <v>50160</v>
      </c>
      <c r="O163" s="332">
        <f>IF(ROW()=ROW(tblContractForDeed[#Headers])+1,$O$6,IF(INDEX(tblContractForDeed[End Bal],ROW()-ROW(tblContractForDeed[#Headers])-1)&lt;0,0,INDEX(tblContractForDeed[End Bal],ROW()-ROW(tblContractForDeed[#Headers])-1)))</f>
        <v>29288.080000000013</v>
      </c>
      <c r="P163" s="454">
        <f>IF(tblContractForDeed[[#This Row],[Date]]="","",IF(tblContractForDeed[[#This Row],[Date]]&lt;cfdRateChangeDate,cfdRate1,cfdRate2))</f>
        <v>7.7499999999999999E-2</v>
      </c>
      <c r="Q1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3" s="332">
        <f>IF(tblContractForDeed[[#This Row],[Payment]]=0,0,MAX(0,MIN(tblContractForDeed[[#This Row],[Beg]],tblContractForDeed[[#This Row],[Payment]]-tblContractForDeed[[#This Row],[Int]])))</f>
        <v>510.02</v>
      </c>
      <c r="S163" s="332">
        <f>IF(OR(tblContractForDeed[[#This Row],[Date]]&lt;cfdContractDate,tblContractForDeed[[#This Row],[Date]]&gt;cfdEndDate),0,ROUND(tblContractForDeed[[#This Row],[Beg]]*(tblContractForDeed[[#This Row],[Int Rate]]/12),2))</f>
        <v>189.15</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1021.8899999999999</v>
      </c>
      <c r="W163" s="332">
        <f>SUM(INDEX(tblContractForDeed[Princ],1):INDEX(tblContractForDeed[Princ],ROW()-ROW(tblContractForDeed[#Headers])))</f>
        <v>46479.94</v>
      </c>
      <c r="X163" s="332">
        <f>IF(tblContractForDeed[[#This Row],[Beg]]&lt;=0,0,tblContractForDeed[[#This Row],[Beg]]-tblContractForDeed[[#This Row],[Princ]])</f>
        <v>28778.060000000012</v>
      </c>
      <c r="Y163" s="468">
        <f>IF(INDEX(tblContractForDeed[Payment],ROW()-ROW(tblBuyerOutputs[#Headers]))=0,0,INDEX(tblContractForDeed[Payment],ROW()-ROW(tblBuyerOutputs[#Headers]))-INDEX(tblSubjectToLoan[Payment],ROW()-ROW(tblBuyerOutputs[#Headers])))</f>
        <v>71.289999999999964</v>
      </c>
      <c r="Z16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131</v>
      </c>
      <c r="AA163" s="23"/>
      <c r="AB163" s="21">
        <f>IF(INDEX(tblContractForDeed[Payment],ROW()-ROW(tblBuyerOutputs[#Headers]))=0,0,INDEX(tblContractForDeed[Payment],ROW()-ROW(tblBuyerOutputs[#Headers]))-INDEX(tblSubjectToLoan[Payment],ROW()-ROW(tblBuyerOutputs[#Headers])))-IFERROR(tblBuyerOutputs[[#This Row],[PMI]],0)</f>
        <v>71.289999999999964</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7565.9199999999973</v>
      </c>
      <c r="AD163" s="332">
        <f>IF(INDEX(tblContractForDeed[End Bal],ROW()-ROW(tblBuyerOutputs[#Headers]))&lt;=0,0,($O$6+IF(ROW()=ROW(tblBuyerOutputs[#Headers])+1,0,INDEX(tblBuyerOutputs[Cumul Appr],ROW()-ROW(tblBuyerOutputs[#Headers])-1)))*$AK$2/12)</f>
        <v>0</v>
      </c>
      <c r="AE163" s="332">
        <f>IF(INDEX(tblContractForDeed[End Bal],ROW()-ROW(tblBuyerOutputs[#Headers]))&lt;=0,0,IF(ROW()=ROW(tblBuyerOutputs[#Headers])+1,0,INDEX(tblBuyerOutputs[Cumul Appr],ROW()-ROW(tblBuyerOutputs[#Headers])-1))+tblBuyerOutputs[[#This Row],[Monthly Appr]])</f>
        <v>0</v>
      </c>
    </row>
    <row r="164" spans="1:31" x14ac:dyDescent="0.25">
      <c r="A164" s="613">
        <f t="shared" si="34"/>
        <v>50190</v>
      </c>
      <c r="B164" s="276">
        <f t="shared" si="32"/>
        <v>38411.740000000027</v>
      </c>
      <c r="C164" s="14">
        <f t="shared" si="30"/>
        <v>627.88</v>
      </c>
      <c r="D164" s="14">
        <f t="shared" si="35"/>
        <v>507.84</v>
      </c>
      <c r="E164" s="14">
        <f t="shared" si="31"/>
        <v>120.04</v>
      </c>
      <c r="F164" s="14">
        <f t="shared" si="39"/>
        <v>134.16999999999999</v>
      </c>
      <c r="G164" s="14">
        <f t="shared" si="39"/>
        <v>188.55</v>
      </c>
      <c r="H164" s="14">
        <f t="shared" si="28"/>
        <v>950.59999999999991</v>
      </c>
      <c r="I164" s="276">
        <f t="shared" si="36"/>
        <v>59627.94</v>
      </c>
      <c r="J164" s="276">
        <f t="shared" si="37"/>
        <v>31718.5</v>
      </c>
      <c r="K164" s="276">
        <f t="shared" si="38"/>
        <v>37903.900000000031</v>
      </c>
      <c r="L164" s="394">
        <f t="shared" si="26"/>
        <v>12</v>
      </c>
      <c r="M164" s="394">
        <f t="shared" si="33"/>
        <v>144</v>
      </c>
      <c r="N164" s="613">
        <f>INDEX(tblSubjectToLoan[Date],ROW()-ROW(tblContractForDeed[#Headers]))</f>
        <v>50190</v>
      </c>
      <c r="O164" s="276">
        <f>IF(ROW()=ROW(tblContractForDeed[#Headers])+1,$O$6,IF(INDEX(tblContractForDeed[End Bal],ROW()-ROW(tblContractForDeed[#Headers])-1)&lt;0,0,INDEX(tblContractForDeed[End Bal],ROW()-ROW(tblContractForDeed[#Headers])-1)))</f>
        <v>28778.060000000012</v>
      </c>
      <c r="P164" s="454">
        <f>IF(tblContractForDeed[[#This Row],[Date]]="","",IF(tblContractForDeed[[#This Row],[Date]]&lt;cfdRateChangeDate,cfdRate1,cfdRate2))</f>
        <v>7.7499999999999999E-2</v>
      </c>
      <c r="Q1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4" s="276">
        <f>IF(tblContractForDeed[[#This Row],[Payment]]=0,0,MAX(0,MIN(tblContractForDeed[[#This Row],[Beg]],tblContractForDeed[[#This Row],[Payment]]-tblContractForDeed[[#This Row],[Int]])))</f>
        <v>513.30999999999995</v>
      </c>
      <c r="S164" s="276">
        <f>IF(OR(tblContractForDeed[[#This Row],[Date]]&lt;cfdContractDate,tblContractForDeed[[#This Row],[Date]]&gt;cfdEndDate),0,ROUND(tblContractForDeed[[#This Row],[Beg]]*(tblContractForDeed[[#This Row],[Int Rate]]/12),2))</f>
        <v>185.86</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1021.8899999999999</v>
      </c>
      <c r="W164" s="276">
        <f>SUM(INDEX(tblContractForDeed[Princ],1):INDEX(tblContractForDeed[Princ],ROW()-ROW(tblContractForDeed[#Headers])))</f>
        <v>46993.25</v>
      </c>
      <c r="X164" s="276">
        <f>IF(tblContractForDeed[[#This Row],[Beg]]&lt;=0,0,tblContractForDeed[[#This Row],[Beg]]-tblContractForDeed[[#This Row],[Princ]])</f>
        <v>28264.750000000011</v>
      </c>
      <c r="Y164" s="467">
        <f>IF(INDEX(tblContractForDeed[Payment],ROW()-ROW(tblBuyerOutputs[#Headers]))=0,0,INDEX(tblContractForDeed[Payment],ROW()-ROW(tblBuyerOutputs[#Headers]))-INDEX(tblSubjectToLoan[Payment],ROW()-ROW(tblBuyerOutputs[#Headers])))</f>
        <v>71.289999999999964</v>
      </c>
      <c r="Z16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132</v>
      </c>
      <c r="AA164"/>
      <c r="AB164" s="14">
        <f>IF(INDEX(tblContractForDeed[Payment],ROW()-ROW(tblBuyerOutputs[#Headers]))=0,0,INDEX(tblContractForDeed[Payment],ROW()-ROW(tblBuyerOutputs[#Headers]))-INDEX(tblSubjectToLoan[Payment],ROW()-ROW(tblBuyerOutputs[#Headers])))-IFERROR(tblBuyerOutputs[[#This Row],[PMI]],0)</f>
        <v>71.289999999999964</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7637.2099999999973</v>
      </c>
      <c r="AD164" s="276">
        <f>IF(INDEX(tblContractForDeed[End Bal],ROW()-ROW(tblBuyerOutputs[#Headers]))&lt;=0,0,($O$6+IF(ROW()=ROW(tblBuyerOutputs[#Headers])+1,0,INDEX(tblBuyerOutputs[Cumul Appr],ROW()-ROW(tblBuyerOutputs[#Headers])-1)))*$AK$2/12)</f>
        <v>0</v>
      </c>
      <c r="AE164" s="276">
        <f>IF(INDEX(tblContractForDeed[End Bal],ROW()-ROW(tblBuyerOutputs[#Headers]))&lt;=0,0,IF(ROW()=ROW(tblBuyerOutputs[#Headers])+1,0,INDEX(tblBuyerOutputs[Cumul Appr],ROW()-ROW(tblBuyerOutputs[#Headers])-1))+tblBuyerOutputs[[#This Row],[Monthly Appr]])</f>
        <v>0</v>
      </c>
    </row>
    <row r="165" spans="1:31" x14ac:dyDescent="0.25">
      <c r="A165" s="613">
        <f t="shared" si="34"/>
        <v>50220</v>
      </c>
      <c r="B165" s="276">
        <f t="shared" si="32"/>
        <v>37903.900000000031</v>
      </c>
      <c r="C165" s="14">
        <f t="shared" si="30"/>
        <v>627.88</v>
      </c>
      <c r="D165" s="14">
        <f t="shared" si="35"/>
        <v>509.43</v>
      </c>
      <c r="E165" s="14">
        <f t="shared" si="31"/>
        <v>118.45</v>
      </c>
      <c r="F165" s="14">
        <f t="shared" si="39"/>
        <v>134.16999999999999</v>
      </c>
      <c r="G165" s="14">
        <f t="shared" si="39"/>
        <v>188.55</v>
      </c>
      <c r="H165" s="14">
        <f t="shared" si="28"/>
        <v>950.59999999999991</v>
      </c>
      <c r="I165" s="276">
        <f t="shared" si="36"/>
        <v>60137.37</v>
      </c>
      <c r="J165" s="276">
        <f t="shared" si="37"/>
        <v>31836.95</v>
      </c>
      <c r="K165" s="276">
        <f t="shared" si="38"/>
        <v>37394.47000000003</v>
      </c>
      <c r="L165" s="394">
        <f t="shared" si="26"/>
        <v>12</v>
      </c>
      <c r="M165" s="394">
        <f t="shared" si="33"/>
        <v>145</v>
      </c>
      <c r="N165" s="613">
        <f>INDEX(tblSubjectToLoan[Date],ROW()-ROW(tblContractForDeed[#Headers]))</f>
        <v>50220</v>
      </c>
      <c r="O165" s="276">
        <f>IF(ROW()=ROW(tblContractForDeed[#Headers])+1,$O$6,IF(INDEX(tblContractForDeed[End Bal],ROW()-ROW(tblContractForDeed[#Headers])-1)&lt;0,0,INDEX(tblContractForDeed[End Bal],ROW()-ROW(tblContractForDeed[#Headers])-1)))</f>
        <v>28264.750000000011</v>
      </c>
      <c r="P165" s="454">
        <f>IF(tblContractForDeed[[#This Row],[Date]]="","",IF(tblContractForDeed[[#This Row],[Date]]&lt;cfdRateChangeDate,cfdRate1,cfdRate2))</f>
        <v>7.7499999999999999E-2</v>
      </c>
      <c r="Q1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5" s="276">
        <f>IF(tblContractForDeed[[#This Row],[Payment]]=0,0,MAX(0,MIN(tblContractForDeed[[#This Row],[Beg]],tblContractForDeed[[#This Row],[Payment]]-tblContractForDeed[[#This Row],[Int]])))</f>
        <v>516.63</v>
      </c>
      <c r="S165" s="276">
        <f>IF(OR(tblContractForDeed[[#This Row],[Date]]&lt;cfdContractDate,tblContractForDeed[[#This Row],[Date]]&gt;cfdEndDate),0,ROUND(tblContractForDeed[[#This Row],[Beg]]*(tblContractForDeed[[#This Row],[Int Rate]]/12),2))</f>
        <v>182.54</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1021.8899999999999</v>
      </c>
      <c r="W165" s="276">
        <f>SUM(INDEX(tblContractForDeed[Princ],1):INDEX(tblContractForDeed[Princ],ROW()-ROW(tblContractForDeed[#Headers])))</f>
        <v>47509.88</v>
      </c>
      <c r="X165" s="276">
        <f>IF(tblContractForDeed[[#This Row],[Beg]]&lt;=0,0,tblContractForDeed[[#This Row],[Beg]]-tblContractForDeed[[#This Row],[Princ]])</f>
        <v>27748.12000000001</v>
      </c>
      <c r="Y165" s="467">
        <f>IF(INDEX(tblContractForDeed[Payment],ROW()-ROW(tblBuyerOutputs[#Headers]))=0,0,INDEX(tblContractForDeed[Payment],ROW()-ROW(tblBuyerOutputs[#Headers]))-INDEX(tblSubjectToLoan[Payment],ROW()-ROW(tblBuyerOutputs[#Headers])))</f>
        <v>71.289999999999964</v>
      </c>
      <c r="Z16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133</v>
      </c>
      <c r="AA165"/>
      <c r="AB165" s="14">
        <f>IF(INDEX(tblContractForDeed[Payment],ROW()-ROW(tblBuyerOutputs[#Headers]))=0,0,INDEX(tblContractForDeed[Payment],ROW()-ROW(tblBuyerOutputs[#Headers]))-INDEX(tblSubjectToLoan[Payment],ROW()-ROW(tblBuyerOutputs[#Headers])))-IFERROR(tblBuyerOutputs[[#This Row],[PMI]],0)</f>
        <v>71.289999999999964</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7708.4999999999973</v>
      </c>
      <c r="AD165" s="276">
        <f>IF(INDEX(tblContractForDeed[End Bal],ROW()-ROW(tblBuyerOutputs[#Headers]))&lt;=0,0,($O$6+IF(ROW()=ROW(tblBuyerOutputs[#Headers])+1,0,INDEX(tblBuyerOutputs[Cumul Appr],ROW()-ROW(tblBuyerOutputs[#Headers])-1)))*$AK$2/12)</f>
        <v>0</v>
      </c>
      <c r="AE165" s="276">
        <f>IF(INDEX(tblContractForDeed[End Bal],ROW()-ROW(tblBuyerOutputs[#Headers]))&lt;=0,0,IF(ROW()=ROW(tblBuyerOutputs[#Headers])+1,0,INDEX(tblBuyerOutputs[Cumul Appr],ROW()-ROW(tblBuyerOutputs[#Headers])-1))+tblBuyerOutputs[[#This Row],[Monthly Appr]])</f>
        <v>0</v>
      </c>
    </row>
    <row r="166" spans="1:31" x14ac:dyDescent="0.25">
      <c r="A166" s="613">
        <f t="shared" si="34"/>
        <v>50250</v>
      </c>
      <c r="B166" s="276">
        <f t="shared" si="32"/>
        <v>37394.47000000003</v>
      </c>
      <c r="C166" s="14">
        <f t="shared" si="30"/>
        <v>627.88</v>
      </c>
      <c r="D166" s="14">
        <f t="shared" si="35"/>
        <v>511.02</v>
      </c>
      <c r="E166" s="14">
        <f t="shared" si="31"/>
        <v>116.86</v>
      </c>
      <c r="F166" s="14">
        <f t="shared" si="39"/>
        <v>134.16999999999999</v>
      </c>
      <c r="G166" s="14">
        <f t="shared" si="39"/>
        <v>188.55</v>
      </c>
      <c r="H166" s="14">
        <f t="shared" si="28"/>
        <v>950.59999999999991</v>
      </c>
      <c r="I166" s="276">
        <f t="shared" si="36"/>
        <v>60648.39</v>
      </c>
      <c r="J166" s="276">
        <f t="shared" si="37"/>
        <v>31953.81</v>
      </c>
      <c r="K166" s="276">
        <f t="shared" si="38"/>
        <v>36883.450000000033</v>
      </c>
      <c r="L166" s="394">
        <f t="shared" si="26"/>
        <v>12</v>
      </c>
      <c r="M166" s="394">
        <f t="shared" si="33"/>
        <v>146</v>
      </c>
      <c r="N166" s="613">
        <f>INDEX(tblSubjectToLoan[Date],ROW()-ROW(tblContractForDeed[#Headers]))</f>
        <v>50250</v>
      </c>
      <c r="O166" s="276">
        <f>IF(ROW()=ROW(tblContractForDeed[#Headers])+1,$O$6,IF(INDEX(tblContractForDeed[End Bal],ROW()-ROW(tblContractForDeed[#Headers])-1)&lt;0,0,INDEX(tblContractForDeed[End Bal],ROW()-ROW(tblContractForDeed[#Headers])-1)))</f>
        <v>27748.12000000001</v>
      </c>
      <c r="P166" s="454">
        <f>IF(tblContractForDeed[[#This Row],[Date]]="","",IF(tblContractForDeed[[#This Row],[Date]]&lt;cfdRateChangeDate,cfdRate1,cfdRate2))</f>
        <v>7.7499999999999999E-2</v>
      </c>
      <c r="Q1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6" s="276">
        <f>IF(tblContractForDeed[[#This Row],[Payment]]=0,0,MAX(0,MIN(tblContractForDeed[[#This Row],[Beg]],tblContractForDeed[[#This Row],[Payment]]-tblContractForDeed[[#This Row],[Int]])))</f>
        <v>519.95999999999992</v>
      </c>
      <c r="S166" s="276">
        <f>IF(OR(tblContractForDeed[[#This Row],[Date]]&lt;cfdContractDate,tblContractForDeed[[#This Row],[Date]]&gt;cfdEndDate),0,ROUND(tblContractForDeed[[#This Row],[Beg]]*(tblContractForDeed[[#This Row],[Int Rate]]/12),2))</f>
        <v>179.21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1021.8899999999999</v>
      </c>
      <c r="W166" s="276">
        <f>SUM(INDEX(tblContractForDeed[Princ],1):INDEX(tblContractForDeed[Princ],ROW()-ROW(tblContractForDeed[#Headers])))</f>
        <v>48029.84</v>
      </c>
      <c r="X166" s="276">
        <f>IF(tblContractForDeed[[#This Row],[Beg]]&lt;=0,0,tblContractForDeed[[#This Row],[Beg]]-tblContractForDeed[[#This Row],[Princ]])</f>
        <v>27228.160000000011</v>
      </c>
      <c r="Y166" s="467">
        <f>IF(INDEX(tblContractForDeed[Payment],ROW()-ROW(tblBuyerOutputs[#Headers]))=0,0,INDEX(tblContractForDeed[Payment],ROW()-ROW(tblBuyerOutputs[#Headers]))-INDEX(tblSubjectToLoan[Payment],ROW()-ROW(tblBuyerOutputs[#Headers])))</f>
        <v>71.289999999999964</v>
      </c>
      <c r="Z16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134</v>
      </c>
      <c r="AA166"/>
      <c r="AB166" s="14">
        <f>IF(INDEX(tblContractForDeed[Payment],ROW()-ROW(tblBuyerOutputs[#Headers]))=0,0,INDEX(tblContractForDeed[Payment],ROW()-ROW(tblBuyerOutputs[#Headers]))-INDEX(tblSubjectToLoan[Payment],ROW()-ROW(tblBuyerOutputs[#Headers])))-IFERROR(tblBuyerOutputs[[#This Row],[PMI]],0)</f>
        <v>71.289999999999964</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7779.7899999999972</v>
      </c>
      <c r="AD166" s="276">
        <f>IF(INDEX(tblContractForDeed[End Bal],ROW()-ROW(tblBuyerOutputs[#Headers]))&lt;=0,0,($O$6+IF(ROW()=ROW(tblBuyerOutputs[#Headers])+1,0,INDEX(tblBuyerOutputs[Cumul Appr],ROW()-ROW(tblBuyerOutputs[#Headers])-1)))*$AK$2/12)</f>
        <v>0</v>
      </c>
      <c r="AE166" s="276">
        <f>IF(INDEX(tblContractForDeed[End Bal],ROW()-ROW(tblBuyerOutputs[#Headers]))&lt;=0,0,IF(ROW()=ROW(tblBuyerOutputs[#Headers])+1,0,INDEX(tblBuyerOutputs[Cumul Appr],ROW()-ROW(tblBuyerOutputs[#Headers])-1))+tblBuyerOutputs[[#This Row],[Monthly Appr]])</f>
        <v>0</v>
      </c>
    </row>
    <row r="167" spans="1:31" x14ac:dyDescent="0.25">
      <c r="A167" s="613">
        <f t="shared" si="34"/>
        <v>50280</v>
      </c>
      <c r="B167" s="276">
        <f t="shared" si="32"/>
        <v>36883.450000000033</v>
      </c>
      <c r="C167" s="14">
        <f t="shared" si="30"/>
        <v>627.88</v>
      </c>
      <c r="D167" s="14">
        <f t="shared" si="35"/>
        <v>512.62</v>
      </c>
      <c r="E167" s="14">
        <f t="shared" si="31"/>
        <v>115.26</v>
      </c>
      <c r="F167" s="14">
        <f t="shared" si="39"/>
        <v>134.16999999999999</v>
      </c>
      <c r="G167" s="14">
        <f t="shared" si="39"/>
        <v>188.55</v>
      </c>
      <c r="H167" s="14">
        <f t="shared" si="28"/>
        <v>950.59999999999991</v>
      </c>
      <c r="I167" s="276">
        <f t="shared" si="36"/>
        <v>61161.01</v>
      </c>
      <c r="J167" s="276">
        <f t="shared" si="37"/>
        <v>32069.07</v>
      </c>
      <c r="K167" s="276">
        <f t="shared" si="38"/>
        <v>36370.830000000031</v>
      </c>
      <c r="L167" s="394">
        <f t="shared" si="26"/>
        <v>12</v>
      </c>
      <c r="M167" s="394">
        <f t="shared" si="33"/>
        <v>147</v>
      </c>
      <c r="N167" s="613">
        <f>INDEX(tblSubjectToLoan[Date],ROW()-ROW(tblContractForDeed[#Headers]))</f>
        <v>50280</v>
      </c>
      <c r="O167" s="276">
        <f>IF(ROW()=ROW(tblContractForDeed[#Headers])+1,$O$6,IF(INDEX(tblContractForDeed[End Bal],ROW()-ROW(tblContractForDeed[#Headers])-1)&lt;0,0,INDEX(tblContractForDeed[End Bal],ROW()-ROW(tblContractForDeed[#Headers])-1)))</f>
        <v>27228.160000000011</v>
      </c>
      <c r="P167" s="454">
        <f>IF(tblContractForDeed[[#This Row],[Date]]="","",IF(tblContractForDeed[[#This Row],[Date]]&lt;cfdRateChangeDate,cfdRate1,cfdRate2))</f>
        <v>7.7499999999999999E-2</v>
      </c>
      <c r="Q1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7" s="276">
        <f>IF(tblContractForDeed[[#This Row],[Payment]]=0,0,MAX(0,MIN(tblContractForDeed[[#This Row],[Beg]],tblContractForDeed[[#This Row],[Payment]]-tblContractForDeed[[#This Row],[Int]])))</f>
        <v>523.31999999999994</v>
      </c>
      <c r="S167" s="276">
        <f>IF(OR(tblContractForDeed[[#This Row],[Date]]&lt;cfdContractDate,tblContractForDeed[[#This Row],[Date]]&gt;cfdEndDate),0,ROUND(tblContractForDeed[[#This Row],[Beg]]*(tblContractForDeed[[#This Row],[Int Rate]]/12),2))</f>
        <v>175.85</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1021.8899999999999</v>
      </c>
      <c r="W167" s="276">
        <f>SUM(INDEX(tblContractForDeed[Princ],1):INDEX(tblContractForDeed[Princ],ROW()-ROW(tblContractForDeed[#Headers])))</f>
        <v>48553.159999999996</v>
      </c>
      <c r="X167" s="276">
        <f>IF(tblContractForDeed[[#This Row],[Beg]]&lt;=0,0,tblContractForDeed[[#This Row],[Beg]]-tblContractForDeed[[#This Row],[Princ]])</f>
        <v>26704.840000000011</v>
      </c>
      <c r="Y167" s="467">
        <f>IF(INDEX(tblContractForDeed[Payment],ROW()-ROW(tblBuyerOutputs[#Headers]))=0,0,INDEX(tblContractForDeed[Payment],ROW()-ROW(tblBuyerOutputs[#Headers]))-INDEX(tblSubjectToLoan[Payment],ROW()-ROW(tblBuyerOutputs[#Headers])))</f>
        <v>71.289999999999964</v>
      </c>
      <c r="Z16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135</v>
      </c>
      <c r="AA167"/>
      <c r="AB167" s="14">
        <f>IF(INDEX(tblContractForDeed[Payment],ROW()-ROW(tblBuyerOutputs[#Headers]))=0,0,INDEX(tblContractForDeed[Payment],ROW()-ROW(tblBuyerOutputs[#Headers]))-INDEX(tblSubjectToLoan[Payment],ROW()-ROW(tblBuyerOutputs[#Headers])))-IFERROR(tblBuyerOutputs[[#This Row],[PMI]],0)</f>
        <v>71.289999999999964</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7851.0799999999972</v>
      </c>
      <c r="AD167" s="276">
        <f>IF(INDEX(tblContractForDeed[End Bal],ROW()-ROW(tblBuyerOutputs[#Headers]))&lt;=0,0,($O$6+IF(ROW()=ROW(tblBuyerOutputs[#Headers])+1,0,INDEX(tblBuyerOutputs[Cumul Appr],ROW()-ROW(tblBuyerOutputs[#Headers])-1)))*$AK$2/12)</f>
        <v>0</v>
      </c>
      <c r="AE167" s="276">
        <f>IF(INDEX(tblContractForDeed[End Bal],ROW()-ROW(tblBuyerOutputs[#Headers]))&lt;=0,0,IF(ROW()=ROW(tblBuyerOutputs[#Headers])+1,0,INDEX(tblBuyerOutputs[Cumul Appr],ROW()-ROW(tblBuyerOutputs[#Headers])-1))+tblBuyerOutputs[[#This Row],[Monthly Appr]])</f>
        <v>0</v>
      </c>
    </row>
    <row r="168" spans="1:31" x14ac:dyDescent="0.25">
      <c r="A168" s="613">
        <f t="shared" si="34"/>
        <v>50310</v>
      </c>
      <c r="B168" s="276">
        <f t="shared" si="32"/>
        <v>36370.830000000031</v>
      </c>
      <c r="C168" s="14">
        <f t="shared" si="30"/>
        <v>627.88</v>
      </c>
      <c r="D168" s="14">
        <f t="shared" si="35"/>
        <v>514.22</v>
      </c>
      <c r="E168" s="14">
        <f t="shared" si="31"/>
        <v>113.66</v>
      </c>
      <c r="F168" s="14">
        <f t="shared" si="39"/>
        <v>134.16999999999999</v>
      </c>
      <c r="G168" s="14">
        <f t="shared" si="39"/>
        <v>188.55</v>
      </c>
      <c r="H168" s="14">
        <f t="shared" si="28"/>
        <v>950.59999999999991</v>
      </c>
      <c r="I168" s="276">
        <f t="shared" si="36"/>
        <v>61675.23</v>
      </c>
      <c r="J168" s="276">
        <f t="shared" si="37"/>
        <v>32182.73</v>
      </c>
      <c r="K168" s="276">
        <f t="shared" si="38"/>
        <v>35856.61000000003</v>
      </c>
      <c r="L168" s="394">
        <f t="shared" si="26"/>
        <v>12</v>
      </c>
      <c r="M168" s="394">
        <f t="shared" si="33"/>
        <v>148</v>
      </c>
      <c r="N168" s="613">
        <f>INDEX(tblSubjectToLoan[Date],ROW()-ROW(tblContractForDeed[#Headers]))</f>
        <v>50310</v>
      </c>
      <c r="O168" s="276">
        <f>IF(ROW()=ROW(tblContractForDeed[#Headers])+1,$O$6,IF(INDEX(tblContractForDeed[End Bal],ROW()-ROW(tblContractForDeed[#Headers])-1)&lt;0,0,INDEX(tblContractForDeed[End Bal],ROW()-ROW(tblContractForDeed[#Headers])-1)))</f>
        <v>26704.840000000011</v>
      </c>
      <c r="P168" s="454">
        <f>IF(tblContractForDeed[[#This Row],[Date]]="","",IF(tblContractForDeed[[#This Row],[Date]]&lt;cfdRateChangeDate,cfdRate1,cfdRate2))</f>
        <v>7.7499999999999999E-2</v>
      </c>
      <c r="Q1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8" s="276">
        <f>IF(tblContractForDeed[[#This Row],[Payment]]=0,0,MAX(0,MIN(tblContractForDeed[[#This Row],[Beg]],tblContractForDeed[[#This Row],[Payment]]-tblContractForDeed[[#This Row],[Int]])))</f>
        <v>526.69999999999993</v>
      </c>
      <c r="S168" s="276">
        <f>IF(OR(tblContractForDeed[[#This Row],[Date]]&lt;cfdContractDate,tblContractForDeed[[#This Row],[Date]]&gt;cfdEndDate),0,ROUND(tblContractForDeed[[#This Row],[Beg]]*(tblContractForDeed[[#This Row],[Int Rate]]/12),2))</f>
        <v>172.47</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1021.8899999999999</v>
      </c>
      <c r="W168" s="276">
        <f>SUM(INDEX(tblContractForDeed[Princ],1):INDEX(tblContractForDeed[Princ],ROW()-ROW(tblContractForDeed[#Headers])))</f>
        <v>49079.859999999993</v>
      </c>
      <c r="X168" s="276">
        <f>IF(tblContractForDeed[[#This Row],[Beg]]&lt;=0,0,tblContractForDeed[[#This Row],[Beg]]-tblContractForDeed[[#This Row],[Princ]])</f>
        <v>26178.14000000001</v>
      </c>
      <c r="Y168" s="467">
        <f>IF(INDEX(tblContractForDeed[Payment],ROW()-ROW(tblBuyerOutputs[#Headers]))=0,0,INDEX(tblContractForDeed[Payment],ROW()-ROW(tblBuyerOutputs[#Headers]))-INDEX(tblSubjectToLoan[Payment],ROW()-ROW(tblBuyerOutputs[#Headers])))</f>
        <v>71.289999999999964</v>
      </c>
      <c r="Z16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136</v>
      </c>
      <c r="AA168"/>
      <c r="AB168" s="14">
        <f>IF(INDEX(tblContractForDeed[Payment],ROW()-ROW(tblBuyerOutputs[#Headers]))=0,0,INDEX(tblContractForDeed[Payment],ROW()-ROW(tblBuyerOutputs[#Headers]))-INDEX(tblSubjectToLoan[Payment],ROW()-ROW(tblBuyerOutputs[#Headers])))-IFERROR(tblBuyerOutputs[[#This Row],[PMI]],0)</f>
        <v>71.289999999999964</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7922.3699999999972</v>
      </c>
      <c r="AD168" s="276">
        <f>IF(INDEX(tblContractForDeed[End Bal],ROW()-ROW(tblBuyerOutputs[#Headers]))&lt;=0,0,($O$6+IF(ROW()=ROW(tblBuyerOutputs[#Headers])+1,0,INDEX(tblBuyerOutputs[Cumul Appr],ROW()-ROW(tblBuyerOutputs[#Headers])-1)))*$AK$2/12)</f>
        <v>0</v>
      </c>
      <c r="AE168" s="276">
        <f>IF(INDEX(tblContractForDeed[End Bal],ROW()-ROW(tblBuyerOutputs[#Headers]))&lt;=0,0,IF(ROW()=ROW(tblBuyerOutputs[#Headers])+1,0,INDEX(tblBuyerOutputs[Cumul Appr],ROW()-ROW(tblBuyerOutputs[#Headers])-1))+tblBuyerOutputs[[#This Row],[Monthly Appr]])</f>
        <v>0</v>
      </c>
    </row>
    <row r="169" spans="1:31" x14ac:dyDescent="0.25">
      <c r="A169" s="613">
        <f t="shared" si="34"/>
        <v>50340</v>
      </c>
      <c r="B169" s="276">
        <f t="shared" si="32"/>
        <v>35856.61000000003</v>
      </c>
      <c r="C169" s="14">
        <f t="shared" si="30"/>
        <v>627.88</v>
      </c>
      <c r="D169" s="14">
        <f t="shared" si="35"/>
        <v>515.83000000000004</v>
      </c>
      <c r="E169" s="14">
        <f t="shared" si="31"/>
        <v>112.05</v>
      </c>
      <c r="F169" s="14">
        <f t="shared" si="39"/>
        <v>134.16999999999999</v>
      </c>
      <c r="G169" s="14">
        <f t="shared" si="39"/>
        <v>188.55</v>
      </c>
      <c r="H169" s="14">
        <f t="shared" si="28"/>
        <v>950.59999999999991</v>
      </c>
      <c r="I169" s="276">
        <f t="shared" si="36"/>
        <v>62191.060000000005</v>
      </c>
      <c r="J169" s="276">
        <f t="shared" si="37"/>
        <v>32294.78</v>
      </c>
      <c r="K169" s="276">
        <f t="shared" si="38"/>
        <v>35340.780000000028</v>
      </c>
      <c r="L169" s="394">
        <f t="shared" si="26"/>
        <v>12</v>
      </c>
      <c r="M169" s="394">
        <f t="shared" si="33"/>
        <v>149</v>
      </c>
      <c r="N169" s="613">
        <f>INDEX(tblSubjectToLoan[Date],ROW()-ROW(tblContractForDeed[#Headers]))</f>
        <v>50340</v>
      </c>
      <c r="O169" s="276">
        <f>IF(ROW()=ROW(tblContractForDeed[#Headers])+1,$O$6,IF(INDEX(tblContractForDeed[End Bal],ROW()-ROW(tblContractForDeed[#Headers])-1)&lt;0,0,INDEX(tblContractForDeed[End Bal],ROW()-ROW(tblContractForDeed[#Headers])-1)))</f>
        <v>26178.14000000001</v>
      </c>
      <c r="P169" s="454">
        <f>IF(tblContractForDeed[[#This Row],[Date]]="","",IF(tblContractForDeed[[#This Row],[Date]]&lt;cfdRateChangeDate,cfdRate1,cfdRate2))</f>
        <v>7.7499999999999999E-2</v>
      </c>
      <c r="Q1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9" s="276">
        <f>IF(tblContractForDeed[[#This Row],[Payment]]=0,0,MAX(0,MIN(tblContractForDeed[[#This Row],[Beg]],tblContractForDeed[[#This Row],[Payment]]-tblContractForDeed[[#This Row],[Int]])))</f>
        <v>530.09999999999991</v>
      </c>
      <c r="S169" s="276">
        <f>IF(OR(tblContractForDeed[[#This Row],[Date]]&lt;cfdContractDate,tblContractForDeed[[#This Row],[Date]]&gt;cfdEndDate),0,ROUND(tblContractForDeed[[#This Row],[Beg]]*(tblContractForDeed[[#This Row],[Int Rate]]/12),2))</f>
        <v>169.07</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1021.8899999999999</v>
      </c>
      <c r="W169" s="276">
        <f>SUM(INDEX(tblContractForDeed[Princ],1):INDEX(tblContractForDeed[Princ],ROW()-ROW(tblContractForDeed[#Headers])))</f>
        <v>49609.959999999992</v>
      </c>
      <c r="X169" s="276">
        <f>IF(tblContractForDeed[[#This Row],[Beg]]&lt;=0,0,tblContractForDeed[[#This Row],[Beg]]-tblContractForDeed[[#This Row],[Princ]])</f>
        <v>25648.040000000012</v>
      </c>
      <c r="Y169" s="467">
        <f>IF(INDEX(tblContractForDeed[Payment],ROW()-ROW(tblBuyerOutputs[#Headers]))=0,0,INDEX(tblContractForDeed[Payment],ROW()-ROW(tblBuyerOutputs[#Headers]))-INDEX(tblSubjectToLoan[Payment],ROW()-ROW(tblBuyerOutputs[#Headers])))</f>
        <v>71.289999999999964</v>
      </c>
      <c r="Z16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137</v>
      </c>
      <c r="AA169"/>
      <c r="AB169" s="14">
        <f>IF(INDEX(tblContractForDeed[Payment],ROW()-ROW(tblBuyerOutputs[#Headers]))=0,0,INDEX(tblContractForDeed[Payment],ROW()-ROW(tblBuyerOutputs[#Headers]))-INDEX(tblSubjectToLoan[Payment],ROW()-ROW(tblBuyerOutputs[#Headers])))-IFERROR(tblBuyerOutputs[[#This Row],[PMI]],0)</f>
        <v>71.289999999999964</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7993.6599999999971</v>
      </c>
      <c r="AD169" s="276">
        <f>IF(INDEX(tblContractForDeed[End Bal],ROW()-ROW(tblBuyerOutputs[#Headers]))&lt;=0,0,($O$6+IF(ROW()=ROW(tblBuyerOutputs[#Headers])+1,0,INDEX(tblBuyerOutputs[Cumul Appr],ROW()-ROW(tblBuyerOutputs[#Headers])-1)))*$AK$2/12)</f>
        <v>0</v>
      </c>
      <c r="AE169" s="276">
        <f>IF(INDEX(tblContractForDeed[End Bal],ROW()-ROW(tblBuyerOutputs[#Headers]))&lt;=0,0,IF(ROW()=ROW(tblBuyerOutputs[#Headers])+1,0,INDEX(tblBuyerOutputs[Cumul Appr],ROW()-ROW(tblBuyerOutputs[#Headers])-1))+tblBuyerOutputs[[#This Row],[Monthly Appr]])</f>
        <v>0</v>
      </c>
    </row>
    <row r="170" spans="1:31" x14ac:dyDescent="0.25">
      <c r="A170" s="613">
        <f t="shared" si="34"/>
        <v>50370</v>
      </c>
      <c r="B170" s="276">
        <f t="shared" si="32"/>
        <v>35340.780000000028</v>
      </c>
      <c r="C170" s="14">
        <f t="shared" si="30"/>
        <v>627.88</v>
      </c>
      <c r="D170" s="14">
        <f t="shared" si="35"/>
        <v>517.44000000000005</v>
      </c>
      <c r="E170" s="14">
        <f t="shared" si="31"/>
        <v>110.44</v>
      </c>
      <c r="F170" s="14">
        <f t="shared" si="39"/>
        <v>134.16999999999999</v>
      </c>
      <c r="G170" s="14">
        <f t="shared" si="39"/>
        <v>188.55</v>
      </c>
      <c r="H170" s="14">
        <f t="shared" si="28"/>
        <v>950.60000000000014</v>
      </c>
      <c r="I170" s="276">
        <f t="shared" si="36"/>
        <v>62708.500000000007</v>
      </c>
      <c r="J170" s="276">
        <f t="shared" si="37"/>
        <v>32405.219999999998</v>
      </c>
      <c r="K170" s="276">
        <f t="shared" si="38"/>
        <v>34823.340000000026</v>
      </c>
      <c r="L170" s="394">
        <f t="shared" si="26"/>
        <v>12</v>
      </c>
      <c r="M170" s="394">
        <f t="shared" si="33"/>
        <v>150</v>
      </c>
      <c r="N170" s="613">
        <f>INDEX(tblSubjectToLoan[Date],ROW()-ROW(tblContractForDeed[#Headers]))</f>
        <v>50370</v>
      </c>
      <c r="O170" s="276">
        <f>IF(ROW()=ROW(tblContractForDeed[#Headers])+1,$O$6,IF(INDEX(tblContractForDeed[End Bal],ROW()-ROW(tblContractForDeed[#Headers])-1)&lt;0,0,INDEX(tblContractForDeed[End Bal],ROW()-ROW(tblContractForDeed[#Headers])-1)))</f>
        <v>25648.040000000012</v>
      </c>
      <c r="P170" s="454">
        <f>IF(tblContractForDeed[[#This Row],[Date]]="","",IF(tblContractForDeed[[#This Row],[Date]]&lt;cfdRateChangeDate,cfdRate1,cfdRate2))</f>
        <v>7.7499999999999999E-2</v>
      </c>
      <c r="Q1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0" s="276">
        <f>IF(tblContractForDeed[[#This Row],[Payment]]=0,0,MAX(0,MIN(tblContractForDeed[[#This Row],[Beg]],tblContractForDeed[[#This Row],[Payment]]-tblContractForDeed[[#This Row],[Int]])))</f>
        <v>533.53</v>
      </c>
      <c r="S170" s="276">
        <f>IF(OR(tblContractForDeed[[#This Row],[Date]]&lt;cfdContractDate,tblContractForDeed[[#This Row],[Date]]&gt;cfdEndDate),0,ROUND(tblContractForDeed[[#This Row],[Beg]]*(tblContractForDeed[[#This Row],[Int Rate]]/12),2))</f>
        <v>165.64</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1021.8899999999999</v>
      </c>
      <c r="W170" s="276">
        <f>SUM(INDEX(tblContractForDeed[Princ],1):INDEX(tblContractForDeed[Princ],ROW()-ROW(tblContractForDeed[#Headers])))</f>
        <v>50143.489999999991</v>
      </c>
      <c r="X170" s="276">
        <f>IF(tblContractForDeed[[#This Row],[Beg]]&lt;=0,0,tblContractForDeed[[#This Row],[Beg]]-tblContractForDeed[[#This Row],[Princ]])</f>
        <v>25114.510000000013</v>
      </c>
      <c r="Y170" s="467">
        <f>IF(INDEX(tblContractForDeed[Payment],ROW()-ROW(tblBuyerOutputs[#Headers]))=0,0,INDEX(tblContractForDeed[Payment],ROW()-ROW(tblBuyerOutputs[#Headers]))-INDEX(tblSubjectToLoan[Payment],ROW()-ROW(tblBuyerOutputs[#Headers])))</f>
        <v>71.289999999999964</v>
      </c>
      <c r="Z17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138</v>
      </c>
      <c r="AA170"/>
      <c r="AB170" s="14">
        <f>IF(INDEX(tblContractForDeed[Payment],ROW()-ROW(tblBuyerOutputs[#Headers]))=0,0,INDEX(tblContractForDeed[Payment],ROW()-ROW(tblBuyerOutputs[#Headers]))-INDEX(tblSubjectToLoan[Payment],ROW()-ROW(tblBuyerOutputs[#Headers])))-IFERROR(tblBuyerOutputs[[#This Row],[PMI]],0)</f>
        <v>71.289999999999964</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8064.9499999999971</v>
      </c>
      <c r="AD170" s="276">
        <f>IF(INDEX(tblContractForDeed[End Bal],ROW()-ROW(tblBuyerOutputs[#Headers]))&lt;=0,0,($O$6+IF(ROW()=ROW(tblBuyerOutputs[#Headers])+1,0,INDEX(tblBuyerOutputs[Cumul Appr],ROW()-ROW(tblBuyerOutputs[#Headers])-1)))*$AK$2/12)</f>
        <v>0</v>
      </c>
      <c r="AE170" s="276">
        <f>IF(INDEX(tblContractForDeed[End Bal],ROW()-ROW(tblBuyerOutputs[#Headers]))&lt;=0,0,IF(ROW()=ROW(tblBuyerOutputs[#Headers])+1,0,INDEX(tblBuyerOutputs[Cumul Appr],ROW()-ROW(tblBuyerOutputs[#Headers])-1))+tblBuyerOutputs[[#This Row],[Monthly Appr]])</f>
        <v>0</v>
      </c>
    </row>
    <row r="171" spans="1:31" x14ac:dyDescent="0.25">
      <c r="A171" s="613">
        <f t="shared" si="34"/>
        <v>50400</v>
      </c>
      <c r="B171" s="276">
        <f t="shared" si="32"/>
        <v>34823.340000000026</v>
      </c>
      <c r="C171" s="14">
        <f t="shared" si="30"/>
        <v>627.88</v>
      </c>
      <c r="D171" s="14">
        <f t="shared" si="35"/>
        <v>519.05999999999995</v>
      </c>
      <c r="E171" s="14">
        <f t="shared" si="31"/>
        <v>108.82</v>
      </c>
      <c r="F171" s="14">
        <f t="shared" si="39"/>
        <v>134.16999999999999</v>
      </c>
      <c r="G171" s="14">
        <f t="shared" si="39"/>
        <v>188.55</v>
      </c>
      <c r="H171" s="14">
        <f t="shared" si="28"/>
        <v>950.59999999999991</v>
      </c>
      <c r="I171" s="276">
        <f t="shared" si="36"/>
        <v>63227.560000000005</v>
      </c>
      <c r="J171" s="276">
        <f t="shared" si="37"/>
        <v>32514.039999999997</v>
      </c>
      <c r="K171" s="276">
        <f t="shared" si="38"/>
        <v>34304.280000000028</v>
      </c>
      <c r="L171" s="394">
        <f t="shared" si="26"/>
        <v>12</v>
      </c>
      <c r="M171" s="394">
        <f t="shared" si="33"/>
        <v>151</v>
      </c>
      <c r="N171" s="613">
        <f>INDEX(tblSubjectToLoan[Date],ROW()-ROW(tblContractForDeed[#Headers]))</f>
        <v>50400</v>
      </c>
      <c r="O171" s="276">
        <f>IF(ROW()=ROW(tblContractForDeed[#Headers])+1,$O$6,IF(INDEX(tblContractForDeed[End Bal],ROW()-ROW(tblContractForDeed[#Headers])-1)&lt;0,0,INDEX(tblContractForDeed[End Bal],ROW()-ROW(tblContractForDeed[#Headers])-1)))</f>
        <v>25114.510000000013</v>
      </c>
      <c r="P171" s="454">
        <f>IF(tblContractForDeed[[#This Row],[Date]]="","",IF(tblContractForDeed[[#This Row],[Date]]&lt;cfdRateChangeDate,cfdRate1,cfdRate2))</f>
        <v>7.7499999999999999E-2</v>
      </c>
      <c r="Q1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1" s="276">
        <f>IF(tblContractForDeed[[#This Row],[Payment]]=0,0,MAX(0,MIN(tblContractForDeed[[#This Row],[Beg]],tblContractForDeed[[#This Row],[Payment]]-tblContractForDeed[[#This Row],[Int]])))</f>
        <v>536.97</v>
      </c>
      <c r="S171" s="276">
        <f>IF(OR(tblContractForDeed[[#This Row],[Date]]&lt;cfdContractDate,tblContractForDeed[[#This Row],[Date]]&gt;cfdEndDate),0,ROUND(tblContractForDeed[[#This Row],[Beg]]*(tblContractForDeed[[#This Row],[Int Rate]]/12),2))</f>
        <v>162.19999999999999</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1021.8900000000001</v>
      </c>
      <c r="W171" s="276">
        <f>SUM(INDEX(tblContractForDeed[Princ],1):INDEX(tblContractForDeed[Princ],ROW()-ROW(tblContractForDeed[#Headers])))</f>
        <v>50680.459999999992</v>
      </c>
      <c r="X171" s="276">
        <f>IF(tblContractForDeed[[#This Row],[Beg]]&lt;=0,0,tblContractForDeed[[#This Row],[Beg]]-tblContractForDeed[[#This Row],[Princ]])</f>
        <v>24577.540000000012</v>
      </c>
      <c r="Y171" s="467">
        <f>IF(INDEX(tblContractForDeed[Payment],ROW()-ROW(tblBuyerOutputs[#Headers]))=0,0,INDEX(tblContractForDeed[Payment],ROW()-ROW(tblBuyerOutputs[#Headers]))-INDEX(tblSubjectToLoan[Payment],ROW()-ROW(tblBuyerOutputs[#Headers])))</f>
        <v>71.289999999999964</v>
      </c>
      <c r="Z17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139</v>
      </c>
      <c r="AA171"/>
      <c r="AB171" s="14">
        <f>IF(INDEX(tblContractForDeed[Payment],ROW()-ROW(tblBuyerOutputs[#Headers]))=0,0,INDEX(tblContractForDeed[Payment],ROW()-ROW(tblBuyerOutputs[#Headers]))-INDEX(tblSubjectToLoan[Payment],ROW()-ROW(tblBuyerOutputs[#Headers])))-IFERROR(tblBuyerOutputs[[#This Row],[PMI]],0)</f>
        <v>71.289999999999964</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8136.2399999999971</v>
      </c>
      <c r="AD171" s="276">
        <f>IF(INDEX(tblContractForDeed[End Bal],ROW()-ROW(tblBuyerOutputs[#Headers]))&lt;=0,0,($O$6+IF(ROW()=ROW(tblBuyerOutputs[#Headers])+1,0,INDEX(tblBuyerOutputs[Cumul Appr],ROW()-ROW(tblBuyerOutputs[#Headers])-1)))*$AK$2/12)</f>
        <v>0</v>
      </c>
      <c r="AE171" s="276">
        <f>IF(INDEX(tblContractForDeed[End Bal],ROW()-ROW(tblBuyerOutputs[#Headers]))&lt;=0,0,IF(ROW()=ROW(tblBuyerOutputs[#Headers])+1,0,INDEX(tblBuyerOutputs[Cumul Appr],ROW()-ROW(tblBuyerOutputs[#Headers])-1))+tblBuyerOutputs[[#This Row],[Monthly Appr]])</f>
        <v>0</v>
      </c>
    </row>
    <row r="172" spans="1:31" x14ac:dyDescent="0.25">
      <c r="A172" s="613">
        <f t="shared" si="34"/>
        <v>50430</v>
      </c>
      <c r="B172" s="276">
        <f t="shared" si="32"/>
        <v>34304.280000000028</v>
      </c>
      <c r="C172" s="14">
        <f t="shared" si="30"/>
        <v>627.88</v>
      </c>
      <c r="D172" s="14">
        <f t="shared" si="35"/>
        <v>520.67999999999995</v>
      </c>
      <c r="E172" s="14">
        <f t="shared" si="31"/>
        <v>107.2</v>
      </c>
      <c r="F172" s="14">
        <f t="shared" si="39"/>
        <v>134.16999999999999</v>
      </c>
      <c r="G172" s="14">
        <f t="shared" si="39"/>
        <v>188.55</v>
      </c>
      <c r="H172" s="14">
        <f t="shared" si="28"/>
        <v>950.59999999999991</v>
      </c>
      <c r="I172" s="276">
        <f t="shared" si="36"/>
        <v>63748.240000000005</v>
      </c>
      <c r="J172" s="276">
        <f t="shared" si="37"/>
        <v>32621.239999999998</v>
      </c>
      <c r="K172" s="276">
        <f t="shared" si="38"/>
        <v>33783.600000000028</v>
      </c>
      <c r="L172" s="394">
        <f t="shared" si="26"/>
        <v>12</v>
      </c>
      <c r="M172" s="394">
        <f t="shared" si="33"/>
        <v>152</v>
      </c>
      <c r="N172" s="613">
        <f>INDEX(tblSubjectToLoan[Date],ROW()-ROW(tblContractForDeed[#Headers]))</f>
        <v>50430</v>
      </c>
      <c r="O172" s="276">
        <f>IF(ROW()=ROW(tblContractForDeed[#Headers])+1,$O$6,IF(INDEX(tblContractForDeed[End Bal],ROW()-ROW(tblContractForDeed[#Headers])-1)&lt;0,0,INDEX(tblContractForDeed[End Bal],ROW()-ROW(tblContractForDeed[#Headers])-1)))</f>
        <v>24577.540000000012</v>
      </c>
      <c r="P172" s="454">
        <f>IF(tblContractForDeed[[#This Row],[Date]]="","",IF(tblContractForDeed[[#This Row],[Date]]&lt;cfdRateChangeDate,cfdRate1,cfdRate2))</f>
        <v>7.7499999999999999E-2</v>
      </c>
      <c r="Q1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2" s="276">
        <f>IF(tblContractForDeed[[#This Row],[Payment]]=0,0,MAX(0,MIN(tblContractForDeed[[#This Row],[Beg]],tblContractForDeed[[#This Row],[Payment]]-tblContractForDeed[[#This Row],[Int]])))</f>
        <v>540.43999999999994</v>
      </c>
      <c r="S172" s="276">
        <f>IF(OR(tblContractForDeed[[#This Row],[Date]]&lt;cfdContractDate,tblContractForDeed[[#This Row],[Date]]&gt;cfdEndDate),0,ROUND(tblContractForDeed[[#This Row],[Beg]]*(tblContractForDeed[[#This Row],[Int Rate]]/12),2))</f>
        <v>158.72999999999999</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1021.8899999999999</v>
      </c>
      <c r="W172" s="276">
        <f>SUM(INDEX(tblContractForDeed[Princ],1):INDEX(tblContractForDeed[Princ],ROW()-ROW(tblContractForDeed[#Headers])))</f>
        <v>51220.899999999994</v>
      </c>
      <c r="X172" s="276">
        <f>IF(tblContractForDeed[[#This Row],[Beg]]&lt;=0,0,tblContractForDeed[[#This Row],[Beg]]-tblContractForDeed[[#This Row],[Princ]])</f>
        <v>24037.100000000013</v>
      </c>
      <c r="Y172" s="467">
        <f>IF(INDEX(tblContractForDeed[Payment],ROW()-ROW(tblBuyerOutputs[#Headers]))=0,0,INDEX(tblContractForDeed[Payment],ROW()-ROW(tblBuyerOutputs[#Headers]))-INDEX(tblSubjectToLoan[Payment],ROW()-ROW(tblBuyerOutputs[#Headers])))</f>
        <v>71.289999999999964</v>
      </c>
      <c r="Z17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140</v>
      </c>
      <c r="AA172"/>
      <c r="AB172" s="14">
        <f>IF(INDEX(tblContractForDeed[Payment],ROW()-ROW(tblBuyerOutputs[#Headers]))=0,0,INDEX(tblContractForDeed[Payment],ROW()-ROW(tblBuyerOutputs[#Headers]))-INDEX(tblSubjectToLoan[Payment],ROW()-ROW(tblBuyerOutputs[#Headers])))-IFERROR(tblBuyerOutputs[[#This Row],[PMI]],0)</f>
        <v>71.289999999999964</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8207.529999999997</v>
      </c>
      <c r="AD172" s="276">
        <f>IF(INDEX(tblContractForDeed[End Bal],ROW()-ROW(tblBuyerOutputs[#Headers]))&lt;=0,0,($O$6+IF(ROW()=ROW(tblBuyerOutputs[#Headers])+1,0,INDEX(tblBuyerOutputs[Cumul Appr],ROW()-ROW(tblBuyerOutputs[#Headers])-1)))*$AK$2/12)</f>
        <v>0</v>
      </c>
      <c r="AE172" s="276">
        <f>IF(INDEX(tblContractForDeed[End Bal],ROW()-ROW(tblBuyerOutputs[#Headers]))&lt;=0,0,IF(ROW()=ROW(tblBuyerOutputs[#Headers])+1,0,INDEX(tblBuyerOutputs[Cumul Appr],ROW()-ROW(tblBuyerOutputs[#Headers])-1))+tblBuyerOutputs[[#This Row],[Monthly Appr]])</f>
        <v>0</v>
      </c>
    </row>
    <row r="173" spans="1:31" x14ac:dyDescent="0.25">
      <c r="A173" s="613">
        <f t="shared" si="34"/>
        <v>50460</v>
      </c>
      <c r="B173" s="276">
        <f t="shared" si="32"/>
        <v>33783.600000000028</v>
      </c>
      <c r="C173" s="14">
        <f t="shared" si="30"/>
        <v>627.88</v>
      </c>
      <c r="D173" s="14">
        <f t="shared" si="35"/>
        <v>522.30999999999995</v>
      </c>
      <c r="E173" s="14">
        <f t="shared" si="31"/>
        <v>105.57</v>
      </c>
      <c r="F173" s="14">
        <f t="shared" si="39"/>
        <v>134.16999999999999</v>
      </c>
      <c r="G173" s="14">
        <f t="shared" si="39"/>
        <v>188.55</v>
      </c>
      <c r="H173" s="14">
        <f t="shared" si="28"/>
        <v>950.59999999999991</v>
      </c>
      <c r="I173" s="276">
        <f t="shared" si="36"/>
        <v>64270.55</v>
      </c>
      <c r="J173" s="276">
        <f t="shared" si="37"/>
        <v>32726.809999999998</v>
      </c>
      <c r="K173" s="276">
        <f t="shared" si="38"/>
        <v>33261.29000000003</v>
      </c>
      <c r="L173" s="394">
        <f t="shared" si="26"/>
        <v>12</v>
      </c>
      <c r="M173" s="394">
        <f t="shared" si="33"/>
        <v>153</v>
      </c>
      <c r="N173" s="613">
        <f>INDEX(tblSubjectToLoan[Date],ROW()-ROW(tblContractForDeed[#Headers]))</f>
        <v>50460</v>
      </c>
      <c r="O173" s="276">
        <f>IF(ROW()=ROW(tblContractForDeed[#Headers])+1,$O$6,IF(INDEX(tblContractForDeed[End Bal],ROW()-ROW(tblContractForDeed[#Headers])-1)&lt;0,0,INDEX(tblContractForDeed[End Bal],ROW()-ROW(tblContractForDeed[#Headers])-1)))</f>
        <v>24037.100000000013</v>
      </c>
      <c r="P173" s="454">
        <f>IF(tblContractForDeed[[#This Row],[Date]]="","",IF(tblContractForDeed[[#This Row],[Date]]&lt;cfdRateChangeDate,cfdRate1,cfdRate2))</f>
        <v>7.7499999999999999E-2</v>
      </c>
      <c r="Q1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3" s="276">
        <f>IF(tblContractForDeed[[#This Row],[Payment]]=0,0,MAX(0,MIN(tblContractForDeed[[#This Row],[Beg]],tblContractForDeed[[#This Row],[Payment]]-tblContractForDeed[[#This Row],[Int]])))</f>
        <v>543.92999999999995</v>
      </c>
      <c r="S173" s="276">
        <f>IF(OR(tblContractForDeed[[#This Row],[Date]]&lt;cfdContractDate,tblContractForDeed[[#This Row],[Date]]&gt;cfdEndDate),0,ROUND(tblContractForDeed[[#This Row],[Beg]]*(tblContractForDeed[[#This Row],[Int Rate]]/12),2))</f>
        <v>155.24</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1021.8899999999999</v>
      </c>
      <c r="W173" s="276">
        <f>SUM(INDEX(tblContractForDeed[Princ],1):INDEX(tblContractForDeed[Princ],ROW()-ROW(tblContractForDeed[#Headers])))</f>
        <v>51764.829999999994</v>
      </c>
      <c r="X173" s="276">
        <f>IF(tblContractForDeed[[#This Row],[Beg]]&lt;=0,0,tblContractForDeed[[#This Row],[Beg]]-tblContractForDeed[[#This Row],[Princ]])</f>
        <v>23493.170000000013</v>
      </c>
      <c r="Y173" s="467">
        <f>IF(INDEX(tblContractForDeed[Payment],ROW()-ROW(tblBuyerOutputs[#Headers]))=0,0,INDEX(tblContractForDeed[Payment],ROW()-ROW(tblBuyerOutputs[#Headers]))-INDEX(tblSubjectToLoan[Payment],ROW()-ROW(tblBuyerOutputs[#Headers])))</f>
        <v>71.289999999999964</v>
      </c>
      <c r="Z17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141</v>
      </c>
      <c r="AA173"/>
      <c r="AB173" s="14">
        <f>IF(INDEX(tblContractForDeed[Payment],ROW()-ROW(tblBuyerOutputs[#Headers]))=0,0,INDEX(tblContractForDeed[Payment],ROW()-ROW(tblBuyerOutputs[#Headers]))-INDEX(tblSubjectToLoan[Payment],ROW()-ROW(tblBuyerOutputs[#Headers])))-IFERROR(tblBuyerOutputs[[#This Row],[PMI]],0)</f>
        <v>71.289999999999964</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8278.8199999999961</v>
      </c>
      <c r="AD173" s="276">
        <f>IF(INDEX(tblContractForDeed[End Bal],ROW()-ROW(tblBuyerOutputs[#Headers]))&lt;=0,0,($O$6+IF(ROW()=ROW(tblBuyerOutputs[#Headers])+1,0,INDEX(tblBuyerOutputs[Cumul Appr],ROW()-ROW(tblBuyerOutputs[#Headers])-1)))*$AK$2/12)</f>
        <v>0</v>
      </c>
      <c r="AE173" s="276">
        <f>IF(INDEX(tblContractForDeed[End Bal],ROW()-ROW(tblBuyerOutputs[#Headers]))&lt;=0,0,IF(ROW()=ROW(tblBuyerOutputs[#Headers])+1,0,INDEX(tblBuyerOutputs[Cumul Appr],ROW()-ROW(tblBuyerOutputs[#Headers])-1))+tblBuyerOutputs[[#This Row],[Monthly Appr]])</f>
        <v>0</v>
      </c>
    </row>
    <row r="174" spans="1:31" x14ac:dyDescent="0.25">
      <c r="A174" s="613">
        <f t="shared" si="34"/>
        <v>50490</v>
      </c>
      <c r="B174" s="276">
        <f t="shared" si="32"/>
        <v>33261.29000000003</v>
      </c>
      <c r="C174" s="14">
        <f t="shared" si="30"/>
        <v>627.88</v>
      </c>
      <c r="D174" s="14">
        <f t="shared" si="35"/>
        <v>523.94000000000005</v>
      </c>
      <c r="E174" s="14">
        <f t="shared" si="31"/>
        <v>103.94</v>
      </c>
      <c r="F174" s="14">
        <f t="shared" si="39"/>
        <v>134.16999999999999</v>
      </c>
      <c r="G174" s="14">
        <f t="shared" si="39"/>
        <v>188.55</v>
      </c>
      <c r="H174" s="14">
        <f t="shared" si="28"/>
        <v>950.60000000000014</v>
      </c>
      <c r="I174" s="276">
        <f t="shared" si="36"/>
        <v>64794.490000000005</v>
      </c>
      <c r="J174" s="276">
        <f t="shared" si="37"/>
        <v>32830.75</v>
      </c>
      <c r="K174" s="276">
        <f t="shared" si="38"/>
        <v>32737.350000000031</v>
      </c>
      <c r="L174" s="394">
        <f t="shared" si="26"/>
        <v>12</v>
      </c>
      <c r="M174" s="394">
        <f t="shared" si="33"/>
        <v>154</v>
      </c>
      <c r="N174" s="613">
        <f>INDEX(tblSubjectToLoan[Date],ROW()-ROW(tblContractForDeed[#Headers]))</f>
        <v>50490</v>
      </c>
      <c r="O174" s="276">
        <f>IF(ROW()=ROW(tblContractForDeed[#Headers])+1,$O$6,IF(INDEX(tblContractForDeed[End Bal],ROW()-ROW(tblContractForDeed[#Headers])-1)&lt;0,0,INDEX(tblContractForDeed[End Bal],ROW()-ROW(tblContractForDeed[#Headers])-1)))</f>
        <v>23493.170000000013</v>
      </c>
      <c r="P174" s="454">
        <f>IF(tblContractForDeed[[#This Row],[Date]]="","",IF(tblContractForDeed[[#This Row],[Date]]&lt;cfdRateChangeDate,cfdRate1,cfdRate2))</f>
        <v>7.7499999999999999E-2</v>
      </c>
      <c r="Q1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4" s="276">
        <f>IF(tblContractForDeed[[#This Row],[Payment]]=0,0,MAX(0,MIN(tblContractForDeed[[#This Row],[Beg]],tblContractForDeed[[#This Row],[Payment]]-tblContractForDeed[[#This Row],[Int]])))</f>
        <v>547.43999999999994</v>
      </c>
      <c r="S174" s="276">
        <f>IF(OR(tblContractForDeed[[#This Row],[Date]]&lt;cfdContractDate,tblContractForDeed[[#This Row],[Date]]&gt;cfdEndDate),0,ROUND(tblContractForDeed[[#This Row],[Beg]]*(tblContractForDeed[[#This Row],[Int Rate]]/12),2))</f>
        <v>151.72999999999999</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1021.8899999999999</v>
      </c>
      <c r="W174" s="276">
        <f>SUM(INDEX(tblContractForDeed[Princ],1):INDEX(tblContractForDeed[Princ],ROW()-ROW(tblContractForDeed[#Headers])))</f>
        <v>52312.27</v>
      </c>
      <c r="X174" s="276">
        <f>IF(tblContractForDeed[[#This Row],[Beg]]&lt;=0,0,tblContractForDeed[[#This Row],[Beg]]-tblContractForDeed[[#This Row],[Princ]])</f>
        <v>22945.730000000014</v>
      </c>
      <c r="Y174" s="467">
        <f>IF(INDEX(tblContractForDeed[Payment],ROW()-ROW(tblBuyerOutputs[#Headers]))=0,0,INDEX(tblContractForDeed[Payment],ROW()-ROW(tblBuyerOutputs[#Headers]))-INDEX(tblSubjectToLoan[Payment],ROW()-ROW(tblBuyerOutputs[#Headers])))</f>
        <v>71.289999999999964</v>
      </c>
      <c r="Z17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142</v>
      </c>
      <c r="AA174"/>
      <c r="AB174" s="14">
        <f>IF(INDEX(tblContractForDeed[Payment],ROW()-ROW(tblBuyerOutputs[#Headers]))=0,0,INDEX(tblContractForDeed[Payment],ROW()-ROW(tblBuyerOutputs[#Headers]))-INDEX(tblSubjectToLoan[Payment],ROW()-ROW(tblBuyerOutputs[#Headers])))-IFERROR(tblBuyerOutputs[[#This Row],[PMI]],0)</f>
        <v>71.289999999999964</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8350.1099999999969</v>
      </c>
      <c r="AD174" s="276">
        <f>IF(INDEX(tblContractForDeed[End Bal],ROW()-ROW(tblBuyerOutputs[#Headers]))&lt;=0,0,($O$6+IF(ROW()=ROW(tblBuyerOutputs[#Headers])+1,0,INDEX(tblBuyerOutputs[Cumul Appr],ROW()-ROW(tblBuyerOutputs[#Headers])-1)))*$AK$2/12)</f>
        <v>0</v>
      </c>
      <c r="AE174" s="276">
        <f>IF(INDEX(tblContractForDeed[End Bal],ROW()-ROW(tblBuyerOutputs[#Headers]))&lt;=0,0,IF(ROW()=ROW(tblBuyerOutputs[#Headers])+1,0,INDEX(tblBuyerOutputs[Cumul Appr],ROW()-ROW(tblBuyerOutputs[#Headers])-1))+tblBuyerOutputs[[#This Row],[Monthly Appr]])</f>
        <v>0</v>
      </c>
    </row>
    <row r="175" spans="1:31" ht="15.75" thickBot="1" x14ac:dyDescent="0.3">
      <c r="A175" s="615">
        <f t="shared" si="34"/>
        <v>50520</v>
      </c>
      <c r="B175" s="332">
        <f t="shared" si="32"/>
        <v>32737.350000000031</v>
      </c>
      <c r="C175" s="21">
        <f t="shared" si="30"/>
        <v>627.88</v>
      </c>
      <c r="D175" s="21">
        <f t="shared" si="35"/>
        <v>525.58000000000004</v>
      </c>
      <c r="E175" s="21">
        <f t="shared" si="31"/>
        <v>102.3</v>
      </c>
      <c r="F175" s="21">
        <f t="shared" ref="F175:G190" si="40">+F174</f>
        <v>134.16999999999999</v>
      </c>
      <c r="G175" s="21">
        <f t="shared" si="40"/>
        <v>188.55</v>
      </c>
      <c r="H175" s="21">
        <f t="shared" si="28"/>
        <v>950.59999999999991</v>
      </c>
      <c r="I175" s="332">
        <f t="shared" si="36"/>
        <v>65320.070000000007</v>
      </c>
      <c r="J175" s="332">
        <f t="shared" si="37"/>
        <v>32933.050000000003</v>
      </c>
      <c r="K175" s="332">
        <f t="shared" si="38"/>
        <v>32211.77000000003</v>
      </c>
      <c r="L175" s="395">
        <f t="shared" si="26"/>
        <v>12</v>
      </c>
      <c r="M175" s="395">
        <f t="shared" si="33"/>
        <v>155</v>
      </c>
      <c r="N175" s="615">
        <f>INDEX(tblSubjectToLoan[Date],ROW()-ROW(tblContractForDeed[#Headers]))</f>
        <v>50520</v>
      </c>
      <c r="O175" s="332">
        <f>IF(ROW()=ROW(tblContractForDeed[#Headers])+1,$O$6,IF(INDEX(tblContractForDeed[End Bal],ROW()-ROW(tblContractForDeed[#Headers])-1)&lt;0,0,INDEX(tblContractForDeed[End Bal],ROW()-ROW(tblContractForDeed[#Headers])-1)))</f>
        <v>22945.730000000014</v>
      </c>
      <c r="P175" s="454">
        <f>IF(tblContractForDeed[[#This Row],[Date]]="","",IF(tblContractForDeed[[#This Row],[Date]]&lt;cfdRateChangeDate,cfdRate1,cfdRate2))</f>
        <v>7.7499999999999999E-2</v>
      </c>
      <c r="Q1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5" s="332">
        <f>IF(tblContractForDeed[[#This Row],[Payment]]=0,0,MAX(0,MIN(tblContractForDeed[[#This Row],[Beg]],tblContractForDeed[[#This Row],[Payment]]-tblContractForDeed[[#This Row],[Int]])))</f>
        <v>550.98</v>
      </c>
      <c r="S175" s="332">
        <f>IF(OR(tblContractForDeed[[#This Row],[Date]]&lt;cfdContractDate,tblContractForDeed[[#This Row],[Date]]&gt;cfdEndDate),0,ROUND(tblContractForDeed[[#This Row],[Beg]]*(tblContractForDeed[[#This Row],[Int Rate]]/12),2))</f>
        <v>148.19</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1021.8900000000001</v>
      </c>
      <c r="W175" s="332">
        <f>SUM(INDEX(tblContractForDeed[Princ],1):INDEX(tblContractForDeed[Princ],ROW()-ROW(tblContractForDeed[#Headers])))</f>
        <v>52863.25</v>
      </c>
      <c r="X175" s="332">
        <f>IF(tblContractForDeed[[#This Row],[Beg]]&lt;=0,0,tblContractForDeed[[#This Row],[Beg]]-tblContractForDeed[[#This Row],[Princ]])</f>
        <v>22394.750000000015</v>
      </c>
      <c r="Y175" s="468">
        <f>IF(INDEX(tblContractForDeed[Payment],ROW()-ROW(tblBuyerOutputs[#Headers]))=0,0,INDEX(tblContractForDeed[Payment],ROW()-ROW(tblBuyerOutputs[#Headers]))-INDEX(tblSubjectToLoan[Payment],ROW()-ROW(tblBuyerOutputs[#Headers])))</f>
        <v>71.289999999999964</v>
      </c>
      <c r="Z17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143</v>
      </c>
      <c r="AA175" s="23"/>
      <c r="AB175" s="21">
        <f>IF(INDEX(tblContractForDeed[Payment],ROW()-ROW(tblBuyerOutputs[#Headers]))=0,0,INDEX(tblContractForDeed[Payment],ROW()-ROW(tblBuyerOutputs[#Headers]))-INDEX(tblSubjectToLoan[Payment],ROW()-ROW(tblBuyerOutputs[#Headers])))-IFERROR(tblBuyerOutputs[[#This Row],[PMI]],0)</f>
        <v>71.289999999999964</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8421.3999999999978</v>
      </c>
      <c r="AD175" s="332">
        <f>IF(INDEX(tblContractForDeed[End Bal],ROW()-ROW(tblBuyerOutputs[#Headers]))&lt;=0,0,($O$6+IF(ROW()=ROW(tblBuyerOutputs[#Headers])+1,0,INDEX(tblBuyerOutputs[Cumul Appr],ROW()-ROW(tblBuyerOutputs[#Headers])-1)))*$AK$2/12)</f>
        <v>0</v>
      </c>
      <c r="AE175" s="332">
        <f>IF(INDEX(tblContractForDeed[End Bal],ROW()-ROW(tblBuyerOutputs[#Headers]))&lt;=0,0,IF(ROW()=ROW(tblBuyerOutputs[#Headers])+1,0,INDEX(tblBuyerOutputs[Cumul Appr],ROW()-ROW(tblBuyerOutputs[#Headers])-1))+tblBuyerOutputs[[#This Row],[Monthly Appr]])</f>
        <v>0</v>
      </c>
    </row>
    <row r="176" spans="1:31" x14ac:dyDescent="0.25">
      <c r="A176" s="613">
        <f t="shared" si="34"/>
        <v>50550</v>
      </c>
      <c r="B176" s="276">
        <f t="shared" si="32"/>
        <v>32211.77000000003</v>
      </c>
      <c r="C176" s="14">
        <f t="shared" si="30"/>
        <v>627.88</v>
      </c>
      <c r="D176" s="14">
        <f t="shared" si="35"/>
        <v>527.22</v>
      </c>
      <c r="E176" s="14">
        <f t="shared" si="31"/>
        <v>100.66</v>
      </c>
      <c r="F176" s="14">
        <f t="shared" si="40"/>
        <v>134.16999999999999</v>
      </c>
      <c r="G176" s="14">
        <f t="shared" si="40"/>
        <v>188.55</v>
      </c>
      <c r="H176" s="14">
        <f t="shared" si="28"/>
        <v>950.59999999999991</v>
      </c>
      <c r="I176" s="276">
        <f t="shared" si="36"/>
        <v>65847.290000000008</v>
      </c>
      <c r="J176" s="276">
        <f t="shared" si="37"/>
        <v>33033.710000000006</v>
      </c>
      <c r="K176" s="276">
        <f t="shared" si="38"/>
        <v>31684.550000000028</v>
      </c>
      <c r="L176" s="394">
        <f t="shared" si="26"/>
        <v>13</v>
      </c>
      <c r="M176" s="394">
        <f t="shared" si="33"/>
        <v>156</v>
      </c>
      <c r="N176" s="613">
        <f>INDEX(tblSubjectToLoan[Date],ROW()-ROW(tblContractForDeed[#Headers]))</f>
        <v>50550</v>
      </c>
      <c r="O176" s="276">
        <f>IF(ROW()=ROW(tblContractForDeed[#Headers])+1,$O$6,IF(INDEX(tblContractForDeed[End Bal],ROW()-ROW(tblContractForDeed[#Headers])-1)&lt;0,0,INDEX(tblContractForDeed[End Bal],ROW()-ROW(tblContractForDeed[#Headers])-1)))</f>
        <v>22394.750000000015</v>
      </c>
      <c r="P176" s="454">
        <f>IF(tblContractForDeed[[#This Row],[Date]]="","",IF(tblContractForDeed[[#This Row],[Date]]&lt;cfdRateChangeDate,cfdRate1,cfdRate2))</f>
        <v>7.7499999999999999E-2</v>
      </c>
      <c r="Q1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6" s="276">
        <f>IF(tblContractForDeed[[#This Row],[Payment]]=0,0,MAX(0,MIN(tblContractForDeed[[#This Row],[Beg]],tblContractForDeed[[#This Row],[Payment]]-tblContractForDeed[[#This Row],[Int]])))</f>
        <v>554.54</v>
      </c>
      <c r="S176" s="276">
        <f>IF(OR(tblContractForDeed[[#This Row],[Date]]&lt;cfdContractDate,tblContractForDeed[[#This Row],[Date]]&gt;cfdEndDate),0,ROUND(tblContractForDeed[[#This Row],[Beg]]*(tblContractForDeed[[#This Row],[Int Rate]]/12),2))</f>
        <v>144.63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1021.8899999999999</v>
      </c>
      <c r="W176" s="276">
        <f>SUM(INDEX(tblContractForDeed[Princ],1):INDEX(tblContractForDeed[Princ],ROW()-ROW(tblContractForDeed[#Headers])))</f>
        <v>53417.79</v>
      </c>
      <c r="X176" s="276">
        <f>IF(tblContractForDeed[[#This Row],[Beg]]&lt;=0,0,tblContractForDeed[[#This Row],[Beg]]-tblContractForDeed[[#This Row],[Princ]])</f>
        <v>21840.210000000014</v>
      </c>
      <c r="Y176" s="467">
        <f>IF(INDEX(tblContractForDeed[Payment],ROW()-ROW(tblBuyerOutputs[#Headers]))=0,0,INDEX(tblContractForDeed[Payment],ROW()-ROW(tblBuyerOutputs[#Headers]))-INDEX(tblSubjectToLoan[Payment],ROW()-ROW(tblBuyerOutputs[#Headers])))</f>
        <v>71.289999999999964</v>
      </c>
      <c r="Z17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144</v>
      </c>
      <c r="AA176"/>
      <c r="AB176" s="14">
        <f>IF(INDEX(tblContractForDeed[Payment],ROW()-ROW(tblBuyerOutputs[#Headers]))=0,0,INDEX(tblContractForDeed[Payment],ROW()-ROW(tblBuyerOutputs[#Headers]))-INDEX(tblSubjectToLoan[Payment],ROW()-ROW(tblBuyerOutputs[#Headers])))-IFERROR(tblBuyerOutputs[[#This Row],[PMI]],0)</f>
        <v>71.289999999999964</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8492.6899999999987</v>
      </c>
      <c r="AD176" s="276">
        <f>IF(INDEX(tblContractForDeed[End Bal],ROW()-ROW(tblBuyerOutputs[#Headers]))&lt;=0,0,($O$6+IF(ROW()=ROW(tblBuyerOutputs[#Headers])+1,0,INDEX(tblBuyerOutputs[Cumul Appr],ROW()-ROW(tblBuyerOutputs[#Headers])-1)))*$AK$2/12)</f>
        <v>0</v>
      </c>
      <c r="AE176" s="276">
        <f>IF(INDEX(tblContractForDeed[End Bal],ROW()-ROW(tblBuyerOutputs[#Headers]))&lt;=0,0,IF(ROW()=ROW(tblBuyerOutputs[#Headers])+1,0,INDEX(tblBuyerOutputs[Cumul Appr],ROW()-ROW(tblBuyerOutputs[#Headers])-1))+tblBuyerOutputs[[#This Row],[Monthly Appr]])</f>
        <v>0</v>
      </c>
    </row>
    <row r="177" spans="1:31" x14ac:dyDescent="0.25">
      <c r="A177" s="613">
        <f t="shared" si="34"/>
        <v>50580</v>
      </c>
      <c r="B177" s="276">
        <f t="shared" si="32"/>
        <v>31684.550000000028</v>
      </c>
      <c r="C177" s="14">
        <f t="shared" si="30"/>
        <v>627.88</v>
      </c>
      <c r="D177" s="14">
        <f t="shared" si="35"/>
        <v>528.87</v>
      </c>
      <c r="E177" s="14">
        <f t="shared" si="31"/>
        <v>99.01</v>
      </c>
      <c r="F177" s="14">
        <f t="shared" si="40"/>
        <v>134.16999999999999</v>
      </c>
      <c r="G177" s="14">
        <f t="shared" si="40"/>
        <v>188.55</v>
      </c>
      <c r="H177" s="14">
        <f t="shared" si="28"/>
        <v>950.59999999999991</v>
      </c>
      <c r="I177" s="276">
        <f t="shared" si="36"/>
        <v>66376.160000000003</v>
      </c>
      <c r="J177" s="276">
        <f t="shared" si="37"/>
        <v>33132.720000000008</v>
      </c>
      <c r="K177" s="276">
        <f t="shared" si="38"/>
        <v>31155.680000000029</v>
      </c>
      <c r="L177" s="394">
        <f t="shared" si="26"/>
        <v>13</v>
      </c>
      <c r="M177" s="394">
        <f t="shared" si="33"/>
        <v>157</v>
      </c>
      <c r="N177" s="613">
        <f>INDEX(tblSubjectToLoan[Date],ROW()-ROW(tblContractForDeed[#Headers]))</f>
        <v>50580</v>
      </c>
      <c r="O177" s="276">
        <f>IF(ROW()=ROW(tblContractForDeed[#Headers])+1,$O$6,IF(INDEX(tblContractForDeed[End Bal],ROW()-ROW(tblContractForDeed[#Headers])-1)&lt;0,0,INDEX(tblContractForDeed[End Bal],ROW()-ROW(tblContractForDeed[#Headers])-1)))</f>
        <v>21840.210000000014</v>
      </c>
      <c r="P177" s="454">
        <f>IF(tblContractForDeed[[#This Row],[Date]]="","",IF(tblContractForDeed[[#This Row],[Date]]&lt;cfdRateChangeDate,cfdRate1,cfdRate2))</f>
        <v>7.7499999999999999E-2</v>
      </c>
      <c r="Q1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7" s="276">
        <f>IF(tblContractForDeed[[#This Row],[Payment]]=0,0,MAX(0,MIN(tblContractForDeed[[#This Row],[Beg]],tblContractForDeed[[#This Row],[Payment]]-tblContractForDeed[[#This Row],[Int]])))</f>
        <v>558.11999999999989</v>
      </c>
      <c r="S177" s="276">
        <f>IF(OR(tblContractForDeed[[#This Row],[Date]]&lt;cfdContractDate,tblContractForDeed[[#This Row],[Date]]&gt;cfdEndDate),0,ROUND(tblContractForDeed[[#This Row],[Beg]]*(tblContractForDeed[[#This Row],[Int Rate]]/12),2))</f>
        <v>141.05000000000001</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1021.8899999999999</v>
      </c>
      <c r="W177" s="276">
        <f>SUM(INDEX(tblContractForDeed[Princ],1):INDEX(tblContractForDeed[Princ],ROW()-ROW(tblContractForDeed[#Headers])))</f>
        <v>53975.91</v>
      </c>
      <c r="X177" s="276">
        <f>IF(tblContractForDeed[[#This Row],[Beg]]&lt;=0,0,tblContractForDeed[[#This Row],[Beg]]-tblContractForDeed[[#This Row],[Princ]])</f>
        <v>21282.090000000015</v>
      </c>
      <c r="Y177" s="467">
        <f>IF(INDEX(tblContractForDeed[Payment],ROW()-ROW(tblBuyerOutputs[#Headers]))=0,0,INDEX(tblContractForDeed[Payment],ROW()-ROW(tblBuyerOutputs[#Headers]))-INDEX(tblSubjectToLoan[Payment],ROW()-ROW(tblBuyerOutputs[#Headers])))</f>
        <v>71.289999999999964</v>
      </c>
      <c r="Z17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145</v>
      </c>
      <c r="AA177"/>
      <c r="AB177" s="14">
        <f>IF(INDEX(tblContractForDeed[Payment],ROW()-ROW(tblBuyerOutputs[#Headers]))=0,0,INDEX(tblContractForDeed[Payment],ROW()-ROW(tblBuyerOutputs[#Headers]))-INDEX(tblSubjectToLoan[Payment],ROW()-ROW(tblBuyerOutputs[#Headers])))-IFERROR(tblBuyerOutputs[[#This Row],[PMI]],0)</f>
        <v>71.289999999999964</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8563.98</v>
      </c>
      <c r="AD177" s="276">
        <f>IF(INDEX(tblContractForDeed[End Bal],ROW()-ROW(tblBuyerOutputs[#Headers]))&lt;=0,0,($O$6+IF(ROW()=ROW(tblBuyerOutputs[#Headers])+1,0,INDEX(tblBuyerOutputs[Cumul Appr],ROW()-ROW(tblBuyerOutputs[#Headers])-1)))*$AK$2/12)</f>
        <v>0</v>
      </c>
      <c r="AE177" s="276">
        <f>IF(INDEX(tblContractForDeed[End Bal],ROW()-ROW(tblBuyerOutputs[#Headers]))&lt;=0,0,IF(ROW()=ROW(tblBuyerOutputs[#Headers])+1,0,INDEX(tblBuyerOutputs[Cumul Appr],ROW()-ROW(tblBuyerOutputs[#Headers])-1))+tblBuyerOutputs[[#This Row],[Monthly Appr]])</f>
        <v>0</v>
      </c>
    </row>
    <row r="178" spans="1:31" x14ac:dyDescent="0.25">
      <c r="A178" s="613">
        <f t="shared" si="34"/>
        <v>50610</v>
      </c>
      <c r="B178" s="276">
        <f t="shared" si="32"/>
        <v>31155.680000000029</v>
      </c>
      <c r="C178" s="14">
        <f t="shared" si="30"/>
        <v>627.88</v>
      </c>
      <c r="D178" s="14">
        <f t="shared" si="35"/>
        <v>530.52</v>
      </c>
      <c r="E178" s="14">
        <f t="shared" si="31"/>
        <v>97.36</v>
      </c>
      <c r="F178" s="14">
        <f t="shared" si="40"/>
        <v>134.16999999999999</v>
      </c>
      <c r="G178" s="14">
        <f t="shared" si="40"/>
        <v>188.55</v>
      </c>
      <c r="H178" s="14">
        <f t="shared" si="28"/>
        <v>950.59999999999991</v>
      </c>
      <c r="I178" s="276">
        <f t="shared" si="36"/>
        <v>66906.680000000008</v>
      </c>
      <c r="J178" s="276">
        <f t="shared" si="37"/>
        <v>33230.080000000009</v>
      </c>
      <c r="K178" s="276">
        <f t="shared" si="38"/>
        <v>30625.160000000029</v>
      </c>
      <c r="L178" s="394">
        <f t="shared" si="26"/>
        <v>13</v>
      </c>
      <c r="M178" s="394">
        <f t="shared" si="33"/>
        <v>158</v>
      </c>
      <c r="N178" s="613">
        <f>INDEX(tblSubjectToLoan[Date],ROW()-ROW(tblContractForDeed[#Headers]))</f>
        <v>50610</v>
      </c>
      <c r="O178" s="276">
        <f>IF(ROW()=ROW(tblContractForDeed[#Headers])+1,$O$6,IF(INDEX(tblContractForDeed[End Bal],ROW()-ROW(tblContractForDeed[#Headers])-1)&lt;0,0,INDEX(tblContractForDeed[End Bal],ROW()-ROW(tblContractForDeed[#Headers])-1)))</f>
        <v>21282.090000000015</v>
      </c>
      <c r="P178" s="454">
        <f>IF(tblContractForDeed[[#This Row],[Date]]="","",IF(tblContractForDeed[[#This Row],[Date]]&lt;cfdRateChangeDate,cfdRate1,cfdRate2))</f>
        <v>7.7499999999999999E-2</v>
      </c>
      <c r="Q1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8" s="276">
        <f>IF(tblContractForDeed[[#This Row],[Payment]]=0,0,MAX(0,MIN(tblContractForDeed[[#This Row],[Beg]],tblContractForDeed[[#This Row],[Payment]]-tblContractForDeed[[#This Row],[Int]])))</f>
        <v>561.72</v>
      </c>
      <c r="S178" s="276">
        <f>IF(OR(tblContractForDeed[[#This Row],[Date]]&lt;cfdContractDate,tblContractForDeed[[#This Row],[Date]]&gt;cfdEndDate),0,ROUND(tblContractForDeed[[#This Row],[Beg]]*(tblContractForDeed[[#This Row],[Int Rate]]/12),2))</f>
        <v>137.44999999999999</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1021.8900000000001</v>
      </c>
      <c r="W178" s="276">
        <f>SUM(INDEX(tblContractForDeed[Princ],1):INDEX(tblContractForDeed[Princ],ROW()-ROW(tblContractForDeed[#Headers])))</f>
        <v>54537.630000000005</v>
      </c>
      <c r="X178" s="276">
        <f>IF(tblContractForDeed[[#This Row],[Beg]]&lt;=0,0,tblContractForDeed[[#This Row],[Beg]]-tblContractForDeed[[#This Row],[Princ]])</f>
        <v>20720.370000000014</v>
      </c>
      <c r="Y178" s="467">
        <f>IF(INDEX(tblContractForDeed[Payment],ROW()-ROW(tblBuyerOutputs[#Headers]))=0,0,INDEX(tblContractForDeed[Payment],ROW()-ROW(tblBuyerOutputs[#Headers]))-INDEX(tblSubjectToLoan[Payment],ROW()-ROW(tblBuyerOutputs[#Headers])))</f>
        <v>71.289999999999964</v>
      </c>
      <c r="Z17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146</v>
      </c>
      <c r="AA178"/>
      <c r="AB178" s="14">
        <f>IF(INDEX(tblContractForDeed[Payment],ROW()-ROW(tblBuyerOutputs[#Headers]))=0,0,INDEX(tblContractForDeed[Payment],ROW()-ROW(tblBuyerOutputs[#Headers]))-INDEX(tblSubjectToLoan[Payment],ROW()-ROW(tblBuyerOutputs[#Headers])))-IFERROR(tblBuyerOutputs[[#This Row],[PMI]],0)</f>
        <v>71.289999999999964</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8635.27</v>
      </c>
      <c r="AD178" s="276">
        <f>IF(INDEX(tblContractForDeed[End Bal],ROW()-ROW(tblBuyerOutputs[#Headers]))&lt;=0,0,($O$6+IF(ROW()=ROW(tblBuyerOutputs[#Headers])+1,0,INDEX(tblBuyerOutputs[Cumul Appr],ROW()-ROW(tblBuyerOutputs[#Headers])-1)))*$AK$2/12)</f>
        <v>0</v>
      </c>
      <c r="AE178" s="276">
        <f>IF(INDEX(tblContractForDeed[End Bal],ROW()-ROW(tblBuyerOutputs[#Headers]))&lt;=0,0,IF(ROW()=ROW(tblBuyerOutputs[#Headers])+1,0,INDEX(tblBuyerOutputs[Cumul Appr],ROW()-ROW(tblBuyerOutputs[#Headers])-1))+tblBuyerOutputs[[#This Row],[Monthly Appr]])</f>
        <v>0</v>
      </c>
    </row>
    <row r="179" spans="1:31" x14ac:dyDescent="0.25">
      <c r="A179" s="613">
        <f t="shared" si="34"/>
        <v>50640</v>
      </c>
      <c r="B179" s="276">
        <f t="shared" si="32"/>
        <v>30625.160000000029</v>
      </c>
      <c r="C179" s="14">
        <f t="shared" si="30"/>
        <v>627.88</v>
      </c>
      <c r="D179" s="14">
        <f t="shared" si="35"/>
        <v>532.17999999999995</v>
      </c>
      <c r="E179" s="14">
        <f t="shared" si="31"/>
        <v>95.7</v>
      </c>
      <c r="F179" s="14">
        <f t="shared" si="40"/>
        <v>134.16999999999999</v>
      </c>
      <c r="G179" s="14">
        <f t="shared" si="40"/>
        <v>188.55</v>
      </c>
      <c r="H179" s="14">
        <f t="shared" si="28"/>
        <v>950.59999999999991</v>
      </c>
      <c r="I179" s="276">
        <f t="shared" si="36"/>
        <v>67438.86</v>
      </c>
      <c r="J179" s="276">
        <f t="shared" si="37"/>
        <v>33325.780000000006</v>
      </c>
      <c r="K179" s="276">
        <f t="shared" si="38"/>
        <v>30092.980000000029</v>
      </c>
      <c r="L179" s="394">
        <f t="shared" si="26"/>
        <v>13</v>
      </c>
      <c r="M179" s="394">
        <f t="shared" si="33"/>
        <v>159</v>
      </c>
      <c r="N179" s="613">
        <f>INDEX(tblSubjectToLoan[Date],ROW()-ROW(tblContractForDeed[#Headers]))</f>
        <v>50640</v>
      </c>
      <c r="O179" s="276">
        <f>IF(ROW()=ROW(tblContractForDeed[#Headers])+1,$O$6,IF(INDEX(tblContractForDeed[End Bal],ROW()-ROW(tblContractForDeed[#Headers])-1)&lt;0,0,INDEX(tblContractForDeed[End Bal],ROW()-ROW(tblContractForDeed[#Headers])-1)))</f>
        <v>20720.370000000014</v>
      </c>
      <c r="P179" s="454">
        <f>IF(tblContractForDeed[[#This Row],[Date]]="","",IF(tblContractForDeed[[#This Row],[Date]]&lt;cfdRateChangeDate,cfdRate1,cfdRate2))</f>
        <v>7.7499999999999999E-2</v>
      </c>
      <c r="Q1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9" s="276">
        <f>IF(tblContractForDeed[[#This Row],[Payment]]=0,0,MAX(0,MIN(tblContractForDeed[[#This Row],[Beg]],tblContractForDeed[[#This Row],[Payment]]-tblContractForDeed[[#This Row],[Int]])))</f>
        <v>565.34999999999991</v>
      </c>
      <c r="S179" s="276">
        <f>IF(OR(tblContractForDeed[[#This Row],[Date]]&lt;cfdContractDate,tblContractForDeed[[#This Row],[Date]]&gt;cfdEndDate),0,ROUND(tblContractForDeed[[#This Row],[Beg]]*(tblContractForDeed[[#This Row],[Int Rate]]/12),2))</f>
        <v>133.82</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1021.8899999999999</v>
      </c>
      <c r="W179" s="276">
        <f>SUM(INDEX(tblContractForDeed[Princ],1):INDEX(tblContractForDeed[Princ],ROW()-ROW(tblContractForDeed[#Headers])))</f>
        <v>55102.98</v>
      </c>
      <c r="X179" s="276">
        <f>IF(tblContractForDeed[[#This Row],[Beg]]&lt;=0,0,tblContractForDeed[[#This Row],[Beg]]-tblContractForDeed[[#This Row],[Princ]])</f>
        <v>20155.020000000015</v>
      </c>
      <c r="Y179" s="467">
        <f>IF(INDEX(tblContractForDeed[Payment],ROW()-ROW(tblBuyerOutputs[#Headers]))=0,0,INDEX(tblContractForDeed[Payment],ROW()-ROW(tblBuyerOutputs[#Headers]))-INDEX(tblSubjectToLoan[Payment],ROW()-ROW(tblBuyerOutputs[#Headers])))</f>
        <v>71.289999999999964</v>
      </c>
      <c r="Z17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147</v>
      </c>
      <c r="AA179"/>
      <c r="AB179" s="14">
        <f>IF(INDEX(tblContractForDeed[Payment],ROW()-ROW(tblBuyerOutputs[#Headers]))=0,0,INDEX(tblContractForDeed[Payment],ROW()-ROW(tblBuyerOutputs[#Headers]))-INDEX(tblSubjectToLoan[Payment],ROW()-ROW(tblBuyerOutputs[#Headers])))-IFERROR(tblBuyerOutputs[[#This Row],[PMI]],0)</f>
        <v>71.289999999999964</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8706.5600000000013</v>
      </c>
      <c r="AD179" s="276">
        <f>IF(INDEX(tblContractForDeed[End Bal],ROW()-ROW(tblBuyerOutputs[#Headers]))&lt;=0,0,($O$6+IF(ROW()=ROW(tblBuyerOutputs[#Headers])+1,0,INDEX(tblBuyerOutputs[Cumul Appr],ROW()-ROW(tblBuyerOutputs[#Headers])-1)))*$AK$2/12)</f>
        <v>0</v>
      </c>
      <c r="AE179" s="276">
        <f>IF(INDEX(tblContractForDeed[End Bal],ROW()-ROW(tblBuyerOutputs[#Headers]))&lt;=0,0,IF(ROW()=ROW(tblBuyerOutputs[#Headers])+1,0,INDEX(tblBuyerOutputs[Cumul Appr],ROW()-ROW(tblBuyerOutputs[#Headers])-1))+tblBuyerOutputs[[#This Row],[Monthly Appr]])</f>
        <v>0</v>
      </c>
    </row>
    <row r="180" spans="1:31" x14ac:dyDescent="0.25">
      <c r="A180" s="613">
        <f t="shared" si="34"/>
        <v>50670</v>
      </c>
      <c r="B180" s="276">
        <f t="shared" si="32"/>
        <v>30092.980000000029</v>
      </c>
      <c r="C180" s="14">
        <f t="shared" si="30"/>
        <v>627.88</v>
      </c>
      <c r="D180" s="14">
        <f t="shared" si="35"/>
        <v>533.84</v>
      </c>
      <c r="E180" s="14">
        <f t="shared" si="31"/>
        <v>94.04</v>
      </c>
      <c r="F180" s="14">
        <f t="shared" si="40"/>
        <v>134.16999999999999</v>
      </c>
      <c r="G180" s="14">
        <f t="shared" si="40"/>
        <v>188.55</v>
      </c>
      <c r="H180" s="14">
        <f t="shared" si="28"/>
        <v>950.59999999999991</v>
      </c>
      <c r="I180" s="276">
        <f t="shared" si="36"/>
        <v>67972.7</v>
      </c>
      <c r="J180" s="276">
        <f t="shared" si="37"/>
        <v>33419.820000000007</v>
      </c>
      <c r="K180" s="276">
        <f t="shared" si="38"/>
        <v>29559.140000000029</v>
      </c>
      <c r="L180" s="394">
        <f t="shared" ref="L180:L243" si="41">IF(MOD(M180,12)=0,M180/12,L179)</f>
        <v>13</v>
      </c>
      <c r="M180" s="394">
        <f t="shared" si="33"/>
        <v>160</v>
      </c>
      <c r="N180" s="613">
        <f>INDEX(tblSubjectToLoan[Date],ROW()-ROW(tblContractForDeed[#Headers]))</f>
        <v>50670</v>
      </c>
      <c r="O180" s="276">
        <f>IF(ROW()=ROW(tblContractForDeed[#Headers])+1,$O$6,IF(INDEX(tblContractForDeed[End Bal],ROW()-ROW(tblContractForDeed[#Headers])-1)&lt;0,0,INDEX(tblContractForDeed[End Bal],ROW()-ROW(tblContractForDeed[#Headers])-1)))</f>
        <v>20155.020000000015</v>
      </c>
      <c r="P180" s="454">
        <f>IF(tblContractForDeed[[#This Row],[Date]]="","",IF(tblContractForDeed[[#This Row],[Date]]&lt;cfdRateChangeDate,cfdRate1,cfdRate2))</f>
        <v>7.7499999999999999E-2</v>
      </c>
      <c r="Q1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0" s="276">
        <f>IF(tblContractForDeed[[#This Row],[Payment]]=0,0,MAX(0,MIN(tblContractForDeed[[#This Row],[Beg]],tblContractForDeed[[#This Row],[Payment]]-tblContractForDeed[[#This Row],[Int]])))</f>
        <v>569</v>
      </c>
      <c r="S180" s="276">
        <f>IF(OR(tblContractForDeed[[#This Row],[Date]]&lt;cfdContractDate,tblContractForDeed[[#This Row],[Date]]&gt;cfdEndDate),0,ROUND(tblContractForDeed[[#This Row],[Beg]]*(tblContractForDeed[[#This Row],[Int Rate]]/12),2))</f>
        <v>130.16999999999999</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1021.8899999999999</v>
      </c>
      <c r="W180" s="276">
        <f>SUM(INDEX(tblContractForDeed[Princ],1):INDEX(tblContractForDeed[Princ],ROW()-ROW(tblContractForDeed[#Headers])))</f>
        <v>55671.98</v>
      </c>
      <c r="X180" s="276">
        <f>IF(tblContractForDeed[[#This Row],[Beg]]&lt;=0,0,tblContractForDeed[[#This Row],[Beg]]-tblContractForDeed[[#This Row],[Princ]])</f>
        <v>19586.020000000015</v>
      </c>
      <c r="Y180" s="467">
        <f>IF(INDEX(tblContractForDeed[Payment],ROW()-ROW(tblBuyerOutputs[#Headers]))=0,0,INDEX(tblContractForDeed[Payment],ROW()-ROW(tblBuyerOutputs[#Headers]))-INDEX(tblSubjectToLoan[Payment],ROW()-ROW(tblBuyerOutputs[#Headers])))</f>
        <v>71.289999999999964</v>
      </c>
      <c r="Z18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148</v>
      </c>
      <c r="AA180"/>
      <c r="AB180" s="14">
        <f>IF(INDEX(tblContractForDeed[Payment],ROW()-ROW(tblBuyerOutputs[#Headers]))=0,0,INDEX(tblContractForDeed[Payment],ROW()-ROW(tblBuyerOutputs[#Headers]))-INDEX(tblSubjectToLoan[Payment],ROW()-ROW(tblBuyerOutputs[#Headers])))-IFERROR(tblBuyerOutputs[[#This Row],[PMI]],0)</f>
        <v>71.289999999999964</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8777.8500000000022</v>
      </c>
      <c r="AD180" s="276">
        <f>IF(INDEX(tblContractForDeed[End Bal],ROW()-ROW(tblBuyerOutputs[#Headers]))&lt;=0,0,($O$6+IF(ROW()=ROW(tblBuyerOutputs[#Headers])+1,0,INDEX(tblBuyerOutputs[Cumul Appr],ROW()-ROW(tblBuyerOutputs[#Headers])-1)))*$AK$2/12)</f>
        <v>0</v>
      </c>
      <c r="AE180" s="276">
        <f>IF(INDEX(tblContractForDeed[End Bal],ROW()-ROW(tblBuyerOutputs[#Headers]))&lt;=0,0,IF(ROW()=ROW(tblBuyerOutputs[#Headers])+1,0,INDEX(tblBuyerOutputs[Cumul Appr],ROW()-ROW(tblBuyerOutputs[#Headers])-1))+tblBuyerOutputs[[#This Row],[Monthly Appr]])</f>
        <v>0</v>
      </c>
    </row>
    <row r="181" spans="1:31" x14ac:dyDescent="0.25">
      <c r="A181" s="613">
        <f t="shared" si="34"/>
        <v>50700</v>
      </c>
      <c r="B181" s="276">
        <f t="shared" si="32"/>
        <v>29559.140000000029</v>
      </c>
      <c r="C181" s="14">
        <f t="shared" si="30"/>
        <v>627.88</v>
      </c>
      <c r="D181" s="14">
        <f t="shared" si="35"/>
        <v>535.51</v>
      </c>
      <c r="E181" s="14">
        <f t="shared" si="31"/>
        <v>92.37</v>
      </c>
      <c r="F181" s="14">
        <f t="shared" si="40"/>
        <v>134.16999999999999</v>
      </c>
      <c r="G181" s="14">
        <f t="shared" si="40"/>
        <v>188.55</v>
      </c>
      <c r="H181" s="14">
        <f t="shared" si="28"/>
        <v>950.59999999999991</v>
      </c>
      <c r="I181" s="276">
        <f t="shared" si="36"/>
        <v>68508.209999999992</v>
      </c>
      <c r="J181" s="276">
        <f t="shared" si="37"/>
        <v>33512.19000000001</v>
      </c>
      <c r="K181" s="276">
        <f t="shared" si="38"/>
        <v>29023.63000000003</v>
      </c>
      <c r="L181" s="394">
        <f t="shared" si="41"/>
        <v>13</v>
      </c>
      <c r="M181" s="394">
        <f t="shared" si="33"/>
        <v>161</v>
      </c>
      <c r="N181" s="613">
        <f>INDEX(tblSubjectToLoan[Date],ROW()-ROW(tblContractForDeed[#Headers]))</f>
        <v>50700</v>
      </c>
      <c r="O181" s="276">
        <f>IF(ROW()=ROW(tblContractForDeed[#Headers])+1,$O$6,IF(INDEX(tblContractForDeed[End Bal],ROW()-ROW(tblContractForDeed[#Headers])-1)&lt;0,0,INDEX(tblContractForDeed[End Bal],ROW()-ROW(tblContractForDeed[#Headers])-1)))</f>
        <v>19586.020000000015</v>
      </c>
      <c r="P181" s="454">
        <f>IF(tblContractForDeed[[#This Row],[Date]]="","",IF(tblContractForDeed[[#This Row],[Date]]&lt;cfdRateChangeDate,cfdRate1,cfdRate2))</f>
        <v>7.7499999999999999E-2</v>
      </c>
      <c r="Q1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1" s="276">
        <f>IF(tblContractForDeed[[#This Row],[Payment]]=0,0,MAX(0,MIN(tblContractForDeed[[#This Row],[Beg]],tblContractForDeed[[#This Row],[Payment]]-tblContractForDeed[[#This Row],[Int]])))</f>
        <v>572.67999999999995</v>
      </c>
      <c r="S181" s="276">
        <f>IF(OR(tblContractForDeed[[#This Row],[Date]]&lt;cfdContractDate,tblContractForDeed[[#This Row],[Date]]&gt;cfdEndDate),0,ROUND(tblContractForDeed[[#This Row],[Beg]]*(tblContractForDeed[[#This Row],[Int Rate]]/12),2))</f>
        <v>126.49</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1021.8899999999999</v>
      </c>
      <c r="W181" s="276">
        <f>SUM(INDEX(tblContractForDeed[Princ],1):INDEX(tblContractForDeed[Princ],ROW()-ROW(tblContractForDeed[#Headers])))</f>
        <v>56244.66</v>
      </c>
      <c r="X181" s="276">
        <f>IF(tblContractForDeed[[#This Row],[Beg]]&lt;=0,0,tblContractForDeed[[#This Row],[Beg]]-tblContractForDeed[[#This Row],[Princ]])</f>
        <v>19013.340000000015</v>
      </c>
      <c r="Y181" s="467">
        <f>IF(INDEX(tblContractForDeed[Payment],ROW()-ROW(tblBuyerOutputs[#Headers]))=0,0,INDEX(tblContractForDeed[Payment],ROW()-ROW(tblBuyerOutputs[#Headers]))-INDEX(tblSubjectToLoan[Payment],ROW()-ROW(tblBuyerOutputs[#Headers])))</f>
        <v>71.289999999999964</v>
      </c>
      <c r="Z18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149</v>
      </c>
      <c r="AA181"/>
      <c r="AB181" s="14">
        <f>IF(INDEX(tblContractForDeed[Payment],ROW()-ROW(tblBuyerOutputs[#Headers]))=0,0,INDEX(tblContractForDeed[Payment],ROW()-ROW(tblBuyerOutputs[#Headers]))-INDEX(tblSubjectToLoan[Payment],ROW()-ROW(tblBuyerOutputs[#Headers])))-IFERROR(tblBuyerOutputs[[#This Row],[PMI]],0)</f>
        <v>71.289999999999964</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8849.1400000000031</v>
      </c>
      <c r="AD181" s="276">
        <f>IF(INDEX(tblContractForDeed[End Bal],ROW()-ROW(tblBuyerOutputs[#Headers]))&lt;=0,0,($O$6+IF(ROW()=ROW(tblBuyerOutputs[#Headers])+1,0,INDEX(tblBuyerOutputs[Cumul Appr],ROW()-ROW(tblBuyerOutputs[#Headers])-1)))*$AK$2/12)</f>
        <v>0</v>
      </c>
      <c r="AE181" s="276">
        <f>IF(INDEX(tblContractForDeed[End Bal],ROW()-ROW(tblBuyerOutputs[#Headers]))&lt;=0,0,IF(ROW()=ROW(tblBuyerOutputs[#Headers])+1,0,INDEX(tblBuyerOutputs[Cumul Appr],ROW()-ROW(tblBuyerOutputs[#Headers])-1))+tblBuyerOutputs[[#This Row],[Monthly Appr]])</f>
        <v>0</v>
      </c>
    </row>
    <row r="182" spans="1:31" x14ac:dyDescent="0.25">
      <c r="A182" s="613">
        <f t="shared" si="34"/>
        <v>50730</v>
      </c>
      <c r="B182" s="276">
        <f t="shared" si="32"/>
        <v>29023.63000000003</v>
      </c>
      <c r="C182" s="14">
        <f t="shared" si="30"/>
        <v>627.88</v>
      </c>
      <c r="D182" s="14">
        <f t="shared" si="35"/>
        <v>537.17999999999995</v>
      </c>
      <c r="E182" s="14">
        <f t="shared" si="31"/>
        <v>90.7</v>
      </c>
      <c r="F182" s="14">
        <f t="shared" si="40"/>
        <v>134.16999999999999</v>
      </c>
      <c r="G182" s="14">
        <f t="shared" si="40"/>
        <v>188.55</v>
      </c>
      <c r="H182" s="14">
        <f t="shared" si="28"/>
        <v>950.59999999999991</v>
      </c>
      <c r="I182" s="276">
        <f t="shared" si="36"/>
        <v>69045.389999999985</v>
      </c>
      <c r="J182" s="276">
        <f t="shared" si="37"/>
        <v>33602.890000000007</v>
      </c>
      <c r="K182" s="276">
        <f t="shared" si="38"/>
        <v>28486.45000000003</v>
      </c>
      <c r="L182" s="394">
        <f t="shared" si="41"/>
        <v>13</v>
      </c>
      <c r="M182" s="394">
        <f t="shared" si="33"/>
        <v>162</v>
      </c>
      <c r="N182" s="613">
        <f>INDEX(tblSubjectToLoan[Date],ROW()-ROW(tblContractForDeed[#Headers]))</f>
        <v>50730</v>
      </c>
      <c r="O182" s="276">
        <f>IF(ROW()=ROW(tblContractForDeed[#Headers])+1,$O$6,IF(INDEX(tblContractForDeed[End Bal],ROW()-ROW(tblContractForDeed[#Headers])-1)&lt;0,0,INDEX(tblContractForDeed[End Bal],ROW()-ROW(tblContractForDeed[#Headers])-1)))</f>
        <v>19013.340000000015</v>
      </c>
      <c r="P182" s="454">
        <f>IF(tblContractForDeed[[#This Row],[Date]]="","",IF(tblContractForDeed[[#This Row],[Date]]&lt;cfdRateChangeDate,cfdRate1,cfdRate2))</f>
        <v>7.7499999999999999E-2</v>
      </c>
      <c r="Q1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2" s="276">
        <f>IF(tblContractForDeed[[#This Row],[Payment]]=0,0,MAX(0,MIN(tblContractForDeed[[#This Row],[Beg]],tblContractForDeed[[#This Row],[Payment]]-tblContractForDeed[[#This Row],[Int]])))</f>
        <v>576.38</v>
      </c>
      <c r="S182" s="276">
        <f>IF(OR(tblContractForDeed[[#This Row],[Date]]&lt;cfdContractDate,tblContractForDeed[[#This Row],[Date]]&gt;cfdEndDate),0,ROUND(tblContractForDeed[[#This Row],[Beg]]*(tblContractForDeed[[#This Row],[Int Rate]]/12),2))</f>
        <v>122.79</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1021.8899999999999</v>
      </c>
      <c r="W182" s="276">
        <f>SUM(INDEX(tblContractForDeed[Princ],1):INDEX(tblContractForDeed[Princ],ROW()-ROW(tblContractForDeed[#Headers])))</f>
        <v>56821.04</v>
      </c>
      <c r="X182" s="276">
        <f>IF(tblContractForDeed[[#This Row],[Beg]]&lt;=0,0,tblContractForDeed[[#This Row],[Beg]]-tblContractForDeed[[#This Row],[Princ]])</f>
        <v>18436.960000000014</v>
      </c>
      <c r="Y182" s="467">
        <f>IF(INDEX(tblContractForDeed[Payment],ROW()-ROW(tblBuyerOutputs[#Headers]))=0,0,INDEX(tblContractForDeed[Payment],ROW()-ROW(tblBuyerOutputs[#Headers]))-INDEX(tblSubjectToLoan[Payment],ROW()-ROW(tblBuyerOutputs[#Headers])))</f>
        <v>71.289999999999964</v>
      </c>
      <c r="Z18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150</v>
      </c>
      <c r="AA182"/>
      <c r="AB182" s="14">
        <f>IF(INDEX(tblContractForDeed[Payment],ROW()-ROW(tblBuyerOutputs[#Headers]))=0,0,INDEX(tblContractForDeed[Payment],ROW()-ROW(tblBuyerOutputs[#Headers]))-INDEX(tblSubjectToLoan[Payment],ROW()-ROW(tblBuyerOutputs[#Headers])))-IFERROR(tblBuyerOutputs[[#This Row],[PMI]],0)</f>
        <v>71.289999999999964</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8920.4300000000039</v>
      </c>
      <c r="AD182" s="276">
        <f>IF(INDEX(tblContractForDeed[End Bal],ROW()-ROW(tblBuyerOutputs[#Headers]))&lt;=0,0,($O$6+IF(ROW()=ROW(tblBuyerOutputs[#Headers])+1,0,INDEX(tblBuyerOutputs[Cumul Appr],ROW()-ROW(tblBuyerOutputs[#Headers])-1)))*$AK$2/12)</f>
        <v>0</v>
      </c>
      <c r="AE182" s="276">
        <f>IF(INDEX(tblContractForDeed[End Bal],ROW()-ROW(tblBuyerOutputs[#Headers]))&lt;=0,0,IF(ROW()=ROW(tblBuyerOutputs[#Headers])+1,0,INDEX(tblBuyerOutputs[Cumul Appr],ROW()-ROW(tblBuyerOutputs[#Headers])-1))+tblBuyerOutputs[[#This Row],[Monthly Appr]])</f>
        <v>0</v>
      </c>
    </row>
    <row r="183" spans="1:31" x14ac:dyDescent="0.25">
      <c r="A183" s="613">
        <f t="shared" si="34"/>
        <v>50760</v>
      </c>
      <c r="B183" s="276">
        <f t="shared" si="32"/>
        <v>28486.45000000003</v>
      </c>
      <c r="C183" s="14">
        <f t="shared" si="30"/>
        <v>627.88</v>
      </c>
      <c r="D183" s="14">
        <f t="shared" si="35"/>
        <v>538.86</v>
      </c>
      <c r="E183" s="14">
        <f t="shared" si="31"/>
        <v>89.02</v>
      </c>
      <c r="F183" s="14">
        <f t="shared" si="40"/>
        <v>134.16999999999999</v>
      </c>
      <c r="G183" s="14">
        <f t="shared" si="40"/>
        <v>188.55</v>
      </c>
      <c r="H183" s="14">
        <f t="shared" si="28"/>
        <v>950.59999999999991</v>
      </c>
      <c r="I183" s="276">
        <f t="shared" si="36"/>
        <v>69584.249999999985</v>
      </c>
      <c r="J183" s="276">
        <f t="shared" si="37"/>
        <v>33691.910000000003</v>
      </c>
      <c r="K183" s="276">
        <f t="shared" si="38"/>
        <v>27947.590000000029</v>
      </c>
      <c r="L183" s="394">
        <f t="shared" si="41"/>
        <v>13</v>
      </c>
      <c r="M183" s="394">
        <f t="shared" si="33"/>
        <v>163</v>
      </c>
      <c r="N183" s="613">
        <f>INDEX(tblSubjectToLoan[Date],ROW()-ROW(tblContractForDeed[#Headers]))</f>
        <v>50760</v>
      </c>
      <c r="O183" s="276">
        <f>IF(ROW()=ROW(tblContractForDeed[#Headers])+1,$O$6,IF(INDEX(tblContractForDeed[End Bal],ROW()-ROW(tblContractForDeed[#Headers])-1)&lt;0,0,INDEX(tblContractForDeed[End Bal],ROW()-ROW(tblContractForDeed[#Headers])-1)))</f>
        <v>18436.960000000014</v>
      </c>
      <c r="P183" s="454">
        <f>IF(tblContractForDeed[[#This Row],[Date]]="","",IF(tblContractForDeed[[#This Row],[Date]]&lt;cfdRateChangeDate,cfdRate1,cfdRate2))</f>
        <v>7.7499999999999999E-2</v>
      </c>
      <c r="Q1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3" s="276">
        <f>IF(tblContractForDeed[[#This Row],[Payment]]=0,0,MAX(0,MIN(tblContractForDeed[[#This Row],[Beg]],tblContractForDeed[[#This Row],[Payment]]-tblContractForDeed[[#This Row],[Int]])))</f>
        <v>580.09999999999991</v>
      </c>
      <c r="S183" s="276">
        <f>IF(OR(tblContractForDeed[[#This Row],[Date]]&lt;cfdContractDate,tblContractForDeed[[#This Row],[Date]]&gt;cfdEndDate),0,ROUND(tblContractForDeed[[#This Row],[Beg]]*(tblContractForDeed[[#This Row],[Int Rate]]/12),2))</f>
        <v>119.07</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1021.8899999999999</v>
      </c>
      <c r="W183" s="276">
        <f>SUM(INDEX(tblContractForDeed[Princ],1):INDEX(tblContractForDeed[Princ],ROW()-ROW(tblContractForDeed[#Headers])))</f>
        <v>57401.14</v>
      </c>
      <c r="X183" s="276">
        <f>IF(tblContractForDeed[[#This Row],[Beg]]&lt;=0,0,tblContractForDeed[[#This Row],[Beg]]-tblContractForDeed[[#This Row],[Princ]])</f>
        <v>17856.860000000015</v>
      </c>
      <c r="Y183" s="467">
        <f>IF(INDEX(tblContractForDeed[Payment],ROW()-ROW(tblBuyerOutputs[#Headers]))=0,0,INDEX(tblContractForDeed[Payment],ROW()-ROW(tblBuyerOutputs[#Headers]))-INDEX(tblSubjectToLoan[Payment],ROW()-ROW(tblBuyerOutputs[#Headers])))</f>
        <v>71.289999999999964</v>
      </c>
      <c r="Z18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151</v>
      </c>
      <c r="AA183"/>
      <c r="AB183" s="14">
        <f>IF(INDEX(tblContractForDeed[Payment],ROW()-ROW(tblBuyerOutputs[#Headers]))=0,0,INDEX(tblContractForDeed[Payment],ROW()-ROW(tblBuyerOutputs[#Headers]))-INDEX(tblSubjectToLoan[Payment],ROW()-ROW(tblBuyerOutputs[#Headers])))-IFERROR(tblBuyerOutputs[[#This Row],[PMI]],0)</f>
        <v>71.289999999999964</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8991.7200000000048</v>
      </c>
      <c r="AD183" s="276">
        <f>IF(INDEX(tblContractForDeed[End Bal],ROW()-ROW(tblBuyerOutputs[#Headers]))&lt;=0,0,($O$6+IF(ROW()=ROW(tblBuyerOutputs[#Headers])+1,0,INDEX(tblBuyerOutputs[Cumul Appr],ROW()-ROW(tblBuyerOutputs[#Headers])-1)))*$AK$2/12)</f>
        <v>0</v>
      </c>
      <c r="AE183" s="276">
        <f>IF(INDEX(tblContractForDeed[End Bal],ROW()-ROW(tblBuyerOutputs[#Headers]))&lt;=0,0,IF(ROW()=ROW(tblBuyerOutputs[#Headers])+1,0,INDEX(tblBuyerOutputs[Cumul Appr],ROW()-ROW(tblBuyerOutputs[#Headers])-1))+tblBuyerOutputs[[#This Row],[Monthly Appr]])</f>
        <v>0</v>
      </c>
    </row>
    <row r="184" spans="1:31" x14ac:dyDescent="0.25">
      <c r="A184" s="613">
        <f t="shared" si="34"/>
        <v>50790</v>
      </c>
      <c r="B184" s="276">
        <f t="shared" si="32"/>
        <v>27947.590000000029</v>
      </c>
      <c r="C184" s="14">
        <f t="shared" si="30"/>
        <v>627.88</v>
      </c>
      <c r="D184" s="14">
        <f t="shared" si="35"/>
        <v>540.54</v>
      </c>
      <c r="E184" s="14">
        <f t="shared" si="31"/>
        <v>87.34</v>
      </c>
      <c r="F184" s="14">
        <f t="shared" si="40"/>
        <v>134.16999999999999</v>
      </c>
      <c r="G184" s="14">
        <f t="shared" si="40"/>
        <v>188.55</v>
      </c>
      <c r="H184" s="14">
        <f t="shared" si="28"/>
        <v>950.59999999999991</v>
      </c>
      <c r="I184" s="276">
        <f t="shared" si="36"/>
        <v>70124.789999999979</v>
      </c>
      <c r="J184" s="276">
        <f t="shared" si="37"/>
        <v>33779.25</v>
      </c>
      <c r="K184" s="276">
        <f t="shared" si="38"/>
        <v>27407.050000000028</v>
      </c>
      <c r="L184" s="394">
        <f t="shared" si="41"/>
        <v>13</v>
      </c>
      <c r="M184" s="394">
        <f t="shared" si="33"/>
        <v>164</v>
      </c>
      <c r="N184" s="613">
        <f>INDEX(tblSubjectToLoan[Date],ROW()-ROW(tblContractForDeed[#Headers]))</f>
        <v>50790</v>
      </c>
      <c r="O184" s="276">
        <f>IF(ROW()=ROW(tblContractForDeed[#Headers])+1,$O$6,IF(INDEX(tblContractForDeed[End Bal],ROW()-ROW(tblContractForDeed[#Headers])-1)&lt;0,0,INDEX(tblContractForDeed[End Bal],ROW()-ROW(tblContractForDeed[#Headers])-1)))</f>
        <v>17856.860000000015</v>
      </c>
      <c r="P184" s="454">
        <f>IF(tblContractForDeed[[#This Row],[Date]]="","",IF(tblContractForDeed[[#This Row],[Date]]&lt;cfdRateChangeDate,cfdRate1,cfdRate2))</f>
        <v>7.7499999999999999E-2</v>
      </c>
      <c r="Q1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4" s="276">
        <f>IF(tblContractForDeed[[#This Row],[Payment]]=0,0,MAX(0,MIN(tblContractForDeed[[#This Row],[Beg]],tblContractForDeed[[#This Row],[Payment]]-tblContractForDeed[[#This Row],[Int]])))</f>
        <v>583.83999999999992</v>
      </c>
      <c r="S184" s="276">
        <f>IF(OR(tblContractForDeed[[#This Row],[Date]]&lt;cfdContractDate,tblContractForDeed[[#This Row],[Date]]&gt;cfdEndDate),0,ROUND(tblContractForDeed[[#This Row],[Beg]]*(tblContractForDeed[[#This Row],[Int Rate]]/12),2))</f>
        <v>115.33</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1021.8899999999999</v>
      </c>
      <c r="W184" s="276">
        <f>SUM(INDEX(tblContractForDeed[Princ],1):INDEX(tblContractForDeed[Princ],ROW()-ROW(tblContractForDeed[#Headers])))</f>
        <v>57984.979999999996</v>
      </c>
      <c r="X184" s="276">
        <f>IF(tblContractForDeed[[#This Row],[Beg]]&lt;=0,0,tblContractForDeed[[#This Row],[Beg]]-tblContractForDeed[[#This Row],[Princ]])</f>
        <v>17273.020000000015</v>
      </c>
      <c r="Y184" s="467">
        <f>IF(INDEX(tblContractForDeed[Payment],ROW()-ROW(tblBuyerOutputs[#Headers]))=0,0,INDEX(tblContractForDeed[Payment],ROW()-ROW(tblBuyerOutputs[#Headers]))-INDEX(tblSubjectToLoan[Payment],ROW()-ROW(tblBuyerOutputs[#Headers])))</f>
        <v>71.289999999999964</v>
      </c>
      <c r="Z18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152</v>
      </c>
      <c r="AA184"/>
      <c r="AB184" s="14">
        <f>IF(INDEX(tblContractForDeed[Payment],ROW()-ROW(tblBuyerOutputs[#Headers]))=0,0,INDEX(tblContractForDeed[Payment],ROW()-ROW(tblBuyerOutputs[#Headers]))-INDEX(tblSubjectToLoan[Payment],ROW()-ROW(tblBuyerOutputs[#Headers])))-IFERROR(tblBuyerOutputs[[#This Row],[PMI]],0)</f>
        <v>71.289999999999964</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9063.0100000000057</v>
      </c>
      <c r="AD184" s="276">
        <f>IF(INDEX(tblContractForDeed[End Bal],ROW()-ROW(tblBuyerOutputs[#Headers]))&lt;=0,0,($O$6+IF(ROW()=ROW(tblBuyerOutputs[#Headers])+1,0,INDEX(tblBuyerOutputs[Cumul Appr],ROW()-ROW(tblBuyerOutputs[#Headers])-1)))*$AK$2/12)</f>
        <v>0</v>
      </c>
      <c r="AE184" s="276">
        <f>IF(INDEX(tblContractForDeed[End Bal],ROW()-ROW(tblBuyerOutputs[#Headers]))&lt;=0,0,IF(ROW()=ROW(tblBuyerOutputs[#Headers])+1,0,INDEX(tblBuyerOutputs[Cumul Appr],ROW()-ROW(tblBuyerOutputs[#Headers])-1))+tblBuyerOutputs[[#This Row],[Monthly Appr]])</f>
        <v>0</v>
      </c>
    </row>
    <row r="185" spans="1:31" x14ac:dyDescent="0.25">
      <c r="A185" s="613">
        <f t="shared" si="34"/>
        <v>50820</v>
      </c>
      <c r="B185" s="276">
        <f t="shared" si="32"/>
        <v>27407.050000000028</v>
      </c>
      <c r="C185" s="14">
        <f t="shared" si="30"/>
        <v>627.88</v>
      </c>
      <c r="D185" s="14">
        <f t="shared" si="35"/>
        <v>542.23</v>
      </c>
      <c r="E185" s="14">
        <f t="shared" si="31"/>
        <v>85.65</v>
      </c>
      <c r="F185" s="14">
        <f t="shared" si="40"/>
        <v>134.16999999999999</v>
      </c>
      <c r="G185" s="14">
        <f t="shared" si="40"/>
        <v>188.55</v>
      </c>
      <c r="H185" s="14">
        <f t="shared" si="28"/>
        <v>950.59999999999991</v>
      </c>
      <c r="I185" s="276">
        <f t="shared" si="36"/>
        <v>70667.019999999975</v>
      </c>
      <c r="J185" s="276">
        <f t="shared" si="37"/>
        <v>33864.9</v>
      </c>
      <c r="K185" s="276">
        <f t="shared" si="38"/>
        <v>26864.820000000029</v>
      </c>
      <c r="L185" s="394">
        <f t="shared" si="41"/>
        <v>13</v>
      </c>
      <c r="M185" s="394">
        <f t="shared" si="33"/>
        <v>165</v>
      </c>
      <c r="N185" s="613">
        <f>INDEX(tblSubjectToLoan[Date],ROW()-ROW(tblContractForDeed[#Headers]))</f>
        <v>50820</v>
      </c>
      <c r="O185" s="276">
        <f>IF(ROW()=ROW(tblContractForDeed[#Headers])+1,$O$6,IF(INDEX(tblContractForDeed[End Bal],ROW()-ROW(tblContractForDeed[#Headers])-1)&lt;0,0,INDEX(tblContractForDeed[End Bal],ROW()-ROW(tblContractForDeed[#Headers])-1)))</f>
        <v>17273.020000000015</v>
      </c>
      <c r="P185" s="454">
        <f>IF(tblContractForDeed[[#This Row],[Date]]="","",IF(tblContractForDeed[[#This Row],[Date]]&lt;cfdRateChangeDate,cfdRate1,cfdRate2))</f>
        <v>7.7499999999999999E-2</v>
      </c>
      <c r="Q1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5" s="276">
        <f>IF(tblContractForDeed[[#This Row],[Payment]]=0,0,MAX(0,MIN(tblContractForDeed[[#This Row],[Beg]],tblContractForDeed[[#This Row],[Payment]]-tblContractForDeed[[#This Row],[Int]])))</f>
        <v>587.62</v>
      </c>
      <c r="S185" s="276">
        <f>IF(OR(tblContractForDeed[[#This Row],[Date]]&lt;cfdContractDate,tblContractForDeed[[#This Row],[Date]]&gt;cfdEndDate),0,ROUND(tblContractForDeed[[#This Row],[Beg]]*(tblContractForDeed[[#This Row],[Int Rate]]/12),2))</f>
        <v>111.55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1021.8899999999999</v>
      </c>
      <c r="W185" s="276">
        <f>SUM(INDEX(tblContractForDeed[Princ],1):INDEX(tblContractForDeed[Princ],ROW()-ROW(tblContractForDeed[#Headers])))</f>
        <v>58572.6</v>
      </c>
      <c r="X185" s="276">
        <f>IF(tblContractForDeed[[#This Row],[Beg]]&lt;=0,0,tblContractForDeed[[#This Row],[Beg]]-tblContractForDeed[[#This Row],[Princ]])</f>
        <v>16685.400000000016</v>
      </c>
      <c r="Y185" s="467">
        <f>IF(INDEX(tblContractForDeed[Payment],ROW()-ROW(tblBuyerOutputs[#Headers]))=0,0,INDEX(tblContractForDeed[Payment],ROW()-ROW(tblBuyerOutputs[#Headers]))-INDEX(tblSubjectToLoan[Payment],ROW()-ROW(tblBuyerOutputs[#Headers])))</f>
        <v>71.289999999999964</v>
      </c>
      <c r="Z18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153</v>
      </c>
      <c r="AA185"/>
      <c r="AB185" s="14">
        <f>IF(INDEX(tblContractForDeed[Payment],ROW()-ROW(tblBuyerOutputs[#Headers]))=0,0,INDEX(tblContractForDeed[Payment],ROW()-ROW(tblBuyerOutputs[#Headers]))-INDEX(tblSubjectToLoan[Payment],ROW()-ROW(tblBuyerOutputs[#Headers])))-IFERROR(tblBuyerOutputs[[#This Row],[PMI]],0)</f>
        <v>71.289999999999964</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9134.3000000000065</v>
      </c>
      <c r="AD185" s="276">
        <f>IF(INDEX(tblContractForDeed[End Bal],ROW()-ROW(tblBuyerOutputs[#Headers]))&lt;=0,0,($O$6+IF(ROW()=ROW(tblBuyerOutputs[#Headers])+1,0,INDEX(tblBuyerOutputs[Cumul Appr],ROW()-ROW(tblBuyerOutputs[#Headers])-1)))*$AK$2/12)</f>
        <v>0</v>
      </c>
      <c r="AE185" s="276">
        <f>IF(INDEX(tblContractForDeed[End Bal],ROW()-ROW(tblBuyerOutputs[#Headers]))&lt;=0,0,IF(ROW()=ROW(tblBuyerOutputs[#Headers])+1,0,INDEX(tblBuyerOutputs[Cumul Appr],ROW()-ROW(tblBuyerOutputs[#Headers])-1))+tblBuyerOutputs[[#This Row],[Monthly Appr]])</f>
        <v>0</v>
      </c>
    </row>
    <row r="186" spans="1:31" x14ac:dyDescent="0.25">
      <c r="A186" s="613">
        <f t="shared" si="34"/>
        <v>50850</v>
      </c>
      <c r="B186" s="276">
        <f t="shared" si="32"/>
        <v>26864.820000000029</v>
      </c>
      <c r="C186" s="14">
        <f t="shared" si="30"/>
        <v>627.88</v>
      </c>
      <c r="D186" s="14">
        <f t="shared" si="35"/>
        <v>543.92999999999995</v>
      </c>
      <c r="E186" s="14">
        <f t="shared" si="31"/>
        <v>83.95</v>
      </c>
      <c r="F186" s="14">
        <f t="shared" si="40"/>
        <v>134.16999999999999</v>
      </c>
      <c r="G186" s="14">
        <f t="shared" si="40"/>
        <v>188.55</v>
      </c>
      <c r="H186" s="14">
        <f t="shared" si="28"/>
        <v>950.59999999999991</v>
      </c>
      <c r="I186" s="276">
        <f t="shared" si="36"/>
        <v>71210.949999999968</v>
      </c>
      <c r="J186" s="276">
        <f t="shared" si="37"/>
        <v>33948.85</v>
      </c>
      <c r="K186" s="276">
        <f t="shared" si="38"/>
        <v>26320.890000000029</v>
      </c>
      <c r="L186" s="394">
        <f t="shared" si="41"/>
        <v>13</v>
      </c>
      <c r="M186" s="394">
        <f t="shared" si="33"/>
        <v>166</v>
      </c>
      <c r="N186" s="613">
        <f>INDEX(tblSubjectToLoan[Date],ROW()-ROW(tblContractForDeed[#Headers]))</f>
        <v>50850</v>
      </c>
      <c r="O186" s="276">
        <f>IF(ROW()=ROW(tblContractForDeed[#Headers])+1,$O$6,IF(INDEX(tblContractForDeed[End Bal],ROW()-ROW(tblContractForDeed[#Headers])-1)&lt;0,0,INDEX(tblContractForDeed[End Bal],ROW()-ROW(tblContractForDeed[#Headers])-1)))</f>
        <v>16685.400000000016</v>
      </c>
      <c r="P186" s="454">
        <f>IF(tblContractForDeed[[#This Row],[Date]]="","",IF(tblContractForDeed[[#This Row],[Date]]&lt;cfdRateChangeDate,cfdRate1,cfdRate2))</f>
        <v>7.7499999999999999E-2</v>
      </c>
      <c r="Q1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6" s="276">
        <f>IF(tblContractForDeed[[#This Row],[Payment]]=0,0,MAX(0,MIN(tblContractForDeed[[#This Row],[Beg]],tblContractForDeed[[#This Row],[Payment]]-tblContractForDeed[[#This Row],[Int]])))</f>
        <v>591.41</v>
      </c>
      <c r="S186" s="276">
        <f>IF(OR(tblContractForDeed[[#This Row],[Date]]&lt;cfdContractDate,tblContractForDeed[[#This Row],[Date]]&gt;cfdEndDate),0,ROUND(tblContractForDeed[[#This Row],[Beg]]*(tblContractForDeed[[#This Row],[Int Rate]]/12),2))</f>
        <v>107.76</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1021.8899999999999</v>
      </c>
      <c r="W186" s="276">
        <f>SUM(INDEX(tblContractForDeed[Princ],1):INDEX(tblContractForDeed[Princ],ROW()-ROW(tblContractForDeed[#Headers])))</f>
        <v>59164.01</v>
      </c>
      <c r="X186" s="276">
        <f>IF(tblContractForDeed[[#This Row],[Beg]]&lt;=0,0,tblContractForDeed[[#This Row],[Beg]]-tblContractForDeed[[#This Row],[Princ]])</f>
        <v>16093.990000000016</v>
      </c>
      <c r="Y186" s="467">
        <f>IF(INDEX(tblContractForDeed[Payment],ROW()-ROW(tblBuyerOutputs[#Headers]))=0,0,INDEX(tblContractForDeed[Payment],ROW()-ROW(tblBuyerOutputs[#Headers]))-INDEX(tblSubjectToLoan[Payment],ROW()-ROW(tblBuyerOutputs[#Headers])))</f>
        <v>71.289999999999964</v>
      </c>
      <c r="Z18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154</v>
      </c>
      <c r="AA186"/>
      <c r="AB186" s="14">
        <f>IF(INDEX(tblContractForDeed[Payment],ROW()-ROW(tblBuyerOutputs[#Headers]))=0,0,INDEX(tblContractForDeed[Payment],ROW()-ROW(tblBuyerOutputs[#Headers]))-INDEX(tblSubjectToLoan[Payment],ROW()-ROW(tblBuyerOutputs[#Headers])))-IFERROR(tblBuyerOutputs[[#This Row],[PMI]],0)</f>
        <v>71.289999999999964</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9205.5900000000074</v>
      </c>
      <c r="AD186" s="276">
        <f>IF(INDEX(tblContractForDeed[End Bal],ROW()-ROW(tblBuyerOutputs[#Headers]))&lt;=0,0,($O$6+IF(ROW()=ROW(tblBuyerOutputs[#Headers])+1,0,INDEX(tblBuyerOutputs[Cumul Appr],ROW()-ROW(tblBuyerOutputs[#Headers])-1)))*$AK$2/12)</f>
        <v>0</v>
      </c>
      <c r="AE186" s="276">
        <f>IF(INDEX(tblContractForDeed[End Bal],ROW()-ROW(tblBuyerOutputs[#Headers]))&lt;=0,0,IF(ROW()=ROW(tblBuyerOutputs[#Headers])+1,0,INDEX(tblBuyerOutputs[Cumul Appr],ROW()-ROW(tblBuyerOutputs[#Headers])-1))+tblBuyerOutputs[[#This Row],[Monthly Appr]])</f>
        <v>0</v>
      </c>
    </row>
    <row r="187" spans="1:31" ht="15.75" thickBot="1" x14ac:dyDescent="0.3">
      <c r="A187" s="615">
        <f t="shared" si="34"/>
        <v>50880</v>
      </c>
      <c r="B187" s="332">
        <f t="shared" si="32"/>
        <v>26320.890000000029</v>
      </c>
      <c r="C187" s="21">
        <f t="shared" si="30"/>
        <v>627.88</v>
      </c>
      <c r="D187" s="21">
        <f t="shared" si="35"/>
        <v>545.63</v>
      </c>
      <c r="E187" s="21">
        <f t="shared" si="31"/>
        <v>82.25</v>
      </c>
      <c r="F187" s="21">
        <f t="shared" si="40"/>
        <v>134.16999999999999</v>
      </c>
      <c r="G187" s="21">
        <f t="shared" si="40"/>
        <v>188.55</v>
      </c>
      <c r="H187" s="21">
        <f t="shared" si="28"/>
        <v>950.59999999999991</v>
      </c>
      <c r="I187" s="332">
        <f t="shared" si="36"/>
        <v>71756.579999999973</v>
      </c>
      <c r="J187" s="332">
        <f t="shared" si="37"/>
        <v>34031.1</v>
      </c>
      <c r="K187" s="332">
        <f t="shared" si="38"/>
        <v>25775.260000000028</v>
      </c>
      <c r="L187" s="395">
        <f t="shared" si="41"/>
        <v>13</v>
      </c>
      <c r="M187" s="395">
        <f t="shared" si="33"/>
        <v>167</v>
      </c>
      <c r="N187" s="615">
        <f>INDEX(tblSubjectToLoan[Date],ROW()-ROW(tblContractForDeed[#Headers]))</f>
        <v>50880</v>
      </c>
      <c r="O187" s="332">
        <f>IF(ROW()=ROW(tblContractForDeed[#Headers])+1,$O$6,IF(INDEX(tblContractForDeed[End Bal],ROW()-ROW(tblContractForDeed[#Headers])-1)&lt;0,0,INDEX(tblContractForDeed[End Bal],ROW()-ROW(tblContractForDeed[#Headers])-1)))</f>
        <v>16093.990000000016</v>
      </c>
      <c r="P187" s="454">
        <f>IF(tblContractForDeed[[#This Row],[Date]]="","",IF(tblContractForDeed[[#This Row],[Date]]&lt;cfdRateChangeDate,cfdRate1,cfdRate2))</f>
        <v>7.7499999999999999E-2</v>
      </c>
      <c r="Q1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7" s="332">
        <f>IF(tblContractForDeed[[#This Row],[Payment]]=0,0,MAX(0,MIN(tblContractForDeed[[#This Row],[Beg]],tblContractForDeed[[#This Row],[Payment]]-tblContractForDeed[[#This Row],[Int]])))</f>
        <v>595.23</v>
      </c>
      <c r="S187" s="332">
        <f>IF(OR(tblContractForDeed[[#This Row],[Date]]&lt;cfdContractDate,tblContractForDeed[[#This Row],[Date]]&gt;cfdEndDate),0,ROUND(tblContractForDeed[[#This Row],[Beg]]*(tblContractForDeed[[#This Row],[Int Rate]]/12),2))</f>
        <v>103.94</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1021.8900000000001</v>
      </c>
      <c r="W187" s="332">
        <f>SUM(INDEX(tblContractForDeed[Princ],1):INDEX(tblContractForDeed[Princ],ROW()-ROW(tblContractForDeed[#Headers])))</f>
        <v>59759.240000000005</v>
      </c>
      <c r="X187" s="332">
        <f>IF(tblContractForDeed[[#This Row],[Beg]]&lt;=0,0,tblContractForDeed[[#This Row],[Beg]]-tblContractForDeed[[#This Row],[Princ]])</f>
        <v>15498.760000000017</v>
      </c>
      <c r="Y187" s="468">
        <f>IF(INDEX(tblContractForDeed[Payment],ROW()-ROW(tblBuyerOutputs[#Headers]))=0,0,INDEX(tblContractForDeed[Payment],ROW()-ROW(tblBuyerOutputs[#Headers]))-INDEX(tblSubjectToLoan[Payment],ROW()-ROW(tblBuyerOutputs[#Headers])))</f>
        <v>71.289999999999964</v>
      </c>
      <c r="Z18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155</v>
      </c>
      <c r="AA187" s="23"/>
      <c r="AB187" s="21">
        <f>IF(INDEX(tblContractForDeed[Payment],ROW()-ROW(tblBuyerOutputs[#Headers]))=0,0,INDEX(tblContractForDeed[Payment],ROW()-ROW(tblBuyerOutputs[#Headers]))-INDEX(tblSubjectToLoan[Payment],ROW()-ROW(tblBuyerOutputs[#Headers])))-IFERROR(tblBuyerOutputs[[#This Row],[PMI]],0)</f>
        <v>71.289999999999964</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9276.8800000000083</v>
      </c>
      <c r="AD187" s="332">
        <f>IF(INDEX(tblContractForDeed[End Bal],ROW()-ROW(tblBuyerOutputs[#Headers]))&lt;=0,0,($O$6+IF(ROW()=ROW(tblBuyerOutputs[#Headers])+1,0,INDEX(tblBuyerOutputs[Cumul Appr],ROW()-ROW(tblBuyerOutputs[#Headers])-1)))*$AK$2/12)</f>
        <v>0</v>
      </c>
      <c r="AE187" s="332">
        <f>IF(INDEX(tblContractForDeed[End Bal],ROW()-ROW(tblBuyerOutputs[#Headers]))&lt;=0,0,IF(ROW()=ROW(tblBuyerOutputs[#Headers])+1,0,INDEX(tblBuyerOutputs[Cumul Appr],ROW()-ROW(tblBuyerOutputs[#Headers])-1))+tblBuyerOutputs[[#This Row],[Monthly Appr]])</f>
        <v>0</v>
      </c>
    </row>
    <row r="188" spans="1:31" x14ac:dyDescent="0.25">
      <c r="A188" s="613">
        <f t="shared" si="34"/>
        <v>50910</v>
      </c>
      <c r="B188" s="276">
        <f t="shared" si="32"/>
        <v>25775.260000000028</v>
      </c>
      <c r="C188" s="14">
        <f t="shared" si="30"/>
        <v>627.88</v>
      </c>
      <c r="D188" s="14">
        <f t="shared" si="35"/>
        <v>547.33000000000004</v>
      </c>
      <c r="E188" s="14">
        <f t="shared" si="31"/>
        <v>80.55</v>
      </c>
      <c r="F188" s="14">
        <f t="shared" si="40"/>
        <v>134.16999999999999</v>
      </c>
      <c r="G188" s="14">
        <f t="shared" si="40"/>
        <v>188.55</v>
      </c>
      <c r="H188" s="14">
        <f t="shared" si="28"/>
        <v>950.59999999999991</v>
      </c>
      <c r="I188" s="276">
        <f t="shared" si="36"/>
        <v>72303.909999999974</v>
      </c>
      <c r="J188" s="276">
        <f t="shared" si="37"/>
        <v>34111.65</v>
      </c>
      <c r="K188" s="276">
        <f t="shared" si="38"/>
        <v>25227.930000000026</v>
      </c>
      <c r="L188" s="394">
        <f t="shared" si="41"/>
        <v>14</v>
      </c>
      <c r="M188" s="394">
        <f t="shared" si="33"/>
        <v>168</v>
      </c>
      <c r="N188" s="613">
        <f>INDEX(tblSubjectToLoan[Date],ROW()-ROW(tblContractForDeed[#Headers]))</f>
        <v>50910</v>
      </c>
      <c r="O188" s="276">
        <f>IF(ROW()=ROW(tblContractForDeed[#Headers])+1,$O$6,IF(INDEX(tblContractForDeed[End Bal],ROW()-ROW(tblContractForDeed[#Headers])-1)&lt;0,0,INDEX(tblContractForDeed[End Bal],ROW()-ROW(tblContractForDeed[#Headers])-1)))</f>
        <v>15498.760000000017</v>
      </c>
      <c r="P188" s="454">
        <f>IF(tblContractForDeed[[#This Row],[Date]]="","",IF(tblContractForDeed[[#This Row],[Date]]&lt;cfdRateChangeDate,cfdRate1,cfdRate2))</f>
        <v>7.7499999999999999E-2</v>
      </c>
      <c r="Q1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8" s="276">
        <f>IF(tblContractForDeed[[#This Row],[Payment]]=0,0,MAX(0,MIN(tblContractForDeed[[#This Row],[Beg]],tblContractForDeed[[#This Row],[Payment]]-tblContractForDeed[[#This Row],[Int]])))</f>
        <v>599.06999999999994</v>
      </c>
      <c r="S188" s="276">
        <f>IF(OR(tblContractForDeed[[#This Row],[Date]]&lt;cfdContractDate,tblContractForDeed[[#This Row],[Date]]&gt;cfdEndDate),0,ROUND(tblContractForDeed[[#This Row],[Beg]]*(tblContractForDeed[[#This Row],[Int Rate]]/12),2))</f>
        <v>100.1</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1021.8899999999999</v>
      </c>
      <c r="W188" s="276">
        <f>SUM(INDEX(tblContractForDeed[Princ],1):INDEX(tblContractForDeed[Princ],ROW()-ROW(tblContractForDeed[#Headers])))</f>
        <v>60358.310000000005</v>
      </c>
      <c r="X188" s="276">
        <f>IF(tblContractForDeed[[#This Row],[Beg]]&lt;=0,0,tblContractForDeed[[#This Row],[Beg]]-tblContractForDeed[[#This Row],[Princ]])</f>
        <v>14899.690000000017</v>
      </c>
      <c r="Y188" s="467">
        <f>IF(INDEX(tblContractForDeed[Payment],ROW()-ROW(tblBuyerOutputs[#Headers]))=0,0,INDEX(tblContractForDeed[Payment],ROW()-ROW(tblBuyerOutputs[#Headers]))-INDEX(tblSubjectToLoan[Payment],ROW()-ROW(tblBuyerOutputs[#Headers])))</f>
        <v>71.289999999999964</v>
      </c>
      <c r="Z18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156</v>
      </c>
      <c r="AA188"/>
      <c r="AB188" s="14">
        <f>IF(INDEX(tblContractForDeed[Payment],ROW()-ROW(tblBuyerOutputs[#Headers]))=0,0,INDEX(tblContractForDeed[Payment],ROW()-ROW(tblBuyerOutputs[#Headers]))-INDEX(tblSubjectToLoan[Payment],ROW()-ROW(tblBuyerOutputs[#Headers])))-IFERROR(tblBuyerOutputs[[#This Row],[PMI]],0)</f>
        <v>71.289999999999964</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9348.1700000000092</v>
      </c>
      <c r="AD188" s="276">
        <f>IF(INDEX(tblContractForDeed[End Bal],ROW()-ROW(tblBuyerOutputs[#Headers]))&lt;=0,0,($O$6+IF(ROW()=ROW(tblBuyerOutputs[#Headers])+1,0,INDEX(tblBuyerOutputs[Cumul Appr],ROW()-ROW(tblBuyerOutputs[#Headers])-1)))*$AK$2/12)</f>
        <v>0</v>
      </c>
      <c r="AE188" s="276">
        <f>IF(INDEX(tblContractForDeed[End Bal],ROW()-ROW(tblBuyerOutputs[#Headers]))&lt;=0,0,IF(ROW()=ROW(tblBuyerOutputs[#Headers])+1,0,INDEX(tblBuyerOutputs[Cumul Appr],ROW()-ROW(tblBuyerOutputs[#Headers])-1))+tblBuyerOutputs[[#This Row],[Monthly Appr]])</f>
        <v>0</v>
      </c>
    </row>
    <row r="189" spans="1:31" x14ac:dyDescent="0.25">
      <c r="A189" s="613">
        <f t="shared" si="34"/>
        <v>50940</v>
      </c>
      <c r="B189" s="276">
        <f t="shared" si="32"/>
        <v>25227.930000000026</v>
      </c>
      <c r="C189" s="14">
        <f t="shared" si="30"/>
        <v>627.88</v>
      </c>
      <c r="D189" s="14">
        <f t="shared" si="35"/>
        <v>549.04</v>
      </c>
      <c r="E189" s="14">
        <f t="shared" si="31"/>
        <v>78.84</v>
      </c>
      <c r="F189" s="14">
        <f t="shared" si="40"/>
        <v>134.16999999999999</v>
      </c>
      <c r="G189" s="14">
        <f t="shared" si="40"/>
        <v>188.55</v>
      </c>
      <c r="H189" s="14">
        <f t="shared" si="28"/>
        <v>950.59999999999991</v>
      </c>
      <c r="I189" s="276">
        <f t="shared" si="36"/>
        <v>72852.949999999968</v>
      </c>
      <c r="J189" s="276">
        <f t="shared" si="37"/>
        <v>34190.49</v>
      </c>
      <c r="K189" s="276">
        <f t="shared" si="38"/>
        <v>24678.890000000025</v>
      </c>
      <c r="L189" s="394">
        <f t="shared" si="41"/>
        <v>14</v>
      </c>
      <c r="M189" s="394">
        <f t="shared" si="33"/>
        <v>169</v>
      </c>
      <c r="N189" s="613">
        <f>INDEX(tblSubjectToLoan[Date],ROW()-ROW(tblContractForDeed[#Headers]))</f>
        <v>50940</v>
      </c>
      <c r="O189" s="276">
        <f>IF(ROW()=ROW(tblContractForDeed[#Headers])+1,$O$6,IF(INDEX(tblContractForDeed[End Bal],ROW()-ROW(tblContractForDeed[#Headers])-1)&lt;0,0,INDEX(tblContractForDeed[End Bal],ROW()-ROW(tblContractForDeed[#Headers])-1)))</f>
        <v>14899.690000000017</v>
      </c>
      <c r="P189" s="454">
        <f>IF(tblContractForDeed[[#This Row],[Date]]="","",IF(tblContractForDeed[[#This Row],[Date]]&lt;cfdRateChangeDate,cfdRate1,cfdRate2))</f>
        <v>7.7499999999999999E-2</v>
      </c>
      <c r="Q1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9" s="276">
        <f>IF(tblContractForDeed[[#This Row],[Payment]]=0,0,MAX(0,MIN(tblContractForDeed[[#This Row],[Beg]],tblContractForDeed[[#This Row],[Payment]]-tblContractForDeed[[#This Row],[Int]])))</f>
        <v>602.93999999999994</v>
      </c>
      <c r="S189" s="276">
        <f>IF(OR(tblContractForDeed[[#This Row],[Date]]&lt;cfdContractDate,tblContractForDeed[[#This Row],[Date]]&gt;cfdEndDate),0,ROUND(tblContractForDeed[[#This Row],[Beg]]*(tblContractForDeed[[#This Row],[Int Rate]]/12),2))</f>
        <v>96.23</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1021.8899999999999</v>
      </c>
      <c r="W189" s="276">
        <f>SUM(INDEX(tblContractForDeed[Princ],1):INDEX(tblContractForDeed[Princ],ROW()-ROW(tblContractForDeed[#Headers])))</f>
        <v>60961.250000000007</v>
      </c>
      <c r="X189" s="276">
        <f>IF(tblContractForDeed[[#This Row],[Beg]]&lt;=0,0,tblContractForDeed[[#This Row],[Beg]]-tblContractForDeed[[#This Row],[Princ]])</f>
        <v>14296.750000000016</v>
      </c>
      <c r="Y189" s="467">
        <f>IF(INDEX(tblContractForDeed[Payment],ROW()-ROW(tblBuyerOutputs[#Headers]))=0,0,INDEX(tblContractForDeed[Payment],ROW()-ROW(tblBuyerOutputs[#Headers]))-INDEX(tblSubjectToLoan[Payment],ROW()-ROW(tblBuyerOutputs[#Headers])))</f>
        <v>71.289999999999964</v>
      </c>
      <c r="Z18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157</v>
      </c>
      <c r="AA189"/>
      <c r="AB189" s="14">
        <f>IF(INDEX(tblContractForDeed[Payment],ROW()-ROW(tblBuyerOutputs[#Headers]))=0,0,INDEX(tblContractForDeed[Payment],ROW()-ROW(tblBuyerOutputs[#Headers]))-INDEX(tblSubjectToLoan[Payment],ROW()-ROW(tblBuyerOutputs[#Headers])))-IFERROR(tblBuyerOutputs[[#This Row],[PMI]],0)</f>
        <v>71.289999999999964</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9419.46000000001</v>
      </c>
      <c r="AD189" s="276">
        <f>IF(INDEX(tblContractForDeed[End Bal],ROW()-ROW(tblBuyerOutputs[#Headers]))&lt;=0,0,($O$6+IF(ROW()=ROW(tblBuyerOutputs[#Headers])+1,0,INDEX(tblBuyerOutputs[Cumul Appr],ROW()-ROW(tblBuyerOutputs[#Headers])-1)))*$AK$2/12)</f>
        <v>0</v>
      </c>
      <c r="AE189" s="276">
        <f>IF(INDEX(tblContractForDeed[End Bal],ROW()-ROW(tblBuyerOutputs[#Headers]))&lt;=0,0,IF(ROW()=ROW(tblBuyerOutputs[#Headers])+1,0,INDEX(tblBuyerOutputs[Cumul Appr],ROW()-ROW(tblBuyerOutputs[#Headers])-1))+tblBuyerOutputs[[#This Row],[Monthly Appr]])</f>
        <v>0</v>
      </c>
    </row>
    <row r="190" spans="1:31" x14ac:dyDescent="0.25">
      <c r="A190" s="613">
        <f t="shared" si="34"/>
        <v>50970</v>
      </c>
      <c r="B190" s="276">
        <f t="shared" si="32"/>
        <v>24678.890000000025</v>
      </c>
      <c r="C190" s="14">
        <f t="shared" si="30"/>
        <v>627.88</v>
      </c>
      <c r="D190" s="14">
        <f t="shared" si="35"/>
        <v>550.76</v>
      </c>
      <c r="E190" s="14">
        <f t="shared" si="31"/>
        <v>77.12</v>
      </c>
      <c r="F190" s="14">
        <f t="shared" si="40"/>
        <v>134.16999999999999</v>
      </c>
      <c r="G190" s="14">
        <f t="shared" si="40"/>
        <v>188.55</v>
      </c>
      <c r="H190" s="14">
        <f t="shared" si="28"/>
        <v>950.59999999999991</v>
      </c>
      <c r="I190" s="276">
        <f t="shared" si="36"/>
        <v>73403.709999999963</v>
      </c>
      <c r="J190" s="276">
        <f t="shared" si="37"/>
        <v>34267.61</v>
      </c>
      <c r="K190" s="276">
        <f t="shared" si="38"/>
        <v>24128.130000000026</v>
      </c>
      <c r="L190" s="394">
        <f t="shared" si="41"/>
        <v>14</v>
      </c>
      <c r="M190" s="394">
        <f t="shared" si="33"/>
        <v>170</v>
      </c>
      <c r="N190" s="613">
        <f>INDEX(tblSubjectToLoan[Date],ROW()-ROW(tblContractForDeed[#Headers]))</f>
        <v>50970</v>
      </c>
      <c r="O190" s="276">
        <f>IF(ROW()=ROW(tblContractForDeed[#Headers])+1,$O$6,IF(INDEX(tblContractForDeed[End Bal],ROW()-ROW(tblContractForDeed[#Headers])-1)&lt;0,0,INDEX(tblContractForDeed[End Bal],ROW()-ROW(tblContractForDeed[#Headers])-1)))</f>
        <v>14296.750000000016</v>
      </c>
      <c r="P190" s="454">
        <f>IF(tblContractForDeed[[#This Row],[Date]]="","",IF(tblContractForDeed[[#This Row],[Date]]&lt;cfdRateChangeDate,cfdRate1,cfdRate2))</f>
        <v>7.7499999999999999E-2</v>
      </c>
      <c r="Q1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0" s="276">
        <f>IF(tblContractForDeed[[#This Row],[Payment]]=0,0,MAX(0,MIN(tblContractForDeed[[#This Row],[Beg]],tblContractForDeed[[#This Row],[Payment]]-tblContractForDeed[[#This Row],[Int]])))</f>
        <v>606.83999999999992</v>
      </c>
      <c r="S190" s="276">
        <f>IF(OR(tblContractForDeed[[#This Row],[Date]]&lt;cfdContractDate,tblContractForDeed[[#This Row],[Date]]&gt;cfdEndDate),0,ROUND(tblContractForDeed[[#This Row],[Beg]]*(tblContractForDeed[[#This Row],[Int Rate]]/12),2))</f>
        <v>92.33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1021.8899999999999</v>
      </c>
      <c r="W190" s="276">
        <f>SUM(INDEX(tblContractForDeed[Princ],1):INDEX(tblContractForDeed[Princ],ROW()-ROW(tblContractForDeed[#Headers])))</f>
        <v>61568.090000000004</v>
      </c>
      <c r="X190" s="276">
        <f>IF(tblContractForDeed[[#This Row],[Beg]]&lt;=0,0,tblContractForDeed[[#This Row],[Beg]]-tblContractForDeed[[#This Row],[Princ]])</f>
        <v>13689.910000000016</v>
      </c>
      <c r="Y190" s="467">
        <f>IF(INDEX(tblContractForDeed[Payment],ROW()-ROW(tblBuyerOutputs[#Headers]))=0,0,INDEX(tblContractForDeed[Payment],ROW()-ROW(tblBuyerOutputs[#Headers]))-INDEX(tblSubjectToLoan[Payment],ROW()-ROW(tblBuyerOutputs[#Headers])))</f>
        <v>71.289999999999964</v>
      </c>
      <c r="Z19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158</v>
      </c>
      <c r="AA190"/>
      <c r="AB190" s="14">
        <f>IF(INDEX(tblContractForDeed[Payment],ROW()-ROW(tblBuyerOutputs[#Headers]))=0,0,INDEX(tblContractForDeed[Payment],ROW()-ROW(tblBuyerOutputs[#Headers]))-INDEX(tblSubjectToLoan[Payment],ROW()-ROW(tblBuyerOutputs[#Headers])))-IFERROR(tblBuyerOutputs[[#This Row],[PMI]],0)</f>
        <v>71.289999999999964</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9490.7500000000109</v>
      </c>
      <c r="AD190" s="276">
        <f>IF(INDEX(tblContractForDeed[End Bal],ROW()-ROW(tblBuyerOutputs[#Headers]))&lt;=0,0,($O$6+IF(ROW()=ROW(tblBuyerOutputs[#Headers])+1,0,INDEX(tblBuyerOutputs[Cumul Appr],ROW()-ROW(tblBuyerOutputs[#Headers])-1)))*$AK$2/12)</f>
        <v>0</v>
      </c>
      <c r="AE190" s="276">
        <f>IF(INDEX(tblContractForDeed[End Bal],ROW()-ROW(tblBuyerOutputs[#Headers]))&lt;=0,0,IF(ROW()=ROW(tblBuyerOutputs[#Headers])+1,0,INDEX(tblBuyerOutputs[Cumul Appr],ROW()-ROW(tblBuyerOutputs[#Headers])-1))+tblBuyerOutputs[[#This Row],[Monthly Appr]])</f>
        <v>0</v>
      </c>
    </row>
    <row r="191" spans="1:31" x14ac:dyDescent="0.25">
      <c r="A191" s="613">
        <f t="shared" si="34"/>
        <v>51000</v>
      </c>
      <c r="B191" s="276">
        <f t="shared" si="32"/>
        <v>24128.130000000026</v>
      </c>
      <c r="C191" s="14">
        <f t="shared" si="30"/>
        <v>627.88</v>
      </c>
      <c r="D191" s="14">
        <f t="shared" si="35"/>
        <v>552.48</v>
      </c>
      <c r="E191" s="14">
        <f t="shared" si="31"/>
        <v>75.400000000000006</v>
      </c>
      <c r="F191" s="14">
        <f t="shared" ref="F191:G206" si="42">+F190</f>
        <v>134.16999999999999</v>
      </c>
      <c r="G191" s="14">
        <f t="shared" si="42"/>
        <v>188.55</v>
      </c>
      <c r="H191" s="14">
        <f t="shared" si="28"/>
        <v>950.59999999999991</v>
      </c>
      <c r="I191" s="276">
        <f t="shared" si="36"/>
        <v>73956.189999999959</v>
      </c>
      <c r="J191" s="276">
        <f t="shared" si="37"/>
        <v>34343.01</v>
      </c>
      <c r="K191" s="276">
        <f t="shared" si="38"/>
        <v>23575.650000000027</v>
      </c>
      <c r="L191" s="394">
        <f t="shared" si="41"/>
        <v>14</v>
      </c>
      <c r="M191" s="394">
        <f t="shared" si="33"/>
        <v>171</v>
      </c>
      <c r="N191" s="613">
        <f>INDEX(tblSubjectToLoan[Date],ROW()-ROW(tblContractForDeed[#Headers]))</f>
        <v>51000</v>
      </c>
      <c r="O191" s="276">
        <f>IF(ROW()=ROW(tblContractForDeed[#Headers])+1,$O$6,IF(INDEX(tblContractForDeed[End Bal],ROW()-ROW(tblContractForDeed[#Headers])-1)&lt;0,0,INDEX(tblContractForDeed[End Bal],ROW()-ROW(tblContractForDeed[#Headers])-1)))</f>
        <v>13689.910000000016</v>
      </c>
      <c r="P191" s="454">
        <f>IF(tblContractForDeed[[#This Row],[Date]]="","",IF(tblContractForDeed[[#This Row],[Date]]&lt;cfdRateChangeDate,cfdRate1,cfdRate2))</f>
        <v>7.7499999999999999E-2</v>
      </c>
      <c r="Q1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1" s="276">
        <f>IF(tblContractForDeed[[#This Row],[Payment]]=0,0,MAX(0,MIN(tblContractForDeed[[#This Row],[Beg]],tblContractForDeed[[#This Row],[Payment]]-tblContractForDeed[[#This Row],[Int]])))</f>
        <v>610.76</v>
      </c>
      <c r="S191" s="276">
        <f>IF(OR(tblContractForDeed[[#This Row],[Date]]&lt;cfdContractDate,tblContractForDeed[[#This Row],[Date]]&gt;cfdEndDate),0,ROUND(tblContractForDeed[[#This Row],[Beg]]*(tblContractForDeed[[#This Row],[Int Rate]]/12),2))</f>
        <v>88.41</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1021.8899999999999</v>
      </c>
      <c r="W191" s="276">
        <f>SUM(INDEX(tblContractForDeed[Princ],1):INDEX(tblContractForDeed[Princ],ROW()-ROW(tblContractForDeed[#Headers])))</f>
        <v>62178.850000000006</v>
      </c>
      <c r="X191" s="276">
        <f>IF(tblContractForDeed[[#This Row],[Beg]]&lt;=0,0,tblContractForDeed[[#This Row],[Beg]]-tblContractForDeed[[#This Row],[Princ]])</f>
        <v>13079.150000000016</v>
      </c>
      <c r="Y191" s="467">
        <f>IF(INDEX(tblContractForDeed[Payment],ROW()-ROW(tblBuyerOutputs[#Headers]))=0,0,INDEX(tblContractForDeed[Payment],ROW()-ROW(tblBuyerOutputs[#Headers]))-INDEX(tblSubjectToLoan[Payment],ROW()-ROW(tblBuyerOutputs[#Headers])))</f>
        <v>71.289999999999964</v>
      </c>
      <c r="Z19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159</v>
      </c>
      <c r="AA191"/>
      <c r="AB191" s="14">
        <f>IF(INDEX(tblContractForDeed[Payment],ROW()-ROW(tblBuyerOutputs[#Headers]))=0,0,INDEX(tblContractForDeed[Payment],ROW()-ROW(tblBuyerOutputs[#Headers]))-INDEX(tblSubjectToLoan[Payment],ROW()-ROW(tblBuyerOutputs[#Headers])))-IFERROR(tblBuyerOutputs[[#This Row],[PMI]],0)</f>
        <v>71.289999999999964</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9562.0400000000118</v>
      </c>
      <c r="AD191" s="276">
        <f>IF(INDEX(tblContractForDeed[End Bal],ROW()-ROW(tblBuyerOutputs[#Headers]))&lt;=0,0,($O$6+IF(ROW()=ROW(tblBuyerOutputs[#Headers])+1,0,INDEX(tblBuyerOutputs[Cumul Appr],ROW()-ROW(tblBuyerOutputs[#Headers])-1)))*$AK$2/12)</f>
        <v>0</v>
      </c>
      <c r="AE191" s="276">
        <f>IF(INDEX(tblContractForDeed[End Bal],ROW()-ROW(tblBuyerOutputs[#Headers]))&lt;=0,0,IF(ROW()=ROW(tblBuyerOutputs[#Headers])+1,0,INDEX(tblBuyerOutputs[Cumul Appr],ROW()-ROW(tblBuyerOutputs[#Headers])-1))+tblBuyerOutputs[[#This Row],[Monthly Appr]])</f>
        <v>0</v>
      </c>
    </row>
    <row r="192" spans="1:31" x14ac:dyDescent="0.25">
      <c r="A192" s="613">
        <f t="shared" si="34"/>
        <v>51030</v>
      </c>
      <c r="B192" s="276">
        <f t="shared" si="32"/>
        <v>23575.650000000027</v>
      </c>
      <c r="C192" s="14">
        <f t="shared" si="30"/>
        <v>627.88</v>
      </c>
      <c r="D192" s="14">
        <f t="shared" si="35"/>
        <v>554.21</v>
      </c>
      <c r="E192" s="14">
        <f t="shared" si="31"/>
        <v>73.67</v>
      </c>
      <c r="F192" s="14">
        <f t="shared" si="42"/>
        <v>134.16999999999999</v>
      </c>
      <c r="G192" s="14">
        <f t="shared" si="42"/>
        <v>188.55</v>
      </c>
      <c r="H192" s="14">
        <f t="shared" ref="H192:H255" si="43">SUM(D192:G192)</f>
        <v>950.59999999999991</v>
      </c>
      <c r="I192" s="276">
        <f t="shared" si="36"/>
        <v>74510.399999999965</v>
      </c>
      <c r="J192" s="276">
        <f t="shared" si="37"/>
        <v>34416.68</v>
      </c>
      <c r="K192" s="276">
        <f t="shared" si="38"/>
        <v>23021.440000000028</v>
      </c>
      <c r="L192" s="394">
        <f t="shared" si="41"/>
        <v>14</v>
      </c>
      <c r="M192" s="394">
        <f t="shared" si="33"/>
        <v>172</v>
      </c>
      <c r="N192" s="613">
        <f>INDEX(tblSubjectToLoan[Date],ROW()-ROW(tblContractForDeed[#Headers]))</f>
        <v>51030</v>
      </c>
      <c r="O192" s="276">
        <f>IF(ROW()=ROW(tblContractForDeed[#Headers])+1,$O$6,IF(INDEX(tblContractForDeed[End Bal],ROW()-ROW(tblContractForDeed[#Headers])-1)&lt;0,0,INDEX(tblContractForDeed[End Bal],ROW()-ROW(tblContractForDeed[#Headers])-1)))</f>
        <v>13079.150000000016</v>
      </c>
      <c r="P192" s="454">
        <f>IF(tblContractForDeed[[#This Row],[Date]]="","",IF(tblContractForDeed[[#This Row],[Date]]&lt;cfdRateChangeDate,cfdRate1,cfdRate2))</f>
        <v>7.7499999999999999E-2</v>
      </c>
      <c r="Q1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2" s="276">
        <f>IF(tblContractForDeed[[#This Row],[Payment]]=0,0,MAX(0,MIN(tblContractForDeed[[#This Row],[Beg]],tblContractForDeed[[#This Row],[Payment]]-tblContractForDeed[[#This Row],[Int]])))</f>
        <v>614.69999999999993</v>
      </c>
      <c r="S192" s="276">
        <f>IF(OR(tblContractForDeed[[#This Row],[Date]]&lt;cfdContractDate,tblContractForDeed[[#This Row],[Date]]&gt;cfdEndDate),0,ROUND(tblContractForDeed[[#This Row],[Beg]]*(tblContractForDeed[[#This Row],[Int Rate]]/12),2))</f>
        <v>84.47</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1021.8899999999999</v>
      </c>
      <c r="W192" s="276">
        <f>SUM(INDEX(tblContractForDeed[Princ],1):INDEX(tblContractForDeed[Princ],ROW()-ROW(tblContractForDeed[#Headers])))</f>
        <v>62793.55</v>
      </c>
      <c r="X192" s="276">
        <f>IF(tblContractForDeed[[#This Row],[Beg]]&lt;=0,0,tblContractForDeed[[#This Row],[Beg]]-tblContractForDeed[[#This Row],[Princ]])</f>
        <v>12464.450000000015</v>
      </c>
      <c r="Y192" s="467">
        <f>IF(INDEX(tblContractForDeed[Payment],ROW()-ROW(tblBuyerOutputs[#Headers]))=0,0,INDEX(tblContractForDeed[Payment],ROW()-ROW(tblBuyerOutputs[#Headers]))-INDEX(tblSubjectToLoan[Payment],ROW()-ROW(tblBuyerOutputs[#Headers])))</f>
        <v>71.289999999999964</v>
      </c>
      <c r="Z19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160</v>
      </c>
      <c r="AA192"/>
      <c r="AB192" s="14">
        <f>IF(INDEX(tblContractForDeed[Payment],ROW()-ROW(tblBuyerOutputs[#Headers]))=0,0,INDEX(tblContractForDeed[Payment],ROW()-ROW(tblBuyerOutputs[#Headers]))-INDEX(tblSubjectToLoan[Payment],ROW()-ROW(tblBuyerOutputs[#Headers])))-IFERROR(tblBuyerOutputs[[#This Row],[PMI]],0)</f>
        <v>71.289999999999964</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9633.3300000000127</v>
      </c>
      <c r="AD192" s="276">
        <f>IF(INDEX(tblContractForDeed[End Bal],ROW()-ROW(tblBuyerOutputs[#Headers]))&lt;=0,0,($O$6+IF(ROW()=ROW(tblBuyerOutputs[#Headers])+1,0,INDEX(tblBuyerOutputs[Cumul Appr],ROW()-ROW(tblBuyerOutputs[#Headers])-1)))*$AK$2/12)</f>
        <v>0</v>
      </c>
      <c r="AE192" s="276">
        <f>IF(INDEX(tblContractForDeed[End Bal],ROW()-ROW(tblBuyerOutputs[#Headers]))&lt;=0,0,IF(ROW()=ROW(tblBuyerOutputs[#Headers])+1,0,INDEX(tblBuyerOutputs[Cumul Appr],ROW()-ROW(tblBuyerOutputs[#Headers])-1))+tblBuyerOutputs[[#This Row],[Monthly Appr]])</f>
        <v>0</v>
      </c>
    </row>
    <row r="193" spans="1:31" x14ac:dyDescent="0.25">
      <c r="A193" s="613">
        <f t="shared" si="34"/>
        <v>51060</v>
      </c>
      <c r="B193" s="276">
        <f t="shared" si="32"/>
        <v>23021.440000000028</v>
      </c>
      <c r="C193" s="14">
        <f t="shared" si="30"/>
        <v>627.88</v>
      </c>
      <c r="D193" s="14">
        <f t="shared" si="35"/>
        <v>555.94000000000005</v>
      </c>
      <c r="E193" s="14">
        <f t="shared" si="31"/>
        <v>71.94</v>
      </c>
      <c r="F193" s="14">
        <f t="shared" si="42"/>
        <v>134.16999999999999</v>
      </c>
      <c r="G193" s="14">
        <f t="shared" si="42"/>
        <v>188.55</v>
      </c>
      <c r="H193" s="14">
        <f t="shared" si="43"/>
        <v>950.60000000000014</v>
      </c>
      <c r="I193" s="276">
        <f t="shared" si="36"/>
        <v>75066.339999999967</v>
      </c>
      <c r="J193" s="276">
        <f t="shared" si="37"/>
        <v>34488.620000000003</v>
      </c>
      <c r="K193" s="276">
        <f t="shared" si="38"/>
        <v>22465.500000000029</v>
      </c>
      <c r="L193" s="394">
        <f t="shared" si="41"/>
        <v>14</v>
      </c>
      <c r="M193" s="394">
        <f t="shared" si="33"/>
        <v>173</v>
      </c>
      <c r="N193" s="613">
        <f>INDEX(tblSubjectToLoan[Date],ROW()-ROW(tblContractForDeed[#Headers]))</f>
        <v>51060</v>
      </c>
      <c r="O193" s="276">
        <f>IF(ROW()=ROW(tblContractForDeed[#Headers])+1,$O$6,IF(INDEX(tblContractForDeed[End Bal],ROW()-ROW(tblContractForDeed[#Headers])-1)&lt;0,0,INDEX(tblContractForDeed[End Bal],ROW()-ROW(tblContractForDeed[#Headers])-1)))</f>
        <v>12464.450000000015</v>
      </c>
      <c r="P193" s="454">
        <f>IF(tblContractForDeed[[#This Row],[Date]]="","",IF(tblContractForDeed[[#This Row],[Date]]&lt;cfdRateChangeDate,cfdRate1,cfdRate2))</f>
        <v>7.7499999999999999E-2</v>
      </c>
      <c r="Q1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3" s="276">
        <f>IF(tblContractForDeed[[#This Row],[Payment]]=0,0,MAX(0,MIN(tblContractForDeed[[#This Row],[Beg]],tblContractForDeed[[#This Row],[Payment]]-tblContractForDeed[[#This Row],[Int]])))</f>
        <v>618.66999999999996</v>
      </c>
      <c r="S193" s="276">
        <f>IF(OR(tblContractForDeed[[#This Row],[Date]]&lt;cfdContractDate,tblContractForDeed[[#This Row],[Date]]&gt;cfdEndDate),0,ROUND(tblContractForDeed[[#This Row],[Beg]]*(tblContractForDeed[[#This Row],[Int Rate]]/12),2))</f>
        <v>80.5</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1021.8899999999999</v>
      </c>
      <c r="W193" s="276">
        <f>SUM(INDEX(tblContractForDeed[Princ],1):INDEX(tblContractForDeed[Princ],ROW()-ROW(tblContractForDeed[#Headers])))</f>
        <v>63412.22</v>
      </c>
      <c r="X193" s="276">
        <f>IF(tblContractForDeed[[#This Row],[Beg]]&lt;=0,0,tblContractForDeed[[#This Row],[Beg]]-tblContractForDeed[[#This Row],[Princ]])</f>
        <v>11845.780000000015</v>
      </c>
      <c r="Y193" s="467">
        <f>IF(INDEX(tblContractForDeed[Payment],ROW()-ROW(tblBuyerOutputs[#Headers]))=0,0,INDEX(tblContractForDeed[Payment],ROW()-ROW(tblBuyerOutputs[#Headers]))-INDEX(tblSubjectToLoan[Payment],ROW()-ROW(tblBuyerOutputs[#Headers])))</f>
        <v>71.289999999999964</v>
      </c>
      <c r="Z19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161</v>
      </c>
      <c r="AA193"/>
      <c r="AB193" s="14">
        <f>IF(INDEX(tblContractForDeed[Payment],ROW()-ROW(tblBuyerOutputs[#Headers]))=0,0,INDEX(tblContractForDeed[Payment],ROW()-ROW(tblBuyerOutputs[#Headers]))-INDEX(tblSubjectToLoan[Payment],ROW()-ROW(tblBuyerOutputs[#Headers])))-IFERROR(tblBuyerOutputs[[#This Row],[PMI]],0)</f>
        <v>71.289999999999964</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9704.6200000000135</v>
      </c>
      <c r="AD193" s="276">
        <f>IF(INDEX(tblContractForDeed[End Bal],ROW()-ROW(tblBuyerOutputs[#Headers]))&lt;=0,0,($O$6+IF(ROW()=ROW(tblBuyerOutputs[#Headers])+1,0,INDEX(tblBuyerOutputs[Cumul Appr],ROW()-ROW(tblBuyerOutputs[#Headers])-1)))*$AK$2/12)</f>
        <v>0</v>
      </c>
      <c r="AE193" s="276">
        <f>IF(INDEX(tblContractForDeed[End Bal],ROW()-ROW(tblBuyerOutputs[#Headers]))&lt;=0,0,IF(ROW()=ROW(tblBuyerOutputs[#Headers])+1,0,INDEX(tblBuyerOutputs[Cumul Appr],ROW()-ROW(tblBuyerOutputs[#Headers])-1))+tblBuyerOutputs[[#This Row],[Monthly Appr]])</f>
        <v>0</v>
      </c>
    </row>
    <row r="194" spans="1:31" x14ac:dyDescent="0.25">
      <c r="A194" s="613">
        <f t="shared" si="34"/>
        <v>51090</v>
      </c>
      <c r="B194" s="276">
        <f t="shared" si="32"/>
        <v>22465.500000000029</v>
      </c>
      <c r="C194" s="14">
        <f t="shared" si="30"/>
        <v>627.88</v>
      </c>
      <c r="D194" s="14">
        <f t="shared" si="35"/>
        <v>557.67999999999995</v>
      </c>
      <c r="E194" s="14">
        <f t="shared" si="31"/>
        <v>70.2</v>
      </c>
      <c r="F194" s="14">
        <f t="shared" si="42"/>
        <v>134.16999999999999</v>
      </c>
      <c r="G194" s="14">
        <f t="shared" si="42"/>
        <v>188.55</v>
      </c>
      <c r="H194" s="14">
        <f t="shared" si="43"/>
        <v>950.59999999999991</v>
      </c>
      <c r="I194" s="276">
        <f t="shared" si="36"/>
        <v>75624.01999999996</v>
      </c>
      <c r="J194" s="276">
        <f t="shared" si="37"/>
        <v>34558.82</v>
      </c>
      <c r="K194" s="276">
        <f t="shared" si="38"/>
        <v>21907.820000000029</v>
      </c>
      <c r="L194" s="394">
        <f t="shared" si="41"/>
        <v>14</v>
      </c>
      <c r="M194" s="394">
        <f t="shared" si="33"/>
        <v>174</v>
      </c>
      <c r="N194" s="613">
        <f>INDEX(tblSubjectToLoan[Date],ROW()-ROW(tblContractForDeed[#Headers]))</f>
        <v>51090</v>
      </c>
      <c r="O194" s="276">
        <f>IF(ROW()=ROW(tblContractForDeed[#Headers])+1,$O$6,IF(INDEX(tblContractForDeed[End Bal],ROW()-ROW(tblContractForDeed[#Headers])-1)&lt;0,0,INDEX(tblContractForDeed[End Bal],ROW()-ROW(tblContractForDeed[#Headers])-1)))</f>
        <v>11845.780000000015</v>
      </c>
      <c r="P194" s="454">
        <f>IF(tblContractForDeed[[#This Row],[Date]]="","",IF(tblContractForDeed[[#This Row],[Date]]&lt;cfdRateChangeDate,cfdRate1,cfdRate2))</f>
        <v>7.7499999999999999E-2</v>
      </c>
      <c r="Q1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4" s="276">
        <f>IF(tblContractForDeed[[#This Row],[Payment]]=0,0,MAX(0,MIN(tblContractForDeed[[#This Row],[Beg]],tblContractForDeed[[#This Row],[Payment]]-tblContractForDeed[[#This Row],[Int]])))</f>
        <v>622.66999999999996</v>
      </c>
      <c r="S194" s="276">
        <f>IF(OR(tblContractForDeed[[#This Row],[Date]]&lt;cfdContractDate,tblContractForDeed[[#This Row],[Date]]&gt;cfdEndDate),0,ROUND(tblContractForDeed[[#This Row],[Beg]]*(tblContractForDeed[[#This Row],[Int Rate]]/12),2))</f>
        <v>76.5</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1021.8899999999999</v>
      </c>
      <c r="W194" s="276">
        <f>SUM(INDEX(tblContractForDeed[Princ],1):INDEX(tblContractForDeed[Princ],ROW()-ROW(tblContractForDeed[#Headers])))</f>
        <v>64034.89</v>
      </c>
      <c r="X194" s="276">
        <f>IF(tblContractForDeed[[#This Row],[Beg]]&lt;=0,0,tblContractForDeed[[#This Row],[Beg]]-tblContractForDeed[[#This Row],[Princ]])</f>
        <v>11223.110000000015</v>
      </c>
      <c r="Y194" s="467">
        <f>IF(INDEX(tblContractForDeed[Payment],ROW()-ROW(tblBuyerOutputs[#Headers]))=0,0,INDEX(tblContractForDeed[Payment],ROW()-ROW(tblBuyerOutputs[#Headers]))-INDEX(tblSubjectToLoan[Payment],ROW()-ROW(tblBuyerOutputs[#Headers])))</f>
        <v>71.289999999999964</v>
      </c>
      <c r="Z19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162</v>
      </c>
      <c r="AA194"/>
      <c r="AB194" s="14">
        <f>IF(INDEX(tblContractForDeed[Payment],ROW()-ROW(tblBuyerOutputs[#Headers]))=0,0,INDEX(tblContractForDeed[Payment],ROW()-ROW(tblBuyerOutputs[#Headers]))-INDEX(tblSubjectToLoan[Payment],ROW()-ROW(tblBuyerOutputs[#Headers])))-IFERROR(tblBuyerOutputs[[#This Row],[PMI]],0)</f>
        <v>71.289999999999964</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9775.9100000000144</v>
      </c>
      <c r="AD194" s="276">
        <f>IF(INDEX(tblContractForDeed[End Bal],ROW()-ROW(tblBuyerOutputs[#Headers]))&lt;=0,0,($O$6+IF(ROW()=ROW(tblBuyerOutputs[#Headers])+1,0,INDEX(tblBuyerOutputs[Cumul Appr],ROW()-ROW(tblBuyerOutputs[#Headers])-1)))*$AK$2/12)</f>
        <v>0</v>
      </c>
      <c r="AE194" s="276">
        <f>IF(INDEX(tblContractForDeed[End Bal],ROW()-ROW(tblBuyerOutputs[#Headers]))&lt;=0,0,IF(ROW()=ROW(tblBuyerOutputs[#Headers])+1,0,INDEX(tblBuyerOutputs[Cumul Appr],ROW()-ROW(tblBuyerOutputs[#Headers])-1))+tblBuyerOutputs[[#This Row],[Monthly Appr]])</f>
        <v>0</v>
      </c>
    </row>
    <row r="195" spans="1:31" x14ac:dyDescent="0.25">
      <c r="A195" s="613">
        <f t="shared" si="34"/>
        <v>51120</v>
      </c>
      <c r="B195" s="276">
        <f t="shared" si="32"/>
        <v>21907.820000000029</v>
      </c>
      <c r="C195" s="14">
        <f t="shared" si="30"/>
        <v>627.88</v>
      </c>
      <c r="D195" s="14">
        <f t="shared" si="35"/>
        <v>559.41999999999996</v>
      </c>
      <c r="E195" s="14">
        <f t="shared" si="31"/>
        <v>68.459999999999994</v>
      </c>
      <c r="F195" s="14">
        <f t="shared" si="42"/>
        <v>134.16999999999999</v>
      </c>
      <c r="G195" s="14">
        <f t="shared" si="42"/>
        <v>188.55</v>
      </c>
      <c r="H195" s="14">
        <f t="shared" si="43"/>
        <v>950.59999999999991</v>
      </c>
      <c r="I195" s="276">
        <f t="shared" si="36"/>
        <v>76183.439999999959</v>
      </c>
      <c r="J195" s="276">
        <f t="shared" si="37"/>
        <v>34627.279999999999</v>
      </c>
      <c r="K195" s="276">
        <f t="shared" si="38"/>
        <v>21348.400000000031</v>
      </c>
      <c r="L195" s="394">
        <f t="shared" si="41"/>
        <v>14</v>
      </c>
      <c r="M195" s="394">
        <f t="shared" si="33"/>
        <v>175</v>
      </c>
      <c r="N195" s="613">
        <f>INDEX(tblSubjectToLoan[Date],ROW()-ROW(tblContractForDeed[#Headers]))</f>
        <v>51120</v>
      </c>
      <c r="O195" s="276">
        <f>IF(ROW()=ROW(tblContractForDeed[#Headers])+1,$O$6,IF(INDEX(tblContractForDeed[End Bal],ROW()-ROW(tblContractForDeed[#Headers])-1)&lt;0,0,INDEX(tblContractForDeed[End Bal],ROW()-ROW(tblContractForDeed[#Headers])-1)))</f>
        <v>11223.110000000015</v>
      </c>
      <c r="P195" s="454">
        <f>IF(tblContractForDeed[[#This Row],[Date]]="","",IF(tblContractForDeed[[#This Row],[Date]]&lt;cfdRateChangeDate,cfdRate1,cfdRate2))</f>
        <v>7.7499999999999999E-2</v>
      </c>
      <c r="Q1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5" s="276">
        <f>IF(tblContractForDeed[[#This Row],[Payment]]=0,0,MAX(0,MIN(tblContractForDeed[[#This Row],[Beg]],tblContractForDeed[[#This Row],[Payment]]-tblContractForDeed[[#This Row],[Int]])))</f>
        <v>626.68999999999994</v>
      </c>
      <c r="S195" s="276">
        <f>IF(OR(tblContractForDeed[[#This Row],[Date]]&lt;cfdContractDate,tblContractForDeed[[#This Row],[Date]]&gt;cfdEndDate),0,ROUND(tblContractForDeed[[#This Row],[Beg]]*(tblContractForDeed[[#This Row],[Int Rate]]/12),2))</f>
        <v>72.48</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1021.8899999999999</v>
      </c>
      <c r="W195" s="276">
        <f>SUM(INDEX(tblContractForDeed[Princ],1):INDEX(tblContractForDeed[Princ],ROW()-ROW(tblContractForDeed[#Headers])))</f>
        <v>64661.58</v>
      </c>
      <c r="X195" s="276">
        <f>IF(tblContractForDeed[[#This Row],[Beg]]&lt;=0,0,tblContractForDeed[[#This Row],[Beg]]-tblContractForDeed[[#This Row],[Princ]])</f>
        <v>10596.420000000015</v>
      </c>
      <c r="Y195" s="467">
        <f>IF(INDEX(tblContractForDeed[Payment],ROW()-ROW(tblBuyerOutputs[#Headers]))=0,0,INDEX(tblContractForDeed[Payment],ROW()-ROW(tblBuyerOutputs[#Headers]))-INDEX(tblSubjectToLoan[Payment],ROW()-ROW(tblBuyerOutputs[#Headers])))</f>
        <v>71.289999999999964</v>
      </c>
      <c r="Z19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163</v>
      </c>
      <c r="AA195"/>
      <c r="AB195" s="14">
        <f>IF(INDEX(tblContractForDeed[Payment],ROW()-ROW(tblBuyerOutputs[#Headers]))=0,0,INDEX(tblContractForDeed[Payment],ROW()-ROW(tblBuyerOutputs[#Headers]))-INDEX(tblSubjectToLoan[Payment],ROW()-ROW(tblBuyerOutputs[#Headers])))-IFERROR(tblBuyerOutputs[[#This Row],[PMI]],0)</f>
        <v>71.289999999999964</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9847.2000000000153</v>
      </c>
      <c r="AD195" s="276">
        <f>IF(INDEX(tblContractForDeed[End Bal],ROW()-ROW(tblBuyerOutputs[#Headers]))&lt;=0,0,($O$6+IF(ROW()=ROW(tblBuyerOutputs[#Headers])+1,0,INDEX(tblBuyerOutputs[Cumul Appr],ROW()-ROW(tblBuyerOutputs[#Headers])-1)))*$AK$2/12)</f>
        <v>0</v>
      </c>
      <c r="AE195" s="276">
        <f>IF(INDEX(tblContractForDeed[End Bal],ROW()-ROW(tblBuyerOutputs[#Headers]))&lt;=0,0,IF(ROW()=ROW(tblBuyerOutputs[#Headers])+1,0,INDEX(tblBuyerOutputs[Cumul Appr],ROW()-ROW(tblBuyerOutputs[#Headers])-1))+tblBuyerOutputs[[#This Row],[Monthly Appr]])</f>
        <v>0</v>
      </c>
    </row>
    <row r="196" spans="1:31" x14ac:dyDescent="0.25">
      <c r="A196" s="613">
        <f t="shared" si="34"/>
        <v>51150</v>
      </c>
      <c r="B196" s="276">
        <f t="shared" si="32"/>
        <v>21348.400000000031</v>
      </c>
      <c r="C196" s="14">
        <f t="shared" si="30"/>
        <v>627.88</v>
      </c>
      <c r="D196" s="14">
        <f t="shared" si="35"/>
        <v>561.16999999999996</v>
      </c>
      <c r="E196" s="14">
        <f t="shared" si="31"/>
        <v>66.709999999999994</v>
      </c>
      <c r="F196" s="14">
        <f t="shared" si="42"/>
        <v>134.16999999999999</v>
      </c>
      <c r="G196" s="14">
        <f t="shared" si="42"/>
        <v>188.55</v>
      </c>
      <c r="H196" s="14">
        <f t="shared" si="43"/>
        <v>950.59999999999991</v>
      </c>
      <c r="I196" s="276">
        <f t="shared" si="36"/>
        <v>76744.609999999957</v>
      </c>
      <c r="J196" s="276">
        <f t="shared" si="37"/>
        <v>34693.99</v>
      </c>
      <c r="K196" s="276">
        <f t="shared" si="38"/>
        <v>20787.230000000032</v>
      </c>
      <c r="L196" s="394">
        <f t="shared" si="41"/>
        <v>14</v>
      </c>
      <c r="M196" s="394">
        <f t="shared" si="33"/>
        <v>176</v>
      </c>
      <c r="N196" s="613">
        <f>INDEX(tblSubjectToLoan[Date],ROW()-ROW(tblContractForDeed[#Headers]))</f>
        <v>51150</v>
      </c>
      <c r="O196" s="276">
        <f>IF(ROW()=ROW(tblContractForDeed[#Headers])+1,$O$6,IF(INDEX(tblContractForDeed[End Bal],ROW()-ROW(tblContractForDeed[#Headers])-1)&lt;0,0,INDEX(tblContractForDeed[End Bal],ROW()-ROW(tblContractForDeed[#Headers])-1)))</f>
        <v>10596.420000000015</v>
      </c>
      <c r="P196" s="454">
        <f>IF(tblContractForDeed[[#This Row],[Date]]="","",IF(tblContractForDeed[[#This Row],[Date]]&lt;cfdRateChangeDate,cfdRate1,cfdRate2))</f>
        <v>7.7499999999999999E-2</v>
      </c>
      <c r="Q1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6" s="276">
        <f>IF(tblContractForDeed[[#This Row],[Payment]]=0,0,MAX(0,MIN(tblContractForDeed[[#This Row],[Beg]],tblContractForDeed[[#This Row],[Payment]]-tblContractForDeed[[#This Row],[Int]])))</f>
        <v>630.73</v>
      </c>
      <c r="S196" s="276">
        <f>IF(OR(tblContractForDeed[[#This Row],[Date]]&lt;cfdContractDate,tblContractForDeed[[#This Row],[Date]]&gt;cfdEndDate),0,ROUND(tblContractForDeed[[#This Row],[Beg]]*(tblContractForDeed[[#This Row],[Int Rate]]/12),2))</f>
        <v>68.44</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1021.8900000000001</v>
      </c>
      <c r="W196" s="276">
        <f>SUM(INDEX(tblContractForDeed[Princ],1):INDEX(tblContractForDeed[Princ],ROW()-ROW(tblContractForDeed[#Headers])))</f>
        <v>65292.310000000005</v>
      </c>
      <c r="X196" s="276">
        <f>IF(tblContractForDeed[[#This Row],[Beg]]&lt;=0,0,tblContractForDeed[[#This Row],[Beg]]-tblContractForDeed[[#This Row],[Princ]])</f>
        <v>9965.6900000000151</v>
      </c>
      <c r="Y196" s="467">
        <f>IF(INDEX(tblContractForDeed[Payment],ROW()-ROW(tblBuyerOutputs[#Headers]))=0,0,INDEX(tblContractForDeed[Payment],ROW()-ROW(tblBuyerOutputs[#Headers]))-INDEX(tblSubjectToLoan[Payment],ROW()-ROW(tblBuyerOutputs[#Headers])))</f>
        <v>71.289999999999964</v>
      </c>
      <c r="Z19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164</v>
      </c>
      <c r="AA196"/>
      <c r="AB196" s="14">
        <f>IF(INDEX(tblContractForDeed[Payment],ROW()-ROW(tblBuyerOutputs[#Headers]))=0,0,INDEX(tblContractForDeed[Payment],ROW()-ROW(tblBuyerOutputs[#Headers]))-INDEX(tblSubjectToLoan[Payment],ROW()-ROW(tblBuyerOutputs[#Headers])))-IFERROR(tblBuyerOutputs[[#This Row],[PMI]],0)</f>
        <v>71.289999999999964</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9918.4900000000162</v>
      </c>
      <c r="AD196" s="276">
        <f>IF(INDEX(tblContractForDeed[End Bal],ROW()-ROW(tblBuyerOutputs[#Headers]))&lt;=0,0,($O$6+IF(ROW()=ROW(tblBuyerOutputs[#Headers])+1,0,INDEX(tblBuyerOutputs[Cumul Appr],ROW()-ROW(tblBuyerOutputs[#Headers])-1)))*$AK$2/12)</f>
        <v>0</v>
      </c>
      <c r="AE196" s="276">
        <f>IF(INDEX(tblContractForDeed[End Bal],ROW()-ROW(tblBuyerOutputs[#Headers]))&lt;=0,0,IF(ROW()=ROW(tblBuyerOutputs[#Headers])+1,0,INDEX(tblBuyerOutputs[Cumul Appr],ROW()-ROW(tblBuyerOutputs[#Headers])-1))+tblBuyerOutputs[[#This Row],[Monthly Appr]])</f>
        <v>0</v>
      </c>
    </row>
    <row r="197" spans="1:31" x14ac:dyDescent="0.25">
      <c r="A197" s="613">
        <f t="shared" si="34"/>
        <v>51180</v>
      </c>
      <c r="B197" s="276">
        <f t="shared" si="32"/>
        <v>20787.230000000032</v>
      </c>
      <c r="C197" s="14">
        <f t="shared" si="30"/>
        <v>627.88</v>
      </c>
      <c r="D197" s="14">
        <f t="shared" si="35"/>
        <v>562.91999999999996</v>
      </c>
      <c r="E197" s="14">
        <f t="shared" si="31"/>
        <v>64.959999999999994</v>
      </c>
      <c r="F197" s="14">
        <f t="shared" si="42"/>
        <v>134.16999999999999</v>
      </c>
      <c r="G197" s="14">
        <f t="shared" si="42"/>
        <v>188.55</v>
      </c>
      <c r="H197" s="14">
        <f t="shared" si="43"/>
        <v>950.59999999999991</v>
      </c>
      <c r="I197" s="276">
        <f t="shared" si="36"/>
        <v>77307.529999999955</v>
      </c>
      <c r="J197" s="276">
        <f t="shared" si="37"/>
        <v>34758.949999999997</v>
      </c>
      <c r="K197" s="276">
        <f t="shared" si="38"/>
        <v>20224.310000000034</v>
      </c>
      <c r="L197" s="394">
        <f t="shared" si="41"/>
        <v>14</v>
      </c>
      <c r="M197" s="394">
        <f t="shared" si="33"/>
        <v>177</v>
      </c>
      <c r="N197" s="613">
        <f>INDEX(tblSubjectToLoan[Date],ROW()-ROW(tblContractForDeed[#Headers]))</f>
        <v>51180</v>
      </c>
      <c r="O197" s="276">
        <f>IF(ROW()=ROW(tblContractForDeed[#Headers])+1,$O$6,IF(INDEX(tblContractForDeed[End Bal],ROW()-ROW(tblContractForDeed[#Headers])-1)&lt;0,0,INDEX(tblContractForDeed[End Bal],ROW()-ROW(tblContractForDeed[#Headers])-1)))</f>
        <v>9965.6900000000151</v>
      </c>
      <c r="P197" s="454">
        <f>IF(tblContractForDeed[[#This Row],[Date]]="","",IF(tblContractForDeed[[#This Row],[Date]]&lt;cfdRateChangeDate,cfdRate1,cfdRate2))</f>
        <v>7.7499999999999999E-2</v>
      </c>
      <c r="Q1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7" s="276">
        <f>IF(tblContractForDeed[[#This Row],[Payment]]=0,0,MAX(0,MIN(tblContractForDeed[[#This Row],[Beg]],tblContractForDeed[[#This Row],[Payment]]-tblContractForDeed[[#This Row],[Int]])))</f>
        <v>634.80999999999995</v>
      </c>
      <c r="S197" s="276">
        <f>IF(OR(tblContractForDeed[[#This Row],[Date]]&lt;cfdContractDate,tblContractForDeed[[#This Row],[Date]]&gt;cfdEndDate),0,ROUND(tblContractForDeed[[#This Row],[Beg]]*(tblContractForDeed[[#This Row],[Int Rate]]/12),2))</f>
        <v>64.36</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1021.8899999999999</v>
      </c>
      <c r="W197" s="276">
        <f>SUM(INDEX(tblContractForDeed[Princ],1):INDEX(tblContractForDeed[Princ],ROW()-ROW(tblContractForDeed[#Headers])))</f>
        <v>65927.12000000001</v>
      </c>
      <c r="X197" s="276">
        <f>IF(tblContractForDeed[[#This Row],[Beg]]&lt;=0,0,tblContractForDeed[[#This Row],[Beg]]-tblContractForDeed[[#This Row],[Princ]])</f>
        <v>9330.8800000000156</v>
      </c>
      <c r="Y197" s="467">
        <f>IF(INDEX(tblContractForDeed[Payment],ROW()-ROW(tblBuyerOutputs[#Headers]))=0,0,INDEX(tblContractForDeed[Payment],ROW()-ROW(tblBuyerOutputs[#Headers]))-INDEX(tblSubjectToLoan[Payment],ROW()-ROW(tblBuyerOutputs[#Headers])))</f>
        <v>71.289999999999964</v>
      </c>
      <c r="Z19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165</v>
      </c>
      <c r="AA197"/>
      <c r="AB197" s="14">
        <f>IF(INDEX(tblContractForDeed[Payment],ROW()-ROW(tblBuyerOutputs[#Headers]))=0,0,INDEX(tblContractForDeed[Payment],ROW()-ROW(tblBuyerOutputs[#Headers]))-INDEX(tblSubjectToLoan[Payment],ROW()-ROW(tblBuyerOutputs[#Headers])))-IFERROR(tblBuyerOutputs[[#This Row],[PMI]],0)</f>
        <v>71.289999999999964</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9989.780000000017</v>
      </c>
      <c r="AD197" s="276">
        <f>IF(INDEX(tblContractForDeed[End Bal],ROW()-ROW(tblBuyerOutputs[#Headers]))&lt;=0,0,($O$6+IF(ROW()=ROW(tblBuyerOutputs[#Headers])+1,0,INDEX(tblBuyerOutputs[Cumul Appr],ROW()-ROW(tblBuyerOutputs[#Headers])-1)))*$AK$2/12)</f>
        <v>0</v>
      </c>
      <c r="AE197" s="276">
        <f>IF(INDEX(tblContractForDeed[End Bal],ROW()-ROW(tblBuyerOutputs[#Headers]))&lt;=0,0,IF(ROW()=ROW(tblBuyerOutputs[#Headers])+1,0,INDEX(tblBuyerOutputs[Cumul Appr],ROW()-ROW(tblBuyerOutputs[#Headers])-1))+tblBuyerOutputs[[#This Row],[Monthly Appr]])</f>
        <v>0</v>
      </c>
    </row>
    <row r="198" spans="1:31" x14ac:dyDescent="0.25">
      <c r="A198" s="613">
        <f t="shared" si="34"/>
        <v>51210</v>
      </c>
      <c r="B198" s="276">
        <f t="shared" si="32"/>
        <v>20224.310000000034</v>
      </c>
      <c r="C198" s="14">
        <f t="shared" si="30"/>
        <v>627.88</v>
      </c>
      <c r="D198" s="14">
        <f t="shared" si="35"/>
        <v>564.67999999999995</v>
      </c>
      <c r="E198" s="14">
        <f t="shared" si="31"/>
        <v>63.2</v>
      </c>
      <c r="F198" s="14">
        <f t="shared" si="42"/>
        <v>134.16999999999999</v>
      </c>
      <c r="G198" s="14">
        <f t="shared" si="42"/>
        <v>188.55</v>
      </c>
      <c r="H198" s="14">
        <f t="shared" si="43"/>
        <v>950.59999999999991</v>
      </c>
      <c r="I198" s="276">
        <f t="shared" si="36"/>
        <v>77872.209999999948</v>
      </c>
      <c r="J198" s="276">
        <f t="shared" si="37"/>
        <v>34822.149999999994</v>
      </c>
      <c r="K198" s="276">
        <f t="shared" si="38"/>
        <v>19659.630000000034</v>
      </c>
      <c r="L198" s="394">
        <f t="shared" si="41"/>
        <v>14</v>
      </c>
      <c r="M198" s="394">
        <f t="shared" si="33"/>
        <v>178</v>
      </c>
      <c r="N198" s="613">
        <f>INDEX(tblSubjectToLoan[Date],ROW()-ROW(tblContractForDeed[#Headers]))</f>
        <v>51210</v>
      </c>
      <c r="O198" s="276">
        <f>IF(ROW()=ROW(tblContractForDeed[#Headers])+1,$O$6,IF(INDEX(tblContractForDeed[End Bal],ROW()-ROW(tblContractForDeed[#Headers])-1)&lt;0,0,INDEX(tblContractForDeed[End Bal],ROW()-ROW(tblContractForDeed[#Headers])-1)))</f>
        <v>9330.8800000000156</v>
      </c>
      <c r="P198" s="454">
        <f>IF(tblContractForDeed[[#This Row],[Date]]="","",IF(tblContractForDeed[[#This Row],[Date]]&lt;cfdRateChangeDate,cfdRate1,cfdRate2))</f>
        <v>7.7499999999999999E-2</v>
      </c>
      <c r="Q1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8" s="276">
        <f>IF(tblContractForDeed[[#This Row],[Payment]]=0,0,MAX(0,MIN(tblContractForDeed[[#This Row],[Beg]],tblContractForDeed[[#This Row],[Payment]]-tblContractForDeed[[#This Row],[Int]])))</f>
        <v>638.91</v>
      </c>
      <c r="S198" s="276">
        <f>IF(OR(tblContractForDeed[[#This Row],[Date]]&lt;cfdContractDate,tblContractForDeed[[#This Row],[Date]]&gt;cfdEndDate),0,ROUND(tblContractForDeed[[#This Row],[Beg]]*(tblContractForDeed[[#This Row],[Int Rate]]/12),2))</f>
        <v>60.26</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1021.8899999999999</v>
      </c>
      <c r="W198" s="276">
        <f>SUM(INDEX(tblContractForDeed[Princ],1):INDEX(tblContractForDeed[Princ],ROW()-ROW(tblContractForDeed[#Headers])))</f>
        <v>66566.030000000013</v>
      </c>
      <c r="X198" s="276">
        <f>IF(tblContractForDeed[[#This Row],[Beg]]&lt;=0,0,tblContractForDeed[[#This Row],[Beg]]-tblContractForDeed[[#This Row],[Princ]])</f>
        <v>8691.9700000000157</v>
      </c>
      <c r="Y198" s="467">
        <f>IF(INDEX(tblContractForDeed[Payment],ROW()-ROW(tblBuyerOutputs[#Headers]))=0,0,INDEX(tblContractForDeed[Payment],ROW()-ROW(tblBuyerOutputs[#Headers]))-INDEX(tblSubjectToLoan[Payment],ROW()-ROW(tblBuyerOutputs[#Headers])))</f>
        <v>71.289999999999964</v>
      </c>
      <c r="Z19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166</v>
      </c>
      <c r="AA198"/>
      <c r="AB198" s="14">
        <f>IF(INDEX(tblContractForDeed[Payment],ROW()-ROW(tblBuyerOutputs[#Headers]))=0,0,INDEX(tblContractForDeed[Payment],ROW()-ROW(tblBuyerOutputs[#Headers]))-INDEX(tblSubjectToLoan[Payment],ROW()-ROW(tblBuyerOutputs[#Headers])))-IFERROR(tblBuyerOutputs[[#This Row],[PMI]],0)</f>
        <v>71.289999999999964</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10061.070000000018</v>
      </c>
      <c r="AD198" s="276">
        <f>IF(INDEX(tblContractForDeed[End Bal],ROW()-ROW(tblBuyerOutputs[#Headers]))&lt;=0,0,($O$6+IF(ROW()=ROW(tblBuyerOutputs[#Headers])+1,0,INDEX(tblBuyerOutputs[Cumul Appr],ROW()-ROW(tblBuyerOutputs[#Headers])-1)))*$AK$2/12)</f>
        <v>0</v>
      </c>
      <c r="AE198" s="276">
        <f>IF(INDEX(tblContractForDeed[End Bal],ROW()-ROW(tblBuyerOutputs[#Headers]))&lt;=0,0,IF(ROW()=ROW(tblBuyerOutputs[#Headers])+1,0,INDEX(tblBuyerOutputs[Cumul Appr],ROW()-ROW(tblBuyerOutputs[#Headers])-1))+tblBuyerOutputs[[#This Row],[Monthly Appr]])</f>
        <v>0</v>
      </c>
    </row>
    <row r="199" spans="1:31" ht="15.75" thickBot="1" x14ac:dyDescent="0.3">
      <c r="A199" s="615">
        <f t="shared" si="34"/>
        <v>51240</v>
      </c>
      <c r="B199" s="332">
        <f t="shared" si="32"/>
        <v>19659.630000000034</v>
      </c>
      <c r="C199" s="21">
        <f t="shared" si="30"/>
        <v>627.88</v>
      </c>
      <c r="D199" s="21">
        <f t="shared" si="35"/>
        <v>566.44000000000005</v>
      </c>
      <c r="E199" s="21">
        <f t="shared" si="31"/>
        <v>61.44</v>
      </c>
      <c r="F199" s="21">
        <f t="shared" si="42"/>
        <v>134.16999999999999</v>
      </c>
      <c r="G199" s="21">
        <f t="shared" si="42"/>
        <v>188.55</v>
      </c>
      <c r="H199" s="21">
        <f t="shared" si="43"/>
        <v>950.60000000000014</v>
      </c>
      <c r="I199" s="332">
        <f t="shared" si="36"/>
        <v>78438.649999999951</v>
      </c>
      <c r="J199" s="332">
        <f t="shared" si="37"/>
        <v>34883.589999999997</v>
      </c>
      <c r="K199" s="332">
        <f t="shared" si="38"/>
        <v>19093.190000000035</v>
      </c>
      <c r="L199" s="395">
        <f t="shared" si="41"/>
        <v>14</v>
      </c>
      <c r="M199" s="395">
        <f t="shared" si="33"/>
        <v>179</v>
      </c>
      <c r="N199" s="615">
        <f>INDEX(tblSubjectToLoan[Date],ROW()-ROW(tblContractForDeed[#Headers]))</f>
        <v>51240</v>
      </c>
      <c r="O199" s="332">
        <f>IF(ROW()=ROW(tblContractForDeed[#Headers])+1,$O$6,IF(INDEX(tblContractForDeed[End Bal],ROW()-ROW(tblContractForDeed[#Headers])-1)&lt;0,0,INDEX(tblContractForDeed[End Bal],ROW()-ROW(tblContractForDeed[#Headers])-1)))</f>
        <v>8691.9700000000157</v>
      </c>
      <c r="P199" s="454">
        <f>IF(tblContractForDeed[[#This Row],[Date]]="","",IF(tblContractForDeed[[#This Row],[Date]]&lt;cfdRateChangeDate,cfdRate1,cfdRate2))</f>
        <v>7.7499999999999999E-2</v>
      </c>
      <c r="Q1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9" s="332">
        <f>IF(tblContractForDeed[[#This Row],[Payment]]=0,0,MAX(0,MIN(tblContractForDeed[[#This Row],[Beg]],tblContractForDeed[[#This Row],[Payment]]-tblContractForDeed[[#This Row],[Int]])))</f>
        <v>643.03</v>
      </c>
      <c r="S199" s="332">
        <f>IF(OR(tblContractForDeed[[#This Row],[Date]]&lt;cfdContractDate,tblContractForDeed[[#This Row],[Date]]&gt;cfdEndDate),0,ROUND(tblContractForDeed[[#This Row],[Beg]]*(tblContractForDeed[[#This Row],[Int Rate]]/12),2))</f>
        <v>56.14</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1021.8899999999999</v>
      </c>
      <c r="W199" s="332">
        <f>SUM(INDEX(tblContractForDeed[Princ],1):INDEX(tblContractForDeed[Princ],ROW()-ROW(tblContractForDeed[#Headers])))</f>
        <v>67209.060000000012</v>
      </c>
      <c r="X199" s="332">
        <f>IF(tblContractForDeed[[#This Row],[Beg]]&lt;=0,0,tblContractForDeed[[#This Row],[Beg]]-tblContractForDeed[[#This Row],[Princ]])</f>
        <v>8048.940000000016</v>
      </c>
      <c r="Y199" s="468">
        <f>IF(INDEX(tblContractForDeed[Payment],ROW()-ROW(tblBuyerOutputs[#Headers]))=0,0,INDEX(tblContractForDeed[Payment],ROW()-ROW(tblBuyerOutputs[#Headers]))-INDEX(tblSubjectToLoan[Payment],ROW()-ROW(tblBuyerOutputs[#Headers])))</f>
        <v>71.289999999999964</v>
      </c>
      <c r="Z19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167</v>
      </c>
      <c r="AA199" s="23"/>
      <c r="AB199" s="21">
        <f>IF(INDEX(tblContractForDeed[Payment],ROW()-ROW(tblBuyerOutputs[#Headers]))=0,0,INDEX(tblContractForDeed[Payment],ROW()-ROW(tblBuyerOutputs[#Headers]))-INDEX(tblSubjectToLoan[Payment],ROW()-ROW(tblBuyerOutputs[#Headers])))-IFERROR(tblBuyerOutputs[[#This Row],[PMI]],0)</f>
        <v>71.289999999999964</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10132.360000000019</v>
      </c>
      <c r="AD199" s="332">
        <f>IF(INDEX(tblContractForDeed[End Bal],ROW()-ROW(tblBuyerOutputs[#Headers]))&lt;=0,0,($O$6+IF(ROW()=ROW(tblBuyerOutputs[#Headers])+1,0,INDEX(tblBuyerOutputs[Cumul Appr],ROW()-ROW(tblBuyerOutputs[#Headers])-1)))*$AK$2/12)</f>
        <v>0</v>
      </c>
      <c r="AE199" s="332">
        <f>IF(INDEX(tblContractForDeed[End Bal],ROW()-ROW(tblBuyerOutputs[#Headers]))&lt;=0,0,IF(ROW()=ROW(tblBuyerOutputs[#Headers])+1,0,INDEX(tblBuyerOutputs[Cumul Appr],ROW()-ROW(tblBuyerOutputs[#Headers])-1))+tblBuyerOutputs[[#This Row],[Monthly Appr]])</f>
        <v>0</v>
      </c>
    </row>
    <row r="200" spans="1:31" x14ac:dyDescent="0.25">
      <c r="A200" s="613">
        <f t="shared" si="34"/>
        <v>51270</v>
      </c>
      <c r="B200" s="276">
        <f t="shared" si="32"/>
        <v>19093.190000000035</v>
      </c>
      <c r="C200" s="14">
        <f t="shared" si="30"/>
        <v>627.88</v>
      </c>
      <c r="D200" s="14">
        <f t="shared" si="35"/>
        <v>568.21</v>
      </c>
      <c r="E200" s="14">
        <f t="shared" si="31"/>
        <v>59.67</v>
      </c>
      <c r="F200" s="14">
        <f t="shared" si="42"/>
        <v>134.16999999999999</v>
      </c>
      <c r="G200" s="14">
        <f t="shared" si="42"/>
        <v>188.55</v>
      </c>
      <c r="H200" s="14">
        <f t="shared" si="43"/>
        <v>950.59999999999991</v>
      </c>
      <c r="I200" s="276">
        <f t="shared" si="36"/>
        <v>79006.859999999957</v>
      </c>
      <c r="J200" s="276">
        <f t="shared" si="37"/>
        <v>34943.259999999995</v>
      </c>
      <c r="K200" s="276">
        <f t="shared" si="38"/>
        <v>18524.980000000036</v>
      </c>
      <c r="L200" s="394">
        <f t="shared" si="41"/>
        <v>15</v>
      </c>
      <c r="M200" s="394">
        <f t="shared" si="33"/>
        <v>180</v>
      </c>
      <c r="N200" s="613">
        <f>INDEX(tblSubjectToLoan[Date],ROW()-ROW(tblContractForDeed[#Headers]))</f>
        <v>51270</v>
      </c>
      <c r="O200" s="276">
        <f>IF(ROW()=ROW(tblContractForDeed[#Headers])+1,$O$6,IF(INDEX(tblContractForDeed[End Bal],ROW()-ROW(tblContractForDeed[#Headers])-1)&lt;0,0,INDEX(tblContractForDeed[End Bal],ROW()-ROW(tblContractForDeed[#Headers])-1)))</f>
        <v>8048.940000000016</v>
      </c>
      <c r="P200" s="454">
        <f>IF(tblContractForDeed[[#This Row],[Date]]="","",IF(tblContractForDeed[[#This Row],[Date]]&lt;cfdRateChangeDate,cfdRate1,cfdRate2))</f>
        <v>7.7499999999999999E-2</v>
      </c>
      <c r="Q2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0" s="276">
        <f>IF(tblContractForDeed[[#This Row],[Payment]]=0,0,MAX(0,MIN(tblContractForDeed[[#This Row],[Beg]],tblContractForDeed[[#This Row],[Payment]]-tblContractForDeed[[#This Row],[Int]])))</f>
        <v>647.18999999999994</v>
      </c>
      <c r="S200" s="276">
        <f>IF(OR(tblContractForDeed[[#This Row],[Date]]&lt;cfdContractDate,tblContractForDeed[[#This Row],[Date]]&gt;cfdEndDate),0,ROUND(tblContractForDeed[[#This Row],[Beg]]*(tblContractForDeed[[#This Row],[Int Rate]]/12),2))</f>
        <v>51.98</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1021.8899999999999</v>
      </c>
      <c r="W200" s="276">
        <f>SUM(INDEX(tblContractForDeed[Princ],1):INDEX(tblContractForDeed[Princ],ROW()-ROW(tblContractForDeed[#Headers])))</f>
        <v>67856.250000000015</v>
      </c>
      <c r="X200" s="276">
        <f>IF(tblContractForDeed[[#This Row],[Beg]]&lt;=0,0,tblContractForDeed[[#This Row],[Beg]]-tblContractForDeed[[#This Row],[Princ]])</f>
        <v>7401.7500000000164</v>
      </c>
      <c r="Y200" s="467">
        <f>IF(INDEX(tblContractForDeed[Payment],ROW()-ROW(tblBuyerOutputs[#Headers]))=0,0,INDEX(tblContractForDeed[Payment],ROW()-ROW(tblBuyerOutputs[#Headers]))-INDEX(tblSubjectToLoan[Payment],ROW()-ROW(tblBuyerOutputs[#Headers])))</f>
        <v>71.289999999999964</v>
      </c>
      <c r="Z20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168</v>
      </c>
      <c r="AA200"/>
      <c r="AB200" s="14">
        <f>IF(INDEX(tblContractForDeed[Payment],ROW()-ROW(tblBuyerOutputs[#Headers]))=0,0,INDEX(tblContractForDeed[Payment],ROW()-ROW(tblBuyerOutputs[#Headers]))-INDEX(tblSubjectToLoan[Payment],ROW()-ROW(tblBuyerOutputs[#Headers])))-IFERROR(tblBuyerOutputs[[#This Row],[PMI]],0)</f>
        <v>71.289999999999964</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10203.65000000002</v>
      </c>
      <c r="AD200" s="276">
        <f>IF(INDEX(tblContractForDeed[End Bal],ROW()-ROW(tblBuyerOutputs[#Headers]))&lt;=0,0,($O$6+IF(ROW()=ROW(tblBuyerOutputs[#Headers])+1,0,INDEX(tblBuyerOutputs[Cumul Appr],ROW()-ROW(tblBuyerOutputs[#Headers])-1)))*$AK$2/12)</f>
        <v>0</v>
      </c>
      <c r="AE200" s="276">
        <f>IF(INDEX(tblContractForDeed[End Bal],ROW()-ROW(tblBuyerOutputs[#Headers]))&lt;=0,0,IF(ROW()=ROW(tblBuyerOutputs[#Headers])+1,0,INDEX(tblBuyerOutputs[Cumul Appr],ROW()-ROW(tblBuyerOutputs[#Headers])-1))+tblBuyerOutputs[[#This Row],[Monthly Appr]])</f>
        <v>0</v>
      </c>
    </row>
    <row r="201" spans="1:31" x14ac:dyDescent="0.25">
      <c r="A201" s="613">
        <f t="shared" si="34"/>
        <v>51300</v>
      </c>
      <c r="B201" s="276">
        <f t="shared" si="32"/>
        <v>18524.980000000036</v>
      </c>
      <c r="C201" s="14">
        <f t="shared" si="30"/>
        <v>627.88</v>
      </c>
      <c r="D201" s="14">
        <f t="shared" si="35"/>
        <v>569.99</v>
      </c>
      <c r="E201" s="14">
        <f t="shared" si="31"/>
        <v>57.89</v>
      </c>
      <c r="F201" s="14">
        <f t="shared" si="42"/>
        <v>134.16999999999999</v>
      </c>
      <c r="G201" s="14">
        <f t="shared" si="42"/>
        <v>188.55</v>
      </c>
      <c r="H201" s="14">
        <f t="shared" si="43"/>
        <v>950.59999999999991</v>
      </c>
      <c r="I201" s="276">
        <f t="shared" si="36"/>
        <v>79576.849999999962</v>
      </c>
      <c r="J201" s="276">
        <f t="shared" si="37"/>
        <v>35001.149999999994</v>
      </c>
      <c r="K201" s="276">
        <f t="shared" si="38"/>
        <v>17954.990000000034</v>
      </c>
      <c r="L201" s="394">
        <f t="shared" si="41"/>
        <v>15</v>
      </c>
      <c r="M201" s="394">
        <f t="shared" si="33"/>
        <v>181</v>
      </c>
      <c r="N201" s="613">
        <f>INDEX(tblSubjectToLoan[Date],ROW()-ROW(tblContractForDeed[#Headers]))</f>
        <v>51300</v>
      </c>
      <c r="O201" s="276">
        <f>IF(ROW()=ROW(tblContractForDeed[#Headers])+1,$O$6,IF(INDEX(tblContractForDeed[End Bal],ROW()-ROW(tblContractForDeed[#Headers])-1)&lt;0,0,INDEX(tblContractForDeed[End Bal],ROW()-ROW(tblContractForDeed[#Headers])-1)))</f>
        <v>7401.7500000000164</v>
      </c>
      <c r="P201" s="454">
        <f>IF(tblContractForDeed[[#This Row],[Date]]="","",IF(tblContractForDeed[[#This Row],[Date]]&lt;cfdRateChangeDate,cfdRate1,cfdRate2))</f>
        <v>7.7499999999999999E-2</v>
      </c>
      <c r="Q2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1" s="276">
        <f>IF(tblContractForDeed[[#This Row],[Payment]]=0,0,MAX(0,MIN(tblContractForDeed[[#This Row],[Beg]],tblContractForDeed[[#This Row],[Payment]]-tblContractForDeed[[#This Row],[Int]])))</f>
        <v>651.37</v>
      </c>
      <c r="S201" s="276">
        <f>IF(OR(tblContractForDeed[[#This Row],[Date]]&lt;cfdContractDate,tblContractForDeed[[#This Row],[Date]]&gt;cfdEndDate),0,ROUND(tblContractForDeed[[#This Row],[Beg]]*(tblContractForDeed[[#This Row],[Int Rate]]/12),2))</f>
        <v>47.8</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1021.8899999999999</v>
      </c>
      <c r="W201" s="276">
        <f>SUM(INDEX(tblContractForDeed[Princ],1):INDEX(tblContractForDeed[Princ],ROW()-ROW(tblContractForDeed[#Headers])))</f>
        <v>68507.62000000001</v>
      </c>
      <c r="X201" s="276">
        <f>IF(tblContractForDeed[[#This Row],[Beg]]&lt;=0,0,tblContractForDeed[[#This Row],[Beg]]-tblContractForDeed[[#This Row],[Princ]])</f>
        <v>6750.3800000000165</v>
      </c>
      <c r="Y201" s="467">
        <f>IF(INDEX(tblContractForDeed[Payment],ROW()-ROW(tblBuyerOutputs[#Headers]))=0,0,INDEX(tblContractForDeed[Payment],ROW()-ROW(tblBuyerOutputs[#Headers]))-INDEX(tblSubjectToLoan[Payment],ROW()-ROW(tblBuyerOutputs[#Headers])))</f>
        <v>71.289999999999964</v>
      </c>
      <c r="Z20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169</v>
      </c>
      <c r="AA201"/>
      <c r="AB201" s="14">
        <f>IF(INDEX(tblContractForDeed[Payment],ROW()-ROW(tblBuyerOutputs[#Headers]))=0,0,INDEX(tblContractForDeed[Payment],ROW()-ROW(tblBuyerOutputs[#Headers]))-INDEX(tblSubjectToLoan[Payment],ROW()-ROW(tblBuyerOutputs[#Headers])))-IFERROR(tblBuyerOutputs[[#This Row],[PMI]],0)</f>
        <v>71.289999999999964</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10274.940000000021</v>
      </c>
      <c r="AD201" s="276">
        <f>IF(INDEX(tblContractForDeed[End Bal],ROW()-ROW(tblBuyerOutputs[#Headers]))&lt;=0,0,($O$6+IF(ROW()=ROW(tblBuyerOutputs[#Headers])+1,0,INDEX(tblBuyerOutputs[Cumul Appr],ROW()-ROW(tblBuyerOutputs[#Headers])-1)))*$AK$2/12)</f>
        <v>0</v>
      </c>
      <c r="AE201" s="276">
        <f>IF(INDEX(tblContractForDeed[End Bal],ROW()-ROW(tblBuyerOutputs[#Headers]))&lt;=0,0,IF(ROW()=ROW(tblBuyerOutputs[#Headers])+1,0,INDEX(tblBuyerOutputs[Cumul Appr],ROW()-ROW(tblBuyerOutputs[#Headers])-1))+tblBuyerOutputs[[#This Row],[Monthly Appr]])</f>
        <v>0</v>
      </c>
    </row>
    <row r="202" spans="1:31" x14ac:dyDescent="0.25">
      <c r="A202" s="613">
        <f t="shared" si="34"/>
        <v>51330</v>
      </c>
      <c r="B202" s="276">
        <f t="shared" si="32"/>
        <v>17954.990000000034</v>
      </c>
      <c r="C202" s="14">
        <f t="shared" si="30"/>
        <v>627.88</v>
      </c>
      <c r="D202" s="14">
        <f t="shared" si="35"/>
        <v>571.77</v>
      </c>
      <c r="E202" s="14">
        <f t="shared" si="31"/>
        <v>56.11</v>
      </c>
      <c r="F202" s="14">
        <f t="shared" si="42"/>
        <v>134.16999999999999</v>
      </c>
      <c r="G202" s="14">
        <f t="shared" si="42"/>
        <v>188.55</v>
      </c>
      <c r="H202" s="14">
        <f t="shared" si="43"/>
        <v>950.59999999999991</v>
      </c>
      <c r="I202" s="276">
        <f t="shared" si="36"/>
        <v>80148.619999999966</v>
      </c>
      <c r="J202" s="276">
        <f t="shared" si="37"/>
        <v>35057.259999999995</v>
      </c>
      <c r="K202" s="276">
        <f t="shared" si="38"/>
        <v>17383.220000000034</v>
      </c>
      <c r="L202" s="394">
        <f t="shared" si="41"/>
        <v>15</v>
      </c>
      <c r="M202" s="394">
        <f t="shared" si="33"/>
        <v>182</v>
      </c>
      <c r="N202" s="613">
        <f>INDEX(tblSubjectToLoan[Date],ROW()-ROW(tblContractForDeed[#Headers]))</f>
        <v>51330</v>
      </c>
      <c r="O202" s="276">
        <f>IF(ROW()=ROW(tblContractForDeed[#Headers])+1,$O$6,IF(INDEX(tblContractForDeed[End Bal],ROW()-ROW(tblContractForDeed[#Headers])-1)&lt;0,0,INDEX(tblContractForDeed[End Bal],ROW()-ROW(tblContractForDeed[#Headers])-1)))</f>
        <v>6750.3800000000165</v>
      </c>
      <c r="P202" s="454">
        <f>IF(tblContractForDeed[[#This Row],[Date]]="","",IF(tblContractForDeed[[#This Row],[Date]]&lt;cfdRateChangeDate,cfdRate1,cfdRate2))</f>
        <v>7.7499999999999999E-2</v>
      </c>
      <c r="Q2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2" s="276">
        <f>IF(tblContractForDeed[[#This Row],[Payment]]=0,0,MAX(0,MIN(tblContractForDeed[[#This Row],[Beg]],tblContractForDeed[[#This Row],[Payment]]-tblContractForDeed[[#This Row],[Int]])))</f>
        <v>655.56999999999994</v>
      </c>
      <c r="S202" s="276">
        <f>IF(OR(tblContractForDeed[[#This Row],[Date]]&lt;cfdContractDate,tblContractForDeed[[#This Row],[Date]]&gt;cfdEndDate),0,ROUND(tblContractForDeed[[#This Row],[Beg]]*(tblContractForDeed[[#This Row],[Int Rate]]/12),2))</f>
        <v>43.6</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1021.8899999999999</v>
      </c>
      <c r="W202" s="276">
        <f>SUM(INDEX(tblContractForDeed[Princ],1):INDEX(tblContractForDeed[Princ],ROW()-ROW(tblContractForDeed[#Headers])))</f>
        <v>69163.190000000017</v>
      </c>
      <c r="X202" s="276">
        <f>IF(tblContractForDeed[[#This Row],[Beg]]&lt;=0,0,tblContractForDeed[[#This Row],[Beg]]-tblContractForDeed[[#This Row],[Princ]])</f>
        <v>6094.8100000000168</v>
      </c>
      <c r="Y202" s="467">
        <f>IF(INDEX(tblContractForDeed[Payment],ROW()-ROW(tblBuyerOutputs[#Headers]))=0,0,INDEX(tblContractForDeed[Payment],ROW()-ROW(tblBuyerOutputs[#Headers]))-INDEX(tblSubjectToLoan[Payment],ROW()-ROW(tblBuyerOutputs[#Headers])))</f>
        <v>71.289999999999964</v>
      </c>
      <c r="Z20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170</v>
      </c>
      <c r="AA202"/>
      <c r="AB202" s="14">
        <f>IF(INDEX(tblContractForDeed[Payment],ROW()-ROW(tblBuyerOutputs[#Headers]))=0,0,INDEX(tblContractForDeed[Payment],ROW()-ROW(tblBuyerOutputs[#Headers]))-INDEX(tblSubjectToLoan[Payment],ROW()-ROW(tblBuyerOutputs[#Headers])))-IFERROR(tblBuyerOutputs[[#This Row],[PMI]],0)</f>
        <v>71.289999999999964</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10346.230000000021</v>
      </c>
      <c r="AD202" s="276">
        <f>IF(INDEX(tblContractForDeed[End Bal],ROW()-ROW(tblBuyerOutputs[#Headers]))&lt;=0,0,($O$6+IF(ROW()=ROW(tblBuyerOutputs[#Headers])+1,0,INDEX(tblBuyerOutputs[Cumul Appr],ROW()-ROW(tblBuyerOutputs[#Headers])-1)))*$AK$2/12)</f>
        <v>0</v>
      </c>
      <c r="AE202" s="276">
        <f>IF(INDEX(tblContractForDeed[End Bal],ROW()-ROW(tblBuyerOutputs[#Headers]))&lt;=0,0,IF(ROW()=ROW(tblBuyerOutputs[#Headers])+1,0,INDEX(tblBuyerOutputs[Cumul Appr],ROW()-ROW(tblBuyerOutputs[#Headers])-1))+tblBuyerOutputs[[#This Row],[Monthly Appr]])</f>
        <v>0</v>
      </c>
    </row>
    <row r="203" spans="1:31" x14ac:dyDescent="0.25">
      <c r="A203" s="613">
        <f t="shared" si="34"/>
        <v>51360</v>
      </c>
      <c r="B203" s="276">
        <f t="shared" si="32"/>
        <v>17383.220000000034</v>
      </c>
      <c r="C203" s="14">
        <f t="shared" si="30"/>
        <v>627.88</v>
      </c>
      <c r="D203" s="14">
        <f t="shared" si="35"/>
        <v>573.55999999999995</v>
      </c>
      <c r="E203" s="14">
        <f t="shared" si="31"/>
        <v>54.32</v>
      </c>
      <c r="F203" s="14">
        <f t="shared" si="42"/>
        <v>134.16999999999999</v>
      </c>
      <c r="G203" s="14">
        <f t="shared" si="42"/>
        <v>188.55</v>
      </c>
      <c r="H203" s="14">
        <f t="shared" si="43"/>
        <v>950.59999999999991</v>
      </c>
      <c r="I203" s="276">
        <f t="shared" si="36"/>
        <v>80722.179999999964</v>
      </c>
      <c r="J203" s="276">
        <f t="shared" si="37"/>
        <v>35111.579999999994</v>
      </c>
      <c r="K203" s="276">
        <f t="shared" si="38"/>
        <v>16809.660000000033</v>
      </c>
      <c r="L203" s="394">
        <f t="shared" si="41"/>
        <v>15</v>
      </c>
      <c r="M203" s="394">
        <f t="shared" si="33"/>
        <v>183</v>
      </c>
      <c r="N203" s="613">
        <f>INDEX(tblSubjectToLoan[Date],ROW()-ROW(tblContractForDeed[#Headers]))</f>
        <v>51360</v>
      </c>
      <c r="O203" s="276">
        <f>IF(ROW()=ROW(tblContractForDeed[#Headers])+1,$O$6,IF(INDEX(tblContractForDeed[End Bal],ROW()-ROW(tblContractForDeed[#Headers])-1)&lt;0,0,INDEX(tblContractForDeed[End Bal],ROW()-ROW(tblContractForDeed[#Headers])-1)))</f>
        <v>6094.8100000000168</v>
      </c>
      <c r="P203" s="454">
        <f>IF(tblContractForDeed[[#This Row],[Date]]="","",IF(tblContractForDeed[[#This Row],[Date]]&lt;cfdRateChangeDate,cfdRate1,cfdRate2))</f>
        <v>7.7499999999999999E-2</v>
      </c>
      <c r="Q2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3" s="276">
        <f>IF(tblContractForDeed[[#This Row],[Payment]]=0,0,MAX(0,MIN(tblContractForDeed[[#This Row],[Beg]],tblContractForDeed[[#This Row],[Payment]]-tblContractForDeed[[#This Row],[Int]])))</f>
        <v>659.81</v>
      </c>
      <c r="S203" s="276">
        <f>IF(OR(tblContractForDeed[[#This Row],[Date]]&lt;cfdContractDate,tblContractForDeed[[#This Row],[Date]]&gt;cfdEndDate),0,ROUND(tblContractForDeed[[#This Row],[Beg]]*(tblContractForDeed[[#This Row],[Int Rate]]/12),2))</f>
        <v>39.36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1021.8899999999999</v>
      </c>
      <c r="W203" s="276">
        <f>SUM(INDEX(tblContractForDeed[Princ],1):INDEX(tblContractForDeed[Princ],ROW()-ROW(tblContractForDeed[#Headers])))</f>
        <v>69823.000000000015</v>
      </c>
      <c r="X203" s="276">
        <f>IF(tblContractForDeed[[#This Row],[Beg]]&lt;=0,0,tblContractForDeed[[#This Row],[Beg]]-tblContractForDeed[[#This Row],[Princ]])</f>
        <v>5435.0000000000164</v>
      </c>
      <c r="Y203" s="467">
        <f>IF(INDEX(tblContractForDeed[Payment],ROW()-ROW(tblBuyerOutputs[#Headers]))=0,0,INDEX(tblContractForDeed[Payment],ROW()-ROW(tblBuyerOutputs[#Headers]))-INDEX(tblSubjectToLoan[Payment],ROW()-ROW(tblBuyerOutputs[#Headers])))</f>
        <v>71.289999999999964</v>
      </c>
      <c r="Z20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171</v>
      </c>
      <c r="AA203"/>
      <c r="AB203" s="14">
        <f>IF(INDEX(tblContractForDeed[Payment],ROW()-ROW(tblBuyerOutputs[#Headers]))=0,0,INDEX(tblContractForDeed[Payment],ROW()-ROW(tblBuyerOutputs[#Headers]))-INDEX(tblSubjectToLoan[Payment],ROW()-ROW(tblBuyerOutputs[#Headers])))-IFERROR(tblBuyerOutputs[[#This Row],[PMI]],0)</f>
        <v>71.289999999999964</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10417.520000000022</v>
      </c>
      <c r="AD203" s="276">
        <f>IF(INDEX(tblContractForDeed[End Bal],ROW()-ROW(tblBuyerOutputs[#Headers]))&lt;=0,0,($O$6+IF(ROW()=ROW(tblBuyerOutputs[#Headers])+1,0,INDEX(tblBuyerOutputs[Cumul Appr],ROW()-ROW(tblBuyerOutputs[#Headers])-1)))*$AK$2/12)</f>
        <v>0</v>
      </c>
      <c r="AE203" s="276">
        <f>IF(INDEX(tblContractForDeed[End Bal],ROW()-ROW(tblBuyerOutputs[#Headers]))&lt;=0,0,IF(ROW()=ROW(tblBuyerOutputs[#Headers])+1,0,INDEX(tblBuyerOutputs[Cumul Appr],ROW()-ROW(tblBuyerOutputs[#Headers])-1))+tblBuyerOutputs[[#This Row],[Monthly Appr]])</f>
        <v>0</v>
      </c>
    </row>
    <row r="204" spans="1:31" x14ac:dyDescent="0.25">
      <c r="A204" s="613">
        <f t="shared" si="34"/>
        <v>51390</v>
      </c>
      <c r="B204" s="276">
        <f t="shared" si="32"/>
        <v>16809.660000000033</v>
      </c>
      <c r="C204" s="14">
        <f t="shared" si="30"/>
        <v>627.88</v>
      </c>
      <c r="D204" s="14">
        <f t="shared" si="35"/>
        <v>575.35</v>
      </c>
      <c r="E204" s="14">
        <f t="shared" si="31"/>
        <v>52.53</v>
      </c>
      <c r="F204" s="14">
        <f t="shared" si="42"/>
        <v>134.16999999999999</v>
      </c>
      <c r="G204" s="14">
        <f t="shared" si="42"/>
        <v>188.55</v>
      </c>
      <c r="H204" s="14">
        <f t="shared" si="43"/>
        <v>950.59999999999991</v>
      </c>
      <c r="I204" s="276">
        <f t="shared" si="36"/>
        <v>81297.52999999997</v>
      </c>
      <c r="J204" s="276">
        <f t="shared" si="37"/>
        <v>35164.109999999993</v>
      </c>
      <c r="K204" s="276">
        <f t="shared" si="38"/>
        <v>16234.310000000032</v>
      </c>
      <c r="L204" s="394">
        <f t="shared" si="41"/>
        <v>15</v>
      </c>
      <c r="M204" s="394">
        <f t="shared" si="33"/>
        <v>184</v>
      </c>
      <c r="N204" s="613">
        <f>INDEX(tblSubjectToLoan[Date],ROW()-ROW(tblContractForDeed[#Headers]))</f>
        <v>51390</v>
      </c>
      <c r="O204" s="276">
        <f>IF(ROW()=ROW(tblContractForDeed[#Headers])+1,$O$6,IF(INDEX(tblContractForDeed[End Bal],ROW()-ROW(tblContractForDeed[#Headers])-1)&lt;0,0,INDEX(tblContractForDeed[End Bal],ROW()-ROW(tblContractForDeed[#Headers])-1)))</f>
        <v>5435.0000000000164</v>
      </c>
      <c r="P204" s="454">
        <f>IF(tblContractForDeed[[#This Row],[Date]]="","",IF(tblContractForDeed[[#This Row],[Date]]&lt;cfdRateChangeDate,cfdRate1,cfdRate2))</f>
        <v>7.7499999999999999E-2</v>
      </c>
      <c r="Q2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4" s="276">
        <f>IF(tblContractForDeed[[#This Row],[Payment]]=0,0,MAX(0,MIN(tblContractForDeed[[#This Row],[Beg]],tblContractForDeed[[#This Row],[Payment]]-tblContractForDeed[[#This Row],[Int]])))</f>
        <v>664.06999999999994</v>
      </c>
      <c r="S204" s="276">
        <f>IF(OR(tblContractForDeed[[#This Row],[Date]]&lt;cfdContractDate,tblContractForDeed[[#This Row],[Date]]&gt;cfdEndDate),0,ROUND(tblContractForDeed[[#This Row],[Beg]]*(tblContractForDeed[[#This Row],[Int Rate]]/12),2))</f>
        <v>35.1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1021.8899999999999</v>
      </c>
      <c r="W204" s="276">
        <f>SUM(INDEX(tblContractForDeed[Princ],1):INDEX(tblContractForDeed[Princ],ROW()-ROW(tblContractForDeed[#Headers])))</f>
        <v>70487.070000000022</v>
      </c>
      <c r="X204" s="276">
        <f>IF(tblContractForDeed[[#This Row],[Beg]]&lt;=0,0,tblContractForDeed[[#This Row],[Beg]]-tblContractForDeed[[#This Row],[Princ]])</f>
        <v>4770.9300000000167</v>
      </c>
      <c r="Y204" s="467">
        <f>IF(INDEX(tblContractForDeed[Payment],ROW()-ROW(tblBuyerOutputs[#Headers]))=0,0,INDEX(tblContractForDeed[Payment],ROW()-ROW(tblBuyerOutputs[#Headers]))-INDEX(tblSubjectToLoan[Payment],ROW()-ROW(tblBuyerOutputs[#Headers])))</f>
        <v>71.289999999999964</v>
      </c>
      <c r="Z20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172</v>
      </c>
      <c r="AA204"/>
      <c r="AB204" s="14">
        <f>IF(INDEX(tblContractForDeed[Payment],ROW()-ROW(tblBuyerOutputs[#Headers]))=0,0,INDEX(tblContractForDeed[Payment],ROW()-ROW(tblBuyerOutputs[#Headers]))-INDEX(tblSubjectToLoan[Payment],ROW()-ROW(tblBuyerOutputs[#Headers])))-IFERROR(tblBuyerOutputs[[#This Row],[PMI]],0)</f>
        <v>71.289999999999964</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10488.810000000023</v>
      </c>
      <c r="AD204" s="276">
        <f>IF(INDEX(tblContractForDeed[End Bal],ROW()-ROW(tblBuyerOutputs[#Headers]))&lt;=0,0,($O$6+IF(ROW()=ROW(tblBuyerOutputs[#Headers])+1,0,INDEX(tblBuyerOutputs[Cumul Appr],ROW()-ROW(tblBuyerOutputs[#Headers])-1)))*$AK$2/12)</f>
        <v>0</v>
      </c>
      <c r="AE204" s="276">
        <f>IF(INDEX(tblContractForDeed[End Bal],ROW()-ROW(tblBuyerOutputs[#Headers]))&lt;=0,0,IF(ROW()=ROW(tblBuyerOutputs[#Headers])+1,0,INDEX(tblBuyerOutputs[Cumul Appr],ROW()-ROW(tblBuyerOutputs[#Headers])-1))+tblBuyerOutputs[[#This Row],[Monthly Appr]])</f>
        <v>0</v>
      </c>
    </row>
    <row r="205" spans="1:31" x14ac:dyDescent="0.25">
      <c r="A205" s="613">
        <f t="shared" si="34"/>
        <v>51420</v>
      </c>
      <c r="B205" s="276">
        <f t="shared" si="32"/>
        <v>16234.310000000032</v>
      </c>
      <c r="C205" s="14">
        <f t="shared" si="30"/>
        <v>627.88</v>
      </c>
      <c r="D205" s="14">
        <f t="shared" si="35"/>
        <v>577.15</v>
      </c>
      <c r="E205" s="14">
        <f t="shared" si="31"/>
        <v>50.73</v>
      </c>
      <c r="F205" s="14">
        <f t="shared" si="42"/>
        <v>134.16999999999999</v>
      </c>
      <c r="G205" s="14">
        <f t="shared" si="42"/>
        <v>188.55</v>
      </c>
      <c r="H205" s="14">
        <f t="shared" si="43"/>
        <v>950.59999999999991</v>
      </c>
      <c r="I205" s="276">
        <f t="shared" si="36"/>
        <v>81874.679999999964</v>
      </c>
      <c r="J205" s="276">
        <f t="shared" si="37"/>
        <v>35214.839999999997</v>
      </c>
      <c r="K205" s="276">
        <f t="shared" si="38"/>
        <v>15657.160000000033</v>
      </c>
      <c r="L205" s="394">
        <f t="shared" si="41"/>
        <v>15</v>
      </c>
      <c r="M205" s="394">
        <f t="shared" si="33"/>
        <v>185</v>
      </c>
      <c r="N205" s="613">
        <f>INDEX(tblSubjectToLoan[Date],ROW()-ROW(tblContractForDeed[#Headers]))</f>
        <v>51420</v>
      </c>
      <c r="O205" s="276">
        <f>IF(ROW()=ROW(tblContractForDeed[#Headers])+1,$O$6,IF(INDEX(tblContractForDeed[End Bal],ROW()-ROW(tblContractForDeed[#Headers])-1)&lt;0,0,INDEX(tblContractForDeed[End Bal],ROW()-ROW(tblContractForDeed[#Headers])-1)))</f>
        <v>4770.9300000000167</v>
      </c>
      <c r="P205" s="454">
        <f>IF(tblContractForDeed[[#This Row],[Date]]="","",IF(tblContractForDeed[[#This Row],[Date]]&lt;cfdRateChangeDate,cfdRate1,cfdRate2))</f>
        <v>7.7499999999999999E-2</v>
      </c>
      <c r="Q2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5" s="276">
        <f>IF(tblContractForDeed[[#This Row],[Payment]]=0,0,MAX(0,MIN(tblContractForDeed[[#This Row],[Beg]],tblContractForDeed[[#This Row],[Payment]]-tblContractForDeed[[#This Row],[Int]])))</f>
        <v>668.36</v>
      </c>
      <c r="S205" s="276">
        <f>IF(OR(tblContractForDeed[[#This Row],[Date]]&lt;cfdContractDate,tblContractForDeed[[#This Row],[Date]]&gt;cfdEndDate),0,ROUND(tblContractForDeed[[#This Row],[Beg]]*(tblContractForDeed[[#This Row],[Int Rate]]/12),2))</f>
        <v>30.81</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1021.8899999999999</v>
      </c>
      <c r="W205" s="276">
        <f>SUM(INDEX(tblContractForDeed[Princ],1):INDEX(tblContractForDeed[Princ],ROW()-ROW(tblContractForDeed[#Headers])))</f>
        <v>71155.430000000022</v>
      </c>
      <c r="X205" s="276">
        <f>IF(tblContractForDeed[[#This Row],[Beg]]&lt;=0,0,tblContractForDeed[[#This Row],[Beg]]-tblContractForDeed[[#This Row],[Princ]])</f>
        <v>4102.570000000017</v>
      </c>
      <c r="Y205" s="467">
        <f>IF(INDEX(tblContractForDeed[Payment],ROW()-ROW(tblBuyerOutputs[#Headers]))=0,0,INDEX(tblContractForDeed[Payment],ROW()-ROW(tblBuyerOutputs[#Headers]))-INDEX(tblSubjectToLoan[Payment],ROW()-ROW(tblBuyerOutputs[#Headers])))</f>
        <v>71.289999999999964</v>
      </c>
      <c r="Z20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173</v>
      </c>
      <c r="AA205"/>
      <c r="AB205" s="14">
        <f>IF(INDEX(tblContractForDeed[Payment],ROW()-ROW(tblBuyerOutputs[#Headers]))=0,0,INDEX(tblContractForDeed[Payment],ROW()-ROW(tblBuyerOutputs[#Headers]))-INDEX(tblSubjectToLoan[Payment],ROW()-ROW(tblBuyerOutputs[#Headers])))-IFERROR(tblBuyerOutputs[[#This Row],[PMI]],0)</f>
        <v>71.289999999999964</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10560.100000000024</v>
      </c>
      <c r="AD205" s="276">
        <f>IF(INDEX(tblContractForDeed[End Bal],ROW()-ROW(tblBuyerOutputs[#Headers]))&lt;=0,0,($O$6+IF(ROW()=ROW(tblBuyerOutputs[#Headers])+1,0,INDEX(tblBuyerOutputs[Cumul Appr],ROW()-ROW(tblBuyerOutputs[#Headers])-1)))*$AK$2/12)</f>
        <v>0</v>
      </c>
      <c r="AE205" s="276">
        <f>IF(INDEX(tblContractForDeed[End Bal],ROW()-ROW(tblBuyerOutputs[#Headers]))&lt;=0,0,IF(ROW()=ROW(tblBuyerOutputs[#Headers])+1,0,INDEX(tblBuyerOutputs[Cumul Appr],ROW()-ROW(tblBuyerOutputs[#Headers])-1))+tblBuyerOutputs[[#This Row],[Monthly Appr]])</f>
        <v>0</v>
      </c>
    </row>
    <row r="206" spans="1:31" x14ac:dyDescent="0.25">
      <c r="A206" s="613">
        <f t="shared" si="34"/>
        <v>51450</v>
      </c>
      <c r="B206" s="276">
        <f t="shared" si="32"/>
        <v>15657.160000000033</v>
      </c>
      <c r="C206" s="14">
        <f t="shared" si="30"/>
        <v>627.88</v>
      </c>
      <c r="D206" s="14">
        <f t="shared" si="35"/>
        <v>578.95000000000005</v>
      </c>
      <c r="E206" s="14">
        <f t="shared" si="31"/>
        <v>48.93</v>
      </c>
      <c r="F206" s="14">
        <f t="shared" si="42"/>
        <v>134.16999999999999</v>
      </c>
      <c r="G206" s="14">
        <f t="shared" si="42"/>
        <v>188.55</v>
      </c>
      <c r="H206" s="14">
        <f t="shared" si="43"/>
        <v>950.59999999999991</v>
      </c>
      <c r="I206" s="276">
        <f t="shared" si="36"/>
        <v>82453.629999999961</v>
      </c>
      <c r="J206" s="276">
        <f t="shared" si="37"/>
        <v>35263.769999999997</v>
      </c>
      <c r="K206" s="276">
        <f t="shared" si="38"/>
        <v>15078.210000000032</v>
      </c>
      <c r="L206" s="394">
        <f t="shared" si="41"/>
        <v>15</v>
      </c>
      <c r="M206" s="394">
        <f t="shared" si="33"/>
        <v>186</v>
      </c>
      <c r="N206" s="613">
        <f>INDEX(tblSubjectToLoan[Date],ROW()-ROW(tblContractForDeed[#Headers]))</f>
        <v>51450</v>
      </c>
      <c r="O206" s="276">
        <f>IF(ROW()=ROW(tblContractForDeed[#Headers])+1,$O$6,IF(INDEX(tblContractForDeed[End Bal],ROW()-ROW(tblContractForDeed[#Headers])-1)&lt;0,0,INDEX(tblContractForDeed[End Bal],ROW()-ROW(tblContractForDeed[#Headers])-1)))</f>
        <v>4102.570000000017</v>
      </c>
      <c r="P206" s="454">
        <f>IF(tblContractForDeed[[#This Row],[Date]]="","",IF(tblContractForDeed[[#This Row],[Date]]&lt;cfdRateChangeDate,cfdRate1,cfdRate2))</f>
        <v>7.7499999999999999E-2</v>
      </c>
      <c r="Q2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6" s="276">
        <f>IF(tblContractForDeed[[#This Row],[Payment]]=0,0,MAX(0,MIN(tblContractForDeed[[#This Row],[Beg]],tblContractForDeed[[#This Row],[Payment]]-tblContractForDeed[[#This Row],[Int]])))</f>
        <v>672.67</v>
      </c>
      <c r="S206" s="276">
        <f>IF(OR(tblContractForDeed[[#This Row],[Date]]&lt;cfdContractDate,tblContractForDeed[[#This Row],[Date]]&gt;cfdEndDate),0,ROUND(tblContractForDeed[[#This Row],[Beg]]*(tblContractForDeed[[#This Row],[Int Rate]]/12),2))</f>
        <v>26.5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1021.8899999999999</v>
      </c>
      <c r="W206" s="276">
        <f>SUM(INDEX(tblContractForDeed[Princ],1):INDEX(tblContractForDeed[Princ],ROW()-ROW(tblContractForDeed[#Headers])))</f>
        <v>71828.10000000002</v>
      </c>
      <c r="X206" s="276">
        <f>IF(tblContractForDeed[[#This Row],[Beg]]&lt;=0,0,tblContractForDeed[[#This Row],[Beg]]-tblContractForDeed[[#This Row],[Princ]])</f>
        <v>3429.9000000000169</v>
      </c>
      <c r="Y206" s="467">
        <f>IF(INDEX(tblContractForDeed[Payment],ROW()-ROW(tblBuyerOutputs[#Headers]))=0,0,INDEX(tblContractForDeed[Payment],ROW()-ROW(tblBuyerOutputs[#Headers]))-INDEX(tblSubjectToLoan[Payment],ROW()-ROW(tblBuyerOutputs[#Headers])))</f>
        <v>71.289999999999964</v>
      </c>
      <c r="Z20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174</v>
      </c>
      <c r="AA206"/>
      <c r="AB206" s="14">
        <f>IF(INDEX(tblContractForDeed[Payment],ROW()-ROW(tblBuyerOutputs[#Headers]))=0,0,INDEX(tblContractForDeed[Payment],ROW()-ROW(tblBuyerOutputs[#Headers]))-INDEX(tblSubjectToLoan[Payment],ROW()-ROW(tblBuyerOutputs[#Headers])))-IFERROR(tblBuyerOutputs[[#This Row],[PMI]],0)</f>
        <v>71.289999999999964</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10631.390000000025</v>
      </c>
      <c r="AD206" s="276">
        <f>IF(INDEX(tblContractForDeed[End Bal],ROW()-ROW(tblBuyerOutputs[#Headers]))&lt;=0,0,($O$6+IF(ROW()=ROW(tblBuyerOutputs[#Headers])+1,0,INDEX(tblBuyerOutputs[Cumul Appr],ROW()-ROW(tblBuyerOutputs[#Headers])-1)))*$AK$2/12)</f>
        <v>0</v>
      </c>
      <c r="AE206" s="276">
        <f>IF(INDEX(tblContractForDeed[End Bal],ROW()-ROW(tblBuyerOutputs[#Headers]))&lt;=0,0,IF(ROW()=ROW(tblBuyerOutputs[#Headers])+1,0,INDEX(tblBuyerOutputs[Cumul Appr],ROW()-ROW(tblBuyerOutputs[#Headers])-1))+tblBuyerOutputs[[#This Row],[Monthly Appr]])</f>
        <v>0</v>
      </c>
    </row>
    <row r="207" spans="1:31" x14ac:dyDescent="0.25">
      <c r="A207" s="613">
        <f t="shared" si="34"/>
        <v>51480</v>
      </c>
      <c r="B207" s="276">
        <f t="shared" si="32"/>
        <v>15078.210000000032</v>
      </c>
      <c r="C207" s="14">
        <f t="shared" si="30"/>
        <v>627.88</v>
      </c>
      <c r="D207" s="14">
        <f t="shared" si="35"/>
        <v>580.76</v>
      </c>
      <c r="E207" s="14">
        <f t="shared" si="31"/>
        <v>47.12</v>
      </c>
      <c r="F207" s="14">
        <f t="shared" ref="F207:G222" si="44">+F206</f>
        <v>134.16999999999999</v>
      </c>
      <c r="G207" s="14">
        <f t="shared" si="44"/>
        <v>188.55</v>
      </c>
      <c r="H207" s="14">
        <f t="shared" si="43"/>
        <v>950.59999999999991</v>
      </c>
      <c r="I207" s="276">
        <f t="shared" si="36"/>
        <v>83034.389999999956</v>
      </c>
      <c r="J207" s="276">
        <f t="shared" si="37"/>
        <v>35310.89</v>
      </c>
      <c r="K207" s="276">
        <f t="shared" si="38"/>
        <v>14497.450000000032</v>
      </c>
      <c r="L207" s="394">
        <f t="shared" si="41"/>
        <v>15</v>
      </c>
      <c r="M207" s="394">
        <f t="shared" si="33"/>
        <v>187</v>
      </c>
      <c r="N207" s="613">
        <f>INDEX(tblSubjectToLoan[Date],ROW()-ROW(tblContractForDeed[#Headers]))</f>
        <v>51480</v>
      </c>
      <c r="O207" s="276">
        <f>IF(ROW()=ROW(tblContractForDeed[#Headers])+1,$O$6,IF(INDEX(tblContractForDeed[End Bal],ROW()-ROW(tblContractForDeed[#Headers])-1)&lt;0,0,INDEX(tblContractForDeed[End Bal],ROW()-ROW(tblContractForDeed[#Headers])-1)))</f>
        <v>3429.9000000000169</v>
      </c>
      <c r="P207" s="454">
        <f>IF(tblContractForDeed[[#This Row],[Date]]="","",IF(tblContractForDeed[[#This Row],[Date]]&lt;cfdRateChangeDate,cfdRate1,cfdRate2))</f>
        <v>7.7499999999999999E-2</v>
      </c>
      <c r="Q2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7" s="276">
        <f>IF(tblContractForDeed[[#This Row],[Payment]]=0,0,MAX(0,MIN(tblContractForDeed[[#This Row],[Beg]],tblContractForDeed[[#This Row],[Payment]]-tblContractForDeed[[#This Row],[Int]])))</f>
        <v>677.02</v>
      </c>
      <c r="S207" s="276">
        <f>IF(OR(tblContractForDeed[[#This Row],[Date]]&lt;cfdContractDate,tblContractForDeed[[#This Row],[Date]]&gt;cfdEndDate),0,ROUND(tblContractForDeed[[#This Row],[Beg]]*(tblContractForDeed[[#This Row],[Int Rate]]/12),2))</f>
        <v>22.15</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1021.8899999999999</v>
      </c>
      <c r="W207" s="276">
        <f>SUM(INDEX(tblContractForDeed[Princ],1):INDEX(tblContractForDeed[Princ],ROW()-ROW(tblContractForDeed[#Headers])))</f>
        <v>72505.120000000024</v>
      </c>
      <c r="X207" s="276">
        <f>IF(tblContractForDeed[[#This Row],[Beg]]&lt;=0,0,tblContractForDeed[[#This Row],[Beg]]-tblContractForDeed[[#This Row],[Princ]])</f>
        <v>2752.8800000000169</v>
      </c>
      <c r="Y207" s="467">
        <f>IF(INDEX(tblContractForDeed[Payment],ROW()-ROW(tblBuyerOutputs[#Headers]))=0,0,INDEX(tblContractForDeed[Payment],ROW()-ROW(tblBuyerOutputs[#Headers]))-INDEX(tblSubjectToLoan[Payment],ROW()-ROW(tblBuyerOutputs[#Headers])))</f>
        <v>71.289999999999964</v>
      </c>
      <c r="Z20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175</v>
      </c>
      <c r="AA207"/>
      <c r="AB207" s="14">
        <f>IF(INDEX(tblContractForDeed[Payment],ROW()-ROW(tblBuyerOutputs[#Headers]))=0,0,INDEX(tblContractForDeed[Payment],ROW()-ROW(tblBuyerOutputs[#Headers]))-INDEX(tblSubjectToLoan[Payment],ROW()-ROW(tblBuyerOutputs[#Headers])))-IFERROR(tblBuyerOutputs[[#This Row],[PMI]],0)</f>
        <v>71.289999999999964</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10702.680000000026</v>
      </c>
      <c r="AD207" s="276">
        <f>IF(INDEX(tblContractForDeed[End Bal],ROW()-ROW(tblBuyerOutputs[#Headers]))&lt;=0,0,($O$6+IF(ROW()=ROW(tblBuyerOutputs[#Headers])+1,0,INDEX(tblBuyerOutputs[Cumul Appr],ROW()-ROW(tblBuyerOutputs[#Headers])-1)))*$AK$2/12)</f>
        <v>0</v>
      </c>
      <c r="AE207" s="276">
        <f>IF(INDEX(tblContractForDeed[End Bal],ROW()-ROW(tblBuyerOutputs[#Headers]))&lt;=0,0,IF(ROW()=ROW(tblBuyerOutputs[#Headers])+1,0,INDEX(tblBuyerOutputs[Cumul Appr],ROW()-ROW(tblBuyerOutputs[#Headers])-1))+tblBuyerOutputs[[#This Row],[Monthly Appr]])</f>
        <v>0</v>
      </c>
    </row>
    <row r="208" spans="1:31" x14ac:dyDescent="0.25">
      <c r="A208" s="613">
        <f t="shared" si="34"/>
        <v>51510</v>
      </c>
      <c r="B208" s="276">
        <f t="shared" si="32"/>
        <v>14497.450000000032</v>
      </c>
      <c r="C208" s="14">
        <f t="shared" si="30"/>
        <v>627.88</v>
      </c>
      <c r="D208" s="14">
        <f t="shared" si="35"/>
        <v>582.58000000000004</v>
      </c>
      <c r="E208" s="14">
        <f t="shared" si="31"/>
        <v>45.3</v>
      </c>
      <c r="F208" s="14">
        <f t="shared" si="44"/>
        <v>134.16999999999999</v>
      </c>
      <c r="G208" s="14">
        <f t="shared" si="44"/>
        <v>188.55</v>
      </c>
      <c r="H208" s="14">
        <f t="shared" si="43"/>
        <v>950.59999999999991</v>
      </c>
      <c r="I208" s="276">
        <f t="shared" si="36"/>
        <v>83616.969999999958</v>
      </c>
      <c r="J208" s="276">
        <f t="shared" si="37"/>
        <v>35356.19</v>
      </c>
      <c r="K208" s="276">
        <f t="shared" si="38"/>
        <v>13914.870000000032</v>
      </c>
      <c r="L208" s="394">
        <f t="shared" si="41"/>
        <v>15</v>
      </c>
      <c r="M208" s="394">
        <f t="shared" si="33"/>
        <v>188</v>
      </c>
      <c r="N208" s="613">
        <f>INDEX(tblSubjectToLoan[Date],ROW()-ROW(tblContractForDeed[#Headers]))</f>
        <v>51510</v>
      </c>
      <c r="O208" s="276">
        <f>IF(ROW()=ROW(tblContractForDeed[#Headers])+1,$O$6,IF(INDEX(tblContractForDeed[End Bal],ROW()-ROW(tblContractForDeed[#Headers])-1)&lt;0,0,INDEX(tblContractForDeed[End Bal],ROW()-ROW(tblContractForDeed[#Headers])-1)))</f>
        <v>2752.8800000000169</v>
      </c>
      <c r="P208" s="454">
        <f>IF(tblContractForDeed[[#This Row],[Date]]="","",IF(tblContractForDeed[[#This Row],[Date]]&lt;cfdRateChangeDate,cfdRate1,cfdRate2))</f>
        <v>7.7499999999999999E-2</v>
      </c>
      <c r="Q2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8" s="276">
        <f>IF(tblContractForDeed[[#This Row],[Payment]]=0,0,MAX(0,MIN(tblContractForDeed[[#This Row],[Beg]],tblContractForDeed[[#This Row],[Payment]]-tblContractForDeed[[#This Row],[Int]])))</f>
        <v>681.39</v>
      </c>
      <c r="S208" s="276">
        <f>IF(OR(tblContractForDeed[[#This Row],[Date]]&lt;cfdContractDate,tblContractForDeed[[#This Row],[Date]]&gt;cfdEndDate),0,ROUND(tblContractForDeed[[#This Row],[Beg]]*(tblContractForDeed[[#This Row],[Int Rate]]/12),2))</f>
        <v>17.78</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1021.8899999999999</v>
      </c>
      <c r="W208" s="276">
        <f>SUM(INDEX(tblContractForDeed[Princ],1):INDEX(tblContractForDeed[Princ],ROW()-ROW(tblContractForDeed[#Headers])))</f>
        <v>73186.510000000024</v>
      </c>
      <c r="X208" s="276">
        <f>IF(tblContractForDeed[[#This Row],[Beg]]&lt;=0,0,tblContractForDeed[[#This Row],[Beg]]-tblContractForDeed[[#This Row],[Princ]])</f>
        <v>2071.4900000000171</v>
      </c>
      <c r="Y208" s="467">
        <f>IF(INDEX(tblContractForDeed[Payment],ROW()-ROW(tblBuyerOutputs[#Headers]))=0,0,INDEX(tblContractForDeed[Payment],ROW()-ROW(tblBuyerOutputs[#Headers]))-INDEX(tblSubjectToLoan[Payment],ROW()-ROW(tblBuyerOutputs[#Headers])))</f>
        <v>71.289999999999964</v>
      </c>
      <c r="Z20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176</v>
      </c>
      <c r="AA208"/>
      <c r="AB208" s="14">
        <f>IF(INDEX(tblContractForDeed[Payment],ROW()-ROW(tblBuyerOutputs[#Headers]))=0,0,INDEX(tblContractForDeed[Payment],ROW()-ROW(tblBuyerOutputs[#Headers]))-INDEX(tblSubjectToLoan[Payment],ROW()-ROW(tblBuyerOutputs[#Headers])))-IFERROR(tblBuyerOutputs[[#This Row],[PMI]],0)</f>
        <v>71.289999999999964</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10773.970000000027</v>
      </c>
      <c r="AD208" s="276">
        <f>IF(INDEX(tblContractForDeed[End Bal],ROW()-ROW(tblBuyerOutputs[#Headers]))&lt;=0,0,($O$6+IF(ROW()=ROW(tblBuyerOutputs[#Headers])+1,0,INDEX(tblBuyerOutputs[Cumul Appr],ROW()-ROW(tblBuyerOutputs[#Headers])-1)))*$AK$2/12)</f>
        <v>0</v>
      </c>
      <c r="AE208" s="276">
        <f>IF(INDEX(tblContractForDeed[End Bal],ROW()-ROW(tblBuyerOutputs[#Headers]))&lt;=0,0,IF(ROW()=ROW(tblBuyerOutputs[#Headers])+1,0,INDEX(tblBuyerOutputs[Cumul Appr],ROW()-ROW(tblBuyerOutputs[#Headers])-1))+tblBuyerOutputs[[#This Row],[Monthly Appr]])</f>
        <v>0</v>
      </c>
    </row>
    <row r="209" spans="1:31" x14ac:dyDescent="0.25">
      <c r="A209" s="613">
        <f t="shared" si="34"/>
        <v>51540</v>
      </c>
      <c r="B209" s="276">
        <f t="shared" si="32"/>
        <v>13914.870000000032</v>
      </c>
      <c r="C209" s="14">
        <f t="shared" si="30"/>
        <v>627.88</v>
      </c>
      <c r="D209" s="14">
        <f t="shared" si="35"/>
        <v>584.4</v>
      </c>
      <c r="E209" s="14">
        <f t="shared" si="31"/>
        <v>43.48</v>
      </c>
      <c r="F209" s="14">
        <f t="shared" si="44"/>
        <v>134.16999999999999</v>
      </c>
      <c r="G209" s="14">
        <f t="shared" si="44"/>
        <v>188.55</v>
      </c>
      <c r="H209" s="14">
        <f t="shared" si="43"/>
        <v>950.59999999999991</v>
      </c>
      <c r="I209" s="276">
        <f t="shared" si="36"/>
        <v>84201.369999999952</v>
      </c>
      <c r="J209" s="276">
        <f t="shared" si="37"/>
        <v>35399.670000000006</v>
      </c>
      <c r="K209" s="276">
        <f t="shared" si="38"/>
        <v>13330.470000000032</v>
      </c>
      <c r="L209" s="394">
        <f t="shared" si="41"/>
        <v>15</v>
      </c>
      <c r="M209" s="394">
        <f t="shared" si="33"/>
        <v>189</v>
      </c>
      <c r="N209" s="613">
        <f>INDEX(tblSubjectToLoan[Date],ROW()-ROW(tblContractForDeed[#Headers]))</f>
        <v>51540</v>
      </c>
      <c r="O209" s="276">
        <f>IF(ROW()=ROW(tblContractForDeed[#Headers])+1,$O$6,IF(INDEX(tblContractForDeed[End Bal],ROW()-ROW(tblContractForDeed[#Headers])-1)&lt;0,0,INDEX(tblContractForDeed[End Bal],ROW()-ROW(tblContractForDeed[#Headers])-1)))</f>
        <v>2071.4900000000171</v>
      </c>
      <c r="P209" s="454">
        <f>IF(tblContractForDeed[[#This Row],[Date]]="","",IF(tblContractForDeed[[#This Row],[Date]]&lt;cfdRateChangeDate,cfdRate1,cfdRate2))</f>
        <v>7.7499999999999999E-2</v>
      </c>
      <c r="Q2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9" s="276">
        <f>IF(tblContractForDeed[[#This Row],[Payment]]=0,0,MAX(0,MIN(tblContractForDeed[[#This Row],[Beg]],tblContractForDeed[[#This Row],[Payment]]-tblContractForDeed[[#This Row],[Int]])))</f>
        <v>685.79</v>
      </c>
      <c r="S209" s="276">
        <f>IF(OR(tblContractForDeed[[#This Row],[Date]]&lt;cfdContractDate,tblContractForDeed[[#This Row],[Date]]&gt;cfdEndDate),0,ROUND(tblContractForDeed[[#This Row],[Beg]]*(tblContractForDeed[[#This Row],[Int Rate]]/12),2))</f>
        <v>13.38</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1021.8899999999999</v>
      </c>
      <c r="W209" s="276">
        <f>SUM(INDEX(tblContractForDeed[Princ],1):INDEX(tblContractForDeed[Princ],ROW()-ROW(tblContractForDeed[#Headers])))</f>
        <v>73872.300000000017</v>
      </c>
      <c r="X209" s="276">
        <f>IF(tblContractForDeed[[#This Row],[Beg]]&lt;=0,0,tblContractForDeed[[#This Row],[Beg]]-tblContractForDeed[[#This Row],[Princ]])</f>
        <v>1385.7000000000171</v>
      </c>
      <c r="Y209" s="467">
        <f>IF(INDEX(tblContractForDeed[Payment],ROW()-ROW(tblBuyerOutputs[#Headers]))=0,0,INDEX(tblContractForDeed[Payment],ROW()-ROW(tblBuyerOutputs[#Headers]))-INDEX(tblSubjectToLoan[Payment],ROW()-ROW(tblBuyerOutputs[#Headers])))</f>
        <v>71.289999999999964</v>
      </c>
      <c r="Z20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177</v>
      </c>
      <c r="AA209"/>
      <c r="AB209" s="14">
        <f>IF(INDEX(tblContractForDeed[Payment],ROW()-ROW(tblBuyerOutputs[#Headers]))=0,0,INDEX(tblContractForDeed[Payment],ROW()-ROW(tblBuyerOutputs[#Headers]))-INDEX(tblSubjectToLoan[Payment],ROW()-ROW(tblBuyerOutputs[#Headers])))-IFERROR(tblBuyerOutputs[[#This Row],[PMI]],0)</f>
        <v>71.289999999999964</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10845.260000000028</v>
      </c>
      <c r="AD209" s="276">
        <f>IF(INDEX(tblContractForDeed[End Bal],ROW()-ROW(tblBuyerOutputs[#Headers]))&lt;=0,0,($O$6+IF(ROW()=ROW(tblBuyerOutputs[#Headers])+1,0,INDEX(tblBuyerOutputs[Cumul Appr],ROW()-ROW(tblBuyerOutputs[#Headers])-1)))*$AK$2/12)</f>
        <v>0</v>
      </c>
      <c r="AE209" s="276">
        <f>IF(INDEX(tblContractForDeed[End Bal],ROW()-ROW(tblBuyerOutputs[#Headers]))&lt;=0,0,IF(ROW()=ROW(tblBuyerOutputs[#Headers])+1,0,INDEX(tblBuyerOutputs[Cumul Appr],ROW()-ROW(tblBuyerOutputs[#Headers])-1))+tblBuyerOutputs[[#This Row],[Monthly Appr]])</f>
        <v>0</v>
      </c>
    </row>
    <row r="210" spans="1:31" x14ac:dyDescent="0.25">
      <c r="A210" s="613">
        <f t="shared" si="34"/>
        <v>51570</v>
      </c>
      <c r="B210" s="276">
        <f t="shared" si="32"/>
        <v>13330.470000000032</v>
      </c>
      <c r="C210" s="14">
        <f t="shared" si="30"/>
        <v>627.88</v>
      </c>
      <c r="D210" s="14">
        <f t="shared" si="35"/>
        <v>586.22</v>
      </c>
      <c r="E210" s="14">
        <f t="shared" si="31"/>
        <v>41.66</v>
      </c>
      <c r="F210" s="14">
        <f t="shared" si="44"/>
        <v>134.16999999999999</v>
      </c>
      <c r="G210" s="14">
        <f t="shared" si="44"/>
        <v>188.55</v>
      </c>
      <c r="H210" s="14">
        <f t="shared" si="43"/>
        <v>950.59999999999991</v>
      </c>
      <c r="I210" s="276">
        <f t="shared" si="36"/>
        <v>84787.589999999953</v>
      </c>
      <c r="J210" s="276">
        <f t="shared" si="37"/>
        <v>35441.330000000009</v>
      </c>
      <c r="K210" s="276">
        <f t="shared" si="38"/>
        <v>12744.250000000033</v>
      </c>
      <c r="L210" s="394">
        <f t="shared" si="41"/>
        <v>15</v>
      </c>
      <c r="M210" s="394">
        <f t="shared" si="33"/>
        <v>190</v>
      </c>
      <c r="N210" s="613">
        <f>INDEX(tblSubjectToLoan[Date],ROW()-ROW(tblContractForDeed[#Headers]))</f>
        <v>51570</v>
      </c>
      <c r="O210" s="276">
        <f>IF(ROW()=ROW(tblContractForDeed[#Headers])+1,$O$6,IF(INDEX(tblContractForDeed[End Bal],ROW()-ROW(tblContractForDeed[#Headers])-1)&lt;0,0,INDEX(tblContractForDeed[End Bal],ROW()-ROW(tblContractForDeed[#Headers])-1)))</f>
        <v>1385.7000000000171</v>
      </c>
      <c r="P210" s="454">
        <f>IF(tblContractForDeed[[#This Row],[Date]]="","",IF(tblContractForDeed[[#This Row],[Date]]&lt;cfdRateChangeDate,cfdRate1,cfdRate2))</f>
        <v>7.7499999999999999E-2</v>
      </c>
      <c r="Q2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10" s="276">
        <f>IF(tblContractForDeed[[#This Row],[Payment]]=0,0,MAX(0,MIN(tblContractForDeed[[#This Row],[Beg]],tblContractForDeed[[#This Row],[Payment]]-tblContractForDeed[[#This Row],[Int]])))</f>
        <v>690.21999999999991</v>
      </c>
      <c r="S210" s="276">
        <f>IF(OR(tblContractForDeed[[#This Row],[Date]]&lt;cfdContractDate,tblContractForDeed[[#This Row],[Date]]&gt;cfdEndDate),0,ROUND(tblContractForDeed[[#This Row],[Beg]]*(tblContractForDeed[[#This Row],[Int Rate]]/12),2))</f>
        <v>8.9499999999999993</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1021.8899999999999</v>
      </c>
      <c r="W210" s="276">
        <f>SUM(INDEX(tblContractForDeed[Princ],1):INDEX(tblContractForDeed[Princ],ROW()-ROW(tblContractForDeed[#Headers])))</f>
        <v>74562.520000000019</v>
      </c>
      <c r="X210" s="276">
        <f>IF(tblContractForDeed[[#This Row],[Beg]]&lt;=0,0,tblContractForDeed[[#This Row],[Beg]]-tblContractForDeed[[#This Row],[Princ]])</f>
        <v>695.48000000001718</v>
      </c>
      <c r="Y210" s="467">
        <f>IF(INDEX(tblContractForDeed[Payment],ROW()-ROW(tblBuyerOutputs[#Headers]))=0,0,INDEX(tblContractForDeed[Payment],ROW()-ROW(tblBuyerOutputs[#Headers]))-INDEX(tblSubjectToLoan[Payment],ROW()-ROW(tblBuyerOutputs[#Headers])))</f>
        <v>71.289999999999964</v>
      </c>
      <c r="Z21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178</v>
      </c>
      <c r="AA210"/>
      <c r="AB210" s="14">
        <f>IF(INDEX(tblContractForDeed[Payment],ROW()-ROW(tblBuyerOutputs[#Headers]))=0,0,INDEX(tblContractForDeed[Payment],ROW()-ROW(tblBuyerOutputs[#Headers]))-INDEX(tblSubjectToLoan[Payment],ROW()-ROW(tblBuyerOutputs[#Headers])))-IFERROR(tblBuyerOutputs[[#This Row],[PMI]],0)</f>
        <v>71.289999999999964</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10916.550000000028</v>
      </c>
      <c r="AD210" s="276">
        <f>IF(INDEX(tblContractForDeed[End Bal],ROW()-ROW(tblBuyerOutputs[#Headers]))&lt;=0,0,($O$6+IF(ROW()=ROW(tblBuyerOutputs[#Headers])+1,0,INDEX(tblBuyerOutputs[Cumul Appr],ROW()-ROW(tblBuyerOutputs[#Headers])-1)))*$AK$2/12)</f>
        <v>0</v>
      </c>
      <c r="AE210" s="276">
        <f>IF(INDEX(tblContractForDeed[End Bal],ROW()-ROW(tblBuyerOutputs[#Headers]))&lt;=0,0,IF(ROW()=ROW(tblBuyerOutputs[#Headers])+1,0,INDEX(tblBuyerOutputs[Cumul Appr],ROW()-ROW(tblBuyerOutputs[#Headers])-1))+tblBuyerOutputs[[#This Row],[Monthly Appr]])</f>
        <v>0</v>
      </c>
    </row>
    <row r="211" spans="1:31" ht="15.75" thickBot="1" x14ac:dyDescent="0.3">
      <c r="A211" s="615">
        <f t="shared" si="34"/>
        <v>51600</v>
      </c>
      <c r="B211" s="332">
        <f t="shared" si="32"/>
        <v>12744.250000000033</v>
      </c>
      <c r="C211" s="21">
        <f t="shared" si="30"/>
        <v>627.88</v>
      </c>
      <c r="D211" s="21">
        <f t="shared" si="35"/>
        <v>588.04999999999995</v>
      </c>
      <c r="E211" s="21">
        <f t="shared" si="31"/>
        <v>39.83</v>
      </c>
      <c r="F211" s="21">
        <f t="shared" si="44"/>
        <v>134.16999999999999</v>
      </c>
      <c r="G211" s="21">
        <f t="shared" si="44"/>
        <v>188.55</v>
      </c>
      <c r="H211" s="21">
        <f t="shared" si="43"/>
        <v>950.59999999999991</v>
      </c>
      <c r="I211" s="332">
        <f t="shared" si="36"/>
        <v>85375.639999999956</v>
      </c>
      <c r="J211" s="332">
        <f t="shared" si="37"/>
        <v>35481.160000000011</v>
      </c>
      <c r="K211" s="332">
        <f t="shared" si="38"/>
        <v>12156.200000000033</v>
      </c>
      <c r="L211" s="395">
        <f t="shared" si="41"/>
        <v>15</v>
      </c>
      <c r="M211" s="395">
        <f t="shared" si="33"/>
        <v>191</v>
      </c>
      <c r="N211" s="615">
        <f>INDEX(tblSubjectToLoan[Date],ROW()-ROW(tblContractForDeed[#Headers]))</f>
        <v>51600</v>
      </c>
      <c r="O211" s="332">
        <f>IF(ROW()=ROW(tblContractForDeed[#Headers])+1,$O$6,IF(INDEX(tblContractForDeed[End Bal],ROW()-ROW(tblContractForDeed[#Headers])-1)&lt;0,0,INDEX(tblContractForDeed[End Bal],ROW()-ROW(tblContractForDeed[#Headers])-1)))</f>
        <v>695.48000000001718</v>
      </c>
      <c r="P211" s="454">
        <f>IF(tblContractForDeed[[#This Row],[Date]]="","",IF(tblContractForDeed[[#This Row],[Date]]&lt;cfdRateChangeDate,cfdRate1,cfdRate2))</f>
        <v>7.7499999999999999E-2</v>
      </c>
      <c r="Q2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699.97000000001719</v>
      </c>
      <c r="R211" s="332">
        <f>IF(tblContractForDeed[[#This Row],[Payment]]=0,0,MAX(0,MIN(tblContractForDeed[[#This Row],[Beg]],tblContractForDeed[[#This Row],[Payment]]-tblContractForDeed[[#This Row],[Int]])))</f>
        <v>695.48000000001718</v>
      </c>
      <c r="S211" s="332">
        <f>IF(OR(tblContractForDeed[[#This Row],[Date]]&lt;cfdContractDate,tblContractForDeed[[#This Row],[Date]]&gt;cfdEndDate),0,ROUND(tblContractForDeed[[#This Row],[Beg]]*(tblContractForDeed[[#This Row],[Int Rate]]/12),2))</f>
        <v>4.49</v>
      </c>
      <c r="T211" s="332">
        <f>IF(tblContractForDeed[[#This Row],[Payment]]=0,0,$W$2)</f>
        <v>134.16999999999999</v>
      </c>
      <c r="U211" s="332">
        <f>IF(tblContractForDeed[[#This Row],[Princ]]=0,0,$W$3)</f>
        <v>188.55</v>
      </c>
      <c r="V211" s="332">
        <f>SUM(tblContractForDeed[[#This Row],[Princ]],tblContractForDeed[[#This Row],[Int]],tblContractForDeed[[#This Row],[Ins]],tblContractForDeed[[#This Row],[Taxes]])</f>
        <v>1022.6900000000171</v>
      </c>
      <c r="W211" s="332">
        <f>SUM(INDEX(tblContractForDeed[Princ],1):INDEX(tblContractForDeed[Princ],ROW()-ROW(tblContractForDeed[#Headers])))</f>
        <v>75258.000000000029</v>
      </c>
      <c r="X211" s="332">
        <f>IF(tblContractForDeed[[#This Row],[Beg]]&lt;=0,0,tblContractForDeed[[#This Row],[Beg]]-tblContractForDeed[[#This Row],[Princ]])</f>
        <v>0</v>
      </c>
      <c r="Y211" s="468">
        <f>IF(INDEX(tblContractForDeed[Payment],ROW()-ROW(tblBuyerOutputs[#Headers]))=0,0,INDEX(tblContractForDeed[Payment],ROW()-ROW(tblBuyerOutputs[#Headers]))-INDEX(tblSubjectToLoan[Payment],ROW()-ROW(tblBuyerOutputs[#Headers])))</f>
        <v>72.090000000017199</v>
      </c>
      <c r="Z21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179</v>
      </c>
      <c r="AA211" s="23"/>
      <c r="AB211" s="21">
        <f>IF(INDEX(tblContractForDeed[Payment],ROW()-ROW(tblBuyerOutputs[#Headers]))=0,0,INDEX(tblContractForDeed[Payment],ROW()-ROW(tblBuyerOutputs[#Headers]))-INDEX(tblSubjectToLoan[Payment],ROW()-ROW(tblBuyerOutputs[#Headers])))-IFERROR(tblBuyerOutputs[[#This Row],[PMI]],0)</f>
        <v>72.090000000017199</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1" s="332">
        <f>IF(INDEX(tblContractForDeed[End Bal],ROW()-ROW(tblBuyerOutputs[#Headers]))&lt;=0,0,($O$6+IF(ROW()=ROW(tblBuyerOutputs[#Headers])+1,0,INDEX(tblBuyerOutputs[Cumul Appr],ROW()-ROW(tblBuyerOutputs[#Headers])-1)))*$AK$2/12)</f>
        <v>0</v>
      </c>
      <c r="AE211" s="332">
        <f>IF(INDEX(tblContractForDeed[End Bal],ROW()-ROW(tblBuyerOutputs[#Headers]))&lt;=0,0,IF(ROW()=ROW(tblBuyerOutputs[#Headers])+1,0,INDEX(tblBuyerOutputs[Cumul Appr],ROW()-ROW(tblBuyerOutputs[#Headers])-1))+tblBuyerOutputs[[#This Row],[Monthly Appr]])</f>
        <v>0</v>
      </c>
    </row>
    <row r="212" spans="1:31" x14ac:dyDescent="0.25">
      <c r="A212" s="613">
        <f t="shared" si="34"/>
        <v>51630</v>
      </c>
      <c r="B212" s="276">
        <f t="shared" si="32"/>
        <v>12156.200000000033</v>
      </c>
      <c r="C212" s="14">
        <f t="shared" ref="C212:C275" si="45">IF(+$K211&lt;=0,0,$C$6)</f>
        <v>627.88</v>
      </c>
      <c r="D212" s="14">
        <f t="shared" si="35"/>
        <v>589.89</v>
      </c>
      <c r="E212" s="14">
        <f t="shared" ref="E212:E275" si="46">ROUND($B212*($C$4/12), 2)</f>
        <v>37.99</v>
      </c>
      <c r="F212" s="14">
        <f t="shared" si="44"/>
        <v>134.16999999999999</v>
      </c>
      <c r="G212" s="14">
        <f t="shared" si="44"/>
        <v>188.55</v>
      </c>
      <c r="H212" s="14">
        <f t="shared" si="43"/>
        <v>950.59999999999991</v>
      </c>
      <c r="I212" s="276">
        <f t="shared" si="36"/>
        <v>85965.529999999955</v>
      </c>
      <c r="J212" s="276">
        <f t="shared" si="37"/>
        <v>35519.150000000009</v>
      </c>
      <c r="K212" s="276">
        <f t="shared" si="38"/>
        <v>11566.310000000034</v>
      </c>
      <c r="L212" s="394">
        <f t="shared" si="41"/>
        <v>16</v>
      </c>
      <c r="M212" s="394">
        <f t="shared" si="33"/>
        <v>192</v>
      </c>
      <c r="N212" s="613">
        <f>INDEX(tblSubjectToLoan[Date],ROW()-ROW(tblContractForDeed[#Headers]))</f>
        <v>51630</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7.7499999999999999E-2</v>
      </c>
      <c r="Q2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467">
        <f>IF(INDEX(tblContractForDeed[Payment],ROW()-ROW(tblBuyerOutputs[#Headers]))=0,0,INDEX(tblContractForDeed[Payment],ROW()-ROW(tblBuyerOutputs[#Headers]))-INDEX(tblSubjectToLoan[Payment],ROW()-ROW(tblBuyerOutputs[#Headers])))</f>
        <v>0</v>
      </c>
      <c r="Z21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180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2" s="276">
        <f>IF(INDEX(tblContractForDeed[End Bal],ROW()-ROW(tblBuyerOutputs[#Headers]))&lt;=0,0,($O$6+IF(ROW()=ROW(tblBuyerOutputs[#Headers])+1,0,INDEX(tblBuyerOutputs[Cumul Appr],ROW()-ROW(tblBuyerOutputs[#Headers])-1)))*$AK$2/12)</f>
        <v>0</v>
      </c>
      <c r="AE212" s="276">
        <f>IF(INDEX(tblContractForDeed[End Bal],ROW()-ROW(tblBuyerOutputs[#Headers]))&lt;=0,0,IF(ROW()=ROW(tblBuyerOutputs[#Headers])+1,0,INDEX(tblBuyerOutputs[Cumul Appr],ROW()-ROW(tblBuyerOutputs[#Headers])-1))+tblBuyerOutputs[[#This Row],[Monthly Appr]])</f>
        <v>0</v>
      </c>
    </row>
    <row r="213" spans="1:31" x14ac:dyDescent="0.25">
      <c r="A213" s="613">
        <f t="shared" si="34"/>
        <v>51660</v>
      </c>
      <c r="B213" s="276">
        <f t="shared" ref="B213:B276" si="47">IF(+K212&lt;0,0,+K212)</f>
        <v>11566.310000000034</v>
      </c>
      <c r="C213" s="14">
        <f t="shared" si="45"/>
        <v>627.88</v>
      </c>
      <c r="D213" s="14">
        <f t="shared" si="35"/>
        <v>591.74</v>
      </c>
      <c r="E213" s="14">
        <f t="shared" si="46"/>
        <v>36.14</v>
      </c>
      <c r="F213" s="14">
        <f t="shared" si="44"/>
        <v>134.16999999999999</v>
      </c>
      <c r="G213" s="14">
        <f t="shared" si="44"/>
        <v>188.55</v>
      </c>
      <c r="H213" s="14">
        <f t="shared" si="43"/>
        <v>950.59999999999991</v>
      </c>
      <c r="I213" s="276">
        <f t="shared" si="36"/>
        <v>86557.26999999996</v>
      </c>
      <c r="J213" s="276">
        <f t="shared" si="37"/>
        <v>35555.290000000008</v>
      </c>
      <c r="K213" s="276">
        <f t="shared" si="38"/>
        <v>10974.570000000034</v>
      </c>
      <c r="L213" s="394">
        <f t="shared" si="41"/>
        <v>16</v>
      </c>
      <c r="M213" s="394">
        <f t="shared" ref="M213:M276" si="48">IF($A213&lt;&gt;"",M212+1,0)</f>
        <v>193</v>
      </c>
      <c r="N213" s="613">
        <f>INDEX(tblSubjectToLoan[Date],ROW()-ROW(tblContractForDeed[#Headers]))</f>
        <v>51660</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7.7499999999999999E-2</v>
      </c>
      <c r="Q2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467">
        <f>IF(INDEX(tblContractForDeed[Payment],ROW()-ROW(tblBuyerOutputs[#Headers]))=0,0,INDEX(tblContractForDeed[Payment],ROW()-ROW(tblBuyerOutputs[#Headers]))-INDEX(tblSubjectToLoan[Payment],ROW()-ROW(tblBuyerOutputs[#Headers])))</f>
        <v>0</v>
      </c>
      <c r="Z2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3" s="276">
        <f>IF(INDEX(tblContractForDeed[End Bal],ROW()-ROW(tblBuyerOutputs[#Headers]))&lt;=0,0,($O$6+IF(ROW()=ROW(tblBuyerOutputs[#Headers])+1,0,INDEX(tblBuyerOutputs[Cumul Appr],ROW()-ROW(tblBuyerOutputs[#Headers])-1)))*$AK$2/12)</f>
        <v>0</v>
      </c>
      <c r="AE213" s="276">
        <f>IF(INDEX(tblContractForDeed[End Bal],ROW()-ROW(tblBuyerOutputs[#Headers]))&lt;=0,0,IF(ROW()=ROW(tblBuyerOutputs[#Headers])+1,0,INDEX(tblBuyerOutputs[Cumul Appr],ROW()-ROW(tblBuyerOutputs[#Headers])-1))+tblBuyerOutputs[[#This Row],[Monthly Appr]])</f>
        <v>0</v>
      </c>
    </row>
    <row r="214" spans="1:31" x14ac:dyDescent="0.25">
      <c r="A214" s="613">
        <f t="shared" ref="A214:A277" si="49">IF(K214&lt;=0," ",+A213+30)</f>
        <v>51690</v>
      </c>
      <c r="B214" s="276">
        <f t="shared" si="47"/>
        <v>10974.570000000034</v>
      </c>
      <c r="C214" s="14">
        <f t="shared" si="45"/>
        <v>627.88</v>
      </c>
      <c r="D214" s="14">
        <f t="shared" ref="D214:D277" si="50">+C214-E214</f>
        <v>593.58000000000004</v>
      </c>
      <c r="E214" s="14">
        <f t="shared" si="46"/>
        <v>34.299999999999997</v>
      </c>
      <c r="F214" s="14">
        <f t="shared" si="44"/>
        <v>134.16999999999999</v>
      </c>
      <c r="G214" s="14">
        <f t="shared" si="44"/>
        <v>188.55</v>
      </c>
      <c r="H214" s="14">
        <f t="shared" si="43"/>
        <v>950.59999999999991</v>
      </c>
      <c r="I214" s="276">
        <f t="shared" ref="I214:I277" si="51">$D214+$I213</f>
        <v>87150.849999999962</v>
      </c>
      <c r="J214" s="276">
        <f t="shared" ref="J214:J277" si="52">$E214+$J213</f>
        <v>35589.590000000011</v>
      </c>
      <c r="K214" s="276">
        <f t="shared" ref="K214:K277" si="53">+B214-D214</f>
        <v>10380.990000000034</v>
      </c>
      <c r="L214" s="394">
        <f t="shared" si="41"/>
        <v>16</v>
      </c>
      <c r="M214" s="394">
        <f t="shared" si="48"/>
        <v>194</v>
      </c>
      <c r="N214" s="613">
        <f>INDEX(tblSubjectToLoan[Date],ROW()-ROW(tblContractForDeed[#Headers]))</f>
        <v>51690</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7.7499999999999999E-2</v>
      </c>
      <c r="Q2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467">
        <f>IF(INDEX(tblContractForDeed[Payment],ROW()-ROW(tblBuyerOutputs[#Headers]))=0,0,INDEX(tblContractForDeed[Payment],ROW()-ROW(tblBuyerOutputs[#Headers]))-INDEX(tblSubjectToLoan[Payment],ROW()-ROW(tblBuyerOutputs[#Headers])))</f>
        <v>0</v>
      </c>
      <c r="Z2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4" s="276">
        <f>IF(INDEX(tblContractForDeed[End Bal],ROW()-ROW(tblBuyerOutputs[#Headers]))&lt;=0,0,($O$6+IF(ROW()=ROW(tblBuyerOutputs[#Headers])+1,0,INDEX(tblBuyerOutputs[Cumul Appr],ROW()-ROW(tblBuyerOutputs[#Headers])-1)))*$AK$2/12)</f>
        <v>0</v>
      </c>
      <c r="AE214" s="276">
        <f>IF(INDEX(tblContractForDeed[End Bal],ROW()-ROW(tblBuyerOutputs[#Headers]))&lt;=0,0,IF(ROW()=ROW(tblBuyerOutputs[#Headers])+1,0,INDEX(tblBuyerOutputs[Cumul Appr],ROW()-ROW(tblBuyerOutputs[#Headers])-1))+tblBuyerOutputs[[#This Row],[Monthly Appr]])</f>
        <v>0</v>
      </c>
    </row>
    <row r="215" spans="1:31" x14ac:dyDescent="0.25">
      <c r="A215" s="613">
        <f t="shared" si="49"/>
        <v>51720</v>
      </c>
      <c r="B215" s="276">
        <f t="shared" si="47"/>
        <v>10380.990000000034</v>
      </c>
      <c r="C215" s="14">
        <f t="shared" si="45"/>
        <v>627.88</v>
      </c>
      <c r="D215" s="14">
        <f t="shared" si="50"/>
        <v>595.44000000000005</v>
      </c>
      <c r="E215" s="14">
        <f t="shared" si="46"/>
        <v>32.44</v>
      </c>
      <c r="F215" s="14">
        <f t="shared" si="44"/>
        <v>134.16999999999999</v>
      </c>
      <c r="G215" s="14">
        <f t="shared" si="44"/>
        <v>188.55</v>
      </c>
      <c r="H215" s="14">
        <f t="shared" si="43"/>
        <v>950.60000000000014</v>
      </c>
      <c r="I215" s="276">
        <f t="shared" si="51"/>
        <v>87746.289999999964</v>
      </c>
      <c r="J215" s="276">
        <f t="shared" si="52"/>
        <v>35622.030000000013</v>
      </c>
      <c r="K215" s="276">
        <f t="shared" si="53"/>
        <v>9785.5500000000338</v>
      </c>
      <c r="L215" s="394">
        <f t="shared" si="41"/>
        <v>16</v>
      </c>
      <c r="M215" s="394">
        <f t="shared" si="48"/>
        <v>195</v>
      </c>
      <c r="N215" s="613">
        <f>INDEX(tblSubjectToLoan[Date],ROW()-ROW(tblContractForDeed[#Headers]))</f>
        <v>51720</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7.7499999999999999E-2</v>
      </c>
      <c r="Q2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467">
        <f>IF(INDEX(tblContractForDeed[Payment],ROW()-ROW(tblBuyerOutputs[#Headers]))=0,0,INDEX(tblContractForDeed[Payment],ROW()-ROW(tblBuyerOutputs[#Headers]))-INDEX(tblSubjectToLoan[Payment],ROW()-ROW(tblBuyerOutputs[#Headers])))</f>
        <v>0</v>
      </c>
      <c r="Z2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5" s="276">
        <f>IF(INDEX(tblContractForDeed[End Bal],ROW()-ROW(tblBuyerOutputs[#Headers]))&lt;=0,0,($O$6+IF(ROW()=ROW(tblBuyerOutputs[#Headers])+1,0,INDEX(tblBuyerOutputs[Cumul Appr],ROW()-ROW(tblBuyerOutputs[#Headers])-1)))*$AK$2/12)</f>
        <v>0</v>
      </c>
      <c r="AE215" s="276">
        <f>IF(INDEX(tblContractForDeed[End Bal],ROW()-ROW(tblBuyerOutputs[#Headers]))&lt;=0,0,IF(ROW()=ROW(tblBuyerOutputs[#Headers])+1,0,INDEX(tblBuyerOutputs[Cumul Appr],ROW()-ROW(tblBuyerOutputs[#Headers])-1))+tblBuyerOutputs[[#This Row],[Monthly Appr]])</f>
        <v>0</v>
      </c>
    </row>
    <row r="216" spans="1:31" x14ac:dyDescent="0.25">
      <c r="A216" s="613">
        <f t="shared" si="49"/>
        <v>51750</v>
      </c>
      <c r="B216" s="276">
        <f t="shared" si="47"/>
        <v>9785.5500000000338</v>
      </c>
      <c r="C216" s="14">
        <f t="shared" si="45"/>
        <v>627.88</v>
      </c>
      <c r="D216" s="14">
        <f t="shared" si="50"/>
        <v>597.29999999999995</v>
      </c>
      <c r="E216" s="14">
        <f t="shared" si="46"/>
        <v>30.58</v>
      </c>
      <c r="F216" s="14">
        <f t="shared" si="44"/>
        <v>134.16999999999999</v>
      </c>
      <c r="G216" s="14">
        <f t="shared" si="44"/>
        <v>188.55</v>
      </c>
      <c r="H216" s="14">
        <f t="shared" si="43"/>
        <v>950.59999999999991</v>
      </c>
      <c r="I216" s="276">
        <f t="shared" si="51"/>
        <v>88343.589999999967</v>
      </c>
      <c r="J216" s="276">
        <f t="shared" si="52"/>
        <v>35652.610000000015</v>
      </c>
      <c r="K216" s="276">
        <f t="shared" si="53"/>
        <v>9188.2500000000346</v>
      </c>
      <c r="L216" s="394">
        <f t="shared" si="41"/>
        <v>16</v>
      </c>
      <c r="M216" s="394">
        <f t="shared" si="48"/>
        <v>196</v>
      </c>
      <c r="N216" s="613">
        <f>INDEX(tblSubjectToLoan[Date],ROW()-ROW(tblContractForDeed[#Headers]))</f>
        <v>51750</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7.7499999999999999E-2</v>
      </c>
      <c r="Q2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467">
        <f>IF(INDEX(tblContractForDeed[Payment],ROW()-ROW(tblBuyerOutputs[#Headers]))=0,0,INDEX(tblContractForDeed[Payment],ROW()-ROW(tblBuyerOutputs[#Headers]))-INDEX(tblSubjectToLoan[Payment],ROW()-ROW(tblBuyerOutputs[#Headers])))</f>
        <v>0</v>
      </c>
      <c r="Z2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6" s="276">
        <f>IF(INDEX(tblContractForDeed[End Bal],ROW()-ROW(tblBuyerOutputs[#Headers]))&lt;=0,0,($O$6+IF(ROW()=ROW(tblBuyerOutputs[#Headers])+1,0,INDEX(tblBuyerOutputs[Cumul Appr],ROW()-ROW(tblBuyerOutputs[#Headers])-1)))*$AK$2/12)</f>
        <v>0</v>
      </c>
      <c r="AE216" s="276">
        <f>IF(INDEX(tblContractForDeed[End Bal],ROW()-ROW(tblBuyerOutputs[#Headers]))&lt;=0,0,IF(ROW()=ROW(tblBuyerOutputs[#Headers])+1,0,INDEX(tblBuyerOutputs[Cumul Appr],ROW()-ROW(tblBuyerOutputs[#Headers])-1))+tblBuyerOutputs[[#This Row],[Monthly Appr]])</f>
        <v>0</v>
      </c>
    </row>
    <row r="217" spans="1:31" x14ac:dyDescent="0.25">
      <c r="A217" s="613">
        <f t="shared" si="49"/>
        <v>51780</v>
      </c>
      <c r="B217" s="276">
        <f t="shared" si="47"/>
        <v>9188.2500000000346</v>
      </c>
      <c r="C217" s="14">
        <f t="shared" si="45"/>
        <v>627.88</v>
      </c>
      <c r="D217" s="14">
        <f t="shared" si="50"/>
        <v>599.16999999999996</v>
      </c>
      <c r="E217" s="14">
        <f t="shared" si="46"/>
        <v>28.71</v>
      </c>
      <c r="F217" s="14">
        <f t="shared" si="44"/>
        <v>134.16999999999999</v>
      </c>
      <c r="G217" s="14">
        <f t="shared" si="44"/>
        <v>188.55</v>
      </c>
      <c r="H217" s="14">
        <f t="shared" si="43"/>
        <v>950.59999999999991</v>
      </c>
      <c r="I217" s="276">
        <f t="shared" si="51"/>
        <v>88942.759999999966</v>
      </c>
      <c r="J217" s="276">
        <f t="shared" si="52"/>
        <v>35681.320000000014</v>
      </c>
      <c r="K217" s="276">
        <f t="shared" si="53"/>
        <v>8589.0800000000345</v>
      </c>
      <c r="L217" s="394">
        <f t="shared" si="41"/>
        <v>16</v>
      </c>
      <c r="M217" s="394">
        <f t="shared" si="48"/>
        <v>197</v>
      </c>
      <c r="N217" s="613">
        <f>INDEX(tblSubjectToLoan[Date],ROW()-ROW(tblContractForDeed[#Headers]))</f>
        <v>51780</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7.7499999999999999E-2</v>
      </c>
      <c r="Q2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467">
        <f>IF(INDEX(tblContractForDeed[Payment],ROW()-ROW(tblBuyerOutputs[#Headers]))=0,0,INDEX(tblContractForDeed[Payment],ROW()-ROW(tblBuyerOutputs[#Headers]))-INDEX(tblSubjectToLoan[Payment],ROW()-ROW(tblBuyerOutputs[#Headers])))</f>
        <v>0</v>
      </c>
      <c r="Z2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7" s="276">
        <f>IF(INDEX(tblContractForDeed[End Bal],ROW()-ROW(tblBuyerOutputs[#Headers]))&lt;=0,0,($O$6+IF(ROW()=ROW(tblBuyerOutputs[#Headers])+1,0,INDEX(tblBuyerOutputs[Cumul Appr],ROW()-ROW(tblBuyerOutputs[#Headers])-1)))*$AK$2/12)</f>
        <v>0</v>
      </c>
      <c r="AE217" s="276">
        <f>IF(INDEX(tblContractForDeed[End Bal],ROW()-ROW(tblBuyerOutputs[#Headers]))&lt;=0,0,IF(ROW()=ROW(tblBuyerOutputs[#Headers])+1,0,INDEX(tblBuyerOutputs[Cumul Appr],ROW()-ROW(tblBuyerOutputs[#Headers])-1))+tblBuyerOutputs[[#This Row],[Monthly Appr]])</f>
        <v>0</v>
      </c>
    </row>
    <row r="218" spans="1:31" x14ac:dyDescent="0.25">
      <c r="A218" s="613">
        <f t="shared" si="49"/>
        <v>51810</v>
      </c>
      <c r="B218" s="276">
        <f t="shared" si="47"/>
        <v>8589.0800000000345</v>
      </c>
      <c r="C218" s="14">
        <f t="shared" si="45"/>
        <v>627.88</v>
      </c>
      <c r="D218" s="14">
        <f t="shared" si="50"/>
        <v>601.04</v>
      </c>
      <c r="E218" s="14">
        <f t="shared" si="46"/>
        <v>26.84</v>
      </c>
      <c r="F218" s="14">
        <f t="shared" si="44"/>
        <v>134.16999999999999</v>
      </c>
      <c r="G218" s="14">
        <f t="shared" si="44"/>
        <v>188.55</v>
      </c>
      <c r="H218" s="14">
        <f t="shared" si="43"/>
        <v>950.59999999999991</v>
      </c>
      <c r="I218" s="276">
        <f t="shared" si="51"/>
        <v>89543.799999999959</v>
      </c>
      <c r="J218" s="276">
        <f t="shared" si="52"/>
        <v>35708.160000000011</v>
      </c>
      <c r="K218" s="276">
        <f t="shared" si="53"/>
        <v>7988.0400000000345</v>
      </c>
      <c r="L218" s="394">
        <f t="shared" si="41"/>
        <v>16</v>
      </c>
      <c r="M218" s="394">
        <f t="shared" si="48"/>
        <v>198</v>
      </c>
      <c r="N218" s="613">
        <f>INDEX(tblSubjectToLoan[Date],ROW()-ROW(tblContractForDeed[#Headers]))</f>
        <v>51810</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7.7499999999999999E-2</v>
      </c>
      <c r="Q2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467">
        <f>IF(INDEX(tblContractForDeed[Payment],ROW()-ROW(tblBuyerOutputs[#Headers]))=0,0,INDEX(tblContractForDeed[Payment],ROW()-ROW(tblBuyerOutputs[#Headers]))-INDEX(tblSubjectToLoan[Payment],ROW()-ROW(tblBuyerOutputs[#Headers])))</f>
        <v>0</v>
      </c>
      <c r="Z2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8" s="276">
        <f>IF(INDEX(tblContractForDeed[End Bal],ROW()-ROW(tblBuyerOutputs[#Headers]))&lt;=0,0,($O$6+IF(ROW()=ROW(tblBuyerOutputs[#Headers])+1,0,INDEX(tblBuyerOutputs[Cumul Appr],ROW()-ROW(tblBuyerOutputs[#Headers])-1)))*$AK$2/12)</f>
        <v>0</v>
      </c>
      <c r="AE218" s="276">
        <f>IF(INDEX(tblContractForDeed[End Bal],ROW()-ROW(tblBuyerOutputs[#Headers]))&lt;=0,0,IF(ROW()=ROW(tblBuyerOutputs[#Headers])+1,0,INDEX(tblBuyerOutputs[Cumul Appr],ROW()-ROW(tblBuyerOutputs[#Headers])-1))+tblBuyerOutputs[[#This Row],[Monthly Appr]])</f>
        <v>0</v>
      </c>
    </row>
    <row r="219" spans="1:31" x14ac:dyDescent="0.25">
      <c r="A219" s="613">
        <f t="shared" si="49"/>
        <v>51840</v>
      </c>
      <c r="B219" s="276">
        <f t="shared" si="47"/>
        <v>7988.0400000000345</v>
      </c>
      <c r="C219" s="14">
        <f t="shared" si="45"/>
        <v>627.88</v>
      </c>
      <c r="D219" s="14">
        <f t="shared" si="50"/>
        <v>602.91999999999996</v>
      </c>
      <c r="E219" s="14">
        <f t="shared" si="46"/>
        <v>24.96</v>
      </c>
      <c r="F219" s="14">
        <f t="shared" si="44"/>
        <v>134.16999999999999</v>
      </c>
      <c r="G219" s="14">
        <f t="shared" si="44"/>
        <v>188.55</v>
      </c>
      <c r="H219" s="14">
        <f t="shared" si="43"/>
        <v>950.59999999999991</v>
      </c>
      <c r="I219" s="276">
        <f t="shared" si="51"/>
        <v>90146.719999999958</v>
      </c>
      <c r="J219" s="276">
        <f t="shared" si="52"/>
        <v>35733.12000000001</v>
      </c>
      <c r="K219" s="276">
        <f t="shared" si="53"/>
        <v>7385.1200000000345</v>
      </c>
      <c r="L219" s="394">
        <f t="shared" si="41"/>
        <v>16</v>
      </c>
      <c r="M219" s="394">
        <f t="shared" si="48"/>
        <v>199</v>
      </c>
      <c r="N219" s="613">
        <f>INDEX(tblSubjectToLoan[Date],ROW()-ROW(tblContractForDeed[#Headers]))</f>
        <v>51840</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7.7499999999999999E-2</v>
      </c>
      <c r="Q2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467">
        <f>IF(INDEX(tblContractForDeed[Payment],ROW()-ROW(tblBuyerOutputs[#Headers]))=0,0,INDEX(tblContractForDeed[Payment],ROW()-ROW(tblBuyerOutputs[#Headers]))-INDEX(tblSubjectToLoan[Payment],ROW()-ROW(tblBuyerOutputs[#Headers])))</f>
        <v>0</v>
      </c>
      <c r="Z2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9" s="276">
        <f>IF(INDEX(tblContractForDeed[End Bal],ROW()-ROW(tblBuyerOutputs[#Headers]))&lt;=0,0,($O$6+IF(ROW()=ROW(tblBuyerOutputs[#Headers])+1,0,INDEX(tblBuyerOutputs[Cumul Appr],ROW()-ROW(tblBuyerOutputs[#Headers])-1)))*$AK$2/12)</f>
        <v>0</v>
      </c>
      <c r="AE219" s="276">
        <f>IF(INDEX(tblContractForDeed[End Bal],ROW()-ROW(tblBuyerOutputs[#Headers]))&lt;=0,0,IF(ROW()=ROW(tblBuyerOutputs[#Headers])+1,0,INDEX(tblBuyerOutputs[Cumul Appr],ROW()-ROW(tblBuyerOutputs[#Headers])-1))+tblBuyerOutputs[[#This Row],[Monthly Appr]])</f>
        <v>0</v>
      </c>
    </row>
    <row r="220" spans="1:31" x14ac:dyDescent="0.25">
      <c r="A220" s="613">
        <f t="shared" si="49"/>
        <v>51870</v>
      </c>
      <c r="B220" s="276">
        <f t="shared" si="47"/>
        <v>7385.1200000000345</v>
      </c>
      <c r="C220" s="14">
        <f t="shared" si="45"/>
        <v>627.88</v>
      </c>
      <c r="D220" s="14">
        <f t="shared" si="50"/>
        <v>604.79999999999995</v>
      </c>
      <c r="E220" s="14">
        <f t="shared" si="46"/>
        <v>23.08</v>
      </c>
      <c r="F220" s="14">
        <f t="shared" si="44"/>
        <v>134.16999999999999</v>
      </c>
      <c r="G220" s="14">
        <f t="shared" si="44"/>
        <v>188.55</v>
      </c>
      <c r="H220" s="14">
        <f t="shared" si="43"/>
        <v>950.59999999999991</v>
      </c>
      <c r="I220" s="276">
        <f t="shared" si="51"/>
        <v>90751.51999999996</v>
      </c>
      <c r="J220" s="276">
        <f t="shared" si="52"/>
        <v>35756.200000000012</v>
      </c>
      <c r="K220" s="276">
        <f t="shared" si="53"/>
        <v>6780.3200000000343</v>
      </c>
      <c r="L220" s="394">
        <f t="shared" si="41"/>
        <v>16</v>
      </c>
      <c r="M220" s="394">
        <f t="shared" si="48"/>
        <v>200</v>
      </c>
      <c r="N220" s="613">
        <f>INDEX(tblSubjectToLoan[Date],ROW()-ROW(tblContractForDeed[#Headers]))</f>
        <v>51870</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7.7499999999999999E-2</v>
      </c>
      <c r="Q2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467">
        <f>IF(INDEX(tblContractForDeed[Payment],ROW()-ROW(tblBuyerOutputs[#Headers]))=0,0,INDEX(tblContractForDeed[Payment],ROW()-ROW(tblBuyerOutputs[#Headers]))-INDEX(tblSubjectToLoan[Payment],ROW()-ROW(tblBuyerOutputs[#Headers])))</f>
        <v>0</v>
      </c>
      <c r="Z2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0" s="276">
        <f>IF(INDEX(tblContractForDeed[End Bal],ROW()-ROW(tblBuyerOutputs[#Headers]))&lt;=0,0,($O$6+IF(ROW()=ROW(tblBuyerOutputs[#Headers])+1,0,INDEX(tblBuyerOutputs[Cumul Appr],ROW()-ROW(tblBuyerOutputs[#Headers])-1)))*$AK$2/12)</f>
        <v>0</v>
      </c>
      <c r="AE220" s="276">
        <f>IF(INDEX(tblContractForDeed[End Bal],ROW()-ROW(tblBuyerOutputs[#Headers]))&lt;=0,0,IF(ROW()=ROW(tblBuyerOutputs[#Headers])+1,0,INDEX(tblBuyerOutputs[Cumul Appr],ROW()-ROW(tblBuyerOutputs[#Headers])-1))+tblBuyerOutputs[[#This Row],[Monthly Appr]])</f>
        <v>0</v>
      </c>
    </row>
    <row r="221" spans="1:31" x14ac:dyDescent="0.25">
      <c r="A221" s="613">
        <f t="shared" si="49"/>
        <v>51900</v>
      </c>
      <c r="B221" s="276">
        <f t="shared" si="47"/>
        <v>6780.3200000000343</v>
      </c>
      <c r="C221" s="14">
        <f t="shared" si="45"/>
        <v>627.88</v>
      </c>
      <c r="D221" s="14">
        <f t="shared" si="50"/>
        <v>606.68999999999994</v>
      </c>
      <c r="E221" s="14">
        <f t="shared" si="46"/>
        <v>21.19</v>
      </c>
      <c r="F221" s="14">
        <f t="shared" si="44"/>
        <v>134.16999999999999</v>
      </c>
      <c r="G221" s="14">
        <f t="shared" si="44"/>
        <v>188.55</v>
      </c>
      <c r="H221" s="14">
        <f t="shared" si="43"/>
        <v>950.59999999999991</v>
      </c>
      <c r="I221" s="276">
        <f t="shared" si="51"/>
        <v>91358.209999999963</v>
      </c>
      <c r="J221" s="276">
        <f t="shared" si="52"/>
        <v>35777.390000000014</v>
      </c>
      <c r="K221" s="276">
        <f t="shared" si="53"/>
        <v>6173.6300000000347</v>
      </c>
      <c r="L221" s="394">
        <f t="shared" si="41"/>
        <v>16</v>
      </c>
      <c r="M221" s="394">
        <f t="shared" si="48"/>
        <v>201</v>
      </c>
      <c r="N221" s="613">
        <f>INDEX(tblSubjectToLoan[Date],ROW()-ROW(tblContractForDeed[#Headers]))</f>
        <v>51900</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7.7499999999999999E-2</v>
      </c>
      <c r="Q2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467">
        <f>IF(INDEX(tblContractForDeed[Payment],ROW()-ROW(tblBuyerOutputs[#Headers]))=0,0,INDEX(tblContractForDeed[Payment],ROW()-ROW(tblBuyerOutputs[#Headers]))-INDEX(tblSubjectToLoan[Payment],ROW()-ROW(tblBuyerOutputs[#Headers])))</f>
        <v>0</v>
      </c>
      <c r="Z2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1" s="276">
        <f>IF(INDEX(tblContractForDeed[End Bal],ROW()-ROW(tblBuyerOutputs[#Headers]))&lt;=0,0,($O$6+IF(ROW()=ROW(tblBuyerOutputs[#Headers])+1,0,INDEX(tblBuyerOutputs[Cumul Appr],ROW()-ROW(tblBuyerOutputs[#Headers])-1)))*$AK$2/12)</f>
        <v>0</v>
      </c>
      <c r="AE221" s="276">
        <f>IF(INDEX(tblContractForDeed[End Bal],ROW()-ROW(tblBuyerOutputs[#Headers]))&lt;=0,0,IF(ROW()=ROW(tblBuyerOutputs[#Headers])+1,0,INDEX(tblBuyerOutputs[Cumul Appr],ROW()-ROW(tblBuyerOutputs[#Headers])-1))+tblBuyerOutputs[[#This Row],[Monthly Appr]])</f>
        <v>0</v>
      </c>
    </row>
    <row r="222" spans="1:31" x14ac:dyDescent="0.25">
      <c r="A222" s="613">
        <f t="shared" si="49"/>
        <v>51930</v>
      </c>
      <c r="B222" s="276">
        <f t="shared" si="47"/>
        <v>6173.6300000000347</v>
      </c>
      <c r="C222" s="14">
        <f t="shared" si="45"/>
        <v>627.88</v>
      </c>
      <c r="D222" s="14">
        <f t="shared" si="50"/>
        <v>608.59</v>
      </c>
      <c r="E222" s="14">
        <f t="shared" si="46"/>
        <v>19.29</v>
      </c>
      <c r="F222" s="14">
        <f t="shared" si="44"/>
        <v>134.16999999999999</v>
      </c>
      <c r="G222" s="14">
        <f t="shared" si="44"/>
        <v>188.55</v>
      </c>
      <c r="H222" s="14">
        <f t="shared" si="43"/>
        <v>950.59999999999991</v>
      </c>
      <c r="I222" s="276">
        <f t="shared" si="51"/>
        <v>91966.799999999959</v>
      </c>
      <c r="J222" s="276">
        <f t="shared" si="52"/>
        <v>35796.680000000015</v>
      </c>
      <c r="K222" s="276">
        <f t="shared" si="53"/>
        <v>5565.0400000000345</v>
      </c>
      <c r="L222" s="394">
        <f t="shared" si="41"/>
        <v>16</v>
      </c>
      <c r="M222" s="394">
        <f t="shared" si="48"/>
        <v>202</v>
      </c>
      <c r="N222" s="613">
        <f>INDEX(tblSubjectToLoan[Date],ROW()-ROW(tblContractForDeed[#Headers]))</f>
        <v>51930</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7.7499999999999999E-2</v>
      </c>
      <c r="Q2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467">
        <f>IF(INDEX(tblContractForDeed[Payment],ROW()-ROW(tblBuyerOutputs[#Headers]))=0,0,INDEX(tblContractForDeed[Payment],ROW()-ROW(tblBuyerOutputs[#Headers]))-INDEX(tblSubjectToLoan[Payment],ROW()-ROW(tblBuyerOutputs[#Headers])))</f>
        <v>0</v>
      </c>
      <c r="Z2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2" s="276">
        <f>IF(INDEX(tblContractForDeed[End Bal],ROW()-ROW(tblBuyerOutputs[#Headers]))&lt;=0,0,($O$6+IF(ROW()=ROW(tblBuyerOutputs[#Headers])+1,0,INDEX(tblBuyerOutputs[Cumul Appr],ROW()-ROW(tblBuyerOutputs[#Headers])-1)))*$AK$2/12)</f>
        <v>0</v>
      </c>
      <c r="AE222" s="276">
        <f>IF(INDEX(tblContractForDeed[End Bal],ROW()-ROW(tblBuyerOutputs[#Headers]))&lt;=0,0,IF(ROW()=ROW(tblBuyerOutputs[#Headers])+1,0,INDEX(tblBuyerOutputs[Cumul Appr],ROW()-ROW(tblBuyerOutputs[#Headers])-1))+tblBuyerOutputs[[#This Row],[Monthly Appr]])</f>
        <v>0</v>
      </c>
    </row>
    <row r="223" spans="1:31" ht="15.75" thickBot="1" x14ac:dyDescent="0.3">
      <c r="A223" s="615">
        <f t="shared" si="49"/>
        <v>51960</v>
      </c>
      <c r="B223" s="332">
        <f t="shared" si="47"/>
        <v>5565.0400000000345</v>
      </c>
      <c r="C223" s="21">
        <f t="shared" si="45"/>
        <v>627.88</v>
      </c>
      <c r="D223" s="21">
        <f t="shared" si="50"/>
        <v>610.49</v>
      </c>
      <c r="E223" s="21">
        <f t="shared" si="46"/>
        <v>17.39</v>
      </c>
      <c r="F223" s="21">
        <f t="shared" ref="F223:G238" si="54">+F222</f>
        <v>134.16999999999999</v>
      </c>
      <c r="G223" s="21">
        <f t="shared" si="54"/>
        <v>188.55</v>
      </c>
      <c r="H223" s="21">
        <f t="shared" si="43"/>
        <v>950.59999999999991</v>
      </c>
      <c r="I223" s="332">
        <f t="shared" si="51"/>
        <v>92577.289999999964</v>
      </c>
      <c r="J223" s="332">
        <f t="shared" si="52"/>
        <v>35814.070000000014</v>
      </c>
      <c r="K223" s="332">
        <f t="shared" si="53"/>
        <v>4954.5500000000347</v>
      </c>
      <c r="L223" s="395">
        <f t="shared" si="41"/>
        <v>16</v>
      </c>
      <c r="M223" s="395">
        <f t="shared" si="48"/>
        <v>203</v>
      </c>
      <c r="N223" s="615">
        <f>INDEX(tblSubjectToLoan[Date],ROW()-ROW(tblContractForDeed[#Headers]))</f>
        <v>51960</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7.7499999999999999E-2</v>
      </c>
      <c r="Q2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468">
        <f>IF(INDEX(tblContractForDeed[Payment],ROW()-ROW(tblBuyerOutputs[#Headers]))=0,0,INDEX(tblContractForDeed[Payment],ROW()-ROW(tblBuyerOutputs[#Headers]))-INDEX(tblSubjectToLoan[Payment],ROW()-ROW(tblBuyerOutputs[#Headers])))</f>
        <v>0</v>
      </c>
      <c r="Z2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3" s="332">
        <f>IF(INDEX(tblContractForDeed[End Bal],ROW()-ROW(tblBuyerOutputs[#Headers]))&lt;=0,0,($O$6+IF(ROW()=ROW(tblBuyerOutputs[#Headers])+1,0,INDEX(tblBuyerOutputs[Cumul Appr],ROW()-ROW(tblBuyerOutputs[#Headers])-1)))*$AK$2/12)</f>
        <v>0</v>
      </c>
      <c r="AE223" s="332">
        <f>IF(INDEX(tblContractForDeed[End Bal],ROW()-ROW(tblBuyerOutputs[#Headers]))&lt;=0,0,IF(ROW()=ROW(tblBuyerOutputs[#Headers])+1,0,INDEX(tblBuyerOutputs[Cumul Appr],ROW()-ROW(tblBuyerOutputs[#Headers])-1))+tblBuyerOutputs[[#This Row],[Monthly Appr]])</f>
        <v>0</v>
      </c>
    </row>
    <row r="224" spans="1:31" x14ac:dyDescent="0.25">
      <c r="A224" s="613">
        <f t="shared" si="49"/>
        <v>51990</v>
      </c>
      <c r="B224" s="276">
        <f t="shared" si="47"/>
        <v>4954.5500000000347</v>
      </c>
      <c r="C224" s="14">
        <f t="shared" si="45"/>
        <v>627.88</v>
      </c>
      <c r="D224" s="14">
        <f t="shared" si="50"/>
        <v>612.4</v>
      </c>
      <c r="E224" s="14">
        <f t="shared" si="46"/>
        <v>15.48</v>
      </c>
      <c r="F224" s="14">
        <f t="shared" si="54"/>
        <v>134.16999999999999</v>
      </c>
      <c r="G224" s="14">
        <f t="shared" si="54"/>
        <v>188.55</v>
      </c>
      <c r="H224" s="14">
        <f t="shared" si="43"/>
        <v>950.59999999999991</v>
      </c>
      <c r="I224" s="276">
        <f t="shared" si="51"/>
        <v>93189.689999999959</v>
      </c>
      <c r="J224" s="276">
        <f t="shared" si="52"/>
        <v>35829.550000000017</v>
      </c>
      <c r="K224" s="276">
        <f t="shared" si="53"/>
        <v>4342.1500000000351</v>
      </c>
      <c r="L224" s="394">
        <f t="shared" si="41"/>
        <v>17</v>
      </c>
      <c r="M224" s="394">
        <f t="shared" si="48"/>
        <v>204</v>
      </c>
      <c r="N224" s="613">
        <f>INDEX(tblSubjectToLoan[Date],ROW()-ROW(tblContractForDeed[#Headers]))</f>
        <v>51990</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7.7499999999999999E-2</v>
      </c>
      <c r="Q2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467">
        <f>IF(INDEX(tblContractForDeed[Payment],ROW()-ROW(tblBuyerOutputs[#Headers]))=0,0,INDEX(tblContractForDeed[Payment],ROW()-ROW(tblBuyerOutputs[#Headers]))-INDEX(tblSubjectToLoan[Payment],ROW()-ROW(tblBuyerOutputs[#Headers])))</f>
        <v>0</v>
      </c>
      <c r="Z2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4" s="276">
        <f>IF(INDEX(tblContractForDeed[End Bal],ROW()-ROW(tblBuyerOutputs[#Headers]))&lt;=0,0,($O$6+IF(ROW()=ROW(tblBuyerOutputs[#Headers])+1,0,INDEX(tblBuyerOutputs[Cumul Appr],ROW()-ROW(tblBuyerOutputs[#Headers])-1)))*$AK$2/12)</f>
        <v>0</v>
      </c>
      <c r="AE224" s="276">
        <f>IF(INDEX(tblContractForDeed[End Bal],ROW()-ROW(tblBuyerOutputs[#Headers]))&lt;=0,0,IF(ROW()=ROW(tblBuyerOutputs[#Headers])+1,0,INDEX(tblBuyerOutputs[Cumul Appr],ROW()-ROW(tblBuyerOutputs[#Headers])-1))+tblBuyerOutputs[[#This Row],[Monthly Appr]])</f>
        <v>0</v>
      </c>
    </row>
    <row r="225" spans="1:31" x14ac:dyDescent="0.25">
      <c r="A225" s="613">
        <f t="shared" si="49"/>
        <v>52020</v>
      </c>
      <c r="B225" s="276">
        <f t="shared" si="47"/>
        <v>4342.1500000000351</v>
      </c>
      <c r="C225" s="14">
        <f t="shared" si="45"/>
        <v>627.88</v>
      </c>
      <c r="D225" s="14">
        <f t="shared" si="50"/>
        <v>614.30999999999995</v>
      </c>
      <c r="E225" s="14">
        <f t="shared" si="46"/>
        <v>13.57</v>
      </c>
      <c r="F225" s="14">
        <f t="shared" si="54"/>
        <v>134.16999999999999</v>
      </c>
      <c r="G225" s="14">
        <f t="shared" si="54"/>
        <v>188.55</v>
      </c>
      <c r="H225" s="14">
        <f t="shared" si="43"/>
        <v>950.59999999999991</v>
      </c>
      <c r="I225" s="276">
        <f t="shared" si="51"/>
        <v>93803.999999999956</v>
      </c>
      <c r="J225" s="276">
        <f t="shared" si="52"/>
        <v>35843.120000000017</v>
      </c>
      <c r="K225" s="276">
        <f t="shared" si="53"/>
        <v>3727.8400000000352</v>
      </c>
      <c r="L225" s="394">
        <f t="shared" si="41"/>
        <v>17</v>
      </c>
      <c r="M225" s="394">
        <f t="shared" si="48"/>
        <v>205</v>
      </c>
      <c r="N225" s="613">
        <f>INDEX(tblSubjectToLoan[Date],ROW()-ROW(tblContractForDeed[#Headers]))</f>
        <v>52020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7.7499999999999999E-2</v>
      </c>
      <c r="Q2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467">
        <f>IF(INDEX(tblContractForDeed[Payment],ROW()-ROW(tblBuyerOutputs[#Headers]))=0,0,INDEX(tblContractForDeed[Payment],ROW()-ROW(tblBuyerOutputs[#Headers]))-INDEX(tblSubjectToLoan[Payment],ROW()-ROW(tblBuyerOutputs[#Headers])))</f>
        <v>0</v>
      </c>
      <c r="Z2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5" s="276">
        <f>IF(INDEX(tblContractForDeed[End Bal],ROW()-ROW(tblBuyerOutputs[#Headers]))&lt;=0,0,($O$6+IF(ROW()=ROW(tblBuyerOutputs[#Headers])+1,0,INDEX(tblBuyerOutputs[Cumul Appr],ROW()-ROW(tblBuyerOutputs[#Headers])-1)))*$AK$2/12)</f>
        <v>0</v>
      </c>
      <c r="AE225" s="276">
        <f>IF(INDEX(tblContractForDeed[End Bal],ROW()-ROW(tblBuyerOutputs[#Headers]))&lt;=0,0,IF(ROW()=ROW(tblBuyerOutputs[#Headers])+1,0,INDEX(tblBuyerOutputs[Cumul Appr],ROW()-ROW(tblBuyerOutputs[#Headers])-1))+tblBuyerOutputs[[#This Row],[Monthly Appr]])</f>
        <v>0</v>
      </c>
    </row>
    <row r="226" spans="1:31" x14ac:dyDescent="0.25">
      <c r="A226" s="613">
        <f t="shared" si="49"/>
        <v>52050</v>
      </c>
      <c r="B226" s="276">
        <f t="shared" si="47"/>
        <v>3727.8400000000352</v>
      </c>
      <c r="C226" s="14">
        <f t="shared" si="45"/>
        <v>627.88</v>
      </c>
      <c r="D226" s="14">
        <f t="shared" si="50"/>
        <v>616.23</v>
      </c>
      <c r="E226" s="14">
        <f t="shared" si="46"/>
        <v>11.65</v>
      </c>
      <c r="F226" s="14">
        <f t="shared" si="54"/>
        <v>134.16999999999999</v>
      </c>
      <c r="G226" s="14">
        <f t="shared" si="54"/>
        <v>188.55</v>
      </c>
      <c r="H226" s="14">
        <f t="shared" si="43"/>
        <v>950.59999999999991</v>
      </c>
      <c r="I226" s="276">
        <f t="shared" si="51"/>
        <v>94420.229999999952</v>
      </c>
      <c r="J226" s="276">
        <f t="shared" si="52"/>
        <v>35854.770000000019</v>
      </c>
      <c r="K226" s="276">
        <f t="shared" si="53"/>
        <v>3111.6100000000351</v>
      </c>
      <c r="L226" s="394">
        <f t="shared" si="41"/>
        <v>17</v>
      </c>
      <c r="M226" s="394">
        <f t="shared" si="48"/>
        <v>206</v>
      </c>
      <c r="N226" s="613">
        <f>INDEX(tblSubjectToLoan[Date],ROW()-ROW(tblContractForDeed[#Headers]))</f>
        <v>52050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7.7499999999999999E-2</v>
      </c>
      <c r="Q2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467">
        <f>IF(INDEX(tblContractForDeed[Payment],ROW()-ROW(tblBuyerOutputs[#Headers]))=0,0,INDEX(tblContractForDeed[Payment],ROW()-ROW(tblBuyerOutputs[#Headers]))-INDEX(tblSubjectToLoan[Payment],ROW()-ROW(tblBuyerOutputs[#Headers])))</f>
        <v>0</v>
      </c>
      <c r="Z2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6" s="276">
        <f>IF(INDEX(tblContractForDeed[End Bal],ROW()-ROW(tblBuyerOutputs[#Headers]))&lt;=0,0,($O$6+IF(ROW()=ROW(tblBuyerOutputs[#Headers])+1,0,INDEX(tblBuyerOutputs[Cumul Appr],ROW()-ROW(tblBuyerOutputs[#Headers])-1)))*$AK$2/12)</f>
        <v>0</v>
      </c>
      <c r="AE226" s="276">
        <f>IF(INDEX(tblContractForDeed[End Bal],ROW()-ROW(tblBuyerOutputs[#Headers]))&lt;=0,0,IF(ROW()=ROW(tblBuyerOutputs[#Headers])+1,0,INDEX(tblBuyerOutputs[Cumul Appr],ROW()-ROW(tblBuyerOutputs[#Headers])-1))+tblBuyerOutputs[[#This Row],[Monthly Appr]])</f>
        <v>0</v>
      </c>
    </row>
    <row r="227" spans="1:31" x14ac:dyDescent="0.25">
      <c r="A227" s="613">
        <f t="shared" si="49"/>
        <v>52080</v>
      </c>
      <c r="B227" s="276">
        <f t="shared" si="47"/>
        <v>3111.6100000000351</v>
      </c>
      <c r="C227" s="14">
        <f t="shared" si="45"/>
        <v>627.88</v>
      </c>
      <c r="D227" s="14">
        <f t="shared" si="50"/>
        <v>618.16</v>
      </c>
      <c r="E227" s="14">
        <f t="shared" si="46"/>
        <v>9.7200000000000006</v>
      </c>
      <c r="F227" s="14">
        <f t="shared" si="54"/>
        <v>134.16999999999999</v>
      </c>
      <c r="G227" s="14">
        <f t="shared" si="54"/>
        <v>188.55</v>
      </c>
      <c r="H227" s="14">
        <f t="shared" si="43"/>
        <v>950.59999999999991</v>
      </c>
      <c r="I227" s="276">
        <f t="shared" si="51"/>
        <v>95038.389999999956</v>
      </c>
      <c r="J227" s="276">
        <f t="shared" si="52"/>
        <v>35864.49000000002</v>
      </c>
      <c r="K227" s="276">
        <f t="shared" si="53"/>
        <v>2493.4500000000353</v>
      </c>
      <c r="L227" s="394">
        <f t="shared" si="41"/>
        <v>17</v>
      </c>
      <c r="M227" s="394">
        <f t="shared" si="48"/>
        <v>207</v>
      </c>
      <c r="N227" s="613">
        <f>INDEX(tblSubjectToLoan[Date],ROW()-ROW(tblContractForDeed[#Headers]))</f>
        <v>52080</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7.7499999999999999E-2</v>
      </c>
      <c r="Q2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467">
        <f>IF(INDEX(tblContractForDeed[Payment],ROW()-ROW(tblBuyerOutputs[#Headers]))=0,0,INDEX(tblContractForDeed[Payment],ROW()-ROW(tblBuyerOutputs[#Headers]))-INDEX(tblSubjectToLoan[Payment],ROW()-ROW(tblBuyerOutputs[#Headers])))</f>
        <v>0</v>
      </c>
      <c r="Z2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7" s="276">
        <f>IF(INDEX(tblContractForDeed[End Bal],ROW()-ROW(tblBuyerOutputs[#Headers]))&lt;=0,0,($O$6+IF(ROW()=ROW(tblBuyerOutputs[#Headers])+1,0,INDEX(tblBuyerOutputs[Cumul Appr],ROW()-ROW(tblBuyerOutputs[#Headers])-1)))*$AK$2/12)</f>
        <v>0</v>
      </c>
      <c r="AE227" s="276">
        <f>IF(INDEX(tblContractForDeed[End Bal],ROW()-ROW(tblBuyerOutputs[#Headers]))&lt;=0,0,IF(ROW()=ROW(tblBuyerOutputs[#Headers])+1,0,INDEX(tblBuyerOutputs[Cumul Appr],ROW()-ROW(tblBuyerOutputs[#Headers])-1))+tblBuyerOutputs[[#This Row],[Monthly Appr]])</f>
        <v>0</v>
      </c>
    </row>
    <row r="228" spans="1:31" x14ac:dyDescent="0.25">
      <c r="A228" s="613">
        <f t="shared" si="49"/>
        <v>52110</v>
      </c>
      <c r="B228" s="276">
        <f t="shared" si="47"/>
        <v>2493.4500000000353</v>
      </c>
      <c r="C228" s="14">
        <f t="shared" si="45"/>
        <v>627.88</v>
      </c>
      <c r="D228" s="14">
        <f t="shared" si="50"/>
        <v>620.09</v>
      </c>
      <c r="E228" s="14">
        <f t="shared" si="46"/>
        <v>7.79</v>
      </c>
      <c r="F228" s="14">
        <f t="shared" si="54"/>
        <v>134.16999999999999</v>
      </c>
      <c r="G228" s="14">
        <f t="shared" si="54"/>
        <v>188.55</v>
      </c>
      <c r="H228" s="14">
        <f t="shared" si="43"/>
        <v>950.59999999999991</v>
      </c>
      <c r="I228" s="276">
        <f t="shared" si="51"/>
        <v>95658.479999999952</v>
      </c>
      <c r="J228" s="276">
        <f t="shared" si="52"/>
        <v>35872.280000000021</v>
      </c>
      <c r="K228" s="276">
        <f t="shared" si="53"/>
        <v>1873.3600000000351</v>
      </c>
      <c r="L228" s="394">
        <f t="shared" si="41"/>
        <v>17</v>
      </c>
      <c r="M228" s="394">
        <f t="shared" si="48"/>
        <v>208</v>
      </c>
      <c r="N228" s="613">
        <f>INDEX(tblSubjectToLoan[Date],ROW()-ROW(tblContractForDeed[#Headers]))</f>
        <v>52110</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7.7499999999999999E-2</v>
      </c>
      <c r="Q2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467">
        <f>IF(INDEX(tblContractForDeed[Payment],ROW()-ROW(tblBuyerOutputs[#Headers]))=0,0,INDEX(tblContractForDeed[Payment],ROW()-ROW(tblBuyerOutputs[#Headers]))-INDEX(tblSubjectToLoan[Payment],ROW()-ROW(tblBuyerOutputs[#Headers])))</f>
        <v>0</v>
      </c>
      <c r="Z2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8" s="276">
        <f>IF(INDEX(tblContractForDeed[End Bal],ROW()-ROW(tblBuyerOutputs[#Headers]))&lt;=0,0,($O$6+IF(ROW()=ROW(tblBuyerOutputs[#Headers])+1,0,INDEX(tblBuyerOutputs[Cumul Appr],ROW()-ROW(tblBuyerOutputs[#Headers])-1)))*$AK$2/12)</f>
        <v>0</v>
      </c>
      <c r="AE228" s="276">
        <f>IF(INDEX(tblContractForDeed[End Bal],ROW()-ROW(tblBuyerOutputs[#Headers]))&lt;=0,0,IF(ROW()=ROW(tblBuyerOutputs[#Headers])+1,0,INDEX(tblBuyerOutputs[Cumul Appr],ROW()-ROW(tblBuyerOutputs[#Headers])-1))+tblBuyerOutputs[[#This Row],[Monthly Appr]])</f>
        <v>0</v>
      </c>
    </row>
    <row r="229" spans="1:31" x14ac:dyDescent="0.25">
      <c r="A229" s="613">
        <f t="shared" si="49"/>
        <v>52140</v>
      </c>
      <c r="B229" s="276">
        <f t="shared" si="47"/>
        <v>1873.3600000000351</v>
      </c>
      <c r="C229" s="14">
        <f t="shared" si="45"/>
        <v>627.88</v>
      </c>
      <c r="D229" s="14">
        <f t="shared" si="50"/>
        <v>622.03</v>
      </c>
      <c r="E229" s="14">
        <f t="shared" si="46"/>
        <v>5.85</v>
      </c>
      <c r="F229" s="14">
        <f t="shared" si="54"/>
        <v>134.16999999999999</v>
      </c>
      <c r="G229" s="14">
        <f t="shared" si="54"/>
        <v>188.55</v>
      </c>
      <c r="H229" s="14">
        <f t="shared" si="43"/>
        <v>950.59999999999991</v>
      </c>
      <c r="I229" s="276">
        <f t="shared" si="51"/>
        <v>96280.509999999951</v>
      </c>
      <c r="J229" s="276">
        <f t="shared" si="52"/>
        <v>35878.130000000019</v>
      </c>
      <c r="K229" s="276">
        <f t="shared" si="53"/>
        <v>1251.3300000000352</v>
      </c>
      <c r="L229" s="394">
        <f t="shared" si="41"/>
        <v>17</v>
      </c>
      <c r="M229" s="394">
        <f t="shared" si="48"/>
        <v>209</v>
      </c>
      <c r="N229" s="613">
        <f>INDEX(tblSubjectToLoan[Date],ROW()-ROW(tblContractForDeed[#Headers]))</f>
        <v>52140</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7.7499999999999999E-2</v>
      </c>
      <c r="Q2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467">
        <f>IF(INDEX(tblContractForDeed[Payment],ROW()-ROW(tblBuyerOutputs[#Headers]))=0,0,INDEX(tblContractForDeed[Payment],ROW()-ROW(tblBuyerOutputs[#Headers]))-INDEX(tblSubjectToLoan[Payment],ROW()-ROW(tblBuyerOutputs[#Headers])))</f>
        <v>0</v>
      </c>
      <c r="Z2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9" s="276">
        <f>IF(INDEX(tblContractForDeed[End Bal],ROW()-ROW(tblBuyerOutputs[#Headers]))&lt;=0,0,($O$6+IF(ROW()=ROW(tblBuyerOutputs[#Headers])+1,0,INDEX(tblBuyerOutputs[Cumul Appr],ROW()-ROW(tblBuyerOutputs[#Headers])-1)))*$AK$2/12)</f>
        <v>0</v>
      </c>
      <c r="AE229" s="276">
        <f>IF(INDEX(tblContractForDeed[End Bal],ROW()-ROW(tblBuyerOutputs[#Headers]))&lt;=0,0,IF(ROW()=ROW(tblBuyerOutputs[#Headers])+1,0,INDEX(tblBuyerOutputs[Cumul Appr],ROW()-ROW(tblBuyerOutputs[#Headers])-1))+tblBuyerOutputs[[#This Row],[Monthly Appr]])</f>
        <v>0</v>
      </c>
    </row>
    <row r="230" spans="1:31" x14ac:dyDescent="0.25">
      <c r="A230" s="613">
        <f t="shared" si="49"/>
        <v>52170</v>
      </c>
      <c r="B230" s="276">
        <f t="shared" si="47"/>
        <v>1251.3300000000352</v>
      </c>
      <c r="C230" s="14">
        <f t="shared" si="45"/>
        <v>627.88</v>
      </c>
      <c r="D230" s="14">
        <f t="shared" si="50"/>
        <v>623.97</v>
      </c>
      <c r="E230" s="14">
        <f t="shared" si="46"/>
        <v>3.91</v>
      </c>
      <c r="F230" s="14">
        <f t="shared" si="54"/>
        <v>134.16999999999999</v>
      </c>
      <c r="G230" s="14">
        <f t="shared" si="54"/>
        <v>188.55</v>
      </c>
      <c r="H230" s="14">
        <f t="shared" si="43"/>
        <v>950.59999999999991</v>
      </c>
      <c r="I230" s="276">
        <f t="shared" si="51"/>
        <v>96904.479999999952</v>
      </c>
      <c r="J230" s="276">
        <f t="shared" si="52"/>
        <v>35882.040000000023</v>
      </c>
      <c r="K230" s="276">
        <f t="shared" si="53"/>
        <v>627.36000000003514</v>
      </c>
      <c r="L230" s="394">
        <f t="shared" si="41"/>
        <v>17</v>
      </c>
      <c r="M230" s="394">
        <f t="shared" si="48"/>
        <v>210</v>
      </c>
      <c r="N230" s="613">
        <f>INDEX(tblSubjectToLoan[Date],ROW()-ROW(tblContractForDeed[#Headers]))</f>
        <v>52170</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7.7499999999999999E-2</v>
      </c>
      <c r="Q2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467">
        <f>IF(INDEX(tblContractForDeed[Payment],ROW()-ROW(tblBuyerOutputs[#Headers]))=0,0,INDEX(tblContractForDeed[Payment],ROW()-ROW(tblBuyerOutputs[#Headers]))-INDEX(tblSubjectToLoan[Payment],ROW()-ROW(tblBuyerOutputs[#Headers])))</f>
        <v>0</v>
      </c>
      <c r="Z2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0" s="276">
        <f>IF(INDEX(tblContractForDeed[End Bal],ROW()-ROW(tblBuyerOutputs[#Headers]))&lt;=0,0,($O$6+IF(ROW()=ROW(tblBuyerOutputs[#Headers])+1,0,INDEX(tblBuyerOutputs[Cumul Appr],ROW()-ROW(tblBuyerOutputs[#Headers])-1)))*$AK$2/12)</f>
        <v>0</v>
      </c>
      <c r="AE230" s="276">
        <f>IF(INDEX(tblContractForDeed[End Bal],ROW()-ROW(tblBuyerOutputs[#Headers]))&lt;=0,0,IF(ROW()=ROW(tblBuyerOutputs[#Headers])+1,0,INDEX(tblBuyerOutputs[Cumul Appr],ROW()-ROW(tblBuyerOutputs[#Headers])-1))+tblBuyerOutputs[[#This Row],[Monthly Appr]])</f>
        <v>0</v>
      </c>
    </row>
    <row r="231" spans="1:31" x14ac:dyDescent="0.25">
      <c r="A231" s="613">
        <f t="shared" si="49"/>
        <v>52200</v>
      </c>
      <c r="B231" s="276">
        <f t="shared" si="47"/>
        <v>627.36000000003514</v>
      </c>
      <c r="C231" s="14">
        <f t="shared" si="45"/>
        <v>627.88</v>
      </c>
      <c r="D231" s="14">
        <f t="shared" si="50"/>
        <v>625.91999999999996</v>
      </c>
      <c r="E231" s="14">
        <f t="shared" si="46"/>
        <v>1.96</v>
      </c>
      <c r="F231" s="14">
        <f t="shared" si="54"/>
        <v>134.16999999999999</v>
      </c>
      <c r="G231" s="14">
        <f t="shared" si="54"/>
        <v>188.55</v>
      </c>
      <c r="H231" s="14">
        <f t="shared" si="43"/>
        <v>950.59999999999991</v>
      </c>
      <c r="I231" s="276">
        <f t="shared" si="51"/>
        <v>97530.399999999951</v>
      </c>
      <c r="J231" s="276">
        <f t="shared" si="52"/>
        <v>35884.000000000022</v>
      </c>
      <c r="K231" s="276">
        <f t="shared" si="53"/>
        <v>1.4400000000351838</v>
      </c>
      <c r="L231" s="394">
        <f t="shared" si="41"/>
        <v>17</v>
      </c>
      <c r="M231" s="394">
        <f t="shared" si="48"/>
        <v>211</v>
      </c>
      <c r="N231" s="613">
        <f>INDEX(tblSubjectToLoan[Date],ROW()-ROW(tblContractForDeed[#Headers]))</f>
        <v>52200</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7.7499999999999999E-2</v>
      </c>
      <c r="Q2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467">
        <f>IF(INDEX(tblContractForDeed[Payment],ROW()-ROW(tblBuyerOutputs[#Headers]))=0,0,INDEX(tblContractForDeed[Payment],ROW()-ROW(tblBuyerOutputs[#Headers]))-INDEX(tblSubjectToLoan[Payment],ROW()-ROW(tblBuyerOutputs[#Headers])))</f>
        <v>0</v>
      </c>
      <c r="Z2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1" s="276">
        <f>IF(INDEX(tblContractForDeed[End Bal],ROW()-ROW(tblBuyerOutputs[#Headers]))&lt;=0,0,($O$6+IF(ROW()=ROW(tblBuyerOutputs[#Headers])+1,0,INDEX(tblBuyerOutputs[Cumul Appr],ROW()-ROW(tblBuyerOutputs[#Headers])-1)))*$AK$2/12)</f>
        <v>0</v>
      </c>
      <c r="AE231" s="276">
        <f>IF(INDEX(tblContractForDeed[End Bal],ROW()-ROW(tblBuyerOutputs[#Headers]))&lt;=0,0,IF(ROW()=ROW(tblBuyerOutputs[#Headers])+1,0,INDEX(tblBuyerOutputs[Cumul Appr],ROW()-ROW(tblBuyerOutputs[#Headers])-1))+tblBuyerOutputs[[#This Row],[Monthly Appr]])</f>
        <v>0</v>
      </c>
    </row>
    <row r="232" spans="1:31" x14ac:dyDescent="0.25">
      <c r="A232" s="613" t="str">
        <f t="shared" si="49"/>
        <v xml:space="preserve"> </v>
      </c>
      <c r="B232" s="276">
        <f t="shared" si="47"/>
        <v>1.4400000000351838</v>
      </c>
      <c r="C232" s="14">
        <f t="shared" si="45"/>
        <v>627.88</v>
      </c>
      <c r="D232" s="14">
        <f t="shared" si="50"/>
        <v>627.88</v>
      </c>
      <c r="E232" s="14">
        <f t="shared" si="46"/>
        <v>0</v>
      </c>
      <c r="F232" s="14">
        <f t="shared" si="54"/>
        <v>134.16999999999999</v>
      </c>
      <c r="G232" s="14">
        <f t="shared" si="54"/>
        <v>188.55</v>
      </c>
      <c r="H232" s="14">
        <f t="shared" si="43"/>
        <v>950.59999999999991</v>
      </c>
      <c r="I232" s="276">
        <f t="shared" si="51"/>
        <v>98158.279999999955</v>
      </c>
      <c r="J232" s="276">
        <f t="shared" si="52"/>
        <v>35884.000000000022</v>
      </c>
      <c r="K232" s="276">
        <f t="shared" si="53"/>
        <v>-626.43999999996481</v>
      </c>
      <c r="L232" s="394">
        <f t="shared" si="41"/>
        <v>17</v>
      </c>
      <c r="M232" s="394">
        <f t="shared" si="48"/>
        <v>212</v>
      </c>
      <c r="N232" s="613" t="str">
        <f>INDEX(tblSubjectToLoan[Date],ROW()-ROW(tblContractForDeed[#Headers]))</f>
        <v xml:space="preserve"> </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7.7499999999999999E-2</v>
      </c>
      <c r="Q2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467">
        <f>IF(INDEX(tblContractForDeed[Payment],ROW()-ROW(tblBuyerOutputs[#Headers]))=0,0,INDEX(tblContractForDeed[Payment],ROW()-ROW(tblBuyerOutputs[#Headers]))-INDEX(tblSubjectToLoan[Payment],ROW()-ROW(tblBuyerOutputs[#Headers])))</f>
        <v>0</v>
      </c>
      <c r="Z2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2" s="276">
        <f>IF(INDEX(tblContractForDeed[End Bal],ROW()-ROW(tblBuyerOutputs[#Headers]))&lt;=0,0,($O$6+IF(ROW()=ROW(tblBuyerOutputs[#Headers])+1,0,INDEX(tblBuyerOutputs[Cumul Appr],ROW()-ROW(tblBuyerOutputs[#Headers])-1)))*$AK$2/12)</f>
        <v>0</v>
      </c>
      <c r="AE232" s="276">
        <f>IF(INDEX(tblContractForDeed[End Bal],ROW()-ROW(tblBuyerOutputs[#Headers]))&lt;=0,0,IF(ROW()=ROW(tblBuyerOutputs[#Headers])+1,0,INDEX(tblBuyerOutputs[Cumul Appr],ROW()-ROW(tblBuyerOutputs[#Headers])-1))+tblBuyerOutputs[[#This Row],[Monthly Appr]])</f>
        <v>0</v>
      </c>
    </row>
    <row r="233" spans="1:31" x14ac:dyDescent="0.25">
      <c r="A233" s="613" t="str">
        <f t="shared" si="49"/>
        <v xml:space="preserve"> </v>
      </c>
      <c r="B233" s="276">
        <f t="shared" si="47"/>
        <v>0</v>
      </c>
      <c r="C233" s="14">
        <f t="shared" si="45"/>
        <v>0</v>
      </c>
      <c r="D233" s="14">
        <f t="shared" si="50"/>
        <v>0</v>
      </c>
      <c r="E233" s="14">
        <f t="shared" si="46"/>
        <v>0</v>
      </c>
      <c r="F233" s="14">
        <f t="shared" si="54"/>
        <v>134.16999999999999</v>
      </c>
      <c r="G233" s="14">
        <f t="shared" si="54"/>
        <v>188.55</v>
      </c>
      <c r="H233" s="14">
        <f t="shared" si="43"/>
        <v>322.72000000000003</v>
      </c>
      <c r="I233" s="276">
        <f t="shared" si="51"/>
        <v>98158.279999999955</v>
      </c>
      <c r="J233" s="276">
        <f t="shared" si="52"/>
        <v>35884.000000000022</v>
      </c>
      <c r="K233" s="276">
        <f t="shared" si="53"/>
        <v>0</v>
      </c>
      <c r="L233" s="394">
        <f t="shared" si="41"/>
        <v>17</v>
      </c>
      <c r="M233" s="394">
        <f t="shared" si="48"/>
        <v>213</v>
      </c>
      <c r="N233" s="613" t="str">
        <f>INDEX(tblSubjectToLoan[Date],ROW()-ROW(tblContractForDeed[#Headers]))</f>
        <v xml:space="preserve"> </v>
      </c>
      <c r="O233" s="276">
        <f>IF(ROW()=ROW(tblContractForDeed[#Headers])+1,$O$6,IF(INDEX(tblContractForDeed[End Bal],ROW()-ROW(tblContractForDeed[#Headers])-1)&lt;0,0,INDEX(tblContractForDeed[End Bal],ROW()-ROW(tblContractForDeed[#Headers])-1)))</f>
        <v>0</v>
      </c>
      <c r="P233" s="454">
        <f>IF(tblContractForDeed[[#This Row],[Date]]="","",IF(tblContractForDeed[[#This Row],[Date]]&lt;cfdRateChangeDate,cfdRate1,cfdRate2))</f>
        <v>7.7499999999999999E-2</v>
      </c>
      <c r="Q2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467">
        <f>IF(INDEX(tblContractForDeed[Payment],ROW()-ROW(tblBuyerOutputs[#Headers]))=0,0,INDEX(tblContractForDeed[Payment],ROW()-ROW(tblBuyerOutputs[#Headers]))-INDEX(tblSubjectToLoan[Payment],ROW()-ROW(tblBuyerOutputs[#Headers])))</f>
        <v>0</v>
      </c>
      <c r="Z2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3" s="276">
        <f>IF(INDEX(tblContractForDeed[End Bal],ROW()-ROW(tblBuyerOutputs[#Headers]))&lt;=0,0,($O$6+IF(ROW()=ROW(tblBuyerOutputs[#Headers])+1,0,INDEX(tblBuyerOutputs[Cumul Appr],ROW()-ROW(tblBuyerOutputs[#Headers])-1)))*$AK$2/12)</f>
        <v>0</v>
      </c>
      <c r="AE233" s="276">
        <f>IF(INDEX(tblContractForDeed[End Bal],ROW()-ROW(tblBuyerOutputs[#Headers]))&lt;=0,0,IF(ROW()=ROW(tblBuyerOutputs[#Headers])+1,0,INDEX(tblBuyerOutputs[Cumul Appr],ROW()-ROW(tblBuyerOutputs[#Headers])-1))+tblBuyerOutputs[[#This Row],[Monthly Appr]])</f>
        <v>0</v>
      </c>
    </row>
    <row r="234" spans="1:31" x14ac:dyDescent="0.25">
      <c r="A234" s="613" t="str">
        <f t="shared" si="49"/>
        <v xml:space="preserve"> </v>
      </c>
      <c r="B234" s="276">
        <f t="shared" si="47"/>
        <v>0</v>
      </c>
      <c r="C234" s="14">
        <f t="shared" si="45"/>
        <v>0</v>
      </c>
      <c r="D234" s="14">
        <f t="shared" si="50"/>
        <v>0</v>
      </c>
      <c r="E234" s="14">
        <f t="shared" si="46"/>
        <v>0</v>
      </c>
      <c r="F234" s="14">
        <f t="shared" si="54"/>
        <v>134.16999999999999</v>
      </c>
      <c r="G234" s="14">
        <f t="shared" si="54"/>
        <v>188.55</v>
      </c>
      <c r="H234" s="14">
        <f t="shared" si="43"/>
        <v>322.72000000000003</v>
      </c>
      <c r="I234" s="276">
        <f t="shared" si="51"/>
        <v>98158.279999999955</v>
      </c>
      <c r="J234" s="276">
        <f t="shared" si="52"/>
        <v>35884.000000000022</v>
      </c>
      <c r="K234" s="276">
        <f t="shared" si="53"/>
        <v>0</v>
      </c>
      <c r="L234" s="394">
        <f t="shared" si="41"/>
        <v>17</v>
      </c>
      <c r="M234" s="394">
        <f t="shared" si="48"/>
        <v>214</v>
      </c>
      <c r="N234" s="613" t="str">
        <f>INDEX(tblSubjectToLoan[Date],ROW()-ROW(tblContractForDeed[#Headers]))</f>
        <v xml:space="preserve"> </v>
      </c>
      <c r="O234" s="276">
        <f>IF(ROW()=ROW(tblContractForDeed[#Headers])+1,$O$6,IF(INDEX(tblContractForDeed[End Bal],ROW()-ROW(tblContractForDeed[#Headers])-1)&lt;0,0,INDEX(tblContractForDeed[End Bal],ROW()-ROW(tblContractForDeed[#Headers])-1)))</f>
        <v>0</v>
      </c>
      <c r="P234" s="454">
        <f>IF(tblContractForDeed[[#This Row],[Date]]="","",IF(tblContractForDeed[[#This Row],[Date]]&lt;cfdRateChangeDate,cfdRate1,cfdRate2))</f>
        <v>7.7499999999999999E-2</v>
      </c>
      <c r="Q2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467">
        <f>IF(INDEX(tblContractForDeed[Payment],ROW()-ROW(tblBuyerOutputs[#Headers]))=0,0,INDEX(tblContractForDeed[Payment],ROW()-ROW(tblBuyerOutputs[#Headers]))-INDEX(tblSubjectToLoan[Payment],ROW()-ROW(tblBuyerOutputs[#Headers])))</f>
        <v>0</v>
      </c>
      <c r="Z2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4" s="276">
        <f>IF(INDEX(tblContractForDeed[End Bal],ROW()-ROW(tblBuyerOutputs[#Headers]))&lt;=0,0,($O$6+IF(ROW()=ROW(tblBuyerOutputs[#Headers])+1,0,INDEX(tblBuyerOutputs[Cumul Appr],ROW()-ROW(tblBuyerOutputs[#Headers])-1)))*$AK$2/12)</f>
        <v>0</v>
      </c>
      <c r="AE234" s="276">
        <f>IF(INDEX(tblContractForDeed[End Bal],ROW()-ROW(tblBuyerOutputs[#Headers]))&lt;=0,0,IF(ROW()=ROW(tblBuyerOutputs[#Headers])+1,0,INDEX(tblBuyerOutputs[Cumul Appr],ROW()-ROW(tblBuyerOutputs[#Headers])-1))+tblBuyerOutputs[[#This Row],[Monthly Appr]])</f>
        <v>0</v>
      </c>
    </row>
    <row r="235" spans="1:31" ht="15.75" thickBot="1" x14ac:dyDescent="0.3">
      <c r="A235" s="615" t="str">
        <f t="shared" si="49"/>
        <v xml:space="preserve"> </v>
      </c>
      <c r="B235" s="332">
        <f t="shared" si="47"/>
        <v>0</v>
      </c>
      <c r="C235" s="21">
        <f t="shared" si="45"/>
        <v>0</v>
      </c>
      <c r="D235" s="21">
        <f t="shared" si="50"/>
        <v>0</v>
      </c>
      <c r="E235" s="21">
        <f t="shared" si="46"/>
        <v>0</v>
      </c>
      <c r="F235" s="21">
        <f t="shared" si="54"/>
        <v>134.16999999999999</v>
      </c>
      <c r="G235" s="21">
        <f t="shared" si="54"/>
        <v>188.55</v>
      </c>
      <c r="H235" s="21">
        <f t="shared" si="43"/>
        <v>322.72000000000003</v>
      </c>
      <c r="I235" s="332">
        <f t="shared" si="51"/>
        <v>98158.279999999955</v>
      </c>
      <c r="J235" s="332">
        <f t="shared" si="52"/>
        <v>35884.000000000022</v>
      </c>
      <c r="K235" s="332">
        <f t="shared" si="53"/>
        <v>0</v>
      </c>
      <c r="L235" s="395">
        <f t="shared" si="41"/>
        <v>17</v>
      </c>
      <c r="M235" s="395">
        <f t="shared" si="48"/>
        <v>215</v>
      </c>
      <c r="N235" s="615" t="str">
        <f>INDEX(tblSubjectToLoan[Date],ROW()-ROW(tblContractForDeed[#Headers]))</f>
        <v xml:space="preserve"> </v>
      </c>
      <c r="O235" s="332">
        <f>IF(ROW()=ROW(tblContractForDeed[#Headers])+1,$O$6,IF(INDEX(tblContractForDeed[End Bal],ROW()-ROW(tblContractForDeed[#Headers])-1)&lt;0,0,INDEX(tblContractForDeed[End Bal],ROW()-ROW(tblContractForDeed[#Headers])-1)))</f>
        <v>0</v>
      </c>
      <c r="P235" s="454">
        <f>IF(tblContractForDeed[[#This Row],[Date]]="","",IF(tblContractForDeed[[#This Row],[Date]]&lt;cfdRateChangeDate,cfdRate1,cfdRate2))</f>
        <v>7.7499999999999999E-2</v>
      </c>
      <c r="Q2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468">
        <f>IF(INDEX(tblContractForDeed[Payment],ROW()-ROW(tblBuyerOutputs[#Headers]))=0,0,INDEX(tblContractForDeed[Payment],ROW()-ROW(tblBuyerOutputs[#Headers]))-INDEX(tblSubjectToLoan[Payment],ROW()-ROW(tblBuyerOutputs[#Headers])))</f>
        <v>0</v>
      </c>
      <c r="Z2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5" s="332">
        <f>IF(INDEX(tblContractForDeed[End Bal],ROW()-ROW(tblBuyerOutputs[#Headers]))&lt;=0,0,($O$6+IF(ROW()=ROW(tblBuyerOutputs[#Headers])+1,0,INDEX(tblBuyerOutputs[Cumul Appr],ROW()-ROW(tblBuyerOutputs[#Headers])-1)))*$AK$2/12)</f>
        <v>0</v>
      </c>
      <c r="AE235" s="332">
        <f>IF(INDEX(tblContractForDeed[End Bal],ROW()-ROW(tblBuyerOutputs[#Headers]))&lt;=0,0,IF(ROW()=ROW(tblBuyerOutputs[#Headers])+1,0,INDEX(tblBuyerOutputs[Cumul Appr],ROW()-ROW(tblBuyerOutputs[#Headers])-1))+tblBuyerOutputs[[#This Row],[Monthly Appr]])</f>
        <v>0</v>
      </c>
    </row>
    <row r="236" spans="1:31" x14ac:dyDescent="0.25">
      <c r="A236" s="613" t="str">
        <f t="shared" si="49"/>
        <v xml:space="preserve"> </v>
      </c>
      <c r="B236" s="276">
        <f t="shared" si="47"/>
        <v>0</v>
      </c>
      <c r="C236" s="14">
        <f t="shared" si="45"/>
        <v>0</v>
      </c>
      <c r="D236" s="14">
        <f t="shared" si="50"/>
        <v>0</v>
      </c>
      <c r="E236" s="14">
        <f t="shared" si="46"/>
        <v>0</v>
      </c>
      <c r="F236" s="14">
        <f t="shared" si="54"/>
        <v>134.16999999999999</v>
      </c>
      <c r="G236" s="14">
        <f t="shared" si="54"/>
        <v>188.55</v>
      </c>
      <c r="H236" s="14">
        <f t="shared" si="43"/>
        <v>322.72000000000003</v>
      </c>
      <c r="I236" s="276">
        <f t="shared" si="51"/>
        <v>98158.279999999955</v>
      </c>
      <c r="J236" s="276">
        <f t="shared" si="52"/>
        <v>35884.000000000022</v>
      </c>
      <c r="K236" s="276">
        <f t="shared" si="53"/>
        <v>0</v>
      </c>
      <c r="L236" s="394">
        <f t="shared" si="41"/>
        <v>18</v>
      </c>
      <c r="M236" s="394">
        <f t="shared" si="48"/>
        <v>216</v>
      </c>
      <c r="N236" s="613" t="str">
        <f>INDEX(tblSubjectToLoan[Date],ROW()-ROW(tblContractForDeed[#Headers]))</f>
        <v xml:space="preserve"> </v>
      </c>
      <c r="O236" s="276">
        <f>IF(ROW()=ROW(tblContractForDeed[#Headers])+1,$O$6,IF(INDEX(tblContractForDeed[End Bal],ROW()-ROW(tblContractForDeed[#Headers])-1)&lt;0,0,INDEX(tblContractForDeed[End Bal],ROW()-ROW(tblContractForDeed[#Headers])-1)))</f>
        <v>0</v>
      </c>
      <c r="P236" s="454">
        <f>IF(tblContractForDeed[[#This Row],[Date]]="","",IF(tblContractForDeed[[#This Row],[Date]]&lt;cfdRateChangeDate,cfdRate1,cfdRate2))</f>
        <v>7.7499999999999999E-2</v>
      </c>
      <c r="Q2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467">
        <f>IF(INDEX(tblContractForDeed[Payment],ROW()-ROW(tblBuyerOutputs[#Headers]))=0,0,INDEX(tblContractForDeed[Payment],ROW()-ROW(tblBuyerOutputs[#Headers]))-INDEX(tblSubjectToLoan[Payment],ROW()-ROW(tblBuyerOutputs[#Headers])))</f>
        <v>0</v>
      </c>
      <c r="Z2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6" s="276">
        <f>IF(INDEX(tblContractForDeed[End Bal],ROW()-ROW(tblBuyerOutputs[#Headers]))&lt;=0,0,($O$6+IF(ROW()=ROW(tblBuyerOutputs[#Headers])+1,0,INDEX(tblBuyerOutputs[Cumul Appr],ROW()-ROW(tblBuyerOutputs[#Headers])-1)))*$AK$2/12)</f>
        <v>0</v>
      </c>
      <c r="AE236" s="276">
        <f>IF(INDEX(tblContractForDeed[End Bal],ROW()-ROW(tblBuyerOutputs[#Headers]))&lt;=0,0,IF(ROW()=ROW(tblBuyerOutputs[#Headers])+1,0,INDEX(tblBuyerOutputs[Cumul Appr],ROW()-ROW(tblBuyerOutputs[#Headers])-1))+tblBuyerOutputs[[#This Row],[Monthly Appr]])</f>
        <v>0</v>
      </c>
    </row>
    <row r="237" spans="1:31" x14ac:dyDescent="0.25">
      <c r="A237" s="613" t="str">
        <f t="shared" si="49"/>
        <v xml:space="preserve"> </v>
      </c>
      <c r="B237" s="276">
        <f t="shared" si="47"/>
        <v>0</v>
      </c>
      <c r="C237" s="14">
        <f t="shared" si="45"/>
        <v>0</v>
      </c>
      <c r="D237" s="14">
        <f t="shared" si="50"/>
        <v>0</v>
      </c>
      <c r="E237" s="14">
        <f t="shared" si="46"/>
        <v>0</v>
      </c>
      <c r="F237" s="14">
        <f t="shared" si="54"/>
        <v>134.16999999999999</v>
      </c>
      <c r="G237" s="14">
        <f t="shared" si="54"/>
        <v>188.55</v>
      </c>
      <c r="H237" s="14">
        <f t="shared" si="43"/>
        <v>322.72000000000003</v>
      </c>
      <c r="I237" s="276">
        <f t="shared" si="51"/>
        <v>98158.279999999955</v>
      </c>
      <c r="J237" s="276">
        <f t="shared" si="52"/>
        <v>35884.000000000022</v>
      </c>
      <c r="K237" s="276">
        <f t="shared" si="53"/>
        <v>0</v>
      </c>
      <c r="L237" s="394">
        <f t="shared" si="41"/>
        <v>18</v>
      </c>
      <c r="M237" s="394">
        <f t="shared" si="48"/>
        <v>217</v>
      </c>
      <c r="N237" s="613" t="str">
        <f>INDEX(tblSubjectToLoan[Date],ROW()-ROW(tblContractForDeed[#Headers]))</f>
        <v xml:space="preserve"> </v>
      </c>
      <c r="O237" s="276">
        <f>IF(ROW()=ROW(tblContractForDeed[#Headers])+1,$O$6,IF(INDEX(tblContractForDeed[End Bal],ROW()-ROW(tblContractForDeed[#Headers])-1)&lt;0,0,INDEX(tblContractForDeed[End Bal],ROW()-ROW(tblContractForDeed[#Headers])-1)))</f>
        <v>0</v>
      </c>
      <c r="P237" s="454">
        <f>IF(tblContractForDeed[[#This Row],[Date]]="","",IF(tblContractForDeed[[#This Row],[Date]]&lt;cfdRateChangeDate,cfdRate1,cfdRate2))</f>
        <v>7.7499999999999999E-2</v>
      </c>
      <c r="Q2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467">
        <f>IF(INDEX(tblContractForDeed[Payment],ROW()-ROW(tblBuyerOutputs[#Headers]))=0,0,INDEX(tblContractForDeed[Payment],ROW()-ROW(tblBuyerOutputs[#Headers]))-INDEX(tblSubjectToLoan[Payment],ROW()-ROW(tblBuyerOutputs[#Headers])))</f>
        <v>0</v>
      </c>
      <c r="Z2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7" s="276">
        <f>IF(INDEX(tblContractForDeed[End Bal],ROW()-ROW(tblBuyerOutputs[#Headers]))&lt;=0,0,($O$6+IF(ROW()=ROW(tblBuyerOutputs[#Headers])+1,0,INDEX(tblBuyerOutputs[Cumul Appr],ROW()-ROW(tblBuyerOutputs[#Headers])-1)))*$AK$2/12)</f>
        <v>0</v>
      </c>
      <c r="AE237" s="276">
        <f>IF(INDEX(tblContractForDeed[End Bal],ROW()-ROW(tblBuyerOutputs[#Headers]))&lt;=0,0,IF(ROW()=ROW(tblBuyerOutputs[#Headers])+1,0,INDEX(tblBuyerOutputs[Cumul Appr],ROW()-ROW(tblBuyerOutputs[#Headers])-1))+tblBuyerOutputs[[#This Row],[Monthly Appr]])</f>
        <v>0</v>
      </c>
    </row>
    <row r="238" spans="1:31" x14ac:dyDescent="0.25">
      <c r="A238" s="613" t="str">
        <f t="shared" si="49"/>
        <v xml:space="preserve"> </v>
      </c>
      <c r="B238" s="276">
        <f t="shared" si="47"/>
        <v>0</v>
      </c>
      <c r="C238" s="14">
        <f t="shared" si="45"/>
        <v>0</v>
      </c>
      <c r="D238" s="14">
        <f t="shared" si="50"/>
        <v>0</v>
      </c>
      <c r="E238" s="14">
        <f t="shared" si="46"/>
        <v>0</v>
      </c>
      <c r="F238" s="14">
        <f t="shared" si="54"/>
        <v>134.16999999999999</v>
      </c>
      <c r="G238" s="14">
        <f t="shared" si="54"/>
        <v>188.55</v>
      </c>
      <c r="H238" s="14">
        <f t="shared" si="43"/>
        <v>322.72000000000003</v>
      </c>
      <c r="I238" s="276">
        <f t="shared" si="51"/>
        <v>98158.279999999955</v>
      </c>
      <c r="J238" s="276">
        <f t="shared" si="52"/>
        <v>35884.000000000022</v>
      </c>
      <c r="K238" s="276">
        <f t="shared" si="53"/>
        <v>0</v>
      </c>
      <c r="L238" s="394">
        <f t="shared" si="41"/>
        <v>18</v>
      </c>
      <c r="M238" s="394">
        <f t="shared" si="48"/>
        <v>218</v>
      </c>
      <c r="N238" s="613" t="str">
        <f>INDEX(tblSubjectToLoan[Date],ROW()-ROW(tblContractForDeed[#Headers]))</f>
        <v xml:space="preserve"> </v>
      </c>
      <c r="O238" s="276">
        <f>IF(ROW()=ROW(tblContractForDeed[#Headers])+1,$O$6,IF(INDEX(tblContractForDeed[End Bal],ROW()-ROW(tblContractForDeed[#Headers])-1)&lt;0,0,INDEX(tblContractForDeed[End Bal],ROW()-ROW(tblContractForDeed[#Headers])-1)))</f>
        <v>0</v>
      </c>
      <c r="P238" s="454">
        <f>IF(tblContractForDeed[[#This Row],[Date]]="","",IF(tblContractForDeed[[#This Row],[Date]]&lt;cfdRateChangeDate,cfdRate1,cfdRate2))</f>
        <v>7.7499999999999999E-2</v>
      </c>
      <c r="Q2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467">
        <f>IF(INDEX(tblContractForDeed[Payment],ROW()-ROW(tblBuyerOutputs[#Headers]))=0,0,INDEX(tblContractForDeed[Payment],ROW()-ROW(tblBuyerOutputs[#Headers]))-INDEX(tblSubjectToLoan[Payment],ROW()-ROW(tblBuyerOutputs[#Headers])))</f>
        <v>0</v>
      </c>
      <c r="Z2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8" s="276">
        <f>IF(INDEX(tblContractForDeed[End Bal],ROW()-ROW(tblBuyerOutputs[#Headers]))&lt;=0,0,($O$6+IF(ROW()=ROW(tblBuyerOutputs[#Headers])+1,0,INDEX(tblBuyerOutputs[Cumul Appr],ROW()-ROW(tblBuyerOutputs[#Headers])-1)))*$AK$2/12)</f>
        <v>0</v>
      </c>
      <c r="AE238" s="276">
        <f>IF(INDEX(tblContractForDeed[End Bal],ROW()-ROW(tblBuyerOutputs[#Headers]))&lt;=0,0,IF(ROW()=ROW(tblBuyerOutputs[#Headers])+1,0,INDEX(tblBuyerOutputs[Cumul Appr],ROW()-ROW(tblBuyerOutputs[#Headers])-1))+tblBuyerOutputs[[#This Row],[Monthly Appr]])</f>
        <v>0</v>
      </c>
    </row>
    <row r="239" spans="1:31" x14ac:dyDescent="0.25">
      <c r="A239" s="613" t="str">
        <f t="shared" si="49"/>
        <v xml:space="preserve"> </v>
      </c>
      <c r="B239" s="276">
        <f t="shared" si="47"/>
        <v>0</v>
      </c>
      <c r="C239" s="14">
        <f t="shared" si="45"/>
        <v>0</v>
      </c>
      <c r="D239" s="14">
        <f t="shared" si="50"/>
        <v>0</v>
      </c>
      <c r="E239" s="14">
        <f t="shared" si="46"/>
        <v>0</v>
      </c>
      <c r="F239" s="14">
        <f t="shared" ref="F239:G254" si="55">+F238</f>
        <v>134.16999999999999</v>
      </c>
      <c r="G239" s="14">
        <f t="shared" si="55"/>
        <v>188.55</v>
      </c>
      <c r="H239" s="14">
        <f t="shared" si="43"/>
        <v>322.72000000000003</v>
      </c>
      <c r="I239" s="276">
        <f t="shared" si="51"/>
        <v>98158.279999999955</v>
      </c>
      <c r="J239" s="276">
        <f t="shared" si="52"/>
        <v>35884.000000000022</v>
      </c>
      <c r="K239" s="276">
        <f t="shared" si="53"/>
        <v>0</v>
      </c>
      <c r="L239" s="394">
        <f t="shared" si="41"/>
        <v>18</v>
      </c>
      <c r="M239" s="394">
        <f t="shared" si="48"/>
        <v>219</v>
      </c>
      <c r="N239" s="613" t="str">
        <f>INDEX(tblSubjectToLoan[Date],ROW()-ROW(tblContractForDeed[#Headers]))</f>
        <v xml:space="preserve"> </v>
      </c>
      <c r="O239" s="276">
        <f>IF(ROW()=ROW(tblContractForDeed[#Headers])+1,$O$6,IF(INDEX(tblContractForDeed[End Bal],ROW()-ROW(tblContractForDeed[#Headers])-1)&lt;0,0,INDEX(tblContractForDeed[End Bal],ROW()-ROW(tblContractForDeed[#Headers])-1)))</f>
        <v>0</v>
      </c>
      <c r="P239" s="454">
        <f>IF(tblContractForDeed[[#This Row],[Date]]="","",IF(tblContractForDeed[[#This Row],[Date]]&lt;cfdRateChangeDate,cfdRate1,cfdRate2))</f>
        <v>7.7499999999999999E-2</v>
      </c>
      <c r="Q2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467">
        <f>IF(INDEX(tblContractForDeed[Payment],ROW()-ROW(tblBuyerOutputs[#Headers]))=0,0,INDEX(tblContractForDeed[Payment],ROW()-ROW(tblBuyerOutputs[#Headers]))-INDEX(tblSubjectToLoan[Payment],ROW()-ROW(tblBuyerOutputs[#Headers])))</f>
        <v>0</v>
      </c>
      <c r="Z2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9" s="276">
        <f>IF(INDEX(tblContractForDeed[End Bal],ROW()-ROW(tblBuyerOutputs[#Headers]))&lt;=0,0,($O$6+IF(ROW()=ROW(tblBuyerOutputs[#Headers])+1,0,INDEX(tblBuyerOutputs[Cumul Appr],ROW()-ROW(tblBuyerOutputs[#Headers])-1)))*$AK$2/12)</f>
        <v>0</v>
      </c>
      <c r="AE239" s="276">
        <f>IF(INDEX(tblContractForDeed[End Bal],ROW()-ROW(tblBuyerOutputs[#Headers]))&lt;=0,0,IF(ROW()=ROW(tblBuyerOutputs[#Headers])+1,0,INDEX(tblBuyerOutputs[Cumul Appr],ROW()-ROW(tblBuyerOutputs[#Headers])-1))+tblBuyerOutputs[[#This Row],[Monthly Appr]])</f>
        <v>0</v>
      </c>
    </row>
    <row r="240" spans="1:31" x14ac:dyDescent="0.25">
      <c r="A240" s="613" t="str">
        <f t="shared" si="49"/>
        <v xml:space="preserve"> </v>
      </c>
      <c r="B240" s="276">
        <f t="shared" si="47"/>
        <v>0</v>
      </c>
      <c r="C240" s="14">
        <f t="shared" si="45"/>
        <v>0</v>
      </c>
      <c r="D240" s="14">
        <f t="shared" si="50"/>
        <v>0</v>
      </c>
      <c r="E240" s="14">
        <f t="shared" si="46"/>
        <v>0</v>
      </c>
      <c r="F240" s="14">
        <f t="shared" si="55"/>
        <v>134.16999999999999</v>
      </c>
      <c r="G240" s="14">
        <f t="shared" si="55"/>
        <v>188.55</v>
      </c>
      <c r="H240" s="14">
        <f t="shared" si="43"/>
        <v>322.72000000000003</v>
      </c>
      <c r="I240" s="276">
        <f t="shared" si="51"/>
        <v>98158.279999999955</v>
      </c>
      <c r="J240" s="276">
        <f t="shared" si="52"/>
        <v>35884.000000000022</v>
      </c>
      <c r="K240" s="276">
        <f t="shared" si="53"/>
        <v>0</v>
      </c>
      <c r="L240" s="394">
        <f t="shared" si="41"/>
        <v>18</v>
      </c>
      <c r="M240" s="394">
        <f t="shared" si="48"/>
        <v>220</v>
      </c>
      <c r="N240" s="613" t="str">
        <f>INDEX(tblSubjectToLoan[Date],ROW()-ROW(tblContractForDeed[#Headers]))</f>
        <v xml:space="preserve"> </v>
      </c>
      <c r="O240" s="276">
        <f>IF(ROW()=ROW(tblContractForDeed[#Headers])+1,$O$6,IF(INDEX(tblContractForDeed[End Bal],ROW()-ROW(tblContractForDeed[#Headers])-1)&lt;0,0,INDEX(tblContractForDeed[End Bal],ROW()-ROW(tblContractForDeed[#Headers])-1)))</f>
        <v>0</v>
      </c>
      <c r="P240" s="454">
        <f>IF(tblContractForDeed[[#This Row],[Date]]="","",IF(tblContractForDeed[[#This Row],[Date]]&lt;cfdRateChangeDate,cfdRate1,cfdRate2))</f>
        <v>7.7499999999999999E-2</v>
      </c>
      <c r="Q2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467">
        <f>IF(INDEX(tblContractForDeed[Payment],ROW()-ROW(tblBuyerOutputs[#Headers]))=0,0,INDEX(tblContractForDeed[Payment],ROW()-ROW(tblBuyerOutputs[#Headers]))-INDEX(tblSubjectToLoan[Payment],ROW()-ROW(tblBuyerOutputs[#Headers])))</f>
        <v>0</v>
      </c>
      <c r="Z2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0" s="276">
        <f>IF(INDEX(tblContractForDeed[End Bal],ROW()-ROW(tblBuyerOutputs[#Headers]))&lt;=0,0,($O$6+IF(ROW()=ROW(tblBuyerOutputs[#Headers])+1,0,INDEX(tblBuyerOutputs[Cumul Appr],ROW()-ROW(tblBuyerOutputs[#Headers])-1)))*$AK$2/12)</f>
        <v>0</v>
      </c>
      <c r="AE240" s="276">
        <f>IF(INDEX(tblContractForDeed[End Bal],ROW()-ROW(tblBuyerOutputs[#Headers]))&lt;=0,0,IF(ROW()=ROW(tblBuyerOutputs[#Headers])+1,0,INDEX(tblBuyerOutputs[Cumul Appr],ROW()-ROW(tblBuyerOutputs[#Headers])-1))+tblBuyerOutputs[[#This Row],[Monthly Appr]])</f>
        <v>0</v>
      </c>
    </row>
    <row r="241" spans="1:31" x14ac:dyDescent="0.25">
      <c r="A241" s="613" t="str">
        <f t="shared" si="49"/>
        <v xml:space="preserve"> </v>
      </c>
      <c r="B241" s="276">
        <f t="shared" si="47"/>
        <v>0</v>
      </c>
      <c r="C241" s="14">
        <f t="shared" si="45"/>
        <v>0</v>
      </c>
      <c r="D241" s="14">
        <f t="shared" si="50"/>
        <v>0</v>
      </c>
      <c r="E241" s="14">
        <f t="shared" si="46"/>
        <v>0</v>
      </c>
      <c r="F241" s="14">
        <f t="shared" si="55"/>
        <v>134.16999999999999</v>
      </c>
      <c r="G241" s="14">
        <f t="shared" si="55"/>
        <v>188.55</v>
      </c>
      <c r="H241" s="14">
        <f t="shared" si="43"/>
        <v>322.72000000000003</v>
      </c>
      <c r="I241" s="276">
        <f t="shared" si="51"/>
        <v>98158.279999999955</v>
      </c>
      <c r="J241" s="276">
        <f t="shared" si="52"/>
        <v>35884.000000000022</v>
      </c>
      <c r="K241" s="276">
        <f t="shared" si="53"/>
        <v>0</v>
      </c>
      <c r="L241" s="394">
        <f t="shared" si="41"/>
        <v>18</v>
      </c>
      <c r="M241" s="394">
        <f t="shared" si="48"/>
        <v>221</v>
      </c>
      <c r="N241" s="613" t="str">
        <f>INDEX(tblSubjectToLoan[Date],ROW()-ROW(tblContractForDeed[#Headers]))</f>
        <v xml:space="preserve"> </v>
      </c>
      <c r="O241" s="276">
        <f>IF(ROW()=ROW(tblContractForDeed[#Headers])+1,$O$6,IF(INDEX(tblContractForDeed[End Bal],ROW()-ROW(tblContractForDeed[#Headers])-1)&lt;0,0,INDEX(tblContractForDeed[End Bal],ROW()-ROW(tblContractForDeed[#Headers])-1)))</f>
        <v>0</v>
      </c>
      <c r="P241" s="454">
        <f>IF(tblContractForDeed[[#This Row],[Date]]="","",IF(tblContractForDeed[[#This Row],[Date]]&lt;cfdRateChangeDate,cfdRate1,cfdRate2))</f>
        <v>7.7499999999999999E-2</v>
      </c>
      <c r="Q2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467">
        <f>IF(INDEX(tblContractForDeed[Payment],ROW()-ROW(tblBuyerOutputs[#Headers]))=0,0,INDEX(tblContractForDeed[Payment],ROW()-ROW(tblBuyerOutputs[#Headers]))-INDEX(tblSubjectToLoan[Payment],ROW()-ROW(tblBuyerOutputs[#Headers])))</f>
        <v>0</v>
      </c>
      <c r="Z2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1" s="276">
        <f>IF(INDEX(tblContractForDeed[End Bal],ROW()-ROW(tblBuyerOutputs[#Headers]))&lt;=0,0,($O$6+IF(ROW()=ROW(tblBuyerOutputs[#Headers])+1,0,INDEX(tblBuyerOutputs[Cumul Appr],ROW()-ROW(tblBuyerOutputs[#Headers])-1)))*$AK$2/12)</f>
        <v>0</v>
      </c>
      <c r="AE241" s="276">
        <f>IF(INDEX(tblContractForDeed[End Bal],ROW()-ROW(tblBuyerOutputs[#Headers]))&lt;=0,0,IF(ROW()=ROW(tblBuyerOutputs[#Headers])+1,0,INDEX(tblBuyerOutputs[Cumul Appr],ROW()-ROW(tblBuyerOutputs[#Headers])-1))+tblBuyerOutputs[[#This Row],[Monthly Appr]])</f>
        <v>0</v>
      </c>
    </row>
    <row r="242" spans="1:31" x14ac:dyDescent="0.25">
      <c r="A242" s="613" t="str">
        <f t="shared" si="49"/>
        <v xml:space="preserve"> </v>
      </c>
      <c r="B242" s="276">
        <f t="shared" si="47"/>
        <v>0</v>
      </c>
      <c r="C242" s="14">
        <f t="shared" si="45"/>
        <v>0</v>
      </c>
      <c r="D242" s="14">
        <f t="shared" si="50"/>
        <v>0</v>
      </c>
      <c r="E242" s="14">
        <f t="shared" si="46"/>
        <v>0</v>
      </c>
      <c r="F242" s="14">
        <f t="shared" si="55"/>
        <v>134.16999999999999</v>
      </c>
      <c r="G242" s="14">
        <f t="shared" si="55"/>
        <v>188.55</v>
      </c>
      <c r="H242" s="14">
        <f t="shared" si="43"/>
        <v>322.72000000000003</v>
      </c>
      <c r="I242" s="276">
        <f t="shared" si="51"/>
        <v>98158.279999999955</v>
      </c>
      <c r="J242" s="276">
        <f t="shared" si="52"/>
        <v>35884.000000000022</v>
      </c>
      <c r="K242" s="276">
        <f t="shared" si="53"/>
        <v>0</v>
      </c>
      <c r="L242" s="394">
        <f t="shared" si="41"/>
        <v>18</v>
      </c>
      <c r="M242" s="394">
        <f t="shared" si="48"/>
        <v>222</v>
      </c>
      <c r="N242" s="613" t="str">
        <f>INDEX(tblSubjectToLoan[Date],ROW()-ROW(tblContractForDeed[#Headers]))</f>
        <v xml:space="preserve"> </v>
      </c>
      <c r="O242" s="276">
        <f>IF(ROW()=ROW(tblContractForDeed[#Headers])+1,$O$6,IF(INDEX(tblContractForDeed[End Bal],ROW()-ROW(tblContractForDeed[#Headers])-1)&lt;0,0,INDEX(tblContractForDeed[End Bal],ROW()-ROW(tblContractForDeed[#Headers])-1)))</f>
        <v>0</v>
      </c>
      <c r="P242" s="454">
        <f>IF(tblContractForDeed[[#This Row],[Date]]="","",IF(tblContractForDeed[[#This Row],[Date]]&lt;cfdRateChangeDate,cfdRate1,cfdRate2))</f>
        <v>7.7499999999999999E-2</v>
      </c>
      <c r="Q2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467">
        <f>IF(INDEX(tblContractForDeed[Payment],ROW()-ROW(tblBuyerOutputs[#Headers]))=0,0,INDEX(tblContractForDeed[Payment],ROW()-ROW(tblBuyerOutputs[#Headers]))-INDEX(tblSubjectToLoan[Payment],ROW()-ROW(tblBuyerOutputs[#Headers])))</f>
        <v>0</v>
      </c>
      <c r="Z2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2" s="276">
        <f>IF(INDEX(tblContractForDeed[End Bal],ROW()-ROW(tblBuyerOutputs[#Headers]))&lt;=0,0,($O$6+IF(ROW()=ROW(tblBuyerOutputs[#Headers])+1,0,INDEX(tblBuyerOutputs[Cumul Appr],ROW()-ROW(tblBuyerOutputs[#Headers])-1)))*$AK$2/12)</f>
        <v>0</v>
      </c>
      <c r="AE242" s="276">
        <f>IF(INDEX(tblContractForDeed[End Bal],ROW()-ROW(tblBuyerOutputs[#Headers]))&lt;=0,0,IF(ROW()=ROW(tblBuyerOutputs[#Headers])+1,0,INDEX(tblBuyerOutputs[Cumul Appr],ROW()-ROW(tblBuyerOutputs[#Headers])-1))+tblBuyerOutputs[[#This Row],[Monthly Appr]])</f>
        <v>0</v>
      </c>
    </row>
    <row r="243" spans="1:31" x14ac:dyDescent="0.25">
      <c r="A243" s="613" t="str">
        <f t="shared" si="49"/>
        <v xml:space="preserve"> </v>
      </c>
      <c r="B243" s="276">
        <f t="shared" si="47"/>
        <v>0</v>
      </c>
      <c r="C243" s="14">
        <f t="shared" si="45"/>
        <v>0</v>
      </c>
      <c r="D243" s="14">
        <f t="shared" si="50"/>
        <v>0</v>
      </c>
      <c r="E243" s="14">
        <f t="shared" si="46"/>
        <v>0</v>
      </c>
      <c r="F243" s="14">
        <f t="shared" si="55"/>
        <v>134.16999999999999</v>
      </c>
      <c r="G243" s="14">
        <f t="shared" si="55"/>
        <v>188.55</v>
      </c>
      <c r="H243" s="14">
        <f t="shared" si="43"/>
        <v>322.72000000000003</v>
      </c>
      <c r="I243" s="276">
        <f t="shared" si="51"/>
        <v>98158.279999999955</v>
      </c>
      <c r="J243" s="276">
        <f t="shared" si="52"/>
        <v>35884.000000000022</v>
      </c>
      <c r="K243" s="276">
        <f t="shared" si="53"/>
        <v>0</v>
      </c>
      <c r="L243" s="394">
        <f t="shared" si="41"/>
        <v>18</v>
      </c>
      <c r="M243" s="394">
        <f t="shared" si="48"/>
        <v>223</v>
      </c>
      <c r="N243" s="613" t="str">
        <f>INDEX(tblSubjectToLoan[Date],ROW()-ROW(tblContractForDeed[#Headers]))</f>
        <v xml:space="preserve"> </v>
      </c>
      <c r="O243" s="276">
        <f>IF(ROW()=ROW(tblContractForDeed[#Headers])+1,$O$6,IF(INDEX(tblContractForDeed[End Bal],ROW()-ROW(tblContractForDeed[#Headers])-1)&lt;0,0,INDEX(tblContractForDeed[End Bal],ROW()-ROW(tblContractForDeed[#Headers])-1)))</f>
        <v>0</v>
      </c>
      <c r="P243" s="454">
        <f>IF(tblContractForDeed[[#This Row],[Date]]="","",IF(tblContractForDeed[[#This Row],[Date]]&lt;cfdRateChangeDate,cfdRate1,cfdRate2))</f>
        <v>7.7499999999999999E-2</v>
      </c>
      <c r="Q2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467">
        <f>IF(INDEX(tblContractForDeed[Payment],ROW()-ROW(tblBuyerOutputs[#Headers]))=0,0,INDEX(tblContractForDeed[Payment],ROW()-ROW(tblBuyerOutputs[#Headers]))-INDEX(tblSubjectToLoan[Payment],ROW()-ROW(tblBuyerOutputs[#Headers])))</f>
        <v>0</v>
      </c>
      <c r="Z2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3" s="276">
        <f>IF(INDEX(tblContractForDeed[End Bal],ROW()-ROW(tblBuyerOutputs[#Headers]))&lt;=0,0,($O$6+IF(ROW()=ROW(tblBuyerOutputs[#Headers])+1,0,INDEX(tblBuyerOutputs[Cumul Appr],ROW()-ROW(tblBuyerOutputs[#Headers])-1)))*$AK$2/12)</f>
        <v>0</v>
      </c>
      <c r="AE243" s="276">
        <f>IF(INDEX(tblContractForDeed[End Bal],ROW()-ROW(tblBuyerOutputs[#Headers]))&lt;=0,0,IF(ROW()=ROW(tblBuyerOutputs[#Headers])+1,0,INDEX(tblBuyerOutputs[Cumul Appr],ROW()-ROW(tblBuyerOutputs[#Headers])-1))+tblBuyerOutputs[[#This Row],[Monthly Appr]])</f>
        <v>0</v>
      </c>
    </row>
    <row r="244" spans="1:31" x14ac:dyDescent="0.25">
      <c r="A244" s="613" t="str">
        <f t="shared" si="49"/>
        <v xml:space="preserve"> </v>
      </c>
      <c r="B244" s="276">
        <f t="shared" si="47"/>
        <v>0</v>
      </c>
      <c r="C244" s="14">
        <f t="shared" si="45"/>
        <v>0</v>
      </c>
      <c r="D244" s="14">
        <f t="shared" si="50"/>
        <v>0</v>
      </c>
      <c r="E244" s="14">
        <f t="shared" si="46"/>
        <v>0</v>
      </c>
      <c r="F244" s="14">
        <f t="shared" si="55"/>
        <v>134.16999999999999</v>
      </c>
      <c r="G244" s="14">
        <f t="shared" si="55"/>
        <v>188.55</v>
      </c>
      <c r="H244" s="14">
        <f t="shared" si="43"/>
        <v>322.72000000000003</v>
      </c>
      <c r="I244" s="276">
        <f t="shared" si="51"/>
        <v>98158.279999999955</v>
      </c>
      <c r="J244" s="276">
        <f t="shared" si="52"/>
        <v>35884.000000000022</v>
      </c>
      <c r="K244" s="276">
        <f t="shared" si="53"/>
        <v>0</v>
      </c>
      <c r="L244" s="394">
        <f t="shared" ref="L244:L307" si="56">IF(MOD(M244,12)=0,M244/12,L243)</f>
        <v>18</v>
      </c>
      <c r="M244" s="394">
        <f t="shared" si="48"/>
        <v>224</v>
      </c>
      <c r="N244" s="613" t="str">
        <f>INDEX(tblSubjectToLoan[Date],ROW()-ROW(tblContractForDeed[#Headers]))</f>
        <v xml:space="preserve"> </v>
      </c>
      <c r="O244" s="276">
        <f>IF(ROW()=ROW(tblContractForDeed[#Headers])+1,$O$6,IF(INDEX(tblContractForDeed[End Bal],ROW()-ROW(tblContractForDeed[#Headers])-1)&lt;0,0,INDEX(tblContractForDeed[End Bal],ROW()-ROW(tblContractForDeed[#Headers])-1)))</f>
        <v>0</v>
      </c>
      <c r="P244" s="454">
        <f>IF(tblContractForDeed[[#This Row],[Date]]="","",IF(tblContractForDeed[[#This Row],[Date]]&lt;cfdRateChangeDate,cfdRate1,cfdRate2))</f>
        <v>7.7499999999999999E-2</v>
      </c>
      <c r="Q2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467">
        <f>IF(INDEX(tblContractForDeed[Payment],ROW()-ROW(tblBuyerOutputs[#Headers]))=0,0,INDEX(tblContractForDeed[Payment],ROW()-ROW(tblBuyerOutputs[#Headers]))-INDEX(tblSubjectToLoan[Payment],ROW()-ROW(tblBuyerOutputs[#Headers])))</f>
        <v>0</v>
      </c>
      <c r="Z2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4" s="276">
        <f>IF(INDEX(tblContractForDeed[End Bal],ROW()-ROW(tblBuyerOutputs[#Headers]))&lt;=0,0,($O$6+IF(ROW()=ROW(tblBuyerOutputs[#Headers])+1,0,INDEX(tblBuyerOutputs[Cumul Appr],ROW()-ROW(tblBuyerOutputs[#Headers])-1)))*$AK$2/12)</f>
        <v>0</v>
      </c>
      <c r="AE244" s="276">
        <f>IF(INDEX(tblContractForDeed[End Bal],ROW()-ROW(tblBuyerOutputs[#Headers]))&lt;=0,0,IF(ROW()=ROW(tblBuyerOutputs[#Headers])+1,0,INDEX(tblBuyerOutputs[Cumul Appr],ROW()-ROW(tblBuyerOutputs[#Headers])-1))+tblBuyerOutputs[[#This Row],[Monthly Appr]])</f>
        <v>0</v>
      </c>
    </row>
    <row r="245" spans="1:31" x14ac:dyDescent="0.25">
      <c r="A245" s="613" t="str">
        <f t="shared" si="49"/>
        <v xml:space="preserve"> </v>
      </c>
      <c r="B245" s="276">
        <f t="shared" si="47"/>
        <v>0</v>
      </c>
      <c r="C245" s="14">
        <f t="shared" si="45"/>
        <v>0</v>
      </c>
      <c r="D245" s="14">
        <f t="shared" si="50"/>
        <v>0</v>
      </c>
      <c r="E245" s="14">
        <f t="shared" si="46"/>
        <v>0</v>
      </c>
      <c r="F245" s="14">
        <f t="shared" si="55"/>
        <v>134.16999999999999</v>
      </c>
      <c r="G245" s="14">
        <f t="shared" si="55"/>
        <v>188.55</v>
      </c>
      <c r="H245" s="14">
        <f t="shared" si="43"/>
        <v>322.72000000000003</v>
      </c>
      <c r="I245" s="276">
        <f t="shared" si="51"/>
        <v>98158.279999999955</v>
      </c>
      <c r="J245" s="276">
        <f t="shared" si="52"/>
        <v>35884.000000000022</v>
      </c>
      <c r="K245" s="276">
        <f t="shared" si="53"/>
        <v>0</v>
      </c>
      <c r="L245" s="394">
        <f t="shared" si="56"/>
        <v>18</v>
      </c>
      <c r="M245" s="394">
        <f t="shared" si="48"/>
        <v>225</v>
      </c>
      <c r="N245" s="613" t="str">
        <f>INDEX(tblSubjectToLoan[Date],ROW()-ROW(tblContractForDeed[#Headers]))</f>
        <v xml:space="preserve"> </v>
      </c>
      <c r="O245" s="276">
        <f>IF(ROW()=ROW(tblContractForDeed[#Headers])+1,$O$6,IF(INDEX(tblContractForDeed[End Bal],ROW()-ROW(tblContractForDeed[#Headers])-1)&lt;0,0,INDEX(tblContractForDeed[End Bal],ROW()-ROW(tblContractForDeed[#Headers])-1)))</f>
        <v>0</v>
      </c>
      <c r="P245" s="454">
        <f>IF(tblContractForDeed[[#This Row],[Date]]="","",IF(tblContractForDeed[[#This Row],[Date]]&lt;cfdRateChangeDate,cfdRate1,cfdRate2))</f>
        <v>7.7499999999999999E-2</v>
      </c>
      <c r="Q2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467">
        <f>IF(INDEX(tblContractForDeed[Payment],ROW()-ROW(tblBuyerOutputs[#Headers]))=0,0,INDEX(tblContractForDeed[Payment],ROW()-ROW(tblBuyerOutputs[#Headers]))-INDEX(tblSubjectToLoan[Payment],ROW()-ROW(tblBuyerOutputs[#Headers])))</f>
        <v>0</v>
      </c>
      <c r="Z2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5" s="276">
        <f>IF(INDEX(tblContractForDeed[End Bal],ROW()-ROW(tblBuyerOutputs[#Headers]))&lt;=0,0,($O$6+IF(ROW()=ROW(tblBuyerOutputs[#Headers])+1,0,INDEX(tblBuyerOutputs[Cumul Appr],ROW()-ROW(tblBuyerOutputs[#Headers])-1)))*$AK$2/12)</f>
        <v>0</v>
      </c>
      <c r="AE245" s="276">
        <f>IF(INDEX(tblContractForDeed[End Bal],ROW()-ROW(tblBuyerOutputs[#Headers]))&lt;=0,0,IF(ROW()=ROW(tblBuyerOutputs[#Headers])+1,0,INDEX(tblBuyerOutputs[Cumul Appr],ROW()-ROW(tblBuyerOutputs[#Headers])-1))+tblBuyerOutputs[[#This Row],[Monthly Appr]])</f>
        <v>0</v>
      </c>
    </row>
    <row r="246" spans="1:31" x14ac:dyDescent="0.25">
      <c r="A246" s="613" t="str">
        <f t="shared" si="49"/>
        <v xml:space="preserve"> </v>
      </c>
      <c r="B246" s="276">
        <f t="shared" si="47"/>
        <v>0</v>
      </c>
      <c r="C246" s="14">
        <f t="shared" si="45"/>
        <v>0</v>
      </c>
      <c r="D246" s="14">
        <f t="shared" si="50"/>
        <v>0</v>
      </c>
      <c r="E246" s="14">
        <f t="shared" si="46"/>
        <v>0</v>
      </c>
      <c r="F246" s="14">
        <f t="shared" si="55"/>
        <v>134.16999999999999</v>
      </c>
      <c r="G246" s="14">
        <f t="shared" si="55"/>
        <v>188.55</v>
      </c>
      <c r="H246" s="14">
        <f t="shared" si="43"/>
        <v>322.72000000000003</v>
      </c>
      <c r="I246" s="276">
        <f t="shared" si="51"/>
        <v>98158.279999999955</v>
      </c>
      <c r="J246" s="276">
        <f t="shared" si="52"/>
        <v>35884.000000000022</v>
      </c>
      <c r="K246" s="276">
        <f t="shared" si="53"/>
        <v>0</v>
      </c>
      <c r="L246" s="394">
        <f t="shared" si="56"/>
        <v>18</v>
      </c>
      <c r="M246" s="394">
        <f t="shared" si="48"/>
        <v>226</v>
      </c>
      <c r="N246" s="613" t="str">
        <f>INDEX(tblSubjectToLoan[Date],ROW()-ROW(tblContractForDeed[#Headers]))</f>
        <v xml:space="preserve"> </v>
      </c>
      <c r="O246" s="276">
        <f>IF(ROW()=ROW(tblContractForDeed[#Headers])+1,$O$6,IF(INDEX(tblContractForDeed[End Bal],ROW()-ROW(tblContractForDeed[#Headers])-1)&lt;0,0,INDEX(tblContractForDeed[End Bal],ROW()-ROW(tblContractForDeed[#Headers])-1)))</f>
        <v>0</v>
      </c>
      <c r="P246" s="454">
        <f>IF(tblContractForDeed[[#This Row],[Date]]="","",IF(tblContractForDeed[[#This Row],[Date]]&lt;cfdRateChangeDate,cfdRate1,cfdRate2))</f>
        <v>7.7499999999999999E-2</v>
      </c>
      <c r="Q2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467">
        <f>IF(INDEX(tblContractForDeed[Payment],ROW()-ROW(tblBuyerOutputs[#Headers]))=0,0,INDEX(tblContractForDeed[Payment],ROW()-ROW(tblBuyerOutputs[#Headers]))-INDEX(tblSubjectToLoan[Payment],ROW()-ROW(tblBuyerOutputs[#Headers])))</f>
        <v>0</v>
      </c>
      <c r="Z2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6" s="276">
        <f>IF(INDEX(tblContractForDeed[End Bal],ROW()-ROW(tblBuyerOutputs[#Headers]))&lt;=0,0,($O$6+IF(ROW()=ROW(tblBuyerOutputs[#Headers])+1,0,INDEX(tblBuyerOutputs[Cumul Appr],ROW()-ROW(tblBuyerOutputs[#Headers])-1)))*$AK$2/12)</f>
        <v>0</v>
      </c>
      <c r="AE246" s="276">
        <f>IF(INDEX(tblContractForDeed[End Bal],ROW()-ROW(tblBuyerOutputs[#Headers]))&lt;=0,0,IF(ROW()=ROW(tblBuyerOutputs[#Headers])+1,0,INDEX(tblBuyerOutputs[Cumul Appr],ROW()-ROW(tblBuyerOutputs[#Headers])-1))+tblBuyerOutputs[[#This Row],[Monthly Appr]])</f>
        <v>0</v>
      </c>
    </row>
    <row r="247" spans="1:31" ht="15.75" thickBot="1" x14ac:dyDescent="0.3">
      <c r="A247" s="615" t="str">
        <f t="shared" si="49"/>
        <v xml:space="preserve"> </v>
      </c>
      <c r="B247" s="332">
        <f t="shared" si="47"/>
        <v>0</v>
      </c>
      <c r="C247" s="21">
        <f t="shared" si="45"/>
        <v>0</v>
      </c>
      <c r="D247" s="21">
        <f t="shared" si="50"/>
        <v>0</v>
      </c>
      <c r="E247" s="21">
        <f t="shared" si="46"/>
        <v>0</v>
      </c>
      <c r="F247" s="21">
        <f t="shared" si="55"/>
        <v>134.16999999999999</v>
      </c>
      <c r="G247" s="21">
        <f t="shared" si="55"/>
        <v>188.55</v>
      </c>
      <c r="H247" s="21">
        <f t="shared" si="43"/>
        <v>322.72000000000003</v>
      </c>
      <c r="I247" s="332">
        <f t="shared" si="51"/>
        <v>98158.279999999955</v>
      </c>
      <c r="J247" s="332">
        <f t="shared" si="52"/>
        <v>35884.000000000022</v>
      </c>
      <c r="K247" s="332">
        <f t="shared" si="53"/>
        <v>0</v>
      </c>
      <c r="L247" s="395">
        <f t="shared" si="56"/>
        <v>18</v>
      </c>
      <c r="M247" s="395">
        <f t="shared" si="48"/>
        <v>227</v>
      </c>
      <c r="N247" s="615" t="str">
        <f>INDEX(tblSubjectToLoan[Date],ROW()-ROW(tblContractForDeed[#Headers]))</f>
        <v xml:space="preserve"> </v>
      </c>
      <c r="O247" s="332">
        <f>IF(ROW()=ROW(tblContractForDeed[#Headers])+1,$O$6,IF(INDEX(tblContractForDeed[End Bal],ROW()-ROW(tblContractForDeed[#Headers])-1)&lt;0,0,INDEX(tblContractForDeed[End Bal],ROW()-ROW(tblContractForDeed[#Headers])-1)))</f>
        <v>0</v>
      </c>
      <c r="P247" s="454">
        <f>IF(tblContractForDeed[[#This Row],[Date]]="","",IF(tblContractForDeed[[#This Row],[Date]]&lt;cfdRateChangeDate,cfdRate1,cfdRate2))</f>
        <v>7.7499999999999999E-2</v>
      </c>
      <c r="Q2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468">
        <f>IF(INDEX(tblContractForDeed[Payment],ROW()-ROW(tblBuyerOutputs[#Headers]))=0,0,INDEX(tblContractForDeed[Payment],ROW()-ROW(tblBuyerOutputs[#Headers]))-INDEX(tblSubjectToLoan[Payment],ROW()-ROW(tblBuyerOutputs[#Headers])))</f>
        <v>0</v>
      </c>
      <c r="Z2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7" s="332">
        <f>IF(INDEX(tblContractForDeed[End Bal],ROW()-ROW(tblBuyerOutputs[#Headers]))&lt;=0,0,($O$6+IF(ROW()=ROW(tblBuyerOutputs[#Headers])+1,0,INDEX(tblBuyerOutputs[Cumul Appr],ROW()-ROW(tblBuyerOutputs[#Headers])-1)))*$AK$2/12)</f>
        <v>0</v>
      </c>
      <c r="AE247" s="332">
        <f>IF(INDEX(tblContractForDeed[End Bal],ROW()-ROW(tblBuyerOutputs[#Headers]))&lt;=0,0,IF(ROW()=ROW(tblBuyerOutputs[#Headers])+1,0,INDEX(tblBuyerOutputs[Cumul Appr],ROW()-ROW(tblBuyerOutputs[#Headers])-1))+tblBuyerOutputs[[#This Row],[Monthly Appr]])</f>
        <v>0</v>
      </c>
    </row>
    <row r="248" spans="1:31" x14ac:dyDescent="0.25">
      <c r="A248" s="613" t="str">
        <f t="shared" si="49"/>
        <v xml:space="preserve"> </v>
      </c>
      <c r="B248" s="276">
        <f t="shared" si="47"/>
        <v>0</v>
      </c>
      <c r="C248" s="14">
        <f t="shared" si="45"/>
        <v>0</v>
      </c>
      <c r="D248" s="14">
        <f t="shared" si="50"/>
        <v>0</v>
      </c>
      <c r="E248" s="14">
        <f t="shared" si="46"/>
        <v>0</v>
      </c>
      <c r="F248" s="14">
        <f t="shared" si="55"/>
        <v>134.16999999999999</v>
      </c>
      <c r="G248" s="14">
        <f t="shared" si="55"/>
        <v>188.55</v>
      </c>
      <c r="H248" s="14">
        <f t="shared" si="43"/>
        <v>322.72000000000003</v>
      </c>
      <c r="I248" s="276">
        <f t="shared" si="51"/>
        <v>98158.279999999955</v>
      </c>
      <c r="J248" s="276">
        <f t="shared" si="52"/>
        <v>35884.000000000022</v>
      </c>
      <c r="K248" s="276">
        <f t="shared" si="53"/>
        <v>0</v>
      </c>
      <c r="L248" s="394">
        <f t="shared" si="56"/>
        <v>19</v>
      </c>
      <c r="M248" s="394">
        <f t="shared" si="48"/>
        <v>228</v>
      </c>
      <c r="N248" s="613" t="str">
        <f>INDEX(tblSubjectToLoan[Date],ROW()-ROW(tblContractForDeed[#Headers]))</f>
        <v xml:space="preserve"> </v>
      </c>
      <c r="O248" s="276">
        <f>IF(ROW()=ROW(tblContractForDeed[#Headers])+1,$O$6,IF(INDEX(tblContractForDeed[End Bal],ROW()-ROW(tblContractForDeed[#Headers])-1)&lt;0,0,INDEX(tblContractForDeed[End Bal],ROW()-ROW(tblContractForDeed[#Headers])-1)))</f>
        <v>0</v>
      </c>
      <c r="P248" s="454">
        <f>IF(tblContractForDeed[[#This Row],[Date]]="","",IF(tblContractForDeed[[#This Row],[Date]]&lt;cfdRateChangeDate,cfdRate1,cfdRate2))</f>
        <v>7.7499999999999999E-2</v>
      </c>
      <c r="Q2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467">
        <f>IF(INDEX(tblContractForDeed[Payment],ROW()-ROW(tblBuyerOutputs[#Headers]))=0,0,INDEX(tblContractForDeed[Payment],ROW()-ROW(tblBuyerOutputs[#Headers]))-INDEX(tblSubjectToLoan[Payment],ROW()-ROW(tblBuyerOutputs[#Headers])))</f>
        <v>0</v>
      </c>
      <c r="Z2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8" s="276">
        <f>IF(INDEX(tblContractForDeed[End Bal],ROW()-ROW(tblBuyerOutputs[#Headers]))&lt;=0,0,($O$6+IF(ROW()=ROW(tblBuyerOutputs[#Headers])+1,0,INDEX(tblBuyerOutputs[Cumul Appr],ROW()-ROW(tblBuyerOutputs[#Headers])-1)))*$AK$2/12)</f>
        <v>0</v>
      </c>
      <c r="AE248" s="276">
        <f>IF(INDEX(tblContractForDeed[End Bal],ROW()-ROW(tblBuyerOutputs[#Headers]))&lt;=0,0,IF(ROW()=ROW(tblBuyerOutputs[#Headers])+1,0,INDEX(tblBuyerOutputs[Cumul Appr],ROW()-ROW(tblBuyerOutputs[#Headers])-1))+tblBuyerOutputs[[#This Row],[Monthly Appr]])</f>
        <v>0</v>
      </c>
    </row>
    <row r="249" spans="1:31" x14ac:dyDescent="0.25">
      <c r="A249" s="613" t="str">
        <f t="shared" si="49"/>
        <v xml:space="preserve"> </v>
      </c>
      <c r="B249" s="276">
        <f t="shared" si="47"/>
        <v>0</v>
      </c>
      <c r="C249" s="14">
        <f t="shared" si="45"/>
        <v>0</v>
      </c>
      <c r="D249" s="14">
        <f t="shared" si="50"/>
        <v>0</v>
      </c>
      <c r="E249" s="14">
        <f t="shared" si="46"/>
        <v>0</v>
      </c>
      <c r="F249" s="14">
        <f t="shared" si="55"/>
        <v>134.16999999999999</v>
      </c>
      <c r="G249" s="14">
        <f t="shared" si="55"/>
        <v>188.55</v>
      </c>
      <c r="H249" s="14">
        <f t="shared" si="43"/>
        <v>322.72000000000003</v>
      </c>
      <c r="I249" s="276">
        <f t="shared" si="51"/>
        <v>98158.279999999955</v>
      </c>
      <c r="J249" s="276">
        <f t="shared" si="52"/>
        <v>35884.000000000022</v>
      </c>
      <c r="K249" s="276">
        <f t="shared" si="53"/>
        <v>0</v>
      </c>
      <c r="L249" s="394">
        <f t="shared" si="56"/>
        <v>19</v>
      </c>
      <c r="M249" s="394">
        <f t="shared" si="48"/>
        <v>229</v>
      </c>
      <c r="N249" s="613" t="str">
        <f>INDEX(tblSubjectToLoan[Date],ROW()-ROW(tblContractForDeed[#Headers]))</f>
        <v xml:space="preserve"> </v>
      </c>
      <c r="O249" s="276">
        <f>IF(ROW()=ROW(tblContractForDeed[#Headers])+1,$O$6,IF(INDEX(tblContractForDeed[End Bal],ROW()-ROW(tblContractForDeed[#Headers])-1)&lt;0,0,INDEX(tblContractForDeed[End Bal],ROW()-ROW(tblContractForDeed[#Headers])-1)))</f>
        <v>0</v>
      </c>
      <c r="P249" s="454">
        <f>IF(tblContractForDeed[[#This Row],[Date]]="","",IF(tblContractForDeed[[#This Row],[Date]]&lt;cfdRateChangeDate,cfdRate1,cfdRate2))</f>
        <v>7.7499999999999999E-2</v>
      </c>
      <c r="Q2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467">
        <f>IF(INDEX(tblContractForDeed[Payment],ROW()-ROW(tblBuyerOutputs[#Headers]))=0,0,INDEX(tblContractForDeed[Payment],ROW()-ROW(tblBuyerOutputs[#Headers]))-INDEX(tblSubjectToLoan[Payment],ROW()-ROW(tblBuyerOutputs[#Headers])))</f>
        <v>0</v>
      </c>
      <c r="Z2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9" s="276">
        <f>IF(INDEX(tblContractForDeed[End Bal],ROW()-ROW(tblBuyerOutputs[#Headers]))&lt;=0,0,($O$6+IF(ROW()=ROW(tblBuyerOutputs[#Headers])+1,0,INDEX(tblBuyerOutputs[Cumul Appr],ROW()-ROW(tblBuyerOutputs[#Headers])-1)))*$AK$2/12)</f>
        <v>0</v>
      </c>
      <c r="AE249" s="276">
        <f>IF(INDEX(tblContractForDeed[End Bal],ROW()-ROW(tblBuyerOutputs[#Headers]))&lt;=0,0,IF(ROW()=ROW(tblBuyerOutputs[#Headers])+1,0,INDEX(tblBuyerOutputs[Cumul Appr],ROW()-ROW(tblBuyerOutputs[#Headers])-1))+tblBuyerOutputs[[#This Row],[Monthly Appr]])</f>
        <v>0</v>
      </c>
    </row>
    <row r="250" spans="1:31" x14ac:dyDescent="0.25">
      <c r="A250" s="613" t="str">
        <f t="shared" si="49"/>
        <v xml:space="preserve"> </v>
      </c>
      <c r="B250" s="276">
        <f t="shared" si="47"/>
        <v>0</v>
      </c>
      <c r="C250" s="14">
        <f t="shared" si="45"/>
        <v>0</v>
      </c>
      <c r="D250" s="14">
        <f t="shared" si="50"/>
        <v>0</v>
      </c>
      <c r="E250" s="14">
        <f t="shared" si="46"/>
        <v>0</v>
      </c>
      <c r="F250" s="14">
        <f t="shared" si="55"/>
        <v>134.16999999999999</v>
      </c>
      <c r="G250" s="14">
        <f t="shared" si="55"/>
        <v>188.55</v>
      </c>
      <c r="H250" s="14">
        <f t="shared" si="43"/>
        <v>322.72000000000003</v>
      </c>
      <c r="I250" s="276">
        <f t="shared" si="51"/>
        <v>98158.279999999955</v>
      </c>
      <c r="J250" s="276">
        <f t="shared" si="52"/>
        <v>35884.000000000022</v>
      </c>
      <c r="K250" s="276">
        <f t="shared" si="53"/>
        <v>0</v>
      </c>
      <c r="L250" s="394">
        <f t="shared" si="56"/>
        <v>19</v>
      </c>
      <c r="M250" s="394">
        <f t="shared" si="48"/>
        <v>230</v>
      </c>
      <c r="N250" s="613" t="str">
        <f>INDEX(tblSubjectToLoan[Date],ROW()-ROW(tblContractForDeed[#Headers]))</f>
        <v xml:space="preserve"> </v>
      </c>
      <c r="O250" s="276">
        <f>IF(ROW()=ROW(tblContractForDeed[#Headers])+1,$O$6,IF(INDEX(tblContractForDeed[End Bal],ROW()-ROW(tblContractForDeed[#Headers])-1)&lt;0,0,INDEX(tblContractForDeed[End Bal],ROW()-ROW(tblContractForDeed[#Headers])-1)))</f>
        <v>0</v>
      </c>
      <c r="P250" s="454">
        <f>IF(tblContractForDeed[[#This Row],[Date]]="","",IF(tblContractForDeed[[#This Row],[Date]]&lt;cfdRateChangeDate,cfdRate1,cfdRate2))</f>
        <v>7.7499999999999999E-2</v>
      </c>
      <c r="Q2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467">
        <f>IF(INDEX(tblContractForDeed[Payment],ROW()-ROW(tblBuyerOutputs[#Headers]))=0,0,INDEX(tblContractForDeed[Payment],ROW()-ROW(tblBuyerOutputs[#Headers]))-INDEX(tblSubjectToLoan[Payment],ROW()-ROW(tblBuyerOutputs[#Headers])))</f>
        <v>0</v>
      </c>
      <c r="Z2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0" s="276">
        <f>IF(INDEX(tblContractForDeed[End Bal],ROW()-ROW(tblBuyerOutputs[#Headers]))&lt;=0,0,($O$6+IF(ROW()=ROW(tblBuyerOutputs[#Headers])+1,0,INDEX(tblBuyerOutputs[Cumul Appr],ROW()-ROW(tblBuyerOutputs[#Headers])-1)))*$AK$2/12)</f>
        <v>0</v>
      </c>
      <c r="AE250" s="276">
        <f>IF(INDEX(tblContractForDeed[End Bal],ROW()-ROW(tblBuyerOutputs[#Headers]))&lt;=0,0,IF(ROW()=ROW(tblBuyerOutputs[#Headers])+1,0,INDEX(tblBuyerOutputs[Cumul Appr],ROW()-ROW(tblBuyerOutputs[#Headers])-1))+tblBuyerOutputs[[#This Row],[Monthly Appr]])</f>
        <v>0</v>
      </c>
    </row>
    <row r="251" spans="1:31" x14ac:dyDescent="0.25">
      <c r="A251" s="613" t="str">
        <f t="shared" si="49"/>
        <v xml:space="preserve"> </v>
      </c>
      <c r="B251" s="276">
        <f t="shared" si="47"/>
        <v>0</v>
      </c>
      <c r="C251" s="14">
        <f t="shared" si="45"/>
        <v>0</v>
      </c>
      <c r="D251" s="14">
        <f t="shared" si="50"/>
        <v>0</v>
      </c>
      <c r="E251" s="14">
        <f t="shared" si="46"/>
        <v>0</v>
      </c>
      <c r="F251" s="14">
        <f t="shared" si="55"/>
        <v>134.16999999999999</v>
      </c>
      <c r="G251" s="14">
        <f t="shared" si="55"/>
        <v>188.55</v>
      </c>
      <c r="H251" s="14">
        <f t="shared" si="43"/>
        <v>322.72000000000003</v>
      </c>
      <c r="I251" s="276">
        <f t="shared" si="51"/>
        <v>98158.279999999955</v>
      </c>
      <c r="J251" s="276">
        <f t="shared" si="52"/>
        <v>35884.000000000022</v>
      </c>
      <c r="K251" s="276">
        <f t="shared" si="53"/>
        <v>0</v>
      </c>
      <c r="L251" s="394">
        <f t="shared" si="56"/>
        <v>19</v>
      </c>
      <c r="M251" s="394">
        <f t="shared" si="48"/>
        <v>231</v>
      </c>
      <c r="N251" s="613" t="str">
        <f>INDEX(tblSubjectToLoan[Date],ROW()-ROW(tblContractForDeed[#Headers]))</f>
        <v xml:space="preserve"> </v>
      </c>
      <c r="O251" s="276">
        <f>IF(ROW()=ROW(tblContractForDeed[#Headers])+1,$O$6,IF(INDEX(tblContractForDeed[End Bal],ROW()-ROW(tblContractForDeed[#Headers])-1)&lt;0,0,INDEX(tblContractForDeed[End Bal],ROW()-ROW(tblContractForDeed[#Headers])-1)))</f>
        <v>0</v>
      </c>
      <c r="P251" s="454">
        <f>IF(tblContractForDeed[[#This Row],[Date]]="","",IF(tblContractForDeed[[#This Row],[Date]]&lt;cfdRateChangeDate,cfdRate1,cfdRate2))</f>
        <v>7.7499999999999999E-2</v>
      </c>
      <c r="Q2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467">
        <f>IF(INDEX(tblContractForDeed[Payment],ROW()-ROW(tblBuyerOutputs[#Headers]))=0,0,INDEX(tblContractForDeed[Payment],ROW()-ROW(tblBuyerOutputs[#Headers]))-INDEX(tblSubjectToLoan[Payment],ROW()-ROW(tblBuyerOutputs[#Headers])))</f>
        <v>0</v>
      </c>
      <c r="Z2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1" s="276">
        <f>IF(INDEX(tblContractForDeed[End Bal],ROW()-ROW(tblBuyerOutputs[#Headers]))&lt;=0,0,($O$6+IF(ROW()=ROW(tblBuyerOutputs[#Headers])+1,0,INDEX(tblBuyerOutputs[Cumul Appr],ROW()-ROW(tblBuyerOutputs[#Headers])-1)))*$AK$2/12)</f>
        <v>0</v>
      </c>
      <c r="AE251" s="276">
        <f>IF(INDEX(tblContractForDeed[End Bal],ROW()-ROW(tblBuyerOutputs[#Headers]))&lt;=0,0,IF(ROW()=ROW(tblBuyerOutputs[#Headers])+1,0,INDEX(tblBuyerOutputs[Cumul Appr],ROW()-ROW(tblBuyerOutputs[#Headers])-1))+tblBuyerOutputs[[#This Row],[Monthly Appr]])</f>
        <v>0</v>
      </c>
    </row>
    <row r="252" spans="1:31" x14ac:dyDescent="0.25">
      <c r="A252" s="613" t="str">
        <f t="shared" si="49"/>
        <v xml:space="preserve"> </v>
      </c>
      <c r="B252" s="276">
        <f t="shared" si="47"/>
        <v>0</v>
      </c>
      <c r="C252" s="14">
        <f t="shared" si="45"/>
        <v>0</v>
      </c>
      <c r="D252" s="14">
        <f t="shared" si="50"/>
        <v>0</v>
      </c>
      <c r="E252" s="14">
        <f t="shared" si="46"/>
        <v>0</v>
      </c>
      <c r="F252" s="14">
        <f t="shared" si="55"/>
        <v>134.16999999999999</v>
      </c>
      <c r="G252" s="14">
        <f t="shared" si="55"/>
        <v>188.55</v>
      </c>
      <c r="H252" s="14">
        <f t="shared" si="43"/>
        <v>322.72000000000003</v>
      </c>
      <c r="I252" s="276">
        <f t="shared" si="51"/>
        <v>98158.279999999955</v>
      </c>
      <c r="J252" s="276">
        <f t="shared" si="52"/>
        <v>35884.000000000022</v>
      </c>
      <c r="K252" s="276">
        <f t="shared" si="53"/>
        <v>0</v>
      </c>
      <c r="L252" s="394">
        <f t="shared" si="56"/>
        <v>19</v>
      </c>
      <c r="M252" s="394">
        <f t="shared" si="48"/>
        <v>232</v>
      </c>
      <c r="N252" s="613" t="str">
        <f>INDEX(tblSubjectToLoan[Date],ROW()-ROW(tblContractForDeed[#Headers]))</f>
        <v xml:space="preserve"> </v>
      </c>
      <c r="O252" s="276">
        <f>IF(ROW()=ROW(tblContractForDeed[#Headers])+1,$O$6,IF(INDEX(tblContractForDeed[End Bal],ROW()-ROW(tblContractForDeed[#Headers])-1)&lt;0,0,INDEX(tblContractForDeed[End Bal],ROW()-ROW(tblContractForDeed[#Headers])-1)))</f>
        <v>0</v>
      </c>
      <c r="P252" s="454">
        <f>IF(tblContractForDeed[[#This Row],[Date]]="","",IF(tblContractForDeed[[#This Row],[Date]]&lt;cfdRateChangeDate,cfdRate1,cfdRate2))</f>
        <v>7.7499999999999999E-2</v>
      </c>
      <c r="Q2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467">
        <f>IF(INDEX(tblContractForDeed[Payment],ROW()-ROW(tblBuyerOutputs[#Headers]))=0,0,INDEX(tblContractForDeed[Payment],ROW()-ROW(tblBuyerOutputs[#Headers]))-INDEX(tblSubjectToLoan[Payment],ROW()-ROW(tblBuyerOutputs[#Headers])))</f>
        <v>0</v>
      </c>
      <c r="Z2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2" s="276">
        <f>IF(INDEX(tblContractForDeed[End Bal],ROW()-ROW(tblBuyerOutputs[#Headers]))&lt;=0,0,($O$6+IF(ROW()=ROW(tblBuyerOutputs[#Headers])+1,0,INDEX(tblBuyerOutputs[Cumul Appr],ROW()-ROW(tblBuyerOutputs[#Headers])-1)))*$AK$2/12)</f>
        <v>0</v>
      </c>
      <c r="AE252" s="276">
        <f>IF(INDEX(tblContractForDeed[End Bal],ROW()-ROW(tblBuyerOutputs[#Headers]))&lt;=0,0,IF(ROW()=ROW(tblBuyerOutputs[#Headers])+1,0,INDEX(tblBuyerOutputs[Cumul Appr],ROW()-ROW(tblBuyerOutputs[#Headers])-1))+tblBuyerOutputs[[#This Row],[Monthly Appr]])</f>
        <v>0</v>
      </c>
    </row>
    <row r="253" spans="1:31" x14ac:dyDescent="0.25">
      <c r="A253" s="613" t="str">
        <f t="shared" si="49"/>
        <v xml:space="preserve"> </v>
      </c>
      <c r="B253" s="276">
        <f t="shared" si="47"/>
        <v>0</v>
      </c>
      <c r="C253" s="14">
        <f t="shared" si="45"/>
        <v>0</v>
      </c>
      <c r="D253" s="14">
        <f t="shared" si="50"/>
        <v>0</v>
      </c>
      <c r="E253" s="14">
        <f t="shared" si="46"/>
        <v>0</v>
      </c>
      <c r="F253" s="14">
        <f t="shared" si="55"/>
        <v>134.16999999999999</v>
      </c>
      <c r="G253" s="14">
        <f t="shared" si="55"/>
        <v>188.55</v>
      </c>
      <c r="H253" s="14">
        <f t="shared" si="43"/>
        <v>322.72000000000003</v>
      </c>
      <c r="I253" s="276">
        <f t="shared" si="51"/>
        <v>98158.279999999955</v>
      </c>
      <c r="J253" s="276">
        <f t="shared" si="52"/>
        <v>35884.000000000022</v>
      </c>
      <c r="K253" s="276">
        <f t="shared" si="53"/>
        <v>0</v>
      </c>
      <c r="L253" s="394">
        <f t="shared" si="56"/>
        <v>19</v>
      </c>
      <c r="M253" s="394">
        <f t="shared" si="48"/>
        <v>233</v>
      </c>
      <c r="N253" s="613" t="str">
        <f>INDEX(tblSubjectToLoan[Date],ROW()-ROW(tblContractForDeed[#Headers]))</f>
        <v xml:space="preserve"> </v>
      </c>
      <c r="O253" s="276">
        <f>IF(ROW()=ROW(tblContractForDeed[#Headers])+1,$O$6,IF(INDEX(tblContractForDeed[End Bal],ROW()-ROW(tblContractForDeed[#Headers])-1)&lt;0,0,INDEX(tblContractForDeed[End Bal],ROW()-ROW(tblContractForDeed[#Headers])-1)))</f>
        <v>0</v>
      </c>
      <c r="P253" s="454">
        <f>IF(tblContractForDeed[[#This Row],[Date]]="","",IF(tblContractForDeed[[#This Row],[Date]]&lt;cfdRateChangeDate,cfdRate1,cfdRate2))</f>
        <v>7.7499999999999999E-2</v>
      </c>
      <c r="Q2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467">
        <f>IF(INDEX(tblContractForDeed[Payment],ROW()-ROW(tblBuyerOutputs[#Headers]))=0,0,INDEX(tblContractForDeed[Payment],ROW()-ROW(tblBuyerOutputs[#Headers]))-INDEX(tblSubjectToLoan[Payment],ROW()-ROW(tblBuyerOutputs[#Headers])))</f>
        <v>0</v>
      </c>
      <c r="Z2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3" s="276">
        <f>IF(INDEX(tblContractForDeed[End Bal],ROW()-ROW(tblBuyerOutputs[#Headers]))&lt;=0,0,($O$6+IF(ROW()=ROW(tblBuyerOutputs[#Headers])+1,0,INDEX(tblBuyerOutputs[Cumul Appr],ROW()-ROW(tblBuyerOutputs[#Headers])-1)))*$AK$2/12)</f>
        <v>0</v>
      </c>
      <c r="AE253" s="276">
        <f>IF(INDEX(tblContractForDeed[End Bal],ROW()-ROW(tblBuyerOutputs[#Headers]))&lt;=0,0,IF(ROW()=ROW(tblBuyerOutputs[#Headers])+1,0,INDEX(tblBuyerOutputs[Cumul Appr],ROW()-ROW(tblBuyerOutputs[#Headers])-1))+tblBuyerOutputs[[#This Row],[Monthly Appr]])</f>
        <v>0</v>
      </c>
    </row>
    <row r="254" spans="1:31" x14ac:dyDescent="0.25">
      <c r="A254" s="613" t="str">
        <f t="shared" si="49"/>
        <v xml:space="preserve"> </v>
      </c>
      <c r="B254" s="276">
        <f t="shared" si="47"/>
        <v>0</v>
      </c>
      <c r="C254" s="14">
        <f t="shared" si="45"/>
        <v>0</v>
      </c>
      <c r="D254" s="14">
        <f t="shared" si="50"/>
        <v>0</v>
      </c>
      <c r="E254" s="14">
        <f t="shared" si="46"/>
        <v>0</v>
      </c>
      <c r="F254" s="14">
        <f t="shared" si="55"/>
        <v>134.16999999999999</v>
      </c>
      <c r="G254" s="14">
        <f t="shared" si="55"/>
        <v>188.55</v>
      </c>
      <c r="H254" s="14">
        <f t="shared" si="43"/>
        <v>322.72000000000003</v>
      </c>
      <c r="I254" s="276">
        <f t="shared" si="51"/>
        <v>98158.279999999955</v>
      </c>
      <c r="J254" s="276">
        <f t="shared" si="52"/>
        <v>35884.000000000022</v>
      </c>
      <c r="K254" s="276">
        <f t="shared" si="53"/>
        <v>0</v>
      </c>
      <c r="L254" s="394">
        <f t="shared" si="56"/>
        <v>19</v>
      </c>
      <c r="M254" s="394">
        <f t="shared" si="48"/>
        <v>234</v>
      </c>
      <c r="N254" s="613" t="str">
        <f>INDEX(tblSubjectToLoan[Date],ROW()-ROW(tblContractForDeed[#Headers]))</f>
        <v xml:space="preserve"> </v>
      </c>
      <c r="O254" s="276">
        <f>IF(ROW()=ROW(tblContractForDeed[#Headers])+1,$O$6,IF(INDEX(tblContractForDeed[End Bal],ROW()-ROW(tblContractForDeed[#Headers])-1)&lt;0,0,INDEX(tblContractForDeed[End Bal],ROW()-ROW(tblContractForDeed[#Headers])-1)))</f>
        <v>0</v>
      </c>
      <c r="P254" s="454">
        <f>IF(tblContractForDeed[[#This Row],[Date]]="","",IF(tblContractForDeed[[#This Row],[Date]]&lt;cfdRateChangeDate,cfdRate1,cfdRate2))</f>
        <v>7.7499999999999999E-2</v>
      </c>
      <c r="Q2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467">
        <f>IF(INDEX(tblContractForDeed[Payment],ROW()-ROW(tblBuyerOutputs[#Headers]))=0,0,INDEX(tblContractForDeed[Payment],ROW()-ROW(tblBuyerOutputs[#Headers]))-INDEX(tblSubjectToLoan[Payment],ROW()-ROW(tblBuyerOutputs[#Headers])))</f>
        <v>0</v>
      </c>
      <c r="Z2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4" s="276">
        <f>IF(INDEX(tblContractForDeed[End Bal],ROW()-ROW(tblBuyerOutputs[#Headers]))&lt;=0,0,($O$6+IF(ROW()=ROW(tblBuyerOutputs[#Headers])+1,0,INDEX(tblBuyerOutputs[Cumul Appr],ROW()-ROW(tblBuyerOutputs[#Headers])-1)))*$AK$2/12)</f>
        <v>0</v>
      </c>
      <c r="AE254" s="276">
        <f>IF(INDEX(tblContractForDeed[End Bal],ROW()-ROW(tblBuyerOutputs[#Headers]))&lt;=0,0,IF(ROW()=ROW(tblBuyerOutputs[#Headers])+1,0,INDEX(tblBuyerOutputs[Cumul Appr],ROW()-ROW(tblBuyerOutputs[#Headers])-1))+tblBuyerOutputs[[#This Row],[Monthly Appr]])</f>
        <v>0</v>
      </c>
    </row>
    <row r="255" spans="1:31" x14ac:dyDescent="0.25">
      <c r="A255" s="613" t="str">
        <f t="shared" si="49"/>
        <v xml:space="preserve"> </v>
      </c>
      <c r="B255" s="276">
        <f t="shared" si="47"/>
        <v>0</v>
      </c>
      <c r="C255" s="14">
        <f t="shared" si="45"/>
        <v>0</v>
      </c>
      <c r="D255" s="14">
        <f t="shared" si="50"/>
        <v>0</v>
      </c>
      <c r="E255" s="14">
        <f t="shared" si="46"/>
        <v>0</v>
      </c>
      <c r="F255" s="14">
        <f t="shared" ref="F255:G270" si="57">+F254</f>
        <v>134.16999999999999</v>
      </c>
      <c r="G255" s="14">
        <f t="shared" si="57"/>
        <v>188.55</v>
      </c>
      <c r="H255" s="14">
        <f t="shared" si="43"/>
        <v>322.72000000000003</v>
      </c>
      <c r="I255" s="276">
        <f t="shared" si="51"/>
        <v>98158.279999999955</v>
      </c>
      <c r="J255" s="276">
        <f t="shared" si="52"/>
        <v>35884.000000000022</v>
      </c>
      <c r="K255" s="276">
        <f t="shared" si="53"/>
        <v>0</v>
      </c>
      <c r="L255" s="394">
        <f t="shared" si="56"/>
        <v>19</v>
      </c>
      <c r="M255" s="394">
        <f t="shared" si="48"/>
        <v>235</v>
      </c>
      <c r="N255" s="613" t="str">
        <f>INDEX(tblSubjectToLoan[Date],ROW()-ROW(tblContractForDeed[#Headers]))</f>
        <v xml:space="preserve"> </v>
      </c>
      <c r="O255" s="276">
        <f>IF(ROW()=ROW(tblContractForDeed[#Headers])+1,$O$6,IF(INDEX(tblContractForDeed[End Bal],ROW()-ROW(tblContractForDeed[#Headers])-1)&lt;0,0,INDEX(tblContractForDeed[End Bal],ROW()-ROW(tblContractForDeed[#Headers])-1)))</f>
        <v>0</v>
      </c>
      <c r="P255" s="454">
        <f>IF(tblContractForDeed[[#This Row],[Date]]="","",IF(tblContractForDeed[[#This Row],[Date]]&lt;cfdRateChangeDate,cfdRate1,cfdRate2))</f>
        <v>7.7499999999999999E-2</v>
      </c>
      <c r="Q2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467">
        <f>IF(INDEX(tblContractForDeed[Payment],ROW()-ROW(tblBuyerOutputs[#Headers]))=0,0,INDEX(tblContractForDeed[Payment],ROW()-ROW(tblBuyerOutputs[#Headers]))-INDEX(tblSubjectToLoan[Payment],ROW()-ROW(tblBuyerOutputs[#Headers])))</f>
        <v>0</v>
      </c>
      <c r="Z2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5" s="276">
        <f>IF(INDEX(tblContractForDeed[End Bal],ROW()-ROW(tblBuyerOutputs[#Headers]))&lt;=0,0,($O$6+IF(ROW()=ROW(tblBuyerOutputs[#Headers])+1,0,INDEX(tblBuyerOutputs[Cumul Appr],ROW()-ROW(tblBuyerOutputs[#Headers])-1)))*$AK$2/12)</f>
        <v>0</v>
      </c>
      <c r="AE255" s="276">
        <f>IF(INDEX(tblContractForDeed[End Bal],ROW()-ROW(tblBuyerOutputs[#Headers]))&lt;=0,0,IF(ROW()=ROW(tblBuyerOutputs[#Headers])+1,0,INDEX(tblBuyerOutputs[Cumul Appr],ROW()-ROW(tblBuyerOutputs[#Headers])-1))+tblBuyerOutputs[[#This Row],[Monthly Appr]])</f>
        <v>0</v>
      </c>
    </row>
    <row r="256" spans="1:31" x14ac:dyDescent="0.25">
      <c r="A256" s="613" t="str">
        <f t="shared" si="49"/>
        <v xml:space="preserve"> </v>
      </c>
      <c r="B256" s="276">
        <f t="shared" si="47"/>
        <v>0</v>
      </c>
      <c r="C256" s="14">
        <f t="shared" si="45"/>
        <v>0</v>
      </c>
      <c r="D256" s="14">
        <f t="shared" si="50"/>
        <v>0</v>
      </c>
      <c r="E256" s="14">
        <f t="shared" si="46"/>
        <v>0</v>
      </c>
      <c r="F256" s="14">
        <f t="shared" si="57"/>
        <v>134.16999999999999</v>
      </c>
      <c r="G256" s="14">
        <f t="shared" si="57"/>
        <v>188.55</v>
      </c>
      <c r="H256" s="14">
        <f t="shared" ref="H256:H319" si="58">SUM(D256:G256)</f>
        <v>322.72000000000003</v>
      </c>
      <c r="I256" s="276">
        <f t="shared" si="51"/>
        <v>98158.279999999955</v>
      </c>
      <c r="J256" s="276">
        <f t="shared" si="52"/>
        <v>35884.000000000022</v>
      </c>
      <c r="K256" s="276">
        <f t="shared" si="53"/>
        <v>0</v>
      </c>
      <c r="L256" s="394">
        <f t="shared" si="56"/>
        <v>19</v>
      </c>
      <c r="M256" s="394">
        <f t="shared" si="48"/>
        <v>236</v>
      </c>
      <c r="N256" s="613" t="str">
        <f>INDEX(tblSubjectToLoan[Date],ROW()-ROW(tblContractForDeed[#Headers]))</f>
        <v xml:space="preserve"> </v>
      </c>
      <c r="O256" s="276">
        <f>IF(ROW()=ROW(tblContractForDeed[#Headers])+1,$O$6,IF(INDEX(tblContractForDeed[End Bal],ROW()-ROW(tblContractForDeed[#Headers])-1)&lt;0,0,INDEX(tblContractForDeed[End Bal],ROW()-ROW(tblContractForDeed[#Headers])-1)))</f>
        <v>0</v>
      </c>
      <c r="P256" s="454">
        <f>IF(tblContractForDeed[[#This Row],[Date]]="","",IF(tblContractForDeed[[#This Row],[Date]]&lt;cfdRateChangeDate,cfdRate1,cfdRate2))</f>
        <v>7.7499999999999999E-2</v>
      </c>
      <c r="Q2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467">
        <f>IF(INDEX(tblContractForDeed[Payment],ROW()-ROW(tblBuyerOutputs[#Headers]))=0,0,INDEX(tblContractForDeed[Payment],ROW()-ROW(tblBuyerOutputs[#Headers]))-INDEX(tblSubjectToLoan[Payment],ROW()-ROW(tblBuyerOutputs[#Headers])))</f>
        <v>0</v>
      </c>
      <c r="Z2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6" s="276">
        <f>IF(INDEX(tblContractForDeed[End Bal],ROW()-ROW(tblBuyerOutputs[#Headers]))&lt;=0,0,($O$6+IF(ROW()=ROW(tblBuyerOutputs[#Headers])+1,0,INDEX(tblBuyerOutputs[Cumul Appr],ROW()-ROW(tblBuyerOutputs[#Headers])-1)))*$AK$2/12)</f>
        <v>0</v>
      </c>
      <c r="AE256" s="276">
        <f>IF(INDEX(tblContractForDeed[End Bal],ROW()-ROW(tblBuyerOutputs[#Headers]))&lt;=0,0,IF(ROW()=ROW(tblBuyerOutputs[#Headers])+1,0,INDEX(tblBuyerOutputs[Cumul Appr],ROW()-ROW(tblBuyerOutputs[#Headers])-1))+tblBuyerOutputs[[#This Row],[Monthly Appr]])</f>
        <v>0</v>
      </c>
    </row>
    <row r="257" spans="1:31" x14ac:dyDescent="0.25">
      <c r="A257" s="613" t="str">
        <f t="shared" si="49"/>
        <v xml:space="preserve"> </v>
      </c>
      <c r="B257" s="276">
        <f t="shared" si="47"/>
        <v>0</v>
      </c>
      <c r="C257" s="14">
        <f t="shared" si="45"/>
        <v>0</v>
      </c>
      <c r="D257" s="14">
        <f t="shared" si="50"/>
        <v>0</v>
      </c>
      <c r="E257" s="14">
        <f t="shared" si="46"/>
        <v>0</v>
      </c>
      <c r="F257" s="14">
        <f t="shared" si="57"/>
        <v>134.16999999999999</v>
      </c>
      <c r="G257" s="14">
        <f t="shared" si="57"/>
        <v>188.55</v>
      </c>
      <c r="H257" s="14">
        <f t="shared" si="58"/>
        <v>322.72000000000003</v>
      </c>
      <c r="I257" s="276">
        <f t="shared" si="51"/>
        <v>98158.279999999955</v>
      </c>
      <c r="J257" s="276">
        <f t="shared" si="52"/>
        <v>35884.000000000022</v>
      </c>
      <c r="K257" s="276">
        <f t="shared" si="53"/>
        <v>0</v>
      </c>
      <c r="L257" s="394">
        <f t="shared" si="56"/>
        <v>19</v>
      </c>
      <c r="M257" s="394">
        <f t="shared" si="48"/>
        <v>237</v>
      </c>
      <c r="N257" s="613" t="str">
        <f>INDEX(tblSubjectToLoan[Date],ROW()-ROW(tblContractForDeed[#Headers]))</f>
        <v xml:space="preserve"> </v>
      </c>
      <c r="O257" s="276">
        <f>IF(ROW()=ROW(tblContractForDeed[#Headers])+1,$O$6,IF(INDEX(tblContractForDeed[End Bal],ROW()-ROW(tblContractForDeed[#Headers])-1)&lt;0,0,INDEX(tblContractForDeed[End Bal],ROW()-ROW(tblContractForDeed[#Headers])-1)))</f>
        <v>0</v>
      </c>
      <c r="P257" s="454">
        <f>IF(tblContractForDeed[[#This Row],[Date]]="","",IF(tblContractForDeed[[#This Row],[Date]]&lt;cfdRateChangeDate,cfdRate1,cfdRate2))</f>
        <v>7.7499999999999999E-2</v>
      </c>
      <c r="Q2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467">
        <f>IF(INDEX(tblContractForDeed[Payment],ROW()-ROW(tblBuyerOutputs[#Headers]))=0,0,INDEX(tblContractForDeed[Payment],ROW()-ROW(tblBuyerOutputs[#Headers]))-INDEX(tblSubjectToLoan[Payment],ROW()-ROW(tblBuyerOutputs[#Headers])))</f>
        <v>0</v>
      </c>
      <c r="Z2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7" s="276">
        <f>IF(INDEX(tblContractForDeed[End Bal],ROW()-ROW(tblBuyerOutputs[#Headers]))&lt;=0,0,($O$6+IF(ROW()=ROW(tblBuyerOutputs[#Headers])+1,0,INDEX(tblBuyerOutputs[Cumul Appr],ROW()-ROW(tblBuyerOutputs[#Headers])-1)))*$AK$2/12)</f>
        <v>0</v>
      </c>
      <c r="AE257" s="276">
        <f>IF(INDEX(tblContractForDeed[End Bal],ROW()-ROW(tblBuyerOutputs[#Headers]))&lt;=0,0,IF(ROW()=ROW(tblBuyerOutputs[#Headers])+1,0,INDEX(tblBuyerOutputs[Cumul Appr],ROW()-ROW(tblBuyerOutputs[#Headers])-1))+tblBuyerOutputs[[#This Row],[Monthly Appr]])</f>
        <v>0</v>
      </c>
    </row>
    <row r="258" spans="1:31" x14ac:dyDescent="0.25">
      <c r="A258" s="613" t="str">
        <f t="shared" si="49"/>
        <v xml:space="preserve"> </v>
      </c>
      <c r="B258" s="276">
        <f t="shared" si="47"/>
        <v>0</v>
      </c>
      <c r="C258" s="14">
        <f t="shared" si="45"/>
        <v>0</v>
      </c>
      <c r="D258" s="14">
        <f t="shared" si="50"/>
        <v>0</v>
      </c>
      <c r="E258" s="14">
        <f t="shared" si="46"/>
        <v>0</v>
      </c>
      <c r="F258" s="14">
        <f t="shared" si="57"/>
        <v>134.16999999999999</v>
      </c>
      <c r="G258" s="14">
        <f t="shared" si="57"/>
        <v>188.55</v>
      </c>
      <c r="H258" s="14">
        <f t="shared" si="58"/>
        <v>322.72000000000003</v>
      </c>
      <c r="I258" s="276">
        <f t="shared" si="51"/>
        <v>98158.279999999955</v>
      </c>
      <c r="J258" s="276">
        <f t="shared" si="52"/>
        <v>35884.000000000022</v>
      </c>
      <c r="K258" s="276">
        <f t="shared" si="53"/>
        <v>0</v>
      </c>
      <c r="L258" s="394">
        <f t="shared" si="56"/>
        <v>19</v>
      </c>
      <c r="M258" s="394">
        <f t="shared" si="48"/>
        <v>238</v>
      </c>
      <c r="N258" s="613" t="str">
        <f>INDEX(tblSubjectToLoan[Date],ROW()-ROW(tblContractForDeed[#Headers]))</f>
        <v xml:space="preserve"> </v>
      </c>
      <c r="O258" s="276">
        <f>IF(ROW()=ROW(tblContractForDeed[#Headers])+1,$O$6,IF(INDEX(tblContractForDeed[End Bal],ROW()-ROW(tblContractForDeed[#Headers])-1)&lt;0,0,INDEX(tblContractForDeed[End Bal],ROW()-ROW(tblContractForDeed[#Headers])-1)))</f>
        <v>0</v>
      </c>
      <c r="P258" s="454">
        <f>IF(tblContractForDeed[[#This Row],[Date]]="","",IF(tblContractForDeed[[#This Row],[Date]]&lt;cfdRateChangeDate,cfdRate1,cfdRate2))</f>
        <v>7.7499999999999999E-2</v>
      </c>
      <c r="Q2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467">
        <f>IF(INDEX(tblContractForDeed[Payment],ROW()-ROW(tblBuyerOutputs[#Headers]))=0,0,INDEX(tblContractForDeed[Payment],ROW()-ROW(tblBuyerOutputs[#Headers]))-INDEX(tblSubjectToLoan[Payment],ROW()-ROW(tblBuyerOutputs[#Headers])))</f>
        <v>0</v>
      </c>
      <c r="Z2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8" s="276">
        <f>IF(INDEX(tblContractForDeed[End Bal],ROW()-ROW(tblBuyerOutputs[#Headers]))&lt;=0,0,($O$6+IF(ROW()=ROW(tblBuyerOutputs[#Headers])+1,0,INDEX(tblBuyerOutputs[Cumul Appr],ROW()-ROW(tblBuyerOutputs[#Headers])-1)))*$AK$2/12)</f>
        <v>0</v>
      </c>
      <c r="AE258" s="276">
        <f>IF(INDEX(tblContractForDeed[End Bal],ROW()-ROW(tblBuyerOutputs[#Headers]))&lt;=0,0,IF(ROW()=ROW(tblBuyerOutputs[#Headers])+1,0,INDEX(tblBuyerOutputs[Cumul Appr],ROW()-ROW(tblBuyerOutputs[#Headers])-1))+tblBuyerOutputs[[#This Row],[Monthly Appr]])</f>
        <v>0</v>
      </c>
    </row>
    <row r="259" spans="1:31" ht="15.75" thickBot="1" x14ac:dyDescent="0.3">
      <c r="A259" s="615" t="str">
        <f t="shared" si="49"/>
        <v xml:space="preserve"> </v>
      </c>
      <c r="B259" s="332">
        <f t="shared" si="47"/>
        <v>0</v>
      </c>
      <c r="C259" s="21">
        <f t="shared" si="45"/>
        <v>0</v>
      </c>
      <c r="D259" s="21">
        <f t="shared" si="50"/>
        <v>0</v>
      </c>
      <c r="E259" s="21">
        <f t="shared" si="46"/>
        <v>0</v>
      </c>
      <c r="F259" s="21">
        <f t="shared" si="57"/>
        <v>134.16999999999999</v>
      </c>
      <c r="G259" s="21">
        <f t="shared" si="57"/>
        <v>188.55</v>
      </c>
      <c r="H259" s="21">
        <f t="shared" si="58"/>
        <v>322.72000000000003</v>
      </c>
      <c r="I259" s="332">
        <f t="shared" si="51"/>
        <v>98158.279999999955</v>
      </c>
      <c r="J259" s="332">
        <f t="shared" si="52"/>
        <v>35884.000000000022</v>
      </c>
      <c r="K259" s="332">
        <f t="shared" si="53"/>
        <v>0</v>
      </c>
      <c r="L259" s="395">
        <f t="shared" si="56"/>
        <v>19</v>
      </c>
      <c r="M259" s="395">
        <f t="shared" si="48"/>
        <v>239</v>
      </c>
      <c r="N259" s="615" t="str">
        <f>INDEX(tblSubjectToLoan[Date],ROW()-ROW(tblContractForDeed[#Headers]))</f>
        <v xml:space="preserve"> </v>
      </c>
      <c r="O259" s="332">
        <f>IF(ROW()=ROW(tblContractForDeed[#Headers])+1,$O$6,IF(INDEX(tblContractForDeed[End Bal],ROW()-ROW(tblContractForDeed[#Headers])-1)&lt;0,0,INDEX(tblContractForDeed[End Bal],ROW()-ROW(tblContractForDeed[#Headers])-1)))</f>
        <v>0</v>
      </c>
      <c r="P259" s="454">
        <f>IF(tblContractForDeed[[#This Row],[Date]]="","",IF(tblContractForDeed[[#This Row],[Date]]&lt;cfdRateChangeDate,cfdRate1,cfdRate2))</f>
        <v>7.7499999999999999E-2</v>
      </c>
      <c r="Q2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468">
        <f>IF(INDEX(tblContractForDeed[Payment],ROW()-ROW(tblBuyerOutputs[#Headers]))=0,0,INDEX(tblContractForDeed[Payment],ROW()-ROW(tblBuyerOutputs[#Headers]))-INDEX(tblSubjectToLoan[Payment],ROW()-ROW(tblBuyerOutputs[#Headers])))</f>
        <v>0</v>
      </c>
      <c r="Z2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9" s="332">
        <f>IF(INDEX(tblContractForDeed[End Bal],ROW()-ROW(tblBuyerOutputs[#Headers]))&lt;=0,0,($O$6+IF(ROW()=ROW(tblBuyerOutputs[#Headers])+1,0,INDEX(tblBuyerOutputs[Cumul Appr],ROW()-ROW(tblBuyerOutputs[#Headers])-1)))*$AK$2/12)</f>
        <v>0</v>
      </c>
      <c r="AE259" s="332">
        <f>IF(INDEX(tblContractForDeed[End Bal],ROW()-ROW(tblBuyerOutputs[#Headers]))&lt;=0,0,IF(ROW()=ROW(tblBuyerOutputs[#Headers])+1,0,INDEX(tblBuyerOutputs[Cumul Appr],ROW()-ROW(tblBuyerOutputs[#Headers])-1))+tblBuyerOutputs[[#This Row],[Monthly Appr]])</f>
        <v>0</v>
      </c>
    </row>
    <row r="260" spans="1:31" x14ac:dyDescent="0.25">
      <c r="A260" s="613" t="str">
        <f t="shared" si="49"/>
        <v xml:space="preserve"> </v>
      </c>
      <c r="B260" s="276">
        <f t="shared" si="47"/>
        <v>0</v>
      </c>
      <c r="C260" s="14">
        <f t="shared" si="45"/>
        <v>0</v>
      </c>
      <c r="D260" s="14">
        <f t="shared" si="50"/>
        <v>0</v>
      </c>
      <c r="E260" s="14">
        <f t="shared" si="46"/>
        <v>0</v>
      </c>
      <c r="F260" s="14">
        <f t="shared" si="57"/>
        <v>134.16999999999999</v>
      </c>
      <c r="G260" s="14">
        <f t="shared" si="57"/>
        <v>188.55</v>
      </c>
      <c r="H260" s="14">
        <f t="shared" si="58"/>
        <v>322.72000000000003</v>
      </c>
      <c r="I260" s="276">
        <f t="shared" si="51"/>
        <v>98158.279999999955</v>
      </c>
      <c r="J260" s="276">
        <f t="shared" si="52"/>
        <v>35884.000000000022</v>
      </c>
      <c r="K260" s="276">
        <f t="shared" si="53"/>
        <v>0</v>
      </c>
      <c r="L260" s="394">
        <f t="shared" si="56"/>
        <v>20</v>
      </c>
      <c r="M260" s="394">
        <f t="shared" si="48"/>
        <v>240</v>
      </c>
      <c r="N260" s="613" t="str">
        <f>INDEX(tblSubjectToLoan[Date],ROW()-ROW(tblContractForDeed[#Headers]))</f>
        <v xml:space="preserve"> </v>
      </c>
      <c r="O260" s="276">
        <f>IF(ROW()=ROW(tblContractForDeed[#Headers])+1,$O$6,IF(INDEX(tblContractForDeed[End Bal],ROW()-ROW(tblContractForDeed[#Headers])-1)&lt;0,0,INDEX(tblContractForDeed[End Bal],ROW()-ROW(tblContractForDeed[#Headers])-1)))</f>
        <v>0</v>
      </c>
      <c r="P260" s="454">
        <f>IF(tblContractForDeed[[#This Row],[Date]]="","",IF(tblContractForDeed[[#This Row],[Date]]&lt;cfdRateChangeDate,cfdRate1,cfdRate2))</f>
        <v>7.7499999999999999E-2</v>
      </c>
      <c r="Q2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467">
        <f>IF(INDEX(tblContractForDeed[Payment],ROW()-ROW(tblBuyerOutputs[#Headers]))=0,0,INDEX(tblContractForDeed[Payment],ROW()-ROW(tblBuyerOutputs[#Headers]))-INDEX(tblSubjectToLoan[Payment],ROW()-ROW(tblBuyerOutputs[#Headers])))</f>
        <v>0</v>
      </c>
      <c r="Z2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0" s="276">
        <f>IF(INDEX(tblContractForDeed[End Bal],ROW()-ROW(tblBuyerOutputs[#Headers]))&lt;=0,0,($O$6+IF(ROW()=ROW(tblBuyerOutputs[#Headers])+1,0,INDEX(tblBuyerOutputs[Cumul Appr],ROW()-ROW(tblBuyerOutputs[#Headers])-1)))*$AK$2/12)</f>
        <v>0</v>
      </c>
      <c r="AE260" s="276">
        <f>IF(INDEX(tblContractForDeed[End Bal],ROW()-ROW(tblBuyerOutputs[#Headers]))&lt;=0,0,IF(ROW()=ROW(tblBuyerOutputs[#Headers])+1,0,INDEX(tblBuyerOutputs[Cumul Appr],ROW()-ROW(tblBuyerOutputs[#Headers])-1))+tblBuyerOutputs[[#This Row],[Monthly Appr]])</f>
        <v>0</v>
      </c>
    </row>
    <row r="261" spans="1:31" x14ac:dyDescent="0.25">
      <c r="A261" s="613" t="str">
        <f t="shared" si="49"/>
        <v xml:space="preserve"> </v>
      </c>
      <c r="B261" s="276">
        <f t="shared" si="47"/>
        <v>0</v>
      </c>
      <c r="C261" s="14">
        <f t="shared" si="45"/>
        <v>0</v>
      </c>
      <c r="D261" s="14">
        <f t="shared" si="50"/>
        <v>0</v>
      </c>
      <c r="E261" s="14">
        <f t="shared" si="46"/>
        <v>0</v>
      </c>
      <c r="F261" s="14">
        <f t="shared" si="57"/>
        <v>134.16999999999999</v>
      </c>
      <c r="G261" s="14">
        <f t="shared" si="57"/>
        <v>188.55</v>
      </c>
      <c r="H261" s="14">
        <f t="shared" si="58"/>
        <v>322.72000000000003</v>
      </c>
      <c r="I261" s="276">
        <f t="shared" si="51"/>
        <v>98158.279999999955</v>
      </c>
      <c r="J261" s="276">
        <f t="shared" si="52"/>
        <v>35884.000000000022</v>
      </c>
      <c r="K261" s="276">
        <f t="shared" si="53"/>
        <v>0</v>
      </c>
      <c r="L261" s="394">
        <f t="shared" si="56"/>
        <v>20</v>
      </c>
      <c r="M261" s="394">
        <f t="shared" si="48"/>
        <v>241</v>
      </c>
      <c r="N261" s="613" t="str">
        <f>INDEX(tblSubjectToLoan[Date],ROW()-ROW(tblContractForDeed[#Headers]))</f>
        <v xml:space="preserve"> </v>
      </c>
      <c r="O261" s="276">
        <f>IF(ROW()=ROW(tblContractForDeed[#Headers])+1,$O$6,IF(INDEX(tblContractForDeed[End Bal],ROW()-ROW(tblContractForDeed[#Headers])-1)&lt;0,0,INDEX(tblContractForDeed[End Bal],ROW()-ROW(tblContractForDeed[#Headers])-1)))</f>
        <v>0</v>
      </c>
      <c r="P261" s="454">
        <f>IF(tblContractForDeed[[#This Row],[Date]]="","",IF(tblContractForDeed[[#This Row],[Date]]&lt;cfdRateChangeDate,cfdRate1,cfdRate2))</f>
        <v>7.7499999999999999E-2</v>
      </c>
      <c r="Q2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467">
        <f>IF(INDEX(tblContractForDeed[Payment],ROW()-ROW(tblBuyerOutputs[#Headers]))=0,0,INDEX(tblContractForDeed[Payment],ROW()-ROW(tblBuyerOutputs[#Headers]))-INDEX(tblSubjectToLoan[Payment],ROW()-ROW(tblBuyerOutputs[#Headers])))</f>
        <v>0</v>
      </c>
      <c r="Z2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1" s="276">
        <f>IF(INDEX(tblContractForDeed[End Bal],ROW()-ROW(tblBuyerOutputs[#Headers]))&lt;=0,0,($O$6+IF(ROW()=ROW(tblBuyerOutputs[#Headers])+1,0,INDEX(tblBuyerOutputs[Cumul Appr],ROW()-ROW(tblBuyerOutputs[#Headers])-1)))*$AK$2/12)</f>
        <v>0</v>
      </c>
      <c r="AE261" s="276">
        <f>IF(INDEX(tblContractForDeed[End Bal],ROW()-ROW(tblBuyerOutputs[#Headers]))&lt;=0,0,IF(ROW()=ROW(tblBuyerOutputs[#Headers])+1,0,INDEX(tblBuyerOutputs[Cumul Appr],ROW()-ROW(tblBuyerOutputs[#Headers])-1))+tblBuyerOutputs[[#This Row],[Monthly Appr]])</f>
        <v>0</v>
      </c>
    </row>
    <row r="262" spans="1:31" x14ac:dyDescent="0.25">
      <c r="A262" s="613" t="str">
        <f t="shared" si="49"/>
        <v xml:space="preserve"> </v>
      </c>
      <c r="B262" s="276">
        <f t="shared" si="47"/>
        <v>0</v>
      </c>
      <c r="C262" s="14">
        <f t="shared" si="45"/>
        <v>0</v>
      </c>
      <c r="D262" s="14">
        <f t="shared" si="50"/>
        <v>0</v>
      </c>
      <c r="E262" s="14">
        <f t="shared" si="46"/>
        <v>0</v>
      </c>
      <c r="F262" s="14">
        <f t="shared" si="57"/>
        <v>134.16999999999999</v>
      </c>
      <c r="G262" s="14">
        <f t="shared" si="57"/>
        <v>188.55</v>
      </c>
      <c r="H262" s="14">
        <f t="shared" si="58"/>
        <v>322.72000000000003</v>
      </c>
      <c r="I262" s="276">
        <f t="shared" si="51"/>
        <v>98158.279999999955</v>
      </c>
      <c r="J262" s="276">
        <f t="shared" si="52"/>
        <v>35884.000000000022</v>
      </c>
      <c r="K262" s="276">
        <f t="shared" si="53"/>
        <v>0</v>
      </c>
      <c r="L262" s="394">
        <f t="shared" si="56"/>
        <v>20</v>
      </c>
      <c r="M262" s="394">
        <f t="shared" si="48"/>
        <v>242</v>
      </c>
      <c r="N262" s="613" t="str">
        <f>INDEX(tblSubjectToLoan[Date],ROW()-ROW(tblContractForDeed[#Headers]))</f>
        <v xml:space="preserve"> </v>
      </c>
      <c r="O262" s="276">
        <f>IF(ROW()=ROW(tblContractForDeed[#Headers])+1,$O$6,IF(INDEX(tblContractForDeed[End Bal],ROW()-ROW(tblContractForDeed[#Headers])-1)&lt;0,0,INDEX(tblContractForDeed[End Bal],ROW()-ROW(tblContractForDeed[#Headers])-1)))</f>
        <v>0</v>
      </c>
      <c r="P262" s="454">
        <f>IF(tblContractForDeed[[#This Row],[Date]]="","",IF(tblContractForDeed[[#This Row],[Date]]&lt;cfdRateChangeDate,cfdRate1,cfdRate2))</f>
        <v>7.7499999999999999E-2</v>
      </c>
      <c r="Q2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467">
        <f>IF(INDEX(tblContractForDeed[Payment],ROW()-ROW(tblBuyerOutputs[#Headers]))=0,0,INDEX(tblContractForDeed[Payment],ROW()-ROW(tblBuyerOutputs[#Headers]))-INDEX(tblSubjectToLoan[Payment],ROW()-ROW(tblBuyerOutputs[#Headers])))</f>
        <v>0</v>
      </c>
      <c r="Z2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2" s="276">
        <f>IF(INDEX(tblContractForDeed[End Bal],ROW()-ROW(tblBuyerOutputs[#Headers]))&lt;=0,0,($O$6+IF(ROW()=ROW(tblBuyerOutputs[#Headers])+1,0,INDEX(tblBuyerOutputs[Cumul Appr],ROW()-ROW(tblBuyerOutputs[#Headers])-1)))*$AK$2/12)</f>
        <v>0</v>
      </c>
      <c r="AE262" s="276">
        <f>IF(INDEX(tblContractForDeed[End Bal],ROW()-ROW(tblBuyerOutputs[#Headers]))&lt;=0,0,IF(ROW()=ROW(tblBuyerOutputs[#Headers])+1,0,INDEX(tblBuyerOutputs[Cumul Appr],ROW()-ROW(tblBuyerOutputs[#Headers])-1))+tblBuyerOutputs[[#This Row],[Monthly Appr]])</f>
        <v>0</v>
      </c>
    </row>
    <row r="263" spans="1:31" x14ac:dyDescent="0.25">
      <c r="A263" s="613" t="str">
        <f t="shared" si="49"/>
        <v xml:space="preserve"> </v>
      </c>
      <c r="B263" s="276">
        <f t="shared" si="47"/>
        <v>0</v>
      </c>
      <c r="C263" s="14">
        <f t="shared" si="45"/>
        <v>0</v>
      </c>
      <c r="D263" s="14">
        <f t="shared" si="50"/>
        <v>0</v>
      </c>
      <c r="E263" s="14">
        <f t="shared" si="46"/>
        <v>0</v>
      </c>
      <c r="F263" s="14">
        <f t="shared" si="57"/>
        <v>134.16999999999999</v>
      </c>
      <c r="G263" s="14">
        <f t="shared" si="57"/>
        <v>188.55</v>
      </c>
      <c r="H263" s="14">
        <f t="shared" si="58"/>
        <v>322.72000000000003</v>
      </c>
      <c r="I263" s="276">
        <f t="shared" si="51"/>
        <v>98158.279999999955</v>
      </c>
      <c r="J263" s="276">
        <f t="shared" si="52"/>
        <v>35884.000000000022</v>
      </c>
      <c r="K263" s="276">
        <f t="shared" si="53"/>
        <v>0</v>
      </c>
      <c r="L263" s="394">
        <f t="shared" si="56"/>
        <v>20</v>
      </c>
      <c r="M263" s="394">
        <f t="shared" si="48"/>
        <v>243</v>
      </c>
      <c r="N263" s="613" t="str">
        <f>INDEX(tblSubjectToLoan[Date],ROW()-ROW(tblContractForDeed[#Headers]))</f>
        <v xml:space="preserve"> </v>
      </c>
      <c r="O263" s="276">
        <f>IF(ROW()=ROW(tblContractForDeed[#Headers])+1,$O$6,IF(INDEX(tblContractForDeed[End Bal],ROW()-ROW(tblContractForDeed[#Headers])-1)&lt;0,0,INDEX(tblContractForDeed[End Bal],ROW()-ROW(tblContractForDeed[#Headers])-1)))</f>
        <v>0</v>
      </c>
      <c r="P263" s="454">
        <f>IF(tblContractForDeed[[#This Row],[Date]]="","",IF(tblContractForDeed[[#This Row],[Date]]&lt;cfdRateChangeDate,cfdRate1,cfdRate2))</f>
        <v>7.7499999999999999E-2</v>
      </c>
      <c r="Q2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467">
        <f>IF(INDEX(tblContractForDeed[Payment],ROW()-ROW(tblBuyerOutputs[#Headers]))=0,0,INDEX(tblContractForDeed[Payment],ROW()-ROW(tblBuyerOutputs[#Headers]))-INDEX(tblSubjectToLoan[Payment],ROW()-ROW(tblBuyerOutputs[#Headers])))</f>
        <v>0</v>
      </c>
      <c r="Z2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3" s="276">
        <f>IF(INDEX(tblContractForDeed[End Bal],ROW()-ROW(tblBuyerOutputs[#Headers]))&lt;=0,0,($O$6+IF(ROW()=ROW(tblBuyerOutputs[#Headers])+1,0,INDEX(tblBuyerOutputs[Cumul Appr],ROW()-ROW(tblBuyerOutputs[#Headers])-1)))*$AK$2/12)</f>
        <v>0</v>
      </c>
      <c r="AE263" s="276">
        <f>IF(INDEX(tblContractForDeed[End Bal],ROW()-ROW(tblBuyerOutputs[#Headers]))&lt;=0,0,IF(ROW()=ROW(tblBuyerOutputs[#Headers])+1,0,INDEX(tblBuyerOutputs[Cumul Appr],ROW()-ROW(tblBuyerOutputs[#Headers])-1))+tblBuyerOutputs[[#This Row],[Monthly Appr]])</f>
        <v>0</v>
      </c>
    </row>
    <row r="264" spans="1:31" x14ac:dyDescent="0.25">
      <c r="A264" s="613" t="str">
        <f t="shared" si="49"/>
        <v xml:space="preserve"> </v>
      </c>
      <c r="B264" s="276">
        <f t="shared" si="47"/>
        <v>0</v>
      </c>
      <c r="C264" s="14">
        <f t="shared" si="45"/>
        <v>0</v>
      </c>
      <c r="D264" s="14">
        <f t="shared" si="50"/>
        <v>0</v>
      </c>
      <c r="E264" s="14">
        <f t="shared" si="46"/>
        <v>0</v>
      </c>
      <c r="F264" s="14">
        <f t="shared" si="57"/>
        <v>134.16999999999999</v>
      </c>
      <c r="G264" s="14">
        <f t="shared" si="57"/>
        <v>188.55</v>
      </c>
      <c r="H264" s="14">
        <f t="shared" si="58"/>
        <v>322.72000000000003</v>
      </c>
      <c r="I264" s="276">
        <f t="shared" si="51"/>
        <v>98158.279999999955</v>
      </c>
      <c r="J264" s="276">
        <f t="shared" si="52"/>
        <v>35884.000000000022</v>
      </c>
      <c r="K264" s="276">
        <f t="shared" si="53"/>
        <v>0</v>
      </c>
      <c r="L264" s="394">
        <f t="shared" si="56"/>
        <v>20</v>
      </c>
      <c r="M264" s="394">
        <f t="shared" si="48"/>
        <v>244</v>
      </c>
      <c r="N264" s="613" t="str">
        <f>INDEX(tblSubjectToLoan[Date],ROW()-ROW(tblContractForDeed[#Headers]))</f>
        <v xml:space="preserve"> </v>
      </c>
      <c r="O264" s="276">
        <f>IF(ROW()=ROW(tblContractForDeed[#Headers])+1,$O$6,IF(INDEX(tblContractForDeed[End Bal],ROW()-ROW(tblContractForDeed[#Headers])-1)&lt;0,0,INDEX(tblContractForDeed[End Bal],ROW()-ROW(tblContractForDeed[#Headers])-1)))</f>
        <v>0</v>
      </c>
      <c r="P264" s="454">
        <f>IF(tblContractForDeed[[#This Row],[Date]]="","",IF(tblContractForDeed[[#This Row],[Date]]&lt;cfdRateChangeDate,cfdRate1,cfdRate2))</f>
        <v>7.7499999999999999E-2</v>
      </c>
      <c r="Q2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467">
        <f>IF(INDEX(tblContractForDeed[Payment],ROW()-ROW(tblBuyerOutputs[#Headers]))=0,0,INDEX(tblContractForDeed[Payment],ROW()-ROW(tblBuyerOutputs[#Headers]))-INDEX(tblSubjectToLoan[Payment],ROW()-ROW(tblBuyerOutputs[#Headers])))</f>
        <v>0</v>
      </c>
      <c r="Z2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4" s="276">
        <f>IF(INDEX(tblContractForDeed[End Bal],ROW()-ROW(tblBuyerOutputs[#Headers]))&lt;=0,0,($O$6+IF(ROW()=ROW(tblBuyerOutputs[#Headers])+1,0,INDEX(tblBuyerOutputs[Cumul Appr],ROW()-ROW(tblBuyerOutputs[#Headers])-1)))*$AK$2/12)</f>
        <v>0</v>
      </c>
      <c r="AE264" s="276">
        <f>IF(INDEX(tblContractForDeed[End Bal],ROW()-ROW(tblBuyerOutputs[#Headers]))&lt;=0,0,IF(ROW()=ROW(tblBuyerOutputs[#Headers])+1,0,INDEX(tblBuyerOutputs[Cumul Appr],ROW()-ROW(tblBuyerOutputs[#Headers])-1))+tblBuyerOutputs[[#This Row],[Monthly Appr]])</f>
        <v>0</v>
      </c>
    </row>
    <row r="265" spans="1:31" x14ac:dyDescent="0.25">
      <c r="A265" s="613" t="str">
        <f t="shared" si="49"/>
        <v xml:space="preserve"> </v>
      </c>
      <c r="B265" s="276">
        <f t="shared" si="47"/>
        <v>0</v>
      </c>
      <c r="C265" s="14">
        <f t="shared" si="45"/>
        <v>0</v>
      </c>
      <c r="D265" s="14">
        <f t="shared" si="50"/>
        <v>0</v>
      </c>
      <c r="E265" s="14">
        <f t="shared" si="46"/>
        <v>0</v>
      </c>
      <c r="F265" s="14">
        <f t="shared" si="57"/>
        <v>134.16999999999999</v>
      </c>
      <c r="G265" s="14">
        <f t="shared" si="57"/>
        <v>188.55</v>
      </c>
      <c r="H265" s="14">
        <f t="shared" si="58"/>
        <v>322.72000000000003</v>
      </c>
      <c r="I265" s="276">
        <f t="shared" si="51"/>
        <v>98158.279999999955</v>
      </c>
      <c r="J265" s="276">
        <f t="shared" si="52"/>
        <v>35884.000000000022</v>
      </c>
      <c r="K265" s="276">
        <f t="shared" si="53"/>
        <v>0</v>
      </c>
      <c r="L265" s="394">
        <f t="shared" si="56"/>
        <v>20</v>
      </c>
      <c r="M265" s="394">
        <f t="shared" si="48"/>
        <v>245</v>
      </c>
      <c r="N265" s="613" t="str">
        <f>INDEX(tblSubjectToLoan[Date],ROW()-ROW(tblContractForDeed[#Headers]))</f>
        <v xml:space="preserve"> </v>
      </c>
      <c r="O265" s="276">
        <f>IF(ROW()=ROW(tblContractForDeed[#Headers])+1,$O$6,IF(INDEX(tblContractForDeed[End Bal],ROW()-ROW(tblContractForDeed[#Headers])-1)&lt;0,0,INDEX(tblContractForDeed[End Bal],ROW()-ROW(tblContractForDeed[#Headers])-1)))</f>
        <v>0</v>
      </c>
      <c r="P265" s="454">
        <f>IF(tblContractForDeed[[#This Row],[Date]]="","",IF(tblContractForDeed[[#This Row],[Date]]&lt;cfdRateChangeDate,cfdRate1,cfdRate2))</f>
        <v>7.7499999999999999E-2</v>
      </c>
      <c r="Q2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467">
        <f>IF(INDEX(tblContractForDeed[Payment],ROW()-ROW(tblBuyerOutputs[#Headers]))=0,0,INDEX(tblContractForDeed[Payment],ROW()-ROW(tblBuyerOutputs[#Headers]))-INDEX(tblSubjectToLoan[Payment],ROW()-ROW(tblBuyerOutputs[#Headers])))</f>
        <v>0</v>
      </c>
      <c r="Z2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5" s="276">
        <f>IF(INDEX(tblContractForDeed[End Bal],ROW()-ROW(tblBuyerOutputs[#Headers]))&lt;=0,0,($O$6+IF(ROW()=ROW(tblBuyerOutputs[#Headers])+1,0,INDEX(tblBuyerOutputs[Cumul Appr],ROW()-ROW(tblBuyerOutputs[#Headers])-1)))*$AK$2/12)</f>
        <v>0</v>
      </c>
      <c r="AE265" s="276">
        <f>IF(INDEX(tblContractForDeed[End Bal],ROW()-ROW(tblBuyerOutputs[#Headers]))&lt;=0,0,IF(ROW()=ROW(tblBuyerOutputs[#Headers])+1,0,INDEX(tblBuyerOutputs[Cumul Appr],ROW()-ROW(tblBuyerOutputs[#Headers])-1))+tblBuyerOutputs[[#This Row],[Monthly Appr]])</f>
        <v>0</v>
      </c>
    </row>
    <row r="266" spans="1:31" x14ac:dyDescent="0.25">
      <c r="A266" s="613" t="str">
        <f t="shared" si="49"/>
        <v xml:space="preserve"> </v>
      </c>
      <c r="B266" s="276">
        <f t="shared" si="47"/>
        <v>0</v>
      </c>
      <c r="C266" s="14">
        <f t="shared" si="45"/>
        <v>0</v>
      </c>
      <c r="D266" s="14">
        <f t="shared" si="50"/>
        <v>0</v>
      </c>
      <c r="E266" s="14">
        <f t="shared" si="46"/>
        <v>0</v>
      </c>
      <c r="F266" s="14">
        <f t="shared" si="57"/>
        <v>134.16999999999999</v>
      </c>
      <c r="G266" s="14">
        <f t="shared" si="57"/>
        <v>188.55</v>
      </c>
      <c r="H266" s="14">
        <f t="shared" si="58"/>
        <v>322.72000000000003</v>
      </c>
      <c r="I266" s="276">
        <f t="shared" si="51"/>
        <v>98158.279999999955</v>
      </c>
      <c r="J266" s="276">
        <f t="shared" si="52"/>
        <v>35884.000000000022</v>
      </c>
      <c r="K266" s="276">
        <f t="shared" si="53"/>
        <v>0</v>
      </c>
      <c r="L266" s="394">
        <f t="shared" si="56"/>
        <v>20</v>
      </c>
      <c r="M266" s="394">
        <f t="shared" si="48"/>
        <v>246</v>
      </c>
      <c r="N266" s="613" t="str">
        <f>INDEX(tblSubjectToLoan[Date],ROW()-ROW(tblContractForDeed[#Headers]))</f>
        <v xml:space="preserve"> </v>
      </c>
      <c r="O266" s="276">
        <f>IF(ROW()=ROW(tblContractForDeed[#Headers])+1,$O$6,IF(INDEX(tblContractForDeed[End Bal],ROW()-ROW(tblContractForDeed[#Headers])-1)&lt;0,0,INDEX(tblContractForDeed[End Bal],ROW()-ROW(tblContractForDeed[#Headers])-1)))</f>
        <v>0</v>
      </c>
      <c r="P266" s="454">
        <f>IF(tblContractForDeed[[#This Row],[Date]]="","",IF(tblContractForDeed[[#This Row],[Date]]&lt;cfdRateChangeDate,cfdRate1,cfdRate2))</f>
        <v>7.7499999999999999E-2</v>
      </c>
      <c r="Q2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467">
        <f>IF(INDEX(tblContractForDeed[Payment],ROW()-ROW(tblBuyerOutputs[#Headers]))=0,0,INDEX(tblContractForDeed[Payment],ROW()-ROW(tblBuyerOutputs[#Headers]))-INDEX(tblSubjectToLoan[Payment],ROW()-ROW(tblBuyerOutputs[#Headers])))</f>
        <v>0</v>
      </c>
      <c r="Z2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6" s="276">
        <f>IF(INDEX(tblContractForDeed[End Bal],ROW()-ROW(tblBuyerOutputs[#Headers]))&lt;=0,0,($O$6+IF(ROW()=ROW(tblBuyerOutputs[#Headers])+1,0,INDEX(tblBuyerOutputs[Cumul Appr],ROW()-ROW(tblBuyerOutputs[#Headers])-1)))*$AK$2/12)</f>
        <v>0</v>
      </c>
      <c r="AE266" s="276">
        <f>IF(INDEX(tblContractForDeed[End Bal],ROW()-ROW(tblBuyerOutputs[#Headers]))&lt;=0,0,IF(ROW()=ROW(tblBuyerOutputs[#Headers])+1,0,INDEX(tblBuyerOutputs[Cumul Appr],ROW()-ROW(tblBuyerOutputs[#Headers])-1))+tblBuyerOutputs[[#This Row],[Monthly Appr]])</f>
        <v>0</v>
      </c>
    </row>
    <row r="267" spans="1:31" x14ac:dyDescent="0.25">
      <c r="A267" s="613" t="str">
        <f t="shared" si="49"/>
        <v xml:space="preserve"> </v>
      </c>
      <c r="B267" s="276">
        <f t="shared" si="47"/>
        <v>0</v>
      </c>
      <c r="C267" s="14">
        <f t="shared" si="45"/>
        <v>0</v>
      </c>
      <c r="D267" s="14">
        <f t="shared" si="50"/>
        <v>0</v>
      </c>
      <c r="E267" s="14">
        <f t="shared" si="46"/>
        <v>0</v>
      </c>
      <c r="F267" s="14">
        <f t="shared" si="57"/>
        <v>134.16999999999999</v>
      </c>
      <c r="G267" s="14">
        <f t="shared" si="57"/>
        <v>188.55</v>
      </c>
      <c r="H267" s="14">
        <f t="shared" si="58"/>
        <v>322.72000000000003</v>
      </c>
      <c r="I267" s="276">
        <f t="shared" si="51"/>
        <v>98158.279999999955</v>
      </c>
      <c r="J267" s="276">
        <f t="shared" si="52"/>
        <v>35884.000000000022</v>
      </c>
      <c r="K267" s="276">
        <f t="shared" si="53"/>
        <v>0</v>
      </c>
      <c r="L267" s="394">
        <f t="shared" si="56"/>
        <v>20</v>
      </c>
      <c r="M267" s="394">
        <f t="shared" si="48"/>
        <v>247</v>
      </c>
      <c r="N267" s="613" t="str">
        <f>INDEX(tblSubjectToLoan[Date],ROW()-ROW(tblContractForDeed[#Headers]))</f>
        <v xml:space="preserve"> </v>
      </c>
      <c r="O267" s="276">
        <f>IF(ROW()=ROW(tblContractForDeed[#Headers])+1,$O$6,IF(INDEX(tblContractForDeed[End Bal],ROW()-ROW(tblContractForDeed[#Headers])-1)&lt;0,0,INDEX(tblContractForDeed[End Bal],ROW()-ROW(tblContractForDeed[#Headers])-1)))</f>
        <v>0</v>
      </c>
      <c r="P267" s="454">
        <f>IF(tblContractForDeed[[#This Row],[Date]]="","",IF(tblContractForDeed[[#This Row],[Date]]&lt;cfdRateChangeDate,cfdRate1,cfdRate2))</f>
        <v>7.7499999999999999E-2</v>
      </c>
      <c r="Q2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467">
        <f>IF(INDEX(tblContractForDeed[Payment],ROW()-ROW(tblBuyerOutputs[#Headers]))=0,0,INDEX(tblContractForDeed[Payment],ROW()-ROW(tblBuyerOutputs[#Headers]))-INDEX(tblSubjectToLoan[Payment],ROW()-ROW(tblBuyerOutputs[#Headers])))</f>
        <v>0</v>
      </c>
      <c r="Z2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7" s="276">
        <f>IF(INDEX(tblContractForDeed[End Bal],ROW()-ROW(tblBuyerOutputs[#Headers]))&lt;=0,0,($O$6+IF(ROW()=ROW(tblBuyerOutputs[#Headers])+1,0,INDEX(tblBuyerOutputs[Cumul Appr],ROW()-ROW(tblBuyerOutputs[#Headers])-1)))*$AK$2/12)</f>
        <v>0</v>
      </c>
      <c r="AE267" s="276">
        <f>IF(INDEX(tblContractForDeed[End Bal],ROW()-ROW(tblBuyerOutputs[#Headers]))&lt;=0,0,IF(ROW()=ROW(tblBuyerOutputs[#Headers])+1,0,INDEX(tblBuyerOutputs[Cumul Appr],ROW()-ROW(tblBuyerOutputs[#Headers])-1))+tblBuyerOutputs[[#This Row],[Monthly Appr]])</f>
        <v>0</v>
      </c>
    </row>
    <row r="268" spans="1:31" x14ac:dyDescent="0.25">
      <c r="A268" s="613" t="str">
        <f t="shared" si="49"/>
        <v xml:space="preserve"> </v>
      </c>
      <c r="B268" s="276">
        <f t="shared" si="47"/>
        <v>0</v>
      </c>
      <c r="C268" s="14">
        <f t="shared" si="45"/>
        <v>0</v>
      </c>
      <c r="D268" s="14">
        <f t="shared" si="50"/>
        <v>0</v>
      </c>
      <c r="E268" s="14">
        <f t="shared" si="46"/>
        <v>0</v>
      </c>
      <c r="F268" s="14">
        <f t="shared" si="57"/>
        <v>134.16999999999999</v>
      </c>
      <c r="G268" s="14">
        <f t="shared" si="57"/>
        <v>188.55</v>
      </c>
      <c r="H268" s="14">
        <f t="shared" si="58"/>
        <v>322.72000000000003</v>
      </c>
      <c r="I268" s="276">
        <f t="shared" si="51"/>
        <v>98158.279999999955</v>
      </c>
      <c r="J268" s="276">
        <f t="shared" si="52"/>
        <v>35884.000000000022</v>
      </c>
      <c r="K268" s="276">
        <f t="shared" si="53"/>
        <v>0</v>
      </c>
      <c r="L268" s="394">
        <f t="shared" si="56"/>
        <v>20</v>
      </c>
      <c r="M268" s="394">
        <f t="shared" si="48"/>
        <v>248</v>
      </c>
      <c r="N268" s="613" t="str">
        <f>INDEX(tblSubjectToLoan[Date],ROW()-ROW(tblContractForDeed[#Headers]))</f>
        <v xml:space="preserve"> </v>
      </c>
      <c r="O268" s="276">
        <f>IF(ROW()=ROW(tblContractForDeed[#Headers])+1,$O$6,IF(INDEX(tblContractForDeed[End Bal],ROW()-ROW(tblContractForDeed[#Headers])-1)&lt;0,0,INDEX(tblContractForDeed[End Bal],ROW()-ROW(tblContractForDeed[#Headers])-1)))</f>
        <v>0</v>
      </c>
      <c r="P268" s="454">
        <f>IF(tblContractForDeed[[#This Row],[Date]]="","",IF(tblContractForDeed[[#This Row],[Date]]&lt;cfdRateChangeDate,cfdRate1,cfdRate2))</f>
        <v>7.7499999999999999E-2</v>
      </c>
      <c r="Q2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467">
        <f>IF(INDEX(tblContractForDeed[Payment],ROW()-ROW(tblBuyerOutputs[#Headers]))=0,0,INDEX(tblContractForDeed[Payment],ROW()-ROW(tblBuyerOutputs[#Headers]))-INDEX(tblSubjectToLoan[Payment],ROW()-ROW(tblBuyerOutputs[#Headers])))</f>
        <v>0</v>
      </c>
      <c r="Z2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8" s="276">
        <f>IF(INDEX(tblContractForDeed[End Bal],ROW()-ROW(tblBuyerOutputs[#Headers]))&lt;=0,0,($O$6+IF(ROW()=ROW(tblBuyerOutputs[#Headers])+1,0,INDEX(tblBuyerOutputs[Cumul Appr],ROW()-ROW(tblBuyerOutputs[#Headers])-1)))*$AK$2/12)</f>
        <v>0</v>
      </c>
      <c r="AE268" s="276">
        <f>IF(INDEX(tblContractForDeed[End Bal],ROW()-ROW(tblBuyerOutputs[#Headers]))&lt;=0,0,IF(ROW()=ROW(tblBuyerOutputs[#Headers])+1,0,INDEX(tblBuyerOutputs[Cumul Appr],ROW()-ROW(tblBuyerOutputs[#Headers])-1))+tblBuyerOutputs[[#This Row],[Monthly Appr]])</f>
        <v>0</v>
      </c>
    </row>
    <row r="269" spans="1:31" x14ac:dyDescent="0.25">
      <c r="A269" s="613" t="str">
        <f t="shared" si="49"/>
        <v xml:space="preserve"> </v>
      </c>
      <c r="B269" s="276">
        <f t="shared" si="47"/>
        <v>0</v>
      </c>
      <c r="C269" s="14">
        <f t="shared" si="45"/>
        <v>0</v>
      </c>
      <c r="D269" s="14">
        <f t="shared" si="50"/>
        <v>0</v>
      </c>
      <c r="E269" s="14">
        <f t="shared" si="46"/>
        <v>0</v>
      </c>
      <c r="F269" s="14">
        <f t="shared" si="57"/>
        <v>134.16999999999999</v>
      </c>
      <c r="G269" s="14">
        <f t="shared" si="57"/>
        <v>188.55</v>
      </c>
      <c r="H269" s="14">
        <f t="shared" si="58"/>
        <v>322.72000000000003</v>
      </c>
      <c r="I269" s="276">
        <f t="shared" si="51"/>
        <v>98158.279999999955</v>
      </c>
      <c r="J269" s="276">
        <f t="shared" si="52"/>
        <v>35884.000000000022</v>
      </c>
      <c r="K269" s="276">
        <f t="shared" si="53"/>
        <v>0</v>
      </c>
      <c r="L269" s="394">
        <f t="shared" si="56"/>
        <v>20</v>
      </c>
      <c r="M269" s="394">
        <f t="shared" si="48"/>
        <v>249</v>
      </c>
      <c r="N269" s="613" t="str">
        <f>INDEX(tblSubjectToLoan[Date],ROW()-ROW(tblContractForDeed[#Headers]))</f>
        <v xml:space="preserve"> </v>
      </c>
      <c r="O269" s="276">
        <f>IF(ROW()=ROW(tblContractForDeed[#Headers])+1,$O$6,IF(INDEX(tblContractForDeed[End Bal],ROW()-ROW(tblContractForDeed[#Headers])-1)&lt;0,0,INDEX(tblContractForDeed[End Bal],ROW()-ROW(tblContractForDeed[#Headers])-1)))</f>
        <v>0</v>
      </c>
      <c r="P269" s="454">
        <f>IF(tblContractForDeed[[#This Row],[Date]]="","",IF(tblContractForDeed[[#This Row],[Date]]&lt;cfdRateChangeDate,cfdRate1,cfdRate2))</f>
        <v>7.7499999999999999E-2</v>
      </c>
      <c r="Q2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467">
        <f>IF(INDEX(tblContractForDeed[Payment],ROW()-ROW(tblBuyerOutputs[#Headers]))=0,0,INDEX(tblContractForDeed[Payment],ROW()-ROW(tblBuyerOutputs[#Headers]))-INDEX(tblSubjectToLoan[Payment],ROW()-ROW(tblBuyerOutputs[#Headers])))</f>
        <v>0</v>
      </c>
      <c r="Z2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9" s="276">
        <f>IF(INDEX(tblContractForDeed[End Bal],ROW()-ROW(tblBuyerOutputs[#Headers]))&lt;=0,0,($O$6+IF(ROW()=ROW(tblBuyerOutputs[#Headers])+1,0,INDEX(tblBuyerOutputs[Cumul Appr],ROW()-ROW(tblBuyerOutputs[#Headers])-1)))*$AK$2/12)</f>
        <v>0</v>
      </c>
      <c r="AE269" s="276">
        <f>IF(INDEX(tblContractForDeed[End Bal],ROW()-ROW(tblBuyerOutputs[#Headers]))&lt;=0,0,IF(ROW()=ROW(tblBuyerOutputs[#Headers])+1,0,INDEX(tblBuyerOutputs[Cumul Appr],ROW()-ROW(tblBuyerOutputs[#Headers])-1))+tblBuyerOutputs[[#This Row],[Monthly Appr]])</f>
        <v>0</v>
      </c>
    </row>
    <row r="270" spans="1:31" x14ac:dyDescent="0.25">
      <c r="A270" s="613" t="str">
        <f t="shared" si="49"/>
        <v xml:space="preserve"> </v>
      </c>
      <c r="B270" s="276">
        <f t="shared" si="47"/>
        <v>0</v>
      </c>
      <c r="C270" s="14">
        <f t="shared" si="45"/>
        <v>0</v>
      </c>
      <c r="D270" s="14">
        <f t="shared" si="50"/>
        <v>0</v>
      </c>
      <c r="E270" s="14">
        <f t="shared" si="46"/>
        <v>0</v>
      </c>
      <c r="F270" s="14">
        <f t="shared" si="57"/>
        <v>134.16999999999999</v>
      </c>
      <c r="G270" s="14">
        <f t="shared" si="57"/>
        <v>188.55</v>
      </c>
      <c r="H270" s="14">
        <f t="shared" si="58"/>
        <v>322.72000000000003</v>
      </c>
      <c r="I270" s="276">
        <f t="shared" si="51"/>
        <v>98158.279999999955</v>
      </c>
      <c r="J270" s="276">
        <f t="shared" si="52"/>
        <v>35884.000000000022</v>
      </c>
      <c r="K270" s="276">
        <f t="shared" si="53"/>
        <v>0</v>
      </c>
      <c r="L270" s="394">
        <f t="shared" si="56"/>
        <v>20</v>
      </c>
      <c r="M270" s="394">
        <f t="shared" si="48"/>
        <v>250</v>
      </c>
      <c r="N270" s="613" t="str">
        <f>INDEX(tblSubjectToLoan[Date],ROW()-ROW(tblContractForDeed[#Headers]))</f>
        <v xml:space="preserve"> </v>
      </c>
      <c r="O270" s="276">
        <f>IF(ROW()=ROW(tblContractForDeed[#Headers])+1,$O$6,IF(INDEX(tblContractForDeed[End Bal],ROW()-ROW(tblContractForDeed[#Headers])-1)&lt;0,0,INDEX(tblContractForDeed[End Bal],ROW()-ROW(tblContractForDeed[#Headers])-1)))</f>
        <v>0</v>
      </c>
      <c r="P270" s="454">
        <f>IF(tblContractForDeed[[#This Row],[Date]]="","",IF(tblContractForDeed[[#This Row],[Date]]&lt;cfdRateChangeDate,cfdRate1,cfdRate2))</f>
        <v>7.7499999999999999E-2</v>
      </c>
      <c r="Q2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467">
        <f>IF(INDEX(tblContractForDeed[Payment],ROW()-ROW(tblBuyerOutputs[#Headers]))=0,0,INDEX(tblContractForDeed[Payment],ROW()-ROW(tblBuyerOutputs[#Headers]))-INDEX(tblSubjectToLoan[Payment],ROW()-ROW(tblBuyerOutputs[#Headers])))</f>
        <v>0</v>
      </c>
      <c r="Z2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0" s="276">
        <f>IF(INDEX(tblContractForDeed[End Bal],ROW()-ROW(tblBuyerOutputs[#Headers]))&lt;=0,0,($O$6+IF(ROW()=ROW(tblBuyerOutputs[#Headers])+1,0,INDEX(tblBuyerOutputs[Cumul Appr],ROW()-ROW(tblBuyerOutputs[#Headers])-1)))*$AK$2/12)</f>
        <v>0</v>
      </c>
      <c r="AE270" s="276">
        <f>IF(INDEX(tblContractForDeed[End Bal],ROW()-ROW(tblBuyerOutputs[#Headers]))&lt;=0,0,IF(ROW()=ROW(tblBuyerOutputs[#Headers])+1,0,INDEX(tblBuyerOutputs[Cumul Appr],ROW()-ROW(tblBuyerOutputs[#Headers])-1))+tblBuyerOutputs[[#This Row],[Monthly Appr]])</f>
        <v>0</v>
      </c>
    </row>
    <row r="271" spans="1:31" ht="15.75" thickBot="1" x14ac:dyDescent="0.3">
      <c r="A271" s="615" t="str">
        <f t="shared" si="49"/>
        <v xml:space="preserve"> </v>
      </c>
      <c r="B271" s="332">
        <f t="shared" si="47"/>
        <v>0</v>
      </c>
      <c r="C271" s="21">
        <f t="shared" si="45"/>
        <v>0</v>
      </c>
      <c r="D271" s="21">
        <f t="shared" si="50"/>
        <v>0</v>
      </c>
      <c r="E271" s="21">
        <f t="shared" si="46"/>
        <v>0</v>
      </c>
      <c r="F271" s="21">
        <f t="shared" ref="F271:G286" si="59">+F270</f>
        <v>134.16999999999999</v>
      </c>
      <c r="G271" s="21">
        <f t="shared" si="59"/>
        <v>188.55</v>
      </c>
      <c r="H271" s="21">
        <f t="shared" si="58"/>
        <v>322.72000000000003</v>
      </c>
      <c r="I271" s="332">
        <f t="shared" si="51"/>
        <v>98158.279999999955</v>
      </c>
      <c r="J271" s="332">
        <f t="shared" si="52"/>
        <v>35884.000000000022</v>
      </c>
      <c r="K271" s="332">
        <f t="shared" si="53"/>
        <v>0</v>
      </c>
      <c r="L271" s="395">
        <f t="shared" si="56"/>
        <v>20</v>
      </c>
      <c r="M271" s="395">
        <f t="shared" si="48"/>
        <v>251</v>
      </c>
      <c r="N271" s="615" t="str">
        <f>INDEX(tblSubjectToLoan[Date],ROW()-ROW(tblContractForDeed[#Headers]))</f>
        <v xml:space="preserve"> </v>
      </c>
      <c r="O271" s="332">
        <f>IF(ROW()=ROW(tblContractForDeed[#Headers])+1,$O$6,IF(INDEX(tblContractForDeed[End Bal],ROW()-ROW(tblContractForDeed[#Headers])-1)&lt;0,0,INDEX(tblContractForDeed[End Bal],ROW()-ROW(tblContractForDeed[#Headers])-1)))</f>
        <v>0</v>
      </c>
      <c r="P271" s="454">
        <f>IF(tblContractForDeed[[#This Row],[Date]]="","",IF(tblContractForDeed[[#This Row],[Date]]&lt;cfdRateChangeDate,cfdRate1,cfdRate2))</f>
        <v>7.7499999999999999E-2</v>
      </c>
      <c r="Q2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468">
        <f>IF(INDEX(tblContractForDeed[Payment],ROW()-ROW(tblBuyerOutputs[#Headers]))=0,0,INDEX(tblContractForDeed[Payment],ROW()-ROW(tblBuyerOutputs[#Headers]))-INDEX(tblSubjectToLoan[Payment],ROW()-ROW(tblBuyerOutputs[#Headers])))</f>
        <v>0</v>
      </c>
      <c r="Z2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1" s="332">
        <f>IF(INDEX(tblContractForDeed[End Bal],ROW()-ROW(tblBuyerOutputs[#Headers]))&lt;=0,0,($O$6+IF(ROW()=ROW(tblBuyerOutputs[#Headers])+1,0,INDEX(tblBuyerOutputs[Cumul Appr],ROW()-ROW(tblBuyerOutputs[#Headers])-1)))*$AK$2/12)</f>
        <v>0</v>
      </c>
      <c r="AE271" s="332">
        <f>IF(INDEX(tblContractForDeed[End Bal],ROW()-ROW(tblBuyerOutputs[#Headers]))&lt;=0,0,IF(ROW()=ROW(tblBuyerOutputs[#Headers])+1,0,INDEX(tblBuyerOutputs[Cumul Appr],ROW()-ROW(tblBuyerOutputs[#Headers])-1))+tblBuyerOutputs[[#This Row],[Monthly Appr]])</f>
        <v>0</v>
      </c>
    </row>
    <row r="272" spans="1:31" x14ac:dyDescent="0.25">
      <c r="A272" s="613" t="str">
        <f t="shared" si="49"/>
        <v xml:space="preserve"> </v>
      </c>
      <c r="B272" s="276">
        <f t="shared" si="47"/>
        <v>0</v>
      </c>
      <c r="C272" s="14">
        <f t="shared" si="45"/>
        <v>0</v>
      </c>
      <c r="D272" s="14">
        <f t="shared" si="50"/>
        <v>0</v>
      </c>
      <c r="E272" s="14">
        <f t="shared" si="46"/>
        <v>0</v>
      </c>
      <c r="F272" s="14">
        <f t="shared" si="59"/>
        <v>134.16999999999999</v>
      </c>
      <c r="G272" s="14">
        <f t="shared" si="59"/>
        <v>188.55</v>
      </c>
      <c r="H272" s="14">
        <f t="shared" si="58"/>
        <v>322.72000000000003</v>
      </c>
      <c r="I272" s="276">
        <f t="shared" si="51"/>
        <v>98158.279999999955</v>
      </c>
      <c r="J272" s="276">
        <f t="shared" si="52"/>
        <v>35884.000000000022</v>
      </c>
      <c r="K272" s="276">
        <f t="shared" si="53"/>
        <v>0</v>
      </c>
      <c r="L272" s="394">
        <f t="shared" si="56"/>
        <v>21</v>
      </c>
      <c r="M272" s="394">
        <f t="shared" si="48"/>
        <v>252</v>
      </c>
      <c r="N272" s="613" t="str">
        <f>INDEX(tblSubjectToLoan[Date],ROW()-ROW(tblContractForDeed[#Headers]))</f>
        <v xml:space="preserve"> </v>
      </c>
      <c r="O272" s="276">
        <f>IF(ROW()=ROW(tblContractForDeed[#Headers])+1,$O$6,IF(INDEX(tblContractForDeed[End Bal],ROW()-ROW(tblContractForDeed[#Headers])-1)&lt;0,0,INDEX(tblContractForDeed[End Bal],ROW()-ROW(tblContractForDeed[#Headers])-1)))</f>
        <v>0</v>
      </c>
      <c r="P272" s="454">
        <f>IF(tblContractForDeed[[#This Row],[Date]]="","",IF(tblContractForDeed[[#This Row],[Date]]&lt;cfdRateChangeDate,cfdRate1,cfdRate2))</f>
        <v>7.7499999999999999E-2</v>
      </c>
      <c r="Q2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467">
        <f>IF(INDEX(tblContractForDeed[Payment],ROW()-ROW(tblBuyerOutputs[#Headers]))=0,0,INDEX(tblContractForDeed[Payment],ROW()-ROW(tblBuyerOutputs[#Headers]))-INDEX(tblSubjectToLoan[Payment],ROW()-ROW(tblBuyerOutputs[#Headers])))</f>
        <v>0</v>
      </c>
      <c r="Z2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2" s="276">
        <f>IF(INDEX(tblContractForDeed[End Bal],ROW()-ROW(tblBuyerOutputs[#Headers]))&lt;=0,0,($O$6+IF(ROW()=ROW(tblBuyerOutputs[#Headers])+1,0,INDEX(tblBuyerOutputs[Cumul Appr],ROW()-ROW(tblBuyerOutputs[#Headers])-1)))*$AK$2/12)</f>
        <v>0</v>
      </c>
      <c r="AE272" s="276">
        <f>IF(INDEX(tblContractForDeed[End Bal],ROW()-ROW(tblBuyerOutputs[#Headers]))&lt;=0,0,IF(ROW()=ROW(tblBuyerOutputs[#Headers])+1,0,INDEX(tblBuyerOutputs[Cumul Appr],ROW()-ROW(tblBuyerOutputs[#Headers])-1))+tblBuyerOutputs[[#This Row],[Monthly Appr]])</f>
        <v>0</v>
      </c>
    </row>
    <row r="273" spans="1:31" x14ac:dyDescent="0.25">
      <c r="A273" s="613" t="str">
        <f t="shared" si="49"/>
        <v xml:space="preserve"> </v>
      </c>
      <c r="B273" s="276">
        <f t="shared" si="47"/>
        <v>0</v>
      </c>
      <c r="C273" s="14">
        <f t="shared" si="45"/>
        <v>0</v>
      </c>
      <c r="D273" s="14">
        <f t="shared" si="50"/>
        <v>0</v>
      </c>
      <c r="E273" s="14">
        <f t="shared" si="46"/>
        <v>0</v>
      </c>
      <c r="F273" s="14">
        <f t="shared" si="59"/>
        <v>134.16999999999999</v>
      </c>
      <c r="G273" s="14">
        <f t="shared" si="59"/>
        <v>188.55</v>
      </c>
      <c r="H273" s="14">
        <f t="shared" si="58"/>
        <v>322.72000000000003</v>
      </c>
      <c r="I273" s="276">
        <f t="shared" si="51"/>
        <v>98158.279999999955</v>
      </c>
      <c r="J273" s="276">
        <f t="shared" si="52"/>
        <v>35884.000000000022</v>
      </c>
      <c r="K273" s="276">
        <f t="shared" si="53"/>
        <v>0</v>
      </c>
      <c r="L273" s="394">
        <f t="shared" si="56"/>
        <v>21</v>
      </c>
      <c r="M273" s="394">
        <f t="shared" si="48"/>
        <v>253</v>
      </c>
      <c r="N273" s="613" t="str">
        <f>INDEX(tblSubjectToLoan[Date],ROW()-ROW(tblContractForDeed[#Headers]))</f>
        <v xml:space="preserve"> </v>
      </c>
      <c r="O273" s="276">
        <f>IF(ROW()=ROW(tblContractForDeed[#Headers])+1,$O$6,IF(INDEX(tblContractForDeed[End Bal],ROW()-ROW(tblContractForDeed[#Headers])-1)&lt;0,0,INDEX(tblContractForDeed[End Bal],ROW()-ROW(tblContractForDeed[#Headers])-1)))</f>
        <v>0</v>
      </c>
      <c r="P273" s="454">
        <f>IF(tblContractForDeed[[#This Row],[Date]]="","",IF(tblContractForDeed[[#This Row],[Date]]&lt;cfdRateChangeDate,cfdRate1,cfdRate2))</f>
        <v>7.7499999999999999E-2</v>
      </c>
      <c r="Q2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467">
        <f>IF(INDEX(tblContractForDeed[Payment],ROW()-ROW(tblBuyerOutputs[#Headers]))=0,0,INDEX(tblContractForDeed[Payment],ROW()-ROW(tblBuyerOutputs[#Headers]))-INDEX(tblSubjectToLoan[Payment],ROW()-ROW(tblBuyerOutputs[#Headers])))</f>
        <v>0</v>
      </c>
      <c r="Z2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3" s="276">
        <f>IF(INDEX(tblContractForDeed[End Bal],ROW()-ROW(tblBuyerOutputs[#Headers]))&lt;=0,0,($O$6+IF(ROW()=ROW(tblBuyerOutputs[#Headers])+1,0,INDEX(tblBuyerOutputs[Cumul Appr],ROW()-ROW(tblBuyerOutputs[#Headers])-1)))*$AK$2/12)</f>
        <v>0</v>
      </c>
      <c r="AE273" s="276">
        <f>IF(INDEX(tblContractForDeed[End Bal],ROW()-ROW(tblBuyerOutputs[#Headers]))&lt;=0,0,IF(ROW()=ROW(tblBuyerOutputs[#Headers])+1,0,INDEX(tblBuyerOutputs[Cumul Appr],ROW()-ROW(tblBuyerOutputs[#Headers])-1))+tblBuyerOutputs[[#This Row],[Monthly Appr]])</f>
        <v>0</v>
      </c>
    </row>
    <row r="274" spans="1:31" x14ac:dyDescent="0.25">
      <c r="A274" s="613" t="str">
        <f t="shared" si="49"/>
        <v xml:space="preserve"> </v>
      </c>
      <c r="B274" s="276">
        <f t="shared" si="47"/>
        <v>0</v>
      </c>
      <c r="C274" s="14">
        <f t="shared" si="45"/>
        <v>0</v>
      </c>
      <c r="D274" s="14">
        <f t="shared" si="50"/>
        <v>0</v>
      </c>
      <c r="E274" s="14">
        <f t="shared" si="46"/>
        <v>0</v>
      </c>
      <c r="F274" s="14">
        <f t="shared" si="59"/>
        <v>134.16999999999999</v>
      </c>
      <c r="G274" s="14">
        <f t="shared" si="59"/>
        <v>188.55</v>
      </c>
      <c r="H274" s="14">
        <f t="shared" si="58"/>
        <v>322.72000000000003</v>
      </c>
      <c r="I274" s="276">
        <f t="shared" si="51"/>
        <v>98158.279999999955</v>
      </c>
      <c r="J274" s="276">
        <f t="shared" si="52"/>
        <v>35884.000000000022</v>
      </c>
      <c r="K274" s="276">
        <f t="shared" si="53"/>
        <v>0</v>
      </c>
      <c r="L274" s="394">
        <f t="shared" si="56"/>
        <v>21</v>
      </c>
      <c r="M274" s="394">
        <f t="shared" si="48"/>
        <v>254</v>
      </c>
      <c r="N274" s="613" t="str">
        <f>INDEX(tblSubjectToLoan[Date],ROW()-ROW(tblContractForDeed[#Headers]))</f>
        <v xml:space="preserve"> </v>
      </c>
      <c r="O274" s="276">
        <f>IF(ROW()=ROW(tblContractForDeed[#Headers])+1,$O$6,IF(INDEX(tblContractForDeed[End Bal],ROW()-ROW(tblContractForDeed[#Headers])-1)&lt;0,0,INDEX(tblContractForDeed[End Bal],ROW()-ROW(tblContractForDeed[#Headers])-1)))</f>
        <v>0</v>
      </c>
      <c r="P274" s="454">
        <f>IF(tblContractForDeed[[#This Row],[Date]]="","",IF(tblContractForDeed[[#This Row],[Date]]&lt;cfdRateChangeDate,cfdRate1,cfdRate2))</f>
        <v>7.7499999999999999E-2</v>
      </c>
      <c r="Q2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467">
        <f>IF(INDEX(tblContractForDeed[Payment],ROW()-ROW(tblBuyerOutputs[#Headers]))=0,0,INDEX(tblContractForDeed[Payment],ROW()-ROW(tblBuyerOutputs[#Headers]))-INDEX(tblSubjectToLoan[Payment],ROW()-ROW(tblBuyerOutputs[#Headers])))</f>
        <v>0</v>
      </c>
      <c r="Z2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4" s="276">
        <f>IF(INDEX(tblContractForDeed[End Bal],ROW()-ROW(tblBuyerOutputs[#Headers]))&lt;=0,0,($O$6+IF(ROW()=ROW(tblBuyerOutputs[#Headers])+1,0,INDEX(tblBuyerOutputs[Cumul Appr],ROW()-ROW(tblBuyerOutputs[#Headers])-1)))*$AK$2/12)</f>
        <v>0</v>
      </c>
      <c r="AE274" s="276">
        <f>IF(INDEX(tblContractForDeed[End Bal],ROW()-ROW(tblBuyerOutputs[#Headers]))&lt;=0,0,IF(ROW()=ROW(tblBuyerOutputs[#Headers])+1,0,INDEX(tblBuyerOutputs[Cumul Appr],ROW()-ROW(tblBuyerOutputs[#Headers])-1))+tblBuyerOutputs[[#This Row],[Monthly Appr]])</f>
        <v>0</v>
      </c>
    </row>
    <row r="275" spans="1:31" x14ac:dyDescent="0.25">
      <c r="A275" s="613" t="str">
        <f t="shared" si="49"/>
        <v xml:space="preserve"> </v>
      </c>
      <c r="B275" s="276">
        <f t="shared" si="47"/>
        <v>0</v>
      </c>
      <c r="C275" s="14">
        <f t="shared" si="45"/>
        <v>0</v>
      </c>
      <c r="D275" s="14">
        <f t="shared" si="50"/>
        <v>0</v>
      </c>
      <c r="E275" s="14">
        <f t="shared" si="46"/>
        <v>0</v>
      </c>
      <c r="F275" s="14">
        <f t="shared" si="59"/>
        <v>134.16999999999999</v>
      </c>
      <c r="G275" s="14">
        <f t="shared" si="59"/>
        <v>188.55</v>
      </c>
      <c r="H275" s="14">
        <f t="shared" si="58"/>
        <v>322.72000000000003</v>
      </c>
      <c r="I275" s="276">
        <f t="shared" si="51"/>
        <v>98158.279999999955</v>
      </c>
      <c r="J275" s="276">
        <f t="shared" si="52"/>
        <v>35884.000000000022</v>
      </c>
      <c r="K275" s="276">
        <f t="shared" si="53"/>
        <v>0</v>
      </c>
      <c r="L275" s="394">
        <f t="shared" si="56"/>
        <v>21</v>
      </c>
      <c r="M275" s="394">
        <f t="shared" si="48"/>
        <v>255</v>
      </c>
      <c r="N275" s="613" t="str">
        <f>INDEX(tblSubjectToLoan[Date],ROW()-ROW(tblContractForDeed[#Headers]))</f>
        <v xml:space="preserve"> </v>
      </c>
      <c r="O275" s="276">
        <f>IF(ROW()=ROW(tblContractForDeed[#Headers])+1,$O$6,IF(INDEX(tblContractForDeed[End Bal],ROW()-ROW(tblContractForDeed[#Headers])-1)&lt;0,0,INDEX(tblContractForDeed[End Bal],ROW()-ROW(tblContractForDeed[#Headers])-1)))</f>
        <v>0</v>
      </c>
      <c r="P275" s="454">
        <f>IF(tblContractForDeed[[#This Row],[Date]]="","",IF(tblContractForDeed[[#This Row],[Date]]&lt;cfdRateChangeDate,cfdRate1,cfdRate2))</f>
        <v>7.7499999999999999E-2</v>
      </c>
      <c r="Q2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467">
        <f>IF(INDEX(tblContractForDeed[Payment],ROW()-ROW(tblBuyerOutputs[#Headers]))=0,0,INDEX(tblContractForDeed[Payment],ROW()-ROW(tblBuyerOutputs[#Headers]))-INDEX(tblSubjectToLoan[Payment],ROW()-ROW(tblBuyerOutputs[#Headers])))</f>
        <v>0</v>
      </c>
      <c r="Z2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5" s="276">
        <f>IF(INDEX(tblContractForDeed[End Bal],ROW()-ROW(tblBuyerOutputs[#Headers]))&lt;=0,0,($O$6+IF(ROW()=ROW(tblBuyerOutputs[#Headers])+1,0,INDEX(tblBuyerOutputs[Cumul Appr],ROW()-ROW(tblBuyerOutputs[#Headers])-1)))*$AK$2/12)</f>
        <v>0</v>
      </c>
      <c r="AE275" s="276">
        <f>IF(INDEX(tblContractForDeed[End Bal],ROW()-ROW(tblBuyerOutputs[#Headers]))&lt;=0,0,IF(ROW()=ROW(tblBuyerOutputs[#Headers])+1,0,INDEX(tblBuyerOutputs[Cumul Appr],ROW()-ROW(tblBuyerOutputs[#Headers])-1))+tblBuyerOutputs[[#This Row],[Monthly Appr]])</f>
        <v>0</v>
      </c>
    </row>
    <row r="276" spans="1:31" x14ac:dyDescent="0.25">
      <c r="A276" s="613" t="str">
        <f t="shared" si="49"/>
        <v xml:space="preserve"> </v>
      </c>
      <c r="B276" s="276">
        <f t="shared" si="47"/>
        <v>0</v>
      </c>
      <c r="C276" s="14">
        <f t="shared" ref="C276:C339" si="60">IF(+$K275&lt;=0,0,$C$6)</f>
        <v>0</v>
      </c>
      <c r="D276" s="14">
        <f t="shared" si="50"/>
        <v>0</v>
      </c>
      <c r="E276" s="14">
        <f t="shared" ref="E276:E339" si="61">ROUND($B276*($C$4/12), 2)</f>
        <v>0</v>
      </c>
      <c r="F276" s="14">
        <f t="shared" si="59"/>
        <v>134.16999999999999</v>
      </c>
      <c r="G276" s="14">
        <f t="shared" si="59"/>
        <v>188.55</v>
      </c>
      <c r="H276" s="14">
        <f t="shared" si="58"/>
        <v>322.72000000000003</v>
      </c>
      <c r="I276" s="276">
        <f t="shared" si="51"/>
        <v>98158.279999999955</v>
      </c>
      <c r="J276" s="276">
        <f t="shared" si="52"/>
        <v>35884.000000000022</v>
      </c>
      <c r="K276" s="276">
        <f t="shared" si="53"/>
        <v>0</v>
      </c>
      <c r="L276" s="394">
        <f t="shared" si="56"/>
        <v>21</v>
      </c>
      <c r="M276" s="394">
        <f t="shared" si="48"/>
        <v>256</v>
      </c>
      <c r="N276" s="613" t="str">
        <f>INDEX(tblSubjectToLoan[Date],ROW()-ROW(tblContractForDeed[#Headers]))</f>
        <v xml:space="preserve"> </v>
      </c>
      <c r="O276" s="276">
        <f>IF(ROW()=ROW(tblContractForDeed[#Headers])+1,$O$6,IF(INDEX(tblContractForDeed[End Bal],ROW()-ROW(tblContractForDeed[#Headers])-1)&lt;0,0,INDEX(tblContractForDeed[End Bal],ROW()-ROW(tblContractForDeed[#Headers])-1)))</f>
        <v>0</v>
      </c>
      <c r="P276" s="454">
        <f>IF(tblContractForDeed[[#This Row],[Date]]="","",IF(tblContractForDeed[[#This Row],[Date]]&lt;cfdRateChangeDate,cfdRate1,cfdRate2))</f>
        <v>7.7499999999999999E-2</v>
      </c>
      <c r="Q2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467">
        <f>IF(INDEX(tblContractForDeed[Payment],ROW()-ROW(tblBuyerOutputs[#Headers]))=0,0,INDEX(tblContractForDeed[Payment],ROW()-ROW(tblBuyerOutputs[#Headers]))-INDEX(tblSubjectToLoan[Payment],ROW()-ROW(tblBuyerOutputs[#Headers])))</f>
        <v>0</v>
      </c>
      <c r="Z2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6" s="276">
        <f>IF(INDEX(tblContractForDeed[End Bal],ROW()-ROW(tblBuyerOutputs[#Headers]))&lt;=0,0,($O$6+IF(ROW()=ROW(tblBuyerOutputs[#Headers])+1,0,INDEX(tblBuyerOutputs[Cumul Appr],ROW()-ROW(tblBuyerOutputs[#Headers])-1)))*$AK$2/12)</f>
        <v>0</v>
      </c>
      <c r="AE276" s="276">
        <f>IF(INDEX(tblContractForDeed[End Bal],ROW()-ROW(tblBuyerOutputs[#Headers]))&lt;=0,0,IF(ROW()=ROW(tblBuyerOutputs[#Headers])+1,0,INDEX(tblBuyerOutputs[Cumul Appr],ROW()-ROW(tblBuyerOutputs[#Headers])-1))+tblBuyerOutputs[[#This Row],[Monthly Appr]])</f>
        <v>0</v>
      </c>
    </row>
    <row r="277" spans="1:31" x14ac:dyDescent="0.25">
      <c r="A277" s="613" t="str">
        <f t="shared" si="49"/>
        <v xml:space="preserve"> </v>
      </c>
      <c r="B277" s="276">
        <f t="shared" ref="B277:B340" si="62">IF(+K276&lt;0,0,+K276)</f>
        <v>0</v>
      </c>
      <c r="C277" s="14">
        <f t="shared" si="60"/>
        <v>0</v>
      </c>
      <c r="D277" s="14">
        <f t="shared" si="50"/>
        <v>0</v>
      </c>
      <c r="E277" s="14">
        <f t="shared" si="61"/>
        <v>0</v>
      </c>
      <c r="F277" s="14">
        <f t="shared" si="59"/>
        <v>134.16999999999999</v>
      </c>
      <c r="G277" s="14">
        <f t="shared" si="59"/>
        <v>188.55</v>
      </c>
      <c r="H277" s="14">
        <f t="shared" si="58"/>
        <v>322.72000000000003</v>
      </c>
      <c r="I277" s="276">
        <f t="shared" si="51"/>
        <v>98158.279999999955</v>
      </c>
      <c r="J277" s="276">
        <f t="shared" si="52"/>
        <v>35884.000000000022</v>
      </c>
      <c r="K277" s="276">
        <f t="shared" si="53"/>
        <v>0</v>
      </c>
      <c r="L277" s="394">
        <f t="shared" si="56"/>
        <v>21</v>
      </c>
      <c r="M277" s="394">
        <f t="shared" ref="M277:M340" si="63">IF($A277&lt;&gt;"",M276+1,0)</f>
        <v>257</v>
      </c>
      <c r="N277" s="613" t="str">
        <f>INDEX(tblSubjectToLoan[Date],ROW()-ROW(tblContractForDeed[#Headers]))</f>
        <v xml:space="preserve"> </v>
      </c>
      <c r="O277" s="276">
        <f>IF(ROW()=ROW(tblContractForDeed[#Headers])+1,$O$6,IF(INDEX(tblContractForDeed[End Bal],ROW()-ROW(tblContractForDeed[#Headers])-1)&lt;0,0,INDEX(tblContractForDeed[End Bal],ROW()-ROW(tblContractForDeed[#Headers])-1)))</f>
        <v>0</v>
      </c>
      <c r="P277" s="454">
        <f>IF(tblContractForDeed[[#This Row],[Date]]="","",IF(tblContractForDeed[[#This Row],[Date]]&lt;cfdRateChangeDate,cfdRate1,cfdRate2))</f>
        <v>7.7499999999999999E-2</v>
      </c>
      <c r="Q2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467">
        <f>IF(INDEX(tblContractForDeed[Payment],ROW()-ROW(tblBuyerOutputs[#Headers]))=0,0,INDEX(tblContractForDeed[Payment],ROW()-ROW(tblBuyerOutputs[#Headers]))-INDEX(tblSubjectToLoan[Payment],ROW()-ROW(tblBuyerOutputs[#Headers])))</f>
        <v>0</v>
      </c>
      <c r="Z2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7" s="276">
        <f>IF(INDEX(tblContractForDeed[End Bal],ROW()-ROW(tblBuyerOutputs[#Headers]))&lt;=0,0,($O$6+IF(ROW()=ROW(tblBuyerOutputs[#Headers])+1,0,INDEX(tblBuyerOutputs[Cumul Appr],ROW()-ROW(tblBuyerOutputs[#Headers])-1)))*$AK$2/12)</f>
        <v>0</v>
      </c>
      <c r="AE277" s="276">
        <f>IF(INDEX(tblContractForDeed[End Bal],ROW()-ROW(tblBuyerOutputs[#Headers]))&lt;=0,0,IF(ROW()=ROW(tblBuyerOutputs[#Headers])+1,0,INDEX(tblBuyerOutputs[Cumul Appr],ROW()-ROW(tblBuyerOutputs[#Headers])-1))+tblBuyerOutputs[[#This Row],[Monthly Appr]])</f>
        <v>0</v>
      </c>
    </row>
    <row r="278" spans="1:31" x14ac:dyDescent="0.25">
      <c r="A278" s="613" t="str">
        <f t="shared" ref="A278:A341" si="64">IF(K278&lt;=0," ",+A277+30)</f>
        <v xml:space="preserve"> </v>
      </c>
      <c r="B278" s="276">
        <f t="shared" si="62"/>
        <v>0</v>
      </c>
      <c r="C278" s="14">
        <f t="shared" si="60"/>
        <v>0</v>
      </c>
      <c r="D278" s="14">
        <f t="shared" ref="D278:D341" si="65">+C278-E278</f>
        <v>0</v>
      </c>
      <c r="E278" s="14">
        <f t="shared" si="61"/>
        <v>0</v>
      </c>
      <c r="F278" s="14">
        <f t="shared" si="59"/>
        <v>134.16999999999999</v>
      </c>
      <c r="G278" s="14">
        <f t="shared" si="59"/>
        <v>188.55</v>
      </c>
      <c r="H278" s="14">
        <f t="shared" si="58"/>
        <v>322.72000000000003</v>
      </c>
      <c r="I278" s="276">
        <f t="shared" ref="I278:I341" si="66">$D278+$I277</f>
        <v>98158.279999999955</v>
      </c>
      <c r="J278" s="276">
        <f t="shared" ref="J278:J341" si="67">$E278+$J277</f>
        <v>35884.000000000022</v>
      </c>
      <c r="K278" s="276">
        <f t="shared" ref="K278:K341" si="68">+B278-D278</f>
        <v>0</v>
      </c>
      <c r="L278" s="394">
        <f t="shared" si="56"/>
        <v>21</v>
      </c>
      <c r="M278" s="394">
        <f t="shared" si="63"/>
        <v>258</v>
      </c>
      <c r="N278" s="613" t="str">
        <f>INDEX(tblSubjectToLoan[Date],ROW()-ROW(tblContractForDeed[#Headers]))</f>
        <v xml:space="preserve"> </v>
      </c>
      <c r="O278" s="276">
        <f>IF(ROW()=ROW(tblContractForDeed[#Headers])+1,$O$6,IF(INDEX(tblContractForDeed[End Bal],ROW()-ROW(tblContractForDeed[#Headers])-1)&lt;0,0,INDEX(tblContractForDeed[End Bal],ROW()-ROW(tblContractForDeed[#Headers])-1)))</f>
        <v>0</v>
      </c>
      <c r="P278" s="454">
        <f>IF(tblContractForDeed[[#This Row],[Date]]="","",IF(tblContractForDeed[[#This Row],[Date]]&lt;cfdRateChangeDate,cfdRate1,cfdRate2))</f>
        <v>7.7499999999999999E-2</v>
      </c>
      <c r="Q2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467">
        <f>IF(INDEX(tblContractForDeed[Payment],ROW()-ROW(tblBuyerOutputs[#Headers]))=0,0,INDEX(tblContractForDeed[Payment],ROW()-ROW(tblBuyerOutputs[#Headers]))-INDEX(tblSubjectToLoan[Payment],ROW()-ROW(tblBuyerOutputs[#Headers])))</f>
        <v>0</v>
      </c>
      <c r="Z2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8" s="276">
        <f>IF(INDEX(tblContractForDeed[End Bal],ROW()-ROW(tblBuyerOutputs[#Headers]))&lt;=0,0,($O$6+IF(ROW()=ROW(tblBuyerOutputs[#Headers])+1,0,INDEX(tblBuyerOutputs[Cumul Appr],ROW()-ROW(tblBuyerOutputs[#Headers])-1)))*$AK$2/12)</f>
        <v>0</v>
      </c>
      <c r="AE278" s="276">
        <f>IF(INDEX(tblContractForDeed[End Bal],ROW()-ROW(tblBuyerOutputs[#Headers]))&lt;=0,0,IF(ROW()=ROW(tblBuyerOutputs[#Headers])+1,0,INDEX(tblBuyerOutputs[Cumul Appr],ROW()-ROW(tblBuyerOutputs[#Headers])-1))+tblBuyerOutputs[[#This Row],[Monthly Appr]])</f>
        <v>0</v>
      </c>
    </row>
    <row r="279" spans="1:31" x14ac:dyDescent="0.25">
      <c r="A279" s="613" t="str">
        <f t="shared" si="64"/>
        <v xml:space="preserve"> </v>
      </c>
      <c r="B279" s="276">
        <f t="shared" si="62"/>
        <v>0</v>
      </c>
      <c r="C279" s="14">
        <f t="shared" si="60"/>
        <v>0</v>
      </c>
      <c r="D279" s="14">
        <f t="shared" si="65"/>
        <v>0</v>
      </c>
      <c r="E279" s="14">
        <f t="shared" si="61"/>
        <v>0</v>
      </c>
      <c r="F279" s="14">
        <f t="shared" si="59"/>
        <v>134.16999999999999</v>
      </c>
      <c r="G279" s="14">
        <f t="shared" si="59"/>
        <v>188.55</v>
      </c>
      <c r="H279" s="14">
        <f t="shared" si="58"/>
        <v>322.72000000000003</v>
      </c>
      <c r="I279" s="276">
        <f t="shared" si="66"/>
        <v>98158.279999999955</v>
      </c>
      <c r="J279" s="276">
        <f t="shared" si="67"/>
        <v>35884.000000000022</v>
      </c>
      <c r="K279" s="276">
        <f t="shared" si="68"/>
        <v>0</v>
      </c>
      <c r="L279" s="394">
        <f t="shared" si="56"/>
        <v>21</v>
      </c>
      <c r="M279" s="394">
        <f t="shared" si="63"/>
        <v>259</v>
      </c>
      <c r="N279" s="613" t="str">
        <f>INDEX(tblSubjectToLoan[Date],ROW()-ROW(tblContractForDeed[#Headers]))</f>
        <v xml:space="preserve"> </v>
      </c>
      <c r="O279" s="276">
        <f>IF(ROW()=ROW(tblContractForDeed[#Headers])+1,$O$6,IF(INDEX(tblContractForDeed[End Bal],ROW()-ROW(tblContractForDeed[#Headers])-1)&lt;0,0,INDEX(tblContractForDeed[End Bal],ROW()-ROW(tblContractForDeed[#Headers])-1)))</f>
        <v>0</v>
      </c>
      <c r="P279" s="454">
        <f>IF(tblContractForDeed[[#This Row],[Date]]="","",IF(tblContractForDeed[[#This Row],[Date]]&lt;cfdRateChangeDate,cfdRate1,cfdRate2))</f>
        <v>7.7499999999999999E-2</v>
      </c>
      <c r="Q2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467">
        <f>IF(INDEX(tblContractForDeed[Payment],ROW()-ROW(tblBuyerOutputs[#Headers]))=0,0,INDEX(tblContractForDeed[Payment],ROW()-ROW(tblBuyerOutputs[#Headers]))-INDEX(tblSubjectToLoan[Payment],ROW()-ROW(tblBuyerOutputs[#Headers])))</f>
        <v>0</v>
      </c>
      <c r="Z2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9" s="276">
        <f>IF(INDEX(tblContractForDeed[End Bal],ROW()-ROW(tblBuyerOutputs[#Headers]))&lt;=0,0,($O$6+IF(ROW()=ROW(tblBuyerOutputs[#Headers])+1,0,INDEX(tblBuyerOutputs[Cumul Appr],ROW()-ROW(tblBuyerOutputs[#Headers])-1)))*$AK$2/12)</f>
        <v>0</v>
      </c>
      <c r="AE279" s="276">
        <f>IF(INDEX(tblContractForDeed[End Bal],ROW()-ROW(tblBuyerOutputs[#Headers]))&lt;=0,0,IF(ROW()=ROW(tblBuyerOutputs[#Headers])+1,0,INDEX(tblBuyerOutputs[Cumul Appr],ROW()-ROW(tblBuyerOutputs[#Headers])-1))+tblBuyerOutputs[[#This Row],[Monthly Appr]])</f>
        <v>0</v>
      </c>
    </row>
    <row r="280" spans="1:31" x14ac:dyDescent="0.25">
      <c r="A280" s="613" t="str">
        <f t="shared" si="64"/>
        <v xml:space="preserve"> </v>
      </c>
      <c r="B280" s="276">
        <f t="shared" si="62"/>
        <v>0</v>
      </c>
      <c r="C280" s="14">
        <f t="shared" si="60"/>
        <v>0</v>
      </c>
      <c r="D280" s="14">
        <f t="shared" si="65"/>
        <v>0</v>
      </c>
      <c r="E280" s="14">
        <f t="shared" si="61"/>
        <v>0</v>
      </c>
      <c r="F280" s="14">
        <f t="shared" si="59"/>
        <v>134.16999999999999</v>
      </c>
      <c r="G280" s="14">
        <f t="shared" si="59"/>
        <v>188.55</v>
      </c>
      <c r="H280" s="14">
        <f t="shared" si="58"/>
        <v>322.72000000000003</v>
      </c>
      <c r="I280" s="276">
        <f t="shared" si="66"/>
        <v>98158.279999999955</v>
      </c>
      <c r="J280" s="276">
        <f t="shared" si="67"/>
        <v>35884.000000000022</v>
      </c>
      <c r="K280" s="276">
        <f t="shared" si="68"/>
        <v>0</v>
      </c>
      <c r="L280" s="394">
        <f t="shared" si="56"/>
        <v>21</v>
      </c>
      <c r="M280" s="394">
        <f t="shared" si="63"/>
        <v>260</v>
      </c>
      <c r="N280" s="613" t="str">
        <f>INDEX(tblSubjectToLoan[Date],ROW()-ROW(tblContractForDeed[#Headers]))</f>
        <v xml:space="preserve"> </v>
      </c>
      <c r="O280" s="276">
        <f>IF(ROW()=ROW(tblContractForDeed[#Headers])+1,$O$6,IF(INDEX(tblContractForDeed[End Bal],ROW()-ROW(tblContractForDeed[#Headers])-1)&lt;0,0,INDEX(tblContractForDeed[End Bal],ROW()-ROW(tblContractForDeed[#Headers])-1)))</f>
        <v>0</v>
      </c>
      <c r="P280" s="454">
        <f>IF(tblContractForDeed[[#This Row],[Date]]="","",IF(tblContractForDeed[[#This Row],[Date]]&lt;cfdRateChangeDate,cfdRate1,cfdRate2))</f>
        <v>7.7499999999999999E-2</v>
      </c>
      <c r="Q2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467">
        <f>IF(INDEX(tblContractForDeed[Payment],ROW()-ROW(tblBuyerOutputs[#Headers]))=0,0,INDEX(tblContractForDeed[Payment],ROW()-ROW(tblBuyerOutputs[#Headers]))-INDEX(tblSubjectToLoan[Payment],ROW()-ROW(tblBuyerOutputs[#Headers])))</f>
        <v>0</v>
      </c>
      <c r="Z2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0" s="276">
        <f>IF(INDEX(tblContractForDeed[End Bal],ROW()-ROW(tblBuyerOutputs[#Headers]))&lt;=0,0,($O$6+IF(ROW()=ROW(tblBuyerOutputs[#Headers])+1,0,INDEX(tblBuyerOutputs[Cumul Appr],ROW()-ROW(tblBuyerOutputs[#Headers])-1)))*$AK$2/12)</f>
        <v>0</v>
      </c>
      <c r="AE280" s="276">
        <f>IF(INDEX(tblContractForDeed[End Bal],ROW()-ROW(tblBuyerOutputs[#Headers]))&lt;=0,0,IF(ROW()=ROW(tblBuyerOutputs[#Headers])+1,0,INDEX(tblBuyerOutputs[Cumul Appr],ROW()-ROW(tblBuyerOutputs[#Headers])-1))+tblBuyerOutputs[[#This Row],[Monthly Appr]])</f>
        <v>0</v>
      </c>
    </row>
    <row r="281" spans="1:31" x14ac:dyDescent="0.25">
      <c r="A281" s="613" t="str">
        <f t="shared" si="64"/>
        <v xml:space="preserve"> </v>
      </c>
      <c r="B281" s="276">
        <f t="shared" si="62"/>
        <v>0</v>
      </c>
      <c r="C281" s="14">
        <f t="shared" si="60"/>
        <v>0</v>
      </c>
      <c r="D281" s="14">
        <f t="shared" si="65"/>
        <v>0</v>
      </c>
      <c r="E281" s="14">
        <f t="shared" si="61"/>
        <v>0</v>
      </c>
      <c r="F281" s="14">
        <f t="shared" si="59"/>
        <v>134.16999999999999</v>
      </c>
      <c r="G281" s="14">
        <f t="shared" si="59"/>
        <v>188.55</v>
      </c>
      <c r="H281" s="14">
        <f t="shared" si="58"/>
        <v>322.72000000000003</v>
      </c>
      <c r="I281" s="276">
        <f t="shared" si="66"/>
        <v>98158.279999999955</v>
      </c>
      <c r="J281" s="276">
        <f t="shared" si="67"/>
        <v>35884.000000000022</v>
      </c>
      <c r="K281" s="276">
        <f t="shared" si="68"/>
        <v>0</v>
      </c>
      <c r="L281" s="394">
        <f t="shared" si="56"/>
        <v>21</v>
      </c>
      <c r="M281" s="394">
        <f t="shared" si="63"/>
        <v>261</v>
      </c>
      <c r="N281" s="613" t="str">
        <f>INDEX(tblSubjectToLoan[Date],ROW()-ROW(tblContractForDeed[#Headers]))</f>
        <v xml:space="preserve"> </v>
      </c>
      <c r="O281" s="276">
        <f>IF(ROW()=ROW(tblContractForDeed[#Headers])+1,$O$6,IF(INDEX(tblContractForDeed[End Bal],ROW()-ROW(tblContractForDeed[#Headers])-1)&lt;0,0,INDEX(tblContractForDeed[End Bal],ROW()-ROW(tblContractForDeed[#Headers])-1)))</f>
        <v>0</v>
      </c>
      <c r="P281" s="454">
        <f>IF(tblContractForDeed[[#This Row],[Date]]="","",IF(tblContractForDeed[[#This Row],[Date]]&lt;cfdRateChangeDate,cfdRate1,cfdRate2))</f>
        <v>7.7499999999999999E-2</v>
      </c>
      <c r="Q2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467">
        <f>IF(INDEX(tblContractForDeed[Payment],ROW()-ROW(tblBuyerOutputs[#Headers]))=0,0,INDEX(tblContractForDeed[Payment],ROW()-ROW(tblBuyerOutputs[#Headers]))-INDEX(tblSubjectToLoan[Payment],ROW()-ROW(tblBuyerOutputs[#Headers])))</f>
        <v>0</v>
      </c>
      <c r="Z2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1" s="276">
        <f>IF(INDEX(tblContractForDeed[End Bal],ROW()-ROW(tblBuyerOutputs[#Headers]))&lt;=0,0,($O$6+IF(ROW()=ROW(tblBuyerOutputs[#Headers])+1,0,INDEX(tblBuyerOutputs[Cumul Appr],ROW()-ROW(tblBuyerOutputs[#Headers])-1)))*$AK$2/12)</f>
        <v>0</v>
      </c>
      <c r="AE281" s="276">
        <f>IF(INDEX(tblContractForDeed[End Bal],ROW()-ROW(tblBuyerOutputs[#Headers]))&lt;=0,0,IF(ROW()=ROW(tblBuyerOutputs[#Headers])+1,0,INDEX(tblBuyerOutputs[Cumul Appr],ROW()-ROW(tblBuyerOutputs[#Headers])-1))+tblBuyerOutputs[[#This Row],[Monthly Appr]])</f>
        <v>0</v>
      </c>
    </row>
    <row r="282" spans="1:31" x14ac:dyDescent="0.25">
      <c r="A282" s="613" t="str">
        <f t="shared" si="64"/>
        <v xml:space="preserve"> </v>
      </c>
      <c r="B282" s="276">
        <f t="shared" si="62"/>
        <v>0</v>
      </c>
      <c r="C282" s="14">
        <f t="shared" si="60"/>
        <v>0</v>
      </c>
      <c r="D282" s="14">
        <f t="shared" si="65"/>
        <v>0</v>
      </c>
      <c r="E282" s="14">
        <f t="shared" si="61"/>
        <v>0</v>
      </c>
      <c r="F282" s="14">
        <f t="shared" si="59"/>
        <v>134.16999999999999</v>
      </c>
      <c r="G282" s="14">
        <f t="shared" si="59"/>
        <v>188.55</v>
      </c>
      <c r="H282" s="14">
        <f t="shared" si="58"/>
        <v>322.72000000000003</v>
      </c>
      <c r="I282" s="276">
        <f t="shared" si="66"/>
        <v>98158.279999999955</v>
      </c>
      <c r="J282" s="276">
        <f t="shared" si="67"/>
        <v>35884.000000000022</v>
      </c>
      <c r="K282" s="276">
        <f t="shared" si="68"/>
        <v>0</v>
      </c>
      <c r="L282" s="394">
        <f t="shared" si="56"/>
        <v>21</v>
      </c>
      <c r="M282" s="394">
        <f t="shared" si="63"/>
        <v>262</v>
      </c>
      <c r="N282" s="613" t="str">
        <f>INDEX(tblSubjectToLoan[Date],ROW()-ROW(tblContractForDeed[#Headers]))</f>
        <v xml:space="preserve"> </v>
      </c>
      <c r="O282" s="276">
        <f>IF(ROW()=ROW(tblContractForDeed[#Headers])+1,$O$6,IF(INDEX(tblContractForDeed[End Bal],ROW()-ROW(tblContractForDeed[#Headers])-1)&lt;0,0,INDEX(tblContractForDeed[End Bal],ROW()-ROW(tblContractForDeed[#Headers])-1)))</f>
        <v>0</v>
      </c>
      <c r="P282" s="454">
        <f>IF(tblContractForDeed[[#This Row],[Date]]="","",IF(tblContractForDeed[[#This Row],[Date]]&lt;cfdRateChangeDate,cfdRate1,cfdRate2))</f>
        <v>7.7499999999999999E-2</v>
      </c>
      <c r="Q2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467">
        <f>IF(INDEX(tblContractForDeed[Payment],ROW()-ROW(tblBuyerOutputs[#Headers]))=0,0,INDEX(tblContractForDeed[Payment],ROW()-ROW(tblBuyerOutputs[#Headers]))-INDEX(tblSubjectToLoan[Payment],ROW()-ROW(tblBuyerOutputs[#Headers])))</f>
        <v>0</v>
      </c>
      <c r="Z2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2" s="276">
        <f>IF(INDEX(tblContractForDeed[End Bal],ROW()-ROW(tblBuyerOutputs[#Headers]))&lt;=0,0,($O$6+IF(ROW()=ROW(tblBuyerOutputs[#Headers])+1,0,INDEX(tblBuyerOutputs[Cumul Appr],ROW()-ROW(tblBuyerOutputs[#Headers])-1)))*$AK$2/12)</f>
        <v>0</v>
      </c>
      <c r="AE282" s="276">
        <f>IF(INDEX(tblContractForDeed[End Bal],ROW()-ROW(tblBuyerOutputs[#Headers]))&lt;=0,0,IF(ROW()=ROW(tblBuyerOutputs[#Headers])+1,0,INDEX(tblBuyerOutputs[Cumul Appr],ROW()-ROW(tblBuyerOutputs[#Headers])-1))+tblBuyerOutputs[[#This Row],[Monthly Appr]])</f>
        <v>0</v>
      </c>
    </row>
    <row r="283" spans="1:31" ht="15.75" thickBot="1" x14ac:dyDescent="0.3">
      <c r="A283" s="615" t="str">
        <f t="shared" si="64"/>
        <v xml:space="preserve"> </v>
      </c>
      <c r="B283" s="332">
        <f t="shared" si="62"/>
        <v>0</v>
      </c>
      <c r="C283" s="21">
        <f t="shared" si="60"/>
        <v>0</v>
      </c>
      <c r="D283" s="21">
        <f t="shared" si="65"/>
        <v>0</v>
      </c>
      <c r="E283" s="21">
        <f t="shared" si="61"/>
        <v>0</v>
      </c>
      <c r="F283" s="21">
        <f t="shared" si="59"/>
        <v>134.16999999999999</v>
      </c>
      <c r="G283" s="21">
        <f t="shared" si="59"/>
        <v>188.55</v>
      </c>
      <c r="H283" s="21">
        <f t="shared" si="58"/>
        <v>322.72000000000003</v>
      </c>
      <c r="I283" s="332">
        <f t="shared" si="66"/>
        <v>98158.279999999955</v>
      </c>
      <c r="J283" s="332">
        <f t="shared" si="67"/>
        <v>35884.000000000022</v>
      </c>
      <c r="K283" s="332">
        <f t="shared" si="68"/>
        <v>0</v>
      </c>
      <c r="L283" s="395">
        <f t="shared" si="56"/>
        <v>21</v>
      </c>
      <c r="M283" s="395">
        <f t="shared" si="63"/>
        <v>263</v>
      </c>
      <c r="N283" s="615" t="str">
        <f>INDEX(tblSubjectToLoan[Date],ROW()-ROW(tblContractForDeed[#Headers]))</f>
        <v xml:space="preserve"> </v>
      </c>
      <c r="O283" s="332">
        <f>IF(ROW()=ROW(tblContractForDeed[#Headers])+1,$O$6,IF(INDEX(tblContractForDeed[End Bal],ROW()-ROW(tblContractForDeed[#Headers])-1)&lt;0,0,INDEX(tblContractForDeed[End Bal],ROW()-ROW(tblContractForDeed[#Headers])-1)))</f>
        <v>0</v>
      </c>
      <c r="P283" s="454">
        <f>IF(tblContractForDeed[[#This Row],[Date]]="","",IF(tblContractForDeed[[#This Row],[Date]]&lt;cfdRateChangeDate,cfdRate1,cfdRate2))</f>
        <v>7.7499999999999999E-2</v>
      </c>
      <c r="Q2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468">
        <f>IF(INDEX(tblContractForDeed[Payment],ROW()-ROW(tblBuyerOutputs[#Headers]))=0,0,INDEX(tblContractForDeed[Payment],ROW()-ROW(tblBuyerOutputs[#Headers]))-INDEX(tblSubjectToLoan[Payment],ROW()-ROW(tblBuyerOutputs[#Headers])))</f>
        <v>0</v>
      </c>
      <c r="Z2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3" s="332">
        <f>IF(INDEX(tblContractForDeed[End Bal],ROW()-ROW(tblBuyerOutputs[#Headers]))&lt;=0,0,($O$6+IF(ROW()=ROW(tblBuyerOutputs[#Headers])+1,0,INDEX(tblBuyerOutputs[Cumul Appr],ROW()-ROW(tblBuyerOutputs[#Headers])-1)))*$AK$2/12)</f>
        <v>0</v>
      </c>
      <c r="AE283" s="332">
        <f>IF(INDEX(tblContractForDeed[End Bal],ROW()-ROW(tblBuyerOutputs[#Headers]))&lt;=0,0,IF(ROW()=ROW(tblBuyerOutputs[#Headers])+1,0,INDEX(tblBuyerOutputs[Cumul Appr],ROW()-ROW(tblBuyerOutputs[#Headers])-1))+tblBuyerOutputs[[#This Row],[Monthly Appr]])</f>
        <v>0</v>
      </c>
    </row>
    <row r="284" spans="1:31" x14ac:dyDescent="0.25">
      <c r="A284" s="613" t="str">
        <f t="shared" si="64"/>
        <v xml:space="preserve"> </v>
      </c>
      <c r="B284" s="276">
        <f t="shared" si="62"/>
        <v>0</v>
      </c>
      <c r="C284" s="14">
        <f t="shared" si="60"/>
        <v>0</v>
      </c>
      <c r="D284" s="14">
        <f t="shared" si="65"/>
        <v>0</v>
      </c>
      <c r="E284" s="14">
        <f t="shared" si="61"/>
        <v>0</v>
      </c>
      <c r="F284" s="14">
        <f t="shared" si="59"/>
        <v>134.16999999999999</v>
      </c>
      <c r="G284" s="14">
        <f t="shared" si="59"/>
        <v>188.55</v>
      </c>
      <c r="H284" s="14">
        <f t="shared" si="58"/>
        <v>322.72000000000003</v>
      </c>
      <c r="I284" s="276">
        <f t="shared" si="66"/>
        <v>98158.279999999955</v>
      </c>
      <c r="J284" s="276">
        <f t="shared" si="67"/>
        <v>35884.000000000022</v>
      </c>
      <c r="K284" s="276">
        <f t="shared" si="68"/>
        <v>0</v>
      </c>
      <c r="L284" s="394">
        <f t="shared" si="56"/>
        <v>22</v>
      </c>
      <c r="M284" s="394">
        <f t="shared" si="63"/>
        <v>264</v>
      </c>
      <c r="N284" s="613" t="str">
        <f>INDEX(tblSubjectToLoan[Date],ROW()-ROW(tblContractForDeed[#Headers]))</f>
        <v xml:space="preserve"> </v>
      </c>
      <c r="O284" s="276">
        <f>IF(ROW()=ROW(tblContractForDeed[#Headers])+1,$O$6,IF(INDEX(tblContractForDeed[End Bal],ROW()-ROW(tblContractForDeed[#Headers])-1)&lt;0,0,INDEX(tblContractForDeed[End Bal],ROW()-ROW(tblContractForDeed[#Headers])-1)))</f>
        <v>0</v>
      </c>
      <c r="P284" s="454">
        <f>IF(tblContractForDeed[[#This Row],[Date]]="","",IF(tblContractForDeed[[#This Row],[Date]]&lt;cfdRateChangeDate,cfdRate1,cfdRate2))</f>
        <v>7.7499999999999999E-2</v>
      </c>
      <c r="Q2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467">
        <f>IF(INDEX(tblContractForDeed[Payment],ROW()-ROW(tblBuyerOutputs[#Headers]))=0,0,INDEX(tblContractForDeed[Payment],ROW()-ROW(tblBuyerOutputs[#Headers]))-INDEX(tblSubjectToLoan[Payment],ROW()-ROW(tblBuyerOutputs[#Headers])))</f>
        <v>0</v>
      </c>
      <c r="Z2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4" s="276">
        <f>IF(INDEX(tblContractForDeed[End Bal],ROW()-ROW(tblBuyerOutputs[#Headers]))&lt;=0,0,($O$6+IF(ROW()=ROW(tblBuyerOutputs[#Headers])+1,0,INDEX(tblBuyerOutputs[Cumul Appr],ROW()-ROW(tblBuyerOutputs[#Headers])-1)))*$AK$2/12)</f>
        <v>0</v>
      </c>
      <c r="AE284" s="276">
        <f>IF(INDEX(tblContractForDeed[End Bal],ROW()-ROW(tblBuyerOutputs[#Headers]))&lt;=0,0,IF(ROW()=ROW(tblBuyerOutputs[#Headers])+1,0,INDEX(tblBuyerOutputs[Cumul Appr],ROW()-ROW(tblBuyerOutputs[#Headers])-1))+tblBuyerOutputs[[#This Row],[Monthly Appr]])</f>
        <v>0</v>
      </c>
    </row>
    <row r="285" spans="1:31" x14ac:dyDescent="0.25">
      <c r="A285" s="613" t="str">
        <f t="shared" si="64"/>
        <v xml:space="preserve"> </v>
      </c>
      <c r="B285" s="276">
        <f t="shared" si="62"/>
        <v>0</v>
      </c>
      <c r="C285" s="14">
        <f t="shared" si="60"/>
        <v>0</v>
      </c>
      <c r="D285" s="14">
        <f t="shared" si="65"/>
        <v>0</v>
      </c>
      <c r="E285" s="14">
        <f t="shared" si="61"/>
        <v>0</v>
      </c>
      <c r="F285" s="14">
        <f t="shared" si="59"/>
        <v>134.16999999999999</v>
      </c>
      <c r="G285" s="14">
        <f t="shared" si="59"/>
        <v>188.55</v>
      </c>
      <c r="H285" s="14">
        <f t="shared" si="58"/>
        <v>322.72000000000003</v>
      </c>
      <c r="I285" s="276">
        <f t="shared" si="66"/>
        <v>98158.279999999955</v>
      </c>
      <c r="J285" s="276">
        <f t="shared" si="67"/>
        <v>35884.000000000022</v>
      </c>
      <c r="K285" s="276">
        <f t="shared" si="68"/>
        <v>0</v>
      </c>
      <c r="L285" s="394">
        <f t="shared" si="56"/>
        <v>22</v>
      </c>
      <c r="M285" s="394">
        <f t="shared" si="63"/>
        <v>265</v>
      </c>
      <c r="N285" s="613" t="str">
        <f>INDEX(tblSubjectToLoan[Date],ROW()-ROW(tblContractForDeed[#Headers]))</f>
        <v xml:space="preserve"> </v>
      </c>
      <c r="O285" s="276">
        <f>IF(ROW()=ROW(tblContractForDeed[#Headers])+1,$O$6,IF(INDEX(tblContractForDeed[End Bal],ROW()-ROW(tblContractForDeed[#Headers])-1)&lt;0,0,INDEX(tblContractForDeed[End Bal],ROW()-ROW(tblContractForDeed[#Headers])-1)))</f>
        <v>0</v>
      </c>
      <c r="P285" s="454">
        <f>IF(tblContractForDeed[[#This Row],[Date]]="","",IF(tblContractForDeed[[#This Row],[Date]]&lt;cfdRateChangeDate,cfdRate1,cfdRate2))</f>
        <v>7.7499999999999999E-2</v>
      </c>
      <c r="Q2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467">
        <f>IF(INDEX(tblContractForDeed[Payment],ROW()-ROW(tblBuyerOutputs[#Headers]))=0,0,INDEX(tblContractForDeed[Payment],ROW()-ROW(tblBuyerOutputs[#Headers]))-INDEX(tblSubjectToLoan[Payment],ROW()-ROW(tblBuyerOutputs[#Headers])))</f>
        <v>0</v>
      </c>
      <c r="Z2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5" s="276">
        <f>IF(INDEX(tblContractForDeed[End Bal],ROW()-ROW(tblBuyerOutputs[#Headers]))&lt;=0,0,($O$6+IF(ROW()=ROW(tblBuyerOutputs[#Headers])+1,0,INDEX(tblBuyerOutputs[Cumul Appr],ROW()-ROW(tblBuyerOutputs[#Headers])-1)))*$AK$2/12)</f>
        <v>0</v>
      </c>
      <c r="AE285" s="276">
        <f>IF(INDEX(tblContractForDeed[End Bal],ROW()-ROW(tblBuyerOutputs[#Headers]))&lt;=0,0,IF(ROW()=ROW(tblBuyerOutputs[#Headers])+1,0,INDEX(tblBuyerOutputs[Cumul Appr],ROW()-ROW(tblBuyerOutputs[#Headers])-1))+tblBuyerOutputs[[#This Row],[Monthly Appr]])</f>
        <v>0</v>
      </c>
    </row>
    <row r="286" spans="1:31" x14ac:dyDescent="0.25">
      <c r="A286" s="613" t="str">
        <f t="shared" si="64"/>
        <v xml:space="preserve"> </v>
      </c>
      <c r="B286" s="276">
        <f t="shared" si="62"/>
        <v>0</v>
      </c>
      <c r="C286" s="14">
        <f t="shared" si="60"/>
        <v>0</v>
      </c>
      <c r="D286" s="14">
        <f t="shared" si="65"/>
        <v>0</v>
      </c>
      <c r="E286" s="14">
        <f t="shared" si="61"/>
        <v>0</v>
      </c>
      <c r="F286" s="14">
        <f t="shared" si="59"/>
        <v>134.16999999999999</v>
      </c>
      <c r="G286" s="14">
        <f t="shared" si="59"/>
        <v>188.55</v>
      </c>
      <c r="H286" s="14">
        <f t="shared" si="58"/>
        <v>322.72000000000003</v>
      </c>
      <c r="I286" s="276">
        <f t="shared" si="66"/>
        <v>98158.279999999955</v>
      </c>
      <c r="J286" s="276">
        <f t="shared" si="67"/>
        <v>35884.000000000022</v>
      </c>
      <c r="K286" s="276">
        <f t="shared" si="68"/>
        <v>0</v>
      </c>
      <c r="L286" s="394">
        <f t="shared" si="56"/>
        <v>22</v>
      </c>
      <c r="M286" s="394">
        <f t="shared" si="63"/>
        <v>266</v>
      </c>
      <c r="N286" s="613" t="str">
        <f>INDEX(tblSubjectToLoan[Date],ROW()-ROW(tblContractForDeed[#Headers]))</f>
        <v xml:space="preserve"> </v>
      </c>
      <c r="O286" s="276">
        <f>IF(ROW()=ROW(tblContractForDeed[#Headers])+1,$O$6,IF(INDEX(tblContractForDeed[End Bal],ROW()-ROW(tblContractForDeed[#Headers])-1)&lt;0,0,INDEX(tblContractForDeed[End Bal],ROW()-ROW(tblContractForDeed[#Headers])-1)))</f>
        <v>0</v>
      </c>
      <c r="P286" s="454">
        <f>IF(tblContractForDeed[[#This Row],[Date]]="","",IF(tblContractForDeed[[#This Row],[Date]]&lt;cfdRateChangeDate,cfdRate1,cfdRate2))</f>
        <v>7.7499999999999999E-2</v>
      </c>
      <c r="Q2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467">
        <f>IF(INDEX(tblContractForDeed[Payment],ROW()-ROW(tblBuyerOutputs[#Headers]))=0,0,INDEX(tblContractForDeed[Payment],ROW()-ROW(tblBuyerOutputs[#Headers]))-INDEX(tblSubjectToLoan[Payment],ROW()-ROW(tblBuyerOutputs[#Headers])))</f>
        <v>0</v>
      </c>
      <c r="Z2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6" s="276">
        <f>IF(INDEX(tblContractForDeed[End Bal],ROW()-ROW(tblBuyerOutputs[#Headers]))&lt;=0,0,($O$6+IF(ROW()=ROW(tblBuyerOutputs[#Headers])+1,0,INDEX(tblBuyerOutputs[Cumul Appr],ROW()-ROW(tblBuyerOutputs[#Headers])-1)))*$AK$2/12)</f>
        <v>0</v>
      </c>
      <c r="AE286" s="276">
        <f>IF(INDEX(tblContractForDeed[End Bal],ROW()-ROW(tblBuyerOutputs[#Headers]))&lt;=0,0,IF(ROW()=ROW(tblBuyerOutputs[#Headers])+1,0,INDEX(tblBuyerOutputs[Cumul Appr],ROW()-ROW(tblBuyerOutputs[#Headers])-1))+tblBuyerOutputs[[#This Row],[Monthly Appr]])</f>
        <v>0</v>
      </c>
    </row>
    <row r="287" spans="1:31" x14ac:dyDescent="0.25">
      <c r="A287" s="613" t="str">
        <f t="shared" si="64"/>
        <v xml:space="preserve"> </v>
      </c>
      <c r="B287" s="276">
        <f t="shared" si="62"/>
        <v>0</v>
      </c>
      <c r="C287" s="14">
        <f t="shared" si="60"/>
        <v>0</v>
      </c>
      <c r="D287" s="14">
        <f t="shared" si="65"/>
        <v>0</v>
      </c>
      <c r="E287" s="14">
        <f t="shared" si="61"/>
        <v>0</v>
      </c>
      <c r="F287" s="14">
        <f t="shared" ref="F287:G302" si="69">+F286</f>
        <v>134.16999999999999</v>
      </c>
      <c r="G287" s="14">
        <f t="shared" si="69"/>
        <v>188.55</v>
      </c>
      <c r="H287" s="14">
        <f t="shared" si="58"/>
        <v>322.72000000000003</v>
      </c>
      <c r="I287" s="276">
        <f t="shared" si="66"/>
        <v>98158.279999999955</v>
      </c>
      <c r="J287" s="276">
        <f t="shared" si="67"/>
        <v>35884.000000000022</v>
      </c>
      <c r="K287" s="276">
        <f t="shared" si="68"/>
        <v>0</v>
      </c>
      <c r="L287" s="394">
        <f t="shared" si="56"/>
        <v>22</v>
      </c>
      <c r="M287" s="394">
        <f t="shared" si="63"/>
        <v>267</v>
      </c>
      <c r="N287" s="613" t="str">
        <f>INDEX(tblSubjectToLoan[Date],ROW()-ROW(tblContractForDeed[#Headers]))</f>
        <v xml:space="preserve"> </v>
      </c>
      <c r="O287" s="276">
        <f>IF(ROW()=ROW(tblContractForDeed[#Headers])+1,$O$6,IF(INDEX(tblContractForDeed[End Bal],ROW()-ROW(tblContractForDeed[#Headers])-1)&lt;0,0,INDEX(tblContractForDeed[End Bal],ROW()-ROW(tblContractForDeed[#Headers])-1)))</f>
        <v>0</v>
      </c>
      <c r="P287" s="454">
        <f>IF(tblContractForDeed[[#This Row],[Date]]="","",IF(tblContractForDeed[[#This Row],[Date]]&lt;cfdRateChangeDate,cfdRate1,cfdRate2))</f>
        <v>7.7499999999999999E-2</v>
      </c>
      <c r="Q2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467">
        <f>IF(INDEX(tblContractForDeed[Payment],ROW()-ROW(tblBuyerOutputs[#Headers]))=0,0,INDEX(tblContractForDeed[Payment],ROW()-ROW(tblBuyerOutputs[#Headers]))-INDEX(tblSubjectToLoan[Payment],ROW()-ROW(tblBuyerOutputs[#Headers])))</f>
        <v>0</v>
      </c>
      <c r="Z2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7" s="276">
        <f>IF(INDEX(tblContractForDeed[End Bal],ROW()-ROW(tblBuyerOutputs[#Headers]))&lt;=0,0,($O$6+IF(ROW()=ROW(tblBuyerOutputs[#Headers])+1,0,INDEX(tblBuyerOutputs[Cumul Appr],ROW()-ROW(tblBuyerOutputs[#Headers])-1)))*$AK$2/12)</f>
        <v>0</v>
      </c>
      <c r="AE287" s="276">
        <f>IF(INDEX(tblContractForDeed[End Bal],ROW()-ROW(tblBuyerOutputs[#Headers]))&lt;=0,0,IF(ROW()=ROW(tblBuyerOutputs[#Headers])+1,0,INDEX(tblBuyerOutputs[Cumul Appr],ROW()-ROW(tblBuyerOutputs[#Headers])-1))+tblBuyerOutputs[[#This Row],[Monthly Appr]])</f>
        <v>0</v>
      </c>
    </row>
    <row r="288" spans="1:31" x14ac:dyDescent="0.25">
      <c r="A288" s="613" t="str">
        <f t="shared" si="64"/>
        <v xml:space="preserve"> </v>
      </c>
      <c r="B288" s="276">
        <f t="shared" si="62"/>
        <v>0</v>
      </c>
      <c r="C288" s="14">
        <f t="shared" si="60"/>
        <v>0</v>
      </c>
      <c r="D288" s="14">
        <f t="shared" si="65"/>
        <v>0</v>
      </c>
      <c r="E288" s="14">
        <f t="shared" si="61"/>
        <v>0</v>
      </c>
      <c r="F288" s="14">
        <f t="shared" si="69"/>
        <v>134.16999999999999</v>
      </c>
      <c r="G288" s="14">
        <f t="shared" si="69"/>
        <v>188.55</v>
      </c>
      <c r="H288" s="14">
        <f t="shared" si="58"/>
        <v>322.72000000000003</v>
      </c>
      <c r="I288" s="276">
        <f t="shared" si="66"/>
        <v>98158.279999999955</v>
      </c>
      <c r="J288" s="276">
        <f t="shared" si="67"/>
        <v>35884.000000000022</v>
      </c>
      <c r="K288" s="276">
        <f t="shared" si="68"/>
        <v>0</v>
      </c>
      <c r="L288" s="394">
        <f t="shared" si="56"/>
        <v>22</v>
      </c>
      <c r="M288" s="394">
        <f t="shared" si="63"/>
        <v>268</v>
      </c>
      <c r="N288" s="613" t="str">
        <f>INDEX(tblSubjectToLoan[Date],ROW()-ROW(tblContractForDeed[#Headers]))</f>
        <v xml:space="preserve"> </v>
      </c>
      <c r="O288" s="276">
        <f>IF(ROW()=ROW(tblContractForDeed[#Headers])+1,$O$6,IF(INDEX(tblContractForDeed[End Bal],ROW()-ROW(tblContractForDeed[#Headers])-1)&lt;0,0,INDEX(tblContractForDeed[End Bal],ROW()-ROW(tblContractForDeed[#Headers])-1)))</f>
        <v>0</v>
      </c>
      <c r="P288" s="454">
        <f>IF(tblContractForDeed[[#This Row],[Date]]="","",IF(tblContractForDeed[[#This Row],[Date]]&lt;cfdRateChangeDate,cfdRate1,cfdRate2))</f>
        <v>7.7499999999999999E-2</v>
      </c>
      <c r="Q2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467">
        <f>IF(INDEX(tblContractForDeed[Payment],ROW()-ROW(tblBuyerOutputs[#Headers]))=0,0,INDEX(tblContractForDeed[Payment],ROW()-ROW(tblBuyerOutputs[#Headers]))-INDEX(tblSubjectToLoan[Payment],ROW()-ROW(tblBuyerOutputs[#Headers])))</f>
        <v>0</v>
      </c>
      <c r="Z2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8" s="276">
        <f>IF(INDEX(tblContractForDeed[End Bal],ROW()-ROW(tblBuyerOutputs[#Headers]))&lt;=0,0,($O$6+IF(ROW()=ROW(tblBuyerOutputs[#Headers])+1,0,INDEX(tblBuyerOutputs[Cumul Appr],ROW()-ROW(tblBuyerOutputs[#Headers])-1)))*$AK$2/12)</f>
        <v>0</v>
      </c>
      <c r="AE288" s="276">
        <f>IF(INDEX(tblContractForDeed[End Bal],ROW()-ROW(tblBuyerOutputs[#Headers]))&lt;=0,0,IF(ROW()=ROW(tblBuyerOutputs[#Headers])+1,0,INDEX(tblBuyerOutputs[Cumul Appr],ROW()-ROW(tblBuyerOutputs[#Headers])-1))+tblBuyerOutputs[[#This Row],[Monthly Appr]])</f>
        <v>0</v>
      </c>
    </row>
    <row r="289" spans="1:31" x14ac:dyDescent="0.25">
      <c r="A289" s="613" t="str">
        <f t="shared" si="64"/>
        <v xml:space="preserve"> </v>
      </c>
      <c r="B289" s="276">
        <f t="shared" si="62"/>
        <v>0</v>
      </c>
      <c r="C289" s="14">
        <f t="shared" si="60"/>
        <v>0</v>
      </c>
      <c r="D289" s="14">
        <f t="shared" si="65"/>
        <v>0</v>
      </c>
      <c r="E289" s="14">
        <f t="shared" si="61"/>
        <v>0</v>
      </c>
      <c r="F289" s="14">
        <f t="shared" si="69"/>
        <v>134.16999999999999</v>
      </c>
      <c r="G289" s="14">
        <f t="shared" si="69"/>
        <v>188.55</v>
      </c>
      <c r="H289" s="14">
        <f t="shared" si="58"/>
        <v>322.72000000000003</v>
      </c>
      <c r="I289" s="276">
        <f t="shared" si="66"/>
        <v>98158.279999999955</v>
      </c>
      <c r="J289" s="276">
        <f t="shared" si="67"/>
        <v>35884.000000000022</v>
      </c>
      <c r="K289" s="276">
        <f t="shared" si="68"/>
        <v>0</v>
      </c>
      <c r="L289" s="394">
        <f t="shared" si="56"/>
        <v>22</v>
      </c>
      <c r="M289" s="394">
        <f t="shared" si="63"/>
        <v>269</v>
      </c>
      <c r="N289" s="613" t="str">
        <f>INDEX(tblSubjectToLoan[Date],ROW()-ROW(tblContractForDeed[#Headers]))</f>
        <v xml:space="preserve"> </v>
      </c>
      <c r="O289" s="276">
        <f>IF(ROW()=ROW(tblContractForDeed[#Headers])+1,$O$6,IF(INDEX(tblContractForDeed[End Bal],ROW()-ROW(tblContractForDeed[#Headers])-1)&lt;0,0,INDEX(tblContractForDeed[End Bal],ROW()-ROW(tblContractForDeed[#Headers])-1)))</f>
        <v>0</v>
      </c>
      <c r="P289" s="454">
        <f>IF(tblContractForDeed[[#This Row],[Date]]="","",IF(tblContractForDeed[[#This Row],[Date]]&lt;cfdRateChangeDate,cfdRate1,cfdRate2))</f>
        <v>7.7499999999999999E-2</v>
      </c>
      <c r="Q2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467">
        <f>IF(INDEX(tblContractForDeed[Payment],ROW()-ROW(tblBuyerOutputs[#Headers]))=0,0,INDEX(tblContractForDeed[Payment],ROW()-ROW(tblBuyerOutputs[#Headers]))-INDEX(tblSubjectToLoan[Payment],ROW()-ROW(tblBuyerOutputs[#Headers])))</f>
        <v>0</v>
      </c>
      <c r="Z2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9" s="276">
        <f>IF(INDEX(tblContractForDeed[End Bal],ROW()-ROW(tblBuyerOutputs[#Headers]))&lt;=0,0,($O$6+IF(ROW()=ROW(tblBuyerOutputs[#Headers])+1,0,INDEX(tblBuyerOutputs[Cumul Appr],ROW()-ROW(tblBuyerOutputs[#Headers])-1)))*$AK$2/12)</f>
        <v>0</v>
      </c>
      <c r="AE289" s="276">
        <f>IF(INDEX(tblContractForDeed[End Bal],ROW()-ROW(tblBuyerOutputs[#Headers]))&lt;=0,0,IF(ROW()=ROW(tblBuyerOutputs[#Headers])+1,0,INDEX(tblBuyerOutputs[Cumul Appr],ROW()-ROW(tblBuyerOutputs[#Headers])-1))+tblBuyerOutputs[[#This Row],[Monthly Appr]])</f>
        <v>0</v>
      </c>
    </row>
    <row r="290" spans="1:31" x14ac:dyDescent="0.25">
      <c r="A290" s="613" t="str">
        <f t="shared" si="64"/>
        <v xml:space="preserve"> </v>
      </c>
      <c r="B290" s="276">
        <f t="shared" si="62"/>
        <v>0</v>
      </c>
      <c r="C290" s="14">
        <f t="shared" si="60"/>
        <v>0</v>
      </c>
      <c r="D290" s="14">
        <f t="shared" si="65"/>
        <v>0</v>
      </c>
      <c r="E290" s="14">
        <f t="shared" si="61"/>
        <v>0</v>
      </c>
      <c r="F290" s="14">
        <f t="shared" si="69"/>
        <v>134.16999999999999</v>
      </c>
      <c r="G290" s="14">
        <f t="shared" si="69"/>
        <v>188.55</v>
      </c>
      <c r="H290" s="14">
        <f t="shared" si="58"/>
        <v>322.72000000000003</v>
      </c>
      <c r="I290" s="276">
        <f t="shared" si="66"/>
        <v>98158.279999999955</v>
      </c>
      <c r="J290" s="276">
        <f t="shared" si="67"/>
        <v>35884.000000000022</v>
      </c>
      <c r="K290" s="276">
        <f t="shared" si="68"/>
        <v>0</v>
      </c>
      <c r="L290" s="394">
        <f t="shared" si="56"/>
        <v>22</v>
      </c>
      <c r="M290" s="394">
        <f t="shared" si="63"/>
        <v>270</v>
      </c>
      <c r="N290" s="613" t="str">
        <f>INDEX(tblSubjectToLoan[Date],ROW()-ROW(tblContractForDeed[#Headers]))</f>
        <v xml:space="preserve"> </v>
      </c>
      <c r="O290" s="276">
        <f>IF(ROW()=ROW(tblContractForDeed[#Headers])+1,$O$6,IF(INDEX(tblContractForDeed[End Bal],ROW()-ROW(tblContractForDeed[#Headers])-1)&lt;0,0,INDEX(tblContractForDeed[End Bal],ROW()-ROW(tblContractForDeed[#Headers])-1)))</f>
        <v>0</v>
      </c>
      <c r="P290" s="454">
        <f>IF(tblContractForDeed[[#This Row],[Date]]="","",IF(tblContractForDeed[[#This Row],[Date]]&lt;cfdRateChangeDate,cfdRate1,cfdRate2))</f>
        <v>7.7499999999999999E-2</v>
      </c>
      <c r="Q2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467">
        <f>IF(INDEX(tblContractForDeed[Payment],ROW()-ROW(tblBuyerOutputs[#Headers]))=0,0,INDEX(tblContractForDeed[Payment],ROW()-ROW(tblBuyerOutputs[#Headers]))-INDEX(tblSubjectToLoan[Payment],ROW()-ROW(tblBuyerOutputs[#Headers])))</f>
        <v>0</v>
      </c>
      <c r="Z2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0" s="276">
        <f>IF(INDEX(tblContractForDeed[End Bal],ROW()-ROW(tblBuyerOutputs[#Headers]))&lt;=0,0,($O$6+IF(ROW()=ROW(tblBuyerOutputs[#Headers])+1,0,INDEX(tblBuyerOutputs[Cumul Appr],ROW()-ROW(tblBuyerOutputs[#Headers])-1)))*$AK$2/12)</f>
        <v>0</v>
      </c>
      <c r="AE290" s="276">
        <f>IF(INDEX(tblContractForDeed[End Bal],ROW()-ROW(tblBuyerOutputs[#Headers]))&lt;=0,0,IF(ROW()=ROW(tblBuyerOutputs[#Headers])+1,0,INDEX(tblBuyerOutputs[Cumul Appr],ROW()-ROW(tblBuyerOutputs[#Headers])-1))+tblBuyerOutputs[[#This Row],[Monthly Appr]])</f>
        <v>0</v>
      </c>
    </row>
    <row r="291" spans="1:31" x14ac:dyDescent="0.25">
      <c r="A291" s="613" t="str">
        <f t="shared" si="64"/>
        <v xml:space="preserve"> </v>
      </c>
      <c r="B291" s="276">
        <f t="shared" si="62"/>
        <v>0</v>
      </c>
      <c r="C291" s="14">
        <f t="shared" si="60"/>
        <v>0</v>
      </c>
      <c r="D291" s="14">
        <f t="shared" si="65"/>
        <v>0</v>
      </c>
      <c r="E291" s="14">
        <f t="shared" si="61"/>
        <v>0</v>
      </c>
      <c r="F291" s="14">
        <f t="shared" si="69"/>
        <v>134.16999999999999</v>
      </c>
      <c r="G291" s="14">
        <f t="shared" si="69"/>
        <v>188.55</v>
      </c>
      <c r="H291" s="14">
        <f t="shared" si="58"/>
        <v>322.72000000000003</v>
      </c>
      <c r="I291" s="276">
        <f t="shared" si="66"/>
        <v>98158.279999999955</v>
      </c>
      <c r="J291" s="276">
        <f t="shared" si="67"/>
        <v>35884.000000000022</v>
      </c>
      <c r="K291" s="276">
        <f t="shared" si="68"/>
        <v>0</v>
      </c>
      <c r="L291" s="394">
        <f t="shared" si="56"/>
        <v>22</v>
      </c>
      <c r="M291" s="394">
        <f t="shared" si="63"/>
        <v>271</v>
      </c>
      <c r="N291" s="613" t="str">
        <f>INDEX(tblSubjectToLoan[Date],ROW()-ROW(tblContractForDeed[#Headers]))</f>
        <v xml:space="preserve"> </v>
      </c>
      <c r="O291" s="276">
        <f>IF(ROW()=ROW(tblContractForDeed[#Headers])+1,$O$6,IF(INDEX(tblContractForDeed[End Bal],ROW()-ROW(tblContractForDeed[#Headers])-1)&lt;0,0,INDEX(tblContractForDeed[End Bal],ROW()-ROW(tblContractForDeed[#Headers])-1)))</f>
        <v>0</v>
      </c>
      <c r="P291" s="454">
        <f>IF(tblContractForDeed[[#This Row],[Date]]="","",IF(tblContractForDeed[[#This Row],[Date]]&lt;cfdRateChangeDate,cfdRate1,cfdRate2))</f>
        <v>7.7499999999999999E-2</v>
      </c>
      <c r="Q2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467">
        <f>IF(INDEX(tblContractForDeed[Payment],ROW()-ROW(tblBuyerOutputs[#Headers]))=0,0,INDEX(tblContractForDeed[Payment],ROW()-ROW(tblBuyerOutputs[#Headers]))-INDEX(tblSubjectToLoan[Payment],ROW()-ROW(tblBuyerOutputs[#Headers])))</f>
        <v>0</v>
      </c>
      <c r="Z2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1" s="276">
        <f>IF(INDEX(tblContractForDeed[End Bal],ROW()-ROW(tblBuyerOutputs[#Headers]))&lt;=0,0,($O$6+IF(ROW()=ROW(tblBuyerOutputs[#Headers])+1,0,INDEX(tblBuyerOutputs[Cumul Appr],ROW()-ROW(tblBuyerOutputs[#Headers])-1)))*$AK$2/12)</f>
        <v>0</v>
      </c>
      <c r="AE291" s="276">
        <f>IF(INDEX(tblContractForDeed[End Bal],ROW()-ROW(tblBuyerOutputs[#Headers]))&lt;=0,0,IF(ROW()=ROW(tblBuyerOutputs[#Headers])+1,0,INDEX(tblBuyerOutputs[Cumul Appr],ROW()-ROW(tblBuyerOutputs[#Headers])-1))+tblBuyerOutputs[[#This Row],[Monthly Appr]])</f>
        <v>0</v>
      </c>
    </row>
    <row r="292" spans="1:31" x14ac:dyDescent="0.25">
      <c r="A292" s="613" t="str">
        <f t="shared" si="64"/>
        <v xml:space="preserve"> </v>
      </c>
      <c r="B292" s="276">
        <f t="shared" si="62"/>
        <v>0</v>
      </c>
      <c r="C292" s="14">
        <f t="shared" si="60"/>
        <v>0</v>
      </c>
      <c r="D292" s="14">
        <f t="shared" si="65"/>
        <v>0</v>
      </c>
      <c r="E292" s="14">
        <f t="shared" si="61"/>
        <v>0</v>
      </c>
      <c r="F292" s="14">
        <f t="shared" si="69"/>
        <v>134.16999999999999</v>
      </c>
      <c r="G292" s="14">
        <f t="shared" si="69"/>
        <v>188.55</v>
      </c>
      <c r="H292" s="14">
        <f t="shared" si="58"/>
        <v>322.72000000000003</v>
      </c>
      <c r="I292" s="276">
        <f t="shared" si="66"/>
        <v>98158.279999999955</v>
      </c>
      <c r="J292" s="276">
        <f t="shared" si="67"/>
        <v>35884.000000000022</v>
      </c>
      <c r="K292" s="276">
        <f t="shared" si="68"/>
        <v>0</v>
      </c>
      <c r="L292" s="394">
        <f t="shared" si="56"/>
        <v>22</v>
      </c>
      <c r="M292" s="394">
        <f t="shared" si="63"/>
        <v>272</v>
      </c>
      <c r="N292" s="613" t="str">
        <f>INDEX(tblSubjectToLoan[Date],ROW()-ROW(tblContractForDeed[#Headers]))</f>
        <v xml:space="preserve"> </v>
      </c>
      <c r="O292" s="276">
        <f>IF(ROW()=ROW(tblContractForDeed[#Headers])+1,$O$6,IF(INDEX(tblContractForDeed[End Bal],ROW()-ROW(tblContractForDeed[#Headers])-1)&lt;0,0,INDEX(tblContractForDeed[End Bal],ROW()-ROW(tblContractForDeed[#Headers])-1)))</f>
        <v>0</v>
      </c>
      <c r="P292" s="454">
        <f>IF(tblContractForDeed[[#This Row],[Date]]="","",IF(tblContractForDeed[[#This Row],[Date]]&lt;cfdRateChangeDate,cfdRate1,cfdRate2))</f>
        <v>7.7499999999999999E-2</v>
      </c>
      <c r="Q2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467">
        <f>IF(INDEX(tblContractForDeed[Payment],ROW()-ROW(tblBuyerOutputs[#Headers]))=0,0,INDEX(tblContractForDeed[Payment],ROW()-ROW(tblBuyerOutputs[#Headers]))-INDEX(tblSubjectToLoan[Payment],ROW()-ROW(tblBuyerOutputs[#Headers])))</f>
        <v>0</v>
      </c>
      <c r="Z2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2" s="276">
        <f>IF(INDEX(tblContractForDeed[End Bal],ROW()-ROW(tblBuyerOutputs[#Headers]))&lt;=0,0,($O$6+IF(ROW()=ROW(tblBuyerOutputs[#Headers])+1,0,INDEX(tblBuyerOutputs[Cumul Appr],ROW()-ROW(tblBuyerOutputs[#Headers])-1)))*$AK$2/12)</f>
        <v>0</v>
      </c>
      <c r="AE292" s="276">
        <f>IF(INDEX(tblContractForDeed[End Bal],ROW()-ROW(tblBuyerOutputs[#Headers]))&lt;=0,0,IF(ROW()=ROW(tblBuyerOutputs[#Headers])+1,0,INDEX(tblBuyerOutputs[Cumul Appr],ROW()-ROW(tblBuyerOutputs[#Headers])-1))+tblBuyerOutputs[[#This Row],[Monthly Appr]])</f>
        <v>0</v>
      </c>
    </row>
    <row r="293" spans="1:31" x14ac:dyDescent="0.25">
      <c r="A293" s="613" t="str">
        <f t="shared" si="64"/>
        <v xml:space="preserve"> </v>
      </c>
      <c r="B293" s="276">
        <f t="shared" si="62"/>
        <v>0</v>
      </c>
      <c r="C293" s="14">
        <f t="shared" si="60"/>
        <v>0</v>
      </c>
      <c r="D293" s="14">
        <f t="shared" si="65"/>
        <v>0</v>
      </c>
      <c r="E293" s="14">
        <f t="shared" si="61"/>
        <v>0</v>
      </c>
      <c r="F293" s="14">
        <f t="shared" si="69"/>
        <v>134.16999999999999</v>
      </c>
      <c r="G293" s="14">
        <f t="shared" si="69"/>
        <v>188.55</v>
      </c>
      <c r="H293" s="14">
        <f t="shared" si="58"/>
        <v>322.72000000000003</v>
      </c>
      <c r="I293" s="276">
        <f t="shared" si="66"/>
        <v>98158.279999999955</v>
      </c>
      <c r="J293" s="276">
        <f t="shared" si="67"/>
        <v>35884.000000000022</v>
      </c>
      <c r="K293" s="276">
        <f t="shared" si="68"/>
        <v>0</v>
      </c>
      <c r="L293" s="394">
        <f t="shared" si="56"/>
        <v>22</v>
      </c>
      <c r="M293" s="394">
        <f t="shared" si="63"/>
        <v>273</v>
      </c>
      <c r="N293" s="613" t="str">
        <f>INDEX(tblSubjectToLoan[Date],ROW()-ROW(tblContractForDeed[#Headers]))</f>
        <v xml:space="preserve"> </v>
      </c>
      <c r="O293" s="276">
        <f>IF(ROW()=ROW(tblContractForDeed[#Headers])+1,$O$6,IF(INDEX(tblContractForDeed[End Bal],ROW()-ROW(tblContractForDeed[#Headers])-1)&lt;0,0,INDEX(tblContractForDeed[End Bal],ROW()-ROW(tblContractForDeed[#Headers])-1)))</f>
        <v>0</v>
      </c>
      <c r="P293" s="454">
        <f>IF(tblContractForDeed[[#This Row],[Date]]="","",IF(tblContractForDeed[[#This Row],[Date]]&lt;cfdRateChangeDate,cfdRate1,cfdRate2))</f>
        <v>7.7499999999999999E-2</v>
      </c>
      <c r="Q2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467">
        <f>IF(INDEX(tblContractForDeed[Payment],ROW()-ROW(tblBuyerOutputs[#Headers]))=0,0,INDEX(tblContractForDeed[Payment],ROW()-ROW(tblBuyerOutputs[#Headers]))-INDEX(tblSubjectToLoan[Payment],ROW()-ROW(tblBuyerOutputs[#Headers])))</f>
        <v>0</v>
      </c>
      <c r="Z2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3" s="276">
        <f>IF(INDEX(tblContractForDeed[End Bal],ROW()-ROW(tblBuyerOutputs[#Headers]))&lt;=0,0,($O$6+IF(ROW()=ROW(tblBuyerOutputs[#Headers])+1,0,INDEX(tblBuyerOutputs[Cumul Appr],ROW()-ROW(tblBuyerOutputs[#Headers])-1)))*$AK$2/12)</f>
        <v>0</v>
      </c>
      <c r="AE293" s="276">
        <f>IF(INDEX(tblContractForDeed[End Bal],ROW()-ROW(tblBuyerOutputs[#Headers]))&lt;=0,0,IF(ROW()=ROW(tblBuyerOutputs[#Headers])+1,0,INDEX(tblBuyerOutputs[Cumul Appr],ROW()-ROW(tblBuyerOutputs[#Headers])-1))+tblBuyerOutputs[[#This Row],[Monthly Appr]])</f>
        <v>0</v>
      </c>
    </row>
    <row r="294" spans="1:31" x14ac:dyDescent="0.25">
      <c r="A294" s="613" t="str">
        <f t="shared" si="64"/>
        <v xml:space="preserve"> </v>
      </c>
      <c r="B294" s="276">
        <f t="shared" si="62"/>
        <v>0</v>
      </c>
      <c r="C294" s="14">
        <f t="shared" si="60"/>
        <v>0</v>
      </c>
      <c r="D294" s="14">
        <f t="shared" si="65"/>
        <v>0</v>
      </c>
      <c r="E294" s="14">
        <f t="shared" si="61"/>
        <v>0</v>
      </c>
      <c r="F294" s="14">
        <f t="shared" si="69"/>
        <v>134.16999999999999</v>
      </c>
      <c r="G294" s="14">
        <f t="shared" si="69"/>
        <v>188.55</v>
      </c>
      <c r="H294" s="14">
        <f t="shared" si="58"/>
        <v>322.72000000000003</v>
      </c>
      <c r="I294" s="276">
        <f t="shared" si="66"/>
        <v>98158.279999999955</v>
      </c>
      <c r="J294" s="276">
        <f t="shared" si="67"/>
        <v>35884.000000000022</v>
      </c>
      <c r="K294" s="276">
        <f t="shared" si="68"/>
        <v>0</v>
      </c>
      <c r="L294" s="394">
        <f t="shared" si="56"/>
        <v>22</v>
      </c>
      <c r="M294" s="394">
        <f t="shared" si="63"/>
        <v>274</v>
      </c>
      <c r="N294" s="613" t="str">
        <f>INDEX(tblSubjectToLoan[Date],ROW()-ROW(tblContractForDeed[#Headers]))</f>
        <v xml:space="preserve"> </v>
      </c>
      <c r="O294" s="276">
        <f>IF(ROW()=ROW(tblContractForDeed[#Headers])+1,$O$6,IF(INDEX(tblContractForDeed[End Bal],ROW()-ROW(tblContractForDeed[#Headers])-1)&lt;0,0,INDEX(tblContractForDeed[End Bal],ROW()-ROW(tblContractForDeed[#Headers])-1)))</f>
        <v>0</v>
      </c>
      <c r="P294" s="454">
        <f>IF(tblContractForDeed[[#This Row],[Date]]="","",IF(tblContractForDeed[[#This Row],[Date]]&lt;cfdRateChangeDate,cfdRate1,cfdRate2))</f>
        <v>7.7499999999999999E-2</v>
      </c>
      <c r="Q2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467">
        <f>IF(INDEX(tblContractForDeed[Payment],ROW()-ROW(tblBuyerOutputs[#Headers]))=0,0,INDEX(tblContractForDeed[Payment],ROW()-ROW(tblBuyerOutputs[#Headers]))-INDEX(tblSubjectToLoan[Payment],ROW()-ROW(tblBuyerOutputs[#Headers])))</f>
        <v>0</v>
      </c>
      <c r="Z2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4" s="276">
        <f>IF(INDEX(tblContractForDeed[End Bal],ROW()-ROW(tblBuyerOutputs[#Headers]))&lt;=0,0,($O$6+IF(ROW()=ROW(tblBuyerOutputs[#Headers])+1,0,INDEX(tblBuyerOutputs[Cumul Appr],ROW()-ROW(tblBuyerOutputs[#Headers])-1)))*$AK$2/12)</f>
        <v>0</v>
      </c>
      <c r="AE294" s="276">
        <f>IF(INDEX(tblContractForDeed[End Bal],ROW()-ROW(tblBuyerOutputs[#Headers]))&lt;=0,0,IF(ROW()=ROW(tblBuyerOutputs[#Headers])+1,0,INDEX(tblBuyerOutputs[Cumul Appr],ROW()-ROW(tblBuyerOutputs[#Headers])-1))+tblBuyerOutputs[[#This Row],[Monthly Appr]])</f>
        <v>0</v>
      </c>
    </row>
    <row r="295" spans="1:31" ht="15.75" thickBot="1" x14ac:dyDescent="0.3">
      <c r="A295" s="615" t="str">
        <f t="shared" si="64"/>
        <v xml:space="preserve"> </v>
      </c>
      <c r="B295" s="332">
        <f t="shared" si="62"/>
        <v>0</v>
      </c>
      <c r="C295" s="21">
        <f t="shared" si="60"/>
        <v>0</v>
      </c>
      <c r="D295" s="21">
        <f t="shared" si="65"/>
        <v>0</v>
      </c>
      <c r="E295" s="21">
        <f t="shared" si="61"/>
        <v>0</v>
      </c>
      <c r="F295" s="21">
        <f t="shared" si="69"/>
        <v>134.16999999999999</v>
      </c>
      <c r="G295" s="21">
        <f t="shared" si="69"/>
        <v>188.55</v>
      </c>
      <c r="H295" s="21">
        <f t="shared" si="58"/>
        <v>322.72000000000003</v>
      </c>
      <c r="I295" s="332">
        <f t="shared" si="66"/>
        <v>98158.279999999955</v>
      </c>
      <c r="J295" s="332">
        <f t="shared" si="67"/>
        <v>35884.000000000022</v>
      </c>
      <c r="K295" s="332">
        <f t="shared" si="68"/>
        <v>0</v>
      </c>
      <c r="L295" s="395">
        <f t="shared" si="56"/>
        <v>22</v>
      </c>
      <c r="M295" s="395">
        <f t="shared" si="63"/>
        <v>275</v>
      </c>
      <c r="N295" s="615" t="str">
        <f>INDEX(tblSubjectToLoan[Date],ROW()-ROW(tblContractForDeed[#Headers]))</f>
        <v xml:space="preserve"> </v>
      </c>
      <c r="O295" s="332">
        <f>IF(ROW()=ROW(tblContractForDeed[#Headers])+1,$O$6,IF(INDEX(tblContractForDeed[End Bal],ROW()-ROW(tblContractForDeed[#Headers])-1)&lt;0,0,INDEX(tblContractForDeed[End Bal],ROW()-ROW(tblContractForDeed[#Headers])-1)))</f>
        <v>0</v>
      </c>
      <c r="P295" s="454">
        <f>IF(tblContractForDeed[[#This Row],[Date]]="","",IF(tblContractForDeed[[#This Row],[Date]]&lt;cfdRateChangeDate,cfdRate1,cfdRate2))</f>
        <v>7.7499999999999999E-2</v>
      </c>
      <c r="Q2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468">
        <f>IF(INDEX(tblContractForDeed[Payment],ROW()-ROW(tblBuyerOutputs[#Headers]))=0,0,INDEX(tblContractForDeed[Payment],ROW()-ROW(tblBuyerOutputs[#Headers]))-INDEX(tblSubjectToLoan[Payment],ROW()-ROW(tblBuyerOutputs[#Headers])))</f>
        <v>0</v>
      </c>
      <c r="Z2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5" s="332">
        <f>IF(INDEX(tblContractForDeed[End Bal],ROW()-ROW(tblBuyerOutputs[#Headers]))&lt;=0,0,($O$6+IF(ROW()=ROW(tblBuyerOutputs[#Headers])+1,0,INDEX(tblBuyerOutputs[Cumul Appr],ROW()-ROW(tblBuyerOutputs[#Headers])-1)))*$AK$2/12)</f>
        <v>0</v>
      </c>
      <c r="AE295" s="332">
        <f>IF(INDEX(tblContractForDeed[End Bal],ROW()-ROW(tblBuyerOutputs[#Headers]))&lt;=0,0,IF(ROW()=ROW(tblBuyerOutputs[#Headers])+1,0,INDEX(tblBuyerOutputs[Cumul Appr],ROW()-ROW(tblBuyerOutputs[#Headers])-1))+tblBuyerOutputs[[#This Row],[Monthly Appr]])</f>
        <v>0</v>
      </c>
    </row>
    <row r="296" spans="1:31" x14ac:dyDescent="0.25">
      <c r="A296" s="613" t="str">
        <f t="shared" si="64"/>
        <v xml:space="preserve"> </v>
      </c>
      <c r="B296" s="276">
        <f t="shared" si="62"/>
        <v>0</v>
      </c>
      <c r="C296" s="14">
        <f t="shared" si="60"/>
        <v>0</v>
      </c>
      <c r="D296" s="14">
        <f t="shared" si="65"/>
        <v>0</v>
      </c>
      <c r="E296" s="14">
        <f t="shared" si="61"/>
        <v>0</v>
      </c>
      <c r="F296" s="14">
        <f t="shared" si="69"/>
        <v>134.16999999999999</v>
      </c>
      <c r="G296" s="14">
        <f t="shared" si="69"/>
        <v>188.55</v>
      </c>
      <c r="H296" s="14">
        <f t="shared" si="58"/>
        <v>322.72000000000003</v>
      </c>
      <c r="I296" s="276">
        <f t="shared" si="66"/>
        <v>98158.279999999955</v>
      </c>
      <c r="J296" s="276">
        <f t="shared" si="67"/>
        <v>35884.000000000022</v>
      </c>
      <c r="K296" s="276">
        <f t="shared" si="68"/>
        <v>0</v>
      </c>
      <c r="L296" s="394">
        <f t="shared" si="56"/>
        <v>23</v>
      </c>
      <c r="M296" s="394">
        <f t="shared" si="63"/>
        <v>276</v>
      </c>
      <c r="N296" s="613" t="str">
        <f>INDEX(tblSubjectToLoan[Date],ROW()-ROW(tblContractForDeed[#Headers]))</f>
        <v xml:space="preserve"> </v>
      </c>
      <c r="O296" s="276">
        <f>IF(ROW()=ROW(tblContractForDeed[#Headers])+1,$O$6,IF(INDEX(tblContractForDeed[End Bal],ROW()-ROW(tblContractForDeed[#Headers])-1)&lt;0,0,INDEX(tblContractForDeed[End Bal],ROW()-ROW(tblContractForDeed[#Headers])-1)))</f>
        <v>0</v>
      </c>
      <c r="P296" s="454">
        <f>IF(tblContractForDeed[[#This Row],[Date]]="","",IF(tblContractForDeed[[#This Row],[Date]]&lt;cfdRateChangeDate,cfdRate1,cfdRate2))</f>
        <v>7.7499999999999999E-2</v>
      </c>
      <c r="Q2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467">
        <f>IF(INDEX(tblContractForDeed[Payment],ROW()-ROW(tblBuyerOutputs[#Headers]))=0,0,INDEX(tblContractForDeed[Payment],ROW()-ROW(tblBuyerOutputs[#Headers]))-INDEX(tblSubjectToLoan[Payment],ROW()-ROW(tblBuyerOutputs[#Headers])))</f>
        <v>0</v>
      </c>
      <c r="Z2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6" s="276">
        <f>IF(INDEX(tblContractForDeed[End Bal],ROW()-ROW(tblBuyerOutputs[#Headers]))&lt;=0,0,($O$6+IF(ROW()=ROW(tblBuyerOutputs[#Headers])+1,0,INDEX(tblBuyerOutputs[Cumul Appr],ROW()-ROW(tblBuyerOutputs[#Headers])-1)))*$AK$2/12)</f>
        <v>0</v>
      </c>
      <c r="AE296" s="276">
        <f>IF(INDEX(tblContractForDeed[End Bal],ROW()-ROW(tblBuyerOutputs[#Headers]))&lt;=0,0,IF(ROW()=ROW(tblBuyerOutputs[#Headers])+1,0,INDEX(tblBuyerOutputs[Cumul Appr],ROW()-ROW(tblBuyerOutputs[#Headers])-1))+tblBuyerOutputs[[#This Row],[Monthly Appr]])</f>
        <v>0</v>
      </c>
    </row>
    <row r="297" spans="1:31" x14ac:dyDescent="0.25">
      <c r="A297" s="613" t="str">
        <f t="shared" si="64"/>
        <v xml:space="preserve"> </v>
      </c>
      <c r="B297" s="276">
        <f t="shared" si="62"/>
        <v>0</v>
      </c>
      <c r="C297" s="14">
        <f t="shared" si="60"/>
        <v>0</v>
      </c>
      <c r="D297" s="14">
        <f t="shared" si="65"/>
        <v>0</v>
      </c>
      <c r="E297" s="14">
        <f t="shared" si="61"/>
        <v>0</v>
      </c>
      <c r="F297" s="14">
        <f t="shared" si="69"/>
        <v>134.16999999999999</v>
      </c>
      <c r="G297" s="14">
        <f t="shared" si="69"/>
        <v>188.55</v>
      </c>
      <c r="H297" s="14">
        <f t="shared" si="58"/>
        <v>322.72000000000003</v>
      </c>
      <c r="I297" s="276">
        <f t="shared" si="66"/>
        <v>98158.279999999955</v>
      </c>
      <c r="J297" s="276">
        <f t="shared" si="67"/>
        <v>35884.000000000022</v>
      </c>
      <c r="K297" s="276">
        <f t="shared" si="68"/>
        <v>0</v>
      </c>
      <c r="L297" s="394">
        <f t="shared" si="56"/>
        <v>23</v>
      </c>
      <c r="M297" s="394">
        <f t="shared" si="63"/>
        <v>277</v>
      </c>
      <c r="N297" s="613" t="str">
        <f>INDEX(tblSubjectToLoan[Date],ROW()-ROW(tblContractForDeed[#Headers]))</f>
        <v xml:space="preserve"> </v>
      </c>
      <c r="O297" s="276">
        <f>IF(ROW()=ROW(tblContractForDeed[#Headers])+1,$O$6,IF(INDEX(tblContractForDeed[End Bal],ROW()-ROW(tblContractForDeed[#Headers])-1)&lt;0,0,INDEX(tblContractForDeed[End Bal],ROW()-ROW(tblContractForDeed[#Headers])-1)))</f>
        <v>0</v>
      </c>
      <c r="P297" s="454">
        <f>IF(tblContractForDeed[[#This Row],[Date]]="","",IF(tblContractForDeed[[#This Row],[Date]]&lt;cfdRateChangeDate,cfdRate1,cfdRate2))</f>
        <v>7.7499999999999999E-2</v>
      </c>
      <c r="Q2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467">
        <f>IF(INDEX(tblContractForDeed[Payment],ROW()-ROW(tblBuyerOutputs[#Headers]))=0,0,INDEX(tblContractForDeed[Payment],ROW()-ROW(tblBuyerOutputs[#Headers]))-INDEX(tblSubjectToLoan[Payment],ROW()-ROW(tblBuyerOutputs[#Headers])))</f>
        <v>0</v>
      </c>
      <c r="Z2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7" s="276">
        <f>IF(INDEX(tblContractForDeed[End Bal],ROW()-ROW(tblBuyerOutputs[#Headers]))&lt;=0,0,($O$6+IF(ROW()=ROW(tblBuyerOutputs[#Headers])+1,0,INDEX(tblBuyerOutputs[Cumul Appr],ROW()-ROW(tblBuyerOutputs[#Headers])-1)))*$AK$2/12)</f>
        <v>0</v>
      </c>
      <c r="AE297" s="276">
        <f>IF(INDEX(tblContractForDeed[End Bal],ROW()-ROW(tblBuyerOutputs[#Headers]))&lt;=0,0,IF(ROW()=ROW(tblBuyerOutputs[#Headers])+1,0,INDEX(tblBuyerOutputs[Cumul Appr],ROW()-ROW(tblBuyerOutputs[#Headers])-1))+tblBuyerOutputs[[#This Row],[Monthly Appr]])</f>
        <v>0</v>
      </c>
    </row>
    <row r="298" spans="1:31" x14ac:dyDescent="0.25">
      <c r="A298" s="613" t="str">
        <f t="shared" si="64"/>
        <v xml:space="preserve"> </v>
      </c>
      <c r="B298" s="276">
        <f t="shared" si="62"/>
        <v>0</v>
      </c>
      <c r="C298" s="14">
        <f t="shared" si="60"/>
        <v>0</v>
      </c>
      <c r="D298" s="14">
        <f t="shared" si="65"/>
        <v>0</v>
      </c>
      <c r="E298" s="14">
        <f t="shared" si="61"/>
        <v>0</v>
      </c>
      <c r="F298" s="14">
        <f t="shared" si="69"/>
        <v>134.16999999999999</v>
      </c>
      <c r="G298" s="14">
        <f t="shared" si="69"/>
        <v>188.55</v>
      </c>
      <c r="H298" s="14">
        <f t="shared" si="58"/>
        <v>322.72000000000003</v>
      </c>
      <c r="I298" s="276">
        <f t="shared" si="66"/>
        <v>98158.279999999955</v>
      </c>
      <c r="J298" s="276">
        <f t="shared" si="67"/>
        <v>35884.000000000022</v>
      </c>
      <c r="K298" s="276">
        <f t="shared" si="68"/>
        <v>0</v>
      </c>
      <c r="L298" s="394">
        <f t="shared" si="56"/>
        <v>23</v>
      </c>
      <c r="M298" s="394">
        <f t="shared" si="63"/>
        <v>278</v>
      </c>
      <c r="N298" s="613" t="str">
        <f>INDEX(tblSubjectToLoan[Date],ROW()-ROW(tblContractForDeed[#Headers]))</f>
        <v xml:space="preserve"> </v>
      </c>
      <c r="O298" s="276">
        <f>IF(ROW()=ROW(tblContractForDeed[#Headers])+1,$O$6,IF(INDEX(tblContractForDeed[End Bal],ROW()-ROW(tblContractForDeed[#Headers])-1)&lt;0,0,INDEX(tblContractForDeed[End Bal],ROW()-ROW(tblContractForDeed[#Headers])-1)))</f>
        <v>0</v>
      </c>
      <c r="P298" s="454">
        <f>IF(tblContractForDeed[[#This Row],[Date]]="","",IF(tblContractForDeed[[#This Row],[Date]]&lt;cfdRateChangeDate,cfdRate1,cfdRate2))</f>
        <v>7.7499999999999999E-2</v>
      </c>
      <c r="Q2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467">
        <f>IF(INDEX(tblContractForDeed[Payment],ROW()-ROW(tblBuyerOutputs[#Headers]))=0,0,INDEX(tblContractForDeed[Payment],ROW()-ROW(tblBuyerOutputs[#Headers]))-INDEX(tblSubjectToLoan[Payment],ROW()-ROW(tblBuyerOutputs[#Headers])))</f>
        <v>0</v>
      </c>
      <c r="Z2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8" s="276">
        <f>IF(INDEX(tblContractForDeed[End Bal],ROW()-ROW(tblBuyerOutputs[#Headers]))&lt;=0,0,($O$6+IF(ROW()=ROW(tblBuyerOutputs[#Headers])+1,0,INDEX(tblBuyerOutputs[Cumul Appr],ROW()-ROW(tblBuyerOutputs[#Headers])-1)))*$AK$2/12)</f>
        <v>0</v>
      </c>
      <c r="AE298" s="276">
        <f>IF(INDEX(tblContractForDeed[End Bal],ROW()-ROW(tblBuyerOutputs[#Headers]))&lt;=0,0,IF(ROW()=ROW(tblBuyerOutputs[#Headers])+1,0,INDEX(tblBuyerOutputs[Cumul Appr],ROW()-ROW(tblBuyerOutputs[#Headers])-1))+tblBuyerOutputs[[#This Row],[Monthly Appr]])</f>
        <v>0</v>
      </c>
    </row>
    <row r="299" spans="1:31" x14ac:dyDescent="0.25">
      <c r="A299" s="613" t="str">
        <f t="shared" si="64"/>
        <v xml:space="preserve"> </v>
      </c>
      <c r="B299" s="276">
        <f t="shared" si="62"/>
        <v>0</v>
      </c>
      <c r="C299" s="14">
        <f t="shared" si="60"/>
        <v>0</v>
      </c>
      <c r="D299" s="14">
        <f t="shared" si="65"/>
        <v>0</v>
      </c>
      <c r="E299" s="14">
        <f t="shared" si="61"/>
        <v>0</v>
      </c>
      <c r="F299" s="14">
        <f t="shared" si="69"/>
        <v>134.16999999999999</v>
      </c>
      <c r="G299" s="14">
        <f t="shared" si="69"/>
        <v>188.55</v>
      </c>
      <c r="H299" s="14">
        <f t="shared" si="58"/>
        <v>322.72000000000003</v>
      </c>
      <c r="I299" s="276">
        <f t="shared" si="66"/>
        <v>98158.279999999955</v>
      </c>
      <c r="J299" s="276">
        <f t="shared" si="67"/>
        <v>35884.000000000022</v>
      </c>
      <c r="K299" s="276">
        <f t="shared" si="68"/>
        <v>0</v>
      </c>
      <c r="L299" s="394">
        <f t="shared" si="56"/>
        <v>23</v>
      </c>
      <c r="M299" s="394">
        <f t="shared" si="63"/>
        <v>279</v>
      </c>
      <c r="N299" s="613" t="str">
        <f>INDEX(tblSubjectToLoan[Date],ROW()-ROW(tblContractForDeed[#Headers]))</f>
        <v xml:space="preserve"> </v>
      </c>
      <c r="O299" s="276">
        <f>IF(ROW()=ROW(tblContractForDeed[#Headers])+1,$O$6,IF(INDEX(tblContractForDeed[End Bal],ROW()-ROW(tblContractForDeed[#Headers])-1)&lt;0,0,INDEX(tblContractForDeed[End Bal],ROW()-ROW(tblContractForDeed[#Headers])-1)))</f>
        <v>0</v>
      </c>
      <c r="P299" s="454">
        <f>IF(tblContractForDeed[[#This Row],[Date]]="","",IF(tblContractForDeed[[#This Row],[Date]]&lt;cfdRateChangeDate,cfdRate1,cfdRate2))</f>
        <v>7.7499999999999999E-2</v>
      </c>
      <c r="Q2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467">
        <f>IF(INDEX(tblContractForDeed[Payment],ROW()-ROW(tblBuyerOutputs[#Headers]))=0,0,INDEX(tblContractForDeed[Payment],ROW()-ROW(tblBuyerOutputs[#Headers]))-INDEX(tblSubjectToLoan[Payment],ROW()-ROW(tblBuyerOutputs[#Headers])))</f>
        <v>0</v>
      </c>
      <c r="Z2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9" s="276">
        <f>IF(INDEX(tblContractForDeed[End Bal],ROW()-ROW(tblBuyerOutputs[#Headers]))&lt;=0,0,($O$6+IF(ROW()=ROW(tblBuyerOutputs[#Headers])+1,0,INDEX(tblBuyerOutputs[Cumul Appr],ROW()-ROW(tblBuyerOutputs[#Headers])-1)))*$AK$2/12)</f>
        <v>0</v>
      </c>
      <c r="AE299" s="276">
        <f>IF(INDEX(tblContractForDeed[End Bal],ROW()-ROW(tblBuyerOutputs[#Headers]))&lt;=0,0,IF(ROW()=ROW(tblBuyerOutputs[#Headers])+1,0,INDEX(tblBuyerOutputs[Cumul Appr],ROW()-ROW(tblBuyerOutputs[#Headers])-1))+tblBuyerOutputs[[#This Row],[Monthly Appr]])</f>
        <v>0</v>
      </c>
    </row>
    <row r="300" spans="1:31" x14ac:dyDescent="0.25">
      <c r="A300" s="613" t="str">
        <f t="shared" si="64"/>
        <v xml:space="preserve"> </v>
      </c>
      <c r="B300" s="276">
        <f t="shared" si="62"/>
        <v>0</v>
      </c>
      <c r="C300" s="14">
        <f t="shared" si="60"/>
        <v>0</v>
      </c>
      <c r="D300" s="14">
        <f t="shared" si="65"/>
        <v>0</v>
      </c>
      <c r="E300" s="14">
        <f t="shared" si="61"/>
        <v>0</v>
      </c>
      <c r="F300" s="14">
        <f t="shared" si="69"/>
        <v>134.16999999999999</v>
      </c>
      <c r="G300" s="14">
        <f t="shared" si="69"/>
        <v>188.55</v>
      </c>
      <c r="H300" s="14">
        <f t="shared" si="58"/>
        <v>322.72000000000003</v>
      </c>
      <c r="I300" s="276">
        <f t="shared" si="66"/>
        <v>98158.279999999955</v>
      </c>
      <c r="J300" s="276">
        <f t="shared" si="67"/>
        <v>35884.000000000022</v>
      </c>
      <c r="K300" s="276">
        <f t="shared" si="68"/>
        <v>0</v>
      </c>
      <c r="L300" s="394">
        <f t="shared" si="56"/>
        <v>23</v>
      </c>
      <c r="M300" s="394">
        <f t="shared" si="63"/>
        <v>280</v>
      </c>
      <c r="N300" s="613" t="str">
        <f>INDEX(tblSubjectToLoan[Date],ROW()-ROW(tblContractForDeed[#Headers]))</f>
        <v xml:space="preserve"> </v>
      </c>
      <c r="O300" s="276">
        <f>IF(ROW()=ROW(tblContractForDeed[#Headers])+1,$O$6,IF(INDEX(tblContractForDeed[End Bal],ROW()-ROW(tblContractForDeed[#Headers])-1)&lt;0,0,INDEX(tblContractForDeed[End Bal],ROW()-ROW(tblContractForDeed[#Headers])-1)))</f>
        <v>0</v>
      </c>
      <c r="P300" s="454">
        <f>IF(tblContractForDeed[[#This Row],[Date]]="","",IF(tblContractForDeed[[#This Row],[Date]]&lt;cfdRateChangeDate,cfdRate1,cfdRate2))</f>
        <v>7.7499999999999999E-2</v>
      </c>
      <c r="Q3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467">
        <f>IF(INDEX(tblContractForDeed[Payment],ROW()-ROW(tblBuyerOutputs[#Headers]))=0,0,INDEX(tblContractForDeed[Payment],ROW()-ROW(tblBuyerOutputs[#Headers]))-INDEX(tblSubjectToLoan[Payment],ROW()-ROW(tblBuyerOutputs[#Headers])))</f>
        <v>0</v>
      </c>
      <c r="Z3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0" s="276">
        <f>IF(INDEX(tblContractForDeed[End Bal],ROW()-ROW(tblBuyerOutputs[#Headers]))&lt;=0,0,($O$6+IF(ROW()=ROW(tblBuyerOutputs[#Headers])+1,0,INDEX(tblBuyerOutputs[Cumul Appr],ROW()-ROW(tblBuyerOutputs[#Headers])-1)))*$AK$2/12)</f>
        <v>0</v>
      </c>
      <c r="AE300" s="276">
        <f>IF(INDEX(tblContractForDeed[End Bal],ROW()-ROW(tblBuyerOutputs[#Headers]))&lt;=0,0,IF(ROW()=ROW(tblBuyerOutputs[#Headers])+1,0,INDEX(tblBuyerOutputs[Cumul Appr],ROW()-ROW(tblBuyerOutputs[#Headers])-1))+tblBuyerOutputs[[#This Row],[Monthly Appr]])</f>
        <v>0</v>
      </c>
    </row>
    <row r="301" spans="1:31" x14ac:dyDescent="0.25">
      <c r="A301" s="613" t="str">
        <f t="shared" si="64"/>
        <v xml:space="preserve"> </v>
      </c>
      <c r="B301" s="276">
        <f t="shared" si="62"/>
        <v>0</v>
      </c>
      <c r="C301" s="14">
        <f t="shared" si="60"/>
        <v>0</v>
      </c>
      <c r="D301" s="14">
        <f t="shared" si="65"/>
        <v>0</v>
      </c>
      <c r="E301" s="14">
        <f t="shared" si="61"/>
        <v>0</v>
      </c>
      <c r="F301" s="14">
        <f t="shared" si="69"/>
        <v>134.16999999999999</v>
      </c>
      <c r="G301" s="14">
        <f t="shared" si="69"/>
        <v>188.55</v>
      </c>
      <c r="H301" s="14">
        <f t="shared" si="58"/>
        <v>322.72000000000003</v>
      </c>
      <c r="I301" s="276">
        <f t="shared" si="66"/>
        <v>98158.279999999955</v>
      </c>
      <c r="J301" s="276">
        <f t="shared" si="67"/>
        <v>35884.000000000022</v>
      </c>
      <c r="K301" s="276">
        <f t="shared" si="68"/>
        <v>0</v>
      </c>
      <c r="L301" s="394">
        <f t="shared" si="56"/>
        <v>23</v>
      </c>
      <c r="M301" s="394">
        <f t="shared" si="63"/>
        <v>281</v>
      </c>
      <c r="N301" s="613" t="str">
        <f>INDEX(tblSubjectToLoan[Date],ROW()-ROW(tblContractForDeed[#Headers]))</f>
        <v xml:space="preserve"> </v>
      </c>
      <c r="O301" s="276">
        <f>IF(ROW()=ROW(tblContractForDeed[#Headers])+1,$O$6,IF(INDEX(tblContractForDeed[End Bal],ROW()-ROW(tblContractForDeed[#Headers])-1)&lt;0,0,INDEX(tblContractForDeed[End Bal],ROW()-ROW(tblContractForDeed[#Headers])-1)))</f>
        <v>0</v>
      </c>
      <c r="P301" s="454">
        <f>IF(tblContractForDeed[[#This Row],[Date]]="","",IF(tblContractForDeed[[#This Row],[Date]]&lt;cfdRateChangeDate,cfdRate1,cfdRate2))</f>
        <v>7.7499999999999999E-2</v>
      </c>
      <c r="Q3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467">
        <f>IF(INDEX(tblContractForDeed[Payment],ROW()-ROW(tblBuyerOutputs[#Headers]))=0,0,INDEX(tblContractForDeed[Payment],ROW()-ROW(tblBuyerOutputs[#Headers]))-INDEX(tblSubjectToLoan[Payment],ROW()-ROW(tblBuyerOutputs[#Headers])))</f>
        <v>0</v>
      </c>
      <c r="Z3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1" s="276">
        <f>IF(INDEX(tblContractForDeed[End Bal],ROW()-ROW(tblBuyerOutputs[#Headers]))&lt;=0,0,($O$6+IF(ROW()=ROW(tblBuyerOutputs[#Headers])+1,0,INDEX(tblBuyerOutputs[Cumul Appr],ROW()-ROW(tblBuyerOutputs[#Headers])-1)))*$AK$2/12)</f>
        <v>0</v>
      </c>
      <c r="AE301" s="276">
        <f>IF(INDEX(tblContractForDeed[End Bal],ROW()-ROW(tblBuyerOutputs[#Headers]))&lt;=0,0,IF(ROW()=ROW(tblBuyerOutputs[#Headers])+1,0,INDEX(tblBuyerOutputs[Cumul Appr],ROW()-ROW(tblBuyerOutputs[#Headers])-1))+tblBuyerOutputs[[#This Row],[Monthly Appr]])</f>
        <v>0</v>
      </c>
    </row>
    <row r="302" spans="1:31" x14ac:dyDescent="0.25">
      <c r="A302" s="613" t="str">
        <f t="shared" si="64"/>
        <v xml:space="preserve"> </v>
      </c>
      <c r="B302" s="276">
        <f t="shared" si="62"/>
        <v>0</v>
      </c>
      <c r="C302" s="14">
        <f t="shared" si="60"/>
        <v>0</v>
      </c>
      <c r="D302" s="14">
        <f t="shared" si="65"/>
        <v>0</v>
      </c>
      <c r="E302" s="14">
        <f t="shared" si="61"/>
        <v>0</v>
      </c>
      <c r="F302" s="14">
        <f t="shared" si="69"/>
        <v>134.16999999999999</v>
      </c>
      <c r="G302" s="14">
        <f t="shared" si="69"/>
        <v>188.55</v>
      </c>
      <c r="H302" s="14">
        <f t="shared" si="58"/>
        <v>322.72000000000003</v>
      </c>
      <c r="I302" s="276">
        <f t="shared" si="66"/>
        <v>98158.279999999955</v>
      </c>
      <c r="J302" s="276">
        <f t="shared" si="67"/>
        <v>35884.000000000022</v>
      </c>
      <c r="K302" s="276">
        <f t="shared" si="68"/>
        <v>0</v>
      </c>
      <c r="L302" s="394">
        <f t="shared" si="56"/>
        <v>23</v>
      </c>
      <c r="M302" s="394">
        <f t="shared" si="63"/>
        <v>282</v>
      </c>
      <c r="N302" s="613" t="str">
        <f>INDEX(tblSubjectToLoan[Date],ROW()-ROW(tblContractForDeed[#Headers]))</f>
        <v xml:space="preserve"> </v>
      </c>
      <c r="O302" s="276">
        <f>IF(ROW()=ROW(tblContractForDeed[#Headers])+1,$O$6,IF(INDEX(tblContractForDeed[End Bal],ROW()-ROW(tblContractForDeed[#Headers])-1)&lt;0,0,INDEX(tblContractForDeed[End Bal],ROW()-ROW(tblContractForDeed[#Headers])-1)))</f>
        <v>0</v>
      </c>
      <c r="P302" s="454">
        <f>IF(tblContractForDeed[[#This Row],[Date]]="","",IF(tblContractForDeed[[#This Row],[Date]]&lt;cfdRateChangeDate,cfdRate1,cfdRate2))</f>
        <v>7.7499999999999999E-2</v>
      </c>
      <c r="Q3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467">
        <f>IF(INDEX(tblContractForDeed[Payment],ROW()-ROW(tblBuyerOutputs[#Headers]))=0,0,INDEX(tblContractForDeed[Payment],ROW()-ROW(tblBuyerOutputs[#Headers]))-INDEX(tblSubjectToLoan[Payment],ROW()-ROW(tblBuyerOutputs[#Headers])))</f>
        <v>0</v>
      </c>
      <c r="Z3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2" s="276">
        <f>IF(INDEX(tblContractForDeed[End Bal],ROW()-ROW(tblBuyerOutputs[#Headers]))&lt;=0,0,($O$6+IF(ROW()=ROW(tblBuyerOutputs[#Headers])+1,0,INDEX(tblBuyerOutputs[Cumul Appr],ROW()-ROW(tblBuyerOutputs[#Headers])-1)))*$AK$2/12)</f>
        <v>0</v>
      </c>
      <c r="AE302" s="276">
        <f>IF(INDEX(tblContractForDeed[End Bal],ROW()-ROW(tblBuyerOutputs[#Headers]))&lt;=0,0,IF(ROW()=ROW(tblBuyerOutputs[#Headers])+1,0,INDEX(tblBuyerOutputs[Cumul Appr],ROW()-ROW(tblBuyerOutputs[#Headers])-1))+tblBuyerOutputs[[#This Row],[Monthly Appr]])</f>
        <v>0</v>
      </c>
    </row>
    <row r="303" spans="1:31" x14ac:dyDescent="0.25">
      <c r="A303" s="613" t="str">
        <f t="shared" si="64"/>
        <v xml:space="preserve"> </v>
      </c>
      <c r="B303" s="276">
        <f t="shared" si="62"/>
        <v>0</v>
      </c>
      <c r="C303" s="14">
        <f t="shared" si="60"/>
        <v>0</v>
      </c>
      <c r="D303" s="14">
        <f t="shared" si="65"/>
        <v>0</v>
      </c>
      <c r="E303" s="14">
        <f t="shared" si="61"/>
        <v>0</v>
      </c>
      <c r="F303" s="14">
        <f t="shared" ref="F303:G318" si="70">+F302</f>
        <v>134.16999999999999</v>
      </c>
      <c r="G303" s="14">
        <f t="shared" si="70"/>
        <v>188.55</v>
      </c>
      <c r="H303" s="14">
        <f t="shared" si="58"/>
        <v>322.72000000000003</v>
      </c>
      <c r="I303" s="276">
        <f t="shared" si="66"/>
        <v>98158.279999999955</v>
      </c>
      <c r="J303" s="276">
        <f t="shared" si="67"/>
        <v>35884.000000000022</v>
      </c>
      <c r="K303" s="276">
        <f t="shared" si="68"/>
        <v>0</v>
      </c>
      <c r="L303" s="394">
        <f t="shared" si="56"/>
        <v>23</v>
      </c>
      <c r="M303" s="394">
        <f t="shared" si="63"/>
        <v>283</v>
      </c>
      <c r="N303" s="613" t="str">
        <f>INDEX(tblSubjectToLoan[Date],ROW()-ROW(tblContractForDeed[#Headers]))</f>
        <v xml:space="preserve"> </v>
      </c>
      <c r="O303" s="276">
        <f>IF(ROW()=ROW(tblContractForDeed[#Headers])+1,$O$6,IF(INDEX(tblContractForDeed[End Bal],ROW()-ROW(tblContractForDeed[#Headers])-1)&lt;0,0,INDEX(tblContractForDeed[End Bal],ROW()-ROW(tblContractForDeed[#Headers])-1)))</f>
        <v>0</v>
      </c>
      <c r="P303" s="454">
        <f>IF(tblContractForDeed[[#This Row],[Date]]="","",IF(tblContractForDeed[[#This Row],[Date]]&lt;cfdRateChangeDate,cfdRate1,cfdRate2))</f>
        <v>7.7499999999999999E-2</v>
      </c>
      <c r="Q3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467">
        <f>IF(INDEX(tblContractForDeed[Payment],ROW()-ROW(tblBuyerOutputs[#Headers]))=0,0,INDEX(tblContractForDeed[Payment],ROW()-ROW(tblBuyerOutputs[#Headers]))-INDEX(tblSubjectToLoan[Payment],ROW()-ROW(tblBuyerOutputs[#Headers])))</f>
        <v>0</v>
      </c>
      <c r="Z3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3" s="276">
        <f>IF(INDEX(tblContractForDeed[End Bal],ROW()-ROW(tblBuyerOutputs[#Headers]))&lt;=0,0,($O$6+IF(ROW()=ROW(tblBuyerOutputs[#Headers])+1,0,INDEX(tblBuyerOutputs[Cumul Appr],ROW()-ROW(tblBuyerOutputs[#Headers])-1)))*$AK$2/12)</f>
        <v>0</v>
      </c>
      <c r="AE303" s="276">
        <f>IF(INDEX(tblContractForDeed[End Bal],ROW()-ROW(tblBuyerOutputs[#Headers]))&lt;=0,0,IF(ROW()=ROW(tblBuyerOutputs[#Headers])+1,0,INDEX(tblBuyerOutputs[Cumul Appr],ROW()-ROW(tblBuyerOutputs[#Headers])-1))+tblBuyerOutputs[[#This Row],[Monthly Appr]])</f>
        <v>0</v>
      </c>
    </row>
    <row r="304" spans="1:31" x14ac:dyDescent="0.25">
      <c r="A304" s="613" t="str">
        <f t="shared" si="64"/>
        <v xml:space="preserve"> </v>
      </c>
      <c r="B304" s="276">
        <f t="shared" si="62"/>
        <v>0</v>
      </c>
      <c r="C304" s="14">
        <f t="shared" si="60"/>
        <v>0</v>
      </c>
      <c r="D304" s="14">
        <f t="shared" si="65"/>
        <v>0</v>
      </c>
      <c r="E304" s="14">
        <f t="shared" si="61"/>
        <v>0</v>
      </c>
      <c r="F304" s="14">
        <f t="shared" si="70"/>
        <v>134.16999999999999</v>
      </c>
      <c r="G304" s="14">
        <f t="shared" si="70"/>
        <v>188.55</v>
      </c>
      <c r="H304" s="14">
        <f t="shared" si="58"/>
        <v>322.72000000000003</v>
      </c>
      <c r="I304" s="276">
        <f t="shared" si="66"/>
        <v>98158.279999999955</v>
      </c>
      <c r="J304" s="276">
        <f t="shared" si="67"/>
        <v>35884.000000000022</v>
      </c>
      <c r="K304" s="276">
        <f t="shared" si="68"/>
        <v>0</v>
      </c>
      <c r="L304" s="394">
        <f t="shared" si="56"/>
        <v>23</v>
      </c>
      <c r="M304" s="394">
        <f t="shared" si="63"/>
        <v>284</v>
      </c>
      <c r="N304" s="613" t="str">
        <f>INDEX(tblSubjectToLoan[Date],ROW()-ROW(tblContractForDeed[#Headers]))</f>
        <v xml:space="preserve"> </v>
      </c>
      <c r="O304" s="276">
        <f>IF(ROW()=ROW(tblContractForDeed[#Headers])+1,$O$6,IF(INDEX(tblContractForDeed[End Bal],ROW()-ROW(tblContractForDeed[#Headers])-1)&lt;0,0,INDEX(tblContractForDeed[End Bal],ROW()-ROW(tblContractForDeed[#Headers])-1)))</f>
        <v>0</v>
      </c>
      <c r="P304" s="454">
        <f>IF(tblContractForDeed[[#This Row],[Date]]="","",IF(tblContractForDeed[[#This Row],[Date]]&lt;cfdRateChangeDate,cfdRate1,cfdRate2))</f>
        <v>7.7499999999999999E-2</v>
      </c>
      <c r="Q3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467">
        <f>IF(INDEX(tblContractForDeed[Payment],ROW()-ROW(tblBuyerOutputs[#Headers]))=0,0,INDEX(tblContractForDeed[Payment],ROW()-ROW(tblBuyerOutputs[#Headers]))-INDEX(tblSubjectToLoan[Payment],ROW()-ROW(tblBuyerOutputs[#Headers])))</f>
        <v>0</v>
      </c>
      <c r="Z3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4" s="276">
        <f>IF(INDEX(tblContractForDeed[End Bal],ROW()-ROW(tblBuyerOutputs[#Headers]))&lt;=0,0,($O$6+IF(ROW()=ROW(tblBuyerOutputs[#Headers])+1,0,INDEX(tblBuyerOutputs[Cumul Appr],ROW()-ROW(tblBuyerOutputs[#Headers])-1)))*$AK$2/12)</f>
        <v>0</v>
      </c>
      <c r="AE304" s="276">
        <f>IF(INDEX(tblContractForDeed[End Bal],ROW()-ROW(tblBuyerOutputs[#Headers]))&lt;=0,0,IF(ROW()=ROW(tblBuyerOutputs[#Headers])+1,0,INDEX(tblBuyerOutputs[Cumul Appr],ROW()-ROW(tblBuyerOutputs[#Headers])-1))+tblBuyerOutputs[[#This Row],[Monthly Appr]])</f>
        <v>0</v>
      </c>
    </row>
    <row r="305" spans="1:31" x14ac:dyDescent="0.25">
      <c r="A305" s="613" t="str">
        <f t="shared" si="64"/>
        <v xml:space="preserve"> </v>
      </c>
      <c r="B305" s="276">
        <f t="shared" si="62"/>
        <v>0</v>
      </c>
      <c r="C305" s="14">
        <f t="shared" si="60"/>
        <v>0</v>
      </c>
      <c r="D305" s="14">
        <f t="shared" si="65"/>
        <v>0</v>
      </c>
      <c r="E305" s="14">
        <f t="shared" si="61"/>
        <v>0</v>
      </c>
      <c r="F305" s="14">
        <f t="shared" si="70"/>
        <v>134.16999999999999</v>
      </c>
      <c r="G305" s="14">
        <f t="shared" si="70"/>
        <v>188.55</v>
      </c>
      <c r="H305" s="14">
        <f t="shared" si="58"/>
        <v>322.72000000000003</v>
      </c>
      <c r="I305" s="276">
        <f t="shared" si="66"/>
        <v>98158.279999999955</v>
      </c>
      <c r="J305" s="276">
        <f t="shared" si="67"/>
        <v>35884.000000000022</v>
      </c>
      <c r="K305" s="276">
        <f t="shared" si="68"/>
        <v>0</v>
      </c>
      <c r="L305" s="394">
        <f t="shared" si="56"/>
        <v>23</v>
      </c>
      <c r="M305" s="394">
        <f t="shared" si="63"/>
        <v>285</v>
      </c>
      <c r="N305" s="613" t="str">
        <f>INDEX(tblSubjectToLoan[Date],ROW()-ROW(tblContractForDeed[#Headers]))</f>
        <v xml:space="preserve"> </v>
      </c>
      <c r="O305" s="276">
        <f>IF(ROW()=ROW(tblContractForDeed[#Headers])+1,$O$6,IF(INDEX(tblContractForDeed[End Bal],ROW()-ROW(tblContractForDeed[#Headers])-1)&lt;0,0,INDEX(tblContractForDeed[End Bal],ROW()-ROW(tblContractForDeed[#Headers])-1)))</f>
        <v>0</v>
      </c>
      <c r="P305" s="454">
        <f>IF(tblContractForDeed[[#This Row],[Date]]="","",IF(tblContractForDeed[[#This Row],[Date]]&lt;cfdRateChangeDate,cfdRate1,cfdRate2))</f>
        <v>7.7499999999999999E-2</v>
      </c>
      <c r="Q3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467">
        <f>IF(INDEX(tblContractForDeed[Payment],ROW()-ROW(tblBuyerOutputs[#Headers]))=0,0,INDEX(tblContractForDeed[Payment],ROW()-ROW(tblBuyerOutputs[#Headers]))-INDEX(tblSubjectToLoan[Payment],ROW()-ROW(tblBuyerOutputs[#Headers])))</f>
        <v>0</v>
      </c>
      <c r="Z3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5" s="276">
        <f>IF(INDEX(tblContractForDeed[End Bal],ROW()-ROW(tblBuyerOutputs[#Headers]))&lt;=0,0,($O$6+IF(ROW()=ROW(tblBuyerOutputs[#Headers])+1,0,INDEX(tblBuyerOutputs[Cumul Appr],ROW()-ROW(tblBuyerOutputs[#Headers])-1)))*$AK$2/12)</f>
        <v>0</v>
      </c>
      <c r="AE305" s="276">
        <f>IF(INDEX(tblContractForDeed[End Bal],ROW()-ROW(tblBuyerOutputs[#Headers]))&lt;=0,0,IF(ROW()=ROW(tblBuyerOutputs[#Headers])+1,0,INDEX(tblBuyerOutputs[Cumul Appr],ROW()-ROW(tblBuyerOutputs[#Headers])-1))+tblBuyerOutputs[[#This Row],[Monthly Appr]])</f>
        <v>0</v>
      </c>
    </row>
    <row r="306" spans="1:31" x14ac:dyDescent="0.25">
      <c r="A306" s="613" t="str">
        <f t="shared" si="64"/>
        <v xml:space="preserve"> </v>
      </c>
      <c r="B306" s="276">
        <f t="shared" si="62"/>
        <v>0</v>
      </c>
      <c r="C306" s="14">
        <f t="shared" si="60"/>
        <v>0</v>
      </c>
      <c r="D306" s="14">
        <f t="shared" si="65"/>
        <v>0</v>
      </c>
      <c r="E306" s="14">
        <f t="shared" si="61"/>
        <v>0</v>
      </c>
      <c r="F306" s="14">
        <f t="shared" si="70"/>
        <v>134.16999999999999</v>
      </c>
      <c r="G306" s="14">
        <f t="shared" si="70"/>
        <v>188.55</v>
      </c>
      <c r="H306" s="14">
        <f t="shared" si="58"/>
        <v>322.72000000000003</v>
      </c>
      <c r="I306" s="276">
        <f t="shared" si="66"/>
        <v>98158.279999999955</v>
      </c>
      <c r="J306" s="276">
        <f t="shared" si="67"/>
        <v>35884.000000000022</v>
      </c>
      <c r="K306" s="276">
        <f t="shared" si="68"/>
        <v>0</v>
      </c>
      <c r="L306" s="394">
        <f t="shared" si="56"/>
        <v>23</v>
      </c>
      <c r="M306" s="394">
        <f t="shared" si="63"/>
        <v>286</v>
      </c>
      <c r="N306" s="613" t="str">
        <f>INDEX(tblSubjectToLoan[Date],ROW()-ROW(tblContractForDeed[#Headers]))</f>
        <v xml:space="preserve"> </v>
      </c>
      <c r="O306" s="276">
        <f>IF(ROW()=ROW(tblContractForDeed[#Headers])+1,$O$6,IF(INDEX(tblContractForDeed[End Bal],ROW()-ROW(tblContractForDeed[#Headers])-1)&lt;0,0,INDEX(tblContractForDeed[End Bal],ROW()-ROW(tblContractForDeed[#Headers])-1)))</f>
        <v>0</v>
      </c>
      <c r="P306" s="454">
        <f>IF(tblContractForDeed[[#This Row],[Date]]="","",IF(tblContractForDeed[[#This Row],[Date]]&lt;cfdRateChangeDate,cfdRate1,cfdRate2))</f>
        <v>7.7499999999999999E-2</v>
      </c>
      <c r="Q3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467">
        <f>IF(INDEX(tblContractForDeed[Payment],ROW()-ROW(tblBuyerOutputs[#Headers]))=0,0,INDEX(tblContractForDeed[Payment],ROW()-ROW(tblBuyerOutputs[#Headers]))-INDEX(tblSubjectToLoan[Payment],ROW()-ROW(tblBuyerOutputs[#Headers])))</f>
        <v>0</v>
      </c>
      <c r="Z3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6" s="276">
        <f>IF(INDEX(tblContractForDeed[End Bal],ROW()-ROW(tblBuyerOutputs[#Headers]))&lt;=0,0,($O$6+IF(ROW()=ROW(tblBuyerOutputs[#Headers])+1,0,INDEX(tblBuyerOutputs[Cumul Appr],ROW()-ROW(tblBuyerOutputs[#Headers])-1)))*$AK$2/12)</f>
        <v>0</v>
      </c>
      <c r="AE306" s="276">
        <f>IF(INDEX(tblContractForDeed[End Bal],ROW()-ROW(tblBuyerOutputs[#Headers]))&lt;=0,0,IF(ROW()=ROW(tblBuyerOutputs[#Headers])+1,0,INDEX(tblBuyerOutputs[Cumul Appr],ROW()-ROW(tblBuyerOutputs[#Headers])-1))+tblBuyerOutputs[[#This Row],[Monthly Appr]])</f>
        <v>0</v>
      </c>
    </row>
    <row r="307" spans="1:31" ht="15.75" thickBot="1" x14ac:dyDescent="0.3">
      <c r="A307" s="615" t="str">
        <f t="shared" si="64"/>
        <v xml:space="preserve"> </v>
      </c>
      <c r="B307" s="332">
        <f t="shared" si="62"/>
        <v>0</v>
      </c>
      <c r="C307" s="21">
        <f t="shared" si="60"/>
        <v>0</v>
      </c>
      <c r="D307" s="21">
        <f t="shared" si="65"/>
        <v>0</v>
      </c>
      <c r="E307" s="21">
        <f t="shared" si="61"/>
        <v>0</v>
      </c>
      <c r="F307" s="21">
        <f t="shared" si="70"/>
        <v>134.16999999999999</v>
      </c>
      <c r="G307" s="21">
        <f t="shared" si="70"/>
        <v>188.55</v>
      </c>
      <c r="H307" s="21">
        <f t="shared" si="58"/>
        <v>322.72000000000003</v>
      </c>
      <c r="I307" s="332">
        <f t="shared" si="66"/>
        <v>98158.279999999955</v>
      </c>
      <c r="J307" s="332">
        <f t="shared" si="67"/>
        <v>35884.000000000022</v>
      </c>
      <c r="K307" s="332">
        <f t="shared" si="68"/>
        <v>0</v>
      </c>
      <c r="L307" s="395">
        <f t="shared" si="56"/>
        <v>23</v>
      </c>
      <c r="M307" s="395">
        <f t="shared" si="63"/>
        <v>287</v>
      </c>
      <c r="N307" s="615" t="str">
        <f>INDEX(tblSubjectToLoan[Date],ROW()-ROW(tblContractForDeed[#Headers]))</f>
        <v xml:space="preserve"> </v>
      </c>
      <c r="O307" s="332">
        <f>IF(ROW()=ROW(tblContractForDeed[#Headers])+1,$O$6,IF(INDEX(tblContractForDeed[End Bal],ROW()-ROW(tblContractForDeed[#Headers])-1)&lt;0,0,INDEX(tblContractForDeed[End Bal],ROW()-ROW(tblContractForDeed[#Headers])-1)))</f>
        <v>0</v>
      </c>
      <c r="P307" s="454">
        <f>IF(tblContractForDeed[[#This Row],[Date]]="","",IF(tblContractForDeed[[#This Row],[Date]]&lt;cfdRateChangeDate,cfdRate1,cfdRate2))</f>
        <v>7.7499999999999999E-2</v>
      </c>
      <c r="Q3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468">
        <f>IF(INDEX(tblContractForDeed[Payment],ROW()-ROW(tblBuyerOutputs[#Headers]))=0,0,INDEX(tblContractForDeed[Payment],ROW()-ROW(tblBuyerOutputs[#Headers]))-INDEX(tblSubjectToLoan[Payment],ROW()-ROW(tblBuyerOutputs[#Headers])))</f>
        <v>0</v>
      </c>
      <c r="Z3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7" s="332">
        <f>IF(INDEX(tblContractForDeed[End Bal],ROW()-ROW(tblBuyerOutputs[#Headers]))&lt;=0,0,($O$6+IF(ROW()=ROW(tblBuyerOutputs[#Headers])+1,0,INDEX(tblBuyerOutputs[Cumul Appr],ROW()-ROW(tblBuyerOutputs[#Headers])-1)))*$AK$2/12)</f>
        <v>0</v>
      </c>
      <c r="AE307" s="332">
        <f>IF(INDEX(tblContractForDeed[End Bal],ROW()-ROW(tblBuyerOutputs[#Headers]))&lt;=0,0,IF(ROW()=ROW(tblBuyerOutputs[#Headers])+1,0,INDEX(tblBuyerOutputs[Cumul Appr],ROW()-ROW(tblBuyerOutputs[#Headers])-1))+tblBuyerOutputs[[#This Row],[Monthly Appr]])</f>
        <v>0</v>
      </c>
    </row>
    <row r="308" spans="1:31" x14ac:dyDescent="0.25">
      <c r="A308" s="613" t="str">
        <f t="shared" si="64"/>
        <v xml:space="preserve"> </v>
      </c>
      <c r="B308" s="276">
        <f t="shared" si="62"/>
        <v>0</v>
      </c>
      <c r="C308" s="14">
        <f t="shared" si="60"/>
        <v>0</v>
      </c>
      <c r="D308" s="14">
        <f t="shared" si="65"/>
        <v>0</v>
      </c>
      <c r="E308" s="14">
        <f t="shared" si="61"/>
        <v>0</v>
      </c>
      <c r="F308" s="14">
        <f t="shared" si="70"/>
        <v>134.16999999999999</v>
      </c>
      <c r="G308" s="14">
        <f t="shared" si="70"/>
        <v>188.55</v>
      </c>
      <c r="H308" s="14">
        <f t="shared" si="58"/>
        <v>322.72000000000003</v>
      </c>
      <c r="I308" s="276">
        <f t="shared" si="66"/>
        <v>98158.279999999955</v>
      </c>
      <c r="J308" s="276">
        <f t="shared" si="67"/>
        <v>35884.000000000022</v>
      </c>
      <c r="K308" s="276">
        <f t="shared" si="68"/>
        <v>0</v>
      </c>
      <c r="L308" s="394">
        <f t="shared" ref="L308:L371" si="71">IF(MOD(M308,12)=0,M308/12,L307)</f>
        <v>24</v>
      </c>
      <c r="M308" s="394">
        <f t="shared" si="63"/>
        <v>288</v>
      </c>
      <c r="N308" s="613" t="str">
        <f>INDEX(tblSubjectToLoan[Date],ROW()-ROW(tblContractForDeed[#Headers]))</f>
        <v xml:space="preserve"> </v>
      </c>
      <c r="O308" s="276">
        <f>IF(ROW()=ROW(tblContractForDeed[#Headers])+1,$O$6,IF(INDEX(tblContractForDeed[End Bal],ROW()-ROW(tblContractForDeed[#Headers])-1)&lt;0,0,INDEX(tblContractForDeed[End Bal],ROW()-ROW(tblContractForDeed[#Headers])-1)))</f>
        <v>0</v>
      </c>
      <c r="P308" s="454">
        <f>IF(tblContractForDeed[[#This Row],[Date]]="","",IF(tblContractForDeed[[#This Row],[Date]]&lt;cfdRateChangeDate,cfdRate1,cfdRate2))</f>
        <v>7.7499999999999999E-2</v>
      </c>
      <c r="Q3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467">
        <f>IF(INDEX(tblContractForDeed[Payment],ROW()-ROW(tblBuyerOutputs[#Headers]))=0,0,INDEX(tblContractForDeed[Payment],ROW()-ROW(tblBuyerOutputs[#Headers]))-INDEX(tblSubjectToLoan[Payment],ROW()-ROW(tblBuyerOutputs[#Headers])))</f>
        <v>0</v>
      </c>
      <c r="Z3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8" s="276">
        <f>IF(INDEX(tblContractForDeed[End Bal],ROW()-ROW(tblBuyerOutputs[#Headers]))&lt;=0,0,($O$6+IF(ROW()=ROW(tblBuyerOutputs[#Headers])+1,0,INDEX(tblBuyerOutputs[Cumul Appr],ROW()-ROW(tblBuyerOutputs[#Headers])-1)))*$AK$2/12)</f>
        <v>0</v>
      </c>
      <c r="AE308" s="276">
        <f>IF(INDEX(tblContractForDeed[End Bal],ROW()-ROW(tblBuyerOutputs[#Headers]))&lt;=0,0,IF(ROW()=ROW(tblBuyerOutputs[#Headers])+1,0,INDEX(tblBuyerOutputs[Cumul Appr],ROW()-ROW(tblBuyerOutputs[#Headers])-1))+tblBuyerOutputs[[#This Row],[Monthly Appr]])</f>
        <v>0</v>
      </c>
    </row>
    <row r="309" spans="1:31" x14ac:dyDescent="0.25">
      <c r="A309" s="613" t="str">
        <f t="shared" si="64"/>
        <v xml:space="preserve"> </v>
      </c>
      <c r="B309" s="276">
        <f t="shared" si="62"/>
        <v>0</v>
      </c>
      <c r="C309" s="14">
        <f t="shared" si="60"/>
        <v>0</v>
      </c>
      <c r="D309" s="14">
        <f t="shared" si="65"/>
        <v>0</v>
      </c>
      <c r="E309" s="14">
        <f t="shared" si="61"/>
        <v>0</v>
      </c>
      <c r="F309" s="14">
        <f t="shared" si="70"/>
        <v>134.16999999999999</v>
      </c>
      <c r="G309" s="14">
        <f t="shared" si="70"/>
        <v>188.55</v>
      </c>
      <c r="H309" s="14">
        <f t="shared" si="58"/>
        <v>322.72000000000003</v>
      </c>
      <c r="I309" s="276">
        <f t="shared" si="66"/>
        <v>98158.279999999955</v>
      </c>
      <c r="J309" s="276">
        <f t="shared" si="67"/>
        <v>35884.000000000022</v>
      </c>
      <c r="K309" s="276">
        <f t="shared" si="68"/>
        <v>0</v>
      </c>
      <c r="L309" s="394">
        <f t="shared" si="71"/>
        <v>24</v>
      </c>
      <c r="M309" s="394">
        <f t="shared" si="63"/>
        <v>289</v>
      </c>
      <c r="N309" s="613" t="str">
        <f>INDEX(tblSubjectToLoan[Date],ROW()-ROW(tblContractForDeed[#Headers]))</f>
        <v xml:space="preserve"> </v>
      </c>
      <c r="O309" s="276">
        <f>IF(ROW()=ROW(tblContractForDeed[#Headers])+1,$O$6,IF(INDEX(tblContractForDeed[End Bal],ROW()-ROW(tblContractForDeed[#Headers])-1)&lt;0,0,INDEX(tblContractForDeed[End Bal],ROW()-ROW(tblContractForDeed[#Headers])-1)))</f>
        <v>0</v>
      </c>
      <c r="P309" s="454">
        <f>IF(tblContractForDeed[[#This Row],[Date]]="","",IF(tblContractForDeed[[#This Row],[Date]]&lt;cfdRateChangeDate,cfdRate1,cfdRate2))</f>
        <v>7.7499999999999999E-2</v>
      </c>
      <c r="Q3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467">
        <f>IF(INDEX(tblContractForDeed[Payment],ROW()-ROW(tblBuyerOutputs[#Headers]))=0,0,INDEX(tblContractForDeed[Payment],ROW()-ROW(tblBuyerOutputs[#Headers]))-INDEX(tblSubjectToLoan[Payment],ROW()-ROW(tblBuyerOutputs[#Headers])))</f>
        <v>0</v>
      </c>
      <c r="Z3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9" s="276">
        <f>IF(INDEX(tblContractForDeed[End Bal],ROW()-ROW(tblBuyerOutputs[#Headers]))&lt;=0,0,($O$6+IF(ROW()=ROW(tblBuyerOutputs[#Headers])+1,0,INDEX(tblBuyerOutputs[Cumul Appr],ROW()-ROW(tblBuyerOutputs[#Headers])-1)))*$AK$2/12)</f>
        <v>0</v>
      </c>
      <c r="AE309" s="276">
        <f>IF(INDEX(tblContractForDeed[End Bal],ROW()-ROW(tblBuyerOutputs[#Headers]))&lt;=0,0,IF(ROW()=ROW(tblBuyerOutputs[#Headers])+1,0,INDEX(tblBuyerOutputs[Cumul Appr],ROW()-ROW(tblBuyerOutputs[#Headers])-1))+tblBuyerOutputs[[#This Row],[Monthly Appr]])</f>
        <v>0</v>
      </c>
    </row>
    <row r="310" spans="1:31" x14ac:dyDescent="0.25">
      <c r="A310" s="613" t="str">
        <f t="shared" si="64"/>
        <v xml:space="preserve"> </v>
      </c>
      <c r="B310" s="276">
        <f t="shared" si="62"/>
        <v>0</v>
      </c>
      <c r="C310" s="14">
        <f t="shared" si="60"/>
        <v>0</v>
      </c>
      <c r="D310" s="14">
        <f t="shared" si="65"/>
        <v>0</v>
      </c>
      <c r="E310" s="14">
        <f t="shared" si="61"/>
        <v>0</v>
      </c>
      <c r="F310" s="14">
        <f t="shared" si="70"/>
        <v>134.16999999999999</v>
      </c>
      <c r="G310" s="14">
        <f t="shared" si="70"/>
        <v>188.55</v>
      </c>
      <c r="H310" s="14">
        <f t="shared" si="58"/>
        <v>322.72000000000003</v>
      </c>
      <c r="I310" s="276">
        <f t="shared" si="66"/>
        <v>98158.279999999955</v>
      </c>
      <c r="J310" s="276">
        <f t="shared" si="67"/>
        <v>35884.000000000022</v>
      </c>
      <c r="K310" s="276">
        <f t="shared" si="68"/>
        <v>0</v>
      </c>
      <c r="L310" s="394">
        <f t="shared" si="71"/>
        <v>24</v>
      </c>
      <c r="M310" s="394">
        <f t="shared" si="63"/>
        <v>290</v>
      </c>
      <c r="N310" s="613" t="str">
        <f>INDEX(tblSubjectToLoan[Date],ROW()-ROW(tblContractForDeed[#Headers]))</f>
        <v xml:space="preserve"> </v>
      </c>
      <c r="O310" s="276">
        <f>IF(ROW()=ROW(tblContractForDeed[#Headers])+1,$O$6,IF(INDEX(tblContractForDeed[End Bal],ROW()-ROW(tblContractForDeed[#Headers])-1)&lt;0,0,INDEX(tblContractForDeed[End Bal],ROW()-ROW(tblContractForDeed[#Headers])-1)))</f>
        <v>0</v>
      </c>
      <c r="P310" s="454">
        <f>IF(tblContractForDeed[[#This Row],[Date]]="","",IF(tblContractForDeed[[#This Row],[Date]]&lt;cfdRateChangeDate,cfdRate1,cfdRate2))</f>
        <v>7.7499999999999999E-2</v>
      </c>
      <c r="Q3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467">
        <f>IF(INDEX(tblContractForDeed[Payment],ROW()-ROW(tblBuyerOutputs[#Headers]))=0,0,INDEX(tblContractForDeed[Payment],ROW()-ROW(tblBuyerOutputs[#Headers]))-INDEX(tblSubjectToLoan[Payment],ROW()-ROW(tblBuyerOutputs[#Headers])))</f>
        <v>0</v>
      </c>
      <c r="Z3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0" s="276">
        <f>IF(INDEX(tblContractForDeed[End Bal],ROW()-ROW(tblBuyerOutputs[#Headers]))&lt;=0,0,($O$6+IF(ROW()=ROW(tblBuyerOutputs[#Headers])+1,0,INDEX(tblBuyerOutputs[Cumul Appr],ROW()-ROW(tblBuyerOutputs[#Headers])-1)))*$AK$2/12)</f>
        <v>0</v>
      </c>
      <c r="AE310" s="276">
        <f>IF(INDEX(tblContractForDeed[End Bal],ROW()-ROW(tblBuyerOutputs[#Headers]))&lt;=0,0,IF(ROW()=ROW(tblBuyerOutputs[#Headers])+1,0,INDEX(tblBuyerOutputs[Cumul Appr],ROW()-ROW(tblBuyerOutputs[#Headers])-1))+tblBuyerOutputs[[#This Row],[Monthly Appr]])</f>
        <v>0</v>
      </c>
    </row>
    <row r="311" spans="1:31" x14ac:dyDescent="0.25">
      <c r="A311" s="613" t="str">
        <f t="shared" si="64"/>
        <v xml:space="preserve"> </v>
      </c>
      <c r="B311" s="276">
        <f t="shared" si="62"/>
        <v>0</v>
      </c>
      <c r="C311" s="14">
        <f t="shared" si="60"/>
        <v>0</v>
      </c>
      <c r="D311" s="14">
        <f t="shared" si="65"/>
        <v>0</v>
      </c>
      <c r="E311" s="14">
        <f t="shared" si="61"/>
        <v>0</v>
      </c>
      <c r="F311" s="14">
        <f t="shared" si="70"/>
        <v>134.16999999999999</v>
      </c>
      <c r="G311" s="14">
        <f t="shared" si="70"/>
        <v>188.55</v>
      </c>
      <c r="H311" s="14">
        <f t="shared" si="58"/>
        <v>322.72000000000003</v>
      </c>
      <c r="I311" s="276">
        <f t="shared" si="66"/>
        <v>98158.279999999955</v>
      </c>
      <c r="J311" s="276">
        <f t="shared" si="67"/>
        <v>35884.000000000022</v>
      </c>
      <c r="K311" s="276">
        <f t="shared" si="68"/>
        <v>0</v>
      </c>
      <c r="L311" s="394">
        <f t="shared" si="71"/>
        <v>24</v>
      </c>
      <c r="M311" s="394">
        <f t="shared" si="63"/>
        <v>291</v>
      </c>
      <c r="N311" s="613" t="str">
        <f>INDEX(tblSubjectToLoan[Date],ROW()-ROW(tblContractForDeed[#Headers]))</f>
        <v xml:space="preserve"> </v>
      </c>
      <c r="O311" s="276">
        <f>IF(ROW()=ROW(tblContractForDeed[#Headers])+1,$O$6,IF(INDEX(tblContractForDeed[End Bal],ROW()-ROW(tblContractForDeed[#Headers])-1)&lt;0,0,INDEX(tblContractForDeed[End Bal],ROW()-ROW(tblContractForDeed[#Headers])-1)))</f>
        <v>0</v>
      </c>
      <c r="P311" s="454">
        <f>IF(tblContractForDeed[[#This Row],[Date]]="","",IF(tblContractForDeed[[#This Row],[Date]]&lt;cfdRateChangeDate,cfdRate1,cfdRate2))</f>
        <v>7.7499999999999999E-2</v>
      </c>
      <c r="Q3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467">
        <f>IF(INDEX(tblContractForDeed[Payment],ROW()-ROW(tblBuyerOutputs[#Headers]))=0,0,INDEX(tblContractForDeed[Payment],ROW()-ROW(tblBuyerOutputs[#Headers]))-INDEX(tblSubjectToLoan[Payment],ROW()-ROW(tblBuyerOutputs[#Headers])))</f>
        <v>0</v>
      </c>
      <c r="Z3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1" s="276">
        <f>IF(INDEX(tblContractForDeed[End Bal],ROW()-ROW(tblBuyerOutputs[#Headers]))&lt;=0,0,($O$6+IF(ROW()=ROW(tblBuyerOutputs[#Headers])+1,0,INDEX(tblBuyerOutputs[Cumul Appr],ROW()-ROW(tblBuyerOutputs[#Headers])-1)))*$AK$2/12)</f>
        <v>0</v>
      </c>
      <c r="AE311" s="276">
        <f>IF(INDEX(tblContractForDeed[End Bal],ROW()-ROW(tblBuyerOutputs[#Headers]))&lt;=0,0,IF(ROW()=ROW(tblBuyerOutputs[#Headers])+1,0,INDEX(tblBuyerOutputs[Cumul Appr],ROW()-ROW(tblBuyerOutputs[#Headers])-1))+tblBuyerOutputs[[#This Row],[Monthly Appr]])</f>
        <v>0</v>
      </c>
    </row>
    <row r="312" spans="1:31" x14ac:dyDescent="0.25">
      <c r="A312" s="613" t="str">
        <f t="shared" si="64"/>
        <v xml:space="preserve"> </v>
      </c>
      <c r="B312" s="276">
        <f t="shared" si="62"/>
        <v>0</v>
      </c>
      <c r="C312" s="14">
        <f t="shared" si="60"/>
        <v>0</v>
      </c>
      <c r="D312" s="14">
        <f t="shared" si="65"/>
        <v>0</v>
      </c>
      <c r="E312" s="14">
        <f t="shared" si="61"/>
        <v>0</v>
      </c>
      <c r="F312" s="14">
        <f t="shared" si="70"/>
        <v>134.16999999999999</v>
      </c>
      <c r="G312" s="14">
        <f t="shared" si="70"/>
        <v>188.55</v>
      </c>
      <c r="H312" s="14">
        <f t="shared" si="58"/>
        <v>322.72000000000003</v>
      </c>
      <c r="I312" s="276">
        <f t="shared" si="66"/>
        <v>98158.279999999955</v>
      </c>
      <c r="J312" s="276">
        <f t="shared" si="67"/>
        <v>35884.000000000022</v>
      </c>
      <c r="K312" s="276">
        <f t="shared" si="68"/>
        <v>0</v>
      </c>
      <c r="L312" s="394">
        <f t="shared" si="71"/>
        <v>24</v>
      </c>
      <c r="M312" s="394">
        <f t="shared" si="63"/>
        <v>292</v>
      </c>
      <c r="N312" s="613" t="str">
        <f>INDEX(tblSubjectToLoan[Date],ROW()-ROW(tblContractForDeed[#Headers]))</f>
        <v xml:space="preserve"> </v>
      </c>
      <c r="O312" s="276">
        <f>IF(ROW()=ROW(tblContractForDeed[#Headers])+1,$O$6,IF(INDEX(tblContractForDeed[End Bal],ROW()-ROW(tblContractForDeed[#Headers])-1)&lt;0,0,INDEX(tblContractForDeed[End Bal],ROW()-ROW(tblContractForDeed[#Headers])-1)))</f>
        <v>0</v>
      </c>
      <c r="P312" s="454">
        <f>IF(tblContractForDeed[[#This Row],[Date]]="","",IF(tblContractForDeed[[#This Row],[Date]]&lt;cfdRateChangeDate,cfdRate1,cfdRate2))</f>
        <v>7.7499999999999999E-2</v>
      </c>
      <c r="Q3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467">
        <f>IF(INDEX(tblContractForDeed[Payment],ROW()-ROW(tblBuyerOutputs[#Headers]))=0,0,INDEX(tblContractForDeed[Payment],ROW()-ROW(tblBuyerOutputs[#Headers]))-INDEX(tblSubjectToLoan[Payment],ROW()-ROW(tblBuyerOutputs[#Headers])))</f>
        <v>0</v>
      </c>
      <c r="Z3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2" s="276">
        <f>IF(INDEX(tblContractForDeed[End Bal],ROW()-ROW(tblBuyerOutputs[#Headers]))&lt;=0,0,($O$6+IF(ROW()=ROW(tblBuyerOutputs[#Headers])+1,0,INDEX(tblBuyerOutputs[Cumul Appr],ROW()-ROW(tblBuyerOutputs[#Headers])-1)))*$AK$2/12)</f>
        <v>0</v>
      </c>
      <c r="AE312" s="276">
        <f>IF(INDEX(tblContractForDeed[End Bal],ROW()-ROW(tblBuyerOutputs[#Headers]))&lt;=0,0,IF(ROW()=ROW(tblBuyerOutputs[#Headers])+1,0,INDEX(tblBuyerOutputs[Cumul Appr],ROW()-ROW(tblBuyerOutputs[#Headers])-1))+tblBuyerOutputs[[#This Row],[Monthly Appr]])</f>
        <v>0</v>
      </c>
    </row>
    <row r="313" spans="1:31" x14ac:dyDescent="0.25">
      <c r="A313" s="613" t="str">
        <f t="shared" si="64"/>
        <v xml:space="preserve"> </v>
      </c>
      <c r="B313" s="276">
        <f t="shared" si="62"/>
        <v>0</v>
      </c>
      <c r="C313" s="14">
        <f t="shared" si="60"/>
        <v>0</v>
      </c>
      <c r="D313" s="14">
        <f t="shared" si="65"/>
        <v>0</v>
      </c>
      <c r="E313" s="14">
        <f t="shared" si="61"/>
        <v>0</v>
      </c>
      <c r="F313" s="14">
        <f t="shared" si="70"/>
        <v>134.16999999999999</v>
      </c>
      <c r="G313" s="14">
        <f t="shared" si="70"/>
        <v>188.55</v>
      </c>
      <c r="H313" s="14">
        <f t="shared" si="58"/>
        <v>322.72000000000003</v>
      </c>
      <c r="I313" s="276">
        <f t="shared" si="66"/>
        <v>98158.279999999955</v>
      </c>
      <c r="J313" s="276">
        <f t="shared" si="67"/>
        <v>35884.000000000022</v>
      </c>
      <c r="K313" s="276">
        <f t="shared" si="68"/>
        <v>0</v>
      </c>
      <c r="L313" s="394">
        <f t="shared" si="71"/>
        <v>24</v>
      </c>
      <c r="M313" s="394">
        <f t="shared" si="63"/>
        <v>293</v>
      </c>
      <c r="N313" s="613" t="str">
        <f>INDEX(tblSubjectToLoan[Date],ROW()-ROW(tblContractForDeed[#Headers]))</f>
        <v xml:space="preserve"> </v>
      </c>
      <c r="O313" s="276">
        <f>IF(ROW()=ROW(tblContractForDeed[#Headers])+1,$O$6,IF(INDEX(tblContractForDeed[End Bal],ROW()-ROW(tblContractForDeed[#Headers])-1)&lt;0,0,INDEX(tblContractForDeed[End Bal],ROW()-ROW(tblContractForDeed[#Headers])-1)))</f>
        <v>0</v>
      </c>
      <c r="P313" s="454">
        <f>IF(tblContractForDeed[[#This Row],[Date]]="","",IF(tblContractForDeed[[#This Row],[Date]]&lt;cfdRateChangeDate,cfdRate1,cfdRate2))</f>
        <v>7.7499999999999999E-2</v>
      </c>
      <c r="Q3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467">
        <f>IF(INDEX(tblContractForDeed[Payment],ROW()-ROW(tblBuyerOutputs[#Headers]))=0,0,INDEX(tblContractForDeed[Payment],ROW()-ROW(tblBuyerOutputs[#Headers]))-INDEX(tblSubjectToLoan[Payment],ROW()-ROW(tblBuyerOutputs[#Headers])))</f>
        <v>0</v>
      </c>
      <c r="Z3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3" s="276">
        <f>IF(INDEX(tblContractForDeed[End Bal],ROW()-ROW(tblBuyerOutputs[#Headers]))&lt;=0,0,($O$6+IF(ROW()=ROW(tblBuyerOutputs[#Headers])+1,0,INDEX(tblBuyerOutputs[Cumul Appr],ROW()-ROW(tblBuyerOutputs[#Headers])-1)))*$AK$2/12)</f>
        <v>0</v>
      </c>
      <c r="AE313" s="276">
        <f>IF(INDEX(tblContractForDeed[End Bal],ROW()-ROW(tblBuyerOutputs[#Headers]))&lt;=0,0,IF(ROW()=ROW(tblBuyerOutputs[#Headers])+1,0,INDEX(tblBuyerOutputs[Cumul Appr],ROW()-ROW(tblBuyerOutputs[#Headers])-1))+tblBuyerOutputs[[#This Row],[Monthly Appr]])</f>
        <v>0</v>
      </c>
    </row>
    <row r="314" spans="1:31" x14ac:dyDescent="0.25">
      <c r="A314" s="613" t="str">
        <f t="shared" si="64"/>
        <v xml:space="preserve"> </v>
      </c>
      <c r="B314" s="276">
        <f t="shared" si="62"/>
        <v>0</v>
      </c>
      <c r="C314" s="14">
        <f t="shared" si="60"/>
        <v>0</v>
      </c>
      <c r="D314" s="14">
        <f t="shared" si="65"/>
        <v>0</v>
      </c>
      <c r="E314" s="14">
        <f t="shared" si="61"/>
        <v>0</v>
      </c>
      <c r="F314" s="14">
        <f t="shared" si="70"/>
        <v>134.16999999999999</v>
      </c>
      <c r="G314" s="14">
        <f t="shared" si="70"/>
        <v>188.55</v>
      </c>
      <c r="H314" s="14">
        <f t="shared" si="58"/>
        <v>322.72000000000003</v>
      </c>
      <c r="I314" s="276">
        <f t="shared" si="66"/>
        <v>98158.279999999955</v>
      </c>
      <c r="J314" s="276">
        <f t="shared" si="67"/>
        <v>35884.000000000022</v>
      </c>
      <c r="K314" s="276">
        <f t="shared" si="68"/>
        <v>0</v>
      </c>
      <c r="L314" s="394">
        <f t="shared" si="71"/>
        <v>24</v>
      </c>
      <c r="M314" s="394">
        <f t="shared" si="63"/>
        <v>294</v>
      </c>
      <c r="N314" s="613" t="str">
        <f>INDEX(tblSubjectToLoan[Date],ROW()-ROW(tblContractForDeed[#Headers]))</f>
        <v xml:space="preserve"> </v>
      </c>
      <c r="O314" s="276">
        <f>IF(ROW()=ROW(tblContractForDeed[#Headers])+1,$O$6,IF(INDEX(tblContractForDeed[End Bal],ROW()-ROW(tblContractForDeed[#Headers])-1)&lt;0,0,INDEX(tblContractForDeed[End Bal],ROW()-ROW(tblContractForDeed[#Headers])-1)))</f>
        <v>0</v>
      </c>
      <c r="P314" s="454">
        <f>IF(tblContractForDeed[[#This Row],[Date]]="","",IF(tblContractForDeed[[#This Row],[Date]]&lt;cfdRateChangeDate,cfdRate1,cfdRate2))</f>
        <v>7.7499999999999999E-2</v>
      </c>
      <c r="Q3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467">
        <f>IF(INDEX(tblContractForDeed[Payment],ROW()-ROW(tblBuyerOutputs[#Headers]))=0,0,INDEX(tblContractForDeed[Payment],ROW()-ROW(tblBuyerOutputs[#Headers]))-INDEX(tblSubjectToLoan[Payment],ROW()-ROW(tblBuyerOutputs[#Headers])))</f>
        <v>0</v>
      </c>
      <c r="Z3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4" s="276">
        <f>IF(INDEX(tblContractForDeed[End Bal],ROW()-ROW(tblBuyerOutputs[#Headers]))&lt;=0,0,($O$6+IF(ROW()=ROW(tblBuyerOutputs[#Headers])+1,0,INDEX(tblBuyerOutputs[Cumul Appr],ROW()-ROW(tblBuyerOutputs[#Headers])-1)))*$AK$2/12)</f>
        <v>0</v>
      </c>
      <c r="AE314" s="276">
        <f>IF(INDEX(tblContractForDeed[End Bal],ROW()-ROW(tblBuyerOutputs[#Headers]))&lt;=0,0,IF(ROW()=ROW(tblBuyerOutputs[#Headers])+1,0,INDEX(tblBuyerOutputs[Cumul Appr],ROW()-ROW(tblBuyerOutputs[#Headers])-1))+tblBuyerOutputs[[#This Row],[Monthly Appr]])</f>
        <v>0</v>
      </c>
    </row>
    <row r="315" spans="1:31" x14ac:dyDescent="0.25">
      <c r="A315" s="613" t="str">
        <f t="shared" si="64"/>
        <v xml:space="preserve"> </v>
      </c>
      <c r="B315" s="276">
        <f t="shared" si="62"/>
        <v>0</v>
      </c>
      <c r="C315" s="14">
        <f t="shared" si="60"/>
        <v>0</v>
      </c>
      <c r="D315" s="14">
        <f t="shared" si="65"/>
        <v>0</v>
      </c>
      <c r="E315" s="14">
        <f t="shared" si="61"/>
        <v>0</v>
      </c>
      <c r="F315" s="14">
        <f t="shared" si="70"/>
        <v>134.16999999999999</v>
      </c>
      <c r="G315" s="14">
        <f t="shared" si="70"/>
        <v>188.55</v>
      </c>
      <c r="H315" s="14">
        <f t="shared" si="58"/>
        <v>322.72000000000003</v>
      </c>
      <c r="I315" s="276">
        <f t="shared" si="66"/>
        <v>98158.279999999955</v>
      </c>
      <c r="J315" s="276">
        <f t="shared" si="67"/>
        <v>35884.000000000022</v>
      </c>
      <c r="K315" s="276">
        <f t="shared" si="68"/>
        <v>0</v>
      </c>
      <c r="L315" s="394">
        <f t="shared" si="71"/>
        <v>24</v>
      </c>
      <c r="M315" s="394">
        <f t="shared" si="63"/>
        <v>295</v>
      </c>
      <c r="N315" s="613" t="str">
        <f>INDEX(tblSubjectToLoan[Date],ROW()-ROW(tblContractForDeed[#Headers]))</f>
        <v xml:space="preserve"> </v>
      </c>
      <c r="O315" s="276">
        <f>IF(ROW()=ROW(tblContractForDeed[#Headers])+1,$O$6,IF(INDEX(tblContractForDeed[End Bal],ROW()-ROW(tblContractForDeed[#Headers])-1)&lt;0,0,INDEX(tblContractForDeed[End Bal],ROW()-ROW(tblContractForDeed[#Headers])-1)))</f>
        <v>0</v>
      </c>
      <c r="P315" s="454">
        <f>IF(tblContractForDeed[[#This Row],[Date]]="","",IF(tblContractForDeed[[#This Row],[Date]]&lt;cfdRateChangeDate,cfdRate1,cfdRate2))</f>
        <v>7.7499999999999999E-2</v>
      </c>
      <c r="Q3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467">
        <f>IF(INDEX(tblContractForDeed[Payment],ROW()-ROW(tblBuyerOutputs[#Headers]))=0,0,INDEX(tblContractForDeed[Payment],ROW()-ROW(tblBuyerOutputs[#Headers]))-INDEX(tblSubjectToLoan[Payment],ROW()-ROW(tblBuyerOutputs[#Headers])))</f>
        <v>0</v>
      </c>
      <c r="Z3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5" s="276">
        <f>IF(INDEX(tblContractForDeed[End Bal],ROW()-ROW(tblBuyerOutputs[#Headers]))&lt;=0,0,($O$6+IF(ROW()=ROW(tblBuyerOutputs[#Headers])+1,0,INDEX(tblBuyerOutputs[Cumul Appr],ROW()-ROW(tblBuyerOutputs[#Headers])-1)))*$AK$2/12)</f>
        <v>0</v>
      </c>
      <c r="AE315" s="276">
        <f>IF(INDEX(tblContractForDeed[End Bal],ROW()-ROW(tblBuyerOutputs[#Headers]))&lt;=0,0,IF(ROW()=ROW(tblBuyerOutputs[#Headers])+1,0,INDEX(tblBuyerOutputs[Cumul Appr],ROW()-ROW(tblBuyerOutputs[#Headers])-1))+tblBuyerOutputs[[#This Row],[Monthly Appr]])</f>
        <v>0</v>
      </c>
    </row>
    <row r="316" spans="1:31" x14ac:dyDescent="0.25">
      <c r="A316" s="613" t="str">
        <f t="shared" si="64"/>
        <v xml:space="preserve"> </v>
      </c>
      <c r="B316" s="276">
        <f t="shared" si="62"/>
        <v>0</v>
      </c>
      <c r="C316" s="14">
        <f t="shared" si="60"/>
        <v>0</v>
      </c>
      <c r="D316" s="14">
        <f t="shared" si="65"/>
        <v>0</v>
      </c>
      <c r="E316" s="14">
        <f t="shared" si="61"/>
        <v>0</v>
      </c>
      <c r="F316" s="14">
        <f t="shared" si="70"/>
        <v>134.16999999999999</v>
      </c>
      <c r="G316" s="14">
        <f t="shared" si="70"/>
        <v>188.55</v>
      </c>
      <c r="H316" s="14">
        <f t="shared" si="58"/>
        <v>322.72000000000003</v>
      </c>
      <c r="I316" s="276">
        <f t="shared" si="66"/>
        <v>98158.279999999955</v>
      </c>
      <c r="J316" s="276">
        <f t="shared" si="67"/>
        <v>35884.000000000022</v>
      </c>
      <c r="K316" s="276">
        <f t="shared" si="68"/>
        <v>0</v>
      </c>
      <c r="L316" s="394">
        <f t="shared" si="71"/>
        <v>24</v>
      </c>
      <c r="M316" s="394">
        <f t="shared" si="63"/>
        <v>296</v>
      </c>
      <c r="N316" s="613" t="str">
        <f>INDEX(tblSubjectToLoan[Date],ROW()-ROW(tblContractForDeed[#Headers]))</f>
        <v xml:space="preserve"> </v>
      </c>
      <c r="O316" s="276">
        <f>IF(ROW()=ROW(tblContractForDeed[#Headers])+1,$O$6,IF(INDEX(tblContractForDeed[End Bal],ROW()-ROW(tblContractForDeed[#Headers])-1)&lt;0,0,INDEX(tblContractForDeed[End Bal],ROW()-ROW(tblContractForDeed[#Headers])-1)))</f>
        <v>0</v>
      </c>
      <c r="P316" s="454">
        <f>IF(tblContractForDeed[[#This Row],[Date]]="","",IF(tblContractForDeed[[#This Row],[Date]]&lt;cfdRateChangeDate,cfdRate1,cfdRate2))</f>
        <v>7.7499999999999999E-2</v>
      </c>
      <c r="Q3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467">
        <f>IF(INDEX(tblContractForDeed[Payment],ROW()-ROW(tblBuyerOutputs[#Headers]))=0,0,INDEX(tblContractForDeed[Payment],ROW()-ROW(tblBuyerOutputs[#Headers]))-INDEX(tblSubjectToLoan[Payment],ROW()-ROW(tblBuyerOutputs[#Headers])))</f>
        <v>0</v>
      </c>
      <c r="Z3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6" s="276">
        <f>IF(INDEX(tblContractForDeed[End Bal],ROW()-ROW(tblBuyerOutputs[#Headers]))&lt;=0,0,($O$6+IF(ROW()=ROW(tblBuyerOutputs[#Headers])+1,0,INDEX(tblBuyerOutputs[Cumul Appr],ROW()-ROW(tblBuyerOutputs[#Headers])-1)))*$AK$2/12)</f>
        <v>0</v>
      </c>
      <c r="AE316" s="276">
        <f>IF(INDEX(tblContractForDeed[End Bal],ROW()-ROW(tblBuyerOutputs[#Headers]))&lt;=0,0,IF(ROW()=ROW(tblBuyerOutputs[#Headers])+1,0,INDEX(tblBuyerOutputs[Cumul Appr],ROW()-ROW(tblBuyerOutputs[#Headers])-1))+tblBuyerOutputs[[#This Row],[Monthly Appr]])</f>
        <v>0</v>
      </c>
    </row>
    <row r="317" spans="1:31" x14ac:dyDescent="0.25">
      <c r="A317" s="613" t="str">
        <f t="shared" si="64"/>
        <v xml:space="preserve"> </v>
      </c>
      <c r="B317" s="276">
        <f t="shared" si="62"/>
        <v>0</v>
      </c>
      <c r="C317" s="14">
        <f t="shared" si="60"/>
        <v>0</v>
      </c>
      <c r="D317" s="14">
        <f t="shared" si="65"/>
        <v>0</v>
      </c>
      <c r="E317" s="14">
        <f t="shared" si="61"/>
        <v>0</v>
      </c>
      <c r="F317" s="14">
        <f t="shared" si="70"/>
        <v>134.16999999999999</v>
      </c>
      <c r="G317" s="14">
        <f t="shared" si="70"/>
        <v>188.55</v>
      </c>
      <c r="H317" s="14">
        <f t="shared" si="58"/>
        <v>322.72000000000003</v>
      </c>
      <c r="I317" s="276">
        <f t="shared" si="66"/>
        <v>98158.279999999955</v>
      </c>
      <c r="J317" s="276">
        <f t="shared" si="67"/>
        <v>35884.000000000022</v>
      </c>
      <c r="K317" s="276">
        <f t="shared" si="68"/>
        <v>0</v>
      </c>
      <c r="L317" s="394">
        <f t="shared" si="71"/>
        <v>24</v>
      </c>
      <c r="M317" s="394">
        <f t="shared" si="63"/>
        <v>297</v>
      </c>
      <c r="N317" s="613" t="str">
        <f>INDEX(tblSubjectToLoan[Date],ROW()-ROW(tblContractForDeed[#Headers]))</f>
        <v xml:space="preserve"> </v>
      </c>
      <c r="O317" s="276">
        <f>IF(ROW()=ROW(tblContractForDeed[#Headers])+1,$O$6,IF(INDEX(tblContractForDeed[End Bal],ROW()-ROW(tblContractForDeed[#Headers])-1)&lt;0,0,INDEX(tblContractForDeed[End Bal],ROW()-ROW(tblContractForDeed[#Headers])-1)))</f>
        <v>0</v>
      </c>
      <c r="P317" s="454">
        <f>IF(tblContractForDeed[[#This Row],[Date]]="","",IF(tblContractForDeed[[#This Row],[Date]]&lt;cfdRateChangeDate,cfdRate1,cfdRate2))</f>
        <v>7.7499999999999999E-2</v>
      </c>
      <c r="Q3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467">
        <f>IF(INDEX(tblContractForDeed[Payment],ROW()-ROW(tblBuyerOutputs[#Headers]))=0,0,INDEX(tblContractForDeed[Payment],ROW()-ROW(tblBuyerOutputs[#Headers]))-INDEX(tblSubjectToLoan[Payment],ROW()-ROW(tblBuyerOutputs[#Headers])))</f>
        <v>0</v>
      </c>
      <c r="Z3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7" s="276">
        <f>IF(INDEX(tblContractForDeed[End Bal],ROW()-ROW(tblBuyerOutputs[#Headers]))&lt;=0,0,($O$6+IF(ROW()=ROW(tblBuyerOutputs[#Headers])+1,0,INDEX(tblBuyerOutputs[Cumul Appr],ROW()-ROW(tblBuyerOutputs[#Headers])-1)))*$AK$2/12)</f>
        <v>0</v>
      </c>
      <c r="AE317" s="276">
        <f>IF(INDEX(tblContractForDeed[End Bal],ROW()-ROW(tblBuyerOutputs[#Headers]))&lt;=0,0,IF(ROW()=ROW(tblBuyerOutputs[#Headers])+1,0,INDEX(tblBuyerOutputs[Cumul Appr],ROW()-ROW(tblBuyerOutputs[#Headers])-1))+tblBuyerOutputs[[#This Row],[Monthly Appr]])</f>
        <v>0</v>
      </c>
    </row>
    <row r="318" spans="1:31" x14ac:dyDescent="0.25">
      <c r="A318" s="613" t="str">
        <f t="shared" si="64"/>
        <v xml:space="preserve"> </v>
      </c>
      <c r="B318" s="276">
        <f t="shared" si="62"/>
        <v>0</v>
      </c>
      <c r="C318" s="14">
        <f t="shared" si="60"/>
        <v>0</v>
      </c>
      <c r="D318" s="14">
        <f t="shared" si="65"/>
        <v>0</v>
      </c>
      <c r="E318" s="14">
        <f t="shared" si="61"/>
        <v>0</v>
      </c>
      <c r="F318" s="14">
        <f t="shared" si="70"/>
        <v>134.16999999999999</v>
      </c>
      <c r="G318" s="14">
        <f t="shared" si="70"/>
        <v>188.55</v>
      </c>
      <c r="H318" s="14">
        <f t="shared" si="58"/>
        <v>322.72000000000003</v>
      </c>
      <c r="I318" s="276">
        <f t="shared" si="66"/>
        <v>98158.279999999955</v>
      </c>
      <c r="J318" s="276">
        <f t="shared" si="67"/>
        <v>35884.000000000022</v>
      </c>
      <c r="K318" s="276">
        <f t="shared" si="68"/>
        <v>0</v>
      </c>
      <c r="L318" s="394">
        <f t="shared" si="71"/>
        <v>24</v>
      </c>
      <c r="M318" s="394">
        <f t="shared" si="63"/>
        <v>298</v>
      </c>
      <c r="N318" s="613" t="str">
        <f>INDEX(tblSubjectToLoan[Date],ROW()-ROW(tblContractForDeed[#Headers]))</f>
        <v xml:space="preserve"> </v>
      </c>
      <c r="O318" s="276">
        <f>IF(ROW()=ROW(tblContractForDeed[#Headers])+1,$O$6,IF(INDEX(tblContractForDeed[End Bal],ROW()-ROW(tblContractForDeed[#Headers])-1)&lt;0,0,INDEX(tblContractForDeed[End Bal],ROW()-ROW(tblContractForDeed[#Headers])-1)))</f>
        <v>0</v>
      </c>
      <c r="P318" s="454">
        <f>IF(tblContractForDeed[[#This Row],[Date]]="","",IF(tblContractForDeed[[#This Row],[Date]]&lt;cfdRateChangeDate,cfdRate1,cfdRate2))</f>
        <v>7.7499999999999999E-2</v>
      </c>
      <c r="Q3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467">
        <f>IF(INDEX(tblContractForDeed[Payment],ROW()-ROW(tblBuyerOutputs[#Headers]))=0,0,INDEX(tblContractForDeed[Payment],ROW()-ROW(tblBuyerOutputs[#Headers]))-INDEX(tblSubjectToLoan[Payment],ROW()-ROW(tblBuyerOutputs[#Headers])))</f>
        <v>0</v>
      </c>
      <c r="Z3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8" s="276">
        <f>IF(INDEX(tblContractForDeed[End Bal],ROW()-ROW(tblBuyerOutputs[#Headers]))&lt;=0,0,($O$6+IF(ROW()=ROW(tblBuyerOutputs[#Headers])+1,0,INDEX(tblBuyerOutputs[Cumul Appr],ROW()-ROW(tblBuyerOutputs[#Headers])-1)))*$AK$2/12)</f>
        <v>0</v>
      </c>
      <c r="AE318" s="276">
        <f>IF(INDEX(tblContractForDeed[End Bal],ROW()-ROW(tblBuyerOutputs[#Headers]))&lt;=0,0,IF(ROW()=ROW(tblBuyerOutputs[#Headers])+1,0,INDEX(tblBuyerOutputs[Cumul Appr],ROW()-ROW(tblBuyerOutputs[#Headers])-1))+tblBuyerOutputs[[#This Row],[Monthly Appr]])</f>
        <v>0</v>
      </c>
    </row>
    <row r="319" spans="1:31" ht="15.75" thickBot="1" x14ac:dyDescent="0.3">
      <c r="A319" s="615" t="str">
        <f t="shared" si="64"/>
        <v xml:space="preserve"> </v>
      </c>
      <c r="B319" s="332">
        <f t="shared" si="62"/>
        <v>0</v>
      </c>
      <c r="C319" s="21">
        <f t="shared" si="60"/>
        <v>0</v>
      </c>
      <c r="D319" s="21">
        <f t="shared" si="65"/>
        <v>0</v>
      </c>
      <c r="E319" s="21">
        <f t="shared" si="61"/>
        <v>0</v>
      </c>
      <c r="F319" s="21">
        <f t="shared" ref="F319:G334" si="72">+F318</f>
        <v>134.16999999999999</v>
      </c>
      <c r="G319" s="21">
        <f t="shared" si="72"/>
        <v>188.55</v>
      </c>
      <c r="H319" s="21">
        <f t="shared" si="58"/>
        <v>322.72000000000003</v>
      </c>
      <c r="I319" s="332">
        <f t="shared" si="66"/>
        <v>98158.279999999955</v>
      </c>
      <c r="J319" s="332">
        <f t="shared" si="67"/>
        <v>35884.000000000022</v>
      </c>
      <c r="K319" s="332">
        <f t="shared" si="68"/>
        <v>0</v>
      </c>
      <c r="L319" s="395">
        <f t="shared" si="71"/>
        <v>24</v>
      </c>
      <c r="M319" s="395">
        <f t="shared" si="63"/>
        <v>299</v>
      </c>
      <c r="N319" s="615" t="str">
        <f>INDEX(tblSubjectToLoan[Date],ROW()-ROW(tblContractForDeed[#Headers]))</f>
        <v xml:space="preserve"> </v>
      </c>
      <c r="O319" s="332">
        <f>IF(ROW()=ROW(tblContractForDeed[#Headers])+1,$O$6,IF(INDEX(tblContractForDeed[End Bal],ROW()-ROW(tblContractForDeed[#Headers])-1)&lt;0,0,INDEX(tblContractForDeed[End Bal],ROW()-ROW(tblContractForDeed[#Headers])-1)))</f>
        <v>0</v>
      </c>
      <c r="P319" s="454">
        <f>IF(tblContractForDeed[[#This Row],[Date]]="","",IF(tblContractForDeed[[#This Row],[Date]]&lt;cfdRateChangeDate,cfdRate1,cfdRate2))</f>
        <v>7.7499999999999999E-2</v>
      </c>
      <c r="Q3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468">
        <f>IF(INDEX(tblContractForDeed[Payment],ROW()-ROW(tblBuyerOutputs[#Headers]))=0,0,INDEX(tblContractForDeed[Payment],ROW()-ROW(tblBuyerOutputs[#Headers]))-INDEX(tblSubjectToLoan[Payment],ROW()-ROW(tblBuyerOutputs[#Headers])))</f>
        <v>0</v>
      </c>
      <c r="Z3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9" s="332">
        <f>IF(INDEX(tblContractForDeed[End Bal],ROW()-ROW(tblBuyerOutputs[#Headers]))&lt;=0,0,($O$6+IF(ROW()=ROW(tblBuyerOutputs[#Headers])+1,0,INDEX(tblBuyerOutputs[Cumul Appr],ROW()-ROW(tblBuyerOutputs[#Headers])-1)))*$AK$2/12)</f>
        <v>0</v>
      </c>
      <c r="AE319" s="332">
        <f>IF(INDEX(tblContractForDeed[End Bal],ROW()-ROW(tblBuyerOutputs[#Headers]))&lt;=0,0,IF(ROW()=ROW(tblBuyerOutputs[#Headers])+1,0,INDEX(tblBuyerOutputs[Cumul Appr],ROW()-ROW(tblBuyerOutputs[#Headers])-1))+tblBuyerOutputs[[#This Row],[Monthly Appr]])</f>
        <v>0</v>
      </c>
    </row>
    <row r="320" spans="1:31" x14ac:dyDescent="0.25">
      <c r="A320" s="613" t="str">
        <f t="shared" si="64"/>
        <v xml:space="preserve"> </v>
      </c>
      <c r="B320" s="276">
        <f t="shared" si="62"/>
        <v>0</v>
      </c>
      <c r="C320" s="14">
        <f t="shared" si="60"/>
        <v>0</v>
      </c>
      <c r="D320" s="14">
        <f t="shared" si="65"/>
        <v>0</v>
      </c>
      <c r="E320" s="14">
        <f t="shared" si="61"/>
        <v>0</v>
      </c>
      <c r="F320" s="14">
        <f t="shared" si="72"/>
        <v>134.16999999999999</v>
      </c>
      <c r="G320" s="14">
        <f t="shared" si="72"/>
        <v>188.55</v>
      </c>
      <c r="H320" s="14">
        <f t="shared" ref="H320:H383" si="73">SUM(D320:G320)</f>
        <v>322.72000000000003</v>
      </c>
      <c r="I320" s="276">
        <f t="shared" si="66"/>
        <v>98158.279999999955</v>
      </c>
      <c r="J320" s="276">
        <f t="shared" si="67"/>
        <v>35884.000000000022</v>
      </c>
      <c r="K320" s="276">
        <f t="shared" si="68"/>
        <v>0</v>
      </c>
      <c r="L320" s="394">
        <f t="shared" si="71"/>
        <v>25</v>
      </c>
      <c r="M320" s="394">
        <f t="shared" si="63"/>
        <v>300</v>
      </c>
      <c r="N320" s="613" t="str">
        <f>INDEX(tblSubjectToLoan[Date],ROW()-ROW(tblContractForDeed[#Headers]))</f>
        <v xml:space="preserve"> </v>
      </c>
      <c r="O320" s="276">
        <f>IF(ROW()=ROW(tblContractForDeed[#Headers])+1,$O$6,IF(INDEX(tblContractForDeed[End Bal],ROW()-ROW(tblContractForDeed[#Headers])-1)&lt;0,0,INDEX(tblContractForDeed[End Bal],ROW()-ROW(tblContractForDeed[#Headers])-1)))</f>
        <v>0</v>
      </c>
      <c r="P320" s="454">
        <f>IF(tblContractForDeed[[#This Row],[Date]]="","",IF(tblContractForDeed[[#This Row],[Date]]&lt;cfdRateChangeDate,cfdRate1,cfdRate2))</f>
        <v>7.7499999999999999E-2</v>
      </c>
      <c r="Q3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467">
        <f>IF(INDEX(tblContractForDeed[Payment],ROW()-ROW(tblBuyerOutputs[#Headers]))=0,0,INDEX(tblContractForDeed[Payment],ROW()-ROW(tblBuyerOutputs[#Headers]))-INDEX(tblSubjectToLoan[Payment],ROW()-ROW(tblBuyerOutputs[#Headers])))</f>
        <v>0</v>
      </c>
      <c r="Z3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0" s="276">
        <f>IF(INDEX(tblContractForDeed[End Bal],ROW()-ROW(tblBuyerOutputs[#Headers]))&lt;=0,0,($O$6+IF(ROW()=ROW(tblBuyerOutputs[#Headers])+1,0,INDEX(tblBuyerOutputs[Cumul Appr],ROW()-ROW(tblBuyerOutputs[#Headers])-1)))*$AK$2/12)</f>
        <v>0</v>
      </c>
      <c r="AE320" s="276">
        <f>IF(INDEX(tblContractForDeed[End Bal],ROW()-ROW(tblBuyerOutputs[#Headers]))&lt;=0,0,IF(ROW()=ROW(tblBuyerOutputs[#Headers])+1,0,INDEX(tblBuyerOutputs[Cumul Appr],ROW()-ROW(tblBuyerOutputs[#Headers])-1))+tblBuyerOutputs[[#This Row],[Monthly Appr]])</f>
        <v>0</v>
      </c>
    </row>
    <row r="321" spans="1:31" x14ac:dyDescent="0.25">
      <c r="A321" s="613" t="str">
        <f t="shared" si="64"/>
        <v xml:space="preserve"> </v>
      </c>
      <c r="B321" s="276">
        <f t="shared" si="62"/>
        <v>0</v>
      </c>
      <c r="C321" s="14">
        <f t="shared" si="60"/>
        <v>0</v>
      </c>
      <c r="D321" s="14">
        <f t="shared" si="65"/>
        <v>0</v>
      </c>
      <c r="E321" s="14">
        <f t="shared" si="61"/>
        <v>0</v>
      </c>
      <c r="F321" s="14">
        <f t="shared" si="72"/>
        <v>134.16999999999999</v>
      </c>
      <c r="G321" s="14">
        <f t="shared" si="72"/>
        <v>188.55</v>
      </c>
      <c r="H321" s="14">
        <f t="shared" si="73"/>
        <v>322.72000000000003</v>
      </c>
      <c r="I321" s="276">
        <f t="shared" si="66"/>
        <v>98158.279999999955</v>
      </c>
      <c r="J321" s="276">
        <f t="shared" si="67"/>
        <v>35884.000000000022</v>
      </c>
      <c r="K321" s="276">
        <f t="shared" si="68"/>
        <v>0</v>
      </c>
      <c r="L321" s="394">
        <f t="shared" si="71"/>
        <v>25</v>
      </c>
      <c r="M321" s="394">
        <f t="shared" si="63"/>
        <v>301</v>
      </c>
      <c r="N321" s="613" t="str">
        <f>INDEX(tblSubjectToLoan[Date],ROW()-ROW(tblContractForDeed[#Headers]))</f>
        <v xml:space="preserve"> </v>
      </c>
      <c r="O321" s="276">
        <f>IF(ROW()=ROW(tblContractForDeed[#Headers])+1,$O$6,IF(INDEX(tblContractForDeed[End Bal],ROW()-ROW(tblContractForDeed[#Headers])-1)&lt;0,0,INDEX(tblContractForDeed[End Bal],ROW()-ROW(tblContractForDeed[#Headers])-1)))</f>
        <v>0</v>
      </c>
      <c r="P321" s="454">
        <f>IF(tblContractForDeed[[#This Row],[Date]]="","",IF(tblContractForDeed[[#This Row],[Date]]&lt;cfdRateChangeDate,cfdRate1,cfdRate2))</f>
        <v>7.7499999999999999E-2</v>
      </c>
      <c r="Q3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467">
        <f>IF(INDEX(tblContractForDeed[Payment],ROW()-ROW(tblBuyerOutputs[#Headers]))=0,0,INDEX(tblContractForDeed[Payment],ROW()-ROW(tblBuyerOutputs[#Headers]))-INDEX(tblSubjectToLoan[Payment],ROW()-ROW(tblBuyerOutputs[#Headers])))</f>
        <v>0</v>
      </c>
      <c r="Z3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1" s="276">
        <f>IF(INDEX(tblContractForDeed[End Bal],ROW()-ROW(tblBuyerOutputs[#Headers]))&lt;=0,0,($O$6+IF(ROW()=ROW(tblBuyerOutputs[#Headers])+1,0,INDEX(tblBuyerOutputs[Cumul Appr],ROW()-ROW(tblBuyerOutputs[#Headers])-1)))*$AK$2/12)</f>
        <v>0</v>
      </c>
      <c r="AE321" s="276">
        <f>IF(INDEX(tblContractForDeed[End Bal],ROW()-ROW(tblBuyerOutputs[#Headers]))&lt;=0,0,IF(ROW()=ROW(tblBuyerOutputs[#Headers])+1,0,INDEX(tblBuyerOutputs[Cumul Appr],ROW()-ROW(tblBuyerOutputs[#Headers])-1))+tblBuyerOutputs[[#This Row],[Monthly Appr]])</f>
        <v>0</v>
      </c>
    </row>
    <row r="322" spans="1:31" x14ac:dyDescent="0.25">
      <c r="A322" s="613" t="str">
        <f t="shared" si="64"/>
        <v xml:space="preserve"> </v>
      </c>
      <c r="B322" s="276">
        <f t="shared" si="62"/>
        <v>0</v>
      </c>
      <c r="C322" s="14">
        <f t="shared" si="60"/>
        <v>0</v>
      </c>
      <c r="D322" s="14">
        <f t="shared" si="65"/>
        <v>0</v>
      </c>
      <c r="E322" s="14">
        <f t="shared" si="61"/>
        <v>0</v>
      </c>
      <c r="F322" s="14">
        <f t="shared" si="72"/>
        <v>134.16999999999999</v>
      </c>
      <c r="G322" s="14">
        <f t="shared" si="72"/>
        <v>188.55</v>
      </c>
      <c r="H322" s="14">
        <f t="shared" si="73"/>
        <v>322.72000000000003</v>
      </c>
      <c r="I322" s="276">
        <f t="shared" si="66"/>
        <v>98158.279999999955</v>
      </c>
      <c r="J322" s="276">
        <f t="shared" si="67"/>
        <v>35884.000000000022</v>
      </c>
      <c r="K322" s="276">
        <f t="shared" si="68"/>
        <v>0</v>
      </c>
      <c r="L322" s="394">
        <f t="shared" si="71"/>
        <v>25</v>
      </c>
      <c r="M322" s="394">
        <f t="shared" si="63"/>
        <v>302</v>
      </c>
      <c r="N322" s="613" t="str">
        <f>INDEX(tblSubjectToLoan[Date],ROW()-ROW(tblContractForDeed[#Headers]))</f>
        <v xml:space="preserve"> </v>
      </c>
      <c r="O322" s="276">
        <f>IF(ROW()=ROW(tblContractForDeed[#Headers])+1,$O$6,IF(INDEX(tblContractForDeed[End Bal],ROW()-ROW(tblContractForDeed[#Headers])-1)&lt;0,0,INDEX(tblContractForDeed[End Bal],ROW()-ROW(tblContractForDeed[#Headers])-1)))</f>
        <v>0</v>
      </c>
      <c r="P322" s="454">
        <f>IF(tblContractForDeed[[#This Row],[Date]]="","",IF(tblContractForDeed[[#This Row],[Date]]&lt;cfdRateChangeDate,cfdRate1,cfdRate2))</f>
        <v>7.7499999999999999E-2</v>
      </c>
      <c r="Q3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467">
        <f>IF(INDEX(tblContractForDeed[Payment],ROW()-ROW(tblBuyerOutputs[#Headers]))=0,0,INDEX(tblContractForDeed[Payment],ROW()-ROW(tblBuyerOutputs[#Headers]))-INDEX(tblSubjectToLoan[Payment],ROW()-ROW(tblBuyerOutputs[#Headers])))</f>
        <v>0</v>
      </c>
      <c r="Z3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2" s="276">
        <f>IF(INDEX(tblContractForDeed[End Bal],ROW()-ROW(tblBuyerOutputs[#Headers]))&lt;=0,0,($O$6+IF(ROW()=ROW(tblBuyerOutputs[#Headers])+1,0,INDEX(tblBuyerOutputs[Cumul Appr],ROW()-ROW(tblBuyerOutputs[#Headers])-1)))*$AK$2/12)</f>
        <v>0</v>
      </c>
      <c r="AE322" s="276">
        <f>IF(INDEX(tblContractForDeed[End Bal],ROW()-ROW(tblBuyerOutputs[#Headers]))&lt;=0,0,IF(ROW()=ROW(tblBuyerOutputs[#Headers])+1,0,INDEX(tblBuyerOutputs[Cumul Appr],ROW()-ROW(tblBuyerOutputs[#Headers])-1))+tblBuyerOutputs[[#This Row],[Monthly Appr]])</f>
        <v>0</v>
      </c>
    </row>
    <row r="323" spans="1:31" x14ac:dyDescent="0.25">
      <c r="A323" s="613" t="str">
        <f t="shared" si="64"/>
        <v xml:space="preserve"> </v>
      </c>
      <c r="B323" s="276">
        <f t="shared" si="62"/>
        <v>0</v>
      </c>
      <c r="C323" s="14">
        <f t="shared" si="60"/>
        <v>0</v>
      </c>
      <c r="D323" s="14">
        <f t="shared" si="65"/>
        <v>0</v>
      </c>
      <c r="E323" s="14">
        <f t="shared" si="61"/>
        <v>0</v>
      </c>
      <c r="F323" s="14">
        <f t="shared" si="72"/>
        <v>134.16999999999999</v>
      </c>
      <c r="G323" s="14">
        <f t="shared" si="72"/>
        <v>188.55</v>
      </c>
      <c r="H323" s="14">
        <f t="shared" si="73"/>
        <v>322.72000000000003</v>
      </c>
      <c r="I323" s="276">
        <f t="shared" si="66"/>
        <v>98158.279999999955</v>
      </c>
      <c r="J323" s="276">
        <f t="shared" si="67"/>
        <v>35884.000000000022</v>
      </c>
      <c r="K323" s="276">
        <f t="shared" si="68"/>
        <v>0</v>
      </c>
      <c r="L323" s="394">
        <f t="shared" si="71"/>
        <v>25</v>
      </c>
      <c r="M323" s="394">
        <f t="shared" si="63"/>
        <v>303</v>
      </c>
      <c r="N323" s="613" t="str">
        <f>INDEX(tblSubjectToLoan[Date],ROW()-ROW(tblContractForDeed[#Headers]))</f>
        <v xml:space="preserve"> </v>
      </c>
      <c r="O323" s="276">
        <f>IF(ROW()=ROW(tblContractForDeed[#Headers])+1,$O$6,IF(INDEX(tblContractForDeed[End Bal],ROW()-ROW(tblContractForDeed[#Headers])-1)&lt;0,0,INDEX(tblContractForDeed[End Bal],ROW()-ROW(tblContractForDeed[#Headers])-1)))</f>
        <v>0</v>
      </c>
      <c r="P323" s="454">
        <f>IF(tblContractForDeed[[#This Row],[Date]]="","",IF(tblContractForDeed[[#This Row],[Date]]&lt;cfdRateChangeDate,cfdRate1,cfdRate2))</f>
        <v>7.7499999999999999E-2</v>
      </c>
      <c r="Q3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467">
        <f>IF(INDEX(tblContractForDeed[Payment],ROW()-ROW(tblBuyerOutputs[#Headers]))=0,0,INDEX(tblContractForDeed[Payment],ROW()-ROW(tblBuyerOutputs[#Headers]))-INDEX(tblSubjectToLoan[Payment],ROW()-ROW(tblBuyerOutputs[#Headers])))</f>
        <v>0</v>
      </c>
      <c r="Z3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3" s="276">
        <f>IF(INDEX(tblContractForDeed[End Bal],ROW()-ROW(tblBuyerOutputs[#Headers]))&lt;=0,0,($O$6+IF(ROW()=ROW(tblBuyerOutputs[#Headers])+1,0,INDEX(tblBuyerOutputs[Cumul Appr],ROW()-ROW(tblBuyerOutputs[#Headers])-1)))*$AK$2/12)</f>
        <v>0</v>
      </c>
      <c r="AE323" s="276">
        <f>IF(INDEX(tblContractForDeed[End Bal],ROW()-ROW(tblBuyerOutputs[#Headers]))&lt;=0,0,IF(ROW()=ROW(tblBuyerOutputs[#Headers])+1,0,INDEX(tblBuyerOutputs[Cumul Appr],ROW()-ROW(tblBuyerOutputs[#Headers])-1))+tblBuyerOutputs[[#This Row],[Monthly Appr]])</f>
        <v>0</v>
      </c>
    </row>
    <row r="324" spans="1:31" x14ac:dyDescent="0.25">
      <c r="A324" s="613" t="str">
        <f t="shared" si="64"/>
        <v xml:space="preserve"> </v>
      </c>
      <c r="B324" s="276">
        <f t="shared" si="62"/>
        <v>0</v>
      </c>
      <c r="C324" s="14">
        <f t="shared" si="60"/>
        <v>0</v>
      </c>
      <c r="D324" s="14">
        <f t="shared" si="65"/>
        <v>0</v>
      </c>
      <c r="E324" s="14">
        <f t="shared" si="61"/>
        <v>0</v>
      </c>
      <c r="F324" s="14">
        <f t="shared" si="72"/>
        <v>134.16999999999999</v>
      </c>
      <c r="G324" s="14">
        <f t="shared" si="72"/>
        <v>188.55</v>
      </c>
      <c r="H324" s="14">
        <f t="shared" si="73"/>
        <v>322.72000000000003</v>
      </c>
      <c r="I324" s="276">
        <f t="shared" si="66"/>
        <v>98158.279999999955</v>
      </c>
      <c r="J324" s="276">
        <f t="shared" si="67"/>
        <v>35884.000000000022</v>
      </c>
      <c r="K324" s="276">
        <f t="shared" si="68"/>
        <v>0</v>
      </c>
      <c r="L324" s="394">
        <f t="shared" si="71"/>
        <v>25</v>
      </c>
      <c r="M324" s="394">
        <f t="shared" si="63"/>
        <v>304</v>
      </c>
      <c r="N324" s="613" t="str">
        <f>INDEX(tblSubjectToLoan[Date],ROW()-ROW(tblContractForDeed[#Headers]))</f>
        <v xml:space="preserve"> </v>
      </c>
      <c r="O324" s="276">
        <f>IF(ROW()=ROW(tblContractForDeed[#Headers])+1,$O$6,IF(INDEX(tblContractForDeed[End Bal],ROW()-ROW(tblContractForDeed[#Headers])-1)&lt;0,0,INDEX(tblContractForDeed[End Bal],ROW()-ROW(tblContractForDeed[#Headers])-1)))</f>
        <v>0</v>
      </c>
      <c r="P324" s="454">
        <f>IF(tblContractForDeed[[#This Row],[Date]]="","",IF(tblContractForDeed[[#This Row],[Date]]&lt;cfdRateChangeDate,cfdRate1,cfdRate2))</f>
        <v>7.7499999999999999E-2</v>
      </c>
      <c r="Q3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467">
        <f>IF(INDEX(tblContractForDeed[Payment],ROW()-ROW(tblBuyerOutputs[#Headers]))=0,0,INDEX(tblContractForDeed[Payment],ROW()-ROW(tblBuyerOutputs[#Headers]))-INDEX(tblSubjectToLoan[Payment],ROW()-ROW(tblBuyerOutputs[#Headers])))</f>
        <v>0</v>
      </c>
      <c r="Z3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4" s="276">
        <f>IF(INDEX(tblContractForDeed[End Bal],ROW()-ROW(tblBuyerOutputs[#Headers]))&lt;=0,0,($O$6+IF(ROW()=ROW(tblBuyerOutputs[#Headers])+1,0,INDEX(tblBuyerOutputs[Cumul Appr],ROW()-ROW(tblBuyerOutputs[#Headers])-1)))*$AK$2/12)</f>
        <v>0</v>
      </c>
      <c r="AE324" s="276">
        <f>IF(INDEX(tblContractForDeed[End Bal],ROW()-ROW(tblBuyerOutputs[#Headers]))&lt;=0,0,IF(ROW()=ROW(tblBuyerOutputs[#Headers])+1,0,INDEX(tblBuyerOutputs[Cumul Appr],ROW()-ROW(tblBuyerOutputs[#Headers])-1))+tblBuyerOutputs[[#This Row],[Monthly Appr]])</f>
        <v>0</v>
      </c>
    </row>
    <row r="325" spans="1:31" x14ac:dyDescent="0.25">
      <c r="A325" s="613" t="str">
        <f t="shared" si="64"/>
        <v xml:space="preserve"> </v>
      </c>
      <c r="B325" s="276">
        <f t="shared" si="62"/>
        <v>0</v>
      </c>
      <c r="C325" s="14">
        <f t="shared" si="60"/>
        <v>0</v>
      </c>
      <c r="D325" s="14">
        <f t="shared" si="65"/>
        <v>0</v>
      </c>
      <c r="E325" s="14">
        <f t="shared" si="61"/>
        <v>0</v>
      </c>
      <c r="F325" s="14">
        <f t="shared" si="72"/>
        <v>134.16999999999999</v>
      </c>
      <c r="G325" s="14">
        <f t="shared" si="72"/>
        <v>188.55</v>
      </c>
      <c r="H325" s="14">
        <f t="shared" si="73"/>
        <v>322.72000000000003</v>
      </c>
      <c r="I325" s="276">
        <f t="shared" si="66"/>
        <v>98158.279999999955</v>
      </c>
      <c r="J325" s="276">
        <f t="shared" si="67"/>
        <v>35884.000000000022</v>
      </c>
      <c r="K325" s="276">
        <f t="shared" si="68"/>
        <v>0</v>
      </c>
      <c r="L325" s="394">
        <f t="shared" si="71"/>
        <v>25</v>
      </c>
      <c r="M325" s="394">
        <f t="shared" si="63"/>
        <v>305</v>
      </c>
      <c r="N325" s="613" t="str">
        <f>INDEX(tblSubjectToLoan[Date],ROW()-ROW(tblContractForDeed[#Headers]))</f>
        <v xml:space="preserve"> </v>
      </c>
      <c r="O325" s="276">
        <f>IF(ROW()=ROW(tblContractForDeed[#Headers])+1,$O$6,IF(INDEX(tblContractForDeed[End Bal],ROW()-ROW(tblContractForDeed[#Headers])-1)&lt;0,0,INDEX(tblContractForDeed[End Bal],ROW()-ROW(tblContractForDeed[#Headers])-1)))</f>
        <v>0</v>
      </c>
      <c r="P325" s="454">
        <f>IF(tblContractForDeed[[#This Row],[Date]]="","",IF(tblContractForDeed[[#This Row],[Date]]&lt;cfdRateChangeDate,cfdRate1,cfdRate2))</f>
        <v>7.7499999999999999E-2</v>
      </c>
      <c r="Q3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467">
        <f>IF(INDEX(tblContractForDeed[Payment],ROW()-ROW(tblBuyerOutputs[#Headers]))=0,0,INDEX(tblContractForDeed[Payment],ROW()-ROW(tblBuyerOutputs[#Headers]))-INDEX(tblSubjectToLoan[Payment],ROW()-ROW(tblBuyerOutputs[#Headers])))</f>
        <v>0</v>
      </c>
      <c r="Z3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5" s="276">
        <f>IF(INDEX(tblContractForDeed[End Bal],ROW()-ROW(tblBuyerOutputs[#Headers]))&lt;=0,0,($O$6+IF(ROW()=ROW(tblBuyerOutputs[#Headers])+1,0,INDEX(tblBuyerOutputs[Cumul Appr],ROW()-ROW(tblBuyerOutputs[#Headers])-1)))*$AK$2/12)</f>
        <v>0</v>
      </c>
      <c r="AE325" s="276">
        <f>IF(INDEX(tblContractForDeed[End Bal],ROW()-ROW(tblBuyerOutputs[#Headers]))&lt;=0,0,IF(ROW()=ROW(tblBuyerOutputs[#Headers])+1,0,INDEX(tblBuyerOutputs[Cumul Appr],ROW()-ROW(tblBuyerOutputs[#Headers])-1))+tblBuyerOutputs[[#This Row],[Monthly Appr]])</f>
        <v>0</v>
      </c>
    </row>
    <row r="326" spans="1:31" x14ac:dyDescent="0.25">
      <c r="A326" s="613" t="str">
        <f t="shared" si="64"/>
        <v xml:space="preserve"> </v>
      </c>
      <c r="B326" s="276">
        <f t="shared" si="62"/>
        <v>0</v>
      </c>
      <c r="C326" s="14">
        <f t="shared" si="60"/>
        <v>0</v>
      </c>
      <c r="D326" s="14">
        <f t="shared" si="65"/>
        <v>0</v>
      </c>
      <c r="E326" s="14">
        <f t="shared" si="61"/>
        <v>0</v>
      </c>
      <c r="F326" s="14">
        <f t="shared" si="72"/>
        <v>134.16999999999999</v>
      </c>
      <c r="G326" s="14">
        <f t="shared" si="72"/>
        <v>188.55</v>
      </c>
      <c r="H326" s="14">
        <f t="shared" si="73"/>
        <v>322.72000000000003</v>
      </c>
      <c r="I326" s="276">
        <f t="shared" si="66"/>
        <v>98158.279999999955</v>
      </c>
      <c r="J326" s="276">
        <f t="shared" si="67"/>
        <v>35884.000000000022</v>
      </c>
      <c r="K326" s="276">
        <f t="shared" si="68"/>
        <v>0</v>
      </c>
      <c r="L326" s="394">
        <f t="shared" si="71"/>
        <v>25</v>
      </c>
      <c r="M326" s="394">
        <f t="shared" si="63"/>
        <v>306</v>
      </c>
      <c r="N326" s="613" t="str">
        <f>INDEX(tblSubjectToLoan[Date],ROW()-ROW(tblContractForDeed[#Headers]))</f>
        <v xml:space="preserve"> </v>
      </c>
      <c r="O326" s="276">
        <f>IF(ROW()=ROW(tblContractForDeed[#Headers])+1,$O$6,IF(INDEX(tblContractForDeed[End Bal],ROW()-ROW(tblContractForDeed[#Headers])-1)&lt;0,0,INDEX(tblContractForDeed[End Bal],ROW()-ROW(tblContractForDeed[#Headers])-1)))</f>
        <v>0</v>
      </c>
      <c r="P326" s="454">
        <f>IF(tblContractForDeed[[#This Row],[Date]]="","",IF(tblContractForDeed[[#This Row],[Date]]&lt;cfdRateChangeDate,cfdRate1,cfdRate2))</f>
        <v>7.7499999999999999E-2</v>
      </c>
      <c r="Q3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467">
        <f>IF(INDEX(tblContractForDeed[Payment],ROW()-ROW(tblBuyerOutputs[#Headers]))=0,0,INDEX(tblContractForDeed[Payment],ROW()-ROW(tblBuyerOutputs[#Headers]))-INDEX(tblSubjectToLoan[Payment],ROW()-ROW(tblBuyerOutputs[#Headers])))</f>
        <v>0</v>
      </c>
      <c r="Z3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6" s="276">
        <f>IF(INDEX(tblContractForDeed[End Bal],ROW()-ROW(tblBuyerOutputs[#Headers]))&lt;=0,0,($O$6+IF(ROW()=ROW(tblBuyerOutputs[#Headers])+1,0,INDEX(tblBuyerOutputs[Cumul Appr],ROW()-ROW(tblBuyerOutputs[#Headers])-1)))*$AK$2/12)</f>
        <v>0</v>
      </c>
      <c r="AE326" s="276">
        <f>IF(INDEX(tblContractForDeed[End Bal],ROW()-ROW(tblBuyerOutputs[#Headers]))&lt;=0,0,IF(ROW()=ROW(tblBuyerOutputs[#Headers])+1,0,INDEX(tblBuyerOutputs[Cumul Appr],ROW()-ROW(tblBuyerOutputs[#Headers])-1))+tblBuyerOutputs[[#This Row],[Monthly Appr]])</f>
        <v>0</v>
      </c>
    </row>
    <row r="327" spans="1:31" x14ac:dyDescent="0.25">
      <c r="A327" s="613" t="str">
        <f t="shared" si="64"/>
        <v xml:space="preserve"> </v>
      </c>
      <c r="B327" s="276">
        <f t="shared" si="62"/>
        <v>0</v>
      </c>
      <c r="C327" s="14">
        <f t="shared" si="60"/>
        <v>0</v>
      </c>
      <c r="D327" s="14">
        <f t="shared" si="65"/>
        <v>0</v>
      </c>
      <c r="E327" s="14">
        <f t="shared" si="61"/>
        <v>0</v>
      </c>
      <c r="F327" s="14">
        <f t="shared" si="72"/>
        <v>134.16999999999999</v>
      </c>
      <c r="G327" s="14">
        <f t="shared" si="72"/>
        <v>188.55</v>
      </c>
      <c r="H327" s="14">
        <f t="shared" si="73"/>
        <v>322.72000000000003</v>
      </c>
      <c r="I327" s="276">
        <f t="shared" si="66"/>
        <v>98158.279999999955</v>
      </c>
      <c r="J327" s="276">
        <f t="shared" si="67"/>
        <v>35884.000000000022</v>
      </c>
      <c r="K327" s="276">
        <f t="shared" si="68"/>
        <v>0</v>
      </c>
      <c r="L327" s="394">
        <f t="shared" si="71"/>
        <v>25</v>
      </c>
      <c r="M327" s="394">
        <f t="shared" si="63"/>
        <v>307</v>
      </c>
      <c r="N327" s="613" t="str">
        <f>INDEX(tblSubjectToLoan[Date],ROW()-ROW(tblContractForDeed[#Headers]))</f>
        <v xml:space="preserve"> </v>
      </c>
      <c r="O327" s="276">
        <f>IF(ROW()=ROW(tblContractForDeed[#Headers])+1,$O$6,IF(INDEX(tblContractForDeed[End Bal],ROW()-ROW(tblContractForDeed[#Headers])-1)&lt;0,0,INDEX(tblContractForDeed[End Bal],ROW()-ROW(tblContractForDeed[#Headers])-1)))</f>
        <v>0</v>
      </c>
      <c r="P327" s="454">
        <f>IF(tblContractForDeed[[#This Row],[Date]]="","",IF(tblContractForDeed[[#This Row],[Date]]&lt;cfdRateChangeDate,cfdRate1,cfdRate2))</f>
        <v>7.7499999999999999E-2</v>
      </c>
      <c r="Q3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467">
        <f>IF(INDEX(tblContractForDeed[Payment],ROW()-ROW(tblBuyerOutputs[#Headers]))=0,0,INDEX(tblContractForDeed[Payment],ROW()-ROW(tblBuyerOutputs[#Headers]))-INDEX(tblSubjectToLoan[Payment],ROW()-ROW(tblBuyerOutputs[#Headers])))</f>
        <v>0</v>
      </c>
      <c r="Z3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7" s="276">
        <f>IF(INDEX(tblContractForDeed[End Bal],ROW()-ROW(tblBuyerOutputs[#Headers]))&lt;=0,0,($O$6+IF(ROW()=ROW(tblBuyerOutputs[#Headers])+1,0,INDEX(tblBuyerOutputs[Cumul Appr],ROW()-ROW(tblBuyerOutputs[#Headers])-1)))*$AK$2/12)</f>
        <v>0</v>
      </c>
      <c r="AE327" s="276">
        <f>IF(INDEX(tblContractForDeed[End Bal],ROW()-ROW(tblBuyerOutputs[#Headers]))&lt;=0,0,IF(ROW()=ROW(tblBuyerOutputs[#Headers])+1,0,INDEX(tblBuyerOutputs[Cumul Appr],ROW()-ROW(tblBuyerOutputs[#Headers])-1))+tblBuyerOutputs[[#This Row],[Monthly Appr]])</f>
        <v>0</v>
      </c>
    </row>
    <row r="328" spans="1:31" x14ac:dyDescent="0.25">
      <c r="A328" s="613" t="str">
        <f t="shared" si="64"/>
        <v xml:space="preserve"> </v>
      </c>
      <c r="B328" s="276">
        <f t="shared" si="62"/>
        <v>0</v>
      </c>
      <c r="C328" s="14">
        <f t="shared" si="60"/>
        <v>0</v>
      </c>
      <c r="D328" s="14">
        <f t="shared" si="65"/>
        <v>0</v>
      </c>
      <c r="E328" s="14">
        <f t="shared" si="61"/>
        <v>0</v>
      </c>
      <c r="F328" s="14">
        <f t="shared" si="72"/>
        <v>134.16999999999999</v>
      </c>
      <c r="G328" s="14">
        <f t="shared" si="72"/>
        <v>188.55</v>
      </c>
      <c r="H328" s="14">
        <f t="shared" si="73"/>
        <v>322.72000000000003</v>
      </c>
      <c r="I328" s="276">
        <f t="shared" si="66"/>
        <v>98158.279999999955</v>
      </c>
      <c r="J328" s="276">
        <f t="shared" si="67"/>
        <v>35884.000000000022</v>
      </c>
      <c r="K328" s="276">
        <f t="shared" si="68"/>
        <v>0</v>
      </c>
      <c r="L328" s="394">
        <f t="shared" si="71"/>
        <v>25</v>
      </c>
      <c r="M328" s="394">
        <f t="shared" si="63"/>
        <v>308</v>
      </c>
      <c r="N328" s="613" t="str">
        <f>INDEX(tblSubjectToLoan[Date],ROW()-ROW(tblContractForDeed[#Headers]))</f>
        <v xml:space="preserve"> </v>
      </c>
      <c r="O328" s="276">
        <f>IF(ROW()=ROW(tblContractForDeed[#Headers])+1,$O$6,IF(INDEX(tblContractForDeed[End Bal],ROW()-ROW(tblContractForDeed[#Headers])-1)&lt;0,0,INDEX(tblContractForDeed[End Bal],ROW()-ROW(tblContractForDeed[#Headers])-1)))</f>
        <v>0</v>
      </c>
      <c r="P328" s="454">
        <f>IF(tblContractForDeed[[#This Row],[Date]]="","",IF(tblContractForDeed[[#This Row],[Date]]&lt;cfdRateChangeDate,cfdRate1,cfdRate2))</f>
        <v>7.7499999999999999E-2</v>
      </c>
      <c r="Q3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467">
        <f>IF(INDEX(tblContractForDeed[Payment],ROW()-ROW(tblBuyerOutputs[#Headers]))=0,0,INDEX(tblContractForDeed[Payment],ROW()-ROW(tblBuyerOutputs[#Headers]))-INDEX(tblSubjectToLoan[Payment],ROW()-ROW(tblBuyerOutputs[#Headers])))</f>
        <v>0</v>
      </c>
      <c r="Z3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8" s="276">
        <f>IF(INDEX(tblContractForDeed[End Bal],ROW()-ROW(tblBuyerOutputs[#Headers]))&lt;=0,0,($O$6+IF(ROW()=ROW(tblBuyerOutputs[#Headers])+1,0,INDEX(tblBuyerOutputs[Cumul Appr],ROW()-ROW(tblBuyerOutputs[#Headers])-1)))*$AK$2/12)</f>
        <v>0</v>
      </c>
      <c r="AE328" s="276">
        <f>IF(INDEX(tblContractForDeed[End Bal],ROW()-ROW(tblBuyerOutputs[#Headers]))&lt;=0,0,IF(ROW()=ROW(tblBuyerOutputs[#Headers])+1,0,INDEX(tblBuyerOutputs[Cumul Appr],ROW()-ROW(tblBuyerOutputs[#Headers])-1))+tblBuyerOutputs[[#This Row],[Monthly Appr]])</f>
        <v>0</v>
      </c>
    </row>
    <row r="329" spans="1:31" x14ac:dyDescent="0.25">
      <c r="A329" s="613" t="str">
        <f t="shared" si="64"/>
        <v xml:space="preserve"> </v>
      </c>
      <c r="B329" s="276">
        <f t="shared" si="62"/>
        <v>0</v>
      </c>
      <c r="C329" s="14">
        <f t="shared" si="60"/>
        <v>0</v>
      </c>
      <c r="D329" s="14">
        <f t="shared" si="65"/>
        <v>0</v>
      </c>
      <c r="E329" s="14">
        <f t="shared" si="61"/>
        <v>0</v>
      </c>
      <c r="F329" s="14">
        <f t="shared" si="72"/>
        <v>134.16999999999999</v>
      </c>
      <c r="G329" s="14">
        <f t="shared" si="72"/>
        <v>188.55</v>
      </c>
      <c r="H329" s="14">
        <f t="shared" si="73"/>
        <v>322.72000000000003</v>
      </c>
      <c r="I329" s="276">
        <f t="shared" si="66"/>
        <v>98158.279999999955</v>
      </c>
      <c r="J329" s="276">
        <f t="shared" si="67"/>
        <v>35884.000000000022</v>
      </c>
      <c r="K329" s="276">
        <f t="shared" si="68"/>
        <v>0</v>
      </c>
      <c r="L329" s="394">
        <f t="shared" si="71"/>
        <v>25</v>
      </c>
      <c r="M329" s="394">
        <f t="shared" si="63"/>
        <v>309</v>
      </c>
      <c r="N329" s="613" t="str">
        <f>INDEX(tblSubjectToLoan[Date],ROW()-ROW(tblContractForDeed[#Headers]))</f>
        <v xml:space="preserve"> </v>
      </c>
      <c r="O329" s="276">
        <f>IF(ROW()=ROW(tblContractForDeed[#Headers])+1,$O$6,IF(INDEX(tblContractForDeed[End Bal],ROW()-ROW(tblContractForDeed[#Headers])-1)&lt;0,0,INDEX(tblContractForDeed[End Bal],ROW()-ROW(tblContractForDeed[#Headers])-1)))</f>
        <v>0</v>
      </c>
      <c r="P329" s="454">
        <f>IF(tblContractForDeed[[#This Row],[Date]]="","",IF(tblContractForDeed[[#This Row],[Date]]&lt;cfdRateChangeDate,cfdRate1,cfdRate2))</f>
        <v>7.7499999999999999E-2</v>
      </c>
      <c r="Q3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467">
        <f>IF(INDEX(tblContractForDeed[Payment],ROW()-ROW(tblBuyerOutputs[#Headers]))=0,0,INDEX(tblContractForDeed[Payment],ROW()-ROW(tblBuyerOutputs[#Headers]))-INDEX(tblSubjectToLoan[Payment],ROW()-ROW(tblBuyerOutputs[#Headers])))</f>
        <v>0</v>
      </c>
      <c r="Z3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9" s="276">
        <f>IF(INDEX(tblContractForDeed[End Bal],ROW()-ROW(tblBuyerOutputs[#Headers]))&lt;=0,0,($O$6+IF(ROW()=ROW(tblBuyerOutputs[#Headers])+1,0,INDEX(tblBuyerOutputs[Cumul Appr],ROW()-ROW(tblBuyerOutputs[#Headers])-1)))*$AK$2/12)</f>
        <v>0</v>
      </c>
      <c r="AE329" s="276">
        <f>IF(INDEX(tblContractForDeed[End Bal],ROW()-ROW(tblBuyerOutputs[#Headers]))&lt;=0,0,IF(ROW()=ROW(tblBuyerOutputs[#Headers])+1,0,INDEX(tblBuyerOutputs[Cumul Appr],ROW()-ROW(tblBuyerOutputs[#Headers])-1))+tblBuyerOutputs[[#This Row],[Monthly Appr]])</f>
        <v>0</v>
      </c>
    </row>
    <row r="330" spans="1:31" x14ac:dyDescent="0.25">
      <c r="A330" s="613" t="str">
        <f t="shared" si="64"/>
        <v xml:space="preserve"> </v>
      </c>
      <c r="B330" s="276">
        <f t="shared" si="62"/>
        <v>0</v>
      </c>
      <c r="C330" s="14">
        <f t="shared" si="60"/>
        <v>0</v>
      </c>
      <c r="D330" s="14">
        <f t="shared" si="65"/>
        <v>0</v>
      </c>
      <c r="E330" s="14">
        <f t="shared" si="61"/>
        <v>0</v>
      </c>
      <c r="F330" s="14">
        <f t="shared" si="72"/>
        <v>134.16999999999999</v>
      </c>
      <c r="G330" s="14">
        <f t="shared" si="72"/>
        <v>188.55</v>
      </c>
      <c r="H330" s="14">
        <f t="shared" si="73"/>
        <v>322.72000000000003</v>
      </c>
      <c r="I330" s="276">
        <f t="shared" si="66"/>
        <v>98158.279999999955</v>
      </c>
      <c r="J330" s="276">
        <f t="shared" si="67"/>
        <v>35884.000000000022</v>
      </c>
      <c r="K330" s="276">
        <f t="shared" si="68"/>
        <v>0</v>
      </c>
      <c r="L330" s="394">
        <f t="shared" si="71"/>
        <v>25</v>
      </c>
      <c r="M330" s="394">
        <f t="shared" si="63"/>
        <v>310</v>
      </c>
      <c r="N330" s="613" t="str">
        <f>INDEX(tblSubjectToLoan[Date],ROW()-ROW(tblContractForDeed[#Headers]))</f>
        <v xml:space="preserve"> </v>
      </c>
      <c r="O330" s="276">
        <f>IF(ROW()=ROW(tblContractForDeed[#Headers])+1,$O$6,IF(INDEX(tblContractForDeed[End Bal],ROW()-ROW(tblContractForDeed[#Headers])-1)&lt;0,0,INDEX(tblContractForDeed[End Bal],ROW()-ROW(tblContractForDeed[#Headers])-1)))</f>
        <v>0</v>
      </c>
      <c r="P330" s="454">
        <f>IF(tblContractForDeed[[#This Row],[Date]]="","",IF(tblContractForDeed[[#This Row],[Date]]&lt;cfdRateChangeDate,cfdRate1,cfdRate2))</f>
        <v>7.7499999999999999E-2</v>
      </c>
      <c r="Q3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467">
        <f>IF(INDEX(tblContractForDeed[Payment],ROW()-ROW(tblBuyerOutputs[#Headers]))=0,0,INDEX(tblContractForDeed[Payment],ROW()-ROW(tblBuyerOutputs[#Headers]))-INDEX(tblSubjectToLoan[Payment],ROW()-ROW(tblBuyerOutputs[#Headers])))</f>
        <v>0</v>
      </c>
      <c r="Z3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0" s="276">
        <f>IF(INDEX(tblContractForDeed[End Bal],ROW()-ROW(tblBuyerOutputs[#Headers]))&lt;=0,0,($O$6+IF(ROW()=ROW(tblBuyerOutputs[#Headers])+1,0,INDEX(tblBuyerOutputs[Cumul Appr],ROW()-ROW(tblBuyerOutputs[#Headers])-1)))*$AK$2/12)</f>
        <v>0</v>
      </c>
      <c r="AE330" s="276">
        <f>IF(INDEX(tblContractForDeed[End Bal],ROW()-ROW(tblBuyerOutputs[#Headers]))&lt;=0,0,IF(ROW()=ROW(tblBuyerOutputs[#Headers])+1,0,INDEX(tblBuyerOutputs[Cumul Appr],ROW()-ROW(tblBuyerOutputs[#Headers])-1))+tblBuyerOutputs[[#This Row],[Monthly Appr]])</f>
        <v>0</v>
      </c>
    </row>
    <row r="331" spans="1:31" ht="15.75" thickBot="1" x14ac:dyDescent="0.3">
      <c r="A331" s="615" t="str">
        <f t="shared" si="64"/>
        <v xml:space="preserve"> </v>
      </c>
      <c r="B331" s="332">
        <f t="shared" si="62"/>
        <v>0</v>
      </c>
      <c r="C331" s="21">
        <f t="shared" si="60"/>
        <v>0</v>
      </c>
      <c r="D331" s="21">
        <f t="shared" si="65"/>
        <v>0</v>
      </c>
      <c r="E331" s="21">
        <f t="shared" si="61"/>
        <v>0</v>
      </c>
      <c r="F331" s="21">
        <f t="shared" si="72"/>
        <v>134.16999999999999</v>
      </c>
      <c r="G331" s="21">
        <f t="shared" si="72"/>
        <v>188.55</v>
      </c>
      <c r="H331" s="21">
        <f t="shared" si="73"/>
        <v>322.72000000000003</v>
      </c>
      <c r="I331" s="332">
        <f t="shared" si="66"/>
        <v>98158.279999999955</v>
      </c>
      <c r="J331" s="332">
        <f t="shared" si="67"/>
        <v>35884.000000000022</v>
      </c>
      <c r="K331" s="332">
        <f t="shared" si="68"/>
        <v>0</v>
      </c>
      <c r="L331" s="395">
        <f t="shared" si="71"/>
        <v>25</v>
      </c>
      <c r="M331" s="395">
        <f t="shared" si="63"/>
        <v>311</v>
      </c>
      <c r="N331" s="615" t="str">
        <f>INDEX(tblSubjectToLoan[Date],ROW()-ROW(tblContractForDeed[#Headers]))</f>
        <v xml:space="preserve"> </v>
      </c>
      <c r="O331" s="332">
        <f>IF(ROW()=ROW(tblContractForDeed[#Headers])+1,$O$6,IF(INDEX(tblContractForDeed[End Bal],ROW()-ROW(tblContractForDeed[#Headers])-1)&lt;0,0,INDEX(tblContractForDeed[End Bal],ROW()-ROW(tblContractForDeed[#Headers])-1)))</f>
        <v>0</v>
      </c>
      <c r="P331" s="454">
        <f>IF(tblContractForDeed[[#This Row],[Date]]="","",IF(tblContractForDeed[[#This Row],[Date]]&lt;cfdRateChangeDate,cfdRate1,cfdRate2))</f>
        <v>7.7499999999999999E-2</v>
      </c>
      <c r="Q3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468">
        <f>IF(INDEX(tblContractForDeed[Payment],ROW()-ROW(tblBuyerOutputs[#Headers]))=0,0,INDEX(tblContractForDeed[Payment],ROW()-ROW(tblBuyerOutputs[#Headers]))-INDEX(tblSubjectToLoan[Payment],ROW()-ROW(tblBuyerOutputs[#Headers])))</f>
        <v>0</v>
      </c>
      <c r="Z3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1" s="332">
        <f>IF(INDEX(tblContractForDeed[End Bal],ROW()-ROW(tblBuyerOutputs[#Headers]))&lt;=0,0,($O$6+IF(ROW()=ROW(tblBuyerOutputs[#Headers])+1,0,INDEX(tblBuyerOutputs[Cumul Appr],ROW()-ROW(tblBuyerOutputs[#Headers])-1)))*$AK$2/12)</f>
        <v>0</v>
      </c>
      <c r="AE331" s="332">
        <f>IF(INDEX(tblContractForDeed[End Bal],ROW()-ROW(tblBuyerOutputs[#Headers]))&lt;=0,0,IF(ROW()=ROW(tblBuyerOutputs[#Headers])+1,0,INDEX(tblBuyerOutputs[Cumul Appr],ROW()-ROW(tblBuyerOutputs[#Headers])-1))+tblBuyerOutputs[[#This Row],[Monthly Appr]])</f>
        <v>0</v>
      </c>
    </row>
    <row r="332" spans="1:31" x14ac:dyDescent="0.25">
      <c r="A332" s="613" t="str">
        <f t="shared" si="64"/>
        <v xml:space="preserve"> </v>
      </c>
      <c r="B332" s="276">
        <f t="shared" si="62"/>
        <v>0</v>
      </c>
      <c r="C332" s="14">
        <f t="shared" si="60"/>
        <v>0</v>
      </c>
      <c r="D332" s="14">
        <f t="shared" si="65"/>
        <v>0</v>
      </c>
      <c r="E332" s="14">
        <f t="shared" si="61"/>
        <v>0</v>
      </c>
      <c r="F332" s="14">
        <f t="shared" si="72"/>
        <v>134.16999999999999</v>
      </c>
      <c r="G332" s="14">
        <f t="shared" si="72"/>
        <v>188.55</v>
      </c>
      <c r="H332" s="14">
        <f t="shared" si="73"/>
        <v>322.72000000000003</v>
      </c>
      <c r="I332" s="276">
        <f t="shared" si="66"/>
        <v>98158.279999999955</v>
      </c>
      <c r="J332" s="276">
        <f t="shared" si="67"/>
        <v>35884.000000000022</v>
      </c>
      <c r="K332" s="276">
        <f t="shared" si="68"/>
        <v>0</v>
      </c>
      <c r="L332" s="394">
        <f t="shared" si="71"/>
        <v>26</v>
      </c>
      <c r="M332" s="394">
        <f t="shared" si="63"/>
        <v>312</v>
      </c>
      <c r="N332" s="613" t="str">
        <f>INDEX(tblSubjectToLoan[Date],ROW()-ROW(tblContractForDeed[#Headers]))</f>
        <v xml:space="preserve"> </v>
      </c>
      <c r="O332" s="276">
        <f>IF(ROW()=ROW(tblContractForDeed[#Headers])+1,$O$6,IF(INDEX(tblContractForDeed[End Bal],ROW()-ROW(tblContractForDeed[#Headers])-1)&lt;0,0,INDEX(tblContractForDeed[End Bal],ROW()-ROW(tblContractForDeed[#Headers])-1)))</f>
        <v>0</v>
      </c>
      <c r="P332" s="454">
        <f>IF(tblContractForDeed[[#This Row],[Date]]="","",IF(tblContractForDeed[[#This Row],[Date]]&lt;cfdRateChangeDate,cfdRate1,cfdRate2))</f>
        <v>7.7499999999999999E-2</v>
      </c>
      <c r="Q3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467">
        <f>IF(INDEX(tblContractForDeed[Payment],ROW()-ROW(tblBuyerOutputs[#Headers]))=0,0,INDEX(tblContractForDeed[Payment],ROW()-ROW(tblBuyerOutputs[#Headers]))-INDEX(tblSubjectToLoan[Payment],ROW()-ROW(tblBuyerOutputs[#Headers])))</f>
        <v>0</v>
      </c>
      <c r="Z3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2" s="276">
        <f>IF(INDEX(tblContractForDeed[End Bal],ROW()-ROW(tblBuyerOutputs[#Headers]))&lt;=0,0,($O$6+IF(ROW()=ROW(tblBuyerOutputs[#Headers])+1,0,INDEX(tblBuyerOutputs[Cumul Appr],ROW()-ROW(tblBuyerOutputs[#Headers])-1)))*$AK$2/12)</f>
        <v>0</v>
      </c>
      <c r="AE332" s="276">
        <f>IF(INDEX(tblContractForDeed[End Bal],ROW()-ROW(tblBuyerOutputs[#Headers]))&lt;=0,0,IF(ROW()=ROW(tblBuyerOutputs[#Headers])+1,0,INDEX(tblBuyerOutputs[Cumul Appr],ROW()-ROW(tblBuyerOutputs[#Headers])-1))+tblBuyerOutputs[[#This Row],[Monthly Appr]])</f>
        <v>0</v>
      </c>
    </row>
    <row r="333" spans="1:31" x14ac:dyDescent="0.25">
      <c r="A333" s="613" t="str">
        <f t="shared" si="64"/>
        <v xml:space="preserve"> </v>
      </c>
      <c r="B333" s="276">
        <f t="shared" si="62"/>
        <v>0</v>
      </c>
      <c r="C333" s="14">
        <f t="shared" si="60"/>
        <v>0</v>
      </c>
      <c r="D333" s="14">
        <f t="shared" si="65"/>
        <v>0</v>
      </c>
      <c r="E333" s="14">
        <f t="shared" si="61"/>
        <v>0</v>
      </c>
      <c r="F333" s="14">
        <f t="shared" si="72"/>
        <v>134.16999999999999</v>
      </c>
      <c r="G333" s="14">
        <f t="shared" si="72"/>
        <v>188.55</v>
      </c>
      <c r="H333" s="14">
        <f t="shared" si="73"/>
        <v>322.72000000000003</v>
      </c>
      <c r="I333" s="276">
        <f t="shared" si="66"/>
        <v>98158.279999999955</v>
      </c>
      <c r="J333" s="276">
        <f t="shared" si="67"/>
        <v>35884.000000000022</v>
      </c>
      <c r="K333" s="276">
        <f t="shared" si="68"/>
        <v>0</v>
      </c>
      <c r="L333" s="394">
        <f t="shared" si="71"/>
        <v>26</v>
      </c>
      <c r="M333" s="394">
        <f t="shared" si="63"/>
        <v>313</v>
      </c>
      <c r="N333" s="613" t="str">
        <f>INDEX(tblSubjectToLoan[Date],ROW()-ROW(tblContractForDeed[#Headers]))</f>
        <v xml:space="preserve"> </v>
      </c>
      <c r="O333" s="276">
        <f>IF(ROW()=ROW(tblContractForDeed[#Headers])+1,$O$6,IF(INDEX(tblContractForDeed[End Bal],ROW()-ROW(tblContractForDeed[#Headers])-1)&lt;0,0,INDEX(tblContractForDeed[End Bal],ROW()-ROW(tblContractForDeed[#Headers])-1)))</f>
        <v>0</v>
      </c>
      <c r="P333" s="454">
        <f>IF(tblContractForDeed[[#This Row],[Date]]="","",IF(tblContractForDeed[[#This Row],[Date]]&lt;cfdRateChangeDate,cfdRate1,cfdRate2))</f>
        <v>7.7499999999999999E-2</v>
      </c>
      <c r="Q3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467">
        <f>IF(INDEX(tblContractForDeed[Payment],ROW()-ROW(tblBuyerOutputs[#Headers]))=0,0,INDEX(tblContractForDeed[Payment],ROW()-ROW(tblBuyerOutputs[#Headers]))-INDEX(tblSubjectToLoan[Payment],ROW()-ROW(tblBuyerOutputs[#Headers])))</f>
        <v>0</v>
      </c>
      <c r="Z3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3" s="276">
        <f>IF(INDEX(tblContractForDeed[End Bal],ROW()-ROW(tblBuyerOutputs[#Headers]))&lt;=0,0,($O$6+IF(ROW()=ROW(tblBuyerOutputs[#Headers])+1,0,INDEX(tblBuyerOutputs[Cumul Appr],ROW()-ROW(tblBuyerOutputs[#Headers])-1)))*$AK$2/12)</f>
        <v>0</v>
      </c>
      <c r="AE333" s="276">
        <f>IF(INDEX(tblContractForDeed[End Bal],ROW()-ROW(tblBuyerOutputs[#Headers]))&lt;=0,0,IF(ROW()=ROW(tblBuyerOutputs[#Headers])+1,0,INDEX(tblBuyerOutputs[Cumul Appr],ROW()-ROW(tblBuyerOutputs[#Headers])-1))+tblBuyerOutputs[[#This Row],[Monthly Appr]])</f>
        <v>0</v>
      </c>
    </row>
    <row r="334" spans="1:31" x14ac:dyDescent="0.25">
      <c r="A334" s="613" t="str">
        <f t="shared" si="64"/>
        <v xml:space="preserve"> </v>
      </c>
      <c r="B334" s="276">
        <f t="shared" si="62"/>
        <v>0</v>
      </c>
      <c r="C334" s="14">
        <f t="shared" si="60"/>
        <v>0</v>
      </c>
      <c r="D334" s="14">
        <f t="shared" si="65"/>
        <v>0</v>
      </c>
      <c r="E334" s="14">
        <f t="shared" si="61"/>
        <v>0</v>
      </c>
      <c r="F334" s="14">
        <f t="shared" si="72"/>
        <v>134.16999999999999</v>
      </c>
      <c r="G334" s="14">
        <f t="shared" si="72"/>
        <v>188.55</v>
      </c>
      <c r="H334" s="14">
        <f t="shared" si="73"/>
        <v>322.72000000000003</v>
      </c>
      <c r="I334" s="276">
        <f t="shared" si="66"/>
        <v>98158.279999999955</v>
      </c>
      <c r="J334" s="276">
        <f t="shared" si="67"/>
        <v>35884.000000000022</v>
      </c>
      <c r="K334" s="276">
        <f t="shared" si="68"/>
        <v>0</v>
      </c>
      <c r="L334" s="394">
        <f t="shared" si="71"/>
        <v>26</v>
      </c>
      <c r="M334" s="394">
        <f t="shared" si="63"/>
        <v>314</v>
      </c>
      <c r="N334" s="613" t="str">
        <f>INDEX(tblSubjectToLoan[Date],ROW()-ROW(tblContractForDeed[#Headers]))</f>
        <v xml:space="preserve"> </v>
      </c>
      <c r="O334" s="276">
        <f>IF(ROW()=ROW(tblContractForDeed[#Headers])+1,$O$6,IF(INDEX(tblContractForDeed[End Bal],ROW()-ROW(tblContractForDeed[#Headers])-1)&lt;0,0,INDEX(tblContractForDeed[End Bal],ROW()-ROW(tblContractForDeed[#Headers])-1)))</f>
        <v>0</v>
      </c>
      <c r="P334" s="454">
        <f>IF(tblContractForDeed[[#This Row],[Date]]="","",IF(tblContractForDeed[[#This Row],[Date]]&lt;cfdRateChangeDate,cfdRate1,cfdRate2))</f>
        <v>7.7499999999999999E-2</v>
      </c>
      <c r="Q3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467">
        <f>IF(INDEX(tblContractForDeed[Payment],ROW()-ROW(tblBuyerOutputs[#Headers]))=0,0,INDEX(tblContractForDeed[Payment],ROW()-ROW(tblBuyerOutputs[#Headers]))-INDEX(tblSubjectToLoan[Payment],ROW()-ROW(tblBuyerOutputs[#Headers])))</f>
        <v>0</v>
      </c>
      <c r="Z3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4" s="276">
        <f>IF(INDEX(tblContractForDeed[End Bal],ROW()-ROW(tblBuyerOutputs[#Headers]))&lt;=0,0,($O$6+IF(ROW()=ROW(tblBuyerOutputs[#Headers])+1,0,INDEX(tblBuyerOutputs[Cumul Appr],ROW()-ROW(tblBuyerOutputs[#Headers])-1)))*$AK$2/12)</f>
        <v>0</v>
      </c>
      <c r="AE334" s="276">
        <f>IF(INDEX(tblContractForDeed[End Bal],ROW()-ROW(tblBuyerOutputs[#Headers]))&lt;=0,0,IF(ROW()=ROW(tblBuyerOutputs[#Headers])+1,0,INDEX(tblBuyerOutputs[Cumul Appr],ROW()-ROW(tblBuyerOutputs[#Headers])-1))+tblBuyerOutputs[[#This Row],[Monthly Appr]])</f>
        <v>0</v>
      </c>
    </row>
    <row r="335" spans="1:31" x14ac:dyDescent="0.25">
      <c r="A335" s="613" t="str">
        <f t="shared" si="64"/>
        <v xml:space="preserve"> </v>
      </c>
      <c r="B335" s="276">
        <f t="shared" si="62"/>
        <v>0</v>
      </c>
      <c r="C335" s="14">
        <f t="shared" si="60"/>
        <v>0</v>
      </c>
      <c r="D335" s="14">
        <f t="shared" si="65"/>
        <v>0</v>
      </c>
      <c r="E335" s="14">
        <f t="shared" si="61"/>
        <v>0</v>
      </c>
      <c r="F335" s="14">
        <f t="shared" ref="F335:G350" si="74">+F334</f>
        <v>134.16999999999999</v>
      </c>
      <c r="G335" s="14">
        <f t="shared" si="74"/>
        <v>188.55</v>
      </c>
      <c r="H335" s="14">
        <f t="shared" si="73"/>
        <v>322.72000000000003</v>
      </c>
      <c r="I335" s="276">
        <f t="shared" si="66"/>
        <v>98158.279999999955</v>
      </c>
      <c r="J335" s="276">
        <f t="shared" si="67"/>
        <v>35884.000000000022</v>
      </c>
      <c r="K335" s="276">
        <f t="shared" si="68"/>
        <v>0</v>
      </c>
      <c r="L335" s="394">
        <f t="shared" si="71"/>
        <v>26</v>
      </c>
      <c r="M335" s="394">
        <f t="shared" si="63"/>
        <v>315</v>
      </c>
      <c r="N335" s="613" t="str">
        <f>INDEX(tblSubjectToLoan[Date],ROW()-ROW(tblContractForDeed[#Headers]))</f>
        <v xml:space="preserve"> </v>
      </c>
      <c r="O335" s="276">
        <f>IF(ROW()=ROW(tblContractForDeed[#Headers])+1,$O$6,IF(INDEX(tblContractForDeed[End Bal],ROW()-ROW(tblContractForDeed[#Headers])-1)&lt;0,0,INDEX(tblContractForDeed[End Bal],ROW()-ROW(tblContractForDeed[#Headers])-1)))</f>
        <v>0</v>
      </c>
      <c r="P335" s="454">
        <f>IF(tblContractForDeed[[#This Row],[Date]]="","",IF(tblContractForDeed[[#This Row],[Date]]&lt;cfdRateChangeDate,cfdRate1,cfdRate2))</f>
        <v>7.7499999999999999E-2</v>
      </c>
      <c r="Q3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467">
        <f>IF(INDEX(tblContractForDeed[Payment],ROW()-ROW(tblBuyerOutputs[#Headers]))=0,0,INDEX(tblContractForDeed[Payment],ROW()-ROW(tblBuyerOutputs[#Headers]))-INDEX(tblSubjectToLoan[Payment],ROW()-ROW(tblBuyerOutputs[#Headers])))</f>
        <v>0</v>
      </c>
      <c r="Z3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5" s="276">
        <f>IF(INDEX(tblContractForDeed[End Bal],ROW()-ROW(tblBuyerOutputs[#Headers]))&lt;=0,0,($O$6+IF(ROW()=ROW(tblBuyerOutputs[#Headers])+1,0,INDEX(tblBuyerOutputs[Cumul Appr],ROW()-ROW(tblBuyerOutputs[#Headers])-1)))*$AK$2/12)</f>
        <v>0</v>
      </c>
      <c r="AE335" s="276">
        <f>IF(INDEX(tblContractForDeed[End Bal],ROW()-ROW(tblBuyerOutputs[#Headers]))&lt;=0,0,IF(ROW()=ROW(tblBuyerOutputs[#Headers])+1,0,INDEX(tblBuyerOutputs[Cumul Appr],ROW()-ROW(tblBuyerOutputs[#Headers])-1))+tblBuyerOutputs[[#This Row],[Monthly Appr]])</f>
        <v>0</v>
      </c>
    </row>
    <row r="336" spans="1:31" x14ac:dyDescent="0.25">
      <c r="A336" s="613" t="str">
        <f t="shared" si="64"/>
        <v xml:space="preserve"> </v>
      </c>
      <c r="B336" s="276">
        <f t="shared" si="62"/>
        <v>0</v>
      </c>
      <c r="C336" s="14">
        <f t="shared" si="60"/>
        <v>0</v>
      </c>
      <c r="D336" s="14">
        <f t="shared" si="65"/>
        <v>0</v>
      </c>
      <c r="E336" s="14">
        <f t="shared" si="61"/>
        <v>0</v>
      </c>
      <c r="F336" s="14">
        <f t="shared" si="74"/>
        <v>134.16999999999999</v>
      </c>
      <c r="G336" s="14">
        <f t="shared" si="74"/>
        <v>188.55</v>
      </c>
      <c r="H336" s="14">
        <f t="shared" si="73"/>
        <v>322.72000000000003</v>
      </c>
      <c r="I336" s="276">
        <f t="shared" si="66"/>
        <v>98158.279999999955</v>
      </c>
      <c r="J336" s="276">
        <f t="shared" si="67"/>
        <v>35884.000000000022</v>
      </c>
      <c r="K336" s="276">
        <f t="shared" si="68"/>
        <v>0</v>
      </c>
      <c r="L336" s="394">
        <f t="shared" si="71"/>
        <v>26</v>
      </c>
      <c r="M336" s="394">
        <f t="shared" si="63"/>
        <v>316</v>
      </c>
      <c r="N336" s="613" t="str">
        <f>INDEX(tblSubjectToLoan[Date],ROW()-ROW(tblContractForDeed[#Headers]))</f>
        <v xml:space="preserve"> </v>
      </c>
      <c r="O336" s="276">
        <f>IF(ROW()=ROW(tblContractForDeed[#Headers])+1,$O$6,IF(INDEX(tblContractForDeed[End Bal],ROW()-ROW(tblContractForDeed[#Headers])-1)&lt;0,0,INDEX(tblContractForDeed[End Bal],ROW()-ROW(tblContractForDeed[#Headers])-1)))</f>
        <v>0</v>
      </c>
      <c r="P336" s="454">
        <f>IF(tblContractForDeed[[#This Row],[Date]]="","",IF(tblContractForDeed[[#This Row],[Date]]&lt;cfdRateChangeDate,cfdRate1,cfdRate2))</f>
        <v>7.7499999999999999E-2</v>
      </c>
      <c r="Q3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467">
        <f>IF(INDEX(tblContractForDeed[Payment],ROW()-ROW(tblBuyerOutputs[#Headers]))=0,0,INDEX(tblContractForDeed[Payment],ROW()-ROW(tblBuyerOutputs[#Headers]))-INDEX(tblSubjectToLoan[Payment],ROW()-ROW(tblBuyerOutputs[#Headers])))</f>
        <v>0</v>
      </c>
      <c r="Z3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6" s="276">
        <f>IF(INDEX(tblContractForDeed[End Bal],ROW()-ROW(tblBuyerOutputs[#Headers]))&lt;=0,0,($O$6+IF(ROW()=ROW(tblBuyerOutputs[#Headers])+1,0,INDEX(tblBuyerOutputs[Cumul Appr],ROW()-ROW(tblBuyerOutputs[#Headers])-1)))*$AK$2/12)</f>
        <v>0</v>
      </c>
      <c r="AE336" s="276">
        <f>IF(INDEX(tblContractForDeed[End Bal],ROW()-ROW(tblBuyerOutputs[#Headers]))&lt;=0,0,IF(ROW()=ROW(tblBuyerOutputs[#Headers])+1,0,INDEX(tblBuyerOutputs[Cumul Appr],ROW()-ROW(tblBuyerOutputs[#Headers])-1))+tblBuyerOutputs[[#This Row],[Monthly Appr]])</f>
        <v>0</v>
      </c>
    </row>
    <row r="337" spans="1:31" x14ac:dyDescent="0.25">
      <c r="A337" s="613" t="str">
        <f t="shared" si="64"/>
        <v xml:space="preserve"> </v>
      </c>
      <c r="B337" s="276">
        <f t="shared" si="62"/>
        <v>0</v>
      </c>
      <c r="C337" s="14">
        <f t="shared" si="60"/>
        <v>0</v>
      </c>
      <c r="D337" s="14">
        <f t="shared" si="65"/>
        <v>0</v>
      </c>
      <c r="E337" s="14">
        <f t="shared" si="61"/>
        <v>0</v>
      </c>
      <c r="F337" s="14">
        <f t="shared" si="74"/>
        <v>134.16999999999999</v>
      </c>
      <c r="G337" s="14">
        <f t="shared" si="74"/>
        <v>188.55</v>
      </c>
      <c r="H337" s="14">
        <f t="shared" si="73"/>
        <v>322.72000000000003</v>
      </c>
      <c r="I337" s="276">
        <f t="shared" si="66"/>
        <v>98158.279999999955</v>
      </c>
      <c r="J337" s="276">
        <f t="shared" si="67"/>
        <v>35884.000000000022</v>
      </c>
      <c r="K337" s="276">
        <f t="shared" si="68"/>
        <v>0</v>
      </c>
      <c r="L337" s="394">
        <f t="shared" si="71"/>
        <v>26</v>
      </c>
      <c r="M337" s="394">
        <f t="shared" si="63"/>
        <v>317</v>
      </c>
      <c r="N337" s="613" t="str">
        <f>INDEX(tblSubjectToLoan[Date],ROW()-ROW(tblContractForDeed[#Headers]))</f>
        <v xml:space="preserve"> </v>
      </c>
      <c r="O337" s="276">
        <f>IF(ROW()=ROW(tblContractForDeed[#Headers])+1,$O$6,IF(INDEX(tblContractForDeed[End Bal],ROW()-ROW(tblContractForDeed[#Headers])-1)&lt;0,0,INDEX(tblContractForDeed[End Bal],ROW()-ROW(tblContractForDeed[#Headers])-1)))</f>
        <v>0</v>
      </c>
      <c r="P337" s="454">
        <f>IF(tblContractForDeed[[#This Row],[Date]]="","",IF(tblContractForDeed[[#This Row],[Date]]&lt;cfdRateChangeDate,cfdRate1,cfdRate2))</f>
        <v>7.7499999999999999E-2</v>
      </c>
      <c r="Q3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467">
        <f>IF(INDEX(tblContractForDeed[Payment],ROW()-ROW(tblBuyerOutputs[#Headers]))=0,0,INDEX(tblContractForDeed[Payment],ROW()-ROW(tblBuyerOutputs[#Headers]))-INDEX(tblSubjectToLoan[Payment],ROW()-ROW(tblBuyerOutputs[#Headers])))</f>
        <v>0</v>
      </c>
      <c r="Z3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7" s="276">
        <f>IF(INDEX(tblContractForDeed[End Bal],ROW()-ROW(tblBuyerOutputs[#Headers]))&lt;=0,0,($O$6+IF(ROW()=ROW(tblBuyerOutputs[#Headers])+1,0,INDEX(tblBuyerOutputs[Cumul Appr],ROW()-ROW(tblBuyerOutputs[#Headers])-1)))*$AK$2/12)</f>
        <v>0</v>
      </c>
      <c r="AE337" s="276">
        <f>IF(INDEX(tblContractForDeed[End Bal],ROW()-ROW(tblBuyerOutputs[#Headers]))&lt;=0,0,IF(ROW()=ROW(tblBuyerOutputs[#Headers])+1,0,INDEX(tblBuyerOutputs[Cumul Appr],ROW()-ROW(tblBuyerOutputs[#Headers])-1))+tblBuyerOutputs[[#This Row],[Monthly Appr]])</f>
        <v>0</v>
      </c>
    </row>
    <row r="338" spans="1:31" x14ac:dyDescent="0.25">
      <c r="A338" s="613" t="str">
        <f t="shared" si="64"/>
        <v xml:space="preserve"> </v>
      </c>
      <c r="B338" s="276">
        <f t="shared" si="62"/>
        <v>0</v>
      </c>
      <c r="C338" s="14">
        <f t="shared" si="60"/>
        <v>0</v>
      </c>
      <c r="D338" s="14">
        <f t="shared" si="65"/>
        <v>0</v>
      </c>
      <c r="E338" s="14">
        <f t="shared" si="61"/>
        <v>0</v>
      </c>
      <c r="F338" s="14">
        <f t="shared" si="74"/>
        <v>134.16999999999999</v>
      </c>
      <c r="G338" s="14">
        <f t="shared" si="74"/>
        <v>188.55</v>
      </c>
      <c r="H338" s="14">
        <f t="shared" si="73"/>
        <v>322.72000000000003</v>
      </c>
      <c r="I338" s="276">
        <f t="shared" si="66"/>
        <v>98158.279999999955</v>
      </c>
      <c r="J338" s="276">
        <f t="shared" si="67"/>
        <v>35884.000000000022</v>
      </c>
      <c r="K338" s="276">
        <f t="shared" si="68"/>
        <v>0</v>
      </c>
      <c r="L338" s="394">
        <f t="shared" si="71"/>
        <v>26</v>
      </c>
      <c r="M338" s="394">
        <f t="shared" si="63"/>
        <v>318</v>
      </c>
      <c r="N338" s="613" t="str">
        <f>INDEX(tblSubjectToLoan[Date],ROW()-ROW(tblContractForDeed[#Headers]))</f>
        <v xml:space="preserve"> </v>
      </c>
      <c r="O338" s="276">
        <f>IF(ROW()=ROW(tblContractForDeed[#Headers])+1,$O$6,IF(INDEX(tblContractForDeed[End Bal],ROW()-ROW(tblContractForDeed[#Headers])-1)&lt;0,0,INDEX(tblContractForDeed[End Bal],ROW()-ROW(tblContractForDeed[#Headers])-1)))</f>
        <v>0</v>
      </c>
      <c r="P338" s="454">
        <f>IF(tblContractForDeed[[#This Row],[Date]]="","",IF(tblContractForDeed[[#This Row],[Date]]&lt;cfdRateChangeDate,cfdRate1,cfdRate2))</f>
        <v>7.7499999999999999E-2</v>
      </c>
      <c r="Q3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467">
        <f>IF(INDEX(tblContractForDeed[Payment],ROW()-ROW(tblBuyerOutputs[#Headers]))=0,0,INDEX(tblContractForDeed[Payment],ROW()-ROW(tblBuyerOutputs[#Headers]))-INDEX(tblSubjectToLoan[Payment],ROW()-ROW(tblBuyerOutputs[#Headers])))</f>
        <v>0</v>
      </c>
      <c r="Z3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8" s="276">
        <f>IF(INDEX(tblContractForDeed[End Bal],ROW()-ROW(tblBuyerOutputs[#Headers]))&lt;=0,0,($O$6+IF(ROW()=ROW(tblBuyerOutputs[#Headers])+1,0,INDEX(tblBuyerOutputs[Cumul Appr],ROW()-ROW(tblBuyerOutputs[#Headers])-1)))*$AK$2/12)</f>
        <v>0</v>
      </c>
      <c r="AE338" s="276">
        <f>IF(INDEX(tblContractForDeed[End Bal],ROW()-ROW(tblBuyerOutputs[#Headers]))&lt;=0,0,IF(ROW()=ROW(tblBuyerOutputs[#Headers])+1,0,INDEX(tblBuyerOutputs[Cumul Appr],ROW()-ROW(tblBuyerOutputs[#Headers])-1))+tblBuyerOutputs[[#This Row],[Monthly Appr]])</f>
        <v>0</v>
      </c>
    </row>
    <row r="339" spans="1:31" x14ac:dyDescent="0.25">
      <c r="A339" s="613" t="str">
        <f t="shared" si="64"/>
        <v xml:space="preserve"> </v>
      </c>
      <c r="B339" s="276">
        <f t="shared" si="62"/>
        <v>0</v>
      </c>
      <c r="C339" s="14">
        <f t="shared" si="60"/>
        <v>0</v>
      </c>
      <c r="D339" s="14">
        <f t="shared" si="65"/>
        <v>0</v>
      </c>
      <c r="E339" s="14">
        <f t="shared" si="61"/>
        <v>0</v>
      </c>
      <c r="F339" s="14">
        <f t="shared" si="74"/>
        <v>134.16999999999999</v>
      </c>
      <c r="G339" s="14">
        <f t="shared" si="74"/>
        <v>188.55</v>
      </c>
      <c r="H339" s="14">
        <f t="shared" si="73"/>
        <v>322.72000000000003</v>
      </c>
      <c r="I339" s="276">
        <f t="shared" si="66"/>
        <v>98158.279999999955</v>
      </c>
      <c r="J339" s="276">
        <f t="shared" si="67"/>
        <v>35884.000000000022</v>
      </c>
      <c r="K339" s="276">
        <f t="shared" si="68"/>
        <v>0</v>
      </c>
      <c r="L339" s="394">
        <f t="shared" si="71"/>
        <v>26</v>
      </c>
      <c r="M339" s="394">
        <f t="shared" si="63"/>
        <v>319</v>
      </c>
      <c r="N339" s="613" t="str">
        <f>INDEX(tblSubjectToLoan[Date],ROW()-ROW(tblContractForDeed[#Headers]))</f>
        <v xml:space="preserve"> </v>
      </c>
      <c r="O339" s="276">
        <f>IF(ROW()=ROW(tblContractForDeed[#Headers])+1,$O$6,IF(INDEX(tblContractForDeed[End Bal],ROW()-ROW(tblContractForDeed[#Headers])-1)&lt;0,0,INDEX(tblContractForDeed[End Bal],ROW()-ROW(tblContractForDeed[#Headers])-1)))</f>
        <v>0</v>
      </c>
      <c r="P339" s="454">
        <f>IF(tblContractForDeed[[#This Row],[Date]]="","",IF(tblContractForDeed[[#This Row],[Date]]&lt;cfdRateChangeDate,cfdRate1,cfdRate2))</f>
        <v>7.7499999999999999E-2</v>
      </c>
      <c r="Q3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467">
        <f>IF(INDEX(tblContractForDeed[Payment],ROW()-ROW(tblBuyerOutputs[#Headers]))=0,0,INDEX(tblContractForDeed[Payment],ROW()-ROW(tblBuyerOutputs[#Headers]))-INDEX(tblSubjectToLoan[Payment],ROW()-ROW(tblBuyerOutputs[#Headers])))</f>
        <v>0</v>
      </c>
      <c r="Z3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9" s="276">
        <f>IF(INDEX(tblContractForDeed[End Bal],ROW()-ROW(tblBuyerOutputs[#Headers]))&lt;=0,0,($O$6+IF(ROW()=ROW(tblBuyerOutputs[#Headers])+1,0,INDEX(tblBuyerOutputs[Cumul Appr],ROW()-ROW(tblBuyerOutputs[#Headers])-1)))*$AK$2/12)</f>
        <v>0</v>
      </c>
      <c r="AE339" s="276">
        <f>IF(INDEX(tblContractForDeed[End Bal],ROW()-ROW(tblBuyerOutputs[#Headers]))&lt;=0,0,IF(ROW()=ROW(tblBuyerOutputs[#Headers])+1,0,INDEX(tblBuyerOutputs[Cumul Appr],ROW()-ROW(tblBuyerOutputs[#Headers])-1))+tblBuyerOutputs[[#This Row],[Monthly Appr]])</f>
        <v>0</v>
      </c>
    </row>
    <row r="340" spans="1:31" x14ac:dyDescent="0.25">
      <c r="A340" s="613" t="str">
        <f t="shared" si="64"/>
        <v xml:space="preserve"> </v>
      </c>
      <c r="B340" s="276">
        <f t="shared" si="62"/>
        <v>0</v>
      </c>
      <c r="C340" s="14">
        <f t="shared" ref="C340:C403" si="75">IF(+$K339&lt;=0,0,$C$6)</f>
        <v>0</v>
      </c>
      <c r="D340" s="14">
        <f t="shared" si="65"/>
        <v>0</v>
      </c>
      <c r="E340" s="14">
        <f t="shared" ref="E340:E403" si="76">ROUND($B340*($C$4/12), 2)</f>
        <v>0</v>
      </c>
      <c r="F340" s="14">
        <f t="shared" si="74"/>
        <v>134.16999999999999</v>
      </c>
      <c r="G340" s="14">
        <f t="shared" si="74"/>
        <v>188.55</v>
      </c>
      <c r="H340" s="14">
        <f t="shared" si="73"/>
        <v>322.72000000000003</v>
      </c>
      <c r="I340" s="276">
        <f t="shared" si="66"/>
        <v>98158.279999999955</v>
      </c>
      <c r="J340" s="276">
        <f t="shared" si="67"/>
        <v>35884.000000000022</v>
      </c>
      <c r="K340" s="276">
        <f t="shared" si="68"/>
        <v>0</v>
      </c>
      <c r="L340" s="394">
        <f t="shared" si="71"/>
        <v>26</v>
      </c>
      <c r="M340" s="394">
        <f t="shared" si="63"/>
        <v>320</v>
      </c>
      <c r="N340" s="613" t="str">
        <f>INDEX(tblSubjectToLoan[Date],ROW()-ROW(tblContractForDeed[#Headers]))</f>
        <v xml:space="preserve"> </v>
      </c>
      <c r="O340" s="276">
        <f>IF(ROW()=ROW(tblContractForDeed[#Headers])+1,$O$6,IF(INDEX(tblContractForDeed[End Bal],ROW()-ROW(tblContractForDeed[#Headers])-1)&lt;0,0,INDEX(tblContractForDeed[End Bal],ROW()-ROW(tblContractForDeed[#Headers])-1)))</f>
        <v>0</v>
      </c>
      <c r="P340" s="454">
        <f>IF(tblContractForDeed[[#This Row],[Date]]="","",IF(tblContractForDeed[[#This Row],[Date]]&lt;cfdRateChangeDate,cfdRate1,cfdRate2))</f>
        <v>7.7499999999999999E-2</v>
      </c>
      <c r="Q3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467">
        <f>IF(INDEX(tblContractForDeed[Payment],ROW()-ROW(tblBuyerOutputs[#Headers]))=0,0,INDEX(tblContractForDeed[Payment],ROW()-ROW(tblBuyerOutputs[#Headers]))-INDEX(tblSubjectToLoan[Payment],ROW()-ROW(tblBuyerOutputs[#Headers])))</f>
        <v>0</v>
      </c>
      <c r="Z3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0" s="276">
        <f>IF(INDEX(tblContractForDeed[End Bal],ROW()-ROW(tblBuyerOutputs[#Headers]))&lt;=0,0,($O$6+IF(ROW()=ROW(tblBuyerOutputs[#Headers])+1,0,INDEX(tblBuyerOutputs[Cumul Appr],ROW()-ROW(tblBuyerOutputs[#Headers])-1)))*$AK$2/12)</f>
        <v>0</v>
      </c>
      <c r="AE340" s="276">
        <f>IF(INDEX(tblContractForDeed[End Bal],ROW()-ROW(tblBuyerOutputs[#Headers]))&lt;=0,0,IF(ROW()=ROW(tblBuyerOutputs[#Headers])+1,0,INDEX(tblBuyerOutputs[Cumul Appr],ROW()-ROW(tblBuyerOutputs[#Headers])-1))+tblBuyerOutputs[[#This Row],[Monthly Appr]])</f>
        <v>0</v>
      </c>
    </row>
    <row r="341" spans="1:31" x14ac:dyDescent="0.25">
      <c r="A341" s="613" t="str">
        <f t="shared" si="64"/>
        <v xml:space="preserve"> </v>
      </c>
      <c r="B341" s="276">
        <f t="shared" ref="B341:B378" si="77">IF(+K340&lt;0,0,+K340)</f>
        <v>0</v>
      </c>
      <c r="C341" s="14">
        <f t="shared" si="75"/>
        <v>0</v>
      </c>
      <c r="D341" s="14">
        <f t="shared" si="65"/>
        <v>0</v>
      </c>
      <c r="E341" s="14">
        <f t="shared" si="76"/>
        <v>0</v>
      </c>
      <c r="F341" s="14">
        <f t="shared" si="74"/>
        <v>134.16999999999999</v>
      </c>
      <c r="G341" s="14">
        <f t="shared" si="74"/>
        <v>188.55</v>
      </c>
      <c r="H341" s="14">
        <f t="shared" si="73"/>
        <v>322.72000000000003</v>
      </c>
      <c r="I341" s="276">
        <f t="shared" si="66"/>
        <v>98158.279999999955</v>
      </c>
      <c r="J341" s="276">
        <f t="shared" si="67"/>
        <v>35884.000000000022</v>
      </c>
      <c r="K341" s="276">
        <f t="shared" si="68"/>
        <v>0</v>
      </c>
      <c r="L341" s="394">
        <f t="shared" si="71"/>
        <v>26</v>
      </c>
      <c r="M341" s="394">
        <f t="shared" ref="M341:M404" si="78">IF($A341&lt;&gt;"",M340+1,0)</f>
        <v>321</v>
      </c>
      <c r="N341" s="613" t="str">
        <f>INDEX(tblSubjectToLoan[Date],ROW()-ROW(tblContractForDeed[#Headers]))</f>
        <v xml:space="preserve"> </v>
      </c>
      <c r="O341" s="276">
        <f>IF(ROW()=ROW(tblContractForDeed[#Headers])+1,$O$6,IF(INDEX(tblContractForDeed[End Bal],ROW()-ROW(tblContractForDeed[#Headers])-1)&lt;0,0,INDEX(tblContractForDeed[End Bal],ROW()-ROW(tblContractForDeed[#Headers])-1)))</f>
        <v>0</v>
      </c>
      <c r="P341" s="454">
        <f>IF(tblContractForDeed[[#This Row],[Date]]="","",IF(tblContractForDeed[[#This Row],[Date]]&lt;cfdRateChangeDate,cfdRate1,cfdRate2))</f>
        <v>7.7499999999999999E-2</v>
      </c>
      <c r="Q3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467">
        <f>IF(INDEX(tblContractForDeed[Payment],ROW()-ROW(tblBuyerOutputs[#Headers]))=0,0,INDEX(tblContractForDeed[Payment],ROW()-ROW(tblBuyerOutputs[#Headers]))-INDEX(tblSubjectToLoan[Payment],ROW()-ROW(tblBuyerOutputs[#Headers])))</f>
        <v>0</v>
      </c>
      <c r="Z3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1" s="276">
        <f>IF(INDEX(tblContractForDeed[End Bal],ROW()-ROW(tblBuyerOutputs[#Headers]))&lt;=0,0,($O$6+IF(ROW()=ROW(tblBuyerOutputs[#Headers])+1,0,INDEX(tblBuyerOutputs[Cumul Appr],ROW()-ROW(tblBuyerOutputs[#Headers])-1)))*$AK$2/12)</f>
        <v>0</v>
      </c>
      <c r="AE341" s="276">
        <f>IF(INDEX(tblContractForDeed[End Bal],ROW()-ROW(tblBuyerOutputs[#Headers]))&lt;=0,0,IF(ROW()=ROW(tblBuyerOutputs[#Headers])+1,0,INDEX(tblBuyerOutputs[Cumul Appr],ROW()-ROW(tblBuyerOutputs[#Headers])-1))+tblBuyerOutputs[[#This Row],[Monthly Appr]])</f>
        <v>0</v>
      </c>
    </row>
    <row r="342" spans="1:31" x14ac:dyDescent="0.25">
      <c r="A342" s="613" t="str">
        <f t="shared" ref="A342:A405" si="79">IF(K342&lt;=0," ",+A341+30)</f>
        <v xml:space="preserve"> </v>
      </c>
      <c r="B342" s="276">
        <f t="shared" si="77"/>
        <v>0</v>
      </c>
      <c r="C342" s="14">
        <f t="shared" si="75"/>
        <v>0</v>
      </c>
      <c r="D342" s="14">
        <f t="shared" ref="D342:D405" si="80">+C342-E342</f>
        <v>0</v>
      </c>
      <c r="E342" s="14">
        <f t="shared" si="76"/>
        <v>0</v>
      </c>
      <c r="F342" s="14">
        <f t="shared" si="74"/>
        <v>134.16999999999999</v>
      </c>
      <c r="G342" s="14">
        <f t="shared" si="74"/>
        <v>188.55</v>
      </c>
      <c r="H342" s="14">
        <f t="shared" si="73"/>
        <v>322.72000000000003</v>
      </c>
      <c r="I342" s="276">
        <f t="shared" ref="I342:I405" si="81">$D342+$I341</f>
        <v>98158.279999999955</v>
      </c>
      <c r="J342" s="276">
        <f t="shared" ref="J342:J405" si="82">$E342+$J341</f>
        <v>35884.000000000022</v>
      </c>
      <c r="K342" s="276">
        <f t="shared" ref="K342:K405" si="83">+B342-D342</f>
        <v>0</v>
      </c>
      <c r="L342" s="394">
        <f t="shared" si="71"/>
        <v>26</v>
      </c>
      <c r="M342" s="394">
        <f t="shared" si="78"/>
        <v>322</v>
      </c>
      <c r="N342" s="613" t="str">
        <f>INDEX(tblSubjectToLoan[Date],ROW()-ROW(tblContractForDeed[#Headers]))</f>
        <v xml:space="preserve"> </v>
      </c>
      <c r="O342" s="276">
        <f>IF(ROW()=ROW(tblContractForDeed[#Headers])+1,$O$6,IF(INDEX(tblContractForDeed[End Bal],ROW()-ROW(tblContractForDeed[#Headers])-1)&lt;0,0,INDEX(tblContractForDeed[End Bal],ROW()-ROW(tblContractForDeed[#Headers])-1)))</f>
        <v>0</v>
      </c>
      <c r="P342" s="454">
        <f>IF(tblContractForDeed[[#This Row],[Date]]="","",IF(tblContractForDeed[[#This Row],[Date]]&lt;cfdRateChangeDate,cfdRate1,cfdRate2))</f>
        <v>7.7499999999999999E-2</v>
      </c>
      <c r="Q3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467">
        <f>IF(INDEX(tblContractForDeed[Payment],ROW()-ROW(tblBuyerOutputs[#Headers]))=0,0,INDEX(tblContractForDeed[Payment],ROW()-ROW(tblBuyerOutputs[#Headers]))-INDEX(tblSubjectToLoan[Payment],ROW()-ROW(tblBuyerOutputs[#Headers])))</f>
        <v>0</v>
      </c>
      <c r="Z3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2" s="276">
        <f>IF(INDEX(tblContractForDeed[End Bal],ROW()-ROW(tblBuyerOutputs[#Headers]))&lt;=0,0,($O$6+IF(ROW()=ROW(tblBuyerOutputs[#Headers])+1,0,INDEX(tblBuyerOutputs[Cumul Appr],ROW()-ROW(tblBuyerOutputs[#Headers])-1)))*$AK$2/12)</f>
        <v>0</v>
      </c>
      <c r="AE342" s="276">
        <f>IF(INDEX(tblContractForDeed[End Bal],ROW()-ROW(tblBuyerOutputs[#Headers]))&lt;=0,0,IF(ROW()=ROW(tblBuyerOutputs[#Headers])+1,0,INDEX(tblBuyerOutputs[Cumul Appr],ROW()-ROW(tblBuyerOutputs[#Headers])-1))+tblBuyerOutputs[[#This Row],[Monthly Appr]])</f>
        <v>0</v>
      </c>
    </row>
    <row r="343" spans="1:31" ht="15.75" thickBot="1" x14ac:dyDescent="0.3">
      <c r="A343" s="615" t="str">
        <f t="shared" si="79"/>
        <v xml:space="preserve"> </v>
      </c>
      <c r="B343" s="332">
        <f t="shared" si="77"/>
        <v>0</v>
      </c>
      <c r="C343" s="21">
        <f t="shared" si="75"/>
        <v>0</v>
      </c>
      <c r="D343" s="21">
        <f t="shared" si="80"/>
        <v>0</v>
      </c>
      <c r="E343" s="21">
        <f t="shared" si="76"/>
        <v>0</v>
      </c>
      <c r="F343" s="21">
        <f t="shared" si="74"/>
        <v>134.16999999999999</v>
      </c>
      <c r="G343" s="21">
        <f t="shared" si="74"/>
        <v>188.55</v>
      </c>
      <c r="H343" s="21">
        <f t="shared" si="73"/>
        <v>322.72000000000003</v>
      </c>
      <c r="I343" s="332">
        <f t="shared" si="81"/>
        <v>98158.279999999955</v>
      </c>
      <c r="J343" s="332">
        <f t="shared" si="82"/>
        <v>35884.000000000022</v>
      </c>
      <c r="K343" s="332">
        <f t="shared" si="83"/>
        <v>0</v>
      </c>
      <c r="L343" s="395">
        <f t="shared" si="71"/>
        <v>26</v>
      </c>
      <c r="M343" s="395">
        <f t="shared" si="78"/>
        <v>323</v>
      </c>
      <c r="N343" s="615" t="str">
        <f>INDEX(tblSubjectToLoan[Date],ROW()-ROW(tblContractForDeed[#Headers]))</f>
        <v xml:space="preserve"> </v>
      </c>
      <c r="O343" s="332">
        <f>IF(ROW()=ROW(tblContractForDeed[#Headers])+1,$O$6,IF(INDEX(tblContractForDeed[End Bal],ROW()-ROW(tblContractForDeed[#Headers])-1)&lt;0,0,INDEX(tblContractForDeed[End Bal],ROW()-ROW(tblContractForDeed[#Headers])-1)))</f>
        <v>0</v>
      </c>
      <c r="P343" s="454">
        <f>IF(tblContractForDeed[[#This Row],[Date]]="","",IF(tblContractForDeed[[#This Row],[Date]]&lt;cfdRateChangeDate,cfdRate1,cfdRate2))</f>
        <v>7.7499999999999999E-2</v>
      </c>
      <c r="Q3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468">
        <f>IF(INDEX(tblContractForDeed[Payment],ROW()-ROW(tblBuyerOutputs[#Headers]))=0,0,INDEX(tblContractForDeed[Payment],ROW()-ROW(tblBuyerOutputs[#Headers]))-INDEX(tblSubjectToLoan[Payment],ROW()-ROW(tblBuyerOutputs[#Headers])))</f>
        <v>0</v>
      </c>
      <c r="Z3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3" s="332">
        <f>IF(INDEX(tblContractForDeed[End Bal],ROW()-ROW(tblBuyerOutputs[#Headers]))&lt;=0,0,($O$6+IF(ROW()=ROW(tblBuyerOutputs[#Headers])+1,0,INDEX(tblBuyerOutputs[Cumul Appr],ROW()-ROW(tblBuyerOutputs[#Headers])-1)))*$AK$2/12)</f>
        <v>0</v>
      </c>
      <c r="AE343" s="332">
        <f>IF(INDEX(tblContractForDeed[End Bal],ROW()-ROW(tblBuyerOutputs[#Headers]))&lt;=0,0,IF(ROW()=ROW(tblBuyerOutputs[#Headers])+1,0,INDEX(tblBuyerOutputs[Cumul Appr],ROW()-ROW(tblBuyerOutputs[#Headers])-1))+tblBuyerOutputs[[#This Row],[Monthly Appr]])</f>
        <v>0</v>
      </c>
    </row>
    <row r="344" spans="1:31" x14ac:dyDescent="0.25">
      <c r="A344" s="613" t="str">
        <f t="shared" si="79"/>
        <v xml:space="preserve"> </v>
      </c>
      <c r="B344" s="276">
        <f t="shared" si="77"/>
        <v>0</v>
      </c>
      <c r="C344" s="14">
        <f t="shared" si="75"/>
        <v>0</v>
      </c>
      <c r="D344" s="14">
        <f t="shared" si="80"/>
        <v>0</v>
      </c>
      <c r="E344" s="14">
        <f t="shared" si="76"/>
        <v>0</v>
      </c>
      <c r="F344" s="14">
        <f t="shared" si="74"/>
        <v>134.16999999999999</v>
      </c>
      <c r="G344" s="14">
        <f t="shared" si="74"/>
        <v>188.55</v>
      </c>
      <c r="H344" s="14">
        <f t="shared" si="73"/>
        <v>322.72000000000003</v>
      </c>
      <c r="I344" s="276">
        <f t="shared" si="81"/>
        <v>98158.279999999955</v>
      </c>
      <c r="J344" s="276">
        <f t="shared" si="82"/>
        <v>35884.000000000022</v>
      </c>
      <c r="K344" s="276">
        <f t="shared" si="83"/>
        <v>0</v>
      </c>
      <c r="L344" s="394">
        <f t="shared" si="71"/>
        <v>27</v>
      </c>
      <c r="M344" s="394">
        <f t="shared" si="78"/>
        <v>324</v>
      </c>
      <c r="N344" s="613" t="str">
        <f>INDEX(tblSubjectToLoan[Date],ROW()-ROW(tblContractForDeed[#Headers]))</f>
        <v xml:space="preserve"> </v>
      </c>
      <c r="O344" s="276">
        <f>IF(ROW()=ROW(tblContractForDeed[#Headers])+1,$O$6,IF(INDEX(tblContractForDeed[End Bal],ROW()-ROW(tblContractForDeed[#Headers])-1)&lt;0,0,INDEX(tblContractForDeed[End Bal],ROW()-ROW(tblContractForDeed[#Headers])-1)))</f>
        <v>0</v>
      </c>
      <c r="P344" s="454">
        <f>IF(tblContractForDeed[[#This Row],[Date]]="","",IF(tblContractForDeed[[#This Row],[Date]]&lt;cfdRateChangeDate,cfdRate1,cfdRate2))</f>
        <v>7.7499999999999999E-2</v>
      </c>
      <c r="Q3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467">
        <f>IF(INDEX(tblContractForDeed[Payment],ROW()-ROW(tblBuyerOutputs[#Headers]))=0,0,INDEX(tblContractForDeed[Payment],ROW()-ROW(tblBuyerOutputs[#Headers]))-INDEX(tblSubjectToLoan[Payment],ROW()-ROW(tblBuyerOutputs[#Headers])))</f>
        <v>0</v>
      </c>
      <c r="Z3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4" s="276">
        <f>IF(INDEX(tblContractForDeed[End Bal],ROW()-ROW(tblBuyerOutputs[#Headers]))&lt;=0,0,($O$6+IF(ROW()=ROW(tblBuyerOutputs[#Headers])+1,0,INDEX(tblBuyerOutputs[Cumul Appr],ROW()-ROW(tblBuyerOutputs[#Headers])-1)))*$AK$2/12)</f>
        <v>0</v>
      </c>
      <c r="AE344" s="276">
        <f>IF(INDEX(tblContractForDeed[End Bal],ROW()-ROW(tblBuyerOutputs[#Headers]))&lt;=0,0,IF(ROW()=ROW(tblBuyerOutputs[#Headers])+1,0,INDEX(tblBuyerOutputs[Cumul Appr],ROW()-ROW(tblBuyerOutputs[#Headers])-1))+tblBuyerOutputs[[#This Row],[Monthly Appr]])</f>
        <v>0</v>
      </c>
    </row>
    <row r="345" spans="1:31" x14ac:dyDescent="0.25">
      <c r="A345" s="613" t="str">
        <f t="shared" si="79"/>
        <v xml:space="preserve"> </v>
      </c>
      <c r="B345" s="276">
        <f t="shared" si="77"/>
        <v>0</v>
      </c>
      <c r="C345" s="14">
        <f t="shared" si="75"/>
        <v>0</v>
      </c>
      <c r="D345" s="14">
        <f t="shared" si="80"/>
        <v>0</v>
      </c>
      <c r="E345" s="14">
        <f t="shared" si="76"/>
        <v>0</v>
      </c>
      <c r="F345" s="14">
        <f t="shared" si="74"/>
        <v>134.16999999999999</v>
      </c>
      <c r="G345" s="14">
        <f t="shared" si="74"/>
        <v>188.55</v>
      </c>
      <c r="H345" s="14">
        <f t="shared" si="73"/>
        <v>322.72000000000003</v>
      </c>
      <c r="I345" s="276">
        <f t="shared" si="81"/>
        <v>98158.279999999955</v>
      </c>
      <c r="J345" s="276">
        <f t="shared" si="82"/>
        <v>35884.000000000022</v>
      </c>
      <c r="K345" s="276">
        <f t="shared" si="83"/>
        <v>0</v>
      </c>
      <c r="L345" s="394">
        <f t="shared" si="71"/>
        <v>27</v>
      </c>
      <c r="M345" s="394">
        <f t="shared" si="78"/>
        <v>325</v>
      </c>
      <c r="N345" s="613" t="str">
        <f>INDEX(tblSubjectToLoan[Date],ROW()-ROW(tblContractForDeed[#Headers]))</f>
        <v xml:space="preserve"> </v>
      </c>
      <c r="O345" s="276">
        <f>IF(ROW()=ROW(tblContractForDeed[#Headers])+1,$O$6,IF(INDEX(tblContractForDeed[End Bal],ROW()-ROW(tblContractForDeed[#Headers])-1)&lt;0,0,INDEX(tblContractForDeed[End Bal],ROW()-ROW(tblContractForDeed[#Headers])-1)))</f>
        <v>0</v>
      </c>
      <c r="P345" s="454">
        <f>IF(tblContractForDeed[[#This Row],[Date]]="","",IF(tblContractForDeed[[#This Row],[Date]]&lt;cfdRateChangeDate,cfdRate1,cfdRate2))</f>
        <v>7.7499999999999999E-2</v>
      </c>
      <c r="Q3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467">
        <f>IF(INDEX(tblContractForDeed[Payment],ROW()-ROW(tblBuyerOutputs[#Headers]))=0,0,INDEX(tblContractForDeed[Payment],ROW()-ROW(tblBuyerOutputs[#Headers]))-INDEX(tblSubjectToLoan[Payment],ROW()-ROW(tblBuyerOutputs[#Headers])))</f>
        <v>0</v>
      </c>
      <c r="Z3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5" s="276">
        <f>IF(INDEX(tblContractForDeed[End Bal],ROW()-ROW(tblBuyerOutputs[#Headers]))&lt;=0,0,($O$6+IF(ROW()=ROW(tblBuyerOutputs[#Headers])+1,0,INDEX(tblBuyerOutputs[Cumul Appr],ROW()-ROW(tblBuyerOutputs[#Headers])-1)))*$AK$2/12)</f>
        <v>0</v>
      </c>
      <c r="AE345" s="276">
        <f>IF(INDEX(tblContractForDeed[End Bal],ROW()-ROW(tblBuyerOutputs[#Headers]))&lt;=0,0,IF(ROW()=ROW(tblBuyerOutputs[#Headers])+1,0,INDEX(tblBuyerOutputs[Cumul Appr],ROW()-ROW(tblBuyerOutputs[#Headers])-1))+tblBuyerOutputs[[#This Row],[Monthly Appr]])</f>
        <v>0</v>
      </c>
    </row>
    <row r="346" spans="1:31" x14ac:dyDescent="0.25">
      <c r="A346" s="613" t="str">
        <f t="shared" si="79"/>
        <v xml:space="preserve"> </v>
      </c>
      <c r="B346" s="276">
        <f t="shared" si="77"/>
        <v>0</v>
      </c>
      <c r="C346" s="14">
        <f t="shared" si="75"/>
        <v>0</v>
      </c>
      <c r="D346" s="14">
        <f t="shared" si="80"/>
        <v>0</v>
      </c>
      <c r="E346" s="14">
        <f t="shared" si="76"/>
        <v>0</v>
      </c>
      <c r="F346" s="14">
        <f t="shared" si="74"/>
        <v>134.16999999999999</v>
      </c>
      <c r="G346" s="14">
        <f t="shared" si="74"/>
        <v>188.55</v>
      </c>
      <c r="H346" s="14">
        <f t="shared" si="73"/>
        <v>322.72000000000003</v>
      </c>
      <c r="I346" s="276">
        <f t="shared" si="81"/>
        <v>98158.279999999955</v>
      </c>
      <c r="J346" s="276">
        <f t="shared" si="82"/>
        <v>35884.000000000022</v>
      </c>
      <c r="K346" s="276">
        <f t="shared" si="83"/>
        <v>0</v>
      </c>
      <c r="L346" s="394">
        <f t="shared" si="71"/>
        <v>27</v>
      </c>
      <c r="M346" s="394">
        <f t="shared" si="78"/>
        <v>326</v>
      </c>
      <c r="N346" s="613" t="str">
        <f>INDEX(tblSubjectToLoan[Date],ROW()-ROW(tblContractForDeed[#Headers]))</f>
        <v xml:space="preserve"> </v>
      </c>
      <c r="O346" s="276">
        <f>IF(ROW()=ROW(tblContractForDeed[#Headers])+1,$O$6,IF(INDEX(tblContractForDeed[End Bal],ROW()-ROW(tblContractForDeed[#Headers])-1)&lt;0,0,INDEX(tblContractForDeed[End Bal],ROW()-ROW(tblContractForDeed[#Headers])-1)))</f>
        <v>0</v>
      </c>
      <c r="P346" s="454">
        <f>IF(tblContractForDeed[[#This Row],[Date]]="","",IF(tblContractForDeed[[#This Row],[Date]]&lt;cfdRateChangeDate,cfdRate1,cfdRate2))</f>
        <v>7.7499999999999999E-2</v>
      </c>
      <c r="Q3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467">
        <f>IF(INDEX(tblContractForDeed[Payment],ROW()-ROW(tblBuyerOutputs[#Headers]))=0,0,INDEX(tblContractForDeed[Payment],ROW()-ROW(tblBuyerOutputs[#Headers]))-INDEX(tblSubjectToLoan[Payment],ROW()-ROW(tblBuyerOutputs[#Headers])))</f>
        <v>0</v>
      </c>
      <c r="Z3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6" s="276">
        <f>IF(INDEX(tblContractForDeed[End Bal],ROW()-ROW(tblBuyerOutputs[#Headers]))&lt;=0,0,($O$6+IF(ROW()=ROW(tblBuyerOutputs[#Headers])+1,0,INDEX(tblBuyerOutputs[Cumul Appr],ROW()-ROW(tblBuyerOutputs[#Headers])-1)))*$AK$2/12)</f>
        <v>0</v>
      </c>
      <c r="AE346" s="276">
        <f>IF(INDEX(tblContractForDeed[End Bal],ROW()-ROW(tblBuyerOutputs[#Headers]))&lt;=0,0,IF(ROW()=ROW(tblBuyerOutputs[#Headers])+1,0,INDEX(tblBuyerOutputs[Cumul Appr],ROW()-ROW(tblBuyerOutputs[#Headers])-1))+tblBuyerOutputs[[#This Row],[Monthly Appr]])</f>
        <v>0</v>
      </c>
    </row>
    <row r="347" spans="1:31" x14ac:dyDescent="0.25">
      <c r="A347" s="613" t="str">
        <f t="shared" si="79"/>
        <v xml:space="preserve"> </v>
      </c>
      <c r="B347" s="276">
        <f t="shared" si="77"/>
        <v>0</v>
      </c>
      <c r="C347" s="14">
        <f t="shared" si="75"/>
        <v>0</v>
      </c>
      <c r="D347" s="14">
        <f t="shared" si="80"/>
        <v>0</v>
      </c>
      <c r="E347" s="14">
        <f t="shared" si="76"/>
        <v>0</v>
      </c>
      <c r="F347" s="14">
        <f t="shared" si="74"/>
        <v>134.16999999999999</v>
      </c>
      <c r="G347" s="14">
        <f t="shared" si="74"/>
        <v>188.55</v>
      </c>
      <c r="H347" s="14">
        <f t="shared" si="73"/>
        <v>322.72000000000003</v>
      </c>
      <c r="I347" s="276">
        <f t="shared" si="81"/>
        <v>98158.279999999955</v>
      </c>
      <c r="J347" s="276">
        <f t="shared" si="82"/>
        <v>35884.000000000022</v>
      </c>
      <c r="K347" s="276">
        <f t="shared" si="83"/>
        <v>0</v>
      </c>
      <c r="L347" s="394">
        <f t="shared" si="71"/>
        <v>27</v>
      </c>
      <c r="M347" s="394">
        <f t="shared" si="78"/>
        <v>327</v>
      </c>
      <c r="N347" s="613" t="str">
        <f>INDEX(tblSubjectToLoan[Date],ROW()-ROW(tblContractForDeed[#Headers]))</f>
        <v xml:space="preserve"> </v>
      </c>
      <c r="O347" s="276">
        <f>IF(ROW()=ROW(tblContractForDeed[#Headers])+1,$O$6,IF(INDEX(tblContractForDeed[End Bal],ROW()-ROW(tblContractForDeed[#Headers])-1)&lt;0,0,INDEX(tblContractForDeed[End Bal],ROW()-ROW(tblContractForDeed[#Headers])-1)))</f>
        <v>0</v>
      </c>
      <c r="P347" s="454">
        <f>IF(tblContractForDeed[[#This Row],[Date]]="","",IF(tblContractForDeed[[#This Row],[Date]]&lt;cfdRateChangeDate,cfdRate1,cfdRate2))</f>
        <v>7.7499999999999999E-2</v>
      </c>
      <c r="Q3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467">
        <f>IF(INDEX(tblContractForDeed[Payment],ROW()-ROW(tblBuyerOutputs[#Headers]))=0,0,INDEX(tblContractForDeed[Payment],ROW()-ROW(tblBuyerOutputs[#Headers]))-INDEX(tblSubjectToLoan[Payment],ROW()-ROW(tblBuyerOutputs[#Headers])))</f>
        <v>0</v>
      </c>
      <c r="Z3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7" s="276">
        <f>IF(INDEX(tblContractForDeed[End Bal],ROW()-ROW(tblBuyerOutputs[#Headers]))&lt;=0,0,($O$6+IF(ROW()=ROW(tblBuyerOutputs[#Headers])+1,0,INDEX(tblBuyerOutputs[Cumul Appr],ROW()-ROW(tblBuyerOutputs[#Headers])-1)))*$AK$2/12)</f>
        <v>0</v>
      </c>
      <c r="AE347" s="276">
        <f>IF(INDEX(tblContractForDeed[End Bal],ROW()-ROW(tblBuyerOutputs[#Headers]))&lt;=0,0,IF(ROW()=ROW(tblBuyerOutputs[#Headers])+1,0,INDEX(tblBuyerOutputs[Cumul Appr],ROW()-ROW(tblBuyerOutputs[#Headers])-1))+tblBuyerOutputs[[#This Row],[Monthly Appr]])</f>
        <v>0</v>
      </c>
    </row>
    <row r="348" spans="1:31" x14ac:dyDescent="0.25">
      <c r="A348" s="613" t="str">
        <f t="shared" si="79"/>
        <v xml:space="preserve"> </v>
      </c>
      <c r="B348" s="276">
        <f t="shared" si="77"/>
        <v>0</v>
      </c>
      <c r="C348" s="14">
        <f t="shared" si="75"/>
        <v>0</v>
      </c>
      <c r="D348" s="14">
        <f t="shared" si="80"/>
        <v>0</v>
      </c>
      <c r="E348" s="14">
        <f t="shared" si="76"/>
        <v>0</v>
      </c>
      <c r="F348" s="14">
        <f t="shared" si="74"/>
        <v>134.16999999999999</v>
      </c>
      <c r="G348" s="14">
        <f t="shared" si="74"/>
        <v>188.55</v>
      </c>
      <c r="H348" s="14">
        <f t="shared" si="73"/>
        <v>322.72000000000003</v>
      </c>
      <c r="I348" s="276">
        <f t="shared" si="81"/>
        <v>98158.279999999955</v>
      </c>
      <c r="J348" s="276">
        <f t="shared" si="82"/>
        <v>35884.000000000022</v>
      </c>
      <c r="K348" s="276">
        <f t="shared" si="83"/>
        <v>0</v>
      </c>
      <c r="L348" s="394">
        <f t="shared" si="71"/>
        <v>27</v>
      </c>
      <c r="M348" s="394">
        <f t="shared" si="78"/>
        <v>328</v>
      </c>
      <c r="N348" s="613" t="str">
        <f>INDEX(tblSubjectToLoan[Date],ROW()-ROW(tblContractForDeed[#Headers]))</f>
        <v xml:space="preserve"> </v>
      </c>
      <c r="O348" s="276">
        <f>IF(ROW()=ROW(tblContractForDeed[#Headers])+1,$O$6,IF(INDEX(tblContractForDeed[End Bal],ROW()-ROW(tblContractForDeed[#Headers])-1)&lt;0,0,INDEX(tblContractForDeed[End Bal],ROW()-ROW(tblContractForDeed[#Headers])-1)))</f>
        <v>0</v>
      </c>
      <c r="P348" s="454">
        <f>IF(tblContractForDeed[[#This Row],[Date]]="","",IF(tblContractForDeed[[#This Row],[Date]]&lt;cfdRateChangeDate,cfdRate1,cfdRate2))</f>
        <v>7.7499999999999999E-2</v>
      </c>
      <c r="Q3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467">
        <f>IF(INDEX(tblContractForDeed[Payment],ROW()-ROW(tblBuyerOutputs[#Headers]))=0,0,INDEX(tblContractForDeed[Payment],ROW()-ROW(tblBuyerOutputs[#Headers]))-INDEX(tblSubjectToLoan[Payment],ROW()-ROW(tblBuyerOutputs[#Headers])))</f>
        <v>0</v>
      </c>
      <c r="Z3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8" s="276">
        <f>IF(INDEX(tblContractForDeed[End Bal],ROW()-ROW(tblBuyerOutputs[#Headers]))&lt;=0,0,($O$6+IF(ROW()=ROW(tblBuyerOutputs[#Headers])+1,0,INDEX(tblBuyerOutputs[Cumul Appr],ROW()-ROW(tblBuyerOutputs[#Headers])-1)))*$AK$2/12)</f>
        <v>0</v>
      </c>
      <c r="AE348" s="276">
        <f>IF(INDEX(tblContractForDeed[End Bal],ROW()-ROW(tblBuyerOutputs[#Headers]))&lt;=0,0,IF(ROW()=ROW(tblBuyerOutputs[#Headers])+1,0,INDEX(tblBuyerOutputs[Cumul Appr],ROW()-ROW(tblBuyerOutputs[#Headers])-1))+tblBuyerOutputs[[#This Row],[Monthly Appr]])</f>
        <v>0</v>
      </c>
    </row>
    <row r="349" spans="1:31" x14ac:dyDescent="0.25">
      <c r="A349" s="613" t="str">
        <f t="shared" si="79"/>
        <v xml:space="preserve"> </v>
      </c>
      <c r="B349" s="276">
        <f t="shared" si="77"/>
        <v>0</v>
      </c>
      <c r="C349" s="14">
        <f t="shared" si="75"/>
        <v>0</v>
      </c>
      <c r="D349" s="14">
        <f t="shared" si="80"/>
        <v>0</v>
      </c>
      <c r="E349" s="14">
        <f t="shared" si="76"/>
        <v>0</v>
      </c>
      <c r="F349" s="14">
        <f t="shared" si="74"/>
        <v>134.16999999999999</v>
      </c>
      <c r="G349" s="14">
        <f t="shared" si="74"/>
        <v>188.55</v>
      </c>
      <c r="H349" s="14">
        <f t="shared" si="73"/>
        <v>322.72000000000003</v>
      </c>
      <c r="I349" s="276">
        <f t="shared" si="81"/>
        <v>98158.279999999955</v>
      </c>
      <c r="J349" s="276">
        <f t="shared" si="82"/>
        <v>35884.000000000022</v>
      </c>
      <c r="K349" s="276">
        <f t="shared" si="83"/>
        <v>0</v>
      </c>
      <c r="L349" s="394">
        <f t="shared" si="71"/>
        <v>27</v>
      </c>
      <c r="M349" s="394">
        <f t="shared" si="78"/>
        <v>329</v>
      </c>
      <c r="N349" s="613" t="str">
        <f>INDEX(tblSubjectToLoan[Date],ROW()-ROW(tblContractForDeed[#Headers]))</f>
        <v xml:space="preserve"> </v>
      </c>
      <c r="O349" s="276">
        <f>IF(ROW()=ROW(tblContractForDeed[#Headers])+1,$O$6,IF(INDEX(tblContractForDeed[End Bal],ROW()-ROW(tblContractForDeed[#Headers])-1)&lt;0,0,INDEX(tblContractForDeed[End Bal],ROW()-ROW(tblContractForDeed[#Headers])-1)))</f>
        <v>0</v>
      </c>
      <c r="P349" s="454">
        <f>IF(tblContractForDeed[[#This Row],[Date]]="","",IF(tblContractForDeed[[#This Row],[Date]]&lt;cfdRateChangeDate,cfdRate1,cfdRate2))</f>
        <v>7.7499999999999999E-2</v>
      </c>
      <c r="Q3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467">
        <f>IF(INDEX(tblContractForDeed[Payment],ROW()-ROW(tblBuyerOutputs[#Headers]))=0,0,INDEX(tblContractForDeed[Payment],ROW()-ROW(tblBuyerOutputs[#Headers]))-INDEX(tblSubjectToLoan[Payment],ROW()-ROW(tblBuyerOutputs[#Headers])))</f>
        <v>0</v>
      </c>
      <c r="Z3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9" s="276">
        <f>IF(INDEX(tblContractForDeed[End Bal],ROW()-ROW(tblBuyerOutputs[#Headers]))&lt;=0,0,($O$6+IF(ROW()=ROW(tblBuyerOutputs[#Headers])+1,0,INDEX(tblBuyerOutputs[Cumul Appr],ROW()-ROW(tblBuyerOutputs[#Headers])-1)))*$AK$2/12)</f>
        <v>0</v>
      </c>
      <c r="AE349" s="276">
        <f>IF(INDEX(tblContractForDeed[End Bal],ROW()-ROW(tblBuyerOutputs[#Headers]))&lt;=0,0,IF(ROW()=ROW(tblBuyerOutputs[#Headers])+1,0,INDEX(tblBuyerOutputs[Cumul Appr],ROW()-ROW(tblBuyerOutputs[#Headers])-1))+tblBuyerOutputs[[#This Row],[Monthly Appr]])</f>
        <v>0</v>
      </c>
    </row>
    <row r="350" spans="1:31" x14ac:dyDescent="0.25">
      <c r="A350" s="613" t="str">
        <f t="shared" si="79"/>
        <v xml:space="preserve"> </v>
      </c>
      <c r="B350" s="276">
        <f t="shared" si="77"/>
        <v>0</v>
      </c>
      <c r="C350" s="14">
        <f t="shared" si="75"/>
        <v>0</v>
      </c>
      <c r="D350" s="14">
        <f t="shared" si="80"/>
        <v>0</v>
      </c>
      <c r="E350" s="14">
        <f t="shared" si="76"/>
        <v>0</v>
      </c>
      <c r="F350" s="14">
        <f t="shared" si="74"/>
        <v>134.16999999999999</v>
      </c>
      <c r="G350" s="14">
        <f t="shared" si="74"/>
        <v>188.55</v>
      </c>
      <c r="H350" s="14">
        <f t="shared" si="73"/>
        <v>322.72000000000003</v>
      </c>
      <c r="I350" s="276">
        <f t="shared" si="81"/>
        <v>98158.279999999955</v>
      </c>
      <c r="J350" s="276">
        <f t="shared" si="82"/>
        <v>35884.000000000022</v>
      </c>
      <c r="K350" s="276">
        <f t="shared" si="83"/>
        <v>0</v>
      </c>
      <c r="L350" s="394">
        <f t="shared" si="71"/>
        <v>27</v>
      </c>
      <c r="M350" s="394">
        <f t="shared" si="78"/>
        <v>330</v>
      </c>
      <c r="N350" s="613" t="str">
        <f>INDEX(tblSubjectToLoan[Date],ROW()-ROW(tblContractForDeed[#Headers]))</f>
        <v xml:space="preserve"> </v>
      </c>
      <c r="O350" s="276">
        <f>IF(ROW()=ROW(tblContractForDeed[#Headers])+1,$O$6,IF(INDEX(tblContractForDeed[End Bal],ROW()-ROW(tblContractForDeed[#Headers])-1)&lt;0,0,INDEX(tblContractForDeed[End Bal],ROW()-ROW(tblContractForDeed[#Headers])-1)))</f>
        <v>0</v>
      </c>
      <c r="P350" s="454">
        <f>IF(tblContractForDeed[[#This Row],[Date]]="","",IF(tblContractForDeed[[#This Row],[Date]]&lt;cfdRateChangeDate,cfdRate1,cfdRate2))</f>
        <v>7.7499999999999999E-2</v>
      </c>
      <c r="Q3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467">
        <f>IF(INDEX(tblContractForDeed[Payment],ROW()-ROW(tblBuyerOutputs[#Headers]))=0,0,INDEX(tblContractForDeed[Payment],ROW()-ROW(tblBuyerOutputs[#Headers]))-INDEX(tblSubjectToLoan[Payment],ROW()-ROW(tblBuyerOutputs[#Headers])))</f>
        <v>0</v>
      </c>
      <c r="Z3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0" s="276">
        <f>IF(INDEX(tblContractForDeed[End Bal],ROW()-ROW(tblBuyerOutputs[#Headers]))&lt;=0,0,($O$6+IF(ROW()=ROW(tblBuyerOutputs[#Headers])+1,0,INDEX(tblBuyerOutputs[Cumul Appr],ROW()-ROW(tblBuyerOutputs[#Headers])-1)))*$AK$2/12)</f>
        <v>0</v>
      </c>
      <c r="AE350" s="276">
        <f>IF(INDEX(tblContractForDeed[End Bal],ROW()-ROW(tblBuyerOutputs[#Headers]))&lt;=0,0,IF(ROW()=ROW(tblBuyerOutputs[#Headers])+1,0,INDEX(tblBuyerOutputs[Cumul Appr],ROW()-ROW(tblBuyerOutputs[#Headers])-1))+tblBuyerOutputs[[#This Row],[Monthly Appr]])</f>
        <v>0</v>
      </c>
    </row>
    <row r="351" spans="1:31" x14ac:dyDescent="0.25">
      <c r="A351" s="613" t="str">
        <f t="shared" si="79"/>
        <v xml:space="preserve"> </v>
      </c>
      <c r="B351" s="276">
        <f t="shared" si="77"/>
        <v>0</v>
      </c>
      <c r="C351" s="14">
        <f t="shared" si="75"/>
        <v>0</v>
      </c>
      <c r="D351" s="14">
        <f t="shared" si="80"/>
        <v>0</v>
      </c>
      <c r="E351" s="14">
        <f t="shared" si="76"/>
        <v>0</v>
      </c>
      <c r="F351" s="14">
        <f t="shared" ref="F351:G366" si="84">+F350</f>
        <v>134.16999999999999</v>
      </c>
      <c r="G351" s="14">
        <f t="shared" si="84"/>
        <v>188.55</v>
      </c>
      <c r="H351" s="14">
        <f t="shared" si="73"/>
        <v>322.72000000000003</v>
      </c>
      <c r="I351" s="276">
        <f t="shared" si="81"/>
        <v>98158.279999999955</v>
      </c>
      <c r="J351" s="276">
        <f t="shared" si="82"/>
        <v>35884.000000000022</v>
      </c>
      <c r="K351" s="276">
        <f t="shared" si="83"/>
        <v>0</v>
      </c>
      <c r="L351" s="394">
        <f t="shared" si="71"/>
        <v>27</v>
      </c>
      <c r="M351" s="394">
        <f t="shared" si="78"/>
        <v>331</v>
      </c>
      <c r="N351" s="613" t="str">
        <f>INDEX(tblSubjectToLoan[Date],ROW()-ROW(tblContractForDeed[#Headers]))</f>
        <v xml:space="preserve"> </v>
      </c>
      <c r="O351" s="276">
        <f>IF(ROW()=ROW(tblContractForDeed[#Headers])+1,$O$6,IF(INDEX(tblContractForDeed[End Bal],ROW()-ROW(tblContractForDeed[#Headers])-1)&lt;0,0,INDEX(tblContractForDeed[End Bal],ROW()-ROW(tblContractForDeed[#Headers])-1)))</f>
        <v>0</v>
      </c>
      <c r="P351" s="454">
        <f>IF(tblContractForDeed[[#This Row],[Date]]="","",IF(tblContractForDeed[[#This Row],[Date]]&lt;cfdRateChangeDate,cfdRate1,cfdRate2))</f>
        <v>7.7499999999999999E-2</v>
      </c>
      <c r="Q3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467">
        <f>IF(INDEX(tblContractForDeed[Payment],ROW()-ROW(tblBuyerOutputs[#Headers]))=0,0,INDEX(tblContractForDeed[Payment],ROW()-ROW(tblBuyerOutputs[#Headers]))-INDEX(tblSubjectToLoan[Payment],ROW()-ROW(tblBuyerOutputs[#Headers])))</f>
        <v>0</v>
      </c>
      <c r="Z3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1" s="276">
        <f>IF(INDEX(tblContractForDeed[End Bal],ROW()-ROW(tblBuyerOutputs[#Headers]))&lt;=0,0,($O$6+IF(ROW()=ROW(tblBuyerOutputs[#Headers])+1,0,INDEX(tblBuyerOutputs[Cumul Appr],ROW()-ROW(tblBuyerOutputs[#Headers])-1)))*$AK$2/12)</f>
        <v>0</v>
      </c>
      <c r="AE351" s="276">
        <f>IF(INDEX(tblContractForDeed[End Bal],ROW()-ROW(tblBuyerOutputs[#Headers]))&lt;=0,0,IF(ROW()=ROW(tblBuyerOutputs[#Headers])+1,0,INDEX(tblBuyerOutputs[Cumul Appr],ROW()-ROW(tblBuyerOutputs[#Headers])-1))+tblBuyerOutputs[[#This Row],[Monthly Appr]])</f>
        <v>0</v>
      </c>
    </row>
    <row r="352" spans="1:31" x14ac:dyDescent="0.25">
      <c r="A352" s="613" t="str">
        <f t="shared" si="79"/>
        <v xml:space="preserve"> </v>
      </c>
      <c r="B352" s="276">
        <f t="shared" si="77"/>
        <v>0</v>
      </c>
      <c r="C352" s="14">
        <f t="shared" si="75"/>
        <v>0</v>
      </c>
      <c r="D352" s="14">
        <f t="shared" si="80"/>
        <v>0</v>
      </c>
      <c r="E352" s="14">
        <f t="shared" si="76"/>
        <v>0</v>
      </c>
      <c r="F352" s="14">
        <f t="shared" si="84"/>
        <v>134.16999999999999</v>
      </c>
      <c r="G352" s="14">
        <f t="shared" si="84"/>
        <v>188.55</v>
      </c>
      <c r="H352" s="14">
        <f t="shared" si="73"/>
        <v>322.72000000000003</v>
      </c>
      <c r="I352" s="276">
        <f t="shared" si="81"/>
        <v>98158.279999999955</v>
      </c>
      <c r="J352" s="276">
        <f t="shared" si="82"/>
        <v>35884.000000000022</v>
      </c>
      <c r="K352" s="276">
        <f t="shared" si="83"/>
        <v>0</v>
      </c>
      <c r="L352" s="394">
        <f t="shared" si="71"/>
        <v>27</v>
      </c>
      <c r="M352" s="394">
        <f t="shared" si="78"/>
        <v>332</v>
      </c>
      <c r="N352" s="613" t="str">
        <f>INDEX(tblSubjectToLoan[Date],ROW()-ROW(tblContractForDeed[#Headers]))</f>
        <v xml:space="preserve"> </v>
      </c>
      <c r="O352" s="276">
        <f>IF(ROW()=ROW(tblContractForDeed[#Headers])+1,$O$6,IF(INDEX(tblContractForDeed[End Bal],ROW()-ROW(tblContractForDeed[#Headers])-1)&lt;0,0,INDEX(tblContractForDeed[End Bal],ROW()-ROW(tblContractForDeed[#Headers])-1)))</f>
        <v>0</v>
      </c>
      <c r="P352" s="454">
        <f>IF(tblContractForDeed[[#This Row],[Date]]="","",IF(tblContractForDeed[[#This Row],[Date]]&lt;cfdRateChangeDate,cfdRate1,cfdRate2))</f>
        <v>7.7499999999999999E-2</v>
      </c>
      <c r="Q3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467">
        <f>IF(INDEX(tblContractForDeed[Payment],ROW()-ROW(tblBuyerOutputs[#Headers]))=0,0,INDEX(tblContractForDeed[Payment],ROW()-ROW(tblBuyerOutputs[#Headers]))-INDEX(tblSubjectToLoan[Payment],ROW()-ROW(tblBuyerOutputs[#Headers])))</f>
        <v>0</v>
      </c>
      <c r="Z3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2" s="276">
        <f>IF(INDEX(tblContractForDeed[End Bal],ROW()-ROW(tblBuyerOutputs[#Headers]))&lt;=0,0,($O$6+IF(ROW()=ROW(tblBuyerOutputs[#Headers])+1,0,INDEX(tblBuyerOutputs[Cumul Appr],ROW()-ROW(tblBuyerOutputs[#Headers])-1)))*$AK$2/12)</f>
        <v>0</v>
      </c>
      <c r="AE352" s="276">
        <f>IF(INDEX(tblContractForDeed[End Bal],ROW()-ROW(tblBuyerOutputs[#Headers]))&lt;=0,0,IF(ROW()=ROW(tblBuyerOutputs[#Headers])+1,0,INDEX(tblBuyerOutputs[Cumul Appr],ROW()-ROW(tblBuyerOutputs[#Headers])-1))+tblBuyerOutputs[[#This Row],[Monthly Appr]])</f>
        <v>0</v>
      </c>
    </row>
    <row r="353" spans="1:31" x14ac:dyDescent="0.25">
      <c r="A353" s="613" t="str">
        <f t="shared" si="79"/>
        <v xml:space="preserve"> </v>
      </c>
      <c r="B353" s="276">
        <f t="shared" si="77"/>
        <v>0</v>
      </c>
      <c r="C353" s="14">
        <f t="shared" si="75"/>
        <v>0</v>
      </c>
      <c r="D353" s="14">
        <f t="shared" si="80"/>
        <v>0</v>
      </c>
      <c r="E353" s="14">
        <f t="shared" si="76"/>
        <v>0</v>
      </c>
      <c r="F353" s="14">
        <f t="shared" si="84"/>
        <v>134.16999999999999</v>
      </c>
      <c r="G353" s="14">
        <f t="shared" si="84"/>
        <v>188.55</v>
      </c>
      <c r="H353" s="14">
        <f t="shared" si="73"/>
        <v>322.72000000000003</v>
      </c>
      <c r="I353" s="276">
        <f t="shared" si="81"/>
        <v>98158.279999999955</v>
      </c>
      <c r="J353" s="276">
        <f t="shared" si="82"/>
        <v>35884.000000000022</v>
      </c>
      <c r="K353" s="276">
        <f t="shared" si="83"/>
        <v>0</v>
      </c>
      <c r="L353" s="394">
        <f t="shared" si="71"/>
        <v>27</v>
      </c>
      <c r="M353" s="394">
        <f t="shared" si="78"/>
        <v>333</v>
      </c>
      <c r="N353" s="613" t="str">
        <f>INDEX(tblSubjectToLoan[Date],ROW()-ROW(tblContractForDeed[#Headers]))</f>
        <v xml:space="preserve"> </v>
      </c>
      <c r="O353" s="276">
        <f>IF(ROW()=ROW(tblContractForDeed[#Headers])+1,$O$6,IF(INDEX(tblContractForDeed[End Bal],ROW()-ROW(tblContractForDeed[#Headers])-1)&lt;0,0,INDEX(tblContractForDeed[End Bal],ROW()-ROW(tblContractForDeed[#Headers])-1)))</f>
        <v>0</v>
      </c>
      <c r="P353" s="454">
        <f>IF(tblContractForDeed[[#This Row],[Date]]="","",IF(tblContractForDeed[[#This Row],[Date]]&lt;cfdRateChangeDate,cfdRate1,cfdRate2))</f>
        <v>7.7499999999999999E-2</v>
      </c>
      <c r="Q3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467">
        <f>IF(INDEX(tblContractForDeed[Payment],ROW()-ROW(tblBuyerOutputs[#Headers]))=0,0,INDEX(tblContractForDeed[Payment],ROW()-ROW(tblBuyerOutputs[#Headers]))-INDEX(tblSubjectToLoan[Payment],ROW()-ROW(tblBuyerOutputs[#Headers])))</f>
        <v>0</v>
      </c>
      <c r="Z3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3" s="276">
        <f>IF(INDEX(tblContractForDeed[End Bal],ROW()-ROW(tblBuyerOutputs[#Headers]))&lt;=0,0,($O$6+IF(ROW()=ROW(tblBuyerOutputs[#Headers])+1,0,INDEX(tblBuyerOutputs[Cumul Appr],ROW()-ROW(tblBuyerOutputs[#Headers])-1)))*$AK$2/12)</f>
        <v>0</v>
      </c>
      <c r="AE353" s="276">
        <f>IF(INDEX(tblContractForDeed[End Bal],ROW()-ROW(tblBuyerOutputs[#Headers]))&lt;=0,0,IF(ROW()=ROW(tblBuyerOutputs[#Headers])+1,0,INDEX(tblBuyerOutputs[Cumul Appr],ROW()-ROW(tblBuyerOutputs[#Headers])-1))+tblBuyerOutputs[[#This Row],[Monthly Appr]])</f>
        <v>0</v>
      </c>
    </row>
    <row r="354" spans="1:31" x14ac:dyDescent="0.25">
      <c r="A354" s="613" t="str">
        <f t="shared" si="79"/>
        <v xml:space="preserve"> </v>
      </c>
      <c r="B354" s="276">
        <f t="shared" si="77"/>
        <v>0</v>
      </c>
      <c r="C354" s="14">
        <f t="shared" si="75"/>
        <v>0</v>
      </c>
      <c r="D354" s="14">
        <f t="shared" si="80"/>
        <v>0</v>
      </c>
      <c r="E354" s="14">
        <f t="shared" si="76"/>
        <v>0</v>
      </c>
      <c r="F354" s="14">
        <f t="shared" si="84"/>
        <v>134.16999999999999</v>
      </c>
      <c r="G354" s="14">
        <f t="shared" si="84"/>
        <v>188.55</v>
      </c>
      <c r="H354" s="14">
        <f t="shared" si="73"/>
        <v>322.72000000000003</v>
      </c>
      <c r="I354" s="276">
        <f t="shared" si="81"/>
        <v>98158.279999999955</v>
      </c>
      <c r="J354" s="276">
        <f t="shared" si="82"/>
        <v>35884.000000000022</v>
      </c>
      <c r="K354" s="276">
        <f t="shared" si="83"/>
        <v>0</v>
      </c>
      <c r="L354" s="394">
        <f t="shared" si="71"/>
        <v>27</v>
      </c>
      <c r="M354" s="394">
        <f t="shared" si="78"/>
        <v>334</v>
      </c>
      <c r="N354" s="613" t="str">
        <f>INDEX(tblSubjectToLoan[Date],ROW()-ROW(tblContractForDeed[#Headers]))</f>
        <v xml:space="preserve"> </v>
      </c>
      <c r="O354" s="276">
        <f>IF(ROW()=ROW(tblContractForDeed[#Headers])+1,$O$6,IF(INDEX(tblContractForDeed[End Bal],ROW()-ROW(tblContractForDeed[#Headers])-1)&lt;0,0,INDEX(tblContractForDeed[End Bal],ROW()-ROW(tblContractForDeed[#Headers])-1)))</f>
        <v>0</v>
      </c>
      <c r="P354" s="454">
        <f>IF(tblContractForDeed[[#This Row],[Date]]="","",IF(tblContractForDeed[[#This Row],[Date]]&lt;cfdRateChangeDate,cfdRate1,cfdRate2))</f>
        <v>7.7499999999999999E-2</v>
      </c>
      <c r="Q3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467">
        <f>IF(INDEX(tblContractForDeed[Payment],ROW()-ROW(tblBuyerOutputs[#Headers]))=0,0,INDEX(tblContractForDeed[Payment],ROW()-ROW(tblBuyerOutputs[#Headers]))-INDEX(tblSubjectToLoan[Payment],ROW()-ROW(tblBuyerOutputs[#Headers])))</f>
        <v>0</v>
      </c>
      <c r="Z3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4" s="276">
        <f>IF(INDEX(tblContractForDeed[End Bal],ROW()-ROW(tblBuyerOutputs[#Headers]))&lt;=0,0,($O$6+IF(ROW()=ROW(tblBuyerOutputs[#Headers])+1,0,INDEX(tblBuyerOutputs[Cumul Appr],ROW()-ROW(tblBuyerOutputs[#Headers])-1)))*$AK$2/12)</f>
        <v>0</v>
      </c>
      <c r="AE354" s="276">
        <f>IF(INDEX(tblContractForDeed[End Bal],ROW()-ROW(tblBuyerOutputs[#Headers]))&lt;=0,0,IF(ROW()=ROW(tblBuyerOutputs[#Headers])+1,0,INDEX(tblBuyerOutputs[Cumul Appr],ROW()-ROW(tblBuyerOutputs[#Headers])-1))+tblBuyerOutputs[[#This Row],[Monthly Appr]])</f>
        <v>0</v>
      </c>
    </row>
    <row r="355" spans="1:31" ht="15.75" thickBot="1" x14ac:dyDescent="0.3">
      <c r="A355" s="615" t="str">
        <f t="shared" si="79"/>
        <v xml:space="preserve"> </v>
      </c>
      <c r="B355" s="332">
        <f t="shared" si="77"/>
        <v>0</v>
      </c>
      <c r="C355" s="21">
        <f t="shared" si="75"/>
        <v>0</v>
      </c>
      <c r="D355" s="21">
        <f t="shared" si="80"/>
        <v>0</v>
      </c>
      <c r="E355" s="21">
        <f t="shared" si="76"/>
        <v>0</v>
      </c>
      <c r="F355" s="21">
        <f t="shared" si="84"/>
        <v>134.16999999999999</v>
      </c>
      <c r="G355" s="21">
        <f t="shared" si="84"/>
        <v>188.55</v>
      </c>
      <c r="H355" s="21">
        <f t="shared" si="73"/>
        <v>322.72000000000003</v>
      </c>
      <c r="I355" s="332">
        <f t="shared" si="81"/>
        <v>98158.279999999955</v>
      </c>
      <c r="J355" s="332">
        <f t="shared" si="82"/>
        <v>35884.000000000022</v>
      </c>
      <c r="K355" s="332">
        <f t="shared" si="83"/>
        <v>0</v>
      </c>
      <c r="L355" s="395">
        <f t="shared" si="71"/>
        <v>27</v>
      </c>
      <c r="M355" s="395">
        <f t="shared" si="78"/>
        <v>335</v>
      </c>
      <c r="N355" s="615" t="str">
        <f>INDEX(tblSubjectToLoan[Date],ROW()-ROW(tblContractForDeed[#Headers]))</f>
        <v xml:space="preserve"> </v>
      </c>
      <c r="O355" s="332">
        <f>IF(ROW()=ROW(tblContractForDeed[#Headers])+1,$O$6,IF(INDEX(tblContractForDeed[End Bal],ROW()-ROW(tblContractForDeed[#Headers])-1)&lt;0,0,INDEX(tblContractForDeed[End Bal],ROW()-ROW(tblContractForDeed[#Headers])-1)))</f>
        <v>0</v>
      </c>
      <c r="P355" s="454">
        <f>IF(tblContractForDeed[[#This Row],[Date]]="","",IF(tblContractForDeed[[#This Row],[Date]]&lt;cfdRateChangeDate,cfdRate1,cfdRate2))</f>
        <v>7.7499999999999999E-2</v>
      </c>
      <c r="Q3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468">
        <f>IF(INDEX(tblContractForDeed[Payment],ROW()-ROW(tblBuyerOutputs[#Headers]))=0,0,INDEX(tblContractForDeed[Payment],ROW()-ROW(tblBuyerOutputs[#Headers]))-INDEX(tblSubjectToLoan[Payment],ROW()-ROW(tblBuyerOutputs[#Headers])))</f>
        <v>0</v>
      </c>
      <c r="Z3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5" s="332">
        <f>IF(INDEX(tblContractForDeed[End Bal],ROW()-ROW(tblBuyerOutputs[#Headers]))&lt;=0,0,($O$6+IF(ROW()=ROW(tblBuyerOutputs[#Headers])+1,0,INDEX(tblBuyerOutputs[Cumul Appr],ROW()-ROW(tblBuyerOutputs[#Headers])-1)))*$AK$2/12)</f>
        <v>0</v>
      </c>
      <c r="AE355" s="332">
        <f>IF(INDEX(tblContractForDeed[End Bal],ROW()-ROW(tblBuyerOutputs[#Headers]))&lt;=0,0,IF(ROW()=ROW(tblBuyerOutputs[#Headers])+1,0,INDEX(tblBuyerOutputs[Cumul Appr],ROW()-ROW(tblBuyerOutputs[#Headers])-1))+tblBuyerOutputs[[#This Row],[Monthly Appr]])</f>
        <v>0</v>
      </c>
    </row>
    <row r="356" spans="1:31" x14ac:dyDescent="0.25">
      <c r="A356" s="613" t="str">
        <f t="shared" si="79"/>
        <v xml:space="preserve"> </v>
      </c>
      <c r="B356" s="276">
        <f t="shared" si="77"/>
        <v>0</v>
      </c>
      <c r="C356" s="14">
        <f t="shared" si="75"/>
        <v>0</v>
      </c>
      <c r="D356" s="14">
        <f t="shared" si="80"/>
        <v>0</v>
      </c>
      <c r="E356" s="14">
        <f t="shared" si="76"/>
        <v>0</v>
      </c>
      <c r="F356" s="14">
        <f t="shared" si="84"/>
        <v>134.16999999999999</v>
      </c>
      <c r="G356" s="14">
        <f t="shared" si="84"/>
        <v>188.55</v>
      </c>
      <c r="H356" s="14">
        <f t="shared" si="73"/>
        <v>322.72000000000003</v>
      </c>
      <c r="I356" s="276">
        <f t="shared" si="81"/>
        <v>98158.279999999955</v>
      </c>
      <c r="J356" s="276">
        <f t="shared" si="82"/>
        <v>35884.000000000022</v>
      </c>
      <c r="K356" s="276">
        <f t="shared" si="83"/>
        <v>0</v>
      </c>
      <c r="L356" s="394">
        <f t="shared" si="71"/>
        <v>28</v>
      </c>
      <c r="M356" s="394">
        <f t="shared" si="78"/>
        <v>336</v>
      </c>
      <c r="N356" s="613" t="str">
        <f>INDEX(tblSubjectToLoan[Date],ROW()-ROW(tblContractForDeed[#Headers]))</f>
        <v xml:space="preserve"> </v>
      </c>
      <c r="O356" s="276">
        <f>IF(ROW()=ROW(tblContractForDeed[#Headers])+1,$O$6,IF(INDEX(tblContractForDeed[End Bal],ROW()-ROW(tblContractForDeed[#Headers])-1)&lt;0,0,INDEX(tblContractForDeed[End Bal],ROW()-ROW(tblContractForDeed[#Headers])-1)))</f>
        <v>0</v>
      </c>
      <c r="P356" s="454">
        <f>IF(tblContractForDeed[[#This Row],[Date]]="","",IF(tblContractForDeed[[#This Row],[Date]]&lt;cfdRateChangeDate,cfdRate1,cfdRate2))</f>
        <v>7.7499999999999999E-2</v>
      </c>
      <c r="Q3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467">
        <f>IF(INDEX(tblContractForDeed[Payment],ROW()-ROW(tblBuyerOutputs[#Headers]))=0,0,INDEX(tblContractForDeed[Payment],ROW()-ROW(tblBuyerOutputs[#Headers]))-INDEX(tblSubjectToLoan[Payment],ROW()-ROW(tblBuyerOutputs[#Headers])))</f>
        <v>0</v>
      </c>
      <c r="Z3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6" s="276">
        <f>IF(INDEX(tblContractForDeed[End Bal],ROW()-ROW(tblBuyerOutputs[#Headers]))&lt;=0,0,($O$6+IF(ROW()=ROW(tblBuyerOutputs[#Headers])+1,0,INDEX(tblBuyerOutputs[Cumul Appr],ROW()-ROW(tblBuyerOutputs[#Headers])-1)))*$AK$2/12)</f>
        <v>0</v>
      </c>
      <c r="AE356" s="276">
        <f>IF(INDEX(tblContractForDeed[End Bal],ROW()-ROW(tblBuyerOutputs[#Headers]))&lt;=0,0,IF(ROW()=ROW(tblBuyerOutputs[#Headers])+1,0,INDEX(tblBuyerOutputs[Cumul Appr],ROW()-ROW(tblBuyerOutputs[#Headers])-1))+tblBuyerOutputs[[#This Row],[Monthly Appr]])</f>
        <v>0</v>
      </c>
    </row>
    <row r="357" spans="1:31" x14ac:dyDescent="0.25">
      <c r="A357" s="613" t="str">
        <f t="shared" si="79"/>
        <v xml:space="preserve"> </v>
      </c>
      <c r="B357" s="276">
        <f t="shared" si="77"/>
        <v>0</v>
      </c>
      <c r="C357" s="14">
        <f t="shared" si="75"/>
        <v>0</v>
      </c>
      <c r="D357" s="14">
        <f t="shared" si="80"/>
        <v>0</v>
      </c>
      <c r="E357" s="14">
        <f t="shared" si="76"/>
        <v>0</v>
      </c>
      <c r="F357" s="14">
        <f t="shared" si="84"/>
        <v>134.16999999999999</v>
      </c>
      <c r="G357" s="14">
        <f t="shared" si="84"/>
        <v>188.55</v>
      </c>
      <c r="H357" s="14">
        <f t="shared" si="73"/>
        <v>322.72000000000003</v>
      </c>
      <c r="I357" s="276">
        <f t="shared" si="81"/>
        <v>98158.279999999955</v>
      </c>
      <c r="J357" s="276">
        <f t="shared" si="82"/>
        <v>35884.000000000022</v>
      </c>
      <c r="K357" s="276">
        <f t="shared" si="83"/>
        <v>0</v>
      </c>
      <c r="L357" s="394">
        <f t="shared" si="71"/>
        <v>28</v>
      </c>
      <c r="M357" s="394">
        <f t="shared" si="78"/>
        <v>337</v>
      </c>
      <c r="N357" s="613" t="str">
        <f>INDEX(tblSubjectToLoan[Date],ROW()-ROW(tblContractForDeed[#Headers]))</f>
        <v xml:space="preserve"> </v>
      </c>
      <c r="O357" s="276">
        <f>IF(ROW()=ROW(tblContractForDeed[#Headers])+1,$O$6,IF(INDEX(tblContractForDeed[End Bal],ROW()-ROW(tblContractForDeed[#Headers])-1)&lt;0,0,INDEX(tblContractForDeed[End Bal],ROW()-ROW(tblContractForDeed[#Headers])-1)))</f>
        <v>0</v>
      </c>
      <c r="P357" s="454">
        <f>IF(tblContractForDeed[[#This Row],[Date]]="","",IF(tblContractForDeed[[#This Row],[Date]]&lt;cfdRateChangeDate,cfdRate1,cfdRate2))</f>
        <v>7.7499999999999999E-2</v>
      </c>
      <c r="Q3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467">
        <f>IF(INDEX(tblContractForDeed[Payment],ROW()-ROW(tblBuyerOutputs[#Headers]))=0,0,INDEX(tblContractForDeed[Payment],ROW()-ROW(tblBuyerOutputs[#Headers]))-INDEX(tblSubjectToLoan[Payment],ROW()-ROW(tblBuyerOutputs[#Headers])))</f>
        <v>0</v>
      </c>
      <c r="Z3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7" s="276">
        <f>IF(INDEX(tblContractForDeed[End Bal],ROW()-ROW(tblBuyerOutputs[#Headers]))&lt;=0,0,($O$6+IF(ROW()=ROW(tblBuyerOutputs[#Headers])+1,0,INDEX(tblBuyerOutputs[Cumul Appr],ROW()-ROW(tblBuyerOutputs[#Headers])-1)))*$AK$2/12)</f>
        <v>0</v>
      </c>
      <c r="AE357" s="276">
        <f>IF(INDEX(tblContractForDeed[End Bal],ROW()-ROW(tblBuyerOutputs[#Headers]))&lt;=0,0,IF(ROW()=ROW(tblBuyerOutputs[#Headers])+1,0,INDEX(tblBuyerOutputs[Cumul Appr],ROW()-ROW(tblBuyerOutputs[#Headers])-1))+tblBuyerOutputs[[#This Row],[Monthly Appr]])</f>
        <v>0</v>
      </c>
    </row>
    <row r="358" spans="1:31" x14ac:dyDescent="0.25">
      <c r="A358" s="613" t="str">
        <f t="shared" si="79"/>
        <v xml:space="preserve"> </v>
      </c>
      <c r="B358" s="276">
        <f t="shared" si="77"/>
        <v>0</v>
      </c>
      <c r="C358" s="14">
        <f t="shared" si="75"/>
        <v>0</v>
      </c>
      <c r="D358" s="14">
        <f t="shared" si="80"/>
        <v>0</v>
      </c>
      <c r="E358" s="14">
        <f t="shared" si="76"/>
        <v>0</v>
      </c>
      <c r="F358" s="14">
        <f t="shared" si="84"/>
        <v>134.16999999999999</v>
      </c>
      <c r="G358" s="14">
        <f t="shared" si="84"/>
        <v>188.55</v>
      </c>
      <c r="H358" s="14">
        <f t="shared" si="73"/>
        <v>322.72000000000003</v>
      </c>
      <c r="I358" s="276">
        <f t="shared" si="81"/>
        <v>98158.279999999955</v>
      </c>
      <c r="J358" s="276">
        <f t="shared" si="82"/>
        <v>35884.000000000022</v>
      </c>
      <c r="K358" s="276">
        <f t="shared" si="83"/>
        <v>0</v>
      </c>
      <c r="L358" s="394">
        <f t="shared" si="71"/>
        <v>28</v>
      </c>
      <c r="M358" s="394">
        <f t="shared" si="78"/>
        <v>338</v>
      </c>
      <c r="N358" s="613" t="str">
        <f>INDEX(tblSubjectToLoan[Date],ROW()-ROW(tblContractForDeed[#Headers]))</f>
        <v xml:space="preserve"> </v>
      </c>
      <c r="O358" s="276">
        <f>IF(ROW()=ROW(tblContractForDeed[#Headers])+1,$O$6,IF(INDEX(tblContractForDeed[End Bal],ROW()-ROW(tblContractForDeed[#Headers])-1)&lt;0,0,INDEX(tblContractForDeed[End Bal],ROW()-ROW(tblContractForDeed[#Headers])-1)))</f>
        <v>0</v>
      </c>
      <c r="P358" s="454">
        <f>IF(tblContractForDeed[[#This Row],[Date]]="","",IF(tblContractForDeed[[#This Row],[Date]]&lt;cfdRateChangeDate,cfdRate1,cfdRate2))</f>
        <v>7.7499999999999999E-2</v>
      </c>
      <c r="Q3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467">
        <f>IF(INDEX(tblContractForDeed[Payment],ROW()-ROW(tblBuyerOutputs[#Headers]))=0,0,INDEX(tblContractForDeed[Payment],ROW()-ROW(tblBuyerOutputs[#Headers]))-INDEX(tblSubjectToLoan[Payment],ROW()-ROW(tblBuyerOutputs[#Headers])))</f>
        <v>0</v>
      </c>
      <c r="Z3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8" s="276">
        <f>IF(INDEX(tblContractForDeed[End Bal],ROW()-ROW(tblBuyerOutputs[#Headers]))&lt;=0,0,($O$6+IF(ROW()=ROW(tblBuyerOutputs[#Headers])+1,0,INDEX(tblBuyerOutputs[Cumul Appr],ROW()-ROW(tblBuyerOutputs[#Headers])-1)))*$AK$2/12)</f>
        <v>0</v>
      </c>
      <c r="AE358" s="276">
        <f>IF(INDEX(tblContractForDeed[End Bal],ROW()-ROW(tblBuyerOutputs[#Headers]))&lt;=0,0,IF(ROW()=ROW(tblBuyerOutputs[#Headers])+1,0,INDEX(tblBuyerOutputs[Cumul Appr],ROW()-ROW(tblBuyerOutputs[#Headers])-1))+tblBuyerOutputs[[#This Row],[Monthly Appr]])</f>
        <v>0</v>
      </c>
    </row>
    <row r="359" spans="1:31" x14ac:dyDescent="0.25">
      <c r="A359" s="613" t="str">
        <f t="shared" si="79"/>
        <v xml:space="preserve"> </v>
      </c>
      <c r="B359" s="276">
        <f t="shared" si="77"/>
        <v>0</v>
      </c>
      <c r="C359" s="14">
        <f t="shared" si="75"/>
        <v>0</v>
      </c>
      <c r="D359" s="14">
        <f t="shared" si="80"/>
        <v>0</v>
      </c>
      <c r="E359" s="14">
        <f t="shared" si="76"/>
        <v>0</v>
      </c>
      <c r="F359" s="14">
        <f t="shared" si="84"/>
        <v>134.16999999999999</v>
      </c>
      <c r="G359" s="14">
        <f t="shared" si="84"/>
        <v>188.55</v>
      </c>
      <c r="H359" s="14">
        <f t="shared" si="73"/>
        <v>322.72000000000003</v>
      </c>
      <c r="I359" s="276">
        <f t="shared" si="81"/>
        <v>98158.279999999955</v>
      </c>
      <c r="J359" s="276">
        <f t="shared" si="82"/>
        <v>35884.000000000022</v>
      </c>
      <c r="K359" s="276">
        <f t="shared" si="83"/>
        <v>0</v>
      </c>
      <c r="L359" s="394">
        <f t="shared" si="71"/>
        <v>28</v>
      </c>
      <c r="M359" s="394">
        <f t="shared" si="78"/>
        <v>339</v>
      </c>
      <c r="N359" s="613" t="str">
        <f>INDEX(tblSubjectToLoan[Date],ROW()-ROW(tblContractForDeed[#Headers]))</f>
        <v xml:space="preserve"> </v>
      </c>
      <c r="O359" s="276">
        <f>IF(ROW()=ROW(tblContractForDeed[#Headers])+1,$O$6,IF(INDEX(tblContractForDeed[End Bal],ROW()-ROW(tblContractForDeed[#Headers])-1)&lt;0,0,INDEX(tblContractForDeed[End Bal],ROW()-ROW(tblContractForDeed[#Headers])-1)))</f>
        <v>0</v>
      </c>
      <c r="P359" s="454">
        <f>IF(tblContractForDeed[[#This Row],[Date]]="","",IF(tblContractForDeed[[#This Row],[Date]]&lt;cfdRateChangeDate,cfdRate1,cfdRate2))</f>
        <v>7.7499999999999999E-2</v>
      </c>
      <c r="Q3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467">
        <f>IF(INDEX(tblContractForDeed[Payment],ROW()-ROW(tblBuyerOutputs[#Headers]))=0,0,INDEX(tblContractForDeed[Payment],ROW()-ROW(tblBuyerOutputs[#Headers]))-INDEX(tblSubjectToLoan[Payment],ROW()-ROW(tblBuyerOutputs[#Headers])))</f>
        <v>0</v>
      </c>
      <c r="Z3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9" s="276">
        <f>IF(INDEX(tblContractForDeed[End Bal],ROW()-ROW(tblBuyerOutputs[#Headers]))&lt;=0,0,($O$6+IF(ROW()=ROW(tblBuyerOutputs[#Headers])+1,0,INDEX(tblBuyerOutputs[Cumul Appr],ROW()-ROW(tblBuyerOutputs[#Headers])-1)))*$AK$2/12)</f>
        <v>0</v>
      </c>
      <c r="AE359" s="276">
        <f>IF(INDEX(tblContractForDeed[End Bal],ROW()-ROW(tblBuyerOutputs[#Headers]))&lt;=0,0,IF(ROW()=ROW(tblBuyerOutputs[#Headers])+1,0,INDEX(tblBuyerOutputs[Cumul Appr],ROW()-ROW(tblBuyerOutputs[#Headers])-1))+tblBuyerOutputs[[#This Row],[Monthly Appr]])</f>
        <v>0</v>
      </c>
    </row>
    <row r="360" spans="1:31" x14ac:dyDescent="0.25">
      <c r="A360" s="613" t="str">
        <f t="shared" si="79"/>
        <v xml:space="preserve"> </v>
      </c>
      <c r="B360" s="276">
        <f t="shared" si="77"/>
        <v>0</v>
      </c>
      <c r="C360" s="14">
        <f t="shared" si="75"/>
        <v>0</v>
      </c>
      <c r="D360" s="14">
        <f t="shared" si="80"/>
        <v>0</v>
      </c>
      <c r="E360" s="14">
        <f t="shared" si="76"/>
        <v>0</v>
      </c>
      <c r="F360" s="14">
        <f t="shared" si="84"/>
        <v>134.16999999999999</v>
      </c>
      <c r="G360" s="14">
        <f t="shared" si="84"/>
        <v>188.55</v>
      </c>
      <c r="H360" s="14">
        <f t="shared" si="73"/>
        <v>322.72000000000003</v>
      </c>
      <c r="I360" s="276">
        <f t="shared" si="81"/>
        <v>98158.279999999955</v>
      </c>
      <c r="J360" s="276">
        <f t="shared" si="82"/>
        <v>35884.000000000022</v>
      </c>
      <c r="K360" s="276">
        <f t="shared" si="83"/>
        <v>0</v>
      </c>
      <c r="L360" s="394">
        <f t="shared" si="71"/>
        <v>28</v>
      </c>
      <c r="M360" s="394">
        <f t="shared" si="78"/>
        <v>340</v>
      </c>
      <c r="N360" s="613" t="str">
        <f>INDEX(tblSubjectToLoan[Date],ROW()-ROW(tblContractForDeed[#Headers]))</f>
        <v xml:space="preserve"> </v>
      </c>
      <c r="O360" s="276">
        <f>IF(ROW()=ROW(tblContractForDeed[#Headers])+1,$O$6,IF(INDEX(tblContractForDeed[End Bal],ROW()-ROW(tblContractForDeed[#Headers])-1)&lt;0,0,INDEX(tblContractForDeed[End Bal],ROW()-ROW(tblContractForDeed[#Headers])-1)))</f>
        <v>0</v>
      </c>
      <c r="P360" s="454">
        <f>IF(tblContractForDeed[[#This Row],[Date]]="","",IF(tblContractForDeed[[#This Row],[Date]]&lt;cfdRateChangeDate,cfdRate1,cfdRate2))</f>
        <v>7.7499999999999999E-2</v>
      </c>
      <c r="Q3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467">
        <f>IF(INDEX(tblContractForDeed[Payment],ROW()-ROW(tblBuyerOutputs[#Headers]))=0,0,INDEX(tblContractForDeed[Payment],ROW()-ROW(tblBuyerOutputs[#Headers]))-INDEX(tblSubjectToLoan[Payment],ROW()-ROW(tblBuyerOutputs[#Headers])))</f>
        <v>0</v>
      </c>
      <c r="Z3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0" s="276">
        <f>IF(INDEX(tblContractForDeed[End Bal],ROW()-ROW(tblBuyerOutputs[#Headers]))&lt;=0,0,($O$6+IF(ROW()=ROW(tblBuyerOutputs[#Headers])+1,0,INDEX(tblBuyerOutputs[Cumul Appr],ROW()-ROW(tblBuyerOutputs[#Headers])-1)))*$AK$2/12)</f>
        <v>0</v>
      </c>
      <c r="AE360" s="276">
        <f>IF(INDEX(tblContractForDeed[End Bal],ROW()-ROW(tblBuyerOutputs[#Headers]))&lt;=0,0,IF(ROW()=ROW(tblBuyerOutputs[#Headers])+1,0,INDEX(tblBuyerOutputs[Cumul Appr],ROW()-ROW(tblBuyerOutputs[#Headers])-1))+tblBuyerOutputs[[#This Row],[Monthly Appr]])</f>
        <v>0</v>
      </c>
    </row>
    <row r="361" spans="1:31" x14ac:dyDescent="0.25">
      <c r="A361" s="613" t="str">
        <f t="shared" si="79"/>
        <v xml:space="preserve"> </v>
      </c>
      <c r="B361" s="276">
        <f t="shared" si="77"/>
        <v>0</v>
      </c>
      <c r="C361" s="14">
        <f t="shared" si="75"/>
        <v>0</v>
      </c>
      <c r="D361" s="14">
        <f t="shared" si="80"/>
        <v>0</v>
      </c>
      <c r="E361" s="14">
        <f t="shared" si="76"/>
        <v>0</v>
      </c>
      <c r="F361" s="14">
        <f t="shared" si="84"/>
        <v>134.16999999999999</v>
      </c>
      <c r="G361" s="14">
        <f t="shared" si="84"/>
        <v>188.55</v>
      </c>
      <c r="H361" s="14">
        <f t="shared" si="73"/>
        <v>322.72000000000003</v>
      </c>
      <c r="I361" s="276">
        <f t="shared" si="81"/>
        <v>98158.279999999955</v>
      </c>
      <c r="J361" s="276">
        <f t="shared" si="82"/>
        <v>35884.000000000022</v>
      </c>
      <c r="K361" s="276">
        <f t="shared" si="83"/>
        <v>0</v>
      </c>
      <c r="L361" s="394">
        <f t="shared" si="71"/>
        <v>28</v>
      </c>
      <c r="M361" s="394">
        <f t="shared" si="78"/>
        <v>341</v>
      </c>
      <c r="N361" s="613" t="str">
        <f>INDEX(tblSubjectToLoan[Date],ROW()-ROW(tblContractForDeed[#Headers]))</f>
        <v xml:space="preserve"> </v>
      </c>
      <c r="O361" s="276">
        <f>IF(ROW()=ROW(tblContractForDeed[#Headers])+1,$O$6,IF(INDEX(tblContractForDeed[End Bal],ROW()-ROW(tblContractForDeed[#Headers])-1)&lt;0,0,INDEX(tblContractForDeed[End Bal],ROW()-ROW(tblContractForDeed[#Headers])-1)))</f>
        <v>0</v>
      </c>
      <c r="P361" s="454">
        <f>IF(tblContractForDeed[[#This Row],[Date]]="","",IF(tblContractForDeed[[#This Row],[Date]]&lt;cfdRateChangeDate,cfdRate1,cfdRate2))</f>
        <v>7.7499999999999999E-2</v>
      </c>
      <c r="Q3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467">
        <f>IF(INDEX(tblContractForDeed[Payment],ROW()-ROW(tblBuyerOutputs[#Headers]))=0,0,INDEX(tblContractForDeed[Payment],ROW()-ROW(tblBuyerOutputs[#Headers]))-INDEX(tblSubjectToLoan[Payment],ROW()-ROW(tblBuyerOutputs[#Headers])))</f>
        <v>0</v>
      </c>
      <c r="Z3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1" s="276">
        <f>IF(INDEX(tblContractForDeed[End Bal],ROW()-ROW(tblBuyerOutputs[#Headers]))&lt;=0,0,($O$6+IF(ROW()=ROW(tblBuyerOutputs[#Headers])+1,0,INDEX(tblBuyerOutputs[Cumul Appr],ROW()-ROW(tblBuyerOutputs[#Headers])-1)))*$AK$2/12)</f>
        <v>0</v>
      </c>
      <c r="AE361" s="276">
        <f>IF(INDEX(tblContractForDeed[End Bal],ROW()-ROW(tblBuyerOutputs[#Headers]))&lt;=0,0,IF(ROW()=ROW(tblBuyerOutputs[#Headers])+1,0,INDEX(tblBuyerOutputs[Cumul Appr],ROW()-ROW(tblBuyerOutputs[#Headers])-1))+tblBuyerOutputs[[#This Row],[Monthly Appr]])</f>
        <v>0</v>
      </c>
    </row>
    <row r="362" spans="1:31" x14ac:dyDescent="0.25">
      <c r="A362" s="613" t="str">
        <f t="shared" si="79"/>
        <v xml:space="preserve"> </v>
      </c>
      <c r="B362" s="276">
        <f t="shared" si="77"/>
        <v>0</v>
      </c>
      <c r="C362" s="14">
        <f t="shared" si="75"/>
        <v>0</v>
      </c>
      <c r="D362" s="14">
        <f t="shared" si="80"/>
        <v>0</v>
      </c>
      <c r="E362" s="14">
        <f t="shared" si="76"/>
        <v>0</v>
      </c>
      <c r="F362" s="14">
        <f t="shared" si="84"/>
        <v>134.16999999999999</v>
      </c>
      <c r="G362" s="14">
        <f t="shared" si="84"/>
        <v>188.55</v>
      </c>
      <c r="H362" s="14">
        <f t="shared" si="73"/>
        <v>322.72000000000003</v>
      </c>
      <c r="I362" s="276">
        <f t="shared" si="81"/>
        <v>98158.279999999955</v>
      </c>
      <c r="J362" s="276">
        <f t="shared" si="82"/>
        <v>35884.000000000022</v>
      </c>
      <c r="K362" s="276">
        <f t="shared" si="83"/>
        <v>0</v>
      </c>
      <c r="L362" s="394">
        <f t="shared" si="71"/>
        <v>28</v>
      </c>
      <c r="M362" s="394">
        <f t="shared" si="78"/>
        <v>342</v>
      </c>
      <c r="N362" s="613" t="str">
        <f>INDEX(tblSubjectToLoan[Date],ROW()-ROW(tblContractForDeed[#Headers]))</f>
        <v xml:space="preserve"> </v>
      </c>
      <c r="O362" s="276">
        <f>IF(ROW()=ROW(tblContractForDeed[#Headers])+1,$O$6,IF(INDEX(tblContractForDeed[End Bal],ROW()-ROW(tblContractForDeed[#Headers])-1)&lt;0,0,INDEX(tblContractForDeed[End Bal],ROW()-ROW(tblContractForDeed[#Headers])-1)))</f>
        <v>0</v>
      </c>
      <c r="P362" s="454">
        <f>IF(tblContractForDeed[[#This Row],[Date]]="","",IF(tblContractForDeed[[#This Row],[Date]]&lt;cfdRateChangeDate,cfdRate1,cfdRate2))</f>
        <v>7.7499999999999999E-2</v>
      </c>
      <c r="Q3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467">
        <f>IF(INDEX(tblContractForDeed[Payment],ROW()-ROW(tblBuyerOutputs[#Headers]))=0,0,INDEX(tblContractForDeed[Payment],ROW()-ROW(tblBuyerOutputs[#Headers]))-INDEX(tblSubjectToLoan[Payment],ROW()-ROW(tblBuyerOutputs[#Headers])))</f>
        <v>0</v>
      </c>
      <c r="Z3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2" s="276">
        <f>IF(INDEX(tblContractForDeed[End Bal],ROW()-ROW(tblBuyerOutputs[#Headers]))&lt;=0,0,($O$6+IF(ROW()=ROW(tblBuyerOutputs[#Headers])+1,0,INDEX(tblBuyerOutputs[Cumul Appr],ROW()-ROW(tblBuyerOutputs[#Headers])-1)))*$AK$2/12)</f>
        <v>0</v>
      </c>
      <c r="AE362" s="276">
        <f>IF(INDEX(tblContractForDeed[End Bal],ROW()-ROW(tblBuyerOutputs[#Headers]))&lt;=0,0,IF(ROW()=ROW(tblBuyerOutputs[#Headers])+1,0,INDEX(tblBuyerOutputs[Cumul Appr],ROW()-ROW(tblBuyerOutputs[#Headers])-1))+tblBuyerOutputs[[#This Row],[Monthly Appr]])</f>
        <v>0</v>
      </c>
    </row>
    <row r="363" spans="1:31" x14ac:dyDescent="0.25">
      <c r="A363" s="613" t="str">
        <f t="shared" si="79"/>
        <v xml:space="preserve"> </v>
      </c>
      <c r="B363" s="276">
        <f t="shared" si="77"/>
        <v>0</v>
      </c>
      <c r="C363" s="14">
        <f t="shared" si="75"/>
        <v>0</v>
      </c>
      <c r="D363" s="14">
        <f t="shared" si="80"/>
        <v>0</v>
      </c>
      <c r="E363" s="14">
        <f t="shared" si="76"/>
        <v>0</v>
      </c>
      <c r="F363" s="14">
        <f t="shared" si="84"/>
        <v>134.16999999999999</v>
      </c>
      <c r="G363" s="14">
        <f t="shared" si="84"/>
        <v>188.55</v>
      </c>
      <c r="H363" s="14">
        <f t="shared" si="73"/>
        <v>322.72000000000003</v>
      </c>
      <c r="I363" s="276">
        <f t="shared" si="81"/>
        <v>98158.279999999955</v>
      </c>
      <c r="J363" s="276">
        <f t="shared" si="82"/>
        <v>35884.000000000022</v>
      </c>
      <c r="K363" s="276">
        <f t="shared" si="83"/>
        <v>0</v>
      </c>
      <c r="L363" s="394">
        <f t="shared" si="71"/>
        <v>28</v>
      </c>
      <c r="M363" s="394">
        <f t="shared" si="78"/>
        <v>343</v>
      </c>
      <c r="N363" s="613" t="str">
        <f>INDEX(tblSubjectToLoan[Date],ROW()-ROW(tblContractForDeed[#Headers]))</f>
        <v xml:space="preserve"> </v>
      </c>
      <c r="O363" s="276">
        <f>IF(ROW()=ROW(tblContractForDeed[#Headers])+1,$O$6,IF(INDEX(tblContractForDeed[End Bal],ROW()-ROW(tblContractForDeed[#Headers])-1)&lt;0,0,INDEX(tblContractForDeed[End Bal],ROW()-ROW(tblContractForDeed[#Headers])-1)))</f>
        <v>0</v>
      </c>
      <c r="P363" s="454">
        <f>IF(tblContractForDeed[[#This Row],[Date]]="","",IF(tblContractForDeed[[#This Row],[Date]]&lt;cfdRateChangeDate,cfdRate1,cfdRate2))</f>
        <v>7.7499999999999999E-2</v>
      </c>
      <c r="Q3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467">
        <f>IF(INDEX(tblContractForDeed[Payment],ROW()-ROW(tblBuyerOutputs[#Headers]))=0,0,INDEX(tblContractForDeed[Payment],ROW()-ROW(tblBuyerOutputs[#Headers]))-INDEX(tblSubjectToLoan[Payment],ROW()-ROW(tblBuyerOutputs[#Headers])))</f>
        <v>0</v>
      </c>
      <c r="Z3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3" s="276">
        <f>IF(INDEX(tblContractForDeed[End Bal],ROW()-ROW(tblBuyerOutputs[#Headers]))&lt;=0,0,($O$6+IF(ROW()=ROW(tblBuyerOutputs[#Headers])+1,0,INDEX(tblBuyerOutputs[Cumul Appr],ROW()-ROW(tblBuyerOutputs[#Headers])-1)))*$AK$2/12)</f>
        <v>0</v>
      </c>
      <c r="AE363" s="276">
        <f>IF(INDEX(tblContractForDeed[End Bal],ROW()-ROW(tblBuyerOutputs[#Headers]))&lt;=0,0,IF(ROW()=ROW(tblBuyerOutputs[#Headers])+1,0,INDEX(tblBuyerOutputs[Cumul Appr],ROW()-ROW(tblBuyerOutputs[#Headers])-1))+tblBuyerOutputs[[#This Row],[Monthly Appr]])</f>
        <v>0</v>
      </c>
    </row>
    <row r="364" spans="1:31" x14ac:dyDescent="0.25">
      <c r="A364" s="613" t="str">
        <f t="shared" si="79"/>
        <v xml:space="preserve"> </v>
      </c>
      <c r="B364" s="276">
        <f t="shared" si="77"/>
        <v>0</v>
      </c>
      <c r="C364" s="14">
        <f t="shared" si="75"/>
        <v>0</v>
      </c>
      <c r="D364" s="14">
        <f t="shared" si="80"/>
        <v>0</v>
      </c>
      <c r="E364" s="14">
        <f t="shared" si="76"/>
        <v>0</v>
      </c>
      <c r="F364" s="14">
        <f t="shared" si="84"/>
        <v>134.16999999999999</v>
      </c>
      <c r="G364" s="14">
        <f t="shared" si="84"/>
        <v>188.55</v>
      </c>
      <c r="H364" s="14">
        <f t="shared" si="73"/>
        <v>322.72000000000003</v>
      </c>
      <c r="I364" s="276">
        <f t="shared" si="81"/>
        <v>98158.279999999955</v>
      </c>
      <c r="J364" s="276">
        <f t="shared" si="82"/>
        <v>35884.000000000022</v>
      </c>
      <c r="K364" s="276">
        <f t="shared" si="83"/>
        <v>0</v>
      </c>
      <c r="L364" s="394">
        <f t="shared" si="71"/>
        <v>28</v>
      </c>
      <c r="M364" s="394">
        <f t="shared" si="78"/>
        <v>344</v>
      </c>
      <c r="N364" s="613" t="str">
        <f>INDEX(tblSubjectToLoan[Date],ROW()-ROW(tblContractForDeed[#Headers]))</f>
        <v xml:space="preserve"> </v>
      </c>
      <c r="O364" s="276">
        <f>IF(ROW()=ROW(tblContractForDeed[#Headers])+1,$O$6,IF(INDEX(tblContractForDeed[End Bal],ROW()-ROW(tblContractForDeed[#Headers])-1)&lt;0,0,INDEX(tblContractForDeed[End Bal],ROW()-ROW(tblContractForDeed[#Headers])-1)))</f>
        <v>0</v>
      </c>
      <c r="P364" s="454">
        <f>IF(tblContractForDeed[[#This Row],[Date]]="","",IF(tblContractForDeed[[#This Row],[Date]]&lt;cfdRateChangeDate,cfdRate1,cfdRate2))</f>
        <v>7.7499999999999999E-2</v>
      </c>
      <c r="Q3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467">
        <f>IF(INDEX(tblContractForDeed[Payment],ROW()-ROW(tblBuyerOutputs[#Headers]))=0,0,INDEX(tblContractForDeed[Payment],ROW()-ROW(tblBuyerOutputs[#Headers]))-INDEX(tblSubjectToLoan[Payment],ROW()-ROW(tblBuyerOutputs[#Headers])))</f>
        <v>0</v>
      </c>
      <c r="Z3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4" s="276">
        <f>IF(INDEX(tblContractForDeed[End Bal],ROW()-ROW(tblBuyerOutputs[#Headers]))&lt;=0,0,($O$6+IF(ROW()=ROW(tblBuyerOutputs[#Headers])+1,0,INDEX(tblBuyerOutputs[Cumul Appr],ROW()-ROW(tblBuyerOutputs[#Headers])-1)))*$AK$2/12)</f>
        <v>0</v>
      </c>
      <c r="AE364" s="276">
        <f>IF(INDEX(tblContractForDeed[End Bal],ROW()-ROW(tblBuyerOutputs[#Headers]))&lt;=0,0,IF(ROW()=ROW(tblBuyerOutputs[#Headers])+1,0,INDEX(tblBuyerOutputs[Cumul Appr],ROW()-ROW(tblBuyerOutputs[#Headers])-1))+tblBuyerOutputs[[#This Row],[Monthly Appr]])</f>
        <v>0</v>
      </c>
    </row>
    <row r="365" spans="1:31" x14ac:dyDescent="0.25">
      <c r="A365" s="613" t="str">
        <f t="shared" si="79"/>
        <v xml:space="preserve"> </v>
      </c>
      <c r="B365" s="276">
        <f t="shared" si="77"/>
        <v>0</v>
      </c>
      <c r="C365" s="14">
        <f t="shared" si="75"/>
        <v>0</v>
      </c>
      <c r="D365" s="14">
        <f t="shared" si="80"/>
        <v>0</v>
      </c>
      <c r="E365" s="14">
        <f t="shared" si="76"/>
        <v>0</v>
      </c>
      <c r="F365" s="14">
        <f t="shared" si="84"/>
        <v>134.16999999999999</v>
      </c>
      <c r="G365" s="14">
        <f t="shared" si="84"/>
        <v>188.55</v>
      </c>
      <c r="H365" s="14">
        <f t="shared" si="73"/>
        <v>322.72000000000003</v>
      </c>
      <c r="I365" s="276">
        <f t="shared" si="81"/>
        <v>98158.279999999955</v>
      </c>
      <c r="J365" s="276">
        <f t="shared" si="82"/>
        <v>35884.000000000022</v>
      </c>
      <c r="K365" s="276">
        <f t="shared" si="83"/>
        <v>0</v>
      </c>
      <c r="L365" s="394">
        <f t="shared" si="71"/>
        <v>28</v>
      </c>
      <c r="M365" s="394">
        <f t="shared" si="78"/>
        <v>345</v>
      </c>
      <c r="N365" s="613" t="str">
        <f>INDEX(tblSubjectToLoan[Date],ROW()-ROW(tblContractForDeed[#Headers]))</f>
        <v xml:space="preserve"> </v>
      </c>
      <c r="O365" s="276">
        <f>IF(ROW()=ROW(tblContractForDeed[#Headers])+1,$O$6,IF(INDEX(tblContractForDeed[End Bal],ROW()-ROW(tblContractForDeed[#Headers])-1)&lt;0,0,INDEX(tblContractForDeed[End Bal],ROW()-ROW(tblContractForDeed[#Headers])-1)))</f>
        <v>0</v>
      </c>
      <c r="P365" s="454">
        <f>IF(tblContractForDeed[[#This Row],[Date]]="","",IF(tblContractForDeed[[#This Row],[Date]]&lt;cfdRateChangeDate,cfdRate1,cfdRate2))</f>
        <v>7.7499999999999999E-2</v>
      </c>
      <c r="Q3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467">
        <f>IF(INDEX(tblContractForDeed[Payment],ROW()-ROW(tblBuyerOutputs[#Headers]))=0,0,INDEX(tblContractForDeed[Payment],ROW()-ROW(tblBuyerOutputs[#Headers]))-INDEX(tblSubjectToLoan[Payment],ROW()-ROW(tblBuyerOutputs[#Headers])))</f>
        <v>0</v>
      </c>
      <c r="Z3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5" s="276">
        <f>IF(INDEX(tblContractForDeed[End Bal],ROW()-ROW(tblBuyerOutputs[#Headers]))&lt;=0,0,($O$6+IF(ROW()=ROW(tblBuyerOutputs[#Headers])+1,0,INDEX(tblBuyerOutputs[Cumul Appr],ROW()-ROW(tblBuyerOutputs[#Headers])-1)))*$AK$2/12)</f>
        <v>0</v>
      </c>
      <c r="AE365" s="276">
        <f>IF(INDEX(tblContractForDeed[End Bal],ROW()-ROW(tblBuyerOutputs[#Headers]))&lt;=0,0,IF(ROW()=ROW(tblBuyerOutputs[#Headers])+1,0,INDEX(tblBuyerOutputs[Cumul Appr],ROW()-ROW(tblBuyerOutputs[#Headers])-1))+tblBuyerOutputs[[#This Row],[Monthly Appr]])</f>
        <v>0</v>
      </c>
    </row>
    <row r="366" spans="1:31" x14ac:dyDescent="0.25">
      <c r="A366" s="613" t="str">
        <f t="shared" si="79"/>
        <v xml:space="preserve"> </v>
      </c>
      <c r="B366" s="276">
        <f t="shared" si="77"/>
        <v>0</v>
      </c>
      <c r="C366" s="14">
        <f t="shared" si="75"/>
        <v>0</v>
      </c>
      <c r="D366" s="14">
        <f t="shared" si="80"/>
        <v>0</v>
      </c>
      <c r="E366" s="14">
        <f t="shared" si="76"/>
        <v>0</v>
      </c>
      <c r="F366" s="14">
        <f t="shared" si="84"/>
        <v>134.16999999999999</v>
      </c>
      <c r="G366" s="14">
        <f t="shared" si="84"/>
        <v>188.55</v>
      </c>
      <c r="H366" s="14">
        <f t="shared" si="73"/>
        <v>322.72000000000003</v>
      </c>
      <c r="I366" s="276">
        <f t="shared" si="81"/>
        <v>98158.279999999955</v>
      </c>
      <c r="J366" s="276">
        <f t="shared" si="82"/>
        <v>35884.000000000022</v>
      </c>
      <c r="K366" s="276">
        <f t="shared" si="83"/>
        <v>0</v>
      </c>
      <c r="L366" s="394">
        <f t="shared" si="71"/>
        <v>28</v>
      </c>
      <c r="M366" s="394">
        <f t="shared" si="78"/>
        <v>346</v>
      </c>
      <c r="N366" s="613" t="str">
        <f>INDEX(tblSubjectToLoan[Date],ROW()-ROW(tblContractForDeed[#Headers]))</f>
        <v xml:space="preserve"> </v>
      </c>
      <c r="O366" s="276">
        <f>IF(ROW()=ROW(tblContractForDeed[#Headers])+1,$O$6,IF(INDEX(tblContractForDeed[End Bal],ROW()-ROW(tblContractForDeed[#Headers])-1)&lt;0,0,INDEX(tblContractForDeed[End Bal],ROW()-ROW(tblContractForDeed[#Headers])-1)))</f>
        <v>0</v>
      </c>
      <c r="P366" s="454">
        <f>IF(tblContractForDeed[[#This Row],[Date]]="","",IF(tblContractForDeed[[#This Row],[Date]]&lt;cfdRateChangeDate,cfdRate1,cfdRate2))</f>
        <v>7.7499999999999999E-2</v>
      </c>
      <c r="Q3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467">
        <f>IF(INDEX(tblContractForDeed[Payment],ROW()-ROW(tblBuyerOutputs[#Headers]))=0,0,INDEX(tblContractForDeed[Payment],ROW()-ROW(tblBuyerOutputs[#Headers]))-INDEX(tblSubjectToLoan[Payment],ROW()-ROW(tblBuyerOutputs[#Headers])))</f>
        <v>0</v>
      </c>
      <c r="Z3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6" s="276">
        <f>IF(INDEX(tblContractForDeed[End Bal],ROW()-ROW(tblBuyerOutputs[#Headers]))&lt;=0,0,($O$6+IF(ROW()=ROW(tblBuyerOutputs[#Headers])+1,0,INDEX(tblBuyerOutputs[Cumul Appr],ROW()-ROW(tblBuyerOutputs[#Headers])-1)))*$AK$2/12)</f>
        <v>0</v>
      </c>
      <c r="AE366" s="276">
        <f>IF(INDEX(tblContractForDeed[End Bal],ROW()-ROW(tblBuyerOutputs[#Headers]))&lt;=0,0,IF(ROW()=ROW(tblBuyerOutputs[#Headers])+1,0,INDEX(tblBuyerOutputs[Cumul Appr],ROW()-ROW(tblBuyerOutputs[#Headers])-1))+tblBuyerOutputs[[#This Row],[Monthly Appr]])</f>
        <v>0</v>
      </c>
    </row>
    <row r="367" spans="1:31" ht="15.75" thickBot="1" x14ac:dyDescent="0.3">
      <c r="A367" s="615" t="str">
        <f t="shared" si="79"/>
        <v xml:space="preserve"> </v>
      </c>
      <c r="B367" s="332">
        <f t="shared" si="77"/>
        <v>0</v>
      </c>
      <c r="C367" s="21">
        <f t="shared" si="75"/>
        <v>0</v>
      </c>
      <c r="D367" s="21">
        <f t="shared" si="80"/>
        <v>0</v>
      </c>
      <c r="E367" s="21">
        <f t="shared" si="76"/>
        <v>0</v>
      </c>
      <c r="F367" s="21">
        <f t="shared" ref="F367:G382" si="85">+F366</f>
        <v>134.16999999999999</v>
      </c>
      <c r="G367" s="21">
        <f t="shared" si="85"/>
        <v>188.55</v>
      </c>
      <c r="H367" s="21">
        <f t="shared" si="73"/>
        <v>322.72000000000003</v>
      </c>
      <c r="I367" s="332">
        <f t="shared" si="81"/>
        <v>98158.279999999955</v>
      </c>
      <c r="J367" s="332">
        <f t="shared" si="82"/>
        <v>35884.000000000022</v>
      </c>
      <c r="K367" s="332">
        <f t="shared" si="83"/>
        <v>0</v>
      </c>
      <c r="L367" s="395">
        <f t="shared" si="71"/>
        <v>28</v>
      </c>
      <c r="M367" s="395">
        <f t="shared" si="78"/>
        <v>347</v>
      </c>
      <c r="N367" s="615" t="str">
        <f>INDEX(tblSubjectToLoan[Date],ROW()-ROW(tblContractForDeed[#Headers]))</f>
        <v xml:space="preserve"> </v>
      </c>
      <c r="O367" s="332">
        <f>IF(ROW()=ROW(tblContractForDeed[#Headers])+1,$O$6,IF(INDEX(tblContractForDeed[End Bal],ROW()-ROW(tblContractForDeed[#Headers])-1)&lt;0,0,INDEX(tblContractForDeed[End Bal],ROW()-ROW(tblContractForDeed[#Headers])-1)))</f>
        <v>0</v>
      </c>
      <c r="P367" s="454">
        <f>IF(tblContractForDeed[[#This Row],[Date]]="","",IF(tblContractForDeed[[#This Row],[Date]]&lt;cfdRateChangeDate,cfdRate1,cfdRate2))</f>
        <v>7.7499999999999999E-2</v>
      </c>
      <c r="Q3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468">
        <f>IF(INDEX(tblContractForDeed[Payment],ROW()-ROW(tblBuyerOutputs[#Headers]))=0,0,INDEX(tblContractForDeed[Payment],ROW()-ROW(tblBuyerOutputs[#Headers]))-INDEX(tblSubjectToLoan[Payment],ROW()-ROW(tblBuyerOutputs[#Headers])))</f>
        <v>0</v>
      </c>
      <c r="Z3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7" s="332">
        <f>IF(INDEX(tblContractForDeed[End Bal],ROW()-ROW(tblBuyerOutputs[#Headers]))&lt;=0,0,($O$6+IF(ROW()=ROW(tblBuyerOutputs[#Headers])+1,0,INDEX(tblBuyerOutputs[Cumul Appr],ROW()-ROW(tblBuyerOutputs[#Headers])-1)))*$AK$2/12)</f>
        <v>0</v>
      </c>
      <c r="AE367" s="332">
        <f>IF(INDEX(tblContractForDeed[End Bal],ROW()-ROW(tblBuyerOutputs[#Headers]))&lt;=0,0,IF(ROW()=ROW(tblBuyerOutputs[#Headers])+1,0,INDEX(tblBuyerOutputs[Cumul Appr],ROW()-ROW(tblBuyerOutputs[#Headers])-1))+tblBuyerOutputs[[#This Row],[Monthly Appr]])</f>
        <v>0</v>
      </c>
    </row>
    <row r="368" spans="1:31" x14ac:dyDescent="0.25">
      <c r="A368" s="613" t="str">
        <f t="shared" si="79"/>
        <v xml:space="preserve"> </v>
      </c>
      <c r="B368" s="276">
        <f t="shared" si="77"/>
        <v>0</v>
      </c>
      <c r="C368" s="14">
        <f t="shared" si="75"/>
        <v>0</v>
      </c>
      <c r="D368" s="14">
        <f t="shared" si="80"/>
        <v>0</v>
      </c>
      <c r="E368" s="14">
        <f t="shared" si="76"/>
        <v>0</v>
      </c>
      <c r="F368" s="14">
        <f t="shared" si="85"/>
        <v>134.16999999999999</v>
      </c>
      <c r="G368" s="14">
        <f t="shared" si="85"/>
        <v>188.55</v>
      </c>
      <c r="H368" s="14">
        <f t="shared" si="73"/>
        <v>322.72000000000003</v>
      </c>
      <c r="I368" s="276">
        <f t="shared" si="81"/>
        <v>98158.279999999955</v>
      </c>
      <c r="J368" s="276">
        <f t="shared" si="82"/>
        <v>35884.000000000022</v>
      </c>
      <c r="K368" s="276">
        <f t="shared" si="83"/>
        <v>0</v>
      </c>
      <c r="L368" s="394">
        <f t="shared" si="71"/>
        <v>29</v>
      </c>
      <c r="M368" s="394">
        <f t="shared" si="78"/>
        <v>348</v>
      </c>
      <c r="N368" s="613" t="str">
        <f>INDEX(tblSubjectToLoan[Date],ROW()-ROW(tblContractForDeed[#Headers]))</f>
        <v xml:space="preserve"> </v>
      </c>
      <c r="O368" s="276">
        <f>IF(ROW()=ROW(tblContractForDeed[#Headers])+1,$O$6,IF(INDEX(tblContractForDeed[End Bal],ROW()-ROW(tblContractForDeed[#Headers])-1)&lt;0,0,INDEX(tblContractForDeed[End Bal],ROW()-ROW(tblContractForDeed[#Headers])-1)))</f>
        <v>0</v>
      </c>
      <c r="P368" s="454">
        <f>IF(tblContractForDeed[[#This Row],[Date]]="","",IF(tblContractForDeed[[#This Row],[Date]]&lt;cfdRateChangeDate,cfdRate1,cfdRate2))</f>
        <v>7.7499999999999999E-2</v>
      </c>
      <c r="Q3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467">
        <f>IF(INDEX(tblContractForDeed[Payment],ROW()-ROW(tblBuyerOutputs[#Headers]))=0,0,INDEX(tblContractForDeed[Payment],ROW()-ROW(tblBuyerOutputs[#Headers]))-INDEX(tblSubjectToLoan[Payment],ROW()-ROW(tblBuyerOutputs[#Headers])))</f>
        <v>0</v>
      </c>
      <c r="Z3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8" s="276">
        <f>IF(INDEX(tblContractForDeed[End Bal],ROW()-ROW(tblBuyerOutputs[#Headers]))&lt;=0,0,($O$6+IF(ROW()=ROW(tblBuyerOutputs[#Headers])+1,0,INDEX(tblBuyerOutputs[Cumul Appr],ROW()-ROW(tblBuyerOutputs[#Headers])-1)))*$AK$2/12)</f>
        <v>0</v>
      </c>
      <c r="AE368" s="276">
        <f>IF(INDEX(tblContractForDeed[End Bal],ROW()-ROW(tblBuyerOutputs[#Headers]))&lt;=0,0,IF(ROW()=ROW(tblBuyerOutputs[#Headers])+1,0,INDEX(tblBuyerOutputs[Cumul Appr],ROW()-ROW(tblBuyerOutputs[#Headers])-1))+tblBuyerOutputs[[#This Row],[Monthly Appr]])</f>
        <v>0</v>
      </c>
    </row>
    <row r="369" spans="1:31" x14ac:dyDescent="0.25">
      <c r="A369" s="613" t="str">
        <f t="shared" si="79"/>
        <v xml:space="preserve"> </v>
      </c>
      <c r="B369" s="276">
        <f t="shared" si="77"/>
        <v>0</v>
      </c>
      <c r="C369" s="14">
        <f t="shared" si="75"/>
        <v>0</v>
      </c>
      <c r="D369" s="14">
        <f t="shared" si="80"/>
        <v>0</v>
      </c>
      <c r="E369" s="14">
        <f t="shared" si="76"/>
        <v>0</v>
      </c>
      <c r="F369" s="14">
        <f t="shared" si="85"/>
        <v>134.16999999999999</v>
      </c>
      <c r="G369" s="14">
        <f t="shared" si="85"/>
        <v>188.55</v>
      </c>
      <c r="H369" s="14">
        <f t="shared" si="73"/>
        <v>322.72000000000003</v>
      </c>
      <c r="I369" s="276">
        <f t="shared" si="81"/>
        <v>98158.279999999955</v>
      </c>
      <c r="J369" s="276">
        <f t="shared" si="82"/>
        <v>35884.000000000022</v>
      </c>
      <c r="K369" s="276">
        <f t="shared" si="83"/>
        <v>0</v>
      </c>
      <c r="L369" s="394">
        <f t="shared" si="71"/>
        <v>29</v>
      </c>
      <c r="M369" s="394">
        <f t="shared" si="78"/>
        <v>349</v>
      </c>
      <c r="N369" s="613" t="str">
        <f>INDEX(tblSubjectToLoan[Date],ROW()-ROW(tblContractForDeed[#Headers]))</f>
        <v xml:space="preserve"> </v>
      </c>
      <c r="O369" s="276">
        <f>IF(ROW()=ROW(tblContractForDeed[#Headers])+1,$O$6,IF(INDEX(tblContractForDeed[End Bal],ROW()-ROW(tblContractForDeed[#Headers])-1)&lt;0,0,INDEX(tblContractForDeed[End Bal],ROW()-ROW(tblContractForDeed[#Headers])-1)))</f>
        <v>0</v>
      </c>
      <c r="P369" s="454">
        <f>IF(tblContractForDeed[[#This Row],[Date]]="","",IF(tblContractForDeed[[#This Row],[Date]]&lt;cfdRateChangeDate,cfdRate1,cfdRate2))</f>
        <v>7.7499999999999999E-2</v>
      </c>
      <c r="Q3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467">
        <f>IF(INDEX(tblContractForDeed[Payment],ROW()-ROW(tblBuyerOutputs[#Headers]))=0,0,INDEX(tblContractForDeed[Payment],ROW()-ROW(tblBuyerOutputs[#Headers]))-INDEX(tblSubjectToLoan[Payment],ROW()-ROW(tblBuyerOutputs[#Headers])))</f>
        <v>0</v>
      </c>
      <c r="Z3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9" s="276">
        <f>IF(INDEX(tblContractForDeed[End Bal],ROW()-ROW(tblBuyerOutputs[#Headers]))&lt;=0,0,($O$6+IF(ROW()=ROW(tblBuyerOutputs[#Headers])+1,0,INDEX(tblBuyerOutputs[Cumul Appr],ROW()-ROW(tblBuyerOutputs[#Headers])-1)))*$AK$2/12)</f>
        <v>0</v>
      </c>
      <c r="AE369" s="276">
        <f>IF(INDEX(tblContractForDeed[End Bal],ROW()-ROW(tblBuyerOutputs[#Headers]))&lt;=0,0,IF(ROW()=ROW(tblBuyerOutputs[#Headers])+1,0,INDEX(tblBuyerOutputs[Cumul Appr],ROW()-ROW(tblBuyerOutputs[#Headers])-1))+tblBuyerOutputs[[#This Row],[Monthly Appr]])</f>
        <v>0</v>
      </c>
    </row>
    <row r="370" spans="1:31" x14ac:dyDescent="0.25">
      <c r="A370" s="613" t="str">
        <f t="shared" si="79"/>
        <v xml:space="preserve"> </v>
      </c>
      <c r="B370" s="276">
        <f t="shared" si="77"/>
        <v>0</v>
      </c>
      <c r="C370" s="14">
        <f t="shared" si="75"/>
        <v>0</v>
      </c>
      <c r="D370" s="14">
        <f t="shared" si="80"/>
        <v>0</v>
      </c>
      <c r="E370" s="14">
        <f t="shared" si="76"/>
        <v>0</v>
      </c>
      <c r="F370" s="14">
        <f t="shared" si="85"/>
        <v>134.16999999999999</v>
      </c>
      <c r="G370" s="14">
        <f t="shared" si="85"/>
        <v>188.55</v>
      </c>
      <c r="H370" s="14">
        <f t="shared" si="73"/>
        <v>322.72000000000003</v>
      </c>
      <c r="I370" s="276">
        <f t="shared" si="81"/>
        <v>98158.279999999955</v>
      </c>
      <c r="J370" s="276">
        <f t="shared" si="82"/>
        <v>35884.000000000022</v>
      </c>
      <c r="K370" s="276">
        <f t="shared" si="83"/>
        <v>0</v>
      </c>
      <c r="L370" s="394">
        <f t="shared" si="71"/>
        <v>29</v>
      </c>
      <c r="M370" s="394">
        <f t="shared" si="78"/>
        <v>350</v>
      </c>
      <c r="N370" s="613" t="str">
        <f>INDEX(tblSubjectToLoan[Date],ROW()-ROW(tblContractForDeed[#Headers]))</f>
        <v xml:space="preserve"> </v>
      </c>
      <c r="O370" s="276">
        <f>IF(ROW()=ROW(tblContractForDeed[#Headers])+1,$O$6,IF(INDEX(tblContractForDeed[End Bal],ROW()-ROW(tblContractForDeed[#Headers])-1)&lt;0,0,INDEX(tblContractForDeed[End Bal],ROW()-ROW(tblContractForDeed[#Headers])-1)))</f>
        <v>0</v>
      </c>
      <c r="P370" s="454">
        <f>IF(tblContractForDeed[[#This Row],[Date]]="","",IF(tblContractForDeed[[#This Row],[Date]]&lt;cfdRateChangeDate,cfdRate1,cfdRate2))</f>
        <v>7.7499999999999999E-2</v>
      </c>
      <c r="Q3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467">
        <f>IF(INDEX(tblContractForDeed[Payment],ROW()-ROW(tblBuyerOutputs[#Headers]))=0,0,INDEX(tblContractForDeed[Payment],ROW()-ROW(tblBuyerOutputs[#Headers]))-INDEX(tblSubjectToLoan[Payment],ROW()-ROW(tblBuyerOutputs[#Headers])))</f>
        <v>0</v>
      </c>
      <c r="Z3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0" s="276">
        <f>IF(INDEX(tblContractForDeed[End Bal],ROW()-ROW(tblBuyerOutputs[#Headers]))&lt;=0,0,($O$6+IF(ROW()=ROW(tblBuyerOutputs[#Headers])+1,0,INDEX(tblBuyerOutputs[Cumul Appr],ROW()-ROW(tblBuyerOutputs[#Headers])-1)))*$AK$2/12)</f>
        <v>0</v>
      </c>
      <c r="AE370" s="276">
        <f>IF(INDEX(tblContractForDeed[End Bal],ROW()-ROW(tblBuyerOutputs[#Headers]))&lt;=0,0,IF(ROW()=ROW(tblBuyerOutputs[#Headers])+1,0,INDEX(tblBuyerOutputs[Cumul Appr],ROW()-ROW(tblBuyerOutputs[#Headers])-1))+tblBuyerOutputs[[#This Row],[Monthly Appr]])</f>
        <v>0</v>
      </c>
    </row>
    <row r="371" spans="1:31" x14ac:dyDescent="0.25">
      <c r="A371" s="613" t="str">
        <f t="shared" si="79"/>
        <v xml:space="preserve"> </v>
      </c>
      <c r="B371" s="276">
        <f t="shared" si="77"/>
        <v>0</v>
      </c>
      <c r="C371" s="14">
        <f t="shared" si="75"/>
        <v>0</v>
      </c>
      <c r="D371" s="14">
        <f t="shared" si="80"/>
        <v>0</v>
      </c>
      <c r="E371" s="14">
        <f t="shared" si="76"/>
        <v>0</v>
      </c>
      <c r="F371" s="14">
        <f t="shared" si="85"/>
        <v>134.16999999999999</v>
      </c>
      <c r="G371" s="14">
        <f t="shared" si="85"/>
        <v>188.55</v>
      </c>
      <c r="H371" s="14">
        <f t="shared" si="73"/>
        <v>322.72000000000003</v>
      </c>
      <c r="I371" s="276">
        <f t="shared" si="81"/>
        <v>98158.279999999955</v>
      </c>
      <c r="J371" s="276">
        <f t="shared" si="82"/>
        <v>35884.000000000022</v>
      </c>
      <c r="K371" s="276">
        <f t="shared" si="83"/>
        <v>0</v>
      </c>
      <c r="L371" s="394">
        <f t="shared" si="71"/>
        <v>29</v>
      </c>
      <c r="M371" s="394">
        <f t="shared" si="78"/>
        <v>351</v>
      </c>
      <c r="N371" s="613" t="str">
        <f>INDEX(tblSubjectToLoan[Date],ROW()-ROW(tblContractForDeed[#Headers]))</f>
        <v xml:space="preserve"> </v>
      </c>
      <c r="O371" s="276">
        <f>IF(ROW()=ROW(tblContractForDeed[#Headers])+1,$O$6,IF(INDEX(tblContractForDeed[End Bal],ROW()-ROW(tblContractForDeed[#Headers])-1)&lt;0,0,INDEX(tblContractForDeed[End Bal],ROW()-ROW(tblContractForDeed[#Headers])-1)))</f>
        <v>0</v>
      </c>
      <c r="P371" s="454">
        <f>IF(tblContractForDeed[[#This Row],[Date]]="","",IF(tblContractForDeed[[#This Row],[Date]]&lt;cfdRateChangeDate,cfdRate1,cfdRate2))</f>
        <v>7.7499999999999999E-2</v>
      </c>
      <c r="Q3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467">
        <f>IF(INDEX(tblContractForDeed[Payment],ROW()-ROW(tblBuyerOutputs[#Headers]))=0,0,INDEX(tblContractForDeed[Payment],ROW()-ROW(tblBuyerOutputs[#Headers]))-INDEX(tblSubjectToLoan[Payment],ROW()-ROW(tblBuyerOutputs[#Headers])))</f>
        <v>0</v>
      </c>
      <c r="Z3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1" s="276">
        <f>IF(INDEX(tblContractForDeed[End Bal],ROW()-ROW(tblBuyerOutputs[#Headers]))&lt;=0,0,($O$6+IF(ROW()=ROW(tblBuyerOutputs[#Headers])+1,0,INDEX(tblBuyerOutputs[Cumul Appr],ROW()-ROW(tblBuyerOutputs[#Headers])-1)))*$AK$2/12)</f>
        <v>0</v>
      </c>
      <c r="AE371" s="276">
        <f>IF(INDEX(tblContractForDeed[End Bal],ROW()-ROW(tblBuyerOutputs[#Headers]))&lt;=0,0,IF(ROW()=ROW(tblBuyerOutputs[#Headers])+1,0,INDEX(tblBuyerOutputs[Cumul Appr],ROW()-ROW(tblBuyerOutputs[#Headers])-1))+tblBuyerOutputs[[#This Row],[Monthly Appr]])</f>
        <v>0</v>
      </c>
    </row>
    <row r="372" spans="1:31" x14ac:dyDescent="0.25">
      <c r="A372" s="613" t="str">
        <f t="shared" si="79"/>
        <v xml:space="preserve"> </v>
      </c>
      <c r="B372" s="276">
        <f t="shared" si="77"/>
        <v>0</v>
      </c>
      <c r="C372" s="14">
        <f t="shared" si="75"/>
        <v>0</v>
      </c>
      <c r="D372" s="14">
        <f t="shared" si="80"/>
        <v>0</v>
      </c>
      <c r="E372" s="14">
        <f t="shared" si="76"/>
        <v>0</v>
      </c>
      <c r="F372" s="14">
        <f t="shared" si="85"/>
        <v>134.16999999999999</v>
      </c>
      <c r="G372" s="14">
        <f t="shared" si="85"/>
        <v>188.55</v>
      </c>
      <c r="H372" s="14">
        <f t="shared" si="73"/>
        <v>322.72000000000003</v>
      </c>
      <c r="I372" s="276">
        <f t="shared" si="81"/>
        <v>98158.279999999955</v>
      </c>
      <c r="J372" s="276">
        <f t="shared" si="82"/>
        <v>35884.000000000022</v>
      </c>
      <c r="K372" s="276">
        <f t="shared" si="83"/>
        <v>0</v>
      </c>
      <c r="L372" s="394">
        <f t="shared" ref="L372:L435" si="86">IF(MOD(M372,12)=0,M372/12,L371)</f>
        <v>29</v>
      </c>
      <c r="M372" s="394">
        <f t="shared" si="78"/>
        <v>352</v>
      </c>
      <c r="N372" s="613" t="str">
        <f>INDEX(tblSubjectToLoan[Date],ROW()-ROW(tblContractForDeed[#Headers]))</f>
        <v xml:space="preserve"> </v>
      </c>
      <c r="O372" s="276">
        <f>IF(ROW()=ROW(tblContractForDeed[#Headers])+1,$O$6,IF(INDEX(tblContractForDeed[End Bal],ROW()-ROW(tblContractForDeed[#Headers])-1)&lt;0,0,INDEX(tblContractForDeed[End Bal],ROW()-ROW(tblContractForDeed[#Headers])-1)))</f>
        <v>0</v>
      </c>
      <c r="P372" s="454">
        <f>IF(tblContractForDeed[[#This Row],[Date]]="","",IF(tblContractForDeed[[#This Row],[Date]]&lt;cfdRateChangeDate,cfdRate1,cfdRate2))</f>
        <v>7.7499999999999999E-2</v>
      </c>
      <c r="Q3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467">
        <f>IF(INDEX(tblContractForDeed[Payment],ROW()-ROW(tblBuyerOutputs[#Headers]))=0,0,INDEX(tblContractForDeed[Payment],ROW()-ROW(tblBuyerOutputs[#Headers]))-INDEX(tblSubjectToLoan[Payment],ROW()-ROW(tblBuyerOutputs[#Headers])))</f>
        <v>0</v>
      </c>
      <c r="Z3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2" s="276">
        <f>IF(INDEX(tblContractForDeed[End Bal],ROW()-ROW(tblBuyerOutputs[#Headers]))&lt;=0,0,($O$6+IF(ROW()=ROW(tblBuyerOutputs[#Headers])+1,0,INDEX(tblBuyerOutputs[Cumul Appr],ROW()-ROW(tblBuyerOutputs[#Headers])-1)))*$AK$2/12)</f>
        <v>0</v>
      </c>
      <c r="AE372" s="276">
        <f>IF(INDEX(tblContractForDeed[End Bal],ROW()-ROW(tblBuyerOutputs[#Headers]))&lt;=0,0,IF(ROW()=ROW(tblBuyerOutputs[#Headers])+1,0,INDEX(tblBuyerOutputs[Cumul Appr],ROW()-ROW(tblBuyerOutputs[#Headers])-1))+tblBuyerOutputs[[#This Row],[Monthly Appr]])</f>
        <v>0</v>
      </c>
    </row>
    <row r="373" spans="1:31" x14ac:dyDescent="0.25">
      <c r="A373" s="613" t="str">
        <f t="shared" si="79"/>
        <v xml:space="preserve"> </v>
      </c>
      <c r="B373" s="276">
        <f t="shared" si="77"/>
        <v>0</v>
      </c>
      <c r="C373" s="14">
        <f t="shared" si="75"/>
        <v>0</v>
      </c>
      <c r="D373" s="14">
        <f t="shared" si="80"/>
        <v>0</v>
      </c>
      <c r="E373" s="14">
        <f t="shared" si="76"/>
        <v>0</v>
      </c>
      <c r="F373" s="14">
        <f t="shared" si="85"/>
        <v>134.16999999999999</v>
      </c>
      <c r="G373" s="14">
        <f t="shared" si="85"/>
        <v>188.55</v>
      </c>
      <c r="H373" s="14">
        <f t="shared" si="73"/>
        <v>322.72000000000003</v>
      </c>
      <c r="I373" s="276">
        <f t="shared" si="81"/>
        <v>98158.279999999955</v>
      </c>
      <c r="J373" s="276">
        <f t="shared" si="82"/>
        <v>35884.000000000022</v>
      </c>
      <c r="K373" s="276">
        <f t="shared" si="83"/>
        <v>0</v>
      </c>
      <c r="L373" s="394">
        <f t="shared" si="86"/>
        <v>29</v>
      </c>
      <c r="M373" s="394">
        <f t="shared" si="78"/>
        <v>353</v>
      </c>
      <c r="N373" s="613" t="str">
        <f>INDEX(tblSubjectToLoan[Date],ROW()-ROW(tblContractForDeed[#Headers]))</f>
        <v xml:space="preserve"> </v>
      </c>
      <c r="O373" s="276">
        <f>IF(ROW()=ROW(tblContractForDeed[#Headers])+1,$O$6,IF(INDEX(tblContractForDeed[End Bal],ROW()-ROW(tblContractForDeed[#Headers])-1)&lt;0,0,INDEX(tblContractForDeed[End Bal],ROW()-ROW(tblContractForDeed[#Headers])-1)))</f>
        <v>0</v>
      </c>
      <c r="P373" s="454">
        <f>IF(tblContractForDeed[[#This Row],[Date]]="","",IF(tblContractForDeed[[#This Row],[Date]]&lt;cfdRateChangeDate,cfdRate1,cfdRate2))</f>
        <v>7.7499999999999999E-2</v>
      </c>
      <c r="Q3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467">
        <f>IF(INDEX(tblContractForDeed[Payment],ROW()-ROW(tblBuyerOutputs[#Headers]))=0,0,INDEX(tblContractForDeed[Payment],ROW()-ROW(tblBuyerOutputs[#Headers]))-INDEX(tblSubjectToLoan[Payment],ROW()-ROW(tblBuyerOutputs[#Headers])))</f>
        <v>0</v>
      </c>
      <c r="Z3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3" s="276">
        <f>IF(INDEX(tblContractForDeed[End Bal],ROW()-ROW(tblBuyerOutputs[#Headers]))&lt;=0,0,($O$6+IF(ROW()=ROW(tblBuyerOutputs[#Headers])+1,0,INDEX(tblBuyerOutputs[Cumul Appr],ROW()-ROW(tblBuyerOutputs[#Headers])-1)))*$AK$2/12)</f>
        <v>0</v>
      </c>
      <c r="AE373" s="276">
        <f>IF(INDEX(tblContractForDeed[End Bal],ROW()-ROW(tblBuyerOutputs[#Headers]))&lt;=0,0,IF(ROW()=ROW(tblBuyerOutputs[#Headers])+1,0,INDEX(tblBuyerOutputs[Cumul Appr],ROW()-ROW(tblBuyerOutputs[#Headers])-1))+tblBuyerOutputs[[#This Row],[Monthly Appr]])</f>
        <v>0</v>
      </c>
    </row>
    <row r="374" spans="1:31" x14ac:dyDescent="0.25">
      <c r="A374" s="613" t="str">
        <f t="shared" si="79"/>
        <v xml:space="preserve"> </v>
      </c>
      <c r="B374" s="276">
        <f t="shared" si="77"/>
        <v>0</v>
      </c>
      <c r="C374" s="14">
        <f t="shared" si="75"/>
        <v>0</v>
      </c>
      <c r="D374" s="14">
        <f t="shared" si="80"/>
        <v>0</v>
      </c>
      <c r="E374" s="14">
        <f t="shared" si="76"/>
        <v>0</v>
      </c>
      <c r="F374" s="14">
        <f t="shared" si="85"/>
        <v>134.16999999999999</v>
      </c>
      <c r="G374" s="14">
        <f t="shared" si="85"/>
        <v>188.55</v>
      </c>
      <c r="H374" s="14">
        <f t="shared" si="73"/>
        <v>322.72000000000003</v>
      </c>
      <c r="I374" s="276">
        <f t="shared" si="81"/>
        <v>98158.279999999955</v>
      </c>
      <c r="J374" s="276">
        <f t="shared" si="82"/>
        <v>35884.000000000022</v>
      </c>
      <c r="K374" s="276">
        <f t="shared" si="83"/>
        <v>0</v>
      </c>
      <c r="L374" s="394">
        <f t="shared" si="86"/>
        <v>29</v>
      </c>
      <c r="M374" s="394">
        <f t="shared" si="78"/>
        <v>354</v>
      </c>
      <c r="N374" s="613" t="str">
        <f>INDEX(tblSubjectToLoan[Date],ROW()-ROW(tblContractForDeed[#Headers]))</f>
        <v xml:space="preserve"> </v>
      </c>
      <c r="O374" s="276">
        <f>IF(ROW()=ROW(tblContractForDeed[#Headers])+1,$O$6,IF(INDEX(tblContractForDeed[End Bal],ROW()-ROW(tblContractForDeed[#Headers])-1)&lt;0,0,INDEX(tblContractForDeed[End Bal],ROW()-ROW(tblContractForDeed[#Headers])-1)))</f>
        <v>0</v>
      </c>
      <c r="P374" s="454">
        <f>IF(tblContractForDeed[[#This Row],[Date]]="","",IF(tblContractForDeed[[#This Row],[Date]]&lt;cfdRateChangeDate,cfdRate1,cfdRate2))</f>
        <v>7.7499999999999999E-2</v>
      </c>
      <c r="Q3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467">
        <f>IF(INDEX(tblContractForDeed[Payment],ROW()-ROW(tblBuyerOutputs[#Headers]))=0,0,INDEX(tblContractForDeed[Payment],ROW()-ROW(tblBuyerOutputs[#Headers]))-INDEX(tblSubjectToLoan[Payment],ROW()-ROW(tblBuyerOutputs[#Headers])))</f>
        <v>0</v>
      </c>
      <c r="Z3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4" s="276">
        <f>IF(INDEX(tblContractForDeed[End Bal],ROW()-ROW(tblBuyerOutputs[#Headers]))&lt;=0,0,($O$6+IF(ROW()=ROW(tblBuyerOutputs[#Headers])+1,0,INDEX(tblBuyerOutputs[Cumul Appr],ROW()-ROW(tblBuyerOutputs[#Headers])-1)))*$AK$2/12)</f>
        <v>0</v>
      </c>
      <c r="AE374" s="276">
        <f>IF(INDEX(tblContractForDeed[End Bal],ROW()-ROW(tblBuyerOutputs[#Headers]))&lt;=0,0,IF(ROW()=ROW(tblBuyerOutputs[#Headers])+1,0,INDEX(tblBuyerOutputs[Cumul Appr],ROW()-ROW(tblBuyerOutputs[#Headers])-1))+tblBuyerOutputs[[#This Row],[Monthly Appr]])</f>
        <v>0</v>
      </c>
    </row>
    <row r="375" spans="1:31" x14ac:dyDescent="0.25">
      <c r="A375" s="613" t="str">
        <f t="shared" si="79"/>
        <v xml:space="preserve"> </v>
      </c>
      <c r="B375" s="276">
        <f t="shared" si="77"/>
        <v>0</v>
      </c>
      <c r="C375" s="14">
        <f t="shared" si="75"/>
        <v>0</v>
      </c>
      <c r="D375" s="14">
        <f t="shared" si="80"/>
        <v>0</v>
      </c>
      <c r="E375" s="14">
        <f t="shared" si="76"/>
        <v>0</v>
      </c>
      <c r="F375" s="14">
        <f t="shared" si="85"/>
        <v>134.16999999999999</v>
      </c>
      <c r="G375" s="14">
        <f t="shared" si="85"/>
        <v>188.55</v>
      </c>
      <c r="H375" s="14">
        <f t="shared" si="73"/>
        <v>322.72000000000003</v>
      </c>
      <c r="I375" s="276">
        <f t="shared" si="81"/>
        <v>98158.279999999955</v>
      </c>
      <c r="J375" s="276">
        <f t="shared" si="82"/>
        <v>35884.000000000022</v>
      </c>
      <c r="K375" s="276">
        <f t="shared" si="83"/>
        <v>0</v>
      </c>
      <c r="L375" s="394">
        <f t="shared" si="86"/>
        <v>29</v>
      </c>
      <c r="M375" s="394">
        <f t="shared" si="78"/>
        <v>355</v>
      </c>
      <c r="N375" s="613" t="str">
        <f>INDEX(tblSubjectToLoan[Date],ROW()-ROW(tblContractForDeed[#Headers]))</f>
        <v xml:space="preserve"> </v>
      </c>
      <c r="O375" s="276">
        <f>IF(ROW()=ROW(tblContractForDeed[#Headers])+1,$O$6,IF(INDEX(tblContractForDeed[End Bal],ROW()-ROW(tblContractForDeed[#Headers])-1)&lt;0,0,INDEX(tblContractForDeed[End Bal],ROW()-ROW(tblContractForDeed[#Headers])-1)))</f>
        <v>0</v>
      </c>
      <c r="P375" s="454">
        <f>IF(tblContractForDeed[[#This Row],[Date]]="","",IF(tblContractForDeed[[#This Row],[Date]]&lt;cfdRateChangeDate,cfdRate1,cfdRate2))</f>
        <v>7.7499999999999999E-2</v>
      </c>
      <c r="Q3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467">
        <f>IF(INDEX(tblContractForDeed[Payment],ROW()-ROW(tblBuyerOutputs[#Headers]))=0,0,INDEX(tblContractForDeed[Payment],ROW()-ROW(tblBuyerOutputs[#Headers]))-INDEX(tblSubjectToLoan[Payment],ROW()-ROW(tblBuyerOutputs[#Headers])))</f>
        <v>0</v>
      </c>
      <c r="Z3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5" s="276">
        <f>IF(INDEX(tblContractForDeed[End Bal],ROW()-ROW(tblBuyerOutputs[#Headers]))&lt;=0,0,($O$6+IF(ROW()=ROW(tblBuyerOutputs[#Headers])+1,0,INDEX(tblBuyerOutputs[Cumul Appr],ROW()-ROW(tblBuyerOutputs[#Headers])-1)))*$AK$2/12)</f>
        <v>0</v>
      </c>
      <c r="AE375" s="276">
        <f>IF(INDEX(tblContractForDeed[End Bal],ROW()-ROW(tblBuyerOutputs[#Headers]))&lt;=0,0,IF(ROW()=ROW(tblBuyerOutputs[#Headers])+1,0,INDEX(tblBuyerOutputs[Cumul Appr],ROW()-ROW(tblBuyerOutputs[#Headers])-1))+tblBuyerOutputs[[#This Row],[Monthly Appr]])</f>
        <v>0</v>
      </c>
    </row>
    <row r="376" spans="1:31" x14ac:dyDescent="0.25">
      <c r="A376" s="613" t="str">
        <f t="shared" si="79"/>
        <v xml:space="preserve"> </v>
      </c>
      <c r="B376" s="276">
        <f t="shared" si="77"/>
        <v>0</v>
      </c>
      <c r="C376" s="14">
        <f t="shared" si="75"/>
        <v>0</v>
      </c>
      <c r="D376" s="14">
        <f t="shared" si="80"/>
        <v>0</v>
      </c>
      <c r="E376" s="14">
        <f t="shared" si="76"/>
        <v>0</v>
      </c>
      <c r="F376" s="14">
        <f t="shared" si="85"/>
        <v>134.16999999999999</v>
      </c>
      <c r="G376" s="14">
        <f t="shared" si="85"/>
        <v>188.55</v>
      </c>
      <c r="H376" s="14">
        <f t="shared" si="73"/>
        <v>322.72000000000003</v>
      </c>
      <c r="I376" s="276">
        <f t="shared" si="81"/>
        <v>98158.279999999955</v>
      </c>
      <c r="J376" s="276">
        <f t="shared" si="82"/>
        <v>35884.000000000022</v>
      </c>
      <c r="K376" s="276">
        <f t="shared" si="83"/>
        <v>0</v>
      </c>
      <c r="L376" s="394">
        <f t="shared" si="86"/>
        <v>29</v>
      </c>
      <c r="M376" s="394">
        <f t="shared" si="78"/>
        <v>356</v>
      </c>
      <c r="N376" s="613" t="str">
        <f>INDEX(tblSubjectToLoan[Date],ROW()-ROW(tblContractForDeed[#Headers]))</f>
        <v xml:space="preserve"> </v>
      </c>
      <c r="O376" s="276">
        <f>IF(ROW()=ROW(tblContractForDeed[#Headers])+1,$O$6,IF(INDEX(tblContractForDeed[End Bal],ROW()-ROW(tblContractForDeed[#Headers])-1)&lt;0,0,INDEX(tblContractForDeed[End Bal],ROW()-ROW(tblContractForDeed[#Headers])-1)))</f>
        <v>0</v>
      </c>
      <c r="P376" s="454">
        <f>IF(tblContractForDeed[[#This Row],[Date]]="","",IF(tblContractForDeed[[#This Row],[Date]]&lt;cfdRateChangeDate,cfdRate1,cfdRate2))</f>
        <v>7.7499999999999999E-2</v>
      </c>
      <c r="Q3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467">
        <f>IF(INDEX(tblContractForDeed[Payment],ROW()-ROW(tblBuyerOutputs[#Headers]))=0,0,INDEX(tblContractForDeed[Payment],ROW()-ROW(tblBuyerOutputs[#Headers]))-INDEX(tblSubjectToLoan[Payment],ROW()-ROW(tblBuyerOutputs[#Headers])))</f>
        <v>0</v>
      </c>
      <c r="Z3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6" s="276">
        <f>IF(INDEX(tblContractForDeed[End Bal],ROW()-ROW(tblBuyerOutputs[#Headers]))&lt;=0,0,($O$6+IF(ROW()=ROW(tblBuyerOutputs[#Headers])+1,0,INDEX(tblBuyerOutputs[Cumul Appr],ROW()-ROW(tblBuyerOutputs[#Headers])-1)))*$AK$2/12)</f>
        <v>0</v>
      </c>
      <c r="AE376" s="276">
        <f>IF(INDEX(tblContractForDeed[End Bal],ROW()-ROW(tblBuyerOutputs[#Headers]))&lt;=0,0,IF(ROW()=ROW(tblBuyerOutputs[#Headers])+1,0,INDEX(tblBuyerOutputs[Cumul Appr],ROW()-ROW(tblBuyerOutputs[#Headers])-1))+tblBuyerOutputs[[#This Row],[Monthly Appr]])</f>
        <v>0</v>
      </c>
    </row>
    <row r="377" spans="1:31" x14ac:dyDescent="0.25">
      <c r="A377" s="613" t="str">
        <f t="shared" si="79"/>
        <v xml:space="preserve"> </v>
      </c>
      <c r="B377" s="276">
        <f t="shared" si="77"/>
        <v>0</v>
      </c>
      <c r="C377" s="14">
        <f t="shared" si="75"/>
        <v>0</v>
      </c>
      <c r="D377" s="14">
        <f t="shared" si="80"/>
        <v>0</v>
      </c>
      <c r="E377" s="14">
        <f t="shared" si="76"/>
        <v>0</v>
      </c>
      <c r="F377" s="14">
        <f t="shared" si="85"/>
        <v>134.16999999999999</v>
      </c>
      <c r="G377" s="14">
        <f t="shared" si="85"/>
        <v>188.55</v>
      </c>
      <c r="H377" s="14">
        <f t="shared" si="73"/>
        <v>322.72000000000003</v>
      </c>
      <c r="I377" s="276">
        <f t="shared" si="81"/>
        <v>98158.279999999955</v>
      </c>
      <c r="J377" s="276">
        <f t="shared" si="82"/>
        <v>35884.000000000022</v>
      </c>
      <c r="K377" s="276">
        <f t="shared" si="83"/>
        <v>0</v>
      </c>
      <c r="L377" s="394">
        <f t="shared" si="86"/>
        <v>29</v>
      </c>
      <c r="M377" s="394">
        <f t="shared" si="78"/>
        <v>357</v>
      </c>
      <c r="N377" s="613" t="str">
        <f>INDEX(tblSubjectToLoan[Date],ROW()-ROW(tblContractForDeed[#Headers]))</f>
        <v xml:space="preserve"> </v>
      </c>
      <c r="O377" s="276">
        <f>IF(ROW()=ROW(tblContractForDeed[#Headers])+1,$O$6,IF(INDEX(tblContractForDeed[End Bal],ROW()-ROW(tblContractForDeed[#Headers])-1)&lt;0,0,INDEX(tblContractForDeed[End Bal],ROW()-ROW(tblContractForDeed[#Headers])-1)))</f>
        <v>0</v>
      </c>
      <c r="P377" s="454">
        <f>IF(tblContractForDeed[[#This Row],[Date]]="","",IF(tblContractForDeed[[#This Row],[Date]]&lt;cfdRateChangeDate,cfdRate1,cfdRate2))</f>
        <v>7.7499999999999999E-2</v>
      </c>
      <c r="Q3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467">
        <f>IF(INDEX(tblContractForDeed[Payment],ROW()-ROW(tblBuyerOutputs[#Headers]))=0,0,INDEX(tblContractForDeed[Payment],ROW()-ROW(tblBuyerOutputs[#Headers]))-INDEX(tblSubjectToLoan[Payment],ROW()-ROW(tblBuyerOutputs[#Headers])))</f>
        <v>0</v>
      </c>
      <c r="Z3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7" s="276">
        <f>IF(INDEX(tblContractForDeed[End Bal],ROW()-ROW(tblBuyerOutputs[#Headers]))&lt;=0,0,($O$6+IF(ROW()=ROW(tblBuyerOutputs[#Headers])+1,0,INDEX(tblBuyerOutputs[Cumul Appr],ROW()-ROW(tblBuyerOutputs[#Headers])-1)))*$AK$2/12)</f>
        <v>0</v>
      </c>
      <c r="AE377" s="276">
        <f>IF(INDEX(tblContractForDeed[End Bal],ROW()-ROW(tblBuyerOutputs[#Headers]))&lt;=0,0,IF(ROW()=ROW(tblBuyerOutputs[#Headers])+1,0,INDEX(tblBuyerOutputs[Cumul Appr],ROW()-ROW(tblBuyerOutputs[#Headers])-1))+tblBuyerOutputs[[#This Row],[Monthly Appr]])</f>
        <v>0</v>
      </c>
    </row>
    <row r="378" spans="1:31" x14ac:dyDescent="0.25">
      <c r="A378" s="613" t="str">
        <f t="shared" si="79"/>
        <v xml:space="preserve"> </v>
      </c>
      <c r="B378" s="276">
        <f t="shared" si="77"/>
        <v>0</v>
      </c>
      <c r="C378" s="14">
        <f t="shared" si="75"/>
        <v>0</v>
      </c>
      <c r="D378" s="14">
        <f t="shared" si="80"/>
        <v>0</v>
      </c>
      <c r="E378" s="14">
        <f t="shared" si="76"/>
        <v>0</v>
      </c>
      <c r="F378" s="14">
        <f t="shared" si="85"/>
        <v>134.16999999999999</v>
      </c>
      <c r="G378" s="14">
        <f t="shared" si="85"/>
        <v>188.55</v>
      </c>
      <c r="H378" s="14">
        <f t="shared" si="73"/>
        <v>322.72000000000003</v>
      </c>
      <c r="I378" s="276">
        <f t="shared" si="81"/>
        <v>98158.279999999955</v>
      </c>
      <c r="J378" s="276">
        <f t="shared" si="82"/>
        <v>35884.000000000022</v>
      </c>
      <c r="K378" s="276">
        <f t="shared" si="83"/>
        <v>0</v>
      </c>
      <c r="L378" s="394">
        <f t="shared" si="86"/>
        <v>29</v>
      </c>
      <c r="M378" s="394">
        <f t="shared" si="78"/>
        <v>358</v>
      </c>
      <c r="N378" s="613" t="str">
        <f>INDEX(tblSubjectToLoan[Date],ROW()-ROW(tblContractForDeed[#Headers]))</f>
        <v xml:space="preserve"> </v>
      </c>
      <c r="O378" s="276">
        <f>IF(ROW()=ROW(tblContractForDeed[#Headers])+1,$O$6,IF(INDEX(tblContractForDeed[End Bal],ROW()-ROW(tblContractForDeed[#Headers])-1)&lt;0,0,INDEX(tblContractForDeed[End Bal],ROW()-ROW(tblContractForDeed[#Headers])-1)))</f>
        <v>0</v>
      </c>
      <c r="P378" s="454">
        <f>IF(tblContractForDeed[[#This Row],[Date]]="","",IF(tblContractForDeed[[#This Row],[Date]]&lt;cfdRateChangeDate,cfdRate1,cfdRate2))</f>
        <v>7.7499999999999999E-2</v>
      </c>
      <c r="Q3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467">
        <f>IF(INDEX(tblContractForDeed[Payment],ROW()-ROW(tblBuyerOutputs[#Headers]))=0,0,INDEX(tblContractForDeed[Payment],ROW()-ROW(tblBuyerOutputs[#Headers]))-INDEX(tblSubjectToLoan[Payment],ROW()-ROW(tblBuyerOutputs[#Headers])))</f>
        <v>0</v>
      </c>
      <c r="Z3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8" s="276">
        <f>IF(INDEX(tblContractForDeed[End Bal],ROW()-ROW(tblBuyerOutputs[#Headers]))&lt;=0,0,($O$6+IF(ROW()=ROW(tblBuyerOutputs[#Headers])+1,0,INDEX(tblBuyerOutputs[Cumul Appr],ROW()-ROW(tblBuyerOutputs[#Headers])-1)))*$AK$2/12)</f>
        <v>0</v>
      </c>
      <c r="AE378" s="276">
        <f>IF(INDEX(tblContractForDeed[End Bal],ROW()-ROW(tblBuyerOutputs[#Headers]))&lt;=0,0,IF(ROW()=ROW(tblBuyerOutputs[#Headers])+1,0,INDEX(tblBuyerOutputs[Cumul Appr],ROW()-ROW(tblBuyerOutputs[#Headers])-1))+tblBuyerOutputs[[#This Row],[Monthly Appr]])</f>
        <v>0</v>
      </c>
    </row>
    <row r="379" spans="1:31" ht="15.75" thickBot="1" x14ac:dyDescent="0.3">
      <c r="A379" s="615" t="str">
        <f t="shared" si="79"/>
        <v xml:space="preserve"> </v>
      </c>
      <c r="B379" s="332">
        <f>IF(+K378&lt;0,0,+K378)</f>
        <v>0</v>
      </c>
      <c r="C379" s="21">
        <f t="shared" si="75"/>
        <v>0</v>
      </c>
      <c r="D379" s="21">
        <f t="shared" si="80"/>
        <v>0</v>
      </c>
      <c r="E379" s="21">
        <f t="shared" si="76"/>
        <v>0</v>
      </c>
      <c r="F379" s="21">
        <f t="shared" si="85"/>
        <v>134.16999999999999</v>
      </c>
      <c r="G379" s="21">
        <f t="shared" si="85"/>
        <v>188.55</v>
      </c>
      <c r="H379" s="21">
        <f t="shared" si="73"/>
        <v>322.72000000000003</v>
      </c>
      <c r="I379" s="332">
        <f t="shared" si="81"/>
        <v>98158.279999999955</v>
      </c>
      <c r="J379" s="332">
        <f t="shared" si="82"/>
        <v>35884.000000000022</v>
      </c>
      <c r="K379" s="332">
        <f t="shared" si="83"/>
        <v>0</v>
      </c>
      <c r="L379" s="395">
        <f t="shared" si="86"/>
        <v>29</v>
      </c>
      <c r="M379" s="395">
        <f t="shared" si="78"/>
        <v>359</v>
      </c>
      <c r="N379" s="615" t="str">
        <f>INDEX(tblSubjectToLoan[Date],ROW()-ROW(tblContractForDeed[#Headers]))</f>
        <v xml:space="preserve"> </v>
      </c>
      <c r="O379" s="332">
        <f>IF(ROW()=ROW(tblContractForDeed[#Headers])+1,$O$6,IF(INDEX(tblContractForDeed[End Bal],ROW()-ROW(tblContractForDeed[#Headers])-1)&lt;0,0,INDEX(tblContractForDeed[End Bal],ROW()-ROW(tblContractForDeed[#Headers])-1)))</f>
        <v>0</v>
      </c>
      <c r="P379" s="454">
        <f>IF(tblContractForDeed[[#This Row],[Date]]="","",IF(tblContractForDeed[[#This Row],[Date]]&lt;cfdRateChangeDate,cfdRate1,cfdRate2))</f>
        <v>7.7499999999999999E-2</v>
      </c>
      <c r="Q3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468">
        <f>IF(INDEX(tblContractForDeed[Payment],ROW()-ROW(tblBuyerOutputs[#Headers]))=0,0,INDEX(tblContractForDeed[Payment],ROW()-ROW(tblBuyerOutputs[#Headers]))-INDEX(tblSubjectToLoan[Payment],ROW()-ROW(tblBuyerOutputs[#Headers])))</f>
        <v>0</v>
      </c>
      <c r="Z3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9" s="332">
        <f>IF(INDEX(tblContractForDeed[End Bal],ROW()-ROW(tblBuyerOutputs[#Headers]))&lt;=0,0,($O$6+IF(ROW()=ROW(tblBuyerOutputs[#Headers])+1,0,INDEX(tblBuyerOutputs[Cumul Appr],ROW()-ROW(tblBuyerOutputs[#Headers])-1)))*$AK$2/12)</f>
        <v>0</v>
      </c>
      <c r="AE379" s="332">
        <f>IF(INDEX(tblContractForDeed[End Bal],ROW()-ROW(tblBuyerOutputs[#Headers]))&lt;=0,0,IF(ROW()=ROW(tblBuyerOutputs[#Headers])+1,0,INDEX(tblBuyerOutputs[Cumul Appr],ROW()-ROW(tblBuyerOutputs[#Headers])-1))+tblBuyerOutputs[[#This Row],[Monthly Appr]])</f>
        <v>0</v>
      </c>
    </row>
    <row r="380" spans="1:31" x14ac:dyDescent="0.25">
      <c r="A380" s="613" t="str">
        <f t="shared" si="79"/>
        <v xml:space="preserve"> </v>
      </c>
      <c r="B380" s="276">
        <f>IF(+$K379&lt;0,0,+K379)</f>
        <v>0</v>
      </c>
      <c r="C380" s="14">
        <f t="shared" si="75"/>
        <v>0</v>
      </c>
      <c r="D380" s="14">
        <f t="shared" si="80"/>
        <v>0</v>
      </c>
      <c r="E380" s="14">
        <f t="shared" si="76"/>
        <v>0</v>
      </c>
      <c r="F380" s="14">
        <f t="shared" si="85"/>
        <v>134.16999999999999</v>
      </c>
      <c r="G380" s="14">
        <f t="shared" si="85"/>
        <v>188.55</v>
      </c>
      <c r="H380" s="14">
        <f t="shared" si="73"/>
        <v>322.72000000000003</v>
      </c>
      <c r="I380" s="276">
        <f t="shared" si="81"/>
        <v>98158.279999999955</v>
      </c>
      <c r="J380" s="276">
        <f t="shared" si="82"/>
        <v>35884.000000000022</v>
      </c>
      <c r="K380" s="276">
        <f t="shared" si="83"/>
        <v>0</v>
      </c>
      <c r="L380" s="394">
        <f t="shared" si="86"/>
        <v>30</v>
      </c>
      <c r="M380" s="394">
        <f t="shared" si="78"/>
        <v>360</v>
      </c>
      <c r="N380" s="613" t="str">
        <f>INDEX(tblSubjectToLoan[Date],ROW()-ROW(tblContractForDeed[#Headers]))</f>
        <v xml:space="preserve"> </v>
      </c>
      <c r="O380" s="276">
        <f>IF(ROW()=ROW(tblContractForDeed[#Headers])+1,$O$6,IF(INDEX(tblContractForDeed[End Bal],ROW()-ROW(tblContractForDeed[#Headers])-1)&lt;0,0,INDEX(tblContractForDeed[End Bal],ROW()-ROW(tblContractForDeed[#Headers])-1)))</f>
        <v>0</v>
      </c>
      <c r="P380" s="454">
        <f>IF(tblContractForDeed[[#This Row],[Date]]="","",IF(tblContractForDeed[[#This Row],[Date]]&lt;cfdRateChangeDate,cfdRate1,cfdRate2))</f>
        <v>7.7499999999999999E-2</v>
      </c>
      <c r="Q3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467">
        <f>IF(INDEX(tblContractForDeed[Payment],ROW()-ROW(tblBuyerOutputs[#Headers]))=0,0,INDEX(tblContractForDeed[Payment],ROW()-ROW(tblBuyerOutputs[#Headers]))-INDEX(tblSubjectToLoan[Payment],ROW()-ROW(tblBuyerOutputs[#Headers])))</f>
        <v>0</v>
      </c>
      <c r="Z3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0" s="276">
        <f>IF(INDEX(tblContractForDeed[End Bal],ROW()-ROW(tblBuyerOutputs[#Headers]))&lt;=0,0,($O$6+IF(ROW()=ROW(tblBuyerOutputs[#Headers])+1,0,INDEX(tblBuyerOutputs[Cumul Appr],ROW()-ROW(tblBuyerOutputs[#Headers])-1)))*$AK$2/12)</f>
        <v>0</v>
      </c>
      <c r="AE380" s="276">
        <f>IF(INDEX(tblContractForDeed[End Bal],ROW()-ROW(tblBuyerOutputs[#Headers]))&lt;=0,0,IF(ROW()=ROW(tblBuyerOutputs[#Headers])+1,0,INDEX(tblBuyerOutputs[Cumul Appr],ROW()-ROW(tblBuyerOutputs[#Headers])-1))+tblBuyerOutputs[[#This Row],[Monthly Appr]])</f>
        <v>0</v>
      </c>
    </row>
    <row r="381" spans="1:31" x14ac:dyDescent="0.25">
      <c r="A381" s="613" t="str">
        <f t="shared" si="79"/>
        <v xml:space="preserve"> </v>
      </c>
      <c r="B381" s="276">
        <f t="shared" ref="B381:B444" si="87">IF(+K380&lt;0,0,+K380)</f>
        <v>0</v>
      </c>
      <c r="C381" s="14">
        <f t="shared" si="75"/>
        <v>0</v>
      </c>
      <c r="D381" s="14">
        <f t="shared" si="80"/>
        <v>0</v>
      </c>
      <c r="E381" s="14">
        <f t="shared" si="76"/>
        <v>0</v>
      </c>
      <c r="F381" s="14">
        <f t="shared" si="85"/>
        <v>134.16999999999999</v>
      </c>
      <c r="G381" s="14">
        <f t="shared" si="85"/>
        <v>188.55</v>
      </c>
      <c r="H381" s="14">
        <f t="shared" si="73"/>
        <v>322.72000000000003</v>
      </c>
      <c r="I381" s="276">
        <f t="shared" si="81"/>
        <v>98158.279999999955</v>
      </c>
      <c r="J381" s="276">
        <f t="shared" si="82"/>
        <v>35884.000000000022</v>
      </c>
      <c r="K381" s="276">
        <f t="shared" si="83"/>
        <v>0</v>
      </c>
      <c r="L381" s="394">
        <f t="shared" si="86"/>
        <v>30</v>
      </c>
      <c r="M381" s="394">
        <f t="shared" si="78"/>
        <v>361</v>
      </c>
      <c r="N381" s="613" t="str">
        <f>INDEX(tblSubjectToLoan[Date],ROW()-ROW(tblContractForDeed[#Headers]))</f>
        <v xml:space="preserve"> </v>
      </c>
      <c r="O381" s="276">
        <f>IF(ROW()=ROW(tblContractForDeed[#Headers])+1,$O$6,IF(INDEX(tblContractForDeed[End Bal],ROW()-ROW(tblContractForDeed[#Headers])-1)&lt;0,0,INDEX(tblContractForDeed[End Bal],ROW()-ROW(tblContractForDeed[#Headers])-1)))</f>
        <v>0</v>
      </c>
      <c r="P381" s="454">
        <f>IF(tblContractForDeed[[#This Row],[Date]]="","",IF(tblContractForDeed[[#This Row],[Date]]&lt;cfdRateChangeDate,cfdRate1,cfdRate2))</f>
        <v>7.7499999999999999E-2</v>
      </c>
      <c r="Q3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467">
        <f>IF(INDEX(tblContractForDeed[Payment],ROW()-ROW(tblBuyerOutputs[#Headers]))=0,0,INDEX(tblContractForDeed[Payment],ROW()-ROW(tblBuyerOutputs[#Headers]))-INDEX(tblSubjectToLoan[Payment],ROW()-ROW(tblBuyerOutputs[#Headers])))</f>
        <v>0</v>
      </c>
      <c r="Z3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1" s="276">
        <f>IF(INDEX(tblContractForDeed[End Bal],ROW()-ROW(tblBuyerOutputs[#Headers]))&lt;=0,0,($O$6+IF(ROW()=ROW(tblBuyerOutputs[#Headers])+1,0,INDEX(tblBuyerOutputs[Cumul Appr],ROW()-ROW(tblBuyerOutputs[#Headers])-1)))*$AK$2/12)</f>
        <v>0</v>
      </c>
      <c r="AE381" s="276">
        <f>IF(INDEX(tblContractForDeed[End Bal],ROW()-ROW(tblBuyerOutputs[#Headers]))&lt;=0,0,IF(ROW()=ROW(tblBuyerOutputs[#Headers])+1,0,INDEX(tblBuyerOutputs[Cumul Appr],ROW()-ROW(tblBuyerOutputs[#Headers])-1))+tblBuyerOutputs[[#This Row],[Monthly Appr]])</f>
        <v>0</v>
      </c>
    </row>
    <row r="382" spans="1:31" x14ac:dyDescent="0.25">
      <c r="A382" s="613" t="str">
        <f t="shared" si="79"/>
        <v xml:space="preserve"> </v>
      </c>
      <c r="B382" s="276">
        <f t="shared" si="87"/>
        <v>0</v>
      </c>
      <c r="C382" s="14">
        <f t="shared" si="75"/>
        <v>0</v>
      </c>
      <c r="D382" s="14">
        <f t="shared" si="80"/>
        <v>0</v>
      </c>
      <c r="E382" s="14">
        <f t="shared" si="76"/>
        <v>0</v>
      </c>
      <c r="F382" s="14">
        <f t="shared" si="85"/>
        <v>134.16999999999999</v>
      </c>
      <c r="G382" s="14">
        <f t="shared" si="85"/>
        <v>188.55</v>
      </c>
      <c r="H382" s="14">
        <f t="shared" si="73"/>
        <v>322.72000000000003</v>
      </c>
      <c r="I382" s="276">
        <f t="shared" si="81"/>
        <v>98158.279999999955</v>
      </c>
      <c r="J382" s="276">
        <f t="shared" si="82"/>
        <v>35884.000000000022</v>
      </c>
      <c r="K382" s="276">
        <f t="shared" si="83"/>
        <v>0</v>
      </c>
      <c r="L382" s="394">
        <f t="shared" si="86"/>
        <v>30</v>
      </c>
      <c r="M382" s="394">
        <f t="shared" si="78"/>
        <v>362</v>
      </c>
      <c r="N382" s="613" t="str">
        <f>INDEX(tblSubjectToLoan[Date],ROW()-ROW(tblContractForDeed[#Headers]))</f>
        <v xml:space="preserve"> </v>
      </c>
      <c r="O382" s="276">
        <f>IF(ROW()=ROW(tblContractForDeed[#Headers])+1,$O$6,IF(INDEX(tblContractForDeed[End Bal],ROW()-ROW(tblContractForDeed[#Headers])-1)&lt;0,0,INDEX(tblContractForDeed[End Bal],ROW()-ROW(tblContractForDeed[#Headers])-1)))</f>
        <v>0</v>
      </c>
      <c r="P382" s="454">
        <f>IF(tblContractForDeed[[#This Row],[Date]]="","",IF(tblContractForDeed[[#This Row],[Date]]&lt;cfdRateChangeDate,cfdRate1,cfdRate2))</f>
        <v>7.7499999999999999E-2</v>
      </c>
      <c r="Q3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467">
        <f>IF(INDEX(tblContractForDeed[Payment],ROW()-ROW(tblBuyerOutputs[#Headers]))=0,0,INDEX(tblContractForDeed[Payment],ROW()-ROW(tblBuyerOutputs[#Headers]))-INDEX(tblSubjectToLoan[Payment],ROW()-ROW(tblBuyerOutputs[#Headers])))</f>
        <v>0</v>
      </c>
      <c r="Z3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2" s="276">
        <f>IF(INDEX(tblContractForDeed[End Bal],ROW()-ROW(tblBuyerOutputs[#Headers]))&lt;=0,0,($O$6+IF(ROW()=ROW(tblBuyerOutputs[#Headers])+1,0,INDEX(tblBuyerOutputs[Cumul Appr],ROW()-ROW(tblBuyerOutputs[#Headers])-1)))*$AK$2/12)</f>
        <v>0</v>
      </c>
      <c r="AE382" s="276">
        <f>IF(INDEX(tblContractForDeed[End Bal],ROW()-ROW(tblBuyerOutputs[#Headers]))&lt;=0,0,IF(ROW()=ROW(tblBuyerOutputs[#Headers])+1,0,INDEX(tblBuyerOutputs[Cumul Appr],ROW()-ROW(tblBuyerOutputs[#Headers])-1))+tblBuyerOutputs[[#This Row],[Monthly Appr]])</f>
        <v>0</v>
      </c>
    </row>
    <row r="383" spans="1:31" x14ac:dyDescent="0.25">
      <c r="A383" s="613" t="str">
        <f t="shared" si="79"/>
        <v xml:space="preserve"> </v>
      </c>
      <c r="B383" s="276">
        <f t="shared" si="87"/>
        <v>0</v>
      </c>
      <c r="C383" s="14">
        <f t="shared" si="75"/>
        <v>0</v>
      </c>
      <c r="D383" s="14">
        <f t="shared" si="80"/>
        <v>0</v>
      </c>
      <c r="E383" s="14">
        <f t="shared" si="76"/>
        <v>0</v>
      </c>
      <c r="F383" s="14">
        <f t="shared" ref="F383:G398" si="88">+F382</f>
        <v>134.16999999999999</v>
      </c>
      <c r="G383" s="14">
        <f t="shared" si="88"/>
        <v>188.55</v>
      </c>
      <c r="H383" s="14">
        <f t="shared" si="73"/>
        <v>322.72000000000003</v>
      </c>
      <c r="I383" s="276">
        <f t="shared" si="81"/>
        <v>98158.279999999955</v>
      </c>
      <c r="J383" s="276">
        <f t="shared" si="82"/>
        <v>35884.000000000022</v>
      </c>
      <c r="K383" s="276">
        <f t="shared" si="83"/>
        <v>0</v>
      </c>
      <c r="L383" s="394">
        <f t="shared" si="86"/>
        <v>30</v>
      </c>
      <c r="M383" s="394">
        <f t="shared" si="78"/>
        <v>363</v>
      </c>
      <c r="N383" s="613" t="str">
        <f>INDEX(tblSubjectToLoan[Date],ROW()-ROW(tblContractForDeed[#Headers]))</f>
        <v xml:space="preserve"> </v>
      </c>
      <c r="O383" s="276">
        <f>IF(ROW()=ROW(tblContractForDeed[#Headers])+1,$O$6,IF(INDEX(tblContractForDeed[End Bal],ROW()-ROW(tblContractForDeed[#Headers])-1)&lt;0,0,INDEX(tblContractForDeed[End Bal],ROW()-ROW(tblContractForDeed[#Headers])-1)))</f>
        <v>0</v>
      </c>
      <c r="P383" s="454">
        <f>IF(tblContractForDeed[[#This Row],[Date]]="","",IF(tblContractForDeed[[#This Row],[Date]]&lt;cfdRateChangeDate,cfdRate1,cfdRate2))</f>
        <v>7.7499999999999999E-2</v>
      </c>
      <c r="Q3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467">
        <f>IF(INDEX(tblContractForDeed[Payment],ROW()-ROW(tblBuyerOutputs[#Headers]))=0,0,INDEX(tblContractForDeed[Payment],ROW()-ROW(tblBuyerOutputs[#Headers]))-INDEX(tblSubjectToLoan[Payment],ROW()-ROW(tblBuyerOutputs[#Headers])))</f>
        <v>0</v>
      </c>
      <c r="Z3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3" s="276">
        <f>IF(INDEX(tblContractForDeed[End Bal],ROW()-ROW(tblBuyerOutputs[#Headers]))&lt;=0,0,($O$6+IF(ROW()=ROW(tblBuyerOutputs[#Headers])+1,0,INDEX(tblBuyerOutputs[Cumul Appr],ROW()-ROW(tblBuyerOutputs[#Headers])-1)))*$AK$2/12)</f>
        <v>0</v>
      </c>
      <c r="AE383" s="276">
        <f>IF(INDEX(tblContractForDeed[End Bal],ROW()-ROW(tblBuyerOutputs[#Headers]))&lt;=0,0,IF(ROW()=ROW(tblBuyerOutputs[#Headers])+1,0,INDEX(tblBuyerOutputs[Cumul Appr],ROW()-ROW(tblBuyerOutputs[#Headers])-1))+tblBuyerOutputs[[#This Row],[Monthly Appr]])</f>
        <v>0</v>
      </c>
    </row>
    <row r="384" spans="1:31" x14ac:dyDescent="0.25">
      <c r="A384" s="613" t="str">
        <f t="shared" si="79"/>
        <v xml:space="preserve"> </v>
      </c>
      <c r="B384" s="276">
        <f t="shared" si="87"/>
        <v>0</v>
      </c>
      <c r="C384" s="14">
        <f t="shared" si="75"/>
        <v>0</v>
      </c>
      <c r="D384" s="14">
        <f t="shared" si="80"/>
        <v>0</v>
      </c>
      <c r="E384" s="14">
        <f t="shared" si="76"/>
        <v>0</v>
      </c>
      <c r="F384" s="14">
        <f t="shared" si="88"/>
        <v>134.16999999999999</v>
      </c>
      <c r="G384" s="14">
        <f t="shared" si="88"/>
        <v>188.55</v>
      </c>
      <c r="H384" s="14">
        <f t="shared" ref="H384:H447" si="89">SUM(D384:G384)</f>
        <v>322.72000000000003</v>
      </c>
      <c r="I384" s="276">
        <f t="shared" si="81"/>
        <v>98158.279999999955</v>
      </c>
      <c r="J384" s="276">
        <f t="shared" si="82"/>
        <v>35884.000000000022</v>
      </c>
      <c r="K384" s="276">
        <f t="shared" si="83"/>
        <v>0</v>
      </c>
      <c r="L384" s="394">
        <f t="shared" si="86"/>
        <v>30</v>
      </c>
      <c r="M384" s="394">
        <f t="shared" si="78"/>
        <v>364</v>
      </c>
      <c r="N384" s="613" t="str">
        <f>INDEX(tblSubjectToLoan[Date],ROW()-ROW(tblContractForDeed[#Headers]))</f>
        <v xml:space="preserve"> </v>
      </c>
      <c r="O384" s="276">
        <f>IF(ROW()=ROW(tblContractForDeed[#Headers])+1,$O$6,IF(INDEX(tblContractForDeed[End Bal],ROW()-ROW(tblContractForDeed[#Headers])-1)&lt;0,0,INDEX(tblContractForDeed[End Bal],ROW()-ROW(tblContractForDeed[#Headers])-1)))</f>
        <v>0</v>
      </c>
      <c r="P384" s="454">
        <f>IF(tblContractForDeed[[#This Row],[Date]]="","",IF(tblContractForDeed[[#This Row],[Date]]&lt;cfdRateChangeDate,cfdRate1,cfdRate2))</f>
        <v>7.7499999999999999E-2</v>
      </c>
      <c r="Q3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467">
        <f>IF(INDEX(tblContractForDeed[Payment],ROW()-ROW(tblBuyerOutputs[#Headers]))=0,0,INDEX(tblContractForDeed[Payment],ROW()-ROW(tblBuyerOutputs[#Headers]))-INDEX(tblSubjectToLoan[Payment],ROW()-ROW(tblBuyerOutputs[#Headers])))</f>
        <v>0</v>
      </c>
      <c r="Z3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4" s="276">
        <f>IF(INDEX(tblContractForDeed[End Bal],ROW()-ROW(tblBuyerOutputs[#Headers]))&lt;=0,0,($O$6+IF(ROW()=ROW(tblBuyerOutputs[#Headers])+1,0,INDEX(tblBuyerOutputs[Cumul Appr],ROW()-ROW(tblBuyerOutputs[#Headers])-1)))*$AK$2/12)</f>
        <v>0</v>
      </c>
      <c r="AE384" s="276">
        <f>IF(INDEX(tblContractForDeed[End Bal],ROW()-ROW(tblBuyerOutputs[#Headers]))&lt;=0,0,IF(ROW()=ROW(tblBuyerOutputs[#Headers])+1,0,INDEX(tblBuyerOutputs[Cumul Appr],ROW()-ROW(tblBuyerOutputs[#Headers])-1))+tblBuyerOutputs[[#This Row],[Monthly Appr]])</f>
        <v>0</v>
      </c>
    </row>
    <row r="385" spans="1:31" x14ac:dyDescent="0.25">
      <c r="A385" s="613" t="str">
        <f t="shared" si="79"/>
        <v xml:space="preserve"> </v>
      </c>
      <c r="B385" s="276">
        <f t="shared" si="87"/>
        <v>0</v>
      </c>
      <c r="C385" s="14">
        <f t="shared" si="75"/>
        <v>0</v>
      </c>
      <c r="D385" s="14">
        <f t="shared" si="80"/>
        <v>0</v>
      </c>
      <c r="E385" s="14">
        <f t="shared" si="76"/>
        <v>0</v>
      </c>
      <c r="F385" s="14">
        <f t="shared" si="88"/>
        <v>134.16999999999999</v>
      </c>
      <c r="G385" s="14">
        <f t="shared" si="88"/>
        <v>188.55</v>
      </c>
      <c r="H385" s="14">
        <f t="shared" si="89"/>
        <v>322.72000000000003</v>
      </c>
      <c r="I385" s="276">
        <f t="shared" si="81"/>
        <v>98158.279999999955</v>
      </c>
      <c r="J385" s="276">
        <f t="shared" si="82"/>
        <v>35884.000000000022</v>
      </c>
      <c r="K385" s="276">
        <f t="shared" si="83"/>
        <v>0</v>
      </c>
      <c r="L385" s="394">
        <f t="shared" si="86"/>
        <v>30</v>
      </c>
      <c r="M385" s="394">
        <f t="shared" si="78"/>
        <v>365</v>
      </c>
      <c r="N385" s="613" t="str">
        <f>INDEX(tblSubjectToLoan[Date],ROW()-ROW(tblContractForDeed[#Headers]))</f>
        <v xml:space="preserve"> </v>
      </c>
      <c r="O385" s="276">
        <f>IF(ROW()=ROW(tblContractForDeed[#Headers])+1,$O$6,IF(INDEX(tblContractForDeed[End Bal],ROW()-ROW(tblContractForDeed[#Headers])-1)&lt;0,0,INDEX(tblContractForDeed[End Bal],ROW()-ROW(tblContractForDeed[#Headers])-1)))</f>
        <v>0</v>
      </c>
      <c r="P385" s="454">
        <f>IF(tblContractForDeed[[#This Row],[Date]]="","",IF(tblContractForDeed[[#This Row],[Date]]&lt;cfdRateChangeDate,cfdRate1,cfdRate2))</f>
        <v>7.7499999999999999E-2</v>
      </c>
      <c r="Q3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467">
        <f>IF(INDEX(tblContractForDeed[Payment],ROW()-ROW(tblBuyerOutputs[#Headers]))=0,0,INDEX(tblContractForDeed[Payment],ROW()-ROW(tblBuyerOutputs[#Headers]))-INDEX(tblSubjectToLoan[Payment],ROW()-ROW(tblBuyerOutputs[#Headers])))</f>
        <v>0</v>
      </c>
      <c r="Z3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5" s="276">
        <f>IF(INDEX(tblContractForDeed[End Bal],ROW()-ROW(tblBuyerOutputs[#Headers]))&lt;=0,0,($O$6+IF(ROW()=ROW(tblBuyerOutputs[#Headers])+1,0,INDEX(tblBuyerOutputs[Cumul Appr],ROW()-ROW(tblBuyerOutputs[#Headers])-1)))*$AK$2/12)</f>
        <v>0</v>
      </c>
      <c r="AE385" s="276">
        <f>IF(INDEX(tblContractForDeed[End Bal],ROW()-ROW(tblBuyerOutputs[#Headers]))&lt;=0,0,IF(ROW()=ROW(tblBuyerOutputs[#Headers])+1,0,INDEX(tblBuyerOutputs[Cumul Appr],ROW()-ROW(tblBuyerOutputs[#Headers])-1))+tblBuyerOutputs[[#This Row],[Monthly Appr]])</f>
        <v>0</v>
      </c>
    </row>
    <row r="386" spans="1:31" x14ac:dyDescent="0.25">
      <c r="A386" s="613" t="str">
        <f t="shared" si="79"/>
        <v xml:space="preserve"> </v>
      </c>
      <c r="B386" s="276">
        <f t="shared" si="87"/>
        <v>0</v>
      </c>
      <c r="C386" s="14">
        <f t="shared" si="75"/>
        <v>0</v>
      </c>
      <c r="D386" s="14">
        <f t="shared" si="80"/>
        <v>0</v>
      </c>
      <c r="E386" s="14">
        <f t="shared" si="76"/>
        <v>0</v>
      </c>
      <c r="F386" s="14">
        <f t="shared" si="88"/>
        <v>134.16999999999999</v>
      </c>
      <c r="G386" s="14">
        <f t="shared" si="88"/>
        <v>188.55</v>
      </c>
      <c r="H386" s="14">
        <f t="shared" si="89"/>
        <v>322.72000000000003</v>
      </c>
      <c r="I386" s="276">
        <f t="shared" si="81"/>
        <v>98158.279999999955</v>
      </c>
      <c r="J386" s="276">
        <f t="shared" si="82"/>
        <v>35884.000000000022</v>
      </c>
      <c r="K386" s="276">
        <f t="shared" si="83"/>
        <v>0</v>
      </c>
      <c r="L386" s="394">
        <f t="shared" si="86"/>
        <v>30</v>
      </c>
      <c r="M386" s="394">
        <f t="shared" si="78"/>
        <v>366</v>
      </c>
      <c r="N386" s="613" t="str">
        <f>INDEX(tblSubjectToLoan[Date],ROW()-ROW(tblContractForDeed[#Headers]))</f>
        <v xml:space="preserve"> </v>
      </c>
      <c r="O386" s="276">
        <f>IF(ROW()=ROW(tblContractForDeed[#Headers])+1,$O$6,IF(INDEX(tblContractForDeed[End Bal],ROW()-ROW(tblContractForDeed[#Headers])-1)&lt;0,0,INDEX(tblContractForDeed[End Bal],ROW()-ROW(tblContractForDeed[#Headers])-1)))</f>
        <v>0</v>
      </c>
      <c r="P386" s="454">
        <f>IF(tblContractForDeed[[#This Row],[Date]]="","",IF(tblContractForDeed[[#This Row],[Date]]&lt;cfdRateChangeDate,cfdRate1,cfdRate2))</f>
        <v>7.7499999999999999E-2</v>
      </c>
      <c r="Q3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467">
        <f>IF(INDEX(tblContractForDeed[Payment],ROW()-ROW(tblBuyerOutputs[#Headers]))=0,0,INDEX(tblContractForDeed[Payment],ROW()-ROW(tblBuyerOutputs[#Headers]))-INDEX(tblSubjectToLoan[Payment],ROW()-ROW(tblBuyerOutputs[#Headers])))</f>
        <v>0</v>
      </c>
      <c r="Z3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6" s="276">
        <f>IF(INDEX(tblContractForDeed[End Bal],ROW()-ROW(tblBuyerOutputs[#Headers]))&lt;=0,0,($O$6+IF(ROW()=ROW(tblBuyerOutputs[#Headers])+1,0,INDEX(tblBuyerOutputs[Cumul Appr],ROW()-ROW(tblBuyerOutputs[#Headers])-1)))*$AK$2/12)</f>
        <v>0</v>
      </c>
      <c r="AE386" s="276">
        <f>IF(INDEX(tblContractForDeed[End Bal],ROW()-ROW(tblBuyerOutputs[#Headers]))&lt;=0,0,IF(ROW()=ROW(tblBuyerOutputs[#Headers])+1,0,INDEX(tblBuyerOutputs[Cumul Appr],ROW()-ROW(tblBuyerOutputs[#Headers])-1))+tblBuyerOutputs[[#This Row],[Monthly Appr]])</f>
        <v>0</v>
      </c>
    </row>
    <row r="387" spans="1:31" x14ac:dyDescent="0.25">
      <c r="A387" s="613" t="str">
        <f t="shared" si="79"/>
        <v xml:space="preserve"> </v>
      </c>
      <c r="B387" s="276">
        <f t="shared" si="87"/>
        <v>0</v>
      </c>
      <c r="C387" s="14">
        <f t="shared" si="75"/>
        <v>0</v>
      </c>
      <c r="D387" s="14">
        <f t="shared" si="80"/>
        <v>0</v>
      </c>
      <c r="E387" s="14">
        <f t="shared" si="76"/>
        <v>0</v>
      </c>
      <c r="F387" s="14">
        <f t="shared" si="88"/>
        <v>134.16999999999999</v>
      </c>
      <c r="G387" s="14">
        <f t="shared" si="88"/>
        <v>188.55</v>
      </c>
      <c r="H387" s="14">
        <f t="shared" si="89"/>
        <v>322.72000000000003</v>
      </c>
      <c r="I387" s="276">
        <f t="shared" si="81"/>
        <v>98158.279999999955</v>
      </c>
      <c r="J387" s="276">
        <f t="shared" si="82"/>
        <v>35884.000000000022</v>
      </c>
      <c r="K387" s="276">
        <f t="shared" si="83"/>
        <v>0</v>
      </c>
      <c r="L387" s="394">
        <f t="shared" si="86"/>
        <v>30</v>
      </c>
      <c r="M387" s="394">
        <f t="shared" si="78"/>
        <v>367</v>
      </c>
      <c r="N387" s="613" t="str">
        <f>INDEX(tblSubjectToLoan[Date],ROW()-ROW(tblContractForDeed[#Headers]))</f>
        <v xml:space="preserve"> </v>
      </c>
      <c r="O387" s="276">
        <f>IF(ROW()=ROW(tblContractForDeed[#Headers])+1,$O$6,IF(INDEX(tblContractForDeed[End Bal],ROW()-ROW(tblContractForDeed[#Headers])-1)&lt;0,0,INDEX(tblContractForDeed[End Bal],ROW()-ROW(tblContractForDeed[#Headers])-1)))</f>
        <v>0</v>
      </c>
      <c r="P387" s="454">
        <f>IF(tblContractForDeed[[#This Row],[Date]]="","",IF(tblContractForDeed[[#This Row],[Date]]&lt;cfdRateChangeDate,cfdRate1,cfdRate2))</f>
        <v>7.7499999999999999E-2</v>
      </c>
      <c r="Q3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467">
        <f>IF(INDEX(tblContractForDeed[Payment],ROW()-ROW(tblBuyerOutputs[#Headers]))=0,0,INDEX(tblContractForDeed[Payment],ROW()-ROW(tblBuyerOutputs[#Headers]))-INDEX(tblSubjectToLoan[Payment],ROW()-ROW(tblBuyerOutputs[#Headers])))</f>
        <v>0</v>
      </c>
      <c r="Z3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7" s="276">
        <f>IF(INDEX(tblContractForDeed[End Bal],ROW()-ROW(tblBuyerOutputs[#Headers]))&lt;=0,0,($O$6+IF(ROW()=ROW(tblBuyerOutputs[#Headers])+1,0,INDEX(tblBuyerOutputs[Cumul Appr],ROW()-ROW(tblBuyerOutputs[#Headers])-1)))*$AK$2/12)</f>
        <v>0</v>
      </c>
      <c r="AE387" s="276">
        <f>IF(INDEX(tblContractForDeed[End Bal],ROW()-ROW(tblBuyerOutputs[#Headers]))&lt;=0,0,IF(ROW()=ROW(tblBuyerOutputs[#Headers])+1,0,INDEX(tblBuyerOutputs[Cumul Appr],ROW()-ROW(tblBuyerOutputs[#Headers])-1))+tblBuyerOutputs[[#This Row],[Monthly Appr]])</f>
        <v>0</v>
      </c>
    </row>
    <row r="388" spans="1:31" x14ac:dyDescent="0.25">
      <c r="A388" s="613" t="str">
        <f t="shared" si="79"/>
        <v xml:space="preserve"> </v>
      </c>
      <c r="B388" s="276">
        <f t="shared" si="87"/>
        <v>0</v>
      </c>
      <c r="C388" s="14">
        <f t="shared" si="75"/>
        <v>0</v>
      </c>
      <c r="D388" s="14">
        <f t="shared" si="80"/>
        <v>0</v>
      </c>
      <c r="E388" s="14">
        <f t="shared" si="76"/>
        <v>0</v>
      </c>
      <c r="F388" s="14">
        <f t="shared" si="88"/>
        <v>134.16999999999999</v>
      </c>
      <c r="G388" s="14">
        <f t="shared" si="88"/>
        <v>188.55</v>
      </c>
      <c r="H388" s="14">
        <f t="shared" si="89"/>
        <v>322.72000000000003</v>
      </c>
      <c r="I388" s="276">
        <f t="shared" si="81"/>
        <v>98158.279999999955</v>
      </c>
      <c r="J388" s="276">
        <f t="shared" si="82"/>
        <v>35884.000000000022</v>
      </c>
      <c r="K388" s="276">
        <f t="shared" si="83"/>
        <v>0</v>
      </c>
      <c r="L388" s="394">
        <f t="shared" si="86"/>
        <v>30</v>
      </c>
      <c r="M388" s="394">
        <f t="shared" si="78"/>
        <v>368</v>
      </c>
      <c r="N388" s="613" t="str">
        <f>INDEX(tblSubjectToLoan[Date],ROW()-ROW(tblContractForDeed[#Headers]))</f>
        <v xml:space="preserve"> </v>
      </c>
      <c r="O388" s="276">
        <f>IF(ROW()=ROW(tblContractForDeed[#Headers])+1,$O$6,IF(INDEX(tblContractForDeed[End Bal],ROW()-ROW(tblContractForDeed[#Headers])-1)&lt;0,0,INDEX(tblContractForDeed[End Bal],ROW()-ROW(tblContractForDeed[#Headers])-1)))</f>
        <v>0</v>
      </c>
      <c r="P388" s="454">
        <f>IF(tblContractForDeed[[#This Row],[Date]]="","",IF(tblContractForDeed[[#This Row],[Date]]&lt;cfdRateChangeDate,cfdRate1,cfdRate2))</f>
        <v>7.7499999999999999E-2</v>
      </c>
      <c r="Q3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467">
        <f>IF(INDEX(tblContractForDeed[Payment],ROW()-ROW(tblBuyerOutputs[#Headers]))=0,0,INDEX(tblContractForDeed[Payment],ROW()-ROW(tblBuyerOutputs[#Headers]))-INDEX(tblSubjectToLoan[Payment],ROW()-ROW(tblBuyerOutputs[#Headers])))</f>
        <v>0</v>
      </c>
      <c r="Z3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8" s="276">
        <f>IF(INDEX(tblContractForDeed[End Bal],ROW()-ROW(tblBuyerOutputs[#Headers]))&lt;=0,0,($O$6+IF(ROW()=ROW(tblBuyerOutputs[#Headers])+1,0,INDEX(tblBuyerOutputs[Cumul Appr],ROW()-ROW(tblBuyerOutputs[#Headers])-1)))*$AK$2/12)</f>
        <v>0</v>
      </c>
      <c r="AE388" s="276">
        <f>IF(INDEX(tblContractForDeed[End Bal],ROW()-ROW(tblBuyerOutputs[#Headers]))&lt;=0,0,IF(ROW()=ROW(tblBuyerOutputs[#Headers])+1,0,INDEX(tblBuyerOutputs[Cumul Appr],ROW()-ROW(tblBuyerOutputs[#Headers])-1))+tblBuyerOutputs[[#This Row],[Monthly Appr]])</f>
        <v>0</v>
      </c>
    </row>
    <row r="389" spans="1:31" x14ac:dyDescent="0.25">
      <c r="A389" s="613" t="str">
        <f t="shared" si="79"/>
        <v xml:space="preserve"> </v>
      </c>
      <c r="B389" s="276">
        <f t="shared" si="87"/>
        <v>0</v>
      </c>
      <c r="C389" s="14">
        <f t="shared" si="75"/>
        <v>0</v>
      </c>
      <c r="D389" s="14">
        <f t="shared" si="80"/>
        <v>0</v>
      </c>
      <c r="E389" s="14">
        <f t="shared" si="76"/>
        <v>0</v>
      </c>
      <c r="F389" s="14">
        <f t="shared" si="88"/>
        <v>134.16999999999999</v>
      </c>
      <c r="G389" s="14">
        <f t="shared" si="88"/>
        <v>188.55</v>
      </c>
      <c r="H389" s="14">
        <f t="shared" si="89"/>
        <v>322.72000000000003</v>
      </c>
      <c r="I389" s="276">
        <f t="shared" si="81"/>
        <v>98158.279999999955</v>
      </c>
      <c r="J389" s="276">
        <f t="shared" si="82"/>
        <v>35884.000000000022</v>
      </c>
      <c r="K389" s="276">
        <f t="shared" si="83"/>
        <v>0</v>
      </c>
      <c r="L389" s="394">
        <f t="shared" si="86"/>
        <v>30</v>
      </c>
      <c r="M389" s="394">
        <f t="shared" si="78"/>
        <v>369</v>
      </c>
      <c r="N389" s="613" t="str">
        <f>INDEX(tblSubjectToLoan[Date],ROW()-ROW(tblContractForDeed[#Headers]))</f>
        <v xml:space="preserve"> </v>
      </c>
      <c r="O389" s="276">
        <f>IF(ROW()=ROW(tblContractForDeed[#Headers])+1,$O$6,IF(INDEX(tblContractForDeed[End Bal],ROW()-ROW(tblContractForDeed[#Headers])-1)&lt;0,0,INDEX(tblContractForDeed[End Bal],ROW()-ROW(tblContractForDeed[#Headers])-1)))</f>
        <v>0</v>
      </c>
      <c r="P389" s="454">
        <f>IF(tblContractForDeed[[#This Row],[Date]]="","",IF(tblContractForDeed[[#This Row],[Date]]&lt;cfdRateChangeDate,cfdRate1,cfdRate2))</f>
        <v>7.7499999999999999E-2</v>
      </c>
      <c r="Q3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467">
        <f>IF(INDEX(tblContractForDeed[Payment],ROW()-ROW(tblBuyerOutputs[#Headers]))=0,0,INDEX(tblContractForDeed[Payment],ROW()-ROW(tblBuyerOutputs[#Headers]))-INDEX(tblSubjectToLoan[Payment],ROW()-ROW(tblBuyerOutputs[#Headers])))</f>
        <v>0</v>
      </c>
      <c r="Z3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9" s="276">
        <f>IF(INDEX(tblContractForDeed[End Bal],ROW()-ROW(tblBuyerOutputs[#Headers]))&lt;=0,0,($O$6+IF(ROW()=ROW(tblBuyerOutputs[#Headers])+1,0,INDEX(tblBuyerOutputs[Cumul Appr],ROW()-ROW(tblBuyerOutputs[#Headers])-1)))*$AK$2/12)</f>
        <v>0</v>
      </c>
      <c r="AE389" s="276">
        <f>IF(INDEX(tblContractForDeed[End Bal],ROW()-ROW(tblBuyerOutputs[#Headers]))&lt;=0,0,IF(ROW()=ROW(tblBuyerOutputs[#Headers])+1,0,INDEX(tblBuyerOutputs[Cumul Appr],ROW()-ROW(tblBuyerOutputs[#Headers])-1))+tblBuyerOutputs[[#This Row],[Monthly Appr]])</f>
        <v>0</v>
      </c>
    </row>
    <row r="390" spans="1:31" x14ac:dyDescent="0.25">
      <c r="A390" s="613" t="str">
        <f t="shared" si="79"/>
        <v xml:space="preserve"> </v>
      </c>
      <c r="B390" s="276">
        <f t="shared" si="87"/>
        <v>0</v>
      </c>
      <c r="C390" s="14">
        <f t="shared" si="75"/>
        <v>0</v>
      </c>
      <c r="D390" s="14">
        <f t="shared" si="80"/>
        <v>0</v>
      </c>
      <c r="E390" s="14">
        <f t="shared" si="76"/>
        <v>0</v>
      </c>
      <c r="F390" s="14">
        <f t="shared" si="88"/>
        <v>134.16999999999999</v>
      </c>
      <c r="G390" s="14">
        <f t="shared" si="88"/>
        <v>188.55</v>
      </c>
      <c r="H390" s="14">
        <f t="shared" si="89"/>
        <v>322.72000000000003</v>
      </c>
      <c r="I390" s="276">
        <f t="shared" si="81"/>
        <v>98158.279999999955</v>
      </c>
      <c r="J390" s="276">
        <f t="shared" si="82"/>
        <v>35884.000000000022</v>
      </c>
      <c r="K390" s="276">
        <f t="shared" si="83"/>
        <v>0</v>
      </c>
      <c r="L390" s="394">
        <f t="shared" si="86"/>
        <v>30</v>
      </c>
      <c r="M390" s="394">
        <f t="shared" si="78"/>
        <v>370</v>
      </c>
      <c r="N390" s="613" t="str">
        <f>INDEX(tblSubjectToLoan[Date],ROW()-ROW(tblContractForDeed[#Headers]))</f>
        <v xml:space="preserve"> </v>
      </c>
      <c r="O390" s="276">
        <f>IF(ROW()=ROW(tblContractForDeed[#Headers])+1,$O$6,IF(INDEX(tblContractForDeed[End Bal],ROW()-ROW(tblContractForDeed[#Headers])-1)&lt;0,0,INDEX(tblContractForDeed[End Bal],ROW()-ROW(tblContractForDeed[#Headers])-1)))</f>
        <v>0</v>
      </c>
      <c r="P390" s="454">
        <f>IF(tblContractForDeed[[#This Row],[Date]]="","",IF(tblContractForDeed[[#This Row],[Date]]&lt;cfdRateChangeDate,cfdRate1,cfdRate2))</f>
        <v>7.7499999999999999E-2</v>
      </c>
      <c r="Q3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467">
        <f>IF(INDEX(tblContractForDeed[Payment],ROW()-ROW(tblBuyerOutputs[#Headers]))=0,0,INDEX(tblContractForDeed[Payment],ROW()-ROW(tblBuyerOutputs[#Headers]))-INDEX(tblSubjectToLoan[Payment],ROW()-ROW(tblBuyerOutputs[#Headers])))</f>
        <v>0</v>
      </c>
      <c r="Z3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0" s="276">
        <f>IF(INDEX(tblContractForDeed[End Bal],ROW()-ROW(tblBuyerOutputs[#Headers]))&lt;=0,0,($O$6+IF(ROW()=ROW(tblBuyerOutputs[#Headers])+1,0,INDEX(tblBuyerOutputs[Cumul Appr],ROW()-ROW(tblBuyerOutputs[#Headers])-1)))*$AK$2/12)</f>
        <v>0</v>
      </c>
      <c r="AE390" s="276">
        <f>IF(INDEX(tblContractForDeed[End Bal],ROW()-ROW(tblBuyerOutputs[#Headers]))&lt;=0,0,IF(ROW()=ROW(tblBuyerOutputs[#Headers])+1,0,INDEX(tblBuyerOutputs[Cumul Appr],ROW()-ROW(tblBuyerOutputs[#Headers])-1))+tblBuyerOutputs[[#This Row],[Monthly Appr]])</f>
        <v>0</v>
      </c>
    </row>
    <row r="391" spans="1:31" ht="15.75" thickBot="1" x14ac:dyDescent="0.3">
      <c r="A391" s="615" t="str">
        <f t="shared" si="79"/>
        <v xml:space="preserve"> </v>
      </c>
      <c r="B391" s="332">
        <f t="shared" si="87"/>
        <v>0</v>
      </c>
      <c r="C391" s="21">
        <f t="shared" si="75"/>
        <v>0</v>
      </c>
      <c r="D391" s="21">
        <f t="shared" si="80"/>
        <v>0</v>
      </c>
      <c r="E391" s="21">
        <f t="shared" si="76"/>
        <v>0</v>
      </c>
      <c r="F391" s="21">
        <f t="shared" si="88"/>
        <v>134.16999999999999</v>
      </c>
      <c r="G391" s="21">
        <f t="shared" si="88"/>
        <v>188.55</v>
      </c>
      <c r="H391" s="21">
        <f t="shared" si="89"/>
        <v>322.72000000000003</v>
      </c>
      <c r="I391" s="332">
        <f t="shared" si="81"/>
        <v>98158.279999999955</v>
      </c>
      <c r="J391" s="332">
        <f t="shared" si="82"/>
        <v>35884.000000000022</v>
      </c>
      <c r="K391" s="332">
        <f t="shared" si="83"/>
        <v>0</v>
      </c>
      <c r="L391" s="395">
        <f t="shared" si="86"/>
        <v>30</v>
      </c>
      <c r="M391" s="395">
        <f t="shared" si="78"/>
        <v>371</v>
      </c>
      <c r="N391" s="615" t="str">
        <f>INDEX(tblSubjectToLoan[Date],ROW()-ROW(tblContractForDeed[#Headers]))</f>
        <v xml:space="preserve"> </v>
      </c>
      <c r="O391" s="332">
        <f>IF(ROW()=ROW(tblContractForDeed[#Headers])+1,$O$6,IF(INDEX(tblContractForDeed[End Bal],ROW()-ROW(tblContractForDeed[#Headers])-1)&lt;0,0,INDEX(tblContractForDeed[End Bal],ROW()-ROW(tblContractForDeed[#Headers])-1)))</f>
        <v>0</v>
      </c>
      <c r="P391" s="454">
        <f>IF(tblContractForDeed[[#This Row],[Date]]="","",IF(tblContractForDeed[[#This Row],[Date]]&lt;cfdRateChangeDate,cfdRate1,cfdRate2))</f>
        <v>7.7499999999999999E-2</v>
      </c>
      <c r="Q3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468">
        <f>IF(INDEX(tblContractForDeed[Payment],ROW()-ROW(tblBuyerOutputs[#Headers]))=0,0,INDEX(tblContractForDeed[Payment],ROW()-ROW(tblBuyerOutputs[#Headers]))-INDEX(tblSubjectToLoan[Payment],ROW()-ROW(tblBuyerOutputs[#Headers])))</f>
        <v>0</v>
      </c>
      <c r="Z3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1" s="332">
        <f>IF(INDEX(tblContractForDeed[End Bal],ROW()-ROW(tblBuyerOutputs[#Headers]))&lt;=0,0,($O$6+IF(ROW()=ROW(tblBuyerOutputs[#Headers])+1,0,INDEX(tblBuyerOutputs[Cumul Appr],ROW()-ROW(tblBuyerOutputs[#Headers])-1)))*$AK$2/12)</f>
        <v>0</v>
      </c>
      <c r="AE391" s="332">
        <f>IF(INDEX(tblContractForDeed[End Bal],ROW()-ROW(tblBuyerOutputs[#Headers]))&lt;=0,0,IF(ROW()=ROW(tblBuyerOutputs[#Headers])+1,0,INDEX(tblBuyerOutputs[Cumul Appr],ROW()-ROW(tblBuyerOutputs[#Headers])-1))+tblBuyerOutputs[[#This Row],[Monthly Appr]])</f>
        <v>0</v>
      </c>
    </row>
    <row r="392" spans="1:31" x14ac:dyDescent="0.25">
      <c r="A392" s="613" t="str">
        <f t="shared" si="79"/>
        <v xml:space="preserve"> </v>
      </c>
      <c r="B392" s="276">
        <f t="shared" si="87"/>
        <v>0</v>
      </c>
      <c r="C392" s="14">
        <f t="shared" si="75"/>
        <v>0</v>
      </c>
      <c r="D392" s="14">
        <f t="shared" si="80"/>
        <v>0</v>
      </c>
      <c r="E392" s="14">
        <f t="shared" si="76"/>
        <v>0</v>
      </c>
      <c r="F392" s="14">
        <f t="shared" si="88"/>
        <v>134.16999999999999</v>
      </c>
      <c r="G392" s="14">
        <f t="shared" si="88"/>
        <v>188.55</v>
      </c>
      <c r="H392" s="14">
        <f t="shared" si="89"/>
        <v>322.72000000000003</v>
      </c>
      <c r="I392" s="276">
        <f t="shared" si="81"/>
        <v>98158.279999999955</v>
      </c>
      <c r="J392" s="276">
        <f t="shared" si="82"/>
        <v>35884.000000000022</v>
      </c>
      <c r="K392" s="276">
        <f t="shared" si="83"/>
        <v>0</v>
      </c>
      <c r="L392" s="394">
        <f t="shared" si="86"/>
        <v>31</v>
      </c>
      <c r="M392" s="394">
        <f t="shared" si="78"/>
        <v>372</v>
      </c>
      <c r="N392" s="613" t="str">
        <f>INDEX(tblSubjectToLoan[Date],ROW()-ROW(tblContractForDeed[#Headers]))</f>
        <v xml:space="preserve"> </v>
      </c>
      <c r="O392" s="276">
        <f>IF(ROW()=ROW(tblContractForDeed[#Headers])+1,$O$6,IF(INDEX(tblContractForDeed[End Bal],ROW()-ROW(tblContractForDeed[#Headers])-1)&lt;0,0,INDEX(tblContractForDeed[End Bal],ROW()-ROW(tblContractForDeed[#Headers])-1)))</f>
        <v>0</v>
      </c>
      <c r="P392" s="454">
        <f>IF(tblContractForDeed[[#This Row],[Date]]="","",IF(tblContractForDeed[[#This Row],[Date]]&lt;cfdRateChangeDate,cfdRate1,cfdRate2))</f>
        <v>7.7499999999999999E-2</v>
      </c>
      <c r="Q3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467">
        <f>IF(INDEX(tblContractForDeed[Payment],ROW()-ROW(tblBuyerOutputs[#Headers]))=0,0,INDEX(tblContractForDeed[Payment],ROW()-ROW(tblBuyerOutputs[#Headers]))-INDEX(tblSubjectToLoan[Payment],ROW()-ROW(tblBuyerOutputs[#Headers])))</f>
        <v>0</v>
      </c>
      <c r="Z3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2" s="276">
        <f>IF(INDEX(tblContractForDeed[End Bal],ROW()-ROW(tblBuyerOutputs[#Headers]))&lt;=0,0,($O$6+IF(ROW()=ROW(tblBuyerOutputs[#Headers])+1,0,INDEX(tblBuyerOutputs[Cumul Appr],ROW()-ROW(tblBuyerOutputs[#Headers])-1)))*$AK$2/12)</f>
        <v>0</v>
      </c>
      <c r="AE392" s="276">
        <f>IF(INDEX(tblContractForDeed[End Bal],ROW()-ROW(tblBuyerOutputs[#Headers]))&lt;=0,0,IF(ROW()=ROW(tblBuyerOutputs[#Headers])+1,0,INDEX(tblBuyerOutputs[Cumul Appr],ROW()-ROW(tblBuyerOutputs[#Headers])-1))+tblBuyerOutputs[[#This Row],[Monthly Appr]])</f>
        <v>0</v>
      </c>
    </row>
    <row r="393" spans="1:31" x14ac:dyDescent="0.25">
      <c r="A393" s="613" t="str">
        <f t="shared" si="79"/>
        <v xml:space="preserve"> </v>
      </c>
      <c r="B393" s="276">
        <f t="shared" si="87"/>
        <v>0</v>
      </c>
      <c r="C393" s="14">
        <f t="shared" si="75"/>
        <v>0</v>
      </c>
      <c r="D393" s="14">
        <f t="shared" si="80"/>
        <v>0</v>
      </c>
      <c r="E393" s="14">
        <f t="shared" si="76"/>
        <v>0</v>
      </c>
      <c r="F393" s="14">
        <f t="shared" si="88"/>
        <v>134.16999999999999</v>
      </c>
      <c r="G393" s="14">
        <f t="shared" si="88"/>
        <v>188.55</v>
      </c>
      <c r="H393" s="14">
        <f t="shared" si="89"/>
        <v>322.72000000000003</v>
      </c>
      <c r="I393" s="276">
        <f t="shared" si="81"/>
        <v>98158.279999999955</v>
      </c>
      <c r="J393" s="276">
        <f t="shared" si="82"/>
        <v>35884.000000000022</v>
      </c>
      <c r="K393" s="276">
        <f t="shared" si="83"/>
        <v>0</v>
      </c>
      <c r="L393" s="394">
        <f t="shared" si="86"/>
        <v>31</v>
      </c>
      <c r="M393" s="394">
        <f t="shared" si="78"/>
        <v>373</v>
      </c>
      <c r="N393" s="613" t="str">
        <f>INDEX(tblSubjectToLoan[Date],ROW()-ROW(tblContractForDeed[#Headers]))</f>
        <v xml:space="preserve"> </v>
      </c>
      <c r="O393" s="276">
        <f>IF(ROW()=ROW(tblContractForDeed[#Headers])+1,$O$6,IF(INDEX(tblContractForDeed[End Bal],ROW()-ROW(tblContractForDeed[#Headers])-1)&lt;0,0,INDEX(tblContractForDeed[End Bal],ROW()-ROW(tblContractForDeed[#Headers])-1)))</f>
        <v>0</v>
      </c>
      <c r="P393" s="454">
        <f>IF(tblContractForDeed[[#This Row],[Date]]="","",IF(tblContractForDeed[[#This Row],[Date]]&lt;cfdRateChangeDate,cfdRate1,cfdRate2))</f>
        <v>7.7499999999999999E-2</v>
      </c>
      <c r="Q3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467">
        <f>IF(INDEX(tblContractForDeed[Payment],ROW()-ROW(tblBuyerOutputs[#Headers]))=0,0,INDEX(tblContractForDeed[Payment],ROW()-ROW(tblBuyerOutputs[#Headers]))-INDEX(tblSubjectToLoan[Payment],ROW()-ROW(tblBuyerOutputs[#Headers])))</f>
        <v>0</v>
      </c>
      <c r="Z3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3" s="276">
        <f>IF(INDEX(tblContractForDeed[End Bal],ROW()-ROW(tblBuyerOutputs[#Headers]))&lt;=0,0,($O$6+IF(ROW()=ROW(tblBuyerOutputs[#Headers])+1,0,INDEX(tblBuyerOutputs[Cumul Appr],ROW()-ROW(tblBuyerOutputs[#Headers])-1)))*$AK$2/12)</f>
        <v>0</v>
      </c>
      <c r="AE393" s="276">
        <f>IF(INDEX(tblContractForDeed[End Bal],ROW()-ROW(tblBuyerOutputs[#Headers]))&lt;=0,0,IF(ROW()=ROW(tblBuyerOutputs[#Headers])+1,0,INDEX(tblBuyerOutputs[Cumul Appr],ROW()-ROW(tblBuyerOutputs[#Headers])-1))+tblBuyerOutputs[[#This Row],[Monthly Appr]])</f>
        <v>0</v>
      </c>
    </row>
    <row r="394" spans="1:31" x14ac:dyDescent="0.25">
      <c r="A394" s="613" t="str">
        <f t="shared" si="79"/>
        <v xml:space="preserve"> </v>
      </c>
      <c r="B394" s="276">
        <f t="shared" si="87"/>
        <v>0</v>
      </c>
      <c r="C394" s="14">
        <f t="shared" si="75"/>
        <v>0</v>
      </c>
      <c r="D394" s="14">
        <f t="shared" si="80"/>
        <v>0</v>
      </c>
      <c r="E394" s="14">
        <f t="shared" si="76"/>
        <v>0</v>
      </c>
      <c r="F394" s="14">
        <f t="shared" si="88"/>
        <v>134.16999999999999</v>
      </c>
      <c r="G394" s="14">
        <f t="shared" si="88"/>
        <v>188.55</v>
      </c>
      <c r="H394" s="14">
        <f t="shared" si="89"/>
        <v>322.72000000000003</v>
      </c>
      <c r="I394" s="276">
        <f t="shared" si="81"/>
        <v>98158.279999999955</v>
      </c>
      <c r="J394" s="276">
        <f t="shared" si="82"/>
        <v>35884.000000000022</v>
      </c>
      <c r="K394" s="276">
        <f t="shared" si="83"/>
        <v>0</v>
      </c>
      <c r="L394" s="394">
        <f t="shared" si="86"/>
        <v>31</v>
      </c>
      <c r="M394" s="394">
        <f t="shared" si="78"/>
        <v>374</v>
      </c>
      <c r="N394" s="613" t="str">
        <f>INDEX(tblSubjectToLoan[Date],ROW()-ROW(tblContractForDeed[#Headers]))</f>
        <v xml:space="preserve"> </v>
      </c>
      <c r="O394" s="276">
        <f>IF(ROW()=ROW(tblContractForDeed[#Headers])+1,$O$6,IF(INDEX(tblContractForDeed[End Bal],ROW()-ROW(tblContractForDeed[#Headers])-1)&lt;0,0,INDEX(tblContractForDeed[End Bal],ROW()-ROW(tblContractForDeed[#Headers])-1)))</f>
        <v>0</v>
      </c>
      <c r="P394" s="454">
        <f>IF(tblContractForDeed[[#This Row],[Date]]="","",IF(tblContractForDeed[[#This Row],[Date]]&lt;cfdRateChangeDate,cfdRate1,cfdRate2))</f>
        <v>7.7499999999999999E-2</v>
      </c>
      <c r="Q3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467">
        <f>IF(INDEX(tblContractForDeed[Payment],ROW()-ROW(tblBuyerOutputs[#Headers]))=0,0,INDEX(tblContractForDeed[Payment],ROW()-ROW(tblBuyerOutputs[#Headers]))-INDEX(tblSubjectToLoan[Payment],ROW()-ROW(tblBuyerOutputs[#Headers])))</f>
        <v>0</v>
      </c>
      <c r="Z3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4" s="276">
        <f>IF(INDEX(tblContractForDeed[End Bal],ROW()-ROW(tblBuyerOutputs[#Headers]))&lt;=0,0,($O$6+IF(ROW()=ROW(tblBuyerOutputs[#Headers])+1,0,INDEX(tblBuyerOutputs[Cumul Appr],ROW()-ROW(tblBuyerOutputs[#Headers])-1)))*$AK$2/12)</f>
        <v>0</v>
      </c>
      <c r="AE394" s="276">
        <f>IF(INDEX(tblContractForDeed[End Bal],ROW()-ROW(tblBuyerOutputs[#Headers]))&lt;=0,0,IF(ROW()=ROW(tblBuyerOutputs[#Headers])+1,0,INDEX(tblBuyerOutputs[Cumul Appr],ROW()-ROW(tblBuyerOutputs[#Headers])-1))+tblBuyerOutputs[[#This Row],[Monthly Appr]])</f>
        <v>0</v>
      </c>
    </row>
    <row r="395" spans="1:31" x14ac:dyDescent="0.25">
      <c r="A395" s="613" t="str">
        <f t="shared" si="79"/>
        <v xml:space="preserve"> </v>
      </c>
      <c r="B395" s="276">
        <f t="shared" si="87"/>
        <v>0</v>
      </c>
      <c r="C395" s="14">
        <f t="shared" si="75"/>
        <v>0</v>
      </c>
      <c r="D395" s="14">
        <f t="shared" si="80"/>
        <v>0</v>
      </c>
      <c r="E395" s="14">
        <f t="shared" si="76"/>
        <v>0</v>
      </c>
      <c r="F395" s="14">
        <f t="shared" si="88"/>
        <v>134.16999999999999</v>
      </c>
      <c r="G395" s="14">
        <f t="shared" si="88"/>
        <v>188.55</v>
      </c>
      <c r="H395" s="14">
        <f t="shared" si="89"/>
        <v>322.72000000000003</v>
      </c>
      <c r="I395" s="276">
        <f t="shared" si="81"/>
        <v>98158.279999999955</v>
      </c>
      <c r="J395" s="276">
        <f t="shared" si="82"/>
        <v>35884.000000000022</v>
      </c>
      <c r="K395" s="276">
        <f t="shared" si="83"/>
        <v>0</v>
      </c>
      <c r="L395" s="394">
        <f t="shared" si="86"/>
        <v>31</v>
      </c>
      <c r="M395" s="394">
        <f t="shared" si="78"/>
        <v>375</v>
      </c>
      <c r="N395" s="613" t="str">
        <f>INDEX(tblSubjectToLoan[Date],ROW()-ROW(tblContractForDeed[#Headers]))</f>
        <v xml:space="preserve"> </v>
      </c>
      <c r="O395" s="276">
        <f>IF(ROW()=ROW(tblContractForDeed[#Headers])+1,$O$6,IF(INDEX(tblContractForDeed[End Bal],ROW()-ROW(tblContractForDeed[#Headers])-1)&lt;0,0,INDEX(tblContractForDeed[End Bal],ROW()-ROW(tblContractForDeed[#Headers])-1)))</f>
        <v>0</v>
      </c>
      <c r="P395" s="454">
        <f>IF(tblContractForDeed[[#This Row],[Date]]="","",IF(tblContractForDeed[[#This Row],[Date]]&lt;cfdRateChangeDate,cfdRate1,cfdRate2))</f>
        <v>7.7499999999999999E-2</v>
      </c>
      <c r="Q3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467">
        <f>IF(INDEX(tblContractForDeed[Payment],ROW()-ROW(tblBuyerOutputs[#Headers]))=0,0,INDEX(tblContractForDeed[Payment],ROW()-ROW(tblBuyerOutputs[#Headers]))-INDEX(tblSubjectToLoan[Payment],ROW()-ROW(tblBuyerOutputs[#Headers])))</f>
        <v>0</v>
      </c>
      <c r="Z3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5" s="276">
        <f>IF(INDEX(tblContractForDeed[End Bal],ROW()-ROW(tblBuyerOutputs[#Headers]))&lt;=0,0,($O$6+IF(ROW()=ROW(tblBuyerOutputs[#Headers])+1,0,INDEX(tblBuyerOutputs[Cumul Appr],ROW()-ROW(tblBuyerOutputs[#Headers])-1)))*$AK$2/12)</f>
        <v>0</v>
      </c>
      <c r="AE395" s="276">
        <f>IF(INDEX(tblContractForDeed[End Bal],ROW()-ROW(tblBuyerOutputs[#Headers]))&lt;=0,0,IF(ROW()=ROW(tblBuyerOutputs[#Headers])+1,0,INDEX(tblBuyerOutputs[Cumul Appr],ROW()-ROW(tblBuyerOutputs[#Headers])-1))+tblBuyerOutputs[[#This Row],[Monthly Appr]])</f>
        <v>0</v>
      </c>
    </row>
    <row r="396" spans="1:31" x14ac:dyDescent="0.25">
      <c r="A396" s="613" t="str">
        <f t="shared" si="79"/>
        <v xml:space="preserve"> </v>
      </c>
      <c r="B396" s="276">
        <f t="shared" si="87"/>
        <v>0</v>
      </c>
      <c r="C396" s="14">
        <f t="shared" si="75"/>
        <v>0</v>
      </c>
      <c r="D396" s="14">
        <f t="shared" si="80"/>
        <v>0</v>
      </c>
      <c r="E396" s="14">
        <f t="shared" si="76"/>
        <v>0</v>
      </c>
      <c r="F396" s="14">
        <f t="shared" si="88"/>
        <v>134.16999999999999</v>
      </c>
      <c r="G396" s="14">
        <f t="shared" si="88"/>
        <v>188.55</v>
      </c>
      <c r="H396" s="14">
        <f t="shared" si="89"/>
        <v>322.72000000000003</v>
      </c>
      <c r="I396" s="276">
        <f t="shared" si="81"/>
        <v>98158.279999999955</v>
      </c>
      <c r="J396" s="276">
        <f t="shared" si="82"/>
        <v>35884.000000000022</v>
      </c>
      <c r="K396" s="276">
        <f t="shared" si="83"/>
        <v>0</v>
      </c>
      <c r="L396" s="394">
        <f t="shared" si="86"/>
        <v>31</v>
      </c>
      <c r="M396" s="394">
        <f t="shared" si="78"/>
        <v>376</v>
      </c>
      <c r="N396" s="613" t="str">
        <f>INDEX(tblSubjectToLoan[Date],ROW()-ROW(tblContractForDeed[#Headers]))</f>
        <v xml:space="preserve"> </v>
      </c>
      <c r="O396" s="276">
        <f>IF(ROW()=ROW(tblContractForDeed[#Headers])+1,$O$6,IF(INDEX(tblContractForDeed[End Bal],ROW()-ROW(tblContractForDeed[#Headers])-1)&lt;0,0,INDEX(tblContractForDeed[End Bal],ROW()-ROW(tblContractForDeed[#Headers])-1)))</f>
        <v>0</v>
      </c>
      <c r="P396" s="454">
        <f>IF(tblContractForDeed[[#This Row],[Date]]="","",IF(tblContractForDeed[[#This Row],[Date]]&lt;cfdRateChangeDate,cfdRate1,cfdRate2))</f>
        <v>7.7499999999999999E-2</v>
      </c>
      <c r="Q3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467">
        <f>IF(INDEX(tblContractForDeed[Payment],ROW()-ROW(tblBuyerOutputs[#Headers]))=0,0,INDEX(tblContractForDeed[Payment],ROW()-ROW(tblBuyerOutputs[#Headers]))-INDEX(tblSubjectToLoan[Payment],ROW()-ROW(tblBuyerOutputs[#Headers])))</f>
        <v>0</v>
      </c>
      <c r="Z3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6" s="276">
        <f>IF(INDEX(tblContractForDeed[End Bal],ROW()-ROW(tblBuyerOutputs[#Headers]))&lt;=0,0,($O$6+IF(ROW()=ROW(tblBuyerOutputs[#Headers])+1,0,INDEX(tblBuyerOutputs[Cumul Appr],ROW()-ROW(tblBuyerOutputs[#Headers])-1)))*$AK$2/12)</f>
        <v>0</v>
      </c>
      <c r="AE396" s="276">
        <f>IF(INDEX(tblContractForDeed[End Bal],ROW()-ROW(tblBuyerOutputs[#Headers]))&lt;=0,0,IF(ROW()=ROW(tblBuyerOutputs[#Headers])+1,0,INDEX(tblBuyerOutputs[Cumul Appr],ROW()-ROW(tblBuyerOutputs[#Headers])-1))+tblBuyerOutputs[[#This Row],[Monthly Appr]])</f>
        <v>0</v>
      </c>
    </row>
    <row r="397" spans="1:31" x14ac:dyDescent="0.25">
      <c r="A397" s="613" t="str">
        <f t="shared" si="79"/>
        <v xml:space="preserve"> </v>
      </c>
      <c r="B397" s="276">
        <f t="shared" si="87"/>
        <v>0</v>
      </c>
      <c r="C397" s="14">
        <f t="shared" si="75"/>
        <v>0</v>
      </c>
      <c r="D397" s="14">
        <f t="shared" si="80"/>
        <v>0</v>
      </c>
      <c r="E397" s="14">
        <f t="shared" si="76"/>
        <v>0</v>
      </c>
      <c r="F397" s="14">
        <f t="shared" si="88"/>
        <v>134.16999999999999</v>
      </c>
      <c r="G397" s="14">
        <f t="shared" si="88"/>
        <v>188.55</v>
      </c>
      <c r="H397" s="14">
        <f t="shared" si="89"/>
        <v>322.72000000000003</v>
      </c>
      <c r="I397" s="276">
        <f t="shared" si="81"/>
        <v>98158.279999999955</v>
      </c>
      <c r="J397" s="276">
        <f t="shared" si="82"/>
        <v>35884.000000000022</v>
      </c>
      <c r="K397" s="276">
        <f t="shared" si="83"/>
        <v>0</v>
      </c>
      <c r="L397" s="394">
        <f t="shared" si="86"/>
        <v>31</v>
      </c>
      <c r="M397" s="394">
        <f t="shared" si="78"/>
        <v>377</v>
      </c>
      <c r="N397" s="613" t="str">
        <f>INDEX(tblSubjectToLoan[Date],ROW()-ROW(tblContractForDeed[#Headers]))</f>
        <v xml:space="preserve"> </v>
      </c>
      <c r="O397" s="276">
        <f>IF(ROW()=ROW(tblContractForDeed[#Headers])+1,$O$6,IF(INDEX(tblContractForDeed[End Bal],ROW()-ROW(tblContractForDeed[#Headers])-1)&lt;0,0,INDEX(tblContractForDeed[End Bal],ROW()-ROW(tblContractForDeed[#Headers])-1)))</f>
        <v>0</v>
      </c>
      <c r="P397" s="454">
        <f>IF(tblContractForDeed[[#This Row],[Date]]="","",IF(tblContractForDeed[[#This Row],[Date]]&lt;cfdRateChangeDate,cfdRate1,cfdRate2))</f>
        <v>7.7499999999999999E-2</v>
      </c>
      <c r="Q3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467">
        <f>IF(INDEX(tblContractForDeed[Payment],ROW()-ROW(tblBuyerOutputs[#Headers]))=0,0,INDEX(tblContractForDeed[Payment],ROW()-ROW(tblBuyerOutputs[#Headers]))-INDEX(tblSubjectToLoan[Payment],ROW()-ROW(tblBuyerOutputs[#Headers])))</f>
        <v>0</v>
      </c>
      <c r="Z3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7" s="276">
        <f>IF(INDEX(tblContractForDeed[End Bal],ROW()-ROW(tblBuyerOutputs[#Headers]))&lt;=0,0,($O$6+IF(ROW()=ROW(tblBuyerOutputs[#Headers])+1,0,INDEX(tblBuyerOutputs[Cumul Appr],ROW()-ROW(tblBuyerOutputs[#Headers])-1)))*$AK$2/12)</f>
        <v>0</v>
      </c>
      <c r="AE397" s="276">
        <f>IF(INDEX(tblContractForDeed[End Bal],ROW()-ROW(tblBuyerOutputs[#Headers]))&lt;=0,0,IF(ROW()=ROW(tblBuyerOutputs[#Headers])+1,0,INDEX(tblBuyerOutputs[Cumul Appr],ROW()-ROW(tblBuyerOutputs[#Headers])-1))+tblBuyerOutputs[[#This Row],[Monthly Appr]])</f>
        <v>0</v>
      </c>
    </row>
    <row r="398" spans="1:31" x14ac:dyDescent="0.25">
      <c r="A398" s="613" t="str">
        <f t="shared" si="79"/>
        <v xml:space="preserve"> </v>
      </c>
      <c r="B398" s="276">
        <f t="shared" si="87"/>
        <v>0</v>
      </c>
      <c r="C398" s="14">
        <f t="shared" si="75"/>
        <v>0</v>
      </c>
      <c r="D398" s="14">
        <f t="shared" si="80"/>
        <v>0</v>
      </c>
      <c r="E398" s="14">
        <f t="shared" si="76"/>
        <v>0</v>
      </c>
      <c r="F398" s="14">
        <f t="shared" si="88"/>
        <v>134.16999999999999</v>
      </c>
      <c r="G398" s="14">
        <f t="shared" si="88"/>
        <v>188.55</v>
      </c>
      <c r="H398" s="14">
        <f t="shared" si="89"/>
        <v>322.72000000000003</v>
      </c>
      <c r="I398" s="276">
        <f t="shared" si="81"/>
        <v>98158.279999999955</v>
      </c>
      <c r="J398" s="276">
        <f t="shared" si="82"/>
        <v>35884.000000000022</v>
      </c>
      <c r="K398" s="276">
        <f t="shared" si="83"/>
        <v>0</v>
      </c>
      <c r="L398" s="394">
        <f t="shared" si="86"/>
        <v>31</v>
      </c>
      <c r="M398" s="394">
        <f t="shared" si="78"/>
        <v>378</v>
      </c>
      <c r="N398" s="613" t="str">
        <f>INDEX(tblSubjectToLoan[Date],ROW()-ROW(tblContractForDeed[#Headers]))</f>
        <v xml:space="preserve"> </v>
      </c>
      <c r="O398" s="276">
        <f>IF(ROW()=ROW(tblContractForDeed[#Headers])+1,$O$6,IF(INDEX(tblContractForDeed[End Bal],ROW()-ROW(tblContractForDeed[#Headers])-1)&lt;0,0,INDEX(tblContractForDeed[End Bal],ROW()-ROW(tblContractForDeed[#Headers])-1)))</f>
        <v>0</v>
      </c>
      <c r="P398" s="454">
        <f>IF(tblContractForDeed[[#This Row],[Date]]="","",IF(tblContractForDeed[[#This Row],[Date]]&lt;cfdRateChangeDate,cfdRate1,cfdRate2))</f>
        <v>7.7499999999999999E-2</v>
      </c>
      <c r="Q3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467">
        <f>IF(INDEX(tblContractForDeed[Payment],ROW()-ROW(tblBuyerOutputs[#Headers]))=0,0,INDEX(tblContractForDeed[Payment],ROW()-ROW(tblBuyerOutputs[#Headers]))-INDEX(tblSubjectToLoan[Payment],ROW()-ROW(tblBuyerOutputs[#Headers])))</f>
        <v>0</v>
      </c>
      <c r="Z3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8" s="276">
        <f>IF(INDEX(tblContractForDeed[End Bal],ROW()-ROW(tblBuyerOutputs[#Headers]))&lt;=0,0,($O$6+IF(ROW()=ROW(tblBuyerOutputs[#Headers])+1,0,INDEX(tblBuyerOutputs[Cumul Appr],ROW()-ROW(tblBuyerOutputs[#Headers])-1)))*$AK$2/12)</f>
        <v>0</v>
      </c>
      <c r="AE398" s="276">
        <f>IF(INDEX(tblContractForDeed[End Bal],ROW()-ROW(tblBuyerOutputs[#Headers]))&lt;=0,0,IF(ROW()=ROW(tblBuyerOutputs[#Headers])+1,0,INDEX(tblBuyerOutputs[Cumul Appr],ROW()-ROW(tblBuyerOutputs[#Headers])-1))+tblBuyerOutputs[[#This Row],[Monthly Appr]])</f>
        <v>0</v>
      </c>
    </row>
    <row r="399" spans="1:31" x14ac:dyDescent="0.25">
      <c r="A399" s="613" t="str">
        <f t="shared" si="79"/>
        <v xml:space="preserve"> </v>
      </c>
      <c r="B399" s="276">
        <f t="shared" si="87"/>
        <v>0</v>
      </c>
      <c r="C399" s="14">
        <f t="shared" si="75"/>
        <v>0</v>
      </c>
      <c r="D399" s="14">
        <f t="shared" si="80"/>
        <v>0</v>
      </c>
      <c r="E399" s="14">
        <f t="shared" si="76"/>
        <v>0</v>
      </c>
      <c r="F399" s="14">
        <f t="shared" ref="F399:G414" si="90">+F398</f>
        <v>134.16999999999999</v>
      </c>
      <c r="G399" s="14">
        <f t="shared" si="90"/>
        <v>188.55</v>
      </c>
      <c r="H399" s="14">
        <f t="shared" si="89"/>
        <v>322.72000000000003</v>
      </c>
      <c r="I399" s="276">
        <f t="shared" si="81"/>
        <v>98158.279999999955</v>
      </c>
      <c r="J399" s="276">
        <f t="shared" si="82"/>
        <v>35884.000000000022</v>
      </c>
      <c r="K399" s="276">
        <f t="shared" si="83"/>
        <v>0</v>
      </c>
      <c r="L399" s="394">
        <f t="shared" si="86"/>
        <v>31</v>
      </c>
      <c r="M399" s="394">
        <f t="shared" si="78"/>
        <v>379</v>
      </c>
      <c r="N399" s="613" t="str">
        <f>INDEX(tblSubjectToLoan[Date],ROW()-ROW(tblContractForDeed[#Headers]))</f>
        <v xml:space="preserve"> </v>
      </c>
      <c r="O399" s="276">
        <f>IF(ROW()=ROW(tblContractForDeed[#Headers])+1,$O$6,IF(INDEX(tblContractForDeed[End Bal],ROW()-ROW(tblContractForDeed[#Headers])-1)&lt;0,0,INDEX(tblContractForDeed[End Bal],ROW()-ROW(tblContractForDeed[#Headers])-1)))</f>
        <v>0</v>
      </c>
      <c r="P399" s="454">
        <f>IF(tblContractForDeed[[#This Row],[Date]]="","",IF(tblContractForDeed[[#This Row],[Date]]&lt;cfdRateChangeDate,cfdRate1,cfdRate2))</f>
        <v>7.7499999999999999E-2</v>
      </c>
      <c r="Q3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467">
        <f>IF(INDEX(tblContractForDeed[Payment],ROW()-ROW(tblBuyerOutputs[#Headers]))=0,0,INDEX(tblContractForDeed[Payment],ROW()-ROW(tblBuyerOutputs[#Headers]))-INDEX(tblSubjectToLoan[Payment],ROW()-ROW(tblBuyerOutputs[#Headers])))</f>
        <v>0</v>
      </c>
      <c r="Z3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9" s="276">
        <f>IF(INDEX(tblContractForDeed[End Bal],ROW()-ROW(tblBuyerOutputs[#Headers]))&lt;=0,0,($O$6+IF(ROW()=ROW(tblBuyerOutputs[#Headers])+1,0,INDEX(tblBuyerOutputs[Cumul Appr],ROW()-ROW(tblBuyerOutputs[#Headers])-1)))*$AK$2/12)</f>
        <v>0</v>
      </c>
      <c r="AE399" s="276">
        <f>IF(INDEX(tblContractForDeed[End Bal],ROW()-ROW(tblBuyerOutputs[#Headers]))&lt;=0,0,IF(ROW()=ROW(tblBuyerOutputs[#Headers])+1,0,INDEX(tblBuyerOutputs[Cumul Appr],ROW()-ROW(tblBuyerOutputs[#Headers])-1))+tblBuyerOutputs[[#This Row],[Monthly Appr]])</f>
        <v>0</v>
      </c>
    </row>
    <row r="400" spans="1:31" x14ac:dyDescent="0.25">
      <c r="A400" s="613" t="str">
        <f t="shared" si="79"/>
        <v xml:space="preserve"> </v>
      </c>
      <c r="B400" s="276">
        <f t="shared" si="87"/>
        <v>0</v>
      </c>
      <c r="C400" s="14">
        <f t="shared" si="75"/>
        <v>0</v>
      </c>
      <c r="D400" s="14">
        <f t="shared" si="80"/>
        <v>0</v>
      </c>
      <c r="E400" s="14">
        <f t="shared" si="76"/>
        <v>0</v>
      </c>
      <c r="F400" s="14">
        <f t="shared" si="90"/>
        <v>134.16999999999999</v>
      </c>
      <c r="G400" s="14">
        <f t="shared" si="90"/>
        <v>188.55</v>
      </c>
      <c r="H400" s="14">
        <f t="shared" si="89"/>
        <v>322.72000000000003</v>
      </c>
      <c r="I400" s="276">
        <f t="shared" si="81"/>
        <v>98158.279999999955</v>
      </c>
      <c r="J400" s="276">
        <f t="shared" si="82"/>
        <v>35884.000000000022</v>
      </c>
      <c r="K400" s="276">
        <f t="shared" si="83"/>
        <v>0</v>
      </c>
      <c r="L400" s="394">
        <f t="shared" si="86"/>
        <v>31</v>
      </c>
      <c r="M400" s="394">
        <f t="shared" si="78"/>
        <v>380</v>
      </c>
      <c r="N400" s="613" t="str">
        <f>INDEX(tblSubjectToLoan[Date],ROW()-ROW(tblContractForDeed[#Headers]))</f>
        <v xml:space="preserve"> </v>
      </c>
      <c r="O400" s="276">
        <f>IF(ROW()=ROW(tblContractForDeed[#Headers])+1,$O$6,IF(INDEX(tblContractForDeed[End Bal],ROW()-ROW(tblContractForDeed[#Headers])-1)&lt;0,0,INDEX(tblContractForDeed[End Bal],ROW()-ROW(tblContractForDeed[#Headers])-1)))</f>
        <v>0</v>
      </c>
      <c r="P400" s="454">
        <f>IF(tblContractForDeed[[#This Row],[Date]]="","",IF(tblContractForDeed[[#This Row],[Date]]&lt;cfdRateChangeDate,cfdRate1,cfdRate2))</f>
        <v>7.7499999999999999E-2</v>
      </c>
      <c r="Q4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467">
        <f>IF(INDEX(tblContractForDeed[Payment],ROW()-ROW(tblBuyerOutputs[#Headers]))=0,0,INDEX(tblContractForDeed[Payment],ROW()-ROW(tblBuyerOutputs[#Headers]))-INDEX(tblSubjectToLoan[Payment],ROW()-ROW(tblBuyerOutputs[#Headers])))</f>
        <v>0</v>
      </c>
      <c r="Z4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0" s="276">
        <f>IF(INDEX(tblContractForDeed[End Bal],ROW()-ROW(tblBuyerOutputs[#Headers]))&lt;=0,0,($O$6+IF(ROW()=ROW(tblBuyerOutputs[#Headers])+1,0,INDEX(tblBuyerOutputs[Cumul Appr],ROW()-ROW(tblBuyerOutputs[#Headers])-1)))*$AK$2/12)</f>
        <v>0</v>
      </c>
      <c r="AE400" s="276">
        <f>IF(INDEX(tblContractForDeed[End Bal],ROW()-ROW(tblBuyerOutputs[#Headers]))&lt;=0,0,IF(ROW()=ROW(tblBuyerOutputs[#Headers])+1,0,INDEX(tblBuyerOutputs[Cumul Appr],ROW()-ROW(tblBuyerOutputs[#Headers])-1))+tblBuyerOutputs[[#This Row],[Monthly Appr]])</f>
        <v>0</v>
      </c>
    </row>
    <row r="401" spans="1:31" x14ac:dyDescent="0.25">
      <c r="A401" s="613" t="str">
        <f t="shared" si="79"/>
        <v xml:space="preserve"> </v>
      </c>
      <c r="B401" s="276">
        <f t="shared" si="87"/>
        <v>0</v>
      </c>
      <c r="C401" s="14">
        <f t="shared" si="75"/>
        <v>0</v>
      </c>
      <c r="D401" s="14">
        <f t="shared" si="80"/>
        <v>0</v>
      </c>
      <c r="E401" s="14">
        <f t="shared" si="76"/>
        <v>0</v>
      </c>
      <c r="F401" s="14">
        <f t="shared" si="90"/>
        <v>134.16999999999999</v>
      </c>
      <c r="G401" s="14">
        <f t="shared" si="90"/>
        <v>188.55</v>
      </c>
      <c r="H401" s="14">
        <f t="shared" si="89"/>
        <v>322.72000000000003</v>
      </c>
      <c r="I401" s="276">
        <f t="shared" si="81"/>
        <v>98158.279999999955</v>
      </c>
      <c r="J401" s="276">
        <f t="shared" si="82"/>
        <v>35884.000000000022</v>
      </c>
      <c r="K401" s="276">
        <f t="shared" si="83"/>
        <v>0</v>
      </c>
      <c r="L401" s="394">
        <f t="shared" si="86"/>
        <v>31</v>
      </c>
      <c r="M401" s="394">
        <f t="shared" si="78"/>
        <v>381</v>
      </c>
      <c r="N401" s="613" t="str">
        <f>INDEX(tblSubjectToLoan[Date],ROW()-ROW(tblContractForDeed[#Headers]))</f>
        <v xml:space="preserve"> </v>
      </c>
      <c r="O401" s="276">
        <f>IF(ROW()=ROW(tblContractForDeed[#Headers])+1,$O$6,IF(INDEX(tblContractForDeed[End Bal],ROW()-ROW(tblContractForDeed[#Headers])-1)&lt;0,0,INDEX(tblContractForDeed[End Bal],ROW()-ROW(tblContractForDeed[#Headers])-1)))</f>
        <v>0</v>
      </c>
      <c r="P401" s="454">
        <f>IF(tblContractForDeed[[#This Row],[Date]]="","",IF(tblContractForDeed[[#This Row],[Date]]&lt;cfdRateChangeDate,cfdRate1,cfdRate2))</f>
        <v>7.7499999999999999E-2</v>
      </c>
      <c r="Q4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467">
        <f>IF(INDEX(tblContractForDeed[Payment],ROW()-ROW(tblBuyerOutputs[#Headers]))=0,0,INDEX(tblContractForDeed[Payment],ROW()-ROW(tblBuyerOutputs[#Headers]))-INDEX(tblSubjectToLoan[Payment],ROW()-ROW(tblBuyerOutputs[#Headers])))</f>
        <v>0</v>
      </c>
      <c r="Z4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1" s="276">
        <f>IF(INDEX(tblContractForDeed[End Bal],ROW()-ROW(tblBuyerOutputs[#Headers]))&lt;=0,0,($O$6+IF(ROW()=ROW(tblBuyerOutputs[#Headers])+1,0,INDEX(tblBuyerOutputs[Cumul Appr],ROW()-ROW(tblBuyerOutputs[#Headers])-1)))*$AK$2/12)</f>
        <v>0</v>
      </c>
      <c r="AE401" s="276">
        <f>IF(INDEX(tblContractForDeed[End Bal],ROW()-ROW(tblBuyerOutputs[#Headers]))&lt;=0,0,IF(ROW()=ROW(tblBuyerOutputs[#Headers])+1,0,INDEX(tblBuyerOutputs[Cumul Appr],ROW()-ROW(tblBuyerOutputs[#Headers])-1))+tblBuyerOutputs[[#This Row],[Monthly Appr]])</f>
        <v>0</v>
      </c>
    </row>
    <row r="402" spans="1:31" x14ac:dyDescent="0.25">
      <c r="A402" s="613" t="str">
        <f t="shared" si="79"/>
        <v xml:space="preserve"> </v>
      </c>
      <c r="B402" s="276">
        <f t="shared" si="87"/>
        <v>0</v>
      </c>
      <c r="C402" s="14">
        <f t="shared" si="75"/>
        <v>0</v>
      </c>
      <c r="D402" s="14">
        <f t="shared" si="80"/>
        <v>0</v>
      </c>
      <c r="E402" s="14">
        <f t="shared" si="76"/>
        <v>0</v>
      </c>
      <c r="F402" s="14">
        <f t="shared" si="90"/>
        <v>134.16999999999999</v>
      </c>
      <c r="G402" s="14">
        <f t="shared" si="90"/>
        <v>188.55</v>
      </c>
      <c r="H402" s="14">
        <f t="shared" si="89"/>
        <v>322.72000000000003</v>
      </c>
      <c r="I402" s="276">
        <f t="shared" si="81"/>
        <v>98158.279999999955</v>
      </c>
      <c r="J402" s="276">
        <f t="shared" si="82"/>
        <v>35884.000000000022</v>
      </c>
      <c r="K402" s="276">
        <f t="shared" si="83"/>
        <v>0</v>
      </c>
      <c r="L402" s="394">
        <f t="shared" si="86"/>
        <v>31</v>
      </c>
      <c r="M402" s="394">
        <f t="shared" si="78"/>
        <v>382</v>
      </c>
      <c r="N402" s="613" t="str">
        <f>INDEX(tblSubjectToLoan[Date],ROW()-ROW(tblContractForDeed[#Headers]))</f>
        <v xml:space="preserve"> </v>
      </c>
      <c r="O402" s="276">
        <f>IF(ROW()=ROW(tblContractForDeed[#Headers])+1,$O$6,IF(INDEX(tblContractForDeed[End Bal],ROW()-ROW(tblContractForDeed[#Headers])-1)&lt;0,0,INDEX(tblContractForDeed[End Bal],ROW()-ROW(tblContractForDeed[#Headers])-1)))</f>
        <v>0</v>
      </c>
      <c r="P402" s="454">
        <f>IF(tblContractForDeed[[#This Row],[Date]]="","",IF(tblContractForDeed[[#This Row],[Date]]&lt;cfdRateChangeDate,cfdRate1,cfdRate2))</f>
        <v>7.7499999999999999E-2</v>
      </c>
      <c r="Q4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467">
        <f>IF(INDEX(tblContractForDeed[Payment],ROW()-ROW(tblBuyerOutputs[#Headers]))=0,0,INDEX(tblContractForDeed[Payment],ROW()-ROW(tblBuyerOutputs[#Headers]))-INDEX(tblSubjectToLoan[Payment],ROW()-ROW(tblBuyerOutputs[#Headers])))</f>
        <v>0</v>
      </c>
      <c r="Z4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2" s="276">
        <f>IF(INDEX(tblContractForDeed[End Bal],ROW()-ROW(tblBuyerOutputs[#Headers]))&lt;=0,0,($O$6+IF(ROW()=ROW(tblBuyerOutputs[#Headers])+1,0,INDEX(tblBuyerOutputs[Cumul Appr],ROW()-ROW(tblBuyerOutputs[#Headers])-1)))*$AK$2/12)</f>
        <v>0</v>
      </c>
      <c r="AE402" s="276">
        <f>IF(INDEX(tblContractForDeed[End Bal],ROW()-ROW(tblBuyerOutputs[#Headers]))&lt;=0,0,IF(ROW()=ROW(tblBuyerOutputs[#Headers])+1,0,INDEX(tblBuyerOutputs[Cumul Appr],ROW()-ROW(tblBuyerOutputs[#Headers])-1))+tblBuyerOutputs[[#This Row],[Monthly Appr]])</f>
        <v>0</v>
      </c>
    </row>
    <row r="403" spans="1:31" ht="15.75" thickBot="1" x14ac:dyDescent="0.3">
      <c r="A403" s="615" t="str">
        <f t="shared" si="79"/>
        <v xml:space="preserve"> </v>
      </c>
      <c r="B403" s="332">
        <f t="shared" si="87"/>
        <v>0</v>
      </c>
      <c r="C403" s="21">
        <f t="shared" si="75"/>
        <v>0</v>
      </c>
      <c r="D403" s="21">
        <f t="shared" si="80"/>
        <v>0</v>
      </c>
      <c r="E403" s="21">
        <f t="shared" si="76"/>
        <v>0</v>
      </c>
      <c r="F403" s="21">
        <f t="shared" si="90"/>
        <v>134.16999999999999</v>
      </c>
      <c r="G403" s="21">
        <f t="shared" si="90"/>
        <v>188.55</v>
      </c>
      <c r="H403" s="21">
        <f t="shared" si="89"/>
        <v>322.72000000000003</v>
      </c>
      <c r="I403" s="332">
        <f t="shared" si="81"/>
        <v>98158.279999999955</v>
      </c>
      <c r="J403" s="332">
        <f t="shared" si="82"/>
        <v>35884.000000000022</v>
      </c>
      <c r="K403" s="332">
        <f t="shared" si="83"/>
        <v>0</v>
      </c>
      <c r="L403" s="395">
        <f t="shared" si="86"/>
        <v>31</v>
      </c>
      <c r="M403" s="395">
        <f t="shared" si="78"/>
        <v>383</v>
      </c>
      <c r="N403" s="615" t="str">
        <f>INDEX(tblSubjectToLoan[Date],ROW()-ROW(tblContractForDeed[#Headers]))</f>
        <v xml:space="preserve"> </v>
      </c>
      <c r="O403" s="332">
        <f>IF(ROW()=ROW(tblContractForDeed[#Headers])+1,$O$6,IF(INDEX(tblContractForDeed[End Bal],ROW()-ROW(tblContractForDeed[#Headers])-1)&lt;0,0,INDEX(tblContractForDeed[End Bal],ROW()-ROW(tblContractForDeed[#Headers])-1)))</f>
        <v>0</v>
      </c>
      <c r="P403" s="454">
        <f>IF(tblContractForDeed[[#This Row],[Date]]="","",IF(tblContractForDeed[[#This Row],[Date]]&lt;cfdRateChangeDate,cfdRate1,cfdRate2))</f>
        <v>7.7499999999999999E-2</v>
      </c>
      <c r="Q4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468">
        <f>IF(INDEX(tblContractForDeed[Payment],ROW()-ROW(tblBuyerOutputs[#Headers]))=0,0,INDEX(tblContractForDeed[Payment],ROW()-ROW(tblBuyerOutputs[#Headers]))-INDEX(tblSubjectToLoan[Payment],ROW()-ROW(tblBuyerOutputs[#Headers])))</f>
        <v>0</v>
      </c>
      <c r="Z4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3" s="332">
        <f>IF(INDEX(tblContractForDeed[End Bal],ROW()-ROW(tblBuyerOutputs[#Headers]))&lt;=0,0,($O$6+IF(ROW()=ROW(tblBuyerOutputs[#Headers])+1,0,INDEX(tblBuyerOutputs[Cumul Appr],ROW()-ROW(tblBuyerOutputs[#Headers])-1)))*$AK$2/12)</f>
        <v>0</v>
      </c>
      <c r="AE403" s="332">
        <f>IF(INDEX(tblContractForDeed[End Bal],ROW()-ROW(tblBuyerOutputs[#Headers]))&lt;=0,0,IF(ROW()=ROW(tblBuyerOutputs[#Headers])+1,0,INDEX(tblBuyerOutputs[Cumul Appr],ROW()-ROW(tblBuyerOutputs[#Headers])-1))+tblBuyerOutputs[[#This Row],[Monthly Appr]])</f>
        <v>0</v>
      </c>
    </row>
    <row r="404" spans="1:31" x14ac:dyDescent="0.25">
      <c r="A404" s="613" t="str">
        <f t="shared" si="79"/>
        <v xml:space="preserve"> </v>
      </c>
      <c r="B404" s="276">
        <f t="shared" si="87"/>
        <v>0</v>
      </c>
      <c r="C404" s="14">
        <f t="shared" ref="C404:C467" si="91">IF(+$K403&lt;=0,0,$C$6)</f>
        <v>0</v>
      </c>
      <c r="D404" s="14">
        <f t="shared" si="80"/>
        <v>0</v>
      </c>
      <c r="E404" s="14">
        <f t="shared" ref="E404:E467" si="92">ROUND($B404*($C$4/12), 2)</f>
        <v>0</v>
      </c>
      <c r="F404" s="14">
        <f t="shared" si="90"/>
        <v>134.16999999999999</v>
      </c>
      <c r="G404" s="14">
        <f t="shared" si="90"/>
        <v>188.55</v>
      </c>
      <c r="H404" s="14">
        <f t="shared" si="89"/>
        <v>322.72000000000003</v>
      </c>
      <c r="I404" s="276">
        <f t="shared" si="81"/>
        <v>98158.279999999955</v>
      </c>
      <c r="J404" s="276">
        <f t="shared" si="82"/>
        <v>35884.000000000022</v>
      </c>
      <c r="K404" s="276">
        <f t="shared" si="83"/>
        <v>0</v>
      </c>
      <c r="L404" s="394">
        <f t="shared" si="86"/>
        <v>32</v>
      </c>
      <c r="M404" s="394">
        <f t="shared" si="78"/>
        <v>384</v>
      </c>
      <c r="N404" s="613" t="str">
        <f>INDEX(tblSubjectToLoan[Date],ROW()-ROW(tblContractForDeed[#Headers]))</f>
        <v xml:space="preserve"> </v>
      </c>
      <c r="O404" s="276">
        <f>IF(ROW()=ROW(tblContractForDeed[#Headers])+1,$O$6,IF(INDEX(tblContractForDeed[End Bal],ROW()-ROW(tblContractForDeed[#Headers])-1)&lt;0,0,INDEX(tblContractForDeed[End Bal],ROW()-ROW(tblContractForDeed[#Headers])-1)))</f>
        <v>0</v>
      </c>
      <c r="P404" s="454">
        <f>IF(tblContractForDeed[[#This Row],[Date]]="","",IF(tblContractForDeed[[#This Row],[Date]]&lt;cfdRateChangeDate,cfdRate1,cfdRate2))</f>
        <v>7.7499999999999999E-2</v>
      </c>
      <c r="Q4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467">
        <f>IF(INDEX(tblContractForDeed[Payment],ROW()-ROW(tblBuyerOutputs[#Headers]))=0,0,INDEX(tblContractForDeed[Payment],ROW()-ROW(tblBuyerOutputs[#Headers]))-INDEX(tblSubjectToLoan[Payment],ROW()-ROW(tblBuyerOutputs[#Headers])))</f>
        <v>0</v>
      </c>
      <c r="Z4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4" s="276">
        <f>IF(INDEX(tblContractForDeed[End Bal],ROW()-ROW(tblBuyerOutputs[#Headers]))&lt;=0,0,($O$6+IF(ROW()=ROW(tblBuyerOutputs[#Headers])+1,0,INDEX(tblBuyerOutputs[Cumul Appr],ROW()-ROW(tblBuyerOutputs[#Headers])-1)))*$AK$2/12)</f>
        <v>0</v>
      </c>
      <c r="AE404" s="276">
        <f>IF(INDEX(tblContractForDeed[End Bal],ROW()-ROW(tblBuyerOutputs[#Headers]))&lt;=0,0,IF(ROW()=ROW(tblBuyerOutputs[#Headers])+1,0,INDEX(tblBuyerOutputs[Cumul Appr],ROW()-ROW(tblBuyerOutputs[#Headers])-1))+tblBuyerOutputs[[#This Row],[Monthly Appr]])</f>
        <v>0</v>
      </c>
    </row>
    <row r="405" spans="1:31" x14ac:dyDescent="0.25">
      <c r="A405" s="613" t="str">
        <f t="shared" si="79"/>
        <v xml:space="preserve"> </v>
      </c>
      <c r="B405" s="276">
        <f t="shared" si="87"/>
        <v>0</v>
      </c>
      <c r="C405" s="14">
        <f t="shared" si="91"/>
        <v>0</v>
      </c>
      <c r="D405" s="14">
        <f t="shared" si="80"/>
        <v>0</v>
      </c>
      <c r="E405" s="14">
        <f t="shared" si="92"/>
        <v>0</v>
      </c>
      <c r="F405" s="14">
        <f t="shared" si="90"/>
        <v>134.16999999999999</v>
      </c>
      <c r="G405" s="14">
        <f t="shared" si="90"/>
        <v>188.55</v>
      </c>
      <c r="H405" s="14">
        <f t="shared" si="89"/>
        <v>322.72000000000003</v>
      </c>
      <c r="I405" s="276">
        <f t="shared" si="81"/>
        <v>98158.279999999955</v>
      </c>
      <c r="J405" s="276">
        <f t="shared" si="82"/>
        <v>35884.000000000022</v>
      </c>
      <c r="K405" s="276">
        <f t="shared" si="83"/>
        <v>0</v>
      </c>
      <c r="L405" s="394">
        <f t="shared" si="86"/>
        <v>32</v>
      </c>
      <c r="M405" s="394">
        <f t="shared" ref="M405:M468" si="93">IF($A405&lt;&gt;"",M404+1,0)</f>
        <v>385</v>
      </c>
      <c r="N405" s="613" t="str">
        <f>INDEX(tblSubjectToLoan[Date],ROW()-ROW(tblContractForDeed[#Headers]))</f>
        <v xml:space="preserve"> </v>
      </c>
      <c r="O405" s="276">
        <f>IF(ROW()=ROW(tblContractForDeed[#Headers])+1,$O$6,IF(INDEX(tblContractForDeed[End Bal],ROW()-ROW(tblContractForDeed[#Headers])-1)&lt;0,0,INDEX(tblContractForDeed[End Bal],ROW()-ROW(tblContractForDeed[#Headers])-1)))</f>
        <v>0</v>
      </c>
      <c r="P405" s="454">
        <f>IF(tblContractForDeed[[#This Row],[Date]]="","",IF(tblContractForDeed[[#This Row],[Date]]&lt;cfdRateChangeDate,cfdRate1,cfdRate2))</f>
        <v>7.7499999999999999E-2</v>
      </c>
      <c r="Q4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467">
        <f>IF(INDEX(tblContractForDeed[Payment],ROW()-ROW(tblBuyerOutputs[#Headers]))=0,0,INDEX(tblContractForDeed[Payment],ROW()-ROW(tblBuyerOutputs[#Headers]))-INDEX(tblSubjectToLoan[Payment],ROW()-ROW(tblBuyerOutputs[#Headers])))</f>
        <v>0</v>
      </c>
      <c r="Z4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5" s="276">
        <f>IF(INDEX(tblContractForDeed[End Bal],ROW()-ROW(tblBuyerOutputs[#Headers]))&lt;=0,0,($O$6+IF(ROW()=ROW(tblBuyerOutputs[#Headers])+1,0,INDEX(tblBuyerOutputs[Cumul Appr],ROW()-ROW(tblBuyerOutputs[#Headers])-1)))*$AK$2/12)</f>
        <v>0</v>
      </c>
      <c r="AE405" s="276">
        <f>IF(INDEX(tblContractForDeed[End Bal],ROW()-ROW(tblBuyerOutputs[#Headers]))&lt;=0,0,IF(ROW()=ROW(tblBuyerOutputs[#Headers])+1,0,INDEX(tblBuyerOutputs[Cumul Appr],ROW()-ROW(tblBuyerOutputs[#Headers])-1))+tblBuyerOutputs[[#This Row],[Monthly Appr]])</f>
        <v>0</v>
      </c>
    </row>
    <row r="406" spans="1:31" x14ac:dyDescent="0.25">
      <c r="A406" s="613" t="str">
        <f t="shared" ref="A406:A469" si="94">IF(K406&lt;=0," ",+A405+30)</f>
        <v xml:space="preserve"> </v>
      </c>
      <c r="B406" s="276">
        <f t="shared" si="87"/>
        <v>0</v>
      </c>
      <c r="C406" s="14">
        <f t="shared" si="91"/>
        <v>0</v>
      </c>
      <c r="D406" s="14">
        <f t="shared" ref="D406:D469" si="95">+C406-E406</f>
        <v>0</v>
      </c>
      <c r="E406" s="14">
        <f t="shared" si="92"/>
        <v>0</v>
      </c>
      <c r="F406" s="14">
        <f t="shared" si="90"/>
        <v>134.16999999999999</v>
      </c>
      <c r="G406" s="14">
        <f t="shared" si="90"/>
        <v>188.55</v>
      </c>
      <c r="H406" s="14">
        <f t="shared" si="89"/>
        <v>322.72000000000003</v>
      </c>
      <c r="I406" s="276">
        <f t="shared" ref="I406:I469" si="96">$D406+$I405</f>
        <v>98158.279999999955</v>
      </c>
      <c r="J406" s="276">
        <f t="shared" ref="J406:J469" si="97">$E406+$J405</f>
        <v>35884.000000000022</v>
      </c>
      <c r="K406" s="276">
        <f t="shared" ref="K406:K469" si="98">+B406-D406</f>
        <v>0</v>
      </c>
      <c r="L406" s="394">
        <f t="shared" si="86"/>
        <v>32</v>
      </c>
      <c r="M406" s="394">
        <f t="shared" si="93"/>
        <v>386</v>
      </c>
      <c r="N406" s="613" t="str">
        <f>INDEX(tblSubjectToLoan[Date],ROW()-ROW(tblContractForDeed[#Headers]))</f>
        <v xml:space="preserve"> </v>
      </c>
      <c r="O406" s="276">
        <f>IF(ROW()=ROW(tblContractForDeed[#Headers])+1,$O$6,IF(INDEX(tblContractForDeed[End Bal],ROW()-ROW(tblContractForDeed[#Headers])-1)&lt;0,0,INDEX(tblContractForDeed[End Bal],ROW()-ROW(tblContractForDeed[#Headers])-1)))</f>
        <v>0</v>
      </c>
      <c r="P406" s="454">
        <f>IF(tblContractForDeed[[#This Row],[Date]]="","",IF(tblContractForDeed[[#This Row],[Date]]&lt;cfdRateChangeDate,cfdRate1,cfdRate2))</f>
        <v>7.7499999999999999E-2</v>
      </c>
      <c r="Q4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467">
        <f>IF(INDEX(tblContractForDeed[Payment],ROW()-ROW(tblBuyerOutputs[#Headers]))=0,0,INDEX(tblContractForDeed[Payment],ROW()-ROW(tblBuyerOutputs[#Headers]))-INDEX(tblSubjectToLoan[Payment],ROW()-ROW(tblBuyerOutputs[#Headers])))</f>
        <v>0</v>
      </c>
      <c r="Z4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6" s="276">
        <f>IF(INDEX(tblContractForDeed[End Bal],ROW()-ROW(tblBuyerOutputs[#Headers]))&lt;=0,0,($O$6+IF(ROW()=ROW(tblBuyerOutputs[#Headers])+1,0,INDEX(tblBuyerOutputs[Cumul Appr],ROW()-ROW(tblBuyerOutputs[#Headers])-1)))*$AK$2/12)</f>
        <v>0</v>
      </c>
      <c r="AE406" s="276">
        <f>IF(INDEX(tblContractForDeed[End Bal],ROW()-ROW(tblBuyerOutputs[#Headers]))&lt;=0,0,IF(ROW()=ROW(tblBuyerOutputs[#Headers])+1,0,INDEX(tblBuyerOutputs[Cumul Appr],ROW()-ROW(tblBuyerOutputs[#Headers])-1))+tblBuyerOutputs[[#This Row],[Monthly Appr]])</f>
        <v>0</v>
      </c>
    </row>
    <row r="407" spans="1:31" x14ac:dyDescent="0.25">
      <c r="A407" s="613" t="str">
        <f t="shared" si="94"/>
        <v xml:space="preserve"> </v>
      </c>
      <c r="B407" s="276">
        <f t="shared" si="87"/>
        <v>0</v>
      </c>
      <c r="C407" s="14">
        <f t="shared" si="91"/>
        <v>0</v>
      </c>
      <c r="D407" s="14">
        <f t="shared" si="95"/>
        <v>0</v>
      </c>
      <c r="E407" s="14">
        <f t="shared" si="92"/>
        <v>0</v>
      </c>
      <c r="F407" s="14">
        <f t="shared" si="90"/>
        <v>134.16999999999999</v>
      </c>
      <c r="G407" s="14">
        <f t="shared" si="90"/>
        <v>188.55</v>
      </c>
      <c r="H407" s="14">
        <f t="shared" si="89"/>
        <v>322.72000000000003</v>
      </c>
      <c r="I407" s="276">
        <f t="shared" si="96"/>
        <v>98158.279999999955</v>
      </c>
      <c r="J407" s="276">
        <f t="shared" si="97"/>
        <v>35884.000000000022</v>
      </c>
      <c r="K407" s="276">
        <f t="shared" si="98"/>
        <v>0</v>
      </c>
      <c r="L407" s="394">
        <f t="shared" si="86"/>
        <v>32</v>
      </c>
      <c r="M407" s="394">
        <f t="shared" si="93"/>
        <v>387</v>
      </c>
      <c r="N407" s="613" t="str">
        <f>INDEX(tblSubjectToLoan[Date],ROW()-ROW(tblContractForDeed[#Headers]))</f>
        <v xml:space="preserve"> </v>
      </c>
      <c r="O407" s="276">
        <f>IF(ROW()=ROW(tblContractForDeed[#Headers])+1,$O$6,IF(INDEX(tblContractForDeed[End Bal],ROW()-ROW(tblContractForDeed[#Headers])-1)&lt;0,0,INDEX(tblContractForDeed[End Bal],ROW()-ROW(tblContractForDeed[#Headers])-1)))</f>
        <v>0</v>
      </c>
      <c r="P407" s="454">
        <f>IF(tblContractForDeed[[#This Row],[Date]]="","",IF(tblContractForDeed[[#This Row],[Date]]&lt;cfdRateChangeDate,cfdRate1,cfdRate2))</f>
        <v>7.7499999999999999E-2</v>
      </c>
      <c r="Q4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467">
        <f>IF(INDEX(tblContractForDeed[Payment],ROW()-ROW(tblBuyerOutputs[#Headers]))=0,0,INDEX(tblContractForDeed[Payment],ROW()-ROW(tblBuyerOutputs[#Headers]))-INDEX(tblSubjectToLoan[Payment],ROW()-ROW(tblBuyerOutputs[#Headers])))</f>
        <v>0</v>
      </c>
      <c r="Z4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7" s="276">
        <f>IF(INDEX(tblContractForDeed[End Bal],ROW()-ROW(tblBuyerOutputs[#Headers]))&lt;=0,0,($O$6+IF(ROW()=ROW(tblBuyerOutputs[#Headers])+1,0,INDEX(tblBuyerOutputs[Cumul Appr],ROW()-ROW(tblBuyerOutputs[#Headers])-1)))*$AK$2/12)</f>
        <v>0</v>
      </c>
      <c r="AE407" s="276">
        <f>IF(INDEX(tblContractForDeed[End Bal],ROW()-ROW(tblBuyerOutputs[#Headers]))&lt;=0,0,IF(ROW()=ROW(tblBuyerOutputs[#Headers])+1,0,INDEX(tblBuyerOutputs[Cumul Appr],ROW()-ROW(tblBuyerOutputs[#Headers])-1))+tblBuyerOutputs[[#This Row],[Monthly Appr]])</f>
        <v>0</v>
      </c>
    </row>
    <row r="408" spans="1:31" x14ac:dyDescent="0.25">
      <c r="A408" s="613" t="str">
        <f t="shared" si="94"/>
        <v xml:space="preserve"> </v>
      </c>
      <c r="B408" s="276">
        <f t="shared" si="87"/>
        <v>0</v>
      </c>
      <c r="C408" s="14">
        <f t="shared" si="91"/>
        <v>0</v>
      </c>
      <c r="D408" s="14">
        <f t="shared" si="95"/>
        <v>0</v>
      </c>
      <c r="E408" s="14">
        <f t="shared" si="92"/>
        <v>0</v>
      </c>
      <c r="F408" s="14">
        <f t="shared" si="90"/>
        <v>134.16999999999999</v>
      </c>
      <c r="G408" s="14">
        <f t="shared" si="90"/>
        <v>188.55</v>
      </c>
      <c r="H408" s="14">
        <f t="shared" si="89"/>
        <v>322.72000000000003</v>
      </c>
      <c r="I408" s="276">
        <f t="shared" si="96"/>
        <v>98158.279999999955</v>
      </c>
      <c r="J408" s="276">
        <f t="shared" si="97"/>
        <v>35884.000000000022</v>
      </c>
      <c r="K408" s="276">
        <f t="shared" si="98"/>
        <v>0</v>
      </c>
      <c r="L408" s="394">
        <f t="shared" si="86"/>
        <v>32</v>
      </c>
      <c r="M408" s="394">
        <f t="shared" si="93"/>
        <v>388</v>
      </c>
      <c r="N408" s="613" t="str">
        <f>INDEX(tblSubjectToLoan[Date],ROW()-ROW(tblContractForDeed[#Headers]))</f>
        <v xml:space="preserve"> </v>
      </c>
      <c r="O408" s="276">
        <f>IF(ROW()=ROW(tblContractForDeed[#Headers])+1,$O$6,IF(INDEX(tblContractForDeed[End Bal],ROW()-ROW(tblContractForDeed[#Headers])-1)&lt;0,0,INDEX(tblContractForDeed[End Bal],ROW()-ROW(tblContractForDeed[#Headers])-1)))</f>
        <v>0</v>
      </c>
      <c r="P408" s="454">
        <f>IF(tblContractForDeed[[#This Row],[Date]]="","",IF(tblContractForDeed[[#This Row],[Date]]&lt;cfdRateChangeDate,cfdRate1,cfdRate2))</f>
        <v>7.7499999999999999E-2</v>
      </c>
      <c r="Q4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467">
        <f>IF(INDEX(tblContractForDeed[Payment],ROW()-ROW(tblBuyerOutputs[#Headers]))=0,0,INDEX(tblContractForDeed[Payment],ROW()-ROW(tblBuyerOutputs[#Headers]))-INDEX(tblSubjectToLoan[Payment],ROW()-ROW(tblBuyerOutputs[#Headers])))</f>
        <v>0</v>
      </c>
      <c r="Z4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8" s="276">
        <f>IF(INDEX(tblContractForDeed[End Bal],ROW()-ROW(tblBuyerOutputs[#Headers]))&lt;=0,0,($O$6+IF(ROW()=ROW(tblBuyerOutputs[#Headers])+1,0,INDEX(tblBuyerOutputs[Cumul Appr],ROW()-ROW(tblBuyerOutputs[#Headers])-1)))*$AK$2/12)</f>
        <v>0</v>
      </c>
      <c r="AE408" s="276">
        <f>IF(INDEX(tblContractForDeed[End Bal],ROW()-ROW(tblBuyerOutputs[#Headers]))&lt;=0,0,IF(ROW()=ROW(tblBuyerOutputs[#Headers])+1,0,INDEX(tblBuyerOutputs[Cumul Appr],ROW()-ROW(tblBuyerOutputs[#Headers])-1))+tblBuyerOutputs[[#This Row],[Monthly Appr]])</f>
        <v>0</v>
      </c>
    </row>
    <row r="409" spans="1:31" x14ac:dyDescent="0.25">
      <c r="A409" s="613" t="str">
        <f t="shared" si="94"/>
        <v xml:space="preserve"> </v>
      </c>
      <c r="B409" s="276">
        <f t="shared" si="87"/>
        <v>0</v>
      </c>
      <c r="C409" s="14">
        <f t="shared" si="91"/>
        <v>0</v>
      </c>
      <c r="D409" s="14">
        <f t="shared" si="95"/>
        <v>0</v>
      </c>
      <c r="E409" s="14">
        <f t="shared" si="92"/>
        <v>0</v>
      </c>
      <c r="F409" s="14">
        <f t="shared" si="90"/>
        <v>134.16999999999999</v>
      </c>
      <c r="G409" s="14">
        <f t="shared" si="90"/>
        <v>188.55</v>
      </c>
      <c r="H409" s="14">
        <f t="shared" si="89"/>
        <v>322.72000000000003</v>
      </c>
      <c r="I409" s="276">
        <f t="shared" si="96"/>
        <v>98158.279999999955</v>
      </c>
      <c r="J409" s="276">
        <f t="shared" si="97"/>
        <v>35884.000000000022</v>
      </c>
      <c r="K409" s="276">
        <f t="shared" si="98"/>
        <v>0</v>
      </c>
      <c r="L409" s="394">
        <f t="shared" si="86"/>
        <v>32</v>
      </c>
      <c r="M409" s="394">
        <f t="shared" si="93"/>
        <v>389</v>
      </c>
      <c r="N409" s="613" t="str">
        <f>INDEX(tblSubjectToLoan[Date],ROW()-ROW(tblContractForDeed[#Headers]))</f>
        <v xml:space="preserve"> </v>
      </c>
      <c r="O409" s="276">
        <f>IF(ROW()=ROW(tblContractForDeed[#Headers])+1,$O$6,IF(INDEX(tblContractForDeed[End Bal],ROW()-ROW(tblContractForDeed[#Headers])-1)&lt;0,0,INDEX(tblContractForDeed[End Bal],ROW()-ROW(tblContractForDeed[#Headers])-1)))</f>
        <v>0</v>
      </c>
      <c r="P409" s="454">
        <f>IF(tblContractForDeed[[#This Row],[Date]]="","",IF(tblContractForDeed[[#This Row],[Date]]&lt;cfdRateChangeDate,cfdRate1,cfdRate2))</f>
        <v>7.7499999999999999E-2</v>
      </c>
      <c r="Q4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467">
        <f>IF(INDEX(tblContractForDeed[Payment],ROW()-ROW(tblBuyerOutputs[#Headers]))=0,0,INDEX(tblContractForDeed[Payment],ROW()-ROW(tblBuyerOutputs[#Headers]))-INDEX(tblSubjectToLoan[Payment],ROW()-ROW(tblBuyerOutputs[#Headers])))</f>
        <v>0</v>
      </c>
      <c r="Z4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9" s="276">
        <f>IF(INDEX(tblContractForDeed[End Bal],ROW()-ROW(tblBuyerOutputs[#Headers]))&lt;=0,0,($O$6+IF(ROW()=ROW(tblBuyerOutputs[#Headers])+1,0,INDEX(tblBuyerOutputs[Cumul Appr],ROW()-ROW(tblBuyerOutputs[#Headers])-1)))*$AK$2/12)</f>
        <v>0</v>
      </c>
      <c r="AE409" s="276">
        <f>IF(INDEX(tblContractForDeed[End Bal],ROW()-ROW(tblBuyerOutputs[#Headers]))&lt;=0,0,IF(ROW()=ROW(tblBuyerOutputs[#Headers])+1,0,INDEX(tblBuyerOutputs[Cumul Appr],ROW()-ROW(tblBuyerOutputs[#Headers])-1))+tblBuyerOutputs[[#This Row],[Monthly Appr]])</f>
        <v>0</v>
      </c>
    </row>
    <row r="410" spans="1:31" x14ac:dyDescent="0.25">
      <c r="A410" s="613" t="str">
        <f t="shared" si="94"/>
        <v xml:space="preserve"> </v>
      </c>
      <c r="B410" s="276">
        <f t="shared" si="87"/>
        <v>0</v>
      </c>
      <c r="C410" s="14">
        <f t="shared" si="91"/>
        <v>0</v>
      </c>
      <c r="D410" s="14">
        <f t="shared" si="95"/>
        <v>0</v>
      </c>
      <c r="E410" s="14">
        <f t="shared" si="92"/>
        <v>0</v>
      </c>
      <c r="F410" s="14">
        <f t="shared" si="90"/>
        <v>134.16999999999999</v>
      </c>
      <c r="G410" s="14">
        <f t="shared" si="90"/>
        <v>188.55</v>
      </c>
      <c r="H410" s="14">
        <f t="shared" si="89"/>
        <v>322.72000000000003</v>
      </c>
      <c r="I410" s="276">
        <f t="shared" si="96"/>
        <v>98158.279999999955</v>
      </c>
      <c r="J410" s="276">
        <f t="shared" si="97"/>
        <v>35884.000000000022</v>
      </c>
      <c r="K410" s="276">
        <f t="shared" si="98"/>
        <v>0</v>
      </c>
      <c r="L410" s="394">
        <f t="shared" si="86"/>
        <v>32</v>
      </c>
      <c r="M410" s="394">
        <f t="shared" si="93"/>
        <v>390</v>
      </c>
      <c r="N410" s="613" t="str">
        <f>INDEX(tblSubjectToLoan[Date],ROW()-ROW(tblContractForDeed[#Headers]))</f>
        <v xml:space="preserve"> </v>
      </c>
      <c r="O410" s="276">
        <f>IF(ROW()=ROW(tblContractForDeed[#Headers])+1,$O$6,IF(INDEX(tblContractForDeed[End Bal],ROW()-ROW(tblContractForDeed[#Headers])-1)&lt;0,0,INDEX(tblContractForDeed[End Bal],ROW()-ROW(tblContractForDeed[#Headers])-1)))</f>
        <v>0</v>
      </c>
      <c r="P410" s="454">
        <f>IF(tblContractForDeed[[#This Row],[Date]]="","",IF(tblContractForDeed[[#This Row],[Date]]&lt;cfdRateChangeDate,cfdRate1,cfdRate2))</f>
        <v>7.7499999999999999E-2</v>
      </c>
      <c r="Q4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467">
        <f>IF(INDEX(tblContractForDeed[Payment],ROW()-ROW(tblBuyerOutputs[#Headers]))=0,0,INDEX(tblContractForDeed[Payment],ROW()-ROW(tblBuyerOutputs[#Headers]))-INDEX(tblSubjectToLoan[Payment],ROW()-ROW(tblBuyerOutputs[#Headers])))</f>
        <v>0</v>
      </c>
      <c r="Z4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0" s="276">
        <f>IF(INDEX(tblContractForDeed[End Bal],ROW()-ROW(tblBuyerOutputs[#Headers]))&lt;=0,0,($O$6+IF(ROW()=ROW(tblBuyerOutputs[#Headers])+1,0,INDEX(tblBuyerOutputs[Cumul Appr],ROW()-ROW(tblBuyerOutputs[#Headers])-1)))*$AK$2/12)</f>
        <v>0</v>
      </c>
      <c r="AE410" s="276">
        <f>IF(INDEX(tblContractForDeed[End Bal],ROW()-ROW(tblBuyerOutputs[#Headers]))&lt;=0,0,IF(ROW()=ROW(tblBuyerOutputs[#Headers])+1,0,INDEX(tblBuyerOutputs[Cumul Appr],ROW()-ROW(tblBuyerOutputs[#Headers])-1))+tblBuyerOutputs[[#This Row],[Monthly Appr]])</f>
        <v>0</v>
      </c>
    </row>
    <row r="411" spans="1:31" x14ac:dyDescent="0.25">
      <c r="A411" s="613" t="str">
        <f t="shared" si="94"/>
        <v xml:space="preserve"> </v>
      </c>
      <c r="B411" s="276">
        <f t="shared" si="87"/>
        <v>0</v>
      </c>
      <c r="C411" s="14">
        <f t="shared" si="91"/>
        <v>0</v>
      </c>
      <c r="D411" s="14">
        <f t="shared" si="95"/>
        <v>0</v>
      </c>
      <c r="E411" s="14">
        <f t="shared" si="92"/>
        <v>0</v>
      </c>
      <c r="F411" s="14">
        <f t="shared" si="90"/>
        <v>134.16999999999999</v>
      </c>
      <c r="G411" s="14">
        <f t="shared" si="90"/>
        <v>188.55</v>
      </c>
      <c r="H411" s="14">
        <f t="shared" si="89"/>
        <v>322.72000000000003</v>
      </c>
      <c r="I411" s="276">
        <f t="shared" si="96"/>
        <v>98158.279999999955</v>
      </c>
      <c r="J411" s="276">
        <f t="shared" si="97"/>
        <v>35884.000000000022</v>
      </c>
      <c r="K411" s="276">
        <f t="shared" si="98"/>
        <v>0</v>
      </c>
      <c r="L411" s="394">
        <f t="shared" si="86"/>
        <v>32</v>
      </c>
      <c r="M411" s="394">
        <f t="shared" si="93"/>
        <v>391</v>
      </c>
      <c r="N411" s="613" t="str">
        <f>INDEX(tblSubjectToLoan[Date],ROW()-ROW(tblContractForDeed[#Headers]))</f>
        <v xml:space="preserve"> </v>
      </c>
      <c r="O411" s="276">
        <f>IF(ROW()=ROW(tblContractForDeed[#Headers])+1,$O$6,IF(INDEX(tblContractForDeed[End Bal],ROW()-ROW(tblContractForDeed[#Headers])-1)&lt;0,0,INDEX(tblContractForDeed[End Bal],ROW()-ROW(tblContractForDeed[#Headers])-1)))</f>
        <v>0</v>
      </c>
      <c r="P411" s="454">
        <f>IF(tblContractForDeed[[#This Row],[Date]]="","",IF(tblContractForDeed[[#This Row],[Date]]&lt;cfdRateChangeDate,cfdRate1,cfdRate2))</f>
        <v>7.7499999999999999E-2</v>
      </c>
      <c r="Q4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467">
        <f>IF(INDEX(tblContractForDeed[Payment],ROW()-ROW(tblBuyerOutputs[#Headers]))=0,0,INDEX(tblContractForDeed[Payment],ROW()-ROW(tblBuyerOutputs[#Headers]))-INDEX(tblSubjectToLoan[Payment],ROW()-ROW(tblBuyerOutputs[#Headers])))</f>
        <v>0</v>
      </c>
      <c r="Z4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1" s="276">
        <f>IF(INDEX(tblContractForDeed[End Bal],ROW()-ROW(tblBuyerOutputs[#Headers]))&lt;=0,0,($O$6+IF(ROW()=ROW(tblBuyerOutputs[#Headers])+1,0,INDEX(tblBuyerOutputs[Cumul Appr],ROW()-ROW(tblBuyerOutputs[#Headers])-1)))*$AK$2/12)</f>
        <v>0</v>
      </c>
      <c r="AE411" s="276">
        <f>IF(INDEX(tblContractForDeed[End Bal],ROW()-ROW(tblBuyerOutputs[#Headers]))&lt;=0,0,IF(ROW()=ROW(tblBuyerOutputs[#Headers])+1,0,INDEX(tblBuyerOutputs[Cumul Appr],ROW()-ROW(tblBuyerOutputs[#Headers])-1))+tblBuyerOutputs[[#This Row],[Monthly Appr]])</f>
        <v>0</v>
      </c>
    </row>
    <row r="412" spans="1:31" x14ac:dyDescent="0.25">
      <c r="A412" s="613" t="str">
        <f t="shared" si="94"/>
        <v xml:space="preserve"> </v>
      </c>
      <c r="B412" s="276">
        <f t="shared" si="87"/>
        <v>0</v>
      </c>
      <c r="C412" s="14">
        <f t="shared" si="91"/>
        <v>0</v>
      </c>
      <c r="D412" s="14">
        <f t="shared" si="95"/>
        <v>0</v>
      </c>
      <c r="E412" s="14">
        <f t="shared" si="92"/>
        <v>0</v>
      </c>
      <c r="F412" s="14">
        <f t="shared" si="90"/>
        <v>134.16999999999999</v>
      </c>
      <c r="G412" s="14">
        <f t="shared" si="90"/>
        <v>188.55</v>
      </c>
      <c r="H412" s="14">
        <f t="shared" si="89"/>
        <v>322.72000000000003</v>
      </c>
      <c r="I412" s="276">
        <f t="shared" si="96"/>
        <v>98158.279999999955</v>
      </c>
      <c r="J412" s="276">
        <f t="shared" si="97"/>
        <v>35884.000000000022</v>
      </c>
      <c r="K412" s="276">
        <f t="shared" si="98"/>
        <v>0</v>
      </c>
      <c r="L412" s="394">
        <f t="shared" si="86"/>
        <v>32</v>
      </c>
      <c r="M412" s="394">
        <f t="shared" si="93"/>
        <v>392</v>
      </c>
      <c r="N412" s="613" t="str">
        <f>INDEX(tblSubjectToLoan[Date],ROW()-ROW(tblContractForDeed[#Headers]))</f>
        <v xml:space="preserve"> </v>
      </c>
      <c r="O412" s="276">
        <f>IF(ROW()=ROW(tblContractForDeed[#Headers])+1,$O$6,IF(INDEX(tblContractForDeed[End Bal],ROW()-ROW(tblContractForDeed[#Headers])-1)&lt;0,0,INDEX(tblContractForDeed[End Bal],ROW()-ROW(tblContractForDeed[#Headers])-1)))</f>
        <v>0</v>
      </c>
      <c r="P412" s="454">
        <f>IF(tblContractForDeed[[#This Row],[Date]]="","",IF(tblContractForDeed[[#This Row],[Date]]&lt;cfdRateChangeDate,cfdRate1,cfdRate2))</f>
        <v>7.7499999999999999E-2</v>
      </c>
      <c r="Q4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467">
        <f>IF(INDEX(tblContractForDeed[Payment],ROW()-ROW(tblBuyerOutputs[#Headers]))=0,0,INDEX(tblContractForDeed[Payment],ROW()-ROW(tblBuyerOutputs[#Headers]))-INDEX(tblSubjectToLoan[Payment],ROW()-ROW(tblBuyerOutputs[#Headers])))</f>
        <v>0</v>
      </c>
      <c r="Z4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2" s="276">
        <f>IF(INDEX(tblContractForDeed[End Bal],ROW()-ROW(tblBuyerOutputs[#Headers]))&lt;=0,0,($O$6+IF(ROW()=ROW(tblBuyerOutputs[#Headers])+1,0,INDEX(tblBuyerOutputs[Cumul Appr],ROW()-ROW(tblBuyerOutputs[#Headers])-1)))*$AK$2/12)</f>
        <v>0</v>
      </c>
      <c r="AE412" s="276">
        <f>IF(INDEX(tblContractForDeed[End Bal],ROW()-ROW(tblBuyerOutputs[#Headers]))&lt;=0,0,IF(ROW()=ROW(tblBuyerOutputs[#Headers])+1,0,INDEX(tblBuyerOutputs[Cumul Appr],ROW()-ROW(tblBuyerOutputs[#Headers])-1))+tblBuyerOutputs[[#This Row],[Monthly Appr]])</f>
        <v>0</v>
      </c>
    </row>
    <row r="413" spans="1:31" x14ac:dyDescent="0.25">
      <c r="A413" s="613" t="str">
        <f t="shared" si="94"/>
        <v xml:space="preserve"> </v>
      </c>
      <c r="B413" s="276">
        <f t="shared" si="87"/>
        <v>0</v>
      </c>
      <c r="C413" s="14">
        <f t="shared" si="91"/>
        <v>0</v>
      </c>
      <c r="D413" s="14">
        <f t="shared" si="95"/>
        <v>0</v>
      </c>
      <c r="E413" s="14">
        <f t="shared" si="92"/>
        <v>0</v>
      </c>
      <c r="F413" s="14">
        <f t="shared" si="90"/>
        <v>134.16999999999999</v>
      </c>
      <c r="G413" s="14">
        <f t="shared" si="90"/>
        <v>188.55</v>
      </c>
      <c r="H413" s="14">
        <f t="shared" si="89"/>
        <v>322.72000000000003</v>
      </c>
      <c r="I413" s="276">
        <f t="shared" si="96"/>
        <v>98158.279999999955</v>
      </c>
      <c r="J413" s="276">
        <f t="shared" si="97"/>
        <v>35884.000000000022</v>
      </c>
      <c r="K413" s="276">
        <f t="shared" si="98"/>
        <v>0</v>
      </c>
      <c r="L413" s="394">
        <f t="shared" si="86"/>
        <v>32</v>
      </c>
      <c r="M413" s="394">
        <f t="shared" si="93"/>
        <v>393</v>
      </c>
      <c r="N413" s="613" t="str">
        <f>INDEX(tblSubjectToLoan[Date],ROW()-ROW(tblContractForDeed[#Headers]))</f>
        <v xml:space="preserve"> </v>
      </c>
      <c r="O413" s="276">
        <f>IF(ROW()=ROW(tblContractForDeed[#Headers])+1,$O$6,IF(INDEX(tblContractForDeed[End Bal],ROW()-ROW(tblContractForDeed[#Headers])-1)&lt;0,0,INDEX(tblContractForDeed[End Bal],ROW()-ROW(tblContractForDeed[#Headers])-1)))</f>
        <v>0</v>
      </c>
      <c r="P413" s="454">
        <f>IF(tblContractForDeed[[#This Row],[Date]]="","",IF(tblContractForDeed[[#This Row],[Date]]&lt;cfdRateChangeDate,cfdRate1,cfdRate2))</f>
        <v>7.7499999999999999E-2</v>
      </c>
      <c r="Q4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467">
        <f>IF(INDEX(tblContractForDeed[Payment],ROW()-ROW(tblBuyerOutputs[#Headers]))=0,0,INDEX(tblContractForDeed[Payment],ROW()-ROW(tblBuyerOutputs[#Headers]))-INDEX(tblSubjectToLoan[Payment],ROW()-ROW(tblBuyerOutputs[#Headers])))</f>
        <v>0</v>
      </c>
      <c r="Z4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3" s="276">
        <f>IF(INDEX(tblContractForDeed[End Bal],ROW()-ROW(tblBuyerOutputs[#Headers]))&lt;=0,0,($O$6+IF(ROW()=ROW(tblBuyerOutputs[#Headers])+1,0,INDEX(tblBuyerOutputs[Cumul Appr],ROW()-ROW(tblBuyerOutputs[#Headers])-1)))*$AK$2/12)</f>
        <v>0</v>
      </c>
      <c r="AE413" s="276">
        <f>IF(INDEX(tblContractForDeed[End Bal],ROW()-ROW(tblBuyerOutputs[#Headers]))&lt;=0,0,IF(ROW()=ROW(tblBuyerOutputs[#Headers])+1,0,INDEX(tblBuyerOutputs[Cumul Appr],ROW()-ROW(tblBuyerOutputs[#Headers])-1))+tblBuyerOutputs[[#This Row],[Monthly Appr]])</f>
        <v>0</v>
      </c>
    </row>
    <row r="414" spans="1:31" x14ac:dyDescent="0.25">
      <c r="A414" s="613" t="str">
        <f t="shared" si="94"/>
        <v xml:space="preserve"> </v>
      </c>
      <c r="B414" s="276">
        <f t="shared" si="87"/>
        <v>0</v>
      </c>
      <c r="C414" s="14">
        <f t="shared" si="91"/>
        <v>0</v>
      </c>
      <c r="D414" s="14">
        <f t="shared" si="95"/>
        <v>0</v>
      </c>
      <c r="E414" s="14">
        <f t="shared" si="92"/>
        <v>0</v>
      </c>
      <c r="F414" s="14">
        <f t="shared" si="90"/>
        <v>134.16999999999999</v>
      </c>
      <c r="G414" s="14">
        <f t="shared" si="90"/>
        <v>188.55</v>
      </c>
      <c r="H414" s="14">
        <f t="shared" si="89"/>
        <v>322.72000000000003</v>
      </c>
      <c r="I414" s="276">
        <f t="shared" si="96"/>
        <v>98158.279999999955</v>
      </c>
      <c r="J414" s="276">
        <f t="shared" si="97"/>
        <v>35884.000000000022</v>
      </c>
      <c r="K414" s="276">
        <f t="shared" si="98"/>
        <v>0</v>
      </c>
      <c r="L414" s="394">
        <f t="shared" si="86"/>
        <v>32</v>
      </c>
      <c r="M414" s="394">
        <f t="shared" si="93"/>
        <v>394</v>
      </c>
      <c r="N414" s="613" t="str">
        <f>INDEX(tblSubjectToLoan[Date],ROW()-ROW(tblContractForDeed[#Headers]))</f>
        <v xml:space="preserve"> </v>
      </c>
      <c r="O414" s="276">
        <f>IF(ROW()=ROW(tblContractForDeed[#Headers])+1,$O$6,IF(INDEX(tblContractForDeed[End Bal],ROW()-ROW(tblContractForDeed[#Headers])-1)&lt;0,0,INDEX(tblContractForDeed[End Bal],ROW()-ROW(tblContractForDeed[#Headers])-1)))</f>
        <v>0</v>
      </c>
      <c r="P414" s="454">
        <f>IF(tblContractForDeed[[#This Row],[Date]]="","",IF(tblContractForDeed[[#This Row],[Date]]&lt;cfdRateChangeDate,cfdRate1,cfdRate2))</f>
        <v>7.7499999999999999E-2</v>
      </c>
      <c r="Q4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467">
        <f>IF(INDEX(tblContractForDeed[Payment],ROW()-ROW(tblBuyerOutputs[#Headers]))=0,0,INDEX(tblContractForDeed[Payment],ROW()-ROW(tblBuyerOutputs[#Headers]))-INDEX(tblSubjectToLoan[Payment],ROW()-ROW(tblBuyerOutputs[#Headers])))</f>
        <v>0</v>
      </c>
      <c r="Z4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4" s="276">
        <f>IF(INDEX(tblContractForDeed[End Bal],ROW()-ROW(tblBuyerOutputs[#Headers]))&lt;=0,0,($O$6+IF(ROW()=ROW(tblBuyerOutputs[#Headers])+1,0,INDEX(tblBuyerOutputs[Cumul Appr],ROW()-ROW(tblBuyerOutputs[#Headers])-1)))*$AK$2/12)</f>
        <v>0</v>
      </c>
      <c r="AE414" s="276">
        <f>IF(INDEX(tblContractForDeed[End Bal],ROW()-ROW(tblBuyerOutputs[#Headers]))&lt;=0,0,IF(ROW()=ROW(tblBuyerOutputs[#Headers])+1,0,INDEX(tblBuyerOutputs[Cumul Appr],ROW()-ROW(tblBuyerOutputs[#Headers])-1))+tblBuyerOutputs[[#This Row],[Monthly Appr]])</f>
        <v>0</v>
      </c>
    </row>
    <row r="415" spans="1:31" ht="15.75" thickBot="1" x14ac:dyDescent="0.3">
      <c r="A415" s="615" t="str">
        <f t="shared" si="94"/>
        <v xml:space="preserve"> </v>
      </c>
      <c r="B415" s="332">
        <f t="shared" si="87"/>
        <v>0</v>
      </c>
      <c r="C415" s="21">
        <f t="shared" si="91"/>
        <v>0</v>
      </c>
      <c r="D415" s="21">
        <f t="shared" si="95"/>
        <v>0</v>
      </c>
      <c r="E415" s="21">
        <f t="shared" si="92"/>
        <v>0</v>
      </c>
      <c r="F415" s="21">
        <f t="shared" ref="F415:G430" si="99">+F414</f>
        <v>134.16999999999999</v>
      </c>
      <c r="G415" s="21">
        <f t="shared" si="99"/>
        <v>188.55</v>
      </c>
      <c r="H415" s="21">
        <f t="shared" si="89"/>
        <v>322.72000000000003</v>
      </c>
      <c r="I415" s="332">
        <f t="shared" si="96"/>
        <v>98158.279999999955</v>
      </c>
      <c r="J415" s="332">
        <f t="shared" si="97"/>
        <v>35884.000000000022</v>
      </c>
      <c r="K415" s="332">
        <f t="shared" si="98"/>
        <v>0</v>
      </c>
      <c r="L415" s="395">
        <f t="shared" si="86"/>
        <v>32</v>
      </c>
      <c r="M415" s="395">
        <f t="shared" si="93"/>
        <v>395</v>
      </c>
      <c r="N415" s="615" t="str">
        <f>INDEX(tblSubjectToLoan[Date],ROW()-ROW(tblContractForDeed[#Headers]))</f>
        <v xml:space="preserve"> </v>
      </c>
      <c r="O415" s="332">
        <f>IF(ROW()=ROW(tblContractForDeed[#Headers])+1,$O$6,IF(INDEX(tblContractForDeed[End Bal],ROW()-ROW(tblContractForDeed[#Headers])-1)&lt;0,0,INDEX(tblContractForDeed[End Bal],ROW()-ROW(tblContractForDeed[#Headers])-1)))</f>
        <v>0</v>
      </c>
      <c r="P415" s="454">
        <f>IF(tblContractForDeed[[#This Row],[Date]]="","",IF(tblContractForDeed[[#This Row],[Date]]&lt;cfdRateChangeDate,cfdRate1,cfdRate2))</f>
        <v>7.7499999999999999E-2</v>
      </c>
      <c r="Q4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468">
        <f>IF(INDEX(tblContractForDeed[Payment],ROW()-ROW(tblBuyerOutputs[#Headers]))=0,0,INDEX(tblContractForDeed[Payment],ROW()-ROW(tblBuyerOutputs[#Headers]))-INDEX(tblSubjectToLoan[Payment],ROW()-ROW(tblBuyerOutputs[#Headers])))</f>
        <v>0</v>
      </c>
      <c r="Z4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5" s="332">
        <f>IF(INDEX(tblContractForDeed[End Bal],ROW()-ROW(tblBuyerOutputs[#Headers]))&lt;=0,0,($O$6+IF(ROW()=ROW(tblBuyerOutputs[#Headers])+1,0,INDEX(tblBuyerOutputs[Cumul Appr],ROW()-ROW(tblBuyerOutputs[#Headers])-1)))*$AK$2/12)</f>
        <v>0</v>
      </c>
      <c r="AE415" s="332">
        <f>IF(INDEX(tblContractForDeed[End Bal],ROW()-ROW(tblBuyerOutputs[#Headers]))&lt;=0,0,IF(ROW()=ROW(tblBuyerOutputs[#Headers])+1,0,INDEX(tblBuyerOutputs[Cumul Appr],ROW()-ROW(tblBuyerOutputs[#Headers])-1))+tblBuyerOutputs[[#This Row],[Monthly Appr]])</f>
        <v>0</v>
      </c>
    </row>
    <row r="416" spans="1:31" x14ac:dyDescent="0.25">
      <c r="A416" s="613" t="str">
        <f t="shared" si="94"/>
        <v xml:space="preserve"> </v>
      </c>
      <c r="B416" s="276">
        <f t="shared" si="87"/>
        <v>0</v>
      </c>
      <c r="C416" s="14">
        <f t="shared" si="91"/>
        <v>0</v>
      </c>
      <c r="D416" s="14">
        <f t="shared" si="95"/>
        <v>0</v>
      </c>
      <c r="E416" s="14">
        <f t="shared" si="92"/>
        <v>0</v>
      </c>
      <c r="F416" s="14">
        <f t="shared" si="99"/>
        <v>134.16999999999999</v>
      </c>
      <c r="G416" s="14">
        <f t="shared" si="99"/>
        <v>188.55</v>
      </c>
      <c r="H416" s="14">
        <f t="shared" si="89"/>
        <v>322.72000000000003</v>
      </c>
      <c r="I416" s="276">
        <f t="shared" si="96"/>
        <v>98158.279999999955</v>
      </c>
      <c r="J416" s="276">
        <f t="shared" si="97"/>
        <v>35884.000000000022</v>
      </c>
      <c r="K416" s="276">
        <f t="shared" si="98"/>
        <v>0</v>
      </c>
      <c r="L416" s="394">
        <f t="shared" si="86"/>
        <v>33</v>
      </c>
      <c r="M416" s="394">
        <f t="shared" si="93"/>
        <v>396</v>
      </c>
      <c r="N416" s="613" t="str">
        <f>INDEX(tblSubjectToLoan[Date],ROW()-ROW(tblContractForDeed[#Headers]))</f>
        <v xml:space="preserve"> </v>
      </c>
      <c r="O416" s="276">
        <f>IF(ROW()=ROW(tblContractForDeed[#Headers])+1,$O$6,IF(INDEX(tblContractForDeed[End Bal],ROW()-ROW(tblContractForDeed[#Headers])-1)&lt;0,0,INDEX(tblContractForDeed[End Bal],ROW()-ROW(tblContractForDeed[#Headers])-1)))</f>
        <v>0</v>
      </c>
      <c r="P416" s="454">
        <f>IF(tblContractForDeed[[#This Row],[Date]]="","",IF(tblContractForDeed[[#This Row],[Date]]&lt;cfdRateChangeDate,cfdRate1,cfdRate2))</f>
        <v>7.7499999999999999E-2</v>
      </c>
      <c r="Q4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467">
        <f>IF(INDEX(tblContractForDeed[Payment],ROW()-ROW(tblBuyerOutputs[#Headers]))=0,0,INDEX(tblContractForDeed[Payment],ROW()-ROW(tblBuyerOutputs[#Headers]))-INDEX(tblSubjectToLoan[Payment],ROW()-ROW(tblBuyerOutputs[#Headers])))</f>
        <v>0</v>
      </c>
      <c r="Z4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6" s="276">
        <f>IF(INDEX(tblContractForDeed[End Bal],ROW()-ROW(tblBuyerOutputs[#Headers]))&lt;=0,0,($O$6+IF(ROW()=ROW(tblBuyerOutputs[#Headers])+1,0,INDEX(tblBuyerOutputs[Cumul Appr],ROW()-ROW(tblBuyerOutputs[#Headers])-1)))*$AK$2/12)</f>
        <v>0</v>
      </c>
      <c r="AE416" s="276">
        <f>IF(INDEX(tblContractForDeed[End Bal],ROW()-ROW(tblBuyerOutputs[#Headers]))&lt;=0,0,IF(ROW()=ROW(tblBuyerOutputs[#Headers])+1,0,INDEX(tblBuyerOutputs[Cumul Appr],ROW()-ROW(tblBuyerOutputs[#Headers])-1))+tblBuyerOutputs[[#This Row],[Monthly Appr]])</f>
        <v>0</v>
      </c>
    </row>
    <row r="417" spans="1:31" x14ac:dyDescent="0.25">
      <c r="A417" s="613" t="str">
        <f t="shared" si="94"/>
        <v xml:space="preserve"> </v>
      </c>
      <c r="B417" s="276">
        <f t="shared" si="87"/>
        <v>0</v>
      </c>
      <c r="C417" s="14">
        <f t="shared" si="91"/>
        <v>0</v>
      </c>
      <c r="D417" s="14">
        <f t="shared" si="95"/>
        <v>0</v>
      </c>
      <c r="E417" s="14">
        <f t="shared" si="92"/>
        <v>0</v>
      </c>
      <c r="F417" s="14">
        <f t="shared" si="99"/>
        <v>134.16999999999999</v>
      </c>
      <c r="G417" s="14">
        <f t="shared" si="99"/>
        <v>188.55</v>
      </c>
      <c r="H417" s="14">
        <f t="shared" si="89"/>
        <v>322.72000000000003</v>
      </c>
      <c r="I417" s="276">
        <f t="shared" si="96"/>
        <v>98158.279999999955</v>
      </c>
      <c r="J417" s="276">
        <f t="shared" si="97"/>
        <v>35884.000000000022</v>
      </c>
      <c r="K417" s="276">
        <f t="shared" si="98"/>
        <v>0</v>
      </c>
      <c r="L417" s="394">
        <f t="shared" si="86"/>
        <v>33</v>
      </c>
      <c r="M417" s="394">
        <f t="shared" si="93"/>
        <v>397</v>
      </c>
      <c r="N417" s="613" t="str">
        <f>INDEX(tblSubjectToLoan[Date],ROW()-ROW(tblContractForDeed[#Headers]))</f>
        <v xml:space="preserve"> </v>
      </c>
      <c r="O417" s="276">
        <f>IF(ROW()=ROW(tblContractForDeed[#Headers])+1,$O$6,IF(INDEX(tblContractForDeed[End Bal],ROW()-ROW(tblContractForDeed[#Headers])-1)&lt;0,0,INDEX(tblContractForDeed[End Bal],ROW()-ROW(tblContractForDeed[#Headers])-1)))</f>
        <v>0</v>
      </c>
      <c r="P417" s="454">
        <f>IF(tblContractForDeed[[#This Row],[Date]]="","",IF(tblContractForDeed[[#This Row],[Date]]&lt;cfdRateChangeDate,cfdRate1,cfdRate2))</f>
        <v>7.7499999999999999E-2</v>
      </c>
      <c r="Q4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467">
        <f>IF(INDEX(tblContractForDeed[Payment],ROW()-ROW(tblBuyerOutputs[#Headers]))=0,0,INDEX(tblContractForDeed[Payment],ROW()-ROW(tblBuyerOutputs[#Headers]))-INDEX(tblSubjectToLoan[Payment],ROW()-ROW(tblBuyerOutputs[#Headers])))</f>
        <v>0</v>
      </c>
      <c r="Z4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7" s="276">
        <f>IF(INDEX(tblContractForDeed[End Bal],ROW()-ROW(tblBuyerOutputs[#Headers]))&lt;=0,0,($O$6+IF(ROW()=ROW(tblBuyerOutputs[#Headers])+1,0,INDEX(tblBuyerOutputs[Cumul Appr],ROW()-ROW(tblBuyerOutputs[#Headers])-1)))*$AK$2/12)</f>
        <v>0</v>
      </c>
      <c r="AE417" s="276">
        <f>IF(INDEX(tblContractForDeed[End Bal],ROW()-ROW(tblBuyerOutputs[#Headers]))&lt;=0,0,IF(ROW()=ROW(tblBuyerOutputs[#Headers])+1,0,INDEX(tblBuyerOutputs[Cumul Appr],ROW()-ROW(tblBuyerOutputs[#Headers])-1))+tblBuyerOutputs[[#This Row],[Monthly Appr]])</f>
        <v>0</v>
      </c>
    </row>
    <row r="418" spans="1:31" x14ac:dyDescent="0.25">
      <c r="A418" s="613" t="str">
        <f t="shared" si="94"/>
        <v xml:space="preserve"> </v>
      </c>
      <c r="B418" s="276">
        <f t="shared" si="87"/>
        <v>0</v>
      </c>
      <c r="C418" s="14">
        <f t="shared" si="91"/>
        <v>0</v>
      </c>
      <c r="D418" s="14">
        <f t="shared" si="95"/>
        <v>0</v>
      </c>
      <c r="E418" s="14">
        <f t="shared" si="92"/>
        <v>0</v>
      </c>
      <c r="F418" s="14">
        <f t="shared" si="99"/>
        <v>134.16999999999999</v>
      </c>
      <c r="G418" s="14">
        <f t="shared" si="99"/>
        <v>188.55</v>
      </c>
      <c r="H418" s="14">
        <f t="shared" si="89"/>
        <v>322.72000000000003</v>
      </c>
      <c r="I418" s="276">
        <f t="shared" si="96"/>
        <v>98158.279999999955</v>
      </c>
      <c r="J418" s="276">
        <f t="shared" si="97"/>
        <v>35884.000000000022</v>
      </c>
      <c r="K418" s="276">
        <f t="shared" si="98"/>
        <v>0</v>
      </c>
      <c r="L418" s="394">
        <f t="shared" si="86"/>
        <v>33</v>
      </c>
      <c r="M418" s="394">
        <f t="shared" si="93"/>
        <v>398</v>
      </c>
      <c r="N418" s="613" t="str">
        <f>INDEX(tblSubjectToLoan[Date],ROW()-ROW(tblContractForDeed[#Headers]))</f>
        <v xml:space="preserve"> </v>
      </c>
      <c r="O418" s="276">
        <f>IF(ROW()=ROW(tblContractForDeed[#Headers])+1,$O$6,IF(INDEX(tblContractForDeed[End Bal],ROW()-ROW(tblContractForDeed[#Headers])-1)&lt;0,0,INDEX(tblContractForDeed[End Bal],ROW()-ROW(tblContractForDeed[#Headers])-1)))</f>
        <v>0</v>
      </c>
      <c r="P418" s="454">
        <f>IF(tblContractForDeed[[#This Row],[Date]]="","",IF(tblContractForDeed[[#This Row],[Date]]&lt;cfdRateChangeDate,cfdRate1,cfdRate2))</f>
        <v>7.7499999999999999E-2</v>
      </c>
      <c r="Q4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467">
        <f>IF(INDEX(tblContractForDeed[Payment],ROW()-ROW(tblBuyerOutputs[#Headers]))=0,0,INDEX(tblContractForDeed[Payment],ROW()-ROW(tblBuyerOutputs[#Headers]))-INDEX(tblSubjectToLoan[Payment],ROW()-ROW(tblBuyerOutputs[#Headers])))</f>
        <v>0</v>
      </c>
      <c r="Z4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8" s="276">
        <f>IF(INDEX(tblContractForDeed[End Bal],ROW()-ROW(tblBuyerOutputs[#Headers]))&lt;=0,0,($O$6+IF(ROW()=ROW(tblBuyerOutputs[#Headers])+1,0,INDEX(tblBuyerOutputs[Cumul Appr],ROW()-ROW(tblBuyerOutputs[#Headers])-1)))*$AK$2/12)</f>
        <v>0</v>
      </c>
      <c r="AE418" s="276">
        <f>IF(INDEX(tblContractForDeed[End Bal],ROW()-ROW(tblBuyerOutputs[#Headers]))&lt;=0,0,IF(ROW()=ROW(tblBuyerOutputs[#Headers])+1,0,INDEX(tblBuyerOutputs[Cumul Appr],ROW()-ROW(tblBuyerOutputs[#Headers])-1))+tblBuyerOutputs[[#This Row],[Monthly Appr]])</f>
        <v>0</v>
      </c>
    </row>
    <row r="419" spans="1:31" x14ac:dyDescent="0.25">
      <c r="A419" s="613" t="str">
        <f t="shared" si="94"/>
        <v xml:space="preserve"> </v>
      </c>
      <c r="B419" s="276">
        <f t="shared" si="87"/>
        <v>0</v>
      </c>
      <c r="C419" s="14">
        <f t="shared" si="91"/>
        <v>0</v>
      </c>
      <c r="D419" s="14">
        <f t="shared" si="95"/>
        <v>0</v>
      </c>
      <c r="E419" s="14">
        <f t="shared" si="92"/>
        <v>0</v>
      </c>
      <c r="F419" s="14">
        <f t="shared" si="99"/>
        <v>134.16999999999999</v>
      </c>
      <c r="G419" s="14">
        <f t="shared" si="99"/>
        <v>188.55</v>
      </c>
      <c r="H419" s="14">
        <f t="shared" si="89"/>
        <v>322.72000000000003</v>
      </c>
      <c r="I419" s="276">
        <f t="shared" si="96"/>
        <v>98158.279999999955</v>
      </c>
      <c r="J419" s="276">
        <f t="shared" si="97"/>
        <v>35884.000000000022</v>
      </c>
      <c r="K419" s="276">
        <f t="shared" si="98"/>
        <v>0</v>
      </c>
      <c r="L419" s="394">
        <f t="shared" si="86"/>
        <v>33</v>
      </c>
      <c r="M419" s="394">
        <f t="shared" si="93"/>
        <v>399</v>
      </c>
      <c r="N419" s="613" t="str">
        <f>INDEX(tblSubjectToLoan[Date],ROW()-ROW(tblContractForDeed[#Headers]))</f>
        <v xml:space="preserve"> </v>
      </c>
      <c r="O419" s="276">
        <f>IF(ROW()=ROW(tblContractForDeed[#Headers])+1,$O$6,IF(INDEX(tblContractForDeed[End Bal],ROW()-ROW(tblContractForDeed[#Headers])-1)&lt;0,0,INDEX(tblContractForDeed[End Bal],ROW()-ROW(tblContractForDeed[#Headers])-1)))</f>
        <v>0</v>
      </c>
      <c r="P419" s="454">
        <f>IF(tblContractForDeed[[#This Row],[Date]]="","",IF(tblContractForDeed[[#This Row],[Date]]&lt;cfdRateChangeDate,cfdRate1,cfdRate2))</f>
        <v>7.7499999999999999E-2</v>
      </c>
      <c r="Q4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467">
        <f>IF(INDEX(tblContractForDeed[Payment],ROW()-ROW(tblBuyerOutputs[#Headers]))=0,0,INDEX(tblContractForDeed[Payment],ROW()-ROW(tblBuyerOutputs[#Headers]))-INDEX(tblSubjectToLoan[Payment],ROW()-ROW(tblBuyerOutputs[#Headers])))</f>
        <v>0</v>
      </c>
      <c r="Z4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9" s="276">
        <f>IF(INDEX(tblContractForDeed[End Bal],ROW()-ROW(tblBuyerOutputs[#Headers]))&lt;=0,0,($O$6+IF(ROW()=ROW(tblBuyerOutputs[#Headers])+1,0,INDEX(tblBuyerOutputs[Cumul Appr],ROW()-ROW(tblBuyerOutputs[#Headers])-1)))*$AK$2/12)</f>
        <v>0</v>
      </c>
      <c r="AE419" s="276">
        <f>IF(INDEX(tblContractForDeed[End Bal],ROW()-ROW(tblBuyerOutputs[#Headers]))&lt;=0,0,IF(ROW()=ROW(tblBuyerOutputs[#Headers])+1,0,INDEX(tblBuyerOutputs[Cumul Appr],ROW()-ROW(tblBuyerOutputs[#Headers])-1))+tblBuyerOutputs[[#This Row],[Monthly Appr]])</f>
        <v>0</v>
      </c>
    </row>
    <row r="420" spans="1:31" x14ac:dyDescent="0.25">
      <c r="A420" s="613" t="str">
        <f t="shared" si="94"/>
        <v xml:space="preserve"> </v>
      </c>
      <c r="B420" s="276">
        <f t="shared" si="87"/>
        <v>0</v>
      </c>
      <c r="C420" s="14">
        <f t="shared" si="91"/>
        <v>0</v>
      </c>
      <c r="D420" s="14">
        <f t="shared" si="95"/>
        <v>0</v>
      </c>
      <c r="E420" s="14">
        <f t="shared" si="92"/>
        <v>0</v>
      </c>
      <c r="F420" s="14">
        <f t="shared" si="99"/>
        <v>134.16999999999999</v>
      </c>
      <c r="G420" s="14">
        <f t="shared" si="99"/>
        <v>188.55</v>
      </c>
      <c r="H420" s="14">
        <f t="shared" si="89"/>
        <v>322.72000000000003</v>
      </c>
      <c r="I420" s="276">
        <f t="shared" si="96"/>
        <v>98158.279999999955</v>
      </c>
      <c r="J420" s="276">
        <f t="shared" si="97"/>
        <v>35884.000000000022</v>
      </c>
      <c r="K420" s="276">
        <f t="shared" si="98"/>
        <v>0</v>
      </c>
      <c r="L420" s="394">
        <f t="shared" si="86"/>
        <v>33</v>
      </c>
      <c r="M420" s="394">
        <f t="shared" si="93"/>
        <v>400</v>
      </c>
      <c r="N420" s="613" t="str">
        <f>INDEX(tblSubjectToLoan[Date],ROW()-ROW(tblContractForDeed[#Headers]))</f>
        <v xml:space="preserve"> </v>
      </c>
      <c r="O420" s="276">
        <f>IF(ROW()=ROW(tblContractForDeed[#Headers])+1,$O$6,IF(INDEX(tblContractForDeed[End Bal],ROW()-ROW(tblContractForDeed[#Headers])-1)&lt;0,0,INDEX(tblContractForDeed[End Bal],ROW()-ROW(tblContractForDeed[#Headers])-1)))</f>
        <v>0</v>
      </c>
      <c r="P420" s="454">
        <f>IF(tblContractForDeed[[#This Row],[Date]]="","",IF(tblContractForDeed[[#This Row],[Date]]&lt;cfdRateChangeDate,cfdRate1,cfdRate2))</f>
        <v>7.7499999999999999E-2</v>
      </c>
      <c r="Q4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467">
        <f>IF(INDEX(tblContractForDeed[Payment],ROW()-ROW(tblBuyerOutputs[#Headers]))=0,0,INDEX(tblContractForDeed[Payment],ROW()-ROW(tblBuyerOutputs[#Headers]))-INDEX(tblSubjectToLoan[Payment],ROW()-ROW(tblBuyerOutputs[#Headers])))</f>
        <v>0</v>
      </c>
      <c r="Z4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0" s="276">
        <f>IF(INDEX(tblContractForDeed[End Bal],ROW()-ROW(tblBuyerOutputs[#Headers]))&lt;=0,0,($O$6+IF(ROW()=ROW(tblBuyerOutputs[#Headers])+1,0,INDEX(tblBuyerOutputs[Cumul Appr],ROW()-ROW(tblBuyerOutputs[#Headers])-1)))*$AK$2/12)</f>
        <v>0</v>
      </c>
      <c r="AE420" s="276">
        <f>IF(INDEX(tblContractForDeed[End Bal],ROW()-ROW(tblBuyerOutputs[#Headers]))&lt;=0,0,IF(ROW()=ROW(tblBuyerOutputs[#Headers])+1,0,INDEX(tblBuyerOutputs[Cumul Appr],ROW()-ROW(tblBuyerOutputs[#Headers])-1))+tblBuyerOutputs[[#This Row],[Monthly Appr]])</f>
        <v>0</v>
      </c>
    </row>
    <row r="421" spans="1:31" x14ac:dyDescent="0.25">
      <c r="A421" s="613" t="str">
        <f t="shared" si="94"/>
        <v xml:space="preserve"> </v>
      </c>
      <c r="B421" s="276">
        <f t="shared" si="87"/>
        <v>0</v>
      </c>
      <c r="C421" s="14">
        <f t="shared" si="91"/>
        <v>0</v>
      </c>
      <c r="D421" s="14">
        <f t="shared" si="95"/>
        <v>0</v>
      </c>
      <c r="E421" s="14">
        <f t="shared" si="92"/>
        <v>0</v>
      </c>
      <c r="F421" s="14">
        <f t="shared" si="99"/>
        <v>134.16999999999999</v>
      </c>
      <c r="G421" s="14">
        <f t="shared" si="99"/>
        <v>188.55</v>
      </c>
      <c r="H421" s="14">
        <f t="shared" si="89"/>
        <v>322.72000000000003</v>
      </c>
      <c r="I421" s="276">
        <f t="shared" si="96"/>
        <v>98158.279999999955</v>
      </c>
      <c r="J421" s="276">
        <f t="shared" si="97"/>
        <v>35884.000000000022</v>
      </c>
      <c r="K421" s="276">
        <f t="shared" si="98"/>
        <v>0</v>
      </c>
      <c r="L421" s="394">
        <f t="shared" si="86"/>
        <v>33</v>
      </c>
      <c r="M421" s="394">
        <f t="shared" si="93"/>
        <v>401</v>
      </c>
      <c r="N421" s="613" t="str">
        <f>INDEX(tblSubjectToLoan[Date],ROW()-ROW(tblContractForDeed[#Headers]))</f>
        <v xml:space="preserve"> </v>
      </c>
      <c r="O421" s="276">
        <f>IF(ROW()=ROW(tblContractForDeed[#Headers])+1,$O$6,IF(INDEX(tblContractForDeed[End Bal],ROW()-ROW(tblContractForDeed[#Headers])-1)&lt;0,0,INDEX(tblContractForDeed[End Bal],ROW()-ROW(tblContractForDeed[#Headers])-1)))</f>
        <v>0</v>
      </c>
      <c r="P421" s="454">
        <f>IF(tblContractForDeed[[#This Row],[Date]]="","",IF(tblContractForDeed[[#This Row],[Date]]&lt;cfdRateChangeDate,cfdRate1,cfdRate2))</f>
        <v>7.7499999999999999E-2</v>
      </c>
      <c r="Q4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467">
        <f>IF(INDEX(tblContractForDeed[Payment],ROW()-ROW(tblBuyerOutputs[#Headers]))=0,0,INDEX(tblContractForDeed[Payment],ROW()-ROW(tblBuyerOutputs[#Headers]))-INDEX(tblSubjectToLoan[Payment],ROW()-ROW(tblBuyerOutputs[#Headers])))</f>
        <v>0</v>
      </c>
      <c r="Z4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1" s="276">
        <f>IF(INDEX(tblContractForDeed[End Bal],ROW()-ROW(tblBuyerOutputs[#Headers]))&lt;=0,0,($O$6+IF(ROW()=ROW(tblBuyerOutputs[#Headers])+1,0,INDEX(tblBuyerOutputs[Cumul Appr],ROW()-ROW(tblBuyerOutputs[#Headers])-1)))*$AK$2/12)</f>
        <v>0</v>
      </c>
      <c r="AE421" s="276">
        <f>IF(INDEX(tblContractForDeed[End Bal],ROW()-ROW(tblBuyerOutputs[#Headers]))&lt;=0,0,IF(ROW()=ROW(tblBuyerOutputs[#Headers])+1,0,INDEX(tblBuyerOutputs[Cumul Appr],ROW()-ROW(tblBuyerOutputs[#Headers])-1))+tblBuyerOutputs[[#This Row],[Monthly Appr]])</f>
        <v>0</v>
      </c>
    </row>
    <row r="422" spans="1:31" x14ac:dyDescent="0.25">
      <c r="A422" s="613" t="str">
        <f t="shared" si="94"/>
        <v xml:space="preserve"> </v>
      </c>
      <c r="B422" s="276">
        <f t="shared" si="87"/>
        <v>0</v>
      </c>
      <c r="C422" s="14">
        <f t="shared" si="91"/>
        <v>0</v>
      </c>
      <c r="D422" s="14">
        <f t="shared" si="95"/>
        <v>0</v>
      </c>
      <c r="E422" s="14">
        <f t="shared" si="92"/>
        <v>0</v>
      </c>
      <c r="F422" s="14">
        <f t="shared" si="99"/>
        <v>134.16999999999999</v>
      </c>
      <c r="G422" s="14">
        <f t="shared" si="99"/>
        <v>188.55</v>
      </c>
      <c r="H422" s="14">
        <f t="shared" si="89"/>
        <v>322.72000000000003</v>
      </c>
      <c r="I422" s="276">
        <f t="shared" si="96"/>
        <v>98158.279999999955</v>
      </c>
      <c r="J422" s="276">
        <f t="shared" si="97"/>
        <v>35884.000000000022</v>
      </c>
      <c r="K422" s="276">
        <f t="shared" si="98"/>
        <v>0</v>
      </c>
      <c r="L422" s="394">
        <f t="shared" si="86"/>
        <v>33</v>
      </c>
      <c r="M422" s="394">
        <f t="shared" si="93"/>
        <v>402</v>
      </c>
      <c r="N422" s="613" t="str">
        <f>INDEX(tblSubjectToLoan[Date],ROW()-ROW(tblContractForDeed[#Headers]))</f>
        <v xml:space="preserve"> </v>
      </c>
      <c r="O422" s="276">
        <f>IF(ROW()=ROW(tblContractForDeed[#Headers])+1,$O$6,IF(INDEX(tblContractForDeed[End Bal],ROW()-ROW(tblContractForDeed[#Headers])-1)&lt;0,0,INDEX(tblContractForDeed[End Bal],ROW()-ROW(tblContractForDeed[#Headers])-1)))</f>
        <v>0</v>
      </c>
      <c r="P422" s="454">
        <f>IF(tblContractForDeed[[#This Row],[Date]]="","",IF(tblContractForDeed[[#This Row],[Date]]&lt;cfdRateChangeDate,cfdRate1,cfdRate2))</f>
        <v>7.7499999999999999E-2</v>
      </c>
      <c r="Q4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467">
        <f>IF(INDEX(tblContractForDeed[Payment],ROW()-ROW(tblBuyerOutputs[#Headers]))=0,0,INDEX(tblContractForDeed[Payment],ROW()-ROW(tblBuyerOutputs[#Headers]))-INDEX(tblSubjectToLoan[Payment],ROW()-ROW(tblBuyerOutputs[#Headers])))</f>
        <v>0</v>
      </c>
      <c r="Z4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2" s="276">
        <f>IF(INDEX(tblContractForDeed[End Bal],ROW()-ROW(tblBuyerOutputs[#Headers]))&lt;=0,0,($O$6+IF(ROW()=ROW(tblBuyerOutputs[#Headers])+1,0,INDEX(tblBuyerOutputs[Cumul Appr],ROW()-ROW(tblBuyerOutputs[#Headers])-1)))*$AK$2/12)</f>
        <v>0</v>
      </c>
      <c r="AE422" s="276">
        <f>IF(INDEX(tblContractForDeed[End Bal],ROW()-ROW(tblBuyerOutputs[#Headers]))&lt;=0,0,IF(ROW()=ROW(tblBuyerOutputs[#Headers])+1,0,INDEX(tblBuyerOutputs[Cumul Appr],ROW()-ROW(tblBuyerOutputs[#Headers])-1))+tblBuyerOutputs[[#This Row],[Monthly Appr]])</f>
        <v>0</v>
      </c>
    </row>
    <row r="423" spans="1:31" x14ac:dyDescent="0.25">
      <c r="A423" s="613" t="str">
        <f t="shared" si="94"/>
        <v xml:space="preserve"> </v>
      </c>
      <c r="B423" s="276">
        <f t="shared" si="87"/>
        <v>0</v>
      </c>
      <c r="C423" s="14">
        <f t="shared" si="91"/>
        <v>0</v>
      </c>
      <c r="D423" s="14">
        <f t="shared" si="95"/>
        <v>0</v>
      </c>
      <c r="E423" s="14">
        <f t="shared" si="92"/>
        <v>0</v>
      </c>
      <c r="F423" s="14">
        <f t="shared" si="99"/>
        <v>134.16999999999999</v>
      </c>
      <c r="G423" s="14">
        <f t="shared" si="99"/>
        <v>188.55</v>
      </c>
      <c r="H423" s="14">
        <f t="shared" si="89"/>
        <v>322.72000000000003</v>
      </c>
      <c r="I423" s="276">
        <f t="shared" si="96"/>
        <v>98158.279999999955</v>
      </c>
      <c r="J423" s="276">
        <f t="shared" si="97"/>
        <v>35884.000000000022</v>
      </c>
      <c r="K423" s="276">
        <f t="shared" si="98"/>
        <v>0</v>
      </c>
      <c r="L423" s="394">
        <f t="shared" si="86"/>
        <v>33</v>
      </c>
      <c r="M423" s="394">
        <f t="shared" si="93"/>
        <v>403</v>
      </c>
      <c r="N423" s="613" t="str">
        <f>INDEX(tblSubjectToLoan[Date],ROW()-ROW(tblContractForDeed[#Headers]))</f>
        <v xml:space="preserve"> </v>
      </c>
      <c r="O423" s="276">
        <f>IF(ROW()=ROW(tblContractForDeed[#Headers])+1,$O$6,IF(INDEX(tblContractForDeed[End Bal],ROW()-ROW(tblContractForDeed[#Headers])-1)&lt;0,0,INDEX(tblContractForDeed[End Bal],ROW()-ROW(tblContractForDeed[#Headers])-1)))</f>
        <v>0</v>
      </c>
      <c r="P423" s="454">
        <f>IF(tblContractForDeed[[#This Row],[Date]]="","",IF(tblContractForDeed[[#This Row],[Date]]&lt;cfdRateChangeDate,cfdRate1,cfdRate2))</f>
        <v>7.7499999999999999E-2</v>
      </c>
      <c r="Q4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467">
        <f>IF(INDEX(tblContractForDeed[Payment],ROW()-ROW(tblBuyerOutputs[#Headers]))=0,0,INDEX(tblContractForDeed[Payment],ROW()-ROW(tblBuyerOutputs[#Headers]))-INDEX(tblSubjectToLoan[Payment],ROW()-ROW(tblBuyerOutputs[#Headers])))</f>
        <v>0</v>
      </c>
      <c r="Z4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3" s="276">
        <f>IF(INDEX(tblContractForDeed[End Bal],ROW()-ROW(tblBuyerOutputs[#Headers]))&lt;=0,0,($O$6+IF(ROW()=ROW(tblBuyerOutputs[#Headers])+1,0,INDEX(tblBuyerOutputs[Cumul Appr],ROW()-ROW(tblBuyerOutputs[#Headers])-1)))*$AK$2/12)</f>
        <v>0</v>
      </c>
      <c r="AE423" s="276">
        <f>IF(INDEX(tblContractForDeed[End Bal],ROW()-ROW(tblBuyerOutputs[#Headers]))&lt;=0,0,IF(ROW()=ROW(tblBuyerOutputs[#Headers])+1,0,INDEX(tblBuyerOutputs[Cumul Appr],ROW()-ROW(tblBuyerOutputs[#Headers])-1))+tblBuyerOutputs[[#This Row],[Monthly Appr]])</f>
        <v>0</v>
      </c>
    </row>
    <row r="424" spans="1:31" x14ac:dyDescent="0.25">
      <c r="A424" s="613" t="str">
        <f t="shared" si="94"/>
        <v xml:space="preserve"> </v>
      </c>
      <c r="B424" s="276">
        <f t="shared" si="87"/>
        <v>0</v>
      </c>
      <c r="C424" s="14">
        <f t="shared" si="91"/>
        <v>0</v>
      </c>
      <c r="D424" s="14">
        <f t="shared" si="95"/>
        <v>0</v>
      </c>
      <c r="E424" s="14">
        <f t="shared" si="92"/>
        <v>0</v>
      </c>
      <c r="F424" s="14">
        <f t="shared" si="99"/>
        <v>134.16999999999999</v>
      </c>
      <c r="G424" s="14">
        <f t="shared" si="99"/>
        <v>188.55</v>
      </c>
      <c r="H424" s="14">
        <f t="shared" si="89"/>
        <v>322.72000000000003</v>
      </c>
      <c r="I424" s="276">
        <f t="shared" si="96"/>
        <v>98158.279999999955</v>
      </c>
      <c r="J424" s="276">
        <f t="shared" si="97"/>
        <v>35884.000000000022</v>
      </c>
      <c r="K424" s="276">
        <f t="shared" si="98"/>
        <v>0</v>
      </c>
      <c r="L424" s="394">
        <f t="shared" si="86"/>
        <v>33</v>
      </c>
      <c r="M424" s="394">
        <f t="shared" si="93"/>
        <v>404</v>
      </c>
      <c r="N424" s="613" t="str">
        <f>INDEX(tblSubjectToLoan[Date],ROW()-ROW(tblContractForDeed[#Headers]))</f>
        <v xml:space="preserve"> </v>
      </c>
      <c r="O424" s="276">
        <f>IF(ROW()=ROW(tblContractForDeed[#Headers])+1,$O$6,IF(INDEX(tblContractForDeed[End Bal],ROW()-ROW(tblContractForDeed[#Headers])-1)&lt;0,0,INDEX(tblContractForDeed[End Bal],ROW()-ROW(tblContractForDeed[#Headers])-1)))</f>
        <v>0</v>
      </c>
      <c r="P424" s="454">
        <f>IF(tblContractForDeed[[#This Row],[Date]]="","",IF(tblContractForDeed[[#This Row],[Date]]&lt;cfdRateChangeDate,cfdRate1,cfdRate2))</f>
        <v>7.7499999999999999E-2</v>
      </c>
      <c r="Q4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467">
        <f>IF(INDEX(tblContractForDeed[Payment],ROW()-ROW(tblBuyerOutputs[#Headers]))=0,0,INDEX(tblContractForDeed[Payment],ROW()-ROW(tblBuyerOutputs[#Headers]))-INDEX(tblSubjectToLoan[Payment],ROW()-ROW(tblBuyerOutputs[#Headers])))</f>
        <v>0</v>
      </c>
      <c r="Z4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4" s="276">
        <f>IF(INDEX(tblContractForDeed[End Bal],ROW()-ROW(tblBuyerOutputs[#Headers]))&lt;=0,0,($O$6+IF(ROW()=ROW(tblBuyerOutputs[#Headers])+1,0,INDEX(tblBuyerOutputs[Cumul Appr],ROW()-ROW(tblBuyerOutputs[#Headers])-1)))*$AK$2/12)</f>
        <v>0</v>
      </c>
      <c r="AE424" s="276">
        <f>IF(INDEX(tblContractForDeed[End Bal],ROW()-ROW(tblBuyerOutputs[#Headers]))&lt;=0,0,IF(ROW()=ROW(tblBuyerOutputs[#Headers])+1,0,INDEX(tblBuyerOutputs[Cumul Appr],ROW()-ROW(tblBuyerOutputs[#Headers])-1))+tblBuyerOutputs[[#This Row],[Monthly Appr]])</f>
        <v>0</v>
      </c>
    </row>
    <row r="425" spans="1:31" x14ac:dyDescent="0.25">
      <c r="A425" s="613" t="str">
        <f t="shared" si="94"/>
        <v xml:space="preserve"> </v>
      </c>
      <c r="B425" s="276">
        <f t="shared" si="87"/>
        <v>0</v>
      </c>
      <c r="C425" s="14">
        <f t="shared" si="91"/>
        <v>0</v>
      </c>
      <c r="D425" s="14">
        <f t="shared" si="95"/>
        <v>0</v>
      </c>
      <c r="E425" s="14">
        <f t="shared" si="92"/>
        <v>0</v>
      </c>
      <c r="F425" s="14">
        <f t="shared" si="99"/>
        <v>134.16999999999999</v>
      </c>
      <c r="G425" s="14">
        <f t="shared" si="99"/>
        <v>188.55</v>
      </c>
      <c r="H425" s="14">
        <f t="shared" si="89"/>
        <v>322.72000000000003</v>
      </c>
      <c r="I425" s="276">
        <f t="shared" si="96"/>
        <v>98158.279999999955</v>
      </c>
      <c r="J425" s="276">
        <f t="shared" si="97"/>
        <v>35884.000000000022</v>
      </c>
      <c r="K425" s="276">
        <f t="shared" si="98"/>
        <v>0</v>
      </c>
      <c r="L425" s="394">
        <f t="shared" si="86"/>
        <v>33</v>
      </c>
      <c r="M425" s="394">
        <f t="shared" si="93"/>
        <v>405</v>
      </c>
      <c r="N425" s="613" t="str">
        <f>INDEX(tblSubjectToLoan[Date],ROW()-ROW(tblContractForDeed[#Headers]))</f>
        <v xml:space="preserve"> </v>
      </c>
      <c r="O425" s="276">
        <f>IF(ROW()=ROW(tblContractForDeed[#Headers])+1,$O$6,IF(INDEX(tblContractForDeed[End Bal],ROW()-ROW(tblContractForDeed[#Headers])-1)&lt;0,0,INDEX(tblContractForDeed[End Bal],ROW()-ROW(tblContractForDeed[#Headers])-1)))</f>
        <v>0</v>
      </c>
      <c r="P425" s="454">
        <f>IF(tblContractForDeed[[#This Row],[Date]]="","",IF(tblContractForDeed[[#This Row],[Date]]&lt;cfdRateChangeDate,cfdRate1,cfdRate2))</f>
        <v>7.7499999999999999E-2</v>
      </c>
      <c r="Q4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467">
        <f>IF(INDEX(tblContractForDeed[Payment],ROW()-ROW(tblBuyerOutputs[#Headers]))=0,0,INDEX(tblContractForDeed[Payment],ROW()-ROW(tblBuyerOutputs[#Headers]))-INDEX(tblSubjectToLoan[Payment],ROW()-ROW(tblBuyerOutputs[#Headers])))</f>
        <v>0</v>
      </c>
      <c r="Z4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5" s="276">
        <f>IF(INDEX(tblContractForDeed[End Bal],ROW()-ROW(tblBuyerOutputs[#Headers]))&lt;=0,0,($O$6+IF(ROW()=ROW(tblBuyerOutputs[#Headers])+1,0,INDEX(tblBuyerOutputs[Cumul Appr],ROW()-ROW(tblBuyerOutputs[#Headers])-1)))*$AK$2/12)</f>
        <v>0</v>
      </c>
      <c r="AE425" s="276">
        <f>IF(INDEX(tblContractForDeed[End Bal],ROW()-ROW(tblBuyerOutputs[#Headers]))&lt;=0,0,IF(ROW()=ROW(tblBuyerOutputs[#Headers])+1,0,INDEX(tblBuyerOutputs[Cumul Appr],ROW()-ROW(tblBuyerOutputs[#Headers])-1))+tblBuyerOutputs[[#This Row],[Monthly Appr]])</f>
        <v>0</v>
      </c>
    </row>
    <row r="426" spans="1:31" x14ac:dyDescent="0.25">
      <c r="A426" s="613" t="str">
        <f t="shared" si="94"/>
        <v xml:space="preserve"> </v>
      </c>
      <c r="B426" s="276">
        <f t="shared" si="87"/>
        <v>0</v>
      </c>
      <c r="C426" s="14">
        <f t="shared" si="91"/>
        <v>0</v>
      </c>
      <c r="D426" s="14">
        <f t="shared" si="95"/>
        <v>0</v>
      </c>
      <c r="E426" s="14">
        <f t="shared" si="92"/>
        <v>0</v>
      </c>
      <c r="F426" s="14">
        <f t="shared" si="99"/>
        <v>134.16999999999999</v>
      </c>
      <c r="G426" s="14">
        <f t="shared" si="99"/>
        <v>188.55</v>
      </c>
      <c r="H426" s="14">
        <f t="shared" si="89"/>
        <v>322.72000000000003</v>
      </c>
      <c r="I426" s="276">
        <f t="shared" si="96"/>
        <v>98158.279999999955</v>
      </c>
      <c r="J426" s="276">
        <f t="shared" si="97"/>
        <v>35884.000000000022</v>
      </c>
      <c r="K426" s="276">
        <f t="shared" si="98"/>
        <v>0</v>
      </c>
      <c r="L426" s="394">
        <f t="shared" si="86"/>
        <v>33</v>
      </c>
      <c r="M426" s="394">
        <f t="shared" si="93"/>
        <v>406</v>
      </c>
      <c r="N426" s="613" t="str">
        <f>INDEX(tblSubjectToLoan[Date],ROW()-ROW(tblContractForDeed[#Headers]))</f>
        <v xml:space="preserve"> </v>
      </c>
      <c r="O426" s="276">
        <f>IF(ROW()=ROW(tblContractForDeed[#Headers])+1,$O$6,IF(INDEX(tblContractForDeed[End Bal],ROW()-ROW(tblContractForDeed[#Headers])-1)&lt;0,0,INDEX(tblContractForDeed[End Bal],ROW()-ROW(tblContractForDeed[#Headers])-1)))</f>
        <v>0</v>
      </c>
      <c r="P426" s="454">
        <f>IF(tblContractForDeed[[#This Row],[Date]]="","",IF(tblContractForDeed[[#This Row],[Date]]&lt;cfdRateChangeDate,cfdRate1,cfdRate2))</f>
        <v>7.7499999999999999E-2</v>
      </c>
      <c r="Q4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467">
        <f>IF(INDEX(tblContractForDeed[Payment],ROW()-ROW(tblBuyerOutputs[#Headers]))=0,0,INDEX(tblContractForDeed[Payment],ROW()-ROW(tblBuyerOutputs[#Headers]))-INDEX(tblSubjectToLoan[Payment],ROW()-ROW(tblBuyerOutputs[#Headers])))</f>
        <v>0</v>
      </c>
      <c r="Z4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6" s="276">
        <f>IF(INDEX(tblContractForDeed[End Bal],ROW()-ROW(tblBuyerOutputs[#Headers]))&lt;=0,0,($O$6+IF(ROW()=ROW(tblBuyerOutputs[#Headers])+1,0,INDEX(tblBuyerOutputs[Cumul Appr],ROW()-ROW(tblBuyerOutputs[#Headers])-1)))*$AK$2/12)</f>
        <v>0</v>
      </c>
      <c r="AE426" s="276">
        <f>IF(INDEX(tblContractForDeed[End Bal],ROW()-ROW(tblBuyerOutputs[#Headers]))&lt;=0,0,IF(ROW()=ROW(tblBuyerOutputs[#Headers])+1,0,INDEX(tblBuyerOutputs[Cumul Appr],ROW()-ROW(tblBuyerOutputs[#Headers])-1))+tblBuyerOutputs[[#This Row],[Monthly Appr]])</f>
        <v>0</v>
      </c>
    </row>
    <row r="427" spans="1:31" ht="15.75" thickBot="1" x14ac:dyDescent="0.3">
      <c r="A427" s="615" t="str">
        <f t="shared" si="94"/>
        <v xml:space="preserve"> </v>
      </c>
      <c r="B427" s="332">
        <f t="shared" si="87"/>
        <v>0</v>
      </c>
      <c r="C427" s="21">
        <f t="shared" si="91"/>
        <v>0</v>
      </c>
      <c r="D427" s="21">
        <f t="shared" si="95"/>
        <v>0</v>
      </c>
      <c r="E427" s="21">
        <f t="shared" si="92"/>
        <v>0</v>
      </c>
      <c r="F427" s="21">
        <f t="shared" si="99"/>
        <v>134.16999999999999</v>
      </c>
      <c r="G427" s="21">
        <f t="shared" si="99"/>
        <v>188.55</v>
      </c>
      <c r="H427" s="21">
        <f t="shared" si="89"/>
        <v>322.72000000000003</v>
      </c>
      <c r="I427" s="332">
        <f t="shared" si="96"/>
        <v>98158.279999999955</v>
      </c>
      <c r="J427" s="332">
        <f t="shared" si="97"/>
        <v>35884.000000000022</v>
      </c>
      <c r="K427" s="332">
        <f t="shared" si="98"/>
        <v>0</v>
      </c>
      <c r="L427" s="395">
        <f t="shared" si="86"/>
        <v>33</v>
      </c>
      <c r="M427" s="395">
        <f t="shared" si="93"/>
        <v>407</v>
      </c>
      <c r="N427" s="615" t="str">
        <f>INDEX(tblSubjectToLoan[Date],ROW()-ROW(tblContractForDeed[#Headers]))</f>
        <v xml:space="preserve"> </v>
      </c>
      <c r="O427" s="332">
        <f>IF(ROW()=ROW(tblContractForDeed[#Headers])+1,$O$6,IF(INDEX(tblContractForDeed[End Bal],ROW()-ROW(tblContractForDeed[#Headers])-1)&lt;0,0,INDEX(tblContractForDeed[End Bal],ROW()-ROW(tblContractForDeed[#Headers])-1)))</f>
        <v>0</v>
      </c>
      <c r="P427" s="454">
        <f>IF(tblContractForDeed[[#This Row],[Date]]="","",IF(tblContractForDeed[[#This Row],[Date]]&lt;cfdRateChangeDate,cfdRate1,cfdRate2))</f>
        <v>7.7499999999999999E-2</v>
      </c>
      <c r="Q4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468">
        <f>IF(INDEX(tblContractForDeed[Payment],ROW()-ROW(tblBuyerOutputs[#Headers]))=0,0,INDEX(tblContractForDeed[Payment],ROW()-ROW(tblBuyerOutputs[#Headers]))-INDEX(tblSubjectToLoan[Payment],ROW()-ROW(tblBuyerOutputs[#Headers])))</f>
        <v>0</v>
      </c>
      <c r="Z4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7" s="332">
        <f>IF(INDEX(tblContractForDeed[End Bal],ROW()-ROW(tblBuyerOutputs[#Headers]))&lt;=0,0,($O$6+IF(ROW()=ROW(tblBuyerOutputs[#Headers])+1,0,INDEX(tblBuyerOutputs[Cumul Appr],ROW()-ROW(tblBuyerOutputs[#Headers])-1)))*$AK$2/12)</f>
        <v>0</v>
      </c>
      <c r="AE427" s="332">
        <f>IF(INDEX(tblContractForDeed[End Bal],ROW()-ROW(tblBuyerOutputs[#Headers]))&lt;=0,0,IF(ROW()=ROW(tblBuyerOutputs[#Headers])+1,0,INDEX(tblBuyerOutputs[Cumul Appr],ROW()-ROW(tblBuyerOutputs[#Headers])-1))+tblBuyerOutputs[[#This Row],[Monthly Appr]])</f>
        <v>0</v>
      </c>
    </row>
    <row r="428" spans="1:31" x14ac:dyDescent="0.25">
      <c r="A428" s="613" t="str">
        <f t="shared" si="94"/>
        <v xml:space="preserve"> </v>
      </c>
      <c r="B428" s="276">
        <f t="shared" si="87"/>
        <v>0</v>
      </c>
      <c r="C428" s="14">
        <f t="shared" si="91"/>
        <v>0</v>
      </c>
      <c r="D428" s="14">
        <f t="shared" si="95"/>
        <v>0</v>
      </c>
      <c r="E428" s="14">
        <f t="shared" si="92"/>
        <v>0</v>
      </c>
      <c r="F428" s="14">
        <f t="shared" si="99"/>
        <v>134.16999999999999</v>
      </c>
      <c r="G428" s="14">
        <f t="shared" si="99"/>
        <v>188.55</v>
      </c>
      <c r="H428" s="14">
        <f t="shared" si="89"/>
        <v>322.72000000000003</v>
      </c>
      <c r="I428" s="276">
        <f t="shared" si="96"/>
        <v>98158.279999999955</v>
      </c>
      <c r="J428" s="276">
        <f t="shared" si="97"/>
        <v>35884.000000000022</v>
      </c>
      <c r="K428" s="276">
        <f t="shared" si="98"/>
        <v>0</v>
      </c>
      <c r="L428" s="394">
        <f t="shared" si="86"/>
        <v>34</v>
      </c>
      <c r="M428" s="394">
        <f t="shared" si="93"/>
        <v>408</v>
      </c>
      <c r="N428" s="613" t="str">
        <f>INDEX(tblSubjectToLoan[Date],ROW()-ROW(tblContractForDeed[#Headers]))</f>
        <v xml:space="preserve"> </v>
      </c>
      <c r="O428" s="276">
        <f>IF(ROW()=ROW(tblContractForDeed[#Headers])+1,$O$6,IF(INDEX(tblContractForDeed[End Bal],ROW()-ROW(tblContractForDeed[#Headers])-1)&lt;0,0,INDEX(tblContractForDeed[End Bal],ROW()-ROW(tblContractForDeed[#Headers])-1)))</f>
        <v>0</v>
      </c>
      <c r="P428" s="454">
        <f>IF(tblContractForDeed[[#This Row],[Date]]="","",IF(tblContractForDeed[[#This Row],[Date]]&lt;cfdRateChangeDate,cfdRate1,cfdRate2))</f>
        <v>7.7499999999999999E-2</v>
      </c>
      <c r="Q4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467">
        <f>IF(INDEX(tblContractForDeed[Payment],ROW()-ROW(tblBuyerOutputs[#Headers]))=0,0,INDEX(tblContractForDeed[Payment],ROW()-ROW(tblBuyerOutputs[#Headers]))-INDEX(tblSubjectToLoan[Payment],ROW()-ROW(tblBuyerOutputs[#Headers])))</f>
        <v>0</v>
      </c>
      <c r="Z4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8" s="276">
        <f>IF(INDEX(tblContractForDeed[End Bal],ROW()-ROW(tblBuyerOutputs[#Headers]))&lt;=0,0,($O$6+IF(ROW()=ROW(tblBuyerOutputs[#Headers])+1,0,INDEX(tblBuyerOutputs[Cumul Appr],ROW()-ROW(tblBuyerOutputs[#Headers])-1)))*$AK$2/12)</f>
        <v>0</v>
      </c>
      <c r="AE428" s="276">
        <f>IF(INDEX(tblContractForDeed[End Bal],ROW()-ROW(tblBuyerOutputs[#Headers]))&lt;=0,0,IF(ROW()=ROW(tblBuyerOutputs[#Headers])+1,0,INDEX(tblBuyerOutputs[Cumul Appr],ROW()-ROW(tblBuyerOutputs[#Headers])-1))+tblBuyerOutputs[[#This Row],[Monthly Appr]])</f>
        <v>0</v>
      </c>
    </row>
    <row r="429" spans="1:31" x14ac:dyDescent="0.25">
      <c r="A429" s="613" t="str">
        <f t="shared" si="94"/>
        <v xml:space="preserve"> </v>
      </c>
      <c r="B429" s="276">
        <f t="shared" si="87"/>
        <v>0</v>
      </c>
      <c r="C429" s="14">
        <f t="shared" si="91"/>
        <v>0</v>
      </c>
      <c r="D429" s="14">
        <f t="shared" si="95"/>
        <v>0</v>
      </c>
      <c r="E429" s="14">
        <f t="shared" si="92"/>
        <v>0</v>
      </c>
      <c r="F429" s="14">
        <f t="shared" si="99"/>
        <v>134.16999999999999</v>
      </c>
      <c r="G429" s="14">
        <f t="shared" si="99"/>
        <v>188.55</v>
      </c>
      <c r="H429" s="14">
        <f t="shared" si="89"/>
        <v>322.72000000000003</v>
      </c>
      <c r="I429" s="276">
        <f t="shared" si="96"/>
        <v>98158.279999999955</v>
      </c>
      <c r="J429" s="276">
        <f t="shared" si="97"/>
        <v>35884.000000000022</v>
      </c>
      <c r="K429" s="276">
        <f t="shared" si="98"/>
        <v>0</v>
      </c>
      <c r="L429" s="394">
        <f t="shared" si="86"/>
        <v>34</v>
      </c>
      <c r="M429" s="394">
        <f t="shared" si="93"/>
        <v>409</v>
      </c>
      <c r="N429" s="613" t="str">
        <f>INDEX(tblSubjectToLoan[Date],ROW()-ROW(tblContractForDeed[#Headers]))</f>
        <v xml:space="preserve"> </v>
      </c>
      <c r="O429" s="276">
        <f>IF(ROW()=ROW(tblContractForDeed[#Headers])+1,$O$6,IF(INDEX(tblContractForDeed[End Bal],ROW()-ROW(tblContractForDeed[#Headers])-1)&lt;0,0,INDEX(tblContractForDeed[End Bal],ROW()-ROW(tblContractForDeed[#Headers])-1)))</f>
        <v>0</v>
      </c>
      <c r="P429" s="454">
        <f>IF(tblContractForDeed[[#This Row],[Date]]="","",IF(tblContractForDeed[[#This Row],[Date]]&lt;cfdRateChangeDate,cfdRate1,cfdRate2))</f>
        <v>7.7499999999999999E-2</v>
      </c>
      <c r="Q4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467">
        <f>IF(INDEX(tblContractForDeed[Payment],ROW()-ROW(tblBuyerOutputs[#Headers]))=0,0,INDEX(tblContractForDeed[Payment],ROW()-ROW(tblBuyerOutputs[#Headers]))-INDEX(tblSubjectToLoan[Payment],ROW()-ROW(tblBuyerOutputs[#Headers])))</f>
        <v>0</v>
      </c>
      <c r="Z4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9" s="276">
        <f>IF(INDEX(tblContractForDeed[End Bal],ROW()-ROW(tblBuyerOutputs[#Headers]))&lt;=0,0,($O$6+IF(ROW()=ROW(tblBuyerOutputs[#Headers])+1,0,INDEX(tblBuyerOutputs[Cumul Appr],ROW()-ROW(tblBuyerOutputs[#Headers])-1)))*$AK$2/12)</f>
        <v>0</v>
      </c>
      <c r="AE429" s="276">
        <f>IF(INDEX(tblContractForDeed[End Bal],ROW()-ROW(tblBuyerOutputs[#Headers]))&lt;=0,0,IF(ROW()=ROW(tblBuyerOutputs[#Headers])+1,0,INDEX(tblBuyerOutputs[Cumul Appr],ROW()-ROW(tblBuyerOutputs[#Headers])-1))+tblBuyerOutputs[[#This Row],[Monthly Appr]])</f>
        <v>0</v>
      </c>
    </row>
    <row r="430" spans="1:31" x14ac:dyDescent="0.25">
      <c r="A430" s="613" t="str">
        <f t="shared" si="94"/>
        <v xml:space="preserve"> </v>
      </c>
      <c r="B430" s="276">
        <f t="shared" si="87"/>
        <v>0</v>
      </c>
      <c r="C430" s="14">
        <f t="shared" si="91"/>
        <v>0</v>
      </c>
      <c r="D430" s="14">
        <f t="shared" si="95"/>
        <v>0</v>
      </c>
      <c r="E430" s="14">
        <f t="shared" si="92"/>
        <v>0</v>
      </c>
      <c r="F430" s="14">
        <f t="shared" si="99"/>
        <v>134.16999999999999</v>
      </c>
      <c r="G430" s="14">
        <f t="shared" si="99"/>
        <v>188.55</v>
      </c>
      <c r="H430" s="14">
        <f t="shared" si="89"/>
        <v>322.72000000000003</v>
      </c>
      <c r="I430" s="276">
        <f t="shared" si="96"/>
        <v>98158.279999999955</v>
      </c>
      <c r="J430" s="276">
        <f t="shared" si="97"/>
        <v>35884.000000000022</v>
      </c>
      <c r="K430" s="276">
        <f t="shared" si="98"/>
        <v>0</v>
      </c>
      <c r="L430" s="394">
        <f t="shared" si="86"/>
        <v>34</v>
      </c>
      <c r="M430" s="394">
        <f t="shared" si="93"/>
        <v>410</v>
      </c>
      <c r="N430" s="613" t="str">
        <f>INDEX(tblSubjectToLoan[Date],ROW()-ROW(tblContractForDeed[#Headers]))</f>
        <v xml:space="preserve"> </v>
      </c>
      <c r="O430" s="276">
        <f>IF(ROW()=ROW(tblContractForDeed[#Headers])+1,$O$6,IF(INDEX(tblContractForDeed[End Bal],ROW()-ROW(tblContractForDeed[#Headers])-1)&lt;0,0,INDEX(tblContractForDeed[End Bal],ROW()-ROW(tblContractForDeed[#Headers])-1)))</f>
        <v>0</v>
      </c>
      <c r="P430" s="454">
        <f>IF(tblContractForDeed[[#This Row],[Date]]="","",IF(tblContractForDeed[[#This Row],[Date]]&lt;cfdRateChangeDate,cfdRate1,cfdRate2))</f>
        <v>7.7499999999999999E-2</v>
      </c>
      <c r="Q4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467">
        <f>IF(INDEX(tblContractForDeed[Payment],ROW()-ROW(tblBuyerOutputs[#Headers]))=0,0,INDEX(tblContractForDeed[Payment],ROW()-ROW(tblBuyerOutputs[#Headers]))-INDEX(tblSubjectToLoan[Payment],ROW()-ROW(tblBuyerOutputs[#Headers])))</f>
        <v>0</v>
      </c>
      <c r="Z4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0" s="276">
        <f>IF(INDEX(tblContractForDeed[End Bal],ROW()-ROW(tblBuyerOutputs[#Headers]))&lt;=0,0,($O$6+IF(ROW()=ROW(tblBuyerOutputs[#Headers])+1,0,INDEX(tblBuyerOutputs[Cumul Appr],ROW()-ROW(tblBuyerOutputs[#Headers])-1)))*$AK$2/12)</f>
        <v>0</v>
      </c>
      <c r="AE430" s="276">
        <f>IF(INDEX(tblContractForDeed[End Bal],ROW()-ROW(tblBuyerOutputs[#Headers]))&lt;=0,0,IF(ROW()=ROW(tblBuyerOutputs[#Headers])+1,0,INDEX(tblBuyerOutputs[Cumul Appr],ROW()-ROW(tblBuyerOutputs[#Headers])-1))+tblBuyerOutputs[[#This Row],[Monthly Appr]])</f>
        <v>0</v>
      </c>
    </row>
    <row r="431" spans="1:31" x14ac:dyDescent="0.25">
      <c r="A431" s="613" t="str">
        <f t="shared" si="94"/>
        <v xml:space="preserve"> </v>
      </c>
      <c r="B431" s="276">
        <f t="shared" si="87"/>
        <v>0</v>
      </c>
      <c r="C431" s="14">
        <f t="shared" si="91"/>
        <v>0</v>
      </c>
      <c r="D431" s="14">
        <f t="shared" si="95"/>
        <v>0</v>
      </c>
      <c r="E431" s="14">
        <f t="shared" si="92"/>
        <v>0</v>
      </c>
      <c r="F431" s="14">
        <f t="shared" ref="F431:G446" si="100">+F430</f>
        <v>134.16999999999999</v>
      </c>
      <c r="G431" s="14">
        <f t="shared" si="100"/>
        <v>188.55</v>
      </c>
      <c r="H431" s="14">
        <f t="shared" si="89"/>
        <v>322.72000000000003</v>
      </c>
      <c r="I431" s="276">
        <f t="shared" si="96"/>
        <v>98158.279999999955</v>
      </c>
      <c r="J431" s="276">
        <f t="shared" si="97"/>
        <v>35884.000000000022</v>
      </c>
      <c r="K431" s="276">
        <f t="shared" si="98"/>
        <v>0</v>
      </c>
      <c r="L431" s="394">
        <f t="shared" si="86"/>
        <v>34</v>
      </c>
      <c r="M431" s="394">
        <f t="shared" si="93"/>
        <v>411</v>
      </c>
      <c r="N431" s="613" t="str">
        <f>INDEX(tblSubjectToLoan[Date],ROW()-ROW(tblContractForDeed[#Headers]))</f>
        <v xml:space="preserve"> </v>
      </c>
      <c r="O431" s="276">
        <f>IF(ROW()=ROW(tblContractForDeed[#Headers])+1,$O$6,IF(INDEX(tblContractForDeed[End Bal],ROW()-ROW(tblContractForDeed[#Headers])-1)&lt;0,0,INDEX(tblContractForDeed[End Bal],ROW()-ROW(tblContractForDeed[#Headers])-1)))</f>
        <v>0</v>
      </c>
      <c r="P431" s="454">
        <f>IF(tblContractForDeed[[#This Row],[Date]]="","",IF(tblContractForDeed[[#This Row],[Date]]&lt;cfdRateChangeDate,cfdRate1,cfdRate2))</f>
        <v>7.7499999999999999E-2</v>
      </c>
      <c r="Q4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467">
        <f>IF(INDEX(tblContractForDeed[Payment],ROW()-ROW(tblBuyerOutputs[#Headers]))=0,0,INDEX(tblContractForDeed[Payment],ROW()-ROW(tblBuyerOutputs[#Headers]))-INDEX(tblSubjectToLoan[Payment],ROW()-ROW(tblBuyerOutputs[#Headers])))</f>
        <v>0</v>
      </c>
      <c r="Z4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1" s="276">
        <f>IF(INDEX(tblContractForDeed[End Bal],ROW()-ROW(tblBuyerOutputs[#Headers]))&lt;=0,0,($O$6+IF(ROW()=ROW(tblBuyerOutputs[#Headers])+1,0,INDEX(tblBuyerOutputs[Cumul Appr],ROW()-ROW(tblBuyerOutputs[#Headers])-1)))*$AK$2/12)</f>
        <v>0</v>
      </c>
      <c r="AE431" s="276">
        <f>IF(INDEX(tblContractForDeed[End Bal],ROW()-ROW(tblBuyerOutputs[#Headers]))&lt;=0,0,IF(ROW()=ROW(tblBuyerOutputs[#Headers])+1,0,INDEX(tblBuyerOutputs[Cumul Appr],ROW()-ROW(tblBuyerOutputs[#Headers])-1))+tblBuyerOutputs[[#This Row],[Monthly Appr]])</f>
        <v>0</v>
      </c>
    </row>
    <row r="432" spans="1:31" x14ac:dyDescent="0.25">
      <c r="A432" s="613" t="str">
        <f t="shared" si="94"/>
        <v xml:space="preserve"> </v>
      </c>
      <c r="B432" s="276">
        <f t="shared" si="87"/>
        <v>0</v>
      </c>
      <c r="C432" s="14">
        <f t="shared" si="91"/>
        <v>0</v>
      </c>
      <c r="D432" s="14">
        <f t="shared" si="95"/>
        <v>0</v>
      </c>
      <c r="E432" s="14">
        <f t="shared" si="92"/>
        <v>0</v>
      </c>
      <c r="F432" s="14">
        <f t="shared" si="100"/>
        <v>134.16999999999999</v>
      </c>
      <c r="G432" s="14">
        <f t="shared" si="100"/>
        <v>188.55</v>
      </c>
      <c r="H432" s="14">
        <f t="shared" si="89"/>
        <v>322.72000000000003</v>
      </c>
      <c r="I432" s="276">
        <f t="shared" si="96"/>
        <v>98158.279999999955</v>
      </c>
      <c r="J432" s="276">
        <f t="shared" si="97"/>
        <v>35884.000000000022</v>
      </c>
      <c r="K432" s="276">
        <f t="shared" si="98"/>
        <v>0</v>
      </c>
      <c r="L432" s="394">
        <f t="shared" si="86"/>
        <v>34</v>
      </c>
      <c r="M432" s="394">
        <f t="shared" si="93"/>
        <v>412</v>
      </c>
      <c r="N432" s="613" t="str">
        <f>INDEX(tblSubjectToLoan[Date],ROW()-ROW(tblContractForDeed[#Headers]))</f>
        <v xml:space="preserve"> </v>
      </c>
      <c r="O432" s="276">
        <f>IF(ROW()=ROW(tblContractForDeed[#Headers])+1,$O$6,IF(INDEX(tblContractForDeed[End Bal],ROW()-ROW(tblContractForDeed[#Headers])-1)&lt;0,0,INDEX(tblContractForDeed[End Bal],ROW()-ROW(tblContractForDeed[#Headers])-1)))</f>
        <v>0</v>
      </c>
      <c r="P432" s="454">
        <f>IF(tblContractForDeed[[#This Row],[Date]]="","",IF(tblContractForDeed[[#This Row],[Date]]&lt;cfdRateChangeDate,cfdRate1,cfdRate2))</f>
        <v>7.7499999999999999E-2</v>
      </c>
      <c r="Q4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467">
        <f>IF(INDEX(tblContractForDeed[Payment],ROW()-ROW(tblBuyerOutputs[#Headers]))=0,0,INDEX(tblContractForDeed[Payment],ROW()-ROW(tblBuyerOutputs[#Headers]))-INDEX(tblSubjectToLoan[Payment],ROW()-ROW(tblBuyerOutputs[#Headers])))</f>
        <v>0</v>
      </c>
      <c r="Z4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2" s="276">
        <f>IF(INDEX(tblContractForDeed[End Bal],ROW()-ROW(tblBuyerOutputs[#Headers]))&lt;=0,0,($O$6+IF(ROW()=ROW(tblBuyerOutputs[#Headers])+1,0,INDEX(tblBuyerOutputs[Cumul Appr],ROW()-ROW(tblBuyerOutputs[#Headers])-1)))*$AK$2/12)</f>
        <v>0</v>
      </c>
      <c r="AE432" s="276">
        <f>IF(INDEX(tblContractForDeed[End Bal],ROW()-ROW(tblBuyerOutputs[#Headers]))&lt;=0,0,IF(ROW()=ROW(tblBuyerOutputs[#Headers])+1,0,INDEX(tblBuyerOutputs[Cumul Appr],ROW()-ROW(tblBuyerOutputs[#Headers])-1))+tblBuyerOutputs[[#This Row],[Monthly Appr]])</f>
        <v>0</v>
      </c>
    </row>
    <row r="433" spans="1:31" x14ac:dyDescent="0.25">
      <c r="A433" s="613" t="str">
        <f t="shared" si="94"/>
        <v xml:space="preserve"> </v>
      </c>
      <c r="B433" s="276">
        <f t="shared" si="87"/>
        <v>0</v>
      </c>
      <c r="C433" s="14">
        <f t="shared" si="91"/>
        <v>0</v>
      </c>
      <c r="D433" s="14">
        <f t="shared" si="95"/>
        <v>0</v>
      </c>
      <c r="E433" s="14">
        <f t="shared" si="92"/>
        <v>0</v>
      </c>
      <c r="F433" s="14">
        <f t="shared" si="100"/>
        <v>134.16999999999999</v>
      </c>
      <c r="G433" s="14">
        <f t="shared" si="100"/>
        <v>188.55</v>
      </c>
      <c r="H433" s="14">
        <f t="shared" si="89"/>
        <v>322.72000000000003</v>
      </c>
      <c r="I433" s="276">
        <f t="shared" si="96"/>
        <v>98158.279999999955</v>
      </c>
      <c r="J433" s="276">
        <f t="shared" si="97"/>
        <v>35884.000000000022</v>
      </c>
      <c r="K433" s="276">
        <f t="shared" si="98"/>
        <v>0</v>
      </c>
      <c r="L433" s="394">
        <f t="shared" si="86"/>
        <v>34</v>
      </c>
      <c r="M433" s="394">
        <f t="shared" si="93"/>
        <v>413</v>
      </c>
      <c r="N433" s="613" t="str">
        <f>INDEX(tblSubjectToLoan[Date],ROW()-ROW(tblContractForDeed[#Headers]))</f>
        <v xml:space="preserve"> </v>
      </c>
      <c r="O433" s="276">
        <f>IF(ROW()=ROW(tblContractForDeed[#Headers])+1,$O$6,IF(INDEX(tblContractForDeed[End Bal],ROW()-ROW(tblContractForDeed[#Headers])-1)&lt;0,0,INDEX(tblContractForDeed[End Bal],ROW()-ROW(tblContractForDeed[#Headers])-1)))</f>
        <v>0</v>
      </c>
      <c r="P433" s="454">
        <f>IF(tblContractForDeed[[#This Row],[Date]]="","",IF(tblContractForDeed[[#This Row],[Date]]&lt;cfdRateChangeDate,cfdRate1,cfdRate2))</f>
        <v>7.7499999999999999E-2</v>
      </c>
      <c r="Q4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467">
        <f>IF(INDEX(tblContractForDeed[Payment],ROW()-ROW(tblBuyerOutputs[#Headers]))=0,0,INDEX(tblContractForDeed[Payment],ROW()-ROW(tblBuyerOutputs[#Headers]))-INDEX(tblSubjectToLoan[Payment],ROW()-ROW(tblBuyerOutputs[#Headers])))</f>
        <v>0</v>
      </c>
      <c r="Z4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3" s="276">
        <f>IF(INDEX(tblContractForDeed[End Bal],ROW()-ROW(tblBuyerOutputs[#Headers]))&lt;=0,0,($O$6+IF(ROW()=ROW(tblBuyerOutputs[#Headers])+1,0,INDEX(tblBuyerOutputs[Cumul Appr],ROW()-ROW(tblBuyerOutputs[#Headers])-1)))*$AK$2/12)</f>
        <v>0</v>
      </c>
      <c r="AE433" s="276">
        <f>IF(INDEX(tblContractForDeed[End Bal],ROW()-ROW(tblBuyerOutputs[#Headers]))&lt;=0,0,IF(ROW()=ROW(tblBuyerOutputs[#Headers])+1,0,INDEX(tblBuyerOutputs[Cumul Appr],ROW()-ROW(tblBuyerOutputs[#Headers])-1))+tblBuyerOutputs[[#This Row],[Monthly Appr]])</f>
        <v>0</v>
      </c>
    </row>
    <row r="434" spans="1:31" x14ac:dyDescent="0.25">
      <c r="A434" s="613" t="str">
        <f t="shared" si="94"/>
        <v xml:space="preserve"> </v>
      </c>
      <c r="B434" s="276">
        <f t="shared" si="87"/>
        <v>0</v>
      </c>
      <c r="C434" s="14">
        <f t="shared" si="91"/>
        <v>0</v>
      </c>
      <c r="D434" s="14">
        <f t="shared" si="95"/>
        <v>0</v>
      </c>
      <c r="E434" s="14">
        <f t="shared" si="92"/>
        <v>0</v>
      </c>
      <c r="F434" s="14">
        <f t="shared" si="100"/>
        <v>134.16999999999999</v>
      </c>
      <c r="G434" s="14">
        <f t="shared" si="100"/>
        <v>188.55</v>
      </c>
      <c r="H434" s="14">
        <f t="shared" si="89"/>
        <v>322.72000000000003</v>
      </c>
      <c r="I434" s="276">
        <f t="shared" si="96"/>
        <v>98158.279999999955</v>
      </c>
      <c r="J434" s="276">
        <f t="shared" si="97"/>
        <v>35884.000000000022</v>
      </c>
      <c r="K434" s="276">
        <f t="shared" si="98"/>
        <v>0</v>
      </c>
      <c r="L434" s="394">
        <f t="shared" si="86"/>
        <v>34</v>
      </c>
      <c r="M434" s="394">
        <f t="shared" si="93"/>
        <v>414</v>
      </c>
      <c r="N434" s="613" t="str">
        <f>INDEX(tblSubjectToLoan[Date],ROW()-ROW(tblContractForDeed[#Headers]))</f>
        <v xml:space="preserve"> </v>
      </c>
      <c r="O434" s="276">
        <f>IF(ROW()=ROW(tblContractForDeed[#Headers])+1,$O$6,IF(INDEX(tblContractForDeed[End Bal],ROW()-ROW(tblContractForDeed[#Headers])-1)&lt;0,0,INDEX(tblContractForDeed[End Bal],ROW()-ROW(tblContractForDeed[#Headers])-1)))</f>
        <v>0</v>
      </c>
      <c r="P434" s="454">
        <f>IF(tblContractForDeed[[#This Row],[Date]]="","",IF(tblContractForDeed[[#This Row],[Date]]&lt;cfdRateChangeDate,cfdRate1,cfdRate2))</f>
        <v>7.7499999999999999E-2</v>
      </c>
      <c r="Q4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467">
        <f>IF(INDEX(tblContractForDeed[Payment],ROW()-ROW(tblBuyerOutputs[#Headers]))=0,0,INDEX(tblContractForDeed[Payment],ROW()-ROW(tblBuyerOutputs[#Headers]))-INDEX(tblSubjectToLoan[Payment],ROW()-ROW(tblBuyerOutputs[#Headers])))</f>
        <v>0</v>
      </c>
      <c r="Z4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4" s="276">
        <f>IF(INDEX(tblContractForDeed[End Bal],ROW()-ROW(tblBuyerOutputs[#Headers]))&lt;=0,0,($O$6+IF(ROW()=ROW(tblBuyerOutputs[#Headers])+1,0,INDEX(tblBuyerOutputs[Cumul Appr],ROW()-ROW(tblBuyerOutputs[#Headers])-1)))*$AK$2/12)</f>
        <v>0</v>
      </c>
      <c r="AE434" s="276">
        <f>IF(INDEX(tblContractForDeed[End Bal],ROW()-ROW(tblBuyerOutputs[#Headers]))&lt;=0,0,IF(ROW()=ROW(tblBuyerOutputs[#Headers])+1,0,INDEX(tblBuyerOutputs[Cumul Appr],ROW()-ROW(tblBuyerOutputs[#Headers])-1))+tblBuyerOutputs[[#This Row],[Monthly Appr]])</f>
        <v>0</v>
      </c>
    </row>
    <row r="435" spans="1:31" x14ac:dyDescent="0.25">
      <c r="A435" s="613" t="str">
        <f t="shared" si="94"/>
        <v xml:space="preserve"> </v>
      </c>
      <c r="B435" s="276">
        <f t="shared" si="87"/>
        <v>0</v>
      </c>
      <c r="C435" s="14">
        <f t="shared" si="91"/>
        <v>0</v>
      </c>
      <c r="D435" s="14">
        <f t="shared" si="95"/>
        <v>0</v>
      </c>
      <c r="E435" s="14">
        <f t="shared" si="92"/>
        <v>0</v>
      </c>
      <c r="F435" s="14">
        <f t="shared" si="100"/>
        <v>134.16999999999999</v>
      </c>
      <c r="G435" s="14">
        <f t="shared" si="100"/>
        <v>188.55</v>
      </c>
      <c r="H435" s="14">
        <f t="shared" si="89"/>
        <v>322.72000000000003</v>
      </c>
      <c r="I435" s="276">
        <f t="shared" si="96"/>
        <v>98158.279999999955</v>
      </c>
      <c r="J435" s="276">
        <f t="shared" si="97"/>
        <v>35884.000000000022</v>
      </c>
      <c r="K435" s="276">
        <f t="shared" si="98"/>
        <v>0</v>
      </c>
      <c r="L435" s="394">
        <f t="shared" si="86"/>
        <v>34</v>
      </c>
      <c r="M435" s="394">
        <f t="shared" si="93"/>
        <v>415</v>
      </c>
      <c r="N435" s="613" t="str">
        <f>INDEX(tblSubjectToLoan[Date],ROW()-ROW(tblContractForDeed[#Headers]))</f>
        <v xml:space="preserve"> </v>
      </c>
      <c r="O435" s="276">
        <f>IF(ROW()=ROW(tblContractForDeed[#Headers])+1,$O$6,IF(INDEX(tblContractForDeed[End Bal],ROW()-ROW(tblContractForDeed[#Headers])-1)&lt;0,0,INDEX(tblContractForDeed[End Bal],ROW()-ROW(tblContractForDeed[#Headers])-1)))</f>
        <v>0</v>
      </c>
      <c r="P435" s="454">
        <f>IF(tblContractForDeed[[#This Row],[Date]]="","",IF(tblContractForDeed[[#This Row],[Date]]&lt;cfdRateChangeDate,cfdRate1,cfdRate2))</f>
        <v>7.7499999999999999E-2</v>
      </c>
      <c r="Q4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467">
        <f>IF(INDEX(tblContractForDeed[Payment],ROW()-ROW(tblBuyerOutputs[#Headers]))=0,0,INDEX(tblContractForDeed[Payment],ROW()-ROW(tblBuyerOutputs[#Headers]))-INDEX(tblSubjectToLoan[Payment],ROW()-ROW(tblBuyerOutputs[#Headers])))</f>
        <v>0</v>
      </c>
      <c r="Z4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5" s="276">
        <f>IF(INDEX(tblContractForDeed[End Bal],ROW()-ROW(tblBuyerOutputs[#Headers]))&lt;=0,0,($O$6+IF(ROW()=ROW(tblBuyerOutputs[#Headers])+1,0,INDEX(tblBuyerOutputs[Cumul Appr],ROW()-ROW(tblBuyerOutputs[#Headers])-1)))*$AK$2/12)</f>
        <v>0</v>
      </c>
      <c r="AE435" s="276">
        <f>IF(INDEX(tblContractForDeed[End Bal],ROW()-ROW(tblBuyerOutputs[#Headers]))&lt;=0,0,IF(ROW()=ROW(tblBuyerOutputs[#Headers])+1,0,INDEX(tblBuyerOutputs[Cumul Appr],ROW()-ROW(tblBuyerOutputs[#Headers])-1))+tblBuyerOutputs[[#This Row],[Monthly Appr]])</f>
        <v>0</v>
      </c>
    </row>
    <row r="436" spans="1:31" x14ac:dyDescent="0.25">
      <c r="A436" s="613" t="str">
        <f t="shared" si="94"/>
        <v xml:space="preserve"> </v>
      </c>
      <c r="B436" s="276">
        <f t="shared" si="87"/>
        <v>0</v>
      </c>
      <c r="C436" s="14">
        <f t="shared" si="91"/>
        <v>0</v>
      </c>
      <c r="D436" s="14">
        <f t="shared" si="95"/>
        <v>0</v>
      </c>
      <c r="E436" s="14">
        <f t="shared" si="92"/>
        <v>0</v>
      </c>
      <c r="F436" s="14">
        <f t="shared" si="100"/>
        <v>134.16999999999999</v>
      </c>
      <c r="G436" s="14">
        <f t="shared" si="100"/>
        <v>188.55</v>
      </c>
      <c r="H436" s="14">
        <f t="shared" si="89"/>
        <v>322.72000000000003</v>
      </c>
      <c r="I436" s="276">
        <f t="shared" si="96"/>
        <v>98158.279999999955</v>
      </c>
      <c r="J436" s="276">
        <f t="shared" si="97"/>
        <v>35884.000000000022</v>
      </c>
      <c r="K436" s="276">
        <f t="shared" si="98"/>
        <v>0</v>
      </c>
      <c r="L436" s="394">
        <f t="shared" ref="L436:L499" si="101">IF(MOD(M436,12)=0,M436/12,L435)</f>
        <v>34</v>
      </c>
      <c r="M436" s="394">
        <f t="shared" si="93"/>
        <v>416</v>
      </c>
      <c r="N436" s="613" t="str">
        <f>INDEX(tblSubjectToLoan[Date],ROW()-ROW(tblContractForDeed[#Headers]))</f>
        <v xml:space="preserve"> </v>
      </c>
      <c r="O436" s="276">
        <f>IF(ROW()=ROW(tblContractForDeed[#Headers])+1,$O$6,IF(INDEX(tblContractForDeed[End Bal],ROW()-ROW(tblContractForDeed[#Headers])-1)&lt;0,0,INDEX(tblContractForDeed[End Bal],ROW()-ROW(tblContractForDeed[#Headers])-1)))</f>
        <v>0</v>
      </c>
      <c r="P436" s="454">
        <f>IF(tblContractForDeed[[#This Row],[Date]]="","",IF(tblContractForDeed[[#This Row],[Date]]&lt;cfdRateChangeDate,cfdRate1,cfdRate2))</f>
        <v>7.7499999999999999E-2</v>
      </c>
      <c r="Q4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467">
        <f>IF(INDEX(tblContractForDeed[Payment],ROW()-ROW(tblBuyerOutputs[#Headers]))=0,0,INDEX(tblContractForDeed[Payment],ROW()-ROW(tblBuyerOutputs[#Headers]))-INDEX(tblSubjectToLoan[Payment],ROW()-ROW(tblBuyerOutputs[#Headers])))</f>
        <v>0</v>
      </c>
      <c r="Z4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6" s="276">
        <f>IF(INDEX(tblContractForDeed[End Bal],ROW()-ROW(tblBuyerOutputs[#Headers]))&lt;=0,0,($O$6+IF(ROW()=ROW(tblBuyerOutputs[#Headers])+1,0,INDEX(tblBuyerOutputs[Cumul Appr],ROW()-ROW(tblBuyerOutputs[#Headers])-1)))*$AK$2/12)</f>
        <v>0</v>
      </c>
      <c r="AE436" s="276">
        <f>IF(INDEX(tblContractForDeed[End Bal],ROW()-ROW(tblBuyerOutputs[#Headers]))&lt;=0,0,IF(ROW()=ROW(tblBuyerOutputs[#Headers])+1,0,INDEX(tblBuyerOutputs[Cumul Appr],ROW()-ROW(tblBuyerOutputs[#Headers])-1))+tblBuyerOutputs[[#This Row],[Monthly Appr]])</f>
        <v>0</v>
      </c>
    </row>
    <row r="437" spans="1:31" x14ac:dyDescent="0.25">
      <c r="A437" s="613" t="str">
        <f t="shared" si="94"/>
        <v xml:space="preserve"> </v>
      </c>
      <c r="B437" s="276">
        <f t="shared" si="87"/>
        <v>0</v>
      </c>
      <c r="C437" s="14">
        <f t="shared" si="91"/>
        <v>0</v>
      </c>
      <c r="D437" s="14">
        <f t="shared" si="95"/>
        <v>0</v>
      </c>
      <c r="E437" s="14">
        <f t="shared" si="92"/>
        <v>0</v>
      </c>
      <c r="F437" s="14">
        <f t="shared" si="100"/>
        <v>134.16999999999999</v>
      </c>
      <c r="G437" s="14">
        <f t="shared" si="100"/>
        <v>188.55</v>
      </c>
      <c r="H437" s="14">
        <f t="shared" si="89"/>
        <v>322.72000000000003</v>
      </c>
      <c r="I437" s="276">
        <f t="shared" si="96"/>
        <v>98158.279999999955</v>
      </c>
      <c r="J437" s="276">
        <f t="shared" si="97"/>
        <v>35884.000000000022</v>
      </c>
      <c r="K437" s="276">
        <f t="shared" si="98"/>
        <v>0</v>
      </c>
      <c r="L437" s="394">
        <f t="shared" si="101"/>
        <v>34</v>
      </c>
      <c r="M437" s="394">
        <f t="shared" si="93"/>
        <v>417</v>
      </c>
      <c r="N437" s="613" t="str">
        <f>INDEX(tblSubjectToLoan[Date],ROW()-ROW(tblContractForDeed[#Headers]))</f>
        <v xml:space="preserve"> </v>
      </c>
      <c r="O437" s="276">
        <f>IF(ROW()=ROW(tblContractForDeed[#Headers])+1,$O$6,IF(INDEX(tblContractForDeed[End Bal],ROW()-ROW(tblContractForDeed[#Headers])-1)&lt;0,0,INDEX(tblContractForDeed[End Bal],ROW()-ROW(tblContractForDeed[#Headers])-1)))</f>
        <v>0</v>
      </c>
      <c r="P437" s="454">
        <f>IF(tblContractForDeed[[#This Row],[Date]]="","",IF(tblContractForDeed[[#This Row],[Date]]&lt;cfdRateChangeDate,cfdRate1,cfdRate2))</f>
        <v>7.7499999999999999E-2</v>
      </c>
      <c r="Q4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467">
        <f>IF(INDEX(tblContractForDeed[Payment],ROW()-ROW(tblBuyerOutputs[#Headers]))=0,0,INDEX(tblContractForDeed[Payment],ROW()-ROW(tblBuyerOutputs[#Headers]))-INDEX(tblSubjectToLoan[Payment],ROW()-ROW(tblBuyerOutputs[#Headers])))</f>
        <v>0</v>
      </c>
      <c r="Z4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7" s="276">
        <f>IF(INDEX(tblContractForDeed[End Bal],ROW()-ROW(tblBuyerOutputs[#Headers]))&lt;=0,0,($O$6+IF(ROW()=ROW(tblBuyerOutputs[#Headers])+1,0,INDEX(tblBuyerOutputs[Cumul Appr],ROW()-ROW(tblBuyerOutputs[#Headers])-1)))*$AK$2/12)</f>
        <v>0</v>
      </c>
      <c r="AE437" s="276">
        <f>IF(INDEX(tblContractForDeed[End Bal],ROW()-ROW(tblBuyerOutputs[#Headers]))&lt;=0,0,IF(ROW()=ROW(tblBuyerOutputs[#Headers])+1,0,INDEX(tblBuyerOutputs[Cumul Appr],ROW()-ROW(tblBuyerOutputs[#Headers])-1))+tblBuyerOutputs[[#This Row],[Monthly Appr]])</f>
        <v>0</v>
      </c>
    </row>
    <row r="438" spans="1:31" x14ac:dyDescent="0.25">
      <c r="A438" s="613" t="str">
        <f t="shared" si="94"/>
        <v xml:space="preserve"> </v>
      </c>
      <c r="B438" s="276">
        <f t="shared" si="87"/>
        <v>0</v>
      </c>
      <c r="C438" s="14">
        <f t="shared" si="91"/>
        <v>0</v>
      </c>
      <c r="D438" s="14">
        <f t="shared" si="95"/>
        <v>0</v>
      </c>
      <c r="E438" s="14">
        <f t="shared" si="92"/>
        <v>0</v>
      </c>
      <c r="F438" s="14">
        <f t="shared" si="100"/>
        <v>134.16999999999999</v>
      </c>
      <c r="G438" s="14">
        <f t="shared" si="100"/>
        <v>188.55</v>
      </c>
      <c r="H438" s="14">
        <f t="shared" si="89"/>
        <v>322.72000000000003</v>
      </c>
      <c r="I438" s="276">
        <f t="shared" si="96"/>
        <v>98158.279999999955</v>
      </c>
      <c r="J438" s="276">
        <f t="shared" si="97"/>
        <v>35884.000000000022</v>
      </c>
      <c r="K438" s="276">
        <f t="shared" si="98"/>
        <v>0</v>
      </c>
      <c r="L438" s="394">
        <f t="shared" si="101"/>
        <v>34</v>
      </c>
      <c r="M438" s="394">
        <f t="shared" si="93"/>
        <v>418</v>
      </c>
      <c r="N438" s="613" t="str">
        <f>INDEX(tblSubjectToLoan[Date],ROW()-ROW(tblContractForDeed[#Headers]))</f>
        <v xml:space="preserve"> </v>
      </c>
      <c r="O438" s="276">
        <f>IF(ROW()=ROW(tblContractForDeed[#Headers])+1,$O$6,IF(INDEX(tblContractForDeed[End Bal],ROW()-ROW(tblContractForDeed[#Headers])-1)&lt;0,0,INDEX(tblContractForDeed[End Bal],ROW()-ROW(tblContractForDeed[#Headers])-1)))</f>
        <v>0</v>
      </c>
      <c r="P438" s="454">
        <f>IF(tblContractForDeed[[#This Row],[Date]]="","",IF(tblContractForDeed[[#This Row],[Date]]&lt;cfdRateChangeDate,cfdRate1,cfdRate2))</f>
        <v>7.7499999999999999E-2</v>
      </c>
      <c r="Q4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467">
        <f>IF(INDEX(tblContractForDeed[Payment],ROW()-ROW(tblBuyerOutputs[#Headers]))=0,0,INDEX(tblContractForDeed[Payment],ROW()-ROW(tblBuyerOutputs[#Headers]))-INDEX(tblSubjectToLoan[Payment],ROW()-ROW(tblBuyerOutputs[#Headers])))</f>
        <v>0</v>
      </c>
      <c r="Z4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8" s="276">
        <f>IF(INDEX(tblContractForDeed[End Bal],ROW()-ROW(tblBuyerOutputs[#Headers]))&lt;=0,0,($O$6+IF(ROW()=ROW(tblBuyerOutputs[#Headers])+1,0,INDEX(tblBuyerOutputs[Cumul Appr],ROW()-ROW(tblBuyerOutputs[#Headers])-1)))*$AK$2/12)</f>
        <v>0</v>
      </c>
      <c r="AE438" s="276">
        <f>IF(INDEX(tblContractForDeed[End Bal],ROW()-ROW(tblBuyerOutputs[#Headers]))&lt;=0,0,IF(ROW()=ROW(tblBuyerOutputs[#Headers])+1,0,INDEX(tblBuyerOutputs[Cumul Appr],ROW()-ROW(tblBuyerOutputs[#Headers])-1))+tblBuyerOutputs[[#This Row],[Monthly Appr]])</f>
        <v>0</v>
      </c>
    </row>
    <row r="439" spans="1:31" ht="15.75" thickBot="1" x14ac:dyDescent="0.3">
      <c r="A439" s="615" t="str">
        <f t="shared" si="94"/>
        <v xml:space="preserve"> </v>
      </c>
      <c r="B439" s="332">
        <f t="shared" si="87"/>
        <v>0</v>
      </c>
      <c r="C439" s="21">
        <f t="shared" si="91"/>
        <v>0</v>
      </c>
      <c r="D439" s="21">
        <f t="shared" si="95"/>
        <v>0</v>
      </c>
      <c r="E439" s="21">
        <f t="shared" si="92"/>
        <v>0</v>
      </c>
      <c r="F439" s="21">
        <f t="shared" si="100"/>
        <v>134.16999999999999</v>
      </c>
      <c r="G439" s="21">
        <f t="shared" si="100"/>
        <v>188.55</v>
      </c>
      <c r="H439" s="21">
        <f t="shared" si="89"/>
        <v>322.72000000000003</v>
      </c>
      <c r="I439" s="332">
        <f t="shared" si="96"/>
        <v>98158.279999999955</v>
      </c>
      <c r="J439" s="332">
        <f t="shared" si="97"/>
        <v>35884.000000000022</v>
      </c>
      <c r="K439" s="332">
        <f t="shared" si="98"/>
        <v>0</v>
      </c>
      <c r="L439" s="395">
        <f t="shared" si="101"/>
        <v>34</v>
      </c>
      <c r="M439" s="395">
        <f t="shared" si="93"/>
        <v>419</v>
      </c>
      <c r="N439" s="615" t="str">
        <f>INDEX(tblSubjectToLoan[Date],ROW()-ROW(tblContractForDeed[#Headers]))</f>
        <v xml:space="preserve"> </v>
      </c>
      <c r="O439" s="332">
        <f>IF(ROW()=ROW(tblContractForDeed[#Headers])+1,$O$6,IF(INDEX(tblContractForDeed[End Bal],ROW()-ROW(tblContractForDeed[#Headers])-1)&lt;0,0,INDEX(tblContractForDeed[End Bal],ROW()-ROW(tblContractForDeed[#Headers])-1)))</f>
        <v>0</v>
      </c>
      <c r="P439" s="454">
        <f>IF(tblContractForDeed[[#This Row],[Date]]="","",IF(tblContractForDeed[[#This Row],[Date]]&lt;cfdRateChangeDate,cfdRate1,cfdRate2))</f>
        <v>7.7499999999999999E-2</v>
      </c>
      <c r="Q4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468">
        <f>IF(INDEX(tblContractForDeed[Payment],ROW()-ROW(tblBuyerOutputs[#Headers]))=0,0,INDEX(tblContractForDeed[Payment],ROW()-ROW(tblBuyerOutputs[#Headers]))-INDEX(tblSubjectToLoan[Payment],ROW()-ROW(tblBuyerOutputs[#Headers])))</f>
        <v>0</v>
      </c>
      <c r="Z4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9" s="332">
        <f>IF(INDEX(tblContractForDeed[End Bal],ROW()-ROW(tblBuyerOutputs[#Headers]))&lt;=0,0,($O$6+IF(ROW()=ROW(tblBuyerOutputs[#Headers])+1,0,INDEX(tblBuyerOutputs[Cumul Appr],ROW()-ROW(tblBuyerOutputs[#Headers])-1)))*$AK$2/12)</f>
        <v>0</v>
      </c>
      <c r="AE439" s="332">
        <f>IF(INDEX(tblContractForDeed[End Bal],ROW()-ROW(tblBuyerOutputs[#Headers]))&lt;=0,0,IF(ROW()=ROW(tblBuyerOutputs[#Headers])+1,0,INDEX(tblBuyerOutputs[Cumul Appr],ROW()-ROW(tblBuyerOutputs[#Headers])-1))+tblBuyerOutputs[[#This Row],[Monthly Appr]])</f>
        <v>0</v>
      </c>
    </row>
    <row r="440" spans="1:31" x14ac:dyDescent="0.25">
      <c r="A440" s="613" t="str">
        <f t="shared" si="94"/>
        <v xml:space="preserve"> </v>
      </c>
      <c r="B440" s="276">
        <f t="shared" si="87"/>
        <v>0</v>
      </c>
      <c r="C440" s="14">
        <f t="shared" si="91"/>
        <v>0</v>
      </c>
      <c r="D440" s="14">
        <f t="shared" si="95"/>
        <v>0</v>
      </c>
      <c r="E440" s="14">
        <f t="shared" si="92"/>
        <v>0</v>
      </c>
      <c r="F440" s="14">
        <f t="shared" si="100"/>
        <v>134.16999999999999</v>
      </c>
      <c r="G440" s="14">
        <f t="shared" si="100"/>
        <v>188.55</v>
      </c>
      <c r="H440" s="14">
        <f t="shared" si="89"/>
        <v>322.72000000000003</v>
      </c>
      <c r="I440" s="276">
        <f t="shared" si="96"/>
        <v>98158.279999999955</v>
      </c>
      <c r="J440" s="276">
        <f t="shared" si="97"/>
        <v>35884.000000000022</v>
      </c>
      <c r="K440" s="276">
        <f t="shared" si="98"/>
        <v>0</v>
      </c>
      <c r="L440" s="394">
        <f t="shared" si="101"/>
        <v>35</v>
      </c>
      <c r="M440" s="394">
        <f t="shared" si="93"/>
        <v>420</v>
      </c>
      <c r="N440" s="613" t="str">
        <f>INDEX(tblSubjectToLoan[Date],ROW()-ROW(tblContractForDeed[#Headers]))</f>
        <v xml:space="preserve"> </v>
      </c>
      <c r="O440" s="276">
        <f>IF(ROW()=ROW(tblContractForDeed[#Headers])+1,$O$6,IF(INDEX(tblContractForDeed[End Bal],ROW()-ROW(tblContractForDeed[#Headers])-1)&lt;0,0,INDEX(tblContractForDeed[End Bal],ROW()-ROW(tblContractForDeed[#Headers])-1)))</f>
        <v>0</v>
      </c>
      <c r="P440" s="454">
        <f>IF(tblContractForDeed[[#This Row],[Date]]="","",IF(tblContractForDeed[[#This Row],[Date]]&lt;cfdRateChangeDate,cfdRate1,cfdRate2))</f>
        <v>7.7499999999999999E-2</v>
      </c>
      <c r="Q4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467">
        <f>IF(INDEX(tblContractForDeed[Payment],ROW()-ROW(tblBuyerOutputs[#Headers]))=0,0,INDEX(tblContractForDeed[Payment],ROW()-ROW(tblBuyerOutputs[#Headers]))-INDEX(tblSubjectToLoan[Payment],ROW()-ROW(tblBuyerOutputs[#Headers])))</f>
        <v>0</v>
      </c>
      <c r="Z4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0" s="276">
        <f>IF(INDEX(tblContractForDeed[End Bal],ROW()-ROW(tblBuyerOutputs[#Headers]))&lt;=0,0,($O$6+IF(ROW()=ROW(tblBuyerOutputs[#Headers])+1,0,INDEX(tblBuyerOutputs[Cumul Appr],ROW()-ROW(tblBuyerOutputs[#Headers])-1)))*$AK$2/12)</f>
        <v>0</v>
      </c>
      <c r="AE440" s="276">
        <f>IF(INDEX(tblContractForDeed[End Bal],ROW()-ROW(tblBuyerOutputs[#Headers]))&lt;=0,0,IF(ROW()=ROW(tblBuyerOutputs[#Headers])+1,0,INDEX(tblBuyerOutputs[Cumul Appr],ROW()-ROW(tblBuyerOutputs[#Headers])-1))+tblBuyerOutputs[[#This Row],[Monthly Appr]])</f>
        <v>0</v>
      </c>
    </row>
    <row r="441" spans="1:31" x14ac:dyDescent="0.25">
      <c r="A441" s="613" t="str">
        <f t="shared" si="94"/>
        <v xml:space="preserve"> </v>
      </c>
      <c r="B441" s="276">
        <f t="shared" si="87"/>
        <v>0</v>
      </c>
      <c r="C441" s="14">
        <f t="shared" si="91"/>
        <v>0</v>
      </c>
      <c r="D441" s="14">
        <f t="shared" si="95"/>
        <v>0</v>
      </c>
      <c r="E441" s="14">
        <f t="shared" si="92"/>
        <v>0</v>
      </c>
      <c r="F441" s="14">
        <f t="shared" si="100"/>
        <v>134.16999999999999</v>
      </c>
      <c r="G441" s="14">
        <f t="shared" si="100"/>
        <v>188.55</v>
      </c>
      <c r="H441" s="14">
        <f t="shared" si="89"/>
        <v>322.72000000000003</v>
      </c>
      <c r="I441" s="276">
        <f t="shared" si="96"/>
        <v>98158.279999999955</v>
      </c>
      <c r="J441" s="276">
        <f t="shared" si="97"/>
        <v>35884.000000000022</v>
      </c>
      <c r="K441" s="276">
        <f t="shared" si="98"/>
        <v>0</v>
      </c>
      <c r="L441" s="394">
        <f t="shared" si="101"/>
        <v>35</v>
      </c>
      <c r="M441" s="394">
        <f t="shared" si="93"/>
        <v>421</v>
      </c>
      <c r="N441" s="613" t="str">
        <f>INDEX(tblSubjectToLoan[Date],ROW()-ROW(tblContractForDeed[#Headers]))</f>
        <v xml:space="preserve"> </v>
      </c>
      <c r="O441" s="276">
        <f>IF(ROW()=ROW(tblContractForDeed[#Headers])+1,$O$6,IF(INDEX(tblContractForDeed[End Bal],ROW()-ROW(tblContractForDeed[#Headers])-1)&lt;0,0,INDEX(tblContractForDeed[End Bal],ROW()-ROW(tblContractForDeed[#Headers])-1)))</f>
        <v>0</v>
      </c>
      <c r="P441" s="454">
        <f>IF(tblContractForDeed[[#This Row],[Date]]="","",IF(tblContractForDeed[[#This Row],[Date]]&lt;cfdRateChangeDate,cfdRate1,cfdRate2))</f>
        <v>7.7499999999999999E-2</v>
      </c>
      <c r="Q4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467">
        <f>IF(INDEX(tblContractForDeed[Payment],ROW()-ROW(tblBuyerOutputs[#Headers]))=0,0,INDEX(tblContractForDeed[Payment],ROW()-ROW(tblBuyerOutputs[#Headers]))-INDEX(tblSubjectToLoan[Payment],ROW()-ROW(tblBuyerOutputs[#Headers])))</f>
        <v>0</v>
      </c>
      <c r="Z4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1" s="276">
        <f>IF(INDEX(tblContractForDeed[End Bal],ROW()-ROW(tblBuyerOutputs[#Headers]))&lt;=0,0,($O$6+IF(ROW()=ROW(tblBuyerOutputs[#Headers])+1,0,INDEX(tblBuyerOutputs[Cumul Appr],ROW()-ROW(tblBuyerOutputs[#Headers])-1)))*$AK$2/12)</f>
        <v>0</v>
      </c>
      <c r="AE441" s="276">
        <f>IF(INDEX(tblContractForDeed[End Bal],ROW()-ROW(tblBuyerOutputs[#Headers]))&lt;=0,0,IF(ROW()=ROW(tblBuyerOutputs[#Headers])+1,0,INDEX(tblBuyerOutputs[Cumul Appr],ROW()-ROW(tblBuyerOutputs[#Headers])-1))+tblBuyerOutputs[[#This Row],[Monthly Appr]])</f>
        <v>0</v>
      </c>
    </row>
    <row r="442" spans="1:31" x14ac:dyDescent="0.25">
      <c r="A442" s="613" t="str">
        <f t="shared" si="94"/>
        <v xml:space="preserve"> </v>
      </c>
      <c r="B442" s="276">
        <f t="shared" si="87"/>
        <v>0</v>
      </c>
      <c r="C442" s="14">
        <f t="shared" si="91"/>
        <v>0</v>
      </c>
      <c r="D442" s="14">
        <f t="shared" si="95"/>
        <v>0</v>
      </c>
      <c r="E442" s="14">
        <f t="shared" si="92"/>
        <v>0</v>
      </c>
      <c r="F442" s="14">
        <f t="shared" si="100"/>
        <v>134.16999999999999</v>
      </c>
      <c r="G442" s="14">
        <f t="shared" si="100"/>
        <v>188.55</v>
      </c>
      <c r="H442" s="14">
        <f t="shared" si="89"/>
        <v>322.72000000000003</v>
      </c>
      <c r="I442" s="276">
        <f t="shared" si="96"/>
        <v>98158.279999999955</v>
      </c>
      <c r="J442" s="276">
        <f t="shared" si="97"/>
        <v>35884.000000000022</v>
      </c>
      <c r="K442" s="276">
        <f t="shared" si="98"/>
        <v>0</v>
      </c>
      <c r="L442" s="394">
        <f t="shared" si="101"/>
        <v>35</v>
      </c>
      <c r="M442" s="394">
        <f t="shared" si="93"/>
        <v>422</v>
      </c>
      <c r="N442" s="613" t="str">
        <f>INDEX(tblSubjectToLoan[Date],ROW()-ROW(tblContractForDeed[#Headers]))</f>
        <v xml:space="preserve"> </v>
      </c>
      <c r="O442" s="276">
        <f>IF(ROW()=ROW(tblContractForDeed[#Headers])+1,$O$6,IF(INDEX(tblContractForDeed[End Bal],ROW()-ROW(tblContractForDeed[#Headers])-1)&lt;0,0,INDEX(tblContractForDeed[End Bal],ROW()-ROW(tblContractForDeed[#Headers])-1)))</f>
        <v>0</v>
      </c>
      <c r="P442" s="454">
        <f>IF(tblContractForDeed[[#This Row],[Date]]="","",IF(tblContractForDeed[[#This Row],[Date]]&lt;cfdRateChangeDate,cfdRate1,cfdRate2))</f>
        <v>7.7499999999999999E-2</v>
      </c>
      <c r="Q4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467">
        <f>IF(INDEX(tblContractForDeed[Payment],ROW()-ROW(tblBuyerOutputs[#Headers]))=0,0,INDEX(tblContractForDeed[Payment],ROW()-ROW(tblBuyerOutputs[#Headers]))-INDEX(tblSubjectToLoan[Payment],ROW()-ROW(tblBuyerOutputs[#Headers])))</f>
        <v>0</v>
      </c>
      <c r="Z4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2" s="276">
        <f>IF(INDEX(tblContractForDeed[End Bal],ROW()-ROW(tblBuyerOutputs[#Headers]))&lt;=0,0,($O$6+IF(ROW()=ROW(tblBuyerOutputs[#Headers])+1,0,INDEX(tblBuyerOutputs[Cumul Appr],ROW()-ROW(tblBuyerOutputs[#Headers])-1)))*$AK$2/12)</f>
        <v>0</v>
      </c>
      <c r="AE442" s="276">
        <f>IF(INDEX(tblContractForDeed[End Bal],ROW()-ROW(tblBuyerOutputs[#Headers]))&lt;=0,0,IF(ROW()=ROW(tblBuyerOutputs[#Headers])+1,0,INDEX(tblBuyerOutputs[Cumul Appr],ROW()-ROW(tblBuyerOutputs[#Headers])-1))+tblBuyerOutputs[[#This Row],[Monthly Appr]])</f>
        <v>0</v>
      </c>
    </row>
    <row r="443" spans="1:31" x14ac:dyDescent="0.25">
      <c r="A443" s="613" t="str">
        <f t="shared" si="94"/>
        <v xml:space="preserve"> </v>
      </c>
      <c r="B443" s="276">
        <f t="shared" si="87"/>
        <v>0</v>
      </c>
      <c r="C443" s="14">
        <f t="shared" si="91"/>
        <v>0</v>
      </c>
      <c r="D443" s="14">
        <f t="shared" si="95"/>
        <v>0</v>
      </c>
      <c r="E443" s="14">
        <f t="shared" si="92"/>
        <v>0</v>
      </c>
      <c r="F443" s="14">
        <f t="shared" si="100"/>
        <v>134.16999999999999</v>
      </c>
      <c r="G443" s="14">
        <f t="shared" si="100"/>
        <v>188.55</v>
      </c>
      <c r="H443" s="14">
        <f t="shared" si="89"/>
        <v>322.72000000000003</v>
      </c>
      <c r="I443" s="276">
        <f t="shared" si="96"/>
        <v>98158.279999999955</v>
      </c>
      <c r="J443" s="276">
        <f t="shared" si="97"/>
        <v>35884.000000000022</v>
      </c>
      <c r="K443" s="276">
        <f t="shared" si="98"/>
        <v>0</v>
      </c>
      <c r="L443" s="394">
        <f t="shared" si="101"/>
        <v>35</v>
      </c>
      <c r="M443" s="394">
        <f t="shared" si="93"/>
        <v>423</v>
      </c>
      <c r="N443" s="613" t="str">
        <f>INDEX(tblSubjectToLoan[Date],ROW()-ROW(tblContractForDeed[#Headers]))</f>
        <v xml:space="preserve"> </v>
      </c>
      <c r="O443" s="276">
        <f>IF(ROW()=ROW(tblContractForDeed[#Headers])+1,$O$6,IF(INDEX(tblContractForDeed[End Bal],ROW()-ROW(tblContractForDeed[#Headers])-1)&lt;0,0,INDEX(tblContractForDeed[End Bal],ROW()-ROW(tblContractForDeed[#Headers])-1)))</f>
        <v>0</v>
      </c>
      <c r="P443" s="454">
        <f>IF(tblContractForDeed[[#This Row],[Date]]="","",IF(tblContractForDeed[[#This Row],[Date]]&lt;cfdRateChangeDate,cfdRate1,cfdRate2))</f>
        <v>7.7499999999999999E-2</v>
      </c>
      <c r="Q4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467">
        <f>IF(INDEX(tblContractForDeed[Payment],ROW()-ROW(tblBuyerOutputs[#Headers]))=0,0,INDEX(tblContractForDeed[Payment],ROW()-ROW(tblBuyerOutputs[#Headers]))-INDEX(tblSubjectToLoan[Payment],ROW()-ROW(tblBuyerOutputs[#Headers])))</f>
        <v>0</v>
      </c>
      <c r="Z4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3" s="276">
        <f>IF(INDEX(tblContractForDeed[End Bal],ROW()-ROW(tblBuyerOutputs[#Headers]))&lt;=0,0,($O$6+IF(ROW()=ROW(tblBuyerOutputs[#Headers])+1,0,INDEX(tblBuyerOutputs[Cumul Appr],ROW()-ROW(tblBuyerOutputs[#Headers])-1)))*$AK$2/12)</f>
        <v>0</v>
      </c>
      <c r="AE443" s="276">
        <f>IF(INDEX(tblContractForDeed[End Bal],ROW()-ROW(tblBuyerOutputs[#Headers]))&lt;=0,0,IF(ROW()=ROW(tblBuyerOutputs[#Headers])+1,0,INDEX(tblBuyerOutputs[Cumul Appr],ROW()-ROW(tblBuyerOutputs[#Headers])-1))+tblBuyerOutputs[[#This Row],[Monthly Appr]])</f>
        <v>0</v>
      </c>
    </row>
    <row r="444" spans="1:31" x14ac:dyDescent="0.25">
      <c r="A444" s="613" t="str">
        <f t="shared" si="94"/>
        <v xml:space="preserve"> </v>
      </c>
      <c r="B444" s="276">
        <f t="shared" si="87"/>
        <v>0</v>
      </c>
      <c r="C444" s="14">
        <f t="shared" si="91"/>
        <v>0</v>
      </c>
      <c r="D444" s="14">
        <f t="shared" si="95"/>
        <v>0</v>
      </c>
      <c r="E444" s="14">
        <f t="shared" si="92"/>
        <v>0</v>
      </c>
      <c r="F444" s="14">
        <f t="shared" si="100"/>
        <v>134.16999999999999</v>
      </c>
      <c r="G444" s="14">
        <f t="shared" si="100"/>
        <v>188.55</v>
      </c>
      <c r="H444" s="14">
        <f t="shared" si="89"/>
        <v>322.72000000000003</v>
      </c>
      <c r="I444" s="276">
        <f t="shared" si="96"/>
        <v>98158.279999999955</v>
      </c>
      <c r="J444" s="276">
        <f t="shared" si="97"/>
        <v>35884.000000000022</v>
      </c>
      <c r="K444" s="276">
        <f t="shared" si="98"/>
        <v>0</v>
      </c>
      <c r="L444" s="394">
        <f t="shared" si="101"/>
        <v>35</v>
      </c>
      <c r="M444" s="394">
        <f t="shared" si="93"/>
        <v>424</v>
      </c>
      <c r="N444" s="613" t="str">
        <f>INDEX(tblSubjectToLoan[Date],ROW()-ROW(tblContractForDeed[#Headers]))</f>
        <v xml:space="preserve"> </v>
      </c>
      <c r="O444" s="276">
        <f>IF(ROW()=ROW(tblContractForDeed[#Headers])+1,$O$6,IF(INDEX(tblContractForDeed[End Bal],ROW()-ROW(tblContractForDeed[#Headers])-1)&lt;0,0,INDEX(tblContractForDeed[End Bal],ROW()-ROW(tblContractForDeed[#Headers])-1)))</f>
        <v>0</v>
      </c>
      <c r="P444" s="454">
        <f>IF(tblContractForDeed[[#This Row],[Date]]="","",IF(tblContractForDeed[[#This Row],[Date]]&lt;cfdRateChangeDate,cfdRate1,cfdRate2))</f>
        <v>7.7499999999999999E-2</v>
      </c>
      <c r="Q4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467">
        <f>IF(INDEX(tblContractForDeed[Payment],ROW()-ROW(tblBuyerOutputs[#Headers]))=0,0,INDEX(tblContractForDeed[Payment],ROW()-ROW(tblBuyerOutputs[#Headers]))-INDEX(tblSubjectToLoan[Payment],ROW()-ROW(tblBuyerOutputs[#Headers])))</f>
        <v>0</v>
      </c>
      <c r="Z4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4" s="276">
        <f>IF(INDEX(tblContractForDeed[End Bal],ROW()-ROW(tblBuyerOutputs[#Headers]))&lt;=0,0,($O$6+IF(ROW()=ROW(tblBuyerOutputs[#Headers])+1,0,INDEX(tblBuyerOutputs[Cumul Appr],ROW()-ROW(tblBuyerOutputs[#Headers])-1)))*$AK$2/12)</f>
        <v>0</v>
      </c>
      <c r="AE444" s="276">
        <f>IF(INDEX(tblContractForDeed[End Bal],ROW()-ROW(tblBuyerOutputs[#Headers]))&lt;=0,0,IF(ROW()=ROW(tblBuyerOutputs[#Headers])+1,0,INDEX(tblBuyerOutputs[Cumul Appr],ROW()-ROW(tblBuyerOutputs[#Headers])-1))+tblBuyerOutputs[[#This Row],[Monthly Appr]])</f>
        <v>0</v>
      </c>
    </row>
    <row r="445" spans="1:31" x14ac:dyDescent="0.25">
      <c r="A445" s="613" t="str">
        <f t="shared" si="94"/>
        <v xml:space="preserve"> </v>
      </c>
      <c r="B445" s="276">
        <f t="shared" ref="B445:B495" si="102">IF(+K444&lt;0,0,+K444)</f>
        <v>0</v>
      </c>
      <c r="C445" s="14">
        <f t="shared" si="91"/>
        <v>0</v>
      </c>
      <c r="D445" s="14">
        <f t="shared" si="95"/>
        <v>0</v>
      </c>
      <c r="E445" s="14">
        <f t="shared" si="92"/>
        <v>0</v>
      </c>
      <c r="F445" s="14">
        <f t="shared" si="100"/>
        <v>134.16999999999999</v>
      </c>
      <c r="G445" s="14">
        <f t="shared" si="100"/>
        <v>188.55</v>
      </c>
      <c r="H445" s="14">
        <f t="shared" si="89"/>
        <v>322.72000000000003</v>
      </c>
      <c r="I445" s="276">
        <f t="shared" si="96"/>
        <v>98158.279999999955</v>
      </c>
      <c r="J445" s="276">
        <f t="shared" si="97"/>
        <v>35884.000000000022</v>
      </c>
      <c r="K445" s="276">
        <f t="shared" si="98"/>
        <v>0</v>
      </c>
      <c r="L445" s="394">
        <f t="shared" si="101"/>
        <v>35</v>
      </c>
      <c r="M445" s="394">
        <f t="shared" si="93"/>
        <v>425</v>
      </c>
      <c r="N445" s="613" t="str">
        <f>INDEX(tblSubjectToLoan[Date],ROW()-ROW(tblContractForDeed[#Headers]))</f>
        <v xml:space="preserve"> </v>
      </c>
      <c r="O445" s="276">
        <f>IF(ROW()=ROW(tblContractForDeed[#Headers])+1,$O$6,IF(INDEX(tblContractForDeed[End Bal],ROW()-ROW(tblContractForDeed[#Headers])-1)&lt;0,0,INDEX(tblContractForDeed[End Bal],ROW()-ROW(tblContractForDeed[#Headers])-1)))</f>
        <v>0</v>
      </c>
      <c r="P445" s="454">
        <f>IF(tblContractForDeed[[#This Row],[Date]]="","",IF(tblContractForDeed[[#This Row],[Date]]&lt;cfdRateChangeDate,cfdRate1,cfdRate2))</f>
        <v>7.7499999999999999E-2</v>
      </c>
      <c r="Q4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467">
        <f>IF(INDEX(tblContractForDeed[Payment],ROW()-ROW(tblBuyerOutputs[#Headers]))=0,0,INDEX(tblContractForDeed[Payment],ROW()-ROW(tblBuyerOutputs[#Headers]))-INDEX(tblSubjectToLoan[Payment],ROW()-ROW(tblBuyerOutputs[#Headers])))</f>
        <v>0</v>
      </c>
      <c r="Z4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5" s="276">
        <f>IF(INDEX(tblContractForDeed[End Bal],ROW()-ROW(tblBuyerOutputs[#Headers]))&lt;=0,0,($O$6+IF(ROW()=ROW(tblBuyerOutputs[#Headers])+1,0,INDEX(tblBuyerOutputs[Cumul Appr],ROW()-ROW(tblBuyerOutputs[#Headers])-1)))*$AK$2/12)</f>
        <v>0</v>
      </c>
      <c r="AE445" s="276">
        <f>IF(INDEX(tblContractForDeed[End Bal],ROW()-ROW(tblBuyerOutputs[#Headers]))&lt;=0,0,IF(ROW()=ROW(tblBuyerOutputs[#Headers])+1,0,INDEX(tblBuyerOutputs[Cumul Appr],ROW()-ROW(tblBuyerOutputs[#Headers])-1))+tblBuyerOutputs[[#This Row],[Monthly Appr]])</f>
        <v>0</v>
      </c>
    </row>
    <row r="446" spans="1:31" x14ac:dyDescent="0.25">
      <c r="A446" s="613" t="str">
        <f t="shared" si="94"/>
        <v xml:space="preserve"> </v>
      </c>
      <c r="B446" s="276">
        <f t="shared" si="102"/>
        <v>0</v>
      </c>
      <c r="C446" s="14">
        <f t="shared" si="91"/>
        <v>0</v>
      </c>
      <c r="D446" s="14">
        <f t="shared" si="95"/>
        <v>0</v>
      </c>
      <c r="E446" s="14">
        <f t="shared" si="92"/>
        <v>0</v>
      </c>
      <c r="F446" s="14">
        <f t="shared" si="100"/>
        <v>134.16999999999999</v>
      </c>
      <c r="G446" s="14">
        <f t="shared" si="100"/>
        <v>188.55</v>
      </c>
      <c r="H446" s="14">
        <f t="shared" si="89"/>
        <v>322.72000000000003</v>
      </c>
      <c r="I446" s="276">
        <f t="shared" si="96"/>
        <v>98158.279999999955</v>
      </c>
      <c r="J446" s="276">
        <f t="shared" si="97"/>
        <v>35884.000000000022</v>
      </c>
      <c r="K446" s="276">
        <f t="shared" si="98"/>
        <v>0</v>
      </c>
      <c r="L446" s="394">
        <f t="shared" si="101"/>
        <v>35</v>
      </c>
      <c r="M446" s="394">
        <f t="shared" si="93"/>
        <v>426</v>
      </c>
      <c r="N446" s="613" t="str">
        <f>INDEX(tblSubjectToLoan[Date],ROW()-ROW(tblContractForDeed[#Headers]))</f>
        <v xml:space="preserve"> </v>
      </c>
      <c r="O446" s="276">
        <f>IF(ROW()=ROW(tblContractForDeed[#Headers])+1,$O$6,IF(INDEX(tblContractForDeed[End Bal],ROW()-ROW(tblContractForDeed[#Headers])-1)&lt;0,0,INDEX(tblContractForDeed[End Bal],ROW()-ROW(tblContractForDeed[#Headers])-1)))</f>
        <v>0</v>
      </c>
      <c r="P446" s="454">
        <f>IF(tblContractForDeed[[#This Row],[Date]]="","",IF(tblContractForDeed[[#This Row],[Date]]&lt;cfdRateChangeDate,cfdRate1,cfdRate2))</f>
        <v>7.7499999999999999E-2</v>
      </c>
      <c r="Q4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467">
        <f>IF(INDEX(tblContractForDeed[Payment],ROW()-ROW(tblBuyerOutputs[#Headers]))=0,0,INDEX(tblContractForDeed[Payment],ROW()-ROW(tblBuyerOutputs[#Headers]))-INDEX(tblSubjectToLoan[Payment],ROW()-ROW(tblBuyerOutputs[#Headers])))</f>
        <v>0</v>
      </c>
      <c r="Z4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6" s="276">
        <f>IF(INDEX(tblContractForDeed[End Bal],ROW()-ROW(tblBuyerOutputs[#Headers]))&lt;=0,0,($O$6+IF(ROW()=ROW(tblBuyerOutputs[#Headers])+1,0,INDEX(tblBuyerOutputs[Cumul Appr],ROW()-ROW(tblBuyerOutputs[#Headers])-1)))*$AK$2/12)</f>
        <v>0</v>
      </c>
      <c r="AE446" s="276">
        <f>IF(INDEX(tblContractForDeed[End Bal],ROW()-ROW(tblBuyerOutputs[#Headers]))&lt;=0,0,IF(ROW()=ROW(tblBuyerOutputs[#Headers])+1,0,INDEX(tblBuyerOutputs[Cumul Appr],ROW()-ROW(tblBuyerOutputs[#Headers])-1))+tblBuyerOutputs[[#This Row],[Monthly Appr]])</f>
        <v>0</v>
      </c>
    </row>
    <row r="447" spans="1:31" x14ac:dyDescent="0.25">
      <c r="A447" s="613" t="str">
        <f t="shared" si="94"/>
        <v xml:space="preserve"> </v>
      </c>
      <c r="B447" s="276">
        <f t="shared" si="102"/>
        <v>0</v>
      </c>
      <c r="C447" s="14">
        <f t="shared" si="91"/>
        <v>0</v>
      </c>
      <c r="D447" s="14">
        <f t="shared" si="95"/>
        <v>0</v>
      </c>
      <c r="E447" s="14">
        <f t="shared" si="92"/>
        <v>0</v>
      </c>
      <c r="F447" s="14">
        <f t="shared" ref="F447:G462" si="103">+F446</f>
        <v>134.16999999999999</v>
      </c>
      <c r="G447" s="14">
        <f t="shared" si="103"/>
        <v>188.55</v>
      </c>
      <c r="H447" s="14">
        <f t="shared" si="89"/>
        <v>322.72000000000003</v>
      </c>
      <c r="I447" s="276">
        <f t="shared" si="96"/>
        <v>98158.279999999955</v>
      </c>
      <c r="J447" s="276">
        <f t="shared" si="97"/>
        <v>35884.000000000022</v>
      </c>
      <c r="K447" s="276">
        <f t="shared" si="98"/>
        <v>0</v>
      </c>
      <c r="L447" s="394">
        <f t="shared" si="101"/>
        <v>35</v>
      </c>
      <c r="M447" s="394">
        <f t="shared" si="93"/>
        <v>427</v>
      </c>
      <c r="N447" s="613" t="str">
        <f>INDEX(tblSubjectToLoan[Date],ROW()-ROW(tblContractForDeed[#Headers]))</f>
        <v xml:space="preserve"> </v>
      </c>
      <c r="O447" s="276">
        <f>IF(ROW()=ROW(tblContractForDeed[#Headers])+1,$O$6,IF(INDEX(tblContractForDeed[End Bal],ROW()-ROW(tblContractForDeed[#Headers])-1)&lt;0,0,INDEX(tblContractForDeed[End Bal],ROW()-ROW(tblContractForDeed[#Headers])-1)))</f>
        <v>0</v>
      </c>
      <c r="P447" s="454">
        <f>IF(tblContractForDeed[[#This Row],[Date]]="","",IF(tblContractForDeed[[#This Row],[Date]]&lt;cfdRateChangeDate,cfdRate1,cfdRate2))</f>
        <v>7.7499999999999999E-2</v>
      </c>
      <c r="Q4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467">
        <f>IF(INDEX(tblContractForDeed[Payment],ROW()-ROW(tblBuyerOutputs[#Headers]))=0,0,INDEX(tblContractForDeed[Payment],ROW()-ROW(tblBuyerOutputs[#Headers]))-INDEX(tblSubjectToLoan[Payment],ROW()-ROW(tblBuyerOutputs[#Headers])))</f>
        <v>0</v>
      </c>
      <c r="Z4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7" s="276">
        <f>IF(INDEX(tblContractForDeed[End Bal],ROW()-ROW(tblBuyerOutputs[#Headers]))&lt;=0,0,($O$6+IF(ROW()=ROW(tblBuyerOutputs[#Headers])+1,0,INDEX(tblBuyerOutputs[Cumul Appr],ROW()-ROW(tblBuyerOutputs[#Headers])-1)))*$AK$2/12)</f>
        <v>0</v>
      </c>
      <c r="AE447" s="276">
        <f>IF(INDEX(tblContractForDeed[End Bal],ROW()-ROW(tblBuyerOutputs[#Headers]))&lt;=0,0,IF(ROW()=ROW(tblBuyerOutputs[#Headers])+1,0,INDEX(tblBuyerOutputs[Cumul Appr],ROW()-ROW(tblBuyerOutputs[#Headers])-1))+tblBuyerOutputs[[#This Row],[Monthly Appr]])</f>
        <v>0</v>
      </c>
    </row>
    <row r="448" spans="1:31" x14ac:dyDescent="0.25">
      <c r="A448" s="613" t="str">
        <f t="shared" si="94"/>
        <v xml:space="preserve"> </v>
      </c>
      <c r="B448" s="276">
        <f t="shared" si="102"/>
        <v>0</v>
      </c>
      <c r="C448" s="14">
        <f t="shared" si="91"/>
        <v>0</v>
      </c>
      <c r="D448" s="14">
        <f t="shared" si="95"/>
        <v>0</v>
      </c>
      <c r="E448" s="14">
        <f t="shared" si="92"/>
        <v>0</v>
      </c>
      <c r="F448" s="14">
        <f t="shared" si="103"/>
        <v>134.16999999999999</v>
      </c>
      <c r="G448" s="14">
        <f t="shared" si="103"/>
        <v>188.55</v>
      </c>
      <c r="H448" s="14">
        <f t="shared" ref="H448:H495" si="104">SUM(D448:G448)</f>
        <v>322.72000000000003</v>
      </c>
      <c r="I448" s="276">
        <f t="shared" si="96"/>
        <v>98158.279999999955</v>
      </c>
      <c r="J448" s="276">
        <f t="shared" si="97"/>
        <v>35884.000000000022</v>
      </c>
      <c r="K448" s="276">
        <f t="shared" si="98"/>
        <v>0</v>
      </c>
      <c r="L448" s="394">
        <f t="shared" si="101"/>
        <v>35</v>
      </c>
      <c r="M448" s="394">
        <f t="shared" si="93"/>
        <v>428</v>
      </c>
      <c r="N448" s="613" t="str">
        <f>INDEX(tblSubjectToLoan[Date],ROW()-ROW(tblContractForDeed[#Headers]))</f>
        <v xml:space="preserve"> </v>
      </c>
      <c r="O448" s="276">
        <f>IF(ROW()=ROW(tblContractForDeed[#Headers])+1,$O$6,IF(INDEX(tblContractForDeed[End Bal],ROW()-ROW(tblContractForDeed[#Headers])-1)&lt;0,0,INDEX(tblContractForDeed[End Bal],ROW()-ROW(tblContractForDeed[#Headers])-1)))</f>
        <v>0</v>
      </c>
      <c r="P448" s="454">
        <f>IF(tblContractForDeed[[#This Row],[Date]]="","",IF(tblContractForDeed[[#This Row],[Date]]&lt;cfdRateChangeDate,cfdRate1,cfdRate2))</f>
        <v>7.7499999999999999E-2</v>
      </c>
      <c r="Q4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467">
        <f>IF(INDEX(tblContractForDeed[Payment],ROW()-ROW(tblBuyerOutputs[#Headers]))=0,0,INDEX(tblContractForDeed[Payment],ROW()-ROW(tblBuyerOutputs[#Headers]))-INDEX(tblSubjectToLoan[Payment],ROW()-ROW(tblBuyerOutputs[#Headers])))</f>
        <v>0</v>
      </c>
      <c r="Z4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8" s="276">
        <f>IF(INDEX(tblContractForDeed[End Bal],ROW()-ROW(tblBuyerOutputs[#Headers]))&lt;=0,0,($O$6+IF(ROW()=ROW(tblBuyerOutputs[#Headers])+1,0,INDEX(tblBuyerOutputs[Cumul Appr],ROW()-ROW(tblBuyerOutputs[#Headers])-1)))*$AK$2/12)</f>
        <v>0</v>
      </c>
      <c r="AE448" s="276">
        <f>IF(INDEX(tblContractForDeed[End Bal],ROW()-ROW(tblBuyerOutputs[#Headers]))&lt;=0,0,IF(ROW()=ROW(tblBuyerOutputs[#Headers])+1,0,INDEX(tblBuyerOutputs[Cumul Appr],ROW()-ROW(tblBuyerOutputs[#Headers])-1))+tblBuyerOutputs[[#This Row],[Monthly Appr]])</f>
        <v>0</v>
      </c>
    </row>
    <row r="449" spans="1:31" x14ac:dyDescent="0.25">
      <c r="A449" s="613" t="str">
        <f t="shared" si="94"/>
        <v xml:space="preserve"> </v>
      </c>
      <c r="B449" s="276">
        <f t="shared" si="102"/>
        <v>0</v>
      </c>
      <c r="C449" s="14">
        <f t="shared" si="91"/>
        <v>0</v>
      </c>
      <c r="D449" s="14">
        <f t="shared" si="95"/>
        <v>0</v>
      </c>
      <c r="E449" s="14">
        <f t="shared" si="92"/>
        <v>0</v>
      </c>
      <c r="F449" s="14">
        <f t="shared" si="103"/>
        <v>134.16999999999999</v>
      </c>
      <c r="G449" s="14">
        <f t="shared" si="103"/>
        <v>188.55</v>
      </c>
      <c r="H449" s="14">
        <f t="shared" si="104"/>
        <v>322.72000000000003</v>
      </c>
      <c r="I449" s="276">
        <f t="shared" si="96"/>
        <v>98158.279999999955</v>
      </c>
      <c r="J449" s="276">
        <f t="shared" si="97"/>
        <v>35884.000000000022</v>
      </c>
      <c r="K449" s="276">
        <f t="shared" si="98"/>
        <v>0</v>
      </c>
      <c r="L449" s="394">
        <f t="shared" si="101"/>
        <v>35</v>
      </c>
      <c r="M449" s="394">
        <f t="shared" si="93"/>
        <v>429</v>
      </c>
      <c r="N449" s="613" t="str">
        <f>INDEX(tblSubjectToLoan[Date],ROW()-ROW(tblContractForDeed[#Headers]))</f>
        <v xml:space="preserve"> </v>
      </c>
      <c r="O449" s="276">
        <f>IF(ROW()=ROW(tblContractForDeed[#Headers])+1,$O$6,IF(INDEX(tblContractForDeed[End Bal],ROW()-ROW(tblContractForDeed[#Headers])-1)&lt;0,0,INDEX(tblContractForDeed[End Bal],ROW()-ROW(tblContractForDeed[#Headers])-1)))</f>
        <v>0</v>
      </c>
      <c r="P449" s="454">
        <f>IF(tblContractForDeed[[#This Row],[Date]]="","",IF(tblContractForDeed[[#This Row],[Date]]&lt;cfdRateChangeDate,cfdRate1,cfdRate2))</f>
        <v>7.7499999999999999E-2</v>
      </c>
      <c r="Q4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467">
        <f>IF(INDEX(tblContractForDeed[Payment],ROW()-ROW(tblBuyerOutputs[#Headers]))=0,0,INDEX(tblContractForDeed[Payment],ROW()-ROW(tblBuyerOutputs[#Headers]))-INDEX(tblSubjectToLoan[Payment],ROW()-ROW(tblBuyerOutputs[#Headers])))</f>
        <v>0</v>
      </c>
      <c r="Z4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9" s="276">
        <f>IF(INDEX(tblContractForDeed[End Bal],ROW()-ROW(tblBuyerOutputs[#Headers]))&lt;=0,0,($O$6+IF(ROW()=ROW(tblBuyerOutputs[#Headers])+1,0,INDEX(tblBuyerOutputs[Cumul Appr],ROW()-ROW(tblBuyerOutputs[#Headers])-1)))*$AK$2/12)</f>
        <v>0</v>
      </c>
      <c r="AE449" s="276">
        <f>IF(INDEX(tblContractForDeed[End Bal],ROW()-ROW(tblBuyerOutputs[#Headers]))&lt;=0,0,IF(ROW()=ROW(tblBuyerOutputs[#Headers])+1,0,INDEX(tblBuyerOutputs[Cumul Appr],ROW()-ROW(tblBuyerOutputs[#Headers])-1))+tblBuyerOutputs[[#This Row],[Monthly Appr]])</f>
        <v>0</v>
      </c>
    </row>
    <row r="450" spans="1:31" x14ac:dyDescent="0.25">
      <c r="A450" s="613" t="str">
        <f t="shared" si="94"/>
        <v xml:space="preserve"> </v>
      </c>
      <c r="B450" s="276">
        <f t="shared" si="102"/>
        <v>0</v>
      </c>
      <c r="C450" s="14">
        <f t="shared" si="91"/>
        <v>0</v>
      </c>
      <c r="D450" s="14">
        <f t="shared" si="95"/>
        <v>0</v>
      </c>
      <c r="E450" s="14">
        <f t="shared" si="92"/>
        <v>0</v>
      </c>
      <c r="F450" s="14">
        <f t="shared" si="103"/>
        <v>134.16999999999999</v>
      </c>
      <c r="G450" s="14">
        <f t="shared" si="103"/>
        <v>188.55</v>
      </c>
      <c r="H450" s="14">
        <f t="shared" si="104"/>
        <v>322.72000000000003</v>
      </c>
      <c r="I450" s="276">
        <f t="shared" si="96"/>
        <v>98158.279999999955</v>
      </c>
      <c r="J450" s="276">
        <f t="shared" si="97"/>
        <v>35884.000000000022</v>
      </c>
      <c r="K450" s="276">
        <f t="shared" si="98"/>
        <v>0</v>
      </c>
      <c r="L450" s="394">
        <f t="shared" si="101"/>
        <v>35</v>
      </c>
      <c r="M450" s="394">
        <f t="shared" si="93"/>
        <v>430</v>
      </c>
      <c r="N450" s="613" t="str">
        <f>INDEX(tblSubjectToLoan[Date],ROW()-ROW(tblContractForDeed[#Headers]))</f>
        <v xml:space="preserve"> </v>
      </c>
      <c r="O450" s="276">
        <f>IF(ROW()=ROW(tblContractForDeed[#Headers])+1,$O$6,IF(INDEX(tblContractForDeed[End Bal],ROW()-ROW(tblContractForDeed[#Headers])-1)&lt;0,0,INDEX(tblContractForDeed[End Bal],ROW()-ROW(tblContractForDeed[#Headers])-1)))</f>
        <v>0</v>
      </c>
      <c r="P450" s="454">
        <f>IF(tblContractForDeed[[#This Row],[Date]]="","",IF(tblContractForDeed[[#This Row],[Date]]&lt;cfdRateChangeDate,cfdRate1,cfdRate2))</f>
        <v>7.7499999999999999E-2</v>
      </c>
      <c r="Q4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467">
        <f>IF(INDEX(tblContractForDeed[Payment],ROW()-ROW(tblBuyerOutputs[#Headers]))=0,0,INDEX(tblContractForDeed[Payment],ROW()-ROW(tblBuyerOutputs[#Headers]))-INDEX(tblSubjectToLoan[Payment],ROW()-ROW(tblBuyerOutputs[#Headers])))</f>
        <v>0</v>
      </c>
      <c r="Z4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0" s="276">
        <f>IF(INDEX(tblContractForDeed[End Bal],ROW()-ROW(tblBuyerOutputs[#Headers]))&lt;=0,0,($O$6+IF(ROW()=ROW(tblBuyerOutputs[#Headers])+1,0,INDEX(tblBuyerOutputs[Cumul Appr],ROW()-ROW(tblBuyerOutputs[#Headers])-1)))*$AK$2/12)</f>
        <v>0</v>
      </c>
      <c r="AE450" s="276">
        <f>IF(INDEX(tblContractForDeed[End Bal],ROW()-ROW(tblBuyerOutputs[#Headers]))&lt;=0,0,IF(ROW()=ROW(tblBuyerOutputs[#Headers])+1,0,INDEX(tblBuyerOutputs[Cumul Appr],ROW()-ROW(tblBuyerOutputs[#Headers])-1))+tblBuyerOutputs[[#This Row],[Monthly Appr]])</f>
        <v>0</v>
      </c>
    </row>
    <row r="451" spans="1:31" ht="15.75" thickBot="1" x14ac:dyDescent="0.3">
      <c r="A451" s="615" t="str">
        <f t="shared" si="94"/>
        <v xml:space="preserve"> </v>
      </c>
      <c r="B451" s="332">
        <f t="shared" si="102"/>
        <v>0</v>
      </c>
      <c r="C451" s="21">
        <f t="shared" si="91"/>
        <v>0</v>
      </c>
      <c r="D451" s="21">
        <f t="shared" si="95"/>
        <v>0</v>
      </c>
      <c r="E451" s="21">
        <f t="shared" si="92"/>
        <v>0</v>
      </c>
      <c r="F451" s="21">
        <f t="shared" si="103"/>
        <v>134.16999999999999</v>
      </c>
      <c r="G451" s="21">
        <f t="shared" si="103"/>
        <v>188.55</v>
      </c>
      <c r="H451" s="21">
        <f t="shared" si="104"/>
        <v>322.72000000000003</v>
      </c>
      <c r="I451" s="332">
        <f t="shared" si="96"/>
        <v>98158.279999999955</v>
      </c>
      <c r="J451" s="332">
        <f t="shared" si="97"/>
        <v>35884.000000000022</v>
      </c>
      <c r="K451" s="332">
        <f t="shared" si="98"/>
        <v>0</v>
      </c>
      <c r="L451" s="395">
        <f t="shared" si="101"/>
        <v>35</v>
      </c>
      <c r="M451" s="395">
        <f t="shared" si="93"/>
        <v>431</v>
      </c>
      <c r="N451" s="615" t="str">
        <f>INDEX(tblSubjectToLoan[Date],ROW()-ROW(tblContractForDeed[#Headers]))</f>
        <v xml:space="preserve"> </v>
      </c>
      <c r="O451" s="332">
        <f>IF(ROW()=ROW(tblContractForDeed[#Headers])+1,$O$6,IF(INDEX(tblContractForDeed[End Bal],ROW()-ROW(tblContractForDeed[#Headers])-1)&lt;0,0,INDEX(tblContractForDeed[End Bal],ROW()-ROW(tblContractForDeed[#Headers])-1)))</f>
        <v>0</v>
      </c>
      <c r="P451" s="454">
        <f>IF(tblContractForDeed[[#This Row],[Date]]="","",IF(tblContractForDeed[[#This Row],[Date]]&lt;cfdRateChangeDate,cfdRate1,cfdRate2))</f>
        <v>7.7499999999999999E-2</v>
      </c>
      <c r="Q4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468">
        <f>IF(INDEX(tblContractForDeed[Payment],ROW()-ROW(tblBuyerOutputs[#Headers]))=0,0,INDEX(tblContractForDeed[Payment],ROW()-ROW(tblBuyerOutputs[#Headers]))-INDEX(tblSubjectToLoan[Payment],ROW()-ROW(tblBuyerOutputs[#Headers])))</f>
        <v>0</v>
      </c>
      <c r="Z4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1" s="332">
        <f>IF(INDEX(tblContractForDeed[End Bal],ROW()-ROW(tblBuyerOutputs[#Headers]))&lt;=0,0,($O$6+IF(ROW()=ROW(tblBuyerOutputs[#Headers])+1,0,INDEX(tblBuyerOutputs[Cumul Appr],ROW()-ROW(tblBuyerOutputs[#Headers])-1)))*$AK$2/12)</f>
        <v>0</v>
      </c>
      <c r="AE451" s="332">
        <f>IF(INDEX(tblContractForDeed[End Bal],ROW()-ROW(tblBuyerOutputs[#Headers]))&lt;=0,0,IF(ROW()=ROW(tblBuyerOutputs[#Headers])+1,0,INDEX(tblBuyerOutputs[Cumul Appr],ROW()-ROW(tblBuyerOutputs[#Headers])-1))+tblBuyerOutputs[[#This Row],[Monthly Appr]])</f>
        <v>0</v>
      </c>
    </row>
    <row r="452" spans="1:31" x14ac:dyDescent="0.25">
      <c r="A452" s="613" t="str">
        <f t="shared" si="94"/>
        <v xml:space="preserve"> </v>
      </c>
      <c r="B452" s="276">
        <f t="shared" si="102"/>
        <v>0</v>
      </c>
      <c r="C452" s="14">
        <f t="shared" si="91"/>
        <v>0</v>
      </c>
      <c r="D452" s="14">
        <f t="shared" si="95"/>
        <v>0</v>
      </c>
      <c r="E452" s="14">
        <f t="shared" si="92"/>
        <v>0</v>
      </c>
      <c r="F452" s="14">
        <f t="shared" si="103"/>
        <v>134.16999999999999</v>
      </c>
      <c r="G452" s="14">
        <f t="shared" si="103"/>
        <v>188.55</v>
      </c>
      <c r="H452" s="14">
        <f t="shared" si="104"/>
        <v>322.72000000000003</v>
      </c>
      <c r="I452" s="276">
        <f t="shared" si="96"/>
        <v>98158.279999999955</v>
      </c>
      <c r="J452" s="276">
        <f t="shared" si="97"/>
        <v>35884.000000000022</v>
      </c>
      <c r="K452" s="276">
        <f t="shared" si="98"/>
        <v>0</v>
      </c>
      <c r="L452" s="394">
        <f t="shared" si="101"/>
        <v>36</v>
      </c>
      <c r="M452" s="394">
        <f t="shared" si="93"/>
        <v>432</v>
      </c>
      <c r="N452" s="613" t="str">
        <f>INDEX(tblSubjectToLoan[Date],ROW()-ROW(tblContractForDeed[#Headers]))</f>
        <v xml:space="preserve"> </v>
      </c>
      <c r="O452" s="276">
        <f>IF(ROW()=ROW(tblContractForDeed[#Headers])+1,$O$6,IF(INDEX(tblContractForDeed[End Bal],ROW()-ROW(tblContractForDeed[#Headers])-1)&lt;0,0,INDEX(tblContractForDeed[End Bal],ROW()-ROW(tblContractForDeed[#Headers])-1)))</f>
        <v>0</v>
      </c>
      <c r="P452" s="454">
        <f>IF(tblContractForDeed[[#This Row],[Date]]="","",IF(tblContractForDeed[[#This Row],[Date]]&lt;cfdRateChangeDate,cfdRate1,cfdRate2))</f>
        <v>7.7499999999999999E-2</v>
      </c>
      <c r="Q4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467">
        <f>IF(INDEX(tblContractForDeed[Payment],ROW()-ROW(tblBuyerOutputs[#Headers]))=0,0,INDEX(tblContractForDeed[Payment],ROW()-ROW(tblBuyerOutputs[#Headers]))-INDEX(tblSubjectToLoan[Payment],ROW()-ROW(tblBuyerOutputs[#Headers])))</f>
        <v>0</v>
      </c>
      <c r="Z4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2" s="276">
        <f>IF(INDEX(tblContractForDeed[End Bal],ROW()-ROW(tblBuyerOutputs[#Headers]))&lt;=0,0,($O$6+IF(ROW()=ROW(tblBuyerOutputs[#Headers])+1,0,INDEX(tblBuyerOutputs[Cumul Appr],ROW()-ROW(tblBuyerOutputs[#Headers])-1)))*$AK$2/12)</f>
        <v>0</v>
      </c>
      <c r="AE452" s="276">
        <f>IF(INDEX(tblContractForDeed[End Bal],ROW()-ROW(tblBuyerOutputs[#Headers]))&lt;=0,0,IF(ROW()=ROW(tblBuyerOutputs[#Headers])+1,0,INDEX(tblBuyerOutputs[Cumul Appr],ROW()-ROW(tblBuyerOutputs[#Headers])-1))+tblBuyerOutputs[[#This Row],[Monthly Appr]])</f>
        <v>0</v>
      </c>
    </row>
    <row r="453" spans="1:31" x14ac:dyDescent="0.25">
      <c r="A453" s="613" t="str">
        <f t="shared" si="94"/>
        <v xml:space="preserve"> </v>
      </c>
      <c r="B453" s="276">
        <f t="shared" si="102"/>
        <v>0</v>
      </c>
      <c r="C453" s="14">
        <f t="shared" si="91"/>
        <v>0</v>
      </c>
      <c r="D453" s="14">
        <f t="shared" si="95"/>
        <v>0</v>
      </c>
      <c r="E453" s="14">
        <f t="shared" si="92"/>
        <v>0</v>
      </c>
      <c r="F453" s="14">
        <f t="shared" si="103"/>
        <v>134.16999999999999</v>
      </c>
      <c r="G453" s="14">
        <f t="shared" si="103"/>
        <v>188.55</v>
      </c>
      <c r="H453" s="14">
        <f t="shared" si="104"/>
        <v>322.72000000000003</v>
      </c>
      <c r="I453" s="276">
        <f t="shared" si="96"/>
        <v>98158.279999999955</v>
      </c>
      <c r="J453" s="276">
        <f t="shared" si="97"/>
        <v>35884.000000000022</v>
      </c>
      <c r="K453" s="276">
        <f t="shared" si="98"/>
        <v>0</v>
      </c>
      <c r="L453" s="394">
        <f t="shared" si="101"/>
        <v>36</v>
      </c>
      <c r="M453" s="394">
        <f t="shared" si="93"/>
        <v>433</v>
      </c>
      <c r="N453" s="613" t="str">
        <f>INDEX(tblSubjectToLoan[Date],ROW()-ROW(tblContractForDeed[#Headers]))</f>
        <v xml:space="preserve"> </v>
      </c>
      <c r="O453" s="276">
        <f>IF(ROW()=ROW(tblContractForDeed[#Headers])+1,$O$6,IF(INDEX(tblContractForDeed[End Bal],ROW()-ROW(tblContractForDeed[#Headers])-1)&lt;0,0,INDEX(tblContractForDeed[End Bal],ROW()-ROW(tblContractForDeed[#Headers])-1)))</f>
        <v>0</v>
      </c>
      <c r="P453" s="454">
        <f>IF(tblContractForDeed[[#This Row],[Date]]="","",IF(tblContractForDeed[[#This Row],[Date]]&lt;cfdRateChangeDate,cfdRate1,cfdRate2))</f>
        <v>7.7499999999999999E-2</v>
      </c>
      <c r="Q4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467">
        <f>IF(INDEX(tblContractForDeed[Payment],ROW()-ROW(tblBuyerOutputs[#Headers]))=0,0,INDEX(tblContractForDeed[Payment],ROW()-ROW(tblBuyerOutputs[#Headers]))-INDEX(tblSubjectToLoan[Payment],ROW()-ROW(tblBuyerOutputs[#Headers])))</f>
        <v>0</v>
      </c>
      <c r="Z4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3" s="276">
        <f>IF(INDEX(tblContractForDeed[End Bal],ROW()-ROW(tblBuyerOutputs[#Headers]))&lt;=0,0,($O$6+IF(ROW()=ROW(tblBuyerOutputs[#Headers])+1,0,INDEX(tblBuyerOutputs[Cumul Appr],ROW()-ROW(tblBuyerOutputs[#Headers])-1)))*$AK$2/12)</f>
        <v>0</v>
      </c>
      <c r="AE453" s="276">
        <f>IF(INDEX(tblContractForDeed[End Bal],ROW()-ROW(tblBuyerOutputs[#Headers]))&lt;=0,0,IF(ROW()=ROW(tblBuyerOutputs[#Headers])+1,0,INDEX(tblBuyerOutputs[Cumul Appr],ROW()-ROW(tblBuyerOutputs[#Headers])-1))+tblBuyerOutputs[[#This Row],[Monthly Appr]])</f>
        <v>0</v>
      </c>
    </row>
    <row r="454" spans="1:31" x14ac:dyDescent="0.25">
      <c r="A454" s="613" t="str">
        <f t="shared" si="94"/>
        <v xml:space="preserve"> </v>
      </c>
      <c r="B454" s="276">
        <f t="shared" si="102"/>
        <v>0</v>
      </c>
      <c r="C454" s="14">
        <f t="shared" si="91"/>
        <v>0</v>
      </c>
      <c r="D454" s="14">
        <f t="shared" si="95"/>
        <v>0</v>
      </c>
      <c r="E454" s="14">
        <f t="shared" si="92"/>
        <v>0</v>
      </c>
      <c r="F454" s="14">
        <f t="shared" si="103"/>
        <v>134.16999999999999</v>
      </c>
      <c r="G454" s="14">
        <f t="shared" si="103"/>
        <v>188.55</v>
      </c>
      <c r="H454" s="14">
        <f t="shared" si="104"/>
        <v>322.72000000000003</v>
      </c>
      <c r="I454" s="276">
        <f t="shared" si="96"/>
        <v>98158.279999999955</v>
      </c>
      <c r="J454" s="276">
        <f t="shared" si="97"/>
        <v>35884.000000000022</v>
      </c>
      <c r="K454" s="276">
        <f t="shared" si="98"/>
        <v>0</v>
      </c>
      <c r="L454" s="394">
        <f t="shared" si="101"/>
        <v>36</v>
      </c>
      <c r="M454" s="394">
        <f t="shared" si="93"/>
        <v>434</v>
      </c>
      <c r="N454" s="613" t="str">
        <f>INDEX(tblSubjectToLoan[Date],ROW()-ROW(tblContractForDeed[#Headers]))</f>
        <v xml:space="preserve"> </v>
      </c>
      <c r="O454" s="276">
        <f>IF(ROW()=ROW(tblContractForDeed[#Headers])+1,$O$6,IF(INDEX(tblContractForDeed[End Bal],ROW()-ROW(tblContractForDeed[#Headers])-1)&lt;0,0,INDEX(tblContractForDeed[End Bal],ROW()-ROW(tblContractForDeed[#Headers])-1)))</f>
        <v>0</v>
      </c>
      <c r="P454" s="454">
        <f>IF(tblContractForDeed[[#This Row],[Date]]="","",IF(tblContractForDeed[[#This Row],[Date]]&lt;cfdRateChangeDate,cfdRate1,cfdRate2))</f>
        <v>7.7499999999999999E-2</v>
      </c>
      <c r="Q4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467">
        <f>IF(INDEX(tblContractForDeed[Payment],ROW()-ROW(tblBuyerOutputs[#Headers]))=0,0,INDEX(tblContractForDeed[Payment],ROW()-ROW(tblBuyerOutputs[#Headers]))-INDEX(tblSubjectToLoan[Payment],ROW()-ROW(tblBuyerOutputs[#Headers])))</f>
        <v>0</v>
      </c>
      <c r="Z4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4" s="276">
        <f>IF(INDEX(tblContractForDeed[End Bal],ROW()-ROW(tblBuyerOutputs[#Headers]))&lt;=0,0,($O$6+IF(ROW()=ROW(tblBuyerOutputs[#Headers])+1,0,INDEX(tblBuyerOutputs[Cumul Appr],ROW()-ROW(tblBuyerOutputs[#Headers])-1)))*$AK$2/12)</f>
        <v>0</v>
      </c>
      <c r="AE454" s="276">
        <f>IF(INDEX(tblContractForDeed[End Bal],ROW()-ROW(tblBuyerOutputs[#Headers]))&lt;=0,0,IF(ROW()=ROW(tblBuyerOutputs[#Headers])+1,0,INDEX(tblBuyerOutputs[Cumul Appr],ROW()-ROW(tblBuyerOutputs[#Headers])-1))+tblBuyerOutputs[[#This Row],[Monthly Appr]])</f>
        <v>0</v>
      </c>
    </row>
    <row r="455" spans="1:31" x14ac:dyDescent="0.25">
      <c r="A455" s="613" t="str">
        <f t="shared" si="94"/>
        <v xml:space="preserve"> </v>
      </c>
      <c r="B455" s="276">
        <f t="shared" si="102"/>
        <v>0</v>
      </c>
      <c r="C455" s="14">
        <f t="shared" si="91"/>
        <v>0</v>
      </c>
      <c r="D455" s="14">
        <f t="shared" si="95"/>
        <v>0</v>
      </c>
      <c r="E455" s="14">
        <f t="shared" si="92"/>
        <v>0</v>
      </c>
      <c r="F455" s="14">
        <f t="shared" si="103"/>
        <v>134.16999999999999</v>
      </c>
      <c r="G455" s="14">
        <f t="shared" si="103"/>
        <v>188.55</v>
      </c>
      <c r="H455" s="14">
        <f t="shared" si="104"/>
        <v>322.72000000000003</v>
      </c>
      <c r="I455" s="276">
        <f t="shared" si="96"/>
        <v>98158.279999999955</v>
      </c>
      <c r="J455" s="276">
        <f t="shared" si="97"/>
        <v>35884.000000000022</v>
      </c>
      <c r="K455" s="276">
        <f t="shared" si="98"/>
        <v>0</v>
      </c>
      <c r="L455" s="394">
        <f t="shared" si="101"/>
        <v>36</v>
      </c>
      <c r="M455" s="394">
        <f t="shared" si="93"/>
        <v>435</v>
      </c>
      <c r="N455" s="613" t="str">
        <f>INDEX(tblSubjectToLoan[Date],ROW()-ROW(tblContractForDeed[#Headers]))</f>
        <v xml:space="preserve"> </v>
      </c>
      <c r="O455" s="276">
        <f>IF(ROW()=ROW(tblContractForDeed[#Headers])+1,$O$6,IF(INDEX(tblContractForDeed[End Bal],ROW()-ROW(tblContractForDeed[#Headers])-1)&lt;0,0,INDEX(tblContractForDeed[End Bal],ROW()-ROW(tblContractForDeed[#Headers])-1)))</f>
        <v>0</v>
      </c>
      <c r="P455" s="454">
        <f>IF(tblContractForDeed[[#This Row],[Date]]="","",IF(tblContractForDeed[[#This Row],[Date]]&lt;cfdRateChangeDate,cfdRate1,cfdRate2))</f>
        <v>7.7499999999999999E-2</v>
      </c>
      <c r="Q4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467">
        <f>IF(INDEX(tblContractForDeed[Payment],ROW()-ROW(tblBuyerOutputs[#Headers]))=0,0,INDEX(tblContractForDeed[Payment],ROW()-ROW(tblBuyerOutputs[#Headers]))-INDEX(tblSubjectToLoan[Payment],ROW()-ROW(tblBuyerOutputs[#Headers])))</f>
        <v>0</v>
      </c>
      <c r="Z4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5" s="276">
        <f>IF(INDEX(tblContractForDeed[End Bal],ROW()-ROW(tblBuyerOutputs[#Headers]))&lt;=0,0,($O$6+IF(ROW()=ROW(tblBuyerOutputs[#Headers])+1,0,INDEX(tblBuyerOutputs[Cumul Appr],ROW()-ROW(tblBuyerOutputs[#Headers])-1)))*$AK$2/12)</f>
        <v>0</v>
      </c>
      <c r="AE455" s="276">
        <f>IF(INDEX(tblContractForDeed[End Bal],ROW()-ROW(tblBuyerOutputs[#Headers]))&lt;=0,0,IF(ROW()=ROW(tblBuyerOutputs[#Headers])+1,0,INDEX(tblBuyerOutputs[Cumul Appr],ROW()-ROW(tblBuyerOutputs[#Headers])-1))+tblBuyerOutputs[[#This Row],[Monthly Appr]])</f>
        <v>0</v>
      </c>
    </row>
    <row r="456" spans="1:31" x14ac:dyDescent="0.25">
      <c r="A456" s="613" t="str">
        <f t="shared" si="94"/>
        <v xml:space="preserve"> </v>
      </c>
      <c r="B456" s="276">
        <f t="shared" si="102"/>
        <v>0</v>
      </c>
      <c r="C456" s="14">
        <f t="shared" si="91"/>
        <v>0</v>
      </c>
      <c r="D456" s="14">
        <f t="shared" si="95"/>
        <v>0</v>
      </c>
      <c r="E456" s="14">
        <f t="shared" si="92"/>
        <v>0</v>
      </c>
      <c r="F456" s="14">
        <f t="shared" si="103"/>
        <v>134.16999999999999</v>
      </c>
      <c r="G456" s="14">
        <f t="shared" si="103"/>
        <v>188.55</v>
      </c>
      <c r="H456" s="14">
        <f t="shared" si="104"/>
        <v>322.72000000000003</v>
      </c>
      <c r="I456" s="276">
        <f t="shared" si="96"/>
        <v>98158.279999999955</v>
      </c>
      <c r="J456" s="276">
        <f t="shared" si="97"/>
        <v>35884.000000000022</v>
      </c>
      <c r="K456" s="276">
        <f t="shared" si="98"/>
        <v>0</v>
      </c>
      <c r="L456" s="394">
        <f t="shared" si="101"/>
        <v>36</v>
      </c>
      <c r="M456" s="394">
        <f t="shared" si="93"/>
        <v>436</v>
      </c>
      <c r="N456" s="613" t="str">
        <f>INDEX(tblSubjectToLoan[Date],ROW()-ROW(tblContractForDeed[#Headers]))</f>
        <v xml:space="preserve"> </v>
      </c>
      <c r="O456" s="276">
        <f>IF(ROW()=ROW(tblContractForDeed[#Headers])+1,$O$6,IF(INDEX(tblContractForDeed[End Bal],ROW()-ROW(tblContractForDeed[#Headers])-1)&lt;0,0,INDEX(tblContractForDeed[End Bal],ROW()-ROW(tblContractForDeed[#Headers])-1)))</f>
        <v>0</v>
      </c>
      <c r="P456" s="454">
        <f>IF(tblContractForDeed[[#This Row],[Date]]="","",IF(tblContractForDeed[[#This Row],[Date]]&lt;cfdRateChangeDate,cfdRate1,cfdRate2))</f>
        <v>7.7499999999999999E-2</v>
      </c>
      <c r="Q4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467">
        <f>IF(INDEX(tblContractForDeed[Payment],ROW()-ROW(tblBuyerOutputs[#Headers]))=0,0,INDEX(tblContractForDeed[Payment],ROW()-ROW(tblBuyerOutputs[#Headers]))-INDEX(tblSubjectToLoan[Payment],ROW()-ROW(tblBuyerOutputs[#Headers])))</f>
        <v>0</v>
      </c>
      <c r="Z4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6" s="276">
        <f>IF(INDEX(tblContractForDeed[End Bal],ROW()-ROW(tblBuyerOutputs[#Headers]))&lt;=0,0,($O$6+IF(ROW()=ROW(tblBuyerOutputs[#Headers])+1,0,INDEX(tblBuyerOutputs[Cumul Appr],ROW()-ROW(tblBuyerOutputs[#Headers])-1)))*$AK$2/12)</f>
        <v>0</v>
      </c>
      <c r="AE456" s="276">
        <f>IF(INDEX(tblContractForDeed[End Bal],ROW()-ROW(tblBuyerOutputs[#Headers]))&lt;=0,0,IF(ROW()=ROW(tblBuyerOutputs[#Headers])+1,0,INDEX(tblBuyerOutputs[Cumul Appr],ROW()-ROW(tblBuyerOutputs[#Headers])-1))+tblBuyerOutputs[[#This Row],[Monthly Appr]])</f>
        <v>0</v>
      </c>
    </row>
    <row r="457" spans="1:31" x14ac:dyDescent="0.25">
      <c r="A457" s="613" t="str">
        <f t="shared" si="94"/>
        <v xml:space="preserve"> </v>
      </c>
      <c r="B457" s="276">
        <f t="shared" si="102"/>
        <v>0</v>
      </c>
      <c r="C457" s="14">
        <f t="shared" si="91"/>
        <v>0</v>
      </c>
      <c r="D457" s="14">
        <f t="shared" si="95"/>
        <v>0</v>
      </c>
      <c r="E457" s="14">
        <f t="shared" si="92"/>
        <v>0</v>
      </c>
      <c r="F457" s="14">
        <f t="shared" si="103"/>
        <v>134.16999999999999</v>
      </c>
      <c r="G457" s="14">
        <f t="shared" si="103"/>
        <v>188.55</v>
      </c>
      <c r="H457" s="14">
        <f t="shared" si="104"/>
        <v>322.72000000000003</v>
      </c>
      <c r="I457" s="276">
        <f t="shared" si="96"/>
        <v>98158.279999999955</v>
      </c>
      <c r="J457" s="276">
        <f t="shared" si="97"/>
        <v>35884.000000000022</v>
      </c>
      <c r="K457" s="276">
        <f t="shared" si="98"/>
        <v>0</v>
      </c>
      <c r="L457" s="394">
        <f t="shared" si="101"/>
        <v>36</v>
      </c>
      <c r="M457" s="394">
        <f t="shared" si="93"/>
        <v>437</v>
      </c>
      <c r="N457" s="613" t="str">
        <f>INDEX(tblSubjectToLoan[Date],ROW()-ROW(tblContractForDeed[#Headers]))</f>
        <v xml:space="preserve"> </v>
      </c>
      <c r="O457" s="276">
        <f>IF(ROW()=ROW(tblContractForDeed[#Headers])+1,$O$6,IF(INDEX(tblContractForDeed[End Bal],ROW()-ROW(tblContractForDeed[#Headers])-1)&lt;0,0,INDEX(tblContractForDeed[End Bal],ROW()-ROW(tblContractForDeed[#Headers])-1)))</f>
        <v>0</v>
      </c>
      <c r="P457" s="454">
        <f>IF(tblContractForDeed[[#This Row],[Date]]="","",IF(tblContractForDeed[[#This Row],[Date]]&lt;cfdRateChangeDate,cfdRate1,cfdRate2))</f>
        <v>7.7499999999999999E-2</v>
      </c>
      <c r="Q4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467">
        <f>IF(INDEX(tblContractForDeed[Payment],ROW()-ROW(tblBuyerOutputs[#Headers]))=0,0,INDEX(tblContractForDeed[Payment],ROW()-ROW(tblBuyerOutputs[#Headers]))-INDEX(tblSubjectToLoan[Payment],ROW()-ROW(tblBuyerOutputs[#Headers])))</f>
        <v>0</v>
      </c>
      <c r="Z4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7" s="276">
        <f>IF(INDEX(tblContractForDeed[End Bal],ROW()-ROW(tblBuyerOutputs[#Headers]))&lt;=0,0,($O$6+IF(ROW()=ROW(tblBuyerOutputs[#Headers])+1,0,INDEX(tblBuyerOutputs[Cumul Appr],ROW()-ROW(tblBuyerOutputs[#Headers])-1)))*$AK$2/12)</f>
        <v>0</v>
      </c>
      <c r="AE457" s="276">
        <f>IF(INDEX(tblContractForDeed[End Bal],ROW()-ROW(tblBuyerOutputs[#Headers]))&lt;=0,0,IF(ROW()=ROW(tblBuyerOutputs[#Headers])+1,0,INDEX(tblBuyerOutputs[Cumul Appr],ROW()-ROW(tblBuyerOutputs[#Headers])-1))+tblBuyerOutputs[[#This Row],[Monthly Appr]])</f>
        <v>0</v>
      </c>
    </row>
    <row r="458" spans="1:31" x14ac:dyDescent="0.25">
      <c r="A458" s="613" t="str">
        <f t="shared" si="94"/>
        <v xml:space="preserve"> </v>
      </c>
      <c r="B458" s="276">
        <f t="shared" si="102"/>
        <v>0</v>
      </c>
      <c r="C458" s="14">
        <f t="shared" si="91"/>
        <v>0</v>
      </c>
      <c r="D458" s="14">
        <f t="shared" si="95"/>
        <v>0</v>
      </c>
      <c r="E458" s="14">
        <f t="shared" si="92"/>
        <v>0</v>
      </c>
      <c r="F458" s="14">
        <f t="shared" si="103"/>
        <v>134.16999999999999</v>
      </c>
      <c r="G458" s="14">
        <f t="shared" si="103"/>
        <v>188.55</v>
      </c>
      <c r="H458" s="14">
        <f t="shared" si="104"/>
        <v>322.72000000000003</v>
      </c>
      <c r="I458" s="276">
        <f t="shared" si="96"/>
        <v>98158.279999999955</v>
      </c>
      <c r="J458" s="276">
        <f t="shared" si="97"/>
        <v>35884.000000000022</v>
      </c>
      <c r="K458" s="276">
        <f t="shared" si="98"/>
        <v>0</v>
      </c>
      <c r="L458" s="394">
        <f t="shared" si="101"/>
        <v>36</v>
      </c>
      <c r="M458" s="394">
        <f t="shared" si="93"/>
        <v>438</v>
      </c>
      <c r="N458" s="613" t="str">
        <f>INDEX(tblSubjectToLoan[Date],ROW()-ROW(tblContractForDeed[#Headers]))</f>
        <v xml:space="preserve"> </v>
      </c>
      <c r="O458" s="276">
        <f>IF(ROW()=ROW(tblContractForDeed[#Headers])+1,$O$6,IF(INDEX(tblContractForDeed[End Bal],ROW()-ROW(tblContractForDeed[#Headers])-1)&lt;0,0,INDEX(tblContractForDeed[End Bal],ROW()-ROW(tblContractForDeed[#Headers])-1)))</f>
        <v>0</v>
      </c>
      <c r="P458" s="454">
        <f>IF(tblContractForDeed[[#This Row],[Date]]="","",IF(tblContractForDeed[[#This Row],[Date]]&lt;cfdRateChangeDate,cfdRate1,cfdRate2))</f>
        <v>7.7499999999999999E-2</v>
      </c>
      <c r="Q4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467">
        <f>IF(INDEX(tblContractForDeed[Payment],ROW()-ROW(tblBuyerOutputs[#Headers]))=0,0,INDEX(tblContractForDeed[Payment],ROW()-ROW(tblBuyerOutputs[#Headers]))-INDEX(tblSubjectToLoan[Payment],ROW()-ROW(tblBuyerOutputs[#Headers])))</f>
        <v>0</v>
      </c>
      <c r="Z4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8" s="276">
        <f>IF(INDEX(tblContractForDeed[End Bal],ROW()-ROW(tblBuyerOutputs[#Headers]))&lt;=0,0,($O$6+IF(ROW()=ROW(tblBuyerOutputs[#Headers])+1,0,INDEX(tblBuyerOutputs[Cumul Appr],ROW()-ROW(tblBuyerOutputs[#Headers])-1)))*$AK$2/12)</f>
        <v>0</v>
      </c>
      <c r="AE458" s="276">
        <f>IF(INDEX(tblContractForDeed[End Bal],ROW()-ROW(tblBuyerOutputs[#Headers]))&lt;=0,0,IF(ROW()=ROW(tblBuyerOutputs[#Headers])+1,0,INDEX(tblBuyerOutputs[Cumul Appr],ROW()-ROW(tblBuyerOutputs[#Headers])-1))+tblBuyerOutputs[[#This Row],[Monthly Appr]])</f>
        <v>0</v>
      </c>
    </row>
    <row r="459" spans="1:31" x14ac:dyDescent="0.25">
      <c r="A459" s="613" t="str">
        <f t="shared" si="94"/>
        <v xml:space="preserve"> </v>
      </c>
      <c r="B459" s="276">
        <f t="shared" si="102"/>
        <v>0</v>
      </c>
      <c r="C459" s="14">
        <f t="shared" si="91"/>
        <v>0</v>
      </c>
      <c r="D459" s="14">
        <f t="shared" si="95"/>
        <v>0</v>
      </c>
      <c r="E459" s="14">
        <f t="shared" si="92"/>
        <v>0</v>
      </c>
      <c r="F459" s="14">
        <f t="shared" si="103"/>
        <v>134.16999999999999</v>
      </c>
      <c r="G459" s="14">
        <f t="shared" si="103"/>
        <v>188.55</v>
      </c>
      <c r="H459" s="14">
        <f t="shared" si="104"/>
        <v>322.72000000000003</v>
      </c>
      <c r="I459" s="276">
        <f t="shared" si="96"/>
        <v>98158.279999999955</v>
      </c>
      <c r="J459" s="276">
        <f t="shared" si="97"/>
        <v>35884.000000000022</v>
      </c>
      <c r="K459" s="276">
        <f t="shared" si="98"/>
        <v>0</v>
      </c>
      <c r="L459" s="394">
        <f t="shared" si="101"/>
        <v>36</v>
      </c>
      <c r="M459" s="394">
        <f t="shared" si="93"/>
        <v>439</v>
      </c>
      <c r="N459" s="613" t="str">
        <f>INDEX(tblSubjectToLoan[Date],ROW()-ROW(tblContractForDeed[#Headers]))</f>
        <v xml:space="preserve"> </v>
      </c>
      <c r="O459" s="276">
        <f>IF(ROW()=ROW(tblContractForDeed[#Headers])+1,$O$6,IF(INDEX(tblContractForDeed[End Bal],ROW()-ROW(tblContractForDeed[#Headers])-1)&lt;0,0,INDEX(tblContractForDeed[End Bal],ROW()-ROW(tblContractForDeed[#Headers])-1)))</f>
        <v>0</v>
      </c>
      <c r="P459" s="454">
        <f>IF(tblContractForDeed[[#This Row],[Date]]="","",IF(tblContractForDeed[[#This Row],[Date]]&lt;cfdRateChangeDate,cfdRate1,cfdRate2))</f>
        <v>7.7499999999999999E-2</v>
      </c>
      <c r="Q4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467">
        <f>IF(INDEX(tblContractForDeed[Payment],ROW()-ROW(tblBuyerOutputs[#Headers]))=0,0,INDEX(tblContractForDeed[Payment],ROW()-ROW(tblBuyerOutputs[#Headers]))-INDEX(tblSubjectToLoan[Payment],ROW()-ROW(tblBuyerOutputs[#Headers])))</f>
        <v>0</v>
      </c>
      <c r="Z4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9" s="276">
        <f>IF(INDEX(tblContractForDeed[End Bal],ROW()-ROW(tblBuyerOutputs[#Headers]))&lt;=0,0,($O$6+IF(ROW()=ROW(tblBuyerOutputs[#Headers])+1,0,INDEX(tblBuyerOutputs[Cumul Appr],ROW()-ROW(tblBuyerOutputs[#Headers])-1)))*$AK$2/12)</f>
        <v>0</v>
      </c>
      <c r="AE459" s="276">
        <f>IF(INDEX(tblContractForDeed[End Bal],ROW()-ROW(tblBuyerOutputs[#Headers]))&lt;=0,0,IF(ROW()=ROW(tblBuyerOutputs[#Headers])+1,0,INDEX(tblBuyerOutputs[Cumul Appr],ROW()-ROW(tblBuyerOutputs[#Headers])-1))+tblBuyerOutputs[[#This Row],[Monthly Appr]])</f>
        <v>0</v>
      </c>
    </row>
    <row r="460" spans="1:31" x14ac:dyDescent="0.25">
      <c r="A460" s="613" t="str">
        <f t="shared" si="94"/>
        <v xml:space="preserve"> </v>
      </c>
      <c r="B460" s="276">
        <f t="shared" si="102"/>
        <v>0</v>
      </c>
      <c r="C460" s="14">
        <f t="shared" si="91"/>
        <v>0</v>
      </c>
      <c r="D460" s="14">
        <f t="shared" si="95"/>
        <v>0</v>
      </c>
      <c r="E460" s="14">
        <f t="shared" si="92"/>
        <v>0</v>
      </c>
      <c r="F460" s="14">
        <f t="shared" si="103"/>
        <v>134.16999999999999</v>
      </c>
      <c r="G460" s="14">
        <f t="shared" si="103"/>
        <v>188.55</v>
      </c>
      <c r="H460" s="14">
        <f t="shared" si="104"/>
        <v>322.72000000000003</v>
      </c>
      <c r="I460" s="276">
        <f t="shared" si="96"/>
        <v>98158.279999999955</v>
      </c>
      <c r="J460" s="276">
        <f t="shared" si="97"/>
        <v>35884.000000000022</v>
      </c>
      <c r="K460" s="276">
        <f t="shared" si="98"/>
        <v>0</v>
      </c>
      <c r="L460" s="394">
        <f t="shared" si="101"/>
        <v>36</v>
      </c>
      <c r="M460" s="394">
        <f t="shared" si="93"/>
        <v>440</v>
      </c>
      <c r="N460" s="613" t="str">
        <f>INDEX(tblSubjectToLoan[Date],ROW()-ROW(tblContractForDeed[#Headers]))</f>
        <v xml:space="preserve"> </v>
      </c>
      <c r="O460" s="276">
        <f>IF(ROW()=ROW(tblContractForDeed[#Headers])+1,$O$6,IF(INDEX(tblContractForDeed[End Bal],ROW()-ROW(tblContractForDeed[#Headers])-1)&lt;0,0,INDEX(tblContractForDeed[End Bal],ROW()-ROW(tblContractForDeed[#Headers])-1)))</f>
        <v>0</v>
      </c>
      <c r="P460" s="454">
        <f>IF(tblContractForDeed[[#This Row],[Date]]="","",IF(tblContractForDeed[[#This Row],[Date]]&lt;cfdRateChangeDate,cfdRate1,cfdRate2))</f>
        <v>7.7499999999999999E-2</v>
      </c>
      <c r="Q4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467">
        <f>IF(INDEX(tblContractForDeed[Payment],ROW()-ROW(tblBuyerOutputs[#Headers]))=0,0,INDEX(tblContractForDeed[Payment],ROW()-ROW(tblBuyerOutputs[#Headers]))-INDEX(tblSubjectToLoan[Payment],ROW()-ROW(tblBuyerOutputs[#Headers])))</f>
        <v>0</v>
      </c>
      <c r="Z4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0" s="276">
        <f>IF(INDEX(tblContractForDeed[End Bal],ROW()-ROW(tblBuyerOutputs[#Headers]))&lt;=0,0,($O$6+IF(ROW()=ROW(tblBuyerOutputs[#Headers])+1,0,INDEX(tblBuyerOutputs[Cumul Appr],ROW()-ROW(tblBuyerOutputs[#Headers])-1)))*$AK$2/12)</f>
        <v>0</v>
      </c>
      <c r="AE460" s="276">
        <f>IF(INDEX(tblContractForDeed[End Bal],ROW()-ROW(tblBuyerOutputs[#Headers]))&lt;=0,0,IF(ROW()=ROW(tblBuyerOutputs[#Headers])+1,0,INDEX(tblBuyerOutputs[Cumul Appr],ROW()-ROW(tblBuyerOutputs[#Headers])-1))+tblBuyerOutputs[[#This Row],[Monthly Appr]])</f>
        <v>0</v>
      </c>
    </row>
    <row r="461" spans="1:31" x14ac:dyDescent="0.25">
      <c r="A461" s="613" t="str">
        <f t="shared" si="94"/>
        <v xml:space="preserve"> </v>
      </c>
      <c r="B461" s="276">
        <f t="shared" si="102"/>
        <v>0</v>
      </c>
      <c r="C461" s="14">
        <f t="shared" si="91"/>
        <v>0</v>
      </c>
      <c r="D461" s="14">
        <f t="shared" si="95"/>
        <v>0</v>
      </c>
      <c r="E461" s="14">
        <f t="shared" si="92"/>
        <v>0</v>
      </c>
      <c r="F461" s="14">
        <f t="shared" si="103"/>
        <v>134.16999999999999</v>
      </c>
      <c r="G461" s="14">
        <f t="shared" si="103"/>
        <v>188.55</v>
      </c>
      <c r="H461" s="14">
        <f t="shared" si="104"/>
        <v>322.72000000000003</v>
      </c>
      <c r="I461" s="276">
        <f t="shared" si="96"/>
        <v>98158.279999999955</v>
      </c>
      <c r="J461" s="276">
        <f t="shared" si="97"/>
        <v>35884.000000000022</v>
      </c>
      <c r="K461" s="276">
        <f t="shared" si="98"/>
        <v>0</v>
      </c>
      <c r="L461" s="394">
        <f t="shared" si="101"/>
        <v>36</v>
      </c>
      <c r="M461" s="394">
        <f t="shared" si="93"/>
        <v>441</v>
      </c>
      <c r="N461" s="613" t="str">
        <f>INDEX(tblSubjectToLoan[Date],ROW()-ROW(tblContractForDeed[#Headers]))</f>
        <v xml:space="preserve"> </v>
      </c>
      <c r="O461" s="276">
        <f>IF(ROW()=ROW(tblContractForDeed[#Headers])+1,$O$6,IF(INDEX(tblContractForDeed[End Bal],ROW()-ROW(tblContractForDeed[#Headers])-1)&lt;0,0,INDEX(tblContractForDeed[End Bal],ROW()-ROW(tblContractForDeed[#Headers])-1)))</f>
        <v>0</v>
      </c>
      <c r="P461" s="454">
        <f>IF(tblContractForDeed[[#This Row],[Date]]="","",IF(tblContractForDeed[[#This Row],[Date]]&lt;cfdRateChangeDate,cfdRate1,cfdRate2))</f>
        <v>7.7499999999999999E-2</v>
      </c>
      <c r="Q4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467">
        <f>IF(INDEX(tblContractForDeed[Payment],ROW()-ROW(tblBuyerOutputs[#Headers]))=0,0,INDEX(tblContractForDeed[Payment],ROW()-ROW(tblBuyerOutputs[#Headers]))-INDEX(tblSubjectToLoan[Payment],ROW()-ROW(tblBuyerOutputs[#Headers])))</f>
        <v>0</v>
      </c>
      <c r="Z4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1" s="276">
        <f>IF(INDEX(tblContractForDeed[End Bal],ROW()-ROW(tblBuyerOutputs[#Headers]))&lt;=0,0,($O$6+IF(ROW()=ROW(tblBuyerOutputs[#Headers])+1,0,INDEX(tblBuyerOutputs[Cumul Appr],ROW()-ROW(tblBuyerOutputs[#Headers])-1)))*$AK$2/12)</f>
        <v>0</v>
      </c>
      <c r="AE461" s="276">
        <f>IF(INDEX(tblContractForDeed[End Bal],ROW()-ROW(tblBuyerOutputs[#Headers]))&lt;=0,0,IF(ROW()=ROW(tblBuyerOutputs[#Headers])+1,0,INDEX(tblBuyerOutputs[Cumul Appr],ROW()-ROW(tblBuyerOutputs[#Headers])-1))+tblBuyerOutputs[[#This Row],[Monthly Appr]])</f>
        <v>0</v>
      </c>
    </row>
    <row r="462" spans="1:31" x14ac:dyDescent="0.25">
      <c r="A462" s="613" t="str">
        <f t="shared" si="94"/>
        <v xml:space="preserve"> </v>
      </c>
      <c r="B462" s="276">
        <f t="shared" si="102"/>
        <v>0</v>
      </c>
      <c r="C462" s="14">
        <f t="shared" si="91"/>
        <v>0</v>
      </c>
      <c r="D462" s="14">
        <f t="shared" si="95"/>
        <v>0</v>
      </c>
      <c r="E462" s="14">
        <f t="shared" si="92"/>
        <v>0</v>
      </c>
      <c r="F462" s="14">
        <f t="shared" si="103"/>
        <v>134.16999999999999</v>
      </c>
      <c r="G462" s="14">
        <f t="shared" si="103"/>
        <v>188.55</v>
      </c>
      <c r="H462" s="14">
        <f t="shared" si="104"/>
        <v>322.72000000000003</v>
      </c>
      <c r="I462" s="276">
        <f t="shared" si="96"/>
        <v>98158.279999999955</v>
      </c>
      <c r="J462" s="276">
        <f t="shared" si="97"/>
        <v>35884.000000000022</v>
      </c>
      <c r="K462" s="276">
        <f t="shared" si="98"/>
        <v>0</v>
      </c>
      <c r="L462" s="394">
        <f t="shared" si="101"/>
        <v>36</v>
      </c>
      <c r="M462" s="394">
        <f t="shared" si="93"/>
        <v>442</v>
      </c>
      <c r="N462" s="613" t="str">
        <f>INDEX(tblSubjectToLoan[Date],ROW()-ROW(tblContractForDeed[#Headers]))</f>
        <v xml:space="preserve"> </v>
      </c>
      <c r="O462" s="276">
        <f>IF(ROW()=ROW(tblContractForDeed[#Headers])+1,$O$6,IF(INDEX(tblContractForDeed[End Bal],ROW()-ROW(tblContractForDeed[#Headers])-1)&lt;0,0,INDEX(tblContractForDeed[End Bal],ROW()-ROW(tblContractForDeed[#Headers])-1)))</f>
        <v>0</v>
      </c>
      <c r="P462" s="454">
        <f>IF(tblContractForDeed[[#This Row],[Date]]="","",IF(tblContractForDeed[[#This Row],[Date]]&lt;cfdRateChangeDate,cfdRate1,cfdRate2))</f>
        <v>7.7499999999999999E-2</v>
      </c>
      <c r="Q4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467">
        <f>IF(INDEX(tblContractForDeed[Payment],ROW()-ROW(tblBuyerOutputs[#Headers]))=0,0,INDEX(tblContractForDeed[Payment],ROW()-ROW(tblBuyerOutputs[#Headers]))-INDEX(tblSubjectToLoan[Payment],ROW()-ROW(tblBuyerOutputs[#Headers])))</f>
        <v>0</v>
      </c>
      <c r="Z4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2" s="276">
        <f>IF(INDEX(tblContractForDeed[End Bal],ROW()-ROW(tblBuyerOutputs[#Headers]))&lt;=0,0,($O$6+IF(ROW()=ROW(tblBuyerOutputs[#Headers])+1,0,INDEX(tblBuyerOutputs[Cumul Appr],ROW()-ROW(tblBuyerOutputs[#Headers])-1)))*$AK$2/12)</f>
        <v>0</v>
      </c>
      <c r="AE462" s="276">
        <f>IF(INDEX(tblContractForDeed[End Bal],ROW()-ROW(tblBuyerOutputs[#Headers]))&lt;=0,0,IF(ROW()=ROW(tblBuyerOutputs[#Headers])+1,0,INDEX(tblBuyerOutputs[Cumul Appr],ROW()-ROW(tblBuyerOutputs[#Headers])-1))+tblBuyerOutputs[[#This Row],[Monthly Appr]])</f>
        <v>0</v>
      </c>
    </row>
    <row r="463" spans="1:31" ht="15.75" thickBot="1" x14ac:dyDescent="0.3">
      <c r="A463" s="615" t="str">
        <f t="shared" si="94"/>
        <v xml:space="preserve"> </v>
      </c>
      <c r="B463" s="332">
        <f t="shared" si="102"/>
        <v>0</v>
      </c>
      <c r="C463" s="21">
        <f t="shared" si="91"/>
        <v>0</v>
      </c>
      <c r="D463" s="21">
        <f t="shared" si="95"/>
        <v>0</v>
      </c>
      <c r="E463" s="21">
        <f t="shared" si="92"/>
        <v>0</v>
      </c>
      <c r="F463" s="21">
        <f t="shared" ref="F463:G478" si="105">+F462</f>
        <v>134.16999999999999</v>
      </c>
      <c r="G463" s="21">
        <f t="shared" si="105"/>
        <v>188.55</v>
      </c>
      <c r="H463" s="21">
        <f t="shared" si="104"/>
        <v>322.72000000000003</v>
      </c>
      <c r="I463" s="332">
        <f t="shared" si="96"/>
        <v>98158.279999999955</v>
      </c>
      <c r="J463" s="332">
        <f t="shared" si="97"/>
        <v>35884.000000000022</v>
      </c>
      <c r="K463" s="332">
        <f t="shared" si="98"/>
        <v>0</v>
      </c>
      <c r="L463" s="395">
        <f t="shared" si="101"/>
        <v>36</v>
      </c>
      <c r="M463" s="395">
        <f t="shared" si="93"/>
        <v>443</v>
      </c>
      <c r="N463" s="615" t="str">
        <f>INDEX(tblSubjectToLoan[Date],ROW()-ROW(tblContractForDeed[#Headers]))</f>
        <v xml:space="preserve"> </v>
      </c>
      <c r="O463" s="332">
        <f>IF(ROW()=ROW(tblContractForDeed[#Headers])+1,$O$6,IF(INDEX(tblContractForDeed[End Bal],ROW()-ROW(tblContractForDeed[#Headers])-1)&lt;0,0,INDEX(tblContractForDeed[End Bal],ROW()-ROW(tblContractForDeed[#Headers])-1)))</f>
        <v>0</v>
      </c>
      <c r="P463" s="454">
        <f>IF(tblContractForDeed[[#This Row],[Date]]="","",IF(tblContractForDeed[[#This Row],[Date]]&lt;cfdRateChangeDate,cfdRate1,cfdRate2))</f>
        <v>7.7499999999999999E-2</v>
      </c>
      <c r="Q4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468">
        <f>IF(INDEX(tblContractForDeed[Payment],ROW()-ROW(tblBuyerOutputs[#Headers]))=0,0,INDEX(tblContractForDeed[Payment],ROW()-ROW(tblBuyerOutputs[#Headers]))-INDEX(tblSubjectToLoan[Payment],ROW()-ROW(tblBuyerOutputs[#Headers])))</f>
        <v>0</v>
      </c>
      <c r="Z4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3" s="332">
        <f>IF(INDEX(tblContractForDeed[End Bal],ROW()-ROW(tblBuyerOutputs[#Headers]))&lt;=0,0,($O$6+IF(ROW()=ROW(tblBuyerOutputs[#Headers])+1,0,INDEX(tblBuyerOutputs[Cumul Appr],ROW()-ROW(tblBuyerOutputs[#Headers])-1)))*$AK$2/12)</f>
        <v>0</v>
      </c>
      <c r="AE463" s="332">
        <f>IF(INDEX(tblContractForDeed[End Bal],ROW()-ROW(tblBuyerOutputs[#Headers]))&lt;=0,0,IF(ROW()=ROW(tblBuyerOutputs[#Headers])+1,0,INDEX(tblBuyerOutputs[Cumul Appr],ROW()-ROW(tblBuyerOutputs[#Headers])-1))+tblBuyerOutputs[[#This Row],[Monthly Appr]])</f>
        <v>0</v>
      </c>
    </row>
    <row r="464" spans="1:31" x14ac:dyDescent="0.25">
      <c r="A464" s="613" t="str">
        <f t="shared" si="94"/>
        <v xml:space="preserve"> </v>
      </c>
      <c r="B464" s="276">
        <f t="shared" si="102"/>
        <v>0</v>
      </c>
      <c r="C464" s="14">
        <f t="shared" si="91"/>
        <v>0</v>
      </c>
      <c r="D464" s="14">
        <f t="shared" si="95"/>
        <v>0</v>
      </c>
      <c r="E464" s="14">
        <f t="shared" si="92"/>
        <v>0</v>
      </c>
      <c r="F464" s="14">
        <f t="shared" si="105"/>
        <v>134.16999999999999</v>
      </c>
      <c r="G464" s="14">
        <f t="shared" si="105"/>
        <v>188.55</v>
      </c>
      <c r="H464" s="14">
        <f t="shared" si="104"/>
        <v>322.72000000000003</v>
      </c>
      <c r="I464" s="276">
        <f t="shared" si="96"/>
        <v>98158.279999999955</v>
      </c>
      <c r="J464" s="276">
        <f t="shared" si="97"/>
        <v>35884.000000000022</v>
      </c>
      <c r="K464" s="276">
        <f t="shared" si="98"/>
        <v>0</v>
      </c>
      <c r="L464" s="394">
        <f t="shared" si="101"/>
        <v>37</v>
      </c>
      <c r="M464" s="394">
        <f t="shared" si="93"/>
        <v>444</v>
      </c>
      <c r="N464" s="613" t="str">
        <f>INDEX(tblSubjectToLoan[Date],ROW()-ROW(tblContractForDeed[#Headers]))</f>
        <v xml:space="preserve"> </v>
      </c>
      <c r="O464" s="276">
        <f>IF(ROW()=ROW(tblContractForDeed[#Headers])+1,$O$6,IF(INDEX(tblContractForDeed[End Bal],ROW()-ROW(tblContractForDeed[#Headers])-1)&lt;0,0,INDEX(tblContractForDeed[End Bal],ROW()-ROW(tblContractForDeed[#Headers])-1)))</f>
        <v>0</v>
      </c>
      <c r="P464" s="454">
        <f>IF(tblContractForDeed[[#This Row],[Date]]="","",IF(tblContractForDeed[[#This Row],[Date]]&lt;cfdRateChangeDate,cfdRate1,cfdRate2))</f>
        <v>7.7499999999999999E-2</v>
      </c>
      <c r="Q4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467">
        <f>IF(INDEX(tblContractForDeed[Payment],ROW()-ROW(tblBuyerOutputs[#Headers]))=0,0,INDEX(tblContractForDeed[Payment],ROW()-ROW(tblBuyerOutputs[#Headers]))-INDEX(tblSubjectToLoan[Payment],ROW()-ROW(tblBuyerOutputs[#Headers])))</f>
        <v>0</v>
      </c>
      <c r="Z4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4" s="276">
        <f>IF(INDEX(tblContractForDeed[End Bal],ROW()-ROW(tblBuyerOutputs[#Headers]))&lt;=0,0,($O$6+IF(ROW()=ROW(tblBuyerOutputs[#Headers])+1,0,INDEX(tblBuyerOutputs[Cumul Appr],ROW()-ROW(tblBuyerOutputs[#Headers])-1)))*$AK$2/12)</f>
        <v>0</v>
      </c>
      <c r="AE464" s="276">
        <f>IF(INDEX(tblContractForDeed[End Bal],ROW()-ROW(tblBuyerOutputs[#Headers]))&lt;=0,0,IF(ROW()=ROW(tblBuyerOutputs[#Headers])+1,0,INDEX(tblBuyerOutputs[Cumul Appr],ROW()-ROW(tblBuyerOutputs[#Headers])-1))+tblBuyerOutputs[[#This Row],[Monthly Appr]])</f>
        <v>0</v>
      </c>
    </row>
    <row r="465" spans="1:31" x14ac:dyDescent="0.25">
      <c r="A465" s="613" t="str">
        <f t="shared" si="94"/>
        <v xml:space="preserve"> </v>
      </c>
      <c r="B465" s="276">
        <f t="shared" si="102"/>
        <v>0</v>
      </c>
      <c r="C465" s="14">
        <f t="shared" si="91"/>
        <v>0</v>
      </c>
      <c r="D465" s="14">
        <f t="shared" si="95"/>
        <v>0</v>
      </c>
      <c r="E465" s="14">
        <f t="shared" si="92"/>
        <v>0</v>
      </c>
      <c r="F465" s="14">
        <f t="shared" si="105"/>
        <v>134.16999999999999</v>
      </c>
      <c r="G465" s="14">
        <f t="shared" si="105"/>
        <v>188.55</v>
      </c>
      <c r="H465" s="14">
        <f t="shared" si="104"/>
        <v>322.72000000000003</v>
      </c>
      <c r="I465" s="276">
        <f t="shared" si="96"/>
        <v>98158.279999999955</v>
      </c>
      <c r="J465" s="276">
        <f t="shared" si="97"/>
        <v>35884.000000000022</v>
      </c>
      <c r="K465" s="276">
        <f t="shared" si="98"/>
        <v>0</v>
      </c>
      <c r="L465" s="394">
        <f t="shared" si="101"/>
        <v>37</v>
      </c>
      <c r="M465" s="394">
        <f t="shared" si="93"/>
        <v>445</v>
      </c>
      <c r="N465" s="613" t="str">
        <f>INDEX(tblSubjectToLoan[Date],ROW()-ROW(tblContractForDeed[#Headers]))</f>
        <v xml:space="preserve"> </v>
      </c>
      <c r="O465" s="276">
        <f>IF(ROW()=ROW(tblContractForDeed[#Headers])+1,$O$6,IF(INDEX(tblContractForDeed[End Bal],ROW()-ROW(tblContractForDeed[#Headers])-1)&lt;0,0,INDEX(tblContractForDeed[End Bal],ROW()-ROW(tblContractForDeed[#Headers])-1)))</f>
        <v>0</v>
      </c>
      <c r="P465" s="454">
        <f>IF(tblContractForDeed[[#This Row],[Date]]="","",IF(tblContractForDeed[[#This Row],[Date]]&lt;cfdRateChangeDate,cfdRate1,cfdRate2))</f>
        <v>7.7499999999999999E-2</v>
      </c>
      <c r="Q4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467">
        <f>IF(INDEX(tblContractForDeed[Payment],ROW()-ROW(tblBuyerOutputs[#Headers]))=0,0,INDEX(tblContractForDeed[Payment],ROW()-ROW(tblBuyerOutputs[#Headers]))-INDEX(tblSubjectToLoan[Payment],ROW()-ROW(tblBuyerOutputs[#Headers])))</f>
        <v>0</v>
      </c>
      <c r="Z4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5" s="276">
        <f>IF(INDEX(tblContractForDeed[End Bal],ROW()-ROW(tblBuyerOutputs[#Headers]))&lt;=0,0,($O$6+IF(ROW()=ROW(tblBuyerOutputs[#Headers])+1,0,INDEX(tblBuyerOutputs[Cumul Appr],ROW()-ROW(tblBuyerOutputs[#Headers])-1)))*$AK$2/12)</f>
        <v>0</v>
      </c>
      <c r="AE465" s="276">
        <f>IF(INDEX(tblContractForDeed[End Bal],ROW()-ROW(tblBuyerOutputs[#Headers]))&lt;=0,0,IF(ROW()=ROW(tblBuyerOutputs[#Headers])+1,0,INDEX(tblBuyerOutputs[Cumul Appr],ROW()-ROW(tblBuyerOutputs[#Headers])-1))+tblBuyerOutputs[[#This Row],[Monthly Appr]])</f>
        <v>0</v>
      </c>
    </row>
    <row r="466" spans="1:31" x14ac:dyDescent="0.25">
      <c r="A466" s="613" t="str">
        <f t="shared" si="94"/>
        <v xml:space="preserve"> </v>
      </c>
      <c r="B466" s="276">
        <f t="shared" si="102"/>
        <v>0</v>
      </c>
      <c r="C466" s="14">
        <f t="shared" si="91"/>
        <v>0</v>
      </c>
      <c r="D466" s="14">
        <f t="shared" si="95"/>
        <v>0</v>
      </c>
      <c r="E466" s="14">
        <f t="shared" si="92"/>
        <v>0</v>
      </c>
      <c r="F466" s="14">
        <f t="shared" si="105"/>
        <v>134.16999999999999</v>
      </c>
      <c r="G466" s="14">
        <f t="shared" si="105"/>
        <v>188.55</v>
      </c>
      <c r="H466" s="14">
        <f t="shared" si="104"/>
        <v>322.72000000000003</v>
      </c>
      <c r="I466" s="276">
        <f t="shared" si="96"/>
        <v>98158.279999999955</v>
      </c>
      <c r="J466" s="276">
        <f t="shared" si="97"/>
        <v>35884.000000000022</v>
      </c>
      <c r="K466" s="276">
        <f t="shared" si="98"/>
        <v>0</v>
      </c>
      <c r="L466" s="394">
        <f t="shared" si="101"/>
        <v>37</v>
      </c>
      <c r="M466" s="394">
        <f t="shared" si="93"/>
        <v>446</v>
      </c>
      <c r="N466" s="613" t="str">
        <f>INDEX(tblSubjectToLoan[Date],ROW()-ROW(tblContractForDeed[#Headers]))</f>
        <v xml:space="preserve"> </v>
      </c>
      <c r="O466" s="276">
        <f>IF(ROW()=ROW(tblContractForDeed[#Headers])+1,$O$6,IF(INDEX(tblContractForDeed[End Bal],ROW()-ROW(tblContractForDeed[#Headers])-1)&lt;0,0,INDEX(tblContractForDeed[End Bal],ROW()-ROW(tblContractForDeed[#Headers])-1)))</f>
        <v>0</v>
      </c>
      <c r="P466" s="454">
        <f>IF(tblContractForDeed[[#This Row],[Date]]="","",IF(tblContractForDeed[[#This Row],[Date]]&lt;cfdRateChangeDate,cfdRate1,cfdRate2))</f>
        <v>7.7499999999999999E-2</v>
      </c>
      <c r="Q4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467">
        <f>IF(INDEX(tblContractForDeed[Payment],ROW()-ROW(tblBuyerOutputs[#Headers]))=0,0,INDEX(tblContractForDeed[Payment],ROW()-ROW(tblBuyerOutputs[#Headers]))-INDEX(tblSubjectToLoan[Payment],ROW()-ROW(tblBuyerOutputs[#Headers])))</f>
        <v>0</v>
      </c>
      <c r="Z4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6" s="276">
        <f>IF(INDEX(tblContractForDeed[End Bal],ROW()-ROW(tblBuyerOutputs[#Headers]))&lt;=0,0,($O$6+IF(ROW()=ROW(tblBuyerOutputs[#Headers])+1,0,INDEX(tblBuyerOutputs[Cumul Appr],ROW()-ROW(tblBuyerOutputs[#Headers])-1)))*$AK$2/12)</f>
        <v>0</v>
      </c>
      <c r="AE466" s="276">
        <f>IF(INDEX(tblContractForDeed[End Bal],ROW()-ROW(tblBuyerOutputs[#Headers]))&lt;=0,0,IF(ROW()=ROW(tblBuyerOutputs[#Headers])+1,0,INDEX(tblBuyerOutputs[Cumul Appr],ROW()-ROW(tblBuyerOutputs[#Headers])-1))+tblBuyerOutputs[[#This Row],[Monthly Appr]])</f>
        <v>0</v>
      </c>
    </row>
    <row r="467" spans="1:31" x14ac:dyDescent="0.25">
      <c r="A467" s="613" t="str">
        <f t="shared" si="94"/>
        <v xml:space="preserve"> </v>
      </c>
      <c r="B467" s="276">
        <f t="shared" si="102"/>
        <v>0</v>
      </c>
      <c r="C467" s="14">
        <f t="shared" si="91"/>
        <v>0</v>
      </c>
      <c r="D467" s="14">
        <f t="shared" si="95"/>
        <v>0</v>
      </c>
      <c r="E467" s="14">
        <f t="shared" si="92"/>
        <v>0</v>
      </c>
      <c r="F467" s="14">
        <f t="shared" si="105"/>
        <v>134.16999999999999</v>
      </c>
      <c r="G467" s="14">
        <f t="shared" si="105"/>
        <v>188.55</v>
      </c>
      <c r="H467" s="14">
        <f t="shared" si="104"/>
        <v>322.72000000000003</v>
      </c>
      <c r="I467" s="276">
        <f t="shared" si="96"/>
        <v>98158.279999999955</v>
      </c>
      <c r="J467" s="276">
        <f t="shared" si="97"/>
        <v>35884.000000000022</v>
      </c>
      <c r="K467" s="276">
        <f t="shared" si="98"/>
        <v>0</v>
      </c>
      <c r="L467" s="394">
        <f t="shared" si="101"/>
        <v>37</v>
      </c>
      <c r="M467" s="394">
        <f t="shared" si="93"/>
        <v>447</v>
      </c>
      <c r="N467" s="613" t="str">
        <f>INDEX(tblSubjectToLoan[Date],ROW()-ROW(tblContractForDeed[#Headers]))</f>
        <v xml:space="preserve"> </v>
      </c>
      <c r="O467" s="276">
        <f>IF(ROW()=ROW(tblContractForDeed[#Headers])+1,$O$6,IF(INDEX(tblContractForDeed[End Bal],ROW()-ROW(tblContractForDeed[#Headers])-1)&lt;0,0,INDEX(tblContractForDeed[End Bal],ROW()-ROW(tblContractForDeed[#Headers])-1)))</f>
        <v>0</v>
      </c>
      <c r="P467" s="454">
        <f>IF(tblContractForDeed[[#This Row],[Date]]="","",IF(tblContractForDeed[[#This Row],[Date]]&lt;cfdRateChangeDate,cfdRate1,cfdRate2))</f>
        <v>7.7499999999999999E-2</v>
      </c>
      <c r="Q4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467">
        <f>IF(INDEX(tblContractForDeed[Payment],ROW()-ROW(tblBuyerOutputs[#Headers]))=0,0,INDEX(tblContractForDeed[Payment],ROW()-ROW(tblBuyerOutputs[#Headers]))-INDEX(tblSubjectToLoan[Payment],ROW()-ROW(tblBuyerOutputs[#Headers])))</f>
        <v>0</v>
      </c>
      <c r="Z4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7" s="276">
        <f>IF(INDEX(tblContractForDeed[End Bal],ROW()-ROW(tblBuyerOutputs[#Headers]))&lt;=0,0,($O$6+IF(ROW()=ROW(tblBuyerOutputs[#Headers])+1,0,INDEX(tblBuyerOutputs[Cumul Appr],ROW()-ROW(tblBuyerOutputs[#Headers])-1)))*$AK$2/12)</f>
        <v>0</v>
      </c>
      <c r="AE467" s="276">
        <f>IF(INDEX(tblContractForDeed[End Bal],ROW()-ROW(tblBuyerOutputs[#Headers]))&lt;=0,0,IF(ROW()=ROW(tblBuyerOutputs[#Headers])+1,0,INDEX(tblBuyerOutputs[Cumul Appr],ROW()-ROW(tblBuyerOutputs[#Headers])-1))+tblBuyerOutputs[[#This Row],[Monthly Appr]])</f>
        <v>0</v>
      </c>
    </row>
    <row r="468" spans="1:31" x14ac:dyDescent="0.25">
      <c r="A468" s="613" t="str">
        <f t="shared" si="94"/>
        <v xml:space="preserve"> </v>
      </c>
      <c r="B468" s="276">
        <f t="shared" si="102"/>
        <v>0</v>
      </c>
      <c r="C468" s="14">
        <f t="shared" ref="C468:C495" si="106">IF(+$K467&lt;=0,0,$C$6)</f>
        <v>0</v>
      </c>
      <c r="D468" s="14">
        <f t="shared" si="95"/>
        <v>0</v>
      </c>
      <c r="E468" s="14">
        <f t="shared" ref="E468:E495" si="107">ROUND($B468*($C$4/12), 2)</f>
        <v>0</v>
      </c>
      <c r="F468" s="14">
        <f t="shared" si="105"/>
        <v>134.16999999999999</v>
      </c>
      <c r="G468" s="14">
        <f t="shared" si="105"/>
        <v>188.55</v>
      </c>
      <c r="H468" s="14">
        <f t="shared" si="104"/>
        <v>322.72000000000003</v>
      </c>
      <c r="I468" s="276">
        <f t="shared" si="96"/>
        <v>98158.279999999955</v>
      </c>
      <c r="J468" s="276">
        <f t="shared" si="97"/>
        <v>35884.000000000022</v>
      </c>
      <c r="K468" s="276">
        <f t="shared" si="98"/>
        <v>0</v>
      </c>
      <c r="L468" s="394">
        <f t="shared" si="101"/>
        <v>37</v>
      </c>
      <c r="M468" s="394">
        <f t="shared" si="93"/>
        <v>448</v>
      </c>
      <c r="N468" s="613" t="str">
        <f>INDEX(tblSubjectToLoan[Date],ROW()-ROW(tblContractForDeed[#Headers]))</f>
        <v xml:space="preserve"> </v>
      </c>
      <c r="O468" s="276">
        <f>IF(ROW()=ROW(tblContractForDeed[#Headers])+1,$O$6,IF(INDEX(tblContractForDeed[End Bal],ROW()-ROW(tblContractForDeed[#Headers])-1)&lt;0,0,INDEX(tblContractForDeed[End Bal],ROW()-ROW(tblContractForDeed[#Headers])-1)))</f>
        <v>0</v>
      </c>
      <c r="P468" s="454">
        <f>IF(tblContractForDeed[[#This Row],[Date]]="","",IF(tblContractForDeed[[#This Row],[Date]]&lt;cfdRateChangeDate,cfdRate1,cfdRate2))</f>
        <v>7.7499999999999999E-2</v>
      </c>
      <c r="Q4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467">
        <f>IF(INDEX(tblContractForDeed[Payment],ROW()-ROW(tblBuyerOutputs[#Headers]))=0,0,INDEX(tblContractForDeed[Payment],ROW()-ROW(tblBuyerOutputs[#Headers]))-INDEX(tblSubjectToLoan[Payment],ROW()-ROW(tblBuyerOutputs[#Headers])))</f>
        <v>0</v>
      </c>
      <c r="Z4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8" s="276">
        <f>IF(INDEX(tblContractForDeed[End Bal],ROW()-ROW(tblBuyerOutputs[#Headers]))&lt;=0,0,($O$6+IF(ROW()=ROW(tblBuyerOutputs[#Headers])+1,0,INDEX(tblBuyerOutputs[Cumul Appr],ROW()-ROW(tblBuyerOutputs[#Headers])-1)))*$AK$2/12)</f>
        <v>0</v>
      </c>
      <c r="AE468" s="276">
        <f>IF(INDEX(tblContractForDeed[End Bal],ROW()-ROW(tblBuyerOutputs[#Headers]))&lt;=0,0,IF(ROW()=ROW(tblBuyerOutputs[#Headers])+1,0,INDEX(tblBuyerOutputs[Cumul Appr],ROW()-ROW(tblBuyerOutputs[#Headers])-1))+tblBuyerOutputs[[#This Row],[Monthly Appr]])</f>
        <v>0</v>
      </c>
    </row>
    <row r="469" spans="1:31" x14ac:dyDescent="0.25">
      <c r="A469" s="613" t="str">
        <f t="shared" si="94"/>
        <v xml:space="preserve"> </v>
      </c>
      <c r="B469" s="276">
        <f t="shared" si="102"/>
        <v>0</v>
      </c>
      <c r="C469" s="14">
        <f t="shared" si="106"/>
        <v>0</v>
      </c>
      <c r="D469" s="14">
        <f t="shared" si="95"/>
        <v>0</v>
      </c>
      <c r="E469" s="14">
        <f t="shared" si="107"/>
        <v>0</v>
      </c>
      <c r="F469" s="14">
        <f t="shared" si="105"/>
        <v>134.16999999999999</v>
      </c>
      <c r="G469" s="14">
        <f t="shared" si="105"/>
        <v>188.55</v>
      </c>
      <c r="H469" s="14">
        <f t="shared" si="104"/>
        <v>322.72000000000003</v>
      </c>
      <c r="I469" s="276">
        <f t="shared" si="96"/>
        <v>98158.279999999955</v>
      </c>
      <c r="J469" s="276">
        <f t="shared" si="97"/>
        <v>35884.000000000022</v>
      </c>
      <c r="K469" s="276">
        <f t="shared" si="98"/>
        <v>0</v>
      </c>
      <c r="L469" s="394">
        <f t="shared" si="101"/>
        <v>37</v>
      </c>
      <c r="M469" s="394">
        <f t="shared" ref="M469:M532" si="108">IF($A469&lt;&gt;"",M468+1,0)</f>
        <v>449</v>
      </c>
      <c r="N469" s="613" t="str">
        <f>INDEX(tblSubjectToLoan[Date],ROW()-ROW(tblContractForDeed[#Headers]))</f>
        <v xml:space="preserve"> </v>
      </c>
      <c r="O469" s="276">
        <f>IF(ROW()=ROW(tblContractForDeed[#Headers])+1,$O$6,IF(INDEX(tblContractForDeed[End Bal],ROW()-ROW(tblContractForDeed[#Headers])-1)&lt;0,0,INDEX(tblContractForDeed[End Bal],ROW()-ROW(tblContractForDeed[#Headers])-1)))</f>
        <v>0</v>
      </c>
      <c r="P469" s="454">
        <f>IF(tblContractForDeed[[#This Row],[Date]]="","",IF(tblContractForDeed[[#This Row],[Date]]&lt;cfdRateChangeDate,cfdRate1,cfdRate2))</f>
        <v>7.7499999999999999E-2</v>
      </c>
      <c r="Q4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467">
        <f>IF(INDEX(tblContractForDeed[Payment],ROW()-ROW(tblBuyerOutputs[#Headers]))=0,0,INDEX(tblContractForDeed[Payment],ROW()-ROW(tblBuyerOutputs[#Headers]))-INDEX(tblSubjectToLoan[Payment],ROW()-ROW(tblBuyerOutputs[#Headers])))</f>
        <v>0</v>
      </c>
      <c r="Z4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9" s="276">
        <f>IF(INDEX(tblContractForDeed[End Bal],ROW()-ROW(tblBuyerOutputs[#Headers]))&lt;=0,0,($O$6+IF(ROW()=ROW(tblBuyerOutputs[#Headers])+1,0,INDEX(tblBuyerOutputs[Cumul Appr],ROW()-ROW(tblBuyerOutputs[#Headers])-1)))*$AK$2/12)</f>
        <v>0</v>
      </c>
      <c r="AE469" s="276">
        <f>IF(INDEX(tblContractForDeed[End Bal],ROW()-ROW(tblBuyerOutputs[#Headers]))&lt;=0,0,IF(ROW()=ROW(tblBuyerOutputs[#Headers])+1,0,INDEX(tblBuyerOutputs[Cumul Appr],ROW()-ROW(tblBuyerOutputs[#Headers])-1))+tblBuyerOutputs[[#This Row],[Monthly Appr]])</f>
        <v>0</v>
      </c>
    </row>
    <row r="470" spans="1:31" x14ac:dyDescent="0.25">
      <c r="A470" s="613" t="str">
        <f t="shared" ref="A470:A495" si="109">IF(K470&lt;=0," ",+A469+30)</f>
        <v xml:space="preserve"> </v>
      </c>
      <c r="B470" s="276">
        <f t="shared" si="102"/>
        <v>0</v>
      </c>
      <c r="C470" s="14">
        <f t="shared" si="106"/>
        <v>0</v>
      </c>
      <c r="D470" s="14">
        <f t="shared" ref="D470:D495" si="110">+C470-E470</f>
        <v>0</v>
      </c>
      <c r="E470" s="14">
        <f t="shared" si="107"/>
        <v>0</v>
      </c>
      <c r="F470" s="14">
        <f t="shared" si="105"/>
        <v>134.16999999999999</v>
      </c>
      <c r="G470" s="14">
        <f t="shared" si="105"/>
        <v>188.55</v>
      </c>
      <c r="H470" s="14">
        <f t="shared" si="104"/>
        <v>322.72000000000003</v>
      </c>
      <c r="I470" s="276">
        <f t="shared" ref="I470:I495" si="111">$D470+$I469</f>
        <v>98158.279999999955</v>
      </c>
      <c r="J470" s="276">
        <f t="shared" ref="J470:J495" si="112">$E470+$J469</f>
        <v>35884.000000000022</v>
      </c>
      <c r="K470" s="276">
        <f t="shared" ref="K470:K495" si="113">+B470-D470</f>
        <v>0</v>
      </c>
      <c r="L470" s="394">
        <f t="shared" si="101"/>
        <v>37</v>
      </c>
      <c r="M470" s="394">
        <f t="shared" si="108"/>
        <v>450</v>
      </c>
      <c r="N470" s="613" t="str">
        <f>INDEX(tblSubjectToLoan[Date],ROW()-ROW(tblContractForDeed[#Headers]))</f>
        <v xml:space="preserve"> </v>
      </c>
      <c r="O470" s="276">
        <f>IF(ROW()=ROW(tblContractForDeed[#Headers])+1,$O$6,IF(INDEX(tblContractForDeed[End Bal],ROW()-ROW(tblContractForDeed[#Headers])-1)&lt;0,0,INDEX(tblContractForDeed[End Bal],ROW()-ROW(tblContractForDeed[#Headers])-1)))</f>
        <v>0</v>
      </c>
      <c r="P470" s="454">
        <f>IF(tblContractForDeed[[#This Row],[Date]]="","",IF(tblContractForDeed[[#This Row],[Date]]&lt;cfdRateChangeDate,cfdRate1,cfdRate2))</f>
        <v>7.7499999999999999E-2</v>
      </c>
      <c r="Q4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467">
        <f>IF(INDEX(tblContractForDeed[Payment],ROW()-ROW(tblBuyerOutputs[#Headers]))=0,0,INDEX(tblContractForDeed[Payment],ROW()-ROW(tblBuyerOutputs[#Headers]))-INDEX(tblSubjectToLoan[Payment],ROW()-ROW(tblBuyerOutputs[#Headers])))</f>
        <v>0</v>
      </c>
      <c r="Z4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0" s="276">
        <f>IF(INDEX(tblContractForDeed[End Bal],ROW()-ROW(tblBuyerOutputs[#Headers]))&lt;=0,0,($O$6+IF(ROW()=ROW(tblBuyerOutputs[#Headers])+1,0,INDEX(tblBuyerOutputs[Cumul Appr],ROW()-ROW(tblBuyerOutputs[#Headers])-1)))*$AK$2/12)</f>
        <v>0</v>
      </c>
      <c r="AE470" s="276">
        <f>IF(INDEX(tblContractForDeed[End Bal],ROW()-ROW(tblBuyerOutputs[#Headers]))&lt;=0,0,IF(ROW()=ROW(tblBuyerOutputs[#Headers])+1,0,INDEX(tblBuyerOutputs[Cumul Appr],ROW()-ROW(tblBuyerOutputs[#Headers])-1))+tblBuyerOutputs[[#This Row],[Monthly Appr]])</f>
        <v>0</v>
      </c>
    </row>
    <row r="471" spans="1:31" x14ac:dyDescent="0.25">
      <c r="A471" s="613" t="str">
        <f t="shared" si="109"/>
        <v xml:space="preserve"> </v>
      </c>
      <c r="B471" s="276">
        <f t="shared" si="102"/>
        <v>0</v>
      </c>
      <c r="C471" s="14">
        <f t="shared" si="106"/>
        <v>0</v>
      </c>
      <c r="D471" s="14">
        <f t="shared" si="110"/>
        <v>0</v>
      </c>
      <c r="E471" s="14">
        <f t="shared" si="107"/>
        <v>0</v>
      </c>
      <c r="F471" s="14">
        <f t="shared" si="105"/>
        <v>134.16999999999999</v>
      </c>
      <c r="G471" s="14">
        <f t="shared" si="105"/>
        <v>188.55</v>
      </c>
      <c r="H471" s="14">
        <f t="shared" si="104"/>
        <v>322.72000000000003</v>
      </c>
      <c r="I471" s="276">
        <f t="shared" si="111"/>
        <v>98158.279999999955</v>
      </c>
      <c r="J471" s="276">
        <f t="shared" si="112"/>
        <v>35884.000000000022</v>
      </c>
      <c r="K471" s="276">
        <f t="shared" si="113"/>
        <v>0</v>
      </c>
      <c r="L471" s="394">
        <f t="shared" si="101"/>
        <v>37</v>
      </c>
      <c r="M471" s="394">
        <f t="shared" si="108"/>
        <v>451</v>
      </c>
      <c r="N471" s="613" t="str">
        <f>INDEX(tblSubjectToLoan[Date],ROW()-ROW(tblContractForDeed[#Headers]))</f>
        <v xml:space="preserve"> </v>
      </c>
      <c r="O471" s="276">
        <f>IF(ROW()=ROW(tblContractForDeed[#Headers])+1,$O$6,IF(INDEX(tblContractForDeed[End Bal],ROW()-ROW(tblContractForDeed[#Headers])-1)&lt;0,0,INDEX(tblContractForDeed[End Bal],ROW()-ROW(tblContractForDeed[#Headers])-1)))</f>
        <v>0</v>
      </c>
      <c r="P471" s="454">
        <f>IF(tblContractForDeed[[#This Row],[Date]]="","",IF(tblContractForDeed[[#This Row],[Date]]&lt;cfdRateChangeDate,cfdRate1,cfdRate2))</f>
        <v>7.7499999999999999E-2</v>
      </c>
      <c r="Q4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467">
        <f>IF(INDEX(tblContractForDeed[Payment],ROW()-ROW(tblBuyerOutputs[#Headers]))=0,0,INDEX(tblContractForDeed[Payment],ROW()-ROW(tblBuyerOutputs[#Headers]))-INDEX(tblSubjectToLoan[Payment],ROW()-ROW(tblBuyerOutputs[#Headers])))</f>
        <v>0</v>
      </c>
      <c r="Z4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1" s="276">
        <f>IF(INDEX(tblContractForDeed[End Bal],ROW()-ROW(tblBuyerOutputs[#Headers]))&lt;=0,0,($O$6+IF(ROW()=ROW(tblBuyerOutputs[#Headers])+1,0,INDEX(tblBuyerOutputs[Cumul Appr],ROW()-ROW(tblBuyerOutputs[#Headers])-1)))*$AK$2/12)</f>
        <v>0</v>
      </c>
      <c r="AE471" s="276">
        <f>IF(INDEX(tblContractForDeed[End Bal],ROW()-ROW(tblBuyerOutputs[#Headers]))&lt;=0,0,IF(ROW()=ROW(tblBuyerOutputs[#Headers])+1,0,INDEX(tblBuyerOutputs[Cumul Appr],ROW()-ROW(tblBuyerOutputs[#Headers])-1))+tblBuyerOutputs[[#This Row],[Monthly Appr]])</f>
        <v>0</v>
      </c>
    </row>
    <row r="472" spans="1:31" x14ac:dyDescent="0.25">
      <c r="A472" s="613" t="str">
        <f t="shared" si="109"/>
        <v xml:space="preserve"> </v>
      </c>
      <c r="B472" s="276">
        <f t="shared" si="102"/>
        <v>0</v>
      </c>
      <c r="C472" s="14">
        <f t="shared" si="106"/>
        <v>0</v>
      </c>
      <c r="D472" s="14">
        <f t="shared" si="110"/>
        <v>0</v>
      </c>
      <c r="E472" s="14">
        <f t="shared" si="107"/>
        <v>0</v>
      </c>
      <c r="F472" s="14">
        <f t="shared" si="105"/>
        <v>134.16999999999999</v>
      </c>
      <c r="G472" s="14">
        <f t="shared" si="105"/>
        <v>188.55</v>
      </c>
      <c r="H472" s="14">
        <f t="shared" si="104"/>
        <v>322.72000000000003</v>
      </c>
      <c r="I472" s="276">
        <f t="shared" si="111"/>
        <v>98158.279999999955</v>
      </c>
      <c r="J472" s="276">
        <f t="shared" si="112"/>
        <v>35884.000000000022</v>
      </c>
      <c r="K472" s="276">
        <f t="shared" si="113"/>
        <v>0</v>
      </c>
      <c r="L472" s="394">
        <f t="shared" si="101"/>
        <v>37</v>
      </c>
      <c r="M472" s="394">
        <f t="shared" si="108"/>
        <v>452</v>
      </c>
      <c r="N472" s="613" t="str">
        <f>INDEX(tblSubjectToLoan[Date],ROW()-ROW(tblContractForDeed[#Headers]))</f>
        <v xml:space="preserve"> </v>
      </c>
      <c r="O472" s="276">
        <f>IF(ROW()=ROW(tblContractForDeed[#Headers])+1,$O$6,IF(INDEX(tblContractForDeed[End Bal],ROW()-ROW(tblContractForDeed[#Headers])-1)&lt;0,0,INDEX(tblContractForDeed[End Bal],ROW()-ROW(tblContractForDeed[#Headers])-1)))</f>
        <v>0</v>
      </c>
      <c r="P472" s="454">
        <f>IF(tblContractForDeed[[#This Row],[Date]]="","",IF(tblContractForDeed[[#This Row],[Date]]&lt;cfdRateChangeDate,cfdRate1,cfdRate2))</f>
        <v>7.7499999999999999E-2</v>
      </c>
      <c r="Q4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467">
        <f>IF(INDEX(tblContractForDeed[Payment],ROW()-ROW(tblBuyerOutputs[#Headers]))=0,0,INDEX(tblContractForDeed[Payment],ROW()-ROW(tblBuyerOutputs[#Headers]))-INDEX(tblSubjectToLoan[Payment],ROW()-ROW(tblBuyerOutputs[#Headers])))</f>
        <v>0</v>
      </c>
      <c r="Z4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2" s="276">
        <f>IF(INDEX(tblContractForDeed[End Bal],ROW()-ROW(tblBuyerOutputs[#Headers]))&lt;=0,0,($O$6+IF(ROW()=ROW(tblBuyerOutputs[#Headers])+1,0,INDEX(tblBuyerOutputs[Cumul Appr],ROW()-ROW(tblBuyerOutputs[#Headers])-1)))*$AK$2/12)</f>
        <v>0</v>
      </c>
      <c r="AE472" s="276">
        <f>IF(INDEX(tblContractForDeed[End Bal],ROW()-ROW(tblBuyerOutputs[#Headers]))&lt;=0,0,IF(ROW()=ROW(tblBuyerOutputs[#Headers])+1,0,INDEX(tblBuyerOutputs[Cumul Appr],ROW()-ROW(tblBuyerOutputs[#Headers])-1))+tblBuyerOutputs[[#This Row],[Monthly Appr]])</f>
        <v>0</v>
      </c>
    </row>
    <row r="473" spans="1:31" x14ac:dyDescent="0.25">
      <c r="A473" s="613" t="str">
        <f t="shared" si="109"/>
        <v xml:space="preserve"> </v>
      </c>
      <c r="B473" s="276">
        <f t="shared" si="102"/>
        <v>0</v>
      </c>
      <c r="C473" s="14">
        <f t="shared" si="106"/>
        <v>0</v>
      </c>
      <c r="D473" s="14">
        <f t="shared" si="110"/>
        <v>0</v>
      </c>
      <c r="E473" s="14">
        <f t="shared" si="107"/>
        <v>0</v>
      </c>
      <c r="F473" s="14">
        <f t="shared" si="105"/>
        <v>134.16999999999999</v>
      </c>
      <c r="G473" s="14">
        <f t="shared" si="105"/>
        <v>188.55</v>
      </c>
      <c r="H473" s="14">
        <f t="shared" si="104"/>
        <v>322.72000000000003</v>
      </c>
      <c r="I473" s="276">
        <f t="shared" si="111"/>
        <v>98158.279999999955</v>
      </c>
      <c r="J473" s="276">
        <f t="shared" si="112"/>
        <v>35884.000000000022</v>
      </c>
      <c r="K473" s="276">
        <f t="shared" si="113"/>
        <v>0</v>
      </c>
      <c r="L473" s="394">
        <f t="shared" si="101"/>
        <v>37</v>
      </c>
      <c r="M473" s="394">
        <f t="shared" si="108"/>
        <v>453</v>
      </c>
      <c r="N473" s="613" t="str">
        <f>INDEX(tblSubjectToLoan[Date],ROW()-ROW(tblContractForDeed[#Headers]))</f>
        <v xml:space="preserve"> </v>
      </c>
      <c r="O473" s="276">
        <f>IF(ROW()=ROW(tblContractForDeed[#Headers])+1,$O$6,IF(INDEX(tblContractForDeed[End Bal],ROW()-ROW(tblContractForDeed[#Headers])-1)&lt;0,0,INDEX(tblContractForDeed[End Bal],ROW()-ROW(tblContractForDeed[#Headers])-1)))</f>
        <v>0</v>
      </c>
      <c r="P473" s="454">
        <f>IF(tblContractForDeed[[#This Row],[Date]]="","",IF(tblContractForDeed[[#This Row],[Date]]&lt;cfdRateChangeDate,cfdRate1,cfdRate2))</f>
        <v>7.7499999999999999E-2</v>
      </c>
      <c r="Q4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467">
        <f>IF(INDEX(tblContractForDeed[Payment],ROW()-ROW(tblBuyerOutputs[#Headers]))=0,0,INDEX(tblContractForDeed[Payment],ROW()-ROW(tblBuyerOutputs[#Headers]))-INDEX(tblSubjectToLoan[Payment],ROW()-ROW(tblBuyerOutputs[#Headers])))</f>
        <v>0</v>
      </c>
      <c r="Z4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3" s="276">
        <f>IF(INDEX(tblContractForDeed[End Bal],ROW()-ROW(tblBuyerOutputs[#Headers]))&lt;=0,0,($O$6+IF(ROW()=ROW(tblBuyerOutputs[#Headers])+1,0,INDEX(tblBuyerOutputs[Cumul Appr],ROW()-ROW(tblBuyerOutputs[#Headers])-1)))*$AK$2/12)</f>
        <v>0</v>
      </c>
      <c r="AE473" s="276">
        <f>IF(INDEX(tblContractForDeed[End Bal],ROW()-ROW(tblBuyerOutputs[#Headers]))&lt;=0,0,IF(ROW()=ROW(tblBuyerOutputs[#Headers])+1,0,INDEX(tblBuyerOutputs[Cumul Appr],ROW()-ROW(tblBuyerOutputs[#Headers])-1))+tblBuyerOutputs[[#This Row],[Monthly Appr]])</f>
        <v>0</v>
      </c>
    </row>
    <row r="474" spans="1:31" x14ac:dyDescent="0.25">
      <c r="A474" s="613" t="str">
        <f t="shared" si="109"/>
        <v xml:space="preserve"> </v>
      </c>
      <c r="B474" s="276">
        <f t="shared" si="102"/>
        <v>0</v>
      </c>
      <c r="C474" s="14">
        <f t="shared" si="106"/>
        <v>0</v>
      </c>
      <c r="D474" s="14">
        <f t="shared" si="110"/>
        <v>0</v>
      </c>
      <c r="E474" s="14">
        <f t="shared" si="107"/>
        <v>0</v>
      </c>
      <c r="F474" s="14">
        <f t="shared" si="105"/>
        <v>134.16999999999999</v>
      </c>
      <c r="G474" s="14">
        <f t="shared" si="105"/>
        <v>188.55</v>
      </c>
      <c r="H474" s="14">
        <f t="shared" si="104"/>
        <v>322.72000000000003</v>
      </c>
      <c r="I474" s="276">
        <f t="shared" si="111"/>
        <v>98158.279999999955</v>
      </c>
      <c r="J474" s="276">
        <f t="shared" si="112"/>
        <v>35884.000000000022</v>
      </c>
      <c r="K474" s="276">
        <f t="shared" si="113"/>
        <v>0</v>
      </c>
      <c r="L474" s="394">
        <f t="shared" si="101"/>
        <v>37</v>
      </c>
      <c r="M474" s="394">
        <f t="shared" si="108"/>
        <v>454</v>
      </c>
      <c r="N474" s="613" t="str">
        <f>INDEX(tblSubjectToLoan[Date],ROW()-ROW(tblContractForDeed[#Headers]))</f>
        <v xml:space="preserve"> </v>
      </c>
      <c r="O474" s="276">
        <f>IF(ROW()=ROW(tblContractForDeed[#Headers])+1,$O$6,IF(INDEX(tblContractForDeed[End Bal],ROW()-ROW(tblContractForDeed[#Headers])-1)&lt;0,0,INDEX(tblContractForDeed[End Bal],ROW()-ROW(tblContractForDeed[#Headers])-1)))</f>
        <v>0</v>
      </c>
      <c r="P474" s="454">
        <f>IF(tblContractForDeed[[#This Row],[Date]]="","",IF(tblContractForDeed[[#This Row],[Date]]&lt;cfdRateChangeDate,cfdRate1,cfdRate2))</f>
        <v>7.7499999999999999E-2</v>
      </c>
      <c r="Q4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467">
        <f>IF(INDEX(tblContractForDeed[Payment],ROW()-ROW(tblBuyerOutputs[#Headers]))=0,0,INDEX(tblContractForDeed[Payment],ROW()-ROW(tblBuyerOutputs[#Headers]))-INDEX(tblSubjectToLoan[Payment],ROW()-ROW(tblBuyerOutputs[#Headers])))</f>
        <v>0</v>
      </c>
      <c r="Z4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4" s="276">
        <f>IF(INDEX(tblContractForDeed[End Bal],ROW()-ROW(tblBuyerOutputs[#Headers]))&lt;=0,0,($O$6+IF(ROW()=ROW(tblBuyerOutputs[#Headers])+1,0,INDEX(tblBuyerOutputs[Cumul Appr],ROW()-ROW(tblBuyerOutputs[#Headers])-1)))*$AK$2/12)</f>
        <v>0</v>
      </c>
      <c r="AE474" s="276">
        <f>IF(INDEX(tblContractForDeed[End Bal],ROW()-ROW(tblBuyerOutputs[#Headers]))&lt;=0,0,IF(ROW()=ROW(tblBuyerOutputs[#Headers])+1,0,INDEX(tblBuyerOutputs[Cumul Appr],ROW()-ROW(tblBuyerOutputs[#Headers])-1))+tblBuyerOutputs[[#This Row],[Monthly Appr]])</f>
        <v>0</v>
      </c>
    </row>
    <row r="475" spans="1:31" ht="15.75" thickBot="1" x14ac:dyDescent="0.3">
      <c r="A475" s="615" t="str">
        <f t="shared" si="109"/>
        <v xml:space="preserve"> </v>
      </c>
      <c r="B475" s="332">
        <f t="shared" si="102"/>
        <v>0</v>
      </c>
      <c r="C475" s="21">
        <f t="shared" si="106"/>
        <v>0</v>
      </c>
      <c r="D475" s="21">
        <f t="shared" si="110"/>
        <v>0</v>
      </c>
      <c r="E475" s="21">
        <f t="shared" si="107"/>
        <v>0</v>
      </c>
      <c r="F475" s="21">
        <f t="shared" si="105"/>
        <v>134.16999999999999</v>
      </c>
      <c r="G475" s="21">
        <f t="shared" si="105"/>
        <v>188.55</v>
      </c>
      <c r="H475" s="21">
        <f t="shared" si="104"/>
        <v>322.72000000000003</v>
      </c>
      <c r="I475" s="332">
        <f t="shared" si="111"/>
        <v>98158.279999999955</v>
      </c>
      <c r="J475" s="332">
        <f t="shared" si="112"/>
        <v>35884.000000000022</v>
      </c>
      <c r="K475" s="332">
        <f t="shared" si="113"/>
        <v>0</v>
      </c>
      <c r="L475" s="395">
        <f t="shared" si="101"/>
        <v>37</v>
      </c>
      <c r="M475" s="395">
        <f t="shared" si="108"/>
        <v>455</v>
      </c>
      <c r="N475" s="615" t="str">
        <f>INDEX(tblSubjectToLoan[Date],ROW()-ROW(tblContractForDeed[#Headers]))</f>
        <v xml:space="preserve"> </v>
      </c>
      <c r="O475" s="332">
        <f>IF(ROW()=ROW(tblContractForDeed[#Headers])+1,$O$6,IF(INDEX(tblContractForDeed[End Bal],ROW()-ROW(tblContractForDeed[#Headers])-1)&lt;0,0,INDEX(tblContractForDeed[End Bal],ROW()-ROW(tblContractForDeed[#Headers])-1)))</f>
        <v>0</v>
      </c>
      <c r="P475" s="454">
        <f>IF(tblContractForDeed[[#This Row],[Date]]="","",IF(tblContractForDeed[[#This Row],[Date]]&lt;cfdRateChangeDate,cfdRate1,cfdRate2))</f>
        <v>7.7499999999999999E-2</v>
      </c>
      <c r="Q4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468">
        <f>IF(INDEX(tblContractForDeed[Payment],ROW()-ROW(tblBuyerOutputs[#Headers]))=0,0,INDEX(tblContractForDeed[Payment],ROW()-ROW(tblBuyerOutputs[#Headers]))-INDEX(tblSubjectToLoan[Payment],ROW()-ROW(tblBuyerOutputs[#Headers])))</f>
        <v>0</v>
      </c>
      <c r="Z4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5" s="332">
        <f>IF(INDEX(tblContractForDeed[End Bal],ROW()-ROW(tblBuyerOutputs[#Headers]))&lt;=0,0,($O$6+IF(ROW()=ROW(tblBuyerOutputs[#Headers])+1,0,INDEX(tblBuyerOutputs[Cumul Appr],ROW()-ROW(tblBuyerOutputs[#Headers])-1)))*$AK$2/12)</f>
        <v>0</v>
      </c>
      <c r="AE475" s="332">
        <f>IF(INDEX(tblContractForDeed[End Bal],ROW()-ROW(tblBuyerOutputs[#Headers]))&lt;=0,0,IF(ROW()=ROW(tblBuyerOutputs[#Headers])+1,0,INDEX(tblBuyerOutputs[Cumul Appr],ROW()-ROW(tblBuyerOutputs[#Headers])-1))+tblBuyerOutputs[[#This Row],[Monthly Appr]])</f>
        <v>0</v>
      </c>
    </row>
    <row r="476" spans="1:31" x14ac:dyDescent="0.25">
      <c r="A476" s="613" t="str">
        <f t="shared" si="109"/>
        <v xml:space="preserve"> </v>
      </c>
      <c r="B476" s="276">
        <f t="shared" si="102"/>
        <v>0</v>
      </c>
      <c r="C476" s="14">
        <f t="shared" si="106"/>
        <v>0</v>
      </c>
      <c r="D476" s="14">
        <f t="shared" si="110"/>
        <v>0</v>
      </c>
      <c r="E476" s="14">
        <f t="shared" si="107"/>
        <v>0</v>
      </c>
      <c r="F476" s="14">
        <f t="shared" si="105"/>
        <v>134.16999999999999</v>
      </c>
      <c r="G476" s="14">
        <f t="shared" si="105"/>
        <v>188.55</v>
      </c>
      <c r="H476" s="14">
        <f t="shared" si="104"/>
        <v>322.72000000000003</v>
      </c>
      <c r="I476" s="276">
        <f t="shared" si="111"/>
        <v>98158.279999999955</v>
      </c>
      <c r="J476" s="276">
        <f t="shared" si="112"/>
        <v>35884.000000000022</v>
      </c>
      <c r="K476" s="276">
        <f t="shared" si="113"/>
        <v>0</v>
      </c>
      <c r="L476" s="394">
        <f t="shared" si="101"/>
        <v>38</v>
      </c>
      <c r="M476" s="394">
        <f t="shared" si="108"/>
        <v>456</v>
      </c>
      <c r="N476" s="613" t="str">
        <f>INDEX(tblSubjectToLoan[Date],ROW()-ROW(tblContractForDeed[#Headers]))</f>
        <v xml:space="preserve"> </v>
      </c>
      <c r="O476" s="276">
        <f>IF(ROW()=ROW(tblContractForDeed[#Headers])+1,$O$6,IF(INDEX(tblContractForDeed[End Bal],ROW()-ROW(tblContractForDeed[#Headers])-1)&lt;0,0,INDEX(tblContractForDeed[End Bal],ROW()-ROW(tblContractForDeed[#Headers])-1)))</f>
        <v>0</v>
      </c>
      <c r="P476" s="454">
        <f>IF(tblContractForDeed[[#This Row],[Date]]="","",IF(tblContractForDeed[[#This Row],[Date]]&lt;cfdRateChangeDate,cfdRate1,cfdRate2))</f>
        <v>7.7499999999999999E-2</v>
      </c>
      <c r="Q4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467">
        <f>IF(INDEX(tblContractForDeed[Payment],ROW()-ROW(tblBuyerOutputs[#Headers]))=0,0,INDEX(tblContractForDeed[Payment],ROW()-ROW(tblBuyerOutputs[#Headers]))-INDEX(tblSubjectToLoan[Payment],ROW()-ROW(tblBuyerOutputs[#Headers])))</f>
        <v>0</v>
      </c>
      <c r="Z4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6" s="276">
        <f>IF(INDEX(tblContractForDeed[End Bal],ROW()-ROW(tblBuyerOutputs[#Headers]))&lt;=0,0,($O$6+IF(ROW()=ROW(tblBuyerOutputs[#Headers])+1,0,INDEX(tblBuyerOutputs[Cumul Appr],ROW()-ROW(tblBuyerOutputs[#Headers])-1)))*$AK$2/12)</f>
        <v>0</v>
      </c>
      <c r="AE476" s="276">
        <f>IF(INDEX(tblContractForDeed[End Bal],ROW()-ROW(tblBuyerOutputs[#Headers]))&lt;=0,0,IF(ROW()=ROW(tblBuyerOutputs[#Headers])+1,0,INDEX(tblBuyerOutputs[Cumul Appr],ROW()-ROW(tblBuyerOutputs[#Headers])-1))+tblBuyerOutputs[[#This Row],[Monthly Appr]])</f>
        <v>0</v>
      </c>
    </row>
    <row r="477" spans="1:31" x14ac:dyDescent="0.25">
      <c r="A477" s="613" t="str">
        <f t="shared" si="109"/>
        <v xml:space="preserve"> </v>
      </c>
      <c r="B477" s="276">
        <f t="shared" si="102"/>
        <v>0</v>
      </c>
      <c r="C477" s="14">
        <f t="shared" si="106"/>
        <v>0</v>
      </c>
      <c r="D477" s="14">
        <f t="shared" si="110"/>
        <v>0</v>
      </c>
      <c r="E477" s="14">
        <f t="shared" si="107"/>
        <v>0</v>
      </c>
      <c r="F477" s="14">
        <f t="shared" si="105"/>
        <v>134.16999999999999</v>
      </c>
      <c r="G477" s="14">
        <f t="shared" si="105"/>
        <v>188.55</v>
      </c>
      <c r="H477" s="14">
        <f t="shared" si="104"/>
        <v>322.72000000000003</v>
      </c>
      <c r="I477" s="276">
        <f t="shared" si="111"/>
        <v>98158.279999999955</v>
      </c>
      <c r="J477" s="276">
        <f t="shared" si="112"/>
        <v>35884.000000000022</v>
      </c>
      <c r="K477" s="276">
        <f t="shared" si="113"/>
        <v>0</v>
      </c>
      <c r="L477" s="394">
        <f t="shared" si="101"/>
        <v>38</v>
      </c>
      <c r="M477" s="394">
        <f t="shared" si="108"/>
        <v>457</v>
      </c>
      <c r="N477" s="613" t="str">
        <f>INDEX(tblSubjectToLoan[Date],ROW()-ROW(tblContractForDeed[#Headers]))</f>
        <v xml:space="preserve"> </v>
      </c>
      <c r="O477" s="276">
        <f>IF(ROW()=ROW(tblContractForDeed[#Headers])+1,$O$6,IF(INDEX(tblContractForDeed[End Bal],ROW()-ROW(tblContractForDeed[#Headers])-1)&lt;0,0,INDEX(tblContractForDeed[End Bal],ROW()-ROW(tblContractForDeed[#Headers])-1)))</f>
        <v>0</v>
      </c>
      <c r="P477" s="454">
        <f>IF(tblContractForDeed[[#This Row],[Date]]="","",IF(tblContractForDeed[[#This Row],[Date]]&lt;cfdRateChangeDate,cfdRate1,cfdRate2))</f>
        <v>7.7499999999999999E-2</v>
      </c>
      <c r="Q4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467">
        <f>IF(INDEX(tblContractForDeed[Payment],ROW()-ROW(tblBuyerOutputs[#Headers]))=0,0,INDEX(tblContractForDeed[Payment],ROW()-ROW(tblBuyerOutputs[#Headers]))-INDEX(tblSubjectToLoan[Payment],ROW()-ROW(tblBuyerOutputs[#Headers])))</f>
        <v>0</v>
      </c>
      <c r="Z4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7" s="276">
        <f>IF(INDEX(tblContractForDeed[End Bal],ROW()-ROW(tblBuyerOutputs[#Headers]))&lt;=0,0,($O$6+IF(ROW()=ROW(tblBuyerOutputs[#Headers])+1,0,INDEX(tblBuyerOutputs[Cumul Appr],ROW()-ROW(tblBuyerOutputs[#Headers])-1)))*$AK$2/12)</f>
        <v>0</v>
      </c>
      <c r="AE477" s="276">
        <f>IF(INDEX(tblContractForDeed[End Bal],ROW()-ROW(tblBuyerOutputs[#Headers]))&lt;=0,0,IF(ROW()=ROW(tblBuyerOutputs[#Headers])+1,0,INDEX(tblBuyerOutputs[Cumul Appr],ROW()-ROW(tblBuyerOutputs[#Headers])-1))+tblBuyerOutputs[[#This Row],[Monthly Appr]])</f>
        <v>0</v>
      </c>
    </row>
    <row r="478" spans="1:31" x14ac:dyDescent="0.25">
      <c r="A478" s="613" t="str">
        <f t="shared" si="109"/>
        <v xml:space="preserve"> </v>
      </c>
      <c r="B478" s="276">
        <f t="shared" si="102"/>
        <v>0</v>
      </c>
      <c r="C478" s="14">
        <f t="shared" si="106"/>
        <v>0</v>
      </c>
      <c r="D478" s="14">
        <f t="shared" si="110"/>
        <v>0</v>
      </c>
      <c r="E478" s="14">
        <f t="shared" si="107"/>
        <v>0</v>
      </c>
      <c r="F478" s="14">
        <f t="shared" si="105"/>
        <v>134.16999999999999</v>
      </c>
      <c r="G478" s="14">
        <f t="shared" si="105"/>
        <v>188.55</v>
      </c>
      <c r="H478" s="14">
        <f t="shared" si="104"/>
        <v>322.72000000000003</v>
      </c>
      <c r="I478" s="276">
        <f t="shared" si="111"/>
        <v>98158.279999999955</v>
      </c>
      <c r="J478" s="276">
        <f t="shared" si="112"/>
        <v>35884.000000000022</v>
      </c>
      <c r="K478" s="276">
        <f t="shared" si="113"/>
        <v>0</v>
      </c>
      <c r="L478" s="394">
        <f t="shared" si="101"/>
        <v>38</v>
      </c>
      <c r="M478" s="394">
        <f t="shared" si="108"/>
        <v>458</v>
      </c>
      <c r="N478" s="613" t="str">
        <f>INDEX(tblSubjectToLoan[Date],ROW()-ROW(tblContractForDeed[#Headers]))</f>
        <v xml:space="preserve"> </v>
      </c>
      <c r="O478" s="276">
        <f>IF(ROW()=ROW(tblContractForDeed[#Headers])+1,$O$6,IF(INDEX(tblContractForDeed[End Bal],ROW()-ROW(tblContractForDeed[#Headers])-1)&lt;0,0,INDEX(tblContractForDeed[End Bal],ROW()-ROW(tblContractForDeed[#Headers])-1)))</f>
        <v>0</v>
      </c>
      <c r="P478" s="454">
        <f>IF(tblContractForDeed[[#This Row],[Date]]="","",IF(tblContractForDeed[[#This Row],[Date]]&lt;cfdRateChangeDate,cfdRate1,cfdRate2))</f>
        <v>7.7499999999999999E-2</v>
      </c>
      <c r="Q4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467">
        <f>IF(INDEX(tblContractForDeed[Payment],ROW()-ROW(tblBuyerOutputs[#Headers]))=0,0,INDEX(tblContractForDeed[Payment],ROW()-ROW(tblBuyerOutputs[#Headers]))-INDEX(tblSubjectToLoan[Payment],ROW()-ROW(tblBuyerOutputs[#Headers])))</f>
        <v>0</v>
      </c>
      <c r="Z4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8" s="276">
        <f>IF(INDEX(tblContractForDeed[End Bal],ROW()-ROW(tblBuyerOutputs[#Headers]))&lt;=0,0,($O$6+IF(ROW()=ROW(tblBuyerOutputs[#Headers])+1,0,INDEX(tblBuyerOutputs[Cumul Appr],ROW()-ROW(tblBuyerOutputs[#Headers])-1)))*$AK$2/12)</f>
        <v>0</v>
      </c>
      <c r="AE478" s="276">
        <f>IF(INDEX(tblContractForDeed[End Bal],ROW()-ROW(tblBuyerOutputs[#Headers]))&lt;=0,0,IF(ROW()=ROW(tblBuyerOutputs[#Headers])+1,0,INDEX(tblBuyerOutputs[Cumul Appr],ROW()-ROW(tblBuyerOutputs[#Headers])-1))+tblBuyerOutputs[[#This Row],[Monthly Appr]])</f>
        <v>0</v>
      </c>
    </row>
    <row r="479" spans="1:31" x14ac:dyDescent="0.25">
      <c r="A479" s="613" t="str">
        <f t="shared" si="109"/>
        <v xml:space="preserve"> </v>
      </c>
      <c r="B479" s="276">
        <f t="shared" si="102"/>
        <v>0</v>
      </c>
      <c r="C479" s="14">
        <f t="shared" si="106"/>
        <v>0</v>
      </c>
      <c r="D479" s="14">
        <f t="shared" si="110"/>
        <v>0</v>
      </c>
      <c r="E479" s="14">
        <f t="shared" si="107"/>
        <v>0</v>
      </c>
      <c r="F479" s="14">
        <f t="shared" ref="F479:G494" si="114">+F478</f>
        <v>134.16999999999999</v>
      </c>
      <c r="G479" s="14">
        <f t="shared" si="114"/>
        <v>188.55</v>
      </c>
      <c r="H479" s="14">
        <f t="shared" si="104"/>
        <v>322.72000000000003</v>
      </c>
      <c r="I479" s="276">
        <f t="shared" si="111"/>
        <v>98158.279999999955</v>
      </c>
      <c r="J479" s="276">
        <f t="shared" si="112"/>
        <v>35884.000000000022</v>
      </c>
      <c r="K479" s="276">
        <f t="shared" si="113"/>
        <v>0</v>
      </c>
      <c r="L479" s="394">
        <f t="shared" si="101"/>
        <v>38</v>
      </c>
      <c r="M479" s="394">
        <f t="shared" si="108"/>
        <v>459</v>
      </c>
      <c r="N479" s="613" t="str">
        <f>INDEX(tblSubjectToLoan[Date],ROW()-ROW(tblContractForDeed[#Headers]))</f>
        <v xml:space="preserve"> </v>
      </c>
      <c r="O479" s="276">
        <f>IF(ROW()=ROW(tblContractForDeed[#Headers])+1,$O$6,IF(INDEX(tblContractForDeed[End Bal],ROW()-ROW(tblContractForDeed[#Headers])-1)&lt;0,0,INDEX(tblContractForDeed[End Bal],ROW()-ROW(tblContractForDeed[#Headers])-1)))</f>
        <v>0</v>
      </c>
      <c r="P479" s="454">
        <f>IF(tblContractForDeed[[#This Row],[Date]]="","",IF(tblContractForDeed[[#This Row],[Date]]&lt;cfdRateChangeDate,cfdRate1,cfdRate2))</f>
        <v>7.7499999999999999E-2</v>
      </c>
      <c r="Q4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467">
        <f>IF(INDEX(tblContractForDeed[Payment],ROW()-ROW(tblBuyerOutputs[#Headers]))=0,0,INDEX(tblContractForDeed[Payment],ROW()-ROW(tblBuyerOutputs[#Headers]))-INDEX(tblSubjectToLoan[Payment],ROW()-ROW(tblBuyerOutputs[#Headers])))</f>
        <v>0</v>
      </c>
      <c r="Z4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9" s="276">
        <f>IF(INDEX(tblContractForDeed[End Bal],ROW()-ROW(tblBuyerOutputs[#Headers]))&lt;=0,0,($O$6+IF(ROW()=ROW(tblBuyerOutputs[#Headers])+1,0,INDEX(tblBuyerOutputs[Cumul Appr],ROW()-ROW(tblBuyerOutputs[#Headers])-1)))*$AK$2/12)</f>
        <v>0</v>
      </c>
      <c r="AE479" s="276">
        <f>IF(INDEX(tblContractForDeed[End Bal],ROW()-ROW(tblBuyerOutputs[#Headers]))&lt;=0,0,IF(ROW()=ROW(tblBuyerOutputs[#Headers])+1,0,INDEX(tblBuyerOutputs[Cumul Appr],ROW()-ROW(tblBuyerOutputs[#Headers])-1))+tblBuyerOutputs[[#This Row],[Monthly Appr]])</f>
        <v>0</v>
      </c>
    </row>
    <row r="480" spans="1:31" x14ac:dyDescent="0.25">
      <c r="A480" s="613" t="str">
        <f t="shared" si="109"/>
        <v xml:space="preserve"> </v>
      </c>
      <c r="B480" s="276">
        <f t="shared" si="102"/>
        <v>0</v>
      </c>
      <c r="C480" s="14">
        <f t="shared" si="106"/>
        <v>0</v>
      </c>
      <c r="D480" s="14">
        <f t="shared" si="110"/>
        <v>0</v>
      </c>
      <c r="E480" s="14">
        <f t="shared" si="107"/>
        <v>0</v>
      </c>
      <c r="F480" s="14">
        <f t="shared" si="114"/>
        <v>134.16999999999999</v>
      </c>
      <c r="G480" s="14">
        <f t="shared" si="114"/>
        <v>188.55</v>
      </c>
      <c r="H480" s="14">
        <f t="shared" si="104"/>
        <v>322.72000000000003</v>
      </c>
      <c r="I480" s="276">
        <f t="shared" si="111"/>
        <v>98158.279999999955</v>
      </c>
      <c r="J480" s="276">
        <f t="shared" si="112"/>
        <v>35884.000000000022</v>
      </c>
      <c r="K480" s="276">
        <f t="shared" si="113"/>
        <v>0</v>
      </c>
      <c r="L480" s="394">
        <f t="shared" si="101"/>
        <v>38</v>
      </c>
      <c r="M480" s="394">
        <f t="shared" si="108"/>
        <v>460</v>
      </c>
      <c r="N480" s="613" t="str">
        <f>INDEX(tblSubjectToLoan[Date],ROW()-ROW(tblContractForDeed[#Headers]))</f>
        <v xml:space="preserve"> </v>
      </c>
      <c r="O480" s="276">
        <f>IF(ROW()=ROW(tblContractForDeed[#Headers])+1,$O$6,IF(INDEX(tblContractForDeed[End Bal],ROW()-ROW(tblContractForDeed[#Headers])-1)&lt;0,0,INDEX(tblContractForDeed[End Bal],ROW()-ROW(tblContractForDeed[#Headers])-1)))</f>
        <v>0</v>
      </c>
      <c r="P480" s="454">
        <f>IF(tblContractForDeed[[#This Row],[Date]]="","",IF(tblContractForDeed[[#This Row],[Date]]&lt;cfdRateChangeDate,cfdRate1,cfdRate2))</f>
        <v>7.7499999999999999E-2</v>
      </c>
      <c r="Q4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467">
        <f>IF(INDEX(tblContractForDeed[Payment],ROW()-ROW(tblBuyerOutputs[#Headers]))=0,0,INDEX(tblContractForDeed[Payment],ROW()-ROW(tblBuyerOutputs[#Headers]))-INDEX(tblSubjectToLoan[Payment],ROW()-ROW(tblBuyerOutputs[#Headers])))</f>
        <v>0</v>
      </c>
      <c r="Z4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0" s="276">
        <f>IF(INDEX(tblContractForDeed[End Bal],ROW()-ROW(tblBuyerOutputs[#Headers]))&lt;=0,0,($O$6+IF(ROW()=ROW(tblBuyerOutputs[#Headers])+1,0,INDEX(tblBuyerOutputs[Cumul Appr],ROW()-ROW(tblBuyerOutputs[#Headers])-1)))*$AK$2/12)</f>
        <v>0</v>
      </c>
      <c r="AE480" s="276">
        <f>IF(INDEX(tblContractForDeed[End Bal],ROW()-ROW(tblBuyerOutputs[#Headers]))&lt;=0,0,IF(ROW()=ROW(tblBuyerOutputs[#Headers])+1,0,INDEX(tblBuyerOutputs[Cumul Appr],ROW()-ROW(tblBuyerOutputs[#Headers])-1))+tblBuyerOutputs[[#This Row],[Monthly Appr]])</f>
        <v>0</v>
      </c>
    </row>
    <row r="481" spans="1:31" x14ac:dyDescent="0.25">
      <c r="A481" s="613" t="str">
        <f t="shared" si="109"/>
        <v xml:space="preserve"> </v>
      </c>
      <c r="B481" s="276">
        <f t="shared" si="102"/>
        <v>0</v>
      </c>
      <c r="C481" s="14">
        <f t="shared" si="106"/>
        <v>0</v>
      </c>
      <c r="D481" s="14">
        <f t="shared" si="110"/>
        <v>0</v>
      </c>
      <c r="E481" s="14">
        <f t="shared" si="107"/>
        <v>0</v>
      </c>
      <c r="F481" s="14">
        <f t="shared" si="114"/>
        <v>134.16999999999999</v>
      </c>
      <c r="G481" s="14">
        <f t="shared" si="114"/>
        <v>188.55</v>
      </c>
      <c r="H481" s="14">
        <f t="shared" si="104"/>
        <v>322.72000000000003</v>
      </c>
      <c r="I481" s="276">
        <f t="shared" si="111"/>
        <v>98158.279999999955</v>
      </c>
      <c r="J481" s="276">
        <f t="shared" si="112"/>
        <v>35884.000000000022</v>
      </c>
      <c r="K481" s="276">
        <f t="shared" si="113"/>
        <v>0</v>
      </c>
      <c r="L481" s="394">
        <f t="shared" si="101"/>
        <v>38</v>
      </c>
      <c r="M481" s="394">
        <f t="shared" si="108"/>
        <v>461</v>
      </c>
      <c r="N481" s="613" t="str">
        <f>INDEX(tblSubjectToLoan[Date],ROW()-ROW(tblContractForDeed[#Headers]))</f>
        <v xml:space="preserve"> </v>
      </c>
      <c r="O481" s="276">
        <f>IF(ROW()=ROW(tblContractForDeed[#Headers])+1,$O$6,IF(INDEX(tblContractForDeed[End Bal],ROW()-ROW(tblContractForDeed[#Headers])-1)&lt;0,0,INDEX(tblContractForDeed[End Bal],ROW()-ROW(tblContractForDeed[#Headers])-1)))</f>
        <v>0</v>
      </c>
      <c r="P481" s="454">
        <f>IF(tblContractForDeed[[#This Row],[Date]]="","",IF(tblContractForDeed[[#This Row],[Date]]&lt;cfdRateChangeDate,cfdRate1,cfdRate2))</f>
        <v>7.7499999999999999E-2</v>
      </c>
      <c r="Q4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467">
        <f>IF(INDEX(tblContractForDeed[Payment],ROW()-ROW(tblBuyerOutputs[#Headers]))=0,0,INDEX(tblContractForDeed[Payment],ROW()-ROW(tblBuyerOutputs[#Headers]))-INDEX(tblSubjectToLoan[Payment],ROW()-ROW(tblBuyerOutputs[#Headers])))</f>
        <v>0</v>
      </c>
      <c r="Z4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1" s="276">
        <f>IF(INDEX(tblContractForDeed[End Bal],ROW()-ROW(tblBuyerOutputs[#Headers]))&lt;=0,0,($O$6+IF(ROW()=ROW(tblBuyerOutputs[#Headers])+1,0,INDEX(tblBuyerOutputs[Cumul Appr],ROW()-ROW(tblBuyerOutputs[#Headers])-1)))*$AK$2/12)</f>
        <v>0</v>
      </c>
      <c r="AE481" s="276">
        <f>IF(INDEX(tblContractForDeed[End Bal],ROW()-ROW(tblBuyerOutputs[#Headers]))&lt;=0,0,IF(ROW()=ROW(tblBuyerOutputs[#Headers])+1,0,INDEX(tblBuyerOutputs[Cumul Appr],ROW()-ROW(tblBuyerOutputs[#Headers])-1))+tblBuyerOutputs[[#This Row],[Monthly Appr]])</f>
        <v>0</v>
      </c>
    </row>
    <row r="482" spans="1:31" x14ac:dyDescent="0.25">
      <c r="A482" s="613" t="str">
        <f t="shared" si="109"/>
        <v xml:space="preserve"> </v>
      </c>
      <c r="B482" s="276">
        <f t="shared" si="102"/>
        <v>0</v>
      </c>
      <c r="C482" s="14">
        <f t="shared" si="106"/>
        <v>0</v>
      </c>
      <c r="D482" s="14">
        <f t="shared" si="110"/>
        <v>0</v>
      </c>
      <c r="E482" s="14">
        <f t="shared" si="107"/>
        <v>0</v>
      </c>
      <c r="F482" s="14">
        <f t="shared" si="114"/>
        <v>134.16999999999999</v>
      </c>
      <c r="G482" s="14">
        <f t="shared" si="114"/>
        <v>188.55</v>
      </c>
      <c r="H482" s="14">
        <f t="shared" si="104"/>
        <v>322.72000000000003</v>
      </c>
      <c r="I482" s="276">
        <f t="shared" si="111"/>
        <v>98158.279999999955</v>
      </c>
      <c r="J482" s="276">
        <f t="shared" si="112"/>
        <v>35884.000000000022</v>
      </c>
      <c r="K482" s="276">
        <f t="shared" si="113"/>
        <v>0</v>
      </c>
      <c r="L482" s="394">
        <f t="shared" si="101"/>
        <v>38</v>
      </c>
      <c r="M482" s="394">
        <f t="shared" si="108"/>
        <v>462</v>
      </c>
      <c r="N482" s="613" t="str">
        <f>INDEX(tblSubjectToLoan[Date],ROW()-ROW(tblContractForDeed[#Headers]))</f>
        <v xml:space="preserve"> </v>
      </c>
      <c r="O482" s="276">
        <f>IF(ROW()=ROW(tblContractForDeed[#Headers])+1,$O$6,IF(INDEX(tblContractForDeed[End Bal],ROW()-ROW(tblContractForDeed[#Headers])-1)&lt;0,0,INDEX(tblContractForDeed[End Bal],ROW()-ROW(tblContractForDeed[#Headers])-1)))</f>
        <v>0</v>
      </c>
      <c r="P482" s="454">
        <f>IF(tblContractForDeed[[#This Row],[Date]]="","",IF(tblContractForDeed[[#This Row],[Date]]&lt;cfdRateChangeDate,cfdRate1,cfdRate2))</f>
        <v>7.7499999999999999E-2</v>
      </c>
      <c r="Q4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467">
        <f>IF(INDEX(tblContractForDeed[Payment],ROW()-ROW(tblBuyerOutputs[#Headers]))=0,0,INDEX(tblContractForDeed[Payment],ROW()-ROW(tblBuyerOutputs[#Headers]))-INDEX(tblSubjectToLoan[Payment],ROW()-ROW(tblBuyerOutputs[#Headers])))</f>
        <v>0</v>
      </c>
      <c r="Z4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2" s="276">
        <f>IF(INDEX(tblContractForDeed[End Bal],ROW()-ROW(tblBuyerOutputs[#Headers]))&lt;=0,0,($O$6+IF(ROW()=ROW(tblBuyerOutputs[#Headers])+1,0,INDEX(tblBuyerOutputs[Cumul Appr],ROW()-ROW(tblBuyerOutputs[#Headers])-1)))*$AK$2/12)</f>
        <v>0</v>
      </c>
      <c r="AE482" s="276">
        <f>IF(INDEX(tblContractForDeed[End Bal],ROW()-ROW(tblBuyerOutputs[#Headers]))&lt;=0,0,IF(ROW()=ROW(tblBuyerOutputs[#Headers])+1,0,INDEX(tblBuyerOutputs[Cumul Appr],ROW()-ROW(tblBuyerOutputs[#Headers])-1))+tblBuyerOutputs[[#This Row],[Monthly Appr]])</f>
        <v>0</v>
      </c>
    </row>
    <row r="483" spans="1:31" x14ac:dyDescent="0.25">
      <c r="A483" s="613" t="str">
        <f t="shared" si="109"/>
        <v xml:space="preserve"> </v>
      </c>
      <c r="B483" s="276">
        <f t="shared" si="102"/>
        <v>0</v>
      </c>
      <c r="C483" s="14">
        <f t="shared" si="106"/>
        <v>0</v>
      </c>
      <c r="D483" s="14">
        <f t="shared" si="110"/>
        <v>0</v>
      </c>
      <c r="E483" s="14">
        <f t="shared" si="107"/>
        <v>0</v>
      </c>
      <c r="F483" s="14">
        <f t="shared" si="114"/>
        <v>134.16999999999999</v>
      </c>
      <c r="G483" s="14">
        <f t="shared" si="114"/>
        <v>188.55</v>
      </c>
      <c r="H483" s="14">
        <f t="shared" si="104"/>
        <v>322.72000000000003</v>
      </c>
      <c r="I483" s="276">
        <f t="shared" si="111"/>
        <v>98158.279999999955</v>
      </c>
      <c r="J483" s="276">
        <f t="shared" si="112"/>
        <v>35884.000000000022</v>
      </c>
      <c r="K483" s="276">
        <f t="shared" si="113"/>
        <v>0</v>
      </c>
      <c r="L483" s="394">
        <f t="shared" si="101"/>
        <v>38</v>
      </c>
      <c r="M483" s="394">
        <f t="shared" si="108"/>
        <v>463</v>
      </c>
      <c r="N483" s="613" t="str">
        <f>INDEX(tblSubjectToLoan[Date],ROW()-ROW(tblContractForDeed[#Headers]))</f>
        <v xml:space="preserve"> </v>
      </c>
      <c r="O483" s="276">
        <f>IF(ROW()=ROW(tblContractForDeed[#Headers])+1,$O$6,IF(INDEX(tblContractForDeed[End Bal],ROW()-ROW(tblContractForDeed[#Headers])-1)&lt;0,0,INDEX(tblContractForDeed[End Bal],ROW()-ROW(tblContractForDeed[#Headers])-1)))</f>
        <v>0</v>
      </c>
      <c r="P483" s="454">
        <f>IF(tblContractForDeed[[#This Row],[Date]]="","",IF(tblContractForDeed[[#This Row],[Date]]&lt;cfdRateChangeDate,cfdRate1,cfdRate2))</f>
        <v>7.7499999999999999E-2</v>
      </c>
      <c r="Q4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467">
        <f>IF(INDEX(tblContractForDeed[Payment],ROW()-ROW(tblBuyerOutputs[#Headers]))=0,0,INDEX(tblContractForDeed[Payment],ROW()-ROW(tblBuyerOutputs[#Headers]))-INDEX(tblSubjectToLoan[Payment],ROW()-ROW(tblBuyerOutputs[#Headers])))</f>
        <v>0</v>
      </c>
      <c r="Z4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3" s="276">
        <f>IF(INDEX(tblContractForDeed[End Bal],ROW()-ROW(tblBuyerOutputs[#Headers]))&lt;=0,0,($O$6+IF(ROW()=ROW(tblBuyerOutputs[#Headers])+1,0,INDEX(tblBuyerOutputs[Cumul Appr],ROW()-ROW(tblBuyerOutputs[#Headers])-1)))*$AK$2/12)</f>
        <v>0</v>
      </c>
      <c r="AE483" s="276">
        <f>IF(INDEX(tblContractForDeed[End Bal],ROW()-ROW(tblBuyerOutputs[#Headers]))&lt;=0,0,IF(ROW()=ROW(tblBuyerOutputs[#Headers])+1,0,INDEX(tblBuyerOutputs[Cumul Appr],ROW()-ROW(tblBuyerOutputs[#Headers])-1))+tblBuyerOutputs[[#This Row],[Monthly Appr]])</f>
        <v>0</v>
      </c>
    </row>
    <row r="484" spans="1:31" x14ac:dyDescent="0.25">
      <c r="A484" s="613" t="str">
        <f t="shared" si="109"/>
        <v xml:space="preserve"> </v>
      </c>
      <c r="B484" s="276">
        <f t="shared" si="102"/>
        <v>0</v>
      </c>
      <c r="C484" s="14">
        <f t="shared" si="106"/>
        <v>0</v>
      </c>
      <c r="D484" s="14">
        <f t="shared" si="110"/>
        <v>0</v>
      </c>
      <c r="E484" s="14">
        <f t="shared" si="107"/>
        <v>0</v>
      </c>
      <c r="F484" s="14">
        <f t="shared" si="114"/>
        <v>134.16999999999999</v>
      </c>
      <c r="G484" s="14">
        <f t="shared" si="114"/>
        <v>188.55</v>
      </c>
      <c r="H484" s="14">
        <f t="shared" si="104"/>
        <v>322.72000000000003</v>
      </c>
      <c r="I484" s="276">
        <f t="shared" si="111"/>
        <v>98158.279999999955</v>
      </c>
      <c r="J484" s="276">
        <f t="shared" si="112"/>
        <v>35884.000000000022</v>
      </c>
      <c r="K484" s="276">
        <f t="shared" si="113"/>
        <v>0</v>
      </c>
      <c r="L484" s="394">
        <f t="shared" si="101"/>
        <v>38</v>
      </c>
      <c r="M484" s="394">
        <f t="shared" si="108"/>
        <v>464</v>
      </c>
      <c r="N484" s="613" t="str">
        <f>INDEX(tblSubjectToLoan[Date],ROW()-ROW(tblContractForDeed[#Headers]))</f>
        <v xml:space="preserve"> </v>
      </c>
      <c r="O484" s="276">
        <f>IF(ROW()=ROW(tblContractForDeed[#Headers])+1,$O$6,IF(INDEX(tblContractForDeed[End Bal],ROW()-ROW(tblContractForDeed[#Headers])-1)&lt;0,0,INDEX(tblContractForDeed[End Bal],ROW()-ROW(tblContractForDeed[#Headers])-1)))</f>
        <v>0</v>
      </c>
      <c r="P484" s="454">
        <f>IF(tblContractForDeed[[#This Row],[Date]]="","",IF(tblContractForDeed[[#This Row],[Date]]&lt;cfdRateChangeDate,cfdRate1,cfdRate2))</f>
        <v>7.7499999999999999E-2</v>
      </c>
      <c r="Q4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467">
        <f>IF(INDEX(tblContractForDeed[Payment],ROW()-ROW(tblBuyerOutputs[#Headers]))=0,0,INDEX(tblContractForDeed[Payment],ROW()-ROW(tblBuyerOutputs[#Headers]))-INDEX(tblSubjectToLoan[Payment],ROW()-ROW(tblBuyerOutputs[#Headers])))</f>
        <v>0</v>
      </c>
      <c r="Z4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4" s="276">
        <f>IF(INDEX(tblContractForDeed[End Bal],ROW()-ROW(tblBuyerOutputs[#Headers]))&lt;=0,0,($O$6+IF(ROW()=ROW(tblBuyerOutputs[#Headers])+1,0,INDEX(tblBuyerOutputs[Cumul Appr],ROW()-ROW(tblBuyerOutputs[#Headers])-1)))*$AK$2/12)</f>
        <v>0</v>
      </c>
      <c r="AE484" s="276">
        <f>IF(INDEX(tblContractForDeed[End Bal],ROW()-ROW(tblBuyerOutputs[#Headers]))&lt;=0,0,IF(ROW()=ROW(tblBuyerOutputs[#Headers])+1,0,INDEX(tblBuyerOutputs[Cumul Appr],ROW()-ROW(tblBuyerOutputs[#Headers])-1))+tblBuyerOutputs[[#This Row],[Monthly Appr]])</f>
        <v>0</v>
      </c>
    </row>
    <row r="485" spans="1:31" x14ac:dyDescent="0.25">
      <c r="A485" s="613" t="str">
        <f t="shared" si="109"/>
        <v xml:space="preserve"> </v>
      </c>
      <c r="B485" s="276">
        <f t="shared" si="102"/>
        <v>0</v>
      </c>
      <c r="C485" s="14">
        <f t="shared" si="106"/>
        <v>0</v>
      </c>
      <c r="D485" s="14">
        <f t="shared" si="110"/>
        <v>0</v>
      </c>
      <c r="E485" s="14">
        <f t="shared" si="107"/>
        <v>0</v>
      </c>
      <c r="F485" s="14">
        <f t="shared" si="114"/>
        <v>134.16999999999999</v>
      </c>
      <c r="G485" s="14">
        <f t="shared" si="114"/>
        <v>188.55</v>
      </c>
      <c r="H485" s="14">
        <f t="shared" si="104"/>
        <v>322.72000000000003</v>
      </c>
      <c r="I485" s="276">
        <f t="shared" si="111"/>
        <v>98158.279999999955</v>
      </c>
      <c r="J485" s="276">
        <f t="shared" si="112"/>
        <v>35884.000000000022</v>
      </c>
      <c r="K485" s="276">
        <f t="shared" si="113"/>
        <v>0</v>
      </c>
      <c r="L485" s="394">
        <f t="shared" si="101"/>
        <v>38</v>
      </c>
      <c r="M485" s="394">
        <f t="shared" si="108"/>
        <v>465</v>
      </c>
      <c r="N485" s="613" t="str">
        <f>INDEX(tblSubjectToLoan[Date],ROW()-ROW(tblContractForDeed[#Headers]))</f>
        <v xml:space="preserve"> </v>
      </c>
      <c r="O485" s="276">
        <f>IF(ROW()=ROW(tblContractForDeed[#Headers])+1,$O$6,IF(INDEX(tblContractForDeed[End Bal],ROW()-ROW(tblContractForDeed[#Headers])-1)&lt;0,0,INDEX(tblContractForDeed[End Bal],ROW()-ROW(tblContractForDeed[#Headers])-1)))</f>
        <v>0</v>
      </c>
      <c r="P485" s="454">
        <f>IF(tblContractForDeed[[#This Row],[Date]]="","",IF(tblContractForDeed[[#This Row],[Date]]&lt;cfdRateChangeDate,cfdRate1,cfdRate2))</f>
        <v>7.7499999999999999E-2</v>
      </c>
      <c r="Q4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467">
        <f>IF(INDEX(tblContractForDeed[Payment],ROW()-ROW(tblBuyerOutputs[#Headers]))=0,0,INDEX(tblContractForDeed[Payment],ROW()-ROW(tblBuyerOutputs[#Headers]))-INDEX(tblSubjectToLoan[Payment],ROW()-ROW(tblBuyerOutputs[#Headers])))</f>
        <v>0</v>
      </c>
      <c r="Z4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5" s="276">
        <f>IF(INDEX(tblContractForDeed[End Bal],ROW()-ROW(tblBuyerOutputs[#Headers]))&lt;=0,0,($O$6+IF(ROW()=ROW(tblBuyerOutputs[#Headers])+1,0,INDEX(tblBuyerOutputs[Cumul Appr],ROW()-ROW(tblBuyerOutputs[#Headers])-1)))*$AK$2/12)</f>
        <v>0</v>
      </c>
      <c r="AE485" s="276">
        <f>IF(INDEX(tblContractForDeed[End Bal],ROW()-ROW(tblBuyerOutputs[#Headers]))&lt;=0,0,IF(ROW()=ROW(tblBuyerOutputs[#Headers])+1,0,INDEX(tblBuyerOutputs[Cumul Appr],ROW()-ROW(tblBuyerOutputs[#Headers])-1))+tblBuyerOutputs[[#This Row],[Monthly Appr]])</f>
        <v>0</v>
      </c>
    </row>
    <row r="486" spans="1:31" x14ac:dyDescent="0.25">
      <c r="A486" s="613" t="str">
        <f t="shared" si="109"/>
        <v xml:space="preserve"> </v>
      </c>
      <c r="B486" s="276">
        <f t="shared" si="102"/>
        <v>0</v>
      </c>
      <c r="C486" s="14">
        <f t="shared" si="106"/>
        <v>0</v>
      </c>
      <c r="D486" s="14">
        <f t="shared" si="110"/>
        <v>0</v>
      </c>
      <c r="E486" s="14">
        <f t="shared" si="107"/>
        <v>0</v>
      </c>
      <c r="F486" s="14">
        <f t="shared" si="114"/>
        <v>134.16999999999999</v>
      </c>
      <c r="G486" s="14">
        <f t="shared" si="114"/>
        <v>188.55</v>
      </c>
      <c r="H486" s="14">
        <f t="shared" si="104"/>
        <v>322.72000000000003</v>
      </c>
      <c r="I486" s="276">
        <f t="shared" si="111"/>
        <v>98158.279999999955</v>
      </c>
      <c r="J486" s="276">
        <f t="shared" si="112"/>
        <v>35884.000000000022</v>
      </c>
      <c r="K486" s="276">
        <f t="shared" si="113"/>
        <v>0</v>
      </c>
      <c r="L486" s="394">
        <f t="shared" si="101"/>
        <v>38</v>
      </c>
      <c r="M486" s="394">
        <f t="shared" si="108"/>
        <v>466</v>
      </c>
      <c r="N486" s="613" t="str">
        <f>INDEX(tblSubjectToLoan[Date],ROW()-ROW(tblContractForDeed[#Headers]))</f>
        <v xml:space="preserve"> </v>
      </c>
      <c r="O486" s="276">
        <f>IF(ROW()=ROW(tblContractForDeed[#Headers])+1,$O$6,IF(INDEX(tblContractForDeed[End Bal],ROW()-ROW(tblContractForDeed[#Headers])-1)&lt;0,0,INDEX(tblContractForDeed[End Bal],ROW()-ROW(tblContractForDeed[#Headers])-1)))</f>
        <v>0</v>
      </c>
      <c r="P486" s="454">
        <f>IF(tblContractForDeed[[#This Row],[Date]]="","",IF(tblContractForDeed[[#This Row],[Date]]&lt;cfdRateChangeDate,cfdRate1,cfdRate2))</f>
        <v>7.7499999999999999E-2</v>
      </c>
      <c r="Q4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467">
        <f>IF(INDEX(tblContractForDeed[Payment],ROW()-ROW(tblBuyerOutputs[#Headers]))=0,0,INDEX(tblContractForDeed[Payment],ROW()-ROW(tblBuyerOutputs[#Headers]))-INDEX(tblSubjectToLoan[Payment],ROW()-ROW(tblBuyerOutputs[#Headers])))</f>
        <v>0</v>
      </c>
      <c r="Z4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6" s="276">
        <f>IF(INDEX(tblContractForDeed[End Bal],ROW()-ROW(tblBuyerOutputs[#Headers]))&lt;=0,0,($O$6+IF(ROW()=ROW(tblBuyerOutputs[#Headers])+1,0,INDEX(tblBuyerOutputs[Cumul Appr],ROW()-ROW(tblBuyerOutputs[#Headers])-1)))*$AK$2/12)</f>
        <v>0</v>
      </c>
      <c r="AE486" s="276">
        <f>IF(INDEX(tblContractForDeed[End Bal],ROW()-ROW(tblBuyerOutputs[#Headers]))&lt;=0,0,IF(ROW()=ROW(tblBuyerOutputs[#Headers])+1,0,INDEX(tblBuyerOutputs[Cumul Appr],ROW()-ROW(tblBuyerOutputs[#Headers])-1))+tblBuyerOutputs[[#This Row],[Monthly Appr]])</f>
        <v>0</v>
      </c>
    </row>
    <row r="487" spans="1:31" ht="15.75" thickBot="1" x14ac:dyDescent="0.3">
      <c r="A487" s="615" t="str">
        <f t="shared" si="109"/>
        <v xml:space="preserve"> </v>
      </c>
      <c r="B487" s="332">
        <f t="shared" si="102"/>
        <v>0</v>
      </c>
      <c r="C487" s="21">
        <f t="shared" si="106"/>
        <v>0</v>
      </c>
      <c r="D487" s="21">
        <f t="shared" si="110"/>
        <v>0</v>
      </c>
      <c r="E487" s="21">
        <f t="shared" si="107"/>
        <v>0</v>
      </c>
      <c r="F487" s="21">
        <f t="shared" si="114"/>
        <v>134.16999999999999</v>
      </c>
      <c r="G487" s="21">
        <f t="shared" si="114"/>
        <v>188.55</v>
      </c>
      <c r="H487" s="21">
        <f t="shared" si="104"/>
        <v>322.72000000000003</v>
      </c>
      <c r="I487" s="332">
        <f t="shared" si="111"/>
        <v>98158.279999999955</v>
      </c>
      <c r="J487" s="332">
        <f t="shared" si="112"/>
        <v>35884.000000000022</v>
      </c>
      <c r="K487" s="332">
        <f t="shared" si="113"/>
        <v>0</v>
      </c>
      <c r="L487" s="395">
        <f t="shared" si="101"/>
        <v>38</v>
      </c>
      <c r="M487" s="395">
        <f t="shared" si="108"/>
        <v>467</v>
      </c>
      <c r="N487" s="615" t="str">
        <f>INDEX(tblSubjectToLoan[Date],ROW()-ROW(tblContractForDeed[#Headers]))</f>
        <v xml:space="preserve"> </v>
      </c>
      <c r="O487" s="332">
        <f>IF(ROW()=ROW(tblContractForDeed[#Headers])+1,$O$6,IF(INDEX(tblContractForDeed[End Bal],ROW()-ROW(tblContractForDeed[#Headers])-1)&lt;0,0,INDEX(tblContractForDeed[End Bal],ROW()-ROW(tblContractForDeed[#Headers])-1)))</f>
        <v>0</v>
      </c>
      <c r="P487" s="454">
        <f>IF(tblContractForDeed[[#This Row],[Date]]="","",IF(tblContractForDeed[[#This Row],[Date]]&lt;cfdRateChangeDate,cfdRate1,cfdRate2))</f>
        <v>7.7499999999999999E-2</v>
      </c>
      <c r="Q4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468">
        <f>IF(INDEX(tblContractForDeed[Payment],ROW()-ROW(tblBuyerOutputs[#Headers]))=0,0,INDEX(tblContractForDeed[Payment],ROW()-ROW(tblBuyerOutputs[#Headers]))-INDEX(tblSubjectToLoan[Payment],ROW()-ROW(tblBuyerOutputs[#Headers])))</f>
        <v>0</v>
      </c>
      <c r="Z4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7" s="332">
        <f>IF(INDEX(tblContractForDeed[End Bal],ROW()-ROW(tblBuyerOutputs[#Headers]))&lt;=0,0,($O$6+IF(ROW()=ROW(tblBuyerOutputs[#Headers])+1,0,INDEX(tblBuyerOutputs[Cumul Appr],ROW()-ROW(tblBuyerOutputs[#Headers])-1)))*$AK$2/12)</f>
        <v>0</v>
      </c>
      <c r="AE487" s="332">
        <f>IF(INDEX(tblContractForDeed[End Bal],ROW()-ROW(tblBuyerOutputs[#Headers]))&lt;=0,0,IF(ROW()=ROW(tblBuyerOutputs[#Headers])+1,0,INDEX(tblBuyerOutputs[Cumul Appr],ROW()-ROW(tblBuyerOutputs[#Headers])-1))+tblBuyerOutputs[[#This Row],[Monthly Appr]])</f>
        <v>0</v>
      </c>
    </row>
    <row r="488" spans="1:31" x14ac:dyDescent="0.25">
      <c r="A488" s="613" t="str">
        <f t="shared" si="109"/>
        <v xml:space="preserve"> </v>
      </c>
      <c r="B488" s="276">
        <f t="shared" si="102"/>
        <v>0</v>
      </c>
      <c r="C488" s="14">
        <f t="shared" si="106"/>
        <v>0</v>
      </c>
      <c r="D488" s="14">
        <f t="shared" si="110"/>
        <v>0</v>
      </c>
      <c r="E488" s="14">
        <f t="shared" si="107"/>
        <v>0</v>
      </c>
      <c r="F488" s="14">
        <f t="shared" si="114"/>
        <v>134.16999999999999</v>
      </c>
      <c r="G488" s="14">
        <f t="shared" si="114"/>
        <v>188.55</v>
      </c>
      <c r="H488" s="14">
        <f t="shared" si="104"/>
        <v>322.72000000000003</v>
      </c>
      <c r="I488" s="276">
        <f t="shared" si="111"/>
        <v>98158.279999999955</v>
      </c>
      <c r="J488" s="276">
        <f t="shared" si="112"/>
        <v>35884.000000000022</v>
      </c>
      <c r="K488" s="276">
        <f t="shared" si="113"/>
        <v>0</v>
      </c>
      <c r="L488" s="394">
        <f t="shared" si="101"/>
        <v>39</v>
      </c>
      <c r="M488" s="394">
        <f t="shared" si="108"/>
        <v>468</v>
      </c>
      <c r="N488" s="613" t="str">
        <f>INDEX(tblSubjectToLoan[Date],ROW()-ROW(tblContractForDeed[#Headers]))</f>
        <v xml:space="preserve"> </v>
      </c>
      <c r="O488" s="276">
        <f>IF(ROW()=ROW(tblContractForDeed[#Headers])+1,$O$6,IF(INDEX(tblContractForDeed[End Bal],ROW()-ROW(tblContractForDeed[#Headers])-1)&lt;0,0,INDEX(tblContractForDeed[End Bal],ROW()-ROW(tblContractForDeed[#Headers])-1)))</f>
        <v>0</v>
      </c>
      <c r="P488" s="454">
        <f>IF(tblContractForDeed[[#This Row],[Date]]="","",IF(tblContractForDeed[[#This Row],[Date]]&lt;cfdRateChangeDate,cfdRate1,cfdRate2))</f>
        <v>7.7499999999999999E-2</v>
      </c>
      <c r="Q4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467">
        <f>IF(INDEX(tblContractForDeed[Payment],ROW()-ROW(tblBuyerOutputs[#Headers]))=0,0,INDEX(tblContractForDeed[Payment],ROW()-ROW(tblBuyerOutputs[#Headers]))-INDEX(tblSubjectToLoan[Payment],ROW()-ROW(tblBuyerOutputs[#Headers])))</f>
        <v>0</v>
      </c>
      <c r="Z4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8" s="276">
        <f>IF(INDEX(tblContractForDeed[End Bal],ROW()-ROW(tblBuyerOutputs[#Headers]))&lt;=0,0,($O$6+IF(ROW()=ROW(tblBuyerOutputs[#Headers])+1,0,INDEX(tblBuyerOutputs[Cumul Appr],ROW()-ROW(tblBuyerOutputs[#Headers])-1)))*$AK$2/12)</f>
        <v>0</v>
      </c>
      <c r="AE488" s="276">
        <f>IF(INDEX(tblContractForDeed[End Bal],ROW()-ROW(tblBuyerOutputs[#Headers]))&lt;=0,0,IF(ROW()=ROW(tblBuyerOutputs[#Headers])+1,0,INDEX(tblBuyerOutputs[Cumul Appr],ROW()-ROW(tblBuyerOutputs[#Headers])-1))+tblBuyerOutputs[[#This Row],[Monthly Appr]])</f>
        <v>0</v>
      </c>
    </row>
    <row r="489" spans="1:31" x14ac:dyDescent="0.25">
      <c r="A489" s="613" t="str">
        <f t="shared" si="109"/>
        <v xml:space="preserve"> </v>
      </c>
      <c r="B489" s="276">
        <f t="shared" si="102"/>
        <v>0</v>
      </c>
      <c r="C489" s="14">
        <f t="shared" si="106"/>
        <v>0</v>
      </c>
      <c r="D489" s="14">
        <f t="shared" si="110"/>
        <v>0</v>
      </c>
      <c r="E489" s="14">
        <f t="shared" si="107"/>
        <v>0</v>
      </c>
      <c r="F489" s="14">
        <f t="shared" si="114"/>
        <v>134.16999999999999</v>
      </c>
      <c r="G489" s="14">
        <f t="shared" si="114"/>
        <v>188.55</v>
      </c>
      <c r="H489" s="14">
        <f t="shared" si="104"/>
        <v>322.72000000000003</v>
      </c>
      <c r="I489" s="276">
        <f t="shared" si="111"/>
        <v>98158.279999999955</v>
      </c>
      <c r="J489" s="276">
        <f t="shared" si="112"/>
        <v>35884.000000000022</v>
      </c>
      <c r="K489" s="276">
        <f t="shared" si="113"/>
        <v>0</v>
      </c>
      <c r="L489" s="394">
        <f t="shared" si="101"/>
        <v>39</v>
      </c>
      <c r="M489" s="394">
        <f t="shared" si="108"/>
        <v>469</v>
      </c>
      <c r="N489" s="613" t="str">
        <f>INDEX(tblSubjectToLoan[Date],ROW()-ROW(tblContractForDeed[#Headers]))</f>
        <v xml:space="preserve"> </v>
      </c>
      <c r="O489" s="276">
        <f>IF(ROW()=ROW(tblContractForDeed[#Headers])+1,$O$6,IF(INDEX(tblContractForDeed[End Bal],ROW()-ROW(tblContractForDeed[#Headers])-1)&lt;0,0,INDEX(tblContractForDeed[End Bal],ROW()-ROW(tblContractForDeed[#Headers])-1)))</f>
        <v>0</v>
      </c>
      <c r="P489" s="454">
        <f>IF(tblContractForDeed[[#This Row],[Date]]="","",IF(tblContractForDeed[[#This Row],[Date]]&lt;cfdRateChangeDate,cfdRate1,cfdRate2))</f>
        <v>7.7499999999999999E-2</v>
      </c>
      <c r="Q4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467">
        <f>IF(INDEX(tblContractForDeed[Payment],ROW()-ROW(tblBuyerOutputs[#Headers]))=0,0,INDEX(tblContractForDeed[Payment],ROW()-ROW(tblBuyerOutputs[#Headers]))-INDEX(tblSubjectToLoan[Payment],ROW()-ROW(tblBuyerOutputs[#Headers])))</f>
        <v>0</v>
      </c>
      <c r="Z4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9" s="276">
        <f>IF(INDEX(tblContractForDeed[End Bal],ROW()-ROW(tblBuyerOutputs[#Headers]))&lt;=0,0,($O$6+IF(ROW()=ROW(tblBuyerOutputs[#Headers])+1,0,INDEX(tblBuyerOutputs[Cumul Appr],ROW()-ROW(tblBuyerOutputs[#Headers])-1)))*$AK$2/12)</f>
        <v>0</v>
      </c>
      <c r="AE489" s="276">
        <f>IF(INDEX(tblContractForDeed[End Bal],ROW()-ROW(tblBuyerOutputs[#Headers]))&lt;=0,0,IF(ROW()=ROW(tblBuyerOutputs[#Headers])+1,0,INDEX(tblBuyerOutputs[Cumul Appr],ROW()-ROW(tblBuyerOutputs[#Headers])-1))+tblBuyerOutputs[[#This Row],[Monthly Appr]])</f>
        <v>0</v>
      </c>
    </row>
    <row r="490" spans="1:31" x14ac:dyDescent="0.25">
      <c r="A490" s="613" t="str">
        <f t="shared" si="109"/>
        <v xml:space="preserve"> </v>
      </c>
      <c r="B490" s="276">
        <f t="shared" si="102"/>
        <v>0</v>
      </c>
      <c r="C490" s="14">
        <f t="shared" si="106"/>
        <v>0</v>
      </c>
      <c r="D490" s="14">
        <f t="shared" si="110"/>
        <v>0</v>
      </c>
      <c r="E490" s="14">
        <f t="shared" si="107"/>
        <v>0</v>
      </c>
      <c r="F490" s="14">
        <f t="shared" si="114"/>
        <v>134.16999999999999</v>
      </c>
      <c r="G490" s="14">
        <f t="shared" si="114"/>
        <v>188.55</v>
      </c>
      <c r="H490" s="14">
        <f t="shared" si="104"/>
        <v>322.72000000000003</v>
      </c>
      <c r="I490" s="276">
        <f t="shared" si="111"/>
        <v>98158.279999999955</v>
      </c>
      <c r="J490" s="276">
        <f t="shared" si="112"/>
        <v>35884.000000000022</v>
      </c>
      <c r="K490" s="276">
        <f t="shared" si="113"/>
        <v>0</v>
      </c>
      <c r="L490" s="394">
        <f t="shared" si="101"/>
        <v>39</v>
      </c>
      <c r="M490" s="394">
        <f t="shared" si="108"/>
        <v>470</v>
      </c>
      <c r="N490" s="613" t="str">
        <f>INDEX(tblSubjectToLoan[Date],ROW()-ROW(tblContractForDeed[#Headers]))</f>
        <v xml:space="preserve"> </v>
      </c>
      <c r="O490" s="276">
        <f>IF(ROW()=ROW(tblContractForDeed[#Headers])+1,$O$6,IF(INDEX(tblContractForDeed[End Bal],ROW()-ROW(tblContractForDeed[#Headers])-1)&lt;0,0,INDEX(tblContractForDeed[End Bal],ROW()-ROW(tblContractForDeed[#Headers])-1)))</f>
        <v>0</v>
      </c>
      <c r="P490" s="454">
        <f>IF(tblContractForDeed[[#This Row],[Date]]="","",IF(tblContractForDeed[[#This Row],[Date]]&lt;cfdRateChangeDate,cfdRate1,cfdRate2))</f>
        <v>7.7499999999999999E-2</v>
      </c>
      <c r="Q4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467">
        <f>IF(INDEX(tblContractForDeed[Payment],ROW()-ROW(tblBuyerOutputs[#Headers]))=0,0,INDEX(tblContractForDeed[Payment],ROW()-ROW(tblBuyerOutputs[#Headers]))-INDEX(tblSubjectToLoan[Payment],ROW()-ROW(tblBuyerOutputs[#Headers])))</f>
        <v>0</v>
      </c>
      <c r="Z4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0" s="276">
        <f>IF(INDEX(tblContractForDeed[End Bal],ROW()-ROW(tblBuyerOutputs[#Headers]))&lt;=0,0,($O$6+IF(ROW()=ROW(tblBuyerOutputs[#Headers])+1,0,INDEX(tblBuyerOutputs[Cumul Appr],ROW()-ROW(tblBuyerOutputs[#Headers])-1)))*$AK$2/12)</f>
        <v>0</v>
      </c>
      <c r="AE490" s="276">
        <f>IF(INDEX(tblContractForDeed[End Bal],ROW()-ROW(tblBuyerOutputs[#Headers]))&lt;=0,0,IF(ROW()=ROW(tblBuyerOutputs[#Headers])+1,0,INDEX(tblBuyerOutputs[Cumul Appr],ROW()-ROW(tblBuyerOutputs[#Headers])-1))+tblBuyerOutputs[[#This Row],[Monthly Appr]])</f>
        <v>0</v>
      </c>
    </row>
    <row r="491" spans="1:31" x14ac:dyDescent="0.25">
      <c r="A491" s="613" t="str">
        <f t="shared" si="109"/>
        <v xml:space="preserve"> </v>
      </c>
      <c r="B491" s="276">
        <f t="shared" si="102"/>
        <v>0</v>
      </c>
      <c r="C491" s="14">
        <f t="shared" si="106"/>
        <v>0</v>
      </c>
      <c r="D491" s="14">
        <f t="shared" si="110"/>
        <v>0</v>
      </c>
      <c r="E491" s="14">
        <f t="shared" si="107"/>
        <v>0</v>
      </c>
      <c r="F491" s="14">
        <f t="shared" si="114"/>
        <v>134.16999999999999</v>
      </c>
      <c r="G491" s="14">
        <f t="shared" si="114"/>
        <v>188.55</v>
      </c>
      <c r="H491" s="14">
        <f t="shared" si="104"/>
        <v>322.72000000000003</v>
      </c>
      <c r="I491" s="276">
        <f t="shared" si="111"/>
        <v>98158.279999999955</v>
      </c>
      <c r="J491" s="276">
        <f t="shared" si="112"/>
        <v>35884.000000000022</v>
      </c>
      <c r="K491" s="276">
        <f t="shared" si="113"/>
        <v>0</v>
      </c>
      <c r="L491" s="394">
        <f t="shared" si="101"/>
        <v>39</v>
      </c>
      <c r="M491" s="394">
        <f t="shared" si="108"/>
        <v>471</v>
      </c>
      <c r="N491" s="613" t="str">
        <f>INDEX(tblSubjectToLoan[Date],ROW()-ROW(tblContractForDeed[#Headers]))</f>
        <v xml:space="preserve"> </v>
      </c>
      <c r="O491" s="276">
        <f>IF(ROW()=ROW(tblContractForDeed[#Headers])+1,$O$6,IF(INDEX(tblContractForDeed[End Bal],ROW()-ROW(tblContractForDeed[#Headers])-1)&lt;0,0,INDEX(tblContractForDeed[End Bal],ROW()-ROW(tblContractForDeed[#Headers])-1)))</f>
        <v>0</v>
      </c>
      <c r="P491" s="454">
        <f>IF(tblContractForDeed[[#This Row],[Date]]="","",IF(tblContractForDeed[[#This Row],[Date]]&lt;cfdRateChangeDate,cfdRate1,cfdRate2))</f>
        <v>7.7499999999999999E-2</v>
      </c>
      <c r="Q4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467">
        <f>IF(INDEX(tblContractForDeed[Payment],ROW()-ROW(tblBuyerOutputs[#Headers]))=0,0,INDEX(tblContractForDeed[Payment],ROW()-ROW(tblBuyerOutputs[#Headers]))-INDEX(tblSubjectToLoan[Payment],ROW()-ROW(tblBuyerOutputs[#Headers])))</f>
        <v>0</v>
      </c>
      <c r="Z4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1" s="276">
        <f>IF(INDEX(tblContractForDeed[End Bal],ROW()-ROW(tblBuyerOutputs[#Headers]))&lt;=0,0,($O$6+IF(ROW()=ROW(tblBuyerOutputs[#Headers])+1,0,INDEX(tblBuyerOutputs[Cumul Appr],ROW()-ROW(tblBuyerOutputs[#Headers])-1)))*$AK$2/12)</f>
        <v>0</v>
      </c>
      <c r="AE491" s="276">
        <f>IF(INDEX(tblContractForDeed[End Bal],ROW()-ROW(tblBuyerOutputs[#Headers]))&lt;=0,0,IF(ROW()=ROW(tblBuyerOutputs[#Headers])+1,0,INDEX(tblBuyerOutputs[Cumul Appr],ROW()-ROW(tblBuyerOutputs[#Headers])-1))+tblBuyerOutputs[[#This Row],[Monthly Appr]])</f>
        <v>0</v>
      </c>
    </row>
    <row r="492" spans="1:31" x14ac:dyDescent="0.25">
      <c r="A492" s="613" t="str">
        <f t="shared" si="109"/>
        <v xml:space="preserve"> </v>
      </c>
      <c r="B492" s="276">
        <f t="shared" si="102"/>
        <v>0</v>
      </c>
      <c r="C492" s="14">
        <f t="shared" si="106"/>
        <v>0</v>
      </c>
      <c r="D492" s="14">
        <f t="shared" si="110"/>
        <v>0</v>
      </c>
      <c r="E492" s="14">
        <f t="shared" si="107"/>
        <v>0</v>
      </c>
      <c r="F492" s="14">
        <f t="shared" si="114"/>
        <v>134.16999999999999</v>
      </c>
      <c r="G492" s="14">
        <f t="shared" si="114"/>
        <v>188.55</v>
      </c>
      <c r="H492" s="14">
        <f t="shared" si="104"/>
        <v>322.72000000000003</v>
      </c>
      <c r="I492" s="276">
        <f t="shared" si="111"/>
        <v>98158.279999999955</v>
      </c>
      <c r="J492" s="276">
        <f t="shared" si="112"/>
        <v>35884.000000000022</v>
      </c>
      <c r="K492" s="276">
        <f t="shared" si="113"/>
        <v>0</v>
      </c>
      <c r="L492" s="394">
        <f t="shared" si="101"/>
        <v>39</v>
      </c>
      <c r="M492" s="394">
        <f t="shared" si="108"/>
        <v>472</v>
      </c>
      <c r="N492" s="613" t="str">
        <f>INDEX(tblSubjectToLoan[Date],ROW()-ROW(tblContractForDeed[#Headers]))</f>
        <v xml:space="preserve"> </v>
      </c>
      <c r="O492" s="276">
        <f>IF(ROW()=ROW(tblContractForDeed[#Headers])+1,$O$6,IF(INDEX(tblContractForDeed[End Bal],ROW()-ROW(tblContractForDeed[#Headers])-1)&lt;0,0,INDEX(tblContractForDeed[End Bal],ROW()-ROW(tblContractForDeed[#Headers])-1)))</f>
        <v>0</v>
      </c>
      <c r="P492" s="454">
        <f>IF(tblContractForDeed[[#This Row],[Date]]="","",IF(tblContractForDeed[[#This Row],[Date]]&lt;cfdRateChangeDate,cfdRate1,cfdRate2))</f>
        <v>7.7499999999999999E-2</v>
      </c>
      <c r="Q4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467">
        <f>IF(INDEX(tblContractForDeed[Payment],ROW()-ROW(tblBuyerOutputs[#Headers]))=0,0,INDEX(tblContractForDeed[Payment],ROW()-ROW(tblBuyerOutputs[#Headers]))-INDEX(tblSubjectToLoan[Payment],ROW()-ROW(tblBuyerOutputs[#Headers])))</f>
        <v>0</v>
      </c>
      <c r="Z4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2" s="276">
        <f>IF(INDEX(tblContractForDeed[End Bal],ROW()-ROW(tblBuyerOutputs[#Headers]))&lt;=0,0,($O$6+IF(ROW()=ROW(tblBuyerOutputs[#Headers])+1,0,INDEX(tblBuyerOutputs[Cumul Appr],ROW()-ROW(tblBuyerOutputs[#Headers])-1)))*$AK$2/12)</f>
        <v>0</v>
      </c>
      <c r="AE492" s="276">
        <f>IF(INDEX(tblContractForDeed[End Bal],ROW()-ROW(tblBuyerOutputs[#Headers]))&lt;=0,0,IF(ROW()=ROW(tblBuyerOutputs[#Headers])+1,0,INDEX(tblBuyerOutputs[Cumul Appr],ROW()-ROW(tblBuyerOutputs[#Headers])-1))+tblBuyerOutputs[[#This Row],[Monthly Appr]])</f>
        <v>0</v>
      </c>
    </row>
    <row r="493" spans="1:31" x14ac:dyDescent="0.25">
      <c r="A493" s="613" t="str">
        <f t="shared" si="109"/>
        <v xml:space="preserve"> </v>
      </c>
      <c r="B493" s="276">
        <f t="shared" si="102"/>
        <v>0</v>
      </c>
      <c r="C493" s="14">
        <f t="shared" si="106"/>
        <v>0</v>
      </c>
      <c r="D493" s="14">
        <f t="shared" si="110"/>
        <v>0</v>
      </c>
      <c r="E493" s="14">
        <f t="shared" si="107"/>
        <v>0</v>
      </c>
      <c r="F493" s="14">
        <f t="shared" si="114"/>
        <v>134.16999999999999</v>
      </c>
      <c r="G493" s="14">
        <f t="shared" si="114"/>
        <v>188.55</v>
      </c>
      <c r="H493" s="14">
        <f t="shared" si="104"/>
        <v>322.72000000000003</v>
      </c>
      <c r="I493" s="276">
        <f t="shared" si="111"/>
        <v>98158.279999999955</v>
      </c>
      <c r="J493" s="276">
        <f t="shared" si="112"/>
        <v>35884.000000000022</v>
      </c>
      <c r="K493" s="276">
        <f t="shared" si="113"/>
        <v>0</v>
      </c>
      <c r="L493" s="394">
        <f t="shared" si="101"/>
        <v>39</v>
      </c>
      <c r="M493" s="394">
        <f t="shared" si="108"/>
        <v>473</v>
      </c>
      <c r="N493" s="613" t="str">
        <f>INDEX(tblSubjectToLoan[Date],ROW()-ROW(tblContractForDeed[#Headers]))</f>
        <v xml:space="preserve"> </v>
      </c>
      <c r="O493" s="276">
        <f>IF(ROW()=ROW(tblContractForDeed[#Headers])+1,$O$6,IF(INDEX(tblContractForDeed[End Bal],ROW()-ROW(tblContractForDeed[#Headers])-1)&lt;0,0,INDEX(tblContractForDeed[End Bal],ROW()-ROW(tblContractForDeed[#Headers])-1)))</f>
        <v>0</v>
      </c>
      <c r="P493" s="454">
        <f>IF(tblContractForDeed[[#This Row],[Date]]="","",IF(tblContractForDeed[[#This Row],[Date]]&lt;cfdRateChangeDate,cfdRate1,cfdRate2))</f>
        <v>7.7499999999999999E-2</v>
      </c>
      <c r="Q4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467">
        <f>IF(INDEX(tblContractForDeed[Payment],ROW()-ROW(tblBuyerOutputs[#Headers]))=0,0,INDEX(tblContractForDeed[Payment],ROW()-ROW(tblBuyerOutputs[#Headers]))-INDEX(tblSubjectToLoan[Payment],ROW()-ROW(tblBuyerOutputs[#Headers])))</f>
        <v>0</v>
      </c>
      <c r="Z4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3" s="276">
        <f>IF(INDEX(tblContractForDeed[End Bal],ROW()-ROW(tblBuyerOutputs[#Headers]))&lt;=0,0,($O$6+IF(ROW()=ROW(tblBuyerOutputs[#Headers])+1,0,INDEX(tblBuyerOutputs[Cumul Appr],ROW()-ROW(tblBuyerOutputs[#Headers])-1)))*$AK$2/12)</f>
        <v>0</v>
      </c>
      <c r="AE493" s="276">
        <f>IF(INDEX(tblContractForDeed[End Bal],ROW()-ROW(tblBuyerOutputs[#Headers]))&lt;=0,0,IF(ROW()=ROW(tblBuyerOutputs[#Headers])+1,0,INDEX(tblBuyerOutputs[Cumul Appr],ROW()-ROW(tblBuyerOutputs[#Headers])-1))+tblBuyerOutputs[[#This Row],[Monthly Appr]])</f>
        <v>0</v>
      </c>
    </row>
    <row r="494" spans="1:31" x14ac:dyDescent="0.25">
      <c r="A494" s="613" t="str">
        <f t="shared" si="109"/>
        <v xml:space="preserve"> </v>
      </c>
      <c r="B494" s="276">
        <f t="shared" si="102"/>
        <v>0</v>
      </c>
      <c r="C494" s="14">
        <f t="shared" si="106"/>
        <v>0</v>
      </c>
      <c r="D494" s="14">
        <f t="shared" si="110"/>
        <v>0</v>
      </c>
      <c r="E494" s="14">
        <f t="shared" si="107"/>
        <v>0</v>
      </c>
      <c r="F494" s="14">
        <f t="shared" si="114"/>
        <v>134.16999999999999</v>
      </c>
      <c r="G494" s="14">
        <f t="shared" si="114"/>
        <v>188.55</v>
      </c>
      <c r="H494" s="14">
        <f t="shared" si="104"/>
        <v>322.72000000000003</v>
      </c>
      <c r="I494" s="276">
        <f t="shared" si="111"/>
        <v>98158.279999999955</v>
      </c>
      <c r="J494" s="276">
        <f t="shared" si="112"/>
        <v>35884.000000000022</v>
      </c>
      <c r="K494" s="276">
        <f t="shared" si="113"/>
        <v>0</v>
      </c>
      <c r="L494" s="394">
        <f t="shared" si="101"/>
        <v>39</v>
      </c>
      <c r="M494" s="394">
        <f t="shared" si="108"/>
        <v>474</v>
      </c>
      <c r="N494" s="613" t="str">
        <f>INDEX(tblSubjectToLoan[Date],ROW()-ROW(tblContractForDeed[#Headers]))</f>
        <v xml:space="preserve"> </v>
      </c>
      <c r="O494" s="276">
        <f>IF(ROW()=ROW(tblContractForDeed[#Headers])+1,$O$6,IF(INDEX(tblContractForDeed[End Bal],ROW()-ROW(tblContractForDeed[#Headers])-1)&lt;0,0,INDEX(tblContractForDeed[End Bal],ROW()-ROW(tblContractForDeed[#Headers])-1)))</f>
        <v>0</v>
      </c>
      <c r="P494" s="454">
        <f>IF(tblContractForDeed[[#This Row],[Date]]="","",IF(tblContractForDeed[[#This Row],[Date]]&lt;cfdRateChangeDate,cfdRate1,cfdRate2))</f>
        <v>7.7499999999999999E-2</v>
      </c>
      <c r="Q4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467">
        <f>IF(INDEX(tblContractForDeed[Payment],ROW()-ROW(tblBuyerOutputs[#Headers]))=0,0,INDEX(tblContractForDeed[Payment],ROW()-ROW(tblBuyerOutputs[#Headers]))-INDEX(tblSubjectToLoan[Payment],ROW()-ROW(tblBuyerOutputs[#Headers])))</f>
        <v>0</v>
      </c>
      <c r="Z4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4" s="276">
        <f>IF(INDEX(tblContractForDeed[End Bal],ROW()-ROW(tblBuyerOutputs[#Headers]))&lt;=0,0,($O$6+IF(ROW()=ROW(tblBuyerOutputs[#Headers])+1,0,INDEX(tblBuyerOutputs[Cumul Appr],ROW()-ROW(tblBuyerOutputs[#Headers])-1)))*$AK$2/12)</f>
        <v>0</v>
      </c>
      <c r="AE494" s="276">
        <f>IF(INDEX(tblContractForDeed[End Bal],ROW()-ROW(tblBuyerOutputs[#Headers]))&lt;=0,0,IF(ROW()=ROW(tblBuyerOutputs[#Headers])+1,0,INDEX(tblBuyerOutputs[Cumul Appr],ROW()-ROW(tblBuyerOutputs[#Headers])-1))+tblBuyerOutputs[[#This Row],[Monthly Appr]])</f>
        <v>0</v>
      </c>
    </row>
    <row r="495" spans="1:31" x14ac:dyDescent="0.25">
      <c r="A495" s="613" t="str">
        <f t="shared" si="109"/>
        <v xml:space="preserve"> </v>
      </c>
      <c r="B495" s="276">
        <f t="shared" si="102"/>
        <v>0</v>
      </c>
      <c r="C495" s="14">
        <f t="shared" si="106"/>
        <v>0</v>
      </c>
      <c r="D495" s="14">
        <f t="shared" si="110"/>
        <v>0</v>
      </c>
      <c r="E495" s="14">
        <f t="shared" si="107"/>
        <v>0</v>
      </c>
      <c r="F495" s="14">
        <f t="shared" ref="F495:G495" si="115">+F494</f>
        <v>134.16999999999999</v>
      </c>
      <c r="G495" s="14">
        <f t="shared" si="115"/>
        <v>188.55</v>
      </c>
      <c r="H495" s="14">
        <f t="shared" si="104"/>
        <v>322.72000000000003</v>
      </c>
      <c r="I495" s="276">
        <f t="shared" si="111"/>
        <v>98158.279999999955</v>
      </c>
      <c r="J495" s="276">
        <f t="shared" si="112"/>
        <v>35884.000000000022</v>
      </c>
      <c r="K495" s="276">
        <f t="shared" si="113"/>
        <v>0</v>
      </c>
      <c r="L495" s="394">
        <f t="shared" si="101"/>
        <v>39</v>
      </c>
      <c r="M495" s="394">
        <f t="shared" si="108"/>
        <v>475</v>
      </c>
      <c r="N495" s="613" t="str">
        <f>INDEX(tblSubjectToLoan[Date],ROW()-ROW(tblContractForDeed[#Headers]))</f>
        <v xml:space="preserve"> </v>
      </c>
      <c r="O495" s="276">
        <f>IF(ROW()=ROW(tblContractForDeed[#Headers])+1,$O$6,IF(INDEX(tblContractForDeed[End Bal],ROW()-ROW(tblContractForDeed[#Headers])-1)&lt;0,0,INDEX(tblContractForDeed[End Bal],ROW()-ROW(tblContractForDeed[#Headers])-1)))</f>
        <v>0</v>
      </c>
      <c r="P495" s="454">
        <f>IF(tblContractForDeed[[#This Row],[Date]]="","",IF(tblContractForDeed[[#This Row],[Date]]&lt;cfdRateChangeDate,cfdRate1,cfdRate2))</f>
        <v>7.7499999999999999E-2</v>
      </c>
      <c r="Q4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467">
        <f>IF(INDEX(tblContractForDeed[Payment],ROW()-ROW(tblBuyerOutputs[#Headers]))=0,0,INDEX(tblContractForDeed[Payment],ROW()-ROW(tblBuyerOutputs[#Headers]))-INDEX(tblSubjectToLoan[Payment],ROW()-ROW(tblBuyerOutputs[#Headers])))</f>
        <v>0</v>
      </c>
      <c r="Z4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5" s="276">
        <f>IF(INDEX(tblContractForDeed[End Bal],ROW()-ROW(tblBuyerOutputs[#Headers]))&lt;=0,0,($O$6+IF(ROW()=ROW(tblBuyerOutputs[#Headers])+1,0,INDEX(tblBuyerOutputs[Cumul Appr],ROW()-ROW(tblBuyerOutputs[#Headers])-1)))*$AK$2/12)</f>
        <v>0</v>
      </c>
      <c r="AE495" s="276">
        <f>IF(INDEX(tblContractForDeed[End Bal],ROW()-ROW(tblBuyerOutputs[#Headers]))&lt;=0,0,IF(ROW()=ROW(tblBuyerOutputs[#Headers])+1,0,INDEX(tblBuyerOutputs[Cumul Appr],ROW()-ROW(tblBuyerOutputs[#Headers])-1))+tblBuyerOutputs[[#This Row],[Monthly Appr]])</f>
        <v>0</v>
      </c>
    </row>
    <row r="496" spans="1:31" x14ac:dyDescent="0.25">
      <c r="A496" s="613"/>
      <c r="L496" s="394">
        <f t="shared" si="101"/>
        <v>0</v>
      </c>
      <c r="M496" s="394">
        <f t="shared" si="108"/>
        <v>0</v>
      </c>
      <c r="N496" s="613">
        <f>INDEX(tblSubjectToLoan[Date],ROW()-ROW(tblContractForDeed[#Headers]))</f>
        <v>0</v>
      </c>
      <c r="O496" s="276">
        <f>IF(ROW()=ROW(tblContractForDeed[#Headers])+1,$O$6,IF(INDEX(tblContractForDeed[End Bal],ROW()-ROW(tblContractForDeed[#Headers])-1)&lt;0,0,INDEX(tblContractForDeed[End Bal],ROW()-ROW(tblContractForDeed[#Headers])-1)))</f>
        <v>0</v>
      </c>
      <c r="P496" s="454">
        <f>IF(tblContractForDeed[[#This Row],[Date]]="","",IF(tblContractForDeed[[#This Row],[Date]]&lt;cfdRateChangeDate,cfdRate1,cfdRate2))</f>
        <v>7.0000000000000007E-2</v>
      </c>
      <c r="Q4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467">
        <f>IF(INDEX(tblContractForDeed[Payment],ROW()-ROW(tblBuyerOutputs[#Headers]))=0,0,INDEX(tblContractForDeed[Payment],ROW()-ROW(tblBuyerOutputs[#Headers]))-INDEX(tblSubjectToLoan[Payment],ROW()-ROW(tblBuyerOutputs[#Headers])))</f>
        <v>0</v>
      </c>
      <c r="Z4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6" s="276">
        <f>IF(INDEX(tblContractForDeed[End Bal],ROW()-ROW(tblBuyerOutputs[#Headers]))&lt;=0,0,($O$6+IF(ROW()=ROW(tblBuyerOutputs[#Headers])+1,0,INDEX(tblBuyerOutputs[Cumul Appr],ROW()-ROW(tblBuyerOutputs[#Headers])-1)))*$AK$2/12)</f>
        <v>0</v>
      </c>
      <c r="AE496" s="276">
        <f>IF(INDEX(tblContractForDeed[End Bal],ROW()-ROW(tblBuyerOutputs[#Headers]))&lt;=0,0,IF(ROW()=ROW(tblBuyerOutputs[#Headers])+1,0,INDEX(tblBuyerOutputs[Cumul Appr],ROW()-ROW(tblBuyerOutputs[#Headers])-1))+tblBuyerOutputs[[#This Row],[Monthly Appr]])</f>
        <v>0</v>
      </c>
    </row>
    <row r="497" spans="1:43" x14ac:dyDescent="0.25">
      <c r="A497" s="613"/>
      <c r="L497" s="394">
        <f t="shared" si="101"/>
        <v>0</v>
      </c>
      <c r="M497" s="394">
        <f t="shared" si="108"/>
        <v>0</v>
      </c>
      <c r="N497" s="613">
        <f>INDEX(tblSubjectToLoan[Date],ROW()-ROW(tblContractForDeed[#Headers]))</f>
        <v>0</v>
      </c>
      <c r="O497" s="276">
        <f>IF(ROW()=ROW(tblContractForDeed[#Headers])+1,$O$6,IF(INDEX(tblContractForDeed[End Bal],ROW()-ROW(tblContractForDeed[#Headers])-1)&lt;0,0,INDEX(tblContractForDeed[End Bal],ROW()-ROW(tblContractForDeed[#Headers])-1)))</f>
        <v>0</v>
      </c>
      <c r="P497" s="454">
        <f>IF(tblContractForDeed[[#This Row],[Date]]="","",IF(tblContractForDeed[[#This Row],[Date]]&lt;cfdRateChangeDate,cfdRate1,cfdRate2))</f>
        <v>7.0000000000000007E-2</v>
      </c>
      <c r="Q4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467">
        <f>IF(INDEX(tblContractForDeed[Payment],ROW()-ROW(tblBuyerOutputs[#Headers]))=0,0,INDEX(tblContractForDeed[Payment],ROW()-ROW(tblBuyerOutputs[#Headers]))-INDEX(tblSubjectToLoan[Payment],ROW()-ROW(tblBuyerOutputs[#Headers])))</f>
        <v>0</v>
      </c>
      <c r="Z4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7" s="276">
        <f>IF(INDEX(tblContractForDeed[End Bal],ROW()-ROW(tblBuyerOutputs[#Headers]))&lt;=0,0,($O$6+IF(ROW()=ROW(tblBuyerOutputs[#Headers])+1,0,INDEX(tblBuyerOutputs[Cumul Appr],ROW()-ROW(tblBuyerOutputs[#Headers])-1)))*$AK$2/12)</f>
        <v>0</v>
      </c>
      <c r="AE497" s="276">
        <f>IF(INDEX(tblContractForDeed[End Bal],ROW()-ROW(tblBuyerOutputs[#Headers]))&lt;=0,0,IF(ROW()=ROW(tblBuyerOutputs[#Headers])+1,0,INDEX(tblBuyerOutputs[Cumul Appr],ROW()-ROW(tblBuyerOutputs[#Headers])-1))+tblBuyerOutputs[[#This Row],[Monthly Appr]])</f>
        <v>0</v>
      </c>
    </row>
    <row r="498" spans="1:43" x14ac:dyDescent="0.25">
      <c r="A498" s="613"/>
      <c r="L498" s="394">
        <f t="shared" si="101"/>
        <v>0</v>
      </c>
      <c r="M498" s="394">
        <f t="shared" si="108"/>
        <v>0</v>
      </c>
      <c r="N498" s="613">
        <f>INDEX(tblSubjectToLoan[Date],ROW()-ROW(tblContractForDeed[#Headers]))</f>
        <v>0</v>
      </c>
      <c r="O498" s="276">
        <f>IF(ROW()=ROW(tblContractForDeed[#Headers])+1,$O$6,IF(INDEX(tblContractForDeed[End Bal],ROW()-ROW(tblContractForDeed[#Headers])-1)&lt;0,0,INDEX(tblContractForDeed[End Bal],ROW()-ROW(tblContractForDeed[#Headers])-1)))</f>
        <v>0</v>
      </c>
      <c r="P498" s="454">
        <f>IF(tblContractForDeed[[#This Row],[Date]]="","",IF(tblContractForDeed[[#This Row],[Date]]&lt;cfdRateChangeDate,cfdRate1,cfdRate2))</f>
        <v>7.0000000000000007E-2</v>
      </c>
      <c r="Q4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467">
        <f>IF(INDEX(tblContractForDeed[Payment],ROW()-ROW(tblBuyerOutputs[#Headers]))=0,0,INDEX(tblContractForDeed[Payment],ROW()-ROW(tblBuyerOutputs[#Headers]))-INDEX(tblSubjectToLoan[Payment],ROW()-ROW(tblBuyerOutputs[#Headers])))</f>
        <v>0</v>
      </c>
      <c r="Z4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8" s="276">
        <f>IF(INDEX(tblContractForDeed[End Bal],ROW()-ROW(tblBuyerOutputs[#Headers]))&lt;=0,0,($O$6+IF(ROW()=ROW(tblBuyerOutputs[#Headers])+1,0,INDEX(tblBuyerOutputs[Cumul Appr],ROW()-ROW(tblBuyerOutputs[#Headers])-1)))*$AK$2/12)</f>
        <v>0</v>
      </c>
      <c r="AE498" s="276">
        <f>IF(INDEX(tblContractForDeed[End Bal],ROW()-ROW(tblBuyerOutputs[#Headers]))&lt;=0,0,IF(ROW()=ROW(tblBuyerOutputs[#Headers])+1,0,INDEX(tblBuyerOutputs[Cumul Appr],ROW()-ROW(tblBuyerOutputs[#Headers])-1))+tblBuyerOutputs[[#This Row],[Monthly Appr]])</f>
        <v>0</v>
      </c>
    </row>
    <row r="499" spans="1:43" ht="15.75" thickBot="1" x14ac:dyDescent="0.3">
      <c r="A499" s="615"/>
      <c r="B499" s="332"/>
      <c r="C499" s="21"/>
      <c r="D499" s="21"/>
      <c r="E499" s="21"/>
      <c r="F499" s="21"/>
      <c r="G499" s="21"/>
      <c r="H499" s="21"/>
      <c r="I499" s="332"/>
      <c r="J499" s="332"/>
      <c r="K499" s="332"/>
      <c r="L499" s="395">
        <f t="shared" si="101"/>
        <v>0</v>
      </c>
      <c r="M499" s="395">
        <f t="shared" si="108"/>
        <v>0</v>
      </c>
      <c r="N499" s="615">
        <f>INDEX(tblSubjectToLoan[Date],ROW()-ROW(tblContractForDeed[#Headers]))</f>
        <v>0</v>
      </c>
      <c r="O499" s="276">
        <f>IF(ROW()=ROW(tblContractForDeed[#Headers])+1,$O$6,IF(INDEX(tblContractForDeed[End Bal],ROW()-ROW(tblContractForDeed[#Headers])-1)&lt;0,0,INDEX(tblContractForDeed[End Bal],ROW()-ROW(tblContractForDeed[#Headers])-1)))</f>
        <v>0</v>
      </c>
      <c r="P499" s="454">
        <f>IF(tblContractForDeed[[#This Row],[Date]]="","",IF(tblContractForDeed[[#This Row],[Date]]&lt;cfdRateChangeDate,cfdRate1,cfdRate2))</f>
        <v>7.0000000000000007E-2</v>
      </c>
      <c r="Q4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467">
        <f>IF(INDEX(tblContractForDeed[Payment],ROW()-ROW(tblBuyerOutputs[#Headers]))=0,0,INDEX(tblContractForDeed[Payment],ROW()-ROW(tblBuyerOutputs[#Headers]))-INDEX(tblSubjectToLoan[Payment],ROW()-ROW(tblBuyerOutputs[#Headers])))</f>
        <v>0</v>
      </c>
      <c r="Z4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9" s="332">
        <f>IF(INDEX(tblContractForDeed[End Bal],ROW()-ROW(tblBuyerOutputs[#Headers]))&lt;=0,0,($O$6+IF(ROW()=ROW(tblBuyerOutputs[#Headers])+1,0,INDEX(tblBuyerOutputs[Cumul Appr],ROW()-ROW(tblBuyerOutputs[#Headers])-1)))*$AK$2/12)</f>
        <v>0</v>
      </c>
      <c r="AE499" s="332">
        <f>IF(INDEX(tblContractForDeed[End Bal],ROW()-ROW(tblBuyerOutputs[#Headers]))&lt;=0,0,IF(ROW()=ROW(tblBuyerOutputs[#Headers])+1,0,INDEX(tblBuyerOutputs[Cumul Appr],ROW()-ROW(tblBuyerOutputs[#Headers])-1))+tblBuyerOutputs[[#This Row],[Monthly Appr]])</f>
        <v>0</v>
      </c>
      <c r="AQ499" s="21"/>
    </row>
    <row r="500" spans="1:43" x14ac:dyDescent="0.25">
      <c r="A500" s="613"/>
      <c r="L500" s="394">
        <f t="shared" ref="L500:L563" si="116">IF(MOD(M500,12)=0,M500/12,L499)</f>
        <v>0</v>
      </c>
      <c r="M500" s="394">
        <f t="shared" si="108"/>
        <v>0</v>
      </c>
      <c r="N500" s="613">
        <f>INDEX(tblSubjectToLoan[Date],ROW()-ROW(tblContractForDeed[#Headers]))</f>
        <v>0</v>
      </c>
      <c r="O500" s="276">
        <f>IF(ROW()=ROW(tblContractForDeed[#Headers])+1,$O$6,IF(INDEX(tblContractForDeed[End Bal],ROW()-ROW(tblContractForDeed[#Headers])-1)&lt;0,0,INDEX(tblContractForDeed[End Bal],ROW()-ROW(tblContractForDeed[#Headers])-1)))</f>
        <v>0</v>
      </c>
      <c r="P500" s="454">
        <f>IF(tblContractForDeed[[#This Row],[Date]]="","",IF(tblContractForDeed[[#This Row],[Date]]&lt;cfdRateChangeDate,cfdRate1,cfdRate2))</f>
        <v>7.0000000000000007E-2</v>
      </c>
      <c r="Q5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467">
        <f>IF(INDEX(tblContractForDeed[Payment],ROW()-ROW(tblBuyerOutputs[#Headers]))=0,0,INDEX(tblContractForDeed[Payment],ROW()-ROW(tblBuyerOutputs[#Headers]))-INDEX(tblSubjectToLoan[Payment],ROW()-ROW(tblBuyerOutputs[#Headers])))</f>
        <v>0</v>
      </c>
      <c r="Z5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0" s="276">
        <f>IF(INDEX(tblContractForDeed[End Bal],ROW()-ROW(tblBuyerOutputs[#Headers]))&lt;=0,0,($O$6+IF(ROW()=ROW(tblBuyerOutputs[#Headers])+1,0,INDEX(tblBuyerOutputs[Cumul Appr],ROW()-ROW(tblBuyerOutputs[#Headers])-1)))*$AK$2/12)</f>
        <v>0</v>
      </c>
      <c r="AE500" s="276">
        <f>IF(INDEX(tblContractForDeed[End Bal],ROW()-ROW(tblBuyerOutputs[#Headers]))&lt;=0,0,IF(ROW()=ROW(tblBuyerOutputs[#Headers])+1,0,INDEX(tblBuyerOutputs[Cumul Appr],ROW()-ROW(tblBuyerOutputs[#Headers])-1))+tblBuyerOutputs[[#This Row],[Monthly Appr]])</f>
        <v>0</v>
      </c>
    </row>
    <row r="501" spans="1:43" x14ac:dyDescent="0.25">
      <c r="A501" s="613"/>
      <c r="L501" s="394">
        <f t="shared" si="116"/>
        <v>0</v>
      </c>
      <c r="M501" s="394">
        <f t="shared" si="108"/>
        <v>0</v>
      </c>
      <c r="N501" s="613">
        <f>INDEX(tblSubjectToLoan[Date],ROW()-ROW(tblContractForDeed[#Headers]))</f>
        <v>0</v>
      </c>
      <c r="O501" s="276">
        <f>IF(ROW()=ROW(tblContractForDeed[#Headers])+1,$O$6,IF(INDEX(tblContractForDeed[End Bal],ROW()-ROW(tblContractForDeed[#Headers])-1)&lt;0,0,INDEX(tblContractForDeed[End Bal],ROW()-ROW(tblContractForDeed[#Headers])-1)))</f>
        <v>0</v>
      </c>
      <c r="P501" s="454">
        <f>IF(tblContractForDeed[[#This Row],[Date]]="","",IF(tblContractForDeed[[#This Row],[Date]]&lt;cfdRateChangeDate,cfdRate1,cfdRate2))</f>
        <v>7.0000000000000007E-2</v>
      </c>
      <c r="Q5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467">
        <f>IF(INDEX(tblContractForDeed[Payment],ROW()-ROW(tblBuyerOutputs[#Headers]))=0,0,INDEX(tblContractForDeed[Payment],ROW()-ROW(tblBuyerOutputs[#Headers]))-INDEX(tblSubjectToLoan[Payment],ROW()-ROW(tblBuyerOutputs[#Headers])))</f>
        <v>0</v>
      </c>
      <c r="Z5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1" s="276">
        <f>IF(INDEX(tblContractForDeed[End Bal],ROW()-ROW(tblBuyerOutputs[#Headers]))&lt;=0,0,($O$6+IF(ROW()=ROW(tblBuyerOutputs[#Headers])+1,0,INDEX(tblBuyerOutputs[Cumul Appr],ROW()-ROW(tblBuyerOutputs[#Headers])-1)))*$AK$2/12)</f>
        <v>0</v>
      </c>
      <c r="AE501" s="276">
        <f>IF(INDEX(tblContractForDeed[End Bal],ROW()-ROW(tblBuyerOutputs[#Headers]))&lt;=0,0,IF(ROW()=ROW(tblBuyerOutputs[#Headers])+1,0,INDEX(tblBuyerOutputs[Cumul Appr],ROW()-ROW(tblBuyerOutputs[#Headers])-1))+tblBuyerOutputs[[#This Row],[Monthly Appr]])</f>
        <v>0</v>
      </c>
    </row>
    <row r="502" spans="1:43" x14ac:dyDescent="0.25">
      <c r="A502" s="613"/>
      <c r="L502" s="394">
        <f t="shared" si="116"/>
        <v>0</v>
      </c>
      <c r="M502" s="394">
        <f t="shared" si="108"/>
        <v>0</v>
      </c>
      <c r="N502" s="613">
        <f>INDEX(tblSubjectToLoan[Date],ROW()-ROW(tblContractForDeed[#Headers]))</f>
        <v>0</v>
      </c>
      <c r="O502" s="276">
        <f>IF(ROW()=ROW(tblContractForDeed[#Headers])+1,$O$6,IF(INDEX(tblContractForDeed[End Bal],ROW()-ROW(tblContractForDeed[#Headers])-1)&lt;0,0,INDEX(tblContractForDeed[End Bal],ROW()-ROW(tblContractForDeed[#Headers])-1)))</f>
        <v>0</v>
      </c>
      <c r="P502" s="454">
        <f>IF(tblContractForDeed[[#This Row],[Date]]="","",IF(tblContractForDeed[[#This Row],[Date]]&lt;cfdRateChangeDate,cfdRate1,cfdRate2))</f>
        <v>7.0000000000000007E-2</v>
      </c>
      <c r="Q5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467">
        <f>IF(INDEX(tblContractForDeed[Payment],ROW()-ROW(tblBuyerOutputs[#Headers]))=0,0,INDEX(tblContractForDeed[Payment],ROW()-ROW(tblBuyerOutputs[#Headers]))-INDEX(tblSubjectToLoan[Payment],ROW()-ROW(tblBuyerOutputs[#Headers])))</f>
        <v>0</v>
      </c>
      <c r="Z5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2" s="276">
        <f>IF(INDEX(tblContractForDeed[End Bal],ROW()-ROW(tblBuyerOutputs[#Headers]))&lt;=0,0,($O$6+IF(ROW()=ROW(tblBuyerOutputs[#Headers])+1,0,INDEX(tblBuyerOutputs[Cumul Appr],ROW()-ROW(tblBuyerOutputs[#Headers])-1)))*$AK$2/12)</f>
        <v>0</v>
      </c>
      <c r="AE502" s="276">
        <f>IF(INDEX(tblContractForDeed[End Bal],ROW()-ROW(tblBuyerOutputs[#Headers]))&lt;=0,0,IF(ROW()=ROW(tblBuyerOutputs[#Headers])+1,0,INDEX(tblBuyerOutputs[Cumul Appr],ROW()-ROW(tblBuyerOutputs[#Headers])-1))+tblBuyerOutputs[[#This Row],[Monthly Appr]])</f>
        <v>0</v>
      </c>
    </row>
    <row r="503" spans="1:43" x14ac:dyDescent="0.25">
      <c r="A503" s="613"/>
      <c r="L503" s="394">
        <f t="shared" si="116"/>
        <v>0</v>
      </c>
      <c r="M503" s="394">
        <f t="shared" si="108"/>
        <v>0</v>
      </c>
      <c r="N503" s="613">
        <f>INDEX(tblSubjectToLoan[Date],ROW()-ROW(tblContractForDeed[#Headers]))</f>
        <v>0</v>
      </c>
      <c r="O503" s="276">
        <f>IF(ROW()=ROW(tblContractForDeed[#Headers])+1,$O$6,IF(INDEX(tblContractForDeed[End Bal],ROW()-ROW(tblContractForDeed[#Headers])-1)&lt;0,0,INDEX(tblContractForDeed[End Bal],ROW()-ROW(tblContractForDeed[#Headers])-1)))</f>
        <v>0</v>
      </c>
      <c r="P503" s="454">
        <f>IF(tblContractForDeed[[#This Row],[Date]]="","",IF(tblContractForDeed[[#This Row],[Date]]&lt;cfdRateChangeDate,cfdRate1,cfdRate2))</f>
        <v>7.0000000000000007E-2</v>
      </c>
      <c r="Q5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467">
        <f>IF(INDEX(tblContractForDeed[Payment],ROW()-ROW(tblBuyerOutputs[#Headers]))=0,0,INDEX(tblContractForDeed[Payment],ROW()-ROW(tblBuyerOutputs[#Headers]))-INDEX(tblSubjectToLoan[Payment],ROW()-ROW(tblBuyerOutputs[#Headers])))</f>
        <v>0</v>
      </c>
      <c r="Z5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3" s="276">
        <f>IF(INDEX(tblContractForDeed[End Bal],ROW()-ROW(tblBuyerOutputs[#Headers]))&lt;=0,0,($O$6+IF(ROW()=ROW(tblBuyerOutputs[#Headers])+1,0,INDEX(tblBuyerOutputs[Cumul Appr],ROW()-ROW(tblBuyerOutputs[#Headers])-1)))*$AK$2/12)</f>
        <v>0</v>
      </c>
      <c r="AE503" s="276">
        <f>IF(INDEX(tblContractForDeed[End Bal],ROW()-ROW(tblBuyerOutputs[#Headers]))&lt;=0,0,IF(ROW()=ROW(tblBuyerOutputs[#Headers])+1,0,INDEX(tblBuyerOutputs[Cumul Appr],ROW()-ROW(tblBuyerOutputs[#Headers])-1))+tblBuyerOutputs[[#This Row],[Monthly Appr]])</f>
        <v>0</v>
      </c>
    </row>
    <row r="504" spans="1:43" x14ac:dyDescent="0.25">
      <c r="A504" s="613"/>
      <c r="L504" s="394">
        <f t="shared" si="116"/>
        <v>0</v>
      </c>
      <c r="M504" s="394">
        <f t="shared" si="108"/>
        <v>0</v>
      </c>
      <c r="N504" s="613">
        <f>INDEX(tblSubjectToLoan[Date],ROW()-ROW(tblContractForDeed[#Headers]))</f>
        <v>0</v>
      </c>
      <c r="O504" s="276">
        <f>IF(ROW()=ROW(tblContractForDeed[#Headers])+1,$O$6,IF(INDEX(tblContractForDeed[End Bal],ROW()-ROW(tblContractForDeed[#Headers])-1)&lt;0,0,INDEX(tblContractForDeed[End Bal],ROW()-ROW(tblContractForDeed[#Headers])-1)))</f>
        <v>0</v>
      </c>
      <c r="P504" s="454">
        <f>IF(tblContractForDeed[[#This Row],[Date]]="","",IF(tblContractForDeed[[#This Row],[Date]]&lt;cfdRateChangeDate,cfdRate1,cfdRate2))</f>
        <v>7.0000000000000007E-2</v>
      </c>
      <c r="Q5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467">
        <f>IF(INDEX(tblContractForDeed[Payment],ROW()-ROW(tblBuyerOutputs[#Headers]))=0,0,INDEX(tblContractForDeed[Payment],ROW()-ROW(tblBuyerOutputs[#Headers]))-INDEX(tblSubjectToLoan[Payment],ROW()-ROW(tblBuyerOutputs[#Headers])))</f>
        <v>0</v>
      </c>
      <c r="Z5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4" s="276">
        <f>IF(INDEX(tblContractForDeed[End Bal],ROW()-ROW(tblBuyerOutputs[#Headers]))&lt;=0,0,($O$6+IF(ROW()=ROW(tblBuyerOutputs[#Headers])+1,0,INDEX(tblBuyerOutputs[Cumul Appr],ROW()-ROW(tblBuyerOutputs[#Headers])-1)))*$AK$2/12)</f>
        <v>0</v>
      </c>
      <c r="AE504" s="276">
        <f>IF(INDEX(tblContractForDeed[End Bal],ROW()-ROW(tblBuyerOutputs[#Headers]))&lt;=0,0,IF(ROW()=ROW(tblBuyerOutputs[#Headers])+1,0,INDEX(tblBuyerOutputs[Cumul Appr],ROW()-ROW(tblBuyerOutputs[#Headers])-1))+tblBuyerOutputs[[#This Row],[Monthly Appr]])</f>
        <v>0</v>
      </c>
    </row>
    <row r="505" spans="1:43" x14ac:dyDescent="0.25">
      <c r="A505" s="613"/>
      <c r="L505" s="394">
        <f t="shared" si="116"/>
        <v>0</v>
      </c>
      <c r="M505" s="394">
        <f t="shared" si="108"/>
        <v>0</v>
      </c>
      <c r="N505" s="613">
        <f>INDEX(tblSubjectToLoan[Date],ROW()-ROW(tblContractForDeed[#Headers]))</f>
        <v>0</v>
      </c>
      <c r="O505" s="276">
        <f>IF(ROW()=ROW(tblContractForDeed[#Headers])+1,$O$6,IF(INDEX(tblContractForDeed[End Bal],ROW()-ROW(tblContractForDeed[#Headers])-1)&lt;0,0,INDEX(tblContractForDeed[End Bal],ROW()-ROW(tblContractForDeed[#Headers])-1)))</f>
        <v>0</v>
      </c>
      <c r="P505" s="454">
        <f>IF(tblContractForDeed[[#This Row],[Date]]="","",IF(tblContractForDeed[[#This Row],[Date]]&lt;cfdRateChangeDate,cfdRate1,cfdRate2))</f>
        <v>7.0000000000000007E-2</v>
      </c>
      <c r="Q5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467">
        <f>IF(INDEX(tblContractForDeed[Payment],ROW()-ROW(tblBuyerOutputs[#Headers]))=0,0,INDEX(tblContractForDeed[Payment],ROW()-ROW(tblBuyerOutputs[#Headers]))-INDEX(tblSubjectToLoan[Payment],ROW()-ROW(tblBuyerOutputs[#Headers])))</f>
        <v>0</v>
      </c>
      <c r="Z5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5" s="276">
        <f>IF(INDEX(tblContractForDeed[End Bal],ROW()-ROW(tblBuyerOutputs[#Headers]))&lt;=0,0,($O$6+IF(ROW()=ROW(tblBuyerOutputs[#Headers])+1,0,INDEX(tblBuyerOutputs[Cumul Appr],ROW()-ROW(tblBuyerOutputs[#Headers])-1)))*$AK$2/12)</f>
        <v>0</v>
      </c>
      <c r="AE505" s="276">
        <f>IF(INDEX(tblContractForDeed[End Bal],ROW()-ROW(tblBuyerOutputs[#Headers]))&lt;=0,0,IF(ROW()=ROW(tblBuyerOutputs[#Headers])+1,0,INDEX(tblBuyerOutputs[Cumul Appr],ROW()-ROW(tblBuyerOutputs[#Headers])-1))+tblBuyerOutputs[[#This Row],[Monthly Appr]])</f>
        <v>0</v>
      </c>
    </row>
    <row r="506" spans="1:43" x14ac:dyDescent="0.25">
      <c r="A506" s="613"/>
      <c r="L506" s="394">
        <f t="shared" si="116"/>
        <v>0</v>
      </c>
      <c r="M506" s="394">
        <f t="shared" si="108"/>
        <v>0</v>
      </c>
      <c r="N506" s="613">
        <f>INDEX(tblSubjectToLoan[Date],ROW()-ROW(tblContractForDeed[#Headers]))</f>
        <v>0</v>
      </c>
      <c r="O506" s="276">
        <f>IF(ROW()=ROW(tblContractForDeed[#Headers])+1,$O$6,IF(INDEX(tblContractForDeed[End Bal],ROW()-ROW(tblContractForDeed[#Headers])-1)&lt;0,0,INDEX(tblContractForDeed[End Bal],ROW()-ROW(tblContractForDeed[#Headers])-1)))</f>
        <v>0</v>
      </c>
      <c r="P506" s="454">
        <f>IF(tblContractForDeed[[#This Row],[Date]]="","",IF(tblContractForDeed[[#This Row],[Date]]&lt;cfdRateChangeDate,cfdRate1,cfdRate2))</f>
        <v>7.0000000000000007E-2</v>
      </c>
      <c r="Q5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467">
        <f>IF(INDEX(tblContractForDeed[Payment],ROW()-ROW(tblBuyerOutputs[#Headers]))=0,0,INDEX(tblContractForDeed[Payment],ROW()-ROW(tblBuyerOutputs[#Headers]))-INDEX(tblSubjectToLoan[Payment],ROW()-ROW(tblBuyerOutputs[#Headers])))</f>
        <v>0</v>
      </c>
      <c r="Z5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6" s="276">
        <f>IF(INDEX(tblContractForDeed[End Bal],ROW()-ROW(tblBuyerOutputs[#Headers]))&lt;=0,0,($O$6+IF(ROW()=ROW(tblBuyerOutputs[#Headers])+1,0,INDEX(tblBuyerOutputs[Cumul Appr],ROW()-ROW(tblBuyerOutputs[#Headers])-1)))*$AK$2/12)</f>
        <v>0</v>
      </c>
      <c r="AE506" s="276">
        <f>IF(INDEX(tblContractForDeed[End Bal],ROW()-ROW(tblBuyerOutputs[#Headers]))&lt;=0,0,IF(ROW()=ROW(tblBuyerOutputs[#Headers])+1,0,INDEX(tblBuyerOutputs[Cumul Appr],ROW()-ROW(tblBuyerOutputs[#Headers])-1))+tblBuyerOutputs[[#This Row],[Monthly Appr]])</f>
        <v>0</v>
      </c>
    </row>
    <row r="507" spans="1:43" x14ac:dyDescent="0.25">
      <c r="A507" s="613"/>
      <c r="L507" s="394">
        <f t="shared" si="116"/>
        <v>0</v>
      </c>
      <c r="M507" s="394">
        <f t="shared" si="108"/>
        <v>0</v>
      </c>
      <c r="N507" s="613">
        <f>INDEX(tblSubjectToLoan[Date],ROW()-ROW(tblContractForDeed[#Headers]))</f>
        <v>0</v>
      </c>
      <c r="O507" s="276">
        <f>IF(ROW()=ROW(tblContractForDeed[#Headers])+1,$O$6,IF(INDEX(tblContractForDeed[End Bal],ROW()-ROW(tblContractForDeed[#Headers])-1)&lt;0,0,INDEX(tblContractForDeed[End Bal],ROW()-ROW(tblContractForDeed[#Headers])-1)))</f>
        <v>0</v>
      </c>
      <c r="P507" s="454">
        <f>IF(tblContractForDeed[[#This Row],[Date]]="","",IF(tblContractForDeed[[#This Row],[Date]]&lt;cfdRateChangeDate,cfdRate1,cfdRate2))</f>
        <v>7.0000000000000007E-2</v>
      </c>
      <c r="Q5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467">
        <f>IF(INDEX(tblContractForDeed[Payment],ROW()-ROW(tblBuyerOutputs[#Headers]))=0,0,INDEX(tblContractForDeed[Payment],ROW()-ROW(tblBuyerOutputs[#Headers]))-INDEX(tblSubjectToLoan[Payment],ROW()-ROW(tblBuyerOutputs[#Headers])))</f>
        <v>0</v>
      </c>
      <c r="Z5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7" s="276">
        <f>IF(INDEX(tblContractForDeed[End Bal],ROW()-ROW(tblBuyerOutputs[#Headers]))&lt;=0,0,($O$6+IF(ROW()=ROW(tblBuyerOutputs[#Headers])+1,0,INDEX(tblBuyerOutputs[Cumul Appr],ROW()-ROW(tblBuyerOutputs[#Headers])-1)))*$AK$2/12)</f>
        <v>0</v>
      </c>
      <c r="AE507" s="276">
        <f>IF(INDEX(tblContractForDeed[End Bal],ROW()-ROW(tblBuyerOutputs[#Headers]))&lt;=0,0,IF(ROW()=ROW(tblBuyerOutputs[#Headers])+1,0,INDEX(tblBuyerOutputs[Cumul Appr],ROW()-ROW(tblBuyerOutputs[#Headers])-1))+tblBuyerOutputs[[#This Row],[Monthly Appr]])</f>
        <v>0</v>
      </c>
    </row>
    <row r="508" spans="1:43" x14ac:dyDescent="0.25">
      <c r="A508" s="613"/>
      <c r="L508" s="394">
        <f t="shared" si="116"/>
        <v>0</v>
      </c>
      <c r="M508" s="394">
        <f t="shared" si="108"/>
        <v>0</v>
      </c>
      <c r="N508" s="613">
        <f>INDEX(tblSubjectToLoan[Date],ROW()-ROW(tblContractForDeed[#Headers]))</f>
        <v>0</v>
      </c>
      <c r="O508" s="276">
        <f>IF(ROW()=ROW(tblContractForDeed[#Headers])+1,$O$6,IF(INDEX(tblContractForDeed[End Bal],ROW()-ROW(tblContractForDeed[#Headers])-1)&lt;0,0,INDEX(tblContractForDeed[End Bal],ROW()-ROW(tblContractForDeed[#Headers])-1)))</f>
        <v>0</v>
      </c>
      <c r="P508" s="454">
        <f>IF(tblContractForDeed[[#This Row],[Date]]="","",IF(tblContractForDeed[[#This Row],[Date]]&lt;cfdRateChangeDate,cfdRate1,cfdRate2))</f>
        <v>7.0000000000000007E-2</v>
      </c>
      <c r="Q5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467">
        <f>IF(INDEX(tblContractForDeed[Payment],ROW()-ROW(tblBuyerOutputs[#Headers]))=0,0,INDEX(tblContractForDeed[Payment],ROW()-ROW(tblBuyerOutputs[#Headers]))-INDEX(tblSubjectToLoan[Payment],ROW()-ROW(tblBuyerOutputs[#Headers])))</f>
        <v>0</v>
      </c>
      <c r="Z5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8" s="276">
        <f>IF(INDEX(tblContractForDeed[End Bal],ROW()-ROW(tblBuyerOutputs[#Headers]))&lt;=0,0,($O$6+IF(ROW()=ROW(tblBuyerOutputs[#Headers])+1,0,INDEX(tblBuyerOutputs[Cumul Appr],ROW()-ROW(tblBuyerOutputs[#Headers])-1)))*$AK$2/12)</f>
        <v>0</v>
      </c>
      <c r="AE508" s="276">
        <f>IF(INDEX(tblContractForDeed[End Bal],ROW()-ROW(tblBuyerOutputs[#Headers]))&lt;=0,0,IF(ROW()=ROW(tblBuyerOutputs[#Headers])+1,0,INDEX(tblBuyerOutputs[Cumul Appr],ROW()-ROW(tblBuyerOutputs[#Headers])-1))+tblBuyerOutputs[[#This Row],[Monthly Appr]])</f>
        <v>0</v>
      </c>
    </row>
    <row r="509" spans="1:43" x14ac:dyDescent="0.25">
      <c r="A509" s="613"/>
      <c r="L509" s="394">
        <f t="shared" si="116"/>
        <v>0</v>
      </c>
      <c r="M509" s="394">
        <f t="shared" si="108"/>
        <v>0</v>
      </c>
      <c r="N509" s="613">
        <f>INDEX(tblSubjectToLoan[Date],ROW()-ROW(tblContractForDeed[#Headers]))</f>
        <v>0</v>
      </c>
      <c r="O509" s="276">
        <f>IF(ROW()=ROW(tblContractForDeed[#Headers])+1,$O$6,IF(INDEX(tblContractForDeed[End Bal],ROW()-ROW(tblContractForDeed[#Headers])-1)&lt;0,0,INDEX(tblContractForDeed[End Bal],ROW()-ROW(tblContractForDeed[#Headers])-1)))</f>
        <v>0</v>
      </c>
      <c r="P509" s="454">
        <f>IF(tblContractForDeed[[#This Row],[Date]]="","",IF(tblContractForDeed[[#This Row],[Date]]&lt;cfdRateChangeDate,cfdRate1,cfdRate2))</f>
        <v>7.0000000000000007E-2</v>
      </c>
      <c r="Q5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467">
        <f>IF(INDEX(tblContractForDeed[Payment],ROW()-ROW(tblBuyerOutputs[#Headers]))=0,0,INDEX(tblContractForDeed[Payment],ROW()-ROW(tblBuyerOutputs[#Headers]))-INDEX(tblSubjectToLoan[Payment],ROW()-ROW(tblBuyerOutputs[#Headers])))</f>
        <v>0</v>
      </c>
      <c r="Z5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9" s="276">
        <f>IF(INDEX(tblContractForDeed[End Bal],ROW()-ROW(tblBuyerOutputs[#Headers]))&lt;=0,0,($O$6+IF(ROW()=ROW(tblBuyerOutputs[#Headers])+1,0,INDEX(tblBuyerOutputs[Cumul Appr],ROW()-ROW(tblBuyerOutputs[#Headers])-1)))*$AK$2/12)</f>
        <v>0</v>
      </c>
      <c r="AE509" s="276">
        <f>IF(INDEX(tblContractForDeed[End Bal],ROW()-ROW(tblBuyerOutputs[#Headers]))&lt;=0,0,IF(ROW()=ROW(tblBuyerOutputs[#Headers])+1,0,INDEX(tblBuyerOutputs[Cumul Appr],ROW()-ROW(tblBuyerOutputs[#Headers])-1))+tblBuyerOutputs[[#This Row],[Monthly Appr]])</f>
        <v>0</v>
      </c>
    </row>
    <row r="510" spans="1:43" x14ac:dyDescent="0.25">
      <c r="A510" s="613"/>
      <c r="L510" s="394">
        <f t="shared" si="116"/>
        <v>0</v>
      </c>
      <c r="M510" s="394">
        <f t="shared" si="108"/>
        <v>0</v>
      </c>
      <c r="N510" s="613">
        <f>INDEX(tblSubjectToLoan[Date],ROW()-ROW(tblContractForDeed[#Headers]))</f>
        <v>0</v>
      </c>
      <c r="O510" s="276">
        <f>IF(ROW()=ROW(tblContractForDeed[#Headers])+1,$O$6,IF(INDEX(tblContractForDeed[End Bal],ROW()-ROW(tblContractForDeed[#Headers])-1)&lt;0,0,INDEX(tblContractForDeed[End Bal],ROW()-ROW(tblContractForDeed[#Headers])-1)))</f>
        <v>0</v>
      </c>
      <c r="P510" s="454">
        <f>IF(tblContractForDeed[[#This Row],[Date]]="","",IF(tblContractForDeed[[#This Row],[Date]]&lt;cfdRateChangeDate,cfdRate1,cfdRate2))</f>
        <v>7.0000000000000007E-2</v>
      </c>
      <c r="Q5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467">
        <f>IF(INDEX(tblContractForDeed[Payment],ROW()-ROW(tblBuyerOutputs[#Headers]))=0,0,INDEX(tblContractForDeed[Payment],ROW()-ROW(tblBuyerOutputs[#Headers]))-INDEX(tblSubjectToLoan[Payment],ROW()-ROW(tblBuyerOutputs[#Headers])))</f>
        <v>0</v>
      </c>
      <c r="Z5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0" s="276">
        <f>IF(INDEX(tblContractForDeed[End Bal],ROW()-ROW(tblBuyerOutputs[#Headers]))&lt;=0,0,($O$6+IF(ROW()=ROW(tblBuyerOutputs[#Headers])+1,0,INDEX(tblBuyerOutputs[Cumul Appr],ROW()-ROW(tblBuyerOutputs[#Headers])-1)))*$AK$2/12)</f>
        <v>0</v>
      </c>
      <c r="AE510" s="276">
        <f>IF(INDEX(tblContractForDeed[End Bal],ROW()-ROW(tblBuyerOutputs[#Headers]))&lt;=0,0,IF(ROW()=ROW(tblBuyerOutputs[#Headers])+1,0,INDEX(tblBuyerOutputs[Cumul Appr],ROW()-ROW(tblBuyerOutputs[#Headers])-1))+tblBuyerOutputs[[#This Row],[Monthly Appr]])</f>
        <v>0</v>
      </c>
    </row>
    <row r="511" spans="1:43" ht="15.75" thickBot="1" x14ac:dyDescent="0.3">
      <c r="A511" s="615"/>
      <c r="B511" s="332"/>
      <c r="C511" s="21"/>
      <c r="D511" s="21"/>
      <c r="E511" s="21"/>
      <c r="F511" s="21"/>
      <c r="G511" s="21"/>
      <c r="H511" s="21"/>
      <c r="I511" s="332"/>
      <c r="J511" s="332"/>
      <c r="K511" s="332"/>
      <c r="L511" s="395">
        <f t="shared" si="116"/>
        <v>0</v>
      </c>
      <c r="M511" s="395">
        <f t="shared" si="108"/>
        <v>0</v>
      </c>
      <c r="N511" s="615">
        <f>INDEX(tblSubjectToLoan[Date],ROW()-ROW(tblContractForDeed[#Headers]))</f>
        <v>0</v>
      </c>
      <c r="O511" s="276">
        <f>IF(ROW()=ROW(tblContractForDeed[#Headers])+1,$O$6,IF(INDEX(tblContractForDeed[End Bal],ROW()-ROW(tblContractForDeed[#Headers])-1)&lt;0,0,INDEX(tblContractForDeed[End Bal],ROW()-ROW(tblContractForDeed[#Headers])-1)))</f>
        <v>0</v>
      </c>
      <c r="P511" s="454">
        <f>IF(tblContractForDeed[[#This Row],[Date]]="","",IF(tblContractForDeed[[#This Row],[Date]]&lt;cfdRateChangeDate,cfdRate1,cfdRate2))</f>
        <v>7.0000000000000007E-2</v>
      </c>
      <c r="Q5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467">
        <f>IF(INDEX(tblContractForDeed[Payment],ROW()-ROW(tblBuyerOutputs[#Headers]))=0,0,INDEX(tblContractForDeed[Payment],ROW()-ROW(tblBuyerOutputs[#Headers]))-INDEX(tblSubjectToLoan[Payment],ROW()-ROW(tblBuyerOutputs[#Headers])))</f>
        <v>0</v>
      </c>
      <c r="Z5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1" s="332">
        <f>IF(INDEX(tblContractForDeed[End Bal],ROW()-ROW(tblBuyerOutputs[#Headers]))&lt;=0,0,($O$6+IF(ROW()=ROW(tblBuyerOutputs[#Headers])+1,0,INDEX(tblBuyerOutputs[Cumul Appr],ROW()-ROW(tblBuyerOutputs[#Headers])-1)))*$AK$2/12)</f>
        <v>0</v>
      </c>
      <c r="AE511" s="332">
        <f>IF(INDEX(tblContractForDeed[End Bal],ROW()-ROW(tblBuyerOutputs[#Headers]))&lt;=0,0,IF(ROW()=ROW(tblBuyerOutputs[#Headers])+1,0,INDEX(tblBuyerOutputs[Cumul Appr],ROW()-ROW(tblBuyerOutputs[#Headers])-1))+tblBuyerOutputs[[#This Row],[Monthly Appr]])</f>
        <v>0</v>
      </c>
      <c r="AQ511" s="21"/>
    </row>
    <row r="512" spans="1:43" x14ac:dyDescent="0.25">
      <c r="A512" s="613"/>
      <c r="L512" s="394">
        <f t="shared" si="116"/>
        <v>0</v>
      </c>
      <c r="M512" s="394">
        <f t="shared" si="108"/>
        <v>0</v>
      </c>
      <c r="N512" s="613">
        <f>INDEX(tblSubjectToLoan[Date],ROW()-ROW(tblContractForDeed[#Headers]))</f>
        <v>0</v>
      </c>
      <c r="O512" s="276">
        <f>IF(ROW()=ROW(tblContractForDeed[#Headers])+1,$O$6,IF(INDEX(tblContractForDeed[End Bal],ROW()-ROW(tblContractForDeed[#Headers])-1)&lt;0,0,INDEX(tblContractForDeed[End Bal],ROW()-ROW(tblContractForDeed[#Headers])-1)))</f>
        <v>0</v>
      </c>
      <c r="P512" s="454">
        <f>IF(tblContractForDeed[[#This Row],[Date]]="","",IF(tblContractForDeed[[#This Row],[Date]]&lt;cfdRateChangeDate,cfdRate1,cfdRate2))</f>
        <v>7.0000000000000007E-2</v>
      </c>
      <c r="Q5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467">
        <f>IF(INDEX(tblContractForDeed[Payment],ROW()-ROW(tblBuyerOutputs[#Headers]))=0,0,INDEX(tblContractForDeed[Payment],ROW()-ROW(tblBuyerOutputs[#Headers]))-INDEX(tblSubjectToLoan[Payment],ROW()-ROW(tblBuyerOutputs[#Headers])))</f>
        <v>0</v>
      </c>
      <c r="Z5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2" s="276">
        <f>IF(INDEX(tblContractForDeed[End Bal],ROW()-ROW(tblBuyerOutputs[#Headers]))&lt;=0,0,($O$6+IF(ROW()=ROW(tblBuyerOutputs[#Headers])+1,0,INDEX(tblBuyerOutputs[Cumul Appr],ROW()-ROW(tblBuyerOutputs[#Headers])-1)))*$AK$2/12)</f>
        <v>0</v>
      </c>
      <c r="AE512" s="276">
        <f>IF(INDEX(tblContractForDeed[End Bal],ROW()-ROW(tblBuyerOutputs[#Headers]))&lt;=0,0,IF(ROW()=ROW(tblBuyerOutputs[#Headers])+1,0,INDEX(tblBuyerOutputs[Cumul Appr],ROW()-ROW(tblBuyerOutputs[#Headers])-1))+tblBuyerOutputs[[#This Row],[Monthly Appr]])</f>
        <v>0</v>
      </c>
    </row>
    <row r="513" spans="1:43" x14ac:dyDescent="0.25">
      <c r="A513" s="613"/>
      <c r="L513" s="394">
        <f t="shared" si="116"/>
        <v>0</v>
      </c>
      <c r="M513" s="394">
        <f t="shared" si="108"/>
        <v>0</v>
      </c>
      <c r="N513" s="613">
        <f>INDEX(tblSubjectToLoan[Date],ROW()-ROW(tblContractForDeed[#Headers]))</f>
        <v>0</v>
      </c>
      <c r="O513" s="276">
        <f>IF(ROW()=ROW(tblContractForDeed[#Headers])+1,$O$6,IF(INDEX(tblContractForDeed[End Bal],ROW()-ROW(tblContractForDeed[#Headers])-1)&lt;0,0,INDEX(tblContractForDeed[End Bal],ROW()-ROW(tblContractForDeed[#Headers])-1)))</f>
        <v>0</v>
      </c>
      <c r="P513" s="454">
        <f>IF(tblContractForDeed[[#This Row],[Date]]="","",IF(tblContractForDeed[[#This Row],[Date]]&lt;cfdRateChangeDate,cfdRate1,cfdRate2))</f>
        <v>7.0000000000000007E-2</v>
      </c>
      <c r="Q5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467">
        <f>IF(INDEX(tblContractForDeed[Payment],ROW()-ROW(tblBuyerOutputs[#Headers]))=0,0,INDEX(tblContractForDeed[Payment],ROW()-ROW(tblBuyerOutputs[#Headers]))-INDEX(tblSubjectToLoan[Payment],ROW()-ROW(tblBuyerOutputs[#Headers])))</f>
        <v>0</v>
      </c>
      <c r="Z5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3" s="276">
        <f>IF(INDEX(tblContractForDeed[End Bal],ROW()-ROW(tblBuyerOutputs[#Headers]))&lt;=0,0,($O$6+IF(ROW()=ROW(tblBuyerOutputs[#Headers])+1,0,INDEX(tblBuyerOutputs[Cumul Appr],ROW()-ROW(tblBuyerOutputs[#Headers])-1)))*$AK$2/12)</f>
        <v>0</v>
      </c>
      <c r="AE513" s="276">
        <f>IF(INDEX(tblContractForDeed[End Bal],ROW()-ROW(tblBuyerOutputs[#Headers]))&lt;=0,0,IF(ROW()=ROW(tblBuyerOutputs[#Headers])+1,0,INDEX(tblBuyerOutputs[Cumul Appr],ROW()-ROW(tblBuyerOutputs[#Headers])-1))+tblBuyerOutputs[[#This Row],[Monthly Appr]])</f>
        <v>0</v>
      </c>
    </row>
    <row r="514" spans="1:43" x14ac:dyDescent="0.25">
      <c r="A514" s="613"/>
      <c r="L514" s="394">
        <f t="shared" si="116"/>
        <v>0</v>
      </c>
      <c r="M514" s="394">
        <f t="shared" si="108"/>
        <v>0</v>
      </c>
      <c r="N514" s="613">
        <f>INDEX(tblSubjectToLoan[Date],ROW()-ROW(tblContractForDeed[#Headers]))</f>
        <v>0</v>
      </c>
      <c r="O514" s="276">
        <f>IF(ROW()=ROW(tblContractForDeed[#Headers])+1,$O$6,IF(INDEX(tblContractForDeed[End Bal],ROW()-ROW(tblContractForDeed[#Headers])-1)&lt;0,0,INDEX(tblContractForDeed[End Bal],ROW()-ROW(tblContractForDeed[#Headers])-1)))</f>
        <v>0</v>
      </c>
      <c r="P514" s="454">
        <f>IF(tblContractForDeed[[#This Row],[Date]]="","",IF(tblContractForDeed[[#This Row],[Date]]&lt;cfdRateChangeDate,cfdRate1,cfdRate2))</f>
        <v>7.0000000000000007E-2</v>
      </c>
      <c r="Q5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467">
        <f>IF(INDEX(tblContractForDeed[Payment],ROW()-ROW(tblBuyerOutputs[#Headers]))=0,0,INDEX(tblContractForDeed[Payment],ROW()-ROW(tblBuyerOutputs[#Headers]))-INDEX(tblSubjectToLoan[Payment],ROW()-ROW(tblBuyerOutputs[#Headers])))</f>
        <v>0</v>
      </c>
      <c r="Z5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4" s="276">
        <f>IF(INDEX(tblContractForDeed[End Bal],ROW()-ROW(tblBuyerOutputs[#Headers]))&lt;=0,0,($O$6+IF(ROW()=ROW(tblBuyerOutputs[#Headers])+1,0,INDEX(tblBuyerOutputs[Cumul Appr],ROW()-ROW(tblBuyerOutputs[#Headers])-1)))*$AK$2/12)</f>
        <v>0</v>
      </c>
      <c r="AE514" s="276">
        <f>IF(INDEX(tblContractForDeed[End Bal],ROW()-ROW(tblBuyerOutputs[#Headers]))&lt;=0,0,IF(ROW()=ROW(tblBuyerOutputs[#Headers])+1,0,INDEX(tblBuyerOutputs[Cumul Appr],ROW()-ROW(tblBuyerOutputs[#Headers])-1))+tblBuyerOutputs[[#This Row],[Monthly Appr]])</f>
        <v>0</v>
      </c>
    </row>
    <row r="515" spans="1:43" x14ac:dyDescent="0.25">
      <c r="A515" s="613"/>
      <c r="L515" s="394">
        <f t="shared" si="116"/>
        <v>0</v>
      </c>
      <c r="M515" s="394">
        <f t="shared" si="108"/>
        <v>0</v>
      </c>
      <c r="N515" s="613">
        <f>INDEX(tblSubjectToLoan[Date],ROW()-ROW(tblContractForDeed[#Headers]))</f>
        <v>0</v>
      </c>
      <c r="O515" s="276">
        <f>IF(ROW()=ROW(tblContractForDeed[#Headers])+1,$O$6,IF(INDEX(tblContractForDeed[End Bal],ROW()-ROW(tblContractForDeed[#Headers])-1)&lt;0,0,INDEX(tblContractForDeed[End Bal],ROW()-ROW(tblContractForDeed[#Headers])-1)))</f>
        <v>0</v>
      </c>
      <c r="P515" s="454">
        <f>IF(tblContractForDeed[[#This Row],[Date]]="","",IF(tblContractForDeed[[#This Row],[Date]]&lt;cfdRateChangeDate,cfdRate1,cfdRate2))</f>
        <v>7.0000000000000007E-2</v>
      </c>
      <c r="Q5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467">
        <f>IF(INDEX(tblContractForDeed[Payment],ROW()-ROW(tblBuyerOutputs[#Headers]))=0,0,INDEX(tblContractForDeed[Payment],ROW()-ROW(tblBuyerOutputs[#Headers]))-INDEX(tblSubjectToLoan[Payment],ROW()-ROW(tblBuyerOutputs[#Headers])))</f>
        <v>0</v>
      </c>
      <c r="Z5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5" s="276">
        <f>IF(INDEX(tblContractForDeed[End Bal],ROW()-ROW(tblBuyerOutputs[#Headers]))&lt;=0,0,($O$6+IF(ROW()=ROW(tblBuyerOutputs[#Headers])+1,0,INDEX(tblBuyerOutputs[Cumul Appr],ROW()-ROW(tblBuyerOutputs[#Headers])-1)))*$AK$2/12)</f>
        <v>0</v>
      </c>
      <c r="AE515" s="276">
        <f>IF(INDEX(tblContractForDeed[End Bal],ROW()-ROW(tblBuyerOutputs[#Headers]))&lt;=0,0,IF(ROW()=ROW(tblBuyerOutputs[#Headers])+1,0,INDEX(tblBuyerOutputs[Cumul Appr],ROW()-ROW(tblBuyerOutputs[#Headers])-1))+tblBuyerOutputs[[#This Row],[Monthly Appr]])</f>
        <v>0</v>
      </c>
    </row>
    <row r="516" spans="1:43" x14ac:dyDescent="0.25">
      <c r="A516" s="613"/>
      <c r="L516" s="394">
        <f t="shared" si="116"/>
        <v>0</v>
      </c>
      <c r="M516" s="394">
        <f t="shared" si="108"/>
        <v>0</v>
      </c>
      <c r="N516" s="613">
        <f>INDEX(tblSubjectToLoan[Date],ROW()-ROW(tblContractForDeed[#Headers]))</f>
        <v>0</v>
      </c>
      <c r="O516" s="276">
        <f>IF(ROW()=ROW(tblContractForDeed[#Headers])+1,$O$6,IF(INDEX(tblContractForDeed[End Bal],ROW()-ROW(tblContractForDeed[#Headers])-1)&lt;0,0,INDEX(tblContractForDeed[End Bal],ROW()-ROW(tblContractForDeed[#Headers])-1)))</f>
        <v>0</v>
      </c>
      <c r="P516" s="454">
        <f>IF(tblContractForDeed[[#This Row],[Date]]="","",IF(tblContractForDeed[[#This Row],[Date]]&lt;cfdRateChangeDate,cfdRate1,cfdRate2))</f>
        <v>7.0000000000000007E-2</v>
      </c>
      <c r="Q5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467">
        <f>IF(INDEX(tblContractForDeed[Payment],ROW()-ROW(tblBuyerOutputs[#Headers]))=0,0,INDEX(tblContractForDeed[Payment],ROW()-ROW(tblBuyerOutputs[#Headers]))-INDEX(tblSubjectToLoan[Payment],ROW()-ROW(tblBuyerOutputs[#Headers])))</f>
        <v>0</v>
      </c>
      <c r="Z5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6" s="276">
        <f>IF(INDEX(tblContractForDeed[End Bal],ROW()-ROW(tblBuyerOutputs[#Headers]))&lt;=0,0,($O$6+IF(ROW()=ROW(tblBuyerOutputs[#Headers])+1,0,INDEX(tblBuyerOutputs[Cumul Appr],ROW()-ROW(tblBuyerOutputs[#Headers])-1)))*$AK$2/12)</f>
        <v>0</v>
      </c>
      <c r="AE516" s="276">
        <f>IF(INDEX(tblContractForDeed[End Bal],ROW()-ROW(tblBuyerOutputs[#Headers]))&lt;=0,0,IF(ROW()=ROW(tblBuyerOutputs[#Headers])+1,0,INDEX(tblBuyerOutputs[Cumul Appr],ROW()-ROW(tblBuyerOutputs[#Headers])-1))+tblBuyerOutputs[[#This Row],[Monthly Appr]])</f>
        <v>0</v>
      </c>
    </row>
    <row r="517" spans="1:43" x14ac:dyDescent="0.25">
      <c r="A517" s="613"/>
      <c r="L517" s="394">
        <f t="shared" si="116"/>
        <v>0</v>
      </c>
      <c r="M517" s="394">
        <f t="shared" si="108"/>
        <v>0</v>
      </c>
      <c r="N517" s="613">
        <f>INDEX(tblSubjectToLoan[Date],ROW()-ROW(tblContractForDeed[#Headers]))</f>
        <v>0</v>
      </c>
      <c r="O517" s="276">
        <f>IF(ROW()=ROW(tblContractForDeed[#Headers])+1,$O$6,IF(INDEX(tblContractForDeed[End Bal],ROW()-ROW(tblContractForDeed[#Headers])-1)&lt;0,0,INDEX(tblContractForDeed[End Bal],ROW()-ROW(tblContractForDeed[#Headers])-1)))</f>
        <v>0</v>
      </c>
      <c r="P517" s="454">
        <f>IF(tblContractForDeed[[#This Row],[Date]]="","",IF(tblContractForDeed[[#This Row],[Date]]&lt;cfdRateChangeDate,cfdRate1,cfdRate2))</f>
        <v>7.0000000000000007E-2</v>
      </c>
      <c r="Q5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467">
        <f>IF(INDEX(tblContractForDeed[Payment],ROW()-ROW(tblBuyerOutputs[#Headers]))=0,0,INDEX(tblContractForDeed[Payment],ROW()-ROW(tblBuyerOutputs[#Headers]))-INDEX(tblSubjectToLoan[Payment],ROW()-ROW(tblBuyerOutputs[#Headers])))</f>
        <v>0</v>
      </c>
      <c r="Z5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7" s="276">
        <f>IF(INDEX(tblContractForDeed[End Bal],ROW()-ROW(tblBuyerOutputs[#Headers]))&lt;=0,0,($O$6+IF(ROW()=ROW(tblBuyerOutputs[#Headers])+1,0,INDEX(tblBuyerOutputs[Cumul Appr],ROW()-ROW(tblBuyerOutputs[#Headers])-1)))*$AK$2/12)</f>
        <v>0</v>
      </c>
      <c r="AE517" s="276">
        <f>IF(INDEX(tblContractForDeed[End Bal],ROW()-ROW(tblBuyerOutputs[#Headers]))&lt;=0,0,IF(ROW()=ROW(tblBuyerOutputs[#Headers])+1,0,INDEX(tblBuyerOutputs[Cumul Appr],ROW()-ROW(tblBuyerOutputs[#Headers])-1))+tblBuyerOutputs[[#This Row],[Monthly Appr]])</f>
        <v>0</v>
      </c>
    </row>
    <row r="518" spans="1:43" x14ac:dyDescent="0.25">
      <c r="A518" s="613"/>
      <c r="L518" s="394">
        <f t="shared" si="116"/>
        <v>0</v>
      </c>
      <c r="M518" s="394">
        <f t="shared" si="108"/>
        <v>0</v>
      </c>
      <c r="N518" s="613">
        <f>INDEX(tblSubjectToLoan[Date],ROW()-ROW(tblContractForDeed[#Headers]))</f>
        <v>0</v>
      </c>
      <c r="O518" s="276">
        <f>IF(ROW()=ROW(tblContractForDeed[#Headers])+1,$O$6,IF(INDEX(tblContractForDeed[End Bal],ROW()-ROW(tblContractForDeed[#Headers])-1)&lt;0,0,INDEX(tblContractForDeed[End Bal],ROW()-ROW(tblContractForDeed[#Headers])-1)))</f>
        <v>0</v>
      </c>
      <c r="P518" s="454">
        <f>IF(tblContractForDeed[[#This Row],[Date]]="","",IF(tblContractForDeed[[#This Row],[Date]]&lt;cfdRateChangeDate,cfdRate1,cfdRate2))</f>
        <v>7.0000000000000007E-2</v>
      </c>
      <c r="Q5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467">
        <f>IF(INDEX(tblContractForDeed[Payment],ROW()-ROW(tblBuyerOutputs[#Headers]))=0,0,INDEX(tblContractForDeed[Payment],ROW()-ROW(tblBuyerOutputs[#Headers]))-INDEX(tblSubjectToLoan[Payment],ROW()-ROW(tblBuyerOutputs[#Headers])))</f>
        <v>0</v>
      </c>
      <c r="Z5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8" s="276">
        <f>IF(INDEX(tblContractForDeed[End Bal],ROW()-ROW(tblBuyerOutputs[#Headers]))&lt;=0,0,($O$6+IF(ROW()=ROW(tblBuyerOutputs[#Headers])+1,0,INDEX(tblBuyerOutputs[Cumul Appr],ROW()-ROW(tblBuyerOutputs[#Headers])-1)))*$AK$2/12)</f>
        <v>0</v>
      </c>
      <c r="AE518" s="276">
        <f>IF(INDEX(tblContractForDeed[End Bal],ROW()-ROW(tblBuyerOutputs[#Headers]))&lt;=0,0,IF(ROW()=ROW(tblBuyerOutputs[#Headers])+1,0,INDEX(tblBuyerOutputs[Cumul Appr],ROW()-ROW(tblBuyerOutputs[#Headers])-1))+tblBuyerOutputs[[#This Row],[Monthly Appr]])</f>
        <v>0</v>
      </c>
    </row>
    <row r="519" spans="1:43" x14ac:dyDescent="0.25">
      <c r="A519" s="613"/>
      <c r="L519" s="394">
        <f t="shared" si="116"/>
        <v>0</v>
      </c>
      <c r="M519" s="394">
        <f t="shared" si="108"/>
        <v>0</v>
      </c>
      <c r="N519" s="613">
        <f>INDEX(tblSubjectToLoan[Date],ROW()-ROW(tblContractForDeed[#Headers]))</f>
        <v>0</v>
      </c>
      <c r="O519" s="276">
        <f>IF(ROW()=ROW(tblContractForDeed[#Headers])+1,$O$6,IF(INDEX(tblContractForDeed[End Bal],ROW()-ROW(tblContractForDeed[#Headers])-1)&lt;0,0,INDEX(tblContractForDeed[End Bal],ROW()-ROW(tblContractForDeed[#Headers])-1)))</f>
        <v>0</v>
      </c>
      <c r="P519" s="454">
        <f>IF(tblContractForDeed[[#This Row],[Date]]="","",IF(tblContractForDeed[[#This Row],[Date]]&lt;cfdRateChangeDate,cfdRate1,cfdRate2))</f>
        <v>7.0000000000000007E-2</v>
      </c>
      <c r="Q5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467">
        <f>IF(INDEX(tblContractForDeed[Payment],ROW()-ROW(tblBuyerOutputs[#Headers]))=0,0,INDEX(tblContractForDeed[Payment],ROW()-ROW(tblBuyerOutputs[#Headers]))-INDEX(tblSubjectToLoan[Payment],ROW()-ROW(tblBuyerOutputs[#Headers])))</f>
        <v>0</v>
      </c>
      <c r="Z5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9" s="276">
        <f>IF(INDEX(tblContractForDeed[End Bal],ROW()-ROW(tblBuyerOutputs[#Headers]))&lt;=0,0,($O$6+IF(ROW()=ROW(tblBuyerOutputs[#Headers])+1,0,INDEX(tblBuyerOutputs[Cumul Appr],ROW()-ROW(tblBuyerOutputs[#Headers])-1)))*$AK$2/12)</f>
        <v>0</v>
      </c>
      <c r="AE519" s="276">
        <f>IF(INDEX(tblContractForDeed[End Bal],ROW()-ROW(tblBuyerOutputs[#Headers]))&lt;=0,0,IF(ROW()=ROW(tblBuyerOutputs[#Headers])+1,0,INDEX(tblBuyerOutputs[Cumul Appr],ROW()-ROW(tblBuyerOutputs[#Headers])-1))+tblBuyerOutputs[[#This Row],[Monthly Appr]])</f>
        <v>0</v>
      </c>
    </row>
    <row r="520" spans="1:43" x14ac:dyDescent="0.25">
      <c r="A520" s="613"/>
      <c r="L520" s="394">
        <f t="shared" si="116"/>
        <v>0</v>
      </c>
      <c r="M520" s="394">
        <f t="shared" si="108"/>
        <v>0</v>
      </c>
      <c r="N520" s="613">
        <f>INDEX(tblSubjectToLoan[Date],ROW()-ROW(tblContractForDeed[#Headers]))</f>
        <v>0</v>
      </c>
      <c r="O520" s="276">
        <f>IF(ROW()=ROW(tblContractForDeed[#Headers])+1,$O$6,IF(INDEX(tblContractForDeed[End Bal],ROW()-ROW(tblContractForDeed[#Headers])-1)&lt;0,0,INDEX(tblContractForDeed[End Bal],ROW()-ROW(tblContractForDeed[#Headers])-1)))</f>
        <v>0</v>
      </c>
      <c r="P520" s="454">
        <f>IF(tblContractForDeed[[#This Row],[Date]]="","",IF(tblContractForDeed[[#This Row],[Date]]&lt;cfdRateChangeDate,cfdRate1,cfdRate2))</f>
        <v>7.0000000000000007E-2</v>
      </c>
      <c r="Q5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467">
        <f>IF(INDEX(tblContractForDeed[Payment],ROW()-ROW(tblBuyerOutputs[#Headers]))=0,0,INDEX(tblContractForDeed[Payment],ROW()-ROW(tblBuyerOutputs[#Headers]))-INDEX(tblSubjectToLoan[Payment],ROW()-ROW(tblBuyerOutputs[#Headers])))</f>
        <v>0</v>
      </c>
      <c r="Z5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0" s="276">
        <f>IF(INDEX(tblContractForDeed[End Bal],ROW()-ROW(tblBuyerOutputs[#Headers]))&lt;=0,0,($O$6+IF(ROW()=ROW(tblBuyerOutputs[#Headers])+1,0,INDEX(tblBuyerOutputs[Cumul Appr],ROW()-ROW(tblBuyerOutputs[#Headers])-1)))*$AK$2/12)</f>
        <v>0</v>
      </c>
      <c r="AE520" s="276">
        <f>IF(INDEX(tblContractForDeed[End Bal],ROW()-ROW(tblBuyerOutputs[#Headers]))&lt;=0,0,IF(ROW()=ROW(tblBuyerOutputs[#Headers])+1,0,INDEX(tblBuyerOutputs[Cumul Appr],ROW()-ROW(tblBuyerOutputs[#Headers])-1))+tblBuyerOutputs[[#This Row],[Monthly Appr]])</f>
        <v>0</v>
      </c>
    </row>
    <row r="521" spans="1:43" x14ac:dyDescent="0.25">
      <c r="A521" s="613"/>
      <c r="L521" s="394">
        <f t="shared" si="116"/>
        <v>0</v>
      </c>
      <c r="M521" s="394">
        <f t="shared" si="108"/>
        <v>0</v>
      </c>
      <c r="N521" s="613">
        <f>INDEX(tblSubjectToLoan[Date],ROW()-ROW(tblContractForDeed[#Headers]))</f>
        <v>0</v>
      </c>
      <c r="O521" s="276">
        <f>IF(ROW()=ROW(tblContractForDeed[#Headers])+1,$O$6,IF(INDEX(tblContractForDeed[End Bal],ROW()-ROW(tblContractForDeed[#Headers])-1)&lt;0,0,INDEX(tblContractForDeed[End Bal],ROW()-ROW(tblContractForDeed[#Headers])-1)))</f>
        <v>0</v>
      </c>
      <c r="P521" s="454">
        <f>IF(tblContractForDeed[[#This Row],[Date]]="","",IF(tblContractForDeed[[#This Row],[Date]]&lt;cfdRateChangeDate,cfdRate1,cfdRate2))</f>
        <v>7.0000000000000007E-2</v>
      </c>
      <c r="Q5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467">
        <f>IF(INDEX(tblContractForDeed[Payment],ROW()-ROW(tblBuyerOutputs[#Headers]))=0,0,INDEX(tblContractForDeed[Payment],ROW()-ROW(tblBuyerOutputs[#Headers]))-INDEX(tblSubjectToLoan[Payment],ROW()-ROW(tblBuyerOutputs[#Headers])))</f>
        <v>0</v>
      </c>
      <c r="Z5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1" s="276">
        <f>IF(INDEX(tblContractForDeed[End Bal],ROW()-ROW(tblBuyerOutputs[#Headers]))&lt;=0,0,($O$6+IF(ROW()=ROW(tblBuyerOutputs[#Headers])+1,0,INDEX(tblBuyerOutputs[Cumul Appr],ROW()-ROW(tblBuyerOutputs[#Headers])-1)))*$AK$2/12)</f>
        <v>0</v>
      </c>
      <c r="AE521" s="276">
        <f>IF(INDEX(tblContractForDeed[End Bal],ROW()-ROW(tblBuyerOutputs[#Headers]))&lt;=0,0,IF(ROW()=ROW(tblBuyerOutputs[#Headers])+1,0,INDEX(tblBuyerOutputs[Cumul Appr],ROW()-ROW(tblBuyerOutputs[#Headers])-1))+tblBuyerOutputs[[#This Row],[Monthly Appr]])</f>
        <v>0</v>
      </c>
    </row>
    <row r="522" spans="1:43" x14ac:dyDescent="0.25">
      <c r="A522" s="613"/>
      <c r="L522" s="394">
        <f t="shared" si="116"/>
        <v>0</v>
      </c>
      <c r="M522" s="394">
        <f t="shared" si="108"/>
        <v>0</v>
      </c>
      <c r="N522" s="613">
        <f>INDEX(tblSubjectToLoan[Date],ROW()-ROW(tblContractForDeed[#Headers]))</f>
        <v>0</v>
      </c>
      <c r="O522" s="276">
        <f>IF(ROW()=ROW(tblContractForDeed[#Headers])+1,$O$6,IF(INDEX(tblContractForDeed[End Bal],ROW()-ROW(tblContractForDeed[#Headers])-1)&lt;0,0,INDEX(tblContractForDeed[End Bal],ROW()-ROW(tblContractForDeed[#Headers])-1)))</f>
        <v>0</v>
      </c>
      <c r="P522" s="454">
        <f>IF(tblContractForDeed[[#This Row],[Date]]="","",IF(tblContractForDeed[[#This Row],[Date]]&lt;cfdRateChangeDate,cfdRate1,cfdRate2))</f>
        <v>7.0000000000000007E-2</v>
      </c>
      <c r="Q5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467">
        <f>IF(INDEX(tblContractForDeed[Payment],ROW()-ROW(tblBuyerOutputs[#Headers]))=0,0,INDEX(tblContractForDeed[Payment],ROW()-ROW(tblBuyerOutputs[#Headers]))-INDEX(tblSubjectToLoan[Payment],ROW()-ROW(tblBuyerOutputs[#Headers])))</f>
        <v>0</v>
      </c>
      <c r="Z5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2" s="276">
        <f>IF(INDEX(tblContractForDeed[End Bal],ROW()-ROW(tblBuyerOutputs[#Headers]))&lt;=0,0,($O$6+IF(ROW()=ROW(tblBuyerOutputs[#Headers])+1,0,INDEX(tblBuyerOutputs[Cumul Appr],ROW()-ROW(tblBuyerOutputs[#Headers])-1)))*$AK$2/12)</f>
        <v>0</v>
      </c>
      <c r="AE522" s="276">
        <f>IF(INDEX(tblContractForDeed[End Bal],ROW()-ROW(tblBuyerOutputs[#Headers]))&lt;=0,0,IF(ROW()=ROW(tblBuyerOutputs[#Headers])+1,0,INDEX(tblBuyerOutputs[Cumul Appr],ROW()-ROW(tblBuyerOutputs[#Headers])-1))+tblBuyerOutputs[[#This Row],[Monthly Appr]])</f>
        <v>0</v>
      </c>
    </row>
    <row r="523" spans="1:43" ht="15.75" thickBot="1" x14ac:dyDescent="0.3">
      <c r="A523" s="615"/>
      <c r="B523" s="332"/>
      <c r="C523" s="21"/>
      <c r="D523" s="21"/>
      <c r="E523" s="21"/>
      <c r="F523" s="21"/>
      <c r="G523" s="21"/>
      <c r="H523" s="21"/>
      <c r="I523" s="332"/>
      <c r="J523" s="332"/>
      <c r="K523" s="332"/>
      <c r="L523" s="395">
        <f t="shared" si="116"/>
        <v>0</v>
      </c>
      <c r="M523" s="395">
        <f t="shared" si="108"/>
        <v>0</v>
      </c>
      <c r="N523" s="615">
        <f>INDEX(tblSubjectToLoan[Date],ROW()-ROW(tblContractForDeed[#Headers]))</f>
        <v>0</v>
      </c>
      <c r="O523" s="276">
        <f>IF(ROW()=ROW(tblContractForDeed[#Headers])+1,$O$6,IF(INDEX(tblContractForDeed[End Bal],ROW()-ROW(tblContractForDeed[#Headers])-1)&lt;0,0,INDEX(tblContractForDeed[End Bal],ROW()-ROW(tblContractForDeed[#Headers])-1)))</f>
        <v>0</v>
      </c>
      <c r="P523" s="454">
        <f>IF(tblContractForDeed[[#This Row],[Date]]="","",IF(tblContractForDeed[[#This Row],[Date]]&lt;cfdRateChangeDate,cfdRate1,cfdRate2))</f>
        <v>7.0000000000000007E-2</v>
      </c>
      <c r="Q5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467">
        <f>IF(INDEX(tblContractForDeed[Payment],ROW()-ROW(tblBuyerOutputs[#Headers]))=0,0,INDEX(tblContractForDeed[Payment],ROW()-ROW(tblBuyerOutputs[#Headers]))-INDEX(tblSubjectToLoan[Payment],ROW()-ROW(tblBuyerOutputs[#Headers])))</f>
        <v>0</v>
      </c>
      <c r="Z5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3" s="332">
        <f>IF(INDEX(tblContractForDeed[End Bal],ROW()-ROW(tblBuyerOutputs[#Headers]))&lt;=0,0,($O$6+IF(ROW()=ROW(tblBuyerOutputs[#Headers])+1,0,INDEX(tblBuyerOutputs[Cumul Appr],ROW()-ROW(tblBuyerOutputs[#Headers])-1)))*$AK$2/12)</f>
        <v>0</v>
      </c>
      <c r="AE523" s="332">
        <f>IF(INDEX(tblContractForDeed[End Bal],ROW()-ROW(tblBuyerOutputs[#Headers]))&lt;=0,0,IF(ROW()=ROW(tblBuyerOutputs[#Headers])+1,0,INDEX(tblBuyerOutputs[Cumul Appr],ROW()-ROW(tblBuyerOutputs[#Headers])-1))+tblBuyerOutputs[[#This Row],[Monthly Appr]])</f>
        <v>0</v>
      </c>
      <c r="AQ523" s="21"/>
    </row>
    <row r="524" spans="1:43" x14ac:dyDescent="0.25">
      <c r="A524" s="613"/>
      <c r="L524" s="394">
        <f t="shared" si="116"/>
        <v>0</v>
      </c>
      <c r="M524" s="394">
        <f t="shared" si="108"/>
        <v>0</v>
      </c>
      <c r="N524" s="613">
        <f>INDEX(tblSubjectToLoan[Date],ROW()-ROW(tblContractForDeed[#Headers]))</f>
        <v>0</v>
      </c>
      <c r="O524" s="276">
        <f>IF(ROW()=ROW(tblContractForDeed[#Headers])+1,$O$6,IF(INDEX(tblContractForDeed[End Bal],ROW()-ROW(tblContractForDeed[#Headers])-1)&lt;0,0,INDEX(tblContractForDeed[End Bal],ROW()-ROW(tblContractForDeed[#Headers])-1)))</f>
        <v>0</v>
      </c>
      <c r="P524" s="454">
        <f>IF(tblContractForDeed[[#This Row],[Date]]="","",IF(tblContractForDeed[[#This Row],[Date]]&lt;cfdRateChangeDate,cfdRate1,cfdRate2))</f>
        <v>7.0000000000000007E-2</v>
      </c>
      <c r="Q5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467">
        <f>IF(INDEX(tblContractForDeed[Payment],ROW()-ROW(tblBuyerOutputs[#Headers]))=0,0,INDEX(tblContractForDeed[Payment],ROW()-ROW(tblBuyerOutputs[#Headers]))-INDEX(tblSubjectToLoan[Payment],ROW()-ROW(tblBuyerOutputs[#Headers])))</f>
        <v>0</v>
      </c>
      <c r="Z5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4" s="276">
        <f>IF(INDEX(tblContractForDeed[End Bal],ROW()-ROW(tblBuyerOutputs[#Headers]))&lt;=0,0,($O$6+IF(ROW()=ROW(tblBuyerOutputs[#Headers])+1,0,INDEX(tblBuyerOutputs[Cumul Appr],ROW()-ROW(tblBuyerOutputs[#Headers])-1)))*$AK$2/12)</f>
        <v>0</v>
      </c>
      <c r="AE524" s="276">
        <f>IF(INDEX(tblContractForDeed[End Bal],ROW()-ROW(tblBuyerOutputs[#Headers]))&lt;=0,0,IF(ROW()=ROW(tblBuyerOutputs[#Headers])+1,0,INDEX(tblBuyerOutputs[Cumul Appr],ROW()-ROW(tblBuyerOutputs[#Headers])-1))+tblBuyerOutputs[[#This Row],[Monthly Appr]])</f>
        <v>0</v>
      </c>
    </row>
    <row r="525" spans="1:43" x14ac:dyDescent="0.25">
      <c r="A525" s="613"/>
      <c r="L525" s="394">
        <f t="shared" si="116"/>
        <v>0</v>
      </c>
      <c r="M525" s="394">
        <f t="shared" si="108"/>
        <v>0</v>
      </c>
      <c r="N525" s="613">
        <f>INDEX(tblSubjectToLoan[Date],ROW()-ROW(tblContractForDeed[#Headers]))</f>
        <v>0</v>
      </c>
      <c r="O525" s="276">
        <f>IF(ROW()=ROW(tblContractForDeed[#Headers])+1,$O$6,IF(INDEX(tblContractForDeed[End Bal],ROW()-ROW(tblContractForDeed[#Headers])-1)&lt;0,0,INDEX(tblContractForDeed[End Bal],ROW()-ROW(tblContractForDeed[#Headers])-1)))</f>
        <v>0</v>
      </c>
      <c r="P525" s="454">
        <f>IF(tblContractForDeed[[#This Row],[Date]]="","",IF(tblContractForDeed[[#This Row],[Date]]&lt;cfdRateChangeDate,cfdRate1,cfdRate2))</f>
        <v>7.0000000000000007E-2</v>
      </c>
      <c r="Q5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467">
        <f>IF(INDEX(tblContractForDeed[Payment],ROW()-ROW(tblBuyerOutputs[#Headers]))=0,0,INDEX(tblContractForDeed[Payment],ROW()-ROW(tblBuyerOutputs[#Headers]))-INDEX(tblSubjectToLoan[Payment],ROW()-ROW(tblBuyerOutputs[#Headers])))</f>
        <v>0</v>
      </c>
      <c r="Z5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5" s="276">
        <f>IF(INDEX(tblContractForDeed[End Bal],ROW()-ROW(tblBuyerOutputs[#Headers]))&lt;=0,0,($O$6+IF(ROW()=ROW(tblBuyerOutputs[#Headers])+1,0,INDEX(tblBuyerOutputs[Cumul Appr],ROW()-ROW(tblBuyerOutputs[#Headers])-1)))*$AK$2/12)</f>
        <v>0</v>
      </c>
      <c r="AE525" s="276">
        <f>IF(INDEX(tblContractForDeed[End Bal],ROW()-ROW(tblBuyerOutputs[#Headers]))&lt;=0,0,IF(ROW()=ROW(tblBuyerOutputs[#Headers])+1,0,INDEX(tblBuyerOutputs[Cumul Appr],ROW()-ROW(tblBuyerOutputs[#Headers])-1))+tblBuyerOutputs[[#This Row],[Monthly Appr]])</f>
        <v>0</v>
      </c>
    </row>
    <row r="526" spans="1:43" x14ac:dyDescent="0.25">
      <c r="A526" s="613"/>
      <c r="L526" s="394">
        <f t="shared" si="116"/>
        <v>0</v>
      </c>
      <c r="M526" s="394">
        <f t="shared" si="108"/>
        <v>0</v>
      </c>
      <c r="N526" s="613">
        <f>INDEX(tblSubjectToLoan[Date],ROW()-ROW(tblContractForDeed[#Headers]))</f>
        <v>0</v>
      </c>
      <c r="O526" s="276">
        <f>IF(ROW()=ROW(tblContractForDeed[#Headers])+1,$O$6,IF(INDEX(tblContractForDeed[End Bal],ROW()-ROW(tblContractForDeed[#Headers])-1)&lt;0,0,INDEX(tblContractForDeed[End Bal],ROW()-ROW(tblContractForDeed[#Headers])-1)))</f>
        <v>0</v>
      </c>
      <c r="P526" s="454">
        <f>IF(tblContractForDeed[[#This Row],[Date]]="","",IF(tblContractForDeed[[#This Row],[Date]]&lt;cfdRateChangeDate,cfdRate1,cfdRate2))</f>
        <v>7.0000000000000007E-2</v>
      </c>
      <c r="Q5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467">
        <f>IF(INDEX(tblContractForDeed[Payment],ROW()-ROW(tblBuyerOutputs[#Headers]))=0,0,INDEX(tblContractForDeed[Payment],ROW()-ROW(tblBuyerOutputs[#Headers]))-INDEX(tblSubjectToLoan[Payment],ROW()-ROW(tblBuyerOutputs[#Headers])))</f>
        <v>0</v>
      </c>
      <c r="Z5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6" s="276">
        <f>IF(INDEX(tblContractForDeed[End Bal],ROW()-ROW(tblBuyerOutputs[#Headers]))&lt;=0,0,($O$6+IF(ROW()=ROW(tblBuyerOutputs[#Headers])+1,0,INDEX(tblBuyerOutputs[Cumul Appr],ROW()-ROW(tblBuyerOutputs[#Headers])-1)))*$AK$2/12)</f>
        <v>0</v>
      </c>
      <c r="AE526" s="276">
        <f>IF(INDEX(tblContractForDeed[End Bal],ROW()-ROW(tblBuyerOutputs[#Headers]))&lt;=0,0,IF(ROW()=ROW(tblBuyerOutputs[#Headers])+1,0,INDEX(tblBuyerOutputs[Cumul Appr],ROW()-ROW(tblBuyerOutputs[#Headers])-1))+tblBuyerOutputs[[#This Row],[Monthly Appr]])</f>
        <v>0</v>
      </c>
    </row>
    <row r="527" spans="1:43" x14ac:dyDescent="0.25">
      <c r="A527" s="613"/>
      <c r="L527" s="394">
        <f t="shared" si="116"/>
        <v>0</v>
      </c>
      <c r="M527" s="394">
        <f t="shared" si="108"/>
        <v>0</v>
      </c>
      <c r="N527" s="613">
        <f>INDEX(tblSubjectToLoan[Date],ROW()-ROW(tblContractForDeed[#Headers]))</f>
        <v>0</v>
      </c>
      <c r="O527" s="276">
        <f>IF(ROW()=ROW(tblContractForDeed[#Headers])+1,$O$6,IF(INDEX(tblContractForDeed[End Bal],ROW()-ROW(tblContractForDeed[#Headers])-1)&lt;0,0,INDEX(tblContractForDeed[End Bal],ROW()-ROW(tblContractForDeed[#Headers])-1)))</f>
        <v>0</v>
      </c>
      <c r="P527" s="454">
        <f>IF(tblContractForDeed[[#This Row],[Date]]="","",IF(tblContractForDeed[[#This Row],[Date]]&lt;cfdRateChangeDate,cfdRate1,cfdRate2))</f>
        <v>7.0000000000000007E-2</v>
      </c>
      <c r="Q5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467">
        <f>IF(INDEX(tblContractForDeed[Payment],ROW()-ROW(tblBuyerOutputs[#Headers]))=0,0,INDEX(tblContractForDeed[Payment],ROW()-ROW(tblBuyerOutputs[#Headers]))-INDEX(tblSubjectToLoan[Payment],ROW()-ROW(tblBuyerOutputs[#Headers])))</f>
        <v>0</v>
      </c>
      <c r="Z5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7" s="276">
        <f>IF(INDEX(tblContractForDeed[End Bal],ROW()-ROW(tblBuyerOutputs[#Headers]))&lt;=0,0,($O$6+IF(ROW()=ROW(tblBuyerOutputs[#Headers])+1,0,INDEX(tblBuyerOutputs[Cumul Appr],ROW()-ROW(tblBuyerOutputs[#Headers])-1)))*$AK$2/12)</f>
        <v>0</v>
      </c>
      <c r="AE527" s="276">
        <f>IF(INDEX(tblContractForDeed[End Bal],ROW()-ROW(tblBuyerOutputs[#Headers]))&lt;=0,0,IF(ROW()=ROW(tblBuyerOutputs[#Headers])+1,0,INDEX(tblBuyerOutputs[Cumul Appr],ROW()-ROW(tblBuyerOutputs[#Headers])-1))+tblBuyerOutputs[[#This Row],[Monthly Appr]])</f>
        <v>0</v>
      </c>
    </row>
    <row r="528" spans="1:43" x14ac:dyDescent="0.25">
      <c r="A528" s="613"/>
      <c r="L528" s="394">
        <f t="shared" si="116"/>
        <v>0</v>
      </c>
      <c r="M528" s="394">
        <f t="shared" si="108"/>
        <v>0</v>
      </c>
      <c r="N528" s="613">
        <f>INDEX(tblSubjectToLoan[Date],ROW()-ROW(tblContractForDeed[#Headers]))</f>
        <v>0</v>
      </c>
      <c r="O528" s="276">
        <f>IF(ROW()=ROW(tblContractForDeed[#Headers])+1,$O$6,IF(INDEX(tblContractForDeed[End Bal],ROW()-ROW(tblContractForDeed[#Headers])-1)&lt;0,0,INDEX(tblContractForDeed[End Bal],ROW()-ROW(tblContractForDeed[#Headers])-1)))</f>
        <v>0</v>
      </c>
      <c r="P528" s="454">
        <f>IF(tblContractForDeed[[#This Row],[Date]]="","",IF(tblContractForDeed[[#This Row],[Date]]&lt;cfdRateChangeDate,cfdRate1,cfdRate2))</f>
        <v>7.0000000000000007E-2</v>
      </c>
      <c r="Q5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467">
        <f>IF(INDEX(tblContractForDeed[Payment],ROW()-ROW(tblBuyerOutputs[#Headers]))=0,0,INDEX(tblContractForDeed[Payment],ROW()-ROW(tblBuyerOutputs[#Headers]))-INDEX(tblSubjectToLoan[Payment],ROW()-ROW(tblBuyerOutputs[#Headers])))</f>
        <v>0</v>
      </c>
      <c r="Z5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8" s="276">
        <f>IF(INDEX(tblContractForDeed[End Bal],ROW()-ROW(tblBuyerOutputs[#Headers]))&lt;=0,0,($O$6+IF(ROW()=ROW(tblBuyerOutputs[#Headers])+1,0,INDEX(tblBuyerOutputs[Cumul Appr],ROW()-ROW(tblBuyerOutputs[#Headers])-1)))*$AK$2/12)</f>
        <v>0</v>
      </c>
      <c r="AE528" s="276">
        <f>IF(INDEX(tblContractForDeed[End Bal],ROW()-ROW(tblBuyerOutputs[#Headers]))&lt;=0,0,IF(ROW()=ROW(tblBuyerOutputs[#Headers])+1,0,INDEX(tblBuyerOutputs[Cumul Appr],ROW()-ROW(tblBuyerOutputs[#Headers])-1))+tblBuyerOutputs[[#This Row],[Monthly Appr]])</f>
        <v>0</v>
      </c>
    </row>
    <row r="529" spans="1:43" x14ac:dyDescent="0.25">
      <c r="A529" s="613"/>
      <c r="L529" s="394">
        <f t="shared" si="116"/>
        <v>0</v>
      </c>
      <c r="M529" s="394">
        <f t="shared" si="108"/>
        <v>0</v>
      </c>
      <c r="N529" s="613">
        <f>INDEX(tblSubjectToLoan[Date],ROW()-ROW(tblContractForDeed[#Headers]))</f>
        <v>0</v>
      </c>
      <c r="O529" s="276">
        <f>IF(ROW()=ROW(tblContractForDeed[#Headers])+1,$O$6,IF(INDEX(tblContractForDeed[End Bal],ROW()-ROW(tblContractForDeed[#Headers])-1)&lt;0,0,INDEX(tblContractForDeed[End Bal],ROW()-ROW(tblContractForDeed[#Headers])-1)))</f>
        <v>0</v>
      </c>
      <c r="P529" s="454">
        <f>IF(tblContractForDeed[[#This Row],[Date]]="","",IF(tblContractForDeed[[#This Row],[Date]]&lt;cfdRateChangeDate,cfdRate1,cfdRate2))</f>
        <v>7.0000000000000007E-2</v>
      </c>
      <c r="Q5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467">
        <f>IF(INDEX(tblContractForDeed[Payment],ROW()-ROW(tblBuyerOutputs[#Headers]))=0,0,INDEX(tblContractForDeed[Payment],ROW()-ROW(tblBuyerOutputs[#Headers]))-INDEX(tblSubjectToLoan[Payment],ROW()-ROW(tblBuyerOutputs[#Headers])))</f>
        <v>0</v>
      </c>
      <c r="Z5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9" s="276">
        <f>IF(INDEX(tblContractForDeed[End Bal],ROW()-ROW(tblBuyerOutputs[#Headers]))&lt;=0,0,($O$6+IF(ROW()=ROW(tblBuyerOutputs[#Headers])+1,0,INDEX(tblBuyerOutputs[Cumul Appr],ROW()-ROW(tblBuyerOutputs[#Headers])-1)))*$AK$2/12)</f>
        <v>0</v>
      </c>
      <c r="AE529" s="276">
        <f>IF(INDEX(tblContractForDeed[End Bal],ROW()-ROW(tblBuyerOutputs[#Headers]))&lt;=0,0,IF(ROW()=ROW(tblBuyerOutputs[#Headers])+1,0,INDEX(tblBuyerOutputs[Cumul Appr],ROW()-ROW(tblBuyerOutputs[#Headers])-1))+tblBuyerOutputs[[#This Row],[Monthly Appr]])</f>
        <v>0</v>
      </c>
    </row>
    <row r="530" spans="1:43" x14ac:dyDescent="0.25">
      <c r="A530" s="613"/>
      <c r="L530" s="394">
        <f t="shared" si="116"/>
        <v>0</v>
      </c>
      <c r="M530" s="394">
        <f t="shared" si="108"/>
        <v>0</v>
      </c>
      <c r="N530" s="613">
        <f>INDEX(tblSubjectToLoan[Date],ROW()-ROW(tblContractForDeed[#Headers]))</f>
        <v>0</v>
      </c>
      <c r="O530" s="276">
        <f>IF(ROW()=ROW(tblContractForDeed[#Headers])+1,$O$6,IF(INDEX(tblContractForDeed[End Bal],ROW()-ROW(tblContractForDeed[#Headers])-1)&lt;0,0,INDEX(tblContractForDeed[End Bal],ROW()-ROW(tblContractForDeed[#Headers])-1)))</f>
        <v>0</v>
      </c>
      <c r="P530" s="454">
        <f>IF(tblContractForDeed[[#This Row],[Date]]="","",IF(tblContractForDeed[[#This Row],[Date]]&lt;cfdRateChangeDate,cfdRate1,cfdRate2))</f>
        <v>7.0000000000000007E-2</v>
      </c>
      <c r="Q5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467">
        <f>IF(INDEX(tblContractForDeed[Payment],ROW()-ROW(tblBuyerOutputs[#Headers]))=0,0,INDEX(tblContractForDeed[Payment],ROW()-ROW(tblBuyerOutputs[#Headers]))-INDEX(tblSubjectToLoan[Payment],ROW()-ROW(tblBuyerOutputs[#Headers])))</f>
        <v>0</v>
      </c>
      <c r="Z5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0" s="276">
        <f>IF(INDEX(tblContractForDeed[End Bal],ROW()-ROW(tblBuyerOutputs[#Headers]))&lt;=0,0,($O$6+IF(ROW()=ROW(tblBuyerOutputs[#Headers])+1,0,INDEX(tblBuyerOutputs[Cumul Appr],ROW()-ROW(tblBuyerOutputs[#Headers])-1)))*$AK$2/12)</f>
        <v>0</v>
      </c>
      <c r="AE530" s="276">
        <f>IF(INDEX(tblContractForDeed[End Bal],ROW()-ROW(tblBuyerOutputs[#Headers]))&lt;=0,0,IF(ROW()=ROW(tblBuyerOutputs[#Headers])+1,0,INDEX(tblBuyerOutputs[Cumul Appr],ROW()-ROW(tblBuyerOutputs[#Headers])-1))+tblBuyerOutputs[[#This Row],[Monthly Appr]])</f>
        <v>0</v>
      </c>
    </row>
    <row r="531" spans="1:43" x14ac:dyDescent="0.25">
      <c r="A531" s="613"/>
      <c r="L531" s="394">
        <f t="shared" si="116"/>
        <v>0</v>
      </c>
      <c r="M531" s="394">
        <f t="shared" si="108"/>
        <v>0</v>
      </c>
      <c r="N531" s="613">
        <f>INDEX(tblSubjectToLoan[Date],ROW()-ROW(tblContractForDeed[#Headers]))</f>
        <v>0</v>
      </c>
      <c r="O531" s="276">
        <f>IF(ROW()=ROW(tblContractForDeed[#Headers])+1,$O$6,IF(INDEX(tblContractForDeed[End Bal],ROW()-ROW(tblContractForDeed[#Headers])-1)&lt;0,0,INDEX(tblContractForDeed[End Bal],ROW()-ROW(tblContractForDeed[#Headers])-1)))</f>
        <v>0</v>
      </c>
      <c r="P531" s="454">
        <f>IF(tblContractForDeed[[#This Row],[Date]]="","",IF(tblContractForDeed[[#This Row],[Date]]&lt;cfdRateChangeDate,cfdRate1,cfdRate2))</f>
        <v>7.0000000000000007E-2</v>
      </c>
      <c r="Q5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467">
        <f>IF(INDEX(tblContractForDeed[Payment],ROW()-ROW(tblBuyerOutputs[#Headers]))=0,0,INDEX(tblContractForDeed[Payment],ROW()-ROW(tblBuyerOutputs[#Headers]))-INDEX(tblSubjectToLoan[Payment],ROW()-ROW(tblBuyerOutputs[#Headers])))</f>
        <v>0</v>
      </c>
      <c r="Z5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1" s="276">
        <f>IF(INDEX(tblContractForDeed[End Bal],ROW()-ROW(tblBuyerOutputs[#Headers]))&lt;=0,0,($O$6+IF(ROW()=ROW(tblBuyerOutputs[#Headers])+1,0,INDEX(tblBuyerOutputs[Cumul Appr],ROW()-ROW(tblBuyerOutputs[#Headers])-1)))*$AK$2/12)</f>
        <v>0</v>
      </c>
      <c r="AE531" s="276">
        <f>IF(INDEX(tblContractForDeed[End Bal],ROW()-ROW(tblBuyerOutputs[#Headers]))&lt;=0,0,IF(ROW()=ROW(tblBuyerOutputs[#Headers])+1,0,INDEX(tblBuyerOutputs[Cumul Appr],ROW()-ROW(tblBuyerOutputs[#Headers])-1))+tblBuyerOutputs[[#This Row],[Monthly Appr]])</f>
        <v>0</v>
      </c>
    </row>
    <row r="532" spans="1:43" x14ac:dyDescent="0.25">
      <c r="A532" s="613"/>
      <c r="L532" s="394">
        <f t="shared" si="116"/>
        <v>0</v>
      </c>
      <c r="M532" s="394">
        <f t="shared" si="108"/>
        <v>0</v>
      </c>
      <c r="N532" s="613">
        <f>INDEX(tblSubjectToLoan[Date],ROW()-ROW(tblContractForDeed[#Headers]))</f>
        <v>0</v>
      </c>
      <c r="O532" s="276">
        <f>IF(ROW()=ROW(tblContractForDeed[#Headers])+1,$O$6,IF(INDEX(tblContractForDeed[End Bal],ROW()-ROW(tblContractForDeed[#Headers])-1)&lt;0,0,INDEX(tblContractForDeed[End Bal],ROW()-ROW(tblContractForDeed[#Headers])-1)))</f>
        <v>0</v>
      </c>
      <c r="P532" s="454">
        <f>IF(tblContractForDeed[[#This Row],[Date]]="","",IF(tblContractForDeed[[#This Row],[Date]]&lt;cfdRateChangeDate,cfdRate1,cfdRate2))</f>
        <v>7.0000000000000007E-2</v>
      </c>
      <c r="Q5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467">
        <f>IF(INDEX(tblContractForDeed[Payment],ROW()-ROW(tblBuyerOutputs[#Headers]))=0,0,INDEX(tblContractForDeed[Payment],ROW()-ROW(tblBuyerOutputs[#Headers]))-INDEX(tblSubjectToLoan[Payment],ROW()-ROW(tblBuyerOutputs[#Headers])))</f>
        <v>0</v>
      </c>
      <c r="Z5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2" s="276">
        <f>IF(INDEX(tblContractForDeed[End Bal],ROW()-ROW(tblBuyerOutputs[#Headers]))&lt;=0,0,($O$6+IF(ROW()=ROW(tblBuyerOutputs[#Headers])+1,0,INDEX(tblBuyerOutputs[Cumul Appr],ROW()-ROW(tblBuyerOutputs[#Headers])-1)))*$AK$2/12)</f>
        <v>0</v>
      </c>
      <c r="AE532" s="276">
        <f>IF(INDEX(tblContractForDeed[End Bal],ROW()-ROW(tblBuyerOutputs[#Headers]))&lt;=0,0,IF(ROW()=ROW(tblBuyerOutputs[#Headers])+1,0,INDEX(tblBuyerOutputs[Cumul Appr],ROW()-ROW(tblBuyerOutputs[#Headers])-1))+tblBuyerOutputs[[#This Row],[Monthly Appr]])</f>
        <v>0</v>
      </c>
    </row>
    <row r="533" spans="1:43" x14ac:dyDescent="0.25">
      <c r="A533" s="613"/>
      <c r="L533" s="394">
        <f t="shared" si="116"/>
        <v>0</v>
      </c>
      <c r="M533" s="394">
        <f t="shared" ref="M533:M596" si="117">IF($A533&lt;&gt;"",M532+1,0)</f>
        <v>0</v>
      </c>
      <c r="N533" s="613">
        <f>INDEX(tblSubjectToLoan[Date],ROW()-ROW(tblContractForDeed[#Headers]))</f>
        <v>0</v>
      </c>
      <c r="O533" s="276">
        <f>IF(ROW()=ROW(tblContractForDeed[#Headers])+1,$O$6,IF(INDEX(tblContractForDeed[End Bal],ROW()-ROW(tblContractForDeed[#Headers])-1)&lt;0,0,INDEX(tblContractForDeed[End Bal],ROW()-ROW(tblContractForDeed[#Headers])-1)))</f>
        <v>0</v>
      </c>
      <c r="P533" s="454">
        <f>IF(tblContractForDeed[[#This Row],[Date]]="","",IF(tblContractForDeed[[#This Row],[Date]]&lt;cfdRateChangeDate,cfdRate1,cfdRate2))</f>
        <v>7.0000000000000007E-2</v>
      </c>
      <c r="Q5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467">
        <f>IF(INDEX(tblContractForDeed[Payment],ROW()-ROW(tblBuyerOutputs[#Headers]))=0,0,INDEX(tblContractForDeed[Payment],ROW()-ROW(tblBuyerOutputs[#Headers]))-INDEX(tblSubjectToLoan[Payment],ROW()-ROW(tblBuyerOutputs[#Headers])))</f>
        <v>0</v>
      </c>
      <c r="Z5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3" s="276">
        <f>IF(INDEX(tblContractForDeed[End Bal],ROW()-ROW(tblBuyerOutputs[#Headers]))&lt;=0,0,($O$6+IF(ROW()=ROW(tblBuyerOutputs[#Headers])+1,0,INDEX(tblBuyerOutputs[Cumul Appr],ROW()-ROW(tblBuyerOutputs[#Headers])-1)))*$AK$2/12)</f>
        <v>0</v>
      </c>
      <c r="AE533" s="276">
        <f>IF(INDEX(tblContractForDeed[End Bal],ROW()-ROW(tblBuyerOutputs[#Headers]))&lt;=0,0,IF(ROW()=ROW(tblBuyerOutputs[#Headers])+1,0,INDEX(tblBuyerOutputs[Cumul Appr],ROW()-ROW(tblBuyerOutputs[#Headers])-1))+tblBuyerOutputs[[#This Row],[Monthly Appr]])</f>
        <v>0</v>
      </c>
    </row>
    <row r="534" spans="1:43" x14ac:dyDescent="0.25">
      <c r="A534" s="613"/>
      <c r="L534" s="394">
        <f t="shared" si="116"/>
        <v>0</v>
      </c>
      <c r="M534" s="394">
        <f t="shared" si="117"/>
        <v>0</v>
      </c>
      <c r="N534" s="613">
        <f>INDEX(tblSubjectToLoan[Date],ROW()-ROW(tblContractForDeed[#Headers]))</f>
        <v>0</v>
      </c>
      <c r="O534" s="276">
        <f>IF(ROW()=ROW(tblContractForDeed[#Headers])+1,$O$6,IF(INDEX(tblContractForDeed[End Bal],ROW()-ROW(tblContractForDeed[#Headers])-1)&lt;0,0,INDEX(tblContractForDeed[End Bal],ROW()-ROW(tblContractForDeed[#Headers])-1)))</f>
        <v>0</v>
      </c>
      <c r="P534" s="454">
        <f>IF(tblContractForDeed[[#This Row],[Date]]="","",IF(tblContractForDeed[[#This Row],[Date]]&lt;cfdRateChangeDate,cfdRate1,cfdRate2))</f>
        <v>7.0000000000000007E-2</v>
      </c>
      <c r="Q5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467">
        <f>IF(INDEX(tblContractForDeed[Payment],ROW()-ROW(tblBuyerOutputs[#Headers]))=0,0,INDEX(tblContractForDeed[Payment],ROW()-ROW(tblBuyerOutputs[#Headers]))-INDEX(tblSubjectToLoan[Payment],ROW()-ROW(tblBuyerOutputs[#Headers])))</f>
        <v>0</v>
      </c>
      <c r="Z5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4" s="276">
        <f>IF(INDEX(tblContractForDeed[End Bal],ROW()-ROW(tblBuyerOutputs[#Headers]))&lt;=0,0,($O$6+IF(ROW()=ROW(tblBuyerOutputs[#Headers])+1,0,INDEX(tblBuyerOutputs[Cumul Appr],ROW()-ROW(tblBuyerOutputs[#Headers])-1)))*$AK$2/12)</f>
        <v>0</v>
      </c>
      <c r="AE534" s="276">
        <f>IF(INDEX(tblContractForDeed[End Bal],ROW()-ROW(tblBuyerOutputs[#Headers]))&lt;=0,0,IF(ROW()=ROW(tblBuyerOutputs[#Headers])+1,0,INDEX(tblBuyerOutputs[Cumul Appr],ROW()-ROW(tblBuyerOutputs[#Headers])-1))+tblBuyerOutputs[[#This Row],[Monthly Appr]])</f>
        <v>0</v>
      </c>
    </row>
    <row r="535" spans="1:43" ht="15.75" thickBot="1" x14ac:dyDescent="0.3">
      <c r="A535" s="615"/>
      <c r="B535" s="332"/>
      <c r="C535" s="21"/>
      <c r="D535" s="21"/>
      <c r="E535" s="21"/>
      <c r="F535" s="21"/>
      <c r="G535" s="21"/>
      <c r="H535" s="21"/>
      <c r="I535" s="332"/>
      <c r="J535" s="332"/>
      <c r="K535" s="332"/>
      <c r="L535" s="395">
        <f t="shared" si="116"/>
        <v>0</v>
      </c>
      <c r="M535" s="395">
        <f t="shared" si="117"/>
        <v>0</v>
      </c>
      <c r="N535" s="615">
        <f>INDEX(tblSubjectToLoan[Date],ROW()-ROW(tblContractForDeed[#Headers]))</f>
        <v>0</v>
      </c>
      <c r="O535" s="276">
        <f>IF(ROW()=ROW(tblContractForDeed[#Headers])+1,$O$6,IF(INDEX(tblContractForDeed[End Bal],ROW()-ROW(tblContractForDeed[#Headers])-1)&lt;0,0,INDEX(tblContractForDeed[End Bal],ROW()-ROW(tblContractForDeed[#Headers])-1)))</f>
        <v>0</v>
      </c>
      <c r="P535" s="454">
        <f>IF(tblContractForDeed[[#This Row],[Date]]="","",IF(tblContractForDeed[[#This Row],[Date]]&lt;cfdRateChangeDate,cfdRate1,cfdRate2))</f>
        <v>7.0000000000000007E-2</v>
      </c>
      <c r="Q5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467">
        <f>IF(INDEX(tblContractForDeed[Payment],ROW()-ROW(tblBuyerOutputs[#Headers]))=0,0,INDEX(tblContractForDeed[Payment],ROW()-ROW(tblBuyerOutputs[#Headers]))-INDEX(tblSubjectToLoan[Payment],ROW()-ROW(tblBuyerOutputs[#Headers])))</f>
        <v>0</v>
      </c>
      <c r="Z5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5" s="332">
        <f>IF(INDEX(tblContractForDeed[End Bal],ROW()-ROW(tblBuyerOutputs[#Headers]))&lt;=0,0,($O$6+IF(ROW()=ROW(tblBuyerOutputs[#Headers])+1,0,INDEX(tblBuyerOutputs[Cumul Appr],ROW()-ROW(tblBuyerOutputs[#Headers])-1)))*$AK$2/12)</f>
        <v>0</v>
      </c>
      <c r="AE535" s="332">
        <f>IF(INDEX(tblContractForDeed[End Bal],ROW()-ROW(tblBuyerOutputs[#Headers]))&lt;=0,0,IF(ROW()=ROW(tblBuyerOutputs[#Headers])+1,0,INDEX(tblBuyerOutputs[Cumul Appr],ROW()-ROW(tblBuyerOutputs[#Headers])-1))+tblBuyerOutputs[[#This Row],[Monthly Appr]])</f>
        <v>0</v>
      </c>
      <c r="AQ535" s="21"/>
    </row>
    <row r="536" spans="1:43" x14ac:dyDescent="0.25">
      <c r="A536" s="613"/>
      <c r="L536" s="394">
        <f t="shared" si="116"/>
        <v>0</v>
      </c>
      <c r="M536" s="394">
        <f t="shared" si="117"/>
        <v>0</v>
      </c>
      <c r="N536" s="613">
        <f>INDEX(tblSubjectToLoan[Date],ROW()-ROW(tblContractForDeed[#Headers]))</f>
        <v>0</v>
      </c>
      <c r="O536" s="276">
        <f>IF(ROW()=ROW(tblContractForDeed[#Headers])+1,$O$6,IF(INDEX(tblContractForDeed[End Bal],ROW()-ROW(tblContractForDeed[#Headers])-1)&lt;0,0,INDEX(tblContractForDeed[End Bal],ROW()-ROW(tblContractForDeed[#Headers])-1)))</f>
        <v>0</v>
      </c>
      <c r="P536" s="454">
        <f>IF(tblContractForDeed[[#This Row],[Date]]="","",IF(tblContractForDeed[[#This Row],[Date]]&lt;cfdRateChangeDate,cfdRate1,cfdRate2))</f>
        <v>7.0000000000000007E-2</v>
      </c>
      <c r="Q5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467">
        <f>IF(INDEX(tblContractForDeed[Payment],ROW()-ROW(tblBuyerOutputs[#Headers]))=0,0,INDEX(tblContractForDeed[Payment],ROW()-ROW(tblBuyerOutputs[#Headers]))-INDEX(tblSubjectToLoan[Payment],ROW()-ROW(tblBuyerOutputs[#Headers])))</f>
        <v>0</v>
      </c>
      <c r="Z5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6" s="276">
        <f>IF(INDEX(tblContractForDeed[End Bal],ROW()-ROW(tblBuyerOutputs[#Headers]))&lt;=0,0,($O$6+IF(ROW()=ROW(tblBuyerOutputs[#Headers])+1,0,INDEX(tblBuyerOutputs[Cumul Appr],ROW()-ROW(tblBuyerOutputs[#Headers])-1)))*$AK$2/12)</f>
        <v>0</v>
      </c>
      <c r="AE536" s="276">
        <f>IF(INDEX(tblContractForDeed[End Bal],ROW()-ROW(tblBuyerOutputs[#Headers]))&lt;=0,0,IF(ROW()=ROW(tblBuyerOutputs[#Headers])+1,0,INDEX(tblBuyerOutputs[Cumul Appr],ROW()-ROW(tblBuyerOutputs[#Headers])-1))+tblBuyerOutputs[[#This Row],[Monthly Appr]])</f>
        <v>0</v>
      </c>
    </row>
    <row r="537" spans="1:43" x14ac:dyDescent="0.25">
      <c r="A537" s="613"/>
      <c r="L537" s="394">
        <f t="shared" si="116"/>
        <v>0</v>
      </c>
      <c r="M537" s="394">
        <f t="shared" si="117"/>
        <v>0</v>
      </c>
      <c r="N537" s="613">
        <f>INDEX(tblSubjectToLoan[Date],ROW()-ROW(tblContractForDeed[#Headers]))</f>
        <v>0</v>
      </c>
      <c r="O537" s="276">
        <f>IF(ROW()=ROW(tblContractForDeed[#Headers])+1,$O$6,IF(INDEX(tblContractForDeed[End Bal],ROW()-ROW(tblContractForDeed[#Headers])-1)&lt;0,0,INDEX(tblContractForDeed[End Bal],ROW()-ROW(tblContractForDeed[#Headers])-1)))</f>
        <v>0</v>
      </c>
      <c r="P537" s="454">
        <f>IF(tblContractForDeed[[#This Row],[Date]]="","",IF(tblContractForDeed[[#This Row],[Date]]&lt;cfdRateChangeDate,cfdRate1,cfdRate2))</f>
        <v>7.0000000000000007E-2</v>
      </c>
      <c r="Q5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467">
        <f>IF(INDEX(tblContractForDeed[Payment],ROW()-ROW(tblBuyerOutputs[#Headers]))=0,0,INDEX(tblContractForDeed[Payment],ROW()-ROW(tblBuyerOutputs[#Headers]))-INDEX(tblSubjectToLoan[Payment],ROW()-ROW(tblBuyerOutputs[#Headers])))</f>
        <v>0</v>
      </c>
      <c r="Z5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7" s="276">
        <f>IF(INDEX(tblContractForDeed[End Bal],ROW()-ROW(tblBuyerOutputs[#Headers]))&lt;=0,0,($O$6+IF(ROW()=ROW(tblBuyerOutputs[#Headers])+1,0,INDEX(tblBuyerOutputs[Cumul Appr],ROW()-ROW(tblBuyerOutputs[#Headers])-1)))*$AK$2/12)</f>
        <v>0</v>
      </c>
      <c r="AE537" s="276">
        <f>IF(INDEX(tblContractForDeed[End Bal],ROW()-ROW(tblBuyerOutputs[#Headers]))&lt;=0,0,IF(ROW()=ROW(tblBuyerOutputs[#Headers])+1,0,INDEX(tblBuyerOutputs[Cumul Appr],ROW()-ROW(tblBuyerOutputs[#Headers])-1))+tblBuyerOutputs[[#This Row],[Monthly Appr]])</f>
        <v>0</v>
      </c>
    </row>
    <row r="538" spans="1:43" x14ac:dyDescent="0.25">
      <c r="A538" s="613"/>
      <c r="L538" s="394">
        <f t="shared" si="116"/>
        <v>0</v>
      </c>
      <c r="M538" s="394">
        <f t="shared" si="117"/>
        <v>0</v>
      </c>
      <c r="N538" s="613">
        <f>INDEX(tblSubjectToLoan[Date],ROW()-ROW(tblContractForDeed[#Headers]))</f>
        <v>0</v>
      </c>
      <c r="O538" s="276">
        <f>IF(ROW()=ROW(tblContractForDeed[#Headers])+1,$O$6,IF(INDEX(tblContractForDeed[End Bal],ROW()-ROW(tblContractForDeed[#Headers])-1)&lt;0,0,INDEX(tblContractForDeed[End Bal],ROW()-ROW(tblContractForDeed[#Headers])-1)))</f>
        <v>0</v>
      </c>
      <c r="P538" s="454">
        <f>IF(tblContractForDeed[[#This Row],[Date]]="","",IF(tblContractForDeed[[#This Row],[Date]]&lt;cfdRateChangeDate,cfdRate1,cfdRate2))</f>
        <v>7.0000000000000007E-2</v>
      </c>
      <c r="Q5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467">
        <f>IF(INDEX(tblContractForDeed[Payment],ROW()-ROW(tblBuyerOutputs[#Headers]))=0,0,INDEX(tblContractForDeed[Payment],ROW()-ROW(tblBuyerOutputs[#Headers]))-INDEX(tblSubjectToLoan[Payment],ROW()-ROW(tblBuyerOutputs[#Headers])))</f>
        <v>0</v>
      </c>
      <c r="Z5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8" s="276">
        <f>IF(INDEX(tblContractForDeed[End Bal],ROW()-ROW(tblBuyerOutputs[#Headers]))&lt;=0,0,($O$6+IF(ROW()=ROW(tblBuyerOutputs[#Headers])+1,0,INDEX(tblBuyerOutputs[Cumul Appr],ROW()-ROW(tblBuyerOutputs[#Headers])-1)))*$AK$2/12)</f>
        <v>0</v>
      </c>
      <c r="AE538" s="276">
        <f>IF(INDEX(tblContractForDeed[End Bal],ROW()-ROW(tblBuyerOutputs[#Headers]))&lt;=0,0,IF(ROW()=ROW(tblBuyerOutputs[#Headers])+1,0,INDEX(tblBuyerOutputs[Cumul Appr],ROW()-ROW(tblBuyerOutputs[#Headers])-1))+tblBuyerOutputs[[#This Row],[Monthly Appr]])</f>
        <v>0</v>
      </c>
    </row>
    <row r="539" spans="1:43" x14ac:dyDescent="0.25">
      <c r="A539" s="613"/>
      <c r="L539" s="394">
        <f t="shared" si="116"/>
        <v>0</v>
      </c>
      <c r="M539" s="394">
        <f t="shared" si="117"/>
        <v>0</v>
      </c>
      <c r="N539" s="613">
        <f>INDEX(tblSubjectToLoan[Date],ROW()-ROW(tblContractForDeed[#Headers]))</f>
        <v>0</v>
      </c>
      <c r="O539" s="276">
        <f>IF(ROW()=ROW(tblContractForDeed[#Headers])+1,$O$6,IF(INDEX(tblContractForDeed[End Bal],ROW()-ROW(tblContractForDeed[#Headers])-1)&lt;0,0,INDEX(tblContractForDeed[End Bal],ROW()-ROW(tblContractForDeed[#Headers])-1)))</f>
        <v>0</v>
      </c>
      <c r="P539" s="454">
        <f>IF(tblContractForDeed[[#This Row],[Date]]="","",IF(tblContractForDeed[[#This Row],[Date]]&lt;cfdRateChangeDate,cfdRate1,cfdRate2))</f>
        <v>7.0000000000000007E-2</v>
      </c>
      <c r="Q5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467">
        <f>IF(INDEX(tblContractForDeed[Payment],ROW()-ROW(tblBuyerOutputs[#Headers]))=0,0,INDEX(tblContractForDeed[Payment],ROW()-ROW(tblBuyerOutputs[#Headers]))-INDEX(tblSubjectToLoan[Payment],ROW()-ROW(tblBuyerOutputs[#Headers])))</f>
        <v>0</v>
      </c>
      <c r="Z5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9" s="276">
        <f>IF(INDEX(tblContractForDeed[End Bal],ROW()-ROW(tblBuyerOutputs[#Headers]))&lt;=0,0,($O$6+IF(ROW()=ROW(tblBuyerOutputs[#Headers])+1,0,INDEX(tblBuyerOutputs[Cumul Appr],ROW()-ROW(tblBuyerOutputs[#Headers])-1)))*$AK$2/12)</f>
        <v>0</v>
      </c>
      <c r="AE539" s="276">
        <f>IF(INDEX(tblContractForDeed[End Bal],ROW()-ROW(tblBuyerOutputs[#Headers]))&lt;=0,0,IF(ROW()=ROW(tblBuyerOutputs[#Headers])+1,0,INDEX(tblBuyerOutputs[Cumul Appr],ROW()-ROW(tblBuyerOutputs[#Headers])-1))+tblBuyerOutputs[[#This Row],[Monthly Appr]])</f>
        <v>0</v>
      </c>
    </row>
    <row r="540" spans="1:43" x14ac:dyDescent="0.25">
      <c r="A540" s="613"/>
      <c r="L540" s="394">
        <f t="shared" si="116"/>
        <v>0</v>
      </c>
      <c r="M540" s="394">
        <f t="shared" si="117"/>
        <v>0</v>
      </c>
      <c r="N540" s="613">
        <f>INDEX(tblSubjectToLoan[Date],ROW()-ROW(tblContractForDeed[#Headers]))</f>
        <v>0</v>
      </c>
      <c r="O540" s="276">
        <f>IF(ROW()=ROW(tblContractForDeed[#Headers])+1,$O$6,IF(INDEX(tblContractForDeed[End Bal],ROW()-ROW(tblContractForDeed[#Headers])-1)&lt;0,0,INDEX(tblContractForDeed[End Bal],ROW()-ROW(tblContractForDeed[#Headers])-1)))</f>
        <v>0</v>
      </c>
      <c r="P540" s="454">
        <f>IF(tblContractForDeed[[#This Row],[Date]]="","",IF(tblContractForDeed[[#This Row],[Date]]&lt;cfdRateChangeDate,cfdRate1,cfdRate2))</f>
        <v>7.0000000000000007E-2</v>
      </c>
      <c r="Q5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467">
        <f>IF(INDEX(tblContractForDeed[Payment],ROW()-ROW(tblBuyerOutputs[#Headers]))=0,0,INDEX(tblContractForDeed[Payment],ROW()-ROW(tblBuyerOutputs[#Headers]))-INDEX(tblSubjectToLoan[Payment],ROW()-ROW(tblBuyerOutputs[#Headers])))</f>
        <v>0</v>
      </c>
      <c r="Z5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0" s="276">
        <f>IF(INDEX(tblContractForDeed[End Bal],ROW()-ROW(tblBuyerOutputs[#Headers]))&lt;=0,0,($O$6+IF(ROW()=ROW(tblBuyerOutputs[#Headers])+1,0,INDEX(tblBuyerOutputs[Cumul Appr],ROW()-ROW(tblBuyerOutputs[#Headers])-1)))*$AK$2/12)</f>
        <v>0</v>
      </c>
      <c r="AE540" s="276">
        <f>IF(INDEX(tblContractForDeed[End Bal],ROW()-ROW(tblBuyerOutputs[#Headers]))&lt;=0,0,IF(ROW()=ROW(tblBuyerOutputs[#Headers])+1,0,INDEX(tblBuyerOutputs[Cumul Appr],ROW()-ROW(tblBuyerOutputs[#Headers])-1))+tblBuyerOutputs[[#This Row],[Monthly Appr]])</f>
        <v>0</v>
      </c>
    </row>
    <row r="541" spans="1:43" x14ac:dyDescent="0.25">
      <c r="A541" s="613"/>
      <c r="L541" s="394">
        <f t="shared" si="116"/>
        <v>0</v>
      </c>
      <c r="M541" s="394">
        <f t="shared" si="117"/>
        <v>0</v>
      </c>
      <c r="N541" s="613">
        <f>INDEX(tblSubjectToLoan[Date],ROW()-ROW(tblContractForDeed[#Headers]))</f>
        <v>0</v>
      </c>
      <c r="O541" s="276">
        <f>IF(ROW()=ROW(tblContractForDeed[#Headers])+1,$O$6,IF(INDEX(tblContractForDeed[End Bal],ROW()-ROW(tblContractForDeed[#Headers])-1)&lt;0,0,INDEX(tblContractForDeed[End Bal],ROW()-ROW(tblContractForDeed[#Headers])-1)))</f>
        <v>0</v>
      </c>
      <c r="P541" s="454">
        <f>IF(tblContractForDeed[[#This Row],[Date]]="","",IF(tblContractForDeed[[#This Row],[Date]]&lt;cfdRateChangeDate,cfdRate1,cfdRate2))</f>
        <v>7.0000000000000007E-2</v>
      </c>
      <c r="Q5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467">
        <f>IF(INDEX(tblContractForDeed[Payment],ROW()-ROW(tblBuyerOutputs[#Headers]))=0,0,INDEX(tblContractForDeed[Payment],ROW()-ROW(tblBuyerOutputs[#Headers]))-INDEX(tblSubjectToLoan[Payment],ROW()-ROW(tblBuyerOutputs[#Headers])))</f>
        <v>0</v>
      </c>
      <c r="Z5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1" s="276">
        <f>IF(INDEX(tblContractForDeed[End Bal],ROW()-ROW(tblBuyerOutputs[#Headers]))&lt;=0,0,($O$6+IF(ROW()=ROW(tblBuyerOutputs[#Headers])+1,0,INDEX(tblBuyerOutputs[Cumul Appr],ROW()-ROW(tblBuyerOutputs[#Headers])-1)))*$AK$2/12)</f>
        <v>0</v>
      </c>
      <c r="AE541" s="276">
        <f>IF(INDEX(tblContractForDeed[End Bal],ROW()-ROW(tblBuyerOutputs[#Headers]))&lt;=0,0,IF(ROW()=ROW(tblBuyerOutputs[#Headers])+1,0,INDEX(tblBuyerOutputs[Cumul Appr],ROW()-ROW(tblBuyerOutputs[#Headers])-1))+tblBuyerOutputs[[#This Row],[Monthly Appr]])</f>
        <v>0</v>
      </c>
    </row>
    <row r="542" spans="1:43" x14ac:dyDescent="0.25">
      <c r="A542" s="613"/>
      <c r="L542" s="394">
        <f t="shared" si="116"/>
        <v>0</v>
      </c>
      <c r="M542" s="394">
        <f t="shared" si="117"/>
        <v>0</v>
      </c>
      <c r="N542" s="613">
        <f>INDEX(tblSubjectToLoan[Date],ROW()-ROW(tblContractForDeed[#Headers]))</f>
        <v>0</v>
      </c>
      <c r="O542" s="276">
        <f>IF(ROW()=ROW(tblContractForDeed[#Headers])+1,$O$6,IF(INDEX(tblContractForDeed[End Bal],ROW()-ROW(tblContractForDeed[#Headers])-1)&lt;0,0,INDEX(tblContractForDeed[End Bal],ROW()-ROW(tblContractForDeed[#Headers])-1)))</f>
        <v>0</v>
      </c>
      <c r="P542" s="454">
        <f>IF(tblContractForDeed[[#This Row],[Date]]="","",IF(tblContractForDeed[[#This Row],[Date]]&lt;cfdRateChangeDate,cfdRate1,cfdRate2))</f>
        <v>7.0000000000000007E-2</v>
      </c>
      <c r="Q5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467">
        <f>IF(INDEX(tblContractForDeed[Payment],ROW()-ROW(tblBuyerOutputs[#Headers]))=0,0,INDEX(tblContractForDeed[Payment],ROW()-ROW(tblBuyerOutputs[#Headers]))-INDEX(tblSubjectToLoan[Payment],ROW()-ROW(tblBuyerOutputs[#Headers])))</f>
        <v>0</v>
      </c>
      <c r="Z5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2" s="276">
        <f>IF(INDEX(tblContractForDeed[End Bal],ROW()-ROW(tblBuyerOutputs[#Headers]))&lt;=0,0,($O$6+IF(ROW()=ROW(tblBuyerOutputs[#Headers])+1,0,INDEX(tblBuyerOutputs[Cumul Appr],ROW()-ROW(tblBuyerOutputs[#Headers])-1)))*$AK$2/12)</f>
        <v>0</v>
      </c>
      <c r="AE542" s="276">
        <f>IF(INDEX(tblContractForDeed[End Bal],ROW()-ROW(tblBuyerOutputs[#Headers]))&lt;=0,0,IF(ROW()=ROW(tblBuyerOutputs[#Headers])+1,0,INDEX(tblBuyerOutputs[Cumul Appr],ROW()-ROW(tblBuyerOutputs[#Headers])-1))+tblBuyerOutputs[[#This Row],[Monthly Appr]])</f>
        <v>0</v>
      </c>
    </row>
    <row r="543" spans="1:43" x14ac:dyDescent="0.25">
      <c r="A543" s="613"/>
      <c r="L543" s="394">
        <f t="shared" si="116"/>
        <v>0</v>
      </c>
      <c r="M543" s="394">
        <f t="shared" si="117"/>
        <v>0</v>
      </c>
      <c r="N543" s="613">
        <f>INDEX(tblSubjectToLoan[Date],ROW()-ROW(tblContractForDeed[#Headers]))</f>
        <v>0</v>
      </c>
      <c r="O543" s="276">
        <f>IF(ROW()=ROW(tblContractForDeed[#Headers])+1,$O$6,IF(INDEX(tblContractForDeed[End Bal],ROW()-ROW(tblContractForDeed[#Headers])-1)&lt;0,0,INDEX(tblContractForDeed[End Bal],ROW()-ROW(tblContractForDeed[#Headers])-1)))</f>
        <v>0</v>
      </c>
      <c r="P543" s="454">
        <f>IF(tblContractForDeed[[#This Row],[Date]]="","",IF(tblContractForDeed[[#This Row],[Date]]&lt;cfdRateChangeDate,cfdRate1,cfdRate2))</f>
        <v>7.0000000000000007E-2</v>
      </c>
      <c r="Q5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467">
        <f>IF(INDEX(tblContractForDeed[Payment],ROW()-ROW(tblBuyerOutputs[#Headers]))=0,0,INDEX(tblContractForDeed[Payment],ROW()-ROW(tblBuyerOutputs[#Headers]))-INDEX(tblSubjectToLoan[Payment],ROW()-ROW(tblBuyerOutputs[#Headers])))</f>
        <v>0</v>
      </c>
      <c r="Z5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3" s="276">
        <f>IF(INDEX(tblContractForDeed[End Bal],ROW()-ROW(tblBuyerOutputs[#Headers]))&lt;=0,0,($O$6+IF(ROW()=ROW(tblBuyerOutputs[#Headers])+1,0,INDEX(tblBuyerOutputs[Cumul Appr],ROW()-ROW(tblBuyerOutputs[#Headers])-1)))*$AK$2/12)</f>
        <v>0</v>
      </c>
      <c r="AE543" s="276">
        <f>IF(INDEX(tblContractForDeed[End Bal],ROW()-ROW(tblBuyerOutputs[#Headers]))&lt;=0,0,IF(ROW()=ROW(tblBuyerOutputs[#Headers])+1,0,INDEX(tblBuyerOutputs[Cumul Appr],ROW()-ROW(tblBuyerOutputs[#Headers])-1))+tblBuyerOutputs[[#This Row],[Monthly Appr]])</f>
        <v>0</v>
      </c>
    </row>
    <row r="544" spans="1:43" x14ac:dyDescent="0.25">
      <c r="A544" s="613"/>
      <c r="L544" s="394">
        <f t="shared" si="116"/>
        <v>0</v>
      </c>
      <c r="M544" s="394">
        <f t="shared" si="117"/>
        <v>0</v>
      </c>
      <c r="N544" s="613">
        <f>INDEX(tblSubjectToLoan[Date],ROW()-ROW(tblContractForDeed[#Headers]))</f>
        <v>0</v>
      </c>
      <c r="O544" s="276">
        <f>IF(ROW()=ROW(tblContractForDeed[#Headers])+1,$O$6,IF(INDEX(tblContractForDeed[End Bal],ROW()-ROW(tblContractForDeed[#Headers])-1)&lt;0,0,INDEX(tblContractForDeed[End Bal],ROW()-ROW(tblContractForDeed[#Headers])-1)))</f>
        <v>0</v>
      </c>
      <c r="P544" s="454">
        <f>IF(tblContractForDeed[[#This Row],[Date]]="","",IF(tblContractForDeed[[#This Row],[Date]]&lt;cfdRateChangeDate,cfdRate1,cfdRate2))</f>
        <v>7.0000000000000007E-2</v>
      </c>
      <c r="Q5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467">
        <f>IF(INDEX(tblContractForDeed[Payment],ROW()-ROW(tblBuyerOutputs[#Headers]))=0,0,INDEX(tblContractForDeed[Payment],ROW()-ROW(tblBuyerOutputs[#Headers]))-INDEX(tblSubjectToLoan[Payment],ROW()-ROW(tblBuyerOutputs[#Headers])))</f>
        <v>0</v>
      </c>
      <c r="Z5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4" s="276">
        <f>IF(INDEX(tblContractForDeed[End Bal],ROW()-ROW(tblBuyerOutputs[#Headers]))&lt;=0,0,($O$6+IF(ROW()=ROW(tblBuyerOutputs[#Headers])+1,0,INDEX(tblBuyerOutputs[Cumul Appr],ROW()-ROW(tblBuyerOutputs[#Headers])-1)))*$AK$2/12)</f>
        <v>0</v>
      </c>
      <c r="AE544" s="276">
        <f>IF(INDEX(tblContractForDeed[End Bal],ROW()-ROW(tblBuyerOutputs[#Headers]))&lt;=0,0,IF(ROW()=ROW(tblBuyerOutputs[#Headers])+1,0,INDEX(tblBuyerOutputs[Cumul Appr],ROW()-ROW(tblBuyerOutputs[#Headers])-1))+tblBuyerOutputs[[#This Row],[Monthly Appr]])</f>
        <v>0</v>
      </c>
    </row>
    <row r="545" spans="1:43" x14ac:dyDescent="0.25">
      <c r="A545" s="613"/>
      <c r="L545" s="394">
        <f t="shared" si="116"/>
        <v>0</v>
      </c>
      <c r="M545" s="394">
        <f t="shared" si="117"/>
        <v>0</v>
      </c>
      <c r="N545" s="613">
        <f>INDEX(tblSubjectToLoan[Date],ROW()-ROW(tblContractForDeed[#Headers]))</f>
        <v>0</v>
      </c>
      <c r="O545" s="276">
        <f>IF(ROW()=ROW(tblContractForDeed[#Headers])+1,$O$6,IF(INDEX(tblContractForDeed[End Bal],ROW()-ROW(tblContractForDeed[#Headers])-1)&lt;0,0,INDEX(tblContractForDeed[End Bal],ROW()-ROW(tblContractForDeed[#Headers])-1)))</f>
        <v>0</v>
      </c>
      <c r="P545" s="454">
        <f>IF(tblContractForDeed[[#This Row],[Date]]="","",IF(tblContractForDeed[[#This Row],[Date]]&lt;cfdRateChangeDate,cfdRate1,cfdRate2))</f>
        <v>7.0000000000000007E-2</v>
      </c>
      <c r="Q5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467">
        <f>IF(INDEX(tblContractForDeed[Payment],ROW()-ROW(tblBuyerOutputs[#Headers]))=0,0,INDEX(tblContractForDeed[Payment],ROW()-ROW(tblBuyerOutputs[#Headers]))-INDEX(tblSubjectToLoan[Payment],ROW()-ROW(tblBuyerOutputs[#Headers])))</f>
        <v>0</v>
      </c>
      <c r="Z5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5" s="276">
        <f>IF(INDEX(tblContractForDeed[End Bal],ROW()-ROW(tblBuyerOutputs[#Headers]))&lt;=0,0,($O$6+IF(ROW()=ROW(tblBuyerOutputs[#Headers])+1,0,INDEX(tblBuyerOutputs[Cumul Appr],ROW()-ROW(tblBuyerOutputs[#Headers])-1)))*$AK$2/12)</f>
        <v>0</v>
      </c>
      <c r="AE545" s="276">
        <f>IF(INDEX(tblContractForDeed[End Bal],ROW()-ROW(tblBuyerOutputs[#Headers]))&lt;=0,0,IF(ROW()=ROW(tblBuyerOutputs[#Headers])+1,0,INDEX(tblBuyerOutputs[Cumul Appr],ROW()-ROW(tblBuyerOutputs[#Headers])-1))+tblBuyerOutputs[[#This Row],[Monthly Appr]])</f>
        <v>0</v>
      </c>
    </row>
    <row r="546" spans="1:43" x14ac:dyDescent="0.25">
      <c r="A546" s="613"/>
      <c r="L546" s="394">
        <f t="shared" si="116"/>
        <v>0</v>
      </c>
      <c r="M546" s="394">
        <f t="shared" si="117"/>
        <v>0</v>
      </c>
      <c r="N546" s="613">
        <f>INDEX(tblSubjectToLoan[Date],ROW()-ROW(tblContractForDeed[#Headers]))</f>
        <v>0</v>
      </c>
      <c r="O546" s="276">
        <f>IF(ROW()=ROW(tblContractForDeed[#Headers])+1,$O$6,IF(INDEX(tblContractForDeed[End Bal],ROW()-ROW(tblContractForDeed[#Headers])-1)&lt;0,0,INDEX(tblContractForDeed[End Bal],ROW()-ROW(tblContractForDeed[#Headers])-1)))</f>
        <v>0</v>
      </c>
      <c r="P546" s="454">
        <f>IF(tblContractForDeed[[#This Row],[Date]]="","",IF(tblContractForDeed[[#This Row],[Date]]&lt;cfdRateChangeDate,cfdRate1,cfdRate2))</f>
        <v>7.0000000000000007E-2</v>
      </c>
      <c r="Q5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467">
        <f>IF(INDEX(tblContractForDeed[Payment],ROW()-ROW(tblBuyerOutputs[#Headers]))=0,0,INDEX(tblContractForDeed[Payment],ROW()-ROW(tblBuyerOutputs[#Headers]))-INDEX(tblSubjectToLoan[Payment],ROW()-ROW(tblBuyerOutputs[#Headers])))</f>
        <v>0</v>
      </c>
      <c r="Z5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6" s="276">
        <f>IF(INDEX(tblContractForDeed[End Bal],ROW()-ROW(tblBuyerOutputs[#Headers]))&lt;=0,0,($O$6+IF(ROW()=ROW(tblBuyerOutputs[#Headers])+1,0,INDEX(tblBuyerOutputs[Cumul Appr],ROW()-ROW(tblBuyerOutputs[#Headers])-1)))*$AK$2/12)</f>
        <v>0</v>
      </c>
      <c r="AE546" s="276">
        <f>IF(INDEX(tblContractForDeed[End Bal],ROW()-ROW(tblBuyerOutputs[#Headers]))&lt;=0,0,IF(ROW()=ROW(tblBuyerOutputs[#Headers])+1,0,INDEX(tblBuyerOutputs[Cumul Appr],ROW()-ROW(tblBuyerOutputs[#Headers])-1))+tblBuyerOutputs[[#This Row],[Monthly Appr]])</f>
        <v>0</v>
      </c>
    </row>
    <row r="547" spans="1:43" ht="15.75" thickBot="1" x14ac:dyDescent="0.3">
      <c r="A547" s="615"/>
      <c r="B547" s="332"/>
      <c r="C547" s="21"/>
      <c r="D547" s="21"/>
      <c r="E547" s="21"/>
      <c r="F547" s="21"/>
      <c r="G547" s="21"/>
      <c r="H547" s="21"/>
      <c r="I547" s="332"/>
      <c r="J547" s="332"/>
      <c r="K547" s="332"/>
      <c r="L547" s="395">
        <f t="shared" si="116"/>
        <v>0</v>
      </c>
      <c r="M547" s="395">
        <f t="shared" si="117"/>
        <v>0</v>
      </c>
      <c r="N547" s="615">
        <f>INDEX(tblSubjectToLoan[Date],ROW()-ROW(tblContractForDeed[#Headers]))</f>
        <v>0</v>
      </c>
      <c r="O547" s="276">
        <f>IF(ROW()=ROW(tblContractForDeed[#Headers])+1,$O$6,IF(INDEX(tblContractForDeed[End Bal],ROW()-ROW(tblContractForDeed[#Headers])-1)&lt;0,0,INDEX(tblContractForDeed[End Bal],ROW()-ROW(tblContractForDeed[#Headers])-1)))</f>
        <v>0</v>
      </c>
      <c r="P547" s="454">
        <f>IF(tblContractForDeed[[#This Row],[Date]]="","",IF(tblContractForDeed[[#This Row],[Date]]&lt;cfdRateChangeDate,cfdRate1,cfdRate2))</f>
        <v>7.0000000000000007E-2</v>
      </c>
      <c r="Q5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467">
        <f>IF(INDEX(tblContractForDeed[Payment],ROW()-ROW(tblBuyerOutputs[#Headers]))=0,0,INDEX(tblContractForDeed[Payment],ROW()-ROW(tblBuyerOutputs[#Headers]))-INDEX(tblSubjectToLoan[Payment],ROW()-ROW(tblBuyerOutputs[#Headers])))</f>
        <v>0</v>
      </c>
      <c r="Z5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7" s="332">
        <f>IF(INDEX(tblContractForDeed[End Bal],ROW()-ROW(tblBuyerOutputs[#Headers]))&lt;=0,0,($O$6+IF(ROW()=ROW(tblBuyerOutputs[#Headers])+1,0,INDEX(tblBuyerOutputs[Cumul Appr],ROW()-ROW(tblBuyerOutputs[#Headers])-1)))*$AK$2/12)</f>
        <v>0</v>
      </c>
      <c r="AE547" s="332">
        <f>IF(INDEX(tblContractForDeed[End Bal],ROW()-ROW(tblBuyerOutputs[#Headers]))&lt;=0,0,IF(ROW()=ROW(tblBuyerOutputs[#Headers])+1,0,INDEX(tblBuyerOutputs[Cumul Appr],ROW()-ROW(tblBuyerOutputs[#Headers])-1))+tblBuyerOutputs[[#This Row],[Monthly Appr]])</f>
        <v>0</v>
      </c>
      <c r="AQ547" s="21"/>
    </row>
    <row r="548" spans="1:43" x14ac:dyDescent="0.25">
      <c r="A548" s="613"/>
      <c r="L548" s="394">
        <f t="shared" si="116"/>
        <v>0</v>
      </c>
      <c r="M548" s="394">
        <f t="shared" si="117"/>
        <v>0</v>
      </c>
      <c r="N548" s="613">
        <f>INDEX(tblSubjectToLoan[Date],ROW()-ROW(tblContractForDeed[#Headers]))</f>
        <v>0</v>
      </c>
      <c r="O548" s="276">
        <f>IF(ROW()=ROW(tblContractForDeed[#Headers])+1,$O$6,IF(INDEX(tblContractForDeed[End Bal],ROW()-ROW(tblContractForDeed[#Headers])-1)&lt;0,0,INDEX(tblContractForDeed[End Bal],ROW()-ROW(tblContractForDeed[#Headers])-1)))</f>
        <v>0</v>
      </c>
      <c r="P548" s="454">
        <f>IF(tblContractForDeed[[#This Row],[Date]]="","",IF(tblContractForDeed[[#This Row],[Date]]&lt;cfdRateChangeDate,cfdRate1,cfdRate2))</f>
        <v>7.0000000000000007E-2</v>
      </c>
      <c r="Q5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467">
        <f>IF(INDEX(tblContractForDeed[Payment],ROW()-ROW(tblBuyerOutputs[#Headers]))=0,0,INDEX(tblContractForDeed[Payment],ROW()-ROW(tblBuyerOutputs[#Headers]))-INDEX(tblSubjectToLoan[Payment],ROW()-ROW(tblBuyerOutputs[#Headers])))</f>
        <v>0</v>
      </c>
      <c r="Z5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8" s="276">
        <f>IF(INDEX(tblContractForDeed[End Bal],ROW()-ROW(tblBuyerOutputs[#Headers]))&lt;=0,0,($O$6+IF(ROW()=ROW(tblBuyerOutputs[#Headers])+1,0,INDEX(tblBuyerOutputs[Cumul Appr],ROW()-ROW(tblBuyerOutputs[#Headers])-1)))*$AK$2/12)</f>
        <v>0</v>
      </c>
      <c r="AE548" s="276">
        <f>IF(INDEX(tblContractForDeed[End Bal],ROW()-ROW(tblBuyerOutputs[#Headers]))&lt;=0,0,IF(ROW()=ROW(tblBuyerOutputs[#Headers])+1,0,INDEX(tblBuyerOutputs[Cumul Appr],ROW()-ROW(tblBuyerOutputs[#Headers])-1))+tblBuyerOutputs[[#This Row],[Monthly Appr]])</f>
        <v>0</v>
      </c>
    </row>
    <row r="549" spans="1:43" x14ac:dyDescent="0.25">
      <c r="A549" s="613"/>
      <c r="L549" s="394">
        <f t="shared" si="116"/>
        <v>0</v>
      </c>
      <c r="M549" s="394">
        <f t="shared" si="117"/>
        <v>0</v>
      </c>
      <c r="N549" s="613">
        <f>INDEX(tblSubjectToLoan[Date],ROW()-ROW(tblContractForDeed[#Headers]))</f>
        <v>0</v>
      </c>
      <c r="O549" s="276">
        <f>IF(ROW()=ROW(tblContractForDeed[#Headers])+1,$O$6,IF(INDEX(tblContractForDeed[End Bal],ROW()-ROW(tblContractForDeed[#Headers])-1)&lt;0,0,INDEX(tblContractForDeed[End Bal],ROW()-ROW(tblContractForDeed[#Headers])-1)))</f>
        <v>0</v>
      </c>
      <c r="P549" s="454">
        <f>IF(tblContractForDeed[[#This Row],[Date]]="","",IF(tblContractForDeed[[#This Row],[Date]]&lt;cfdRateChangeDate,cfdRate1,cfdRate2))</f>
        <v>7.0000000000000007E-2</v>
      </c>
      <c r="Q5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276">
        <f>IF(INDEX(tblContractForDeed[Payment],ROW()-ROW(tblBuyerOutputs[#Headers]))=0,0,INDEX(tblContractForDeed[Payment],ROW()-ROW(tblBuyerOutputs[#Headers]))-INDEX(tblSubjectToLoan[Payment],ROW()-ROW(tblBuyerOutputs[#Headers])))</f>
        <v>0</v>
      </c>
      <c r="Z5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9" s="276">
        <f>IF(INDEX(tblContractForDeed[End Bal],ROW()-ROW(tblBuyerOutputs[#Headers]))&lt;=0,0,($O$6+IF(ROW()=ROW(tblBuyerOutputs[#Headers])+1,0,INDEX(tblBuyerOutputs[Cumul Appr],ROW()-ROW(tblBuyerOutputs[#Headers])-1)))*$AK$2/12)</f>
        <v>0</v>
      </c>
      <c r="AE549" s="276">
        <f>IF(INDEX(tblContractForDeed[End Bal],ROW()-ROW(tblBuyerOutputs[#Headers]))&lt;=0,0,IF(ROW()=ROW(tblBuyerOutputs[#Headers])+1,0,INDEX(tblBuyerOutputs[Cumul Appr],ROW()-ROW(tblBuyerOutputs[#Headers])-1))+tblBuyerOutputs[[#This Row],[Monthly Appr]])</f>
        <v>0</v>
      </c>
    </row>
    <row r="550" spans="1:43" x14ac:dyDescent="0.25">
      <c r="A550" s="613"/>
      <c r="L550" s="394">
        <f t="shared" si="116"/>
        <v>0</v>
      </c>
      <c r="M550" s="394">
        <f t="shared" si="117"/>
        <v>0</v>
      </c>
      <c r="N550" s="613">
        <f>INDEX(tblSubjectToLoan[Date],ROW()-ROW(tblContractForDeed[#Headers]))</f>
        <v>0</v>
      </c>
      <c r="O550" s="276">
        <f>IF(ROW()=ROW(tblContractForDeed[#Headers])+1,$O$6,IF(INDEX(tblContractForDeed[End Bal],ROW()-ROW(tblContractForDeed[#Headers])-1)&lt;0,0,INDEX(tblContractForDeed[End Bal],ROW()-ROW(tblContractForDeed[#Headers])-1)))</f>
        <v>0</v>
      </c>
      <c r="P550" s="454">
        <f>IF(tblContractForDeed[[#This Row],[Date]]="","",IF(tblContractForDeed[[#This Row],[Date]]&lt;cfdRateChangeDate,cfdRate1,cfdRate2))</f>
        <v>7.0000000000000007E-2</v>
      </c>
      <c r="Q5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276">
        <f>IF(INDEX(tblContractForDeed[Payment],ROW()-ROW(tblBuyerOutputs[#Headers]))=0,0,INDEX(tblContractForDeed[Payment],ROW()-ROW(tblBuyerOutputs[#Headers]))-INDEX(tblSubjectToLoan[Payment],ROW()-ROW(tblBuyerOutputs[#Headers])))</f>
        <v>0</v>
      </c>
      <c r="Z5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0" s="276">
        <f>IF(INDEX(tblContractForDeed[End Bal],ROW()-ROW(tblBuyerOutputs[#Headers]))&lt;=0,0,($O$6+IF(ROW()=ROW(tblBuyerOutputs[#Headers])+1,0,INDEX(tblBuyerOutputs[Cumul Appr],ROW()-ROW(tblBuyerOutputs[#Headers])-1)))*$AK$2/12)</f>
        <v>0</v>
      </c>
      <c r="AE550" s="276">
        <f>IF(INDEX(tblContractForDeed[End Bal],ROW()-ROW(tblBuyerOutputs[#Headers]))&lt;=0,0,IF(ROW()=ROW(tblBuyerOutputs[#Headers])+1,0,INDEX(tblBuyerOutputs[Cumul Appr],ROW()-ROW(tblBuyerOutputs[#Headers])-1))+tblBuyerOutputs[[#This Row],[Monthly Appr]])</f>
        <v>0</v>
      </c>
    </row>
    <row r="551" spans="1:43" x14ac:dyDescent="0.25">
      <c r="A551" s="613"/>
      <c r="L551" s="394">
        <f t="shared" si="116"/>
        <v>0</v>
      </c>
      <c r="M551" s="394">
        <f t="shared" si="117"/>
        <v>0</v>
      </c>
      <c r="N551" s="613">
        <f>INDEX(tblSubjectToLoan[Date],ROW()-ROW(tblContractForDeed[#Headers]))</f>
        <v>0</v>
      </c>
      <c r="O551" s="276">
        <f>IF(ROW()=ROW(tblContractForDeed[#Headers])+1,$O$6,IF(INDEX(tblContractForDeed[End Bal],ROW()-ROW(tblContractForDeed[#Headers])-1)&lt;0,0,INDEX(tblContractForDeed[End Bal],ROW()-ROW(tblContractForDeed[#Headers])-1)))</f>
        <v>0</v>
      </c>
      <c r="P551" s="454">
        <f>IF(tblContractForDeed[[#This Row],[Date]]="","",IF(tblContractForDeed[[#This Row],[Date]]&lt;cfdRateChangeDate,cfdRate1,cfdRate2))</f>
        <v>7.0000000000000007E-2</v>
      </c>
      <c r="Q5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276">
        <f>IF(INDEX(tblContractForDeed[Payment],ROW()-ROW(tblBuyerOutputs[#Headers]))=0,0,INDEX(tblContractForDeed[Payment],ROW()-ROW(tblBuyerOutputs[#Headers]))-INDEX(tblSubjectToLoan[Payment],ROW()-ROW(tblBuyerOutputs[#Headers])))</f>
        <v>0</v>
      </c>
      <c r="Z5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1" s="276">
        <f>IF(INDEX(tblContractForDeed[End Bal],ROW()-ROW(tblBuyerOutputs[#Headers]))&lt;=0,0,($O$6+IF(ROW()=ROW(tblBuyerOutputs[#Headers])+1,0,INDEX(tblBuyerOutputs[Cumul Appr],ROW()-ROW(tblBuyerOutputs[#Headers])-1)))*$AK$2/12)</f>
        <v>0</v>
      </c>
      <c r="AE551" s="276">
        <f>IF(INDEX(tblContractForDeed[End Bal],ROW()-ROW(tblBuyerOutputs[#Headers]))&lt;=0,0,IF(ROW()=ROW(tblBuyerOutputs[#Headers])+1,0,INDEX(tblBuyerOutputs[Cumul Appr],ROW()-ROW(tblBuyerOutputs[#Headers])-1))+tblBuyerOutputs[[#This Row],[Monthly Appr]])</f>
        <v>0</v>
      </c>
    </row>
    <row r="552" spans="1:43" x14ac:dyDescent="0.25">
      <c r="A552" s="613"/>
      <c r="L552" s="394">
        <f t="shared" si="116"/>
        <v>0</v>
      </c>
      <c r="M552" s="394">
        <f t="shared" si="117"/>
        <v>0</v>
      </c>
      <c r="N552" s="613">
        <f>INDEX(tblSubjectToLoan[Date],ROW()-ROW(tblContractForDeed[#Headers]))</f>
        <v>0</v>
      </c>
      <c r="O552" s="276">
        <f>IF(ROW()=ROW(tblContractForDeed[#Headers])+1,$O$6,IF(INDEX(tblContractForDeed[End Bal],ROW()-ROW(tblContractForDeed[#Headers])-1)&lt;0,0,INDEX(tblContractForDeed[End Bal],ROW()-ROW(tblContractForDeed[#Headers])-1)))</f>
        <v>0</v>
      </c>
      <c r="P552" s="454">
        <f>IF(tblContractForDeed[[#This Row],[Date]]="","",IF(tblContractForDeed[[#This Row],[Date]]&lt;cfdRateChangeDate,cfdRate1,cfdRate2))</f>
        <v>7.0000000000000007E-2</v>
      </c>
      <c r="Q5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276">
        <f>IF(INDEX(tblContractForDeed[Payment],ROW()-ROW(tblBuyerOutputs[#Headers]))=0,0,INDEX(tblContractForDeed[Payment],ROW()-ROW(tblBuyerOutputs[#Headers]))-INDEX(tblSubjectToLoan[Payment],ROW()-ROW(tblBuyerOutputs[#Headers])))</f>
        <v>0</v>
      </c>
      <c r="Z5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2" s="276">
        <f>IF(INDEX(tblContractForDeed[End Bal],ROW()-ROW(tblBuyerOutputs[#Headers]))&lt;=0,0,($O$6+IF(ROW()=ROW(tblBuyerOutputs[#Headers])+1,0,INDEX(tblBuyerOutputs[Cumul Appr],ROW()-ROW(tblBuyerOutputs[#Headers])-1)))*$AK$2/12)</f>
        <v>0</v>
      </c>
      <c r="AE552" s="276">
        <f>IF(INDEX(tblContractForDeed[End Bal],ROW()-ROW(tblBuyerOutputs[#Headers]))&lt;=0,0,IF(ROW()=ROW(tblBuyerOutputs[#Headers])+1,0,INDEX(tblBuyerOutputs[Cumul Appr],ROW()-ROW(tblBuyerOutputs[#Headers])-1))+tblBuyerOutputs[[#This Row],[Monthly Appr]])</f>
        <v>0</v>
      </c>
    </row>
    <row r="553" spans="1:43" x14ac:dyDescent="0.25">
      <c r="A553" s="613"/>
      <c r="L553" s="394">
        <f t="shared" si="116"/>
        <v>0</v>
      </c>
      <c r="M553" s="394">
        <f t="shared" si="117"/>
        <v>0</v>
      </c>
      <c r="N553" s="613">
        <f>INDEX(tblSubjectToLoan[Date],ROW()-ROW(tblContractForDeed[#Headers]))</f>
        <v>0</v>
      </c>
      <c r="O553" s="276">
        <f>IF(ROW()=ROW(tblContractForDeed[#Headers])+1,$O$6,IF(INDEX(tblContractForDeed[End Bal],ROW()-ROW(tblContractForDeed[#Headers])-1)&lt;0,0,INDEX(tblContractForDeed[End Bal],ROW()-ROW(tblContractForDeed[#Headers])-1)))</f>
        <v>0</v>
      </c>
      <c r="P553" s="454">
        <f>IF(tblContractForDeed[[#This Row],[Date]]="","",IF(tblContractForDeed[[#This Row],[Date]]&lt;cfdRateChangeDate,cfdRate1,cfdRate2))</f>
        <v>7.0000000000000007E-2</v>
      </c>
      <c r="Q5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276">
        <f>IF(INDEX(tblContractForDeed[Payment],ROW()-ROW(tblBuyerOutputs[#Headers]))=0,0,INDEX(tblContractForDeed[Payment],ROW()-ROW(tblBuyerOutputs[#Headers]))-INDEX(tblSubjectToLoan[Payment],ROW()-ROW(tblBuyerOutputs[#Headers])))</f>
        <v>0</v>
      </c>
      <c r="Z5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3" s="276">
        <f>IF(INDEX(tblContractForDeed[End Bal],ROW()-ROW(tblBuyerOutputs[#Headers]))&lt;=0,0,($O$6+IF(ROW()=ROW(tblBuyerOutputs[#Headers])+1,0,INDEX(tblBuyerOutputs[Cumul Appr],ROW()-ROW(tblBuyerOutputs[#Headers])-1)))*$AK$2/12)</f>
        <v>0</v>
      </c>
      <c r="AE553" s="276">
        <f>IF(INDEX(tblContractForDeed[End Bal],ROW()-ROW(tblBuyerOutputs[#Headers]))&lt;=0,0,IF(ROW()=ROW(tblBuyerOutputs[#Headers])+1,0,INDEX(tblBuyerOutputs[Cumul Appr],ROW()-ROW(tblBuyerOutputs[#Headers])-1))+tblBuyerOutputs[[#This Row],[Monthly Appr]])</f>
        <v>0</v>
      </c>
    </row>
    <row r="554" spans="1:43" x14ac:dyDescent="0.25">
      <c r="A554" s="613"/>
      <c r="L554" s="394">
        <f t="shared" si="116"/>
        <v>0</v>
      </c>
      <c r="M554" s="394">
        <f t="shared" si="117"/>
        <v>0</v>
      </c>
      <c r="N554" s="613">
        <f>INDEX(tblSubjectToLoan[Date],ROW()-ROW(tblContractForDeed[#Headers]))</f>
        <v>0</v>
      </c>
      <c r="O554" s="276">
        <f>IF(ROW()=ROW(tblContractForDeed[#Headers])+1,$O$6,IF(INDEX(tblContractForDeed[End Bal],ROW()-ROW(tblContractForDeed[#Headers])-1)&lt;0,0,INDEX(tblContractForDeed[End Bal],ROW()-ROW(tblContractForDeed[#Headers])-1)))</f>
        <v>0</v>
      </c>
      <c r="P554" s="454">
        <f>IF(tblContractForDeed[[#This Row],[Date]]="","",IF(tblContractForDeed[[#This Row],[Date]]&lt;cfdRateChangeDate,cfdRate1,cfdRate2))</f>
        <v>7.0000000000000007E-2</v>
      </c>
      <c r="Q5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276">
        <f>IF(INDEX(tblContractForDeed[Payment],ROW()-ROW(tblBuyerOutputs[#Headers]))=0,0,INDEX(tblContractForDeed[Payment],ROW()-ROW(tblBuyerOutputs[#Headers]))-INDEX(tblSubjectToLoan[Payment],ROW()-ROW(tblBuyerOutputs[#Headers])))</f>
        <v>0</v>
      </c>
      <c r="Z5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4" s="276">
        <f>IF(INDEX(tblContractForDeed[End Bal],ROW()-ROW(tblBuyerOutputs[#Headers]))&lt;=0,0,($O$6+IF(ROW()=ROW(tblBuyerOutputs[#Headers])+1,0,INDEX(tblBuyerOutputs[Cumul Appr],ROW()-ROW(tblBuyerOutputs[#Headers])-1)))*$AK$2/12)</f>
        <v>0</v>
      </c>
      <c r="AE554" s="276">
        <f>IF(INDEX(tblContractForDeed[End Bal],ROW()-ROW(tblBuyerOutputs[#Headers]))&lt;=0,0,IF(ROW()=ROW(tblBuyerOutputs[#Headers])+1,0,INDEX(tblBuyerOutputs[Cumul Appr],ROW()-ROW(tblBuyerOutputs[#Headers])-1))+tblBuyerOutputs[[#This Row],[Monthly Appr]])</f>
        <v>0</v>
      </c>
    </row>
    <row r="555" spans="1:43" x14ac:dyDescent="0.25">
      <c r="A555" s="613"/>
      <c r="L555" s="394">
        <f t="shared" si="116"/>
        <v>0</v>
      </c>
      <c r="M555" s="394">
        <f t="shared" si="117"/>
        <v>0</v>
      </c>
      <c r="N555" s="613">
        <f>INDEX(tblSubjectToLoan[Date],ROW()-ROW(tblContractForDeed[#Headers]))</f>
        <v>0</v>
      </c>
      <c r="O555" s="276">
        <f>IF(ROW()=ROW(tblContractForDeed[#Headers])+1,$O$6,IF(INDEX(tblContractForDeed[End Bal],ROW()-ROW(tblContractForDeed[#Headers])-1)&lt;0,0,INDEX(tblContractForDeed[End Bal],ROW()-ROW(tblContractForDeed[#Headers])-1)))</f>
        <v>0</v>
      </c>
      <c r="P555" s="454">
        <f>IF(tblContractForDeed[[#This Row],[Date]]="","",IF(tblContractForDeed[[#This Row],[Date]]&lt;cfdRateChangeDate,cfdRate1,cfdRate2))</f>
        <v>7.0000000000000007E-2</v>
      </c>
      <c r="Q5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276">
        <f>IF(INDEX(tblContractForDeed[Payment],ROW()-ROW(tblBuyerOutputs[#Headers]))=0,0,INDEX(tblContractForDeed[Payment],ROW()-ROW(tblBuyerOutputs[#Headers]))-INDEX(tblSubjectToLoan[Payment],ROW()-ROW(tblBuyerOutputs[#Headers])))</f>
        <v>0</v>
      </c>
      <c r="Z5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5" s="276">
        <f>IF(INDEX(tblContractForDeed[End Bal],ROW()-ROW(tblBuyerOutputs[#Headers]))&lt;=0,0,($O$6+IF(ROW()=ROW(tblBuyerOutputs[#Headers])+1,0,INDEX(tblBuyerOutputs[Cumul Appr],ROW()-ROW(tblBuyerOutputs[#Headers])-1)))*$AK$2/12)</f>
        <v>0</v>
      </c>
      <c r="AE555" s="276">
        <f>IF(INDEX(tblContractForDeed[End Bal],ROW()-ROW(tblBuyerOutputs[#Headers]))&lt;=0,0,IF(ROW()=ROW(tblBuyerOutputs[#Headers])+1,0,INDEX(tblBuyerOutputs[Cumul Appr],ROW()-ROW(tblBuyerOutputs[#Headers])-1))+tblBuyerOutputs[[#This Row],[Monthly Appr]])</f>
        <v>0</v>
      </c>
    </row>
    <row r="556" spans="1:43" x14ac:dyDescent="0.25">
      <c r="A556" s="613"/>
      <c r="L556" s="394">
        <f t="shared" si="116"/>
        <v>0</v>
      </c>
      <c r="M556" s="394">
        <f t="shared" si="117"/>
        <v>0</v>
      </c>
      <c r="N556" s="613">
        <f>INDEX(tblSubjectToLoan[Date],ROW()-ROW(tblContractForDeed[#Headers]))</f>
        <v>0</v>
      </c>
      <c r="O556" s="276">
        <f>IF(ROW()=ROW(tblContractForDeed[#Headers])+1,$O$6,IF(INDEX(tblContractForDeed[End Bal],ROW()-ROW(tblContractForDeed[#Headers])-1)&lt;0,0,INDEX(tblContractForDeed[End Bal],ROW()-ROW(tblContractForDeed[#Headers])-1)))</f>
        <v>0</v>
      </c>
      <c r="P556" s="454">
        <f>IF(tblContractForDeed[[#This Row],[Date]]="","",IF(tblContractForDeed[[#This Row],[Date]]&lt;cfdRateChangeDate,cfdRate1,cfdRate2))</f>
        <v>7.0000000000000007E-2</v>
      </c>
      <c r="Q5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276">
        <f>IF(INDEX(tblContractForDeed[Payment],ROW()-ROW(tblBuyerOutputs[#Headers]))=0,0,INDEX(tblContractForDeed[Payment],ROW()-ROW(tblBuyerOutputs[#Headers]))-INDEX(tblSubjectToLoan[Payment],ROW()-ROW(tblBuyerOutputs[#Headers])))</f>
        <v>0</v>
      </c>
      <c r="Z5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6" s="276">
        <f>IF(INDEX(tblContractForDeed[End Bal],ROW()-ROW(tblBuyerOutputs[#Headers]))&lt;=0,0,($O$6+IF(ROW()=ROW(tblBuyerOutputs[#Headers])+1,0,INDEX(tblBuyerOutputs[Cumul Appr],ROW()-ROW(tblBuyerOutputs[#Headers])-1)))*$AK$2/12)</f>
        <v>0</v>
      </c>
      <c r="AE556" s="276">
        <f>IF(INDEX(tblContractForDeed[End Bal],ROW()-ROW(tblBuyerOutputs[#Headers]))&lt;=0,0,IF(ROW()=ROW(tblBuyerOutputs[#Headers])+1,0,INDEX(tblBuyerOutputs[Cumul Appr],ROW()-ROW(tblBuyerOutputs[#Headers])-1))+tblBuyerOutputs[[#This Row],[Monthly Appr]])</f>
        <v>0</v>
      </c>
    </row>
    <row r="557" spans="1:43" x14ac:dyDescent="0.25">
      <c r="A557" s="613"/>
      <c r="L557" s="394">
        <f t="shared" si="116"/>
        <v>0</v>
      </c>
      <c r="M557" s="394">
        <f t="shared" si="117"/>
        <v>0</v>
      </c>
      <c r="N557" s="613">
        <f>INDEX(tblSubjectToLoan[Date],ROW()-ROW(tblContractForDeed[#Headers]))</f>
        <v>0</v>
      </c>
      <c r="O557" s="276">
        <f>IF(ROW()=ROW(tblContractForDeed[#Headers])+1,$O$6,IF(INDEX(tblContractForDeed[End Bal],ROW()-ROW(tblContractForDeed[#Headers])-1)&lt;0,0,INDEX(tblContractForDeed[End Bal],ROW()-ROW(tblContractForDeed[#Headers])-1)))</f>
        <v>0</v>
      </c>
      <c r="P557" s="454">
        <f>IF(tblContractForDeed[[#This Row],[Date]]="","",IF(tblContractForDeed[[#This Row],[Date]]&lt;cfdRateChangeDate,cfdRate1,cfdRate2))</f>
        <v>7.0000000000000007E-2</v>
      </c>
      <c r="Q5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276">
        <f>IF(INDEX(tblContractForDeed[Payment],ROW()-ROW(tblBuyerOutputs[#Headers]))=0,0,INDEX(tblContractForDeed[Payment],ROW()-ROW(tblBuyerOutputs[#Headers]))-INDEX(tblSubjectToLoan[Payment],ROW()-ROW(tblBuyerOutputs[#Headers])))</f>
        <v>0</v>
      </c>
      <c r="Z5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7" s="276">
        <f>IF(INDEX(tblContractForDeed[End Bal],ROW()-ROW(tblBuyerOutputs[#Headers]))&lt;=0,0,($O$6+IF(ROW()=ROW(tblBuyerOutputs[#Headers])+1,0,INDEX(tblBuyerOutputs[Cumul Appr],ROW()-ROW(tblBuyerOutputs[#Headers])-1)))*$AK$2/12)</f>
        <v>0</v>
      </c>
      <c r="AE557" s="276">
        <f>IF(INDEX(tblContractForDeed[End Bal],ROW()-ROW(tblBuyerOutputs[#Headers]))&lt;=0,0,IF(ROW()=ROW(tblBuyerOutputs[#Headers])+1,0,INDEX(tblBuyerOutputs[Cumul Appr],ROW()-ROW(tblBuyerOutputs[#Headers])-1))+tblBuyerOutputs[[#This Row],[Monthly Appr]])</f>
        <v>0</v>
      </c>
    </row>
    <row r="558" spans="1:43" x14ac:dyDescent="0.25">
      <c r="A558" s="613"/>
      <c r="L558" s="394">
        <f t="shared" si="116"/>
        <v>0</v>
      </c>
      <c r="M558" s="394">
        <f t="shared" si="117"/>
        <v>0</v>
      </c>
      <c r="N558" s="613">
        <f>INDEX(tblSubjectToLoan[Date],ROW()-ROW(tblContractForDeed[#Headers]))</f>
        <v>0</v>
      </c>
      <c r="O558" s="276">
        <f>IF(ROW()=ROW(tblContractForDeed[#Headers])+1,$O$6,IF(INDEX(tblContractForDeed[End Bal],ROW()-ROW(tblContractForDeed[#Headers])-1)&lt;0,0,INDEX(tblContractForDeed[End Bal],ROW()-ROW(tblContractForDeed[#Headers])-1)))</f>
        <v>0</v>
      </c>
      <c r="P558" s="454">
        <f>IF(tblContractForDeed[[#This Row],[Date]]="","",IF(tblContractForDeed[[#This Row],[Date]]&lt;cfdRateChangeDate,cfdRate1,cfdRate2))</f>
        <v>7.0000000000000007E-2</v>
      </c>
      <c r="Q5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276">
        <f>IF(INDEX(tblContractForDeed[Payment],ROW()-ROW(tblBuyerOutputs[#Headers]))=0,0,INDEX(tblContractForDeed[Payment],ROW()-ROW(tblBuyerOutputs[#Headers]))-INDEX(tblSubjectToLoan[Payment],ROW()-ROW(tblBuyerOutputs[#Headers])))</f>
        <v>0</v>
      </c>
      <c r="Z5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8" s="276">
        <f>IF(INDEX(tblContractForDeed[End Bal],ROW()-ROW(tblBuyerOutputs[#Headers]))&lt;=0,0,($O$6+IF(ROW()=ROW(tblBuyerOutputs[#Headers])+1,0,INDEX(tblBuyerOutputs[Cumul Appr],ROW()-ROW(tblBuyerOutputs[#Headers])-1)))*$AK$2/12)</f>
        <v>0</v>
      </c>
      <c r="AE558" s="276">
        <f>IF(INDEX(tblContractForDeed[End Bal],ROW()-ROW(tblBuyerOutputs[#Headers]))&lt;=0,0,IF(ROW()=ROW(tblBuyerOutputs[#Headers])+1,0,INDEX(tblBuyerOutputs[Cumul Appr],ROW()-ROW(tblBuyerOutputs[#Headers])-1))+tblBuyerOutputs[[#This Row],[Monthly Appr]])</f>
        <v>0</v>
      </c>
    </row>
    <row r="559" spans="1:43" ht="15.75" thickBot="1" x14ac:dyDescent="0.3">
      <c r="A559" s="615"/>
      <c r="B559" s="332"/>
      <c r="C559" s="21"/>
      <c r="D559" s="21"/>
      <c r="E559" s="21"/>
      <c r="F559" s="21"/>
      <c r="G559" s="21"/>
      <c r="H559" s="21"/>
      <c r="I559" s="332"/>
      <c r="J559" s="332"/>
      <c r="K559" s="332"/>
      <c r="L559" s="395">
        <f t="shared" si="116"/>
        <v>0</v>
      </c>
      <c r="M559" s="395">
        <f t="shared" si="117"/>
        <v>0</v>
      </c>
      <c r="N559" s="615">
        <f>INDEX(tblSubjectToLoan[Date],ROW()-ROW(tblContractForDeed[#Headers]))</f>
        <v>0</v>
      </c>
      <c r="O559" s="332">
        <f>IF(ROW()=ROW(tblContractForDeed[#Headers])+1,$O$6,IF(INDEX(tblContractForDeed[End Bal],ROW()-ROW(tblContractForDeed[#Headers])-1)&lt;0,0,INDEX(tblContractForDeed[End Bal],ROW()-ROW(tblContractForDeed[#Headers])-1)))</f>
        <v>0</v>
      </c>
      <c r="P559" s="454">
        <f>IF(tblContractForDeed[[#This Row],[Date]]="","",IF(tblContractForDeed[[#This Row],[Date]]&lt;cfdRateChangeDate,cfdRate1,cfdRate2))</f>
        <v>7.0000000000000007E-2</v>
      </c>
      <c r="Q5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32">
        <f>IF(INDEX(tblContractForDeed[Payment],ROW()-ROW(tblBuyerOutputs[#Headers]))=0,0,INDEX(tblContractForDeed[Payment],ROW()-ROW(tblBuyerOutputs[#Headers]))-INDEX(tblSubjectToLoan[Payment],ROW()-ROW(tblBuyerOutputs[#Headers])))</f>
        <v>0</v>
      </c>
      <c r="Z5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9" s="332">
        <f>IF(INDEX(tblContractForDeed[End Bal],ROW()-ROW(tblBuyerOutputs[#Headers]))&lt;=0,0,($O$6+IF(ROW()=ROW(tblBuyerOutputs[#Headers])+1,0,INDEX(tblBuyerOutputs[Cumul Appr],ROW()-ROW(tblBuyerOutputs[#Headers])-1)))*$AK$2/12)</f>
        <v>0</v>
      </c>
      <c r="AE559" s="332">
        <f>IF(INDEX(tblContractForDeed[End Bal],ROW()-ROW(tblBuyerOutputs[#Headers]))&lt;=0,0,IF(ROW()=ROW(tblBuyerOutputs[#Headers])+1,0,INDEX(tblBuyerOutputs[Cumul Appr],ROW()-ROW(tblBuyerOutputs[#Headers])-1))+tblBuyerOutputs[[#This Row],[Monthly Appr]])</f>
        <v>0</v>
      </c>
      <c r="AQ559" s="21"/>
    </row>
    <row r="560" spans="1:43" x14ac:dyDescent="0.25">
      <c r="A560" s="613"/>
      <c r="L560" s="394">
        <f t="shared" si="116"/>
        <v>0</v>
      </c>
      <c r="M560" s="394">
        <f t="shared" si="117"/>
        <v>0</v>
      </c>
      <c r="N560" s="613">
        <f>INDEX(tblSubjectToLoan[Date],ROW()-ROW(tblContractForDeed[#Headers]))</f>
        <v>0</v>
      </c>
      <c r="O560" s="276">
        <f>IF(ROW()=ROW(tblContractForDeed[#Headers])+1,$O$6,IF(INDEX(tblContractForDeed[End Bal],ROW()-ROW(tblContractForDeed[#Headers])-1)&lt;0,0,INDEX(tblContractForDeed[End Bal],ROW()-ROW(tblContractForDeed[#Headers])-1)))</f>
        <v>0</v>
      </c>
      <c r="P560" s="454">
        <f>IF(tblContractForDeed[[#This Row],[Date]]="","",IF(tblContractForDeed[[#This Row],[Date]]&lt;cfdRateChangeDate,cfdRate1,cfdRate2))</f>
        <v>7.0000000000000007E-2</v>
      </c>
      <c r="Q5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276">
        <f>IF(INDEX(tblContractForDeed[Payment],ROW()-ROW(tblBuyerOutputs[#Headers]))=0,0,INDEX(tblContractForDeed[Payment],ROW()-ROW(tblBuyerOutputs[#Headers]))-INDEX(tblSubjectToLoan[Payment],ROW()-ROW(tblBuyerOutputs[#Headers])))</f>
        <v>0</v>
      </c>
      <c r="Z5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0" s="276">
        <f>IF(INDEX(tblContractForDeed[End Bal],ROW()-ROW(tblBuyerOutputs[#Headers]))&lt;=0,0,($O$6+IF(ROW()=ROW(tblBuyerOutputs[#Headers])+1,0,INDEX(tblBuyerOutputs[Cumul Appr],ROW()-ROW(tblBuyerOutputs[#Headers])-1)))*$AK$2/12)</f>
        <v>0</v>
      </c>
      <c r="AE560" s="276">
        <f>IF(INDEX(tblContractForDeed[End Bal],ROW()-ROW(tblBuyerOutputs[#Headers]))&lt;=0,0,IF(ROW()=ROW(tblBuyerOutputs[#Headers])+1,0,INDEX(tblBuyerOutputs[Cumul Appr],ROW()-ROW(tblBuyerOutputs[#Headers])-1))+tblBuyerOutputs[[#This Row],[Monthly Appr]])</f>
        <v>0</v>
      </c>
    </row>
    <row r="561" spans="1:43" x14ac:dyDescent="0.25">
      <c r="A561" s="613"/>
      <c r="L561" s="394">
        <f t="shared" si="116"/>
        <v>0</v>
      </c>
      <c r="M561" s="394">
        <f t="shared" si="117"/>
        <v>0</v>
      </c>
      <c r="N561" s="613">
        <f>INDEX(tblSubjectToLoan[Date],ROW()-ROW(tblContractForDeed[#Headers]))</f>
        <v>0</v>
      </c>
      <c r="O561" s="276">
        <f>IF(ROW()=ROW(tblContractForDeed[#Headers])+1,$O$6,IF(INDEX(tblContractForDeed[End Bal],ROW()-ROW(tblContractForDeed[#Headers])-1)&lt;0,0,INDEX(tblContractForDeed[End Bal],ROW()-ROW(tblContractForDeed[#Headers])-1)))</f>
        <v>0</v>
      </c>
      <c r="P561" s="454">
        <f>IF(tblContractForDeed[[#This Row],[Date]]="","",IF(tblContractForDeed[[#This Row],[Date]]&lt;cfdRateChangeDate,cfdRate1,cfdRate2))</f>
        <v>7.0000000000000007E-2</v>
      </c>
      <c r="Q5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276">
        <f>IF(INDEX(tblContractForDeed[Payment],ROW()-ROW(tblBuyerOutputs[#Headers]))=0,0,INDEX(tblContractForDeed[Payment],ROW()-ROW(tblBuyerOutputs[#Headers]))-INDEX(tblSubjectToLoan[Payment],ROW()-ROW(tblBuyerOutputs[#Headers])))</f>
        <v>0</v>
      </c>
      <c r="Z5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1" s="276">
        <f>IF(INDEX(tblContractForDeed[End Bal],ROW()-ROW(tblBuyerOutputs[#Headers]))&lt;=0,0,($O$6+IF(ROW()=ROW(tblBuyerOutputs[#Headers])+1,0,INDEX(tblBuyerOutputs[Cumul Appr],ROW()-ROW(tblBuyerOutputs[#Headers])-1)))*$AK$2/12)</f>
        <v>0</v>
      </c>
      <c r="AE561" s="276">
        <f>IF(INDEX(tblContractForDeed[End Bal],ROW()-ROW(tblBuyerOutputs[#Headers]))&lt;=0,0,IF(ROW()=ROW(tblBuyerOutputs[#Headers])+1,0,INDEX(tblBuyerOutputs[Cumul Appr],ROW()-ROW(tblBuyerOutputs[#Headers])-1))+tblBuyerOutputs[[#This Row],[Monthly Appr]])</f>
        <v>0</v>
      </c>
    </row>
    <row r="562" spans="1:43" x14ac:dyDescent="0.25">
      <c r="A562" s="613"/>
      <c r="L562" s="394">
        <f t="shared" si="116"/>
        <v>0</v>
      </c>
      <c r="M562" s="394">
        <f t="shared" si="117"/>
        <v>0</v>
      </c>
      <c r="N562" s="613">
        <f>INDEX(tblSubjectToLoan[Date],ROW()-ROW(tblContractForDeed[#Headers]))</f>
        <v>0</v>
      </c>
      <c r="O562" s="276">
        <f>IF(ROW()=ROW(tblContractForDeed[#Headers])+1,$O$6,IF(INDEX(tblContractForDeed[End Bal],ROW()-ROW(tblContractForDeed[#Headers])-1)&lt;0,0,INDEX(tblContractForDeed[End Bal],ROW()-ROW(tblContractForDeed[#Headers])-1)))</f>
        <v>0</v>
      </c>
      <c r="P562" s="454">
        <f>IF(tblContractForDeed[[#This Row],[Date]]="","",IF(tblContractForDeed[[#This Row],[Date]]&lt;cfdRateChangeDate,cfdRate1,cfdRate2))</f>
        <v>7.0000000000000007E-2</v>
      </c>
      <c r="Q5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276">
        <f>IF(INDEX(tblContractForDeed[Payment],ROW()-ROW(tblBuyerOutputs[#Headers]))=0,0,INDEX(tblContractForDeed[Payment],ROW()-ROW(tblBuyerOutputs[#Headers]))-INDEX(tblSubjectToLoan[Payment],ROW()-ROW(tblBuyerOutputs[#Headers])))</f>
        <v>0</v>
      </c>
      <c r="Z5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2" s="276">
        <f>IF(INDEX(tblContractForDeed[End Bal],ROW()-ROW(tblBuyerOutputs[#Headers]))&lt;=0,0,($O$6+IF(ROW()=ROW(tblBuyerOutputs[#Headers])+1,0,INDEX(tblBuyerOutputs[Cumul Appr],ROW()-ROW(tblBuyerOutputs[#Headers])-1)))*$AK$2/12)</f>
        <v>0</v>
      </c>
      <c r="AE562" s="276">
        <f>IF(INDEX(tblContractForDeed[End Bal],ROW()-ROW(tblBuyerOutputs[#Headers]))&lt;=0,0,IF(ROW()=ROW(tblBuyerOutputs[#Headers])+1,0,INDEX(tblBuyerOutputs[Cumul Appr],ROW()-ROW(tblBuyerOutputs[#Headers])-1))+tblBuyerOutputs[[#This Row],[Monthly Appr]])</f>
        <v>0</v>
      </c>
    </row>
    <row r="563" spans="1:43" x14ac:dyDescent="0.25">
      <c r="A563" s="613"/>
      <c r="L563" s="394">
        <f t="shared" si="116"/>
        <v>0</v>
      </c>
      <c r="M563" s="394">
        <f t="shared" si="117"/>
        <v>0</v>
      </c>
      <c r="N563" s="613">
        <f>INDEX(tblSubjectToLoan[Date],ROW()-ROW(tblContractForDeed[#Headers]))</f>
        <v>0</v>
      </c>
      <c r="O563" s="276">
        <f>IF(ROW()=ROW(tblContractForDeed[#Headers])+1,$O$6,IF(INDEX(tblContractForDeed[End Bal],ROW()-ROW(tblContractForDeed[#Headers])-1)&lt;0,0,INDEX(tblContractForDeed[End Bal],ROW()-ROW(tblContractForDeed[#Headers])-1)))</f>
        <v>0</v>
      </c>
      <c r="P563" s="454">
        <f>IF(tblContractForDeed[[#This Row],[Date]]="","",IF(tblContractForDeed[[#This Row],[Date]]&lt;cfdRateChangeDate,cfdRate1,cfdRate2))</f>
        <v>7.0000000000000007E-2</v>
      </c>
      <c r="Q5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276">
        <f>IF(INDEX(tblContractForDeed[Payment],ROW()-ROW(tblBuyerOutputs[#Headers]))=0,0,INDEX(tblContractForDeed[Payment],ROW()-ROW(tblBuyerOutputs[#Headers]))-INDEX(tblSubjectToLoan[Payment],ROW()-ROW(tblBuyerOutputs[#Headers])))</f>
        <v>0</v>
      </c>
      <c r="Z5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3" s="276">
        <f>IF(INDEX(tblContractForDeed[End Bal],ROW()-ROW(tblBuyerOutputs[#Headers]))&lt;=0,0,($O$6+IF(ROW()=ROW(tblBuyerOutputs[#Headers])+1,0,INDEX(tblBuyerOutputs[Cumul Appr],ROW()-ROW(tblBuyerOutputs[#Headers])-1)))*$AK$2/12)</f>
        <v>0</v>
      </c>
      <c r="AE563" s="276">
        <f>IF(INDEX(tblContractForDeed[End Bal],ROW()-ROW(tblBuyerOutputs[#Headers]))&lt;=0,0,IF(ROW()=ROW(tblBuyerOutputs[#Headers])+1,0,INDEX(tblBuyerOutputs[Cumul Appr],ROW()-ROW(tblBuyerOutputs[#Headers])-1))+tblBuyerOutputs[[#This Row],[Monthly Appr]])</f>
        <v>0</v>
      </c>
    </row>
    <row r="564" spans="1:43" x14ac:dyDescent="0.25">
      <c r="A564" s="613"/>
      <c r="L564" s="394">
        <f t="shared" ref="L564:L627" si="118">IF(MOD(M564,12)=0,M564/12,L563)</f>
        <v>0</v>
      </c>
      <c r="M564" s="394">
        <f t="shared" si="117"/>
        <v>0</v>
      </c>
      <c r="N564" s="613">
        <f>INDEX(tblSubjectToLoan[Date],ROW()-ROW(tblContractForDeed[#Headers]))</f>
        <v>0</v>
      </c>
      <c r="O564" s="276">
        <f>IF(ROW()=ROW(tblContractForDeed[#Headers])+1,$O$6,IF(INDEX(tblContractForDeed[End Bal],ROW()-ROW(tblContractForDeed[#Headers])-1)&lt;0,0,INDEX(tblContractForDeed[End Bal],ROW()-ROW(tblContractForDeed[#Headers])-1)))</f>
        <v>0</v>
      </c>
      <c r="P564" s="454">
        <f>IF(tblContractForDeed[[#This Row],[Date]]="","",IF(tblContractForDeed[[#This Row],[Date]]&lt;cfdRateChangeDate,cfdRate1,cfdRate2))</f>
        <v>7.0000000000000007E-2</v>
      </c>
      <c r="Q5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276">
        <f>IF(INDEX(tblContractForDeed[Payment],ROW()-ROW(tblBuyerOutputs[#Headers]))=0,0,INDEX(tblContractForDeed[Payment],ROW()-ROW(tblBuyerOutputs[#Headers]))-INDEX(tblSubjectToLoan[Payment],ROW()-ROW(tblBuyerOutputs[#Headers])))</f>
        <v>0</v>
      </c>
      <c r="Z5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4" s="276">
        <f>IF(INDEX(tblContractForDeed[End Bal],ROW()-ROW(tblBuyerOutputs[#Headers]))&lt;=0,0,($O$6+IF(ROW()=ROW(tblBuyerOutputs[#Headers])+1,0,INDEX(tblBuyerOutputs[Cumul Appr],ROW()-ROW(tblBuyerOutputs[#Headers])-1)))*$AK$2/12)</f>
        <v>0</v>
      </c>
      <c r="AE564" s="276">
        <f>IF(INDEX(tblContractForDeed[End Bal],ROW()-ROW(tblBuyerOutputs[#Headers]))&lt;=0,0,IF(ROW()=ROW(tblBuyerOutputs[#Headers])+1,0,INDEX(tblBuyerOutputs[Cumul Appr],ROW()-ROW(tblBuyerOutputs[#Headers])-1))+tblBuyerOutputs[[#This Row],[Monthly Appr]])</f>
        <v>0</v>
      </c>
    </row>
    <row r="565" spans="1:43" x14ac:dyDescent="0.25">
      <c r="A565" s="613"/>
      <c r="L565" s="394">
        <f t="shared" si="118"/>
        <v>0</v>
      </c>
      <c r="M565" s="394">
        <f t="shared" si="117"/>
        <v>0</v>
      </c>
      <c r="N565" s="613">
        <f>INDEX(tblSubjectToLoan[Date],ROW()-ROW(tblContractForDeed[#Headers]))</f>
        <v>0</v>
      </c>
      <c r="O565" s="276">
        <f>IF(ROW()=ROW(tblContractForDeed[#Headers])+1,$O$6,IF(INDEX(tblContractForDeed[End Bal],ROW()-ROW(tblContractForDeed[#Headers])-1)&lt;0,0,INDEX(tblContractForDeed[End Bal],ROW()-ROW(tblContractForDeed[#Headers])-1)))</f>
        <v>0</v>
      </c>
      <c r="P565" s="454">
        <f>IF(tblContractForDeed[[#This Row],[Date]]="","",IF(tblContractForDeed[[#This Row],[Date]]&lt;cfdRateChangeDate,cfdRate1,cfdRate2))</f>
        <v>7.0000000000000007E-2</v>
      </c>
      <c r="Q5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276">
        <f>IF(INDEX(tblContractForDeed[Payment],ROW()-ROW(tblBuyerOutputs[#Headers]))=0,0,INDEX(tblContractForDeed[Payment],ROW()-ROW(tblBuyerOutputs[#Headers]))-INDEX(tblSubjectToLoan[Payment],ROW()-ROW(tblBuyerOutputs[#Headers])))</f>
        <v>0</v>
      </c>
      <c r="Z5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5" s="276">
        <f>IF(INDEX(tblContractForDeed[End Bal],ROW()-ROW(tblBuyerOutputs[#Headers]))&lt;=0,0,($O$6+IF(ROW()=ROW(tblBuyerOutputs[#Headers])+1,0,INDEX(tblBuyerOutputs[Cumul Appr],ROW()-ROW(tblBuyerOutputs[#Headers])-1)))*$AK$2/12)</f>
        <v>0</v>
      </c>
      <c r="AE565" s="276">
        <f>IF(INDEX(tblContractForDeed[End Bal],ROW()-ROW(tblBuyerOutputs[#Headers]))&lt;=0,0,IF(ROW()=ROW(tblBuyerOutputs[#Headers])+1,0,INDEX(tblBuyerOutputs[Cumul Appr],ROW()-ROW(tblBuyerOutputs[#Headers])-1))+tblBuyerOutputs[[#This Row],[Monthly Appr]])</f>
        <v>0</v>
      </c>
    </row>
    <row r="566" spans="1:43" x14ac:dyDescent="0.25">
      <c r="A566" s="613"/>
      <c r="L566" s="394">
        <f t="shared" si="118"/>
        <v>0</v>
      </c>
      <c r="M566" s="394">
        <f t="shared" si="117"/>
        <v>0</v>
      </c>
      <c r="N566" s="613">
        <f>INDEX(tblSubjectToLoan[Date],ROW()-ROW(tblContractForDeed[#Headers]))</f>
        <v>0</v>
      </c>
      <c r="O566" s="276">
        <f>IF(ROW()=ROW(tblContractForDeed[#Headers])+1,$O$6,IF(INDEX(tblContractForDeed[End Bal],ROW()-ROW(tblContractForDeed[#Headers])-1)&lt;0,0,INDEX(tblContractForDeed[End Bal],ROW()-ROW(tblContractForDeed[#Headers])-1)))</f>
        <v>0</v>
      </c>
      <c r="P566" s="454">
        <f>IF(tblContractForDeed[[#This Row],[Date]]="","",IF(tblContractForDeed[[#This Row],[Date]]&lt;cfdRateChangeDate,cfdRate1,cfdRate2))</f>
        <v>7.0000000000000007E-2</v>
      </c>
      <c r="Q5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276">
        <f>IF(INDEX(tblContractForDeed[Payment],ROW()-ROW(tblBuyerOutputs[#Headers]))=0,0,INDEX(tblContractForDeed[Payment],ROW()-ROW(tblBuyerOutputs[#Headers]))-INDEX(tblSubjectToLoan[Payment],ROW()-ROW(tblBuyerOutputs[#Headers])))</f>
        <v>0</v>
      </c>
      <c r="Z5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6" s="276">
        <f>IF(INDEX(tblContractForDeed[End Bal],ROW()-ROW(tblBuyerOutputs[#Headers]))&lt;=0,0,($O$6+IF(ROW()=ROW(tblBuyerOutputs[#Headers])+1,0,INDEX(tblBuyerOutputs[Cumul Appr],ROW()-ROW(tblBuyerOutputs[#Headers])-1)))*$AK$2/12)</f>
        <v>0</v>
      </c>
      <c r="AE566" s="276">
        <f>IF(INDEX(tblContractForDeed[End Bal],ROW()-ROW(tblBuyerOutputs[#Headers]))&lt;=0,0,IF(ROW()=ROW(tblBuyerOutputs[#Headers])+1,0,INDEX(tblBuyerOutputs[Cumul Appr],ROW()-ROW(tblBuyerOutputs[#Headers])-1))+tblBuyerOutputs[[#This Row],[Monthly Appr]])</f>
        <v>0</v>
      </c>
    </row>
    <row r="567" spans="1:43" x14ac:dyDescent="0.25">
      <c r="A567" s="613"/>
      <c r="L567" s="394">
        <f t="shared" si="118"/>
        <v>0</v>
      </c>
      <c r="M567" s="394">
        <f t="shared" si="117"/>
        <v>0</v>
      </c>
      <c r="N567" s="613">
        <f>INDEX(tblSubjectToLoan[Date],ROW()-ROW(tblContractForDeed[#Headers]))</f>
        <v>0</v>
      </c>
      <c r="O567" s="276">
        <f>IF(ROW()=ROW(tblContractForDeed[#Headers])+1,$O$6,IF(INDEX(tblContractForDeed[End Bal],ROW()-ROW(tblContractForDeed[#Headers])-1)&lt;0,0,INDEX(tblContractForDeed[End Bal],ROW()-ROW(tblContractForDeed[#Headers])-1)))</f>
        <v>0</v>
      </c>
      <c r="P567" s="454">
        <f>IF(tblContractForDeed[[#This Row],[Date]]="","",IF(tblContractForDeed[[#This Row],[Date]]&lt;cfdRateChangeDate,cfdRate1,cfdRate2))</f>
        <v>7.0000000000000007E-2</v>
      </c>
      <c r="Q5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276">
        <f>IF(INDEX(tblContractForDeed[Payment],ROW()-ROW(tblBuyerOutputs[#Headers]))=0,0,INDEX(tblContractForDeed[Payment],ROW()-ROW(tblBuyerOutputs[#Headers]))-INDEX(tblSubjectToLoan[Payment],ROW()-ROW(tblBuyerOutputs[#Headers])))</f>
        <v>0</v>
      </c>
      <c r="Z5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7" s="276">
        <f>IF(INDEX(tblContractForDeed[End Bal],ROW()-ROW(tblBuyerOutputs[#Headers]))&lt;=0,0,($O$6+IF(ROW()=ROW(tblBuyerOutputs[#Headers])+1,0,INDEX(tblBuyerOutputs[Cumul Appr],ROW()-ROW(tblBuyerOutputs[#Headers])-1)))*$AK$2/12)</f>
        <v>0</v>
      </c>
      <c r="AE567" s="276">
        <f>IF(INDEX(tblContractForDeed[End Bal],ROW()-ROW(tblBuyerOutputs[#Headers]))&lt;=0,0,IF(ROW()=ROW(tblBuyerOutputs[#Headers])+1,0,INDEX(tblBuyerOutputs[Cumul Appr],ROW()-ROW(tblBuyerOutputs[#Headers])-1))+tblBuyerOutputs[[#This Row],[Monthly Appr]])</f>
        <v>0</v>
      </c>
    </row>
    <row r="568" spans="1:43" x14ac:dyDescent="0.25">
      <c r="A568" s="613"/>
      <c r="L568" s="394">
        <f t="shared" si="118"/>
        <v>0</v>
      </c>
      <c r="M568" s="394">
        <f t="shared" si="117"/>
        <v>0</v>
      </c>
      <c r="N568" s="613">
        <f>INDEX(tblSubjectToLoan[Date],ROW()-ROW(tblContractForDeed[#Headers]))</f>
        <v>0</v>
      </c>
      <c r="O568" s="276">
        <f>IF(ROW()=ROW(tblContractForDeed[#Headers])+1,$O$6,IF(INDEX(tblContractForDeed[End Bal],ROW()-ROW(tblContractForDeed[#Headers])-1)&lt;0,0,INDEX(tblContractForDeed[End Bal],ROW()-ROW(tblContractForDeed[#Headers])-1)))</f>
        <v>0</v>
      </c>
      <c r="P568" s="454">
        <f>IF(tblContractForDeed[[#This Row],[Date]]="","",IF(tblContractForDeed[[#This Row],[Date]]&lt;cfdRateChangeDate,cfdRate1,cfdRate2))</f>
        <v>7.0000000000000007E-2</v>
      </c>
      <c r="Q5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276">
        <f>IF(INDEX(tblContractForDeed[Payment],ROW()-ROW(tblBuyerOutputs[#Headers]))=0,0,INDEX(tblContractForDeed[Payment],ROW()-ROW(tblBuyerOutputs[#Headers]))-INDEX(tblSubjectToLoan[Payment],ROW()-ROW(tblBuyerOutputs[#Headers])))</f>
        <v>0</v>
      </c>
      <c r="Z5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8" s="276">
        <f>IF(INDEX(tblContractForDeed[End Bal],ROW()-ROW(tblBuyerOutputs[#Headers]))&lt;=0,0,($O$6+IF(ROW()=ROW(tblBuyerOutputs[#Headers])+1,0,INDEX(tblBuyerOutputs[Cumul Appr],ROW()-ROW(tblBuyerOutputs[#Headers])-1)))*$AK$2/12)</f>
        <v>0</v>
      </c>
      <c r="AE568" s="276">
        <f>IF(INDEX(tblContractForDeed[End Bal],ROW()-ROW(tblBuyerOutputs[#Headers]))&lt;=0,0,IF(ROW()=ROW(tblBuyerOutputs[#Headers])+1,0,INDEX(tblBuyerOutputs[Cumul Appr],ROW()-ROW(tblBuyerOutputs[#Headers])-1))+tblBuyerOutputs[[#This Row],[Monthly Appr]])</f>
        <v>0</v>
      </c>
    </row>
    <row r="569" spans="1:43" x14ac:dyDescent="0.25">
      <c r="A569" s="613"/>
      <c r="L569" s="394">
        <f t="shared" si="118"/>
        <v>0</v>
      </c>
      <c r="M569" s="394">
        <f t="shared" si="117"/>
        <v>0</v>
      </c>
      <c r="N569" s="613">
        <f>INDEX(tblSubjectToLoan[Date],ROW()-ROW(tblContractForDeed[#Headers]))</f>
        <v>0</v>
      </c>
      <c r="O569" s="276">
        <f>IF(ROW()=ROW(tblContractForDeed[#Headers])+1,$O$6,IF(INDEX(tblContractForDeed[End Bal],ROW()-ROW(tblContractForDeed[#Headers])-1)&lt;0,0,INDEX(tblContractForDeed[End Bal],ROW()-ROW(tblContractForDeed[#Headers])-1)))</f>
        <v>0</v>
      </c>
      <c r="P569" s="454">
        <f>IF(tblContractForDeed[[#This Row],[Date]]="","",IF(tblContractForDeed[[#This Row],[Date]]&lt;cfdRateChangeDate,cfdRate1,cfdRate2))</f>
        <v>7.0000000000000007E-2</v>
      </c>
      <c r="Q5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276">
        <f>IF(INDEX(tblContractForDeed[Payment],ROW()-ROW(tblBuyerOutputs[#Headers]))=0,0,INDEX(tblContractForDeed[Payment],ROW()-ROW(tblBuyerOutputs[#Headers]))-INDEX(tblSubjectToLoan[Payment],ROW()-ROW(tblBuyerOutputs[#Headers])))</f>
        <v>0</v>
      </c>
      <c r="Z5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9" s="276">
        <f>IF(INDEX(tblContractForDeed[End Bal],ROW()-ROW(tblBuyerOutputs[#Headers]))&lt;=0,0,($O$6+IF(ROW()=ROW(tblBuyerOutputs[#Headers])+1,0,INDEX(tblBuyerOutputs[Cumul Appr],ROW()-ROW(tblBuyerOutputs[#Headers])-1)))*$AK$2/12)</f>
        <v>0</v>
      </c>
      <c r="AE569" s="276">
        <f>IF(INDEX(tblContractForDeed[End Bal],ROW()-ROW(tblBuyerOutputs[#Headers]))&lt;=0,0,IF(ROW()=ROW(tblBuyerOutputs[#Headers])+1,0,INDEX(tblBuyerOutputs[Cumul Appr],ROW()-ROW(tblBuyerOutputs[#Headers])-1))+tblBuyerOutputs[[#This Row],[Monthly Appr]])</f>
        <v>0</v>
      </c>
    </row>
    <row r="570" spans="1:43" x14ac:dyDescent="0.25">
      <c r="A570" s="613"/>
      <c r="L570" s="394">
        <f t="shared" si="118"/>
        <v>0</v>
      </c>
      <c r="M570" s="394">
        <f t="shared" si="117"/>
        <v>0</v>
      </c>
      <c r="N570" s="613">
        <f>INDEX(tblSubjectToLoan[Date],ROW()-ROW(tblContractForDeed[#Headers]))</f>
        <v>0</v>
      </c>
      <c r="O570" s="276">
        <f>IF(ROW()=ROW(tblContractForDeed[#Headers])+1,$O$6,IF(INDEX(tblContractForDeed[End Bal],ROW()-ROW(tblContractForDeed[#Headers])-1)&lt;0,0,INDEX(tblContractForDeed[End Bal],ROW()-ROW(tblContractForDeed[#Headers])-1)))</f>
        <v>0</v>
      </c>
      <c r="P570" s="454">
        <f>IF(tblContractForDeed[[#This Row],[Date]]="","",IF(tblContractForDeed[[#This Row],[Date]]&lt;cfdRateChangeDate,cfdRate1,cfdRate2))</f>
        <v>7.0000000000000007E-2</v>
      </c>
      <c r="Q5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276">
        <f>IF(INDEX(tblContractForDeed[Payment],ROW()-ROW(tblBuyerOutputs[#Headers]))=0,0,INDEX(tblContractForDeed[Payment],ROW()-ROW(tblBuyerOutputs[#Headers]))-INDEX(tblSubjectToLoan[Payment],ROW()-ROW(tblBuyerOutputs[#Headers])))</f>
        <v>0</v>
      </c>
      <c r="Z5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0" s="276">
        <f>IF(INDEX(tblContractForDeed[End Bal],ROW()-ROW(tblBuyerOutputs[#Headers]))&lt;=0,0,($O$6+IF(ROW()=ROW(tblBuyerOutputs[#Headers])+1,0,INDEX(tblBuyerOutputs[Cumul Appr],ROW()-ROW(tblBuyerOutputs[#Headers])-1)))*$AK$2/12)</f>
        <v>0</v>
      </c>
      <c r="AE570" s="276">
        <f>IF(INDEX(tblContractForDeed[End Bal],ROW()-ROW(tblBuyerOutputs[#Headers]))&lt;=0,0,IF(ROW()=ROW(tblBuyerOutputs[#Headers])+1,0,INDEX(tblBuyerOutputs[Cumul Appr],ROW()-ROW(tblBuyerOutputs[#Headers])-1))+tblBuyerOutputs[[#This Row],[Monthly Appr]])</f>
        <v>0</v>
      </c>
    </row>
    <row r="571" spans="1:43" ht="15.75" thickBot="1" x14ac:dyDescent="0.3">
      <c r="A571" s="615"/>
      <c r="B571" s="332"/>
      <c r="C571" s="21"/>
      <c r="D571" s="21"/>
      <c r="E571" s="21"/>
      <c r="F571" s="21"/>
      <c r="G571" s="21"/>
      <c r="H571" s="21"/>
      <c r="I571" s="332"/>
      <c r="J571" s="332"/>
      <c r="K571" s="332"/>
      <c r="L571" s="395">
        <f t="shared" si="118"/>
        <v>0</v>
      </c>
      <c r="M571" s="395">
        <f t="shared" si="117"/>
        <v>0</v>
      </c>
      <c r="N571" s="615">
        <f>INDEX(tblSubjectToLoan[Date],ROW()-ROW(tblContractForDeed[#Headers]))</f>
        <v>0</v>
      </c>
      <c r="O571" s="332">
        <f>IF(ROW()=ROW(tblContractForDeed[#Headers])+1,$O$6,IF(INDEX(tblContractForDeed[End Bal],ROW()-ROW(tblContractForDeed[#Headers])-1)&lt;0,0,INDEX(tblContractForDeed[End Bal],ROW()-ROW(tblContractForDeed[#Headers])-1)))</f>
        <v>0</v>
      </c>
      <c r="P571" s="454">
        <f>IF(tblContractForDeed[[#This Row],[Date]]="","",IF(tblContractForDeed[[#This Row],[Date]]&lt;cfdRateChangeDate,cfdRate1,cfdRate2))</f>
        <v>7.0000000000000007E-2</v>
      </c>
      <c r="Q5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32">
        <f>IF(INDEX(tblContractForDeed[Payment],ROW()-ROW(tblBuyerOutputs[#Headers]))=0,0,INDEX(tblContractForDeed[Payment],ROW()-ROW(tblBuyerOutputs[#Headers]))-INDEX(tblSubjectToLoan[Payment],ROW()-ROW(tblBuyerOutputs[#Headers])))</f>
        <v>0</v>
      </c>
      <c r="Z5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1" s="332">
        <f>IF(INDEX(tblContractForDeed[End Bal],ROW()-ROW(tblBuyerOutputs[#Headers]))&lt;=0,0,($O$6+IF(ROW()=ROW(tblBuyerOutputs[#Headers])+1,0,INDEX(tblBuyerOutputs[Cumul Appr],ROW()-ROW(tblBuyerOutputs[#Headers])-1)))*$AK$2/12)</f>
        <v>0</v>
      </c>
      <c r="AE571" s="332">
        <f>IF(INDEX(tblContractForDeed[End Bal],ROW()-ROW(tblBuyerOutputs[#Headers]))&lt;=0,0,IF(ROW()=ROW(tblBuyerOutputs[#Headers])+1,0,INDEX(tblBuyerOutputs[Cumul Appr],ROW()-ROW(tblBuyerOutputs[#Headers])-1))+tblBuyerOutputs[[#This Row],[Monthly Appr]])</f>
        <v>0</v>
      </c>
      <c r="AQ571" s="21"/>
    </row>
    <row r="572" spans="1:43" x14ac:dyDescent="0.25">
      <c r="A572" s="613"/>
      <c r="L572" s="394">
        <f t="shared" si="118"/>
        <v>0</v>
      </c>
      <c r="M572" s="394">
        <f t="shared" si="117"/>
        <v>0</v>
      </c>
      <c r="N572" s="613">
        <f>INDEX(tblSubjectToLoan[Date],ROW()-ROW(tblContractForDeed[#Headers]))</f>
        <v>0</v>
      </c>
      <c r="O572" s="276">
        <f>IF(ROW()=ROW(tblContractForDeed[#Headers])+1,$O$6,IF(INDEX(tblContractForDeed[End Bal],ROW()-ROW(tblContractForDeed[#Headers])-1)&lt;0,0,INDEX(tblContractForDeed[End Bal],ROW()-ROW(tblContractForDeed[#Headers])-1)))</f>
        <v>0</v>
      </c>
      <c r="P572" s="454">
        <f>IF(tblContractForDeed[[#This Row],[Date]]="","",IF(tblContractForDeed[[#This Row],[Date]]&lt;cfdRateChangeDate,cfdRate1,cfdRate2))</f>
        <v>7.0000000000000007E-2</v>
      </c>
      <c r="Q5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276">
        <f>IF(INDEX(tblContractForDeed[Payment],ROW()-ROW(tblBuyerOutputs[#Headers]))=0,0,INDEX(tblContractForDeed[Payment],ROW()-ROW(tblBuyerOutputs[#Headers]))-INDEX(tblSubjectToLoan[Payment],ROW()-ROW(tblBuyerOutputs[#Headers])))</f>
        <v>0</v>
      </c>
      <c r="Z5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2" s="276">
        <f>IF(INDEX(tblContractForDeed[End Bal],ROW()-ROW(tblBuyerOutputs[#Headers]))&lt;=0,0,($O$6+IF(ROW()=ROW(tblBuyerOutputs[#Headers])+1,0,INDEX(tblBuyerOutputs[Cumul Appr],ROW()-ROW(tblBuyerOutputs[#Headers])-1)))*$AK$2/12)</f>
        <v>0</v>
      </c>
      <c r="AE572" s="276">
        <f>IF(INDEX(tblContractForDeed[End Bal],ROW()-ROW(tblBuyerOutputs[#Headers]))&lt;=0,0,IF(ROW()=ROW(tblBuyerOutputs[#Headers])+1,0,INDEX(tblBuyerOutputs[Cumul Appr],ROW()-ROW(tblBuyerOutputs[#Headers])-1))+tblBuyerOutputs[[#This Row],[Monthly Appr]])</f>
        <v>0</v>
      </c>
    </row>
    <row r="573" spans="1:43" x14ac:dyDescent="0.25">
      <c r="A573" s="613"/>
      <c r="L573" s="394">
        <f t="shared" si="118"/>
        <v>0</v>
      </c>
      <c r="M573" s="394">
        <f t="shared" si="117"/>
        <v>0</v>
      </c>
      <c r="N573" s="613">
        <f>INDEX(tblSubjectToLoan[Date],ROW()-ROW(tblContractForDeed[#Headers]))</f>
        <v>0</v>
      </c>
      <c r="O573" s="276">
        <f>IF(ROW()=ROW(tblContractForDeed[#Headers])+1,$O$6,IF(INDEX(tblContractForDeed[End Bal],ROW()-ROW(tblContractForDeed[#Headers])-1)&lt;0,0,INDEX(tblContractForDeed[End Bal],ROW()-ROW(tblContractForDeed[#Headers])-1)))</f>
        <v>0</v>
      </c>
      <c r="P573" s="454">
        <f>IF(tblContractForDeed[[#This Row],[Date]]="","",IF(tblContractForDeed[[#This Row],[Date]]&lt;cfdRateChangeDate,cfdRate1,cfdRate2))</f>
        <v>7.0000000000000007E-2</v>
      </c>
      <c r="Q5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276">
        <f>IF(INDEX(tblContractForDeed[Payment],ROW()-ROW(tblBuyerOutputs[#Headers]))=0,0,INDEX(tblContractForDeed[Payment],ROW()-ROW(tblBuyerOutputs[#Headers]))-INDEX(tblSubjectToLoan[Payment],ROW()-ROW(tblBuyerOutputs[#Headers])))</f>
        <v>0</v>
      </c>
      <c r="Z5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3" s="276">
        <f>IF(INDEX(tblContractForDeed[End Bal],ROW()-ROW(tblBuyerOutputs[#Headers]))&lt;=0,0,($O$6+IF(ROW()=ROW(tblBuyerOutputs[#Headers])+1,0,INDEX(tblBuyerOutputs[Cumul Appr],ROW()-ROW(tblBuyerOutputs[#Headers])-1)))*$AK$2/12)</f>
        <v>0</v>
      </c>
      <c r="AE573" s="276">
        <f>IF(INDEX(tblContractForDeed[End Bal],ROW()-ROW(tblBuyerOutputs[#Headers]))&lt;=0,0,IF(ROW()=ROW(tblBuyerOutputs[#Headers])+1,0,INDEX(tblBuyerOutputs[Cumul Appr],ROW()-ROW(tblBuyerOutputs[#Headers])-1))+tblBuyerOutputs[[#This Row],[Monthly Appr]])</f>
        <v>0</v>
      </c>
    </row>
    <row r="574" spans="1:43" x14ac:dyDescent="0.25">
      <c r="A574" s="613"/>
      <c r="L574" s="394">
        <f t="shared" si="118"/>
        <v>0</v>
      </c>
      <c r="M574" s="394">
        <f t="shared" si="117"/>
        <v>0</v>
      </c>
      <c r="N574" s="613">
        <f>INDEX(tblSubjectToLoan[Date],ROW()-ROW(tblContractForDeed[#Headers]))</f>
        <v>0</v>
      </c>
      <c r="O574" s="276">
        <f>IF(ROW()=ROW(tblContractForDeed[#Headers])+1,$O$6,IF(INDEX(tblContractForDeed[End Bal],ROW()-ROW(tblContractForDeed[#Headers])-1)&lt;0,0,INDEX(tblContractForDeed[End Bal],ROW()-ROW(tblContractForDeed[#Headers])-1)))</f>
        <v>0</v>
      </c>
      <c r="P574" s="454">
        <f>IF(tblContractForDeed[[#This Row],[Date]]="","",IF(tblContractForDeed[[#This Row],[Date]]&lt;cfdRateChangeDate,cfdRate1,cfdRate2))</f>
        <v>7.0000000000000007E-2</v>
      </c>
      <c r="Q5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276">
        <f>IF(INDEX(tblContractForDeed[Payment],ROW()-ROW(tblBuyerOutputs[#Headers]))=0,0,INDEX(tblContractForDeed[Payment],ROW()-ROW(tblBuyerOutputs[#Headers]))-INDEX(tblSubjectToLoan[Payment],ROW()-ROW(tblBuyerOutputs[#Headers])))</f>
        <v>0</v>
      </c>
      <c r="Z5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4" s="276">
        <f>IF(INDEX(tblContractForDeed[End Bal],ROW()-ROW(tblBuyerOutputs[#Headers]))&lt;=0,0,($O$6+IF(ROW()=ROW(tblBuyerOutputs[#Headers])+1,0,INDEX(tblBuyerOutputs[Cumul Appr],ROW()-ROW(tblBuyerOutputs[#Headers])-1)))*$AK$2/12)</f>
        <v>0</v>
      </c>
      <c r="AE574" s="276">
        <f>IF(INDEX(tblContractForDeed[End Bal],ROW()-ROW(tblBuyerOutputs[#Headers]))&lt;=0,0,IF(ROW()=ROW(tblBuyerOutputs[#Headers])+1,0,INDEX(tblBuyerOutputs[Cumul Appr],ROW()-ROW(tblBuyerOutputs[#Headers])-1))+tblBuyerOutputs[[#This Row],[Monthly Appr]])</f>
        <v>0</v>
      </c>
    </row>
    <row r="575" spans="1:43" x14ac:dyDescent="0.25">
      <c r="A575" s="613"/>
      <c r="L575" s="394">
        <f t="shared" si="118"/>
        <v>0</v>
      </c>
      <c r="M575" s="394">
        <f t="shared" si="117"/>
        <v>0</v>
      </c>
      <c r="N575" s="613">
        <f>INDEX(tblSubjectToLoan[Date],ROW()-ROW(tblContractForDeed[#Headers]))</f>
        <v>0</v>
      </c>
      <c r="O575" s="276">
        <f>IF(ROW()=ROW(tblContractForDeed[#Headers])+1,$O$6,IF(INDEX(tblContractForDeed[End Bal],ROW()-ROW(tblContractForDeed[#Headers])-1)&lt;0,0,INDEX(tblContractForDeed[End Bal],ROW()-ROW(tblContractForDeed[#Headers])-1)))</f>
        <v>0</v>
      </c>
      <c r="P575" s="454">
        <f>IF(tblContractForDeed[[#This Row],[Date]]="","",IF(tblContractForDeed[[#This Row],[Date]]&lt;cfdRateChangeDate,cfdRate1,cfdRate2))</f>
        <v>7.0000000000000007E-2</v>
      </c>
      <c r="Q5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276">
        <f>IF(INDEX(tblContractForDeed[Payment],ROW()-ROW(tblBuyerOutputs[#Headers]))=0,0,INDEX(tblContractForDeed[Payment],ROW()-ROW(tblBuyerOutputs[#Headers]))-INDEX(tblSubjectToLoan[Payment],ROW()-ROW(tblBuyerOutputs[#Headers])))</f>
        <v>0</v>
      </c>
      <c r="Z5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5" s="276">
        <f>IF(INDEX(tblContractForDeed[End Bal],ROW()-ROW(tblBuyerOutputs[#Headers]))&lt;=0,0,($O$6+IF(ROW()=ROW(tblBuyerOutputs[#Headers])+1,0,INDEX(tblBuyerOutputs[Cumul Appr],ROW()-ROW(tblBuyerOutputs[#Headers])-1)))*$AK$2/12)</f>
        <v>0</v>
      </c>
      <c r="AE575" s="276">
        <f>IF(INDEX(tblContractForDeed[End Bal],ROW()-ROW(tblBuyerOutputs[#Headers]))&lt;=0,0,IF(ROW()=ROW(tblBuyerOutputs[#Headers])+1,0,INDEX(tblBuyerOutputs[Cumul Appr],ROW()-ROW(tblBuyerOutputs[#Headers])-1))+tblBuyerOutputs[[#This Row],[Monthly Appr]])</f>
        <v>0</v>
      </c>
    </row>
    <row r="576" spans="1:43" x14ac:dyDescent="0.25">
      <c r="A576" s="613"/>
      <c r="L576" s="394">
        <f t="shared" si="118"/>
        <v>0</v>
      </c>
      <c r="M576" s="394">
        <f t="shared" si="117"/>
        <v>0</v>
      </c>
      <c r="N576" s="613">
        <f>INDEX(tblSubjectToLoan[Date],ROW()-ROW(tblContractForDeed[#Headers]))</f>
        <v>0</v>
      </c>
      <c r="O576" s="276">
        <f>IF(ROW()=ROW(tblContractForDeed[#Headers])+1,$O$6,IF(INDEX(tblContractForDeed[End Bal],ROW()-ROW(tblContractForDeed[#Headers])-1)&lt;0,0,INDEX(tblContractForDeed[End Bal],ROW()-ROW(tblContractForDeed[#Headers])-1)))</f>
        <v>0</v>
      </c>
      <c r="P576" s="454">
        <f>IF(tblContractForDeed[[#This Row],[Date]]="","",IF(tblContractForDeed[[#This Row],[Date]]&lt;cfdRateChangeDate,cfdRate1,cfdRate2))</f>
        <v>7.0000000000000007E-2</v>
      </c>
      <c r="Q5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276">
        <f>IF(INDEX(tblContractForDeed[Payment],ROW()-ROW(tblBuyerOutputs[#Headers]))=0,0,INDEX(tblContractForDeed[Payment],ROW()-ROW(tblBuyerOutputs[#Headers]))-INDEX(tblSubjectToLoan[Payment],ROW()-ROW(tblBuyerOutputs[#Headers])))</f>
        <v>0</v>
      </c>
      <c r="Z5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6" s="276">
        <f>IF(INDEX(tblContractForDeed[End Bal],ROW()-ROW(tblBuyerOutputs[#Headers]))&lt;=0,0,($O$6+IF(ROW()=ROW(tblBuyerOutputs[#Headers])+1,0,INDEX(tblBuyerOutputs[Cumul Appr],ROW()-ROW(tblBuyerOutputs[#Headers])-1)))*$AK$2/12)</f>
        <v>0</v>
      </c>
      <c r="AE576" s="276">
        <f>IF(INDEX(tblContractForDeed[End Bal],ROW()-ROW(tblBuyerOutputs[#Headers]))&lt;=0,0,IF(ROW()=ROW(tblBuyerOutputs[#Headers])+1,0,INDEX(tblBuyerOutputs[Cumul Appr],ROW()-ROW(tblBuyerOutputs[#Headers])-1))+tblBuyerOutputs[[#This Row],[Monthly Appr]])</f>
        <v>0</v>
      </c>
    </row>
    <row r="577" spans="1:43" x14ac:dyDescent="0.25">
      <c r="A577" s="613"/>
      <c r="L577" s="394">
        <f t="shared" si="118"/>
        <v>0</v>
      </c>
      <c r="M577" s="394">
        <f t="shared" si="117"/>
        <v>0</v>
      </c>
      <c r="N577" s="613">
        <f>INDEX(tblSubjectToLoan[Date],ROW()-ROW(tblContractForDeed[#Headers]))</f>
        <v>0</v>
      </c>
      <c r="O577" s="276">
        <f>IF(ROW()=ROW(tblContractForDeed[#Headers])+1,$O$6,IF(INDEX(tblContractForDeed[End Bal],ROW()-ROW(tblContractForDeed[#Headers])-1)&lt;0,0,INDEX(tblContractForDeed[End Bal],ROW()-ROW(tblContractForDeed[#Headers])-1)))</f>
        <v>0</v>
      </c>
      <c r="P577" s="454">
        <f>IF(tblContractForDeed[[#This Row],[Date]]="","",IF(tblContractForDeed[[#This Row],[Date]]&lt;cfdRateChangeDate,cfdRate1,cfdRate2))</f>
        <v>7.0000000000000007E-2</v>
      </c>
      <c r="Q5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276">
        <f>IF(INDEX(tblContractForDeed[Payment],ROW()-ROW(tblBuyerOutputs[#Headers]))=0,0,INDEX(tblContractForDeed[Payment],ROW()-ROW(tblBuyerOutputs[#Headers]))-INDEX(tblSubjectToLoan[Payment],ROW()-ROW(tblBuyerOutputs[#Headers])))</f>
        <v>0</v>
      </c>
      <c r="Z5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7" s="276">
        <f>IF(INDEX(tblContractForDeed[End Bal],ROW()-ROW(tblBuyerOutputs[#Headers]))&lt;=0,0,($O$6+IF(ROW()=ROW(tblBuyerOutputs[#Headers])+1,0,INDEX(tblBuyerOutputs[Cumul Appr],ROW()-ROW(tblBuyerOutputs[#Headers])-1)))*$AK$2/12)</f>
        <v>0</v>
      </c>
      <c r="AE577" s="276">
        <f>IF(INDEX(tblContractForDeed[End Bal],ROW()-ROW(tblBuyerOutputs[#Headers]))&lt;=0,0,IF(ROW()=ROW(tblBuyerOutputs[#Headers])+1,0,INDEX(tblBuyerOutputs[Cumul Appr],ROW()-ROW(tblBuyerOutputs[#Headers])-1))+tblBuyerOutputs[[#This Row],[Monthly Appr]])</f>
        <v>0</v>
      </c>
    </row>
    <row r="578" spans="1:43" x14ac:dyDescent="0.25">
      <c r="A578" s="613"/>
      <c r="L578" s="394">
        <f t="shared" si="118"/>
        <v>0</v>
      </c>
      <c r="M578" s="394">
        <f t="shared" si="117"/>
        <v>0</v>
      </c>
      <c r="N578" s="613">
        <f>INDEX(tblSubjectToLoan[Date],ROW()-ROW(tblContractForDeed[#Headers]))</f>
        <v>0</v>
      </c>
      <c r="O578" s="276">
        <f>IF(ROW()=ROW(tblContractForDeed[#Headers])+1,$O$6,IF(INDEX(tblContractForDeed[End Bal],ROW()-ROW(tblContractForDeed[#Headers])-1)&lt;0,0,INDEX(tblContractForDeed[End Bal],ROW()-ROW(tblContractForDeed[#Headers])-1)))</f>
        <v>0</v>
      </c>
      <c r="P578" s="454">
        <f>IF(tblContractForDeed[[#This Row],[Date]]="","",IF(tblContractForDeed[[#This Row],[Date]]&lt;cfdRateChangeDate,cfdRate1,cfdRate2))</f>
        <v>7.0000000000000007E-2</v>
      </c>
      <c r="Q5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276">
        <f>IF(INDEX(tblContractForDeed[Payment],ROW()-ROW(tblBuyerOutputs[#Headers]))=0,0,INDEX(tblContractForDeed[Payment],ROW()-ROW(tblBuyerOutputs[#Headers]))-INDEX(tblSubjectToLoan[Payment],ROW()-ROW(tblBuyerOutputs[#Headers])))</f>
        <v>0</v>
      </c>
      <c r="Z5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8" s="276">
        <f>IF(INDEX(tblContractForDeed[End Bal],ROW()-ROW(tblBuyerOutputs[#Headers]))&lt;=0,0,($O$6+IF(ROW()=ROW(tblBuyerOutputs[#Headers])+1,0,INDEX(tblBuyerOutputs[Cumul Appr],ROW()-ROW(tblBuyerOutputs[#Headers])-1)))*$AK$2/12)</f>
        <v>0</v>
      </c>
      <c r="AE578" s="276">
        <f>IF(INDEX(tblContractForDeed[End Bal],ROW()-ROW(tblBuyerOutputs[#Headers]))&lt;=0,0,IF(ROW()=ROW(tblBuyerOutputs[#Headers])+1,0,INDEX(tblBuyerOutputs[Cumul Appr],ROW()-ROW(tblBuyerOutputs[#Headers])-1))+tblBuyerOutputs[[#This Row],[Monthly Appr]])</f>
        <v>0</v>
      </c>
    </row>
    <row r="579" spans="1:43" x14ac:dyDescent="0.25">
      <c r="A579" s="613"/>
      <c r="L579" s="394">
        <f t="shared" si="118"/>
        <v>0</v>
      </c>
      <c r="M579" s="394">
        <f t="shared" si="117"/>
        <v>0</v>
      </c>
      <c r="N579" s="613">
        <f>INDEX(tblSubjectToLoan[Date],ROW()-ROW(tblContractForDeed[#Headers]))</f>
        <v>0</v>
      </c>
      <c r="O579" s="276">
        <f>IF(ROW()=ROW(tblContractForDeed[#Headers])+1,$O$6,IF(INDEX(tblContractForDeed[End Bal],ROW()-ROW(tblContractForDeed[#Headers])-1)&lt;0,0,INDEX(tblContractForDeed[End Bal],ROW()-ROW(tblContractForDeed[#Headers])-1)))</f>
        <v>0</v>
      </c>
      <c r="P579" s="454">
        <f>IF(tblContractForDeed[[#This Row],[Date]]="","",IF(tblContractForDeed[[#This Row],[Date]]&lt;cfdRateChangeDate,cfdRate1,cfdRate2))</f>
        <v>7.0000000000000007E-2</v>
      </c>
      <c r="Q5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276">
        <f>IF(INDEX(tblContractForDeed[Payment],ROW()-ROW(tblBuyerOutputs[#Headers]))=0,0,INDEX(tblContractForDeed[Payment],ROW()-ROW(tblBuyerOutputs[#Headers]))-INDEX(tblSubjectToLoan[Payment],ROW()-ROW(tblBuyerOutputs[#Headers])))</f>
        <v>0</v>
      </c>
      <c r="Z5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9" s="276">
        <f>IF(INDEX(tblContractForDeed[End Bal],ROW()-ROW(tblBuyerOutputs[#Headers]))&lt;=0,0,($O$6+IF(ROW()=ROW(tblBuyerOutputs[#Headers])+1,0,INDEX(tblBuyerOutputs[Cumul Appr],ROW()-ROW(tblBuyerOutputs[#Headers])-1)))*$AK$2/12)</f>
        <v>0</v>
      </c>
      <c r="AE579" s="276">
        <f>IF(INDEX(tblContractForDeed[End Bal],ROW()-ROW(tblBuyerOutputs[#Headers]))&lt;=0,0,IF(ROW()=ROW(tblBuyerOutputs[#Headers])+1,0,INDEX(tblBuyerOutputs[Cumul Appr],ROW()-ROW(tblBuyerOutputs[#Headers])-1))+tblBuyerOutputs[[#This Row],[Monthly Appr]])</f>
        <v>0</v>
      </c>
    </row>
    <row r="580" spans="1:43" x14ac:dyDescent="0.25">
      <c r="A580" s="613"/>
      <c r="L580" s="394">
        <f t="shared" si="118"/>
        <v>0</v>
      </c>
      <c r="M580" s="394">
        <f t="shared" si="117"/>
        <v>0</v>
      </c>
      <c r="N580" s="613">
        <f>INDEX(tblSubjectToLoan[Date],ROW()-ROW(tblContractForDeed[#Headers]))</f>
        <v>0</v>
      </c>
      <c r="O580" s="276">
        <f>IF(ROW()=ROW(tblContractForDeed[#Headers])+1,$O$6,IF(INDEX(tblContractForDeed[End Bal],ROW()-ROW(tblContractForDeed[#Headers])-1)&lt;0,0,INDEX(tblContractForDeed[End Bal],ROW()-ROW(tblContractForDeed[#Headers])-1)))</f>
        <v>0</v>
      </c>
      <c r="P580" s="454">
        <f>IF(tblContractForDeed[[#This Row],[Date]]="","",IF(tblContractForDeed[[#This Row],[Date]]&lt;cfdRateChangeDate,cfdRate1,cfdRate2))</f>
        <v>7.0000000000000007E-2</v>
      </c>
      <c r="Q5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276">
        <f>IF(INDEX(tblContractForDeed[Payment],ROW()-ROW(tblBuyerOutputs[#Headers]))=0,0,INDEX(tblContractForDeed[Payment],ROW()-ROW(tblBuyerOutputs[#Headers]))-INDEX(tblSubjectToLoan[Payment],ROW()-ROW(tblBuyerOutputs[#Headers])))</f>
        <v>0</v>
      </c>
      <c r="Z5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0" s="276">
        <f>IF(INDEX(tblContractForDeed[End Bal],ROW()-ROW(tblBuyerOutputs[#Headers]))&lt;=0,0,($O$6+IF(ROW()=ROW(tblBuyerOutputs[#Headers])+1,0,INDEX(tblBuyerOutputs[Cumul Appr],ROW()-ROW(tblBuyerOutputs[#Headers])-1)))*$AK$2/12)</f>
        <v>0</v>
      </c>
      <c r="AE580" s="276">
        <f>IF(INDEX(tblContractForDeed[End Bal],ROW()-ROW(tblBuyerOutputs[#Headers]))&lt;=0,0,IF(ROW()=ROW(tblBuyerOutputs[#Headers])+1,0,INDEX(tblBuyerOutputs[Cumul Appr],ROW()-ROW(tblBuyerOutputs[#Headers])-1))+tblBuyerOutputs[[#This Row],[Monthly Appr]])</f>
        <v>0</v>
      </c>
    </row>
    <row r="581" spans="1:43" x14ac:dyDescent="0.25">
      <c r="A581" s="613"/>
      <c r="L581" s="394">
        <f t="shared" si="118"/>
        <v>0</v>
      </c>
      <c r="M581" s="394">
        <f t="shared" si="117"/>
        <v>0</v>
      </c>
      <c r="N581" s="613">
        <f>INDEX(tblSubjectToLoan[Date],ROW()-ROW(tblContractForDeed[#Headers]))</f>
        <v>0</v>
      </c>
      <c r="O581" s="276">
        <f>IF(ROW()=ROW(tblContractForDeed[#Headers])+1,$O$6,IF(INDEX(tblContractForDeed[End Bal],ROW()-ROW(tblContractForDeed[#Headers])-1)&lt;0,0,INDEX(tblContractForDeed[End Bal],ROW()-ROW(tblContractForDeed[#Headers])-1)))</f>
        <v>0</v>
      </c>
      <c r="P581" s="454">
        <f>IF(tblContractForDeed[[#This Row],[Date]]="","",IF(tblContractForDeed[[#This Row],[Date]]&lt;cfdRateChangeDate,cfdRate1,cfdRate2))</f>
        <v>7.0000000000000007E-2</v>
      </c>
      <c r="Q5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276">
        <f>IF(INDEX(tblContractForDeed[Payment],ROW()-ROW(tblBuyerOutputs[#Headers]))=0,0,INDEX(tblContractForDeed[Payment],ROW()-ROW(tblBuyerOutputs[#Headers]))-INDEX(tblSubjectToLoan[Payment],ROW()-ROW(tblBuyerOutputs[#Headers])))</f>
        <v>0</v>
      </c>
      <c r="Z5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1" s="276">
        <f>IF(INDEX(tblContractForDeed[End Bal],ROW()-ROW(tblBuyerOutputs[#Headers]))&lt;=0,0,($O$6+IF(ROW()=ROW(tblBuyerOutputs[#Headers])+1,0,INDEX(tblBuyerOutputs[Cumul Appr],ROW()-ROW(tblBuyerOutputs[#Headers])-1)))*$AK$2/12)</f>
        <v>0</v>
      </c>
      <c r="AE581" s="276">
        <f>IF(INDEX(tblContractForDeed[End Bal],ROW()-ROW(tblBuyerOutputs[#Headers]))&lt;=0,0,IF(ROW()=ROW(tblBuyerOutputs[#Headers])+1,0,INDEX(tblBuyerOutputs[Cumul Appr],ROW()-ROW(tblBuyerOutputs[#Headers])-1))+tblBuyerOutputs[[#This Row],[Monthly Appr]])</f>
        <v>0</v>
      </c>
    </row>
    <row r="582" spans="1:43" x14ac:dyDescent="0.25">
      <c r="A582" s="613"/>
      <c r="L582" s="394">
        <f t="shared" si="118"/>
        <v>0</v>
      </c>
      <c r="M582" s="394">
        <f t="shared" si="117"/>
        <v>0</v>
      </c>
      <c r="N582" s="613">
        <f>INDEX(tblSubjectToLoan[Date],ROW()-ROW(tblContractForDeed[#Headers]))</f>
        <v>0</v>
      </c>
      <c r="O582" s="276">
        <f>IF(ROW()=ROW(tblContractForDeed[#Headers])+1,$O$6,IF(INDEX(tblContractForDeed[End Bal],ROW()-ROW(tblContractForDeed[#Headers])-1)&lt;0,0,INDEX(tblContractForDeed[End Bal],ROW()-ROW(tblContractForDeed[#Headers])-1)))</f>
        <v>0</v>
      </c>
      <c r="P582" s="454">
        <f>IF(tblContractForDeed[[#This Row],[Date]]="","",IF(tblContractForDeed[[#This Row],[Date]]&lt;cfdRateChangeDate,cfdRate1,cfdRate2))</f>
        <v>7.0000000000000007E-2</v>
      </c>
      <c r="Q5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276">
        <f>IF(INDEX(tblContractForDeed[Payment],ROW()-ROW(tblBuyerOutputs[#Headers]))=0,0,INDEX(tblContractForDeed[Payment],ROW()-ROW(tblBuyerOutputs[#Headers]))-INDEX(tblSubjectToLoan[Payment],ROW()-ROW(tblBuyerOutputs[#Headers])))</f>
        <v>0</v>
      </c>
      <c r="Z5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2" s="276">
        <f>IF(INDEX(tblContractForDeed[End Bal],ROW()-ROW(tblBuyerOutputs[#Headers]))&lt;=0,0,($O$6+IF(ROW()=ROW(tblBuyerOutputs[#Headers])+1,0,INDEX(tblBuyerOutputs[Cumul Appr],ROW()-ROW(tblBuyerOutputs[#Headers])-1)))*$AK$2/12)</f>
        <v>0</v>
      </c>
      <c r="AE582" s="276">
        <f>IF(INDEX(tblContractForDeed[End Bal],ROW()-ROW(tblBuyerOutputs[#Headers]))&lt;=0,0,IF(ROW()=ROW(tblBuyerOutputs[#Headers])+1,0,INDEX(tblBuyerOutputs[Cumul Appr],ROW()-ROW(tblBuyerOutputs[#Headers])-1))+tblBuyerOutputs[[#This Row],[Monthly Appr]])</f>
        <v>0</v>
      </c>
    </row>
    <row r="583" spans="1:43" ht="15.75" thickBot="1" x14ac:dyDescent="0.3">
      <c r="A583" s="615"/>
      <c r="B583" s="332"/>
      <c r="C583" s="21"/>
      <c r="D583" s="21"/>
      <c r="E583" s="21"/>
      <c r="F583" s="21"/>
      <c r="G583" s="21"/>
      <c r="H583" s="21"/>
      <c r="I583" s="332"/>
      <c r="J583" s="332"/>
      <c r="K583" s="332"/>
      <c r="L583" s="395">
        <f t="shared" si="118"/>
        <v>0</v>
      </c>
      <c r="M583" s="395">
        <f t="shared" si="117"/>
        <v>0</v>
      </c>
      <c r="N583" s="615">
        <f>INDEX(tblSubjectToLoan[Date],ROW()-ROW(tblContractForDeed[#Headers]))</f>
        <v>0</v>
      </c>
      <c r="O583" s="332">
        <f>IF(ROW()=ROW(tblContractForDeed[#Headers])+1,$O$6,IF(INDEX(tblContractForDeed[End Bal],ROW()-ROW(tblContractForDeed[#Headers])-1)&lt;0,0,INDEX(tblContractForDeed[End Bal],ROW()-ROW(tblContractForDeed[#Headers])-1)))</f>
        <v>0</v>
      </c>
      <c r="P583" s="454">
        <f>IF(tblContractForDeed[[#This Row],[Date]]="","",IF(tblContractForDeed[[#This Row],[Date]]&lt;cfdRateChangeDate,cfdRate1,cfdRate2))</f>
        <v>7.0000000000000007E-2</v>
      </c>
      <c r="Q5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32">
        <f>IF(INDEX(tblContractForDeed[Payment],ROW()-ROW(tblBuyerOutputs[#Headers]))=0,0,INDEX(tblContractForDeed[Payment],ROW()-ROW(tblBuyerOutputs[#Headers]))-INDEX(tblSubjectToLoan[Payment],ROW()-ROW(tblBuyerOutputs[#Headers])))</f>
        <v>0</v>
      </c>
      <c r="Z5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3" s="332">
        <f>IF(INDEX(tblContractForDeed[End Bal],ROW()-ROW(tblBuyerOutputs[#Headers]))&lt;=0,0,($O$6+IF(ROW()=ROW(tblBuyerOutputs[#Headers])+1,0,INDEX(tblBuyerOutputs[Cumul Appr],ROW()-ROW(tblBuyerOutputs[#Headers])-1)))*$AK$2/12)</f>
        <v>0</v>
      </c>
      <c r="AE583" s="332">
        <f>IF(INDEX(tblContractForDeed[End Bal],ROW()-ROW(tblBuyerOutputs[#Headers]))&lt;=0,0,IF(ROW()=ROW(tblBuyerOutputs[#Headers])+1,0,INDEX(tblBuyerOutputs[Cumul Appr],ROW()-ROW(tblBuyerOutputs[#Headers])-1))+tblBuyerOutputs[[#This Row],[Monthly Appr]])</f>
        <v>0</v>
      </c>
      <c r="AQ583" s="21"/>
    </row>
    <row r="584" spans="1:43" x14ac:dyDescent="0.25">
      <c r="A584" s="613"/>
      <c r="L584" s="394">
        <f t="shared" si="118"/>
        <v>0</v>
      </c>
      <c r="M584" s="394">
        <f t="shared" si="117"/>
        <v>0</v>
      </c>
      <c r="N584" s="613">
        <f>INDEX(tblSubjectToLoan[Date],ROW()-ROW(tblContractForDeed[#Headers]))</f>
        <v>0</v>
      </c>
      <c r="O584" s="276">
        <f>IF(ROW()=ROW(tblContractForDeed[#Headers])+1,$O$6,IF(INDEX(tblContractForDeed[End Bal],ROW()-ROW(tblContractForDeed[#Headers])-1)&lt;0,0,INDEX(tblContractForDeed[End Bal],ROW()-ROW(tblContractForDeed[#Headers])-1)))</f>
        <v>0</v>
      </c>
      <c r="P584" s="454">
        <f>IF(tblContractForDeed[[#This Row],[Date]]="","",IF(tblContractForDeed[[#This Row],[Date]]&lt;cfdRateChangeDate,cfdRate1,cfdRate2))</f>
        <v>7.0000000000000007E-2</v>
      </c>
      <c r="Q5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276">
        <f>IF(INDEX(tblContractForDeed[Payment],ROW()-ROW(tblBuyerOutputs[#Headers]))=0,0,INDEX(tblContractForDeed[Payment],ROW()-ROW(tblBuyerOutputs[#Headers]))-INDEX(tblSubjectToLoan[Payment],ROW()-ROW(tblBuyerOutputs[#Headers])))</f>
        <v>0</v>
      </c>
      <c r="Z5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4" s="276">
        <f>IF(INDEX(tblContractForDeed[End Bal],ROW()-ROW(tblBuyerOutputs[#Headers]))&lt;=0,0,($O$6+IF(ROW()=ROW(tblBuyerOutputs[#Headers])+1,0,INDEX(tblBuyerOutputs[Cumul Appr],ROW()-ROW(tblBuyerOutputs[#Headers])-1)))*$AK$2/12)</f>
        <v>0</v>
      </c>
      <c r="AE584" s="276">
        <f>IF(INDEX(tblContractForDeed[End Bal],ROW()-ROW(tblBuyerOutputs[#Headers]))&lt;=0,0,IF(ROW()=ROW(tblBuyerOutputs[#Headers])+1,0,INDEX(tblBuyerOutputs[Cumul Appr],ROW()-ROW(tblBuyerOutputs[#Headers])-1))+tblBuyerOutputs[[#This Row],[Monthly Appr]])</f>
        <v>0</v>
      </c>
    </row>
    <row r="585" spans="1:43" x14ac:dyDescent="0.25">
      <c r="A585" s="613"/>
      <c r="L585" s="394">
        <f t="shared" si="118"/>
        <v>0</v>
      </c>
      <c r="M585" s="394">
        <f t="shared" si="117"/>
        <v>0</v>
      </c>
      <c r="N585" s="613">
        <f>INDEX(tblSubjectToLoan[Date],ROW()-ROW(tblContractForDeed[#Headers]))</f>
        <v>0</v>
      </c>
      <c r="O585" s="276">
        <f>IF(ROW()=ROW(tblContractForDeed[#Headers])+1,$O$6,IF(INDEX(tblContractForDeed[End Bal],ROW()-ROW(tblContractForDeed[#Headers])-1)&lt;0,0,INDEX(tblContractForDeed[End Bal],ROW()-ROW(tblContractForDeed[#Headers])-1)))</f>
        <v>0</v>
      </c>
      <c r="P585" s="454">
        <f>IF(tblContractForDeed[[#This Row],[Date]]="","",IF(tblContractForDeed[[#This Row],[Date]]&lt;cfdRateChangeDate,cfdRate1,cfdRate2))</f>
        <v>7.0000000000000007E-2</v>
      </c>
      <c r="Q5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276">
        <f>IF(INDEX(tblContractForDeed[Payment],ROW()-ROW(tblBuyerOutputs[#Headers]))=0,0,INDEX(tblContractForDeed[Payment],ROW()-ROW(tblBuyerOutputs[#Headers]))-INDEX(tblSubjectToLoan[Payment],ROW()-ROW(tblBuyerOutputs[#Headers])))</f>
        <v>0</v>
      </c>
      <c r="Z5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5" s="276">
        <f>IF(INDEX(tblContractForDeed[End Bal],ROW()-ROW(tblBuyerOutputs[#Headers]))&lt;=0,0,($O$6+IF(ROW()=ROW(tblBuyerOutputs[#Headers])+1,0,INDEX(tblBuyerOutputs[Cumul Appr],ROW()-ROW(tblBuyerOutputs[#Headers])-1)))*$AK$2/12)</f>
        <v>0</v>
      </c>
      <c r="AE585" s="276">
        <f>IF(INDEX(tblContractForDeed[End Bal],ROW()-ROW(tblBuyerOutputs[#Headers]))&lt;=0,0,IF(ROW()=ROW(tblBuyerOutputs[#Headers])+1,0,INDEX(tblBuyerOutputs[Cumul Appr],ROW()-ROW(tblBuyerOutputs[#Headers])-1))+tblBuyerOutputs[[#This Row],[Monthly Appr]])</f>
        <v>0</v>
      </c>
    </row>
    <row r="586" spans="1:43" x14ac:dyDescent="0.25">
      <c r="A586" s="613"/>
      <c r="L586" s="394">
        <f t="shared" si="118"/>
        <v>0</v>
      </c>
      <c r="M586" s="394">
        <f t="shared" si="117"/>
        <v>0</v>
      </c>
      <c r="N586" s="613">
        <f>INDEX(tblSubjectToLoan[Date],ROW()-ROW(tblContractForDeed[#Headers]))</f>
        <v>0</v>
      </c>
      <c r="O586" s="276">
        <f>IF(ROW()=ROW(tblContractForDeed[#Headers])+1,$O$6,IF(INDEX(tblContractForDeed[End Bal],ROW()-ROW(tblContractForDeed[#Headers])-1)&lt;0,0,INDEX(tblContractForDeed[End Bal],ROW()-ROW(tblContractForDeed[#Headers])-1)))</f>
        <v>0</v>
      </c>
      <c r="P586" s="454">
        <f>IF(tblContractForDeed[[#This Row],[Date]]="","",IF(tblContractForDeed[[#This Row],[Date]]&lt;cfdRateChangeDate,cfdRate1,cfdRate2))</f>
        <v>7.0000000000000007E-2</v>
      </c>
      <c r="Q5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276">
        <f>IF(INDEX(tblContractForDeed[Payment],ROW()-ROW(tblBuyerOutputs[#Headers]))=0,0,INDEX(tblContractForDeed[Payment],ROW()-ROW(tblBuyerOutputs[#Headers]))-INDEX(tblSubjectToLoan[Payment],ROW()-ROW(tblBuyerOutputs[#Headers])))</f>
        <v>0</v>
      </c>
      <c r="Z5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6" s="276">
        <f>IF(INDEX(tblContractForDeed[End Bal],ROW()-ROW(tblBuyerOutputs[#Headers]))&lt;=0,0,($O$6+IF(ROW()=ROW(tblBuyerOutputs[#Headers])+1,0,INDEX(tblBuyerOutputs[Cumul Appr],ROW()-ROW(tblBuyerOutputs[#Headers])-1)))*$AK$2/12)</f>
        <v>0</v>
      </c>
      <c r="AE586" s="276">
        <f>IF(INDEX(tblContractForDeed[End Bal],ROW()-ROW(tblBuyerOutputs[#Headers]))&lt;=0,0,IF(ROW()=ROW(tblBuyerOutputs[#Headers])+1,0,INDEX(tblBuyerOutputs[Cumul Appr],ROW()-ROW(tblBuyerOutputs[#Headers])-1))+tblBuyerOutputs[[#This Row],[Monthly Appr]])</f>
        <v>0</v>
      </c>
    </row>
    <row r="587" spans="1:43" x14ac:dyDescent="0.25">
      <c r="A587" s="613"/>
      <c r="L587" s="394">
        <f t="shared" si="118"/>
        <v>0</v>
      </c>
      <c r="M587" s="394">
        <f t="shared" si="117"/>
        <v>0</v>
      </c>
      <c r="N587" s="613">
        <f>INDEX(tblSubjectToLoan[Date],ROW()-ROW(tblContractForDeed[#Headers]))</f>
        <v>0</v>
      </c>
      <c r="O587" s="276">
        <f>IF(ROW()=ROW(tblContractForDeed[#Headers])+1,$O$6,IF(INDEX(tblContractForDeed[End Bal],ROW()-ROW(tblContractForDeed[#Headers])-1)&lt;0,0,INDEX(tblContractForDeed[End Bal],ROW()-ROW(tblContractForDeed[#Headers])-1)))</f>
        <v>0</v>
      </c>
      <c r="P587" s="454">
        <f>IF(tblContractForDeed[[#This Row],[Date]]="","",IF(tblContractForDeed[[#This Row],[Date]]&lt;cfdRateChangeDate,cfdRate1,cfdRate2))</f>
        <v>7.0000000000000007E-2</v>
      </c>
      <c r="Q5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276">
        <f>IF(INDEX(tblContractForDeed[Payment],ROW()-ROW(tblBuyerOutputs[#Headers]))=0,0,INDEX(tblContractForDeed[Payment],ROW()-ROW(tblBuyerOutputs[#Headers]))-INDEX(tblSubjectToLoan[Payment],ROW()-ROW(tblBuyerOutputs[#Headers])))</f>
        <v>0</v>
      </c>
      <c r="Z5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7" s="276">
        <f>IF(INDEX(tblContractForDeed[End Bal],ROW()-ROW(tblBuyerOutputs[#Headers]))&lt;=0,0,($O$6+IF(ROW()=ROW(tblBuyerOutputs[#Headers])+1,0,INDEX(tblBuyerOutputs[Cumul Appr],ROW()-ROW(tblBuyerOutputs[#Headers])-1)))*$AK$2/12)</f>
        <v>0</v>
      </c>
      <c r="AE587" s="276">
        <f>IF(INDEX(tblContractForDeed[End Bal],ROW()-ROW(tblBuyerOutputs[#Headers]))&lt;=0,0,IF(ROW()=ROW(tblBuyerOutputs[#Headers])+1,0,INDEX(tblBuyerOutputs[Cumul Appr],ROW()-ROW(tblBuyerOutputs[#Headers])-1))+tblBuyerOutputs[[#This Row],[Monthly Appr]])</f>
        <v>0</v>
      </c>
    </row>
    <row r="588" spans="1:43" x14ac:dyDescent="0.25">
      <c r="A588" s="613"/>
      <c r="L588" s="394">
        <f t="shared" si="118"/>
        <v>0</v>
      </c>
      <c r="M588" s="394">
        <f t="shared" si="117"/>
        <v>0</v>
      </c>
      <c r="N588" s="613">
        <f>INDEX(tblSubjectToLoan[Date],ROW()-ROW(tblContractForDeed[#Headers]))</f>
        <v>0</v>
      </c>
      <c r="O588" s="276">
        <f>IF(ROW()=ROW(tblContractForDeed[#Headers])+1,$O$6,IF(INDEX(tblContractForDeed[End Bal],ROW()-ROW(tblContractForDeed[#Headers])-1)&lt;0,0,INDEX(tblContractForDeed[End Bal],ROW()-ROW(tblContractForDeed[#Headers])-1)))</f>
        <v>0</v>
      </c>
      <c r="P588" s="454">
        <f>IF(tblContractForDeed[[#This Row],[Date]]="","",IF(tblContractForDeed[[#This Row],[Date]]&lt;cfdRateChangeDate,cfdRate1,cfdRate2))</f>
        <v>7.0000000000000007E-2</v>
      </c>
      <c r="Q5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276">
        <f>IF(INDEX(tblContractForDeed[Payment],ROW()-ROW(tblBuyerOutputs[#Headers]))=0,0,INDEX(tblContractForDeed[Payment],ROW()-ROW(tblBuyerOutputs[#Headers]))-INDEX(tblSubjectToLoan[Payment],ROW()-ROW(tblBuyerOutputs[#Headers])))</f>
        <v>0</v>
      </c>
      <c r="Z5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8" s="276">
        <f>IF(INDEX(tblContractForDeed[End Bal],ROW()-ROW(tblBuyerOutputs[#Headers]))&lt;=0,0,($O$6+IF(ROW()=ROW(tblBuyerOutputs[#Headers])+1,0,INDEX(tblBuyerOutputs[Cumul Appr],ROW()-ROW(tblBuyerOutputs[#Headers])-1)))*$AK$2/12)</f>
        <v>0</v>
      </c>
      <c r="AE588" s="276">
        <f>IF(INDEX(tblContractForDeed[End Bal],ROW()-ROW(tblBuyerOutputs[#Headers]))&lt;=0,0,IF(ROW()=ROW(tblBuyerOutputs[#Headers])+1,0,INDEX(tblBuyerOutputs[Cumul Appr],ROW()-ROW(tblBuyerOutputs[#Headers])-1))+tblBuyerOutputs[[#This Row],[Monthly Appr]])</f>
        <v>0</v>
      </c>
    </row>
    <row r="589" spans="1:43" x14ac:dyDescent="0.25">
      <c r="A589" s="613"/>
      <c r="L589" s="394">
        <f t="shared" si="118"/>
        <v>0</v>
      </c>
      <c r="M589" s="394">
        <f t="shared" si="117"/>
        <v>0</v>
      </c>
      <c r="N589" s="613">
        <f>INDEX(tblSubjectToLoan[Date],ROW()-ROW(tblContractForDeed[#Headers]))</f>
        <v>0</v>
      </c>
      <c r="O589" s="276">
        <f>IF(ROW()=ROW(tblContractForDeed[#Headers])+1,$O$6,IF(INDEX(tblContractForDeed[End Bal],ROW()-ROW(tblContractForDeed[#Headers])-1)&lt;0,0,INDEX(tblContractForDeed[End Bal],ROW()-ROW(tblContractForDeed[#Headers])-1)))</f>
        <v>0</v>
      </c>
      <c r="P589" s="454">
        <f>IF(tblContractForDeed[[#This Row],[Date]]="","",IF(tblContractForDeed[[#This Row],[Date]]&lt;cfdRateChangeDate,cfdRate1,cfdRate2))</f>
        <v>7.0000000000000007E-2</v>
      </c>
      <c r="Q5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276">
        <f>IF(INDEX(tblContractForDeed[Payment],ROW()-ROW(tblBuyerOutputs[#Headers]))=0,0,INDEX(tblContractForDeed[Payment],ROW()-ROW(tblBuyerOutputs[#Headers]))-INDEX(tblSubjectToLoan[Payment],ROW()-ROW(tblBuyerOutputs[#Headers])))</f>
        <v>0</v>
      </c>
      <c r="Z5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9" s="276">
        <f>IF(INDEX(tblContractForDeed[End Bal],ROW()-ROW(tblBuyerOutputs[#Headers]))&lt;=0,0,($O$6+IF(ROW()=ROW(tblBuyerOutputs[#Headers])+1,0,INDEX(tblBuyerOutputs[Cumul Appr],ROW()-ROW(tblBuyerOutputs[#Headers])-1)))*$AK$2/12)</f>
        <v>0</v>
      </c>
      <c r="AE589" s="276">
        <f>IF(INDEX(tblContractForDeed[End Bal],ROW()-ROW(tblBuyerOutputs[#Headers]))&lt;=0,0,IF(ROW()=ROW(tblBuyerOutputs[#Headers])+1,0,INDEX(tblBuyerOutputs[Cumul Appr],ROW()-ROW(tblBuyerOutputs[#Headers])-1))+tblBuyerOutputs[[#This Row],[Monthly Appr]])</f>
        <v>0</v>
      </c>
    </row>
    <row r="590" spans="1:43" x14ac:dyDescent="0.25">
      <c r="A590" s="613"/>
      <c r="L590" s="394">
        <f t="shared" si="118"/>
        <v>0</v>
      </c>
      <c r="M590" s="394">
        <f t="shared" si="117"/>
        <v>0</v>
      </c>
      <c r="N590" s="613">
        <f>INDEX(tblSubjectToLoan[Date],ROW()-ROW(tblContractForDeed[#Headers]))</f>
        <v>0</v>
      </c>
      <c r="O590" s="276">
        <f>IF(ROW()=ROW(tblContractForDeed[#Headers])+1,$O$6,IF(INDEX(tblContractForDeed[End Bal],ROW()-ROW(tblContractForDeed[#Headers])-1)&lt;0,0,INDEX(tblContractForDeed[End Bal],ROW()-ROW(tblContractForDeed[#Headers])-1)))</f>
        <v>0</v>
      </c>
      <c r="P590" s="454">
        <f>IF(tblContractForDeed[[#This Row],[Date]]="","",IF(tblContractForDeed[[#This Row],[Date]]&lt;cfdRateChangeDate,cfdRate1,cfdRate2))</f>
        <v>7.0000000000000007E-2</v>
      </c>
      <c r="Q5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276">
        <f>IF(INDEX(tblContractForDeed[Payment],ROW()-ROW(tblBuyerOutputs[#Headers]))=0,0,INDEX(tblContractForDeed[Payment],ROW()-ROW(tblBuyerOutputs[#Headers]))-INDEX(tblSubjectToLoan[Payment],ROW()-ROW(tblBuyerOutputs[#Headers])))</f>
        <v>0</v>
      </c>
      <c r="Z5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0" s="276">
        <f>IF(INDEX(tblContractForDeed[End Bal],ROW()-ROW(tblBuyerOutputs[#Headers]))&lt;=0,0,($O$6+IF(ROW()=ROW(tblBuyerOutputs[#Headers])+1,0,INDEX(tblBuyerOutputs[Cumul Appr],ROW()-ROW(tblBuyerOutputs[#Headers])-1)))*$AK$2/12)</f>
        <v>0</v>
      </c>
      <c r="AE590" s="276">
        <f>IF(INDEX(tblContractForDeed[End Bal],ROW()-ROW(tblBuyerOutputs[#Headers]))&lt;=0,0,IF(ROW()=ROW(tblBuyerOutputs[#Headers])+1,0,INDEX(tblBuyerOutputs[Cumul Appr],ROW()-ROW(tblBuyerOutputs[#Headers])-1))+tblBuyerOutputs[[#This Row],[Monthly Appr]])</f>
        <v>0</v>
      </c>
    </row>
    <row r="591" spans="1:43" x14ac:dyDescent="0.25">
      <c r="A591" s="613"/>
      <c r="L591" s="394">
        <f t="shared" si="118"/>
        <v>0</v>
      </c>
      <c r="M591" s="394">
        <f t="shared" si="117"/>
        <v>0</v>
      </c>
      <c r="N591" s="613">
        <f>INDEX(tblSubjectToLoan[Date],ROW()-ROW(tblContractForDeed[#Headers]))</f>
        <v>0</v>
      </c>
      <c r="O591" s="276">
        <f>IF(ROW()=ROW(tblContractForDeed[#Headers])+1,$O$6,IF(INDEX(tblContractForDeed[End Bal],ROW()-ROW(tblContractForDeed[#Headers])-1)&lt;0,0,INDEX(tblContractForDeed[End Bal],ROW()-ROW(tblContractForDeed[#Headers])-1)))</f>
        <v>0</v>
      </c>
      <c r="P591" s="454">
        <f>IF(tblContractForDeed[[#This Row],[Date]]="","",IF(tblContractForDeed[[#This Row],[Date]]&lt;cfdRateChangeDate,cfdRate1,cfdRate2))</f>
        <v>7.0000000000000007E-2</v>
      </c>
      <c r="Q5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276">
        <f>IF(INDEX(tblContractForDeed[Payment],ROW()-ROW(tblBuyerOutputs[#Headers]))=0,0,INDEX(tblContractForDeed[Payment],ROW()-ROW(tblBuyerOutputs[#Headers]))-INDEX(tblSubjectToLoan[Payment],ROW()-ROW(tblBuyerOutputs[#Headers])))</f>
        <v>0</v>
      </c>
      <c r="Z5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1" s="276">
        <f>IF(INDEX(tblContractForDeed[End Bal],ROW()-ROW(tblBuyerOutputs[#Headers]))&lt;=0,0,($O$6+IF(ROW()=ROW(tblBuyerOutputs[#Headers])+1,0,INDEX(tblBuyerOutputs[Cumul Appr],ROW()-ROW(tblBuyerOutputs[#Headers])-1)))*$AK$2/12)</f>
        <v>0</v>
      </c>
      <c r="AE591" s="276">
        <f>IF(INDEX(tblContractForDeed[End Bal],ROW()-ROW(tblBuyerOutputs[#Headers]))&lt;=0,0,IF(ROW()=ROW(tblBuyerOutputs[#Headers])+1,0,INDEX(tblBuyerOutputs[Cumul Appr],ROW()-ROW(tblBuyerOutputs[#Headers])-1))+tblBuyerOutputs[[#This Row],[Monthly Appr]])</f>
        <v>0</v>
      </c>
    </row>
    <row r="592" spans="1:43" x14ac:dyDescent="0.25">
      <c r="A592" s="613"/>
      <c r="L592" s="394">
        <f t="shared" si="118"/>
        <v>0</v>
      </c>
      <c r="M592" s="394">
        <f t="shared" si="117"/>
        <v>0</v>
      </c>
      <c r="N592" s="613">
        <f>INDEX(tblSubjectToLoan[Date],ROW()-ROW(tblContractForDeed[#Headers]))</f>
        <v>0</v>
      </c>
      <c r="O592" s="276">
        <f>IF(ROW()=ROW(tblContractForDeed[#Headers])+1,$O$6,IF(INDEX(tblContractForDeed[End Bal],ROW()-ROW(tblContractForDeed[#Headers])-1)&lt;0,0,INDEX(tblContractForDeed[End Bal],ROW()-ROW(tblContractForDeed[#Headers])-1)))</f>
        <v>0</v>
      </c>
      <c r="P592" s="454">
        <f>IF(tblContractForDeed[[#This Row],[Date]]="","",IF(tblContractForDeed[[#This Row],[Date]]&lt;cfdRateChangeDate,cfdRate1,cfdRate2))</f>
        <v>7.0000000000000007E-2</v>
      </c>
      <c r="Q5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276">
        <f>IF(INDEX(tblContractForDeed[Payment],ROW()-ROW(tblBuyerOutputs[#Headers]))=0,0,INDEX(tblContractForDeed[Payment],ROW()-ROW(tblBuyerOutputs[#Headers]))-INDEX(tblSubjectToLoan[Payment],ROW()-ROW(tblBuyerOutputs[#Headers])))</f>
        <v>0</v>
      </c>
      <c r="Z5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2" s="276">
        <f>IF(INDEX(tblContractForDeed[End Bal],ROW()-ROW(tblBuyerOutputs[#Headers]))&lt;=0,0,($O$6+IF(ROW()=ROW(tblBuyerOutputs[#Headers])+1,0,INDEX(tblBuyerOutputs[Cumul Appr],ROW()-ROW(tblBuyerOutputs[#Headers])-1)))*$AK$2/12)</f>
        <v>0</v>
      </c>
      <c r="AE592" s="276">
        <f>IF(INDEX(tblContractForDeed[End Bal],ROW()-ROW(tblBuyerOutputs[#Headers]))&lt;=0,0,IF(ROW()=ROW(tblBuyerOutputs[#Headers])+1,0,INDEX(tblBuyerOutputs[Cumul Appr],ROW()-ROW(tblBuyerOutputs[#Headers])-1))+tblBuyerOutputs[[#This Row],[Monthly Appr]])</f>
        <v>0</v>
      </c>
    </row>
    <row r="593" spans="1:43" x14ac:dyDescent="0.25">
      <c r="A593" s="613"/>
      <c r="L593" s="394">
        <f t="shared" si="118"/>
        <v>0</v>
      </c>
      <c r="M593" s="394">
        <f t="shared" si="117"/>
        <v>0</v>
      </c>
      <c r="N593" s="613">
        <f>INDEX(tblSubjectToLoan[Date],ROW()-ROW(tblContractForDeed[#Headers]))</f>
        <v>0</v>
      </c>
      <c r="O593" s="276">
        <f>IF(ROW()=ROW(tblContractForDeed[#Headers])+1,$O$6,IF(INDEX(tblContractForDeed[End Bal],ROW()-ROW(tblContractForDeed[#Headers])-1)&lt;0,0,INDEX(tblContractForDeed[End Bal],ROW()-ROW(tblContractForDeed[#Headers])-1)))</f>
        <v>0</v>
      </c>
      <c r="P593" s="454">
        <f>IF(tblContractForDeed[[#This Row],[Date]]="","",IF(tblContractForDeed[[#This Row],[Date]]&lt;cfdRateChangeDate,cfdRate1,cfdRate2))</f>
        <v>7.0000000000000007E-2</v>
      </c>
      <c r="Q5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276">
        <f>IF(INDEX(tblContractForDeed[Payment],ROW()-ROW(tblBuyerOutputs[#Headers]))=0,0,INDEX(tblContractForDeed[Payment],ROW()-ROW(tblBuyerOutputs[#Headers]))-INDEX(tblSubjectToLoan[Payment],ROW()-ROW(tblBuyerOutputs[#Headers])))</f>
        <v>0</v>
      </c>
      <c r="Z5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3" s="276">
        <f>IF(INDEX(tblContractForDeed[End Bal],ROW()-ROW(tblBuyerOutputs[#Headers]))&lt;=0,0,($O$6+IF(ROW()=ROW(tblBuyerOutputs[#Headers])+1,0,INDEX(tblBuyerOutputs[Cumul Appr],ROW()-ROW(tblBuyerOutputs[#Headers])-1)))*$AK$2/12)</f>
        <v>0</v>
      </c>
      <c r="AE593" s="276">
        <f>IF(INDEX(tblContractForDeed[End Bal],ROW()-ROW(tblBuyerOutputs[#Headers]))&lt;=0,0,IF(ROW()=ROW(tblBuyerOutputs[#Headers])+1,0,INDEX(tblBuyerOutputs[Cumul Appr],ROW()-ROW(tblBuyerOutputs[#Headers])-1))+tblBuyerOutputs[[#This Row],[Monthly Appr]])</f>
        <v>0</v>
      </c>
    </row>
    <row r="594" spans="1:43" x14ac:dyDescent="0.25">
      <c r="A594" s="613"/>
      <c r="L594" s="394">
        <f t="shared" si="118"/>
        <v>0</v>
      </c>
      <c r="M594" s="394">
        <f t="shared" si="117"/>
        <v>0</v>
      </c>
      <c r="N594" s="613">
        <f>INDEX(tblSubjectToLoan[Date],ROW()-ROW(tblContractForDeed[#Headers]))</f>
        <v>0</v>
      </c>
      <c r="O594" s="276">
        <f>IF(ROW()=ROW(tblContractForDeed[#Headers])+1,$O$6,IF(INDEX(tblContractForDeed[End Bal],ROW()-ROW(tblContractForDeed[#Headers])-1)&lt;0,0,INDEX(tblContractForDeed[End Bal],ROW()-ROW(tblContractForDeed[#Headers])-1)))</f>
        <v>0</v>
      </c>
      <c r="P594" s="454">
        <f>IF(tblContractForDeed[[#This Row],[Date]]="","",IF(tblContractForDeed[[#This Row],[Date]]&lt;cfdRateChangeDate,cfdRate1,cfdRate2))</f>
        <v>7.0000000000000007E-2</v>
      </c>
      <c r="Q5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276">
        <f>IF(INDEX(tblContractForDeed[Payment],ROW()-ROW(tblBuyerOutputs[#Headers]))=0,0,INDEX(tblContractForDeed[Payment],ROW()-ROW(tblBuyerOutputs[#Headers]))-INDEX(tblSubjectToLoan[Payment],ROW()-ROW(tblBuyerOutputs[#Headers])))</f>
        <v>0</v>
      </c>
      <c r="Z5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4" s="276">
        <f>IF(INDEX(tblContractForDeed[End Bal],ROW()-ROW(tblBuyerOutputs[#Headers]))&lt;=0,0,($O$6+IF(ROW()=ROW(tblBuyerOutputs[#Headers])+1,0,INDEX(tblBuyerOutputs[Cumul Appr],ROW()-ROW(tblBuyerOutputs[#Headers])-1)))*$AK$2/12)</f>
        <v>0</v>
      </c>
      <c r="AE594" s="276">
        <f>IF(INDEX(tblContractForDeed[End Bal],ROW()-ROW(tblBuyerOutputs[#Headers]))&lt;=0,0,IF(ROW()=ROW(tblBuyerOutputs[#Headers])+1,0,INDEX(tblBuyerOutputs[Cumul Appr],ROW()-ROW(tblBuyerOutputs[#Headers])-1))+tblBuyerOutputs[[#This Row],[Monthly Appr]])</f>
        <v>0</v>
      </c>
    </row>
    <row r="595" spans="1:43" ht="15.75" thickBot="1" x14ac:dyDescent="0.3">
      <c r="A595" s="615"/>
      <c r="B595" s="332"/>
      <c r="C595" s="21"/>
      <c r="D595" s="21"/>
      <c r="E595" s="21"/>
      <c r="F595" s="21"/>
      <c r="G595" s="21"/>
      <c r="H595" s="21"/>
      <c r="I595" s="332"/>
      <c r="J595" s="332"/>
      <c r="K595" s="332"/>
      <c r="L595" s="395">
        <f t="shared" si="118"/>
        <v>0</v>
      </c>
      <c r="M595" s="395">
        <f t="shared" si="117"/>
        <v>0</v>
      </c>
      <c r="N595" s="615">
        <f>INDEX(tblSubjectToLoan[Date],ROW()-ROW(tblContractForDeed[#Headers]))</f>
        <v>0</v>
      </c>
      <c r="O595" s="332">
        <f>IF(ROW()=ROW(tblContractForDeed[#Headers])+1,$O$6,IF(INDEX(tblContractForDeed[End Bal],ROW()-ROW(tblContractForDeed[#Headers])-1)&lt;0,0,INDEX(tblContractForDeed[End Bal],ROW()-ROW(tblContractForDeed[#Headers])-1)))</f>
        <v>0</v>
      </c>
      <c r="P595" s="454">
        <f>IF(tblContractForDeed[[#This Row],[Date]]="","",IF(tblContractForDeed[[#This Row],[Date]]&lt;cfdRateChangeDate,cfdRate1,cfdRate2))</f>
        <v>7.0000000000000007E-2</v>
      </c>
      <c r="Q5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32">
        <f>IF(INDEX(tblContractForDeed[Payment],ROW()-ROW(tblBuyerOutputs[#Headers]))=0,0,INDEX(tblContractForDeed[Payment],ROW()-ROW(tblBuyerOutputs[#Headers]))-INDEX(tblSubjectToLoan[Payment],ROW()-ROW(tblBuyerOutputs[#Headers])))</f>
        <v>0</v>
      </c>
      <c r="Z5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5" s="332">
        <f>IF(INDEX(tblContractForDeed[End Bal],ROW()-ROW(tblBuyerOutputs[#Headers]))&lt;=0,0,($O$6+IF(ROW()=ROW(tblBuyerOutputs[#Headers])+1,0,INDEX(tblBuyerOutputs[Cumul Appr],ROW()-ROW(tblBuyerOutputs[#Headers])-1)))*$AK$2/12)</f>
        <v>0</v>
      </c>
      <c r="AE595" s="332">
        <f>IF(INDEX(tblContractForDeed[End Bal],ROW()-ROW(tblBuyerOutputs[#Headers]))&lt;=0,0,IF(ROW()=ROW(tblBuyerOutputs[#Headers])+1,0,INDEX(tblBuyerOutputs[Cumul Appr],ROW()-ROW(tblBuyerOutputs[#Headers])-1))+tblBuyerOutputs[[#This Row],[Monthly Appr]])</f>
        <v>0</v>
      </c>
      <c r="AQ595" s="21"/>
    </row>
    <row r="596" spans="1:43" x14ac:dyDescent="0.25">
      <c r="A596" s="613"/>
      <c r="L596" s="394">
        <f t="shared" si="118"/>
        <v>0</v>
      </c>
      <c r="M596" s="394">
        <f t="shared" si="117"/>
        <v>0</v>
      </c>
      <c r="N596" s="613">
        <f>INDEX(tblSubjectToLoan[Date],ROW()-ROW(tblContractForDeed[#Headers]))</f>
        <v>0</v>
      </c>
      <c r="O596" s="276">
        <f>IF(ROW()=ROW(tblContractForDeed[#Headers])+1,$O$6,IF(INDEX(tblContractForDeed[End Bal],ROW()-ROW(tblContractForDeed[#Headers])-1)&lt;0,0,INDEX(tblContractForDeed[End Bal],ROW()-ROW(tblContractForDeed[#Headers])-1)))</f>
        <v>0</v>
      </c>
      <c r="P596" s="454">
        <f>IF(tblContractForDeed[[#This Row],[Date]]="","",IF(tblContractForDeed[[#This Row],[Date]]&lt;cfdRateChangeDate,cfdRate1,cfdRate2))</f>
        <v>7.0000000000000007E-2</v>
      </c>
      <c r="Q5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276">
        <f>IF(INDEX(tblContractForDeed[Payment],ROW()-ROW(tblBuyerOutputs[#Headers]))=0,0,INDEX(tblContractForDeed[Payment],ROW()-ROW(tblBuyerOutputs[#Headers]))-INDEX(tblSubjectToLoan[Payment],ROW()-ROW(tblBuyerOutputs[#Headers])))</f>
        <v>0</v>
      </c>
      <c r="Z5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6" s="276">
        <f>IF(INDEX(tblContractForDeed[End Bal],ROW()-ROW(tblBuyerOutputs[#Headers]))&lt;=0,0,($O$6+IF(ROW()=ROW(tblBuyerOutputs[#Headers])+1,0,INDEX(tblBuyerOutputs[Cumul Appr],ROW()-ROW(tblBuyerOutputs[#Headers])-1)))*$AK$2/12)</f>
        <v>0</v>
      </c>
      <c r="AE596" s="276">
        <f>IF(INDEX(tblContractForDeed[End Bal],ROW()-ROW(tblBuyerOutputs[#Headers]))&lt;=0,0,IF(ROW()=ROW(tblBuyerOutputs[#Headers])+1,0,INDEX(tblBuyerOutputs[Cumul Appr],ROW()-ROW(tblBuyerOutputs[#Headers])-1))+tblBuyerOutputs[[#This Row],[Monthly Appr]])</f>
        <v>0</v>
      </c>
    </row>
    <row r="597" spans="1:43" x14ac:dyDescent="0.25">
      <c r="A597" s="613"/>
      <c r="L597" s="394">
        <f t="shared" si="118"/>
        <v>0</v>
      </c>
      <c r="M597" s="394">
        <f t="shared" ref="M597:M660" si="119">IF($A597&lt;&gt;"",M596+1,0)</f>
        <v>0</v>
      </c>
      <c r="N597" s="613">
        <f>INDEX(tblSubjectToLoan[Date],ROW()-ROW(tblContractForDeed[#Headers]))</f>
        <v>0</v>
      </c>
      <c r="O597" s="276">
        <f>IF(ROW()=ROW(tblContractForDeed[#Headers])+1,$O$6,IF(INDEX(tblContractForDeed[End Bal],ROW()-ROW(tblContractForDeed[#Headers])-1)&lt;0,0,INDEX(tblContractForDeed[End Bal],ROW()-ROW(tblContractForDeed[#Headers])-1)))</f>
        <v>0</v>
      </c>
      <c r="P597" s="454">
        <f>IF(tblContractForDeed[[#This Row],[Date]]="","",IF(tblContractForDeed[[#This Row],[Date]]&lt;cfdRateChangeDate,cfdRate1,cfdRate2))</f>
        <v>7.0000000000000007E-2</v>
      </c>
      <c r="Q5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276">
        <f>IF(INDEX(tblContractForDeed[Payment],ROW()-ROW(tblBuyerOutputs[#Headers]))=0,0,INDEX(tblContractForDeed[Payment],ROW()-ROW(tblBuyerOutputs[#Headers]))-INDEX(tblSubjectToLoan[Payment],ROW()-ROW(tblBuyerOutputs[#Headers])))</f>
        <v>0</v>
      </c>
      <c r="Z5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7" s="276">
        <f>IF(INDEX(tblContractForDeed[End Bal],ROW()-ROW(tblBuyerOutputs[#Headers]))&lt;=0,0,($O$6+IF(ROW()=ROW(tblBuyerOutputs[#Headers])+1,0,INDEX(tblBuyerOutputs[Cumul Appr],ROW()-ROW(tblBuyerOutputs[#Headers])-1)))*$AK$2/12)</f>
        <v>0</v>
      </c>
      <c r="AE597" s="276">
        <f>IF(INDEX(tblContractForDeed[End Bal],ROW()-ROW(tblBuyerOutputs[#Headers]))&lt;=0,0,IF(ROW()=ROW(tblBuyerOutputs[#Headers])+1,0,INDEX(tblBuyerOutputs[Cumul Appr],ROW()-ROW(tblBuyerOutputs[#Headers])-1))+tblBuyerOutputs[[#This Row],[Monthly Appr]])</f>
        <v>0</v>
      </c>
    </row>
    <row r="598" spans="1:43" x14ac:dyDescent="0.25">
      <c r="A598" s="613"/>
      <c r="L598" s="394">
        <f t="shared" si="118"/>
        <v>0</v>
      </c>
      <c r="M598" s="394">
        <f t="shared" si="119"/>
        <v>0</v>
      </c>
      <c r="N598" s="613">
        <f>INDEX(tblSubjectToLoan[Date],ROW()-ROW(tblContractForDeed[#Headers]))</f>
        <v>0</v>
      </c>
      <c r="O598" s="276">
        <f>IF(ROW()=ROW(tblContractForDeed[#Headers])+1,$O$6,IF(INDEX(tblContractForDeed[End Bal],ROW()-ROW(tblContractForDeed[#Headers])-1)&lt;0,0,INDEX(tblContractForDeed[End Bal],ROW()-ROW(tblContractForDeed[#Headers])-1)))</f>
        <v>0</v>
      </c>
      <c r="P598" s="454">
        <f>IF(tblContractForDeed[[#This Row],[Date]]="","",IF(tblContractForDeed[[#This Row],[Date]]&lt;cfdRateChangeDate,cfdRate1,cfdRate2))</f>
        <v>7.0000000000000007E-2</v>
      </c>
      <c r="Q5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276">
        <f>IF(INDEX(tblContractForDeed[Payment],ROW()-ROW(tblBuyerOutputs[#Headers]))=0,0,INDEX(tblContractForDeed[Payment],ROW()-ROW(tblBuyerOutputs[#Headers]))-INDEX(tblSubjectToLoan[Payment],ROW()-ROW(tblBuyerOutputs[#Headers])))</f>
        <v>0</v>
      </c>
      <c r="Z5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8" s="276">
        <f>IF(INDEX(tblContractForDeed[End Bal],ROW()-ROW(tblBuyerOutputs[#Headers]))&lt;=0,0,($O$6+IF(ROW()=ROW(tblBuyerOutputs[#Headers])+1,0,INDEX(tblBuyerOutputs[Cumul Appr],ROW()-ROW(tblBuyerOutputs[#Headers])-1)))*$AK$2/12)</f>
        <v>0</v>
      </c>
      <c r="AE598" s="276">
        <f>IF(INDEX(tblContractForDeed[End Bal],ROW()-ROW(tblBuyerOutputs[#Headers]))&lt;=0,0,IF(ROW()=ROW(tblBuyerOutputs[#Headers])+1,0,INDEX(tblBuyerOutputs[Cumul Appr],ROW()-ROW(tblBuyerOutputs[#Headers])-1))+tblBuyerOutputs[[#This Row],[Monthly Appr]])</f>
        <v>0</v>
      </c>
    </row>
    <row r="599" spans="1:43" x14ac:dyDescent="0.25">
      <c r="A599" s="613"/>
      <c r="L599" s="394">
        <f t="shared" si="118"/>
        <v>0</v>
      </c>
      <c r="M599" s="394">
        <f t="shared" si="119"/>
        <v>0</v>
      </c>
      <c r="N599" s="613">
        <f>INDEX(tblSubjectToLoan[Date],ROW()-ROW(tblContractForDeed[#Headers]))</f>
        <v>0</v>
      </c>
      <c r="O599" s="276">
        <f>IF(ROW()=ROW(tblContractForDeed[#Headers])+1,$O$6,IF(INDEX(tblContractForDeed[End Bal],ROW()-ROW(tblContractForDeed[#Headers])-1)&lt;0,0,INDEX(tblContractForDeed[End Bal],ROW()-ROW(tblContractForDeed[#Headers])-1)))</f>
        <v>0</v>
      </c>
      <c r="P599" s="454">
        <f>IF(tblContractForDeed[[#This Row],[Date]]="","",IF(tblContractForDeed[[#This Row],[Date]]&lt;cfdRateChangeDate,cfdRate1,cfdRate2))</f>
        <v>7.0000000000000007E-2</v>
      </c>
      <c r="Q5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276">
        <f>IF(INDEX(tblContractForDeed[Payment],ROW()-ROW(tblBuyerOutputs[#Headers]))=0,0,INDEX(tblContractForDeed[Payment],ROW()-ROW(tblBuyerOutputs[#Headers]))-INDEX(tblSubjectToLoan[Payment],ROW()-ROW(tblBuyerOutputs[#Headers])))</f>
        <v>0</v>
      </c>
      <c r="Z5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9" s="276">
        <f>IF(INDEX(tblContractForDeed[End Bal],ROW()-ROW(tblBuyerOutputs[#Headers]))&lt;=0,0,($O$6+IF(ROW()=ROW(tblBuyerOutputs[#Headers])+1,0,INDEX(tblBuyerOutputs[Cumul Appr],ROW()-ROW(tblBuyerOutputs[#Headers])-1)))*$AK$2/12)</f>
        <v>0</v>
      </c>
      <c r="AE599" s="276">
        <f>IF(INDEX(tblContractForDeed[End Bal],ROW()-ROW(tblBuyerOutputs[#Headers]))&lt;=0,0,IF(ROW()=ROW(tblBuyerOutputs[#Headers])+1,0,INDEX(tblBuyerOutputs[Cumul Appr],ROW()-ROW(tblBuyerOutputs[#Headers])-1))+tblBuyerOutputs[[#This Row],[Monthly Appr]])</f>
        <v>0</v>
      </c>
    </row>
    <row r="600" spans="1:43" x14ac:dyDescent="0.25">
      <c r="A600" s="613"/>
      <c r="L600" s="394">
        <f t="shared" si="118"/>
        <v>0</v>
      </c>
      <c r="M600" s="394">
        <f t="shared" si="119"/>
        <v>0</v>
      </c>
      <c r="N600" s="613">
        <f>INDEX(tblSubjectToLoan[Date],ROW()-ROW(tblContractForDeed[#Headers]))</f>
        <v>0</v>
      </c>
      <c r="O600" s="276">
        <f>IF(ROW()=ROW(tblContractForDeed[#Headers])+1,$O$6,IF(INDEX(tblContractForDeed[End Bal],ROW()-ROW(tblContractForDeed[#Headers])-1)&lt;0,0,INDEX(tblContractForDeed[End Bal],ROW()-ROW(tblContractForDeed[#Headers])-1)))</f>
        <v>0</v>
      </c>
      <c r="P600" s="454">
        <f>IF(tblContractForDeed[[#This Row],[Date]]="","",IF(tblContractForDeed[[#This Row],[Date]]&lt;cfdRateChangeDate,cfdRate1,cfdRate2))</f>
        <v>7.0000000000000007E-2</v>
      </c>
      <c r="Q6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276">
        <f>IF(INDEX(tblContractForDeed[Payment],ROW()-ROW(tblBuyerOutputs[#Headers]))=0,0,INDEX(tblContractForDeed[Payment],ROW()-ROW(tblBuyerOutputs[#Headers]))-INDEX(tblSubjectToLoan[Payment],ROW()-ROW(tblBuyerOutputs[#Headers])))</f>
        <v>0</v>
      </c>
      <c r="Z6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0" s="276">
        <f>IF(INDEX(tblContractForDeed[End Bal],ROW()-ROW(tblBuyerOutputs[#Headers]))&lt;=0,0,($O$6+IF(ROW()=ROW(tblBuyerOutputs[#Headers])+1,0,INDEX(tblBuyerOutputs[Cumul Appr],ROW()-ROW(tblBuyerOutputs[#Headers])-1)))*$AK$2/12)</f>
        <v>0</v>
      </c>
      <c r="AE600" s="276">
        <f>IF(INDEX(tblContractForDeed[End Bal],ROW()-ROW(tblBuyerOutputs[#Headers]))&lt;=0,0,IF(ROW()=ROW(tblBuyerOutputs[#Headers])+1,0,INDEX(tblBuyerOutputs[Cumul Appr],ROW()-ROW(tblBuyerOutputs[#Headers])-1))+tblBuyerOutputs[[#This Row],[Monthly Appr]])</f>
        <v>0</v>
      </c>
    </row>
    <row r="601" spans="1:43" x14ac:dyDescent="0.25">
      <c r="A601" s="613"/>
      <c r="L601" s="394">
        <f t="shared" si="118"/>
        <v>0</v>
      </c>
      <c r="M601" s="394">
        <f t="shared" si="119"/>
        <v>0</v>
      </c>
      <c r="N601" s="613">
        <f>INDEX(tblSubjectToLoan[Date],ROW()-ROW(tblContractForDeed[#Headers]))</f>
        <v>0</v>
      </c>
      <c r="O601" s="276">
        <f>IF(ROW()=ROW(tblContractForDeed[#Headers])+1,$O$6,IF(INDEX(tblContractForDeed[End Bal],ROW()-ROW(tblContractForDeed[#Headers])-1)&lt;0,0,INDEX(tblContractForDeed[End Bal],ROW()-ROW(tblContractForDeed[#Headers])-1)))</f>
        <v>0</v>
      </c>
      <c r="P601" s="454">
        <f>IF(tblContractForDeed[[#This Row],[Date]]="","",IF(tblContractForDeed[[#This Row],[Date]]&lt;cfdRateChangeDate,cfdRate1,cfdRate2))</f>
        <v>7.0000000000000007E-2</v>
      </c>
      <c r="Q6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276">
        <f>IF(INDEX(tblContractForDeed[Payment],ROW()-ROW(tblBuyerOutputs[#Headers]))=0,0,INDEX(tblContractForDeed[Payment],ROW()-ROW(tblBuyerOutputs[#Headers]))-INDEX(tblSubjectToLoan[Payment],ROW()-ROW(tblBuyerOutputs[#Headers])))</f>
        <v>0</v>
      </c>
      <c r="Z6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1" s="276">
        <f>IF(INDEX(tblContractForDeed[End Bal],ROW()-ROW(tblBuyerOutputs[#Headers]))&lt;=0,0,($O$6+IF(ROW()=ROW(tblBuyerOutputs[#Headers])+1,0,INDEX(tblBuyerOutputs[Cumul Appr],ROW()-ROW(tblBuyerOutputs[#Headers])-1)))*$AK$2/12)</f>
        <v>0</v>
      </c>
      <c r="AE601" s="276">
        <f>IF(INDEX(tblContractForDeed[End Bal],ROW()-ROW(tblBuyerOutputs[#Headers]))&lt;=0,0,IF(ROW()=ROW(tblBuyerOutputs[#Headers])+1,0,INDEX(tblBuyerOutputs[Cumul Appr],ROW()-ROW(tblBuyerOutputs[#Headers])-1))+tblBuyerOutputs[[#This Row],[Monthly Appr]])</f>
        <v>0</v>
      </c>
    </row>
    <row r="602" spans="1:43" x14ac:dyDescent="0.25">
      <c r="A602" s="613"/>
      <c r="L602" s="394">
        <f t="shared" si="118"/>
        <v>0</v>
      </c>
      <c r="M602" s="394">
        <f t="shared" si="119"/>
        <v>0</v>
      </c>
      <c r="N602" s="613">
        <f>INDEX(tblSubjectToLoan[Date],ROW()-ROW(tblContractForDeed[#Headers]))</f>
        <v>0</v>
      </c>
      <c r="O602" s="276">
        <f>IF(ROW()=ROW(tblContractForDeed[#Headers])+1,$O$6,IF(INDEX(tblContractForDeed[End Bal],ROW()-ROW(tblContractForDeed[#Headers])-1)&lt;0,0,INDEX(tblContractForDeed[End Bal],ROW()-ROW(tblContractForDeed[#Headers])-1)))</f>
        <v>0</v>
      </c>
      <c r="P602" s="454">
        <f>IF(tblContractForDeed[[#This Row],[Date]]="","",IF(tblContractForDeed[[#This Row],[Date]]&lt;cfdRateChangeDate,cfdRate1,cfdRate2))</f>
        <v>7.0000000000000007E-2</v>
      </c>
      <c r="Q6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276">
        <f>IF(INDEX(tblContractForDeed[Payment],ROW()-ROW(tblBuyerOutputs[#Headers]))=0,0,INDEX(tblContractForDeed[Payment],ROW()-ROW(tblBuyerOutputs[#Headers]))-INDEX(tblSubjectToLoan[Payment],ROW()-ROW(tblBuyerOutputs[#Headers])))</f>
        <v>0</v>
      </c>
      <c r="Z6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2" s="276">
        <f>IF(INDEX(tblContractForDeed[End Bal],ROW()-ROW(tblBuyerOutputs[#Headers]))&lt;=0,0,($O$6+IF(ROW()=ROW(tblBuyerOutputs[#Headers])+1,0,INDEX(tblBuyerOutputs[Cumul Appr],ROW()-ROW(tblBuyerOutputs[#Headers])-1)))*$AK$2/12)</f>
        <v>0</v>
      </c>
      <c r="AE602" s="276">
        <f>IF(INDEX(tblContractForDeed[End Bal],ROW()-ROW(tblBuyerOutputs[#Headers]))&lt;=0,0,IF(ROW()=ROW(tblBuyerOutputs[#Headers])+1,0,INDEX(tblBuyerOutputs[Cumul Appr],ROW()-ROW(tblBuyerOutputs[#Headers])-1))+tblBuyerOutputs[[#This Row],[Monthly Appr]])</f>
        <v>0</v>
      </c>
    </row>
    <row r="603" spans="1:43" x14ac:dyDescent="0.25">
      <c r="A603" s="613"/>
      <c r="L603" s="394">
        <f t="shared" si="118"/>
        <v>0</v>
      </c>
      <c r="M603" s="394">
        <f t="shared" si="119"/>
        <v>0</v>
      </c>
      <c r="N603" s="613">
        <f>INDEX(tblSubjectToLoan[Date],ROW()-ROW(tblContractForDeed[#Headers]))</f>
        <v>0</v>
      </c>
      <c r="O603" s="276">
        <f>IF(ROW()=ROW(tblContractForDeed[#Headers])+1,$O$6,IF(INDEX(tblContractForDeed[End Bal],ROW()-ROW(tblContractForDeed[#Headers])-1)&lt;0,0,INDEX(tblContractForDeed[End Bal],ROW()-ROW(tblContractForDeed[#Headers])-1)))</f>
        <v>0</v>
      </c>
      <c r="P603" s="454">
        <f>IF(tblContractForDeed[[#This Row],[Date]]="","",IF(tblContractForDeed[[#This Row],[Date]]&lt;cfdRateChangeDate,cfdRate1,cfdRate2))</f>
        <v>7.0000000000000007E-2</v>
      </c>
      <c r="Q6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276">
        <f>IF(INDEX(tblContractForDeed[Payment],ROW()-ROW(tblBuyerOutputs[#Headers]))=0,0,INDEX(tblContractForDeed[Payment],ROW()-ROW(tblBuyerOutputs[#Headers]))-INDEX(tblSubjectToLoan[Payment],ROW()-ROW(tblBuyerOutputs[#Headers])))</f>
        <v>0</v>
      </c>
      <c r="Z6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3" s="276">
        <f>IF(INDEX(tblContractForDeed[End Bal],ROW()-ROW(tblBuyerOutputs[#Headers]))&lt;=0,0,($O$6+IF(ROW()=ROW(tblBuyerOutputs[#Headers])+1,0,INDEX(tblBuyerOutputs[Cumul Appr],ROW()-ROW(tblBuyerOutputs[#Headers])-1)))*$AK$2/12)</f>
        <v>0</v>
      </c>
      <c r="AE603" s="276">
        <f>IF(INDEX(tblContractForDeed[End Bal],ROW()-ROW(tblBuyerOutputs[#Headers]))&lt;=0,0,IF(ROW()=ROW(tblBuyerOutputs[#Headers])+1,0,INDEX(tblBuyerOutputs[Cumul Appr],ROW()-ROW(tblBuyerOutputs[#Headers])-1))+tblBuyerOutputs[[#This Row],[Monthly Appr]])</f>
        <v>0</v>
      </c>
    </row>
    <row r="604" spans="1:43" x14ac:dyDescent="0.25">
      <c r="A604" s="613"/>
      <c r="L604" s="394">
        <f t="shared" si="118"/>
        <v>0</v>
      </c>
      <c r="M604" s="394">
        <f t="shared" si="119"/>
        <v>0</v>
      </c>
      <c r="N604" s="613">
        <f>INDEX(tblSubjectToLoan[Date],ROW()-ROW(tblContractForDeed[#Headers]))</f>
        <v>0</v>
      </c>
      <c r="O604" s="276">
        <f>IF(ROW()=ROW(tblContractForDeed[#Headers])+1,$O$6,IF(INDEX(tblContractForDeed[End Bal],ROW()-ROW(tblContractForDeed[#Headers])-1)&lt;0,0,INDEX(tblContractForDeed[End Bal],ROW()-ROW(tblContractForDeed[#Headers])-1)))</f>
        <v>0</v>
      </c>
      <c r="P604" s="454">
        <f>IF(tblContractForDeed[[#This Row],[Date]]="","",IF(tblContractForDeed[[#This Row],[Date]]&lt;cfdRateChangeDate,cfdRate1,cfdRate2))</f>
        <v>7.0000000000000007E-2</v>
      </c>
      <c r="Q6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276">
        <f>IF(INDEX(tblContractForDeed[Payment],ROW()-ROW(tblBuyerOutputs[#Headers]))=0,0,INDEX(tblContractForDeed[Payment],ROW()-ROW(tblBuyerOutputs[#Headers]))-INDEX(tblSubjectToLoan[Payment],ROW()-ROW(tblBuyerOutputs[#Headers])))</f>
        <v>0</v>
      </c>
      <c r="Z6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4" s="276">
        <f>IF(INDEX(tblContractForDeed[End Bal],ROW()-ROW(tblBuyerOutputs[#Headers]))&lt;=0,0,($O$6+IF(ROW()=ROW(tblBuyerOutputs[#Headers])+1,0,INDEX(tblBuyerOutputs[Cumul Appr],ROW()-ROW(tblBuyerOutputs[#Headers])-1)))*$AK$2/12)</f>
        <v>0</v>
      </c>
      <c r="AE604" s="276">
        <f>IF(INDEX(tblContractForDeed[End Bal],ROW()-ROW(tblBuyerOutputs[#Headers]))&lt;=0,0,IF(ROW()=ROW(tblBuyerOutputs[#Headers])+1,0,INDEX(tblBuyerOutputs[Cumul Appr],ROW()-ROW(tblBuyerOutputs[#Headers])-1))+tblBuyerOutputs[[#This Row],[Monthly Appr]])</f>
        <v>0</v>
      </c>
    </row>
    <row r="605" spans="1:43" x14ac:dyDescent="0.25">
      <c r="A605" s="613"/>
      <c r="L605" s="394">
        <f t="shared" si="118"/>
        <v>0</v>
      </c>
      <c r="M605" s="394">
        <f t="shared" si="119"/>
        <v>0</v>
      </c>
      <c r="N605" s="613">
        <f>INDEX(tblSubjectToLoan[Date],ROW()-ROW(tblContractForDeed[#Headers]))</f>
        <v>0</v>
      </c>
      <c r="O605" s="276">
        <f>IF(ROW()=ROW(tblContractForDeed[#Headers])+1,$O$6,IF(INDEX(tblContractForDeed[End Bal],ROW()-ROW(tblContractForDeed[#Headers])-1)&lt;0,0,INDEX(tblContractForDeed[End Bal],ROW()-ROW(tblContractForDeed[#Headers])-1)))</f>
        <v>0</v>
      </c>
      <c r="P605" s="454">
        <f>IF(tblContractForDeed[[#This Row],[Date]]="","",IF(tblContractForDeed[[#This Row],[Date]]&lt;cfdRateChangeDate,cfdRate1,cfdRate2))</f>
        <v>7.0000000000000007E-2</v>
      </c>
      <c r="Q6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276">
        <f>IF(INDEX(tblContractForDeed[Payment],ROW()-ROW(tblBuyerOutputs[#Headers]))=0,0,INDEX(tblContractForDeed[Payment],ROW()-ROW(tblBuyerOutputs[#Headers]))-INDEX(tblSubjectToLoan[Payment],ROW()-ROW(tblBuyerOutputs[#Headers])))</f>
        <v>0</v>
      </c>
      <c r="Z6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5" s="276">
        <f>IF(INDEX(tblContractForDeed[End Bal],ROW()-ROW(tblBuyerOutputs[#Headers]))&lt;=0,0,($O$6+IF(ROW()=ROW(tblBuyerOutputs[#Headers])+1,0,INDEX(tblBuyerOutputs[Cumul Appr],ROW()-ROW(tblBuyerOutputs[#Headers])-1)))*$AK$2/12)</f>
        <v>0</v>
      </c>
      <c r="AE605" s="276">
        <f>IF(INDEX(tblContractForDeed[End Bal],ROW()-ROW(tblBuyerOutputs[#Headers]))&lt;=0,0,IF(ROW()=ROW(tblBuyerOutputs[#Headers])+1,0,INDEX(tblBuyerOutputs[Cumul Appr],ROW()-ROW(tblBuyerOutputs[#Headers])-1))+tblBuyerOutputs[[#This Row],[Monthly Appr]])</f>
        <v>0</v>
      </c>
    </row>
    <row r="606" spans="1:43" x14ac:dyDescent="0.25">
      <c r="A606" s="613"/>
      <c r="L606" s="394">
        <f t="shared" si="118"/>
        <v>0</v>
      </c>
      <c r="M606" s="394">
        <f t="shared" si="119"/>
        <v>0</v>
      </c>
      <c r="N606" s="613">
        <f>INDEX(tblSubjectToLoan[Date],ROW()-ROW(tblContractForDeed[#Headers]))</f>
        <v>0</v>
      </c>
      <c r="O606" s="276">
        <f>IF(ROW()=ROW(tblContractForDeed[#Headers])+1,$O$6,IF(INDEX(tblContractForDeed[End Bal],ROW()-ROW(tblContractForDeed[#Headers])-1)&lt;0,0,INDEX(tblContractForDeed[End Bal],ROW()-ROW(tblContractForDeed[#Headers])-1)))</f>
        <v>0</v>
      </c>
      <c r="P606" s="454">
        <f>IF(tblContractForDeed[[#This Row],[Date]]="","",IF(tblContractForDeed[[#This Row],[Date]]&lt;cfdRateChangeDate,cfdRate1,cfdRate2))</f>
        <v>7.0000000000000007E-2</v>
      </c>
      <c r="Q6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276">
        <f>IF(INDEX(tblContractForDeed[Payment],ROW()-ROW(tblBuyerOutputs[#Headers]))=0,0,INDEX(tblContractForDeed[Payment],ROW()-ROW(tblBuyerOutputs[#Headers]))-INDEX(tblSubjectToLoan[Payment],ROW()-ROW(tblBuyerOutputs[#Headers])))</f>
        <v>0</v>
      </c>
      <c r="Z6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6" s="276">
        <f>IF(INDEX(tblContractForDeed[End Bal],ROW()-ROW(tblBuyerOutputs[#Headers]))&lt;=0,0,($O$6+IF(ROW()=ROW(tblBuyerOutputs[#Headers])+1,0,INDEX(tblBuyerOutputs[Cumul Appr],ROW()-ROW(tblBuyerOutputs[#Headers])-1)))*$AK$2/12)</f>
        <v>0</v>
      </c>
      <c r="AE606" s="276">
        <f>IF(INDEX(tblContractForDeed[End Bal],ROW()-ROW(tblBuyerOutputs[#Headers]))&lt;=0,0,IF(ROW()=ROW(tblBuyerOutputs[#Headers])+1,0,INDEX(tblBuyerOutputs[Cumul Appr],ROW()-ROW(tblBuyerOutputs[#Headers])-1))+tblBuyerOutputs[[#This Row],[Monthly Appr]])</f>
        <v>0</v>
      </c>
    </row>
    <row r="607" spans="1:43" ht="15.75" thickBot="1" x14ac:dyDescent="0.3">
      <c r="A607" s="615"/>
      <c r="B607" s="332"/>
      <c r="C607" s="21"/>
      <c r="D607" s="21"/>
      <c r="E607" s="21"/>
      <c r="F607" s="21"/>
      <c r="G607" s="21"/>
      <c r="H607" s="21"/>
      <c r="I607" s="332"/>
      <c r="J607" s="332"/>
      <c r="K607" s="332"/>
      <c r="L607" s="395">
        <f t="shared" si="118"/>
        <v>0</v>
      </c>
      <c r="M607" s="395">
        <f t="shared" si="119"/>
        <v>0</v>
      </c>
      <c r="N607" s="615">
        <f>INDEX(tblSubjectToLoan[Date],ROW()-ROW(tblContractForDeed[#Headers]))</f>
        <v>0</v>
      </c>
      <c r="O607" s="332">
        <f>IF(ROW()=ROW(tblContractForDeed[#Headers])+1,$O$6,IF(INDEX(tblContractForDeed[End Bal],ROW()-ROW(tblContractForDeed[#Headers])-1)&lt;0,0,INDEX(tblContractForDeed[End Bal],ROW()-ROW(tblContractForDeed[#Headers])-1)))</f>
        <v>0</v>
      </c>
      <c r="P607" s="454">
        <f>IF(tblContractForDeed[[#This Row],[Date]]="","",IF(tblContractForDeed[[#This Row],[Date]]&lt;cfdRateChangeDate,cfdRate1,cfdRate2))</f>
        <v>7.0000000000000007E-2</v>
      </c>
      <c r="Q6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32">
        <f>IF(INDEX(tblContractForDeed[Payment],ROW()-ROW(tblBuyerOutputs[#Headers]))=0,0,INDEX(tblContractForDeed[Payment],ROW()-ROW(tblBuyerOutputs[#Headers]))-INDEX(tblSubjectToLoan[Payment],ROW()-ROW(tblBuyerOutputs[#Headers])))</f>
        <v>0</v>
      </c>
      <c r="Z6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7" s="332">
        <f>IF(INDEX(tblContractForDeed[End Bal],ROW()-ROW(tblBuyerOutputs[#Headers]))&lt;=0,0,($O$6+IF(ROW()=ROW(tblBuyerOutputs[#Headers])+1,0,INDEX(tblBuyerOutputs[Cumul Appr],ROW()-ROW(tblBuyerOutputs[#Headers])-1)))*$AK$2/12)</f>
        <v>0</v>
      </c>
      <c r="AE607" s="332">
        <f>IF(INDEX(tblContractForDeed[End Bal],ROW()-ROW(tblBuyerOutputs[#Headers]))&lt;=0,0,IF(ROW()=ROW(tblBuyerOutputs[#Headers])+1,0,INDEX(tblBuyerOutputs[Cumul Appr],ROW()-ROW(tblBuyerOutputs[#Headers])-1))+tblBuyerOutputs[[#This Row],[Monthly Appr]])</f>
        <v>0</v>
      </c>
      <c r="AQ607" s="21"/>
    </row>
    <row r="608" spans="1:43" x14ac:dyDescent="0.25">
      <c r="A608" s="613"/>
      <c r="L608" s="394">
        <f t="shared" si="118"/>
        <v>0</v>
      </c>
      <c r="M608" s="394">
        <f t="shared" si="119"/>
        <v>0</v>
      </c>
      <c r="N608" s="613">
        <f>INDEX(tblSubjectToLoan[Date],ROW()-ROW(tblContractForDeed[#Headers]))</f>
        <v>0</v>
      </c>
      <c r="O608" s="276">
        <f>IF(ROW()=ROW(tblContractForDeed[#Headers])+1,$O$6,IF(INDEX(tblContractForDeed[End Bal],ROW()-ROW(tblContractForDeed[#Headers])-1)&lt;0,0,INDEX(tblContractForDeed[End Bal],ROW()-ROW(tblContractForDeed[#Headers])-1)))</f>
        <v>0</v>
      </c>
      <c r="P608" s="454">
        <f>IF(tblContractForDeed[[#This Row],[Date]]="","",IF(tblContractForDeed[[#This Row],[Date]]&lt;cfdRateChangeDate,cfdRate1,cfdRate2))</f>
        <v>7.0000000000000007E-2</v>
      </c>
      <c r="Q6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276">
        <f>IF(INDEX(tblContractForDeed[Payment],ROW()-ROW(tblBuyerOutputs[#Headers]))=0,0,INDEX(tblContractForDeed[Payment],ROW()-ROW(tblBuyerOutputs[#Headers]))-INDEX(tblSubjectToLoan[Payment],ROW()-ROW(tblBuyerOutputs[#Headers])))</f>
        <v>0</v>
      </c>
      <c r="Z6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8" s="276">
        <f>IF(INDEX(tblContractForDeed[End Bal],ROW()-ROW(tblBuyerOutputs[#Headers]))&lt;=0,0,($O$6+IF(ROW()=ROW(tblBuyerOutputs[#Headers])+1,0,INDEX(tblBuyerOutputs[Cumul Appr],ROW()-ROW(tblBuyerOutputs[#Headers])-1)))*$AK$2/12)</f>
        <v>0</v>
      </c>
      <c r="AE608" s="276">
        <f>IF(INDEX(tblContractForDeed[End Bal],ROW()-ROW(tblBuyerOutputs[#Headers]))&lt;=0,0,IF(ROW()=ROW(tblBuyerOutputs[#Headers])+1,0,INDEX(tblBuyerOutputs[Cumul Appr],ROW()-ROW(tblBuyerOutputs[#Headers])-1))+tblBuyerOutputs[[#This Row],[Monthly Appr]])</f>
        <v>0</v>
      </c>
    </row>
    <row r="609" spans="1:43" x14ac:dyDescent="0.25">
      <c r="A609" s="613"/>
      <c r="L609" s="394">
        <f t="shared" si="118"/>
        <v>0</v>
      </c>
      <c r="M609" s="394">
        <f t="shared" si="119"/>
        <v>0</v>
      </c>
      <c r="N609" s="613">
        <f>INDEX(tblSubjectToLoan[Date],ROW()-ROW(tblContractForDeed[#Headers]))</f>
        <v>0</v>
      </c>
      <c r="O609" s="276">
        <f>IF(ROW()=ROW(tblContractForDeed[#Headers])+1,$O$6,IF(INDEX(tblContractForDeed[End Bal],ROW()-ROW(tblContractForDeed[#Headers])-1)&lt;0,0,INDEX(tblContractForDeed[End Bal],ROW()-ROW(tblContractForDeed[#Headers])-1)))</f>
        <v>0</v>
      </c>
      <c r="P609" s="454">
        <f>IF(tblContractForDeed[[#This Row],[Date]]="","",IF(tblContractForDeed[[#This Row],[Date]]&lt;cfdRateChangeDate,cfdRate1,cfdRate2))</f>
        <v>7.0000000000000007E-2</v>
      </c>
      <c r="Q6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276">
        <f>IF(INDEX(tblContractForDeed[Payment],ROW()-ROW(tblBuyerOutputs[#Headers]))=0,0,INDEX(tblContractForDeed[Payment],ROW()-ROW(tblBuyerOutputs[#Headers]))-INDEX(tblSubjectToLoan[Payment],ROW()-ROW(tblBuyerOutputs[#Headers])))</f>
        <v>0</v>
      </c>
      <c r="Z6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9" s="276">
        <f>IF(INDEX(tblContractForDeed[End Bal],ROW()-ROW(tblBuyerOutputs[#Headers]))&lt;=0,0,($O$6+IF(ROW()=ROW(tblBuyerOutputs[#Headers])+1,0,INDEX(tblBuyerOutputs[Cumul Appr],ROW()-ROW(tblBuyerOutputs[#Headers])-1)))*$AK$2/12)</f>
        <v>0</v>
      </c>
      <c r="AE609" s="276">
        <f>IF(INDEX(tblContractForDeed[End Bal],ROW()-ROW(tblBuyerOutputs[#Headers]))&lt;=0,0,IF(ROW()=ROW(tblBuyerOutputs[#Headers])+1,0,INDEX(tblBuyerOutputs[Cumul Appr],ROW()-ROW(tblBuyerOutputs[#Headers])-1))+tblBuyerOutputs[[#This Row],[Monthly Appr]])</f>
        <v>0</v>
      </c>
    </row>
    <row r="610" spans="1:43" x14ac:dyDescent="0.25">
      <c r="A610" s="613"/>
      <c r="L610" s="394">
        <f t="shared" si="118"/>
        <v>0</v>
      </c>
      <c r="M610" s="394">
        <f t="shared" si="119"/>
        <v>0</v>
      </c>
      <c r="N610" s="613">
        <f>INDEX(tblSubjectToLoan[Date],ROW()-ROW(tblContractForDeed[#Headers]))</f>
        <v>0</v>
      </c>
      <c r="O610" s="276">
        <f>IF(ROW()=ROW(tblContractForDeed[#Headers])+1,$O$6,IF(INDEX(tblContractForDeed[End Bal],ROW()-ROW(tblContractForDeed[#Headers])-1)&lt;0,0,INDEX(tblContractForDeed[End Bal],ROW()-ROW(tblContractForDeed[#Headers])-1)))</f>
        <v>0</v>
      </c>
      <c r="P610" s="454">
        <f>IF(tblContractForDeed[[#This Row],[Date]]="","",IF(tblContractForDeed[[#This Row],[Date]]&lt;cfdRateChangeDate,cfdRate1,cfdRate2))</f>
        <v>7.0000000000000007E-2</v>
      </c>
      <c r="Q6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276">
        <f>IF(INDEX(tblContractForDeed[Payment],ROW()-ROW(tblBuyerOutputs[#Headers]))=0,0,INDEX(tblContractForDeed[Payment],ROW()-ROW(tblBuyerOutputs[#Headers]))-INDEX(tblSubjectToLoan[Payment],ROW()-ROW(tblBuyerOutputs[#Headers])))</f>
        <v>0</v>
      </c>
      <c r="Z6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0" s="276">
        <f>IF(INDEX(tblContractForDeed[End Bal],ROW()-ROW(tblBuyerOutputs[#Headers]))&lt;=0,0,($O$6+IF(ROW()=ROW(tblBuyerOutputs[#Headers])+1,0,INDEX(tblBuyerOutputs[Cumul Appr],ROW()-ROW(tblBuyerOutputs[#Headers])-1)))*$AK$2/12)</f>
        <v>0</v>
      </c>
      <c r="AE610" s="276">
        <f>IF(INDEX(tblContractForDeed[End Bal],ROW()-ROW(tblBuyerOutputs[#Headers]))&lt;=0,0,IF(ROW()=ROW(tblBuyerOutputs[#Headers])+1,0,INDEX(tblBuyerOutputs[Cumul Appr],ROW()-ROW(tblBuyerOutputs[#Headers])-1))+tblBuyerOutputs[[#This Row],[Monthly Appr]])</f>
        <v>0</v>
      </c>
    </row>
    <row r="611" spans="1:43" x14ac:dyDescent="0.25">
      <c r="A611" s="613"/>
      <c r="L611" s="394">
        <f t="shared" si="118"/>
        <v>0</v>
      </c>
      <c r="M611" s="394">
        <f t="shared" si="119"/>
        <v>0</v>
      </c>
      <c r="N611" s="613">
        <f>INDEX(tblSubjectToLoan[Date],ROW()-ROW(tblContractForDeed[#Headers]))</f>
        <v>0</v>
      </c>
      <c r="O611" s="276">
        <f>IF(ROW()=ROW(tblContractForDeed[#Headers])+1,$O$6,IF(INDEX(tblContractForDeed[End Bal],ROW()-ROW(tblContractForDeed[#Headers])-1)&lt;0,0,INDEX(tblContractForDeed[End Bal],ROW()-ROW(tblContractForDeed[#Headers])-1)))</f>
        <v>0</v>
      </c>
      <c r="P611" s="454">
        <f>IF(tblContractForDeed[[#This Row],[Date]]="","",IF(tblContractForDeed[[#This Row],[Date]]&lt;cfdRateChangeDate,cfdRate1,cfdRate2))</f>
        <v>7.0000000000000007E-2</v>
      </c>
      <c r="Q6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276">
        <f>IF(INDEX(tblContractForDeed[Payment],ROW()-ROW(tblBuyerOutputs[#Headers]))=0,0,INDEX(tblContractForDeed[Payment],ROW()-ROW(tblBuyerOutputs[#Headers]))-INDEX(tblSubjectToLoan[Payment],ROW()-ROW(tblBuyerOutputs[#Headers])))</f>
        <v>0</v>
      </c>
      <c r="Z6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1" s="276">
        <f>IF(INDEX(tblContractForDeed[End Bal],ROW()-ROW(tblBuyerOutputs[#Headers]))&lt;=0,0,($O$6+IF(ROW()=ROW(tblBuyerOutputs[#Headers])+1,0,INDEX(tblBuyerOutputs[Cumul Appr],ROW()-ROW(tblBuyerOutputs[#Headers])-1)))*$AK$2/12)</f>
        <v>0</v>
      </c>
      <c r="AE611" s="276">
        <f>IF(INDEX(tblContractForDeed[End Bal],ROW()-ROW(tblBuyerOutputs[#Headers]))&lt;=0,0,IF(ROW()=ROW(tblBuyerOutputs[#Headers])+1,0,INDEX(tblBuyerOutputs[Cumul Appr],ROW()-ROW(tblBuyerOutputs[#Headers])-1))+tblBuyerOutputs[[#This Row],[Monthly Appr]])</f>
        <v>0</v>
      </c>
    </row>
    <row r="612" spans="1:43" x14ac:dyDescent="0.25">
      <c r="A612" s="613"/>
      <c r="L612" s="394">
        <f t="shared" si="118"/>
        <v>0</v>
      </c>
      <c r="M612" s="394">
        <f t="shared" si="119"/>
        <v>0</v>
      </c>
      <c r="N612" s="613">
        <f>INDEX(tblSubjectToLoan[Date],ROW()-ROW(tblContractForDeed[#Headers]))</f>
        <v>0</v>
      </c>
      <c r="O612" s="276">
        <f>IF(ROW()=ROW(tblContractForDeed[#Headers])+1,$O$6,IF(INDEX(tblContractForDeed[End Bal],ROW()-ROW(tblContractForDeed[#Headers])-1)&lt;0,0,INDEX(tblContractForDeed[End Bal],ROW()-ROW(tblContractForDeed[#Headers])-1)))</f>
        <v>0</v>
      </c>
      <c r="P612" s="454">
        <f>IF(tblContractForDeed[[#This Row],[Date]]="","",IF(tblContractForDeed[[#This Row],[Date]]&lt;cfdRateChangeDate,cfdRate1,cfdRate2))</f>
        <v>7.0000000000000007E-2</v>
      </c>
      <c r="Q6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276">
        <f>IF(INDEX(tblContractForDeed[Payment],ROW()-ROW(tblBuyerOutputs[#Headers]))=0,0,INDEX(tblContractForDeed[Payment],ROW()-ROW(tblBuyerOutputs[#Headers]))-INDEX(tblSubjectToLoan[Payment],ROW()-ROW(tblBuyerOutputs[#Headers])))</f>
        <v>0</v>
      </c>
      <c r="Z6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2" s="276">
        <f>IF(INDEX(tblContractForDeed[End Bal],ROW()-ROW(tblBuyerOutputs[#Headers]))&lt;=0,0,($O$6+IF(ROW()=ROW(tblBuyerOutputs[#Headers])+1,0,INDEX(tblBuyerOutputs[Cumul Appr],ROW()-ROW(tblBuyerOutputs[#Headers])-1)))*$AK$2/12)</f>
        <v>0</v>
      </c>
      <c r="AE612" s="276">
        <f>IF(INDEX(tblContractForDeed[End Bal],ROW()-ROW(tblBuyerOutputs[#Headers]))&lt;=0,0,IF(ROW()=ROW(tblBuyerOutputs[#Headers])+1,0,INDEX(tblBuyerOutputs[Cumul Appr],ROW()-ROW(tblBuyerOutputs[#Headers])-1))+tblBuyerOutputs[[#This Row],[Monthly Appr]])</f>
        <v>0</v>
      </c>
    </row>
    <row r="613" spans="1:43" x14ac:dyDescent="0.25">
      <c r="A613" s="613"/>
      <c r="L613" s="394">
        <f t="shared" si="118"/>
        <v>0</v>
      </c>
      <c r="M613" s="394">
        <f t="shared" si="119"/>
        <v>0</v>
      </c>
      <c r="N613" s="613">
        <f>INDEX(tblSubjectToLoan[Date],ROW()-ROW(tblContractForDeed[#Headers]))</f>
        <v>0</v>
      </c>
      <c r="O613" s="276">
        <f>IF(ROW()=ROW(tblContractForDeed[#Headers])+1,$O$6,IF(INDEX(tblContractForDeed[End Bal],ROW()-ROW(tblContractForDeed[#Headers])-1)&lt;0,0,INDEX(tblContractForDeed[End Bal],ROW()-ROW(tblContractForDeed[#Headers])-1)))</f>
        <v>0</v>
      </c>
      <c r="P613" s="454">
        <f>IF(tblContractForDeed[[#This Row],[Date]]="","",IF(tblContractForDeed[[#This Row],[Date]]&lt;cfdRateChangeDate,cfdRate1,cfdRate2))</f>
        <v>7.0000000000000007E-2</v>
      </c>
      <c r="Q6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276">
        <f>IF(INDEX(tblContractForDeed[Payment],ROW()-ROW(tblBuyerOutputs[#Headers]))=0,0,INDEX(tblContractForDeed[Payment],ROW()-ROW(tblBuyerOutputs[#Headers]))-INDEX(tblSubjectToLoan[Payment],ROW()-ROW(tblBuyerOutputs[#Headers])))</f>
        <v>0</v>
      </c>
      <c r="Z6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3" s="276">
        <f>IF(INDEX(tblContractForDeed[End Bal],ROW()-ROW(tblBuyerOutputs[#Headers]))&lt;=0,0,($O$6+IF(ROW()=ROW(tblBuyerOutputs[#Headers])+1,0,INDEX(tblBuyerOutputs[Cumul Appr],ROW()-ROW(tblBuyerOutputs[#Headers])-1)))*$AK$2/12)</f>
        <v>0</v>
      </c>
      <c r="AE613" s="276">
        <f>IF(INDEX(tblContractForDeed[End Bal],ROW()-ROW(tblBuyerOutputs[#Headers]))&lt;=0,0,IF(ROW()=ROW(tblBuyerOutputs[#Headers])+1,0,INDEX(tblBuyerOutputs[Cumul Appr],ROW()-ROW(tblBuyerOutputs[#Headers])-1))+tblBuyerOutputs[[#This Row],[Monthly Appr]])</f>
        <v>0</v>
      </c>
    </row>
    <row r="614" spans="1:43" x14ac:dyDescent="0.25">
      <c r="A614" s="613"/>
      <c r="L614" s="394">
        <f t="shared" si="118"/>
        <v>0</v>
      </c>
      <c r="M614" s="394">
        <f t="shared" si="119"/>
        <v>0</v>
      </c>
      <c r="N614" s="613">
        <f>INDEX(tblSubjectToLoan[Date],ROW()-ROW(tblContractForDeed[#Headers]))</f>
        <v>0</v>
      </c>
      <c r="O614" s="276">
        <f>IF(ROW()=ROW(tblContractForDeed[#Headers])+1,$O$6,IF(INDEX(tblContractForDeed[End Bal],ROW()-ROW(tblContractForDeed[#Headers])-1)&lt;0,0,INDEX(tblContractForDeed[End Bal],ROW()-ROW(tblContractForDeed[#Headers])-1)))</f>
        <v>0</v>
      </c>
      <c r="P614" s="454">
        <f>IF(tblContractForDeed[[#This Row],[Date]]="","",IF(tblContractForDeed[[#This Row],[Date]]&lt;cfdRateChangeDate,cfdRate1,cfdRate2))</f>
        <v>7.0000000000000007E-2</v>
      </c>
      <c r="Q6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276">
        <f>IF(INDEX(tblContractForDeed[Payment],ROW()-ROW(tblBuyerOutputs[#Headers]))=0,0,INDEX(tblContractForDeed[Payment],ROW()-ROW(tblBuyerOutputs[#Headers]))-INDEX(tblSubjectToLoan[Payment],ROW()-ROW(tblBuyerOutputs[#Headers])))</f>
        <v>0</v>
      </c>
      <c r="Z6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4" s="276">
        <f>IF(INDEX(tblContractForDeed[End Bal],ROW()-ROW(tblBuyerOutputs[#Headers]))&lt;=0,0,($O$6+IF(ROW()=ROW(tblBuyerOutputs[#Headers])+1,0,INDEX(tblBuyerOutputs[Cumul Appr],ROW()-ROW(tblBuyerOutputs[#Headers])-1)))*$AK$2/12)</f>
        <v>0</v>
      </c>
      <c r="AE614" s="276">
        <f>IF(INDEX(tblContractForDeed[End Bal],ROW()-ROW(tblBuyerOutputs[#Headers]))&lt;=0,0,IF(ROW()=ROW(tblBuyerOutputs[#Headers])+1,0,INDEX(tblBuyerOutputs[Cumul Appr],ROW()-ROW(tblBuyerOutputs[#Headers])-1))+tblBuyerOutputs[[#This Row],[Monthly Appr]])</f>
        <v>0</v>
      </c>
    </row>
    <row r="615" spans="1:43" x14ac:dyDescent="0.25">
      <c r="A615" s="613"/>
      <c r="L615" s="394">
        <f t="shared" si="118"/>
        <v>0</v>
      </c>
      <c r="M615" s="394">
        <f t="shared" si="119"/>
        <v>0</v>
      </c>
      <c r="N615" s="613">
        <f>INDEX(tblSubjectToLoan[Date],ROW()-ROW(tblContractForDeed[#Headers]))</f>
        <v>0</v>
      </c>
      <c r="O615" s="276">
        <f>IF(ROW()=ROW(tblContractForDeed[#Headers])+1,$O$6,IF(INDEX(tblContractForDeed[End Bal],ROW()-ROW(tblContractForDeed[#Headers])-1)&lt;0,0,INDEX(tblContractForDeed[End Bal],ROW()-ROW(tblContractForDeed[#Headers])-1)))</f>
        <v>0</v>
      </c>
      <c r="P615" s="454">
        <f>IF(tblContractForDeed[[#This Row],[Date]]="","",IF(tblContractForDeed[[#This Row],[Date]]&lt;cfdRateChangeDate,cfdRate1,cfdRate2))</f>
        <v>7.0000000000000007E-2</v>
      </c>
      <c r="Q6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276">
        <f>IF(INDEX(tblContractForDeed[Payment],ROW()-ROW(tblBuyerOutputs[#Headers]))=0,0,INDEX(tblContractForDeed[Payment],ROW()-ROW(tblBuyerOutputs[#Headers]))-INDEX(tblSubjectToLoan[Payment],ROW()-ROW(tblBuyerOutputs[#Headers])))</f>
        <v>0</v>
      </c>
      <c r="Z6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5" s="276">
        <f>IF(INDEX(tblContractForDeed[End Bal],ROW()-ROW(tblBuyerOutputs[#Headers]))&lt;=0,0,($O$6+IF(ROW()=ROW(tblBuyerOutputs[#Headers])+1,0,INDEX(tblBuyerOutputs[Cumul Appr],ROW()-ROW(tblBuyerOutputs[#Headers])-1)))*$AK$2/12)</f>
        <v>0</v>
      </c>
      <c r="AE615" s="276">
        <f>IF(INDEX(tblContractForDeed[End Bal],ROW()-ROW(tblBuyerOutputs[#Headers]))&lt;=0,0,IF(ROW()=ROW(tblBuyerOutputs[#Headers])+1,0,INDEX(tblBuyerOutputs[Cumul Appr],ROW()-ROW(tblBuyerOutputs[#Headers])-1))+tblBuyerOutputs[[#This Row],[Monthly Appr]])</f>
        <v>0</v>
      </c>
    </row>
    <row r="616" spans="1:43" x14ac:dyDescent="0.25">
      <c r="A616" s="613"/>
      <c r="L616" s="394">
        <f t="shared" si="118"/>
        <v>0</v>
      </c>
      <c r="M616" s="394">
        <f t="shared" si="119"/>
        <v>0</v>
      </c>
      <c r="N616" s="613">
        <f>INDEX(tblSubjectToLoan[Date],ROW()-ROW(tblContractForDeed[#Headers]))</f>
        <v>0</v>
      </c>
      <c r="O616" s="276">
        <f>IF(ROW()=ROW(tblContractForDeed[#Headers])+1,$O$6,IF(INDEX(tblContractForDeed[End Bal],ROW()-ROW(tblContractForDeed[#Headers])-1)&lt;0,0,INDEX(tblContractForDeed[End Bal],ROW()-ROW(tblContractForDeed[#Headers])-1)))</f>
        <v>0</v>
      </c>
      <c r="P616" s="454">
        <f>IF(tblContractForDeed[[#This Row],[Date]]="","",IF(tblContractForDeed[[#This Row],[Date]]&lt;cfdRateChangeDate,cfdRate1,cfdRate2))</f>
        <v>7.0000000000000007E-2</v>
      </c>
      <c r="Q6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276">
        <f>IF(INDEX(tblContractForDeed[Payment],ROW()-ROW(tblBuyerOutputs[#Headers]))=0,0,INDEX(tblContractForDeed[Payment],ROW()-ROW(tblBuyerOutputs[#Headers]))-INDEX(tblSubjectToLoan[Payment],ROW()-ROW(tblBuyerOutputs[#Headers])))</f>
        <v>0</v>
      </c>
      <c r="Z6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6" s="276">
        <f>IF(INDEX(tblContractForDeed[End Bal],ROW()-ROW(tblBuyerOutputs[#Headers]))&lt;=0,0,($O$6+IF(ROW()=ROW(tblBuyerOutputs[#Headers])+1,0,INDEX(tblBuyerOutputs[Cumul Appr],ROW()-ROW(tblBuyerOutputs[#Headers])-1)))*$AK$2/12)</f>
        <v>0</v>
      </c>
      <c r="AE616" s="276">
        <f>IF(INDEX(tblContractForDeed[End Bal],ROW()-ROW(tblBuyerOutputs[#Headers]))&lt;=0,0,IF(ROW()=ROW(tblBuyerOutputs[#Headers])+1,0,INDEX(tblBuyerOutputs[Cumul Appr],ROW()-ROW(tblBuyerOutputs[#Headers])-1))+tblBuyerOutputs[[#This Row],[Monthly Appr]])</f>
        <v>0</v>
      </c>
    </row>
    <row r="617" spans="1:43" x14ac:dyDescent="0.25">
      <c r="A617" s="613"/>
      <c r="L617" s="394">
        <f t="shared" si="118"/>
        <v>0</v>
      </c>
      <c r="M617" s="394">
        <f t="shared" si="119"/>
        <v>0</v>
      </c>
      <c r="N617" s="613">
        <f>INDEX(tblSubjectToLoan[Date],ROW()-ROW(tblContractForDeed[#Headers]))</f>
        <v>0</v>
      </c>
      <c r="O617" s="276">
        <f>IF(ROW()=ROW(tblContractForDeed[#Headers])+1,$O$6,IF(INDEX(tblContractForDeed[End Bal],ROW()-ROW(tblContractForDeed[#Headers])-1)&lt;0,0,INDEX(tblContractForDeed[End Bal],ROW()-ROW(tblContractForDeed[#Headers])-1)))</f>
        <v>0</v>
      </c>
      <c r="P617" s="454">
        <f>IF(tblContractForDeed[[#This Row],[Date]]="","",IF(tblContractForDeed[[#This Row],[Date]]&lt;cfdRateChangeDate,cfdRate1,cfdRate2))</f>
        <v>7.0000000000000007E-2</v>
      </c>
      <c r="Q6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276">
        <f>IF(INDEX(tblContractForDeed[Payment],ROW()-ROW(tblBuyerOutputs[#Headers]))=0,0,INDEX(tblContractForDeed[Payment],ROW()-ROW(tblBuyerOutputs[#Headers]))-INDEX(tblSubjectToLoan[Payment],ROW()-ROW(tblBuyerOutputs[#Headers])))</f>
        <v>0</v>
      </c>
      <c r="Z6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7" s="276">
        <f>IF(INDEX(tblContractForDeed[End Bal],ROW()-ROW(tblBuyerOutputs[#Headers]))&lt;=0,0,($O$6+IF(ROW()=ROW(tblBuyerOutputs[#Headers])+1,0,INDEX(tblBuyerOutputs[Cumul Appr],ROW()-ROW(tblBuyerOutputs[#Headers])-1)))*$AK$2/12)</f>
        <v>0</v>
      </c>
      <c r="AE617" s="276">
        <f>IF(INDEX(tblContractForDeed[End Bal],ROW()-ROW(tblBuyerOutputs[#Headers]))&lt;=0,0,IF(ROW()=ROW(tblBuyerOutputs[#Headers])+1,0,INDEX(tblBuyerOutputs[Cumul Appr],ROW()-ROW(tblBuyerOutputs[#Headers])-1))+tblBuyerOutputs[[#This Row],[Monthly Appr]])</f>
        <v>0</v>
      </c>
    </row>
    <row r="618" spans="1:43" x14ac:dyDescent="0.25">
      <c r="A618" s="613"/>
      <c r="L618" s="394">
        <f t="shared" si="118"/>
        <v>0</v>
      </c>
      <c r="M618" s="394">
        <f t="shared" si="119"/>
        <v>0</v>
      </c>
      <c r="N618" s="613">
        <f>INDEX(tblSubjectToLoan[Date],ROW()-ROW(tblContractForDeed[#Headers]))</f>
        <v>0</v>
      </c>
      <c r="O618" s="276">
        <f>IF(ROW()=ROW(tblContractForDeed[#Headers])+1,$O$6,IF(INDEX(tblContractForDeed[End Bal],ROW()-ROW(tblContractForDeed[#Headers])-1)&lt;0,0,INDEX(tblContractForDeed[End Bal],ROW()-ROW(tblContractForDeed[#Headers])-1)))</f>
        <v>0</v>
      </c>
      <c r="P618" s="454">
        <f>IF(tblContractForDeed[[#This Row],[Date]]="","",IF(tblContractForDeed[[#This Row],[Date]]&lt;cfdRateChangeDate,cfdRate1,cfdRate2))</f>
        <v>7.0000000000000007E-2</v>
      </c>
      <c r="Q6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276">
        <f>IF(INDEX(tblContractForDeed[Payment],ROW()-ROW(tblBuyerOutputs[#Headers]))=0,0,INDEX(tblContractForDeed[Payment],ROW()-ROW(tblBuyerOutputs[#Headers]))-INDEX(tblSubjectToLoan[Payment],ROW()-ROW(tblBuyerOutputs[#Headers])))</f>
        <v>0</v>
      </c>
      <c r="Z6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8" s="276">
        <f>IF(INDEX(tblContractForDeed[End Bal],ROW()-ROW(tblBuyerOutputs[#Headers]))&lt;=0,0,($O$6+IF(ROW()=ROW(tblBuyerOutputs[#Headers])+1,0,INDEX(tblBuyerOutputs[Cumul Appr],ROW()-ROW(tblBuyerOutputs[#Headers])-1)))*$AK$2/12)</f>
        <v>0</v>
      </c>
      <c r="AE618" s="276">
        <f>IF(INDEX(tblContractForDeed[End Bal],ROW()-ROW(tblBuyerOutputs[#Headers]))&lt;=0,0,IF(ROW()=ROW(tblBuyerOutputs[#Headers])+1,0,INDEX(tblBuyerOutputs[Cumul Appr],ROW()-ROW(tblBuyerOutputs[#Headers])-1))+tblBuyerOutputs[[#This Row],[Monthly Appr]])</f>
        <v>0</v>
      </c>
    </row>
    <row r="619" spans="1:43" ht="15.75" thickBot="1" x14ac:dyDescent="0.3">
      <c r="A619" s="615"/>
      <c r="B619" s="332"/>
      <c r="C619" s="21"/>
      <c r="D619" s="21"/>
      <c r="E619" s="21"/>
      <c r="F619" s="21"/>
      <c r="G619" s="21"/>
      <c r="H619" s="21"/>
      <c r="I619" s="332"/>
      <c r="J619" s="332"/>
      <c r="K619" s="332"/>
      <c r="L619" s="395">
        <f t="shared" si="118"/>
        <v>0</v>
      </c>
      <c r="M619" s="395">
        <f t="shared" si="119"/>
        <v>0</v>
      </c>
      <c r="N619" s="615">
        <f>INDEX(tblSubjectToLoan[Date],ROW()-ROW(tblContractForDeed[#Headers]))</f>
        <v>0</v>
      </c>
      <c r="O619" s="332">
        <f>IF(ROW()=ROW(tblContractForDeed[#Headers])+1,$O$6,IF(INDEX(tblContractForDeed[End Bal],ROW()-ROW(tblContractForDeed[#Headers])-1)&lt;0,0,INDEX(tblContractForDeed[End Bal],ROW()-ROW(tblContractForDeed[#Headers])-1)))</f>
        <v>0</v>
      </c>
      <c r="P619" s="454">
        <f>IF(tblContractForDeed[[#This Row],[Date]]="","",IF(tblContractForDeed[[#This Row],[Date]]&lt;cfdRateChangeDate,cfdRate1,cfdRate2))</f>
        <v>7.0000000000000007E-2</v>
      </c>
      <c r="Q6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32">
        <f>IF(INDEX(tblContractForDeed[Payment],ROW()-ROW(tblBuyerOutputs[#Headers]))=0,0,INDEX(tblContractForDeed[Payment],ROW()-ROW(tblBuyerOutputs[#Headers]))-INDEX(tblSubjectToLoan[Payment],ROW()-ROW(tblBuyerOutputs[#Headers])))</f>
        <v>0</v>
      </c>
      <c r="Z6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9" s="332">
        <f>IF(INDEX(tblContractForDeed[End Bal],ROW()-ROW(tblBuyerOutputs[#Headers]))&lt;=0,0,($O$6+IF(ROW()=ROW(tblBuyerOutputs[#Headers])+1,0,INDEX(tblBuyerOutputs[Cumul Appr],ROW()-ROW(tblBuyerOutputs[#Headers])-1)))*$AK$2/12)</f>
        <v>0</v>
      </c>
      <c r="AE619" s="332">
        <f>IF(INDEX(tblContractForDeed[End Bal],ROW()-ROW(tblBuyerOutputs[#Headers]))&lt;=0,0,IF(ROW()=ROW(tblBuyerOutputs[#Headers])+1,0,INDEX(tblBuyerOutputs[Cumul Appr],ROW()-ROW(tblBuyerOutputs[#Headers])-1))+tblBuyerOutputs[[#This Row],[Monthly Appr]])</f>
        <v>0</v>
      </c>
      <c r="AQ619" s="21"/>
    </row>
    <row r="620" spans="1:43" x14ac:dyDescent="0.25">
      <c r="A620" s="613"/>
      <c r="L620" s="394">
        <f t="shared" si="118"/>
        <v>0</v>
      </c>
      <c r="M620" s="394">
        <f t="shared" si="119"/>
        <v>0</v>
      </c>
      <c r="N620" s="613">
        <f>INDEX(tblSubjectToLoan[Date],ROW()-ROW(tblContractForDeed[#Headers]))</f>
        <v>0</v>
      </c>
      <c r="O620" s="276">
        <f>IF(ROW()=ROW(tblContractForDeed[#Headers])+1,$O$6,IF(INDEX(tblContractForDeed[End Bal],ROW()-ROW(tblContractForDeed[#Headers])-1)&lt;0,0,INDEX(tblContractForDeed[End Bal],ROW()-ROW(tblContractForDeed[#Headers])-1)))</f>
        <v>0</v>
      </c>
      <c r="P620" s="454">
        <f>IF(tblContractForDeed[[#This Row],[Date]]="","",IF(tblContractForDeed[[#This Row],[Date]]&lt;cfdRateChangeDate,cfdRate1,cfdRate2))</f>
        <v>7.0000000000000007E-2</v>
      </c>
      <c r="Q6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276">
        <f>IF(INDEX(tblContractForDeed[Payment],ROW()-ROW(tblBuyerOutputs[#Headers]))=0,0,INDEX(tblContractForDeed[Payment],ROW()-ROW(tblBuyerOutputs[#Headers]))-INDEX(tblSubjectToLoan[Payment],ROW()-ROW(tblBuyerOutputs[#Headers])))</f>
        <v>0</v>
      </c>
      <c r="Z6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0" s="276">
        <f>IF(INDEX(tblContractForDeed[End Bal],ROW()-ROW(tblBuyerOutputs[#Headers]))&lt;=0,0,($O$6+IF(ROW()=ROW(tblBuyerOutputs[#Headers])+1,0,INDEX(tblBuyerOutputs[Cumul Appr],ROW()-ROW(tblBuyerOutputs[#Headers])-1)))*$AK$2/12)</f>
        <v>0</v>
      </c>
      <c r="AE620" s="276">
        <f>IF(INDEX(tblContractForDeed[End Bal],ROW()-ROW(tblBuyerOutputs[#Headers]))&lt;=0,0,IF(ROW()=ROW(tblBuyerOutputs[#Headers])+1,0,INDEX(tblBuyerOutputs[Cumul Appr],ROW()-ROW(tblBuyerOutputs[#Headers])-1))+tblBuyerOutputs[[#This Row],[Monthly Appr]])</f>
        <v>0</v>
      </c>
    </row>
    <row r="621" spans="1:43" x14ac:dyDescent="0.25">
      <c r="A621" s="613"/>
      <c r="L621" s="394">
        <f t="shared" si="118"/>
        <v>0</v>
      </c>
      <c r="M621" s="394">
        <f t="shared" si="119"/>
        <v>0</v>
      </c>
      <c r="N621" s="613">
        <f>INDEX(tblSubjectToLoan[Date],ROW()-ROW(tblContractForDeed[#Headers]))</f>
        <v>0</v>
      </c>
      <c r="O621" s="276">
        <f>IF(ROW()=ROW(tblContractForDeed[#Headers])+1,$O$6,IF(INDEX(tblContractForDeed[End Bal],ROW()-ROW(tblContractForDeed[#Headers])-1)&lt;0,0,INDEX(tblContractForDeed[End Bal],ROW()-ROW(tblContractForDeed[#Headers])-1)))</f>
        <v>0</v>
      </c>
      <c r="P621" s="454">
        <f>IF(tblContractForDeed[[#This Row],[Date]]="","",IF(tblContractForDeed[[#This Row],[Date]]&lt;cfdRateChangeDate,cfdRate1,cfdRate2))</f>
        <v>7.0000000000000007E-2</v>
      </c>
      <c r="Q6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276">
        <f>IF(INDEX(tblContractForDeed[Payment],ROW()-ROW(tblBuyerOutputs[#Headers]))=0,0,INDEX(tblContractForDeed[Payment],ROW()-ROW(tblBuyerOutputs[#Headers]))-INDEX(tblSubjectToLoan[Payment],ROW()-ROW(tblBuyerOutputs[#Headers])))</f>
        <v>0</v>
      </c>
      <c r="Z6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1" s="276">
        <f>IF(INDEX(tblContractForDeed[End Bal],ROW()-ROW(tblBuyerOutputs[#Headers]))&lt;=0,0,($O$6+IF(ROW()=ROW(tblBuyerOutputs[#Headers])+1,0,INDEX(tblBuyerOutputs[Cumul Appr],ROW()-ROW(tblBuyerOutputs[#Headers])-1)))*$AK$2/12)</f>
        <v>0</v>
      </c>
      <c r="AE621" s="276">
        <f>IF(INDEX(tblContractForDeed[End Bal],ROW()-ROW(tblBuyerOutputs[#Headers]))&lt;=0,0,IF(ROW()=ROW(tblBuyerOutputs[#Headers])+1,0,INDEX(tblBuyerOutputs[Cumul Appr],ROW()-ROW(tblBuyerOutputs[#Headers])-1))+tblBuyerOutputs[[#This Row],[Monthly Appr]])</f>
        <v>0</v>
      </c>
    </row>
    <row r="622" spans="1:43" x14ac:dyDescent="0.25">
      <c r="A622" s="613"/>
      <c r="L622" s="394">
        <f t="shared" si="118"/>
        <v>0</v>
      </c>
      <c r="M622" s="394">
        <f t="shared" si="119"/>
        <v>0</v>
      </c>
      <c r="N622" s="613">
        <f>INDEX(tblSubjectToLoan[Date],ROW()-ROW(tblContractForDeed[#Headers]))</f>
        <v>0</v>
      </c>
      <c r="O622" s="276">
        <f>IF(ROW()=ROW(tblContractForDeed[#Headers])+1,$O$6,IF(INDEX(tblContractForDeed[End Bal],ROW()-ROW(tblContractForDeed[#Headers])-1)&lt;0,0,INDEX(tblContractForDeed[End Bal],ROW()-ROW(tblContractForDeed[#Headers])-1)))</f>
        <v>0</v>
      </c>
      <c r="P622" s="454">
        <f>IF(tblContractForDeed[[#This Row],[Date]]="","",IF(tblContractForDeed[[#This Row],[Date]]&lt;cfdRateChangeDate,cfdRate1,cfdRate2))</f>
        <v>7.0000000000000007E-2</v>
      </c>
      <c r="Q6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276">
        <f>IF(INDEX(tblContractForDeed[Payment],ROW()-ROW(tblBuyerOutputs[#Headers]))=0,0,INDEX(tblContractForDeed[Payment],ROW()-ROW(tblBuyerOutputs[#Headers]))-INDEX(tblSubjectToLoan[Payment],ROW()-ROW(tblBuyerOutputs[#Headers])))</f>
        <v>0</v>
      </c>
      <c r="Z6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2" s="276">
        <f>IF(INDEX(tblContractForDeed[End Bal],ROW()-ROW(tblBuyerOutputs[#Headers]))&lt;=0,0,($O$6+IF(ROW()=ROW(tblBuyerOutputs[#Headers])+1,0,INDEX(tblBuyerOutputs[Cumul Appr],ROW()-ROW(tblBuyerOutputs[#Headers])-1)))*$AK$2/12)</f>
        <v>0</v>
      </c>
      <c r="AE622" s="276">
        <f>IF(INDEX(tblContractForDeed[End Bal],ROW()-ROW(tblBuyerOutputs[#Headers]))&lt;=0,0,IF(ROW()=ROW(tblBuyerOutputs[#Headers])+1,0,INDEX(tblBuyerOutputs[Cumul Appr],ROW()-ROW(tblBuyerOutputs[#Headers])-1))+tblBuyerOutputs[[#This Row],[Monthly Appr]])</f>
        <v>0</v>
      </c>
    </row>
    <row r="623" spans="1:43" x14ac:dyDescent="0.25">
      <c r="A623" s="613"/>
      <c r="L623" s="394">
        <f t="shared" si="118"/>
        <v>0</v>
      </c>
      <c r="M623" s="394">
        <f t="shared" si="119"/>
        <v>0</v>
      </c>
      <c r="N623" s="613">
        <f>INDEX(tblSubjectToLoan[Date],ROW()-ROW(tblContractForDeed[#Headers]))</f>
        <v>0</v>
      </c>
      <c r="O623" s="276">
        <f>IF(ROW()=ROW(tblContractForDeed[#Headers])+1,$O$6,IF(INDEX(tblContractForDeed[End Bal],ROW()-ROW(tblContractForDeed[#Headers])-1)&lt;0,0,INDEX(tblContractForDeed[End Bal],ROW()-ROW(tblContractForDeed[#Headers])-1)))</f>
        <v>0</v>
      </c>
      <c r="P623" s="454">
        <f>IF(tblContractForDeed[[#This Row],[Date]]="","",IF(tblContractForDeed[[#This Row],[Date]]&lt;cfdRateChangeDate,cfdRate1,cfdRate2))</f>
        <v>7.0000000000000007E-2</v>
      </c>
      <c r="Q6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276">
        <f>IF(INDEX(tblContractForDeed[Payment],ROW()-ROW(tblBuyerOutputs[#Headers]))=0,0,INDEX(tblContractForDeed[Payment],ROW()-ROW(tblBuyerOutputs[#Headers]))-INDEX(tblSubjectToLoan[Payment],ROW()-ROW(tblBuyerOutputs[#Headers])))</f>
        <v>0</v>
      </c>
      <c r="Z6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3" s="276">
        <f>IF(INDEX(tblContractForDeed[End Bal],ROW()-ROW(tblBuyerOutputs[#Headers]))&lt;=0,0,($O$6+IF(ROW()=ROW(tblBuyerOutputs[#Headers])+1,0,INDEX(tblBuyerOutputs[Cumul Appr],ROW()-ROW(tblBuyerOutputs[#Headers])-1)))*$AK$2/12)</f>
        <v>0</v>
      </c>
      <c r="AE623" s="276">
        <f>IF(INDEX(tblContractForDeed[End Bal],ROW()-ROW(tblBuyerOutputs[#Headers]))&lt;=0,0,IF(ROW()=ROW(tblBuyerOutputs[#Headers])+1,0,INDEX(tblBuyerOutputs[Cumul Appr],ROW()-ROW(tblBuyerOutputs[#Headers])-1))+tblBuyerOutputs[[#This Row],[Monthly Appr]])</f>
        <v>0</v>
      </c>
    </row>
    <row r="624" spans="1:43" x14ac:dyDescent="0.25">
      <c r="A624" s="613"/>
      <c r="L624" s="394">
        <f t="shared" si="118"/>
        <v>0</v>
      </c>
      <c r="M624" s="394">
        <f t="shared" si="119"/>
        <v>0</v>
      </c>
      <c r="N624" s="613">
        <f>INDEX(tblSubjectToLoan[Date],ROW()-ROW(tblContractForDeed[#Headers]))</f>
        <v>0</v>
      </c>
      <c r="O624" s="276">
        <f>IF(ROW()=ROW(tblContractForDeed[#Headers])+1,$O$6,IF(INDEX(tblContractForDeed[End Bal],ROW()-ROW(tblContractForDeed[#Headers])-1)&lt;0,0,INDEX(tblContractForDeed[End Bal],ROW()-ROW(tblContractForDeed[#Headers])-1)))</f>
        <v>0</v>
      </c>
      <c r="P624" s="454">
        <f>IF(tblContractForDeed[[#This Row],[Date]]="","",IF(tblContractForDeed[[#This Row],[Date]]&lt;cfdRateChangeDate,cfdRate1,cfdRate2))</f>
        <v>7.0000000000000007E-2</v>
      </c>
      <c r="Q6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276">
        <f>IF(INDEX(tblContractForDeed[Payment],ROW()-ROW(tblBuyerOutputs[#Headers]))=0,0,INDEX(tblContractForDeed[Payment],ROW()-ROW(tblBuyerOutputs[#Headers]))-INDEX(tblSubjectToLoan[Payment],ROW()-ROW(tblBuyerOutputs[#Headers])))</f>
        <v>0</v>
      </c>
      <c r="Z6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4" s="276">
        <f>IF(INDEX(tblContractForDeed[End Bal],ROW()-ROW(tblBuyerOutputs[#Headers]))&lt;=0,0,($O$6+IF(ROW()=ROW(tblBuyerOutputs[#Headers])+1,0,INDEX(tblBuyerOutputs[Cumul Appr],ROW()-ROW(tblBuyerOutputs[#Headers])-1)))*$AK$2/12)</f>
        <v>0</v>
      </c>
      <c r="AE624" s="276">
        <f>IF(INDEX(tblContractForDeed[End Bal],ROW()-ROW(tblBuyerOutputs[#Headers]))&lt;=0,0,IF(ROW()=ROW(tblBuyerOutputs[#Headers])+1,0,INDEX(tblBuyerOutputs[Cumul Appr],ROW()-ROW(tblBuyerOutputs[#Headers])-1))+tblBuyerOutputs[[#This Row],[Monthly Appr]])</f>
        <v>0</v>
      </c>
    </row>
    <row r="625" spans="1:43" x14ac:dyDescent="0.25">
      <c r="A625" s="613"/>
      <c r="L625" s="394">
        <f t="shared" si="118"/>
        <v>0</v>
      </c>
      <c r="M625" s="394">
        <f t="shared" si="119"/>
        <v>0</v>
      </c>
      <c r="N625" s="613">
        <f>INDEX(tblSubjectToLoan[Date],ROW()-ROW(tblContractForDeed[#Headers]))</f>
        <v>0</v>
      </c>
      <c r="O625" s="276">
        <f>IF(ROW()=ROW(tblContractForDeed[#Headers])+1,$O$6,IF(INDEX(tblContractForDeed[End Bal],ROW()-ROW(tblContractForDeed[#Headers])-1)&lt;0,0,INDEX(tblContractForDeed[End Bal],ROW()-ROW(tblContractForDeed[#Headers])-1)))</f>
        <v>0</v>
      </c>
      <c r="P625" s="454">
        <f>IF(tblContractForDeed[[#This Row],[Date]]="","",IF(tblContractForDeed[[#This Row],[Date]]&lt;cfdRateChangeDate,cfdRate1,cfdRate2))</f>
        <v>7.0000000000000007E-2</v>
      </c>
      <c r="Q6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276">
        <f>IF(INDEX(tblContractForDeed[Payment],ROW()-ROW(tblBuyerOutputs[#Headers]))=0,0,INDEX(tblContractForDeed[Payment],ROW()-ROW(tblBuyerOutputs[#Headers]))-INDEX(tblSubjectToLoan[Payment],ROW()-ROW(tblBuyerOutputs[#Headers])))</f>
        <v>0</v>
      </c>
      <c r="Z6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5" s="276">
        <f>IF(INDEX(tblContractForDeed[End Bal],ROW()-ROW(tblBuyerOutputs[#Headers]))&lt;=0,0,($O$6+IF(ROW()=ROW(tblBuyerOutputs[#Headers])+1,0,INDEX(tblBuyerOutputs[Cumul Appr],ROW()-ROW(tblBuyerOutputs[#Headers])-1)))*$AK$2/12)</f>
        <v>0</v>
      </c>
      <c r="AE625" s="276">
        <f>IF(INDEX(tblContractForDeed[End Bal],ROW()-ROW(tblBuyerOutputs[#Headers]))&lt;=0,0,IF(ROW()=ROW(tblBuyerOutputs[#Headers])+1,0,INDEX(tblBuyerOutputs[Cumul Appr],ROW()-ROW(tblBuyerOutputs[#Headers])-1))+tblBuyerOutputs[[#This Row],[Monthly Appr]])</f>
        <v>0</v>
      </c>
    </row>
    <row r="626" spans="1:43" x14ac:dyDescent="0.25">
      <c r="A626" s="613"/>
      <c r="L626" s="394">
        <f t="shared" si="118"/>
        <v>0</v>
      </c>
      <c r="M626" s="394">
        <f t="shared" si="119"/>
        <v>0</v>
      </c>
      <c r="N626" s="613">
        <f>INDEX(tblSubjectToLoan[Date],ROW()-ROW(tblContractForDeed[#Headers]))</f>
        <v>0</v>
      </c>
      <c r="O626" s="276">
        <f>IF(ROW()=ROW(tblContractForDeed[#Headers])+1,$O$6,IF(INDEX(tblContractForDeed[End Bal],ROW()-ROW(tblContractForDeed[#Headers])-1)&lt;0,0,INDEX(tblContractForDeed[End Bal],ROW()-ROW(tblContractForDeed[#Headers])-1)))</f>
        <v>0</v>
      </c>
      <c r="P626" s="454">
        <f>IF(tblContractForDeed[[#This Row],[Date]]="","",IF(tblContractForDeed[[#This Row],[Date]]&lt;cfdRateChangeDate,cfdRate1,cfdRate2))</f>
        <v>7.0000000000000007E-2</v>
      </c>
      <c r="Q6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276">
        <f>IF(INDEX(tblContractForDeed[Payment],ROW()-ROW(tblBuyerOutputs[#Headers]))=0,0,INDEX(tblContractForDeed[Payment],ROW()-ROW(tblBuyerOutputs[#Headers]))-INDEX(tblSubjectToLoan[Payment],ROW()-ROW(tblBuyerOutputs[#Headers])))</f>
        <v>0</v>
      </c>
      <c r="Z6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6" s="276">
        <f>IF(INDEX(tblContractForDeed[End Bal],ROW()-ROW(tblBuyerOutputs[#Headers]))&lt;=0,0,($O$6+IF(ROW()=ROW(tblBuyerOutputs[#Headers])+1,0,INDEX(tblBuyerOutputs[Cumul Appr],ROW()-ROW(tblBuyerOutputs[#Headers])-1)))*$AK$2/12)</f>
        <v>0</v>
      </c>
      <c r="AE626" s="276">
        <f>IF(INDEX(tblContractForDeed[End Bal],ROW()-ROW(tblBuyerOutputs[#Headers]))&lt;=0,0,IF(ROW()=ROW(tblBuyerOutputs[#Headers])+1,0,INDEX(tblBuyerOutputs[Cumul Appr],ROW()-ROW(tblBuyerOutputs[#Headers])-1))+tblBuyerOutputs[[#This Row],[Monthly Appr]])</f>
        <v>0</v>
      </c>
    </row>
    <row r="627" spans="1:43" x14ac:dyDescent="0.25">
      <c r="A627" s="613"/>
      <c r="L627" s="394">
        <f t="shared" si="118"/>
        <v>0</v>
      </c>
      <c r="M627" s="394">
        <f t="shared" si="119"/>
        <v>0</v>
      </c>
      <c r="N627" s="613">
        <f>INDEX(tblSubjectToLoan[Date],ROW()-ROW(tblContractForDeed[#Headers]))</f>
        <v>0</v>
      </c>
      <c r="O627" s="276">
        <f>IF(ROW()=ROW(tblContractForDeed[#Headers])+1,$O$6,IF(INDEX(tblContractForDeed[End Bal],ROW()-ROW(tblContractForDeed[#Headers])-1)&lt;0,0,INDEX(tblContractForDeed[End Bal],ROW()-ROW(tblContractForDeed[#Headers])-1)))</f>
        <v>0</v>
      </c>
      <c r="P627" s="454">
        <f>IF(tblContractForDeed[[#This Row],[Date]]="","",IF(tblContractForDeed[[#This Row],[Date]]&lt;cfdRateChangeDate,cfdRate1,cfdRate2))</f>
        <v>7.0000000000000007E-2</v>
      </c>
      <c r="Q6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276">
        <f>IF(INDEX(tblContractForDeed[Payment],ROW()-ROW(tblBuyerOutputs[#Headers]))=0,0,INDEX(tblContractForDeed[Payment],ROW()-ROW(tblBuyerOutputs[#Headers]))-INDEX(tblSubjectToLoan[Payment],ROW()-ROW(tblBuyerOutputs[#Headers])))</f>
        <v>0</v>
      </c>
      <c r="Z6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7" s="276">
        <f>IF(INDEX(tblContractForDeed[End Bal],ROW()-ROW(tblBuyerOutputs[#Headers]))&lt;=0,0,($O$6+IF(ROW()=ROW(tblBuyerOutputs[#Headers])+1,0,INDEX(tblBuyerOutputs[Cumul Appr],ROW()-ROW(tblBuyerOutputs[#Headers])-1)))*$AK$2/12)</f>
        <v>0</v>
      </c>
      <c r="AE627" s="276">
        <f>IF(INDEX(tblContractForDeed[End Bal],ROW()-ROW(tblBuyerOutputs[#Headers]))&lt;=0,0,IF(ROW()=ROW(tblBuyerOutputs[#Headers])+1,0,INDEX(tblBuyerOutputs[Cumul Appr],ROW()-ROW(tblBuyerOutputs[#Headers])-1))+tblBuyerOutputs[[#This Row],[Monthly Appr]])</f>
        <v>0</v>
      </c>
    </row>
    <row r="628" spans="1:43" x14ac:dyDescent="0.25">
      <c r="A628" s="613"/>
      <c r="L628" s="394">
        <f t="shared" ref="L628:L691" si="120">IF(MOD(M628,12)=0,M628/12,L627)</f>
        <v>0</v>
      </c>
      <c r="M628" s="394">
        <f t="shared" si="119"/>
        <v>0</v>
      </c>
      <c r="N628" s="613">
        <f>INDEX(tblSubjectToLoan[Date],ROW()-ROW(tblContractForDeed[#Headers]))</f>
        <v>0</v>
      </c>
      <c r="O628" s="276">
        <f>IF(ROW()=ROW(tblContractForDeed[#Headers])+1,$O$6,IF(INDEX(tblContractForDeed[End Bal],ROW()-ROW(tblContractForDeed[#Headers])-1)&lt;0,0,INDEX(tblContractForDeed[End Bal],ROW()-ROW(tblContractForDeed[#Headers])-1)))</f>
        <v>0</v>
      </c>
      <c r="P628" s="454">
        <f>IF(tblContractForDeed[[#This Row],[Date]]="","",IF(tblContractForDeed[[#This Row],[Date]]&lt;cfdRateChangeDate,cfdRate1,cfdRate2))</f>
        <v>7.0000000000000007E-2</v>
      </c>
      <c r="Q6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276">
        <f>IF(INDEX(tblContractForDeed[Payment],ROW()-ROW(tblBuyerOutputs[#Headers]))=0,0,INDEX(tblContractForDeed[Payment],ROW()-ROW(tblBuyerOutputs[#Headers]))-INDEX(tblSubjectToLoan[Payment],ROW()-ROW(tblBuyerOutputs[#Headers])))</f>
        <v>0</v>
      </c>
      <c r="Z6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8" s="276">
        <f>IF(INDEX(tblContractForDeed[End Bal],ROW()-ROW(tblBuyerOutputs[#Headers]))&lt;=0,0,($O$6+IF(ROW()=ROW(tblBuyerOutputs[#Headers])+1,0,INDEX(tblBuyerOutputs[Cumul Appr],ROW()-ROW(tblBuyerOutputs[#Headers])-1)))*$AK$2/12)</f>
        <v>0</v>
      </c>
      <c r="AE628" s="276">
        <f>IF(INDEX(tblContractForDeed[End Bal],ROW()-ROW(tblBuyerOutputs[#Headers]))&lt;=0,0,IF(ROW()=ROW(tblBuyerOutputs[#Headers])+1,0,INDEX(tblBuyerOutputs[Cumul Appr],ROW()-ROW(tblBuyerOutputs[#Headers])-1))+tblBuyerOutputs[[#This Row],[Monthly Appr]])</f>
        <v>0</v>
      </c>
    </row>
    <row r="629" spans="1:43" x14ac:dyDescent="0.25">
      <c r="A629" s="613"/>
      <c r="L629" s="394">
        <f t="shared" si="120"/>
        <v>0</v>
      </c>
      <c r="M629" s="394">
        <f t="shared" si="119"/>
        <v>0</v>
      </c>
      <c r="N629" s="613">
        <f>INDEX(tblSubjectToLoan[Date],ROW()-ROW(tblContractForDeed[#Headers]))</f>
        <v>0</v>
      </c>
      <c r="O629" s="276">
        <f>IF(ROW()=ROW(tblContractForDeed[#Headers])+1,$O$6,IF(INDEX(tblContractForDeed[End Bal],ROW()-ROW(tblContractForDeed[#Headers])-1)&lt;0,0,INDEX(tblContractForDeed[End Bal],ROW()-ROW(tblContractForDeed[#Headers])-1)))</f>
        <v>0</v>
      </c>
      <c r="P629" s="454">
        <f>IF(tblContractForDeed[[#This Row],[Date]]="","",IF(tblContractForDeed[[#This Row],[Date]]&lt;cfdRateChangeDate,cfdRate1,cfdRate2))</f>
        <v>7.0000000000000007E-2</v>
      </c>
      <c r="Q6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276">
        <f>IF(INDEX(tblContractForDeed[Payment],ROW()-ROW(tblBuyerOutputs[#Headers]))=0,0,INDEX(tblContractForDeed[Payment],ROW()-ROW(tblBuyerOutputs[#Headers]))-INDEX(tblSubjectToLoan[Payment],ROW()-ROW(tblBuyerOutputs[#Headers])))</f>
        <v>0</v>
      </c>
      <c r="Z6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9" s="276">
        <f>IF(INDEX(tblContractForDeed[End Bal],ROW()-ROW(tblBuyerOutputs[#Headers]))&lt;=0,0,($O$6+IF(ROW()=ROW(tblBuyerOutputs[#Headers])+1,0,INDEX(tblBuyerOutputs[Cumul Appr],ROW()-ROW(tblBuyerOutputs[#Headers])-1)))*$AK$2/12)</f>
        <v>0</v>
      </c>
      <c r="AE629" s="276">
        <f>IF(INDEX(tblContractForDeed[End Bal],ROW()-ROW(tblBuyerOutputs[#Headers]))&lt;=0,0,IF(ROW()=ROW(tblBuyerOutputs[#Headers])+1,0,INDEX(tblBuyerOutputs[Cumul Appr],ROW()-ROW(tblBuyerOutputs[#Headers])-1))+tblBuyerOutputs[[#This Row],[Monthly Appr]])</f>
        <v>0</v>
      </c>
    </row>
    <row r="630" spans="1:43" x14ac:dyDescent="0.25">
      <c r="A630" s="613"/>
      <c r="L630" s="394">
        <f t="shared" si="120"/>
        <v>0</v>
      </c>
      <c r="M630" s="394">
        <f t="shared" si="119"/>
        <v>0</v>
      </c>
      <c r="N630" s="613">
        <f>INDEX(tblSubjectToLoan[Date],ROW()-ROW(tblContractForDeed[#Headers]))</f>
        <v>0</v>
      </c>
      <c r="O630" s="276">
        <f>IF(ROW()=ROW(tblContractForDeed[#Headers])+1,$O$6,IF(INDEX(tblContractForDeed[End Bal],ROW()-ROW(tblContractForDeed[#Headers])-1)&lt;0,0,INDEX(tblContractForDeed[End Bal],ROW()-ROW(tblContractForDeed[#Headers])-1)))</f>
        <v>0</v>
      </c>
      <c r="P630" s="454">
        <f>IF(tblContractForDeed[[#This Row],[Date]]="","",IF(tblContractForDeed[[#This Row],[Date]]&lt;cfdRateChangeDate,cfdRate1,cfdRate2))</f>
        <v>7.0000000000000007E-2</v>
      </c>
      <c r="Q6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276">
        <f>IF(INDEX(tblContractForDeed[Payment],ROW()-ROW(tblBuyerOutputs[#Headers]))=0,0,INDEX(tblContractForDeed[Payment],ROW()-ROW(tblBuyerOutputs[#Headers]))-INDEX(tblSubjectToLoan[Payment],ROW()-ROW(tblBuyerOutputs[#Headers])))</f>
        <v>0</v>
      </c>
      <c r="Z6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0" s="276">
        <f>IF(INDEX(tblContractForDeed[End Bal],ROW()-ROW(tblBuyerOutputs[#Headers]))&lt;=0,0,($O$6+IF(ROW()=ROW(tblBuyerOutputs[#Headers])+1,0,INDEX(tblBuyerOutputs[Cumul Appr],ROW()-ROW(tblBuyerOutputs[#Headers])-1)))*$AK$2/12)</f>
        <v>0</v>
      </c>
      <c r="AE630" s="276">
        <f>IF(INDEX(tblContractForDeed[End Bal],ROW()-ROW(tblBuyerOutputs[#Headers]))&lt;=0,0,IF(ROW()=ROW(tblBuyerOutputs[#Headers])+1,0,INDEX(tblBuyerOutputs[Cumul Appr],ROW()-ROW(tblBuyerOutputs[#Headers])-1))+tblBuyerOutputs[[#This Row],[Monthly Appr]])</f>
        <v>0</v>
      </c>
    </row>
    <row r="631" spans="1:43" ht="15.75" thickBot="1" x14ac:dyDescent="0.3">
      <c r="A631" s="615"/>
      <c r="B631" s="332"/>
      <c r="C631" s="21"/>
      <c r="D631" s="21"/>
      <c r="E631" s="21"/>
      <c r="F631" s="21"/>
      <c r="G631" s="21"/>
      <c r="H631" s="21"/>
      <c r="I631" s="332"/>
      <c r="J631" s="332"/>
      <c r="K631" s="332"/>
      <c r="L631" s="395">
        <f t="shared" si="120"/>
        <v>0</v>
      </c>
      <c r="M631" s="395">
        <f t="shared" si="119"/>
        <v>0</v>
      </c>
      <c r="N631" s="615">
        <f>INDEX(tblSubjectToLoan[Date],ROW()-ROW(tblContractForDeed[#Headers]))</f>
        <v>0</v>
      </c>
      <c r="O631" s="332">
        <f>IF(ROW()=ROW(tblContractForDeed[#Headers])+1,$O$6,IF(INDEX(tblContractForDeed[End Bal],ROW()-ROW(tblContractForDeed[#Headers])-1)&lt;0,0,INDEX(tblContractForDeed[End Bal],ROW()-ROW(tblContractForDeed[#Headers])-1)))</f>
        <v>0</v>
      </c>
      <c r="P631" s="454">
        <f>IF(tblContractForDeed[[#This Row],[Date]]="","",IF(tblContractForDeed[[#This Row],[Date]]&lt;cfdRateChangeDate,cfdRate1,cfdRate2))</f>
        <v>7.0000000000000007E-2</v>
      </c>
      <c r="Q6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32">
        <f>IF(INDEX(tblContractForDeed[Payment],ROW()-ROW(tblBuyerOutputs[#Headers]))=0,0,INDEX(tblContractForDeed[Payment],ROW()-ROW(tblBuyerOutputs[#Headers]))-INDEX(tblSubjectToLoan[Payment],ROW()-ROW(tblBuyerOutputs[#Headers])))</f>
        <v>0</v>
      </c>
      <c r="Z6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1" s="332">
        <f>IF(INDEX(tblContractForDeed[End Bal],ROW()-ROW(tblBuyerOutputs[#Headers]))&lt;=0,0,($O$6+IF(ROW()=ROW(tblBuyerOutputs[#Headers])+1,0,INDEX(tblBuyerOutputs[Cumul Appr],ROW()-ROW(tblBuyerOutputs[#Headers])-1)))*$AK$2/12)</f>
        <v>0</v>
      </c>
      <c r="AE631" s="332">
        <f>IF(INDEX(tblContractForDeed[End Bal],ROW()-ROW(tblBuyerOutputs[#Headers]))&lt;=0,0,IF(ROW()=ROW(tblBuyerOutputs[#Headers])+1,0,INDEX(tblBuyerOutputs[Cumul Appr],ROW()-ROW(tblBuyerOutputs[#Headers])-1))+tblBuyerOutputs[[#This Row],[Monthly Appr]])</f>
        <v>0</v>
      </c>
      <c r="AQ631" s="21"/>
    </row>
    <row r="632" spans="1:43" x14ac:dyDescent="0.25">
      <c r="A632" s="613"/>
      <c r="L632" s="394">
        <f t="shared" si="120"/>
        <v>0</v>
      </c>
      <c r="M632" s="394">
        <f t="shared" si="119"/>
        <v>0</v>
      </c>
      <c r="N632" s="613">
        <f>INDEX(tblSubjectToLoan[Date],ROW()-ROW(tblContractForDeed[#Headers]))</f>
        <v>0</v>
      </c>
      <c r="O632" s="276">
        <f>IF(ROW()=ROW(tblContractForDeed[#Headers])+1,$O$6,IF(INDEX(tblContractForDeed[End Bal],ROW()-ROW(tblContractForDeed[#Headers])-1)&lt;0,0,INDEX(tblContractForDeed[End Bal],ROW()-ROW(tblContractForDeed[#Headers])-1)))</f>
        <v>0</v>
      </c>
      <c r="P632" s="454">
        <f>IF(tblContractForDeed[[#This Row],[Date]]="","",IF(tblContractForDeed[[#This Row],[Date]]&lt;cfdRateChangeDate,cfdRate1,cfdRate2))</f>
        <v>7.0000000000000007E-2</v>
      </c>
      <c r="Q6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276">
        <f>IF(INDEX(tblContractForDeed[Payment],ROW()-ROW(tblBuyerOutputs[#Headers]))=0,0,INDEX(tblContractForDeed[Payment],ROW()-ROW(tblBuyerOutputs[#Headers]))-INDEX(tblSubjectToLoan[Payment],ROW()-ROW(tblBuyerOutputs[#Headers])))</f>
        <v>0</v>
      </c>
      <c r="Z6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2" s="276">
        <f>IF(INDEX(tblContractForDeed[End Bal],ROW()-ROW(tblBuyerOutputs[#Headers]))&lt;=0,0,($O$6+IF(ROW()=ROW(tblBuyerOutputs[#Headers])+1,0,INDEX(tblBuyerOutputs[Cumul Appr],ROW()-ROW(tblBuyerOutputs[#Headers])-1)))*$AK$2/12)</f>
        <v>0</v>
      </c>
      <c r="AE632" s="276">
        <f>IF(INDEX(tblContractForDeed[End Bal],ROW()-ROW(tblBuyerOutputs[#Headers]))&lt;=0,0,IF(ROW()=ROW(tblBuyerOutputs[#Headers])+1,0,INDEX(tblBuyerOutputs[Cumul Appr],ROW()-ROW(tblBuyerOutputs[#Headers])-1))+tblBuyerOutputs[[#This Row],[Monthly Appr]])</f>
        <v>0</v>
      </c>
    </row>
    <row r="633" spans="1:43" x14ac:dyDescent="0.25">
      <c r="A633" s="613"/>
      <c r="L633" s="394">
        <f t="shared" si="120"/>
        <v>0</v>
      </c>
      <c r="M633" s="394">
        <f t="shared" si="119"/>
        <v>0</v>
      </c>
      <c r="N633" s="613">
        <f>INDEX(tblSubjectToLoan[Date],ROW()-ROW(tblContractForDeed[#Headers]))</f>
        <v>0</v>
      </c>
      <c r="O633" s="276">
        <f>IF(ROW()=ROW(tblContractForDeed[#Headers])+1,$O$6,IF(INDEX(tblContractForDeed[End Bal],ROW()-ROW(tblContractForDeed[#Headers])-1)&lt;0,0,INDEX(tblContractForDeed[End Bal],ROW()-ROW(tblContractForDeed[#Headers])-1)))</f>
        <v>0</v>
      </c>
      <c r="P633" s="454">
        <f>IF(tblContractForDeed[[#This Row],[Date]]="","",IF(tblContractForDeed[[#This Row],[Date]]&lt;cfdRateChangeDate,cfdRate1,cfdRate2))</f>
        <v>7.0000000000000007E-2</v>
      </c>
      <c r="Q6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276">
        <f>IF(INDEX(tblContractForDeed[Payment],ROW()-ROW(tblBuyerOutputs[#Headers]))=0,0,INDEX(tblContractForDeed[Payment],ROW()-ROW(tblBuyerOutputs[#Headers]))-INDEX(tblSubjectToLoan[Payment],ROW()-ROW(tblBuyerOutputs[#Headers])))</f>
        <v>0</v>
      </c>
      <c r="Z6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3" s="276">
        <f>IF(INDEX(tblContractForDeed[End Bal],ROW()-ROW(tblBuyerOutputs[#Headers]))&lt;=0,0,($O$6+IF(ROW()=ROW(tblBuyerOutputs[#Headers])+1,0,INDEX(tblBuyerOutputs[Cumul Appr],ROW()-ROW(tblBuyerOutputs[#Headers])-1)))*$AK$2/12)</f>
        <v>0</v>
      </c>
      <c r="AE633" s="276">
        <f>IF(INDEX(tblContractForDeed[End Bal],ROW()-ROW(tblBuyerOutputs[#Headers]))&lt;=0,0,IF(ROW()=ROW(tblBuyerOutputs[#Headers])+1,0,INDEX(tblBuyerOutputs[Cumul Appr],ROW()-ROW(tblBuyerOutputs[#Headers])-1))+tblBuyerOutputs[[#This Row],[Monthly Appr]])</f>
        <v>0</v>
      </c>
    </row>
    <row r="634" spans="1:43" x14ac:dyDescent="0.25">
      <c r="A634" s="613"/>
      <c r="L634" s="394">
        <f t="shared" si="120"/>
        <v>0</v>
      </c>
      <c r="M634" s="394">
        <f t="shared" si="119"/>
        <v>0</v>
      </c>
      <c r="N634" s="613">
        <f>INDEX(tblSubjectToLoan[Date],ROW()-ROW(tblContractForDeed[#Headers]))</f>
        <v>0</v>
      </c>
      <c r="O634" s="276">
        <f>IF(ROW()=ROW(tblContractForDeed[#Headers])+1,$O$6,IF(INDEX(tblContractForDeed[End Bal],ROW()-ROW(tblContractForDeed[#Headers])-1)&lt;0,0,INDEX(tblContractForDeed[End Bal],ROW()-ROW(tblContractForDeed[#Headers])-1)))</f>
        <v>0</v>
      </c>
      <c r="P634" s="454">
        <f>IF(tblContractForDeed[[#This Row],[Date]]="","",IF(tblContractForDeed[[#This Row],[Date]]&lt;cfdRateChangeDate,cfdRate1,cfdRate2))</f>
        <v>7.0000000000000007E-2</v>
      </c>
      <c r="Q6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276">
        <f>IF(INDEX(tblContractForDeed[Payment],ROW()-ROW(tblBuyerOutputs[#Headers]))=0,0,INDEX(tblContractForDeed[Payment],ROW()-ROW(tblBuyerOutputs[#Headers]))-INDEX(tblSubjectToLoan[Payment],ROW()-ROW(tblBuyerOutputs[#Headers])))</f>
        <v>0</v>
      </c>
      <c r="Z6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4" s="276">
        <f>IF(INDEX(tblContractForDeed[End Bal],ROW()-ROW(tblBuyerOutputs[#Headers]))&lt;=0,0,($O$6+IF(ROW()=ROW(tblBuyerOutputs[#Headers])+1,0,INDEX(tblBuyerOutputs[Cumul Appr],ROW()-ROW(tblBuyerOutputs[#Headers])-1)))*$AK$2/12)</f>
        <v>0</v>
      </c>
      <c r="AE634" s="276">
        <f>IF(INDEX(tblContractForDeed[End Bal],ROW()-ROW(tblBuyerOutputs[#Headers]))&lt;=0,0,IF(ROW()=ROW(tblBuyerOutputs[#Headers])+1,0,INDEX(tblBuyerOutputs[Cumul Appr],ROW()-ROW(tblBuyerOutputs[#Headers])-1))+tblBuyerOutputs[[#This Row],[Monthly Appr]])</f>
        <v>0</v>
      </c>
    </row>
    <row r="635" spans="1:43" x14ac:dyDescent="0.25">
      <c r="A635" s="613"/>
      <c r="L635" s="394">
        <f t="shared" si="120"/>
        <v>0</v>
      </c>
      <c r="M635" s="394">
        <f t="shared" si="119"/>
        <v>0</v>
      </c>
      <c r="N635" s="613">
        <f>INDEX(tblSubjectToLoan[Date],ROW()-ROW(tblContractForDeed[#Headers]))</f>
        <v>0</v>
      </c>
      <c r="O635" s="276">
        <f>IF(ROW()=ROW(tblContractForDeed[#Headers])+1,$O$6,IF(INDEX(tblContractForDeed[End Bal],ROW()-ROW(tblContractForDeed[#Headers])-1)&lt;0,0,INDEX(tblContractForDeed[End Bal],ROW()-ROW(tblContractForDeed[#Headers])-1)))</f>
        <v>0</v>
      </c>
      <c r="P635" s="454">
        <f>IF(tblContractForDeed[[#This Row],[Date]]="","",IF(tblContractForDeed[[#This Row],[Date]]&lt;cfdRateChangeDate,cfdRate1,cfdRate2))</f>
        <v>7.0000000000000007E-2</v>
      </c>
      <c r="Q6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276">
        <f>IF(INDEX(tblContractForDeed[Payment],ROW()-ROW(tblBuyerOutputs[#Headers]))=0,0,INDEX(tblContractForDeed[Payment],ROW()-ROW(tblBuyerOutputs[#Headers]))-INDEX(tblSubjectToLoan[Payment],ROW()-ROW(tblBuyerOutputs[#Headers])))</f>
        <v>0</v>
      </c>
      <c r="Z6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5" s="276">
        <f>IF(INDEX(tblContractForDeed[End Bal],ROW()-ROW(tblBuyerOutputs[#Headers]))&lt;=0,0,($O$6+IF(ROW()=ROW(tblBuyerOutputs[#Headers])+1,0,INDEX(tblBuyerOutputs[Cumul Appr],ROW()-ROW(tblBuyerOutputs[#Headers])-1)))*$AK$2/12)</f>
        <v>0</v>
      </c>
      <c r="AE635" s="276">
        <f>IF(INDEX(tblContractForDeed[End Bal],ROW()-ROW(tblBuyerOutputs[#Headers]))&lt;=0,0,IF(ROW()=ROW(tblBuyerOutputs[#Headers])+1,0,INDEX(tblBuyerOutputs[Cumul Appr],ROW()-ROW(tblBuyerOutputs[#Headers])-1))+tblBuyerOutputs[[#This Row],[Monthly Appr]])</f>
        <v>0</v>
      </c>
    </row>
    <row r="636" spans="1:43" x14ac:dyDescent="0.25">
      <c r="A636" s="613"/>
      <c r="L636" s="394">
        <f t="shared" si="120"/>
        <v>0</v>
      </c>
      <c r="M636" s="394">
        <f t="shared" si="119"/>
        <v>0</v>
      </c>
      <c r="N636" s="613">
        <f>INDEX(tblSubjectToLoan[Date],ROW()-ROW(tblContractForDeed[#Headers]))</f>
        <v>0</v>
      </c>
      <c r="O636" s="276">
        <f>IF(ROW()=ROW(tblContractForDeed[#Headers])+1,$O$6,IF(INDEX(tblContractForDeed[End Bal],ROW()-ROW(tblContractForDeed[#Headers])-1)&lt;0,0,INDEX(tblContractForDeed[End Bal],ROW()-ROW(tblContractForDeed[#Headers])-1)))</f>
        <v>0</v>
      </c>
      <c r="P636" s="454">
        <f>IF(tblContractForDeed[[#This Row],[Date]]="","",IF(tblContractForDeed[[#This Row],[Date]]&lt;cfdRateChangeDate,cfdRate1,cfdRate2))</f>
        <v>7.0000000000000007E-2</v>
      </c>
      <c r="Q6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276">
        <f>IF(INDEX(tblContractForDeed[Payment],ROW()-ROW(tblBuyerOutputs[#Headers]))=0,0,INDEX(tblContractForDeed[Payment],ROW()-ROW(tblBuyerOutputs[#Headers]))-INDEX(tblSubjectToLoan[Payment],ROW()-ROW(tblBuyerOutputs[#Headers])))</f>
        <v>0</v>
      </c>
      <c r="Z6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6" s="276">
        <f>IF(INDEX(tblContractForDeed[End Bal],ROW()-ROW(tblBuyerOutputs[#Headers]))&lt;=0,0,($O$6+IF(ROW()=ROW(tblBuyerOutputs[#Headers])+1,0,INDEX(tblBuyerOutputs[Cumul Appr],ROW()-ROW(tblBuyerOutputs[#Headers])-1)))*$AK$2/12)</f>
        <v>0</v>
      </c>
      <c r="AE636" s="276">
        <f>IF(INDEX(tblContractForDeed[End Bal],ROW()-ROW(tblBuyerOutputs[#Headers]))&lt;=0,0,IF(ROW()=ROW(tblBuyerOutputs[#Headers])+1,0,INDEX(tblBuyerOutputs[Cumul Appr],ROW()-ROW(tblBuyerOutputs[#Headers])-1))+tblBuyerOutputs[[#This Row],[Monthly Appr]])</f>
        <v>0</v>
      </c>
    </row>
    <row r="637" spans="1:43" x14ac:dyDescent="0.25">
      <c r="A637" s="613"/>
      <c r="L637" s="394">
        <f t="shared" si="120"/>
        <v>0</v>
      </c>
      <c r="M637" s="394">
        <f t="shared" si="119"/>
        <v>0</v>
      </c>
      <c r="N637" s="613">
        <f>INDEX(tblSubjectToLoan[Date],ROW()-ROW(tblContractForDeed[#Headers]))</f>
        <v>0</v>
      </c>
      <c r="O637" s="276">
        <f>IF(ROW()=ROW(tblContractForDeed[#Headers])+1,$O$6,IF(INDEX(tblContractForDeed[End Bal],ROW()-ROW(tblContractForDeed[#Headers])-1)&lt;0,0,INDEX(tblContractForDeed[End Bal],ROW()-ROW(tblContractForDeed[#Headers])-1)))</f>
        <v>0</v>
      </c>
      <c r="P637" s="454">
        <f>IF(tblContractForDeed[[#This Row],[Date]]="","",IF(tblContractForDeed[[#This Row],[Date]]&lt;cfdRateChangeDate,cfdRate1,cfdRate2))</f>
        <v>7.0000000000000007E-2</v>
      </c>
      <c r="Q6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276">
        <f>IF(INDEX(tblContractForDeed[Payment],ROW()-ROW(tblBuyerOutputs[#Headers]))=0,0,INDEX(tblContractForDeed[Payment],ROW()-ROW(tblBuyerOutputs[#Headers]))-INDEX(tblSubjectToLoan[Payment],ROW()-ROW(tblBuyerOutputs[#Headers])))</f>
        <v>0</v>
      </c>
      <c r="Z6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7" s="276">
        <f>IF(INDEX(tblContractForDeed[End Bal],ROW()-ROW(tblBuyerOutputs[#Headers]))&lt;=0,0,($O$6+IF(ROW()=ROW(tblBuyerOutputs[#Headers])+1,0,INDEX(tblBuyerOutputs[Cumul Appr],ROW()-ROW(tblBuyerOutputs[#Headers])-1)))*$AK$2/12)</f>
        <v>0</v>
      </c>
      <c r="AE637" s="276">
        <f>IF(INDEX(tblContractForDeed[End Bal],ROW()-ROW(tblBuyerOutputs[#Headers]))&lt;=0,0,IF(ROW()=ROW(tblBuyerOutputs[#Headers])+1,0,INDEX(tblBuyerOutputs[Cumul Appr],ROW()-ROW(tblBuyerOutputs[#Headers])-1))+tblBuyerOutputs[[#This Row],[Monthly Appr]])</f>
        <v>0</v>
      </c>
    </row>
    <row r="638" spans="1:43" x14ac:dyDescent="0.25">
      <c r="A638" s="613"/>
      <c r="L638" s="394">
        <f t="shared" si="120"/>
        <v>0</v>
      </c>
      <c r="M638" s="394">
        <f t="shared" si="119"/>
        <v>0</v>
      </c>
      <c r="N638" s="613">
        <f>INDEX(tblSubjectToLoan[Date],ROW()-ROW(tblContractForDeed[#Headers]))</f>
        <v>0</v>
      </c>
      <c r="O638" s="276">
        <f>IF(ROW()=ROW(tblContractForDeed[#Headers])+1,$O$6,IF(INDEX(tblContractForDeed[End Bal],ROW()-ROW(tblContractForDeed[#Headers])-1)&lt;0,0,INDEX(tblContractForDeed[End Bal],ROW()-ROW(tblContractForDeed[#Headers])-1)))</f>
        <v>0</v>
      </c>
      <c r="P638" s="454">
        <f>IF(tblContractForDeed[[#This Row],[Date]]="","",IF(tblContractForDeed[[#This Row],[Date]]&lt;cfdRateChangeDate,cfdRate1,cfdRate2))</f>
        <v>7.0000000000000007E-2</v>
      </c>
      <c r="Q6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276">
        <f>IF(INDEX(tblContractForDeed[Payment],ROW()-ROW(tblBuyerOutputs[#Headers]))=0,0,INDEX(tblContractForDeed[Payment],ROW()-ROW(tblBuyerOutputs[#Headers]))-INDEX(tblSubjectToLoan[Payment],ROW()-ROW(tblBuyerOutputs[#Headers])))</f>
        <v>0</v>
      </c>
      <c r="Z6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8" s="276">
        <f>IF(INDEX(tblContractForDeed[End Bal],ROW()-ROW(tblBuyerOutputs[#Headers]))&lt;=0,0,($O$6+IF(ROW()=ROW(tblBuyerOutputs[#Headers])+1,0,INDEX(tblBuyerOutputs[Cumul Appr],ROW()-ROW(tblBuyerOutputs[#Headers])-1)))*$AK$2/12)</f>
        <v>0</v>
      </c>
      <c r="AE638" s="276">
        <f>IF(INDEX(tblContractForDeed[End Bal],ROW()-ROW(tblBuyerOutputs[#Headers]))&lt;=0,0,IF(ROW()=ROW(tblBuyerOutputs[#Headers])+1,0,INDEX(tblBuyerOutputs[Cumul Appr],ROW()-ROW(tblBuyerOutputs[#Headers])-1))+tblBuyerOutputs[[#This Row],[Monthly Appr]])</f>
        <v>0</v>
      </c>
    </row>
    <row r="639" spans="1:43" x14ac:dyDescent="0.25">
      <c r="A639" s="613"/>
      <c r="L639" s="394">
        <f t="shared" si="120"/>
        <v>0</v>
      </c>
      <c r="M639" s="394">
        <f t="shared" si="119"/>
        <v>0</v>
      </c>
      <c r="N639" s="613">
        <f>INDEX(tblSubjectToLoan[Date],ROW()-ROW(tblContractForDeed[#Headers]))</f>
        <v>0</v>
      </c>
      <c r="O639" s="276">
        <f>IF(ROW()=ROW(tblContractForDeed[#Headers])+1,$O$6,IF(INDEX(tblContractForDeed[End Bal],ROW()-ROW(tblContractForDeed[#Headers])-1)&lt;0,0,INDEX(tblContractForDeed[End Bal],ROW()-ROW(tblContractForDeed[#Headers])-1)))</f>
        <v>0</v>
      </c>
      <c r="P639" s="454">
        <f>IF(tblContractForDeed[[#This Row],[Date]]="","",IF(tblContractForDeed[[#This Row],[Date]]&lt;cfdRateChangeDate,cfdRate1,cfdRate2))</f>
        <v>7.0000000000000007E-2</v>
      </c>
      <c r="Q6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276">
        <f>IF(INDEX(tblContractForDeed[Payment],ROW()-ROW(tblBuyerOutputs[#Headers]))=0,0,INDEX(tblContractForDeed[Payment],ROW()-ROW(tblBuyerOutputs[#Headers]))-INDEX(tblSubjectToLoan[Payment],ROW()-ROW(tblBuyerOutputs[#Headers])))</f>
        <v>0</v>
      </c>
      <c r="Z6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9" s="276">
        <f>IF(INDEX(tblContractForDeed[End Bal],ROW()-ROW(tblBuyerOutputs[#Headers]))&lt;=0,0,($O$6+IF(ROW()=ROW(tblBuyerOutputs[#Headers])+1,0,INDEX(tblBuyerOutputs[Cumul Appr],ROW()-ROW(tblBuyerOutputs[#Headers])-1)))*$AK$2/12)</f>
        <v>0</v>
      </c>
      <c r="AE639" s="276">
        <f>IF(INDEX(tblContractForDeed[End Bal],ROW()-ROW(tblBuyerOutputs[#Headers]))&lt;=0,0,IF(ROW()=ROW(tblBuyerOutputs[#Headers])+1,0,INDEX(tblBuyerOutputs[Cumul Appr],ROW()-ROW(tblBuyerOutputs[#Headers])-1))+tblBuyerOutputs[[#This Row],[Monthly Appr]])</f>
        <v>0</v>
      </c>
    </row>
    <row r="640" spans="1:43" x14ac:dyDescent="0.25">
      <c r="A640" s="613"/>
      <c r="L640" s="394">
        <f t="shared" si="120"/>
        <v>0</v>
      </c>
      <c r="M640" s="394">
        <f t="shared" si="119"/>
        <v>0</v>
      </c>
      <c r="N640" s="613">
        <f>INDEX(tblSubjectToLoan[Date],ROW()-ROW(tblContractForDeed[#Headers]))</f>
        <v>0</v>
      </c>
      <c r="O640" s="276">
        <f>IF(ROW()=ROW(tblContractForDeed[#Headers])+1,$O$6,IF(INDEX(tblContractForDeed[End Bal],ROW()-ROW(tblContractForDeed[#Headers])-1)&lt;0,0,INDEX(tblContractForDeed[End Bal],ROW()-ROW(tblContractForDeed[#Headers])-1)))</f>
        <v>0</v>
      </c>
      <c r="P640" s="454">
        <f>IF(tblContractForDeed[[#This Row],[Date]]="","",IF(tblContractForDeed[[#This Row],[Date]]&lt;cfdRateChangeDate,cfdRate1,cfdRate2))</f>
        <v>7.0000000000000007E-2</v>
      </c>
      <c r="Q6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276">
        <f>IF(INDEX(tblContractForDeed[Payment],ROW()-ROW(tblBuyerOutputs[#Headers]))=0,0,INDEX(tblContractForDeed[Payment],ROW()-ROW(tblBuyerOutputs[#Headers]))-INDEX(tblSubjectToLoan[Payment],ROW()-ROW(tblBuyerOutputs[#Headers])))</f>
        <v>0</v>
      </c>
      <c r="Z6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0" s="276">
        <f>IF(INDEX(tblContractForDeed[End Bal],ROW()-ROW(tblBuyerOutputs[#Headers]))&lt;=0,0,($O$6+IF(ROW()=ROW(tblBuyerOutputs[#Headers])+1,0,INDEX(tblBuyerOutputs[Cumul Appr],ROW()-ROW(tblBuyerOutputs[#Headers])-1)))*$AK$2/12)</f>
        <v>0</v>
      </c>
      <c r="AE640" s="276">
        <f>IF(INDEX(tblContractForDeed[End Bal],ROW()-ROW(tblBuyerOutputs[#Headers]))&lt;=0,0,IF(ROW()=ROW(tblBuyerOutputs[#Headers])+1,0,INDEX(tblBuyerOutputs[Cumul Appr],ROW()-ROW(tblBuyerOutputs[#Headers])-1))+tblBuyerOutputs[[#This Row],[Monthly Appr]])</f>
        <v>0</v>
      </c>
    </row>
    <row r="641" spans="1:43" x14ac:dyDescent="0.25">
      <c r="A641" s="613"/>
      <c r="L641" s="394">
        <f t="shared" si="120"/>
        <v>0</v>
      </c>
      <c r="M641" s="394">
        <f t="shared" si="119"/>
        <v>0</v>
      </c>
      <c r="N641" s="613">
        <f>INDEX(tblSubjectToLoan[Date],ROW()-ROW(tblContractForDeed[#Headers]))</f>
        <v>0</v>
      </c>
      <c r="O641" s="276">
        <f>IF(ROW()=ROW(tblContractForDeed[#Headers])+1,$O$6,IF(INDEX(tblContractForDeed[End Bal],ROW()-ROW(tblContractForDeed[#Headers])-1)&lt;0,0,INDEX(tblContractForDeed[End Bal],ROW()-ROW(tblContractForDeed[#Headers])-1)))</f>
        <v>0</v>
      </c>
      <c r="P641" s="454">
        <f>IF(tblContractForDeed[[#This Row],[Date]]="","",IF(tblContractForDeed[[#This Row],[Date]]&lt;cfdRateChangeDate,cfdRate1,cfdRate2))</f>
        <v>7.0000000000000007E-2</v>
      </c>
      <c r="Q6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276">
        <f>IF(INDEX(tblContractForDeed[Payment],ROW()-ROW(tblBuyerOutputs[#Headers]))=0,0,INDEX(tblContractForDeed[Payment],ROW()-ROW(tblBuyerOutputs[#Headers]))-INDEX(tblSubjectToLoan[Payment],ROW()-ROW(tblBuyerOutputs[#Headers])))</f>
        <v>0</v>
      </c>
      <c r="Z6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1" s="276">
        <f>IF(INDEX(tblContractForDeed[End Bal],ROW()-ROW(tblBuyerOutputs[#Headers]))&lt;=0,0,($O$6+IF(ROW()=ROW(tblBuyerOutputs[#Headers])+1,0,INDEX(tblBuyerOutputs[Cumul Appr],ROW()-ROW(tblBuyerOutputs[#Headers])-1)))*$AK$2/12)</f>
        <v>0</v>
      </c>
      <c r="AE641" s="276">
        <f>IF(INDEX(tblContractForDeed[End Bal],ROW()-ROW(tblBuyerOutputs[#Headers]))&lt;=0,0,IF(ROW()=ROW(tblBuyerOutputs[#Headers])+1,0,INDEX(tblBuyerOutputs[Cumul Appr],ROW()-ROW(tblBuyerOutputs[#Headers])-1))+tblBuyerOutputs[[#This Row],[Monthly Appr]])</f>
        <v>0</v>
      </c>
    </row>
    <row r="642" spans="1:43" x14ac:dyDescent="0.25">
      <c r="A642" s="613"/>
      <c r="L642" s="394">
        <f t="shared" si="120"/>
        <v>0</v>
      </c>
      <c r="M642" s="394">
        <f t="shared" si="119"/>
        <v>0</v>
      </c>
      <c r="N642" s="613">
        <f>INDEX(tblSubjectToLoan[Date],ROW()-ROW(tblContractForDeed[#Headers]))</f>
        <v>0</v>
      </c>
      <c r="O642" s="276">
        <f>IF(ROW()=ROW(tblContractForDeed[#Headers])+1,$O$6,IF(INDEX(tblContractForDeed[End Bal],ROW()-ROW(tblContractForDeed[#Headers])-1)&lt;0,0,INDEX(tblContractForDeed[End Bal],ROW()-ROW(tblContractForDeed[#Headers])-1)))</f>
        <v>0</v>
      </c>
      <c r="P642" s="454">
        <f>IF(tblContractForDeed[[#This Row],[Date]]="","",IF(tblContractForDeed[[#This Row],[Date]]&lt;cfdRateChangeDate,cfdRate1,cfdRate2))</f>
        <v>7.0000000000000007E-2</v>
      </c>
      <c r="Q6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276">
        <f>IF(INDEX(tblContractForDeed[Payment],ROW()-ROW(tblBuyerOutputs[#Headers]))=0,0,INDEX(tblContractForDeed[Payment],ROW()-ROW(tblBuyerOutputs[#Headers]))-INDEX(tblSubjectToLoan[Payment],ROW()-ROW(tblBuyerOutputs[#Headers])))</f>
        <v>0</v>
      </c>
      <c r="Z6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2" s="276">
        <f>IF(INDEX(tblContractForDeed[End Bal],ROW()-ROW(tblBuyerOutputs[#Headers]))&lt;=0,0,($O$6+IF(ROW()=ROW(tblBuyerOutputs[#Headers])+1,0,INDEX(tblBuyerOutputs[Cumul Appr],ROW()-ROW(tblBuyerOutputs[#Headers])-1)))*$AK$2/12)</f>
        <v>0</v>
      </c>
      <c r="AE642" s="276">
        <f>IF(INDEX(tblContractForDeed[End Bal],ROW()-ROW(tblBuyerOutputs[#Headers]))&lt;=0,0,IF(ROW()=ROW(tblBuyerOutputs[#Headers])+1,0,INDEX(tblBuyerOutputs[Cumul Appr],ROW()-ROW(tblBuyerOutputs[#Headers])-1))+tblBuyerOutputs[[#This Row],[Monthly Appr]])</f>
        <v>0</v>
      </c>
    </row>
    <row r="643" spans="1:43" ht="15.75" thickBot="1" x14ac:dyDescent="0.3">
      <c r="A643" s="615"/>
      <c r="B643" s="332"/>
      <c r="C643" s="21"/>
      <c r="D643" s="21"/>
      <c r="E643" s="21"/>
      <c r="F643" s="21"/>
      <c r="G643" s="21"/>
      <c r="H643" s="21"/>
      <c r="I643" s="332"/>
      <c r="J643" s="332"/>
      <c r="K643" s="332"/>
      <c r="L643" s="395">
        <f t="shared" si="120"/>
        <v>0</v>
      </c>
      <c r="M643" s="395">
        <f t="shared" si="119"/>
        <v>0</v>
      </c>
      <c r="N643" s="615">
        <f>INDEX(tblSubjectToLoan[Date],ROW()-ROW(tblContractForDeed[#Headers]))</f>
        <v>0</v>
      </c>
      <c r="O643" s="332">
        <f>IF(ROW()=ROW(tblContractForDeed[#Headers])+1,$O$6,IF(INDEX(tblContractForDeed[End Bal],ROW()-ROW(tblContractForDeed[#Headers])-1)&lt;0,0,INDEX(tblContractForDeed[End Bal],ROW()-ROW(tblContractForDeed[#Headers])-1)))</f>
        <v>0</v>
      </c>
      <c r="P643" s="454">
        <f>IF(tblContractForDeed[[#This Row],[Date]]="","",IF(tblContractForDeed[[#This Row],[Date]]&lt;cfdRateChangeDate,cfdRate1,cfdRate2))</f>
        <v>7.0000000000000007E-2</v>
      </c>
      <c r="Q6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32">
        <f>IF(INDEX(tblContractForDeed[Payment],ROW()-ROW(tblBuyerOutputs[#Headers]))=0,0,INDEX(tblContractForDeed[Payment],ROW()-ROW(tblBuyerOutputs[#Headers]))-INDEX(tblSubjectToLoan[Payment],ROW()-ROW(tblBuyerOutputs[#Headers])))</f>
        <v>0</v>
      </c>
      <c r="Z6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3" s="332">
        <f>IF(INDEX(tblContractForDeed[End Bal],ROW()-ROW(tblBuyerOutputs[#Headers]))&lt;=0,0,($O$6+IF(ROW()=ROW(tblBuyerOutputs[#Headers])+1,0,INDEX(tblBuyerOutputs[Cumul Appr],ROW()-ROW(tblBuyerOutputs[#Headers])-1)))*$AK$2/12)</f>
        <v>0</v>
      </c>
      <c r="AE643" s="332">
        <f>IF(INDEX(tblContractForDeed[End Bal],ROW()-ROW(tblBuyerOutputs[#Headers]))&lt;=0,0,IF(ROW()=ROW(tblBuyerOutputs[#Headers])+1,0,INDEX(tblBuyerOutputs[Cumul Appr],ROW()-ROW(tblBuyerOutputs[#Headers])-1))+tblBuyerOutputs[[#This Row],[Monthly Appr]])</f>
        <v>0</v>
      </c>
      <c r="AQ643" s="21"/>
    </row>
    <row r="644" spans="1:43" x14ac:dyDescent="0.25">
      <c r="A644" s="613"/>
      <c r="L644" s="394">
        <f t="shared" si="120"/>
        <v>0</v>
      </c>
      <c r="M644" s="394">
        <f t="shared" si="119"/>
        <v>0</v>
      </c>
      <c r="N644" s="613">
        <f>INDEX(tblSubjectToLoan[Date],ROW()-ROW(tblContractForDeed[#Headers]))</f>
        <v>0</v>
      </c>
      <c r="O644" s="276">
        <f>IF(ROW()=ROW(tblContractForDeed[#Headers])+1,$O$6,IF(INDEX(tblContractForDeed[End Bal],ROW()-ROW(tblContractForDeed[#Headers])-1)&lt;0,0,INDEX(tblContractForDeed[End Bal],ROW()-ROW(tblContractForDeed[#Headers])-1)))</f>
        <v>0</v>
      </c>
      <c r="P644" s="454">
        <f>IF(tblContractForDeed[[#This Row],[Date]]="","",IF(tblContractForDeed[[#This Row],[Date]]&lt;cfdRateChangeDate,cfdRate1,cfdRate2))</f>
        <v>7.0000000000000007E-2</v>
      </c>
      <c r="Q6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276">
        <f>IF(INDEX(tblContractForDeed[Payment],ROW()-ROW(tblBuyerOutputs[#Headers]))=0,0,INDEX(tblContractForDeed[Payment],ROW()-ROW(tblBuyerOutputs[#Headers]))-INDEX(tblSubjectToLoan[Payment],ROW()-ROW(tblBuyerOutputs[#Headers])))</f>
        <v>0</v>
      </c>
      <c r="Z6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4" s="276">
        <f>IF(INDEX(tblContractForDeed[End Bal],ROW()-ROW(tblBuyerOutputs[#Headers]))&lt;=0,0,($O$6+IF(ROW()=ROW(tblBuyerOutputs[#Headers])+1,0,INDEX(tblBuyerOutputs[Cumul Appr],ROW()-ROW(tblBuyerOutputs[#Headers])-1)))*$AK$2/12)</f>
        <v>0</v>
      </c>
      <c r="AE644" s="276">
        <f>IF(INDEX(tblContractForDeed[End Bal],ROW()-ROW(tblBuyerOutputs[#Headers]))&lt;=0,0,IF(ROW()=ROW(tblBuyerOutputs[#Headers])+1,0,INDEX(tblBuyerOutputs[Cumul Appr],ROW()-ROW(tblBuyerOutputs[#Headers])-1))+tblBuyerOutputs[[#This Row],[Monthly Appr]])</f>
        <v>0</v>
      </c>
    </row>
    <row r="645" spans="1:43" x14ac:dyDescent="0.25">
      <c r="A645" s="613"/>
      <c r="L645" s="394">
        <f t="shared" si="120"/>
        <v>0</v>
      </c>
      <c r="M645" s="394">
        <f t="shared" si="119"/>
        <v>0</v>
      </c>
      <c r="N645" s="613">
        <f>INDEX(tblSubjectToLoan[Date],ROW()-ROW(tblContractForDeed[#Headers]))</f>
        <v>0</v>
      </c>
      <c r="O645" s="276">
        <f>IF(ROW()=ROW(tblContractForDeed[#Headers])+1,$O$6,IF(INDEX(tblContractForDeed[End Bal],ROW()-ROW(tblContractForDeed[#Headers])-1)&lt;0,0,INDEX(tblContractForDeed[End Bal],ROW()-ROW(tblContractForDeed[#Headers])-1)))</f>
        <v>0</v>
      </c>
      <c r="P645" s="454">
        <f>IF(tblContractForDeed[[#This Row],[Date]]="","",IF(tblContractForDeed[[#This Row],[Date]]&lt;cfdRateChangeDate,cfdRate1,cfdRate2))</f>
        <v>7.0000000000000007E-2</v>
      </c>
      <c r="Q6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276">
        <f>IF(INDEX(tblContractForDeed[Payment],ROW()-ROW(tblBuyerOutputs[#Headers]))=0,0,INDEX(tblContractForDeed[Payment],ROW()-ROW(tblBuyerOutputs[#Headers]))-INDEX(tblSubjectToLoan[Payment],ROW()-ROW(tblBuyerOutputs[#Headers])))</f>
        <v>0</v>
      </c>
      <c r="Z6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5" s="276">
        <f>IF(INDEX(tblContractForDeed[End Bal],ROW()-ROW(tblBuyerOutputs[#Headers]))&lt;=0,0,($O$6+IF(ROW()=ROW(tblBuyerOutputs[#Headers])+1,0,INDEX(tblBuyerOutputs[Cumul Appr],ROW()-ROW(tblBuyerOutputs[#Headers])-1)))*$AK$2/12)</f>
        <v>0</v>
      </c>
      <c r="AE645" s="276">
        <f>IF(INDEX(tblContractForDeed[End Bal],ROW()-ROW(tblBuyerOutputs[#Headers]))&lt;=0,0,IF(ROW()=ROW(tblBuyerOutputs[#Headers])+1,0,INDEX(tblBuyerOutputs[Cumul Appr],ROW()-ROW(tblBuyerOutputs[#Headers])-1))+tblBuyerOutputs[[#This Row],[Monthly Appr]])</f>
        <v>0</v>
      </c>
    </row>
    <row r="646" spans="1:43" x14ac:dyDescent="0.25">
      <c r="A646" s="613"/>
      <c r="L646" s="394">
        <f t="shared" si="120"/>
        <v>0</v>
      </c>
      <c r="M646" s="394">
        <f t="shared" si="119"/>
        <v>0</v>
      </c>
      <c r="N646" s="613">
        <f>INDEX(tblSubjectToLoan[Date],ROW()-ROW(tblContractForDeed[#Headers]))</f>
        <v>0</v>
      </c>
      <c r="O646" s="276">
        <f>IF(ROW()=ROW(tblContractForDeed[#Headers])+1,$O$6,IF(INDEX(tblContractForDeed[End Bal],ROW()-ROW(tblContractForDeed[#Headers])-1)&lt;0,0,INDEX(tblContractForDeed[End Bal],ROW()-ROW(tblContractForDeed[#Headers])-1)))</f>
        <v>0</v>
      </c>
      <c r="P646" s="454">
        <f>IF(tblContractForDeed[[#This Row],[Date]]="","",IF(tblContractForDeed[[#This Row],[Date]]&lt;cfdRateChangeDate,cfdRate1,cfdRate2))</f>
        <v>7.0000000000000007E-2</v>
      </c>
      <c r="Q6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276">
        <f>IF(INDEX(tblContractForDeed[Payment],ROW()-ROW(tblBuyerOutputs[#Headers]))=0,0,INDEX(tblContractForDeed[Payment],ROW()-ROW(tblBuyerOutputs[#Headers]))-INDEX(tblSubjectToLoan[Payment],ROW()-ROW(tblBuyerOutputs[#Headers])))</f>
        <v>0</v>
      </c>
      <c r="Z6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6" s="276">
        <f>IF(INDEX(tblContractForDeed[End Bal],ROW()-ROW(tblBuyerOutputs[#Headers]))&lt;=0,0,($O$6+IF(ROW()=ROW(tblBuyerOutputs[#Headers])+1,0,INDEX(tblBuyerOutputs[Cumul Appr],ROW()-ROW(tblBuyerOutputs[#Headers])-1)))*$AK$2/12)</f>
        <v>0</v>
      </c>
      <c r="AE646" s="276">
        <f>IF(INDEX(tblContractForDeed[End Bal],ROW()-ROW(tblBuyerOutputs[#Headers]))&lt;=0,0,IF(ROW()=ROW(tblBuyerOutputs[#Headers])+1,0,INDEX(tblBuyerOutputs[Cumul Appr],ROW()-ROW(tblBuyerOutputs[#Headers])-1))+tblBuyerOutputs[[#This Row],[Monthly Appr]])</f>
        <v>0</v>
      </c>
    </row>
    <row r="647" spans="1:43" x14ac:dyDescent="0.25">
      <c r="A647" s="613"/>
      <c r="L647" s="394">
        <f t="shared" si="120"/>
        <v>0</v>
      </c>
      <c r="M647" s="394">
        <f t="shared" si="119"/>
        <v>0</v>
      </c>
      <c r="N647" s="613">
        <f>INDEX(tblSubjectToLoan[Date],ROW()-ROW(tblContractForDeed[#Headers]))</f>
        <v>0</v>
      </c>
      <c r="O647" s="276">
        <f>IF(ROW()=ROW(tblContractForDeed[#Headers])+1,$O$6,IF(INDEX(tblContractForDeed[End Bal],ROW()-ROW(tblContractForDeed[#Headers])-1)&lt;0,0,INDEX(tblContractForDeed[End Bal],ROW()-ROW(tblContractForDeed[#Headers])-1)))</f>
        <v>0</v>
      </c>
      <c r="P647" s="454">
        <f>IF(tblContractForDeed[[#This Row],[Date]]="","",IF(tblContractForDeed[[#This Row],[Date]]&lt;cfdRateChangeDate,cfdRate1,cfdRate2))</f>
        <v>7.0000000000000007E-2</v>
      </c>
      <c r="Q6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276">
        <f>IF(INDEX(tblContractForDeed[Payment],ROW()-ROW(tblBuyerOutputs[#Headers]))=0,0,INDEX(tblContractForDeed[Payment],ROW()-ROW(tblBuyerOutputs[#Headers]))-INDEX(tblSubjectToLoan[Payment],ROW()-ROW(tblBuyerOutputs[#Headers])))</f>
        <v>0</v>
      </c>
      <c r="Z6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7" s="276">
        <f>IF(INDEX(tblContractForDeed[End Bal],ROW()-ROW(tblBuyerOutputs[#Headers]))&lt;=0,0,($O$6+IF(ROW()=ROW(tblBuyerOutputs[#Headers])+1,0,INDEX(tblBuyerOutputs[Cumul Appr],ROW()-ROW(tblBuyerOutputs[#Headers])-1)))*$AK$2/12)</f>
        <v>0</v>
      </c>
      <c r="AE647" s="276">
        <f>IF(INDEX(tblContractForDeed[End Bal],ROW()-ROW(tblBuyerOutputs[#Headers]))&lt;=0,0,IF(ROW()=ROW(tblBuyerOutputs[#Headers])+1,0,INDEX(tblBuyerOutputs[Cumul Appr],ROW()-ROW(tblBuyerOutputs[#Headers])-1))+tblBuyerOutputs[[#This Row],[Monthly Appr]])</f>
        <v>0</v>
      </c>
    </row>
    <row r="648" spans="1:43" x14ac:dyDescent="0.25">
      <c r="A648" s="613"/>
      <c r="L648" s="394">
        <f t="shared" si="120"/>
        <v>0</v>
      </c>
      <c r="M648" s="394">
        <f t="shared" si="119"/>
        <v>0</v>
      </c>
      <c r="N648" s="613">
        <f>INDEX(tblSubjectToLoan[Date],ROW()-ROW(tblContractForDeed[#Headers]))</f>
        <v>0</v>
      </c>
      <c r="O648" s="276">
        <f>IF(ROW()=ROW(tblContractForDeed[#Headers])+1,$O$6,IF(INDEX(tblContractForDeed[End Bal],ROW()-ROW(tblContractForDeed[#Headers])-1)&lt;0,0,INDEX(tblContractForDeed[End Bal],ROW()-ROW(tblContractForDeed[#Headers])-1)))</f>
        <v>0</v>
      </c>
      <c r="P648" s="454">
        <f>IF(tblContractForDeed[[#This Row],[Date]]="","",IF(tblContractForDeed[[#This Row],[Date]]&lt;cfdRateChangeDate,cfdRate1,cfdRate2))</f>
        <v>7.0000000000000007E-2</v>
      </c>
      <c r="Q6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276">
        <f>IF(INDEX(tblContractForDeed[Payment],ROW()-ROW(tblBuyerOutputs[#Headers]))=0,0,INDEX(tblContractForDeed[Payment],ROW()-ROW(tblBuyerOutputs[#Headers]))-INDEX(tblSubjectToLoan[Payment],ROW()-ROW(tblBuyerOutputs[#Headers])))</f>
        <v>0</v>
      </c>
      <c r="Z6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8" s="276">
        <f>IF(INDEX(tblContractForDeed[End Bal],ROW()-ROW(tblBuyerOutputs[#Headers]))&lt;=0,0,($O$6+IF(ROW()=ROW(tblBuyerOutputs[#Headers])+1,0,INDEX(tblBuyerOutputs[Cumul Appr],ROW()-ROW(tblBuyerOutputs[#Headers])-1)))*$AK$2/12)</f>
        <v>0</v>
      </c>
      <c r="AE648" s="276">
        <f>IF(INDEX(tblContractForDeed[End Bal],ROW()-ROW(tblBuyerOutputs[#Headers]))&lt;=0,0,IF(ROW()=ROW(tblBuyerOutputs[#Headers])+1,0,INDEX(tblBuyerOutputs[Cumul Appr],ROW()-ROW(tblBuyerOutputs[#Headers])-1))+tblBuyerOutputs[[#This Row],[Monthly Appr]])</f>
        <v>0</v>
      </c>
    </row>
    <row r="649" spans="1:43" x14ac:dyDescent="0.25">
      <c r="A649" s="613"/>
      <c r="L649" s="394">
        <f t="shared" si="120"/>
        <v>0</v>
      </c>
      <c r="M649" s="394">
        <f t="shared" si="119"/>
        <v>0</v>
      </c>
      <c r="N649" s="613">
        <f>INDEX(tblSubjectToLoan[Date],ROW()-ROW(tblContractForDeed[#Headers]))</f>
        <v>0</v>
      </c>
      <c r="O649" s="276">
        <f>IF(ROW()=ROW(tblContractForDeed[#Headers])+1,$O$6,IF(INDEX(tblContractForDeed[End Bal],ROW()-ROW(tblContractForDeed[#Headers])-1)&lt;0,0,INDEX(tblContractForDeed[End Bal],ROW()-ROW(tblContractForDeed[#Headers])-1)))</f>
        <v>0</v>
      </c>
      <c r="P649" s="454">
        <f>IF(tblContractForDeed[[#This Row],[Date]]="","",IF(tblContractForDeed[[#This Row],[Date]]&lt;cfdRateChangeDate,cfdRate1,cfdRate2))</f>
        <v>7.0000000000000007E-2</v>
      </c>
      <c r="Q6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276">
        <f>IF(INDEX(tblContractForDeed[Payment],ROW()-ROW(tblBuyerOutputs[#Headers]))=0,0,INDEX(tblContractForDeed[Payment],ROW()-ROW(tblBuyerOutputs[#Headers]))-INDEX(tblSubjectToLoan[Payment],ROW()-ROW(tblBuyerOutputs[#Headers])))</f>
        <v>0</v>
      </c>
      <c r="Z6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9" s="276">
        <f>IF(INDEX(tblContractForDeed[End Bal],ROW()-ROW(tblBuyerOutputs[#Headers]))&lt;=0,0,($O$6+IF(ROW()=ROW(tblBuyerOutputs[#Headers])+1,0,INDEX(tblBuyerOutputs[Cumul Appr],ROW()-ROW(tblBuyerOutputs[#Headers])-1)))*$AK$2/12)</f>
        <v>0</v>
      </c>
      <c r="AE649" s="276">
        <f>IF(INDEX(tblContractForDeed[End Bal],ROW()-ROW(tblBuyerOutputs[#Headers]))&lt;=0,0,IF(ROW()=ROW(tblBuyerOutputs[#Headers])+1,0,INDEX(tblBuyerOutputs[Cumul Appr],ROW()-ROW(tblBuyerOutputs[#Headers])-1))+tblBuyerOutputs[[#This Row],[Monthly Appr]])</f>
        <v>0</v>
      </c>
    </row>
    <row r="650" spans="1:43" x14ac:dyDescent="0.25">
      <c r="A650" s="613"/>
      <c r="L650" s="394">
        <f t="shared" si="120"/>
        <v>0</v>
      </c>
      <c r="M650" s="394">
        <f t="shared" si="119"/>
        <v>0</v>
      </c>
      <c r="N650" s="613">
        <f>INDEX(tblSubjectToLoan[Date],ROW()-ROW(tblContractForDeed[#Headers]))</f>
        <v>0</v>
      </c>
      <c r="O650" s="276">
        <f>IF(ROW()=ROW(tblContractForDeed[#Headers])+1,$O$6,IF(INDEX(tblContractForDeed[End Bal],ROW()-ROW(tblContractForDeed[#Headers])-1)&lt;0,0,INDEX(tblContractForDeed[End Bal],ROW()-ROW(tblContractForDeed[#Headers])-1)))</f>
        <v>0</v>
      </c>
      <c r="P650" s="454">
        <f>IF(tblContractForDeed[[#This Row],[Date]]="","",IF(tblContractForDeed[[#This Row],[Date]]&lt;cfdRateChangeDate,cfdRate1,cfdRate2))</f>
        <v>7.0000000000000007E-2</v>
      </c>
      <c r="Q6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276">
        <f>IF(INDEX(tblContractForDeed[Payment],ROW()-ROW(tblBuyerOutputs[#Headers]))=0,0,INDEX(tblContractForDeed[Payment],ROW()-ROW(tblBuyerOutputs[#Headers]))-INDEX(tblSubjectToLoan[Payment],ROW()-ROW(tblBuyerOutputs[#Headers])))</f>
        <v>0</v>
      </c>
      <c r="Z6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0" s="276">
        <f>IF(INDEX(tblContractForDeed[End Bal],ROW()-ROW(tblBuyerOutputs[#Headers]))&lt;=0,0,($O$6+IF(ROW()=ROW(tblBuyerOutputs[#Headers])+1,0,INDEX(tblBuyerOutputs[Cumul Appr],ROW()-ROW(tblBuyerOutputs[#Headers])-1)))*$AK$2/12)</f>
        <v>0</v>
      </c>
      <c r="AE650" s="276">
        <f>IF(INDEX(tblContractForDeed[End Bal],ROW()-ROW(tblBuyerOutputs[#Headers]))&lt;=0,0,IF(ROW()=ROW(tblBuyerOutputs[#Headers])+1,0,INDEX(tblBuyerOutputs[Cumul Appr],ROW()-ROW(tblBuyerOutputs[#Headers])-1))+tblBuyerOutputs[[#This Row],[Monthly Appr]])</f>
        <v>0</v>
      </c>
    </row>
    <row r="651" spans="1:43" x14ac:dyDescent="0.25">
      <c r="A651" s="613"/>
      <c r="L651" s="394">
        <f t="shared" si="120"/>
        <v>0</v>
      </c>
      <c r="M651" s="394">
        <f t="shared" si="119"/>
        <v>0</v>
      </c>
      <c r="N651" s="613">
        <f>INDEX(tblSubjectToLoan[Date],ROW()-ROW(tblContractForDeed[#Headers]))</f>
        <v>0</v>
      </c>
      <c r="O651" s="276">
        <f>IF(ROW()=ROW(tblContractForDeed[#Headers])+1,$O$6,IF(INDEX(tblContractForDeed[End Bal],ROW()-ROW(tblContractForDeed[#Headers])-1)&lt;0,0,INDEX(tblContractForDeed[End Bal],ROW()-ROW(tblContractForDeed[#Headers])-1)))</f>
        <v>0</v>
      </c>
      <c r="P651" s="454">
        <f>IF(tblContractForDeed[[#This Row],[Date]]="","",IF(tblContractForDeed[[#This Row],[Date]]&lt;cfdRateChangeDate,cfdRate1,cfdRate2))</f>
        <v>7.0000000000000007E-2</v>
      </c>
      <c r="Q6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276">
        <f>IF(INDEX(tblContractForDeed[Payment],ROW()-ROW(tblBuyerOutputs[#Headers]))=0,0,INDEX(tblContractForDeed[Payment],ROW()-ROW(tblBuyerOutputs[#Headers]))-INDEX(tblSubjectToLoan[Payment],ROW()-ROW(tblBuyerOutputs[#Headers])))</f>
        <v>0</v>
      </c>
      <c r="Z6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1" s="276">
        <f>IF(INDEX(tblContractForDeed[End Bal],ROW()-ROW(tblBuyerOutputs[#Headers]))&lt;=0,0,($O$6+IF(ROW()=ROW(tblBuyerOutputs[#Headers])+1,0,INDEX(tblBuyerOutputs[Cumul Appr],ROW()-ROW(tblBuyerOutputs[#Headers])-1)))*$AK$2/12)</f>
        <v>0</v>
      </c>
      <c r="AE651" s="276">
        <f>IF(INDEX(tblContractForDeed[End Bal],ROW()-ROW(tblBuyerOutputs[#Headers]))&lt;=0,0,IF(ROW()=ROW(tblBuyerOutputs[#Headers])+1,0,INDEX(tblBuyerOutputs[Cumul Appr],ROW()-ROW(tblBuyerOutputs[#Headers])-1))+tblBuyerOutputs[[#This Row],[Monthly Appr]])</f>
        <v>0</v>
      </c>
    </row>
    <row r="652" spans="1:43" x14ac:dyDescent="0.25">
      <c r="A652" s="613"/>
      <c r="L652" s="394">
        <f t="shared" si="120"/>
        <v>0</v>
      </c>
      <c r="M652" s="394">
        <f t="shared" si="119"/>
        <v>0</v>
      </c>
      <c r="N652" s="613">
        <f>INDEX(tblSubjectToLoan[Date],ROW()-ROW(tblContractForDeed[#Headers]))</f>
        <v>0</v>
      </c>
      <c r="O652" s="276">
        <f>IF(ROW()=ROW(tblContractForDeed[#Headers])+1,$O$6,IF(INDEX(tblContractForDeed[End Bal],ROW()-ROW(tblContractForDeed[#Headers])-1)&lt;0,0,INDEX(tblContractForDeed[End Bal],ROW()-ROW(tblContractForDeed[#Headers])-1)))</f>
        <v>0</v>
      </c>
      <c r="P652" s="454">
        <f>IF(tblContractForDeed[[#This Row],[Date]]="","",IF(tblContractForDeed[[#This Row],[Date]]&lt;cfdRateChangeDate,cfdRate1,cfdRate2))</f>
        <v>7.0000000000000007E-2</v>
      </c>
      <c r="Q6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276">
        <f>IF(INDEX(tblContractForDeed[Payment],ROW()-ROW(tblBuyerOutputs[#Headers]))=0,0,INDEX(tblContractForDeed[Payment],ROW()-ROW(tblBuyerOutputs[#Headers]))-INDEX(tblSubjectToLoan[Payment],ROW()-ROW(tblBuyerOutputs[#Headers])))</f>
        <v>0</v>
      </c>
      <c r="Z6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2" s="276">
        <f>IF(INDEX(tblContractForDeed[End Bal],ROW()-ROW(tblBuyerOutputs[#Headers]))&lt;=0,0,($O$6+IF(ROW()=ROW(tblBuyerOutputs[#Headers])+1,0,INDEX(tblBuyerOutputs[Cumul Appr],ROW()-ROW(tblBuyerOutputs[#Headers])-1)))*$AK$2/12)</f>
        <v>0</v>
      </c>
      <c r="AE652" s="276">
        <f>IF(INDEX(tblContractForDeed[End Bal],ROW()-ROW(tblBuyerOutputs[#Headers]))&lt;=0,0,IF(ROW()=ROW(tblBuyerOutputs[#Headers])+1,0,INDEX(tblBuyerOutputs[Cumul Appr],ROW()-ROW(tblBuyerOutputs[#Headers])-1))+tblBuyerOutputs[[#This Row],[Monthly Appr]])</f>
        <v>0</v>
      </c>
    </row>
    <row r="653" spans="1:43" x14ac:dyDescent="0.25">
      <c r="A653" s="613"/>
      <c r="L653" s="394">
        <f t="shared" si="120"/>
        <v>0</v>
      </c>
      <c r="M653" s="394">
        <f t="shared" si="119"/>
        <v>0</v>
      </c>
      <c r="N653" s="613">
        <f>INDEX(tblSubjectToLoan[Date],ROW()-ROW(tblContractForDeed[#Headers]))</f>
        <v>0</v>
      </c>
      <c r="O653" s="276">
        <f>IF(ROW()=ROW(tblContractForDeed[#Headers])+1,$O$6,IF(INDEX(tblContractForDeed[End Bal],ROW()-ROW(tblContractForDeed[#Headers])-1)&lt;0,0,INDEX(tblContractForDeed[End Bal],ROW()-ROW(tblContractForDeed[#Headers])-1)))</f>
        <v>0</v>
      </c>
      <c r="P653" s="454">
        <f>IF(tblContractForDeed[[#This Row],[Date]]="","",IF(tblContractForDeed[[#This Row],[Date]]&lt;cfdRateChangeDate,cfdRate1,cfdRate2))</f>
        <v>7.0000000000000007E-2</v>
      </c>
      <c r="Q6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276">
        <f>IF(INDEX(tblContractForDeed[Payment],ROW()-ROW(tblBuyerOutputs[#Headers]))=0,0,INDEX(tblContractForDeed[Payment],ROW()-ROW(tblBuyerOutputs[#Headers]))-INDEX(tblSubjectToLoan[Payment],ROW()-ROW(tblBuyerOutputs[#Headers])))</f>
        <v>0</v>
      </c>
      <c r="Z6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3" s="276">
        <f>IF(INDEX(tblContractForDeed[End Bal],ROW()-ROW(tblBuyerOutputs[#Headers]))&lt;=0,0,($O$6+IF(ROW()=ROW(tblBuyerOutputs[#Headers])+1,0,INDEX(tblBuyerOutputs[Cumul Appr],ROW()-ROW(tblBuyerOutputs[#Headers])-1)))*$AK$2/12)</f>
        <v>0</v>
      </c>
      <c r="AE653" s="276">
        <f>IF(INDEX(tblContractForDeed[End Bal],ROW()-ROW(tblBuyerOutputs[#Headers]))&lt;=0,0,IF(ROW()=ROW(tblBuyerOutputs[#Headers])+1,0,INDEX(tblBuyerOutputs[Cumul Appr],ROW()-ROW(tblBuyerOutputs[#Headers])-1))+tblBuyerOutputs[[#This Row],[Monthly Appr]])</f>
        <v>0</v>
      </c>
    </row>
    <row r="654" spans="1:43" x14ac:dyDescent="0.25">
      <c r="A654" s="613"/>
      <c r="L654" s="394">
        <f t="shared" si="120"/>
        <v>0</v>
      </c>
      <c r="M654" s="394">
        <f t="shared" si="119"/>
        <v>0</v>
      </c>
      <c r="N654" s="613">
        <f>INDEX(tblSubjectToLoan[Date],ROW()-ROW(tblContractForDeed[#Headers]))</f>
        <v>0</v>
      </c>
      <c r="O654" s="276">
        <f>IF(ROW()=ROW(tblContractForDeed[#Headers])+1,$O$6,IF(INDEX(tblContractForDeed[End Bal],ROW()-ROW(tblContractForDeed[#Headers])-1)&lt;0,0,INDEX(tblContractForDeed[End Bal],ROW()-ROW(tblContractForDeed[#Headers])-1)))</f>
        <v>0</v>
      </c>
      <c r="P654" s="454">
        <f>IF(tblContractForDeed[[#This Row],[Date]]="","",IF(tblContractForDeed[[#This Row],[Date]]&lt;cfdRateChangeDate,cfdRate1,cfdRate2))</f>
        <v>7.0000000000000007E-2</v>
      </c>
      <c r="Q6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276">
        <f>IF(INDEX(tblContractForDeed[Payment],ROW()-ROW(tblBuyerOutputs[#Headers]))=0,0,INDEX(tblContractForDeed[Payment],ROW()-ROW(tblBuyerOutputs[#Headers]))-INDEX(tblSubjectToLoan[Payment],ROW()-ROW(tblBuyerOutputs[#Headers])))</f>
        <v>0</v>
      </c>
      <c r="Z6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4" s="276">
        <f>IF(INDEX(tblContractForDeed[End Bal],ROW()-ROW(tblBuyerOutputs[#Headers]))&lt;=0,0,($O$6+IF(ROW()=ROW(tblBuyerOutputs[#Headers])+1,0,INDEX(tblBuyerOutputs[Cumul Appr],ROW()-ROW(tblBuyerOutputs[#Headers])-1)))*$AK$2/12)</f>
        <v>0</v>
      </c>
      <c r="AE654" s="276">
        <f>IF(INDEX(tblContractForDeed[End Bal],ROW()-ROW(tblBuyerOutputs[#Headers]))&lt;=0,0,IF(ROW()=ROW(tblBuyerOutputs[#Headers])+1,0,INDEX(tblBuyerOutputs[Cumul Appr],ROW()-ROW(tblBuyerOutputs[#Headers])-1))+tblBuyerOutputs[[#This Row],[Monthly Appr]])</f>
        <v>0</v>
      </c>
    </row>
    <row r="655" spans="1:43" ht="15.75" thickBot="1" x14ac:dyDescent="0.3">
      <c r="A655" s="615"/>
      <c r="B655" s="332"/>
      <c r="C655" s="21"/>
      <c r="D655" s="21"/>
      <c r="E655" s="21"/>
      <c r="F655" s="21"/>
      <c r="G655" s="21"/>
      <c r="H655" s="21"/>
      <c r="I655" s="332"/>
      <c r="J655" s="332"/>
      <c r="K655" s="332"/>
      <c r="L655" s="395">
        <f t="shared" si="120"/>
        <v>0</v>
      </c>
      <c r="M655" s="395">
        <f t="shared" si="119"/>
        <v>0</v>
      </c>
      <c r="N655" s="615">
        <f>INDEX(tblSubjectToLoan[Date],ROW()-ROW(tblContractForDeed[#Headers]))</f>
        <v>0</v>
      </c>
      <c r="O655" s="332">
        <f>IF(ROW()=ROW(tblContractForDeed[#Headers])+1,$O$6,IF(INDEX(tblContractForDeed[End Bal],ROW()-ROW(tblContractForDeed[#Headers])-1)&lt;0,0,INDEX(tblContractForDeed[End Bal],ROW()-ROW(tblContractForDeed[#Headers])-1)))</f>
        <v>0</v>
      </c>
      <c r="P655" s="454">
        <f>IF(tblContractForDeed[[#This Row],[Date]]="","",IF(tblContractForDeed[[#This Row],[Date]]&lt;cfdRateChangeDate,cfdRate1,cfdRate2))</f>
        <v>7.0000000000000007E-2</v>
      </c>
      <c r="Q6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32">
        <f>IF(INDEX(tblContractForDeed[Payment],ROW()-ROW(tblBuyerOutputs[#Headers]))=0,0,INDEX(tblContractForDeed[Payment],ROW()-ROW(tblBuyerOutputs[#Headers]))-INDEX(tblSubjectToLoan[Payment],ROW()-ROW(tblBuyerOutputs[#Headers])))</f>
        <v>0</v>
      </c>
      <c r="Z6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5" s="332">
        <f>IF(INDEX(tblContractForDeed[End Bal],ROW()-ROW(tblBuyerOutputs[#Headers]))&lt;=0,0,($O$6+IF(ROW()=ROW(tblBuyerOutputs[#Headers])+1,0,INDEX(tblBuyerOutputs[Cumul Appr],ROW()-ROW(tblBuyerOutputs[#Headers])-1)))*$AK$2/12)</f>
        <v>0</v>
      </c>
      <c r="AE655" s="332">
        <f>IF(INDEX(tblContractForDeed[End Bal],ROW()-ROW(tblBuyerOutputs[#Headers]))&lt;=0,0,IF(ROW()=ROW(tblBuyerOutputs[#Headers])+1,0,INDEX(tblBuyerOutputs[Cumul Appr],ROW()-ROW(tblBuyerOutputs[#Headers])-1))+tblBuyerOutputs[[#This Row],[Monthly Appr]])</f>
        <v>0</v>
      </c>
      <c r="AQ655" s="21"/>
    </row>
    <row r="656" spans="1:43" x14ac:dyDescent="0.25">
      <c r="A656" s="613"/>
      <c r="L656" s="394">
        <f t="shared" si="120"/>
        <v>0</v>
      </c>
      <c r="M656" s="394">
        <f t="shared" si="119"/>
        <v>0</v>
      </c>
      <c r="N656" s="613">
        <f>INDEX(tblSubjectToLoan[Date],ROW()-ROW(tblContractForDeed[#Headers]))</f>
        <v>0</v>
      </c>
      <c r="O656" s="276">
        <f>IF(ROW()=ROW(tblContractForDeed[#Headers])+1,$O$6,IF(INDEX(tblContractForDeed[End Bal],ROW()-ROW(tblContractForDeed[#Headers])-1)&lt;0,0,INDEX(tblContractForDeed[End Bal],ROW()-ROW(tblContractForDeed[#Headers])-1)))</f>
        <v>0</v>
      </c>
      <c r="P656" s="454">
        <f>IF(tblContractForDeed[[#This Row],[Date]]="","",IF(tblContractForDeed[[#This Row],[Date]]&lt;cfdRateChangeDate,cfdRate1,cfdRate2))</f>
        <v>7.0000000000000007E-2</v>
      </c>
      <c r="Q6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276">
        <f>IF(INDEX(tblContractForDeed[Payment],ROW()-ROW(tblBuyerOutputs[#Headers]))=0,0,INDEX(tblContractForDeed[Payment],ROW()-ROW(tblBuyerOutputs[#Headers]))-INDEX(tblSubjectToLoan[Payment],ROW()-ROW(tblBuyerOutputs[#Headers])))</f>
        <v>0</v>
      </c>
      <c r="Z6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6" s="276">
        <f>IF(INDEX(tblContractForDeed[End Bal],ROW()-ROW(tblBuyerOutputs[#Headers]))&lt;=0,0,($O$6+IF(ROW()=ROW(tblBuyerOutputs[#Headers])+1,0,INDEX(tblBuyerOutputs[Cumul Appr],ROW()-ROW(tblBuyerOutputs[#Headers])-1)))*$AK$2/12)</f>
        <v>0</v>
      </c>
      <c r="AE656" s="276">
        <f>IF(INDEX(tblContractForDeed[End Bal],ROW()-ROW(tblBuyerOutputs[#Headers]))&lt;=0,0,IF(ROW()=ROW(tblBuyerOutputs[#Headers])+1,0,INDEX(tblBuyerOutputs[Cumul Appr],ROW()-ROW(tblBuyerOutputs[#Headers])-1))+tblBuyerOutputs[[#This Row],[Monthly Appr]])</f>
        <v>0</v>
      </c>
    </row>
    <row r="657" spans="1:43" x14ac:dyDescent="0.25">
      <c r="A657" s="613"/>
      <c r="L657" s="394">
        <f t="shared" si="120"/>
        <v>0</v>
      </c>
      <c r="M657" s="394">
        <f t="shared" si="119"/>
        <v>0</v>
      </c>
      <c r="N657" s="613">
        <f>INDEX(tblSubjectToLoan[Date],ROW()-ROW(tblContractForDeed[#Headers]))</f>
        <v>0</v>
      </c>
      <c r="O657" s="276">
        <f>IF(ROW()=ROW(tblContractForDeed[#Headers])+1,$O$6,IF(INDEX(tblContractForDeed[End Bal],ROW()-ROW(tblContractForDeed[#Headers])-1)&lt;0,0,INDEX(tblContractForDeed[End Bal],ROW()-ROW(tblContractForDeed[#Headers])-1)))</f>
        <v>0</v>
      </c>
      <c r="P657" s="454">
        <f>IF(tblContractForDeed[[#This Row],[Date]]="","",IF(tblContractForDeed[[#This Row],[Date]]&lt;cfdRateChangeDate,cfdRate1,cfdRate2))</f>
        <v>7.0000000000000007E-2</v>
      </c>
      <c r="Q6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276">
        <f>IF(INDEX(tblContractForDeed[Payment],ROW()-ROW(tblBuyerOutputs[#Headers]))=0,0,INDEX(tblContractForDeed[Payment],ROW()-ROW(tblBuyerOutputs[#Headers]))-INDEX(tblSubjectToLoan[Payment],ROW()-ROW(tblBuyerOutputs[#Headers])))</f>
        <v>0</v>
      </c>
      <c r="Z6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7" s="276">
        <f>IF(INDEX(tblContractForDeed[End Bal],ROW()-ROW(tblBuyerOutputs[#Headers]))&lt;=0,0,($O$6+IF(ROW()=ROW(tblBuyerOutputs[#Headers])+1,0,INDEX(tblBuyerOutputs[Cumul Appr],ROW()-ROW(tblBuyerOutputs[#Headers])-1)))*$AK$2/12)</f>
        <v>0</v>
      </c>
      <c r="AE657" s="276">
        <f>IF(INDEX(tblContractForDeed[End Bal],ROW()-ROW(tblBuyerOutputs[#Headers]))&lt;=0,0,IF(ROW()=ROW(tblBuyerOutputs[#Headers])+1,0,INDEX(tblBuyerOutputs[Cumul Appr],ROW()-ROW(tblBuyerOutputs[#Headers])-1))+tblBuyerOutputs[[#This Row],[Monthly Appr]])</f>
        <v>0</v>
      </c>
    </row>
    <row r="658" spans="1:43" x14ac:dyDescent="0.25">
      <c r="A658" s="613"/>
      <c r="L658" s="394">
        <f t="shared" si="120"/>
        <v>0</v>
      </c>
      <c r="M658" s="394">
        <f t="shared" si="119"/>
        <v>0</v>
      </c>
      <c r="N658" s="613">
        <f>INDEX(tblSubjectToLoan[Date],ROW()-ROW(tblContractForDeed[#Headers]))</f>
        <v>0</v>
      </c>
      <c r="O658" s="276">
        <f>IF(ROW()=ROW(tblContractForDeed[#Headers])+1,$O$6,IF(INDEX(tblContractForDeed[End Bal],ROW()-ROW(tblContractForDeed[#Headers])-1)&lt;0,0,INDEX(tblContractForDeed[End Bal],ROW()-ROW(tblContractForDeed[#Headers])-1)))</f>
        <v>0</v>
      </c>
      <c r="P658" s="454">
        <f>IF(tblContractForDeed[[#This Row],[Date]]="","",IF(tblContractForDeed[[#This Row],[Date]]&lt;cfdRateChangeDate,cfdRate1,cfdRate2))</f>
        <v>7.0000000000000007E-2</v>
      </c>
      <c r="Q6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276">
        <f>IF(INDEX(tblContractForDeed[Payment],ROW()-ROW(tblBuyerOutputs[#Headers]))=0,0,INDEX(tblContractForDeed[Payment],ROW()-ROW(tblBuyerOutputs[#Headers]))-INDEX(tblSubjectToLoan[Payment],ROW()-ROW(tblBuyerOutputs[#Headers])))</f>
        <v>0</v>
      </c>
      <c r="Z6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8" s="276">
        <f>IF(INDEX(tblContractForDeed[End Bal],ROW()-ROW(tblBuyerOutputs[#Headers]))&lt;=0,0,($O$6+IF(ROW()=ROW(tblBuyerOutputs[#Headers])+1,0,INDEX(tblBuyerOutputs[Cumul Appr],ROW()-ROW(tblBuyerOutputs[#Headers])-1)))*$AK$2/12)</f>
        <v>0</v>
      </c>
      <c r="AE658" s="276">
        <f>IF(INDEX(tblContractForDeed[End Bal],ROW()-ROW(tblBuyerOutputs[#Headers]))&lt;=0,0,IF(ROW()=ROW(tblBuyerOutputs[#Headers])+1,0,INDEX(tblBuyerOutputs[Cumul Appr],ROW()-ROW(tblBuyerOutputs[#Headers])-1))+tblBuyerOutputs[[#This Row],[Monthly Appr]])</f>
        <v>0</v>
      </c>
    </row>
    <row r="659" spans="1:43" x14ac:dyDescent="0.25">
      <c r="A659" s="613"/>
      <c r="L659" s="394">
        <f t="shared" si="120"/>
        <v>0</v>
      </c>
      <c r="M659" s="394">
        <f t="shared" si="119"/>
        <v>0</v>
      </c>
      <c r="N659" s="613">
        <f>INDEX(tblSubjectToLoan[Date],ROW()-ROW(tblContractForDeed[#Headers]))</f>
        <v>0</v>
      </c>
      <c r="O659" s="276">
        <f>IF(ROW()=ROW(tblContractForDeed[#Headers])+1,$O$6,IF(INDEX(tblContractForDeed[End Bal],ROW()-ROW(tblContractForDeed[#Headers])-1)&lt;0,0,INDEX(tblContractForDeed[End Bal],ROW()-ROW(tblContractForDeed[#Headers])-1)))</f>
        <v>0</v>
      </c>
      <c r="P659" s="454">
        <f>IF(tblContractForDeed[[#This Row],[Date]]="","",IF(tblContractForDeed[[#This Row],[Date]]&lt;cfdRateChangeDate,cfdRate1,cfdRate2))</f>
        <v>7.0000000000000007E-2</v>
      </c>
      <c r="Q6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276">
        <f>IF(INDEX(tblContractForDeed[Payment],ROW()-ROW(tblBuyerOutputs[#Headers]))=0,0,INDEX(tblContractForDeed[Payment],ROW()-ROW(tblBuyerOutputs[#Headers]))-INDEX(tblSubjectToLoan[Payment],ROW()-ROW(tblBuyerOutputs[#Headers])))</f>
        <v>0</v>
      </c>
      <c r="Z6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9" s="276">
        <f>IF(INDEX(tblContractForDeed[End Bal],ROW()-ROW(tblBuyerOutputs[#Headers]))&lt;=0,0,($O$6+IF(ROW()=ROW(tblBuyerOutputs[#Headers])+1,0,INDEX(tblBuyerOutputs[Cumul Appr],ROW()-ROW(tblBuyerOutputs[#Headers])-1)))*$AK$2/12)</f>
        <v>0</v>
      </c>
      <c r="AE659" s="276">
        <f>IF(INDEX(tblContractForDeed[End Bal],ROW()-ROW(tblBuyerOutputs[#Headers]))&lt;=0,0,IF(ROW()=ROW(tblBuyerOutputs[#Headers])+1,0,INDEX(tblBuyerOutputs[Cumul Appr],ROW()-ROW(tblBuyerOutputs[#Headers])-1))+tblBuyerOutputs[[#This Row],[Monthly Appr]])</f>
        <v>0</v>
      </c>
    </row>
    <row r="660" spans="1:43" x14ac:dyDescent="0.25">
      <c r="A660" s="613"/>
      <c r="L660" s="394">
        <f t="shared" si="120"/>
        <v>0</v>
      </c>
      <c r="M660" s="394">
        <f t="shared" si="119"/>
        <v>0</v>
      </c>
      <c r="N660" s="613">
        <f>INDEX(tblSubjectToLoan[Date],ROW()-ROW(tblContractForDeed[#Headers]))</f>
        <v>0</v>
      </c>
      <c r="O660" s="276">
        <f>IF(ROW()=ROW(tblContractForDeed[#Headers])+1,$O$6,IF(INDEX(tblContractForDeed[End Bal],ROW()-ROW(tblContractForDeed[#Headers])-1)&lt;0,0,INDEX(tblContractForDeed[End Bal],ROW()-ROW(tblContractForDeed[#Headers])-1)))</f>
        <v>0</v>
      </c>
      <c r="P660" s="454">
        <f>IF(tblContractForDeed[[#This Row],[Date]]="","",IF(tblContractForDeed[[#This Row],[Date]]&lt;cfdRateChangeDate,cfdRate1,cfdRate2))</f>
        <v>7.0000000000000007E-2</v>
      </c>
      <c r="Q6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276">
        <f>IF(INDEX(tblContractForDeed[Payment],ROW()-ROW(tblBuyerOutputs[#Headers]))=0,0,INDEX(tblContractForDeed[Payment],ROW()-ROW(tblBuyerOutputs[#Headers]))-INDEX(tblSubjectToLoan[Payment],ROW()-ROW(tblBuyerOutputs[#Headers])))</f>
        <v>0</v>
      </c>
      <c r="Z6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0" s="276">
        <f>IF(INDEX(tblContractForDeed[End Bal],ROW()-ROW(tblBuyerOutputs[#Headers]))&lt;=0,0,($O$6+IF(ROW()=ROW(tblBuyerOutputs[#Headers])+1,0,INDEX(tblBuyerOutputs[Cumul Appr],ROW()-ROW(tblBuyerOutputs[#Headers])-1)))*$AK$2/12)</f>
        <v>0</v>
      </c>
      <c r="AE660" s="276">
        <f>IF(INDEX(tblContractForDeed[End Bal],ROW()-ROW(tblBuyerOutputs[#Headers]))&lt;=0,0,IF(ROW()=ROW(tblBuyerOutputs[#Headers])+1,0,INDEX(tblBuyerOutputs[Cumul Appr],ROW()-ROW(tblBuyerOutputs[#Headers])-1))+tblBuyerOutputs[[#This Row],[Monthly Appr]])</f>
        <v>0</v>
      </c>
    </row>
    <row r="661" spans="1:43" x14ac:dyDescent="0.25">
      <c r="A661" s="613"/>
      <c r="L661" s="394">
        <f t="shared" si="120"/>
        <v>0</v>
      </c>
      <c r="M661" s="394">
        <f t="shared" ref="M661:M724" si="121">IF($A661&lt;&gt;"",M660+1,0)</f>
        <v>0</v>
      </c>
      <c r="N661" s="613">
        <f>INDEX(tblSubjectToLoan[Date],ROW()-ROW(tblContractForDeed[#Headers]))</f>
        <v>0</v>
      </c>
      <c r="O661" s="276">
        <f>IF(ROW()=ROW(tblContractForDeed[#Headers])+1,$O$6,IF(INDEX(tblContractForDeed[End Bal],ROW()-ROW(tblContractForDeed[#Headers])-1)&lt;0,0,INDEX(tblContractForDeed[End Bal],ROW()-ROW(tblContractForDeed[#Headers])-1)))</f>
        <v>0</v>
      </c>
      <c r="P661" s="454">
        <f>IF(tblContractForDeed[[#This Row],[Date]]="","",IF(tblContractForDeed[[#This Row],[Date]]&lt;cfdRateChangeDate,cfdRate1,cfdRate2))</f>
        <v>7.0000000000000007E-2</v>
      </c>
      <c r="Q6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276">
        <f>IF(INDEX(tblContractForDeed[Payment],ROW()-ROW(tblBuyerOutputs[#Headers]))=0,0,INDEX(tblContractForDeed[Payment],ROW()-ROW(tblBuyerOutputs[#Headers]))-INDEX(tblSubjectToLoan[Payment],ROW()-ROW(tblBuyerOutputs[#Headers])))</f>
        <v>0</v>
      </c>
      <c r="Z6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1" s="276">
        <f>IF(INDEX(tblContractForDeed[End Bal],ROW()-ROW(tblBuyerOutputs[#Headers]))&lt;=0,0,($O$6+IF(ROW()=ROW(tblBuyerOutputs[#Headers])+1,0,INDEX(tblBuyerOutputs[Cumul Appr],ROW()-ROW(tblBuyerOutputs[#Headers])-1)))*$AK$2/12)</f>
        <v>0</v>
      </c>
      <c r="AE661" s="276">
        <f>IF(INDEX(tblContractForDeed[End Bal],ROW()-ROW(tblBuyerOutputs[#Headers]))&lt;=0,0,IF(ROW()=ROW(tblBuyerOutputs[#Headers])+1,0,INDEX(tblBuyerOutputs[Cumul Appr],ROW()-ROW(tblBuyerOutputs[#Headers])-1))+tblBuyerOutputs[[#This Row],[Monthly Appr]])</f>
        <v>0</v>
      </c>
    </row>
    <row r="662" spans="1:43" x14ac:dyDescent="0.25">
      <c r="A662" s="613"/>
      <c r="L662" s="394">
        <f t="shared" si="120"/>
        <v>0</v>
      </c>
      <c r="M662" s="394">
        <f t="shared" si="121"/>
        <v>0</v>
      </c>
      <c r="N662" s="613">
        <f>INDEX(tblSubjectToLoan[Date],ROW()-ROW(tblContractForDeed[#Headers]))</f>
        <v>0</v>
      </c>
      <c r="O662" s="276">
        <f>IF(ROW()=ROW(tblContractForDeed[#Headers])+1,$O$6,IF(INDEX(tblContractForDeed[End Bal],ROW()-ROW(tblContractForDeed[#Headers])-1)&lt;0,0,INDEX(tblContractForDeed[End Bal],ROW()-ROW(tblContractForDeed[#Headers])-1)))</f>
        <v>0</v>
      </c>
      <c r="P662" s="454">
        <f>IF(tblContractForDeed[[#This Row],[Date]]="","",IF(tblContractForDeed[[#This Row],[Date]]&lt;cfdRateChangeDate,cfdRate1,cfdRate2))</f>
        <v>7.0000000000000007E-2</v>
      </c>
      <c r="Q6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276">
        <f>IF(INDEX(tblContractForDeed[Payment],ROW()-ROW(tblBuyerOutputs[#Headers]))=0,0,INDEX(tblContractForDeed[Payment],ROW()-ROW(tblBuyerOutputs[#Headers]))-INDEX(tblSubjectToLoan[Payment],ROW()-ROW(tblBuyerOutputs[#Headers])))</f>
        <v>0</v>
      </c>
      <c r="Z6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2" s="276">
        <f>IF(INDEX(tblContractForDeed[End Bal],ROW()-ROW(tblBuyerOutputs[#Headers]))&lt;=0,0,($O$6+IF(ROW()=ROW(tblBuyerOutputs[#Headers])+1,0,INDEX(tblBuyerOutputs[Cumul Appr],ROW()-ROW(tblBuyerOutputs[#Headers])-1)))*$AK$2/12)</f>
        <v>0</v>
      </c>
      <c r="AE662" s="276">
        <f>IF(INDEX(tblContractForDeed[End Bal],ROW()-ROW(tblBuyerOutputs[#Headers]))&lt;=0,0,IF(ROW()=ROW(tblBuyerOutputs[#Headers])+1,0,INDEX(tblBuyerOutputs[Cumul Appr],ROW()-ROW(tblBuyerOutputs[#Headers])-1))+tblBuyerOutputs[[#This Row],[Monthly Appr]])</f>
        <v>0</v>
      </c>
    </row>
    <row r="663" spans="1:43" x14ac:dyDescent="0.25">
      <c r="A663" s="613"/>
      <c r="L663" s="394">
        <f t="shared" si="120"/>
        <v>0</v>
      </c>
      <c r="M663" s="394">
        <f t="shared" si="121"/>
        <v>0</v>
      </c>
      <c r="N663" s="613">
        <f>INDEX(tblSubjectToLoan[Date],ROW()-ROW(tblContractForDeed[#Headers]))</f>
        <v>0</v>
      </c>
      <c r="O663" s="276">
        <f>IF(ROW()=ROW(tblContractForDeed[#Headers])+1,$O$6,IF(INDEX(tblContractForDeed[End Bal],ROW()-ROW(tblContractForDeed[#Headers])-1)&lt;0,0,INDEX(tblContractForDeed[End Bal],ROW()-ROW(tblContractForDeed[#Headers])-1)))</f>
        <v>0</v>
      </c>
      <c r="P663" s="454">
        <f>IF(tblContractForDeed[[#This Row],[Date]]="","",IF(tblContractForDeed[[#This Row],[Date]]&lt;cfdRateChangeDate,cfdRate1,cfdRate2))</f>
        <v>7.0000000000000007E-2</v>
      </c>
      <c r="Q6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276">
        <f>IF(INDEX(tblContractForDeed[Payment],ROW()-ROW(tblBuyerOutputs[#Headers]))=0,0,INDEX(tblContractForDeed[Payment],ROW()-ROW(tblBuyerOutputs[#Headers]))-INDEX(tblSubjectToLoan[Payment],ROW()-ROW(tblBuyerOutputs[#Headers])))</f>
        <v>0</v>
      </c>
      <c r="Z6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3" s="276">
        <f>IF(INDEX(tblContractForDeed[End Bal],ROW()-ROW(tblBuyerOutputs[#Headers]))&lt;=0,0,($O$6+IF(ROW()=ROW(tblBuyerOutputs[#Headers])+1,0,INDEX(tblBuyerOutputs[Cumul Appr],ROW()-ROW(tblBuyerOutputs[#Headers])-1)))*$AK$2/12)</f>
        <v>0</v>
      </c>
      <c r="AE663" s="276">
        <f>IF(INDEX(tblContractForDeed[End Bal],ROW()-ROW(tblBuyerOutputs[#Headers]))&lt;=0,0,IF(ROW()=ROW(tblBuyerOutputs[#Headers])+1,0,INDEX(tblBuyerOutputs[Cumul Appr],ROW()-ROW(tblBuyerOutputs[#Headers])-1))+tblBuyerOutputs[[#This Row],[Monthly Appr]])</f>
        <v>0</v>
      </c>
    </row>
    <row r="664" spans="1:43" x14ac:dyDescent="0.25">
      <c r="A664" s="613"/>
      <c r="L664" s="394">
        <f t="shared" si="120"/>
        <v>0</v>
      </c>
      <c r="M664" s="394">
        <f t="shared" si="121"/>
        <v>0</v>
      </c>
      <c r="N664" s="613">
        <f>INDEX(tblSubjectToLoan[Date],ROW()-ROW(tblContractForDeed[#Headers]))</f>
        <v>0</v>
      </c>
      <c r="O664" s="276">
        <f>IF(ROW()=ROW(tblContractForDeed[#Headers])+1,$O$6,IF(INDEX(tblContractForDeed[End Bal],ROW()-ROW(tblContractForDeed[#Headers])-1)&lt;0,0,INDEX(tblContractForDeed[End Bal],ROW()-ROW(tblContractForDeed[#Headers])-1)))</f>
        <v>0</v>
      </c>
      <c r="P664" s="454">
        <f>IF(tblContractForDeed[[#This Row],[Date]]="","",IF(tblContractForDeed[[#This Row],[Date]]&lt;cfdRateChangeDate,cfdRate1,cfdRate2))</f>
        <v>7.0000000000000007E-2</v>
      </c>
      <c r="Q6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276">
        <f>IF(INDEX(tblContractForDeed[Payment],ROW()-ROW(tblBuyerOutputs[#Headers]))=0,0,INDEX(tblContractForDeed[Payment],ROW()-ROW(tblBuyerOutputs[#Headers]))-INDEX(tblSubjectToLoan[Payment],ROW()-ROW(tblBuyerOutputs[#Headers])))</f>
        <v>0</v>
      </c>
      <c r="Z6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4" s="276">
        <f>IF(INDEX(tblContractForDeed[End Bal],ROW()-ROW(tblBuyerOutputs[#Headers]))&lt;=0,0,($O$6+IF(ROW()=ROW(tblBuyerOutputs[#Headers])+1,0,INDEX(tblBuyerOutputs[Cumul Appr],ROW()-ROW(tblBuyerOutputs[#Headers])-1)))*$AK$2/12)</f>
        <v>0</v>
      </c>
      <c r="AE664" s="276">
        <f>IF(INDEX(tblContractForDeed[End Bal],ROW()-ROW(tblBuyerOutputs[#Headers]))&lt;=0,0,IF(ROW()=ROW(tblBuyerOutputs[#Headers])+1,0,INDEX(tblBuyerOutputs[Cumul Appr],ROW()-ROW(tblBuyerOutputs[#Headers])-1))+tblBuyerOutputs[[#This Row],[Monthly Appr]])</f>
        <v>0</v>
      </c>
    </row>
    <row r="665" spans="1:43" x14ac:dyDescent="0.25">
      <c r="A665" s="613"/>
      <c r="L665" s="394">
        <f t="shared" si="120"/>
        <v>0</v>
      </c>
      <c r="M665" s="394">
        <f t="shared" si="121"/>
        <v>0</v>
      </c>
      <c r="N665" s="613">
        <f>INDEX(tblSubjectToLoan[Date],ROW()-ROW(tblContractForDeed[#Headers]))</f>
        <v>0</v>
      </c>
      <c r="O665" s="276">
        <f>IF(ROW()=ROW(tblContractForDeed[#Headers])+1,$O$6,IF(INDEX(tblContractForDeed[End Bal],ROW()-ROW(tblContractForDeed[#Headers])-1)&lt;0,0,INDEX(tblContractForDeed[End Bal],ROW()-ROW(tblContractForDeed[#Headers])-1)))</f>
        <v>0</v>
      </c>
      <c r="P665" s="454">
        <f>IF(tblContractForDeed[[#This Row],[Date]]="","",IF(tblContractForDeed[[#This Row],[Date]]&lt;cfdRateChangeDate,cfdRate1,cfdRate2))</f>
        <v>7.0000000000000007E-2</v>
      </c>
      <c r="Q6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276">
        <f>IF(INDEX(tblContractForDeed[Payment],ROW()-ROW(tblBuyerOutputs[#Headers]))=0,0,INDEX(tblContractForDeed[Payment],ROW()-ROW(tblBuyerOutputs[#Headers]))-INDEX(tblSubjectToLoan[Payment],ROW()-ROW(tblBuyerOutputs[#Headers])))</f>
        <v>0</v>
      </c>
      <c r="Z6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5" s="276">
        <f>IF(INDEX(tblContractForDeed[End Bal],ROW()-ROW(tblBuyerOutputs[#Headers]))&lt;=0,0,($O$6+IF(ROW()=ROW(tblBuyerOutputs[#Headers])+1,0,INDEX(tblBuyerOutputs[Cumul Appr],ROW()-ROW(tblBuyerOutputs[#Headers])-1)))*$AK$2/12)</f>
        <v>0</v>
      </c>
      <c r="AE665" s="276">
        <f>IF(INDEX(tblContractForDeed[End Bal],ROW()-ROW(tblBuyerOutputs[#Headers]))&lt;=0,0,IF(ROW()=ROW(tblBuyerOutputs[#Headers])+1,0,INDEX(tblBuyerOutputs[Cumul Appr],ROW()-ROW(tblBuyerOutputs[#Headers])-1))+tblBuyerOutputs[[#This Row],[Monthly Appr]])</f>
        <v>0</v>
      </c>
    </row>
    <row r="666" spans="1:43" x14ac:dyDescent="0.25">
      <c r="A666" s="613"/>
      <c r="L666" s="394">
        <f t="shared" si="120"/>
        <v>0</v>
      </c>
      <c r="M666" s="394">
        <f t="shared" si="121"/>
        <v>0</v>
      </c>
      <c r="N666" s="613">
        <f>INDEX(tblSubjectToLoan[Date],ROW()-ROW(tblContractForDeed[#Headers]))</f>
        <v>0</v>
      </c>
      <c r="O666" s="276">
        <f>IF(ROW()=ROW(tblContractForDeed[#Headers])+1,$O$6,IF(INDEX(tblContractForDeed[End Bal],ROW()-ROW(tblContractForDeed[#Headers])-1)&lt;0,0,INDEX(tblContractForDeed[End Bal],ROW()-ROW(tblContractForDeed[#Headers])-1)))</f>
        <v>0</v>
      </c>
      <c r="P666" s="454">
        <f>IF(tblContractForDeed[[#This Row],[Date]]="","",IF(tblContractForDeed[[#This Row],[Date]]&lt;cfdRateChangeDate,cfdRate1,cfdRate2))</f>
        <v>7.0000000000000007E-2</v>
      </c>
      <c r="Q6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276">
        <f>IF(INDEX(tblContractForDeed[Payment],ROW()-ROW(tblBuyerOutputs[#Headers]))=0,0,INDEX(tblContractForDeed[Payment],ROW()-ROW(tblBuyerOutputs[#Headers]))-INDEX(tblSubjectToLoan[Payment],ROW()-ROW(tblBuyerOutputs[#Headers])))</f>
        <v>0</v>
      </c>
      <c r="Z6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6" s="276">
        <f>IF(INDEX(tblContractForDeed[End Bal],ROW()-ROW(tblBuyerOutputs[#Headers]))&lt;=0,0,($O$6+IF(ROW()=ROW(tblBuyerOutputs[#Headers])+1,0,INDEX(tblBuyerOutputs[Cumul Appr],ROW()-ROW(tblBuyerOutputs[#Headers])-1)))*$AK$2/12)</f>
        <v>0</v>
      </c>
      <c r="AE666" s="276">
        <f>IF(INDEX(tblContractForDeed[End Bal],ROW()-ROW(tblBuyerOutputs[#Headers]))&lt;=0,0,IF(ROW()=ROW(tblBuyerOutputs[#Headers])+1,0,INDEX(tblBuyerOutputs[Cumul Appr],ROW()-ROW(tblBuyerOutputs[#Headers])-1))+tblBuyerOutputs[[#This Row],[Monthly Appr]])</f>
        <v>0</v>
      </c>
    </row>
    <row r="667" spans="1:43" ht="15.75" thickBot="1" x14ac:dyDescent="0.3">
      <c r="A667" s="615"/>
      <c r="B667" s="332"/>
      <c r="C667" s="21"/>
      <c r="D667" s="21"/>
      <c r="E667" s="21"/>
      <c r="F667" s="21"/>
      <c r="G667" s="21"/>
      <c r="H667" s="21"/>
      <c r="I667" s="332"/>
      <c r="J667" s="332"/>
      <c r="K667" s="332"/>
      <c r="L667" s="395">
        <f t="shared" si="120"/>
        <v>0</v>
      </c>
      <c r="M667" s="395">
        <f t="shared" si="121"/>
        <v>0</v>
      </c>
      <c r="N667" s="615">
        <f>INDEX(tblSubjectToLoan[Date],ROW()-ROW(tblContractForDeed[#Headers]))</f>
        <v>0</v>
      </c>
      <c r="O667" s="332">
        <f>IF(ROW()=ROW(tblContractForDeed[#Headers])+1,$O$6,IF(INDEX(tblContractForDeed[End Bal],ROW()-ROW(tblContractForDeed[#Headers])-1)&lt;0,0,INDEX(tblContractForDeed[End Bal],ROW()-ROW(tblContractForDeed[#Headers])-1)))</f>
        <v>0</v>
      </c>
      <c r="P667" s="454">
        <f>IF(tblContractForDeed[[#This Row],[Date]]="","",IF(tblContractForDeed[[#This Row],[Date]]&lt;cfdRateChangeDate,cfdRate1,cfdRate2))</f>
        <v>7.0000000000000007E-2</v>
      </c>
      <c r="Q6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32">
        <f>IF(INDEX(tblContractForDeed[Payment],ROW()-ROW(tblBuyerOutputs[#Headers]))=0,0,INDEX(tblContractForDeed[Payment],ROW()-ROW(tblBuyerOutputs[#Headers]))-INDEX(tblSubjectToLoan[Payment],ROW()-ROW(tblBuyerOutputs[#Headers])))</f>
        <v>0</v>
      </c>
      <c r="Z6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7" s="332">
        <f>IF(INDEX(tblContractForDeed[End Bal],ROW()-ROW(tblBuyerOutputs[#Headers]))&lt;=0,0,($O$6+IF(ROW()=ROW(tblBuyerOutputs[#Headers])+1,0,INDEX(tblBuyerOutputs[Cumul Appr],ROW()-ROW(tblBuyerOutputs[#Headers])-1)))*$AK$2/12)</f>
        <v>0</v>
      </c>
      <c r="AE667" s="332">
        <f>IF(INDEX(tblContractForDeed[End Bal],ROW()-ROW(tblBuyerOutputs[#Headers]))&lt;=0,0,IF(ROW()=ROW(tblBuyerOutputs[#Headers])+1,0,INDEX(tblBuyerOutputs[Cumul Appr],ROW()-ROW(tblBuyerOutputs[#Headers])-1))+tblBuyerOutputs[[#This Row],[Monthly Appr]])</f>
        <v>0</v>
      </c>
      <c r="AQ667" s="21"/>
    </row>
    <row r="668" spans="1:43" x14ac:dyDescent="0.25">
      <c r="A668" s="613"/>
      <c r="L668" s="394">
        <f t="shared" si="120"/>
        <v>0</v>
      </c>
      <c r="M668" s="394">
        <f t="shared" si="121"/>
        <v>0</v>
      </c>
      <c r="N668" s="613">
        <f>INDEX(tblSubjectToLoan[Date],ROW()-ROW(tblContractForDeed[#Headers]))</f>
        <v>0</v>
      </c>
      <c r="O668" s="276">
        <f>IF(ROW()=ROW(tblContractForDeed[#Headers])+1,$O$6,IF(INDEX(tblContractForDeed[End Bal],ROW()-ROW(tblContractForDeed[#Headers])-1)&lt;0,0,INDEX(tblContractForDeed[End Bal],ROW()-ROW(tblContractForDeed[#Headers])-1)))</f>
        <v>0</v>
      </c>
      <c r="P668" s="454">
        <f>IF(tblContractForDeed[[#This Row],[Date]]="","",IF(tblContractForDeed[[#This Row],[Date]]&lt;cfdRateChangeDate,cfdRate1,cfdRate2))</f>
        <v>7.0000000000000007E-2</v>
      </c>
      <c r="Q6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276">
        <f>IF(INDEX(tblContractForDeed[Payment],ROW()-ROW(tblBuyerOutputs[#Headers]))=0,0,INDEX(tblContractForDeed[Payment],ROW()-ROW(tblBuyerOutputs[#Headers]))-INDEX(tblSubjectToLoan[Payment],ROW()-ROW(tblBuyerOutputs[#Headers])))</f>
        <v>0</v>
      </c>
      <c r="Z6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8" s="276">
        <f>IF(INDEX(tblContractForDeed[End Bal],ROW()-ROW(tblBuyerOutputs[#Headers]))&lt;=0,0,($O$6+IF(ROW()=ROW(tblBuyerOutputs[#Headers])+1,0,INDEX(tblBuyerOutputs[Cumul Appr],ROW()-ROW(tblBuyerOutputs[#Headers])-1)))*$AK$2/12)</f>
        <v>0</v>
      </c>
      <c r="AE668" s="276">
        <f>IF(INDEX(tblContractForDeed[End Bal],ROW()-ROW(tblBuyerOutputs[#Headers]))&lt;=0,0,IF(ROW()=ROW(tblBuyerOutputs[#Headers])+1,0,INDEX(tblBuyerOutputs[Cumul Appr],ROW()-ROW(tblBuyerOutputs[#Headers])-1))+tblBuyerOutputs[[#This Row],[Monthly Appr]])</f>
        <v>0</v>
      </c>
    </row>
    <row r="669" spans="1:43" x14ac:dyDescent="0.25">
      <c r="A669" s="613"/>
      <c r="L669" s="394">
        <f t="shared" si="120"/>
        <v>0</v>
      </c>
      <c r="M669" s="394">
        <f t="shared" si="121"/>
        <v>0</v>
      </c>
      <c r="N669" s="613">
        <f>INDEX(tblSubjectToLoan[Date],ROW()-ROW(tblContractForDeed[#Headers]))</f>
        <v>0</v>
      </c>
      <c r="O669" s="276">
        <f>IF(ROW()=ROW(tblContractForDeed[#Headers])+1,$O$6,IF(INDEX(tblContractForDeed[End Bal],ROW()-ROW(tblContractForDeed[#Headers])-1)&lt;0,0,INDEX(tblContractForDeed[End Bal],ROW()-ROW(tblContractForDeed[#Headers])-1)))</f>
        <v>0</v>
      </c>
      <c r="P669" s="454">
        <f>IF(tblContractForDeed[[#This Row],[Date]]="","",IF(tblContractForDeed[[#This Row],[Date]]&lt;cfdRateChangeDate,cfdRate1,cfdRate2))</f>
        <v>7.0000000000000007E-2</v>
      </c>
      <c r="Q6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276">
        <f>IF(INDEX(tblContractForDeed[Payment],ROW()-ROW(tblBuyerOutputs[#Headers]))=0,0,INDEX(tblContractForDeed[Payment],ROW()-ROW(tblBuyerOutputs[#Headers]))-INDEX(tblSubjectToLoan[Payment],ROW()-ROW(tblBuyerOutputs[#Headers])))</f>
        <v>0</v>
      </c>
      <c r="Z6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9" s="276">
        <f>IF(INDEX(tblContractForDeed[End Bal],ROW()-ROW(tblBuyerOutputs[#Headers]))&lt;=0,0,($O$6+IF(ROW()=ROW(tblBuyerOutputs[#Headers])+1,0,INDEX(tblBuyerOutputs[Cumul Appr],ROW()-ROW(tblBuyerOutputs[#Headers])-1)))*$AK$2/12)</f>
        <v>0</v>
      </c>
      <c r="AE669" s="276">
        <f>IF(INDEX(tblContractForDeed[End Bal],ROW()-ROW(tblBuyerOutputs[#Headers]))&lt;=0,0,IF(ROW()=ROW(tblBuyerOutputs[#Headers])+1,0,INDEX(tblBuyerOutputs[Cumul Appr],ROW()-ROW(tblBuyerOutputs[#Headers])-1))+tblBuyerOutputs[[#This Row],[Monthly Appr]])</f>
        <v>0</v>
      </c>
    </row>
    <row r="670" spans="1:43" x14ac:dyDescent="0.25">
      <c r="A670" s="613"/>
      <c r="L670" s="394">
        <f t="shared" si="120"/>
        <v>0</v>
      </c>
      <c r="M670" s="394">
        <f t="shared" si="121"/>
        <v>0</v>
      </c>
      <c r="N670" s="613">
        <f>INDEX(tblSubjectToLoan[Date],ROW()-ROW(tblContractForDeed[#Headers]))</f>
        <v>0</v>
      </c>
      <c r="O670" s="276">
        <f>IF(ROW()=ROW(tblContractForDeed[#Headers])+1,$O$6,IF(INDEX(tblContractForDeed[End Bal],ROW()-ROW(tblContractForDeed[#Headers])-1)&lt;0,0,INDEX(tblContractForDeed[End Bal],ROW()-ROW(tblContractForDeed[#Headers])-1)))</f>
        <v>0</v>
      </c>
      <c r="P670" s="454">
        <f>IF(tblContractForDeed[[#This Row],[Date]]="","",IF(tblContractForDeed[[#This Row],[Date]]&lt;cfdRateChangeDate,cfdRate1,cfdRate2))</f>
        <v>7.0000000000000007E-2</v>
      </c>
      <c r="Q6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276">
        <f>IF(INDEX(tblContractForDeed[Payment],ROW()-ROW(tblBuyerOutputs[#Headers]))=0,0,INDEX(tblContractForDeed[Payment],ROW()-ROW(tblBuyerOutputs[#Headers]))-INDEX(tblSubjectToLoan[Payment],ROW()-ROW(tblBuyerOutputs[#Headers])))</f>
        <v>0</v>
      </c>
      <c r="Z6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0" s="276">
        <f>IF(INDEX(tblContractForDeed[End Bal],ROW()-ROW(tblBuyerOutputs[#Headers]))&lt;=0,0,($O$6+IF(ROW()=ROW(tblBuyerOutputs[#Headers])+1,0,INDEX(tblBuyerOutputs[Cumul Appr],ROW()-ROW(tblBuyerOutputs[#Headers])-1)))*$AK$2/12)</f>
        <v>0</v>
      </c>
      <c r="AE670" s="276">
        <f>IF(INDEX(tblContractForDeed[End Bal],ROW()-ROW(tblBuyerOutputs[#Headers]))&lt;=0,0,IF(ROW()=ROW(tblBuyerOutputs[#Headers])+1,0,INDEX(tblBuyerOutputs[Cumul Appr],ROW()-ROW(tblBuyerOutputs[#Headers])-1))+tblBuyerOutputs[[#This Row],[Monthly Appr]])</f>
        <v>0</v>
      </c>
    </row>
    <row r="671" spans="1:43" x14ac:dyDescent="0.25">
      <c r="A671" s="613"/>
      <c r="L671" s="394">
        <f t="shared" si="120"/>
        <v>0</v>
      </c>
      <c r="M671" s="394">
        <f t="shared" si="121"/>
        <v>0</v>
      </c>
      <c r="N671" s="613">
        <f>INDEX(tblSubjectToLoan[Date],ROW()-ROW(tblContractForDeed[#Headers]))</f>
        <v>0</v>
      </c>
      <c r="O671" s="276">
        <f>IF(ROW()=ROW(tblContractForDeed[#Headers])+1,$O$6,IF(INDEX(tblContractForDeed[End Bal],ROW()-ROW(tblContractForDeed[#Headers])-1)&lt;0,0,INDEX(tblContractForDeed[End Bal],ROW()-ROW(tblContractForDeed[#Headers])-1)))</f>
        <v>0</v>
      </c>
      <c r="P671" s="454">
        <f>IF(tblContractForDeed[[#This Row],[Date]]="","",IF(tblContractForDeed[[#This Row],[Date]]&lt;cfdRateChangeDate,cfdRate1,cfdRate2))</f>
        <v>7.0000000000000007E-2</v>
      </c>
      <c r="Q6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276">
        <f>IF(INDEX(tblContractForDeed[Payment],ROW()-ROW(tblBuyerOutputs[#Headers]))=0,0,INDEX(tblContractForDeed[Payment],ROW()-ROW(tblBuyerOutputs[#Headers]))-INDEX(tblSubjectToLoan[Payment],ROW()-ROW(tblBuyerOutputs[#Headers])))</f>
        <v>0</v>
      </c>
      <c r="Z6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1" s="276">
        <f>IF(INDEX(tblContractForDeed[End Bal],ROW()-ROW(tblBuyerOutputs[#Headers]))&lt;=0,0,($O$6+IF(ROW()=ROW(tblBuyerOutputs[#Headers])+1,0,INDEX(tblBuyerOutputs[Cumul Appr],ROW()-ROW(tblBuyerOutputs[#Headers])-1)))*$AK$2/12)</f>
        <v>0</v>
      </c>
      <c r="AE671" s="276">
        <f>IF(INDEX(tblContractForDeed[End Bal],ROW()-ROW(tblBuyerOutputs[#Headers]))&lt;=0,0,IF(ROW()=ROW(tblBuyerOutputs[#Headers])+1,0,INDEX(tblBuyerOutputs[Cumul Appr],ROW()-ROW(tblBuyerOutputs[#Headers])-1))+tblBuyerOutputs[[#This Row],[Monthly Appr]])</f>
        <v>0</v>
      </c>
    </row>
    <row r="672" spans="1:43" x14ac:dyDescent="0.25">
      <c r="A672" s="613"/>
      <c r="L672" s="394">
        <f t="shared" si="120"/>
        <v>0</v>
      </c>
      <c r="M672" s="394">
        <f t="shared" si="121"/>
        <v>0</v>
      </c>
      <c r="N672" s="613">
        <f>INDEX(tblSubjectToLoan[Date],ROW()-ROW(tblContractForDeed[#Headers]))</f>
        <v>0</v>
      </c>
      <c r="O672" s="276">
        <f>IF(ROW()=ROW(tblContractForDeed[#Headers])+1,$O$6,IF(INDEX(tblContractForDeed[End Bal],ROW()-ROW(tblContractForDeed[#Headers])-1)&lt;0,0,INDEX(tblContractForDeed[End Bal],ROW()-ROW(tblContractForDeed[#Headers])-1)))</f>
        <v>0</v>
      </c>
      <c r="P672" s="454">
        <f>IF(tblContractForDeed[[#This Row],[Date]]="","",IF(tblContractForDeed[[#This Row],[Date]]&lt;cfdRateChangeDate,cfdRate1,cfdRate2))</f>
        <v>7.0000000000000007E-2</v>
      </c>
      <c r="Q6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276">
        <f>IF(INDEX(tblContractForDeed[Payment],ROW()-ROW(tblBuyerOutputs[#Headers]))=0,0,INDEX(tblContractForDeed[Payment],ROW()-ROW(tblBuyerOutputs[#Headers]))-INDEX(tblSubjectToLoan[Payment],ROW()-ROW(tblBuyerOutputs[#Headers])))</f>
        <v>0</v>
      </c>
      <c r="Z6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2" s="276">
        <f>IF(INDEX(tblContractForDeed[End Bal],ROW()-ROW(tblBuyerOutputs[#Headers]))&lt;=0,0,($O$6+IF(ROW()=ROW(tblBuyerOutputs[#Headers])+1,0,INDEX(tblBuyerOutputs[Cumul Appr],ROW()-ROW(tblBuyerOutputs[#Headers])-1)))*$AK$2/12)</f>
        <v>0</v>
      </c>
      <c r="AE672" s="276">
        <f>IF(INDEX(tblContractForDeed[End Bal],ROW()-ROW(tblBuyerOutputs[#Headers]))&lt;=0,0,IF(ROW()=ROW(tblBuyerOutputs[#Headers])+1,0,INDEX(tblBuyerOutputs[Cumul Appr],ROW()-ROW(tblBuyerOutputs[#Headers])-1))+tblBuyerOutputs[[#This Row],[Monthly Appr]])</f>
        <v>0</v>
      </c>
    </row>
    <row r="673" spans="1:43" x14ac:dyDescent="0.25">
      <c r="A673" s="613"/>
      <c r="L673" s="394">
        <f t="shared" si="120"/>
        <v>0</v>
      </c>
      <c r="M673" s="394">
        <f t="shared" si="121"/>
        <v>0</v>
      </c>
      <c r="N673" s="613">
        <f>INDEX(tblSubjectToLoan[Date],ROW()-ROW(tblContractForDeed[#Headers]))</f>
        <v>0</v>
      </c>
      <c r="O673" s="276">
        <f>IF(ROW()=ROW(tblContractForDeed[#Headers])+1,$O$6,IF(INDEX(tblContractForDeed[End Bal],ROW()-ROW(tblContractForDeed[#Headers])-1)&lt;0,0,INDEX(tblContractForDeed[End Bal],ROW()-ROW(tblContractForDeed[#Headers])-1)))</f>
        <v>0</v>
      </c>
      <c r="P673" s="454">
        <f>IF(tblContractForDeed[[#This Row],[Date]]="","",IF(tblContractForDeed[[#This Row],[Date]]&lt;cfdRateChangeDate,cfdRate1,cfdRate2))</f>
        <v>7.0000000000000007E-2</v>
      </c>
      <c r="Q6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276">
        <f>IF(INDEX(tblContractForDeed[Payment],ROW()-ROW(tblBuyerOutputs[#Headers]))=0,0,INDEX(tblContractForDeed[Payment],ROW()-ROW(tblBuyerOutputs[#Headers]))-INDEX(tblSubjectToLoan[Payment],ROW()-ROW(tblBuyerOutputs[#Headers])))</f>
        <v>0</v>
      </c>
      <c r="Z6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3" s="276">
        <f>IF(INDEX(tblContractForDeed[End Bal],ROW()-ROW(tblBuyerOutputs[#Headers]))&lt;=0,0,($O$6+IF(ROW()=ROW(tblBuyerOutputs[#Headers])+1,0,INDEX(tblBuyerOutputs[Cumul Appr],ROW()-ROW(tblBuyerOutputs[#Headers])-1)))*$AK$2/12)</f>
        <v>0</v>
      </c>
      <c r="AE673" s="276">
        <f>IF(INDEX(tblContractForDeed[End Bal],ROW()-ROW(tblBuyerOutputs[#Headers]))&lt;=0,0,IF(ROW()=ROW(tblBuyerOutputs[#Headers])+1,0,INDEX(tblBuyerOutputs[Cumul Appr],ROW()-ROW(tblBuyerOutputs[#Headers])-1))+tblBuyerOutputs[[#This Row],[Monthly Appr]])</f>
        <v>0</v>
      </c>
    </row>
    <row r="674" spans="1:43" x14ac:dyDescent="0.25">
      <c r="A674" s="613"/>
      <c r="L674" s="394">
        <f t="shared" si="120"/>
        <v>0</v>
      </c>
      <c r="M674" s="394">
        <f t="shared" si="121"/>
        <v>0</v>
      </c>
      <c r="N674" s="613">
        <f>INDEX(tblSubjectToLoan[Date],ROW()-ROW(tblContractForDeed[#Headers]))</f>
        <v>0</v>
      </c>
      <c r="O674" s="276">
        <f>IF(ROW()=ROW(tblContractForDeed[#Headers])+1,$O$6,IF(INDEX(tblContractForDeed[End Bal],ROW()-ROW(tblContractForDeed[#Headers])-1)&lt;0,0,INDEX(tblContractForDeed[End Bal],ROW()-ROW(tblContractForDeed[#Headers])-1)))</f>
        <v>0</v>
      </c>
      <c r="P674" s="454">
        <f>IF(tblContractForDeed[[#This Row],[Date]]="","",IF(tblContractForDeed[[#This Row],[Date]]&lt;cfdRateChangeDate,cfdRate1,cfdRate2))</f>
        <v>7.0000000000000007E-2</v>
      </c>
      <c r="Q6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276">
        <f>IF(INDEX(tblContractForDeed[Payment],ROW()-ROW(tblBuyerOutputs[#Headers]))=0,0,INDEX(tblContractForDeed[Payment],ROW()-ROW(tblBuyerOutputs[#Headers]))-INDEX(tblSubjectToLoan[Payment],ROW()-ROW(tblBuyerOutputs[#Headers])))</f>
        <v>0</v>
      </c>
      <c r="Z6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4" s="276">
        <f>IF(INDEX(tblContractForDeed[End Bal],ROW()-ROW(tblBuyerOutputs[#Headers]))&lt;=0,0,($O$6+IF(ROW()=ROW(tblBuyerOutputs[#Headers])+1,0,INDEX(tblBuyerOutputs[Cumul Appr],ROW()-ROW(tblBuyerOutputs[#Headers])-1)))*$AK$2/12)</f>
        <v>0</v>
      </c>
      <c r="AE674" s="276">
        <f>IF(INDEX(tblContractForDeed[End Bal],ROW()-ROW(tblBuyerOutputs[#Headers]))&lt;=0,0,IF(ROW()=ROW(tblBuyerOutputs[#Headers])+1,0,INDEX(tblBuyerOutputs[Cumul Appr],ROW()-ROW(tblBuyerOutputs[#Headers])-1))+tblBuyerOutputs[[#This Row],[Monthly Appr]])</f>
        <v>0</v>
      </c>
    </row>
    <row r="675" spans="1:43" x14ac:dyDescent="0.25">
      <c r="A675" s="613"/>
      <c r="L675" s="394">
        <f t="shared" si="120"/>
        <v>0</v>
      </c>
      <c r="M675" s="394">
        <f t="shared" si="121"/>
        <v>0</v>
      </c>
      <c r="N675" s="613">
        <f>INDEX(tblSubjectToLoan[Date],ROW()-ROW(tblContractForDeed[#Headers]))</f>
        <v>0</v>
      </c>
      <c r="O675" s="276">
        <f>IF(ROW()=ROW(tblContractForDeed[#Headers])+1,$O$6,IF(INDEX(tblContractForDeed[End Bal],ROW()-ROW(tblContractForDeed[#Headers])-1)&lt;0,0,INDEX(tblContractForDeed[End Bal],ROW()-ROW(tblContractForDeed[#Headers])-1)))</f>
        <v>0</v>
      </c>
      <c r="P675" s="454">
        <f>IF(tblContractForDeed[[#This Row],[Date]]="","",IF(tblContractForDeed[[#This Row],[Date]]&lt;cfdRateChangeDate,cfdRate1,cfdRate2))</f>
        <v>7.0000000000000007E-2</v>
      </c>
      <c r="Q6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276">
        <f>IF(INDEX(tblContractForDeed[Payment],ROW()-ROW(tblBuyerOutputs[#Headers]))=0,0,INDEX(tblContractForDeed[Payment],ROW()-ROW(tblBuyerOutputs[#Headers]))-INDEX(tblSubjectToLoan[Payment],ROW()-ROW(tblBuyerOutputs[#Headers])))</f>
        <v>0</v>
      </c>
      <c r="Z6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5" s="276">
        <f>IF(INDEX(tblContractForDeed[End Bal],ROW()-ROW(tblBuyerOutputs[#Headers]))&lt;=0,0,($O$6+IF(ROW()=ROW(tblBuyerOutputs[#Headers])+1,0,INDEX(tblBuyerOutputs[Cumul Appr],ROW()-ROW(tblBuyerOutputs[#Headers])-1)))*$AK$2/12)</f>
        <v>0</v>
      </c>
      <c r="AE675" s="276">
        <f>IF(INDEX(tblContractForDeed[End Bal],ROW()-ROW(tblBuyerOutputs[#Headers]))&lt;=0,0,IF(ROW()=ROW(tblBuyerOutputs[#Headers])+1,0,INDEX(tblBuyerOutputs[Cumul Appr],ROW()-ROW(tblBuyerOutputs[#Headers])-1))+tblBuyerOutputs[[#This Row],[Monthly Appr]])</f>
        <v>0</v>
      </c>
    </row>
    <row r="676" spans="1:43" x14ac:dyDescent="0.25">
      <c r="A676" s="613"/>
      <c r="L676" s="394">
        <f t="shared" si="120"/>
        <v>0</v>
      </c>
      <c r="M676" s="394">
        <f t="shared" si="121"/>
        <v>0</v>
      </c>
      <c r="N676" s="613">
        <f>INDEX(tblSubjectToLoan[Date],ROW()-ROW(tblContractForDeed[#Headers]))</f>
        <v>0</v>
      </c>
      <c r="O676" s="276">
        <f>IF(ROW()=ROW(tblContractForDeed[#Headers])+1,$O$6,IF(INDEX(tblContractForDeed[End Bal],ROW()-ROW(tblContractForDeed[#Headers])-1)&lt;0,0,INDEX(tblContractForDeed[End Bal],ROW()-ROW(tblContractForDeed[#Headers])-1)))</f>
        <v>0</v>
      </c>
      <c r="P676" s="454">
        <f>IF(tblContractForDeed[[#This Row],[Date]]="","",IF(tblContractForDeed[[#This Row],[Date]]&lt;cfdRateChangeDate,cfdRate1,cfdRate2))</f>
        <v>7.0000000000000007E-2</v>
      </c>
      <c r="Q6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276">
        <f>IF(INDEX(tblContractForDeed[Payment],ROW()-ROW(tblBuyerOutputs[#Headers]))=0,0,INDEX(tblContractForDeed[Payment],ROW()-ROW(tblBuyerOutputs[#Headers]))-INDEX(tblSubjectToLoan[Payment],ROW()-ROW(tblBuyerOutputs[#Headers])))</f>
        <v>0</v>
      </c>
      <c r="Z6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6" s="276">
        <f>IF(INDEX(tblContractForDeed[End Bal],ROW()-ROW(tblBuyerOutputs[#Headers]))&lt;=0,0,($O$6+IF(ROW()=ROW(tblBuyerOutputs[#Headers])+1,0,INDEX(tblBuyerOutputs[Cumul Appr],ROW()-ROW(tblBuyerOutputs[#Headers])-1)))*$AK$2/12)</f>
        <v>0</v>
      </c>
      <c r="AE676" s="276">
        <f>IF(INDEX(tblContractForDeed[End Bal],ROW()-ROW(tblBuyerOutputs[#Headers]))&lt;=0,0,IF(ROW()=ROW(tblBuyerOutputs[#Headers])+1,0,INDEX(tblBuyerOutputs[Cumul Appr],ROW()-ROW(tblBuyerOutputs[#Headers])-1))+tblBuyerOutputs[[#This Row],[Monthly Appr]])</f>
        <v>0</v>
      </c>
    </row>
    <row r="677" spans="1:43" x14ac:dyDescent="0.25">
      <c r="A677" s="613"/>
      <c r="L677" s="394">
        <f t="shared" si="120"/>
        <v>0</v>
      </c>
      <c r="M677" s="394">
        <f t="shared" si="121"/>
        <v>0</v>
      </c>
      <c r="N677" s="613">
        <f>INDEX(tblSubjectToLoan[Date],ROW()-ROW(tblContractForDeed[#Headers]))</f>
        <v>0</v>
      </c>
      <c r="O677" s="276">
        <f>IF(ROW()=ROW(tblContractForDeed[#Headers])+1,$O$6,IF(INDEX(tblContractForDeed[End Bal],ROW()-ROW(tblContractForDeed[#Headers])-1)&lt;0,0,INDEX(tblContractForDeed[End Bal],ROW()-ROW(tblContractForDeed[#Headers])-1)))</f>
        <v>0</v>
      </c>
      <c r="P677" s="454">
        <f>IF(tblContractForDeed[[#This Row],[Date]]="","",IF(tblContractForDeed[[#This Row],[Date]]&lt;cfdRateChangeDate,cfdRate1,cfdRate2))</f>
        <v>7.0000000000000007E-2</v>
      </c>
      <c r="Q6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276">
        <f>IF(INDEX(tblContractForDeed[Payment],ROW()-ROW(tblBuyerOutputs[#Headers]))=0,0,INDEX(tblContractForDeed[Payment],ROW()-ROW(tblBuyerOutputs[#Headers]))-INDEX(tblSubjectToLoan[Payment],ROW()-ROW(tblBuyerOutputs[#Headers])))</f>
        <v>0</v>
      </c>
      <c r="Z6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7" s="276">
        <f>IF(INDEX(tblContractForDeed[End Bal],ROW()-ROW(tblBuyerOutputs[#Headers]))&lt;=0,0,($O$6+IF(ROW()=ROW(tblBuyerOutputs[#Headers])+1,0,INDEX(tblBuyerOutputs[Cumul Appr],ROW()-ROW(tblBuyerOutputs[#Headers])-1)))*$AK$2/12)</f>
        <v>0</v>
      </c>
      <c r="AE677" s="276">
        <f>IF(INDEX(tblContractForDeed[End Bal],ROW()-ROW(tblBuyerOutputs[#Headers]))&lt;=0,0,IF(ROW()=ROW(tblBuyerOutputs[#Headers])+1,0,INDEX(tblBuyerOutputs[Cumul Appr],ROW()-ROW(tblBuyerOutputs[#Headers])-1))+tblBuyerOutputs[[#This Row],[Monthly Appr]])</f>
        <v>0</v>
      </c>
    </row>
    <row r="678" spans="1:43" x14ac:dyDescent="0.25">
      <c r="A678" s="613"/>
      <c r="L678" s="394">
        <f t="shared" si="120"/>
        <v>0</v>
      </c>
      <c r="M678" s="394">
        <f t="shared" si="121"/>
        <v>0</v>
      </c>
      <c r="N678" s="613">
        <f>INDEX(tblSubjectToLoan[Date],ROW()-ROW(tblContractForDeed[#Headers]))</f>
        <v>0</v>
      </c>
      <c r="O678" s="276">
        <f>IF(ROW()=ROW(tblContractForDeed[#Headers])+1,$O$6,IF(INDEX(tblContractForDeed[End Bal],ROW()-ROW(tblContractForDeed[#Headers])-1)&lt;0,0,INDEX(tblContractForDeed[End Bal],ROW()-ROW(tblContractForDeed[#Headers])-1)))</f>
        <v>0</v>
      </c>
      <c r="P678" s="454">
        <f>IF(tblContractForDeed[[#This Row],[Date]]="","",IF(tblContractForDeed[[#This Row],[Date]]&lt;cfdRateChangeDate,cfdRate1,cfdRate2))</f>
        <v>7.0000000000000007E-2</v>
      </c>
      <c r="Q6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276">
        <f>IF(INDEX(tblContractForDeed[Payment],ROW()-ROW(tblBuyerOutputs[#Headers]))=0,0,INDEX(tblContractForDeed[Payment],ROW()-ROW(tblBuyerOutputs[#Headers]))-INDEX(tblSubjectToLoan[Payment],ROW()-ROW(tblBuyerOutputs[#Headers])))</f>
        <v>0</v>
      </c>
      <c r="Z6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8" s="276">
        <f>IF(INDEX(tblContractForDeed[End Bal],ROW()-ROW(tblBuyerOutputs[#Headers]))&lt;=0,0,($O$6+IF(ROW()=ROW(tblBuyerOutputs[#Headers])+1,0,INDEX(tblBuyerOutputs[Cumul Appr],ROW()-ROW(tblBuyerOutputs[#Headers])-1)))*$AK$2/12)</f>
        <v>0</v>
      </c>
      <c r="AE678" s="276">
        <f>IF(INDEX(tblContractForDeed[End Bal],ROW()-ROW(tblBuyerOutputs[#Headers]))&lt;=0,0,IF(ROW()=ROW(tblBuyerOutputs[#Headers])+1,0,INDEX(tblBuyerOutputs[Cumul Appr],ROW()-ROW(tblBuyerOutputs[#Headers])-1))+tblBuyerOutputs[[#This Row],[Monthly Appr]])</f>
        <v>0</v>
      </c>
    </row>
    <row r="679" spans="1:43" ht="15.75" thickBot="1" x14ac:dyDescent="0.3">
      <c r="A679" s="615"/>
      <c r="B679" s="332"/>
      <c r="C679" s="21"/>
      <c r="D679" s="21"/>
      <c r="E679" s="21"/>
      <c r="F679" s="21"/>
      <c r="G679" s="21"/>
      <c r="H679" s="21"/>
      <c r="I679" s="332"/>
      <c r="J679" s="332"/>
      <c r="K679" s="332"/>
      <c r="L679" s="395">
        <f t="shared" si="120"/>
        <v>0</v>
      </c>
      <c r="M679" s="395">
        <f t="shared" si="121"/>
        <v>0</v>
      </c>
      <c r="N679" s="615">
        <f>INDEX(tblSubjectToLoan[Date],ROW()-ROW(tblContractForDeed[#Headers]))</f>
        <v>0</v>
      </c>
      <c r="O679" s="332">
        <f>IF(ROW()=ROW(tblContractForDeed[#Headers])+1,$O$6,IF(INDEX(tblContractForDeed[End Bal],ROW()-ROW(tblContractForDeed[#Headers])-1)&lt;0,0,INDEX(tblContractForDeed[End Bal],ROW()-ROW(tblContractForDeed[#Headers])-1)))</f>
        <v>0</v>
      </c>
      <c r="P679" s="454">
        <f>IF(tblContractForDeed[[#This Row],[Date]]="","",IF(tblContractForDeed[[#This Row],[Date]]&lt;cfdRateChangeDate,cfdRate1,cfdRate2))</f>
        <v>7.0000000000000007E-2</v>
      </c>
      <c r="Q6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32">
        <f>IF(INDEX(tblContractForDeed[Payment],ROW()-ROW(tblBuyerOutputs[#Headers]))=0,0,INDEX(tblContractForDeed[Payment],ROW()-ROW(tblBuyerOutputs[#Headers]))-INDEX(tblSubjectToLoan[Payment],ROW()-ROW(tblBuyerOutputs[#Headers])))</f>
        <v>0</v>
      </c>
      <c r="Z6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9" s="332">
        <f>IF(INDEX(tblContractForDeed[End Bal],ROW()-ROW(tblBuyerOutputs[#Headers]))&lt;=0,0,($O$6+IF(ROW()=ROW(tblBuyerOutputs[#Headers])+1,0,INDEX(tblBuyerOutputs[Cumul Appr],ROW()-ROW(tblBuyerOutputs[#Headers])-1)))*$AK$2/12)</f>
        <v>0</v>
      </c>
      <c r="AE679" s="332">
        <f>IF(INDEX(tblContractForDeed[End Bal],ROW()-ROW(tblBuyerOutputs[#Headers]))&lt;=0,0,IF(ROW()=ROW(tblBuyerOutputs[#Headers])+1,0,INDEX(tblBuyerOutputs[Cumul Appr],ROW()-ROW(tblBuyerOutputs[#Headers])-1))+tblBuyerOutputs[[#This Row],[Monthly Appr]])</f>
        <v>0</v>
      </c>
      <c r="AQ679" s="21"/>
    </row>
    <row r="680" spans="1:43" x14ac:dyDescent="0.25">
      <c r="A680" s="613"/>
      <c r="L680" s="394">
        <f t="shared" si="120"/>
        <v>0</v>
      </c>
      <c r="M680" s="394">
        <f t="shared" si="121"/>
        <v>0</v>
      </c>
      <c r="N680" s="613">
        <f>INDEX(tblSubjectToLoan[Date],ROW()-ROW(tblContractForDeed[#Headers]))</f>
        <v>0</v>
      </c>
      <c r="O680" s="276">
        <f>IF(ROW()=ROW(tblContractForDeed[#Headers])+1,$O$6,IF(INDEX(tblContractForDeed[End Bal],ROW()-ROW(tblContractForDeed[#Headers])-1)&lt;0,0,INDEX(tblContractForDeed[End Bal],ROW()-ROW(tblContractForDeed[#Headers])-1)))</f>
        <v>0</v>
      </c>
      <c r="P680" s="454">
        <f>IF(tblContractForDeed[[#This Row],[Date]]="","",IF(tblContractForDeed[[#This Row],[Date]]&lt;cfdRateChangeDate,cfdRate1,cfdRate2))</f>
        <v>7.0000000000000007E-2</v>
      </c>
      <c r="Q6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276">
        <f>IF(INDEX(tblContractForDeed[Payment],ROW()-ROW(tblBuyerOutputs[#Headers]))=0,0,INDEX(tblContractForDeed[Payment],ROW()-ROW(tblBuyerOutputs[#Headers]))-INDEX(tblSubjectToLoan[Payment],ROW()-ROW(tblBuyerOutputs[#Headers])))</f>
        <v>0</v>
      </c>
      <c r="Z6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0" s="276">
        <f>IF(INDEX(tblContractForDeed[End Bal],ROW()-ROW(tblBuyerOutputs[#Headers]))&lt;=0,0,($O$6+IF(ROW()=ROW(tblBuyerOutputs[#Headers])+1,0,INDEX(tblBuyerOutputs[Cumul Appr],ROW()-ROW(tblBuyerOutputs[#Headers])-1)))*$AK$2/12)</f>
        <v>0</v>
      </c>
      <c r="AE680" s="276">
        <f>IF(INDEX(tblContractForDeed[End Bal],ROW()-ROW(tblBuyerOutputs[#Headers]))&lt;=0,0,IF(ROW()=ROW(tblBuyerOutputs[#Headers])+1,0,INDEX(tblBuyerOutputs[Cumul Appr],ROW()-ROW(tblBuyerOutputs[#Headers])-1))+tblBuyerOutputs[[#This Row],[Monthly Appr]])</f>
        <v>0</v>
      </c>
    </row>
    <row r="681" spans="1:43" x14ac:dyDescent="0.25">
      <c r="A681" s="613"/>
      <c r="L681" s="394">
        <f t="shared" si="120"/>
        <v>0</v>
      </c>
      <c r="M681" s="394">
        <f t="shared" si="121"/>
        <v>0</v>
      </c>
      <c r="N681" s="613">
        <f>INDEX(tblSubjectToLoan[Date],ROW()-ROW(tblContractForDeed[#Headers]))</f>
        <v>0</v>
      </c>
      <c r="O681" s="276">
        <f>IF(ROW()=ROW(tblContractForDeed[#Headers])+1,$O$6,IF(INDEX(tblContractForDeed[End Bal],ROW()-ROW(tblContractForDeed[#Headers])-1)&lt;0,0,INDEX(tblContractForDeed[End Bal],ROW()-ROW(tblContractForDeed[#Headers])-1)))</f>
        <v>0</v>
      </c>
      <c r="P681" s="454">
        <f>IF(tblContractForDeed[[#This Row],[Date]]="","",IF(tblContractForDeed[[#This Row],[Date]]&lt;cfdRateChangeDate,cfdRate1,cfdRate2))</f>
        <v>7.0000000000000007E-2</v>
      </c>
      <c r="Q6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276">
        <f>IF(INDEX(tblContractForDeed[Payment],ROW()-ROW(tblBuyerOutputs[#Headers]))=0,0,INDEX(tblContractForDeed[Payment],ROW()-ROW(tblBuyerOutputs[#Headers]))-INDEX(tblSubjectToLoan[Payment],ROW()-ROW(tblBuyerOutputs[#Headers])))</f>
        <v>0</v>
      </c>
      <c r="Z6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1" s="276">
        <f>IF(INDEX(tblContractForDeed[End Bal],ROW()-ROW(tblBuyerOutputs[#Headers]))&lt;=0,0,($O$6+IF(ROW()=ROW(tblBuyerOutputs[#Headers])+1,0,INDEX(tblBuyerOutputs[Cumul Appr],ROW()-ROW(tblBuyerOutputs[#Headers])-1)))*$AK$2/12)</f>
        <v>0</v>
      </c>
      <c r="AE681" s="276">
        <f>IF(INDEX(tblContractForDeed[End Bal],ROW()-ROW(tblBuyerOutputs[#Headers]))&lt;=0,0,IF(ROW()=ROW(tblBuyerOutputs[#Headers])+1,0,INDEX(tblBuyerOutputs[Cumul Appr],ROW()-ROW(tblBuyerOutputs[#Headers])-1))+tblBuyerOutputs[[#This Row],[Monthly Appr]])</f>
        <v>0</v>
      </c>
    </row>
    <row r="682" spans="1:43" x14ac:dyDescent="0.25">
      <c r="A682" s="613"/>
      <c r="L682" s="394">
        <f t="shared" si="120"/>
        <v>0</v>
      </c>
      <c r="M682" s="394">
        <f t="shared" si="121"/>
        <v>0</v>
      </c>
      <c r="N682" s="613">
        <f>INDEX(tblSubjectToLoan[Date],ROW()-ROW(tblContractForDeed[#Headers]))</f>
        <v>0</v>
      </c>
      <c r="O682" s="276">
        <f>IF(ROW()=ROW(tblContractForDeed[#Headers])+1,$O$6,IF(INDEX(tblContractForDeed[End Bal],ROW()-ROW(tblContractForDeed[#Headers])-1)&lt;0,0,INDEX(tblContractForDeed[End Bal],ROW()-ROW(tblContractForDeed[#Headers])-1)))</f>
        <v>0</v>
      </c>
      <c r="P682" s="454">
        <f>IF(tblContractForDeed[[#This Row],[Date]]="","",IF(tblContractForDeed[[#This Row],[Date]]&lt;cfdRateChangeDate,cfdRate1,cfdRate2))</f>
        <v>7.0000000000000007E-2</v>
      </c>
      <c r="Q6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276">
        <f>IF(INDEX(tblContractForDeed[Payment],ROW()-ROW(tblBuyerOutputs[#Headers]))=0,0,INDEX(tblContractForDeed[Payment],ROW()-ROW(tblBuyerOutputs[#Headers]))-INDEX(tblSubjectToLoan[Payment],ROW()-ROW(tblBuyerOutputs[#Headers])))</f>
        <v>0</v>
      </c>
      <c r="Z6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2" s="276">
        <f>IF(INDEX(tblContractForDeed[End Bal],ROW()-ROW(tblBuyerOutputs[#Headers]))&lt;=0,0,($O$6+IF(ROW()=ROW(tblBuyerOutputs[#Headers])+1,0,INDEX(tblBuyerOutputs[Cumul Appr],ROW()-ROW(tblBuyerOutputs[#Headers])-1)))*$AK$2/12)</f>
        <v>0</v>
      </c>
      <c r="AE682" s="276">
        <f>IF(INDEX(tblContractForDeed[End Bal],ROW()-ROW(tblBuyerOutputs[#Headers]))&lt;=0,0,IF(ROW()=ROW(tblBuyerOutputs[#Headers])+1,0,INDEX(tblBuyerOutputs[Cumul Appr],ROW()-ROW(tblBuyerOutputs[#Headers])-1))+tblBuyerOutputs[[#This Row],[Monthly Appr]])</f>
        <v>0</v>
      </c>
    </row>
    <row r="683" spans="1:43" x14ac:dyDescent="0.25">
      <c r="A683" s="613"/>
      <c r="L683" s="394">
        <f t="shared" si="120"/>
        <v>0</v>
      </c>
      <c r="M683" s="394">
        <f t="shared" si="121"/>
        <v>0</v>
      </c>
      <c r="N683" s="613">
        <f>INDEX(tblSubjectToLoan[Date],ROW()-ROW(tblContractForDeed[#Headers]))</f>
        <v>0</v>
      </c>
      <c r="O683" s="276">
        <f>IF(ROW()=ROW(tblContractForDeed[#Headers])+1,$O$6,IF(INDEX(tblContractForDeed[End Bal],ROW()-ROW(tblContractForDeed[#Headers])-1)&lt;0,0,INDEX(tblContractForDeed[End Bal],ROW()-ROW(tblContractForDeed[#Headers])-1)))</f>
        <v>0</v>
      </c>
      <c r="P683" s="454">
        <f>IF(tblContractForDeed[[#This Row],[Date]]="","",IF(tblContractForDeed[[#This Row],[Date]]&lt;cfdRateChangeDate,cfdRate1,cfdRate2))</f>
        <v>7.0000000000000007E-2</v>
      </c>
      <c r="Q6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276">
        <f>IF(INDEX(tblContractForDeed[Payment],ROW()-ROW(tblBuyerOutputs[#Headers]))=0,0,INDEX(tblContractForDeed[Payment],ROW()-ROW(tblBuyerOutputs[#Headers]))-INDEX(tblSubjectToLoan[Payment],ROW()-ROW(tblBuyerOutputs[#Headers])))</f>
        <v>0</v>
      </c>
      <c r="Z6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3" s="276">
        <f>IF(INDEX(tblContractForDeed[End Bal],ROW()-ROW(tblBuyerOutputs[#Headers]))&lt;=0,0,($O$6+IF(ROW()=ROW(tblBuyerOutputs[#Headers])+1,0,INDEX(tblBuyerOutputs[Cumul Appr],ROW()-ROW(tblBuyerOutputs[#Headers])-1)))*$AK$2/12)</f>
        <v>0</v>
      </c>
      <c r="AE683" s="276">
        <f>IF(INDEX(tblContractForDeed[End Bal],ROW()-ROW(tblBuyerOutputs[#Headers]))&lt;=0,0,IF(ROW()=ROW(tblBuyerOutputs[#Headers])+1,0,INDEX(tblBuyerOutputs[Cumul Appr],ROW()-ROW(tblBuyerOutputs[#Headers])-1))+tblBuyerOutputs[[#This Row],[Monthly Appr]])</f>
        <v>0</v>
      </c>
    </row>
    <row r="684" spans="1:43" x14ac:dyDescent="0.25">
      <c r="A684" s="613"/>
      <c r="L684" s="394">
        <f t="shared" si="120"/>
        <v>0</v>
      </c>
      <c r="M684" s="394">
        <f t="shared" si="121"/>
        <v>0</v>
      </c>
      <c r="N684" s="613">
        <f>INDEX(tblSubjectToLoan[Date],ROW()-ROW(tblContractForDeed[#Headers]))</f>
        <v>0</v>
      </c>
      <c r="O684" s="276">
        <f>IF(ROW()=ROW(tblContractForDeed[#Headers])+1,$O$6,IF(INDEX(tblContractForDeed[End Bal],ROW()-ROW(tblContractForDeed[#Headers])-1)&lt;0,0,INDEX(tblContractForDeed[End Bal],ROW()-ROW(tblContractForDeed[#Headers])-1)))</f>
        <v>0</v>
      </c>
      <c r="P684" s="454">
        <f>IF(tblContractForDeed[[#This Row],[Date]]="","",IF(tblContractForDeed[[#This Row],[Date]]&lt;cfdRateChangeDate,cfdRate1,cfdRate2))</f>
        <v>7.0000000000000007E-2</v>
      </c>
      <c r="Q6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276">
        <f>IF(INDEX(tblContractForDeed[Payment],ROW()-ROW(tblBuyerOutputs[#Headers]))=0,0,INDEX(tblContractForDeed[Payment],ROW()-ROW(tblBuyerOutputs[#Headers]))-INDEX(tblSubjectToLoan[Payment],ROW()-ROW(tblBuyerOutputs[#Headers])))</f>
        <v>0</v>
      </c>
      <c r="Z6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4" s="276">
        <f>IF(INDEX(tblContractForDeed[End Bal],ROW()-ROW(tblBuyerOutputs[#Headers]))&lt;=0,0,($O$6+IF(ROW()=ROW(tblBuyerOutputs[#Headers])+1,0,INDEX(tblBuyerOutputs[Cumul Appr],ROW()-ROW(tblBuyerOutputs[#Headers])-1)))*$AK$2/12)</f>
        <v>0</v>
      </c>
      <c r="AE684" s="276">
        <f>IF(INDEX(tblContractForDeed[End Bal],ROW()-ROW(tblBuyerOutputs[#Headers]))&lt;=0,0,IF(ROW()=ROW(tblBuyerOutputs[#Headers])+1,0,INDEX(tblBuyerOutputs[Cumul Appr],ROW()-ROW(tblBuyerOutputs[#Headers])-1))+tblBuyerOutputs[[#This Row],[Monthly Appr]])</f>
        <v>0</v>
      </c>
    </row>
    <row r="685" spans="1:43" x14ac:dyDescent="0.25">
      <c r="A685" s="613"/>
      <c r="L685" s="394">
        <f t="shared" si="120"/>
        <v>0</v>
      </c>
      <c r="M685" s="394">
        <f t="shared" si="121"/>
        <v>0</v>
      </c>
      <c r="N685" s="613">
        <f>INDEX(tblSubjectToLoan[Date],ROW()-ROW(tblContractForDeed[#Headers]))</f>
        <v>0</v>
      </c>
      <c r="O685" s="276">
        <f>IF(ROW()=ROW(tblContractForDeed[#Headers])+1,$O$6,IF(INDEX(tblContractForDeed[End Bal],ROW()-ROW(tblContractForDeed[#Headers])-1)&lt;0,0,INDEX(tblContractForDeed[End Bal],ROW()-ROW(tblContractForDeed[#Headers])-1)))</f>
        <v>0</v>
      </c>
      <c r="P685" s="454">
        <f>IF(tblContractForDeed[[#This Row],[Date]]="","",IF(tblContractForDeed[[#This Row],[Date]]&lt;cfdRateChangeDate,cfdRate1,cfdRate2))</f>
        <v>7.0000000000000007E-2</v>
      </c>
      <c r="Q6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276">
        <f>IF(INDEX(tblContractForDeed[Payment],ROW()-ROW(tblBuyerOutputs[#Headers]))=0,0,INDEX(tblContractForDeed[Payment],ROW()-ROW(tblBuyerOutputs[#Headers]))-INDEX(tblSubjectToLoan[Payment],ROW()-ROW(tblBuyerOutputs[#Headers])))</f>
        <v>0</v>
      </c>
      <c r="Z6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5" s="276">
        <f>IF(INDEX(tblContractForDeed[End Bal],ROW()-ROW(tblBuyerOutputs[#Headers]))&lt;=0,0,($O$6+IF(ROW()=ROW(tblBuyerOutputs[#Headers])+1,0,INDEX(tblBuyerOutputs[Cumul Appr],ROW()-ROW(tblBuyerOutputs[#Headers])-1)))*$AK$2/12)</f>
        <v>0</v>
      </c>
      <c r="AE685" s="276">
        <f>IF(INDEX(tblContractForDeed[End Bal],ROW()-ROW(tblBuyerOutputs[#Headers]))&lt;=0,0,IF(ROW()=ROW(tblBuyerOutputs[#Headers])+1,0,INDEX(tblBuyerOutputs[Cumul Appr],ROW()-ROW(tblBuyerOutputs[#Headers])-1))+tblBuyerOutputs[[#This Row],[Monthly Appr]])</f>
        <v>0</v>
      </c>
    </row>
    <row r="686" spans="1:43" x14ac:dyDescent="0.25">
      <c r="A686" s="613"/>
      <c r="L686" s="394">
        <f t="shared" si="120"/>
        <v>0</v>
      </c>
      <c r="M686" s="394">
        <f t="shared" si="121"/>
        <v>0</v>
      </c>
      <c r="N686" s="613">
        <f>INDEX(tblSubjectToLoan[Date],ROW()-ROW(tblContractForDeed[#Headers]))</f>
        <v>0</v>
      </c>
      <c r="O686" s="276">
        <f>IF(ROW()=ROW(tblContractForDeed[#Headers])+1,$O$6,IF(INDEX(tblContractForDeed[End Bal],ROW()-ROW(tblContractForDeed[#Headers])-1)&lt;0,0,INDEX(tblContractForDeed[End Bal],ROW()-ROW(tblContractForDeed[#Headers])-1)))</f>
        <v>0</v>
      </c>
      <c r="P686" s="454">
        <f>IF(tblContractForDeed[[#This Row],[Date]]="","",IF(tblContractForDeed[[#This Row],[Date]]&lt;cfdRateChangeDate,cfdRate1,cfdRate2))</f>
        <v>7.0000000000000007E-2</v>
      </c>
      <c r="Q6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276">
        <f>IF(INDEX(tblContractForDeed[Payment],ROW()-ROW(tblBuyerOutputs[#Headers]))=0,0,INDEX(tblContractForDeed[Payment],ROW()-ROW(tblBuyerOutputs[#Headers]))-INDEX(tblSubjectToLoan[Payment],ROW()-ROW(tblBuyerOutputs[#Headers])))</f>
        <v>0</v>
      </c>
      <c r="Z6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6" s="276">
        <f>IF(INDEX(tblContractForDeed[End Bal],ROW()-ROW(tblBuyerOutputs[#Headers]))&lt;=0,0,($O$6+IF(ROW()=ROW(tblBuyerOutputs[#Headers])+1,0,INDEX(tblBuyerOutputs[Cumul Appr],ROW()-ROW(tblBuyerOutputs[#Headers])-1)))*$AK$2/12)</f>
        <v>0</v>
      </c>
      <c r="AE686" s="276">
        <f>IF(INDEX(tblContractForDeed[End Bal],ROW()-ROW(tblBuyerOutputs[#Headers]))&lt;=0,0,IF(ROW()=ROW(tblBuyerOutputs[#Headers])+1,0,INDEX(tblBuyerOutputs[Cumul Appr],ROW()-ROW(tblBuyerOutputs[#Headers])-1))+tblBuyerOutputs[[#This Row],[Monthly Appr]])</f>
        <v>0</v>
      </c>
    </row>
    <row r="687" spans="1:43" x14ac:dyDescent="0.25">
      <c r="A687" s="613"/>
      <c r="L687" s="394">
        <f t="shared" si="120"/>
        <v>0</v>
      </c>
      <c r="M687" s="394">
        <f t="shared" si="121"/>
        <v>0</v>
      </c>
      <c r="N687" s="613">
        <f>INDEX(tblSubjectToLoan[Date],ROW()-ROW(tblContractForDeed[#Headers]))</f>
        <v>0</v>
      </c>
      <c r="O687" s="276">
        <f>IF(ROW()=ROW(tblContractForDeed[#Headers])+1,$O$6,IF(INDEX(tblContractForDeed[End Bal],ROW()-ROW(tblContractForDeed[#Headers])-1)&lt;0,0,INDEX(tblContractForDeed[End Bal],ROW()-ROW(tblContractForDeed[#Headers])-1)))</f>
        <v>0</v>
      </c>
      <c r="P687" s="454">
        <f>IF(tblContractForDeed[[#This Row],[Date]]="","",IF(tblContractForDeed[[#This Row],[Date]]&lt;cfdRateChangeDate,cfdRate1,cfdRate2))</f>
        <v>7.0000000000000007E-2</v>
      </c>
      <c r="Q6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276">
        <f>IF(INDEX(tblContractForDeed[Payment],ROW()-ROW(tblBuyerOutputs[#Headers]))=0,0,INDEX(tblContractForDeed[Payment],ROW()-ROW(tblBuyerOutputs[#Headers]))-INDEX(tblSubjectToLoan[Payment],ROW()-ROW(tblBuyerOutputs[#Headers])))</f>
        <v>0</v>
      </c>
      <c r="Z6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7" s="276">
        <f>IF(INDEX(tblContractForDeed[End Bal],ROW()-ROW(tblBuyerOutputs[#Headers]))&lt;=0,0,($O$6+IF(ROW()=ROW(tblBuyerOutputs[#Headers])+1,0,INDEX(tblBuyerOutputs[Cumul Appr],ROW()-ROW(tblBuyerOutputs[#Headers])-1)))*$AK$2/12)</f>
        <v>0</v>
      </c>
      <c r="AE687" s="276">
        <f>IF(INDEX(tblContractForDeed[End Bal],ROW()-ROW(tblBuyerOutputs[#Headers]))&lt;=0,0,IF(ROW()=ROW(tblBuyerOutputs[#Headers])+1,0,INDEX(tblBuyerOutputs[Cumul Appr],ROW()-ROW(tblBuyerOutputs[#Headers])-1))+tblBuyerOutputs[[#This Row],[Monthly Appr]])</f>
        <v>0</v>
      </c>
    </row>
    <row r="688" spans="1:43" x14ac:dyDescent="0.25">
      <c r="A688" s="613"/>
      <c r="L688" s="394">
        <f t="shared" si="120"/>
        <v>0</v>
      </c>
      <c r="M688" s="394">
        <f t="shared" si="121"/>
        <v>0</v>
      </c>
      <c r="N688" s="613">
        <f>INDEX(tblSubjectToLoan[Date],ROW()-ROW(tblContractForDeed[#Headers]))</f>
        <v>0</v>
      </c>
      <c r="O688" s="276">
        <f>IF(ROW()=ROW(tblContractForDeed[#Headers])+1,$O$6,IF(INDEX(tblContractForDeed[End Bal],ROW()-ROW(tblContractForDeed[#Headers])-1)&lt;0,0,INDEX(tblContractForDeed[End Bal],ROW()-ROW(tblContractForDeed[#Headers])-1)))</f>
        <v>0</v>
      </c>
      <c r="P688" s="454">
        <f>IF(tblContractForDeed[[#This Row],[Date]]="","",IF(tblContractForDeed[[#This Row],[Date]]&lt;cfdRateChangeDate,cfdRate1,cfdRate2))</f>
        <v>7.0000000000000007E-2</v>
      </c>
      <c r="Q6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276">
        <f>IF(INDEX(tblContractForDeed[Payment],ROW()-ROW(tblBuyerOutputs[#Headers]))=0,0,INDEX(tblContractForDeed[Payment],ROW()-ROW(tblBuyerOutputs[#Headers]))-INDEX(tblSubjectToLoan[Payment],ROW()-ROW(tblBuyerOutputs[#Headers])))</f>
        <v>0</v>
      </c>
      <c r="Z6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8" s="276">
        <f>IF(INDEX(tblContractForDeed[End Bal],ROW()-ROW(tblBuyerOutputs[#Headers]))&lt;=0,0,($O$6+IF(ROW()=ROW(tblBuyerOutputs[#Headers])+1,0,INDEX(tblBuyerOutputs[Cumul Appr],ROW()-ROW(tblBuyerOutputs[#Headers])-1)))*$AK$2/12)</f>
        <v>0</v>
      </c>
      <c r="AE688" s="276">
        <f>IF(INDEX(tblContractForDeed[End Bal],ROW()-ROW(tblBuyerOutputs[#Headers]))&lt;=0,0,IF(ROW()=ROW(tblBuyerOutputs[#Headers])+1,0,INDEX(tblBuyerOutputs[Cumul Appr],ROW()-ROW(tblBuyerOutputs[#Headers])-1))+tblBuyerOutputs[[#This Row],[Monthly Appr]])</f>
        <v>0</v>
      </c>
    </row>
    <row r="689" spans="1:43" x14ac:dyDescent="0.25">
      <c r="A689" s="613"/>
      <c r="L689" s="394">
        <f t="shared" si="120"/>
        <v>0</v>
      </c>
      <c r="M689" s="394">
        <f t="shared" si="121"/>
        <v>0</v>
      </c>
      <c r="N689" s="613">
        <f>INDEX(tblSubjectToLoan[Date],ROW()-ROW(tblContractForDeed[#Headers]))</f>
        <v>0</v>
      </c>
      <c r="O689" s="276">
        <f>IF(ROW()=ROW(tblContractForDeed[#Headers])+1,$O$6,IF(INDEX(tblContractForDeed[End Bal],ROW()-ROW(tblContractForDeed[#Headers])-1)&lt;0,0,INDEX(tblContractForDeed[End Bal],ROW()-ROW(tblContractForDeed[#Headers])-1)))</f>
        <v>0</v>
      </c>
      <c r="P689" s="454">
        <f>IF(tblContractForDeed[[#This Row],[Date]]="","",IF(tblContractForDeed[[#This Row],[Date]]&lt;cfdRateChangeDate,cfdRate1,cfdRate2))</f>
        <v>7.0000000000000007E-2</v>
      </c>
      <c r="Q6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276">
        <f>IF(INDEX(tblContractForDeed[Payment],ROW()-ROW(tblBuyerOutputs[#Headers]))=0,0,INDEX(tblContractForDeed[Payment],ROW()-ROW(tblBuyerOutputs[#Headers]))-INDEX(tblSubjectToLoan[Payment],ROW()-ROW(tblBuyerOutputs[#Headers])))</f>
        <v>0</v>
      </c>
      <c r="Z6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9" s="276">
        <f>IF(INDEX(tblContractForDeed[End Bal],ROW()-ROW(tblBuyerOutputs[#Headers]))&lt;=0,0,($O$6+IF(ROW()=ROW(tblBuyerOutputs[#Headers])+1,0,INDEX(tblBuyerOutputs[Cumul Appr],ROW()-ROW(tblBuyerOutputs[#Headers])-1)))*$AK$2/12)</f>
        <v>0</v>
      </c>
      <c r="AE689" s="276">
        <f>IF(INDEX(tblContractForDeed[End Bal],ROW()-ROW(tblBuyerOutputs[#Headers]))&lt;=0,0,IF(ROW()=ROW(tblBuyerOutputs[#Headers])+1,0,INDEX(tblBuyerOutputs[Cumul Appr],ROW()-ROW(tblBuyerOutputs[#Headers])-1))+tblBuyerOutputs[[#This Row],[Monthly Appr]])</f>
        <v>0</v>
      </c>
    </row>
    <row r="690" spans="1:43" x14ac:dyDescent="0.25">
      <c r="A690" s="613"/>
      <c r="L690" s="394">
        <f t="shared" si="120"/>
        <v>0</v>
      </c>
      <c r="M690" s="394">
        <f t="shared" si="121"/>
        <v>0</v>
      </c>
      <c r="N690" s="613">
        <f>INDEX(tblSubjectToLoan[Date],ROW()-ROW(tblContractForDeed[#Headers]))</f>
        <v>0</v>
      </c>
      <c r="O690" s="276">
        <f>IF(ROW()=ROW(tblContractForDeed[#Headers])+1,$O$6,IF(INDEX(tblContractForDeed[End Bal],ROW()-ROW(tblContractForDeed[#Headers])-1)&lt;0,0,INDEX(tblContractForDeed[End Bal],ROW()-ROW(tblContractForDeed[#Headers])-1)))</f>
        <v>0</v>
      </c>
      <c r="P690" s="454">
        <f>IF(tblContractForDeed[[#This Row],[Date]]="","",IF(tblContractForDeed[[#This Row],[Date]]&lt;cfdRateChangeDate,cfdRate1,cfdRate2))</f>
        <v>7.0000000000000007E-2</v>
      </c>
      <c r="Q6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276">
        <f>IF(INDEX(tblContractForDeed[Payment],ROW()-ROW(tblBuyerOutputs[#Headers]))=0,0,INDEX(tblContractForDeed[Payment],ROW()-ROW(tblBuyerOutputs[#Headers]))-INDEX(tblSubjectToLoan[Payment],ROW()-ROW(tblBuyerOutputs[#Headers])))</f>
        <v>0</v>
      </c>
      <c r="Z6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0" s="276">
        <f>IF(INDEX(tblContractForDeed[End Bal],ROW()-ROW(tblBuyerOutputs[#Headers]))&lt;=0,0,($O$6+IF(ROW()=ROW(tblBuyerOutputs[#Headers])+1,0,INDEX(tblBuyerOutputs[Cumul Appr],ROW()-ROW(tblBuyerOutputs[#Headers])-1)))*$AK$2/12)</f>
        <v>0</v>
      </c>
      <c r="AE690" s="276">
        <f>IF(INDEX(tblContractForDeed[End Bal],ROW()-ROW(tblBuyerOutputs[#Headers]))&lt;=0,0,IF(ROW()=ROW(tblBuyerOutputs[#Headers])+1,0,INDEX(tblBuyerOutputs[Cumul Appr],ROW()-ROW(tblBuyerOutputs[#Headers])-1))+tblBuyerOutputs[[#This Row],[Monthly Appr]])</f>
        <v>0</v>
      </c>
    </row>
    <row r="691" spans="1:43" ht="15.75" thickBot="1" x14ac:dyDescent="0.3">
      <c r="A691" s="615"/>
      <c r="B691" s="332"/>
      <c r="C691" s="21"/>
      <c r="D691" s="21"/>
      <c r="E691" s="21"/>
      <c r="F691" s="21"/>
      <c r="G691" s="21"/>
      <c r="H691" s="21"/>
      <c r="I691" s="332"/>
      <c r="J691" s="332"/>
      <c r="K691" s="332"/>
      <c r="L691" s="395">
        <f t="shared" si="120"/>
        <v>0</v>
      </c>
      <c r="M691" s="395">
        <f t="shared" si="121"/>
        <v>0</v>
      </c>
      <c r="N691" s="615">
        <f>INDEX(tblSubjectToLoan[Date],ROW()-ROW(tblContractForDeed[#Headers]))</f>
        <v>0</v>
      </c>
      <c r="O691" s="332">
        <f>IF(ROW()=ROW(tblContractForDeed[#Headers])+1,$O$6,IF(INDEX(tblContractForDeed[End Bal],ROW()-ROW(tblContractForDeed[#Headers])-1)&lt;0,0,INDEX(tblContractForDeed[End Bal],ROW()-ROW(tblContractForDeed[#Headers])-1)))</f>
        <v>0</v>
      </c>
      <c r="P691" s="454">
        <f>IF(tblContractForDeed[[#This Row],[Date]]="","",IF(tblContractForDeed[[#This Row],[Date]]&lt;cfdRateChangeDate,cfdRate1,cfdRate2))</f>
        <v>7.0000000000000007E-2</v>
      </c>
      <c r="Q6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32">
        <f>IF(INDEX(tblContractForDeed[Payment],ROW()-ROW(tblBuyerOutputs[#Headers]))=0,0,INDEX(tblContractForDeed[Payment],ROW()-ROW(tblBuyerOutputs[#Headers]))-INDEX(tblSubjectToLoan[Payment],ROW()-ROW(tblBuyerOutputs[#Headers])))</f>
        <v>0</v>
      </c>
      <c r="Z6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1" s="332">
        <f>IF(INDEX(tblContractForDeed[End Bal],ROW()-ROW(tblBuyerOutputs[#Headers]))&lt;=0,0,($O$6+IF(ROW()=ROW(tblBuyerOutputs[#Headers])+1,0,INDEX(tblBuyerOutputs[Cumul Appr],ROW()-ROW(tblBuyerOutputs[#Headers])-1)))*$AK$2/12)</f>
        <v>0</v>
      </c>
      <c r="AE691" s="332">
        <f>IF(INDEX(tblContractForDeed[End Bal],ROW()-ROW(tblBuyerOutputs[#Headers]))&lt;=0,0,IF(ROW()=ROW(tblBuyerOutputs[#Headers])+1,0,INDEX(tblBuyerOutputs[Cumul Appr],ROW()-ROW(tblBuyerOutputs[#Headers])-1))+tblBuyerOutputs[[#This Row],[Monthly Appr]])</f>
        <v>0</v>
      </c>
      <c r="AQ691" s="21"/>
    </row>
    <row r="692" spans="1:43" x14ac:dyDescent="0.25">
      <c r="A692" s="613"/>
      <c r="L692" s="394">
        <f t="shared" ref="L692:L755" si="122">IF(MOD(M692,12)=0,M692/12,L691)</f>
        <v>0</v>
      </c>
      <c r="M692" s="394">
        <f t="shared" si="121"/>
        <v>0</v>
      </c>
      <c r="N692" s="613">
        <f>INDEX(tblSubjectToLoan[Date],ROW()-ROW(tblContractForDeed[#Headers]))</f>
        <v>0</v>
      </c>
      <c r="O692" s="276">
        <f>IF(ROW()=ROW(tblContractForDeed[#Headers])+1,$O$6,IF(INDEX(tblContractForDeed[End Bal],ROW()-ROW(tblContractForDeed[#Headers])-1)&lt;0,0,INDEX(tblContractForDeed[End Bal],ROW()-ROW(tblContractForDeed[#Headers])-1)))</f>
        <v>0</v>
      </c>
      <c r="P692" s="454">
        <f>IF(tblContractForDeed[[#This Row],[Date]]="","",IF(tblContractForDeed[[#This Row],[Date]]&lt;cfdRateChangeDate,cfdRate1,cfdRate2))</f>
        <v>7.0000000000000007E-2</v>
      </c>
      <c r="Q6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276">
        <f>IF(INDEX(tblContractForDeed[Payment],ROW()-ROW(tblBuyerOutputs[#Headers]))=0,0,INDEX(tblContractForDeed[Payment],ROW()-ROW(tblBuyerOutputs[#Headers]))-INDEX(tblSubjectToLoan[Payment],ROW()-ROW(tblBuyerOutputs[#Headers])))</f>
        <v>0</v>
      </c>
      <c r="Z6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2" s="276">
        <f>IF(INDEX(tblContractForDeed[End Bal],ROW()-ROW(tblBuyerOutputs[#Headers]))&lt;=0,0,($O$6+IF(ROW()=ROW(tblBuyerOutputs[#Headers])+1,0,INDEX(tblBuyerOutputs[Cumul Appr],ROW()-ROW(tblBuyerOutputs[#Headers])-1)))*$AK$2/12)</f>
        <v>0</v>
      </c>
      <c r="AE692" s="276">
        <f>IF(INDEX(tblContractForDeed[End Bal],ROW()-ROW(tblBuyerOutputs[#Headers]))&lt;=0,0,IF(ROW()=ROW(tblBuyerOutputs[#Headers])+1,0,INDEX(tblBuyerOutputs[Cumul Appr],ROW()-ROW(tblBuyerOutputs[#Headers])-1))+tblBuyerOutputs[[#This Row],[Monthly Appr]])</f>
        <v>0</v>
      </c>
    </row>
    <row r="693" spans="1:43" x14ac:dyDescent="0.25">
      <c r="A693" s="613"/>
      <c r="L693" s="394">
        <f t="shared" si="122"/>
        <v>0</v>
      </c>
      <c r="M693" s="394">
        <f t="shared" si="121"/>
        <v>0</v>
      </c>
      <c r="N693" s="613">
        <f>INDEX(tblSubjectToLoan[Date],ROW()-ROW(tblContractForDeed[#Headers]))</f>
        <v>0</v>
      </c>
      <c r="O693" s="276">
        <f>IF(ROW()=ROW(tblContractForDeed[#Headers])+1,$O$6,IF(INDEX(tblContractForDeed[End Bal],ROW()-ROW(tblContractForDeed[#Headers])-1)&lt;0,0,INDEX(tblContractForDeed[End Bal],ROW()-ROW(tblContractForDeed[#Headers])-1)))</f>
        <v>0</v>
      </c>
      <c r="P693" s="454">
        <f>IF(tblContractForDeed[[#This Row],[Date]]="","",IF(tblContractForDeed[[#This Row],[Date]]&lt;cfdRateChangeDate,cfdRate1,cfdRate2))</f>
        <v>7.0000000000000007E-2</v>
      </c>
      <c r="Q6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276">
        <f>IF(INDEX(tblContractForDeed[Payment],ROW()-ROW(tblBuyerOutputs[#Headers]))=0,0,INDEX(tblContractForDeed[Payment],ROW()-ROW(tblBuyerOutputs[#Headers]))-INDEX(tblSubjectToLoan[Payment],ROW()-ROW(tblBuyerOutputs[#Headers])))</f>
        <v>0</v>
      </c>
      <c r="Z6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3" s="276">
        <f>IF(INDEX(tblContractForDeed[End Bal],ROW()-ROW(tblBuyerOutputs[#Headers]))&lt;=0,0,($O$6+IF(ROW()=ROW(tblBuyerOutputs[#Headers])+1,0,INDEX(tblBuyerOutputs[Cumul Appr],ROW()-ROW(tblBuyerOutputs[#Headers])-1)))*$AK$2/12)</f>
        <v>0</v>
      </c>
      <c r="AE693" s="276">
        <f>IF(INDEX(tblContractForDeed[End Bal],ROW()-ROW(tblBuyerOutputs[#Headers]))&lt;=0,0,IF(ROW()=ROW(tblBuyerOutputs[#Headers])+1,0,INDEX(tblBuyerOutputs[Cumul Appr],ROW()-ROW(tblBuyerOutputs[#Headers])-1))+tblBuyerOutputs[[#This Row],[Monthly Appr]])</f>
        <v>0</v>
      </c>
    </row>
    <row r="694" spans="1:43" x14ac:dyDescent="0.25">
      <c r="A694" s="613"/>
      <c r="L694" s="394">
        <f t="shared" si="122"/>
        <v>0</v>
      </c>
      <c r="M694" s="394">
        <f t="shared" si="121"/>
        <v>0</v>
      </c>
      <c r="N694" s="613">
        <f>INDEX(tblSubjectToLoan[Date],ROW()-ROW(tblContractForDeed[#Headers]))</f>
        <v>0</v>
      </c>
      <c r="O694" s="276">
        <f>IF(ROW()=ROW(tblContractForDeed[#Headers])+1,$O$6,IF(INDEX(tblContractForDeed[End Bal],ROW()-ROW(tblContractForDeed[#Headers])-1)&lt;0,0,INDEX(tblContractForDeed[End Bal],ROW()-ROW(tblContractForDeed[#Headers])-1)))</f>
        <v>0</v>
      </c>
      <c r="P694" s="454">
        <f>IF(tblContractForDeed[[#This Row],[Date]]="","",IF(tblContractForDeed[[#This Row],[Date]]&lt;cfdRateChangeDate,cfdRate1,cfdRate2))</f>
        <v>7.0000000000000007E-2</v>
      </c>
      <c r="Q6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276">
        <f>IF(INDEX(tblContractForDeed[Payment],ROW()-ROW(tblBuyerOutputs[#Headers]))=0,0,INDEX(tblContractForDeed[Payment],ROW()-ROW(tblBuyerOutputs[#Headers]))-INDEX(tblSubjectToLoan[Payment],ROW()-ROW(tblBuyerOutputs[#Headers])))</f>
        <v>0</v>
      </c>
      <c r="Z6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4" s="276">
        <f>IF(INDEX(tblContractForDeed[End Bal],ROW()-ROW(tblBuyerOutputs[#Headers]))&lt;=0,0,($O$6+IF(ROW()=ROW(tblBuyerOutputs[#Headers])+1,0,INDEX(tblBuyerOutputs[Cumul Appr],ROW()-ROW(tblBuyerOutputs[#Headers])-1)))*$AK$2/12)</f>
        <v>0</v>
      </c>
      <c r="AE694" s="276">
        <f>IF(INDEX(tblContractForDeed[End Bal],ROW()-ROW(tblBuyerOutputs[#Headers]))&lt;=0,0,IF(ROW()=ROW(tblBuyerOutputs[#Headers])+1,0,INDEX(tblBuyerOutputs[Cumul Appr],ROW()-ROW(tblBuyerOutputs[#Headers])-1))+tblBuyerOutputs[[#This Row],[Monthly Appr]])</f>
        <v>0</v>
      </c>
    </row>
    <row r="695" spans="1:43" x14ac:dyDescent="0.25">
      <c r="A695" s="613"/>
      <c r="L695" s="394">
        <f t="shared" si="122"/>
        <v>0</v>
      </c>
      <c r="M695" s="394">
        <f t="shared" si="121"/>
        <v>0</v>
      </c>
      <c r="N695" s="613">
        <f>INDEX(tblSubjectToLoan[Date],ROW()-ROW(tblContractForDeed[#Headers]))</f>
        <v>0</v>
      </c>
      <c r="O695" s="276">
        <f>IF(ROW()=ROW(tblContractForDeed[#Headers])+1,$O$6,IF(INDEX(tblContractForDeed[End Bal],ROW()-ROW(tblContractForDeed[#Headers])-1)&lt;0,0,INDEX(tblContractForDeed[End Bal],ROW()-ROW(tblContractForDeed[#Headers])-1)))</f>
        <v>0</v>
      </c>
      <c r="P695" s="454">
        <f>IF(tblContractForDeed[[#This Row],[Date]]="","",IF(tblContractForDeed[[#This Row],[Date]]&lt;cfdRateChangeDate,cfdRate1,cfdRate2))</f>
        <v>7.0000000000000007E-2</v>
      </c>
      <c r="Q6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276">
        <f>IF(INDEX(tblContractForDeed[Payment],ROW()-ROW(tblBuyerOutputs[#Headers]))=0,0,INDEX(tblContractForDeed[Payment],ROW()-ROW(tblBuyerOutputs[#Headers]))-INDEX(tblSubjectToLoan[Payment],ROW()-ROW(tblBuyerOutputs[#Headers])))</f>
        <v>0</v>
      </c>
      <c r="Z6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5" s="276">
        <f>IF(INDEX(tblContractForDeed[End Bal],ROW()-ROW(tblBuyerOutputs[#Headers]))&lt;=0,0,($O$6+IF(ROW()=ROW(tblBuyerOutputs[#Headers])+1,0,INDEX(tblBuyerOutputs[Cumul Appr],ROW()-ROW(tblBuyerOutputs[#Headers])-1)))*$AK$2/12)</f>
        <v>0</v>
      </c>
      <c r="AE695" s="276">
        <f>IF(INDEX(tblContractForDeed[End Bal],ROW()-ROW(tblBuyerOutputs[#Headers]))&lt;=0,0,IF(ROW()=ROW(tblBuyerOutputs[#Headers])+1,0,INDEX(tblBuyerOutputs[Cumul Appr],ROW()-ROW(tblBuyerOutputs[#Headers])-1))+tblBuyerOutputs[[#This Row],[Monthly Appr]])</f>
        <v>0</v>
      </c>
    </row>
    <row r="696" spans="1:43" x14ac:dyDescent="0.25">
      <c r="A696" s="613"/>
      <c r="L696" s="394">
        <f t="shared" si="122"/>
        <v>0</v>
      </c>
      <c r="M696" s="394">
        <f t="shared" si="121"/>
        <v>0</v>
      </c>
      <c r="N696" s="613">
        <f>INDEX(tblSubjectToLoan[Date],ROW()-ROW(tblContractForDeed[#Headers]))</f>
        <v>0</v>
      </c>
      <c r="O696" s="276">
        <f>IF(ROW()=ROW(tblContractForDeed[#Headers])+1,$O$6,IF(INDEX(tblContractForDeed[End Bal],ROW()-ROW(tblContractForDeed[#Headers])-1)&lt;0,0,INDEX(tblContractForDeed[End Bal],ROW()-ROW(tblContractForDeed[#Headers])-1)))</f>
        <v>0</v>
      </c>
      <c r="P696" s="454">
        <f>IF(tblContractForDeed[[#This Row],[Date]]="","",IF(tblContractForDeed[[#This Row],[Date]]&lt;cfdRateChangeDate,cfdRate1,cfdRate2))</f>
        <v>7.0000000000000007E-2</v>
      </c>
      <c r="Q6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276">
        <f>IF(INDEX(tblContractForDeed[Payment],ROW()-ROW(tblBuyerOutputs[#Headers]))=0,0,INDEX(tblContractForDeed[Payment],ROW()-ROW(tblBuyerOutputs[#Headers]))-INDEX(tblSubjectToLoan[Payment],ROW()-ROW(tblBuyerOutputs[#Headers])))</f>
        <v>0</v>
      </c>
      <c r="Z6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6" s="276">
        <f>IF(INDEX(tblContractForDeed[End Bal],ROW()-ROW(tblBuyerOutputs[#Headers]))&lt;=0,0,($O$6+IF(ROW()=ROW(tblBuyerOutputs[#Headers])+1,0,INDEX(tblBuyerOutputs[Cumul Appr],ROW()-ROW(tblBuyerOutputs[#Headers])-1)))*$AK$2/12)</f>
        <v>0</v>
      </c>
      <c r="AE696" s="276">
        <f>IF(INDEX(tblContractForDeed[End Bal],ROW()-ROW(tblBuyerOutputs[#Headers]))&lt;=0,0,IF(ROW()=ROW(tblBuyerOutputs[#Headers])+1,0,INDEX(tblBuyerOutputs[Cumul Appr],ROW()-ROW(tblBuyerOutputs[#Headers])-1))+tblBuyerOutputs[[#This Row],[Monthly Appr]])</f>
        <v>0</v>
      </c>
    </row>
    <row r="697" spans="1:43" x14ac:dyDescent="0.25">
      <c r="A697" s="613"/>
      <c r="L697" s="394">
        <f t="shared" si="122"/>
        <v>0</v>
      </c>
      <c r="M697" s="394">
        <f t="shared" si="121"/>
        <v>0</v>
      </c>
      <c r="N697" s="613">
        <f>INDEX(tblSubjectToLoan[Date],ROW()-ROW(tblContractForDeed[#Headers]))</f>
        <v>0</v>
      </c>
      <c r="O697" s="276">
        <f>IF(ROW()=ROW(tblContractForDeed[#Headers])+1,$O$6,IF(INDEX(tblContractForDeed[End Bal],ROW()-ROW(tblContractForDeed[#Headers])-1)&lt;0,0,INDEX(tblContractForDeed[End Bal],ROW()-ROW(tblContractForDeed[#Headers])-1)))</f>
        <v>0</v>
      </c>
      <c r="P697" s="454">
        <f>IF(tblContractForDeed[[#This Row],[Date]]="","",IF(tblContractForDeed[[#This Row],[Date]]&lt;cfdRateChangeDate,cfdRate1,cfdRate2))</f>
        <v>7.0000000000000007E-2</v>
      </c>
      <c r="Q6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276">
        <f>IF(INDEX(tblContractForDeed[Payment],ROW()-ROW(tblBuyerOutputs[#Headers]))=0,0,INDEX(tblContractForDeed[Payment],ROW()-ROW(tblBuyerOutputs[#Headers]))-INDEX(tblSubjectToLoan[Payment],ROW()-ROW(tblBuyerOutputs[#Headers])))</f>
        <v>0</v>
      </c>
      <c r="Z6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7" s="276">
        <f>IF(INDEX(tblContractForDeed[End Bal],ROW()-ROW(tblBuyerOutputs[#Headers]))&lt;=0,0,($O$6+IF(ROW()=ROW(tblBuyerOutputs[#Headers])+1,0,INDEX(tblBuyerOutputs[Cumul Appr],ROW()-ROW(tblBuyerOutputs[#Headers])-1)))*$AK$2/12)</f>
        <v>0</v>
      </c>
      <c r="AE697" s="276">
        <f>IF(INDEX(tblContractForDeed[End Bal],ROW()-ROW(tblBuyerOutputs[#Headers]))&lt;=0,0,IF(ROW()=ROW(tblBuyerOutputs[#Headers])+1,0,INDEX(tblBuyerOutputs[Cumul Appr],ROW()-ROW(tblBuyerOutputs[#Headers])-1))+tblBuyerOutputs[[#This Row],[Monthly Appr]])</f>
        <v>0</v>
      </c>
    </row>
    <row r="698" spans="1:43" x14ac:dyDescent="0.25">
      <c r="A698" s="613"/>
      <c r="L698" s="394">
        <f t="shared" si="122"/>
        <v>0</v>
      </c>
      <c r="M698" s="394">
        <f t="shared" si="121"/>
        <v>0</v>
      </c>
      <c r="N698" s="613">
        <f>INDEX(tblSubjectToLoan[Date],ROW()-ROW(tblContractForDeed[#Headers]))</f>
        <v>0</v>
      </c>
      <c r="O698" s="276">
        <f>IF(ROW()=ROW(tblContractForDeed[#Headers])+1,$O$6,IF(INDEX(tblContractForDeed[End Bal],ROW()-ROW(tblContractForDeed[#Headers])-1)&lt;0,0,INDEX(tblContractForDeed[End Bal],ROW()-ROW(tblContractForDeed[#Headers])-1)))</f>
        <v>0</v>
      </c>
      <c r="P698" s="454">
        <f>IF(tblContractForDeed[[#This Row],[Date]]="","",IF(tblContractForDeed[[#This Row],[Date]]&lt;cfdRateChangeDate,cfdRate1,cfdRate2))</f>
        <v>7.0000000000000007E-2</v>
      </c>
      <c r="Q6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276">
        <f>IF(INDEX(tblContractForDeed[Payment],ROW()-ROW(tblBuyerOutputs[#Headers]))=0,0,INDEX(tblContractForDeed[Payment],ROW()-ROW(tblBuyerOutputs[#Headers]))-INDEX(tblSubjectToLoan[Payment],ROW()-ROW(tblBuyerOutputs[#Headers])))</f>
        <v>0</v>
      </c>
      <c r="Z6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8" s="276">
        <f>IF(INDEX(tblContractForDeed[End Bal],ROW()-ROW(tblBuyerOutputs[#Headers]))&lt;=0,0,($O$6+IF(ROW()=ROW(tblBuyerOutputs[#Headers])+1,0,INDEX(tblBuyerOutputs[Cumul Appr],ROW()-ROW(tblBuyerOutputs[#Headers])-1)))*$AK$2/12)</f>
        <v>0</v>
      </c>
      <c r="AE698" s="276">
        <f>IF(INDEX(tblContractForDeed[End Bal],ROW()-ROW(tblBuyerOutputs[#Headers]))&lt;=0,0,IF(ROW()=ROW(tblBuyerOutputs[#Headers])+1,0,INDEX(tblBuyerOutputs[Cumul Appr],ROW()-ROW(tblBuyerOutputs[#Headers])-1))+tblBuyerOutputs[[#This Row],[Monthly Appr]])</f>
        <v>0</v>
      </c>
    </row>
    <row r="699" spans="1:43" x14ac:dyDescent="0.25">
      <c r="A699" s="613"/>
      <c r="L699" s="394">
        <f t="shared" si="122"/>
        <v>0</v>
      </c>
      <c r="M699" s="394">
        <f t="shared" si="121"/>
        <v>0</v>
      </c>
      <c r="N699" s="613">
        <f>INDEX(tblSubjectToLoan[Date],ROW()-ROW(tblContractForDeed[#Headers]))</f>
        <v>0</v>
      </c>
      <c r="O699" s="276">
        <f>IF(ROW()=ROW(tblContractForDeed[#Headers])+1,$O$6,IF(INDEX(tblContractForDeed[End Bal],ROW()-ROW(tblContractForDeed[#Headers])-1)&lt;0,0,INDEX(tblContractForDeed[End Bal],ROW()-ROW(tblContractForDeed[#Headers])-1)))</f>
        <v>0</v>
      </c>
      <c r="P699" s="454">
        <f>IF(tblContractForDeed[[#This Row],[Date]]="","",IF(tblContractForDeed[[#This Row],[Date]]&lt;cfdRateChangeDate,cfdRate1,cfdRate2))</f>
        <v>7.0000000000000007E-2</v>
      </c>
      <c r="Q6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276">
        <f>IF(INDEX(tblContractForDeed[Payment],ROW()-ROW(tblBuyerOutputs[#Headers]))=0,0,INDEX(tblContractForDeed[Payment],ROW()-ROW(tblBuyerOutputs[#Headers]))-INDEX(tblSubjectToLoan[Payment],ROW()-ROW(tblBuyerOutputs[#Headers])))</f>
        <v>0</v>
      </c>
      <c r="Z6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9" s="276">
        <f>IF(INDEX(tblContractForDeed[End Bal],ROW()-ROW(tblBuyerOutputs[#Headers]))&lt;=0,0,($O$6+IF(ROW()=ROW(tblBuyerOutputs[#Headers])+1,0,INDEX(tblBuyerOutputs[Cumul Appr],ROW()-ROW(tblBuyerOutputs[#Headers])-1)))*$AK$2/12)</f>
        <v>0</v>
      </c>
      <c r="AE699" s="276">
        <f>IF(INDEX(tblContractForDeed[End Bal],ROW()-ROW(tblBuyerOutputs[#Headers]))&lt;=0,0,IF(ROW()=ROW(tblBuyerOutputs[#Headers])+1,0,INDEX(tblBuyerOutputs[Cumul Appr],ROW()-ROW(tblBuyerOutputs[#Headers])-1))+tblBuyerOutputs[[#This Row],[Monthly Appr]])</f>
        <v>0</v>
      </c>
    </row>
    <row r="700" spans="1:43" x14ac:dyDescent="0.25">
      <c r="A700" s="613"/>
      <c r="L700" s="394">
        <f t="shared" si="122"/>
        <v>0</v>
      </c>
      <c r="M700" s="394">
        <f t="shared" si="121"/>
        <v>0</v>
      </c>
      <c r="N700" s="613">
        <f>INDEX(tblSubjectToLoan[Date],ROW()-ROW(tblContractForDeed[#Headers]))</f>
        <v>0</v>
      </c>
      <c r="O700" s="276">
        <f>IF(ROW()=ROW(tblContractForDeed[#Headers])+1,$O$6,IF(INDEX(tblContractForDeed[End Bal],ROW()-ROW(tblContractForDeed[#Headers])-1)&lt;0,0,INDEX(tblContractForDeed[End Bal],ROW()-ROW(tblContractForDeed[#Headers])-1)))</f>
        <v>0</v>
      </c>
      <c r="P700" s="454">
        <f>IF(tblContractForDeed[[#This Row],[Date]]="","",IF(tblContractForDeed[[#This Row],[Date]]&lt;cfdRateChangeDate,cfdRate1,cfdRate2))</f>
        <v>7.0000000000000007E-2</v>
      </c>
      <c r="Q7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276">
        <f>IF(INDEX(tblContractForDeed[Payment],ROW()-ROW(tblBuyerOutputs[#Headers]))=0,0,INDEX(tblContractForDeed[Payment],ROW()-ROW(tblBuyerOutputs[#Headers]))-INDEX(tblSubjectToLoan[Payment],ROW()-ROW(tblBuyerOutputs[#Headers])))</f>
        <v>0</v>
      </c>
      <c r="Z7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0" s="276">
        <f>IF(INDEX(tblContractForDeed[End Bal],ROW()-ROW(tblBuyerOutputs[#Headers]))&lt;=0,0,($O$6+IF(ROW()=ROW(tblBuyerOutputs[#Headers])+1,0,INDEX(tblBuyerOutputs[Cumul Appr],ROW()-ROW(tblBuyerOutputs[#Headers])-1)))*$AK$2/12)</f>
        <v>0</v>
      </c>
      <c r="AE700" s="276">
        <f>IF(INDEX(tblContractForDeed[End Bal],ROW()-ROW(tblBuyerOutputs[#Headers]))&lt;=0,0,IF(ROW()=ROW(tblBuyerOutputs[#Headers])+1,0,INDEX(tblBuyerOutputs[Cumul Appr],ROW()-ROW(tblBuyerOutputs[#Headers])-1))+tblBuyerOutputs[[#This Row],[Monthly Appr]])</f>
        <v>0</v>
      </c>
    </row>
    <row r="701" spans="1:43" x14ac:dyDescent="0.25">
      <c r="A701" s="613"/>
      <c r="L701" s="394">
        <f t="shared" si="122"/>
        <v>0</v>
      </c>
      <c r="M701" s="394">
        <f t="shared" si="121"/>
        <v>0</v>
      </c>
      <c r="N701" s="613">
        <f>INDEX(tblSubjectToLoan[Date],ROW()-ROW(tblContractForDeed[#Headers]))</f>
        <v>0</v>
      </c>
      <c r="O701" s="276">
        <f>IF(ROW()=ROW(tblContractForDeed[#Headers])+1,$O$6,IF(INDEX(tblContractForDeed[End Bal],ROW()-ROW(tblContractForDeed[#Headers])-1)&lt;0,0,INDEX(tblContractForDeed[End Bal],ROW()-ROW(tblContractForDeed[#Headers])-1)))</f>
        <v>0</v>
      </c>
      <c r="P701" s="454">
        <f>IF(tblContractForDeed[[#This Row],[Date]]="","",IF(tblContractForDeed[[#This Row],[Date]]&lt;cfdRateChangeDate,cfdRate1,cfdRate2))</f>
        <v>7.0000000000000007E-2</v>
      </c>
      <c r="Q7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276">
        <f>IF(INDEX(tblContractForDeed[Payment],ROW()-ROW(tblBuyerOutputs[#Headers]))=0,0,INDEX(tblContractForDeed[Payment],ROW()-ROW(tblBuyerOutputs[#Headers]))-INDEX(tblSubjectToLoan[Payment],ROW()-ROW(tblBuyerOutputs[#Headers])))</f>
        <v>0</v>
      </c>
      <c r="Z7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1" s="276">
        <f>IF(INDEX(tblContractForDeed[End Bal],ROW()-ROW(tblBuyerOutputs[#Headers]))&lt;=0,0,($O$6+IF(ROW()=ROW(tblBuyerOutputs[#Headers])+1,0,INDEX(tblBuyerOutputs[Cumul Appr],ROW()-ROW(tblBuyerOutputs[#Headers])-1)))*$AK$2/12)</f>
        <v>0</v>
      </c>
      <c r="AE701" s="276">
        <f>IF(INDEX(tblContractForDeed[End Bal],ROW()-ROW(tblBuyerOutputs[#Headers]))&lt;=0,0,IF(ROW()=ROW(tblBuyerOutputs[#Headers])+1,0,INDEX(tblBuyerOutputs[Cumul Appr],ROW()-ROW(tblBuyerOutputs[#Headers])-1))+tblBuyerOutputs[[#This Row],[Monthly Appr]])</f>
        <v>0</v>
      </c>
    </row>
    <row r="702" spans="1:43" x14ac:dyDescent="0.25">
      <c r="A702" s="613"/>
      <c r="L702" s="394">
        <f t="shared" si="122"/>
        <v>0</v>
      </c>
      <c r="M702" s="394">
        <f t="shared" si="121"/>
        <v>0</v>
      </c>
      <c r="N702" s="613">
        <f>INDEX(tblSubjectToLoan[Date],ROW()-ROW(tblContractForDeed[#Headers]))</f>
        <v>0</v>
      </c>
      <c r="O702" s="276">
        <f>IF(ROW()=ROW(tblContractForDeed[#Headers])+1,$O$6,IF(INDEX(tblContractForDeed[End Bal],ROW()-ROW(tblContractForDeed[#Headers])-1)&lt;0,0,INDEX(tblContractForDeed[End Bal],ROW()-ROW(tblContractForDeed[#Headers])-1)))</f>
        <v>0</v>
      </c>
      <c r="P702" s="454">
        <f>IF(tblContractForDeed[[#This Row],[Date]]="","",IF(tblContractForDeed[[#This Row],[Date]]&lt;cfdRateChangeDate,cfdRate1,cfdRate2))</f>
        <v>7.0000000000000007E-2</v>
      </c>
      <c r="Q7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276">
        <f>IF(INDEX(tblContractForDeed[Payment],ROW()-ROW(tblBuyerOutputs[#Headers]))=0,0,INDEX(tblContractForDeed[Payment],ROW()-ROW(tblBuyerOutputs[#Headers]))-INDEX(tblSubjectToLoan[Payment],ROW()-ROW(tblBuyerOutputs[#Headers])))</f>
        <v>0</v>
      </c>
      <c r="Z7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2" s="276">
        <f>IF(INDEX(tblContractForDeed[End Bal],ROW()-ROW(tblBuyerOutputs[#Headers]))&lt;=0,0,($O$6+IF(ROW()=ROW(tblBuyerOutputs[#Headers])+1,0,INDEX(tblBuyerOutputs[Cumul Appr],ROW()-ROW(tblBuyerOutputs[#Headers])-1)))*$AK$2/12)</f>
        <v>0</v>
      </c>
      <c r="AE702" s="276">
        <f>IF(INDEX(tblContractForDeed[End Bal],ROW()-ROW(tblBuyerOutputs[#Headers]))&lt;=0,0,IF(ROW()=ROW(tblBuyerOutputs[#Headers])+1,0,INDEX(tblBuyerOutputs[Cumul Appr],ROW()-ROW(tblBuyerOutputs[#Headers])-1))+tblBuyerOutputs[[#This Row],[Monthly Appr]])</f>
        <v>0</v>
      </c>
    </row>
    <row r="703" spans="1:43" ht="15.75" thickBot="1" x14ac:dyDescent="0.3">
      <c r="A703" s="615"/>
      <c r="B703" s="332"/>
      <c r="C703" s="21"/>
      <c r="D703" s="21"/>
      <c r="E703" s="21"/>
      <c r="F703" s="21"/>
      <c r="G703" s="21"/>
      <c r="H703" s="21"/>
      <c r="I703" s="332"/>
      <c r="J703" s="332"/>
      <c r="K703" s="332"/>
      <c r="L703" s="395">
        <f t="shared" si="122"/>
        <v>0</v>
      </c>
      <c r="M703" s="395">
        <f t="shared" si="121"/>
        <v>0</v>
      </c>
      <c r="N703" s="615">
        <f>INDEX(tblSubjectToLoan[Date],ROW()-ROW(tblContractForDeed[#Headers]))</f>
        <v>0</v>
      </c>
      <c r="O703" s="332">
        <f>IF(ROW()=ROW(tblContractForDeed[#Headers])+1,$O$6,IF(INDEX(tblContractForDeed[End Bal],ROW()-ROW(tblContractForDeed[#Headers])-1)&lt;0,0,INDEX(tblContractForDeed[End Bal],ROW()-ROW(tblContractForDeed[#Headers])-1)))</f>
        <v>0</v>
      </c>
      <c r="P703" s="454">
        <f>IF(tblContractForDeed[[#This Row],[Date]]="","",IF(tblContractForDeed[[#This Row],[Date]]&lt;cfdRateChangeDate,cfdRate1,cfdRate2))</f>
        <v>7.0000000000000007E-2</v>
      </c>
      <c r="Q7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32">
        <f>IF(INDEX(tblContractForDeed[Payment],ROW()-ROW(tblBuyerOutputs[#Headers]))=0,0,INDEX(tblContractForDeed[Payment],ROW()-ROW(tblBuyerOutputs[#Headers]))-INDEX(tblSubjectToLoan[Payment],ROW()-ROW(tblBuyerOutputs[#Headers])))</f>
        <v>0</v>
      </c>
      <c r="Z7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3" s="332">
        <f>IF(INDEX(tblContractForDeed[End Bal],ROW()-ROW(tblBuyerOutputs[#Headers]))&lt;=0,0,($O$6+IF(ROW()=ROW(tblBuyerOutputs[#Headers])+1,0,INDEX(tblBuyerOutputs[Cumul Appr],ROW()-ROW(tblBuyerOutputs[#Headers])-1)))*$AK$2/12)</f>
        <v>0</v>
      </c>
      <c r="AE703" s="332">
        <f>IF(INDEX(tblContractForDeed[End Bal],ROW()-ROW(tblBuyerOutputs[#Headers]))&lt;=0,0,IF(ROW()=ROW(tblBuyerOutputs[#Headers])+1,0,INDEX(tblBuyerOutputs[Cumul Appr],ROW()-ROW(tblBuyerOutputs[#Headers])-1))+tblBuyerOutputs[[#This Row],[Monthly Appr]])</f>
        <v>0</v>
      </c>
      <c r="AQ703" s="21"/>
    </row>
    <row r="704" spans="1:43" x14ac:dyDescent="0.25">
      <c r="A704" s="613"/>
      <c r="L704" s="394">
        <f t="shared" si="122"/>
        <v>0</v>
      </c>
      <c r="M704" s="394">
        <f t="shared" si="121"/>
        <v>0</v>
      </c>
      <c r="N704" s="613">
        <f>INDEX(tblSubjectToLoan[Date],ROW()-ROW(tblContractForDeed[#Headers]))</f>
        <v>0</v>
      </c>
      <c r="O704" s="276">
        <f>IF(ROW()=ROW(tblContractForDeed[#Headers])+1,$O$6,IF(INDEX(tblContractForDeed[End Bal],ROW()-ROW(tblContractForDeed[#Headers])-1)&lt;0,0,INDEX(tblContractForDeed[End Bal],ROW()-ROW(tblContractForDeed[#Headers])-1)))</f>
        <v>0</v>
      </c>
      <c r="P704" s="454">
        <f>IF(tblContractForDeed[[#This Row],[Date]]="","",IF(tblContractForDeed[[#This Row],[Date]]&lt;cfdRateChangeDate,cfdRate1,cfdRate2))</f>
        <v>7.0000000000000007E-2</v>
      </c>
      <c r="Q7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276">
        <f>IF(INDEX(tblContractForDeed[Payment],ROW()-ROW(tblBuyerOutputs[#Headers]))=0,0,INDEX(tblContractForDeed[Payment],ROW()-ROW(tblBuyerOutputs[#Headers]))-INDEX(tblSubjectToLoan[Payment],ROW()-ROW(tblBuyerOutputs[#Headers])))</f>
        <v>0</v>
      </c>
      <c r="Z7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4" s="276">
        <f>IF(INDEX(tblContractForDeed[End Bal],ROW()-ROW(tblBuyerOutputs[#Headers]))&lt;=0,0,($O$6+IF(ROW()=ROW(tblBuyerOutputs[#Headers])+1,0,INDEX(tblBuyerOutputs[Cumul Appr],ROW()-ROW(tblBuyerOutputs[#Headers])-1)))*$AK$2/12)</f>
        <v>0</v>
      </c>
      <c r="AE704" s="276">
        <f>IF(INDEX(tblContractForDeed[End Bal],ROW()-ROW(tblBuyerOutputs[#Headers]))&lt;=0,0,IF(ROW()=ROW(tblBuyerOutputs[#Headers])+1,0,INDEX(tblBuyerOutputs[Cumul Appr],ROW()-ROW(tblBuyerOutputs[#Headers])-1))+tblBuyerOutputs[[#This Row],[Monthly Appr]])</f>
        <v>0</v>
      </c>
    </row>
    <row r="705" spans="1:43" x14ac:dyDescent="0.25">
      <c r="A705" s="613"/>
      <c r="L705" s="394">
        <f t="shared" si="122"/>
        <v>0</v>
      </c>
      <c r="M705" s="394">
        <f t="shared" si="121"/>
        <v>0</v>
      </c>
      <c r="N705" s="613">
        <f>INDEX(tblSubjectToLoan[Date],ROW()-ROW(tblContractForDeed[#Headers]))</f>
        <v>0</v>
      </c>
      <c r="O705" s="276">
        <f>IF(ROW()=ROW(tblContractForDeed[#Headers])+1,$O$6,IF(INDEX(tblContractForDeed[End Bal],ROW()-ROW(tblContractForDeed[#Headers])-1)&lt;0,0,INDEX(tblContractForDeed[End Bal],ROW()-ROW(tblContractForDeed[#Headers])-1)))</f>
        <v>0</v>
      </c>
      <c r="P705" s="454">
        <f>IF(tblContractForDeed[[#This Row],[Date]]="","",IF(tblContractForDeed[[#This Row],[Date]]&lt;cfdRateChangeDate,cfdRate1,cfdRate2))</f>
        <v>7.0000000000000007E-2</v>
      </c>
      <c r="Q7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276">
        <f>IF(INDEX(tblContractForDeed[Payment],ROW()-ROW(tblBuyerOutputs[#Headers]))=0,0,INDEX(tblContractForDeed[Payment],ROW()-ROW(tblBuyerOutputs[#Headers]))-INDEX(tblSubjectToLoan[Payment],ROW()-ROW(tblBuyerOutputs[#Headers])))</f>
        <v>0</v>
      </c>
      <c r="Z7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5" s="276">
        <f>IF(INDEX(tblContractForDeed[End Bal],ROW()-ROW(tblBuyerOutputs[#Headers]))&lt;=0,0,($O$6+IF(ROW()=ROW(tblBuyerOutputs[#Headers])+1,0,INDEX(tblBuyerOutputs[Cumul Appr],ROW()-ROW(tblBuyerOutputs[#Headers])-1)))*$AK$2/12)</f>
        <v>0</v>
      </c>
      <c r="AE705" s="276">
        <f>IF(INDEX(tblContractForDeed[End Bal],ROW()-ROW(tblBuyerOutputs[#Headers]))&lt;=0,0,IF(ROW()=ROW(tblBuyerOutputs[#Headers])+1,0,INDEX(tblBuyerOutputs[Cumul Appr],ROW()-ROW(tblBuyerOutputs[#Headers])-1))+tblBuyerOutputs[[#This Row],[Monthly Appr]])</f>
        <v>0</v>
      </c>
    </row>
    <row r="706" spans="1:43" x14ac:dyDescent="0.25">
      <c r="A706" s="613"/>
      <c r="L706" s="394">
        <f t="shared" si="122"/>
        <v>0</v>
      </c>
      <c r="M706" s="394">
        <f t="shared" si="121"/>
        <v>0</v>
      </c>
      <c r="N706" s="613">
        <f>INDEX(tblSubjectToLoan[Date],ROW()-ROW(tblContractForDeed[#Headers]))</f>
        <v>0</v>
      </c>
      <c r="O706" s="276">
        <f>IF(ROW()=ROW(tblContractForDeed[#Headers])+1,$O$6,IF(INDEX(tblContractForDeed[End Bal],ROW()-ROW(tblContractForDeed[#Headers])-1)&lt;0,0,INDEX(tblContractForDeed[End Bal],ROW()-ROW(tblContractForDeed[#Headers])-1)))</f>
        <v>0</v>
      </c>
      <c r="P706" s="454">
        <f>IF(tblContractForDeed[[#This Row],[Date]]="","",IF(tblContractForDeed[[#This Row],[Date]]&lt;cfdRateChangeDate,cfdRate1,cfdRate2))</f>
        <v>7.0000000000000007E-2</v>
      </c>
      <c r="Q7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276">
        <f>IF(INDEX(tblContractForDeed[Payment],ROW()-ROW(tblBuyerOutputs[#Headers]))=0,0,INDEX(tblContractForDeed[Payment],ROW()-ROW(tblBuyerOutputs[#Headers]))-INDEX(tblSubjectToLoan[Payment],ROW()-ROW(tblBuyerOutputs[#Headers])))</f>
        <v>0</v>
      </c>
      <c r="Z7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6" s="276">
        <f>IF(INDEX(tblContractForDeed[End Bal],ROW()-ROW(tblBuyerOutputs[#Headers]))&lt;=0,0,($O$6+IF(ROW()=ROW(tblBuyerOutputs[#Headers])+1,0,INDEX(tblBuyerOutputs[Cumul Appr],ROW()-ROW(tblBuyerOutputs[#Headers])-1)))*$AK$2/12)</f>
        <v>0</v>
      </c>
      <c r="AE706" s="276">
        <f>IF(INDEX(tblContractForDeed[End Bal],ROW()-ROW(tblBuyerOutputs[#Headers]))&lt;=0,0,IF(ROW()=ROW(tblBuyerOutputs[#Headers])+1,0,INDEX(tblBuyerOutputs[Cumul Appr],ROW()-ROW(tblBuyerOutputs[#Headers])-1))+tblBuyerOutputs[[#This Row],[Monthly Appr]])</f>
        <v>0</v>
      </c>
    </row>
    <row r="707" spans="1:43" x14ac:dyDescent="0.25">
      <c r="A707" s="613"/>
      <c r="L707" s="394">
        <f t="shared" si="122"/>
        <v>0</v>
      </c>
      <c r="M707" s="394">
        <f t="shared" si="121"/>
        <v>0</v>
      </c>
      <c r="N707" s="613">
        <f>INDEX(tblSubjectToLoan[Date],ROW()-ROW(tblContractForDeed[#Headers]))</f>
        <v>0</v>
      </c>
      <c r="O707" s="276">
        <f>IF(ROW()=ROW(tblContractForDeed[#Headers])+1,$O$6,IF(INDEX(tblContractForDeed[End Bal],ROW()-ROW(tblContractForDeed[#Headers])-1)&lt;0,0,INDEX(tblContractForDeed[End Bal],ROW()-ROW(tblContractForDeed[#Headers])-1)))</f>
        <v>0</v>
      </c>
      <c r="P707" s="454">
        <f>IF(tblContractForDeed[[#This Row],[Date]]="","",IF(tblContractForDeed[[#This Row],[Date]]&lt;cfdRateChangeDate,cfdRate1,cfdRate2))</f>
        <v>7.0000000000000007E-2</v>
      </c>
      <c r="Q7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276">
        <f>IF(INDEX(tblContractForDeed[Payment],ROW()-ROW(tblBuyerOutputs[#Headers]))=0,0,INDEX(tblContractForDeed[Payment],ROW()-ROW(tblBuyerOutputs[#Headers]))-INDEX(tblSubjectToLoan[Payment],ROW()-ROW(tblBuyerOutputs[#Headers])))</f>
        <v>0</v>
      </c>
      <c r="Z7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7" s="276">
        <f>IF(INDEX(tblContractForDeed[End Bal],ROW()-ROW(tblBuyerOutputs[#Headers]))&lt;=0,0,($O$6+IF(ROW()=ROW(tblBuyerOutputs[#Headers])+1,0,INDEX(tblBuyerOutputs[Cumul Appr],ROW()-ROW(tblBuyerOutputs[#Headers])-1)))*$AK$2/12)</f>
        <v>0</v>
      </c>
      <c r="AE707" s="276">
        <f>IF(INDEX(tblContractForDeed[End Bal],ROW()-ROW(tblBuyerOutputs[#Headers]))&lt;=0,0,IF(ROW()=ROW(tblBuyerOutputs[#Headers])+1,0,INDEX(tblBuyerOutputs[Cumul Appr],ROW()-ROW(tblBuyerOutputs[#Headers])-1))+tblBuyerOutputs[[#This Row],[Monthly Appr]])</f>
        <v>0</v>
      </c>
    </row>
    <row r="708" spans="1:43" x14ac:dyDescent="0.25">
      <c r="A708" s="613"/>
      <c r="L708" s="394">
        <f t="shared" si="122"/>
        <v>0</v>
      </c>
      <c r="M708" s="394">
        <f t="shared" si="121"/>
        <v>0</v>
      </c>
      <c r="N708" s="613">
        <f>INDEX(tblSubjectToLoan[Date],ROW()-ROW(tblContractForDeed[#Headers]))</f>
        <v>0</v>
      </c>
      <c r="O708" s="276">
        <f>IF(ROW()=ROW(tblContractForDeed[#Headers])+1,$O$6,IF(INDEX(tblContractForDeed[End Bal],ROW()-ROW(tblContractForDeed[#Headers])-1)&lt;0,0,INDEX(tblContractForDeed[End Bal],ROW()-ROW(tblContractForDeed[#Headers])-1)))</f>
        <v>0</v>
      </c>
      <c r="P708" s="454">
        <f>IF(tblContractForDeed[[#This Row],[Date]]="","",IF(tblContractForDeed[[#This Row],[Date]]&lt;cfdRateChangeDate,cfdRate1,cfdRate2))</f>
        <v>7.0000000000000007E-2</v>
      </c>
      <c r="Q7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276">
        <f>IF(INDEX(tblContractForDeed[Payment],ROW()-ROW(tblBuyerOutputs[#Headers]))=0,0,INDEX(tblContractForDeed[Payment],ROW()-ROW(tblBuyerOutputs[#Headers]))-INDEX(tblSubjectToLoan[Payment],ROW()-ROW(tblBuyerOutputs[#Headers])))</f>
        <v>0</v>
      </c>
      <c r="Z7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8" s="276">
        <f>IF(INDEX(tblContractForDeed[End Bal],ROW()-ROW(tblBuyerOutputs[#Headers]))&lt;=0,0,($O$6+IF(ROW()=ROW(tblBuyerOutputs[#Headers])+1,0,INDEX(tblBuyerOutputs[Cumul Appr],ROW()-ROW(tblBuyerOutputs[#Headers])-1)))*$AK$2/12)</f>
        <v>0</v>
      </c>
      <c r="AE708" s="276">
        <f>IF(INDEX(tblContractForDeed[End Bal],ROW()-ROW(tblBuyerOutputs[#Headers]))&lt;=0,0,IF(ROW()=ROW(tblBuyerOutputs[#Headers])+1,0,INDEX(tblBuyerOutputs[Cumul Appr],ROW()-ROW(tblBuyerOutputs[#Headers])-1))+tblBuyerOutputs[[#This Row],[Monthly Appr]])</f>
        <v>0</v>
      </c>
    </row>
    <row r="709" spans="1:43" x14ac:dyDescent="0.25">
      <c r="A709" s="613"/>
      <c r="L709" s="394">
        <f t="shared" si="122"/>
        <v>0</v>
      </c>
      <c r="M709" s="394">
        <f t="shared" si="121"/>
        <v>0</v>
      </c>
      <c r="N709" s="613">
        <f>INDEX(tblSubjectToLoan[Date],ROW()-ROW(tblContractForDeed[#Headers]))</f>
        <v>0</v>
      </c>
      <c r="O709" s="276">
        <f>IF(ROW()=ROW(tblContractForDeed[#Headers])+1,$O$6,IF(INDEX(tblContractForDeed[End Bal],ROW()-ROW(tblContractForDeed[#Headers])-1)&lt;0,0,INDEX(tblContractForDeed[End Bal],ROW()-ROW(tblContractForDeed[#Headers])-1)))</f>
        <v>0</v>
      </c>
      <c r="P709" s="454">
        <f>IF(tblContractForDeed[[#This Row],[Date]]="","",IF(tblContractForDeed[[#This Row],[Date]]&lt;cfdRateChangeDate,cfdRate1,cfdRate2))</f>
        <v>7.0000000000000007E-2</v>
      </c>
      <c r="Q7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276">
        <f>IF(INDEX(tblContractForDeed[Payment],ROW()-ROW(tblBuyerOutputs[#Headers]))=0,0,INDEX(tblContractForDeed[Payment],ROW()-ROW(tblBuyerOutputs[#Headers]))-INDEX(tblSubjectToLoan[Payment],ROW()-ROW(tblBuyerOutputs[#Headers])))</f>
        <v>0</v>
      </c>
      <c r="Z7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9" s="276">
        <f>IF(INDEX(tblContractForDeed[End Bal],ROW()-ROW(tblBuyerOutputs[#Headers]))&lt;=0,0,($O$6+IF(ROW()=ROW(tblBuyerOutputs[#Headers])+1,0,INDEX(tblBuyerOutputs[Cumul Appr],ROW()-ROW(tblBuyerOutputs[#Headers])-1)))*$AK$2/12)</f>
        <v>0</v>
      </c>
      <c r="AE709" s="276">
        <f>IF(INDEX(tblContractForDeed[End Bal],ROW()-ROW(tblBuyerOutputs[#Headers]))&lt;=0,0,IF(ROW()=ROW(tblBuyerOutputs[#Headers])+1,0,INDEX(tblBuyerOutputs[Cumul Appr],ROW()-ROW(tblBuyerOutputs[#Headers])-1))+tblBuyerOutputs[[#This Row],[Monthly Appr]])</f>
        <v>0</v>
      </c>
    </row>
    <row r="710" spans="1:43" x14ac:dyDescent="0.25">
      <c r="A710" s="613"/>
      <c r="L710" s="394">
        <f t="shared" si="122"/>
        <v>0</v>
      </c>
      <c r="M710" s="394">
        <f t="shared" si="121"/>
        <v>0</v>
      </c>
      <c r="N710" s="613">
        <f>INDEX(tblSubjectToLoan[Date],ROW()-ROW(tblContractForDeed[#Headers]))</f>
        <v>0</v>
      </c>
      <c r="O710" s="276">
        <f>IF(ROW()=ROW(tblContractForDeed[#Headers])+1,$O$6,IF(INDEX(tblContractForDeed[End Bal],ROW()-ROW(tblContractForDeed[#Headers])-1)&lt;0,0,INDEX(tblContractForDeed[End Bal],ROW()-ROW(tblContractForDeed[#Headers])-1)))</f>
        <v>0</v>
      </c>
      <c r="P710" s="454">
        <f>IF(tblContractForDeed[[#This Row],[Date]]="","",IF(tblContractForDeed[[#This Row],[Date]]&lt;cfdRateChangeDate,cfdRate1,cfdRate2))</f>
        <v>7.0000000000000007E-2</v>
      </c>
      <c r="Q7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276">
        <f>IF(INDEX(tblContractForDeed[Payment],ROW()-ROW(tblBuyerOutputs[#Headers]))=0,0,INDEX(tblContractForDeed[Payment],ROW()-ROW(tblBuyerOutputs[#Headers]))-INDEX(tblSubjectToLoan[Payment],ROW()-ROW(tblBuyerOutputs[#Headers])))</f>
        <v>0</v>
      </c>
      <c r="Z7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0" s="276">
        <f>IF(INDEX(tblContractForDeed[End Bal],ROW()-ROW(tblBuyerOutputs[#Headers]))&lt;=0,0,($O$6+IF(ROW()=ROW(tblBuyerOutputs[#Headers])+1,0,INDEX(tblBuyerOutputs[Cumul Appr],ROW()-ROW(tblBuyerOutputs[#Headers])-1)))*$AK$2/12)</f>
        <v>0</v>
      </c>
      <c r="AE710" s="276">
        <f>IF(INDEX(tblContractForDeed[End Bal],ROW()-ROW(tblBuyerOutputs[#Headers]))&lt;=0,0,IF(ROW()=ROW(tblBuyerOutputs[#Headers])+1,0,INDEX(tblBuyerOutputs[Cumul Appr],ROW()-ROW(tblBuyerOutputs[#Headers])-1))+tblBuyerOutputs[[#This Row],[Monthly Appr]])</f>
        <v>0</v>
      </c>
    </row>
    <row r="711" spans="1:43" x14ac:dyDescent="0.25">
      <c r="A711" s="613"/>
      <c r="L711" s="394">
        <f t="shared" si="122"/>
        <v>0</v>
      </c>
      <c r="M711" s="394">
        <f t="shared" si="121"/>
        <v>0</v>
      </c>
      <c r="N711" s="613">
        <f>INDEX(tblSubjectToLoan[Date],ROW()-ROW(tblContractForDeed[#Headers]))</f>
        <v>0</v>
      </c>
      <c r="O711" s="276">
        <f>IF(ROW()=ROW(tblContractForDeed[#Headers])+1,$O$6,IF(INDEX(tblContractForDeed[End Bal],ROW()-ROW(tblContractForDeed[#Headers])-1)&lt;0,0,INDEX(tblContractForDeed[End Bal],ROW()-ROW(tblContractForDeed[#Headers])-1)))</f>
        <v>0</v>
      </c>
      <c r="P711" s="454">
        <f>IF(tblContractForDeed[[#This Row],[Date]]="","",IF(tblContractForDeed[[#This Row],[Date]]&lt;cfdRateChangeDate,cfdRate1,cfdRate2))</f>
        <v>7.0000000000000007E-2</v>
      </c>
      <c r="Q7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276">
        <f>IF(INDEX(tblContractForDeed[Payment],ROW()-ROW(tblBuyerOutputs[#Headers]))=0,0,INDEX(tblContractForDeed[Payment],ROW()-ROW(tblBuyerOutputs[#Headers]))-INDEX(tblSubjectToLoan[Payment],ROW()-ROW(tblBuyerOutputs[#Headers])))</f>
        <v>0</v>
      </c>
      <c r="Z7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1" s="276">
        <f>IF(INDEX(tblContractForDeed[End Bal],ROW()-ROW(tblBuyerOutputs[#Headers]))&lt;=0,0,($O$6+IF(ROW()=ROW(tblBuyerOutputs[#Headers])+1,0,INDEX(tblBuyerOutputs[Cumul Appr],ROW()-ROW(tblBuyerOutputs[#Headers])-1)))*$AK$2/12)</f>
        <v>0</v>
      </c>
      <c r="AE711" s="276">
        <f>IF(INDEX(tblContractForDeed[End Bal],ROW()-ROW(tblBuyerOutputs[#Headers]))&lt;=0,0,IF(ROW()=ROW(tblBuyerOutputs[#Headers])+1,0,INDEX(tblBuyerOutputs[Cumul Appr],ROW()-ROW(tblBuyerOutputs[#Headers])-1))+tblBuyerOutputs[[#This Row],[Monthly Appr]])</f>
        <v>0</v>
      </c>
    </row>
    <row r="712" spans="1:43" x14ac:dyDescent="0.25">
      <c r="A712" s="613"/>
      <c r="L712" s="394">
        <f t="shared" si="122"/>
        <v>0</v>
      </c>
      <c r="M712" s="394">
        <f t="shared" si="121"/>
        <v>0</v>
      </c>
      <c r="N712" s="613">
        <f>INDEX(tblSubjectToLoan[Date],ROW()-ROW(tblContractForDeed[#Headers]))</f>
        <v>0</v>
      </c>
      <c r="O712" s="276">
        <f>IF(ROW()=ROW(tblContractForDeed[#Headers])+1,$O$6,IF(INDEX(tblContractForDeed[End Bal],ROW()-ROW(tblContractForDeed[#Headers])-1)&lt;0,0,INDEX(tblContractForDeed[End Bal],ROW()-ROW(tblContractForDeed[#Headers])-1)))</f>
        <v>0</v>
      </c>
      <c r="P712" s="454">
        <f>IF(tblContractForDeed[[#This Row],[Date]]="","",IF(tblContractForDeed[[#This Row],[Date]]&lt;cfdRateChangeDate,cfdRate1,cfdRate2))</f>
        <v>7.0000000000000007E-2</v>
      </c>
      <c r="Q7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276">
        <f>IF(INDEX(tblContractForDeed[Payment],ROW()-ROW(tblBuyerOutputs[#Headers]))=0,0,INDEX(tblContractForDeed[Payment],ROW()-ROW(tblBuyerOutputs[#Headers]))-INDEX(tblSubjectToLoan[Payment],ROW()-ROW(tblBuyerOutputs[#Headers])))</f>
        <v>0</v>
      </c>
      <c r="Z7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2" s="276">
        <f>IF(INDEX(tblContractForDeed[End Bal],ROW()-ROW(tblBuyerOutputs[#Headers]))&lt;=0,0,($O$6+IF(ROW()=ROW(tblBuyerOutputs[#Headers])+1,0,INDEX(tblBuyerOutputs[Cumul Appr],ROW()-ROW(tblBuyerOutputs[#Headers])-1)))*$AK$2/12)</f>
        <v>0</v>
      </c>
      <c r="AE712" s="276">
        <f>IF(INDEX(tblContractForDeed[End Bal],ROW()-ROW(tblBuyerOutputs[#Headers]))&lt;=0,0,IF(ROW()=ROW(tblBuyerOutputs[#Headers])+1,0,INDEX(tblBuyerOutputs[Cumul Appr],ROW()-ROW(tblBuyerOutputs[#Headers])-1))+tblBuyerOutputs[[#This Row],[Monthly Appr]])</f>
        <v>0</v>
      </c>
    </row>
    <row r="713" spans="1:43" x14ac:dyDescent="0.25">
      <c r="A713" s="613"/>
      <c r="L713" s="394">
        <f t="shared" si="122"/>
        <v>0</v>
      </c>
      <c r="M713" s="394">
        <f t="shared" si="121"/>
        <v>0</v>
      </c>
      <c r="N713" s="613">
        <f>INDEX(tblSubjectToLoan[Date],ROW()-ROW(tblContractForDeed[#Headers]))</f>
        <v>0</v>
      </c>
      <c r="O713" s="276">
        <f>IF(ROW()=ROW(tblContractForDeed[#Headers])+1,$O$6,IF(INDEX(tblContractForDeed[End Bal],ROW()-ROW(tblContractForDeed[#Headers])-1)&lt;0,0,INDEX(tblContractForDeed[End Bal],ROW()-ROW(tblContractForDeed[#Headers])-1)))</f>
        <v>0</v>
      </c>
      <c r="P713" s="454">
        <f>IF(tblContractForDeed[[#This Row],[Date]]="","",IF(tblContractForDeed[[#This Row],[Date]]&lt;cfdRateChangeDate,cfdRate1,cfdRate2))</f>
        <v>7.0000000000000007E-2</v>
      </c>
      <c r="Q7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276">
        <f>IF(INDEX(tblContractForDeed[Payment],ROW()-ROW(tblBuyerOutputs[#Headers]))=0,0,INDEX(tblContractForDeed[Payment],ROW()-ROW(tblBuyerOutputs[#Headers]))-INDEX(tblSubjectToLoan[Payment],ROW()-ROW(tblBuyerOutputs[#Headers])))</f>
        <v>0</v>
      </c>
      <c r="Z7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3" s="276">
        <f>IF(INDEX(tblContractForDeed[End Bal],ROW()-ROW(tblBuyerOutputs[#Headers]))&lt;=0,0,($O$6+IF(ROW()=ROW(tblBuyerOutputs[#Headers])+1,0,INDEX(tblBuyerOutputs[Cumul Appr],ROW()-ROW(tblBuyerOutputs[#Headers])-1)))*$AK$2/12)</f>
        <v>0</v>
      </c>
      <c r="AE713" s="276">
        <f>IF(INDEX(tblContractForDeed[End Bal],ROW()-ROW(tblBuyerOutputs[#Headers]))&lt;=0,0,IF(ROW()=ROW(tblBuyerOutputs[#Headers])+1,0,INDEX(tblBuyerOutputs[Cumul Appr],ROW()-ROW(tblBuyerOutputs[#Headers])-1))+tblBuyerOutputs[[#This Row],[Monthly Appr]])</f>
        <v>0</v>
      </c>
    </row>
    <row r="714" spans="1:43" x14ac:dyDescent="0.25">
      <c r="A714" s="613"/>
      <c r="L714" s="394">
        <f t="shared" si="122"/>
        <v>0</v>
      </c>
      <c r="M714" s="394">
        <f t="shared" si="121"/>
        <v>0</v>
      </c>
      <c r="N714" s="613">
        <f>INDEX(tblSubjectToLoan[Date],ROW()-ROW(tblContractForDeed[#Headers]))</f>
        <v>0</v>
      </c>
      <c r="O714" s="276">
        <f>IF(ROW()=ROW(tblContractForDeed[#Headers])+1,$O$6,IF(INDEX(tblContractForDeed[End Bal],ROW()-ROW(tblContractForDeed[#Headers])-1)&lt;0,0,INDEX(tblContractForDeed[End Bal],ROW()-ROW(tblContractForDeed[#Headers])-1)))</f>
        <v>0</v>
      </c>
      <c r="P714" s="454">
        <f>IF(tblContractForDeed[[#This Row],[Date]]="","",IF(tblContractForDeed[[#This Row],[Date]]&lt;cfdRateChangeDate,cfdRate1,cfdRate2))</f>
        <v>7.0000000000000007E-2</v>
      </c>
      <c r="Q7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276">
        <f>IF(INDEX(tblContractForDeed[Payment],ROW()-ROW(tblBuyerOutputs[#Headers]))=0,0,INDEX(tblContractForDeed[Payment],ROW()-ROW(tblBuyerOutputs[#Headers]))-INDEX(tblSubjectToLoan[Payment],ROW()-ROW(tblBuyerOutputs[#Headers])))</f>
        <v>0</v>
      </c>
      <c r="Z7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4" s="276">
        <f>IF(INDEX(tblContractForDeed[End Bal],ROW()-ROW(tblBuyerOutputs[#Headers]))&lt;=0,0,($O$6+IF(ROW()=ROW(tblBuyerOutputs[#Headers])+1,0,INDEX(tblBuyerOutputs[Cumul Appr],ROW()-ROW(tblBuyerOutputs[#Headers])-1)))*$AK$2/12)</f>
        <v>0</v>
      </c>
      <c r="AE714" s="276">
        <f>IF(INDEX(tblContractForDeed[End Bal],ROW()-ROW(tblBuyerOutputs[#Headers]))&lt;=0,0,IF(ROW()=ROW(tblBuyerOutputs[#Headers])+1,0,INDEX(tblBuyerOutputs[Cumul Appr],ROW()-ROW(tblBuyerOutputs[#Headers])-1))+tblBuyerOutputs[[#This Row],[Monthly Appr]])</f>
        <v>0</v>
      </c>
    </row>
    <row r="715" spans="1:43" ht="15.75" thickBot="1" x14ac:dyDescent="0.3">
      <c r="A715" s="615"/>
      <c r="B715" s="332"/>
      <c r="C715" s="21"/>
      <c r="D715" s="21"/>
      <c r="E715" s="21"/>
      <c r="F715" s="21"/>
      <c r="G715" s="21"/>
      <c r="H715" s="21"/>
      <c r="I715" s="332"/>
      <c r="J715" s="332"/>
      <c r="K715" s="332"/>
      <c r="L715" s="395">
        <f t="shared" si="122"/>
        <v>0</v>
      </c>
      <c r="M715" s="395">
        <f t="shared" si="121"/>
        <v>0</v>
      </c>
      <c r="N715" s="615">
        <f>INDEX(tblSubjectToLoan[Date],ROW()-ROW(tblContractForDeed[#Headers]))</f>
        <v>0</v>
      </c>
      <c r="O715" s="332">
        <f>IF(ROW()=ROW(tblContractForDeed[#Headers])+1,$O$6,IF(INDEX(tblContractForDeed[End Bal],ROW()-ROW(tblContractForDeed[#Headers])-1)&lt;0,0,INDEX(tblContractForDeed[End Bal],ROW()-ROW(tblContractForDeed[#Headers])-1)))</f>
        <v>0</v>
      </c>
      <c r="P715" s="454">
        <f>IF(tblContractForDeed[[#This Row],[Date]]="","",IF(tblContractForDeed[[#This Row],[Date]]&lt;cfdRateChangeDate,cfdRate1,cfdRate2))</f>
        <v>7.0000000000000007E-2</v>
      </c>
      <c r="Q7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32">
        <f>IF(INDEX(tblContractForDeed[Payment],ROW()-ROW(tblBuyerOutputs[#Headers]))=0,0,INDEX(tblContractForDeed[Payment],ROW()-ROW(tblBuyerOutputs[#Headers]))-INDEX(tblSubjectToLoan[Payment],ROW()-ROW(tblBuyerOutputs[#Headers])))</f>
        <v>0</v>
      </c>
      <c r="Z7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5" s="332">
        <f>IF(INDEX(tblContractForDeed[End Bal],ROW()-ROW(tblBuyerOutputs[#Headers]))&lt;=0,0,($O$6+IF(ROW()=ROW(tblBuyerOutputs[#Headers])+1,0,INDEX(tblBuyerOutputs[Cumul Appr],ROW()-ROW(tblBuyerOutputs[#Headers])-1)))*$AK$2/12)</f>
        <v>0</v>
      </c>
      <c r="AE715" s="332">
        <f>IF(INDEX(tblContractForDeed[End Bal],ROW()-ROW(tblBuyerOutputs[#Headers]))&lt;=0,0,IF(ROW()=ROW(tblBuyerOutputs[#Headers])+1,0,INDEX(tblBuyerOutputs[Cumul Appr],ROW()-ROW(tblBuyerOutputs[#Headers])-1))+tblBuyerOutputs[[#This Row],[Monthly Appr]])</f>
        <v>0</v>
      </c>
      <c r="AQ715" s="21"/>
    </row>
    <row r="716" spans="1:43" x14ac:dyDescent="0.25">
      <c r="A716" s="613"/>
      <c r="L716" s="394">
        <f t="shared" si="122"/>
        <v>0</v>
      </c>
      <c r="M716" s="394">
        <f t="shared" si="121"/>
        <v>0</v>
      </c>
      <c r="N716" s="613">
        <f>INDEX(tblSubjectToLoan[Date],ROW()-ROW(tblContractForDeed[#Headers]))</f>
        <v>0</v>
      </c>
      <c r="O716" s="276">
        <f>IF(ROW()=ROW(tblContractForDeed[#Headers])+1,$O$6,IF(INDEX(tblContractForDeed[End Bal],ROW()-ROW(tblContractForDeed[#Headers])-1)&lt;0,0,INDEX(tblContractForDeed[End Bal],ROW()-ROW(tblContractForDeed[#Headers])-1)))</f>
        <v>0</v>
      </c>
      <c r="P716" s="454">
        <f>IF(tblContractForDeed[[#This Row],[Date]]="","",IF(tblContractForDeed[[#This Row],[Date]]&lt;cfdRateChangeDate,cfdRate1,cfdRate2))</f>
        <v>7.0000000000000007E-2</v>
      </c>
      <c r="Q7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276">
        <f>IF(INDEX(tblContractForDeed[Payment],ROW()-ROW(tblBuyerOutputs[#Headers]))=0,0,INDEX(tblContractForDeed[Payment],ROW()-ROW(tblBuyerOutputs[#Headers]))-INDEX(tblSubjectToLoan[Payment],ROW()-ROW(tblBuyerOutputs[#Headers])))</f>
        <v>0</v>
      </c>
      <c r="Z7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6" s="276">
        <f>IF(INDEX(tblContractForDeed[End Bal],ROW()-ROW(tblBuyerOutputs[#Headers]))&lt;=0,0,($O$6+IF(ROW()=ROW(tblBuyerOutputs[#Headers])+1,0,INDEX(tblBuyerOutputs[Cumul Appr],ROW()-ROW(tblBuyerOutputs[#Headers])-1)))*$AK$2/12)</f>
        <v>0</v>
      </c>
      <c r="AE716" s="276">
        <f>IF(INDEX(tblContractForDeed[End Bal],ROW()-ROW(tblBuyerOutputs[#Headers]))&lt;=0,0,IF(ROW()=ROW(tblBuyerOutputs[#Headers])+1,0,INDEX(tblBuyerOutputs[Cumul Appr],ROW()-ROW(tblBuyerOutputs[#Headers])-1))+tblBuyerOutputs[[#This Row],[Monthly Appr]])</f>
        <v>0</v>
      </c>
    </row>
    <row r="717" spans="1:43" x14ac:dyDescent="0.25">
      <c r="A717" s="613"/>
      <c r="L717" s="394">
        <f t="shared" si="122"/>
        <v>0</v>
      </c>
      <c r="M717" s="394">
        <f t="shared" si="121"/>
        <v>0</v>
      </c>
      <c r="N717" s="613">
        <f>INDEX(tblSubjectToLoan[Date],ROW()-ROW(tblContractForDeed[#Headers]))</f>
        <v>0</v>
      </c>
      <c r="O717" s="276">
        <f>IF(ROW()=ROW(tblContractForDeed[#Headers])+1,$O$6,IF(INDEX(tblContractForDeed[End Bal],ROW()-ROW(tblContractForDeed[#Headers])-1)&lt;0,0,INDEX(tblContractForDeed[End Bal],ROW()-ROW(tblContractForDeed[#Headers])-1)))</f>
        <v>0</v>
      </c>
      <c r="P717" s="454">
        <f>IF(tblContractForDeed[[#This Row],[Date]]="","",IF(tblContractForDeed[[#This Row],[Date]]&lt;cfdRateChangeDate,cfdRate1,cfdRate2))</f>
        <v>7.0000000000000007E-2</v>
      </c>
      <c r="Q7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276">
        <f>IF(INDEX(tblContractForDeed[Payment],ROW()-ROW(tblBuyerOutputs[#Headers]))=0,0,INDEX(tblContractForDeed[Payment],ROW()-ROW(tblBuyerOutputs[#Headers]))-INDEX(tblSubjectToLoan[Payment],ROW()-ROW(tblBuyerOutputs[#Headers])))</f>
        <v>0</v>
      </c>
      <c r="Z7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7" s="276">
        <f>IF(INDEX(tblContractForDeed[End Bal],ROW()-ROW(tblBuyerOutputs[#Headers]))&lt;=0,0,($O$6+IF(ROW()=ROW(tblBuyerOutputs[#Headers])+1,0,INDEX(tblBuyerOutputs[Cumul Appr],ROW()-ROW(tblBuyerOutputs[#Headers])-1)))*$AK$2/12)</f>
        <v>0</v>
      </c>
      <c r="AE717" s="276">
        <f>IF(INDEX(tblContractForDeed[End Bal],ROW()-ROW(tblBuyerOutputs[#Headers]))&lt;=0,0,IF(ROW()=ROW(tblBuyerOutputs[#Headers])+1,0,INDEX(tblBuyerOutputs[Cumul Appr],ROW()-ROW(tblBuyerOutputs[#Headers])-1))+tblBuyerOutputs[[#This Row],[Monthly Appr]])</f>
        <v>0</v>
      </c>
    </row>
    <row r="718" spans="1:43" x14ac:dyDescent="0.25">
      <c r="A718" s="613"/>
      <c r="L718" s="394">
        <f t="shared" si="122"/>
        <v>0</v>
      </c>
      <c r="M718" s="394">
        <f t="shared" si="121"/>
        <v>0</v>
      </c>
      <c r="N718" s="613">
        <f>INDEX(tblSubjectToLoan[Date],ROW()-ROW(tblContractForDeed[#Headers]))</f>
        <v>0</v>
      </c>
      <c r="O718" s="276">
        <f>IF(ROW()=ROW(tblContractForDeed[#Headers])+1,$O$6,IF(INDEX(tblContractForDeed[End Bal],ROW()-ROW(tblContractForDeed[#Headers])-1)&lt;0,0,INDEX(tblContractForDeed[End Bal],ROW()-ROW(tblContractForDeed[#Headers])-1)))</f>
        <v>0</v>
      </c>
      <c r="P718" s="454">
        <f>IF(tblContractForDeed[[#This Row],[Date]]="","",IF(tblContractForDeed[[#This Row],[Date]]&lt;cfdRateChangeDate,cfdRate1,cfdRate2))</f>
        <v>7.0000000000000007E-2</v>
      </c>
      <c r="Q7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276">
        <f>IF(INDEX(tblContractForDeed[Payment],ROW()-ROW(tblBuyerOutputs[#Headers]))=0,0,INDEX(tblContractForDeed[Payment],ROW()-ROW(tblBuyerOutputs[#Headers]))-INDEX(tblSubjectToLoan[Payment],ROW()-ROW(tblBuyerOutputs[#Headers])))</f>
        <v>0</v>
      </c>
      <c r="Z7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8" s="276">
        <f>IF(INDEX(tblContractForDeed[End Bal],ROW()-ROW(tblBuyerOutputs[#Headers]))&lt;=0,0,($O$6+IF(ROW()=ROW(tblBuyerOutputs[#Headers])+1,0,INDEX(tblBuyerOutputs[Cumul Appr],ROW()-ROW(tblBuyerOutputs[#Headers])-1)))*$AK$2/12)</f>
        <v>0</v>
      </c>
      <c r="AE718" s="276">
        <f>IF(INDEX(tblContractForDeed[End Bal],ROW()-ROW(tblBuyerOutputs[#Headers]))&lt;=0,0,IF(ROW()=ROW(tblBuyerOutputs[#Headers])+1,0,INDEX(tblBuyerOutputs[Cumul Appr],ROW()-ROW(tblBuyerOutputs[#Headers])-1))+tblBuyerOutputs[[#This Row],[Monthly Appr]])</f>
        <v>0</v>
      </c>
    </row>
    <row r="719" spans="1:43" x14ac:dyDescent="0.25">
      <c r="A719" s="613"/>
      <c r="L719" s="394">
        <f t="shared" si="122"/>
        <v>0</v>
      </c>
      <c r="M719" s="394">
        <f t="shared" si="121"/>
        <v>0</v>
      </c>
      <c r="N719" s="613">
        <f>INDEX(tblSubjectToLoan[Date],ROW()-ROW(tblContractForDeed[#Headers]))</f>
        <v>0</v>
      </c>
      <c r="O719" s="276">
        <f>IF(ROW()=ROW(tblContractForDeed[#Headers])+1,$O$6,IF(INDEX(tblContractForDeed[End Bal],ROW()-ROW(tblContractForDeed[#Headers])-1)&lt;0,0,INDEX(tblContractForDeed[End Bal],ROW()-ROW(tblContractForDeed[#Headers])-1)))</f>
        <v>0</v>
      </c>
      <c r="P719" s="454">
        <f>IF(tblContractForDeed[[#This Row],[Date]]="","",IF(tblContractForDeed[[#This Row],[Date]]&lt;cfdRateChangeDate,cfdRate1,cfdRate2))</f>
        <v>7.0000000000000007E-2</v>
      </c>
      <c r="Q7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276">
        <f>IF(INDEX(tblContractForDeed[Payment],ROW()-ROW(tblBuyerOutputs[#Headers]))=0,0,INDEX(tblContractForDeed[Payment],ROW()-ROW(tblBuyerOutputs[#Headers]))-INDEX(tblSubjectToLoan[Payment],ROW()-ROW(tblBuyerOutputs[#Headers])))</f>
        <v>0</v>
      </c>
      <c r="Z7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9" s="276">
        <f>IF(INDEX(tblContractForDeed[End Bal],ROW()-ROW(tblBuyerOutputs[#Headers]))&lt;=0,0,($O$6+IF(ROW()=ROW(tblBuyerOutputs[#Headers])+1,0,INDEX(tblBuyerOutputs[Cumul Appr],ROW()-ROW(tblBuyerOutputs[#Headers])-1)))*$AK$2/12)</f>
        <v>0</v>
      </c>
      <c r="AE719" s="276">
        <f>IF(INDEX(tblContractForDeed[End Bal],ROW()-ROW(tblBuyerOutputs[#Headers]))&lt;=0,0,IF(ROW()=ROW(tblBuyerOutputs[#Headers])+1,0,INDEX(tblBuyerOutputs[Cumul Appr],ROW()-ROW(tblBuyerOutputs[#Headers])-1))+tblBuyerOutputs[[#This Row],[Monthly Appr]])</f>
        <v>0</v>
      </c>
    </row>
    <row r="720" spans="1:43" x14ac:dyDescent="0.25">
      <c r="A720" s="613"/>
      <c r="L720" s="394">
        <f t="shared" si="122"/>
        <v>0</v>
      </c>
      <c r="M720" s="394">
        <f t="shared" si="121"/>
        <v>0</v>
      </c>
      <c r="N720" s="613">
        <f>INDEX(tblSubjectToLoan[Date],ROW()-ROW(tblContractForDeed[#Headers]))</f>
        <v>0</v>
      </c>
      <c r="O720" s="276">
        <f>IF(ROW()=ROW(tblContractForDeed[#Headers])+1,$O$6,IF(INDEX(tblContractForDeed[End Bal],ROW()-ROW(tblContractForDeed[#Headers])-1)&lt;0,0,INDEX(tblContractForDeed[End Bal],ROW()-ROW(tblContractForDeed[#Headers])-1)))</f>
        <v>0</v>
      </c>
      <c r="P720" s="454">
        <f>IF(tblContractForDeed[[#This Row],[Date]]="","",IF(tblContractForDeed[[#This Row],[Date]]&lt;cfdRateChangeDate,cfdRate1,cfdRate2))</f>
        <v>7.0000000000000007E-2</v>
      </c>
      <c r="Q7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276">
        <f>IF(INDEX(tblContractForDeed[Payment],ROW()-ROW(tblBuyerOutputs[#Headers]))=0,0,INDEX(tblContractForDeed[Payment],ROW()-ROW(tblBuyerOutputs[#Headers]))-INDEX(tblSubjectToLoan[Payment],ROW()-ROW(tblBuyerOutputs[#Headers])))</f>
        <v>0</v>
      </c>
      <c r="Z7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0" s="276">
        <f>IF(INDEX(tblContractForDeed[End Bal],ROW()-ROW(tblBuyerOutputs[#Headers]))&lt;=0,0,($O$6+IF(ROW()=ROW(tblBuyerOutputs[#Headers])+1,0,INDEX(tblBuyerOutputs[Cumul Appr],ROW()-ROW(tblBuyerOutputs[#Headers])-1)))*$AK$2/12)</f>
        <v>0</v>
      </c>
      <c r="AE720" s="276">
        <f>IF(INDEX(tblContractForDeed[End Bal],ROW()-ROW(tblBuyerOutputs[#Headers]))&lt;=0,0,IF(ROW()=ROW(tblBuyerOutputs[#Headers])+1,0,INDEX(tblBuyerOutputs[Cumul Appr],ROW()-ROW(tblBuyerOutputs[#Headers])-1))+tblBuyerOutputs[[#This Row],[Monthly Appr]])</f>
        <v>0</v>
      </c>
    </row>
    <row r="721" spans="1:43" x14ac:dyDescent="0.25">
      <c r="A721" s="613"/>
      <c r="L721" s="394">
        <f t="shared" si="122"/>
        <v>0</v>
      </c>
      <c r="M721" s="394">
        <f t="shared" si="121"/>
        <v>0</v>
      </c>
      <c r="N721" s="613">
        <f>INDEX(tblSubjectToLoan[Date],ROW()-ROW(tblContractForDeed[#Headers]))</f>
        <v>0</v>
      </c>
      <c r="O721" s="276">
        <f>IF(ROW()=ROW(tblContractForDeed[#Headers])+1,$O$6,IF(INDEX(tblContractForDeed[End Bal],ROW()-ROW(tblContractForDeed[#Headers])-1)&lt;0,0,INDEX(tblContractForDeed[End Bal],ROW()-ROW(tblContractForDeed[#Headers])-1)))</f>
        <v>0</v>
      </c>
      <c r="P721" s="454">
        <f>IF(tblContractForDeed[[#This Row],[Date]]="","",IF(tblContractForDeed[[#This Row],[Date]]&lt;cfdRateChangeDate,cfdRate1,cfdRate2))</f>
        <v>7.0000000000000007E-2</v>
      </c>
      <c r="Q7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276">
        <f>IF(INDEX(tblContractForDeed[Payment],ROW()-ROW(tblBuyerOutputs[#Headers]))=0,0,INDEX(tblContractForDeed[Payment],ROW()-ROW(tblBuyerOutputs[#Headers]))-INDEX(tblSubjectToLoan[Payment],ROW()-ROW(tblBuyerOutputs[#Headers])))</f>
        <v>0</v>
      </c>
      <c r="Z7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1" s="276">
        <f>IF(INDEX(tblContractForDeed[End Bal],ROW()-ROW(tblBuyerOutputs[#Headers]))&lt;=0,0,($O$6+IF(ROW()=ROW(tblBuyerOutputs[#Headers])+1,0,INDEX(tblBuyerOutputs[Cumul Appr],ROW()-ROW(tblBuyerOutputs[#Headers])-1)))*$AK$2/12)</f>
        <v>0</v>
      </c>
      <c r="AE721" s="276">
        <f>IF(INDEX(tblContractForDeed[End Bal],ROW()-ROW(tblBuyerOutputs[#Headers]))&lt;=0,0,IF(ROW()=ROW(tblBuyerOutputs[#Headers])+1,0,INDEX(tblBuyerOutputs[Cumul Appr],ROW()-ROW(tblBuyerOutputs[#Headers])-1))+tblBuyerOutputs[[#This Row],[Monthly Appr]])</f>
        <v>0</v>
      </c>
    </row>
    <row r="722" spans="1:43" x14ac:dyDescent="0.25">
      <c r="A722" s="613"/>
      <c r="L722" s="394">
        <f t="shared" si="122"/>
        <v>0</v>
      </c>
      <c r="M722" s="394">
        <f t="shared" si="121"/>
        <v>0</v>
      </c>
      <c r="N722" s="613">
        <f>INDEX(tblSubjectToLoan[Date],ROW()-ROW(tblContractForDeed[#Headers]))</f>
        <v>0</v>
      </c>
      <c r="O722" s="276">
        <f>IF(ROW()=ROW(tblContractForDeed[#Headers])+1,$O$6,IF(INDEX(tblContractForDeed[End Bal],ROW()-ROW(tblContractForDeed[#Headers])-1)&lt;0,0,INDEX(tblContractForDeed[End Bal],ROW()-ROW(tblContractForDeed[#Headers])-1)))</f>
        <v>0</v>
      </c>
      <c r="P722" s="454">
        <f>IF(tblContractForDeed[[#This Row],[Date]]="","",IF(tblContractForDeed[[#This Row],[Date]]&lt;cfdRateChangeDate,cfdRate1,cfdRate2))</f>
        <v>7.0000000000000007E-2</v>
      </c>
      <c r="Q7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276">
        <f>IF(INDEX(tblContractForDeed[Payment],ROW()-ROW(tblBuyerOutputs[#Headers]))=0,0,INDEX(tblContractForDeed[Payment],ROW()-ROW(tblBuyerOutputs[#Headers]))-INDEX(tblSubjectToLoan[Payment],ROW()-ROW(tblBuyerOutputs[#Headers])))</f>
        <v>0</v>
      </c>
      <c r="Z7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2" s="276">
        <f>IF(INDEX(tblContractForDeed[End Bal],ROW()-ROW(tblBuyerOutputs[#Headers]))&lt;=0,0,($O$6+IF(ROW()=ROW(tblBuyerOutputs[#Headers])+1,0,INDEX(tblBuyerOutputs[Cumul Appr],ROW()-ROW(tblBuyerOutputs[#Headers])-1)))*$AK$2/12)</f>
        <v>0</v>
      </c>
      <c r="AE722" s="276">
        <f>IF(INDEX(tblContractForDeed[End Bal],ROW()-ROW(tblBuyerOutputs[#Headers]))&lt;=0,0,IF(ROW()=ROW(tblBuyerOutputs[#Headers])+1,0,INDEX(tblBuyerOutputs[Cumul Appr],ROW()-ROW(tblBuyerOutputs[#Headers])-1))+tblBuyerOutputs[[#This Row],[Monthly Appr]])</f>
        <v>0</v>
      </c>
    </row>
    <row r="723" spans="1:43" x14ac:dyDescent="0.25">
      <c r="A723" s="613"/>
      <c r="L723" s="394">
        <f t="shared" si="122"/>
        <v>0</v>
      </c>
      <c r="M723" s="394">
        <f t="shared" si="121"/>
        <v>0</v>
      </c>
      <c r="N723" s="613">
        <f>INDEX(tblSubjectToLoan[Date],ROW()-ROW(tblContractForDeed[#Headers]))</f>
        <v>0</v>
      </c>
      <c r="O723" s="276">
        <f>IF(ROW()=ROW(tblContractForDeed[#Headers])+1,$O$6,IF(INDEX(tblContractForDeed[End Bal],ROW()-ROW(tblContractForDeed[#Headers])-1)&lt;0,0,INDEX(tblContractForDeed[End Bal],ROW()-ROW(tblContractForDeed[#Headers])-1)))</f>
        <v>0</v>
      </c>
      <c r="P723" s="454">
        <f>IF(tblContractForDeed[[#This Row],[Date]]="","",IF(tblContractForDeed[[#This Row],[Date]]&lt;cfdRateChangeDate,cfdRate1,cfdRate2))</f>
        <v>7.0000000000000007E-2</v>
      </c>
      <c r="Q7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276">
        <f>IF(INDEX(tblContractForDeed[Payment],ROW()-ROW(tblBuyerOutputs[#Headers]))=0,0,INDEX(tblContractForDeed[Payment],ROW()-ROW(tblBuyerOutputs[#Headers]))-INDEX(tblSubjectToLoan[Payment],ROW()-ROW(tblBuyerOutputs[#Headers])))</f>
        <v>0</v>
      </c>
      <c r="Z7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3" s="276">
        <f>IF(INDEX(tblContractForDeed[End Bal],ROW()-ROW(tblBuyerOutputs[#Headers]))&lt;=0,0,($O$6+IF(ROW()=ROW(tblBuyerOutputs[#Headers])+1,0,INDEX(tblBuyerOutputs[Cumul Appr],ROW()-ROW(tblBuyerOutputs[#Headers])-1)))*$AK$2/12)</f>
        <v>0</v>
      </c>
      <c r="AE723" s="276">
        <f>IF(INDEX(tblContractForDeed[End Bal],ROW()-ROW(tblBuyerOutputs[#Headers]))&lt;=0,0,IF(ROW()=ROW(tblBuyerOutputs[#Headers])+1,0,INDEX(tblBuyerOutputs[Cumul Appr],ROW()-ROW(tblBuyerOutputs[#Headers])-1))+tblBuyerOutputs[[#This Row],[Monthly Appr]])</f>
        <v>0</v>
      </c>
    </row>
    <row r="724" spans="1:43" x14ac:dyDescent="0.25">
      <c r="A724" s="613"/>
      <c r="L724" s="394">
        <f t="shared" si="122"/>
        <v>0</v>
      </c>
      <c r="M724" s="394">
        <f t="shared" si="121"/>
        <v>0</v>
      </c>
      <c r="N724" s="613">
        <f>INDEX(tblSubjectToLoan[Date],ROW()-ROW(tblContractForDeed[#Headers]))</f>
        <v>0</v>
      </c>
      <c r="O724" s="276">
        <f>IF(ROW()=ROW(tblContractForDeed[#Headers])+1,$O$6,IF(INDEX(tblContractForDeed[End Bal],ROW()-ROW(tblContractForDeed[#Headers])-1)&lt;0,0,INDEX(tblContractForDeed[End Bal],ROW()-ROW(tblContractForDeed[#Headers])-1)))</f>
        <v>0</v>
      </c>
      <c r="P724" s="454">
        <f>IF(tblContractForDeed[[#This Row],[Date]]="","",IF(tblContractForDeed[[#This Row],[Date]]&lt;cfdRateChangeDate,cfdRate1,cfdRate2))</f>
        <v>7.0000000000000007E-2</v>
      </c>
      <c r="Q7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276">
        <f>IF(INDEX(tblContractForDeed[Payment],ROW()-ROW(tblBuyerOutputs[#Headers]))=0,0,INDEX(tblContractForDeed[Payment],ROW()-ROW(tblBuyerOutputs[#Headers]))-INDEX(tblSubjectToLoan[Payment],ROW()-ROW(tblBuyerOutputs[#Headers])))</f>
        <v>0</v>
      </c>
      <c r="Z7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4" s="276">
        <f>IF(INDEX(tblContractForDeed[End Bal],ROW()-ROW(tblBuyerOutputs[#Headers]))&lt;=0,0,($O$6+IF(ROW()=ROW(tblBuyerOutputs[#Headers])+1,0,INDEX(tblBuyerOutputs[Cumul Appr],ROW()-ROW(tblBuyerOutputs[#Headers])-1)))*$AK$2/12)</f>
        <v>0</v>
      </c>
      <c r="AE724" s="276">
        <f>IF(INDEX(tblContractForDeed[End Bal],ROW()-ROW(tblBuyerOutputs[#Headers]))&lt;=0,0,IF(ROW()=ROW(tblBuyerOutputs[#Headers])+1,0,INDEX(tblBuyerOutputs[Cumul Appr],ROW()-ROW(tblBuyerOutputs[#Headers])-1))+tblBuyerOutputs[[#This Row],[Monthly Appr]])</f>
        <v>0</v>
      </c>
    </row>
    <row r="725" spans="1:43" x14ac:dyDescent="0.25">
      <c r="A725" s="613"/>
      <c r="L725" s="394">
        <f t="shared" si="122"/>
        <v>0</v>
      </c>
      <c r="M725" s="394">
        <f t="shared" ref="M725:M788" si="123">IF($A725&lt;&gt;"",M724+1,0)</f>
        <v>0</v>
      </c>
      <c r="N725" s="613">
        <f>INDEX(tblSubjectToLoan[Date],ROW()-ROW(tblContractForDeed[#Headers]))</f>
        <v>0</v>
      </c>
      <c r="O725" s="276">
        <f>IF(ROW()=ROW(tblContractForDeed[#Headers])+1,$O$6,IF(INDEX(tblContractForDeed[End Bal],ROW()-ROW(tblContractForDeed[#Headers])-1)&lt;0,0,INDEX(tblContractForDeed[End Bal],ROW()-ROW(tblContractForDeed[#Headers])-1)))</f>
        <v>0</v>
      </c>
      <c r="P725" s="454">
        <f>IF(tblContractForDeed[[#This Row],[Date]]="","",IF(tblContractForDeed[[#This Row],[Date]]&lt;cfdRateChangeDate,cfdRate1,cfdRate2))</f>
        <v>7.0000000000000007E-2</v>
      </c>
      <c r="Q7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276">
        <f>IF(INDEX(tblContractForDeed[Payment],ROW()-ROW(tblBuyerOutputs[#Headers]))=0,0,INDEX(tblContractForDeed[Payment],ROW()-ROW(tblBuyerOutputs[#Headers]))-INDEX(tblSubjectToLoan[Payment],ROW()-ROW(tblBuyerOutputs[#Headers])))</f>
        <v>0</v>
      </c>
      <c r="Z7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5" s="276">
        <f>IF(INDEX(tblContractForDeed[End Bal],ROW()-ROW(tblBuyerOutputs[#Headers]))&lt;=0,0,($O$6+IF(ROW()=ROW(tblBuyerOutputs[#Headers])+1,0,INDEX(tblBuyerOutputs[Cumul Appr],ROW()-ROW(tblBuyerOutputs[#Headers])-1)))*$AK$2/12)</f>
        <v>0</v>
      </c>
      <c r="AE725" s="276">
        <f>IF(INDEX(tblContractForDeed[End Bal],ROW()-ROW(tblBuyerOutputs[#Headers]))&lt;=0,0,IF(ROW()=ROW(tblBuyerOutputs[#Headers])+1,0,INDEX(tblBuyerOutputs[Cumul Appr],ROW()-ROW(tblBuyerOutputs[#Headers])-1))+tblBuyerOutputs[[#This Row],[Monthly Appr]])</f>
        <v>0</v>
      </c>
    </row>
    <row r="726" spans="1:43" x14ac:dyDescent="0.25">
      <c r="A726" s="613"/>
      <c r="L726" s="394">
        <f t="shared" si="122"/>
        <v>0</v>
      </c>
      <c r="M726" s="394">
        <f t="shared" si="123"/>
        <v>0</v>
      </c>
      <c r="N726" s="613">
        <f>INDEX(tblSubjectToLoan[Date],ROW()-ROW(tblContractForDeed[#Headers]))</f>
        <v>0</v>
      </c>
      <c r="O726" s="276">
        <f>IF(ROW()=ROW(tblContractForDeed[#Headers])+1,$O$6,IF(INDEX(tblContractForDeed[End Bal],ROW()-ROW(tblContractForDeed[#Headers])-1)&lt;0,0,INDEX(tblContractForDeed[End Bal],ROW()-ROW(tblContractForDeed[#Headers])-1)))</f>
        <v>0</v>
      </c>
      <c r="P726" s="454">
        <f>IF(tblContractForDeed[[#This Row],[Date]]="","",IF(tblContractForDeed[[#This Row],[Date]]&lt;cfdRateChangeDate,cfdRate1,cfdRate2))</f>
        <v>7.0000000000000007E-2</v>
      </c>
      <c r="Q7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276">
        <f>IF(INDEX(tblContractForDeed[Payment],ROW()-ROW(tblBuyerOutputs[#Headers]))=0,0,INDEX(tblContractForDeed[Payment],ROW()-ROW(tblBuyerOutputs[#Headers]))-INDEX(tblSubjectToLoan[Payment],ROW()-ROW(tblBuyerOutputs[#Headers])))</f>
        <v>0</v>
      </c>
      <c r="Z7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6" s="276">
        <f>IF(INDEX(tblContractForDeed[End Bal],ROW()-ROW(tblBuyerOutputs[#Headers]))&lt;=0,0,($O$6+IF(ROW()=ROW(tblBuyerOutputs[#Headers])+1,0,INDEX(tblBuyerOutputs[Cumul Appr],ROW()-ROW(tblBuyerOutputs[#Headers])-1)))*$AK$2/12)</f>
        <v>0</v>
      </c>
      <c r="AE726" s="276">
        <f>IF(INDEX(tblContractForDeed[End Bal],ROW()-ROW(tblBuyerOutputs[#Headers]))&lt;=0,0,IF(ROW()=ROW(tblBuyerOutputs[#Headers])+1,0,INDEX(tblBuyerOutputs[Cumul Appr],ROW()-ROW(tblBuyerOutputs[#Headers])-1))+tblBuyerOutputs[[#This Row],[Monthly Appr]])</f>
        <v>0</v>
      </c>
    </row>
    <row r="727" spans="1:43" ht="15.75" thickBot="1" x14ac:dyDescent="0.3">
      <c r="A727" s="615"/>
      <c r="B727" s="332"/>
      <c r="C727" s="21"/>
      <c r="D727" s="21"/>
      <c r="E727" s="21"/>
      <c r="F727" s="21"/>
      <c r="G727" s="21"/>
      <c r="H727" s="21"/>
      <c r="I727" s="332"/>
      <c r="J727" s="332"/>
      <c r="K727" s="332"/>
      <c r="L727" s="395">
        <f t="shared" si="122"/>
        <v>0</v>
      </c>
      <c r="M727" s="395">
        <f t="shared" si="123"/>
        <v>0</v>
      </c>
      <c r="N727" s="615">
        <f>INDEX(tblSubjectToLoan[Date],ROW()-ROW(tblContractForDeed[#Headers]))</f>
        <v>0</v>
      </c>
      <c r="O727" s="332">
        <f>IF(ROW()=ROW(tblContractForDeed[#Headers])+1,$O$6,IF(INDEX(tblContractForDeed[End Bal],ROW()-ROW(tblContractForDeed[#Headers])-1)&lt;0,0,INDEX(tblContractForDeed[End Bal],ROW()-ROW(tblContractForDeed[#Headers])-1)))</f>
        <v>0</v>
      </c>
      <c r="P727" s="454">
        <f>IF(tblContractForDeed[[#This Row],[Date]]="","",IF(tblContractForDeed[[#This Row],[Date]]&lt;cfdRateChangeDate,cfdRate1,cfdRate2))</f>
        <v>7.0000000000000007E-2</v>
      </c>
      <c r="Q7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32">
        <f>IF(INDEX(tblContractForDeed[Payment],ROW()-ROW(tblBuyerOutputs[#Headers]))=0,0,INDEX(tblContractForDeed[Payment],ROW()-ROW(tblBuyerOutputs[#Headers]))-INDEX(tblSubjectToLoan[Payment],ROW()-ROW(tblBuyerOutputs[#Headers])))</f>
        <v>0</v>
      </c>
      <c r="Z7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7" s="332">
        <f>IF(INDEX(tblContractForDeed[End Bal],ROW()-ROW(tblBuyerOutputs[#Headers]))&lt;=0,0,($O$6+IF(ROW()=ROW(tblBuyerOutputs[#Headers])+1,0,INDEX(tblBuyerOutputs[Cumul Appr],ROW()-ROW(tblBuyerOutputs[#Headers])-1)))*$AK$2/12)</f>
        <v>0</v>
      </c>
      <c r="AE727" s="332">
        <f>IF(INDEX(tblContractForDeed[End Bal],ROW()-ROW(tblBuyerOutputs[#Headers]))&lt;=0,0,IF(ROW()=ROW(tblBuyerOutputs[#Headers])+1,0,INDEX(tblBuyerOutputs[Cumul Appr],ROW()-ROW(tblBuyerOutputs[#Headers])-1))+tblBuyerOutputs[[#This Row],[Monthly Appr]])</f>
        <v>0</v>
      </c>
      <c r="AQ727" s="21"/>
    </row>
    <row r="728" spans="1:43" x14ac:dyDescent="0.25">
      <c r="A728" s="613"/>
      <c r="L728" s="394">
        <f t="shared" si="122"/>
        <v>0</v>
      </c>
      <c r="M728" s="394">
        <f t="shared" si="123"/>
        <v>0</v>
      </c>
      <c r="N728" s="613">
        <f>INDEX(tblSubjectToLoan[Date],ROW()-ROW(tblContractForDeed[#Headers]))</f>
        <v>0</v>
      </c>
      <c r="O728" s="276">
        <f>IF(ROW()=ROW(tblContractForDeed[#Headers])+1,$O$6,IF(INDEX(tblContractForDeed[End Bal],ROW()-ROW(tblContractForDeed[#Headers])-1)&lt;0,0,INDEX(tblContractForDeed[End Bal],ROW()-ROW(tblContractForDeed[#Headers])-1)))</f>
        <v>0</v>
      </c>
      <c r="P728" s="454">
        <f>IF(tblContractForDeed[[#This Row],[Date]]="","",IF(tblContractForDeed[[#This Row],[Date]]&lt;cfdRateChangeDate,cfdRate1,cfdRate2))</f>
        <v>7.0000000000000007E-2</v>
      </c>
      <c r="Q7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276">
        <f>IF(INDEX(tblContractForDeed[Payment],ROW()-ROW(tblBuyerOutputs[#Headers]))=0,0,INDEX(tblContractForDeed[Payment],ROW()-ROW(tblBuyerOutputs[#Headers]))-INDEX(tblSubjectToLoan[Payment],ROW()-ROW(tblBuyerOutputs[#Headers])))</f>
        <v>0</v>
      </c>
      <c r="Z7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8" s="276">
        <f>IF(INDEX(tblContractForDeed[End Bal],ROW()-ROW(tblBuyerOutputs[#Headers]))&lt;=0,0,($O$6+IF(ROW()=ROW(tblBuyerOutputs[#Headers])+1,0,INDEX(tblBuyerOutputs[Cumul Appr],ROW()-ROW(tblBuyerOutputs[#Headers])-1)))*$AK$2/12)</f>
        <v>0</v>
      </c>
      <c r="AE728" s="276">
        <f>IF(INDEX(tblContractForDeed[End Bal],ROW()-ROW(tblBuyerOutputs[#Headers]))&lt;=0,0,IF(ROW()=ROW(tblBuyerOutputs[#Headers])+1,0,INDEX(tblBuyerOutputs[Cumul Appr],ROW()-ROW(tblBuyerOutputs[#Headers])-1))+tblBuyerOutputs[[#This Row],[Monthly Appr]])</f>
        <v>0</v>
      </c>
    </row>
    <row r="729" spans="1:43" x14ac:dyDescent="0.25">
      <c r="A729" s="613"/>
      <c r="L729" s="394">
        <f t="shared" si="122"/>
        <v>0</v>
      </c>
      <c r="M729" s="394">
        <f t="shared" si="123"/>
        <v>0</v>
      </c>
      <c r="N729" s="613">
        <f>INDEX(tblSubjectToLoan[Date],ROW()-ROW(tblContractForDeed[#Headers]))</f>
        <v>0</v>
      </c>
      <c r="O729" s="276">
        <f>IF(ROW()=ROW(tblContractForDeed[#Headers])+1,$O$6,IF(INDEX(tblContractForDeed[End Bal],ROW()-ROW(tblContractForDeed[#Headers])-1)&lt;0,0,INDEX(tblContractForDeed[End Bal],ROW()-ROW(tblContractForDeed[#Headers])-1)))</f>
        <v>0</v>
      </c>
      <c r="P729" s="454">
        <f>IF(tblContractForDeed[[#This Row],[Date]]="","",IF(tblContractForDeed[[#This Row],[Date]]&lt;cfdRateChangeDate,cfdRate1,cfdRate2))</f>
        <v>7.0000000000000007E-2</v>
      </c>
      <c r="Q7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276">
        <f>IF(INDEX(tblContractForDeed[Payment],ROW()-ROW(tblBuyerOutputs[#Headers]))=0,0,INDEX(tblContractForDeed[Payment],ROW()-ROW(tblBuyerOutputs[#Headers]))-INDEX(tblSubjectToLoan[Payment],ROW()-ROW(tblBuyerOutputs[#Headers])))</f>
        <v>0</v>
      </c>
      <c r="Z7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9" s="276">
        <f>IF(INDEX(tblContractForDeed[End Bal],ROW()-ROW(tblBuyerOutputs[#Headers]))&lt;=0,0,($O$6+IF(ROW()=ROW(tblBuyerOutputs[#Headers])+1,0,INDEX(tblBuyerOutputs[Cumul Appr],ROW()-ROW(tblBuyerOutputs[#Headers])-1)))*$AK$2/12)</f>
        <v>0</v>
      </c>
      <c r="AE729" s="276">
        <f>IF(INDEX(tblContractForDeed[End Bal],ROW()-ROW(tblBuyerOutputs[#Headers]))&lt;=0,0,IF(ROW()=ROW(tblBuyerOutputs[#Headers])+1,0,INDEX(tblBuyerOutputs[Cumul Appr],ROW()-ROW(tblBuyerOutputs[#Headers])-1))+tblBuyerOutputs[[#This Row],[Monthly Appr]])</f>
        <v>0</v>
      </c>
    </row>
    <row r="730" spans="1:43" x14ac:dyDescent="0.25">
      <c r="A730" s="613"/>
      <c r="L730" s="394">
        <f t="shared" si="122"/>
        <v>0</v>
      </c>
      <c r="M730" s="394">
        <f t="shared" si="123"/>
        <v>0</v>
      </c>
      <c r="N730" s="613">
        <f>INDEX(tblSubjectToLoan[Date],ROW()-ROW(tblContractForDeed[#Headers]))</f>
        <v>0</v>
      </c>
      <c r="O730" s="276">
        <f>IF(ROW()=ROW(tblContractForDeed[#Headers])+1,$O$6,IF(INDEX(tblContractForDeed[End Bal],ROW()-ROW(tblContractForDeed[#Headers])-1)&lt;0,0,INDEX(tblContractForDeed[End Bal],ROW()-ROW(tblContractForDeed[#Headers])-1)))</f>
        <v>0</v>
      </c>
      <c r="P730" s="454">
        <f>IF(tblContractForDeed[[#This Row],[Date]]="","",IF(tblContractForDeed[[#This Row],[Date]]&lt;cfdRateChangeDate,cfdRate1,cfdRate2))</f>
        <v>7.0000000000000007E-2</v>
      </c>
      <c r="Q7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276">
        <f>IF(INDEX(tblContractForDeed[Payment],ROW()-ROW(tblBuyerOutputs[#Headers]))=0,0,INDEX(tblContractForDeed[Payment],ROW()-ROW(tblBuyerOutputs[#Headers]))-INDEX(tblSubjectToLoan[Payment],ROW()-ROW(tblBuyerOutputs[#Headers])))</f>
        <v>0</v>
      </c>
      <c r="Z7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0" s="276">
        <f>IF(INDEX(tblContractForDeed[End Bal],ROW()-ROW(tblBuyerOutputs[#Headers]))&lt;=0,0,($O$6+IF(ROW()=ROW(tblBuyerOutputs[#Headers])+1,0,INDEX(tblBuyerOutputs[Cumul Appr],ROW()-ROW(tblBuyerOutputs[#Headers])-1)))*$AK$2/12)</f>
        <v>0</v>
      </c>
      <c r="AE730" s="276">
        <f>IF(INDEX(tblContractForDeed[End Bal],ROW()-ROW(tblBuyerOutputs[#Headers]))&lt;=0,0,IF(ROW()=ROW(tblBuyerOutputs[#Headers])+1,0,INDEX(tblBuyerOutputs[Cumul Appr],ROW()-ROW(tblBuyerOutputs[#Headers])-1))+tblBuyerOutputs[[#This Row],[Monthly Appr]])</f>
        <v>0</v>
      </c>
    </row>
    <row r="731" spans="1:43" x14ac:dyDescent="0.25">
      <c r="A731" s="613"/>
      <c r="L731" s="394">
        <f t="shared" si="122"/>
        <v>0</v>
      </c>
      <c r="M731" s="394">
        <f t="shared" si="123"/>
        <v>0</v>
      </c>
      <c r="N731" s="613">
        <f>INDEX(tblSubjectToLoan[Date],ROW()-ROW(tblContractForDeed[#Headers]))</f>
        <v>0</v>
      </c>
      <c r="O731" s="276">
        <f>IF(ROW()=ROW(tblContractForDeed[#Headers])+1,$O$6,IF(INDEX(tblContractForDeed[End Bal],ROW()-ROW(tblContractForDeed[#Headers])-1)&lt;0,0,INDEX(tblContractForDeed[End Bal],ROW()-ROW(tblContractForDeed[#Headers])-1)))</f>
        <v>0</v>
      </c>
      <c r="P731" s="454">
        <f>IF(tblContractForDeed[[#This Row],[Date]]="","",IF(tblContractForDeed[[#This Row],[Date]]&lt;cfdRateChangeDate,cfdRate1,cfdRate2))</f>
        <v>7.0000000000000007E-2</v>
      </c>
      <c r="Q7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276">
        <f>IF(INDEX(tblContractForDeed[Payment],ROW()-ROW(tblBuyerOutputs[#Headers]))=0,0,INDEX(tblContractForDeed[Payment],ROW()-ROW(tblBuyerOutputs[#Headers]))-INDEX(tblSubjectToLoan[Payment],ROW()-ROW(tblBuyerOutputs[#Headers])))</f>
        <v>0</v>
      </c>
      <c r="Z7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1" s="276">
        <f>IF(INDEX(tblContractForDeed[End Bal],ROW()-ROW(tblBuyerOutputs[#Headers]))&lt;=0,0,($O$6+IF(ROW()=ROW(tblBuyerOutputs[#Headers])+1,0,INDEX(tblBuyerOutputs[Cumul Appr],ROW()-ROW(tblBuyerOutputs[#Headers])-1)))*$AK$2/12)</f>
        <v>0</v>
      </c>
      <c r="AE731" s="276">
        <f>IF(INDEX(tblContractForDeed[End Bal],ROW()-ROW(tblBuyerOutputs[#Headers]))&lt;=0,0,IF(ROW()=ROW(tblBuyerOutputs[#Headers])+1,0,INDEX(tblBuyerOutputs[Cumul Appr],ROW()-ROW(tblBuyerOutputs[#Headers])-1))+tblBuyerOutputs[[#This Row],[Monthly Appr]])</f>
        <v>0</v>
      </c>
    </row>
    <row r="732" spans="1:43" x14ac:dyDescent="0.25">
      <c r="A732" s="613"/>
      <c r="L732" s="394">
        <f t="shared" si="122"/>
        <v>0</v>
      </c>
      <c r="M732" s="394">
        <f t="shared" si="123"/>
        <v>0</v>
      </c>
      <c r="N732" s="613">
        <f>INDEX(tblSubjectToLoan[Date],ROW()-ROW(tblContractForDeed[#Headers]))</f>
        <v>0</v>
      </c>
      <c r="O732" s="276">
        <f>IF(ROW()=ROW(tblContractForDeed[#Headers])+1,$O$6,IF(INDEX(tblContractForDeed[End Bal],ROW()-ROW(tblContractForDeed[#Headers])-1)&lt;0,0,INDEX(tblContractForDeed[End Bal],ROW()-ROW(tblContractForDeed[#Headers])-1)))</f>
        <v>0</v>
      </c>
      <c r="P732" s="454">
        <f>IF(tblContractForDeed[[#This Row],[Date]]="","",IF(tblContractForDeed[[#This Row],[Date]]&lt;cfdRateChangeDate,cfdRate1,cfdRate2))</f>
        <v>7.0000000000000007E-2</v>
      </c>
      <c r="Q7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276">
        <f>IF(INDEX(tblContractForDeed[Payment],ROW()-ROW(tblBuyerOutputs[#Headers]))=0,0,INDEX(tblContractForDeed[Payment],ROW()-ROW(tblBuyerOutputs[#Headers]))-INDEX(tblSubjectToLoan[Payment],ROW()-ROW(tblBuyerOutputs[#Headers])))</f>
        <v>0</v>
      </c>
      <c r="Z7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2" s="276">
        <f>IF(INDEX(tblContractForDeed[End Bal],ROW()-ROW(tblBuyerOutputs[#Headers]))&lt;=0,0,($O$6+IF(ROW()=ROW(tblBuyerOutputs[#Headers])+1,0,INDEX(tblBuyerOutputs[Cumul Appr],ROW()-ROW(tblBuyerOutputs[#Headers])-1)))*$AK$2/12)</f>
        <v>0</v>
      </c>
      <c r="AE732" s="276">
        <f>IF(INDEX(tblContractForDeed[End Bal],ROW()-ROW(tblBuyerOutputs[#Headers]))&lt;=0,0,IF(ROW()=ROW(tblBuyerOutputs[#Headers])+1,0,INDEX(tblBuyerOutputs[Cumul Appr],ROW()-ROW(tblBuyerOutputs[#Headers])-1))+tblBuyerOutputs[[#This Row],[Monthly Appr]])</f>
        <v>0</v>
      </c>
    </row>
    <row r="733" spans="1:43" x14ac:dyDescent="0.25">
      <c r="A733" s="613"/>
      <c r="L733" s="394">
        <f t="shared" si="122"/>
        <v>0</v>
      </c>
      <c r="M733" s="394">
        <f t="shared" si="123"/>
        <v>0</v>
      </c>
      <c r="N733" s="613">
        <f>INDEX(tblSubjectToLoan[Date],ROW()-ROW(tblContractForDeed[#Headers]))</f>
        <v>0</v>
      </c>
      <c r="O733" s="276">
        <f>IF(ROW()=ROW(tblContractForDeed[#Headers])+1,$O$6,IF(INDEX(tblContractForDeed[End Bal],ROW()-ROW(tblContractForDeed[#Headers])-1)&lt;0,0,INDEX(tblContractForDeed[End Bal],ROW()-ROW(tblContractForDeed[#Headers])-1)))</f>
        <v>0</v>
      </c>
      <c r="P733" s="454">
        <f>IF(tblContractForDeed[[#This Row],[Date]]="","",IF(tblContractForDeed[[#This Row],[Date]]&lt;cfdRateChangeDate,cfdRate1,cfdRate2))</f>
        <v>7.0000000000000007E-2</v>
      </c>
      <c r="Q7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276">
        <f>IF(INDEX(tblContractForDeed[Payment],ROW()-ROW(tblBuyerOutputs[#Headers]))=0,0,INDEX(tblContractForDeed[Payment],ROW()-ROW(tblBuyerOutputs[#Headers]))-INDEX(tblSubjectToLoan[Payment],ROW()-ROW(tblBuyerOutputs[#Headers])))</f>
        <v>0</v>
      </c>
      <c r="Z7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3" s="276">
        <f>IF(INDEX(tblContractForDeed[End Bal],ROW()-ROW(tblBuyerOutputs[#Headers]))&lt;=0,0,($O$6+IF(ROW()=ROW(tblBuyerOutputs[#Headers])+1,0,INDEX(tblBuyerOutputs[Cumul Appr],ROW()-ROW(tblBuyerOutputs[#Headers])-1)))*$AK$2/12)</f>
        <v>0</v>
      </c>
      <c r="AE733" s="276">
        <f>IF(INDEX(tblContractForDeed[End Bal],ROW()-ROW(tblBuyerOutputs[#Headers]))&lt;=0,0,IF(ROW()=ROW(tblBuyerOutputs[#Headers])+1,0,INDEX(tblBuyerOutputs[Cumul Appr],ROW()-ROW(tblBuyerOutputs[#Headers])-1))+tblBuyerOutputs[[#This Row],[Monthly Appr]])</f>
        <v>0</v>
      </c>
    </row>
    <row r="734" spans="1:43" x14ac:dyDescent="0.25">
      <c r="A734" s="613"/>
      <c r="L734" s="394">
        <f t="shared" si="122"/>
        <v>0</v>
      </c>
      <c r="M734" s="394">
        <f t="shared" si="123"/>
        <v>0</v>
      </c>
      <c r="N734" s="613">
        <f>INDEX(tblSubjectToLoan[Date],ROW()-ROW(tblContractForDeed[#Headers]))</f>
        <v>0</v>
      </c>
      <c r="O734" s="276">
        <f>IF(ROW()=ROW(tblContractForDeed[#Headers])+1,$O$6,IF(INDEX(tblContractForDeed[End Bal],ROW()-ROW(tblContractForDeed[#Headers])-1)&lt;0,0,INDEX(tblContractForDeed[End Bal],ROW()-ROW(tblContractForDeed[#Headers])-1)))</f>
        <v>0</v>
      </c>
      <c r="P734" s="454">
        <f>IF(tblContractForDeed[[#This Row],[Date]]="","",IF(tblContractForDeed[[#This Row],[Date]]&lt;cfdRateChangeDate,cfdRate1,cfdRate2))</f>
        <v>7.0000000000000007E-2</v>
      </c>
      <c r="Q7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276">
        <f>IF(INDEX(tblContractForDeed[Payment],ROW()-ROW(tblBuyerOutputs[#Headers]))=0,0,INDEX(tblContractForDeed[Payment],ROW()-ROW(tblBuyerOutputs[#Headers]))-INDEX(tblSubjectToLoan[Payment],ROW()-ROW(tblBuyerOutputs[#Headers])))</f>
        <v>0</v>
      </c>
      <c r="Z7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4" s="276">
        <f>IF(INDEX(tblContractForDeed[End Bal],ROW()-ROW(tblBuyerOutputs[#Headers]))&lt;=0,0,($O$6+IF(ROW()=ROW(tblBuyerOutputs[#Headers])+1,0,INDEX(tblBuyerOutputs[Cumul Appr],ROW()-ROW(tblBuyerOutputs[#Headers])-1)))*$AK$2/12)</f>
        <v>0</v>
      </c>
      <c r="AE734" s="276">
        <f>IF(INDEX(tblContractForDeed[End Bal],ROW()-ROW(tblBuyerOutputs[#Headers]))&lt;=0,0,IF(ROW()=ROW(tblBuyerOutputs[#Headers])+1,0,INDEX(tblBuyerOutputs[Cumul Appr],ROW()-ROW(tblBuyerOutputs[#Headers])-1))+tblBuyerOutputs[[#This Row],[Monthly Appr]])</f>
        <v>0</v>
      </c>
    </row>
    <row r="735" spans="1:43" x14ac:dyDescent="0.25">
      <c r="A735" s="613"/>
      <c r="L735" s="394">
        <f t="shared" si="122"/>
        <v>0</v>
      </c>
      <c r="M735" s="394">
        <f t="shared" si="123"/>
        <v>0</v>
      </c>
      <c r="N735" s="613">
        <f>INDEX(tblSubjectToLoan[Date],ROW()-ROW(tblContractForDeed[#Headers]))</f>
        <v>0</v>
      </c>
      <c r="O735" s="276">
        <f>IF(ROW()=ROW(tblContractForDeed[#Headers])+1,$O$6,IF(INDEX(tblContractForDeed[End Bal],ROW()-ROW(tblContractForDeed[#Headers])-1)&lt;0,0,INDEX(tblContractForDeed[End Bal],ROW()-ROW(tblContractForDeed[#Headers])-1)))</f>
        <v>0</v>
      </c>
      <c r="P735" s="454">
        <f>IF(tblContractForDeed[[#This Row],[Date]]="","",IF(tblContractForDeed[[#This Row],[Date]]&lt;cfdRateChangeDate,cfdRate1,cfdRate2))</f>
        <v>7.0000000000000007E-2</v>
      </c>
      <c r="Q7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276">
        <f>IF(INDEX(tblContractForDeed[Payment],ROW()-ROW(tblBuyerOutputs[#Headers]))=0,0,INDEX(tblContractForDeed[Payment],ROW()-ROW(tblBuyerOutputs[#Headers]))-INDEX(tblSubjectToLoan[Payment],ROW()-ROW(tblBuyerOutputs[#Headers])))</f>
        <v>0</v>
      </c>
      <c r="Z7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5" s="276">
        <f>IF(INDEX(tblContractForDeed[End Bal],ROW()-ROW(tblBuyerOutputs[#Headers]))&lt;=0,0,($O$6+IF(ROW()=ROW(tblBuyerOutputs[#Headers])+1,0,INDEX(tblBuyerOutputs[Cumul Appr],ROW()-ROW(tblBuyerOutputs[#Headers])-1)))*$AK$2/12)</f>
        <v>0</v>
      </c>
      <c r="AE735" s="276">
        <f>IF(INDEX(tblContractForDeed[End Bal],ROW()-ROW(tblBuyerOutputs[#Headers]))&lt;=0,0,IF(ROW()=ROW(tblBuyerOutputs[#Headers])+1,0,INDEX(tblBuyerOutputs[Cumul Appr],ROW()-ROW(tblBuyerOutputs[#Headers])-1))+tblBuyerOutputs[[#This Row],[Monthly Appr]])</f>
        <v>0</v>
      </c>
    </row>
    <row r="736" spans="1:43" x14ac:dyDescent="0.25">
      <c r="A736" s="613"/>
      <c r="L736" s="394">
        <f t="shared" si="122"/>
        <v>0</v>
      </c>
      <c r="M736" s="394">
        <f t="shared" si="123"/>
        <v>0</v>
      </c>
      <c r="N736" s="613">
        <f>INDEX(tblSubjectToLoan[Date],ROW()-ROW(tblContractForDeed[#Headers]))</f>
        <v>0</v>
      </c>
      <c r="O736" s="276">
        <f>IF(ROW()=ROW(tblContractForDeed[#Headers])+1,$O$6,IF(INDEX(tblContractForDeed[End Bal],ROW()-ROW(tblContractForDeed[#Headers])-1)&lt;0,0,INDEX(tblContractForDeed[End Bal],ROW()-ROW(tblContractForDeed[#Headers])-1)))</f>
        <v>0</v>
      </c>
      <c r="P736" s="454">
        <f>IF(tblContractForDeed[[#This Row],[Date]]="","",IF(tblContractForDeed[[#This Row],[Date]]&lt;cfdRateChangeDate,cfdRate1,cfdRate2))</f>
        <v>7.0000000000000007E-2</v>
      </c>
      <c r="Q7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276">
        <f>IF(INDEX(tblContractForDeed[Payment],ROW()-ROW(tblBuyerOutputs[#Headers]))=0,0,INDEX(tblContractForDeed[Payment],ROW()-ROW(tblBuyerOutputs[#Headers]))-INDEX(tblSubjectToLoan[Payment],ROW()-ROW(tblBuyerOutputs[#Headers])))</f>
        <v>0</v>
      </c>
      <c r="Z7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6" s="276">
        <f>IF(INDEX(tblContractForDeed[End Bal],ROW()-ROW(tblBuyerOutputs[#Headers]))&lt;=0,0,($O$6+IF(ROW()=ROW(tblBuyerOutputs[#Headers])+1,0,INDEX(tblBuyerOutputs[Cumul Appr],ROW()-ROW(tblBuyerOutputs[#Headers])-1)))*$AK$2/12)</f>
        <v>0</v>
      </c>
      <c r="AE736" s="276">
        <f>IF(INDEX(tblContractForDeed[End Bal],ROW()-ROW(tblBuyerOutputs[#Headers]))&lt;=0,0,IF(ROW()=ROW(tblBuyerOutputs[#Headers])+1,0,INDEX(tblBuyerOutputs[Cumul Appr],ROW()-ROW(tblBuyerOutputs[#Headers])-1))+tblBuyerOutputs[[#This Row],[Monthly Appr]])</f>
        <v>0</v>
      </c>
    </row>
    <row r="737" spans="1:43" x14ac:dyDescent="0.25">
      <c r="A737" s="613"/>
      <c r="L737" s="394">
        <f t="shared" si="122"/>
        <v>0</v>
      </c>
      <c r="M737" s="394">
        <f t="shared" si="123"/>
        <v>0</v>
      </c>
      <c r="N737" s="613">
        <f>INDEX(tblSubjectToLoan[Date],ROW()-ROW(tblContractForDeed[#Headers]))</f>
        <v>0</v>
      </c>
      <c r="O737" s="276">
        <f>IF(ROW()=ROW(tblContractForDeed[#Headers])+1,$O$6,IF(INDEX(tblContractForDeed[End Bal],ROW()-ROW(tblContractForDeed[#Headers])-1)&lt;0,0,INDEX(tblContractForDeed[End Bal],ROW()-ROW(tblContractForDeed[#Headers])-1)))</f>
        <v>0</v>
      </c>
      <c r="P737" s="454">
        <f>IF(tblContractForDeed[[#This Row],[Date]]="","",IF(tblContractForDeed[[#This Row],[Date]]&lt;cfdRateChangeDate,cfdRate1,cfdRate2))</f>
        <v>7.0000000000000007E-2</v>
      </c>
      <c r="Q7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276">
        <f>IF(INDEX(tblContractForDeed[Payment],ROW()-ROW(tblBuyerOutputs[#Headers]))=0,0,INDEX(tblContractForDeed[Payment],ROW()-ROW(tblBuyerOutputs[#Headers]))-INDEX(tblSubjectToLoan[Payment],ROW()-ROW(tblBuyerOutputs[#Headers])))</f>
        <v>0</v>
      </c>
      <c r="Z7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7" s="276">
        <f>IF(INDEX(tblContractForDeed[End Bal],ROW()-ROW(tblBuyerOutputs[#Headers]))&lt;=0,0,($O$6+IF(ROW()=ROW(tblBuyerOutputs[#Headers])+1,0,INDEX(tblBuyerOutputs[Cumul Appr],ROW()-ROW(tblBuyerOutputs[#Headers])-1)))*$AK$2/12)</f>
        <v>0</v>
      </c>
      <c r="AE737" s="276">
        <f>IF(INDEX(tblContractForDeed[End Bal],ROW()-ROW(tblBuyerOutputs[#Headers]))&lt;=0,0,IF(ROW()=ROW(tblBuyerOutputs[#Headers])+1,0,INDEX(tblBuyerOutputs[Cumul Appr],ROW()-ROW(tblBuyerOutputs[#Headers])-1))+tblBuyerOutputs[[#This Row],[Monthly Appr]])</f>
        <v>0</v>
      </c>
    </row>
    <row r="738" spans="1:43" x14ac:dyDescent="0.25">
      <c r="A738" s="613"/>
      <c r="L738" s="394">
        <f t="shared" si="122"/>
        <v>0</v>
      </c>
      <c r="M738" s="394">
        <f t="shared" si="123"/>
        <v>0</v>
      </c>
      <c r="N738" s="613">
        <f>INDEX(tblSubjectToLoan[Date],ROW()-ROW(tblContractForDeed[#Headers]))</f>
        <v>0</v>
      </c>
      <c r="O738" s="276">
        <f>IF(ROW()=ROW(tblContractForDeed[#Headers])+1,$O$6,IF(INDEX(tblContractForDeed[End Bal],ROW()-ROW(tblContractForDeed[#Headers])-1)&lt;0,0,INDEX(tblContractForDeed[End Bal],ROW()-ROW(tblContractForDeed[#Headers])-1)))</f>
        <v>0</v>
      </c>
      <c r="P738" s="454">
        <f>IF(tblContractForDeed[[#This Row],[Date]]="","",IF(tblContractForDeed[[#This Row],[Date]]&lt;cfdRateChangeDate,cfdRate1,cfdRate2))</f>
        <v>7.0000000000000007E-2</v>
      </c>
      <c r="Q7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276">
        <f>IF(INDEX(tblContractForDeed[Payment],ROW()-ROW(tblBuyerOutputs[#Headers]))=0,0,INDEX(tblContractForDeed[Payment],ROW()-ROW(tblBuyerOutputs[#Headers]))-INDEX(tblSubjectToLoan[Payment],ROW()-ROW(tblBuyerOutputs[#Headers])))</f>
        <v>0</v>
      </c>
      <c r="Z7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8" s="276">
        <f>IF(INDEX(tblContractForDeed[End Bal],ROW()-ROW(tblBuyerOutputs[#Headers]))&lt;=0,0,($O$6+IF(ROW()=ROW(tblBuyerOutputs[#Headers])+1,0,INDEX(tblBuyerOutputs[Cumul Appr],ROW()-ROW(tblBuyerOutputs[#Headers])-1)))*$AK$2/12)</f>
        <v>0</v>
      </c>
      <c r="AE738" s="276">
        <f>IF(INDEX(tblContractForDeed[End Bal],ROW()-ROW(tblBuyerOutputs[#Headers]))&lt;=0,0,IF(ROW()=ROW(tblBuyerOutputs[#Headers])+1,0,INDEX(tblBuyerOutputs[Cumul Appr],ROW()-ROW(tblBuyerOutputs[#Headers])-1))+tblBuyerOutputs[[#This Row],[Monthly Appr]])</f>
        <v>0</v>
      </c>
    </row>
    <row r="739" spans="1:43" ht="15.75" thickBot="1" x14ac:dyDescent="0.3">
      <c r="A739" s="615"/>
      <c r="B739" s="332"/>
      <c r="C739" s="21"/>
      <c r="D739" s="21"/>
      <c r="E739" s="21"/>
      <c r="F739" s="21"/>
      <c r="G739" s="21"/>
      <c r="H739" s="21"/>
      <c r="I739" s="332"/>
      <c r="J739" s="332"/>
      <c r="K739" s="332"/>
      <c r="L739" s="395">
        <f t="shared" si="122"/>
        <v>0</v>
      </c>
      <c r="M739" s="395">
        <f t="shared" si="123"/>
        <v>0</v>
      </c>
      <c r="N739" s="615">
        <f>INDEX(tblSubjectToLoan[Date],ROW()-ROW(tblContractForDeed[#Headers]))</f>
        <v>0</v>
      </c>
      <c r="O739" s="332">
        <f>IF(ROW()=ROW(tblContractForDeed[#Headers])+1,$O$6,IF(INDEX(tblContractForDeed[End Bal],ROW()-ROW(tblContractForDeed[#Headers])-1)&lt;0,0,INDEX(tblContractForDeed[End Bal],ROW()-ROW(tblContractForDeed[#Headers])-1)))</f>
        <v>0</v>
      </c>
      <c r="P739" s="454">
        <f>IF(tblContractForDeed[[#This Row],[Date]]="","",IF(tblContractForDeed[[#This Row],[Date]]&lt;cfdRateChangeDate,cfdRate1,cfdRate2))</f>
        <v>7.0000000000000007E-2</v>
      </c>
      <c r="Q7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32">
        <f>IF(INDEX(tblContractForDeed[Payment],ROW()-ROW(tblBuyerOutputs[#Headers]))=0,0,INDEX(tblContractForDeed[Payment],ROW()-ROW(tblBuyerOutputs[#Headers]))-INDEX(tblSubjectToLoan[Payment],ROW()-ROW(tblBuyerOutputs[#Headers])))</f>
        <v>0</v>
      </c>
      <c r="Z7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9" s="332">
        <f>IF(INDEX(tblContractForDeed[End Bal],ROW()-ROW(tblBuyerOutputs[#Headers]))&lt;=0,0,($O$6+IF(ROW()=ROW(tblBuyerOutputs[#Headers])+1,0,INDEX(tblBuyerOutputs[Cumul Appr],ROW()-ROW(tblBuyerOutputs[#Headers])-1)))*$AK$2/12)</f>
        <v>0</v>
      </c>
      <c r="AE739" s="332">
        <f>IF(INDEX(tblContractForDeed[End Bal],ROW()-ROW(tblBuyerOutputs[#Headers]))&lt;=0,0,IF(ROW()=ROW(tblBuyerOutputs[#Headers])+1,0,INDEX(tblBuyerOutputs[Cumul Appr],ROW()-ROW(tblBuyerOutputs[#Headers])-1))+tblBuyerOutputs[[#This Row],[Monthly Appr]])</f>
        <v>0</v>
      </c>
      <c r="AQ739" s="21"/>
    </row>
    <row r="740" spans="1:43" x14ac:dyDescent="0.25">
      <c r="A740" s="613"/>
      <c r="L740" s="394">
        <f t="shared" si="122"/>
        <v>0</v>
      </c>
      <c r="M740" s="394">
        <f t="shared" si="123"/>
        <v>0</v>
      </c>
      <c r="N740" s="613">
        <f>INDEX(tblSubjectToLoan[Date],ROW()-ROW(tblContractForDeed[#Headers]))</f>
        <v>0</v>
      </c>
      <c r="O740" s="276">
        <f>IF(ROW()=ROW(tblContractForDeed[#Headers])+1,$O$6,IF(INDEX(tblContractForDeed[End Bal],ROW()-ROW(tblContractForDeed[#Headers])-1)&lt;0,0,INDEX(tblContractForDeed[End Bal],ROW()-ROW(tblContractForDeed[#Headers])-1)))</f>
        <v>0</v>
      </c>
      <c r="P740" s="454">
        <f>IF(tblContractForDeed[[#This Row],[Date]]="","",IF(tblContractForDeed[[#This Row],[Date]]&lt;cfdRateChangeDate,cfdRate1,cfdRate2))</f>
        <v>7.0000000000000007E-2</v>
      </c>
      <c r="Q7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276">
        <f>IF(INDEX(tblContractForDeed[Payment],ROW()-ROW(tblBuyerOutputs[#Headers]))=0,0,INDEX(tblContractForDeed[Payment],ROW()-ROW(tblBuyerOutputs[#Headers]))-INDEX(tblSubjectToLoan[Payment],ROW()-ROW(tblBuyerOutputs[#Headers])))</f>
        <v>0</v>
      </c>
      <c r="Z7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0" s="276">
        <f>IF(INDEX(tblContractForDeed[End Bal],ROW()-ROW(tblBuyerOutputs[#Headers]))&lt;=0,0,($O$6+IF(ROW()=ROW(tblBuyerOutputs[#Headers])+1,0,INDEX(tblBuyerOutputs[Cumul Appr],ROW()-ROW(tblBuyerOutputs[#Headers])-1)))*$AK$2/12)</f>
        <v>0</v>
      </c>
      <c r="AE740" s="276">
        <f>IF(INDEX(tblContractForDeed[End Bal],ROW()-ROW(tblBuyerOutputs[#Headers]))&lt;=0,0,IF(ROW()=ROW(tblBuyerOutputs[#Headers])+1,0,INDEX(tblBuyerOutputs[Cumul Appr],ROW()-ROW(tblBuyerOutputs[#Headers])-1))+tblBuyerOutputs[[#This Row],[Monthly Appr]])</f>
        <v>0</v>
      </c>
    </row>
    <row r="741" spans="1:43" x14ac:dyDescent="0.25">
      <c r="A741" s="613"/>
      <c r="L741" s="394">
        <f t="shared" si="122"/>
        <v>0</v>
      </c>
      <c r="M741" s="394">
        <f t="shared" si="123"/>
        <v>0</v>
      </c>
      <c r="N741" s="613">
        <f>INDEX(tblSubjectToLoan[Date],ROW()-ROW(tblContractForDeed[#Headers]))</f>
        <v>0</v>
      </c>
      <c r="O741" s="276">
        <f>IF(ROW()=ROW(tblContractForDeed[#Headers])+1,$O$6,IF(INDEX(tblContractForDeed[End Bal],ROW()-ROW(tblContractForDeed[#Headers])-1)&lt;0,0,INDEX(tblContractForDeed[End Bal],ROW()-ROW(tblContractForDeed[#Headers])-1)))</f>
        <v>0</v>
      </c>
      <c r="P741" s="454">
        <f>IF(tblContractForDeed[[#This Row],[Date]]="","",IF(tblContractForDeed[[#This Row],[Date]]&lt;cfdRateChangeDate,cfdRate1,cfdRate2))</f>
        <v>7.0000000000000007E-2</v>
      </c>
      <c r="Q7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276">
        <f>IF(INDEX(tblContractForDeed[Payment],ROW()-ROW(tblBuyerOutputs[#Headers]))=0,0,INDEX(tblContractForDeed[Payment],ROW()-ROW(tblBuyerOutputs[#Headers]))-INDEX(tblSubjectToLoan[Payment],ROW()-ROW(tblBuyerOutputs[#Headers])))</f>
        <v>0</v>
      </c>
      <c r="Z7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1" s="276">
        <f>IF(INDEX(tblContractForDeed[End Bal],ROW()-ROW(tblBuyerOutputs[#Headers]))&lt;=0,0,($O$6+IF(ROW()=ROW(tblBuyerOutputs[#Headers])+1,0,INDEX(tblBuyerOutputs[Cumul Appr],ROW()-ROW(tblBuyerOutputs[#Headers])-1)))*$AK$2/12)</f>
        <v>0</v>
      </c>
      <c r="AE741" s="276">
        <f>IF(INDEX(tblContractForDeed[End Bal],ROW()-ROW(tblBuyerOutputs[#Headers]))&lt;=0,0,IF(ROW()=ROW(tblBuyerOutputs[#Headers])+1,0,INDEX(tblBuyerOutputs[Cumul Appr],ROW()-ROW(tblBuyerOutputs[#Headers])-1))+tblBuyerOutputs[[#This Row],[Monthly Appr]])</f>
        <v>0</v>
      </c>
    </row>
    <row r="742" spans="1:43" x14ac:dyDescent="0.25">
      <c r="A742" s="613"/>
      <c r="L742" s="394">
        <f t="shared" si="122"/>
        <v>0</v>
      </c>
      <c r="M742" s="394">
        <f t="shared" si="123"/>
        <v>0</v>
      </c>
      <c r="N742" s="613">
        <f>INDEX(tblSubjectToLoan[Date],ROW()-ROW(tblContractForDeed[#Headers]))</f>
        <v>0</v>
      </c>
      <c r="O742" s="276">
        <f>IF(ROW()=ROW(tblContractForDeed[#Headers])+1,$O$6,IF(INDEX(tblContractForDeed[End Bal],ROW()-ROW(tblContractForDeed[#Headers])-1)&lt;0,0,INDEX(tblContractForDeed[End Bal],ROW()-ROW(tblContractForDeed[#Headers])-1)))</f>
        <v>0</v>
      </c>
      <c r="P742" s="454">
        <f>IF(tblContractForDeed[[#This Row],[Date]]="","",IF(tblContractForDeed[[#This Row],[Date]]&lt;cfdRateChangeDate,cfdRate1,cfdRate2))</f>
        <v>7.0000000000000007E-2</v>
      </c>
      <c r="Q7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276">
        <f>IF(INDEX(tblContractForDeed[Payment],ROW()-ROW(tblBuyerOutputs[#Headers]))=0,0,INDEX(tblContractForDeed[Payment],ROW()-ROW(tblBuyerOutputs[#Headers]))-INDEX(tblSubjectToLoan[Payment],ROW()-ROW(tblBuyerOutputs[#Headers])))</f>
        <v>0</v>
      </c>
      <c r="Z7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2" s="276">
        <f>IF(INDEX(tblContractForDeed[End Bal],ROW()-ROW(tblBuyerOutputs[#Headers]))&lt;=0,0,($O$6+IF(ROW()=ROW(tblBuyerOutputs[#Headers])+1,0,INDEX(tblBuyerOutputs[Cumul Appr],ROW()-ROW(tblBuyerOutputs[#Headers])-1)))*$AK$2/12)</f>
        <v>0</v>
      </c>
      <c r="AE742" s="276">
        <f>IF(INDEX(tblContractForDeed[End Bal],ROW()-ROW(tblBuyerOutputs[#Headers]))&lt;=0,0,IF(ROW()=ROW(tblBuyerOutputs[#Headers])+1,0,INDEX(tblBuyerOutputs[Cumul Appr],ROW()-ROW(tblBuyerOutputs[#Headers])-1))+tblBuyerOutputs[[#This Row],[Monthly Appr]])</f>
        <v>0</v>
      </c>
    </row>
    <row r="743" spans="1:43" x14ac:dyDescent="0.25">
      <c r="A743" s="613"/>
      <c r="L743" s="394">
        <f t="shared" si="122"/>
        <v>0</v>
      </c>
      <c r="M743" s="394">
        <f t="shared" si="123"/>
        <v>0</v>
      </c>
      <c r="N743" s="613">
        <f>INDEX(tblSubjectToLoan[Date],ROW()-ROW(tblContractForDeed[#Headers]))</f>
        <v>0</v>
      </c>
      <c r="O743" s="276">
        <f>IF(ROW()=ROW(tblContractForDeed[#Headers])+1,$O$6,IF(INDEX(tblContractForDeed[End Bal],ROW()-ROW(tblContractForDeed[#Headers])-1)&lt;0,0,INDEX(tblContractForDeed[End Bal],ROW()-ROW(tblContractForDeed[#Headers])-1)))</f>
        <v>0</v>
      </c>
      <c r="P743" s="454">
        <f>IF(tblContractForDeed[[#This Row],[Date]]="","",IF(tblContractForDeed[[#This Row],[Date]]&lt;cfdRateChangeDate,cfdRate1,cfdRate2))</f>
        <v>7.0000000000000007E-2</v>
      </c>
      <c r="Q7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276">
        <f>IF(INDEX(tblContractForDeed[Payment],ROW()-ROW(tblBuyerOutputs[#Headers]))=0,0,INDEX(tblContractForDeed[Payment],ROW()-ROW(tblBuyerOutputs[#Headers]))-INDEX(tblSubjectToLoan[Payment],ROW()-ROW(tblBuyerOutputs[#Headers])))</f>
        <v>0</v>
      </c>
      <c r="Z7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3" s="276">
        <f>IF(INDEX(tblContractForDeed[End Bal],ROW()-ROW(tblBuyerOutputs[#Headers]))&lt;=0,0,($O$6+IF(ROW()=ROW(tblBuyerOutputs[#Headers])+1,0,INDEX(tblBuyerOutputs[Cumul Appr],ROW()-ROW(tblBuyerOutputs[#Headers])-1)))*$AK$2/12)</f>
        <v>0</v>
      </c>
      <c r="AE743" s="276">
        <f>IF(INDEX(tblContractForDeed[End Bal],ROW()-ROW(tblBuyerOutputs[#Headers]))&lt;=0,0,IF(ROW()=ROW(tblBuyerOutputs[#Headers])+1,0,INDEX(tblBuyerOutputs[Cumul Appr],ROW()-ROW(tblBuyerOutputs[#Headers])-1))+tblBuyerOutputs[[#This Row],[Monthly Appr]])</f>
        <v>0</v>
      </c>
    </row>
    <row r="744" spans="1:43" x14ac:dyDescent="0.25">
      <c r="A744" s="613"/>
      <c r="L744" s="394">
        <f t="shared" si="122"/>
        <v>0</v>
      </c>
      <c r="M744" s="394">
        <f t="shared" si="123"/>
        <v>0</v>
      </c>
      <c r="N744" s="613">
        <f>INDEX(tblSubjectToLoan[Date],ROW()-ROW(tblContractForDeed[#Headers]))</f>
        <v>0</v>
      </c>
      <c r="O744" s="276">
        <f>IF(ROW()=ROW(tblContractForDeed[#Headers])+1,$O$6,IF(INDEX(tblContractForDeed[End Bal],ROW()-ROW(tblContractForDeed[#Headers])-1)&lt;0,0,INDEX(tblContractForDeed[End Bal],ROW()-ROW(tblContractForDeed[#Headers])-1)))</f>
        <v>0</v>
      </c>
      <c r="P744" s="454">
        <f>IF(tblContractForDeed[[#This Row],[Date]]="","",IF(tblContractForDeed[[#This Row],[Date]]&lt;cfdRateChangeDate,cfdRate1,cfdRate2))</f>
        <v>7.0000000000000007E-2</v>
      </c>
      <c r="Q7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276">
        <f>IF(INDEX(tblContractForDeed[Payment],ROW()-ROW(tblBuyerOutputs[#Headers]))=0,0,INDEX(tblContractForDeed[Payment],ROW()-ROW(tblBuyerOutputs[#Headers]))-INDEX(tblSubjectToLoan[Payment],ROW()-ROW(tblBuyerOutputs[#Headers])))</f>
        <v>0</v>
      </c>
      <c r="Z7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4" s="276">
        <f>IF(INDEX(tblContractForDeed[End Bal],ROW()-ROW(tblBuyerOutputs[#Headers]))&lt;=0,0,($O$6+IF(ROW()=ROW(tblBuyerOutputs[#Headers])+1,0,INDEX(tblBuyerOutputs[Cumul Appr],ROW()-ROW(tblBuyerOutputs[#Headers])-1)))*$AK$2/12)</f>
        <v>0</v>
      </c>
      <c r="AE744" s="276">
        <f>IF(INDEX(tblContractForDeed[End Bal],ROW()-ROW(tblBuyerOutputs[#Headers]))&lt;=0,0,IF(ROW()=ROW(tblBuyerOutputs[#Headers])+1,0,INDEX(tblBuyerOutputs[Cumul Appr],ROW()-ROW(tblBuyerOutputs[#Headers])-1))+tblBuyerOutputs[[#This Row],[Monthly Appr]])</f>
        <v>0</v>
      </c>
    </row>
    <row r="745" spans="1:43" x14ac:dyDescent="0.25">
      <c r="A745" s="613"/>
      <c r="L745" s="394">
        <f t="shared" si="122"/>
        <v>0</v>
      </c>
      <c r="M745" s="394">
        <f t="shared" si="123"/>
        <v>0</v>
      </c>
      <c r="N745" s="613">
        <f>INDEX(tblSubjectToLoan[Date],ROW()-ROW(tblContractForDeed[#Headers]))</f>
        <v>0</v>
      </c>
      <c r="O745" s="276">
        <f>IF(ROW()=ROW(tblContractForDeed[#Headers])+1,$O$6,IF(INDEX(tblContractForDeed[End Bal],ROW()-ROW(tblContractForDeed[#Headers])-1)&lt;0,0,INDEX(tblContractForDeed[End Bal],ROW()-ROW(tblContractForDeed[#Headers])-1)))</f>
        <v>0</v>
      </c>
      <c r="P745" s="454">
        <f>IF(tblContractForDeed[[#This Row],[Date]]="","",IF(tblContractForDeed[[#This Row],[Date]]&lt;cfdRateChangeDate,cfdRate1,cfdRate2))</f>
        <v>7.0000000000000007E-2</v>
      </c>
      <c r="Q7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276">
        <f>IF(INDEX(tblContractForDeed[Payment],ROW()-ROW(tblBuyerOutputs[#Headers]))=0,0,INDEX(tblContractForDeed[Payment],ROW()-ROW(tblBuyerOutputs[#Headers]))-INDEX(tblSubjectToLoan[Payment],ROW()-ROW(tblBuyerOutputs[#Headers])))</f>
        <v>0</v>
      </c>
      <c r="Z7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5" s="276">
        <f>IF(INDEX(tblContractForDeed[End Bal],ROW()-ROW(tblBuyerOutputs[#Headers]))&lt;=0,0,($O$6+IF(ROW()=ROW(tblBuyerOutputs[#Headers])+1,0,INDEX(tblBuyerOutputs[Cumul Appr],ROW()-ROW(tblBuyerOutputs[#Headers])-1)))*$AK$2/12)</f>
        <v>0</v>
      </c>
      <c r="AE745" s="276">
        <f>IF(INDEX(tblContractForDeed[End Bal],ROW()-ROW(tblBuyerOutputs[#Headers]))&lt;=0,0,IF(ROW()=ROW(tblBuyerOutputs[#Headers])+1,0,INDEX(tblBuyerOutputs[Cumul Appr],ROW()-ROW(tblBuyerOutputs[#Headers])-1))+tblBuyerOutputs[[#This Row],[Monthly Appr]])</f>
        <v>0</v>
      </c>
    </row>
    <row r="746" spans="1:43" x14ac:dyDescent="0.25">
      <c r="A746" s="613"/>
      <c r="L746" s="394">
        <f t="shared" si="122"/>
        <v>0</v>
      </c>
      <c r="M746" s="394">
        <f t="shared" si="123"/>
        <v>0</v>
      </c>
      <c r="N746" s="613">
        <f>INDEX(tblSubjectToLoan[Date],ROW()-ROW(tblContractForDeed[#Headers]))</f>
        <v>0</v>
      </c>
      <c r="O746" s="276">
        <f>IF(ROW()=ROW(tblContractForDeed[#Headers])+1,$O$6,IF(INDEX(tblContractForDeed[End Bal],ROW()-ROW(tblContractForDeed[#Headers])-1)&lt;0,0,INDEX(tblContractForDeed[End Bal],ROW()-ROW(tblContractForDeed[#Headers])-1)))</f>
        <v>0</v>
      </c>
      <c r="P746" s="454">
        <f>IF(tblContractForDeed[[#This Row],[Date]]="","",IF(tblContractForDeed[[#This Row],[Date]]&lt;cfdRateChangeDate,cfdRate1,cfdRate2))</f>
        <v>7.0000000000000007E-2</v>
      </c>
      <c r="Q7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276">
        <f>IF(INDEX(tblContractForDeed[Payment],ROW()-ROW(tblBuyerOutputs[#Headers]))=0,0,INDEX(tblContractForDeed[Payment],ROW()-ROW(tblBuyerOutputs[#Headers]))-INDEX(tblSubjectToLoan[Payment],ROW()-ROW(tblBuyerOutputs[#Headers])))</f>
        <v>0</v>
      </c>
      <c r="Z7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6" s="276">
        <f>IF(INDEX(tblContractForDeed[End Bal],ROW()-ROW(tblBuyerOutputs[#Headers]))&lt;=0,0,($O$6+IF(ROW()=ROW(tblBuyerOutputs[#Headers])+1,0,INDEX(tblBuyerOutputs[Cumul Appr],ROW()-ROW(tblBuyerOutputs[#Headers])-1)))*$AK$2/12)</f>
        <v>0</v>
      </c>
      <c r="AE746" s="276">
        <f>IF(INDEX(tblContractForDeed[End Bal],ROW()-ROW(tblBuyerOutputs[#Headers]))&lt;=0,0,IF(ROW()=ROW(tblBuyerOutputs[#Headers])+1,0,INDEX(tblBuyerOutputs[Cumul Appr],ROW()-ROW(tblBuyerOutputs[#Headers])-1))+tblBuyerOutputs[[#This Row],[Monthly Appr]])</f>
        <v>0</v>
      </c>
    </row>
    <row r="747" spans="1:43" x14ac:dyDescent="0.25">
      <c r="A747" s="613"/>
      <c r="L747" s="394">
        <f t="shared" si="122"/>
        <v>0</v>
      </c>
      <c r="M747" s="394">
        <f t="shared" si="123"/>
        <v>0</v>
      </c>
      <c r="N747" s="613">
        <f>INDEX(tblSubjectToLoan[Date],ROW()-ROW(tblContractForDeed[#Headers]))</f>
        <v>0</v>
      </c>
      <c r="O747" s="276">
        <f>IF(ROW()=ROW(tblContractForDeed[#Headers])+1,$O$6,IF(INDEX(tblContractForDeed[End Bal],ROW()-ROW(tblContractForDeed[#Headers])-1)&lt;0,0,INDEX(tblContractForDeed[End Bal],ROW()-ROW(tblContractForDeed[#Headers])-1)))</f>
        <v>0</v>
      </c>
      <c r="P747" s="454">
        <f>IF(tblContractForDeed[[#This Row],[Date]]="","",IF(tblContractForDeed[[#This Row],[Date]]&lt;cfdRateChangeDate,cfdRate1,cfdRate2))</f>
        <v>7.0000000000000007E-2</v>
      </c>
      <c r="Q7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276">
        <f>IF(INDEX(tblContractForDeed[Payment],ROW()-ROW(tblBuyerOutputs[#Headers]))=0,0,INDEX(tblContractForDeed[Payment],ROW()-ROW(tblBuyerOutputs[#Headers]))-INDEX(tblSubjectToLoan[Payment],ROW()-ROW(tblBuyerOutputs[#Headers])))</f>
        <v>0</v>
      </c>
      <c r="Z7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7" s="276">
        <f>IF(INDEX(tblContractForDeed[End Bal],ROW()-ROW(tblBuyerOutputs[#Headers]))&lt;=0,0,($O$6+IF(ROW()=ROW(tblBuyerOutputs[#Headers])+1,0,INDEX(tblBuyerOutputs[Cumul Appr],ROW()-ROW(tblBuyerOutputs[#Headers])-1)))*$AK$2/12)</f>
        <v>0</v>
      </c>
      <c r="AE747" s="276">
        <f>IF(INDEX(tblContractForDeed[End Bal],ROW()-ROW(tblBuyerOutputs[#Headers]))&lt;=0,0,IF(ROW()=ROW(tblBuyerOutputs[#Headers])+1,0,INDEX(tblBuyerOutputs[Cumul Appr],ROW()-ROW(tblBuyerOutputs[#Headers])-1))+tblBuyerOutputs[[#This Row],[Monthly Appr]])</f>
        <v>0</v>
      </c>
    </row>
    <row r="748" spans="1:43" x14ac:dyDescent="0.25">
      <c r="A748" s="613"/>
      <c r="L748" s="394">
        <f t="shared" si="122"/>
        <v>0</v>
      </c>
      <c r="M748" s="394">
        <f t="shared" si="123"/>
        <v>0</v>
      </c>
      <c r="N748" s="613">
        <f>INDEX(tblSubjectToLoan[Date],ROW()-ROW(tblContractForDeed[#Headers]))</f>
        <v>0</v>
      </c>
      <c r="O748" s="276">
        <f>IF(ROW()=ROW(tblContractForDeed[#Headers])+1,$O$6,IF(INDEX(tblContractForDeed[End Bal],ROW()-ROW(tblContractForDeed[#Headers])-1)&lt;0,0,INDEX(tblContractForDeed[End Bal],ROW()-ROW(tblContractForDeed[#Headers])-1)))</f>
        <v>0</v>
      </c>
      <c r="P748" s="454">
        <f>IF(tblContractForDeed[[#This Row],[Date]]="","",IF(tblContractForDeed[[#This Row],[Date]]&lt;cfdRateChangeDate,cfdRate1,cfdRate2))</f>
        <v>7.0000000000000007E-2</v>
      </c>
      <c r="Q7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276">
        <f>IF(INDEX(tblContractForDeed[Payment],ROW()-ROW(tblBuyerOutputs[#Headers]))=0,0,INDEX(tblContractForDeed[Payment],ROW()-ROW(tblBuyerOutputs[#Headers]))-INDEX(tblSubjectToLoan[Payment],ROW()-ROW(tblBuyerOutputs[#Headers])))</f>
        <v>0</v>
      </c>
      <c r="Z7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8" s="276">
        <f>IF(INDEX(tblContractForDeed[End Bal],ROW()-ROW(tblBuyerOutputs[#Headers]))&lt;=0,0,($O$6+IF(ROW()=ROW(tblBuyerOutputs[#Headers])+1,0,INDEX(tblBuyerOutputs[Cumul Appr],ROW()-ROW(tblBuyerOutputs[#Headers])-1)))*$AK$2/12)</f>
        <v>0</v>
      </c>
      <c r="AE748" s="276">
        <f>IF(INDEX(tblContractForDeed[End Bal],ROW()-ROW(tblBuyerOutputs[#Headers]))&lt;=0,0,IF(ROW()=ROW(tblBuyerOutputs[#Headers])+1,0,INDEX(tblBuyerOutputs[Cumul Appr],ROW()-ROW(tblBuyerOutputs[#Headers])-1))+tblBuyerOutputs[[#This Row],[Monthly Appr]])</f>
        <v>0</v>
      </c>
    </row>
    <row r="749" spans="1:43" x14ac:dyDescent="0.25">
      <c r="A749" s="613"/>
      <c r="L749" s="394">
        <f t="shared" si="122"/>
        <v>0</v>
      </c>
      <c r="M749" s="394">
        <f t="shared" si="123"/>
        <v>0</v>
      </c>
      <c r="N749" s="613">
        <f>INDEX(tblSubjectToLoan[Date],ROW()-ROW(tblContractForDeed[#Headers]))</f>
        <v>0</v>
      </c>
      <c r="O749" s="276">
        <f>IF(ROW()=ROW(tblContractForDeed[#Headers])+1,$O$6,IF(INDEX(tblContractForDeed[End Bal],ROW()-ROW(tblContractForDeed[#Headers])-1)&lt;0,0,INDEX(tblContractForDeed[End Bal],ROW()-ROW(tblContractForDeed[#Headers])-1)))</f>
        <v>0</v>
      </c>
      <c r="P749" s="454">
        <f>IF(tblContractForDeed[[#This Row],[Date]]="","",IF(tblContractForDeed[[#This Row],[Date]]&lt;cfdRateChangeDate,cfdRate1,cfdRate2))</f>
        <v>7.0000000000000007E-2</v>
      </c>
      <c r="Q7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276">
        <f>IF(INDEX(tblContractForDeed[Payment],ROW()-ROW(tblBuyerOutputs[#Headers]))=0,0,INDEX(tblContractForDeed[Payment],ROW()-ROW(tblBuyerOutputs[#Headers]))-INDEX(tblSubjectToLoan[Payment],ROW()-ROW(tblBuyerOutputs[#Headers])))</f>
        <v>0</v>
      </c>
      <c r="Z7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9" s="276">
        <f>IF(INDEX(tblContractForDeed[End Bal],ROW()-ROW(tblBuyerOutputs[#Headers]))&lt;=0,0,($O$6+IF(ROW()=ROW(tblBuyerOutputs[#Headers])+1,0,INDEX(tblBuyerOutputs[Cumul Appr],ROW()-ROW(tblBuyerOutputs[#Headers])-1)))*$AK$2/12)</f>
        <v>0</v>
      </c>
      <c r="AE749" s="276">
        <f>IF(INDEX(tblContractForDeed[End Bal],ROW()-ROW(tblBuyerOutputs[#Headers]))&lt;=0,0,IF(ROW()=ROW(tblBuyerOutputs[#Headers])+1,0,INDEX(tblBuyerOutputs[Cumul Appr],ROW()-ROW(tblBuyerOutputs[#Headers])-1))+tblBuyerOutputs[[#This Row],[Monthly Appr]])</f>
        <v>0</v>
      </c>
    </row>
    <row r="750" spans="1:43" x14ac:dyDescent="0.25">
      <c r="A750" s="613"/>
      <c r="L750" s="394">
        <f t="shared" si="122"/>
        <v>0</v>
      </c>
      <c r="M750" s="394">
        <f t="shared" si="123"/>
        <v>0</v>
      </c>
      <c r="N750" s="613">
        <f>INDEX(tblSubjectToLoan[Date],ROW()-ROW(tblContractForDeed[#Headers]))</f>
        <v>0</v>
      </c>
      <c r="O750" s="276">
        <f>IF(ROW()=ROW(tblContractForDeed[#Headers])+1,$O$6,IF(INDEX(tblContractForDeed[End Bal],ROW()-ROW(tblContractForDeed[#Headers])-1)&lt;0,0,INDEX(tblContractForDeed[End Bal],ROW()-ROW(tblContractForDeed[#Headers])-1)))</f>
        <v>0</v>
      </c>
      <c r="P750" s="454">
        <f>IF(tblContractForDeed[[#This Row],[Date]]="","",IF(tblContractForDeed[[#This Row],[Date]]&lt;cfdRateChangeDate,cfdRate1,cfdRate2))</f>
        <v>7.0000000000000007E-2</v>
      </c>
      <c r="Q7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276">
        <f>IF(INDEX(tblContractForDeed[Payment],ROW()-ROW(tblBuyerOutputs[#Headers]))=0,0,INDEX(tblContractForDeed[Payment],ROW()-ROW(tblBuyerOutputs[#Headers]))-INDEX(tblSubjectToLoan[Payment],ROW()-ROW(tblBuyerOutputs[#Headers])))</f>
        <v>0</v>
      </c>
      <c r="Z7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0" s="276">
        <f>IF(INDEX(tblContractForDeed[End Bal],ROW()-ROW(tblBuyerOutputs[#Headers]))&lt;=0,0,($O$6+IF(ROW()=ROW(tblBuyerOutputs[#Headers])+1,0,INDEX(tblBuyerOutputs[Cumul Appr],ROW()-ROW(tblBuyerOutputs[#Headers])-1)))*$AK$2/12)</f>
        <v>0</v>
      </c>
      <c r="AE750" s="276">
        <f>IF(INDEX(tblContractForDeed[End Bal],ROW()-ROW(tblBuyerOutputs[#Headers]))&lt;=0,0,IF(ROW()=ROW(tblBuyerOutputs[#Headers])+1,0,INDEX(tblBuyerOutputs[Cumul Appr],ROW()-ROW(tblBuyerOutputs[#Headers])-1))+tblBuyerOutputs[[#This Row],[Monthly Appr]])</f>
        <v>0</v>
      </c>
    </row>
    <row r="751" spans="1:43" ht="15.75" thickBot="1" x14ac:dyDescent="0.3">
      <c r="A751" s="615"/>
      <c r="B751" s="332"/>
      <c r="C751" s="21"/>
      <c r="D751" s="21"/>
      <c r="E751" s="21"/>
      <c r="F751" s="21"/>
      <c r="G751" s="21"/>
      <c r="H751" s="21"/>
      <c r="I751" s="332"/>
      <c r="J751" s="332"/>
      <c r="K751" s="332"/>
      <c r="L751" s="395">
        <f t="shared" si="122"/>
        <v>0</v>
      </c>
      <c r="M751" s="395">
        <f t="shared" si="123"/>
        <v>0</v>
      </c>
      <c r="N751" s="615">
        <f>INDEX(tblSubjectToLoan[Date],ROW()-ROW(tblContractForDeed[#Headers]))</f>
        <v>0</v>
      </c>
      <c r="O751" s="332">
        <f>IF(ROW()=ROW(tblContractForDeed[#Headers])+1,$O$6,IF(INDEX(tblContractForDeed[End Bal],ROW()-ROW(tblContractForDeed[#Headers])-1)&lt;0,0,INDEX(tblContractForDeed[End Bal],ROW()-ROW(tblContractForDeed[#Headers])-1)))</f>
        <v>0</v>
      </c>
      <c r="P751" s="454">
        <f>IF(tblContractForDeed[[#This Row],[Date]]="","",IF(tblContractForDeed[[#This Row],[Date]]&lt;cfdRateChangeDate,cfdRate1,cfdRate2))</f>
        <v>7.0000000000000007E-2</v>
      </c>
      <c r="Q7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32">
        <f>IF(INDEX(tblContractForDeed[Payment],ROW()-ROW(tblBuyerOutputs[#Headers]))=0,0,INDEX(tblContractForDeed[Payment],ROW()-ROW(tblBuyerOutputs[#Headers]))-INDEX(tblSubjectToLoan[Payment],ROW()-ROW(tblBuyerOutputs[#Headers])))</f>
        <v>0</v>
      </c>
      <c r="Z7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1" s="332">
        <f>IF(INDEX(tblContractForDeed[End Bal],ROW()-ROW(tblBuyerOutputs[#Headers]))&lt;=0,0,($O$6+IF(ROW()=ROW(tblBuyerOutputs[#Headers])+1,0,INDEX(tblBuyerOutputs[Cumul Appr],ROW()-ROW(tblBuyerOutputs[#Headers])-1)))*$AK$2/12)</f>
        <v>0</v>
      </c>
      <c r="AE751" s="332">
        <f>IF(INDEX(tblContractForDeed[End Bal],ROW()-ROW(tblBuyerOutputs[#Headers]))&lt;=0,0,IF(ROW()=ROW(tblBuyerOutputs[#Headers])+1,0,INDEX(tblBuyerOutputs[Cumul Appr],ROW()-ROW(tblBuyerOutputs[#Headers])-1))+tblBuyerOutputs[[#This Row],[Monthly Appr]])</f>
        <v>0</v>
      </c>
      <c r="AQ751" s="21"/>
    </row>
    <row r="752" spans="1:43" x14ac:dyDescent="0.25">
      <c r="A752" s="613"/>
      <c r="L752" s="394">
        <f t="shared" si="122"/>
        <v>0</v>
      </c>
      <c r="M752" s="394">
        <f t="shared" si="123"/>
        <v>0</v>
      </c>
      <c r="N752" s="613">
        <f>INDEX(tblSubjectToLoan[Date],ROW()-ROW(tblContractForDeed[#Headers]))</f>
        <v>0</v>
      </c>
      <c r="O752" s="276">
        <f>IF(ROW()=ROW(tblContractForDeed[#Headers])+1,$O$6,IF(INDEX(tblContractForDeed[End Bal],ROW()-ROW(tblContractForDeed[#Headers])-1)&lt;0,0,INDEX(tblContractForDeed[End Bal],ROW()-ROW(tblContractForDeed[#Headers])-1)))</f>
        <v>0</v>
      </c>
      <c r="P752" s="454">
        <f>IF(tblContractForDeed[[#This Row],[Date]]="","",IF(tblContractForDeed[[#This Row],[Date]]&lt;cfdRateChangeDate,cfdRate1,cfdRate2))</f>
        <v>7.0000000000000007E-2</v>
      </c>
      <c r="Q7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276">
        <f>IF(INDEX(tblContractForDeed[Payment],ROW()-ROW(tblBuyerOutputs[#Headers]))=0,0,INDEX(tblContractForDeed[Payment],ROW()-ROW(tblBuyerOutputs[#Headers]))-INDEX(tblSubjectToLoan[Payment],ROW()-ROW(tblBuyerOutputs[#Headers])))</f>
        <v>0</v>
      </c>
      <c r="Z7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2" s="276">
        <f>IF(INDEX(tblContractForDeed[End Bal],ROW()-ROW(tblBuyerOutputs[#Headers]))&lt;=0,0,($O$6+IF(ROW()=ROW(tblBuyerOutputs[#Headers])+1,0,INDEX(tblBuyerOutputs[Cumul Appr],ROW()-ROW(tblBuyerOutputs[#Headers])-1)))*$AK$2/12)</f>
        <v>0</v>
      </c>
      <c r="AE752" s="276">
        <f>IF(INDEX(tblContractForDeed[End Bal],ROW()-ROW(tblBuyerOutputs[#Headers]))&lt;=0,0,IF(ROW()=ROW(tblBuyerOutputs[#Headers])+1,0,INDEX(tblBuyerOutputs[Cumul Appr],ROW()-ROW(tblBuyerOutputs[#Headers])-1))+tblBuyerOutputs[[#This Row],[Monthly Appr]])</f>
        <v>0</v>
      </c>
    </row>
    <row r="753" spans="1:43" x14ac:dyDescent="0.25">
      <c r="A753" s="613"/>
      <c r="L753" s="394">
        <f t="shared" si="122"/>
        <v>0</v>
      </c>
      <c r="M753" s="394">
        <f t="shared" si="123"/>
        <v>0</v>
      </c>
      <c r="N753" s="613">
        <f>INDEX(tblSubjectToLoan[Date],ROW()-ROW(tblContractForDeed[#Headers]))</f>
        <v>0</v>
      </c>
      <c r="O753" s="276">
        <f>IF(ROW()=ROW(tblContractForDeed[#Headers])+1,$O$6,IF(INDEX(tblContractForDeed[End Bal],ROW()-ROW(tblContractForDeed[#Headers])-1)&lt;0,0,INDEX(tblContractForDeed[End Bal],ROW()-ROW(tblContractForDeed[#Headers])-1)))</f>
        <v>0</v>
      </c>
      <c r="P753" s="454">
        <f>IF(tblContractForDeed[[#This Row],[Date]]="","",IF(tblContractForDeed[[#This Row],[Date]]&lt;cfdRateChangeDate,cfdRate1,cfdRate2))</f>
        <v>7.0000000000000007E-2</v>
      </c>
      <c r="Q7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276">
        <f>IF(INDEX(tblContractForDeed[Payment],ROW()-ROW(tblBuyerOutputs[#Headers]))=0,0,INDEX(tblContractForDeed[Payment],ROW()-ROW(tblBuyerOutputs[#Headers]))-INDEX(tblSubjectToLoan[Payment],ROW()-ROW(tblBuyerOutputs[#Headers])))</f>
        <v>0</v>
      </c>
      <c r="Z7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3" s="276">
        <f>IF(INDEX(tblContractForDeed[End Bal],ROW()-ROW(tblBuyerOutputs[#Headers]))&lt;=0,0,($O$6+IF(ROW()=ROW(tblBuyerOutputs[#Headers])+1,0,INDEX(tblBuyerOutputs[Cumul Appr],ROW()-ROW(tblBuyerOutputs[#Headers])-1)))*$AK$2/12)</f>
        <v>0</v>
      </c>
      <c r="AE753" s="276">
        <f>IF(INDEX(tblContractForDeed[End Bal],ROW()-ROW(tblBuyerOutputs[#Headers]))&lt;=0,0,IF(ROW()=ROW(tblBuyerOutputs[#Headers])+1,0,INDEX(tblBuyerOutputs[Cumul Appr],ROW()-ROW(tblBuyerOutputs[#Headers])-1))+tblBuyerOutputs[[#This Row],[Monthly Appr]])</f>
        <v>0</v>
      </c>
    </row>
    <row r="754" spans="1:43" x14ac:dyDescent="0.25">
      <c r="A754" s="613"/>
      <c r="L754" s="394">
        <f t="shared" si="122"/>
        <v>0</v>
      </c>
      <c r="M754" s="394">
        <f t="shared" si="123"/>
        <v>0</v>
      </c>
      <c r="N754" s="613">
        <f>INDEX(tblSubjectToLoan[Date],ROW()-ROW(tblContractForDeed[#Headers]))</f>
        <v>0</v>
      </c>
      <c r="O754" s="276">
        <f>IF(ROW()=ROW(tblContractForDeed[#Headers])+1,$O$6,IF(INDEX(tblContractForDeed[End Bal],ROW()-ROW(tblContractForDeed[#Headers])-1)&lt;0,0,INDEX(tblContractForDeed[End Bal],ROW()-ROW(tblContractForDeed[#Headers])-1)))</f>
        <v>0</v>
      </c>
      <c r="P754" s="454">
        <f>IF(tblContractForDeed[[#This Row],[Date]]="","",IF(tblContractForDeed[[#This Row],[Date]]&lt;cfdRateChangeDate,cfdRate1,cfdRate2))</f>
        <v>7.0000000000000007E-2</v>
      </c>
      <c r="Q7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276">
        <f>IF(INDEX(tblContractForDeed[Payment],ROW()-ROW(tblBuyerOutputs[#Headers]))=0,0,INDEX(tblContractForDeed[Payment],ROW()-ROW(tblBuyerOutputs[#Headers]))-INDEX(tblSubjectToLoan[Payment],ROW()-ROW(tblBuyerOutputs[#Headers])))</f>
        <v>0</v>
      </c>
      <c r="Z7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4" s="276">
        <f>IF(INDEX(tblContractForDeed[End Bal],ROW()-ROW(tblBuyerOutputs[#Headers]))&lt;=0,0,($O$6+IF(ROW()=ROW(tblBuyerOutputs[#Headers])+1,0,INDEX(tblBuyerOutputs[Cumul Appr],ROW()-ROW(tblBuyerOutputs[#Headers])-1)))*$AK$2/12)</f>
        <v>0</v>
      </c>
      <c r="AE754" s="276">
        <f>IF(INDEX(tblContractForDeed[End Bal],ROW()-ROW(tblBuyerOutputs[#Headers]))&lt;=0,0,IF(ROW()=ROW(tblBuyerOutputs[#Headers])+1,0,INDEX(tblBuyerOutputs[Cumul Appr],ROW()-ROW(tblBuyerOutputs[#Headers])-1))+tblBuyerOutputs[[#This Row],[Monthly Appr]])</f>
        <v>0</v>
      </c>
    </row>
    <row r="755" spans="1:43" x14ac:dyDescent="0.25">
      <c r="A755" s="613"/>
      <c r="L755" s="394">
        <f t="shared" si="122"/>
        <v>0</v>
      </c>
      <c r="M755" s="394">
        <f t="shared" si="123"/>
        <v>0</v>
      </c>
      <c r="N755" s="613">
        <f>INDEX(tblSubjectToLoan[Date],ROW()-ROW(tblContractForDeed[#Headers]))</f>
        <v>0</v>
      </c>
      <c r="O755" s="276">
        <f>IF(ROW()=ROW(tblContractForDeed[#Headers])+1,$O$6,IF(INDEX(tblContractForDeed[End Bal],ROW()-ROW(tblContractForDeed[#Headers])-1)&lt;0,0,INDEX(tblContractForDeed[End Bal],ROW()-ROW(tblContractForDeed[#Headers])-1)))</f>
        <v>0</v>
      </c>
      <c r="P755" s="454">
        <f>IF(tblContractForDeed[[#This Row],[Date]]="","",IF(tblContractForDeed[[#This Row],[Date]]&lt;cfdRateChangeDate,cfdRate1,cfdRate2))</f>
        <v>7.0000000000000007E-2</v>
      </c>
      <c r="Q7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276">
        <f>IF(INDEX(tblContractForDeed[Payment],ROW()-ROW(tblBuyerOutputs[#Headers]))=0,0,INDEX(tblContractForDeed[Payment],ROW()-ROW(tblBuyerOutputs[#Headers]))-INDEX(tblSubjectToLoan[Payment],ROW()-ROW(tblBuyerOutputs[#Headers])))</f>
        <v>0</v>
      </c>
      <c r="Z7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5" s="276">
        <f>IF(INDEX(tblContractForDeed[End Bal],ROW()-ROW(tblBuyerOutputs[#Headers]))&lt;=0,0,($O$6+IF(ROW()=ROW(tblBuyerOutputs[#Headers])+1,0,INDEX(tblBuyerOutputs[Cumul Appr],ROW()-ROW(tblBuyerOutputs[#Headers])-1)))*$AK$2/12)</f>
        <v>0</v>
      </c>
      <c r="AE755" s="276">
        <f>IF(INDEX(tblContractForDeed[End Bal],ROW()-ROW(tblBuyerOutputs[#Headers]))&lt;=0,0,IF(ROW()=ROW(tblBuyerOutputs[#Headers])+1,0,INDEX(tblBuyerOutputs[Cumul Appr],ROW()-ROW(tblBuyerOutputs[#Headers])-1))+tblBuyerOutputs[[#This Row],[Monthly Appr]])</f>
        <v>0</v>
      </c>
    </row>
    <row r="756" spans="1:43" x14ac:dyDescent="0.25">
      <c r="A756" s="613"/>
      <c r="L756" s="394">
        <f t="shared" ref="L756:L787" si="124">IF(MOD(M756,12)=0,M756/12,L755)</f>
        <v>0</v>
      </c>
      <c r="M756" s="394">
        <f t="shared" si="123"/>
        <v>0</v>
      </c>
      <c r="N756" s="613">
        <f>INDEX(tblSubjectToLoan[Date],ROW()-ROW(tblContractForDeed[#Headers]))</f>
        <v>0</v>
      </c>
      <c r="O756" s="276">
        <f>IF(ROW()=ROW(tblContractForDeed[#Headers])+1,$O$6,IF(INDEX(tblContractForDeed[End Bal],ROW()-ROW(tblContractForDeed[#Headers])-1)&lt;0,0,INDEX(tblContractForDeed[End Bal],ROW()-ROW(tblContractForDeed[#Headers])-1)))</f>
        <v>0</v>
      </c>
      <c r="P756" s="454">
        <f>IF(tblContractForDeed[[#This Row],[Date]]="","",IF(tblContractForDeed[[#This Row],[Date]]&lt;cfdRateChangeDate,cfdRate1,cfdRate2))</f>
        <v>7.0000000000000007E-2</v>
      </c>
      <c r="Q7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276">
        <f>IF(INDEX(tblContractForDeed[Payment],ROW()-ROW(tblBuyerOutputs[#Headers]))=0,0,INDEX(tblContractForDeed[Payment],ROW()-ROW(tblBuyerOutputs[#Headers]))-INDEX(tblSubjectToLoan[Payment],ROW()-ROW(tblBuyerOutputs[#Headers])))</f>
        <v>0</v>
      </c>
      <c r="Z7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6" s="276">
        <f>IF(INDEX(tblContractForDeed[End Bal],ROW()-ROW(tblBuyerOutputs[#Headers]))&lt;=0,0,($O$6+IF(ROW()=ROW(tblBuyerOutputs[#Headers])+1,0,INDEX(tblBuyerOutputs[Cumul Appr],ROW()-ROW(tblBuyerOutputs[#Headers])-1)))*$AK$2/12)</f>
        <v>0</v>
      </c>
      <c r="AE756" s="276">
        <f>IF(INDEX(tblContractForDeed[End Bal],ROW()-ROW(tblBuyerOutputs[#Headers]))&lt;=0,0,IF(ROW()=ROW(tblBuyerOutputs[#Headers])+1,0,INDEX(tblBuyerOutputs[Cumul Appr],ROW()-ROW(tblBuyerOutputs[#Headers])-1))+tblBuyerOutputs[[#This Row],[Monthly Appr]])</f>
        <v>0</v>
      </c>
    </row>
    <row r="757" spans="1:43" x14ac:dyDescent="0.25">
      <c r="A757" s="613"/>
      <c r="L757" s="394">
        <f t="shared" si="124"/>
        <v>0</v>
      </c>
      <c r="M757" s="394">
        <f t="shared" si="123"/>
        <v>0</v>
      </c>
      <c r="N757" s="613">
        <f>INDEX(tblSubjectToLoan[Date],ROW()-ROW(tblContractForDeed[#Headers]))</f>
        <v>0</v>
      </c>
      <c r="O757" s="276">
        <f>IF(ROW()=ROW(tblContractForDeed[#Headers])+1,$O$6,IF(INDEX(tblContractForDeed[End Bal],ROW()-ROW(tblContractForDeed[#Headers])-1)&lt;0,0,INDEX(tblContractForDeed[End Bal],ROW()-ROW(tblContractForDeed[#Headers])-1)))</f>
        <v>0</v>
      </c>
      <c r="P757" s="454">
        <f>IF(tblContractForDeed[[#This Row],[Date]]="","",IF(tblContractForDeed[[#This Row],[Date]]&lt;cfdRateChangeDate,cfdRate1,cfdRate2))</f>
        <v>7.0000000000000007E-2</v>
      </c>
      <c r="Q7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276">
        <f>IF(INDEX(tblContractForDeed[Payment],ROW()-ROW(tblBuyerOutputs[#Headers]))=0,0,INDEX(tblContractForDeed[Payment],ROW()-ROW(tblBuyerOutputs[#Headers]))-INDEX(tblSubjectToLoan[Payment],ROW()-ROW(tblBuyerOutputs[#Headers])))</f>
        <v>0</v>
      </c>
      <c r="Z7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7" s="276">
        <f>IF(INDEX(tblContractForDeed[End Bal],ROW()-ROW(tblBuyerOutputs[#Headers]))&lt;=0,0,($O$6+IF(ROW()=ROW(tblBuyerOutputs[#Headers])+1,0,INDEX(tblBuyerOutputs[Cumul Appr],ROW()-ROW(tblBuyerOutputs[#Headers])-1)))*$AK$2/12)</f>
        <v>0</v>
      </c>
      <c r="AE757" s="276">
        <f>IF(INDEX(tblContractForDeed[End Bal],ROW()-ROW(tblBuyerOutputs[#Headers]))&lt;=0,0,IF(ROW()=ROW(tblBuyerOutputs[#Headers])+1,0,INDEX(tblBuyerOutputs[Cumul Appr],ROW()-ROW(tblBuyerOutputs[#Headers])-1))+tblBuyerOutputs[[#This Row],[Monthly Appr]])</f>
        <v>0</v>
      </c>
    </row>
    <row r="758" spans="1:43" x14ac:dyDescent="0.25">
      <c r="A758" s="613"/>
      <c r="L758" s="394">
        <f t="shared" si="124"/>
        <v>0</v>
      </c>
      <c r="M758" s="394">
        <f t="shared" si="123"/>
        <v>0</v>
      </c>
      <c r="N758" s="613">
        <f>INDEX(tblSubjectToLoan[Date],ROW()-ROW(tblContractForDeed[#Headers]))</f>
        <v>0</v>
      </c>
      <c r="O758" s="276">
        <f>IF(ROW()=ROW(tblContractForDeed[#Headers])+1,$O$6,IF(INDEX(tblContractForDeed[End Bal],ROW()-ROW(tblContractForDeed[#Headers])-1)&lt;0,0,INDEX(tblContractForDeed[End Bal],ROW()-ROW(tblContractForDeed[#Headers])-1)))</f>
        <v>0</v>
      </c>
      <c r="P758" s="454">
        <f>IF(tblContractForDeed[[#This Row],[Date]]="","",IF(tblContractForDeed[[#This Row],[Date]]&lt;cfdRateChangeDate,cfdRate1,cfdRate2))</f>
        <v>7.0000000000000007E-2</v>
      </c>
      <c r="Q7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276">
        <f>IF(INDEX(tblContractForDeed[Payment],ROW()-ROW(tblBuyerOutputs[#Headers]))=0,0,INDEX(tblContractForDeed[Payment],ROW()-ROW(tblBuyerOutputs[#Headers]))-INDEX(tblSubjectToLoan[Payment],ROW()-ROW(tblBuyerOutputs[#Headers])))</f>
        <v>0</v>
      </c>
      <c r="Z7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8" s="276">
        <f>IF(INDEX(tblContractForDeed[End Bal],ROW()-ROW(tblBuyerOutputs[#Headers]))&lt;=0,0,($O$6+IF(ROW()=ROW(tblBuyerOutputs[#Headers])+1,0,INDEX(tblBuyerOutputs[Cumul Appr],ROW()-ROW(tblBuyerOutputs[#Headers])-1)))*$AK$2/12)</f>
        <v>0</v>
      </c>
      <c r="AE758" s="276">
        <f>IF(INDEX(tblContractForDeed[End Bal],ROW()-ROW(tblBuyerOutputs[#Headers]))&lt;=0,0,IF(ROW()=ROW(tblBuyerOutputs[#Headers])+1,0,INDEX(tblBuyerOutputs[Cumul Appr],ROW()-ROW(tblBuyerOutputs[#Headers])-1))+tblBuyerOutputs[[#This Row],[Monthly Appr]])</f>
        <v>0</v>
      </c>
    </row>
    <row r="759" spans="1:43" x14ac:dyDescent="0.25">
      <c r="A759" s="613"/>
      <c r="L759" s="394">
        <f t="shared" si="124"/>
        <v>0</v>
      </c>
      <c r="M759" s="394">
        <f t="shared" si="123"/>
        <v>0</v>
      </c>
      <c r="N759" s="613">
        <f>INDEX(tblSubjectToLoan[Date],ROW()-ROW(tblContractForDeed[#Headers]))</f>
        <v>0</v>
      </c>
      <c r="O759" s="276">
        <f>IF(ROW()=ROW(tblContractForDeed[#Headers])+1,$O$6,IF(INDEX(tblContractForDeed[End Bal],ROW()-ROW(tblContractForDeed[#Headers])-1)&lt;0,0,INDEX(tblContractForDeed[End Bal],ROW()-ROW(tblContractForDeed[#Headers])-1)))</f>
        <v>0</v>
      </c>
      <c r="P759" s="454">
        <f>IF(tblContractForDeed[[#This Row],[Date]]="","",IF(tblContractForDeed[[#This Row],[Date]]&lt;cfdRateChangeDate,cfdRate1,cfdRate2))</f>
        <v>7.0000000000000007E-2</v>
      </c>
      <c r="Q7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276">
        <f>IF(INDEX(tblContractForDeed[Payment],ROW()-ROW(tblBuyerOutputs[#Headers]))=0,0,INDEX(tblContractForDeed[Payment],ROW()-ROW(tblBuyerOutputs[#Headers]))-INDEX(tblSubjectToLoan[Payment],ROW()-ROW(tblBuyerOutputs[#Headers])))</f>
        <v>0</v>
      </c>
      <c r="Z7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9" s="276">
        <f>IF(INDEX(tblContractForDeed[End Bal],ROW()-ROW(tblBuyerOutputs[#Headers]))&lt;=0,0,($O$6+IF(ROW()=ROW(tblBuyerOutputs[#Headers])+1,0,INDEX(tblBuyerOutputs[Cumul Appr],ROW()-ROW(tblBuyerOutputs[#Headers])-1)))*$AK$2/12)</f>
        <v>0</v>
      </c>
      <c r="AE759" s="276">
        <f>IF(INDEX(tblContractForDeed[End Bal],ROW()-ROW(tblBuyerOutputs[#Headers]))&lt;=0,0,IF(ROW()=ROW(tblBuyerOutputs[#Headers])+1,0,INDEX(tblBuyerOutputs[Cumul Appr],ROW()-ROW(tblBuyerOutputs[#Headers])-1))+tblBuyerOutputs[[#This Row],[Monthly Appr]])</f>
        <v>0</v>
      </c>
    </row>
    <row r="760" spans="1:43" x14ac:dyDescent="0.25">
      <c r="A760" s="613"/>
      <c r="L760" s="394">
        <f t="shared" si="124"/>
        <v>0</v>
      </c>
      <c r="M760" s="394">
        <f t="shared" si="123"/>
        <v>0</v>
      </c>
      <c r="N760" s="613">
        <f>INDEX(tblSubjectToLoan[Date],ROW()-ROW(tblContractForDeed[#Headers]))</f>
        <v>0</v>
      </c>
      <c r="O760" s="276">
        <f>IF(ROW()=ROW(tblContractForDeed[#Headers])+1,$O$6,IF(INDEX(tblContractForDeed[End Bal],ROW()-ROW(tblContractForDeed[#Headers])-1)&lt;0,0,INDEX(tblContractForDeed[End Bal],ROW()-ROW(tblContractForDeed[#Headers])-1)))</f>
        <v>0</v>
      </c>
      <c r="P760" s="454">
        <f>IF(tblContractForDeed[[#This Row],[Date]]="","",IF(tblContractForDeed[[#This Row],[Date]]&lt;cfdRateChangeDate,cfdRate1,cfdRate2))</f>
        <v>7.0000000000000007E-2</v>
      </c>
      <c r="Q7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276">
        <f>IF(INDEX(tblContractForDeed[Payment],ROW()-ROW(tblBuyerOutputs[#Headers]))=0,0,INDEX(tblContractForDeed[Payment],ROW()-ROW(tblBuyerOutputs[#Headers]))-INDEX(tblSubjectToLoan[Payment],ROW()-ROW(tblBuyerOutputs[#Headers])))</f>
        <v>0</v>
      </c>
      <c r="Z7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0" s="276">
        <f>IF(INDEX(tblContractForDeed[End Bal],ROW()-ROW(tblBuyerOutputs[#Headers]))&lt;=0,0,($O$6+IF(ROW()=ROW(tblBuyerOutputs[#Headers])+1,0,INDEX(tblBuyerOutputs[Cumul Appr],ROW()-ROW(tblBuyerOutputs[#Headers])-1)))*$AK$2/12)</f>
        <v>0</v>
      </c>
      <c r="AE760" s="276">
        <f>IF(INDEX(tblContractForDeed[End Bal],ROW()-ROW(tblBuyerOutputs[#Headers]))&lt;=0,0,IF(ROW()=ROW(tblBuyerOutputs[#Headers])+1,0,INDEX(tblBuyerOutputs[Cumul Appr],ROW()-ROW(tblBuyerOutputs[#Headers])-1))+tblBuyerOutputs[[#This Row],[Monthly Appr]])</f>
        <v>0</v>
      </c>
    </row>
    <row r="761" spans="1:43" x14ac:dyDescent="0.25">
      <c r="A761" s="613"/>
      <c r="L761" s="394">
        <f t="shared" si="124"/>
        <v>0</v>
      </c>
      <c r="M761" s="394">
        <f t="shared" si="123"/>
        <v>0</v>
      </c>
      <c r="N761" s="613">
        <f>INDEX(tblSubjectToLoan[Date],ROW()-ROW(tblContractForDeed[#Headers]))</f>
        <v>0</v>
      </c>
      <c r="O761" s="276">
        <f>IF(ROW()=ROW(tblContractForDeed[#Headers])+1,$O$6,IF(INDEX(tblContractForDeed[End Bal],ROW()-ROW(tblContractForDeed[#Headers])-1)&lt;0,0,INDEX(tblContractForDeed[End Bal],ROW()-ROW(tblContractForDeed[#Headers])-1)))</f>
        <v>0</v>
      </c>
      <c r="P761" s="454">
        <f>IF(tblContractForDeed[[#This Row],[Date]]="","",IF(tblContractForDeed[[#This Row],[Date]]&lt;cfdRateChangeDate,cfdRate1,cfdRate2))</f>
        <v>7.0000000000000007E-2</v>
      </c>
      <c r="Q7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276">
        <f>IF(INDEX(tblContractForDeed[Payment],ROW()-ROW(tblBuyerOutputs[#Headers]))=0,0,INDEX(tblContractForDeed[Payment],ROW()-ROW(tblBuyerOutputs[#Headers]))-INDEX(tblSubjectToLoan[Payment],ROW()-ROW(tblBuyerOutputs[#Headers])))</f>
        <v>0</v>
      </c>
      <c r="Z7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1" s="276">
        <f>IF(INDEX(tblContractForDeed[End Bal],ROW()-ROW(tblBuyerOutputs[#Headers]))&lt;=0,0,($O$6+IF(ROW()=ROW(tblBuyerOutputs[#Headers])+1,0,INDEX(tblBuyerOutputs[Cumul Appr],ROW()-ROW(tblBuyerOutputs[#Headers])-1)))*$AK$2/12)</f>
        <v>0</v>
      </c>
      <c r="AE761" s="276">
        <f>IF(INDEX(tblContractForDeed[End Bal],ROW()-ROW(tblBuyerOutputs[#Headers]))&lt;=0,0,IF(ROW()=ROW(tblBuyerOutputs[#Headers])+1,0,INDEX(tblBuyerOutputs[Cumul Appr],ROW()-ROW(tblBuyerOutputs[#Headers])-1))+tblBuyerOutputs[[#This Row],[Monthly Appr]])</f>
        <v>0</v>
      </c>
    </row>
    <row r="762" spans="1:43" x14ac:dyDescent="0.25">
      <c r="A762" s="613"/>
      <c r="L762" s="394">
        <f t="shared" si="124"/>
        <v>0</v>
      </c>
      <c r="M762" s="394">
        <f t="shared" si="123"/>
        <v>0</v>
      </c>
      <c r="N762" s="613">
        <f>INDEX(tblSubjectToLoan[Date],ROW()-ROW(tblContractForDeed[#Headers]))</f>
        <v>0</v>
      </c>
      <c r="O762" s="276">
        <f>IF(ROW()=ROW(tblContractForDeed[#Headers])+1,$O$6,IF(INDEX(tblContractForDeed[End Bal],ROW()-ROW(tblContractForDeed[#Headers])-1)&lt;0,0,INDEX(tblContractForDeed[End Bal],ROW()-ROW(tblContractForDeed[#Headers])-1)))</f>
        <v>0</v>
      </c>
      <c r="P762" s="454">
        <f>IF(tblContractForDeed[[#This Row],[Date]]="","",IF(tblContractForDeed[[#This Row],[Date]]&lt;cfdRateChangeDate,cfdRate1,cfdRate2))</f>
        <v>7.0000000000000007E-2</v>
      </c>
      <c r="Q7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276">
        <f>IF(INDEX(tblContractForDeed[Payment],ROW()-ROW(tblBuyerOutputs[#Headers]))=0,0,INDEX(tblContractForDeed[Payment],ROW()-ROW(tblBuyerOutputs[#Headers]))-INDEX(tblSubjectToLoan[Payment],ROW()-ROW(tblBuyerOutputs[#Headers])))</f>
        <v>0</v>
      </c>
      <c r="Z7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2" s="276">
        <f>IF(INDEX(tblContractForDeed[End Bal],ROW()-ROW(tblBuyerOutputs[#Headers]))&lt;=0,0,($O$6+IF(ROW()=ROW(tblBuyerOutputs[#Headers])+1,0,INDEX(tblBuyerOutputs[Cumul Appr],ROW()-ROW(tblBuyerOutputs[#Headers])-1)))*$AK$2/12)</f>
        <v>0</v>
      </c>
      <c r="AE762" s="276">
        <f>IF(INDEX(tblContractForDeed[End Bal],ROW()-ROW(tblBuyerOutputs[#Headers]))&lt;=0,0,IF(ROW()=ROW(tblBuyerOutputs[#Headers])+1,0,INDEX(tblBuyerOutputs[Cumul Appr],ROW()-ROW(tblBuyerOutputs[#Headers])-1))+tblBuyerOutputs[[#This Row],[Monthly Appr]])</f>
        <v>0</v>
      </c>
    </row>
    <row r="763" spans="1:43" ht="15.75" thickBot="1" x14ac:dyDescent="0.3">
      <c r="A763" s="615"/>
      <c r="B763" s="332"/>
      <c r="C763" s="21"/>
      <c r="D763" s="21"/>
      <c r="E763" s="21"/>
      <c r="F763" s="21"/>
      <c r="G763" s="21"/>
      <c r="H763" s="21"/>
      <c r="I763" s="332"/>
      <c r="J763" s="332"/>
      <c r="K763" s="332"/>
      <c r="L763" s="395">
        <f t="shared" si="124"/>
        <v>0</v>
      </c>
      <c r="M763" s="395">
        <f t="shared" si="123"/>
        <v>0</v>
      </c>
      <c r="N763" s="615">
        <f>INDEX(tblSubjectToLoan[Date],ROW()-ROW(tblContractForDeed[#Headers]))</f>
        <v>0</v>
      </c>
      <c r="O763" s="332">
        <f>IF(ROW()=ROW(tblContractForDeed[#Headers])+1,$O$6,IF(INDEX(tblContractForDeed[End Bal],ROW()-ROW(tblContractForDeed[#Headers])-1)&lt;0,0,INDEX(tblContractForDeed[End Bal],ROW()-ROW(tblContractForDeed[#Headers])-1)))</f>
        <v>0</v>
      </c>
      <c r="P763" s="454">
        <f>IF(tblContractForDeed[[#This Row],[Date]]="","",IF(tblContractForDeed[[#This Row],[Date]]&lt;cfdRateChangeDate,cfdRate1,cfdRate2))</f>
        <v>7.0000000000000007E-2</v>
      </c>
      <c r="Q7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32">
        <f>IF(INDEX(tblContractForDeed[Payment],ROW()-ROW(tblBuyerOutputs[#Headers]))=0,0,INDEX(tblContractForDeed[Payment],ROW()-ROW(tblBuyerOutputs[#Headers]))-INDEX(tblSubjectToLoan[Payment],ROW()-ROW(tblBuyerOutputs[#Headers])))</f>
        <v>0</v>
      </c>
      <c r="Z7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3" s="332">
        <f>IF(INDEX(tblContractForDeed[End Bal],ROW()-ROW(tblBuyerOutputs[#Headers]))&lt;=0,0,($O$6+IF(ROW()=ROW(tblBuyerOutputs[#Headers])+1,0,INDEX(tblBuyerOutputs[Cumul Appr],ROW()-ROW(tblBuyerOutputs[#Headers])-1)))*$AK$2/12)</f>
        <v>0</v>
      </c>
      <c r="AE763" s="332">
        <f>IF(INDEX(tblContractForDeed[End Bal],ROW()-ROW(tblBuyerOutputs[#Headers]))&lt;=0,0,IF(ROW()=ROW(tblBuyerOutputs[#Headers])+1,0,INDEX(tblBuyerOutputs[Cumul Appr],ROW()-ROW(tblBuyerOutputs[#Headers])-1))+tblBuyerOutputs[[#This Row],[Monthly Appr]])</f>
        <v>0</v>
      </c>
      <c r="AQ763" s="21"/>
    </row>
    <row r="764" spans="1:43" x14ac:dyDescent="0.25">
      <c r="A764" s="613"/>
      <c r="L764" s="394">
        <f t="shared" si="124"/>
        <v>0</v>
      </c>
      <c r="M764" s="394">
        <f t="shared" si="123"/>
        <v>0</v>
      </c>
      <c r="N764" s="613">
        <f>INDEX(tblSubjectToLoan[Date],ROW()-ROW(tblContractForDeed[#Headers]))</f>
        <v>0</v>
      </c>
      <c r="O764" s="276">
        <f>IF(ROW()=ROW(tblContractForDeed[#Headers])+1,$O$6,IF(INDEX(tblContractForDeed[End Bal],ROW()-ROW(tblContractForDeed[#Headers])-1)&lt;0,0,INDEX(tblContractForDeed[End Bal],ROW()-ROW(tblContractForDeed[#Headers])-1)))</f>
        <v>0</v>
      </c>
      <c r="P764" s="454">
        <f>IF(tblContractForDeed[[#This Row],[Date]]="","",IF(tblContractForDeed[[#This Row],[Date]]&lt;cfdRateChangeDate,cfdRate1,cfdRate2))</f>
        <v>7.0000000000000007E-2</v>
      </c>
      <c r="Q7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276">
        <f>IF(INDEX(tblContractForDeed[Payment],ROW()-ROW(tblBuyerOutputs[#Headers]))=0,0,INDEX(tblContractForDeed[Payment],ROW()-ROW(tblBuyerOutputs[#Headers]))-INDEX(tblSubjectToLoan[Payment],ROW()-ROW(tblBuyerOutputs[#Headers])))</f>
        <v>0</v>
      </c>
      <c r="Z7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4" s="276">
        <f>IF(INDEX(tblContractForDeed[End Bal],ROW()-ROW(tblBuyerOutputs[#Headers]))&lt;=0,0,($O$6+IF(ROW()=ROW(tblBuyerOutputs[#Headers])+1,0,INDEX(tblBuyerOutputs[Cumul Appr],ROW()-ROW(tblBuyerOutputs[#Headers])-1)))*$AK$2/12)</f>
        <v>0</v>
      </c>
      <c r="AE764" s="276">
        <f>IF(INDEX(tblContractForDeed[End Bal],ROW()-ROW(tblBuyerOutputs[#Headers]))&lt;=0,0,IF(ROW()=ROW(tblBuyerOutputs[#Headers])+1,0,INDEX(tblBuyerOutputs[Cumul Appr],ROW()-ROW(tblBuyerOutputs[#Headers])-1))+tblBuyerOutputs[[#This Row],[Monthly Appr]])</f>
        <v>0</v>
      </c>
    </row>
    <row r="765" spans="1:43" x14ac:dyDescent="0.25">
      <c r="A765" s="613"/>
      <c r="L765" s="394">
        <f t="shared" si="124"/>
        <v>0</v>
      </c>
      <c r="M765" s="394">
        <f t="shared" si="123"/>
        <v>0</v>
      </c>
      <c r="N765" s="613">
        <f>INDEX(tblSubjectToLoan[Date],ROW()-ROW(tblContractForDeed[#Headers]))</f>
        <v>0</v>
      </c>
      <c r="O765" s="276">
        <f>IF(ROW()=ROW(tblContractForDeed[#Headers])+1,$O$6,IF(INDEX(tblContractForDeed[End Bal],ROW()-ROW(tblContractForDeed[#Headers])-1)&lt;0,0,INDEX(tblContractForDeed[End Bal],ROW()-ROW(tblContractForDeed[#Headers])-1)))</f>
        <v>0</v>
      </c>
      <c r="P765" s="454">
        <f>IF(tblContractForDeed[[#This Row],[Date]]="","",IF(tblContractForDeed[[#This Row],[Date]]&lt;cfdRateChangeDate,cfdRate1,cfdRate2))</f>
        <v>7.0000000000000007E-2</v>
      </c>
      <c r="Q7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276">
        <f>IF(INDEX(tblContractForDeed[Payment],ROW()-ROW(tblBuyerOutputs[#Headers]))=0,0,INDEX(tblContractForDeed[Payment],ROW()-ROW(tblBuyerOutputs[#Headers]))-INDEX(tblSubjectToLoan[Payment],ROW()-ROW(tblBuyerOutputs[#Headers])))</f>
        <v>0</v>
      </c>
      <c r="Z7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5" s="276">
        <f>IF(INDEX(tblContractForDeed[End Bal],ROW()-ROW(tblBuyerOutputs[#Headers]))&lt;=0,0,($O$6+IF(ROW()=ROW(tblBuyerOutputs[#Headers])+1,0,INDEX(tblBuyerOutputs[Cumul Appr],ROW()-ROW(tblBuyerOutputs[#Headers])-1)))*$AK$2/12)</f>
        <v>0</v>
      </c>
      <c r="AE765" s="276">
        <f>IF(INDEX(tblContractForDeed[End Bal],ROW()-ROW(tblBuyerOutputs[#Headers]))&lt;=0,0,IF(ROW()=ROW(tblBuyerOutputs[#Headers])+1,0,INDEX(tblBuyerOutputs[Cumul Appr],ROW()-ROW(tblBuyerOutputs[#Headers])-1))+tblBuyerOutputs[[#This Row],[Monthly Appr]])</f>
        <v>0</v>
      </c>
    </row>
    <row r="766" spans="1:43" x14ac:dyDescent="0.25">
      <c r="A766" s="613"/>
      <c r="L766" s="394">
        <f t="shared" si="124"/>
        <v>0</v>
      </c>
      <c r="M766" s="394">
        <f t="shared" si="123"/>
        <v>0</v>
      </c>
      <c r="N766" s="613">
        <f>INDEX(tblSubjectToLoan[Date],ROW()-ROW(tblContractForDeed[#Headers]))</f>
        <v>0</v>
      </c>
      <c r="O766" s="276">
        <f>IF(ROW()=ROW(tblContractForDeed[#Headers])+1,$O$6,IF(INDEX(tblContractForDeed[End Bal],ROW()-ROW(tblContractForDeed[#Headers])-1)&lt;0,0,INDEX(tblContractForDeed[End Bal],ROW()-ROW(tblContractForDeed[#Headers])-1)))</f>
        <v>0</v>
      </c>
      <c r="P766" s="454">
        <f>IF(tblContractForDeed[[#This Row],[Date]]="","",IF(tblContractForDeed[[#This Row],[Date]]&lt;cfdRateChangeDate,cfdRate1,cfdRate2))</f>
        <v>7.0000000000000007E-2</v>
      </c>
      <c r="Q7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276">
        <f>IF(INDEX(tblContractForDeed[Payment],ROW()-ROW(tblBuyerOutputs[#Headers]))=0,0,INDEX(tblContractForDeed[Payment],ROW()-ROW(tblBuyerOutputs[#Headers]))-INDEX(tblSubjectToLoan[Payment],ROW()-ROW(tblBuyerOutputs[#Headers])))</f>
        <v>0</v>
      </c>
      <c r="Z7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6" s="276">
        <f>IF(INDEX(tblContractForDeed[End Bal],ROW()-ROW(tblBuyerOutputs[#Headers]))&lt;=0,0,($O$6+IF(ROW()=ROW(tblBuyerOutputs[#Headers])+1,0,INDEX(tblBuyerOutputs[Cumul Appr],ROW()-ROW(tblBuyerOutputs[#Headers])-1)))*$AK$2/12)</f>
        <v>0</v>
      </c>
      <c r="AE766" s="276">
        <f>IF(INDEX(tblContractForDeed[End Bal],ROW()-ROW(tblBuyerOutputs[#Headers]))&lt;=0,0,IF(ROW()=ROW(tblBuyerOutputs[#Headers])+1,0,INDEX(tblBuyerOutputs[Cumul Appr],ROW()-ROW(tblBuyerOutputs[#Headers])-1))+tblBuyerOutputs[[#This Row],[Monthly Appr]])</f>
        <v>0</v>
      </c>
    </row>
    <row r="767" spans="1:43" x14ac:dyDescent="0.25">
      <c r="A767" s="613"/>
      <c r="L767" s="394">
        <f t="shared" si="124"/>
        <v>0</v>
      </c>
      <c r="M767" s="394">
        <f t="shared" si="123"/>
        <v>0</v>
      </c>
      <c r="N767" s="613">
        <f>INDEX(tblSubjectToLoan[Date],ROW()-ROW(tblContractForDeed[#Headers]))</f>
        <v>0</v>
      </c>
      <c r="O767" s="276">
        <f>IF(ROW()=ROW(tblContractForDeed[#Headers])+1,$O$6,IF(INDEX(tblContractForDeed[End Bal],ROW()-ROW(tblContractForDeed[#Headers])-1)&lt;0,0,INDEX(tblContractForDeed[End Bal],ROW()-ROW(tblContractForDeed[#Headers])-1)))</f>
        <v>0</v>
      </c>
      <c r="P767" s="454">
        <f>IF(tblContractForDeed[[#This Row],[Date]]="","",IF(tblContractForDeed[[#This Row],[Date]]&lt;cfdRateChangeDate,cfdRate1,cfdRate2))</f>
        <v>7.0000000000000007E-2</v>
      </c>
      <c r="Q7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276">
        <f>IF(INDEX(tblContractForDeed[Payment],ROW()-ROW(tblBuyerOutputs[#Headers]))=0,0,INDEX(tblContractForDeed[Payment],ROW()-ROW(tblBuyerOutputs[#Headers]))-INDEX(tblSubjectToLoan[Payment],ROW()-ROW(tblBuyerOutputs[#Headers])))</f>
        <v>0</v>
      </c>
      <c r="Z7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7" s="276">
        <f>IF(INDEX(tblContractForDeed[End Bal],ROW()-ROW(tblBuyerOutputs[#Headers]))&lt;=0,0,($O$6+IF(ROW()=ROW(tblBuyerOutputs[#Headers])+1,0,INDEX(tblBuyerOutputs[Cumul Appr],ROW()-ROW(tblBuyerOutputs[#Headers])-1)))*$AK$2/12)</f>
        <v>0</v>
      </c>
      <c r="AE767" s="276">
        <f>IF(INDEX(tblContractForDeed[End Bal],ROW()-ROW(tblBuyerOutputs[#Headers]))&lt;=0,0,IF(ROW()=ROW(tblBuyerOutputs[#Headers])+1,0,INDEX(tblBuyerOutputs[Cumul Appr],ROW()-ROW(tblBuyerOutputs[#Headers])-1))+tblBuyerOutputs[[#This Row],[Monthly Appr]])</f>
        <v>0</v>
      </c>
    </row>
    <row r="768" spans="1:43" x14ac:dyDescent="0.25">
      <c r="A768" s="613"/>
      <c r="L768" s="394">
        <f t="shared" si="124"/>
        <v>0</v>
      </c>
      <c r="M768" s="394">
        <f t="shared" si="123"/>
        <v>0</v>
      </c>
      <c r="N768" s="613">
        <f>INDEX(tblSubjectToLoan[Date],ROW()-ROW(tblContractForDeed[#Headers]))</f>
        <v>0</v>
      </c>
      <c r="O768" s="276">
        <f>IF(ROW()=ROW(tblContractForDeed[#Headers])+1,$O$6,IF(INDEX(tblContractForDeed[End Bal],ROW()-ROW(tblContractForDeed[#Headers])-1)&lt;0,0,INDEX(tblContractForDeed[End Bal],ROW()-ROW(tblContractForDeed[#Headers])-1)))</f>
        <v>0</v>
      </c>
      <c r="P768" s="454">
        <f>IF(tblContractForDeed[[#This Row],[Date]]="","",IF(tblContractForDeed[[#This Row],[Date]]&lt;cfdRateChangeDate,cfdRate1,cfdRate2))</f>
        <v>7.0000000000000007E-2</v>
      </c>
      <c r="Q7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276">
        <f>IF(INDEX(tblContractForDeed[Payment],ROW()-ROW(tblBuyerOutputs[#Headers]))=0,0,INDEX(tblContractForDeed[Payment],ROW()-ROW(tblBuyerOutputs[#Headers]))-INDEX(tblSubjectToLoan[Payment],ROW()-ROW(tblBuyerOutputs[#Headers])))</f>
        <v>0</v>
      </c>
      <c r="Z7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8" s="276">
        <f>IF(INDEX(tblContractForDeed[End Bal],ROW()-ROW(tblBuyerOutputs[#Headers]))&lt;=0,0,($O$6+IF(ROW()=ROW(tblBuyerOutputs[#Headers])+1,0,INDEX(tblBuyerOutputs[Cumul Appr],ROW()-ROW(tblBuyerOutputs[#Headers])-1)))*$AK$2/12)</f>
        <v>0</v>
      </c>
      <c r="AE768" s="276">
        <f>IF(INDEX(tblContractForDeed[End Bal],ROW()-ROW(tblBuyerOutputs[#Headers]))&lt;=0,0,IF(ROW()=ROW(tblBuyerOutputs[#Headers])+1,0,INDEX(tblBuyerOutputs[Cumul Appr],ROW()-ROW(tblBuyerOutputs[#Headers])-1))+tblBuyerOutputs[[#This Row],[Monthly Appr]])</f>
        <v>0</v>
      </c>
    </row>
    <row r="769" spans="1:43" x14ac:dyDescent="0.25">
      <c r="A769" s="613"/>
      <c r="L769" s="394">
        <f t="shared" si="124"/>
        <v>0</v>
      </c>
      <c r="M769" s="394">
        <f t="shared" si="123"/>
        <v>0</v>
      </c>
      <c r="N769" s="613">
        <f>INDEX(tblSubjectToLoan[Date],ROW()-ROW(tblContractForDeed[#Headers]))</f>
        <v>0</v>
      </c>
      <c r="O769" s="276">
        <f>IF(ROW()=ROW(tblContractForDeed[#Headers])+1,$O$6,IF(INDEX(tblContractForDeed[End Bal],ROW()-ROW(tblContractForDeed[#Headers])-1)&lt;0,0,INDEX(tblContractForDeed[End Bal],ROW()-ROW(tblContractForDeed[#Headers])-1)))</f>
        <v>0</v>
      </c>
      <c r="P769" s="454">
        <f>IF(tblContractForDeed[[#This Row],[Date]]="","",IF(tblContractForDeed[[#This Row],[Date]]&lt;cfdRateChangeDate,cfdRate1,cfdRate2))</f>
        <v>7.0000000000000007E-2</v>
      </c>
      <c r="Q7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276">
        <f>IF(INDEX(tblContractForDeed[Payment],ROW()-ROW(tblBuyerOutputs[#Headers]))=0,0,INDEX(tblContractForDeed[Payment],ROW()-ROW(tblBuyerOutputs[#Headers]))-INDEX(tblSubjectToLoan[Payment],ROW()-ROW(tblBuyerOutputs[#Headers])))</f>
        <v>0</v>
      </c>
      <c r="Z7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9" s="276">
        <f>IF(INDEX(tblContractForDeed[End Bal],ROW()-ROW(tblBuyerOutputs[#Headers]))&lt;=0,0,($O$6+IF(ROW()=ROW(tblBuyerOutputs[#Headers])+1,0,INDEX(tblBuyerOutputs[Cumul Appr],ROW()-ROW(tblBuyerOutputs[#Headers])-1)))*$AK$2/12)</f>
        <v>0</v>
      </c>
      <c r="AE769" s="276">
        <f>IF(INDEX(tblContractForDeed[End Bal],ROW()-ROW(tblBuyerOutputs[#Headers]))&lt;=0,0,IF(ROW()=ROW(tblBuyerOutputs[#Headers])+1,0,INDEX(tblBuyerOutputs[Cumul Appr],ROW()-ROW(tblBuyerOutputs[#Headers])-1))+tblBuyerOutputs[[#This Row],[Monthly Appr]])</f>
        <v>0</v>
      </c>
    </row>
    <row r="770" spans="1:43" x14ac:dyDescent="0.25">
      <c r="A770" s="613"/>
      <c r="L770" s="394">
        <f t="shared" si="124"/>
        <v>0</v>
      </c>
      <c r="M770" s="394">
        <f t="shared" si="123"/>
        <v>0</v>
      </c>
      <c r="N770" s="613">
        <f>INDEX(tblSubjectToLoan[Date],ROW()-ROW(tblContractForDeed[#Headers]))</f>
        <v>0</v>
      </c>
      <c r="O770" s="276">
        <f>IF(ROW()=ROW(tblContractForDeed[#Headers])+1,$O$6,IF(INDEX(tblContractForDeed[End Bal],ROW()-ROW(tblContractForDeed[#Headers])-1)&lt;0,0,INDEX(tblContractForDeed[End Bal],ROW()-ROW(tblContractForDeed[#Headers])-1)))</f>
        <v>0</v>
      </c>
      <c r="P770" s="454">
        <f>IF(tblContractForDeed[[#This Row],[Date]]="","",IF(tblContractForDeed[[#This Row],[Date]]&lt;cfdRateChangeDate,cfdRate1,cfdRate2))</f>
        <v>7.0000000000000007E-2</v>
      </c>
      <c r="Q7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276">
        <f>IF(INDEX(tblContractForDeed[Payment],ROW()-ROW(tblBuyerOutputs[#Headers]))=0,0,INDEX(tblContractForDeed[Payment],ROW()-ROW(tblBuyerOutputs[#Headers]))-INDEX(tblSubjectToLoan[Payment],ROW()-ROW(tblBuyerOutputs[#Headers])))</f>
        <v>0</v>
      </c>
      <c r="Z7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0" s="276">
        <f>IF(INDEX(tblContractForDeed[End Bal],ROW()-ROW(tblBuyerOutputs[#Headers]))&lt;=0,0,($O$6+IF(ROW()=ROW(tblBuyerOutputs[#Headers])+1,0,INDEX(tblBuyerOutputs[Cumul Appr],ROW()-ROW(tblBuyerOutputs[#Headers])-1)))*$AK$2/12)</f>
        <v>0</v>
      </c>
      <c r="AE770" s="276">
        <f>IF(INDEX(tblContractForDeed[End Bal],ROW()-ROW(tblBuyerOutputs[#Headers]))&lt;=0,0,IF(ROW()=ROW(tblBuyerOutputs[#Headers])+1,0,INDEX(tblBuyerOutputs[Cumul Appr],ROW()-ROW(tblBuyerOutputs[#Headers])-1))+tblBuyerOutputs[[#This Row],[Monthly Appr]])</f>
        <v>0</v>
      </c>
    </row>
    <row r="771" spans="1:43" x14ac:dyDescent="0.25">
      <c r="A771" s="613"/>
      <c r="L771" s="394">
        <f t="shared" si="124"/>
        <v>0</v>
      </c>
      <c r="M771" s="394">
        <f t="shared" si="123"/>
        <v>0</v>
      </c>
      <c r="N771" s="613">
        <f>INDEX(tblSubjectToLoan[Date],ROW()-ROW(tblContractForDeed[#Headers]))</f>
        <v>0</v>
      </c>
      <c r="O771" s="276">
        <f>IF(ROW()=ROW(tblContractForDeed[#Headers])+1,$O$6,IF(INDEX(tblContractForDeed[End Bal],ROW()-ROW(tblContractForDeed[#Headers])-1)&lt;0,0,INDEX(tblContractForDeed[End Bal],ROW()-ROW(tblContractForDeed[#Headers])-1)))</f>
        <v>0</v>
      </c>
      <c r="P771" s="454">
        <f>IF(tblContractForDeed[[#This Row],[Date]]="","",IF(tblContractForDeed[[#This Row],[Date]]&lt;cfdRateChangeDate,cfdRate1,cfdRate2))</f>
        <v>7.0000000000000007E-2</v>
      </c>
      <c r="Q7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276">
        <f>IF(INDEX(tblContractForDeed[Payment],ROW()-ROW(tblBuyerOutputs[#Headers]))=0,0,INDEX(tblContractForDeed[Payment],ROW()-ROW(tblBuyerOutputs[#Headers]))-INDEX(tblSubjectToLoan[Payment],ROW()-ROW(tblBuyerOutputs[#Headers])))</f>
        <v>0</v>
      </c>
      <c r="Z7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1" s="276">
        <f>IF(INDEX(tblContractForDeed[End Bal],ROW()-ROW(tblBuyerOutputs[#Headers]))&lt;=0,0,($O$6+IF(ROW()=ROW(tblBuyerOutputs[#Headers])+1,0,INDEX(tblBuyerOutputs[Cumul Appr],ROW()-ROW(tblBuyerOutputs[#Headers])-1)))*$AK$2/12)</f>
        <v>0</v>
      </c>
      <c r="AE771" s="276">
        <f>IF(INDEX(tblContractForDeed[End Bal],ROW()-ROW(tblBuyerOutputs[#Headers]))&lt;=0,0,IF(ROW()=ROW(tblBuyerOutputs[#Headers])+1,0,INDEX(tblBuyerOutputs[Cumul Appr],ROW()-ROW(tblBuyerOutputs[#Headers])-1))+tblBuyerOutputs[[#This Row],[Monthly Appr]])</f>
        <v>0</v>
      </c>
    </row>
    <row r="772" spans="1:43" x14ac:dyDescent="0.25">
      <c r="A772" s="613"/>
      <c r="L772" s="394">
        <f t="shared" si="124"/>
        <v>0</v>
      </c>
      <c r="M772" s="394">
        <f t="shared" si="123"/>
        <v>0</v>
      </c>
      <c r="N772" s="613">
        <f>INDEX(tblSubjectToLoan[Date],ROW()-ROW(tblContractForDeed[#Headers]))</f>
        <v>0</v>
      </c>
      <c r="O772" s="276">
        <f>IF(ROW()=ROW(tblContractForDeed[#Headers])+1,$O$6,IF(INDEX(tblContractForDeed[End Bal],ROW()-ROW(tblContractForDeed[#Headers])-1)&lt;0,0,INDEX(tblContractForDeed[End Bal],ROW()-ROW(tblContractForDeed[#Headers])-1)))</f>
        <v>0</v>
      </c>
      <c r="P772" s="454">
        <f>IF(tblContractForDeed[[#This Row],[Date]]="","",IF(tblContractForDeed[[#This Row],[Date]]&lt;cfdRateChangeDate,cfdRate1,cfdRate2))</f>
        <v>7.0000000000000007E-2</v>
      </c>
      <c r="Q7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276">
        <f>IF(INDEX(tblContractForDeed[Payment],ROW()-ROW(tblBuyerOutputs[#Headers]))=0,0,INDEX(tblContractForDeed[Payment],ROW()-ROW(tblBuyerOutputs[#Headers]))-INDEX(tblSubjectToLoan[Payment],ROW()-ROW(tblBuyerOutputs[#Headers])))</f>
        <v>0</v>
      </c>
      <c r="Z7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2" s="276">
        <f>IF(INDEX(tblContractForDeed[End Bal],ROW()-ROW(tblBuyerOutputs[#Headers]))&lt;=0,0,($O$6+IF(ROW()=ROW(tblBuyerOutputs[#Headers])+1,0,INDEX(tblBuyerOutputs[Cumul Appr],ROW()-ROW(tblBuyerOutputs[#Headers])-1)))*$AK$2/12)</f>
        <v>0</v>
      </c>
      <c r="AE772" s="276">
        <f>IF(INDEX(tblContractForDeed[End Bal],ROW()-ROW(tblBuyerOutputs[#Headers]))&lt;=0,0,IF(ROW()=ROW(tblBuyerOutputs[#Headers])+1,0,INDEX(tblBuyerOutputs[Cumul Appr],ROW()-ROW(tblBuyerOutputs[#Headers])-1))+tblBuyerOutputs[[#This Row],[Monthly Appr]])</f>
        <v>0</v>
      </c>
    </row>
    <row r="773" spans="1:43" x14ac:dyDescent="0.25">
      <c r="A773" s="613"/>
      <c r="L773" s="394">
        <f t="shared" si="124"/>
        <v>0</v>
      </c>
      <c r="M773" s="394">
        <f t="shared" si="123"/>
        <v>0</v>
      </c>
      <c r="N773" s="613">
        <f>INDEX(tblSubjectToLoan[Date],ROW()-ROW(tblContractForDeed[#Headers]))</f>
        <v>0</v>
      </c>
      <c r="O773" s="276">
        <f>IF(ROW()=ROW(tblContractForDeed[#Headers])+1,$O$6,IF(INDEX(tblContractForDeed[End Bal],ROW()-ROW(tblContractForDeed[#Headers])-1)&lt;0,0,INDEX(tblContractForDeed[End Bal],ROW()-ROW(tblContractForDeed[#Headers])-1)))</f>
        <v>0</v>
      </c>
      <c r="P773" s="454">
        <f>IF(tblContractForDeed[[#This Row],[Date]]="","",IF(tblContractForDeed[[#This Row],[Date]]&lt;cfdRateChangeDate,cfdRate1,cfdRate2))</f>
        <v>7.0000000000000007E-2</v>
      </c>
      <c r="Q7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276">
        <f>IF(INDEX(tblContractForDeed[Payment],ROW()-ROW(tblBuyerOutputs[#Headers]))=0,0,INDEX(tblContractForDeed[Payment],ROW()-ROW(tblBuyerOutputs[#Headers]))-INDEX(tblSubjectToLoan[Payment],ROW()-ROW(tblBuyerOutputs[#Headers])))</f>
        <v>0</v>
      </c>
      <c r="Z7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3" s="276">
        <f>IF(INDEX(tblContractForDeed[End Bal],ROW()-ROW(tblBuyerOutputs[#Headers]))&lt;=0,0,($O$6+IF(ROW()=ROW(tblBuyerOutputs[#Headers])+1,0,INDEX(tblBuyerOutputs[Cumul Appr],ROW()-ROW(tblBuyerOutputs[#Headers])-1)))*$AK$2/12)</f>
        <v>0</v>
      </c>
      <c r="AE773" s="276">
        <f>IF(INDEX(tblContractForDeed[End Bal],ROW()-ROW(tblBuyerOutputs[#Headers]))&lt;=0,0,IF(ROW()=ROW(tblBuyerOutputs[#Headers])+1,0,INDEX(tblBuyerOutputs[Cumul Appr],ROW()-ROW(tblBuyerOutputs[#Headers])-1))+tblBuyerOutputs[[#This Row],[Monthly Appr]])</f>
        <v>0</v>
      </c>
    </row>
    <row r="774" spans="1:43" x14ac:dyDescent="0.25">
      <c r="A774" s="613"/>
      <c r="L774" s="394">
        <f t="shared" si="124"/>
        <v>0</v>
      </c>
      <c r="M774" s="394">
        <f t="shared" si="123"/>
        <v>0</v>
      </c>
      <c r="N774" s="613">
        <f>INDEX(tblSubjectToLoan[Date],ROW()-ROW(tblContractForDeed[#Headers]))</f>
        <v>0</v>
      </c>
      <c r="O774" s="276">
        <f>IF(ROW()=ROW(tblContractForDeed[#Headers])+1,$O$6,IF(INDEX(tblContractForDeed[End Bal],ROW()-ROW(tblContractForDeed[#Headers])-1)&lt;0,0,INDEX(tblContractForDeed[End Bal],ROW()-ROW(tblContractForDeed[#Headers])-1)))</f>
        <v>0</v>
      </c>
      <c r="P774" s="454">
        <f>IF(tblContractForDeed[[#This Row],[Date]]="","",IF(tblContractForDeed[[#This Row],[Date]]&lt;cfdRateChangeDate,cfdRate1,cfdRate2))</f>
        <v>7.0000000000000007E-2</v>
      </c>
      <c r="Q7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276">
        <f>IF(INDEX(tblContractForDeed[Payment],ROW()-ROW(tblBuyerOutputs[#Headers]))=0,0,INDEX(tblContractForDeed[Payment],ROW()-ROW(tblBuyerOutputs[#Headers]))-INDEX(tblSubjectToLoan[Payment],ROW()-ROW(tblBuyerOutputs[#Headers])))</f>
        <v>0</v>
      </c>
      <c r="Z7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4" s="276">
        <f>IF(INDEX(tblContractForDeed[End Bal],ROW()-ROW(tblBuyerOutputs[#Headers]))&lt;=0,0,($O$6+IF(ROW()=ROW(tblBuyerOutputs[#Headers])+1,0,INDEX(tblBuyerOutputs[Cumul Appr],ROW()-ROW(tblBuyerOutputs[#Headers])-1)))*$AK$2/12)</f>
        <v>0</v>
      </c>
      <c r="AE774" s="276">
        <f>IF(INDEX(tblContractForDeed[End Bal],ROW()-ROW(tblBuyerOutputs[#Headers]))&lt;=0,0,IF(ROW()=ROW(tblBuyerOutputs[#Headers])+1,0,INDEX(tblBuyerOutputs[Cumul Appr],ROW()-ROW(tblBuyerOutputs[#Headers])-1))+tblBuyerOutputs[[#This Row],[Monthly Appr]])</f>
        <v>0</v>
      </c>
    </row>
    <row r="775" spans="1:43" ht="15.75" thickBot="1" x14ac:dyDescent="0.3">
      <c r="A775" s="615"/>
      <c r="B775" s="332"/>
      <c r="C775" s="21"/>
      <c r="D775" s="21"/>
      <c r="E775" s="21"/>
      <c r="F775" s="21"/>
      <c r="G775" s="21"/>
      <c r="H775" s="21"/>
      <c r="I775" s="332"/>
      <c r="J775" s="332"/>
      <c r="K775" s="332"/>
      <c r="L775" s="395">
        <f t="shared" si="124"/>
        <v>0</v>
      </c>
      <c r="M775" s="395">
        <f t="shared" si="123"/>
        <v>0</v>
      </c>
      <c r="N775" s="615">
        <f>INDEX(tblSubjectToLoan[Date],ROW()-ROW(tblContractForDeed[#Headers]))</f>
        <v>0</v>
      </c>
      <c r="O775" s="332">
        <f>IF(ROW()=ROW(tblContractForDeed[#Headers])+1,$O$6,IF(INDEX(tblContractForDeed[End Bal],ROW()-ROW(tblContractForDeed[#Headers])-1)&lt;0,0,INDEX(tblContractForDeed[End Bal],ROW()-ROW(tblContractForDeed[#Headers])-1)))</f>
        <v>0</v>
      </c>
      <c r="P775" s="454">
        <f>IF(tblContractForDeed[[#This Row],[Date]]="","",IF(tblContractForDeed[[#This Row],[Date]]&lt;cfdRateChangeDate,cfdRate1,cfdRate2))</f>
        <v>7.0000000000000007E-2</v>
      </c>
      <c r="Q7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32">
        <f>IF(INDEX(tblContractForDeed[Payment],ROW()-ROW(tblBuyerOutputs[#Headers]))=0,0,INDEX(tblContractForDeed[Payment],ROW()-ROW(tblBuyerOutputs[#Headers]))-INDEX(tblSubjectToLoan[Payment],ROW()-ROW(tblBuyerOutputs[#Headers])))</f>
        <v>0</v>
      </c>
      <c r="Z7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5" s="332">
        <f>IF(INDEX(tblContractForDeed[End Bal],ROW()-ROW(tblBuyerOutputs[#Headers]))&lt;=0,0,($O$6+IF(ROW()=ROW(tblBuyerOutputs[#Headers])+1,0,INDEX(tblBuyerOutputs[Cumul Appr],ROW()-ROW(tblBuyerOutputs[#Headers])-1)))*$AK$2/12)</f>
        <v>0</v>
      </c>
      <c r="AE775" s="332">
        <f>IF(INDEX(tblContractForDeed[End Bal],ROW()-ROW(tblBuyerOutputs[#Headers]))&lt;=0,0,IF(ROW()=ROW(tblBuyerOutputs[#Headers])+1,0,INDEX(tblBuyerOutputs[Cumul Appr],ROW()-ROW(tblBuyerOutputs[#Headers])-1))+tblBuyerOutputs[[#This Row],[Monthly Appr]])</f>
        <v>0</v>
      </c>
      <c r="AQ775" s="21"/>
    </row>
    <row r="776" spans="1:43" x14ac:dyDescent="0.25">
      <c r="A776" s="613"/>
      <c r="L776" s="394">
        <f t="shared" si="124"/>
        <v>0</v>
      </c>
      <c r="M776" s="394">
        <f t="shared" si="123"/>
        <v>0</v>
      </c>
      <c r="N776" s="613">
        <f>INDEX(tblSubjectToLoan[Date],ROW()-ROW(tblContractForDeed[#Headers]))</f>
        <v>0</v>
      </c>
      <c r="O776" s="276">
        <f>IF(ROW()=ROW(tblContractForDeed[#Headers])+1,$O$6,IF(INDEX(tblContractForDeed[End Bal],ROW()-ROW(tblContractForDeed[#Headers])-1)&lt;0,0,INDEX(tblContractForDeed[End Bal],ROW()-ROW(tblContractForDeed[#Headers])-1)))</f>
        <v>0</v>
      </c>
      <c r="P776" s="454">
        <f>IF(tblContractForDeed[[#This Row],[Date]]="","",IF(tblContractForDeed[[#This Row],[Date]]&lt;cfdRateChangeDate,cfdRate1,cfdRate2))</f>
        <v>7.0000000000000007E-2</v>
      </c>
      <c r="Q7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276">
        <f>IF(INDEX(tblContractForDeed[Payment],ROW()-ROW(tblBuyerOutputs[#Headers]))=0,0,INDEX(tblContractForDeed[Payment],ROW()-ROW(tblBuyerOutputs[#Headers]))-INDEX(tblSubjectToLoan[Payment],ROW()-ROW(tblBuyerOutputs[#Headers])))</f>
        <v>0</v>
      </c>
      <c r="Z7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6" s="276">
        <f>IF(INDEX(tblContractForDeed[End Bal],ROW()-ROW(tblBuyerOutputs[#Headers]))&lt;=0,0,($O$6+IF(ROW()=ROW(tblBuyerOutputs[#Headers])+1,0,INDEX(tblBuyerOutputs[Cumul Appr],ROW()-ROW(tblBuyerOutputs[#Headers])-1)))*$AK$2/12)</f>
        <v>0</v>
      </c>
      <c r="AE776" s="276">
        <f>IF(INDEX(tblContractForDeed[End Bal],ROW()-ROW(tblBuyerOutputs[#Headers]))&lt;=0,0,IF(ROW()=ROW(tblBuyerOutputs[#Headers])+1,0,INDEX(tblBuyerOutputs[Cumul Appr],ROW()-ROW(tblBuyerOutputs[#Headers])-1))+tblBuyerOutputs[[#This Row],[Monthly Appr]])</f>
        <v>0</v>
      </c>
    </row>
    <row r="777" spans="1:43" x14ac:dyDescent="0.25">
      <c r="A777" s="613"/>
      <c r="L777" s="394">
        <f t="shared" si="124"/>
        <v>0</v>
      </c>
      <c r="M777" s="394">
        <f t="shared" si="123"/>
        <v>0</v>
      </c>
      <c r="N777" s="613">
        <f>INDEX(tblSubjectToLoan[Date],ROW()-ROW(tblContractForDeed[#Headers]))</f>
        <v>0</v>
      </c>
      <c r="O777" s="276">
        <f>IF(ROW()=ROW(tblContractForDeed[#Headers])+1,$O$6,IF(INDEX(tblContractForDeed[End Bal],ROW()-ROW(tblContractForDeed[#Headers])-1)&lt;0,0,INDEX(tblContractForDeed[End Bal],ROW()-ROW(tblContractForDeed[#Headers])-1)))</f>
        <v>0</v>
      </c>
      <c r="P777" s="454">
        <f>IF(tblContractForDeed[[#This Row],[Date]]="","",IF(tblContractForDeed[[#This Row],[Date]]&lt;cfdRateChangeDate,cfdRate1,cfdRate2))</f>
        <v>7.0000000000000007E-2</v>
      </c>
      <c r="Q7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276">
        <f>IF(INDEX(tblContractForDeed[Payment],ROW()-ROW(tblBuyerOutputs[#Headers]))=0,0,INDEX(tblContractForDeed[Payment],ROW()-ROW(tblBuyerOutputs[#Headers]))-INDEX(tblSubjectToLoan[Payment],ROW()-ROW(tblBuyerOutputs[#Headers])))</f>
        <v>0</v>
      </c>
      <c r="Z7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7" s="276">
        <f>IF(INDEX(tblContractForDeed[End Bal],ROW()-ROW(tblBuyerOutputs[#Headers]))&lt;=0,0,($O$6+IF(ROW()=ROW(tblBuyerOutputs[#Headers])+1,0,INDEX(tblBuyerOutputs[Cumul Appr],ROW()-ROW(tblBuyerOutputs[#Headers])-1)))*$AK$2/12)</f>
        <v>0</v>
      </c>
      <c r="AE777" s="276">
        <f>IF(INDEX(tblContractForDeed[End Bal],ROW()-ROW(tblBuyerOutputs[#Headers]))&lt;=0,0,IF(ROW()=ROW(tblBuyerOutputs[#Headers])+1,0,INDEX(tblBuyerOutputs[Cumul Appr],ROW()-ROW(tblBuyerOutputs[#Headers])-1))+tblBuyerOutputs[[#This Row],[Monthly Appr]])</f>
        <v>0</v>
      </c>
    </row>
    <row r="778" spans="1:43" x14ac:dyDescent="0.25">
      <c r="A778" s="613"/>
      <c r="L778" s="394">
        <f t="shared" si="124"/>
        <v>0</v>
      </c>
      <c r="M778" s="394">
        <f t="shared" si="123"/>
        <v>0</v>
      </c>
      <c r="N778" s="613">
        <f>INDEX(tblSubjectToLoan[Date],ROW()-ROW(tblContractForDeed[#Headers]))</f>
        <v>0</v>
      </c>
      <c r="O778" s="276">
        <f>IF(ROW()=ROW(tblContractForDeed[#Headers])+1,$O$6,IF(INDEX(tblContractForDeed[End Bal],ROW()-ROW(tblContractForDeed[#Headers])-1)&lt;0,0,INDEX(tblContractForDeed[End Bal],ROW()-ROW(tblContractForDeed[#Headers])-1)))</f>
        <v>0</v>
      </c>
      <c r="P778" s="454">
        <f>IF(tblContractForDeed[[#This Row],[Date]]="","",IF(tblContractForDeed[[#This Row],[Date]]&lt;cfdRateChangeDate,cfdRate1,cfdRate2))</f>
        <v>7.0000000000000007E-2</v>
      </c>
      <c r="Q7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276">
        <f>IF(INDEX(tblContractForDeed[Payment],ROW()-ROW(tblBuyerOutputs[#Headers]))=0,0,INDEX(tblContractForDeed[Payment],ROW()-ROW(tblBuyerOutputs[#Headers]))-INDEX(tblSubjectToLoan[Payment],ROW()-ROW(tblBuyerOutputs[#Headers])))</f>
        <v>0</v>
      </c>
      <c r="Z7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8" s="276">
        <f>IF(INDEX(tblContractForDeed[End Bal],ROW()-ROW(tblBuyerOutputs[#Headers]))&lt;=0,0,($O$6+IF(ROW()=ROW(tblBuyerOutputs[#Headers])+1,0,INDEX(tblBuyerOutputs[Cumul Appr],ROW()-ROW(tblBuyerOutputs[#Headers])-1)))*$AK$2/12)</f>
        <v>0</v>
      </c>
      <c r="AE778" s="276">
        <f>IF(INDEX(tblContractForDeed[End Bal],ROW()-ROW(tblBuyerOutputs[#Headers]))&lt;=0,0,IF(ROW()=ROW(tblBuyerOutputs[#Headers])+1,0,INDEX(tblBuyerOutputs[Cumul Appr],ROW()-ROW(tblBuyerOutputs[#Headers])-1))+tblBuyerOutputs[[#This Row],[Monthly Appr]])</f>
        <v>0</v>
      </c>
    </row>
    <row r="779" spans="1:43" x14ac:dyDescent="0.25">
      <c r="A779" s="613"/>
      <c r="L779" s="394">
        <f t="shared" si="124"/>
        <v>0</v>
      </c>
      <c r="M779" s="394">
        <f t="shared" si="123"/>
        <v>0</v>
      </c>
      <c r="N779" s="613">
        <f>INDEX(tblSubjectToLoan[Date],ROW()-ROW(tblContractForDeed[#Headers]))</f>
        <v>0</v>
      </c>
      <c r="O779" s="276">
        <f>IF(ROW()=ROW(tblContractForDeed[#Headers])+1,$O$6,IF(INDEX(tblContractForDeed[End Bal],ROW()-ROW(tblContractForDeed[#Headers])-1)&lt;0,0,INDEX(tblContractForDeed[End Bal],ROW()-ROW(tblContractForDeed[#Headers])-1)))</f>
        <v>0</v>
      </c>
      <c r="P779" s="454">
        <f>IF(tblContractForDeed[[#This Row],[Date]]="","",IF(tblContractForDeed[[#This Row],[Date]]&lt;cfdRateChangeDate,cfdRate1,cfdRate2))</f>
        <v>7.0000000000000007E-2</v>
      </c>
      <c r="Q7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276">
        <f>IF(INDEX(tblContractForDeed[Payment],ROW()-ROW(tblBuyerOutputs[#Headers]))=0,0,INDEX(tblContractForDeed[Payment],ROW()-ROW(tblBuyerOutputs[#Headers]))-INDEX(tblSubjectToLoan[Payment],ROW()-ROW(tblBuyerOutputs[#Headers])))</f>
        <v>0</v>
      </c>
      <c r="Z7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9" s="276">
        <f>IF(INDEX(tblContractForDeed[End Bal],ROW()-ROW(tblBuyerOutputs[#Headers]))&lt;=0,0,($O$6+IF(ROW()=ROW(tblBuyerOutputs[#Headers])+1,0,INDEX(tblBuyerOutputs[Cumul Appr],ROW()-ROW(tblBuyerOutputs[#Headers])-1)))*$AK$2/12)</f>
        <v>0</v>
      </c>
      <c r="AE779" s="276">
        <f>IF(INDEX(tblContractForDeed[End Bal],ROW()-ROW(tblBuyerOutputs[#Headers]))&lt;=0,0,IF(ROW()=ROW(tblBuyerOutputs[#Headers])+1,0,INDEX(tblBuyerOutputs[Cumul Appr],ROW()-ROW(tblBuyerOutputs[#Headers])-1))+tblBuyerOutputs[[#This Row],[Monthly Appr]])</f>
        <v>0</v>
      </c>
    </row>
    <row r="780" spans="1:43" x14ac:dyDescent="0.25">
      <c r="A780" s="613"/>
      <c r="L780" s="394">
        <f t="shared" si="124"/>
        <v>0</v>
      </c>
      <c r="M780" s="394">
        <f t="shared" si="123"/>
        <v>0</v>
      </c>
      <c r="N780" s="613">
        <f>INDEX(tblSubjectToLoan[Date],ROW()-ROW(tblContractForDeed[#Headers]))</f>
        <v>0</v>
      </c>
      <c r="O780" s="276">
        <f>IF(ROW()=ROW(tblContractForDeed[#Headers])+1,$O$6,IF(INDEX(tblContractForDeed[End Bal],ROW()-ROW(tblContractForDeed[#Headers])-1)&lt;0,0,INDEX(tblContractForDeed[End Bal],ROW()-ROW(tblContractForDeed[#Headers])-1)))</f>
        <v>0</v>
      </c>
      <c r="P780" s="454">
        <f>IF(tblContractForDeed[[#This Row],[Date]]="","",IF(tblContractForDeed[[#This Row],[Date]]&lt;cfdRateChangeDate,cfdRate1,cfdRate2))</f>
        <v>7.0000000000000007E-2</v>
      </c>
      <c r="Q7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276">
        <f>IF(INDEX(tblContractForDeed[Payment],ROW()-ROW(tblBuyerOutputs[#Headers]))=0,0,INDEX(tblContractForDeed[Payment],ROW()-ROW(tblBuyerOutputs[#Headers]))-INDEX(tblSubjectToLoan[Payment],ROW()-ROW(tblBuyerOutputs[#Headers])))</f>
        <v>0</v>
      </c>
      <c r="Z7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0" s="276">
        <f>IF(INDEX(tblContractForDeed[End Bal],ROW()-ROW(tblBuyerOutputs[#Headers]))&lt;=0,0,($O$6+IF(ROW()=ROW(tblBuyerOutputs[#Headers])+1,0,INDEX(tblBuyerOutputs[Cumul Appr],ROW()-ROW(tblBuyerOutputs[#Headers])-1)))*$AK$2/12)</f>
        <v>0</v>
      </c>
      <c r="AE780" s="276">
        <f>IF(INDEX(tblContractForDeed[End Bal],ROW()-ROW(tblBuyerOutputs[#Headers]))&lt;=0,0,IF(ROW()=ROW(tblBuyerOutputs[#Headers])+1,0,INDEX(tblBuyerOutputs[Cumul Appr],ROW()-ROW(tblBuyerOutputs[#Headers])-1))+tblBuyerOutputs[[#This Row],[Monthly Appr]])</f>
        <v>0</v>
      </c>
    </row>
    <row r="781" spans="1:43" x14ac:dyDescent="0.25">
      <c r="A781" s="613"/>
      <c r="L781" s="394">
        <f t="shared" si="124"/>
        <v>0</v>
      </c>
      <c r="M781" s="394">
        <f t="shared" si="123"/>
        <v>0</v>
      </c>
      <c r="N781" s="613">
        <f>INDEX(tblSubjectToLoan[Date],ROW()-ROW(tblContractForDeed[#Headers]))</f>
        <v>0</v>
      </c>
      <c r="O781" s="276">
        <f>IF(ROW()=ROW(tblContractForDeed[#Headers])+1,$O$6,IF(INDEX(tblContractForDeed[End Bal],ROW()-ROW(tblContractForDeed[#Headers])-1)&lt;0,0,INDEX(tblContractForDeed[End Bal],ROW()-ROW(tblContractForDeed[#Headers])-1)))</f>
        <v>0</v>
      </c>
      <c r="P781" s="454">
        <f>IF(tblContractForDeed[[#This Row],[Date]]="","",IF(tblContractForDeed[[#This Row],[Date]]&lt;cfdRateChangeDate,cfdRate1,cfdRate2))</f>
        <v>7.0000000000000007E-2</v>
      </c>
      <c r="Q7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276">
        <f>IF(INDEX(tblContractForDeed[Payment],ROW()-ROW(tblBuyerOutputs[#Headers]))=0,0,INDEX(tblContractForDeed[Payment],ROW()-ROW(tblBuyerOutputs[#Headers]))-INDEX(tblSubjectToLoan[Payment],ROW()-ROW(tblBuyerOutputs[#Headers])))</f>
        <v>0</v>
      </c>
      <c r="Z7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1" s="276">
        <f>IF(INDEX(tblContractForDeed[End Bal],ROW()-ROW(tblBuyerOutputs[#Headers]))&lt;=0,0,($O$6+IF(ROW()=ROW(tblBuyerOutputs[#Headers])+1,0,INDEX(tblBuyerOutputs[Cumul Appr],ROW()-ROW(tblBuyerOutputs[#Headers])-1)))*$AK$2/12)</f>
        <v>0</v>
      </c>
      <c r="AE781" s="276">
        <f>IF(INDEX(tblContractForDeed[End Bal],ROW()-ROW(tblBuyerOutputs[#Headers]))&lt;=0,0,IF(ROW()=ROW(tblBuyerOutputs[#Headers])+1,0,INDEX(tblBuyerOutputs[Cumul Appr],ROW()-ROW(tblBuyerOutputs[#Headers])-1))+tblBuyerOutputs[[#This Row],[Monthly Appr]])</f>
        <v>0</v>
      </c>
    </row>
    <row r="782" spans="1:43" x14ac:dyDescent="0.25">
      <c r="A782" s="613"/>
      <c r="L782" s="394">
        <f t="shared" si="124"/>
        <v>0</v>
      </c>
      <c r="M782" s="394">
        <f t="shared" si="123"/>
        <v>0</v>
      </c>
      <c r="N782" s="613">
        <f>INDEX(tblSubjectToLoan[Date],ROW()-ROW(tblContractForDeed[#Headers]))</f>
        <v>0</v>
      </c>
      <c r="O782" s="276">
        <f>IF(ROW()=ROW(tblContractForDeed[#Headers])+1,$O$6,IF(INDEX(tblContractForDeed[End Bal],ROW()-ROW(tblContractForDeed[#Headers])-1)&lt;0,0,INDEX(tblContractForDeed[End Bal],ROW()-ROW(tblContractForDeed[#Headers])-1)))</f>
        <v>0</v>
      </c>
      <c r="P782" s="454">
        <f>IF(tblContractForDeed[[#This Row],[Date]]="","",IF(tblContractForDeed[[#This Row],[Date]]&lt;cfdRateChangeDate,cfdRate1,cfdRate2))</f>
        <v>7.0000000000000007E-2</v>
      </c>
      <c r="Q7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276">
        <f>IF(INDEX(tblContractForDeed[Payment],ROW()-ROW(tblBuyerOutputs[#Headers]))=0,0,INDEX(tblContractForDeed[Payment],ROW()-ROW(tblBuyerOutputs[#Headers]))-INDEX(tblSubjectToLoan[Payment],ROW()-ROW(tblBuyerOutputs[#Headers])))</f>
        <v>0</v>
      </c>
      <c r="Z7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2" s="276">
        <f>IF(INDEX(tblContractForDeed[End Bal],ROW()-ROW(tblBuyerOutputs[#Headers]))&lt;=0,0,($O$6+IF(ROW()=ROW(tblBuyerOutputs[#Headers])+1,0,INDEX(tblBuyerOutputs[Cumul Appr],ROW()-ROW(tblBuyerOutputs[#Headers])-1)))*$AK$2/12)</f>
        <v>0</v>
      </c>
      <c r="AE782" s="276">
        <f>IF(INDEX(tblContractForDeed[End Bal],ROW()-ROW(tblBuyerOutputs[#Headers]))&lt;=0,0,IF(ROW()=ROW(tblBuyerOutputs[#Headers])+1,0,INDEX(tblBuyerOutputs[Cumul Appr],ROW()-ROW(tblBuyerOutputs[#Headers])-1))+tblBuyerOutputs[[#This Row],[Monthly Appr]])</f>
        <v>0</v>
      </c>
    </row>
    <row r="783" spans="1:43" x14ac:dyDescent="0.25">
      <c r="A783" s="613"/>
      <c r="L783" s="394">
        <f t="shared" si="124"/>
        <v>0</v>
      </c>
      <c r="M783" s="394">
        <f t="shared" si="123"/>
        <v>0</v>
      </c>
      <c r="N783" s="613">
        <f>INDEX(tblSubjectToLoan[Date],ROW()-ROW(tblContractForDeed[#Headers]))</f>
        <v>0</v>
      </c>
      <c r="O783" s="276">
        <f>IF(ROW()=ROW(tblContractForDeed[#Headers])+1,$O$6,IF(INDEX(tblContractForDeed[End Bal],ROW()-ROW(tblContractForDeed[#Headers])-1)&lt;0,0,INDEX(tblContractForDeed[End Bal],ROW()-ROW(tblContractForDeed[#Headers])-1)))</f>
        <v>0</v>
      </c>
      <c r="P783" s="454">
        <f>IF(tblContractForDeed[[#This Row],[Date]]="","",IF(tblContractForDeed[[#This Row],[Date]]&lt;cfdRateChangeDate,cfdRate1,cfdRate2))</f>
        <v>7.0000000000000007E-2</v>
      </c>
      <c r="Q7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276">
        <f>IF(INDEX(tblContractForDeed[Payment],ROW()-ROW(tblBuyerOutputs[#Headers]))=0,0,INDEX(tblContractForDeed[Payment],ROW()-ROW(tblBuyerOutputs[#Headers]))-INDEX(tblSubjectToLoan[Payment],ROW()-ROW(tblBuyerOutputs[#Headers])))</f>
        <v>0</v>
      </c>
      <c r="Z7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3" s="276">
        <f>IF(INDEX(tblContractForDeed[End Bal],ROW()-ROW(tblBuyerOutputs[#Headers]))&lt;=0,0,($O$6+IF(ROW()=ROW(tblBuyerOutputs[#Headers])+1,0,INDEX(tblBuyerOutputs[Cumul Appr],ROW()-ROW(tblBuyerOutputs[#Headers])-1)))*$AK$2/12)</f>
        <v>0</v>
      </c>
      <c r="AE783" s="276">
        <f>IF(INDEX(tblContractForDeed[End Bal],ROW()-ROW(tblBuyerOutputs[#Headers]))&lt;=0,0,IF(ROW()=ROW(tblBuyerOutputs[#Headers])+1,0,INDEX(tblBuyerOutputs[Cumul Appr],ROW()-ROW(tblBuyerOutputs[#Headers])-1))+tblBuyerOutputs[[#This Row],[Monthly Appr]])</f>
        <v>0</v>
      </c>
    </row>
    <row r="784" spans="1:43" x14ac:dyDescent="0.25">
      <c r="A784" s="613"/>
      <c r="L784" s="394">
        <f t="shared" si="124"/>
        <v>0</v>
      </c>
      <c r="M784" s="394">
        <f t="shared" si="123"/>
        <v>0</v>
      </c>
      <c r="N784" s="613">
        <f>INDEX(tblSubjectToLoan[Date],ROW()-ROW(tblContractForDeed[#Headers]))</f>
        <v>0</v>
      </c>
      <c r="O784" s="276">
        <f>IF(ROW()=ROW(tblContractForDeed[#Headers])+1,$O$6,IF(INDEX(tblContractForDeed[End Bal],ROW()-ROW(tblContractForDeed[#Headers])-1)&lt;0,0,INDEX(tblContractForDeed[End Bal],ROW()-ROW(tblContractForDeed[#Headers])-1)))</f>
        <v>0</v>
      </c>
      <c r="P784" s="454">
        <f>IF(tblContractForDeed[[#This Row],[Date]]="","",IF(tblContractForDeed[[#This Row],[Date]]&lt;cfdRateChangeDate,cfdRate1,cfdRate2))</f>
        <v>7.0000000000000007E-2</v>
      </c>
      <c r="Q7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276">
        <f>IF(INDEX(tblContractForDeed[Payment],ROW()-ROW(tblBuyerOutputs[#Headers]))=0,0,INDEX(tblContractForDeed[Payment],ROW()-ROW(tblBuyerOutputs[#Headers]))-INDEX(tblSubjectToLoan[Payment],ROW()-ROW(tblBuyerOutputs[#Headers])))</f>
        <v>0</v>
      </c>
      <c r="Z7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4" s="276">
        <f>IF(INDEX(tblContractForDeed[End Bal],ROW()-ROW(tblBuyerOutputs[#Headers]))&lt;=0,0,($O$6+IF(ROW()=ROW(tblBuyerOutputs[#Headers])+1,0,INDEX(tblBuyerOutputs[Cumul Appr],ROW()-ROW(tblBuyerOutputs[#Headers])-1)))*$AK$2/12)</f>
        <v>0</v>
      </c>
      <c r="AE784" s="276">
        <f>IF(INDEX(tblContractForDeed[End Bal],ROW()-ROW(tblBuyerOutputs[#Headers]))&lt;=0,0,IF(ROW()=ROW(tblBuyerOutputs[#Headers])+1,0,INDEX(tblBuyerOutputs[Cumul Appr],ROW()-ROW(tblBuyerOutputs[#Headers])-1))+tblBuyerOutputs[[#This Row],[Monthly Appr]])</f>
        <v>0</v>
      </c>
    </row>
    <row r="785" spans="1:43" x14ac:dyDescent="0.25">
      <c r="A785" s="613"/>
      <c r="L785" s="394">
        <f t="shared" si="124"/>
        <v>0</v>
      </c>
      <c r="M785" s="394">
        <f t="shared" si="123"/>
        <v>0</v>
      </c>
      <c r="N785" s="613">
        <f>INDEX(tblSubjectToLoan[Date],ROW()-ROW(tblContractForDeed[#Headers]))</f>
        <v>0</v>
      </c>
      <c r="O785" s="276">
        <f>IF(ROW()=ROW(tblContractForDeed[#Headers])+1,$O$6,IF(INDEX(tblContractForDeed[End Bal],ROW()-ROW(tblContractForDeed[#Headers])-1)&lt;0,0,INDEX(tblContractForDeed[End Bal],ROW()-ROW(tblContractForDeed[#Headers])-1)))</f>
        <v>0</v>
      </c>
      <c r="P785" s="454">
        <f>IF(tblContractForDeed[[#This Row],[Date]]="","",IF(tblContractForDeed[[#This Row],[Date]]&lt;cfdRateChangeDate,cfdRate1,cfdRate2))</f>
        <v>7.0000000000000007E-2</v>
      </c>
      <c r="Q7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276">
        <f>IF(INDEX(tblContractForDeed[Payment],ROW()-ROW(tblBuyerOutputs[#Headers]))=0,0,INDEX(tblContractForDeed[Payment],ROW()-ROW(tblBuyerOutputs[#Headers]))-INDEX(tblSubjectToLoan[Payment],ROW()-ROW(tblBuyerOutputs[#Headers])))</f>
        <v>0</v>
      </c>
      <c r="Z7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5" s="276">
        <f>IF(INDEX(tblContractForDeed[End Bal],ROW()-ROW(tblBuyerOutputs[#Headers]))&lt;=0,0,($O$6+IF(ROW()=ROW(tblBuyerOutputs[#Headers])+1,0,INDEX(tblBuyerOutputs[Cumul Appr],ROW()-ROW(tblBuyerOutputs[#Headers])-1)))*$AK$2/12)</f>
        <v>0</v>
      </c>
      <c r="AE785" s="276">
        <f>IF(INDEX(tblContractForDeed[End Bal],ROW()-ROW(tblBuyerOutputs[#Headers]))&lt;=0,0,IF(ROW()=ROW(tblBuyerOutputs[#Headers])+1,0,INDEX(tblBuyerOutputs[Cumul Appr],ROW()-ROW(tblBuyerOutputs[#Headers])-1))+tblBuyerOutputs[[#This Row],[Monthly Appr]])</f>
        <v>0</v>
      </c>
    </row>
    <row r="786" spans="1:43" x14ac:dyDescent="0.25">
      <c r="A786" s="613"/>
      <c r="L786" s="394">
        <f t="shared" si="124"/>
        <v>0</v>
      </c>
      <c r="M786" s="394">
        <f t="shared" si="123"/>
        <v>0</v>
      </c>
      <c r="N786" s="613">
        <f>INDEX(tblSubjectToLoan[Date],ROW()-ROW(tblContractForDeed[#Headers]))</f>
        <v>0</v>
      </c>
      <c r="O786" s="276">
        <f>IF(ROW()=ROW(tblContractForDeed[#Headers])+1,$O$6,IF(INDEX(tblContractForDeed[End Bal],ROW()-ROW(tblContractForDeed[#Headers])-1)&lt;0,0,INDEX(tblContractForDeed[End Bal],ROW()-ROW(tblContractForDeed[#Headers])-1)))</f>
        <v>0</v>
      </c>
      <c r="P786" s="454">
        <f>IF(tblContractForDeed[[#This Row],[Date]]="","",IF(tblContractForDeed[[#This Row],[Date]]&lt;cfdRateChangeDate,cfdRate1,cfdRate2))</f>
        <v>7.0000000000000007E-2</v>
      </c>
      <c r="Q7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276">
        <f>IF(INDEX(tblContractForDeed[Payment],ROW()-ROW(tblBuyerOutputs[#Headers]))=0,0,INDEX(tblContractForDeed[Payment],ROW()-ROW(tblBuyerOutputs[#Headers]))-INDEX(tblSubjectToLoan[Payment],ROW()-ROW(tblBuyerOutputs[#Headers])))</f>
        <v>0</v>
      </c>
      <c r="Z7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6" s="276">
        <f>IF(INDEX(tblContractForDeed[End Bal],ROW()-ROW(tblBuyerOutputs[#Headers]))&lt;=0,0,($O$6+IF(ROW()=ROW(tblBuyerOutputs[#Headers])+1,0,INDEX(tblBuyerOutputs[Cumul Appr],ROW()-ROW(tblBuyerOutputs[#Headers])-1)))*$AK$2/12)</f>
        <v>0</v>
      </c>
      <c r="AE786" s="276">
        <f>IF(INDEX(tblContractForDeed[End Bal],ROW()-ROW(tblBuyerOutputs[#Headers]))&lt;=0,0,IF(ROW()=ROW(tblBuyerOutputs[#Headers])+1,0,INDEX(tblBuyerOutputs[Cumul Appr],ROW()-ROW(tblBuyerOutputs[#Headers])-1))+tblBuyerOutputs[[#This Row],[Monthly Appr]])</f>
        <v>0</v>
      </c>
    </row>
    <row r="787" spans="1:43" ht="15.75" thickBot="1" x14ac:dyDescent="0.3">
      <c r="A787" s="615"/>
      <c r="B787" s="332"/>
      <c r="C787" s="21"/>
      <c r="D787" s="21"/>
      <c r="E787" s="21"/>
      <c r="F787" s="21"/>
      <c r="G787" s="21"/>
      <c r="H787" s="21"/>
      <c r="I787" s="332"/>
      <c r="J787" s="332"/>
      <c r="K787" s="332"/>
      <c r="L787" s="395">
        <f t="shared" si="124"/>
        <v>0</v>
      </c>
      <c r="M787" s="395">
        <f t="shared" si="123"/>
        <v>0</v>
      </c>
      <c r="N787" s="615">
        <f>INDEX(tblSubjectToLoan[Date],ROW()-ROW(tblContractForDeed[#Headers]))</f>
        <v>0</v>
      </c>
      <c r="O787" s="332">
        <f>IF(ROW()=ROW(tblContractForDeed[#Headers])+1,$O$6,IF(INDEX(tblContractForDeed[End Bal],ROW()-ROW(tblContractForDeed[#Headers])-1)&lt;0,0,INDEX(tblContractForDeed[End Bal],ROW()-ROW(tblContractForDeed[#Headers])-1)))</f>
        <v>0</v>
      </c>
      <c r="P787" s="454">
        <f>IF(tblContractForDeed[[#This Row],[Date]]="","",IF(tblContractForDeed[[#This Row],[Date]]&lt;cfdRateChangeDate,cfdRate1,cfdRate2))</f>
        <v>7.0000000000000007E-2</v>
      </c>
      <c r="Q7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32">
        <f>IF(INDEX(tblContractForDeed[Payment],ROW()-ROW(tblBuyerOutputs[#Headers]))=0,0,INDEX(tblContractForDeed[Payment],ROW()-ROW(tblBuyerOutputs[#Headers]))-INDEX(tblSubjectToLoan[Payment],ROW()-ROW(tblBuyerOutputs[#Headers])))</f>
        <v>0</v>
      </c>
      <c r="Z7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7" s="332">
        <f>IF(INDEX(tblContractForDeed[End Bal],ROW()-ROW(tblBuyerOutputs[#Headers]))&lt;=0,0,($O$6+IF(ROW()=ROW(tblBuyerOutputs[#Headers])+1,0,INDEX(tblBuyerOutputs[Cumul Appr],ROW()-ROW(tblBuyerOutputs[#Headers])-1)))*$AK$2/12)</f>
        <v>0</v>
      </c>
      <c r="AE787" s="332">
        <f>IF(INDEX(tblContractForDeed[End Bal],ROW()-ROW(tblBuyerOutputs[#Headers]))&lt;=0,0,IF(ROW()=ROW(tblBuyerOutputs[#Headers])+1,0,INDEX(tblBuyerOutputs[Cumul Appr],ROW()-ROW(tblBuyerOutputs[#Headers])-1))+tblBuyerOutputs[[#This Row],[Monthly Appr]])</f>
        <v>0</v>
      </c>
      <c r="AQ787" s="21"/>
    </row>
    <row r="788" spans="1:43" x14ac:dyDescent="0.25">
      <c r="A788" s="616"/>
      <c r="M788" s="22">
        <f t="shared" si="123"/>
        <v>0</v>
      </c>
      <c r="N788" s="616">
        <f>INDEX(tblSubjectToLoan[Date],ROW()-ROW(tblContractForDeed[#Headers]))</f>
        <v>0</v>
      </c>
      <c r="O788" s="276">
        <f>IF(ROW()=ROW(tblContractForDeed[#Headers])+1,$O$6,IF(INDEX(tblContractForDeed[End Bal],ROW()-ROW(tblContractForDeed[#Headers])-1)&lt;0,0,INDEX(tblContractForDeed[End Bal],ROW()-ROW(tblContractForDeed[#Headers])-1)))</f>
        <v>0</v>
      </c>
      <c r="P788" s="454">
        <f>IF(tblContractForDeed[[#This Row],[Date]]="","",IF(tblContractForDeed[[#This Row],[Date]]&lt;cfdRateChangeDate,cfdRate1,cfdRate2))</f>
        <v>7.0000000000000007E-2</v>
      </c>
      <c r="Q7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76">
        <f>IF(INDEX(tblContractForDeed[Payment],ROW()-ROW(tblBuyerOutputs[#Headers]))=0,0,INDEX(tblContractForDeed[Payment],ROW()-ROW(tblBuyerOutputs[#Headers]))-INDEX(tblSubjectToLoan[Payment],ROW()-ROW(tblBuyerOutputs[#Headers])))</f>
        <v>0</v>
      </c>
      <c r="Z7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8" s="276">
        <f>IF(INDEX(tblContractForDeed[End Bal],ROW()-ROW(tblBuyerOutputs[#Headers]))&lt;=0,0,($O$6+IF(ROW()=ROW(tblBuyerOutputs[#Headers])+1,0,INDEX(tblBuyerOutputs[Cumul Appr],ROW()-ROW(tblBuyerOutputs[#Headers])-1)))*$AK$2/12)</f>
        <v>0</v>
      </c>
      <c r="AE788" s="276">
        <f>IF(INDEX(tblContractForDeed[End Bal],ROW()-ROW(tblBuyerOutputs[#Headers]))&lt;=0,0,IF(ROW()=ROW(tblBuyerOutputs[#Headers])+1,0,INDEX(tblBuyerOutputs[Cumul Appr],ROW()-ROW(tblBuyerOutputs[#Headers])-1))+tblBuyerOutputs[[#This Row],[Monthly Appr]])</f>
        <v>0</v>
      </c>
    </row>
    <row r="789" spans="1:43" x14ac:dyDescent="0.25">
      <c r="A789" s="616"/>
      <c r="M789" s="22">
        <f t="shared" ref="M789:M833" si="125">IF($A789&lt;&gt;"",M788+1,0)</f>
        <v>0</v>
      </c>
      <c r="N789" s="616">
        <f>INDEX(tblSubjectToLoan[Date],ROW()-ROW(tblContractForDeed[#Headers]))</f>
        <v>0</v>
      </c>
      <c r="O789" s="276">
        <f>IF(ROW()=ROW(tblContractForDeed[#Headers])+1,$O$6,IF(INDEX(tblContractForDeed[End Bal],ROW()-ROW(tblContractForDeed[#Headers])-1)&lt;0,0,INDEX(tblContractForDeed[End Bal],ROW()-ROW(tblContractForDeed[#Headers])-1)))</f>
        <v>0</v>
      </c>
      <c r="P789" s="454">
        <f>IF(tblContractForDeed[[#This Row],[Date]]="","",IF(tblContractForDeed[[#This Row],[Date]]&lt;cfdRateChangeDate,cfdRate1,cfdRate2))</f>
        <v>7.0000000000000007E-2</v>
      </c>
      <c r="Q7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76">
        <f>IF(INDEX(tblContractForDeed[Payment],ROW()-ROW(tblBuyerOutputs[#Headers]))=0,0,INDEX(tblContractForDeed[Payment],ROW()-ROW(tblBuyerOutputs[#Headers]))-INDEX(tblSubjectToLoan[Payment],ROW()-ROW(tblBuyerOutputs[#Headers])))</f>
        <v>0</v>
      </c>
      <c r="Z7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9" s="276">
        <f>IF(INDEX(tblContractForDeed[End Bal],ROW()-ROW(tblBuyerOutputs[#Headers]))&lt;=0,0,($O$6+IF(ROW()=ROW(tblBuyerOutputs[#Headers])+1,0,INDEX(tblBuyerOutputs[Cumul Appr],ROW()-ROW(tblBuyerOutputs[#Headers])-1)))*$AK$2/12)</f>
        <v>0</v>
      </c>
      <c r="AE789" s="276">
        <f>IF(INDEX(tblContractForDeed[End Bal],ROW()-ROW(tblBuyerOutputs[#Headers]))&lt;=0,0,IF(ROW()=ROW(tblBuyerOutputs[#Headers])+1,0,INDEX(tblBuyerOutputs[Cumul Appr],ROW()-ROW(tblBuyerOutputs[#Headers])-1))+tblBuyerOutputs[[#This Row],[Monthly Appr]])</f>
        <v>0</v>
      </c>
    </row>
    <row r="790" spans="1:43" x14ac:dyDescent="0.25">
      <c r="A790" s="616"/>
      <c r="M790" s="22">
        <f t="shared" si="125"/>
        <v>0</v>
      </c>
      <c r="N790" s="616">
        <f>INDEX(tblSubjectToLoan[Date],ROW()-ROW(tblContractForDeed[#Headers]))</f>
        <v>0</v>
      </c>
      <c r="O790" s="276">
        <f>IF(ROW()=ROW(tblContractForDeed[#Headers])+1,$O$6,IF(INDEX(tblContractForDeed[End Bal],ROW()-ROW(tblContractForDeed[#Headers])-1)&lt;0,0,INDEX(tblContractForDeed[End Bal],ROW()-ROW(tblContractForDeed[#Headers])-1)))</f>
        <v>0</v>
      </c>
      <c r="P790" s="454">
        <f>IF(tblContractForDeed[[#This Row],[Date]]="","",IF(tblContractForDeed[[#This Row],[Date]]&lt;cfdRateChangeDate,cfdRate1,cfdRate2))</f>
        <v>7.0000000000000007E-2</v>
      </c>
      <c r="Q7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76">
        <f>IF(INDEX(tblContractForDeed[Payment],ROW()-ROW(tblBuyerOutputs[#Headers]))=0,0,INDEX(tblContractForDeed[Payment],ROW()-ROW(tblBuyerOutputs[#Headers]))-INDEX(tblSubjectToLoan[Payment],ROW()-ROW(tblBuyerOutputs[#Headers])))</f>
        <v>0</v>
      </c>
      <c r="Z7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0" s="276">
        <f>IF(INDEX(tblContractForDeed[End Bal],ROW()-ROW(tblBuyerOutputs[#Headers]))&lt;=0,0,($O$6+IF(ROW()=ROW(tblBuyerOutputs[#Headers])+1,0,INDEX(tblBuyerOutputs[Cumul Appr],ROW()-ROW(tblBuyerOutputs[#Headers])-1)))*$AK$2/12)</f>
        <v>0</v>
      </c>
      <c r="AE790" s="276">
        <f>IF(INDEX(tblContractForDeed[End Bal],ROW()-ROW(tblBuyerOutputs[#Headers]))&lt;=0,0,IF(ROW()=ROW(tblBuyerOutputs[#Headers])+1,0,INDEX(tblBuyerOutputs[Cumul Appr],ROW()-ROW(tblBuyerOutputs[#Headers])-1))+tblBuyerOutputs[[#This Row],[Monthly Appr]])</f>
        <v>0</v>
      </c>
    </row>
    <row r="791" spans="1:43" x14ac:dyDescent="0.25">
      <c r="A791" s="616"/>
      <c r="M791" s="22">
        <f t="shared" si="125"/>
        <v>0</v>
      </c>
      <c r="N791" s="616">
        <f>INDEX(tblSubjectToLoan[Date],ROW()-ROW(tblContractForDeed[#Headers]))</f>
        <v>0</v>
      </c>
      <c r="O791" s="276">
        <f>IF(ROW()=ROW(tblContractForDeed[#Headers])+1,$O$6,IF(INDEX(tblContractForDeed[End Bal],ROW()-ROW(tblContractForDeed[#Headers])-1)&lt;0,0,INDEX(tblContractForDeed[End Bal],ROW()-ROW(tblContractForDeed[#Headers])-1)))</f>
        <v>0</v>
      </c>
      <c r="P791" s="454">
        <f>IF(tblContractForDeed[[#This Row],[Date]]="","",IF(tblContractForDeed[[#This Row],[Date]]&lt;cfdRateChangeDate,cfdRate1,cfdRate2))</f>
        <v>7.0000000000000007E-2</v>
      </c>
      <c r="Q7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76">
        <f>IF(INDEX(tblContractForDeed[Payment],ROW()-ROW(tblBuyerOutputs[#Headers]))=0,0,INDEX(tblContractForDeed[Payment],ROW()-ROW(tblBuyerOutputs[#Headers]))-INDEX(tblSubjectToLoan[Payment],ROW()-ROW(tblBuyerOutputs[#Headers])))</f>
        <v>0</v>
      </c>
      <c r="Z7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1" s="276">
        <f>IF(INDEX(tblContractForDeed[End Bal],ROW()-ROW(tblBuyerOutputs[#Headers]))&lt;=0,0,($O$6+IF(ROW()=ROW(tblBuyerOutputs[#Headers])+1,0,INDEX(tblBuyerOutputs[Cumul Appr],ROW()-ROW(tblBuyerOutputs[#Headers])-1)))*$AK$2/12)</f>
        <v>0</v>
      </c>
      <c r="AE791" s="276">
        <f>IF(INDEX(tblContractForDeed[End Bal],ROW()-ROW(tblBuyerOutputs[#Headers]))&lt;=0,0,IF(ROW()=ROW(tblBuyerOutputs[#Headers])+1,0,INDEX(tblBuyerOutputs[Cumul Appr],ROW()-ROW(tblBuyerOutputs[#Headers])-1))+tblBuyerOutputs[[#This Row],[Monthly Appr]])</f>
        <v>0</v>
      </c>
    </row>
    <row r="792" spans="1:43" x14ac:dyDescent="0.25">
      <c r="A792" s="616"/>
      <c r="M792" s="22">
        <f t="shared" si="125"/>
        <v>0</v>
      </c>
      <c r="N792" s="616">
        <f>INDEX(tblSubjectToLoan[Date],ROW()-ROW(tblContractForDeed[#Headers]))</f>
        <v>0</v>
      </c>
      <c r="O792" s="276">
        <f>IF(ROW()=ROW(tblContractForDeed[#Headers])+1,$O$6,IF(INDEX(tblContractForDeed[End Bal],ROW()-ROW(tblContractForDeed[#Headers])-1)&lt;0,0,INDEX(tblContractForDeed[End Bal],ROW()-ROW(tblContractForDeed[#Headers])-1)))</f>
        <v>0</v>
      </c>
      <c r="P792" s="454">
        <f>IF(tblContractForDeed[[#This Row],[Date]]="","",IF(tblContractForDeed[[#This Row],[Date]]&lt;cfdRateChangeDate,cfdRate1,cfdRate2))</f>
        <v>7.0000000000000007E-2</v>
      </c>
      <c r="Q7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76">
        <f>IF(INDEX(tblContractForDeed[Payment],ROW()-ROW(tblBuyerOutputs[#Headers]))=0,0,INDEX(tblContractForDeed[Payment],ROW()-ROW(tblBuyerOutputs[#Headers]))-INDEX(tblSubjectToLoan[Payment],ROW()-ROW(tblBuyerOutputs[#Headers])))</f>
        <v>0</v>
      </c>
      <c r="Z7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2" s="276">
        <f>IF(INDEX(tblContractForDeed[End Bal],ROW()-ROW(tblBuyerOutputs[#Headers]))&lt;=0,0,($O$6+IF(ROW()=ROW(tblBuyerOutputs[#Headers])+1,0,INDEX(tblBuyerOutputs[Cumul Appr],ROW()-ROW(tblBuyerOutputs[#Headers])-1)))*$AK$2/12)</f>
        <v>0</v>
      </c>
      <c r="AE792" s="276">
        <f>IF(INDEX(tblContractForDeed[End Bal],ROW()-ROW(tblBuyerOutputs[#Headers]))&lt;=0,0,IF(ROW()=ROW(tblBuyerOutputs[#Headers])+1,0,INDEX(tblBuyerOutputs[Cumul Appr],ROW()-ROW(tblBuyerOutputs[#Headers])-1))+tblBuyerOutputs[[#This Row],[Monthly Appr]])</f>
        <v>0</v>
      </c>
    </row>
    <row r="793" spans="1:43" x14ac:dyDescent="0.25">
      <c r="A793" s="616"/>
      <c r="M793" s="22">
        <f t="shared" si="125"/>
        <v>0</v>
      </c>
      <c r="N793" s="616">
        <f>INDEX(tblSubjectToLoan[Date],ROW()-ROW(tblContractForDeed[#Headers]))</f>
        <v>0</v>
      </c>
      <c r="O793" s="276">
        <f>IF(ROW()=ROW(tblContractForDeed[#Headers])+1,$O$6,IF(INDEX(tblContractForDeed[End Bal],ROW()-ROW(tblContractForDeed[#Headers])-1)&lt;0,0,INDEX(tblContractForDeed[End Bal],ROW()-ROW(tblContractForDeed[#Headers])-1)))</f>
        <v>0</v>
      </c>
      <c r="P793" s="454">
        <f>IF(tblContractForDeed[[#This Row],[Date]]="","",IF(tblContractForDeed[[#This Row],[Date]]&lt;cfdRateChangeDate,cfdRate1,cfdRate2))</f>
        <v>7.0000000000000007E-2</v>
      </c>
      <c r="Q7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76">
        <f>IF(INDEX(tblContractForDeed[Payment],ROW()-ROW(tblBuyerOutputs[#Headers]))=0,0,INDEX(tblContractForDeed[Payment],ROW()-ROW(tblBuyerOutputs[#Headers]))-INDEX(tblSubjectToLoan[Payment],ROW()-ROW(tblBuyerOutputs[#Headers])))</f>
        <v>0</v>
      </c>
      <c r="Z7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3" s="276">
        <f>IF(INDEX(tblContractForDeed[End Bal],ROW()-ROW(tblBuyerOutputs[#Headers]))&lt;=0,0,($O$6+IF(ROW()=ROW(tblBuyerOutputs[#Headers])+1,0,INDEX(tblBuyerOutputs[Cumul Appr],ROW()-ROW(tblBuyerOutputs[#Headers])-1)))*$AK$2/12)</f>
        <v>0</v>
      </c>
      <c r="AE793" s="276">
        <f>IF(INDEX(tblContractForDeed[End Bal],ROW()-ROW(tblBuyerOutputs[#Headers]))&lt;=0,0,IF(ROW()=ROW(tblBuyerOutputs[#Headers])+1,0,INDEX(tblBuyerOutputs[Cumul Appr],ROW()-ROW(tblBuyerOutputs[#Headers])-1))+tblBuyerOutputs[[#This Row],[Monthly Appr]])</f>
        <v>0</v>
      </c>
    </row>
    <row r="794" spans="1:43" x14ac:dyDescent="0.25">
      <c r="A794" s="616"/>
      <c r="M794" s="22">
        <f t="shared" si="125"/>
        <v>0</v>
      </c>
      <c r="N794" s="616">
        <f>INDEX(tblSubjectToLoan[Date],ROW()-ROW(tblContractForDeed[#Headers]))</f>
        <v>0</v>
      </c>
      <c r="O794" s="276">
        <f>IF(ROW()=ROW(tblContractForDeed[#Headers])+1,$O$6,IF(INDEX(tblContractForDeed[End Bal],ROW()-ROW(tblContractForDeed[#Headers])-1)&lt;0,0,INDEX(tblContractForDeed[End Bal],ROW()-ROW(tblContractForDeed[#Headers])-1)))</f>
        <v>0</v>
      </c>
      <c r="P794" s="454">
        <f>IF(tblContractForDeed[[#This Row],[Date]]="","",IF(tblContractForDeed[[#This Row],[Date]]&lt;cfdRateChangeDate,cfdRate1,cfdRate2))</f>
        <v>7.0000000000000007E-2</v>
      </c>
      <c r="Q7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76">
        <f>IF(INDEX(tblContractForDeed[Payment],ROW()-ROW(tblBuyerOutputs[#Headers]))=0,0,INDEX(tblContractForDeed[Payment],ROW()-ROW(tblBuyerOutputs[#Headers]))-INDEX(tblSubjectToLoan[Payment],ROW()-ROW(tblBuyerOutputs[#Headers])))</f>
        <v>0</v>
      </c>
      <c r="Z7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4" s="276">
        <f>IF(INDEX(tblContractForDeed[End Bal],ROW()-ROW(tblBuyerOutputs[#Headers]))&lt;=0,0,($O$6+IF(ROW()=ROW(tblBuyerOutputs[#Headers])+1,0,INDEX(tblBuyerOutputs[Cumul Appr],ROW()-ROW(tblBuyerOutputs[#Headers])-1)))*$AK$2/12)</f>
        <v>0</v>
      </c>
      <c r="AE794" s="276">
        <f>IF(INDEX(tblContractForDeed[End Bal],ROW()-ROW(tblBuyerOutputs[#Headers]))&lt;=0,0,IF(ROW()=ROW(tblBuyerOutputs[#Headers])+1,0,INDEX(tblBuyerOutputs[Cumul Appr],ROW()-ROW(tblBuyerOutputs[#Headers])-1))+tblBuyerOutputs[[#This Row],[Monthly Appr]])</f>
        <v>0</v>
      </c>
    </row>
    <row r="795" spans="1:43" x14ac:dyDescent="0.25">
      <c r="A795" s="616"/>
      <c r="M795" s="22">
        <f t="shared" si="125"/>
        <v>0</v>
      </c>
      <c r="N795" s="616">
        <f>INDEX(tblSubjectToLoan[Date],ROW()-ROW(tblContractForDeed[#Headers]))</f>
        <v>0</v>
      </c>
      <c r="O795" s="276">
        <f>IF(ROW()=ROW(tblContractForDeed[#Headers])+1,$O$6,IF(INDEX(tblContractForDeed[End Bal],ROW()-ROW(tblContractForDeed[#Headers])-1)&lt;0,0,INDEX(tblContractForDeed[End Bal],ROW()-ROW(tblContractForDeed[#Headers])-1)))</f>
        <v>0</v>
      </c>
      <c r="P795" s="454">
        <f>IF(tblContractForDeed[[#This Row],[Date]]="","",IF(tblContractForDeed[[#This Row],[Date]]&lt;cfdRateChangeDate,cfdRate1,cfdRate2))</f>
        <v>7.0000000000000007E-2</v>
      </c>
      <c r="Q7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76">
        <f>IF(INDEX(tblContractForDeed[Payment],ROW()-ROW(tblBuyerOutputs[#Headers]))=0,0,INDEX(tblContractForDeed[Payment],ROW()-ROW(tblBuyerOutputs[#Headers]))-INDEX(tblSubjectToLoan[Payment],ROW()-ROW(tblBuyerOutputs[#Headers])))</f>
        <v>0</v>
      </c>
      <c r="Z7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5" s="276">
        <f>IF(INDEX(tblContractForDeed[End Bal],ROW()-ROW(tblBuyerOutputs[#Headers]))&lt;=0,0,($O$6+IF(ROW()=ROW(tblBuyerOutputs[#Headers])+1,0,INDEX(tblBuyerOutputs[Cumul Appr],ROW()-ROW(tblBuyerOutputs[#Headers])-1)))*$AK$2/12)</f>
        <v>0</v>
      </c>
      <c r="AE795" s="276">
        <f>IF(INDEX(tblContractForDeed[End Bal],ROW()-ROW(tblBuyerOutputs[#Headers]))&lt;=0,0,IF(ROW()=ROW(tblBuyerOutputs[#Headers])+1,0,INDEX(tblBuyerOutputs[Cumul Appr],ROW()-ROW(tblBuyerOutputs[#Headers])-1))+tblBuyerOutputs[[#This Row],[Monthly Appr]])</f>
        <v>0</v>
      </c>
    </row>
    <row r="796" spans="1:43" x14ac:dyDescent="0.25">
      <c r="A796" s="616"/>
      <c r="M796" s="22">
        <f t="shared" si="125"/>
        <v>0</v>
      </c>
      <c r="N796" s="616">
        <f>INDEX(tblSubjectToLoan[Date],ROW()-ROW(tblContractForDeed[#Headers]))</f>
        <v>0</v>
      </c>
      <c r="O796" s="276">
        <f>IF(ROW()=ROW(tblContractForDeed[#Headers])+1,$O$6,IF(INDEX(tblContractForDeed[End Bal],ROW()-ROW(tblContractForDeed[#Headers])-1)&lt;0,0,INDEX(tblContractForDeed[End Bal],ROW()-ROW(tblContractForDeed[#Headers])-1)))</f>
        <v>0</v>
      </c>
      <c r="P796" s="454">
        <f>IF(tblContractForDeed[[#This Row],[Date]]="","",IF(tblContractForDeed[[#This Row],[Date]]&lt;cfdRateChangeDate,cfdRate1,cfdRate2))</f>
        <v>7.0000000000000007E-2</v>
      </c>
      <c r="Q7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76">
        <f>IF(INDEX(tblContractForDeed[Payment],ROW()-ROW(tblBuyerOutputs[#Headers]))=0,0,INDEX(tblContractForDeed[Payment],ROW()-ROW(tblBuyerOutputs[#Headers]))-INDEX(tblSubjectToLoan[Payment],ROW()-ROW(tblBuyerOutputs[#Headers])))</f>
        <v>0</v>
      </c>
      <c r="Z7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6" s="276">
        <f>IF(INDEX(tblContractForDeed[End Bal],ROW()-ROW(tblBuyerOutputs[#Headers]))&lt;=0,0,($O$6+IF(ROW()=ROW(tblBuyerOutputs[#Headers])+1,0,INDEX(tblBuyerOutputs[Cumul Appr],ROW()-ROW(tblBuyerOutputs[#Headers])-1)))*$AK$2/12)</f>
        <v>0</v>
      </c>
      <c r="AE796" s="276">
        <f>IF(INDEX(tblContractForDeed[End Bal],ROW()-ROW(tblBuyerOutputs[#Headers]))&lt;=0,0,IF(ROW()=ROW(tblBuyerOutputs[#Headers])+1,0,INDEX(tblBuyerOutputs[Cumul Appr],ROW()-ROW(tblBuyerOutputs[#Headers])-1))+tblBuyerOutputs[[#This Row],[Monthly Appr]])</f>
        <v>0</v>
      </c>
    </row>
    <row r="797" spans="1:43" x14ac:dyDescent="0.25">
      <c r="A797" s="616"/>
      <c r="M797" s="22">
        <f t="shared" si="125"/>
        <v>0</v>
      </c>
      <c r="N797" s="616">
        <f>INDEX(tblSubjectToLoan[Date],ROW()-ROW(tblContractForDeed[#Headers]))</f>
        <v>0</v>
      </c>
      <c r="O797" s="276">
        <f>IF(ROW()=ROW(tblContractForDeed[#Headers])+1,$O$6,IF(INDEX(tblContractForDeed[End Bal],ROW()-ROW(tblContractForDeed[#Headers])-1)&lt;0,0,INDEX(tblContractForDeed[End Bal],ROW()-ROW(tblContractForDeed[#Headers])-1)))</f>
        <v>0</v>
      </c>
      <c r="P797" s="454">
        <f>IF(tblContractForDeed[[#This Row],[Date]]="","",IF(tblContractForDeed[[#This Row],[Date]]&lt;cfdRateChangeDate,cfdRate1,cfdRate2))</f>
        <v>7.0000000000000007E-2</v>
      </c>
      <c r="Q7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76">
        <f>IF(INDEX(tblContractForDeed[Payment],ROW()-ROW(tblBuyerOutputs[#Headers]))=0,0,INDEX(tblContractForDeed[Payment],ROW()-ROW(tblBuyerOutputs[#Headers]))-INDEX(tblSubjectToLoan[Payment],ROW()-ROW(tblBuyerOutputs[#Headers])))</f>
        <v>0</v>
      </c>
      <c r="Z7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7" s="276">
        <f>IF(INDEX(tblContractForDeed[End Bal],ROW()-ROW(tblBuyerOutputs[#Headers]))&lt;=0,0,($O$6+IF(ROW()=ROW(tblBuyerOutputs[#Headers])+1,0,INDEX(tblBuyerOutputs[Cumul Appr],ROW()-ROW(tblBuyerOutputs[#Headers])-1)))*$AK$2/12)</f>
        <v>0</v>
      </c>
      <c r="AE797" s="276">
        <f>IF(INDEX(tblContractForDeed[End Bal],ROW()-ROW(tblBuyerOutputs[#Headers]))&lt;=0,0,IF(ROW()=ROW(tblBuyerOutputs[#Headers])+1,0,INDEX(tblBuyerOutputs[Cumul Appr],ROW()-ROW(tblBuyerOutputs[#Headers])-1))+tblBuyerOutputs[[#This Row],[Monthly Appr]])</f>
        <v>0</v>
      </c>
    </row>
    <row r="798" spans="1:43" x14ac:dyDescent="0.25">
      <c r="A798" s="616"/>
      <c r="M798" s="22">
        <f t="shared" si="125"/>
        <v>0</v>
      </c>
      <c r="N798" s="616">
        <f>INDEX(tblSubjectToLoan[Date],ROW()-ROW(tblContractForDeed[#Headers]))</f>
        <v>0</v>
      </c>
      <c r="O798" s="276">
        <f>IF(ROW()=ROW(tblContractForDeed[#Headers])+1,$O$6,IF(INDEX(tblContractForDeed[End Bal],ROW()-ROW(tblContractForDeed[#Headers])-1)&lt;0,0,INDEX(tblContractForDeed[End Bal],ROW()-ROW(tblContractForDeed[#Headers])-1)))</f>
        <v>0</v>
      </c>
      <c r="P798" s="454">
        <f>IF(tblContractForDeed[[#This Row],[Date]]="","",IF(tblContractForDeed[[#This Row],[Date]]&lt;cfdRateChangeDate,cfdRate1,cfdRate2))</f>
        <v>7.0000000000000007E-2</v>
      </c>
      <c r="Q7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76">
        <f>IF(INDEX(tblContractForDeed[Payment],ROW()-ROW(tblBuyerOutputs[#Headers]))=0,0,INDEX(tblContractForDeed[Payment],ROW()-ROW(tblBuyerOutputs[#Headers]))-INDEX(tblSubjectToLoan[Payment],ROW()-ROW(tblBuyerOutputs[#Headers])))</f>
        <v>0</v>
      </c>
      <c r="Z7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8" s="276">
        <f>IF(INDEX(tblContractForDeed[End Bal],ROW()-ROW(tblBuyerOutputs[#Headers]))&lt;=0,0,($O$6+IF(ROW()=ROW(tblBuyerOutputs[#Headers])+1,0,INDEX(tblBuyerOutputs[Cumul Appr],ROW()-ROW(tblBuyerOutputs[#Headers])-1)))*$AK$2/12)</f>
        <v>0</v>
      </c>
      <c r="AE798" s="276">
        <f>IF(INDEX(tblContractForDeed[End Bal],ROW()-ROW(tblBuyerOutputs[#Headers]))&lt;=0,0,IF(ROW()=ROW(tblBuyerOutputs[#Headers])+1,0,INDEX(tblBuyerOutputs[Cumul Appr],ROW()-ROW(tblBuyerOutputs[#Headers])-1))+tblBuyerOutputs[[#This Row],[Monthly Appr]])</f>
        <v>0</v>
      </c>
    </row>
    <row r="799" spans="1:43" x14ac:dyDescent="0.25">
      <c r="A799" s="616"/>
      <c r="M799" s="22">
        <f t="shared" si="125"/>
        <v>0</v>
      </c>
      <c r="N799" s="616">
        <f>INDEX(tblSubjectToLoan[Date],ROW()-ROW(tblContractForDeed[#Headers]))</f>
        <v>0</v>
      </c>
      <c r="O799" s="276">
        <f>IF(ROW()=ROW(tblContractForDeed[#Headers])+1,$O$6,IF(INDEX(tblContractForDeed[End Bal],ROW()-ROW(tblContractForDeed[#Headers])-1)&lt;0,0,INDEX(tblContractForDeed[End Bal],ROW()-ROW(tblContractForDeed[#Headers])-1)))</f>
        <v>0</v>
      </c>
      <c r="P799" s="454">
        <f>IF(tblContractForDeed[[#This Row],[Date]]="","",IF(tblContractForDeed[[#This Row],[Date]]&lt;cfdRateChangeDate,cfdRate1,cfdRate2))</f>
        <v>7.0000000000000007E-2</v>
      </c>
      <c r="Q7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76">
        <f>IF(INDEX(tblContractForDeed[Payment],ROW()-ROW(tblBuyerOutputs[#Headers]))=0,0,INDEX(tblContractForDeed[Payment],ROW()-ROW(tblBuyerOutputs[#Headers]))-INDEX(tblSubjectToLoan[Payment],ROW()-ROW(tblBuyerOutputs[#Headers])))</f>
        <v>0</v>
      </c>
      <c r="Z7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9" s="276">
        <f>IF(INDEX(tblContractForDeed[End Bal],ROW()-ROW(tblBuyerOutputs[#Headers]))&lt;=0,0,($O$6+IF(ROW()=ROW(tblBuyerOutputs[#Headers])+1,0,INDEX(tblBuyerOutputs[Cumul Appr],ROW()-ROW(tblBuyerOutputs[#Headers])-1)))*$AK$2/12)</f>
        <v>0</v>
      </c>
      <c r="AE799" s="276">
        <f>IF(INDEX(tblContractForDeed[End Bal],ROW()-ROW(tblBuyerOutputs[#Headers]))&lt;=0,0,IF(ROW()=ROW(tblBuyerOutputs[#Headers])+1,0,INDEX(tblBuyerOutputs[Cumul Appr],ROW()-ROW(tblBuyerOutputs[#Headers])-1))+tblBuyerOutputs[[#This Row],[Monthly Appr]])</f>
        <v>0</v>
      </c>
    </row>
    <row r="800" spans="1:43" x14ac:dyDescent="0.25">
      <c r="A800" s="616"/>
      <c r="M800" s="22">
        <f t="shared" si="125"/>
        <v>0</v>
      </c>
      <c r="N800" s="616">
        <f>INDEX(tblSubjectToLoan[Date],ROW()-ROW(tblContractForDeed[#Headers]))</f>
        <v>0</v>
      </c>
      <c r="O800" s="276">
        <f>IF(ROW()=ROW(tblContractForDeed[#Headers])+1,$O$6,IF(INDEX(tblContractForDeed[End Bal],ROW()-ROW(tblContractForDeed[#Headers])-1)&lt;0,0,INDEX(tblContractForDeed[End Bal],ROW()-ROW(tblContractForDeed[#Headers])-1)))</f>
        <v>0</v>
      </c>
      <c r="P800" s="454">
        <f>IF(tblContractForDeed[[#This Row],[Date]]="","",IF(tblContractForDeed[[#This Row],[Date]]&lt;cfdRateChangeDate,cfdRate1,cfdRate2))</f>
        <v>7.0000000000000007E-2</v>
      </c>
      <c r="Q8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76">
        <f>IF(INDEX(tblContractForDeed[Payment],ROW()-ROW(tblBuyerOutputs[#Headers]))=0,0,INDEX(tblContractForDeed[Payment],ROW()-ROW(tblBuyerOutputs[#Headers]))-INDEX(tblSubjectToLoan[Payment],ROW()-ROW(tblBuyerOutputs[#Headers])))</f>
        <v>0</v>
      </c>
      <c r="Z8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0" s="276">
        <f>IF(INDEX(tblContractForDeed[End Bal],ROW()-ROW(tblBuyerOutputs[#Headers]))&lt;=0,0,($O$6+IF(ROW()=ROW(tblBuyerOutputs[#Headers])+1,0,INDEX(tblBuyerOutputs[Cumul Appr],ROW()-ROW(tblBuyerOutputs[#Headers])-1)))*$AK$2/12)</f>
        <v>0</v>
      </c>
      <c r="AE800" s="276">
        <f>IF(INDEX(tblContractForDeed[End Bal],ROW()-ROW(tblBuyerOutputs[#Headers]))&lt;=0,0,IF(ROW()=ROW(tblBuyerOutputs[#Headers])+1,0,INDEX(tblBuyerOutputs[Cumul Appr],ROW()-ROW(tblBuyerOutputs[#Headers])-1))+tblBuyerOutputs[[#This Row],[Monthly Appr]])</f>
        <v>0</v>
      </c>
    </row>
    <row r="801" spans="1:31" x14ac:dyDescent="0.25">
      <c r="A801" s="616"/>
      <c r="M801" s="22">
        <f t="shared" si="125"/>
        <v>0</v>
      </c>
      <c r="N801" s="616">
        <f>INDEX(tblSubjectToLoan[Date],ROW()-ROW(tblContractForDeed[#Headers]))</f>
        <v>0</v>
      </c>
      <c r="O801" s="276">
        <f>IF(ROW()=ROW(tblContractForDeed[#Headers])+1,$O$6,IF(INDEX(tblContractForDeed[End Bal],ROW()-ROW(tblContractForDeed[#Headers])-1)&lt;0,0,INDEX(tblContractForDeed[End Bal],ROW()-ROW(tblContractForDeed[#Headers])-1)))</f>
        <v>0</v>
      </c>
      <c r="P801" s="454">
        <f>IF(tblContractForDeed[[#This Row],[Date]]="","",IF(tblContractForDeed[[#This Row],[Date]]&lt;cfdRateChangeDate,cfdRate1,cfdRate2))</f>
        <v>7.0000000000000007E-2</v>
      </c>
      <c r="Q8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76">
        <f>IF(INDEX(tblContractForDeed[Payment],ROW()-ROW(tblBuyerOutputs[#Headers]))=0,0,INDEX(tblContractForDeed[Payment],ROW()-ROW(tblBuyerOutputs[#Headers]))-INDEX(tblSubjectToLoan[Payment],ROW()-ROW(tblBuyerOutputs[#Headers])))</f>
        <v>0</v>
      </c>
      <c r="Z8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1" s="276">
        <f>IF(INDEX(tblContractForDeed[End Bal],ROW()-ROW(tblBuyerOutputs[#Headers]))&lt;=0,0,($O$6+IF(ROW()=ROW(tblBuyerOutputs[#Headers])+1,0,INDEX(tblBuyerOutputs[Cumul Appr],ROW()-ROW(tblBuyerOutputs[#Headers])-1)))*$AK$2/12)</f>
        <v>0</v>
      </c>
      <c r="AE801" s="276">
        <f>IF(INDEX(tblContractForDeed[End Bal],ROW()-ROW(tblBuyerOutputs[#Headers]))&lt;=0,0,IF(ROW()=ROW(tblBuyerOutputs[#Headers])+1,0,INDEX(tblBuyerOutputs[Cumul Appr],ROW()-ROW(tblBuyerOutputs[#Headers])-1))+tblBuyerOutputs[[#This Row],[Monthly Appr]])</f>
        <v>0</v>
      </c>
    </row>
    <row r="802" spans="1:31" x14ac:dyDescent="0.25">
      <c r="A802" s="616"/>
      <c r="M802" s="22">
        <f t="shared" si="125"/>
        <v>0</v>
      </c>
      <c r="N802" s="616">
        <f>INDEX(tblSubjectToLoan[Date],ROW()-ROW(tblContractForDeed[#Headers]))</f>
        <v>0</v>
      </c>
      <c r="O802" s="276">
        <f>IF(ROW()=ROW(tblContractForDeed[#Headers])+1,$O$6,IF(INDEX(tblContractForDeed[End Bal],ROW()-ROW(tblContractForDeed[#Headers])-1)&lt;0,0,INDEX(tblContractForDeed[End Bal],ROW()-ROW(tblContractForDeed[#Headers])-1)))</f>
        <v>0</v>
      </c>
      <c r="P802" s="454">
        <f>IF(tblContractForDeed[[#This Row],[Date]]="","",IF(tblContractForDeed[[#This Row],[Date]]&lt;cfdRateChangeDate,cfdRate1,cfdRate2))</f>
        <v>7.0000000000000007E-2</v>
      </c>
      <c r="Q8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76">
        <f>IF(INDEX(tblContractForDeed[Payment],ROW()-ROW(tblBuyerOutputs[#Headers]))=0,0,INDEX(tblContractForDeed[Payment],ROW()-ROW(tblBuyerOutputs[#Headers]))-INDEX(tblSubjectToLoan[Payment],ROW()-ROW(tblBuyerOutputs[#Headers])))</f>
        <v>0</v>
      </c>
      <c r="Z8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2" s="276">
        <f>IF(INDEX(tblContractForDeed[End Bal],ROW()-ROW(tblBuyerOutputs[#Headers]))&lt;=0,0,($O$6+IF(ROW()=ROW(tblBuyerOutputs[#Headers])+1,0,INDEX(tblBuyerOutputs[Cumul Appr],ROW()-ROW(tblBuyerOutputs[#Headers])-1)))*$AK$2/12)</f>
        <v>0</v>
      </c>
      <c r="AE802" s="276">
        <f>IF(INDEX(tblContractForDeed[End Bal],ROW()-ROW(tblBuyerOutputs[#Headers]))&lt;=0,0,IF(ROW()=ROW(tblBuyerOutputs[#Headers])+1,0,INDEX(tblBuyerOutputs[Cumul Appr],ROW()-ROW(tblBuyerOutputs[#Headers])-1))+tblBuyerOutputs[[#This Row],[Monthly Appr]])</f>
        <v>0</v>
      </c>
    </row>
    <row r="803" spans="1:31" x14ac:dyDescent="0.25">
      <c r="A803" s="616"/>
      <c r="M803" s="22">
        <f t="shared" si="125"/>
        <v>0</v>
      </c>
      <c r="N803" s="616">
        <f>INDEX(tblSubjectToLoan[Date],ROW()-ROW(tblContractForDeed[#Headers]))</f>
        <v>0</v>
      </c>
      <c r="O803" s="276">
        <f>IF(ROW()=ROW(tblContractForDeed[#Headers])+1,$O$6,IF(INDEX(tblContractForDeed[End Bal],ROW()-ROW(tblContractForDeed[#Headers])-1)&lt;0,0,INDEX(tblContractForDeed[End Bal],ROW()-ROW(tblContractForDeed[#Headers])-1)))</f>
        <v>0</v>
      </c>
      <c r="P803" s="454">
        <f>IF(tblContractForDeed[[#This Row],[Date]]="","",IF(tblContractForDeed[[#This Row],[Date]]&lt;cfdRateChangeDate,cfdRate1,cfdRate2))</f>
        <v>7.0000000000000007E-2</v>
      </c>
      <c r="Q8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76">
        <f>IF(INDEX(tblContractForDeed[Payment],ROW()-ROW(tblBuyerOutputs[#Headers]))=0,0,INDEX(tblContractForDeed[Payment],ROW()-ROW(tblBuyerOutputs[#Headers]))-INDEX(tblSubjectToLoan[Payment],ROW()-ROW(tblBuyerOutputs[#Headers])))</f>
        <v>0</v>
      </c>
      <c r="Z8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3" s="276">
        <f>IF(INDEX(tblContractForDeed[End Bal],ROW()-ROW(tblBuyerOutputs[#Headers]))&lt;=0,0,($O$6+IF(ROW()=ROW(tblBuyerOutputs[#Headers])+1,0,INDEX(tblBuyerOutputs[Cumul Appr],ROW()-ROW(tblBuyerOutputs[#Headers])-1)))*$AK$2/12)</f>
        <v>0</v>
      </c>
      <c r="AE803" s="276">
        <f>IF(INDEX(tblContractForDeed[End Bal],ROW()-ROW(tblBuyerOutputs[#Headers]))&lt;=0,0,IF(ROW()=ROW(tblBuyerOutputs[#Headers])+1,0,INDEX(tblBuyerOutputs[Cumul Appr],ROW()-ROW(tblBuyerOutputs[#Headers])-1))+tblBuyerOutputs[[#This Row],[Monthly Appr]])</f>
        <v>0</v>
      </c>
    </row>
    <row r="804" spans="1:31" x14ac:dyDescent="0.25">
      <c r="A804" s="616"/>
      <c r="M804" s="22">
        <f t="shared" si="125"/>
        <v>0</v>
      </c>
      <c r="N804" s="616">
        <f>INDEX(tblSubjectToLoan[Date],ROW()-ROW(tblContractForDeed[#Headers]))</f>
        <v>0</v>
      </c>
      <c r="O804" s="276">
        <f>IF(ROW()=ROW(tblContractForDeed[#Headers])+1,$O$6,IF(INDEX(tblContractForDeed[End Bal],ROW()-ROW(tblContractForDeed[#Headers])-1)&lt;0,0,INDEX(tblContractForDeed[End Bal],ROW()-ROW(tblContractForDeed[#Headers])-1)))</f>
        <v>0</v>
      </c>
      <c r="P804" s="454">
        <f>IF(tblContractForDeed[[#This Row],[Date]]="","",IF(tblContractForDeed[[#This Row],[Date]]&lt;cfdRateChangeDate,cfdRate1,cfdRate2))</f>
        <v>7.0000000000000007E-2</v>
      </c>
      <c r="Q8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76">
        <f>IF(INDEX(tblContractForDeed[Payment],ROW()-ROW(tblBuyerOutputs[#Headers]))=0,0,INDEX(tblContractForDeed[Payment],ROW()-ROW(tblBuyerOutputs[#Headers]))-INDEX(tblSubjectToLoan[Payment],ROW()-ROW(tblBuyerOutputs[#Headers])))</f>
        <v>0</v>
      </c>
      <c r="Z8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4" s="276">
        <f>IF(INDEX(tblContractForDeed[End Bal],ROW()-ROW(tblBuyerOutputs[#Headers]))&lt;=0,0,($O$6+IF(ROW()=ROW(tblBuyerOutputs[#Headers])+1,0,INDEX(tblBuyerOutputs[Cumul Appr],ROW()-ROW(tblBuyerOutputs[#Headers])-1)))*$AK$2/12)</f>
        <v>0</v>
      </c>
      <c r="AE804" s="276">
        <f>IF(INDEX(tblContractForDeed[End Bal],ROW()-ROW(tblBuyerOutputs[#Headers]))&lt;=0,0,IF(ROW()=ROW(tblBuyerOutputs[#Headers])+1,0,INDEX(tblBuyerOutputs[Cumul Appr],ROW()-ROW(tblBuyerOutputs[#Headers])-1))+tblBuyerOutputs[[#This Row],[Monthly Appr]])</f>
        <v>0</v>
      </c>
    </row>
    <row r="805" spans="1:31" x14ac:dyDescent="0.25">
      <c r="A805" s="616"/>
      <c r="M805" s="22">
        <f t="shared" si="125"/>
        <v>0</v>
      </c>
      <c r="N805" s="616">
        <f>INDEX(tblSubjectToLoan[Date],ROW()-ROW(tblContractForDeed[#Headers]))</f>
        <v>0</v>
      </c>
      <c r="O805" s="276">
        <f>IF(ROW()=ROW(tblContractForDeed[#Headers])+1,$O$6,IF(INDEX(tblContractForDeed[End Bal],ROW()-ROW(tblContractForDeed[#Headers])-1)&lt;0,0,INDEX(tblContractForDeed[End Bal],ROW()-ROW(tblContractForDeed[#Headers])-1)))</f>
        <v>0</v>
      </c>
      <c r="P805" s="454">
        <f>IF(tblContractForDeed[[#This Row],[Date]]="","",IF(tblContractForDeed[[#This Row],[Date]]&lt;cfdRateChangeDate,cfdRate1,cfdRate2))</f>
        <v>7.0000000000000007E-2</v>
      </c>
      <c r="Q8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76">
        <f>IF(INDEX(tblContractForDeed[Payment],ROW()-ROW(tblBuyerOutputs[#Headers]))=0,0,INDEX(tblContractForDeed[Payment],ROW()-ROW(tblBuyerOutputs[#Headers]))-INDEX(tblSubjectToLoan[Payment],ROW()-ROW(tblBuyerOutputs[#Headers])))</f>
        <v>0</v>
      </c>
      <c r="Z8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5" s="276">
        <f>IF(INDEX(tblContractForDeed[End Bal],ROW()-ROW(tblBuyerOutputs[#Headers]))&lt;=0,0,($O$6+IF(ROW()=ROW(tblBuyerOutputs[#Headers])+1,0,INDEX(tblBuyerOutputs[Cumul Appr],ROW()-ROW(tblBuyerOutputs[#Headers])-1)))*$AK$2/12)</f>
        <v>0</v>
      </c>
      <c r="AE805" s="276">
        <f>IF(INDEX(tblContractForDeed[End Bal],ROW()-ROW(tblBuyerOutputs[#Headers]))&lt;=0,0,IF(ROW()=ROW(tblBuyerOutputs[#Headers])+1,0,INDEX(tblBuyerOutputs[Cumul Appr],ROW()-ROW(tblBuyerOutputs[#Headers])-1))+tblBuyerOutputs[[#This Row],[Monthly Appr]])</f>
        <v>0</v>
      </c>
    </row>
    <row r="806" spans="1:31" x14ac:dyDescent="0.25">
      <c r="A806" s="616"/>
      <c r="M806" s="22">
        <f t="shared" si="125"/>
        <v>0</v>
      </c>
      <c r="N806" s="616">
        <f>INDEX(tblSubjectToLoan[Date],ROW()-ROW(tblContractForDeed[#Headers]))</f>
        <v>0</v>
      </c>
      <c r="O806" s="276">
        <f>IF(ROW()=ROW(tblContractForDeed[#Headers])+1,$O$6,IF(INDEX(tblContractForDeed[End Bal],ROW()-ROW(tblContractForDeed[#Headers])-1)&lt;0,0,INDEX(tblContractForDeed[End Bal],ROW()-ROW(tblContractForDeed[#Headers])-1)))</f>
        <v>0</v>
      </c>
      <c r="P806" s="454">
        <f>IF(tblContractForDeed[[#This Row],[Date]]="","",IF(tblContractForDeed[[#This Row],[Date]]&lt;cfdRateChangeDate,cfdRate1,cfdRate2))</f>
        <v>7.0000000000000007E-2</v>
      </c>
      <c r="Q8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76">
        <f>IF(INDEX(tblContractForDeed[Payment],ROW()-ROW(tblBuyerOutputs[#Headers]))=0,0,INDEX(tblContractForDeed[Payment],ROW()-ROW(tblBuyerOutputs[#Headers]))-INDEX(tblSubjectToLoan[Payment],ROW()-ROW(tblBuyerOutputs[#Headers])))</f>
        <v>0</v>
      </c>
      <c r="Z8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6" s="276">
        <f>IF(INDEX(tblContractForDeed[End Bal],ROW()-ROW(tblBuyerOutputs[#Headers]))&lt;=0,0,($O$6+IF(ROW()=ROW(tblBuyerOutputs[#Headers])+1,0,INDEX(tblBuyerOutputs[Cumul Appr],ROW()-ROW(tblBuyerOutputs[#Headers])-1)))*$AK$2/12)</f>
        <v>0</v>
      </c>
      <c r="AE806" s="276">
        <f>IF(INDEX(tblContractForDeed[End Bal],ROW()-ROW(tblBuyerOutputs[#Headers]))&lt;=0,0,IF(ROW()=ROW(tblBuyerOutputs[#Headers])+1,0,INDEX(tblBuyerOutputs[Cumul Appr],ROW()-ROW(tblBuyerOutputs[#Headers])-1))+tblBuyerOutputs[[#This Row],[Monthly Appr]])</f>
        <v>0</v>
      </c>
    </row>
    <row r="807" spans="1:31" x14ac:dyDescent="0.25">
      <c r="A807" s="616"/>
      <c r="M807" s="22">
        <f t="shared" si="125"/>
        <v>0</v>
      </c>
      <c r="N807" s="616">
        <f>INDEX(tblSubjectToLoan[Date],ROW()-ROW(tblContractForDeed[#Headers]))</f>
        <v>0</v>
      </c>
      <c r="O807" s="276">
        <f>IF(ROW()=ROW(tblContractForDeed[#Headers])+1,$O$6,IF(INDEX(tblContractForDeed[End Bal],ROW()-ROW(tblContractForDeed[#Headers])-1)&lt;0,0,INDEX(tblContractForDeed[End Bal],ROW()-ROW(tblContractForDeed[#Headers])-1)))</f>
        <v>0</v>
      </c>
      <c r="P807" s="454">
        <f>IF(tblContractForDeed[[#This Row],[Date]]="","",IF(tblContractForDeed[[#This Row],[Date]]&lt;cfdRateChangeDate,cfdRate1,cfdRate2))</f>
        <v>7.0000000000000007E-2</v>
      </c>
      <c r="Q8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76">
        <f>IF(INDEX(tblContractForDeed[Payment],ROW()-ROW(tblBuyerOutputs[#Headers]))=0,0,INDEX(tblContractForDeed[Payment],ROW()-ROW(tblBuyerOutputs[#Headers]))-INDEX(tblSubjectToLoan[Payment],ROW()-ROW(tblBuyerOutputs[#Headers])))</f>
        <v>0</v>
      </c>
      <c r="Z8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7" s="276">
        <f>IF(INDEX(tblContractForDeed[End Bal],ROW()-ROW(tblBuyerOutputs[#Headers]))&lt;=0,0,($O$6+IF(ROW()=ROW(tblBuyerOutputs[#Headers])+1,0,INDEX(tblBuyerOutputs[Cumul Appr],ROW()-ROW(tblBuyerOutputs[#Headers])-1)))*$AK$2/12)</f>
        <v>0</v>
      </c>
      <c r="AE807" s="276">
        <f>IF(INDEX(tblContractForDeed[End Bal],ROW()-ROW(tblBuyerOutputs[#Headers]))&lt;=0,0,IF(ROW()=ROW(tblBuyerOutputs[#Headers])+1,0,INDEX(tblBuyerOutputs[Cumul Appr],ROW()-ROW(tblBuyerOutputs[#Headers])-1))+tblBuyerOutputs[[#This Row],[Monthly Appr]])</f>
        <v>0</v>
      </c>
    </row>
    <row r="808" spans="1:31" x14ac:dyDescent="0.25">
      <c r="A808" s="616"/>
      <c r="M808" s="22">
        <f t="shared" si="125"/>
        <v>0</v>
      </c>
      <c r="N808" s="616">
        <f>INDEX(tblSubjectToLoan[Date],ROW()-ROW(tblContractForDeed[#Headers]))</f>
        <v>0</v>
      </c>
      <c r="O808" s="276">
        <f>IF(ROW()=ROW(tblContractForDeed[#Headers])+1,$O$6,IF(INDEX(tblContractForDeed[End Bal],ROW()-ROW(tblContractForDeed[#Headers])-1)&lt;0,0,INDEX(tblContractForDeed[End Bal],ROW()-ROW(tblContractForDeed[#Headers])-1)))</f>
        <v>0</v>
      </c>
      <c r="P808" s="454">
        <f>IF(tblContractForDeed[[#This Row],[Date]]="","",IF(tblContractForDeed[[#This Row],[Date]]&lt;cfdRateChangeDate,cfdRate1,cfdRate2))</f>
        <v>7.0000000000000007E-2</v>
      </c>
      <c r="Q8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76">
        <f>IF(INDEX(tblContractForDeed[Payment],ROW()-ROW(tblBuyerOutputs[#Headers]))=0,0,INDEX(tblContractForDeed[Payment],ROW()-ROW(tblBuyerOutputs[#Headers]))-INDEX(tblSubjectToLoan[Payment],ROW()-ROW(tblBuyerOutputs[#Headers])))</f>
        <v>0</v>
      </c>
      <c r="Z8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8" s="276">
        <f>IF(INDEX(tblContractForDeed[End Bal],ROW()-ROW(tblBuyerOutputs[#Headers]))&lt;=0,0,($O$6+IF(ROW()=ROW(tblBuyerOutputs[#Headers])+1,0,INDEX(tblBuyerOutputs[Cumul Appr],ROW()-ROW(tblBuyerOutputs[#Headers])-1)))*$AK$2/12)</f>
        <v>0</v>
      </c>
      <c r="AE808" s="276">
        <f>IF(INDEX(tblContractForDeed[End Bal],ROW()-ROW(tblBuyerOutputs[#Headers]))&lt;=0,0,IF(ROW()=ROW(tblBuyerOutputs[#Headers])+1,0,INDEX(tblBuyerOutputs[Cumul Appr],ROW()-ROW(tblBuyerOutputs[#Headers])-1))+tblBuyerOutputs[[#This Row],[Monthly Appr]])</f>
        <v>0</v>
      </c>
    </row>
    <row r="809" spans="1:31" x14ac:dyDescent="0.25">
      <c r="A809" s="616"/>
      <c r="M809" s="22">
        <f t="shared" si="125"/>
        <v>0</v>
      </c>
      <c r="N809" s="616">
        <f>INDEX(tblSubjectToLoan[Date],ROW()-ROW(tblContractForDeed[#Headers]))</f>
        <v>0</v>
      </c>
      <c r="O809" s="276">
        <f>IF(ROW()=ROW(tblContractForDeed[#Headers])+1,$O$6,IF(INDEX(tblContractForDeed[End Bal],ROW()-ROW(tblContractForDeed[#Headers])-1)&lt;0,0,INDEX(tblContractForDeed[End Bal],ROW()-ROW(tblContractForDeed[#Headers])-1)))</f>
        <v>0</v>
      </c>
      <c r="P809" s="454">
        <f>IF(tblContractForDeed[[#This Row],[Date]]="","",IF(tblContractForDeed[[#This Row],[Date]]&lt;cfdRateChangeDate,cfdRate1,cfdRate2))</f>
        <v>7.0000000000000007E-2</v>
      </c>
      <c r="Q8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76">
        <f>IF(INDEX(tblContractForDeed[Payment],ROW()-ROW(tblBuyerOutputs[#Headers]))=0,0,INDEX(tblContractForDeed[Payment],ROW()-ROW(tblBuyerOutputs[#Headers]))-INDEX(tblSubjectToLoan[Payment],ROW()-ROW(tblBuyerOutputs[#Headers])))</f>
        <v>0</v>
      </c>
      <c r="Z8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9" s="276">
        <f>IF(INDEX(tblContractForDeed[End Bal],ROW()-ROW(tblBuyerOutputs[#Headers]))&lt;=0,0,($O$6+IF(ROW()=ROW(tblBuyerOutputs[#Headers])+1,0,INDEX(tblBuyerOutputs[Cumul Appr],ROW()-ROW(tblBuyerOutputs[#Headers])-1)))*$AK$2/12)</f>
        <v>0</v>
      </c>
      <c r="AE809" s="276">
        <f>IF(INDEX(tblContractForDeed[End Bal],ROW()-ROW(tblBuyerOutputs[#Headers]))&lt;=0,0,IF(ROW()=ROW(tblBuyerOutputs[#Headers])+1,0,INDEX(tblBuyerOutputs[Cumul Appr],ROW()-ROW(tblBuyerOutputs[#Headers])-1))+tblBuyerOutputs[[#This Row],[Monthly Appr]])</f>
        <v>0</v>
      </c>
    </row>
    <row r="810" spans="1:31" x14ac:dyDescent="0.25">
      <c r="A810" s="616"/>
      <c r="M810" s="22">
        <f t="shared" si="125"/>
        <v>0</v>
      </c>
      <c r="N810" s="616">
        <f>INDEX(tblSubjectToLoan[Date],ROW()-ROW(tblContractForDeed[#Headers]))</f>
        <v>0</v>
      </c>
      <c r="O810" s="276">
        <f>IF(ROW()=ROW(tblContractForDeed[#Headers])+1,$O$6,IF(INDEX(tblContractForDeed[End Bal],ROW()-ROW(tblContractForDeed[#Headers])-1)&lt;0,0,INDEX(tblContractForDeed[End Bal],ROW()-ROW(tblContractForDeed[#Headers])-1)))</f>
        <v>0</v>
      </c>
      <c r="P810" s="454">
        <f>IF(tblContractForDeed[[#This Row],[Date]]="","",IF(tblContractForDeed[[#This Row],[Date]]&lt;cfdRateChangeDate,cfdRate1,cfdRate2))</f>
        <v>7.0000000000000007E-2</v>
      </c>
      <c r="Q8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76">
        <f>IF(INDEX(tblContractForDeed[Payment],ROW()-ROW(tblBuyerOutputs[#Headers]))=0,0,INDEX(tblContractForDeed[Payment],ROW()-ROW(tblBuyerOutputs[#Headers]))-INDEX(tblSubjectToLoan[Payment],ROW()-ROW(tblBuyerOutputs[#Headers])))</f>
        <v>0</v>
      </c>
      <c r="Z8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0" s="276">
        <f>IF(INDEX(tblContractForDeed[End Bal],ROW()-ROW(tblBuyerOutputs[#Headers]))&lt;=0,0,($O$6+IF(ROW()=ROW(tblBuyerOutputs[#Headers])+1,0,INDEX(tblBuyerOutputs[Cumul Appr],ROW()-ROW(tblBuyerOutputs[#Headers])-1)))*$AK$2/12)</f>
        <v>0</v>
      </c>
      <c r="AE810" s="276">
        <f>IF(INDEX(tblContractForDeed[End Bal],ROW()-ROW(tblBuyerOutputs[#Headers]))&lt;=0,0,IF(ROW()=ROW(tblBuyerOutputs[#Headers])+1,0,INDEX(tblBuyerOutputs[Cumul Appr],ROW()-ROW(tblBuyerOutputs[#Headers])-1))+tblBuyerOutputs[[#This Row],[Monthly Appr]])</f>
        <v>0</v>
      </c>
    </row>
    <row r="811" spans="1:31" x14ac:dyDescent="0.25">
      <c r="A811" s="616"/>
      <c r="M811" s="22">
        <f t="shared" si="125"/>
        <v>0</v>
      </c>
      <c r="N811" s="616">
        <f>INDEX(tblSubjectToLoan[Date],ROW()-ROW(tblContractForDeed[#Headers]))</f>
        <v>0</v>
      </c>
      <c r="O811" s="276">
        <f>IF(ROW()=ROW(tblContractForDeed[#Headers])+1,$O$6,IF(INDEX(tblContractForDeed[End Bal],ROW()-ROW(tblContractForDeed[#Headers])-1)&lt;0,0,INDEX(tblContractForDeed[End Bal],ROW()-ROW(tblContractForDeed[#Headers])-1)))</f>
        <v>0</v>
      </c>
      <c r="P811" s="454">
        <f>IF(tblContractForDeed[[#This Row],[Date]]="","",IF(tblContractForDeed[[#This Row],[Date]]&lt;cfdRateChangeDate,cfdRate1,cfdRate2))</f>
        <v>7.0000000000000007E-2</v>
      </c>
      <c r="Q8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76">
        <f>IF(INDEX(tblContractForDeed[Payment],ROW()-ROW(tblBuyerOutputs[#Headers]))=0,0,INDEX(tblContractForDeed[Payment],ROW()-ROW(tblBuyerOutputs[#Headers]))-INDEX(tblSubjectToLoan[Payment],ROW()-ROW(tblBuyerOutputs[#Headers])))</f>
        <v>0</v>
      </c>
      <c r="Z8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1" s="276">
        <f>IF(INDEX(tblContractForDeed[End Bal],ROW()-ROW(tblBuyerOutputs[#Headers]))&lt;=0,0,($O$6+IF(ROW()=ROW(tblBuyerOutputs[#Headers])+1,0,INDEX(tblBuyerOutputs[Cumul Appr],ROW()-ROW(tblBuyerOutputs[#Headers])-1)))*$AK$2/12)</f>
        <v>0</v>
      </c>
      <c r="AE811" s="276">
        <f>IF(INDEX(tblContractForDeed[End Bal],ROW()-ROW(tblBuyerOutputs[#Headers]))&lt;=0,0,IF(ROW()=ROW(tblBuyerOutputs[#Headers])+1,0,INDEX(tblBuyerOutputs[Cumul Appr],ROW()-ROW(tblBuyerOutputs[#Headers])-1))+tblBuyerOutputs[[#This Row],[Monthly Appr]])</f>
        <v>0</v>
      </c>
    </row>
    <row r="812" spans="1:31" x14ac:dyDescent="0.25">
      <c r="A812" s="616"/>
      <c r="M812" s="22">
        <f t="shared" si="125"/>
        <v>0</v>
      </c>
      <c r="N812" s="616">
        <f>INDEX(tblSubjectToLoan[Date],ROW()-ROW(tblContractForDeed[#Headers]))</f>
        <v>0</v>
      </c>
      <c r="O812" s="276">
        <f>IF(ROW()=ROW(tblContractForDeed[#Headers])+1,$O$6,IF(INDEX(tblContractForDeed[End Bal],ROW()-ROW(tblContractForDeed[#Headers])-1)&lt;0,0,INDEX(tblContractForDeed[End Bal],ROW()-ROW(tblContractForDeed[#Headers])-1)))</f>
        <v>0</v>
      </c>
      <c r="P812" s="454">
        <f>IF(tblContractForDeed[[#This Row],[Date]]="","",IF(tblContractForDeed[[#This Row],[Date]]&lt;cfdRateChangeDate,cfdRate1,cfdRate2))</f>
        <v>7.0000000000000007E-2</v>
      </c>
      <c r="Q8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76">
        <f>IF(INDEX(tblContractForDeed[Payment],ROW()-ROW(tblBuyerOutputs[#Headers]))=0,0,INDEX(tblContractForDeed[Payment],ROW()-ROW(tblBuyerOutputs[#Headers]))-INDEX(tblSubjectToLoan[Payment],ROW()-ROW(tblBuyerOutputs[#Headers])))</f>
        <v>0</v>
      </c>
      <c r="Z8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2" s="276">
        <f>IF(INDEX(tblContractForDeed[End Bal],ROW()-ROW(tblBuyerOutputs[#Headers]))&lt;=0,0,($O$6+IF(ROW()=ROW(tblBuyerOutputs[#Headers])+1,0,INDEX(tblBuyerOutputs[Cumul Appr],ROW()-ROW(tblBuyerOutputs[#Headers])-1)))*$AK$2/12)</f>
        <v>0</v>
      </c>
      <c r="AE812" s="276">
        <f>IF(INDEX(tblContractForDeed[End Bal],ROW()-ROW(tblBuyerOutputs[#Headers]))&lt;=0,0,IF(ROW()=ROW(tblBuyerOutputs[#Headers])+1,0,INDEX(tblBuyerOutputs[Cumul Appr],ROW()-ROW(tblBuyerOutputs[#Headers])-1))+tblBuyerOutputs[[#This Row],[Monthly Appr]])</f>
        <v>0</v>
      </c>
    </row>
    <row r="813" spans="1:31" x14ac:dyDescent="0.25">
      <c r="A813" s="616"/>
      <c r="M813" s="22">
        <f t="shared" si="125"/>
        <v>0</v>
      </c>
      <c r="N813" s="616">
        <f>INDEX(tblSubjectToLoan[Date],ROW()-ROW(tblContractForDeed[#Headers]))</f>
        <v>0</v>
      </c>
      <c r="O813" s="276">
        <f>IF(ROW()=ROW(tblContractForDeed[#Headers])+1,$O$6,IF(INDEX(tblContractForDeed[End Bal],ROW()-ROW(tblContractForDeed[#Headers])-1)&lt;0,0,INDEX(tblContractForDeed[End Bal],ROW()-ROW(tblContractForDeed[#Headers])-1)))</f>
        <v>0</v>
      </c>
      <c r="P813" s="454">
        <f>IF(tblContractForDeed[[#This Row],[Date]]="","",IF(tblContractForDeed[[#This Row],[Date]]&lt;cfdRateChangeDate,cfdRate1,cfdRate2))</f>
        <v>7.0000000000000007E-2</v>
      </c>
      <c r="Q8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76">
        <f>IF(INDEX(tblContractForDeed[Payment],ROW()-ROW(tblBuyerOutputs[#Headers]))=0,0,INDEX(tblContractForDeed[Payment],ROW()-ROW(tblBuyerOutputs[#Headers]))-INDEX(tblSubjectToLoan[Payment],ROW()-ROW(tblBuyerOutputs[#Headers])))</f>
        <v>0</v>
      </c>
      <c r="Z8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3" s="276">
        <f>IF(INDEX(tblContractForDeed[End Bal],ROW()-ROW(tblBuyerOutputs[#Headers]))&lt;=0,0,($O$6+IF(ROW()=ROW(tblBuyerOutputs[#Headers])+1,0,INDEX(tblBuyerOutputs[Cumul Appr],ROW()-ROW(tblBuyerOutputs[#Headers])-1)))*$AK$2/12)</f>
        <v>0</v>
      </c>
      <c r="AE813" s="276">
        <f>IF(INDEX(tblContractForDeed[End Bal],ROW()-ROW(tblBuyerOutputs[#Headers]))&lt;=0,0,IF(ROW()=ROW(tblBuyerOutputs[#Headers])+1,0,INDEX(tblBuyerOutputs[Cumul Appr],ROW()-ROW(tblBuyerOutputs[#Headers])-1))+tblBuyerOutputs[[#This Row],[Monthly Appr]])</f>
        <v>0</v>
      </c>
    </row>
    <row r="814" spans="1:31" x14ac:dyDescent="0.25">
      <c r="A814" s="616"/>
      <c r="M814" s="22">
        <f t="shared" si="125"/>
        <v>0</v>
      </c>
      <c r="N814" s="616">
        <f>INDEX(tblSubjectToLoan[Date],ROW()-ROW(tblContractForDeed[#Headers]))</f>
        <v>0</v>
      </c>
      <c r="O814" s="276">
        <f>IF(ROW()=ROW(tblContractForDeed[#Headers])+1,$O$6,IF(INDEX(tblContractForDeed[End Bal],ROW()-ROW(tblContractForDeed[#Headers])-1)&lt;0,0,INDEX(tblContractForDeed[End Bal],ROW()-ROW(tblContractForDeed[#Headers])-1)))</f>
        <v>0</v>
      </c>
      <c r="P814" s="454">
        <f>IF(tblContractForDeed[[#This Row],[Date]]="","",IF(tblContractForDeed[[#This Row],[Date]]&lt;cfdRateChangeDate,cfdRate1,cfdRate2))</f>
        <v>7.0000000000000007E-2</v>
      </c>
      <c r="Q8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76">
        <f>IF(INDEX(tblContractForDeed[Payment],ROW()-ROW(tblBuyerOutputs[#Headers]))=0,0,INDEX(tblContractForDeed[Payment],ROW()-ROW(tblBuyerOutputs[#Headers]))-INDEX(tblSubjectToLoan[Payment],ROW()-ROW(tblBuyerOutputs[#Headers])))</f>
        <v>0</v>
      </c>
      <c r="Z8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4" s="276">
        <f>IF(INDEX(tblContractForDeed[End Bal],ROW()-ROW(tblBuyerOutputs[#Headers]))&lt;=0,0,($O$6+IF(ROW()=ROW(tblBuyerOutputs[#Headers])+1,0,INDEX(tblBuyerOutputs[Cumul Appr],ROW()-ROW(tblBuyerOutputs[#Headers])-1)))*$AK$2/12)</f>
        <v>0</v>
      </c>
      <c r="AE814" s="276">
        <f>IF(INDEX(tblContractForDeed[End Bal],ROW()-ROW(tblBuyerOutputs[#Headers]))&lt;=0,0,IF(ROW()=ROW(tblBuyerOutputs[#Headers])+1,0,INDEX(tblBuyerOutputs[Cumul Appr],ROW()-ROW(tblBuyerOutputs[#Headers])-1))+tblBuyerOutputs[[#This Row],[Monthly Appr]])</f>
        <v>0</v>
      </c>
    </row>
    <row r="815" spans="1:31" x14ac:dyDescent="0.25">
      <c r="A815" s="616"/>
      <c r="M815" s="22">
        <f t="shared" si="125"/>
        <v>0</v>
      </c>
      <c r="N815" s="616">
        <f>INDEX(tblSubjectToLoan[Date],ROW()-ROW(tblContractForDeed[#Headers]))</f>
        <v>0</v>
      </c>
      <c r="O815" s="276">
        <f>IF(ROW()=ROW(tblContractForDeed[#Headers])+1,$O$6,IF(INDEX(tblContractForDeed[End Bal],ROW()-ROW(tblContractForDeed[#Headers])-1)&lt;0,0,INDEX(tblContractForDeed[End Bal],ROW()-ROW(tblContractForDeed[#Headers])-1)))</f>
        <v>0</v>
      </c>
      <c r="P815" s="454">
        <f>IF(tblContractForDeed[[#This Row],[Date]]="","",IF(tblContractForDeed[[#This Row],[Date]]&lt;cfdRateChangeDate,cfdRate1,cfdRate2))</f>
        <v>7.0000000000000007E-2</v>
      </c>
      <c r="Q8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76">
        <f>IF(INDEX(tblContractForDeed[Payment],ROW()-ROW(tblBuyerOutputs[#Headers]))=0,0,INDEX(tblContractForDeed[Payment],ROW()-ROW(tblBuyerOutputs[#Headers]))-INDEX(tblSubjectToLoan[Payment],ROW()-ROW(tblBuyerOutputs[#Headers])))</f>
        <v>0</v>
      </c>
      <c r="Z8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5" s="276">
        <f>IF(INDEX(tblContractForDeed[End Bal],ROW()-ROW(tblBuyerOutputs[#Headers]))&lt;=0,0,($O$6+IF(ROW()=ROW(tblBuyerOutputs[#Headers])+1,0,INDEX(tblBuyerOutputs[Cumul Appr],ROW()-ROW(tblBuyerOutputs[#Headers])-1)))*$AK$2/12)</f>
        <v>0</v>
      </c>
      <c r="AE815" s="276">
        <f>IF(INDEX(tblContractForDeed[End Bal],ROW()-ROW(tblBuyerOutputs[#Headers]))&lt;=0,0,IF(ROW()=ROW(tblBuyerOutputs[#Headers])+1,0,INDEX(tblBuyerOutputs[Cumul Appr],ROW()-ROW(tblBuyerOutputs[#Headers])-1))+tblBuyerOutputs[[#This Row],[Monthly Appr]])</f>
        <v>0</v>
      </c>
    </row>
    <row r="816" spans="1:31" x14ac:dyDescent="0.25">
      <c r="A816" s="616"/>
      <c r="M816" s="22">
        <f t="shared" si="125"/>
        <v>0</v>
      </c>
      <c r="N816" s="616">
        <f>INDEX(tblSubjectToLoan[Date],ROW()-ROW(tblContractForDeed[#Headers]))</f>
        <v>0</v>
      </c>
      <c r="O816" s="276">
        <f>IF(ROW()=ROW(tblContractForDeed[#Headers])+1,$O$6,IF(INDEX(tblContractForDeed[End Bal],ROW()-ROW(tblContractForDeed[#Headers])-1)&lt;0,0,INDEX(tblContractForDeed[End Bal],ROW()-ROW(tblContractForDeed[#Headers])-1)))</f>
        <v>0</v>
      </c>
      <c r="P816" s="454">
        <f>IF(tblContractForDeed[[#This Row],[Date]]="","",IF(tblContractForDeed[[#This Row],[Date]]&lt;cfdRateChangeDate,cfdRate1,cfdRate2))</f>
        <v>7.0000000000000007E-2</v>
      </c>
      <c r="Q8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76">
        <f>IF(INDEX(tblContractForDeed[Payment],ROW()-ROW(tblBuyerOutputs[#Headers]))=0,0,INDEX(tblContractForDeed[Payment],ROW()-ROW(tblBuyerOutputs[#Headers]))-INDEX(tblSubjectToLoan[Payment],ROW()-ROW(tblBuyerOutputs[#Headers])))</f>
        <v>0</v>
      </c>
      <c r="Z8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6" s="276">
        <f>IF(INDEX(tblContractForDeed[End Bal],ROW()-ROW(tblBuyerOutputs[#Headers]))&lt;=0,0,($O$6+IF(ROW()=ROW(tblBuyerOutputs[#Headers])+1,0,INDEX(tblBuyerOutputs[Cumul Appr],ROW()-ROW(tblBuyerOutputs[#Headers])-1)))*$AK$2/12)</f>
        <v>0</v>
      </c>
      <c r="AE816" s="276">
        <f>IF(INDEX(tblContractForDeed[End Bal],ROW()-ROW(tblBuyerOutputs[#Headers]))&lt;=0,0,IF(ROW()=ROW(tblBuyerOutputs[#Headers])+1,0,INDEX(tblBuyerOutputs[Cumul Appr],ROW()-ROW(tblBuyerOutputs[#Headers])-1))+tblBuyerOutputs[[#This Row],[Monthly Appr]])</f>
        <v>0</v>
      </c>
    </row>
    <row r="817" spans="1:31" x14ac:dyDescent="0.25">
      <c r="A817" s="616"/>
      <c r="M817" s="22">
        <f t="shared" si="125"/>
        <v>0</v>
      </c>
      <c r="N817" s="616">
        <f>INDEX(tblSubjectToLoan[Date],ROW()-ROW(tblContractForDeed[#Headers]))</f>
        <v>0</v>
      </c>
      <c r="O817" s="276">
        <f>IF(ROW()=ROW(tblContractForDeed[#Headers])+1,$O$6,IF(INDEX(tblContractForDeed[End Bal],ROW()-ROW(tblContractForDeed[#Headers])-1)&lt;0,0,INDEX(tblContractForDeed[End Bal],ROW()-ROW(tblContractForDeed[#Headers])-1)))</f>
        <v>0</v>
      </c>
      <c r="P817" s="454">
        <f>IF(tblContractForDeed[[#This Row],[Date]]="","",IF(tblContractForDeed[[#This Row],[Date]]&lt;cfdRateChangeDate,cfdRate1,cfdRate2))</f>
        <v>7.0000000000000007E-2</v>
      </c>
      <c r="Q8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76">
        <f>IF(INDEX(tblContractForDeed[Payment],ROW()-ROW(tblBuyerOutputs[#Headers]))=0,0,INDEX(tblContractForDeed[Payment],ROW()-ROW(tblBuyerOutputs[#Headers]))-INDEX(tblSubjectToLoan[Payment],ROW()-ROW(tblBuyerOutputs[#Headers])))</f>
        <v>0</v>
      </c>
      <c r="Z8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7" s="276">
        <f>IF(INDEX(tblContractForDeed[End Bal],ROW()-ROW(tblBuyerOutputs[#Headers]))&lt;=0,0,($O$6+IF(ROW()=ROW(tblBuyerOutputs[#Headers])+1,0,INDEX(tblBuyerOutputs[Cumul Appr],ROW()-ROW(tblBuyerOutputs[#Headers])-1)))*$AK$2/12)</f>
        <v>0</v>
      </c>
      <c r="AE817" s="276">
        <f>IF(INDEX(tblContractForDeed[End Bal],ROW()-ROW(tblBuyerOutputs[#Headers]))&lt;=0,0,IF(ROW()=ROW(tblBuyerOutputs[#Headers])+1,0,INDEX(tblBuyerOutputs[Cumul Appr],ROW()-ROW(tblBuyerOutputs[#Headers])-1))+tblBuyerOutputs[[#This Row],[Monthly Appr]])</f>
        <v>0</v>
      </c>
    </row>
    <row r="818" spans="1:31" x14ac:dyDescent="0.25">
      <c r="A818" s="616"/>
      <c r="M818" s="22">
        <f t="shared" si="125"/>
        <v>0</v>
      </c>
      <c r="N818" s="616">
        <f>INDEX(tblSubjectToLoan[Date],ROW()-ROW(tblContractForDeed[#Headers]))</f>
        <v>0</v>
      </c>
      <c r="O818" s="276">
        <f>IF(ROW()=ROW(tblContractForDeed[#Headers])+1,$O$6,IF(INDEX(tblContractForDeed[End Bal],ROW()-ROW(tblContractForDeed[#Headers])-1)&lt;0,0,INDEX(tblContractForDeed[End Bal],ROW()-ROW(tblContractForDeed[#Headers])-1)))</f>
        <v>0</v>
      </c>
      <c r="P818" s="454">
        <f>IF(tblContractForDeed[[#This Row],[Date]]="","",IF(tblContractForDeed[[#This Row],[Date]]&lt;cfdRateChangeDate,cfdRate1,cfdRate2))</f>
        <v>7.0000000000000007E-2</v>
      </c>
      <c r="Q8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76">
        <f>IF(INDEX(tblContractForDeed[Payment],ROW()-ROW(tblBuyerOutputs[#Headers]))=0,0,INDEX(tblContractForDeed[Payment],ROW()-ROW(tblBuyerOutputs[#Headers]))-INDEX(tblSubjectToLoan[Payment],ROW()-ROW(tblBuyerOutputs[#Headers])))</f>
        <v>0</v>
      </c>
      <c r="Z8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8" s="276">
        <f>IF(INDEX(tblContractForDeed[End Bal],ROW()-ROW(tblBuyerOutputs[#Headers]))&lt;=0,0,($O$6+IF(ROW()=ROW(tblBuyerOutputs[#Headers])+1,0,INDEX(tblBuyerOutputs[Cumul Appr],ROW()-ROW(tblBuyerOutputs[#Headers])-1)))*$AK$2/12)</f>
        <v>0</v>
      </c>
      <c r="AE818" s="276">
        <f>IF(INDEX(tblContractForDeed[End Bal],ROW()-ROW(tblBuyerOutputs[#Headers]))&lt;=0,0,IF(ROW()=ROW(tblBuyerOutputs[#Headers])+1,0,INDEX(tblBuyerOutputs[Cumul Appr],ROW()-ROW(tblBuyerOutputs[#Headers])-1))+tblBuyerOutputs[[#This Row],[Monthly Appr]])</f>
        <v>0</v>
      </c>
    </row>
    <row r="819" spans="1:31" x14ac:dyDescent="0.25">
      <c r="A819" s="616"/>
      <c r="M819" s="22">
        <f t="shared" si="125"/>
        <v>0</v>
      </c>
      <c r="N819" s="616">
        <f>INDEX(tblSubjectToLoan[Date],ROW()-ROW(tblContractForDeed[#Headers]))</f>
        <v>0</v>
      </c>
      <c r="O819" s="276">
        <f>IF(ROW()=ROW(tblContractForDeed[#Headers])+1,$O$6,IF(INDEX(tblContractForDeed[End Bal],ROW()-ROW(tblContractForDeed[#Headers])-1)&lt;0,0,INDEX(tblContractForDeed[End Bal],ROW()-ROW(tblContractForDeed[#Headers])-1)))</f>
        <v>0</v>
      </c>
      <c r="P819" s="454">
        <f>IF(tblContractForDeed[[#This Row],[Date]]="","",IF(tblContractForDeed[[#This Row],[Date]]&lt;cfdRateChangeDate,cfdRate1,cfdRate2))</f>
        <v>7.0000000000000007E-2</v>
      </c>
      <c r="Q8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76">
        <f>IF(INDEX(tblContractForDeed[Payment],ROW()-ROW(tblBuyerOutputs[#Headers]))=0,0,INDEX(tblContractForDeed[Payment],ROW()-ROW(tblBuyerOutputs[#Headers]))-INDEX(tblSubjectToLoan[Payment],ROW()-ROW(tblBuyerOutputs[#Headers])))</f>
        <v>0</v>
      </c>
      <c r="Z8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9" s="276">
        <f>IF(INDEX(tblContractForDeed[End Bal],ROW()-ROW(tblBuyerOutputs[#Headers]))&lt;=0,0,($O$6+IF(ROW()=ROW(tblBuyerOutputs[#Headers])+1,0,INDEX(tblBuyerOutputs[Cumul Appr],ROW()-ROW(tblBuyerOutputs[#Headers])-1)))*$AK$2/12)</f>
        <v>0</v>
      </c>
      <c r="AE819" s="276">
        <f>IF(INDEX(tblContractForDeed[End Bal],ROW()-ROW(tblBuyerOutputs[#Headers]))&lt;=0,0,IF(ROW()=ROW(tblBuyerOutputs[#Headers])+1,0,INDEX(tblBuyerOutputs[Cumul Appr],ROW()-ROW(tblBuyerOutputs[#Headers])-1))+tblBuyerOutputs[[#This Row],[Monthly Appr]])</f>
        <v>0</v>
      </c>
    </row>
    <row r="820" spans="1:31" x14ac:dyDescent="0.25">
      <c r="A820" s="616"/>
      <c r="M820" s="22">
        <f t="shared" si="125"/>
        <v>0</v>
      </c>
      <c r="N820" s="616">
        <f>INDEX(tblSubjectToLoan[Date],ROW()-ROW(tblContractForDeed[#Headers]))</f>
        <v>0</v>
      </c>
      <c r="O820" s="276">
        <f>IF(ROW()=ROW(tblContractForDeed[#Headers])+1,$O$6,IF(INDEX(tblContractForDeed[End Bal],ROW()-ROW(tblContractForDeed[#Headers])-1)&lt;0,0,INDEX(tblContractForDeed[End Bal],ROW()-ROW(tblContractForDeed[#Headers])-1)))</f>
        <v>0</v>
      </c>
      <c r="P820" s="454">
        <f>IF(tblContractForDeed[[#This Row],[Date]]="","",IF(tblContractForDeed[[#This Row],[Date]]&lt;cfdRateChangeDate,cfdRate1,cfdRate2))</f>
        <v>7.0000000000000007E-2</v>
      </c>
      <c r="Q8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76">
        <f>IF(INDEX(tblContractForDeed[Payment],ROW()-ROW(tblBuyerOutputs[#Headers]))=0,0,INDEX(tblContractForDeed[Payment],ROW()-ROW(tblBuyerOutputs[#Headers]))-INDEX(tblSubjectToLoan[Payment],ROW()-ROW(tblBuyerOutputs[#Headers])))</f>
        <v>0</v>
      </c>
      <c r="Z8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0" s="276">
        <f>IF(INDEX(tblContractForDeed[End Bal],ROW()-ROW(tblBuyerOutputs[#Headers]))&lt;=0,0,($O$6+IF(ROW()=ROW(tblBuyerOutputs[#Headers])+1,0,INDEX(tblBuyerOutputs[Cumul Appr],ROW()-ROW(tblBuyerOutputs[#Headers])-1)))*$AK$2/12)</f>
        <v>0</v>
      </c>
      <c r="AE820" s="276">
        <f>IF(INDEX(tblContractForDeed[End Bal],ROW()-ROW(tblBuyerOutputs[#Headers]))&lt;=0,0,IF(ROW()=ROW(tblBuyerOutputs[#Headers])+1,0,INDEX(tblBuyerOutputs[Cumul Appr],ROW()-ROW(tblBuyerOutputs[#Headers])-1))+tblBuyerOutputs[[#This Row],[Monthly Appr]])</f>
        <v>0</v>
      </c>
    </row>
    <row r="821" spans="1:31" x14ac:dyDescent="0.25">
      <c r="A821" s="616"/>
      <c r="M821" s="22">
        <f t="shared" si="125"/>
        <v>0</v>
      </c>
      <c r="N821" s="616">
        <f>INDEX(tblSubjectToLoan[Date],ROW()-ROW(tblContractForDeed[#Headers]))</f>
        <v>0</v>
      </c>
      <c r="O821" s="276">
        <f>IF(ROW()=ROW(tblContractForDeed[#Headers])+1,$O$6,IF(INDEX(tblContractForDeed[End Bal],ROW()-ROW(tblContractForDeed[#Headers])-1)&lt;0,0,INDEX(tblContractForDeed[End Bal],ROW()-ROW(tblContractForDeed[#Headers])-1)))</f>
        <v>0</v>
      </c>
      <c r="P821" s="454">
        <f>IF(tblContractForDeed[[#This Row],[Date]]="","",IF(tblContractForDeed[[#This Row],[Date]]&lt;cfdRateChangeDate,cfdRate1,cfdRate2))</f>
        <v>7.0000000000000007E-2</v>
      </c>
      <c r="Q8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76">
        <f>IF(INDEX(tblContractForDeed[Payment],ROW()-ROW(tblBuyerOutputs[#Headers]))=0,0,INDEX(tblContractForDeed[Payment],ROW()-ROW(tblBuyerOutputs[#Headers]))-INDEX(tblSubjectToLoan[Payment],ROW()-ROW(tblBuyerOutputs[#Headers])))</f>
        <v>0</v>
      </c>
      <c r="Z8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1" s="276">
        <f>IF(INDEX(tblContractForDeed[End Bal],ROW()-ROW(tblBuyerOutputs[#Headers]))&lt;=0,0,($O$6+IF(ROW()=ROW(tblBuyerOutputs[#Headers])+1,0,INDEX(tblBuyerOutputs[Cumul Appr],ROW()-ROW(tblBuyerOutputs[#Headers])-1)))*$AK$2/12)</f>
        <v>0</v>
      </c>
      <c r="AE821" s="276">
        <f>IF(INDEX(tblContractForDeed[End Bal],ROW()-ROW(tblBuyerOutputs[#Headers]))&lt;=0,0,IF(ROW()=ROW(tblBuyerOutputs[#Headers])+1,0,INDEX(tblBuyerOutputs[Cumul Appr],ROW()-ROW(tblBuyerOutputs[#Headers])-1))+tblBuyerOutputs[[#This Row],[Monthly Appr]])</f>
        <v>0</v>
      </c>
    </row>
    <row r="822" spans="1:31" x14ac:dyDescent="0.25">
      <c r="A822" s="616"/>
      <c r="M822" s="22">
        <f t="shared" si="125"/>
        <v>0</v>
      </c>
      <c r="N822" s="616">
        <f>INDEX(tblSubjectToLoan[Date],ROW()-ROW(tblContractForDeed[#Headers]))</f>
        <v>0</v>
      </c>
      <c r="O822" s="276">
        <f>IF(ROW()=ROW(tblContractForDeed[#Headers])+1,$O$6,IF(INDEX(tblContractForDeed[End Bal],ROW()-ROW(tblContractForDeed[#Headers])-1)&lt;0,0,INDEX(tblContractForDeed[End Bal],ROW()-ROW(tblContractForDeed[#Headers])-1)))</f>
        <v>0</v>
      </c>
      <c r="P822" s="454">
        <f>IF(tblContractForDeed[[#This Row],[Date]]="","",IF(tblContractForDeed[[#This Row],[Date]]&lt;cfdRateChangeDate,cfdRate1,cfdRate2))</f>
        <v>7.0000000000000007E-2</v>
      </c>
      <c r="Q8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76">
        <f>IF(INDEX(tblContractForDeed[Payment],ROW()-ROW(tblBuyerOutputs[#Headers]))=0,0,INDEX(tblContractForDeed[Payment],ROW()-ROW(tblBuyerOutputs[#Headers]))-INDEX(tblSubjectToLoan[Payment],ROW()-ROW(tblBuyerOutputs[#Headers])))</f>
        <v>0</v>
      </c>
      <c r="Z8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2" s="276">
        <f>IF(INDEX(tblContractForDeed[End Bal],ROW()-ROW(tblBuyerOutputs[#Headers]))&lt;=0,0,($O$6+IF(ROW()=ROW(tblBuyerOutputs[#Headers])+1,0,INDEX(tblBuyerOutputs[Cumul Appr],ROW()-ROW(tblBuyerOutputs[#Headers])-1)))*$AK$2/12)</f>
        <v>0</v>
      </c>
      <c r="AE822" s="276">
        <f>IF(INDEX(tblContractForDeed[End Bal],ROW()-ROW(tblBuyerOutputs[#Headers]))&lt;=0,0,IF(ROW()=ROW(tblBuyerOutputs[#Headers])+1,0,INDEX(tblBuyerOutputs[Cumul Appr],ROW()-ROW(tblBuyerOutputs[#Headers])-1))+tblBuyerOutputs[[#This Row],[Monthly Appr]])</f>
        <v>0</v>
      </c>
    </row>
    <row r="823" spans="1:31" x14ac:dyDescent="0.25">
      <c r="A823" s="616"/>
      <c r="M823" s="22">
        <f t="shared" si="125"/>
        <v>0</v>
      </c>
      <c r="N823" s="616">
        <f>INDEX(tblSubjectToLoan[Date],ROW()-ROW(tblContractForDeed[#Headers]))</f>
        <v>0</v>
      </c>
      <c r="O823" s="276">
        <f>IF(ROW()=ROW(tblContractForDeed[#Headers])+1,$O$6,IF(INDEX(tblContractForDeed[End Bal],ROW()-ROW(tblContractForDeed[#Headers])-1)&lt;0,0,INDEX(tblContractForDeed[End Bal],ROW()-ROW(tblContractForDeed[#Headers])-1)))</f>
        <v>0</v>
      </c>
      <c r="P823" s="454">
        <f>IF(tblContractForDeed[[#This Row],[Date]]="","",IF(tblContractForDeed[[#This Row],[Date]]&lt;cfdRateChangeDate,cfdRate1,cfdRate2))</f>
        <v>7.0000000000000007E-2</v>
      </c>
      <c r="Q8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76">
        <f>IF(INDEX(tblContractForDeed[Payment],ROW()-ROW(tblBuyerOutputs[#Headers]))=0,0,INDEX(tblContractForDeed[Payment],ROW()-ROW(tblBuyerOutputs[#Headers]))-INDEX(tblSubjectToLoan[Payment],ROW()-ROW(tblBuyerOutputs[#Headers])))</f>
        <v>0</v>
      </c>
      <c r="Z8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3" s="276">
        <f>IF(INDEX(tblContractForDeed[End Bal],ROW()-ROW(tblBuyerOutputs[#Headers]))&lt;=0,0,($O$6+IF(ROW()=ROW(tblBuyerOutputs[#Headers])+1,0,INDEX(tblBuyerOutputs[Cumul Appr],ROW()-ROW(tblBuyerOutputs[#Headers])-1)))*$AK$2/12)</f>
        <v>0</v>
      </c>
      <c r="AE823" s="276">
        <f>IF(INDEX(tblContractForDeed[End Bal],ROW()-ROW(tblBuyerOutputs[#Headers]))&lt;=0,0,IF(ROW()=ROW(tblBuyerOutputs[#Headers])+1,0,INDEX(tblBuyerOutputs[Cumul Appr],ROW()-ROW(tblBuyerOutputs[#Headers])-1))+tblBuyerOutputs[[#This Row],[Monthly Appr]])</f>
        <v>0</v>
      </c>
    </row>
    <row r="824" spans="1:31" x14ac:dyDescent="0.25">
      <c r="A824" s="616"/>
      <c r="M824" s="22">
        <f t="shared" si="125"/>
        <v>0</v>
      </c>
      <c r="N824" s="616">
        <f>INDEX(tblSubjectToLoan[Date],ROW()-ROW(tblContractForDeed[#Headers]))</f>
        <v>0</v>
      </c>
      <c r="O824" s="276">
        <f>IF(ROW()=ROW(tblContractForDeed[#Headers])+1,$O$6,IF(INDEX(tblContractForDeed[End Bal],ROW()-ROW(tblContractForDeed[#Headers])-1)&lt;0,0,INDEX(tblContractForDeed[End Bal],ROW()-ROW(tblContractForDeed[#Headers])-1)))</f>
        <v>0</v>
      </c>
      <c r="P824" s="454">
        <f>IF(tblContractForDeed[[#This Row],[Date]]="","",IF(tblContractForDeed[[#This Row],[Date]]&lt;cfdRateChangeDate,cfdRate1,cfdRate2))</f>
        <v>7.0000000000000007E-2</v>
      </c>
      <c r="Q8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76">
        <f>IF(INDEX(tblContractForDeed[Payment],ROW()-ROW(tblBuyerOutputs[#Headers]))=0,0,INDEX(tblContractForDeed[Payment],ROW()-ROW(tblBuyerOutputs[#Headers]))-INDEX(tblSubjectToLoan[Payment],ROW()-ROW(tblBuyerOutputs[#Headers])))</f>
        <v>0</v>
      </c>
      <c r="Z8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4" s="276">
        <f>IF(INDEX(tblContractForDeed[End Bal],ROW()-ROW(tblBuyerOutputs[#Headers]))&lt;=0,0,($O$6+IF(ROW()=ROW(tblBuyerOutputs[#Headers])+1,0,INDEX(tblBuyerOutputs[Cumul Appr],ROW()-ROW(tblBuyerOutputs[#Headers])-1)))*$AK$2/12)</f>
        <v>0</v>
      </c>
      <c r="AE824" s="276">
        <f>IF(INDEX(tblContractForDeed[End Bal],ROW()-ROW(tblBuyerOutputs[#Headers]))&lt;=0,0,IF(ROW()=ROW(tblBuyerOutputs[#Headers])+1,0,INDEX(tblBuyerOutputs[Cumul Appr],ROW()-ROW(tblBuyerOutputs[#Headers])-1))+tblBuyerOutputs[[#This Row],[Monthly Appr]])</f>
        <v>0</v>
      </c>
    </row>
    <row r="825" spans="1:31" x14ac:dyDescent="0.25">
      <c r="A825" s="616"/>
      <c r="M825" s="22">
        <f t="shared" si="125"/>
        <v>0</v>
      </c>
      <c r="N825" s="616">
        <f>INDEX(tblSubjectToLoan[Date],ROW()-ROW(tblContractForDeed[#Headers]))</f>
        <v>0</v>
      </c>
      <c r="O825" s="276">
        <f>IF(ROW()=ROW(tblContractForDeed[#Headers])+1,$O$6,IF(INDEX(tblContractForDeed[End Bal],ROW()-ROW(tblContractForDeed[#Headers])-1)&lt;0,0,INDEX(tblContractForDeed[End Bal],ROW()-ROW(tblContractForDeed[#Headers])-1)))</f>
        <v>0</v>
      </c>
      <c r="P825" s="454">
        <f>IF(tblContractForDeed[[#This Row],[Date]]="","",IF(tblContractForDeed[[#This Row],[Date]]&lt;cfdRateChangeDate,cfdRate1,cfdRate2))</f>
        <v>7.0000000000000007E-2</v>
      </c>
      <c r="Q8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76">
        <f>IF(INDEX(tblContractForDeed[Payment],ROW()-ROW(tblBuyerOutputs[#Headers]))=0,0,INDEX(tblContractForDeed[Payment],ROW()-ROW(tblBuyerOutputs[#Headers]))-INDEX(tblSubjectToLoan[Payment],ROW()-ROW(tblBuyerOutputs[#Headers])))</f>
        <v>0</v>
      </c>
      <c r="Z8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5" s="276">
        <f>IF(INDEX(tblContractForDeed[End Bal],ROW()-ROW(tblBuyerOutputs[#Headers]))&lt;=0,0,($O$6+IF(ROW()=ROW(tblBuyerOutputs[#Headers])+1,0,INDEX(tblBuyerOutputs[Cumul Appr],ROW()-ROW(tblBuyerOutputs[#Headers])-1)))*$AK$2/12)</f>
        <v>0</v>
      </c>
      <c r="AE825" s="276">
        <f>IF(INDEX(tblContractForDeed[End Bal],ROW()-ROW(tblBuyerOutputs[#Headers]))&lt;=0,0,IF(ROW()=ROW(tblBuyerOutputs[#Headers])+1,0,INDEX(tblBuyerOutputs[Cumul Appr],ROW()-ROW(tblBuyerOutputs[#Headers])-1))+tblBuyerOutputs[[#This Row],[Monthly Appr]])</f>
        <v>0</v>
      </c>
    </row>
    <row r="826" spans="1:31" x14ac:dyDescent="0.25">
      <c r="A826" s="616"/>
      <c r="M826" s="22">
        <f t="shared" si="125"/>
        <v>0</v>
      </c>
      <c r="N826" s="616">
        <f>INDEX(tblSubjectToLoan[Date],ROW()-ROW(tblContractForDeed[#Headers]))</f>
        <v>0</v>
      </c>
      <c r="O826" s="276">
        <f>IF(ROW()=ROW(tblContractForDeed[#Headers])+1,$O$6,IF(INDEX(tblContractForDeed[End Bal],ROW()-ROW(tblContractForDeed[#Headers])-1)&lt;0,0,INDEX(tblContractForDeed[End Bal],ROW()-ROW(tblContractForDeed[#Headers])-1)))</f>
        <v>0</v>
      </c>
      <c r="P826" s="454">
        <f>IF(tblContractForDeed[[#This Row],[Date]]="","",IF(tblContractForDeed[[#This Row],[Date]]&lt;cfdRateChangeDate,cfdRate1,cfdRate2))</f>
        <v>7.0000000000000007E-2</v>
      </c>
      <c r="Q8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76">
        <f>IF(INDEX(tblContractForDeed[Payment],ROW()-ROW(tblBuyerOutputs[#Headers]))=0,0,INDEX(tblContractForDeed[Payment],ROW()-ROW(tblBuyerOutputs[#Headers]))-INDEX(tblSubjectToLoan[Payment],ROW()-ROW(tblBuyerOutputs[#Headers])))</f>
        <v>0</v>
      </c>
      <c r="Z8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6" s="276">
        <f>IF(INDEX(tblContractForDeed[End Bal],ROW()-ROW(tblBuyerOutputs[#Headers]))&lt;=0,0,($O$6+IF(ROW()=ROW(tblBuyerOutputs[#Headers])+1,0,INDEX(tblBuyerOutputs[Cumul Appr],ROW()-ROW(tblBuyerOutputs[#Headers])-1)))*$AK$2/12)</f>
        <v>0</v>
      </c>
      <c r="AE826" s="276">
        <f>IF(INDEX(tblContractForDeed[End Bal],ROW()-ROW(tblBuyerOutputs[#Headers]))&lt;=0,0,IF(ROW()=ROW(tblBuyerOutputs[#Headers])+1,0,INDEX(tblBuyerOutputs[Cumul Appr],ROW()-ROW(tblBuyerOutputs[#Headers])-1))+tblBuyerOutputs[[#This Row],[Monthly Appr]])</f>
        <v>0</v>
      </c>
    </row>
    <row r="827" spans="1:31" x14ac:dyDescent="0.25">
      <c r="A827" s="616"/>
      <c r="M827" s="22">
        <f t="shared" si="125"/>
        <v>0</v>
      </c>
      <c r="N827" s="616">
        <f>INDEX(tblSubjectToLoan[Date],ROW()-ROW(tblContractForDeed[#Headers]))</f>
        <v>0</v>
      </c>
      <c r="O827" s="276">
        <f>IF(ROW()=ROW(tblContractForDeed[#Headers])+1,$O$6,IF(INDEX(tblContractForDeed[End Bal],ROW()-ROW(tblContractForDeed[#Headers])-1)&lt;0,0,INDEX(tblContractForDeed[End Bal],ROW()-ROW(tblContractForDeed[#Headers])-1)))</f>
        <v>0</v>
      </c>
      <c r="P827" s="454">
        <f>IF(tblContractForDeed[[#This Row],[Date]]="","",IF(tblContractForDeed[[#This Row],[Date]]&lt;cfdRateChangeDate,cfdRate1,cfdRate2))</f>
        <v>7.0000000000000007E-2</v>
      </c>
      <c r="Q8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76">
        <f>IF(INDEX(tblContractForDeed[Payment],ROW()-ROW(tblBuyerOutputs[#Headers]))=0,0,INDEX(tblContractForDeed[Payment],ROW()-ROW(tblBuyerOutputs[#Headers]))-INDEX(tblSubjectToLoan[Payment],ROW()-ROW(tblBuyerOutputs[#Headers])))</f>
        <v>0</v>
      </c>
      <c r="Z8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7" s="276">
        <f>IF(INDEX(tblContractForDeed[End Bal],ROW()-ROW(tblBuyerOutputs[#Headers]))&lt;=0,0,($O$6+IF(ROW()=ROW(tblBuyerOutputs[#Headers])+1,0,INDEX(tblBuyerOutputs[Cumul Appr],ROW()-ROW(tblBuyerOutputs[#Headers])-1)))*$AK$2/12)</f>
        <v>0</v>
      </c>
      <c r="AE827" s="276">
        <f>IF(INDEX(tblContractForDeed[End Bal],ROW()-ROW(tblBuyerOutputs[#Headers]))&lt;=0,0,IF(ROW()=ROW(tblBuyerOutputs[#Headers])+1,0,INDEX(tblBuyerOutputs[Cumul Appr],ROW()-ROW(tblBuyerOutputs[#Headers])-1))+tblBuyerOutputs[[#This Row],[Monthly Appr]])</f>
        <v>0</v>
      </c>
    </row>
    <row r="828" spans="1:31" x14ac:dyDescent="0.25">
      <c r="A828" s="616"/>
      <c r="M828" s="22">
        <f t="shared" si="125"/>
        <v>0</v>
      </c>
      <c r="N828" s="236">
        <f>INDEX(tblSubjectToLoan[Date],ROW()-ROW(tblContractForDeed[#Headers]))</f>
        <v>0</v>
      </c>
      <c r="O828" s="14">
        <f>IF(ROW()=ROW(tblContractForDeed[#Headers])+1,$O$6,IF(INDEX(tblContractForDeed[End Bal],ROW()-ROW(tblContractForDeed[#Headers])-1)&lt;0,0,INDEX(tblContractForDeed[End Bal],ROW()-ROW(tblContractForDeed[#Headers])-1)))</f>
        <v>0</v>
      </c>
      <c r="P828" s="454">
        <f>IF(tblContractForDeed[[#This Row],[Date]]="","",IF(tblContractForDeed[[#This Row],[Date]]&lt;cfdRateChangeDate,cfdRate1,cfdRate2))</f>
        <v>7.0000000000000007E-2</v>
      </c>
      <c r="Q8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76">
        <f>IF(INDEX(tblContractForDeed[Payment],ROW()-ROW(tblBuyerOutputs[#Headers]))=0,0,INDEX(tblContractForDeed[Payment],ROW()-ROW(tblBuyerOutputs[#Headers]))-INDEX(tblSubjectToLoan[Payment],ROW()-ROW(tblBuyerOutputs[#Headers])))</f>
        <v>0</v>
      </c>
      <c r="Z8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8" s="276">
        <f>IF(INDEX(tblContractForDeed[End Bal],ROW()-ROW(tblBuyerOutputs[#Headers]))&lt;=0,0,($O$6+IF(ROW()=ROW(tblBuyerOutputs[#Headers])+1,0,INDEX(tblBuyerOutputs[Cumul Appr],ROW()-ROW(tblBuyerOutputs[#Headers])-1)))*$AK$2/12)</f>
        <v>0</v>
      </c>
      <c r="AE828" s="276">
        <f>IF(INDEX(tblContractForDeed[End Bal],ROW()-ROW(tblBuyerOutputs[#Headers]))&lt;=0,0,IF(ROW()=ROW(tblBuyerOutputs[#Headers])+1,0,INDEX(tblBuyerOutputs[Cumul Appr],ROW()-ROW(tblBuyerOutputs[#Headers])-1))+tblBuyerOutputs[[#This Row],[Monthly Appr]])</f>
        <v>0</v>
      </c>
    </row>
    <row r="829" spans="1:31" x14ac:dyDescent="0.25">
      <c r="A829" s="616"/>
      <c r="M829" s="22">
        <f t="shared" si="125"/>
        <v>0</v>
      </c>
      <c r="N829" s="236">
        <f>INDEX(tblSubjectToLoan[Date],ROW()-ROW(tblContractForDeed[#Headers]))</f>
        <v>0</v>
      </c>
      <c r="O829" s="14">
        <f>IF(ROW()=ROW(tblContractForDeed[#Headers])+1,$O$6,IF(INDEX(tblContractForDeed[End Bal],ROW()-ROW(tblContractForDeed[#Headers])-1)&lt;0,0,INDEX(tblContractForDeed[End Bal],ROW()-ROW(tblContractForDeed[#Headers])-1)))</f>
        <v>0</v>
      </c>
      <c r="P829" s="454">
        <f>IF(tblContractForDeed[[#This Row],[Date]]="","",IF(tblContractForDeed[[#This Row],[Date]]&lt;cfdRateChangeDate,cfdRate1,cfdRate2))</f>
        <v>7.0000000000000007E-2</v>
      </c>
      <c r="Q8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76">
        <f>IF(INDEX(tblContractForDeed[Payment],ROW()-ROW(tblBuyerOutputs[#Headers]))=0,0,INDEX(tblContractForDeed[Payment],ROW()-ROW(tblBuyerOutputs[#Headers]))-INDEX(tblSubjectToLoan[Payment],ROW()-ROW(tblBuyerOutputs[#Headers])))</f>
        <v>0</v>
      </c>
      <c r="Z8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9" s="276">
        <f>IF(INDEX(tblContractForDeed[End Bal],ROW()-ROW(tblBuyerOutputs[#Headers]))&lt;=0,0,($O$6+IF(ROW()=ROW(tblBuyerOutputs[#Headers])+1,0,INDEX(tblBuyerOutputs[Cumul Appr],ROW()-ROW(tblBuyerOutputs[#Headers])-1)))*$AK$2/12)</f>
        <v>0</v>
      </c>
      <c r="AE829" s="276">
        <f>IF(INDEX(tblContractForDeed[End Bal],ROW()-ROW(tblBuyerOutputs[#Headers]))&lt;=0,0,IF(ROW()=ROW(tblBuyerOutputs[#Headers])+1,0,INDEX(tblBuyerOutputs[Cumul Appr],ROW()-ROW(tblBuyerOutputs[#Headers])-1))+tblBuyerOutputs[[#This Row],[Monthly Appr]])</f>
        <v>0</v>
      </c>
    </row>
    <row r="830" spans="1:31" x14ac:dyDescent="0.25">
      <c r="A830" s="616"/>
      <c r="M830" s="22">
        <f t="shared" si="125"/>
        <v>0</v>
      </c>
      <c r="N830" s="236">
        <f>INDEX(tblSubjectToLoan[Date],ROW()-ROW(tblContractForDeed[#Headers]))</f>
        <v>0</v>
      </c>
      <c r="O830" s="14">
        <f>IF(ROW()=ROW(tblContractForDeed[#Headers])+1,$O$6,IF(INDEX(tblContractForDeed[End Bal],ROW()-ROW(tblContractForDeed[#Headers])-1)&lt;0,0,INDEX(tblContractForDeed[End Bal],ROW()-ROW(tblContractForDeed[#Headers])-1)))</f>
        <v>0</v>
      </c>
      <c r="P830" s="454">
        <f>IF(tblContractForDeed[[#This Row],[Date]]="","",IF(tblContractForDeed[[#This Row],[Date]]&lt;cfdRateChangeDate,cfdRate1,cfdRate2))</f>
        <v>7.0000000000000007E-2</v>
      </c>
      <c r="Q8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76">
        <f>IF(INDEX(tblContractForDeed[Payment],ROW()-ROW(tblBuyerOutputs[#Headers]))=0,0,INDEX(tblContractForDeed[Payment],ROW()-ROW(tblBuyerOutputs[#Headers]))-INDEX(tblSubjectToLoan[Payment],ROW()-ROW(tblBuyerOutputs[#Headers])))</f>
        <v>0</v>
      </c>
      <c r="Z8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30" s="276">
        <f>IF(INDEX(tblContractForDeed[End Bal],ROW()-ROW(tblBuyerOutputs[#Headers]))&lt;=0,0,($O$6+IF(ROW()=ROW(tblBuyerOutputs[#Headers])+1,0,INDEX(tblBuyerOutputs[Cumul Appr],ROW()-ROW(tblBuyerOutputs[#Headers])-1)))*$AK$2/12)</f>
        <v>0</v>
      </c>
      <c r="AE830" s="276">
        <f>IF(INDEX(tblContractForDeed[End Bal],ROW()-ROW(tblBuyerOutputs[#Headers]))&lt;=0,0,IF(ROW()=ROW(tblBuyerOutputs[#Headers])+1,0,INDEX(tblBuyerOutputs[Cumul Appr],ROW()-ROW(tblBuyerOutputs[#Headers])-1))+tblBuyerOutputs[[#This Row],[Monthly Appr]])</f>
        <v>0</v>
      </c>
    </row>
    <row r="831" spans="1:31" x14ac:dyDescent="0.25">
      <c r="A831" s="616"/>
      <c r="M831" s="22">
        <f t="shared" si="125"/>
        <v>0</v>
      </c>
      <c r="N831" s="236">
        <f>INDEX(tblSubjectToLoan[Date],ROW()-ROW(tblContractForDeed[#Headers]))</f>
        <v>0</v>
      </c>
      <c r="O831" s="14">
        <f>IF(ROW()=ROW(tblContractForDeed[#Headers])+1,$O$6,IF(INDEX(tblContractForDeed[End Bal],ROW()-ROW(tblContractForDeed[#Headers])-1)&lt;0,0,INDEX(tblContractForDeed[End Bal],ROW()-ROW(tblContractForDeed[#Headers])-1)))</f>
        <v>0</v>
      </c>
      <c r="P831" s="454">
        <f>IF(tblContractForDeed[[#This Row],[Date]]="","",IF(tblContractForDeed[[#This Row],[Date]]&lt;cfdRateChangeDate,cfdRate1,cfdRate2))</f>
        <v>7.0000000000000007E-2</v>
      </c>
      <c r="Q8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76">
        <f>IF(INDEX(tblContractForDeed[Payment],ROW()-ROW(tblBuyerOutputs[#Headers]))=0,0,INDEX(tblContractForDeed[Payment],ROW()-ROW(tblBuyerOutputs[#Headers]))-INDEX(tblSubjectToLoan[Payment],ROW()-ROW(tblBuyerOutputs[#Headers])))</f>
        <v>0</v>
      </c>
      <c r="Z8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31" s="276">
        <f>IF(INDEX(tblContractForDeed[End Bal],ROW()-ROW(tblBuyerOutputs[#Headers]))&lt;=0,0,($O$6+IF(ROW()=ROW(tblBuyerOutputs[#Headers])+1,0,INDEX(tblBuyerOutputs[Cumul Appr],ROW()-ROW(tblBuyerOutputs[#Headers])-1)))*$AK$2/12)</f>
        <v>0</v>
      </c>
      <c r="AE831" s="276">
        <f>IF(INDEX(tblContractForDeed[End Bal],ROW()-ROW(tblBuyerOutputs[#Headers]))&lt;=0,0,IF(ROW()=ROW(tblBuyerOutputs[#Headers])+1,0,INDEX(tblBuyerOutputs[Cumul Appr],ROW()-ROW(tblBuyerOutputs[#Headers])-1))+tblBuyerOutputs[[#This Row],[Monthly Appr]])</f>
        <v>0</v>
      </c>
    </row>
    <row r="832" spans="1:31" x14ac:dyDescent="0.25">
      <c r="A832" s="616"/>
      <c r="M832" s="22">
        <f t="shared" si="125"/>
        <v>0</v>
      </c>
      <c r="N832" s="236">
        <f>INDEX(tblSubjectToLoan[Date],ROW()-ROW(tblContractForDeed[#Headers]))</f>
        <v>0</v>
      </c>
      <c r="O832" s="14">
        <f>IF(ROW()=ROW(tblContractForDeed[#Headers])+1,$O$6,IF(INDEX(tblContractForDeed[End Bal],ROW()-ROW(tblContractForDeed[#Headers])-1)&lt;0,0,INDEX(tblContractForDeed[End Bal],ROW()-ROW(tblContractForDeed[#Headers])-1)))</f>
        <v>0</v>
      </c>
      <c r="P832" s="454">
        <f>IF(tblContractForDeed[[#This Row],[Date]]="","",IF(tblContractForDeed[[#This Row],[Date]]&lt;cfdRateChangeDate,cfdRate1,cfdRate2))</f>
        <v>7.0000000000000007E-2</v>
      </c>
      <c r="Q8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76">
        <f>IF(INDEX(tblContractForDeed[Payment],ROW()-ROW(tblBuyerOutputs[#Headers]))=0,0,INDEX(tblContractForDeed[Payment],ROW()-ROW(tblBuyerOutputs[#Headers]))-INDEX(tblSubjectToLoan[Payment],ROW()-ROW(tblBuyerOutputs[#Headers])))</f>
        <v>0</v>
      </c>
      <c r="Z8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32" s="276">
        <f>IF(INDEX(tblContractForDeed[End Bal],ROW()-ROW(tblBuyerOutputs[#Headers]))&lt;=0,0,($O$6+IF(ROW()=ROW(tblBuyerOutputs[#Headers])+1,0,INDEX(tblBuyerOutputs[Cumul Appr],ROW()-ROW(tblBuyerOutputs[#Headers])-1)))*$AK$2/12)</f>
        <v>0</v>
      </c>
      <c r="AE832" s="276">
        <f>IF(INDEX(tblContractForDeed[End Bal],ROW()-ROW(tblBuyerOutputs[#Headers]))&lt;=0,0,IF(ROW()=ROW(tblBuyerOutputs[#Headers])+1,0,INDEX(tblBuyerOutputs[Cumul Appr],ROW()-ROW(tblBuyerOutputs[#Headers])-1))+tblBuyerOutputs[[#This Row],[Monthly Appr]])</f>
        <v>0</v>
      </c>
    </row>
    <row r="833" spans="1:31" x14ac:dyDescent="0.25">
      <c r="A833" s="616"/>
      <c r="M833" s="22">
        <f t="shared" si="125"/>
        <v>0</v>
      </c>
      <c r="N833" s="236">
        <f>INDEX(tblSubjectToLoan[Date],ROW()-ROW(tblContractForDeed[#Headers]))</f>
        <v>0</v>
      </c>
      <c r="O833" s="14">
        <f>IF(ROW()=ROW(tblContractForDeed[#Headers])+1,$O$6,IF(INDEX(tblContractForDeed[End Bal],ROW()-ROW(tblContractForDeed[#Headers])-1)&lt;0,0,INDEX(tblContractForDeed[End Bal],ROW()-ROW(tblContractForDeed[#Headers])-1)))</f>
        <v>0</v>
      </c>
      <c r="P833" s="454">
        <f>IF(tblContractForDeed[[#This Row],[Date]]="","",IF(tblContractForDeed[[#This Row],[Date]]&lt;cfdRateChangeDate,cfdRate1,cfdRate2))</f>
        <v>7.0000000000000007E-2</v>
      </c>
      <c r="Q8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76">
        <f>IF(INDEX(tblContractForDeed[Payment],ROW()-ROW(tblBuyerOutputs[#Headers]))=0,0,INDEX(tblContractForDeed[Payment],ROW()-ROW(tblBuyerOutputs[#Headers]))-INDEX(tblSubjectToLoan[Payment],ROW()-ROW(tblBuyerOutputs[#Headers])))</f>
        <v>0</v>
      </c>
      <c r="Z8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33" s="276">
        <f>IF(INDEX(tblContractForDeed[End Bal],ROW()-ROW(tblBuyerOutputs[#Headers]))&lt;=0,0,($O$6+IF(ROW()=ROW(tblBuyerOutputs[#Headers])+1,0,INDEX(tblBuyerOutputs[Cumul Appr],ROW()-ROW(tblBuyerOutputs[#Headers])-1)))*$AK$2/12)</f>
        <v>0</v>
      </c>
      <c r="AE833" s="276">
        <f>IF(INDEX(tblContractForDeed[End Bal],ROW()-ROW(tblBuyerOutputs[#Headers]))&lt;=0,0,IF(ROW()=ROW(tblBuyerOutputs[#Headers])+1,0,INDEX(tblBuyerOutputs[Cumul Appr],ROW()-ROW(tblBuyerOutputs[#Headers])-1))+tblBuyerOutputs[[#This Row],[Monthly Appr]])</f>
        <v>0</v>
      </c>
    </row>
  </sheetData>
  <mergeCells count="26">
    <mergeCell ref="AA18:AE18"/>
    <mergeCell ref="O17:Z17"/>
    <mergeCell ref="K2:L2"/>
    <mergeCell ref="K3:L3"/>
    <mergeCell ref="K4:L4"/>
    <mergeCell ref="Q13:R13"/>
    <mergeCell ref="Y2:AB2"/>
    <mergeCell ref="Y3:AA3"/>
    <mergeCell ref="Y4:AA4"/>
    <mergeCell ref="Y5:AA5"/>
    <mergeCell ref="Y6:AA6"/>
    <mergeCell ref="Y7:AA7"/>
    <mergeCell ref="Y8:AA8"/>
    <mergeCell ref="Y9:AA9"/>
    <mergeCell ref="Y10:AA10"/>
    <mergeCell ref="S13:T13"/>
    <mergeCell ref="C18:H18"/>
    <mergeCell ref="I18:J18"/>
    <mergeCell ref="Q18:V18"/>
    <mergeCell ref="W18:X18"/>
    <mergeCell ref="Y18:Z18"/>
    <mergeCell ref="H13:I13"/>
    <mergeCell ref="Q14:R14"/>
    <mergeCell ref="S14:T14"/>
    <mergeCell ref="K13:N13"/>
    <mergeCell ref="K14:N14"/>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51">
        <v>0</v>
      </c>
      <c r="L2" s="652"/>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53">
        <v>0.1</v>
      </c>
      <c r="L3" s="654"/>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55">
        <f>+Profit!M63</f>
        <v>-73006.028174349995</v>
      </c>
      <c r="L4" s="656"/>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628" t="s">
        <v>1177</v>
      </c>
      <c r="Y5" s="643"/>
      <c r="Z5" s="644"/>
      <c r="AA5" s="629"/>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37" t="s">
        <v>1178</v>
      </c>
      <c r="Y6" s="638"/>
      <c r="Z6" s="639"/>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37" t="s">
        <v>1179</v>
      </c>
      <c r="Y7" s="638"/>
      <c r="Z7" s="639"/>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37" t="s">
        <v>1180</v>
      </c>
      <c r="Y8" s="638"/>
      <c r="Z8" s="639"/>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37" t="s">
        <v>1181</v>
      </c>
      <c r="Y9" s="638"/>
      <c r="Z9" s="639"/>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37" t="s">
        <v>1182</v>
      </c>
      <c r="Y10" s="638"/>
      <c r="Z10" s="639"/>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37" t="s">
        <v>1183</v>
      </c>
      <c r="Y11" s="638"/>
      <c r="Z11" s="639"/>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37" t="s">
        <v>1184</v>
      </c>
      <c r="Y12" s="638"/>
      <c r="Z12" s="639"/>
      <c r="AA12" s="609">
        <f>IFERROR(_xlfn.XLOOKUP($P$12-1,$Z:$Z,$AE:$AE),"")</f>
        <v>0</v>
      </c>
      <c r="AB12" s="460"/>
      <c r="AD12" s="14"/>
      <c r="AE12" s="30"/>
      <c r="AG12" s="22"/>
      <c r="AH12" s="22"/>
      <c r="AI12" s="22"/>
      <c r="AJ12"/>
    </row>
    <row r="13" spans="2:41" ht="15.75" thickBot="1" x14ac:dyDescent="0.3">
      <c r="X13" s="640" t="s">
        <v>1185</v>
      </c>
      <c r="Y13" s="641"/>
      <c r="Z13" s="642"/>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48" t="str">
        <f>"Official Contract for Deed Schedule: "&amp;TEXT($O$8,"0.00%")&amp;" for first "&amp;$O$12&amp;" years, then "&amp;TEXT($O$10,"0.00%")</f>
        <v>Official Contract for Deed Schedule: 6.25% for first 5 years, then 6.25%</v>
      </c>
      <c r="P16" s="649"/>
      <c r="Q16" s="649"/>
      <c r="R16" s="649"/>
      <c r="S16" s="649"/>
      <c r="T16" s="649"/>
      <c r="U16" s="649"/>
      <c r="V16" s="649"/>
      <c r="W16" s="649"/>
      <c r="X16" s="649"/>
      <c r="Y16" s="649"/>
      <c r="Z16" s="650"/>
    </row>
    <row r="17" spans="1:31" ht="15" customHeight="1" thickBot="1" x14ac:dyDescent="0.3">
      <c r="C17" s="624" t="s">
        <v>658</v>
      </c>
      <c r="D17" s="625"/>
      <c r="E17" s="626"/>
      <c r="F17" s="626"/>
      <c r="G17" s="626"/>
      <c r="H17" s="627"/>
      <c r="I17" s="628" t="s">
        <v>655</v>
      </c>
      <c r="J17" s="629"/>
      <c r="N17" s="460"/>
      <c r="O17" s="466"/>
      <c r="P17" s="454"/>
      <c r="Q17" s="630" t="s">
        <v>658</v>
      </c>
      <c r="R17" s="631"/>
      <c r="S17" s="632"/>
      <c r="T17" s="632"/>
      <c r="U17" s="632"/>
      <c r="V17" s="633"/>
      <c r="W17" s="630" t="s">
        <v>655</v>
      </c>
      <c r="X17" s="634"/>
      <c r="Y17" s="612" t="s">
        <v>1175</v>
      </c>
      <c r="Z17" s="466"/>
      <c r="AA17" s="798" t="s">
        <v>1169</v>
      </c>
      <c r="AB17" s="644"/>
      <c r="AC17" s="644"/>
      <c r="AD17" s="644"/>
      <c r="AE17" s="629"/>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5">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5">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5">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5">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5">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5">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5">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5">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5">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5">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5">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5">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5">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5">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5">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5">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5">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5">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5">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5">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5">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5">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5">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5">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5">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5">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5">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5">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5">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5">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5">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5">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5">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5">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5"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5"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5"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5"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5"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5"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5"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5"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5"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5"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5"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5"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5"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5"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5"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5"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5"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5"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5"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5"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5"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5"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5"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5"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5"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5"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5"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5"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5"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5"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5"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5"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5"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5"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5"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5"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5"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5"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5"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5"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5"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5"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5"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5"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5"/>
      <c r="B498" s="332"/>
      <c r="C498" s="21"/>
      <c r="D498" s="21"/>
      <c r="E498" s="21"/>
      <c r="F498" s="21"/>
      <c r="G498" s="21"/>
      <c r="H498" s="21"/>
      <c r="I498" s="332"/>
      <c r="J498" s="332"/>
      <c r="K498" s="332"/>
      <c r="L498" s="395">
        <f t="shared" si="214"/>
        <v>0</v>
      </c>
      <c r="M498" s="395">
        <f t="shared" si="230"/>
        <v>0</v>
      </c>
      <c r="N498" s="615">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5"/>
      <c r="B510" s="332"/>
      <c r="C510" s="21"/>
      <c r="D510" s="21"/>
      <c r="E510" s="21"/>
      <c r="F510" s="21"/>
      <c r="G510" s="21"/>
      <c r="H510" s="21"/>
      <c r="I510" s="332"/>
      <c r="J510" s="332"/>
      <c r="K510" s="332"/>
      <c r="L510" s="395">
        <f t="shared" si="245"/>
        <v>0</v>
      </c>
      <c r="M510" s="395">
        <f t="shared" si="230"/>
        <v>0</v>
      </c>
      <c r="N510" s="615">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5"/>
      <c r="B522" s="332"/>
      <c r="C522" s="21"/>
      <c r="D522" s="21"/>
      <c r="E522" s="21"/>
      <c r="F522" s="21"/>
      <c r="G522" s="21"/>
      <c r="H522" s="21"/>
      <c r="I522" s="332"/>
      <c r="J522" s="332"/>
      <c r="K522" s="332"/>
      <c r="L522" s="395">
        <f t="shared" si="245"/>
        <v>0</v>
      </c>
      <c r="M522" s="395">
        <f t="shared" si="230"/>
        <v>0</v>
      </c>
      <c r="N522" s="615">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5"/>
      <c r="B534" s="332"/>
      <c r="C534" s="21"/>
      <c r="D534" s="21"/>
      <c r="E534" s="21"/>
      <c r="F534" s="21"/>
      <c r="G534" s="21"/>
      <c r="H534" s="21"/>
      <c r="I534" s="332"/>
      <c r="J534" s="332"/>
      <c r="K534" s="332"/>
      <c r="L534" s="395">
        <f t="shared" si="245"/>
        <v>0</v>
      </c>
      <c r="M534" s="395">
        <f t="shared" si="255"/>
        <v>0</v>
      </c>
      <c r="N534" s="615">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5"/>
      <c r="B546" s="332"/>
      <c r="C546" s="21"/>
      <c r="D546" s="21"/>
      <c r="E546" s="21"/>
      <c r="F546" s="21"/>
      <c r="G546" s="21"/>
      <c r="H546" s="21"/>
      <c r="I546" s="332"/>
      <c r="J546" s="332"/>
      <c r="K546" s="332"/>
      <c r="L546" s="395">
        <f t="shared" si="245"/>
        <v>0</v>
      </c>
      <c r="M546" s="395">
        <f t="shared" si="255"/>
        <v>0</v>
      </c>
      <c r="N546" s="615">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5"/>
      <c r="B558" s="332"/>
      <c r="C558" s="21"/>
      <c r="D558" s="21"/>
      <c r="E558" s="21"/>
      <c r="F558" s="21"/>
      <c r="G558" s="21"/>
      <c r="H558" s="21"/>
      <c r="I558" s="332"/>
      <c r="J558" s="332"/>
      <c r="K558" s="332"/>
      <c r="L558" s="395">
        <f t="shared" si="245"/>
        <v>0</v>
      </c>
      <c r="M558" s="395">
        <f t="shared" si="255"/>
        <v>0</v>
      </c>
      <c r="N558" s="615">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5"/>
      <c r="B570" s="332"/>
      <c r="C570" s="21"/>
      <c r="D570" s="21"/>
      <c r="E570" s="21"/>
      <c r="F570" s="21"/>
      <c r="G570" s="21"/>
      <c r="H570" s="21"/>
      <c r="I570" s="332"/>
      <c r="J570" s="332"/>
      <c r="K570" s="332"/>
      <c r="L570" s="395">
        <f t="shared" si="263"/>
        <v>0</v>
      </c>
      <c r="M570" s="395">
        <f t="shared" si="255"/>
        <v>0</v>
      </c>
      <c r="N570" s="615">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5"/>
      <c r="B582" s="332"/>
      <c r="C582" s="21"/>
      <c r="D582" s="21"/>
      <c r="E582" s="21"/>
      <c r="F582" s="21"/>
      <c r="G582" s="21"/>
      <c r="H582" s="21"/>
      <c r="I582" s="332"/>
      <c r="J582" s="332"/>
      <c r="K582" s="332"/>
      <c r="L582" s="395">
        <f t="shared" si="263"/>
        <v>0</v>
      </c>
      <c r="M582" s="395">
        <f t="shared" si="255"/>
        <v>0</v>
      </c>
      <c r="N582" s="615">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5"/>
      <c r="B594" s="332"/>
      <c r="C594" s="21"/>
      <c r="D594" s="21"/>
      <c r="E594" s="21"/>
      <c r="F594" s="21"/>
      <c r="G594" s="21"/>
      <c r="H594" s="21"/>
      <c r="I594" s="332"/>
      <c r="J594" s="332"/>
      <c r="K594" s="332"/>
      <c r="L594" s="395">
        <f t="shared" si="263"/>
        <v>0</v>
      </c>
      <c r="M594" s="395">
        <f t="shared" si="255"/>
        <v>0</v>
      </c>
      <c r="N594" s="615">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5"/>
      <c r="B606" s="332"/>
      <c r="C606" s="21"/>
      <c r="D606" s="21"/>
      <c r="E606" s="21"/>
      <c r="F606" s="21"/>
      <c r="G606" s="21"/>
      <c r="H606" s="21"/>
      <c r="I606" s="332"/>
      <c r="J606" s="332"/>
      <c r="K606" s="332"/>
      <c r="L606" s="395">
        <f t="shared" si="263"/>
        <v>0</v>
      </c>
      <c r="M606" s="395">
        <f t="shared" si="273"/>
        <v>0</v>
      </c>
      <c r="N606" s="615">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5"/>
      <c r="B618" s="332"/>
      <c r="C618" s="21"/>
      <c r="D618" s="21"/>
      <c r="E618" s="21"/>
      <c r="F618" s="21"/>
      <c r="G618" s="21"/>
      <c r="H618" s="21"/>
      <c r="I618" s="332"/>
      <c r="J618" s="332"/>
      <c r="K618" s="332"/>
      <c r="L618" s="395">
        <f t="shared" si="263"/>
        <v>0</v>
      </c>
      <c r="M618" s="395">
        <f t="shared" si="273"/>
        <v>0</v>
      </c>
      <c r="N618" s="615">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5"/>
      <c r="B630" s="332"/>
      <c r="C630" s="21"/>
      <c r="D630" s="21"/>
      <c r="E630" s="21"/>
      <c r="F630" s="21"/>
      <c r="G630" s="21"/>
      <c r="H630" s="21"/>
      <c r="I630" s="332"/>
      <c r="J630" s="332"/>
      <c r="K630" s="332"/>
      <c r="L630" s="395">
        <f t="shared" si="281"/>
        <v>0</v>
      </c>
      <c r="M630" s="395">
        <f t="shared" si="273"/>
        <v>0</v>
      </c>
      <c r="N630" s="615">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5"/>
      <c r="B642" s="332"/>
      <c r="C642" s="21"/>
      <c r="D642" s="21"/>
      <c r="E642" s="21"/>
      <c r="F642" s="21"/>
      <c r="G642" s="21"/>
      <c r="H642" s="21"/>
      <c r="I642" s="332"/>
      <c r="J642" s="332"/>
      <c r="K642" s="332"/>
      <c r="L642" s="395">
        <f t="shared" si="281"/>
        <v>0</v>
      </c>
      <c r="M642" s="395">
        <f t="shared" si="273"/>
        <v>0</v>
      </c>
      <c r="N642" s="615">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5"/>
      <c r="B654" s="332"/>
      <c r="C654" s="21"/>
      <c r="D654" s="21"/>
      <c r="E654" s="21"/>
      <c r="F654" s="21"/>
      <c r="G654" s="21"/>
      <c r="H654" s="21"/>
      <c r="I654" s="332"/>
      <c r="J654" s="332"/>
      <c r="K654" s="332"/>
      <c r="L654" s="395">
        <f t="shared" si="281"/>
        <v>0</v>
      </c>
      <c r="M654" s="395">
        <f t="shared" si="273"/>
        <v>0</v>
      </c>
      <c r="N654" s="615">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5"/>
      <c r="B666" s="332"/>
      <c r="C666" s="21"/>
      <c r="D666" s="21"/>
      <c r="E666" s="21"/>
      <c r="F666" s="21"/>
      <c r="G666" s="21"/>
      <c r="H666" s="21"/>
      <c r="I666" s="332"/>
      <c r="J666" s="332"/>
      <c r="K666" s="332"/>
      <c r="L666" s="395">
        <f t="shared" si="281"/>
        <v>0</v>
      </c>
      <c r="M666" s="395">
        <f t="shared" si="291"/>
        <v>0</v>
      </c>
      <c r="N666" s="615">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5"/>
      <c r="B678" s="332"/>
      <c r="C678" s="21"/>
      <c r="D678" s="21"/>
      <c r="E678" s="21"/>
      <c r="F678" s="21"/>
      <c r="G678" s="21"/>
      <c r="H678" s="21"/>
      <c r="I678" s="332"/>
      <c r="J678" s="332"/>
      <c r="K678" s="332"/>
      <c r="L678" s="395">
        <f t="shared" si="281"/>
        <v>0</v>
      </c>
      <c r="M678" s="395">
        <f t="shared" si="291"/>
        <v>0</v>
      </c>
      <c r="N678" s="615">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5"/>
      <c r="B690" s="332"/>
      <c r="C690" s="21"/>
      <c r="D690" s="21"/>
      <c r="E690" s="21"/>
      <c r="F690" s="21"/>
      <c r="G690" s="21"/>
      <c r="H690" s="21"/>
      <c r="I690" s="332"/>
      <c r="J690" s="332"/>
      <c r="K690" s="332"/>
      <c r="L690" s="395">
        <f t="shared" si="281"/>
        <v>0</v>
      </c>
      <c r="M690" s="395">
        <f t="shared" si="291"/>
        <v>0</v>
      </c>
      <c r="N690" s="615">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5"/>
      <c r="B702" s="332"/>
      <c r="C702" s="21"/>
      <c r="D702" s="21"/>
      <c r="E702" s="21"/>
      <c r="F702" s="21"/>
      <c r="G702" s="21"/>
      <c r="H702" s="21"/>
      <c r="I702" s="332"/>
      <c r="J702" s="332"/>
      <c r="K702" s="332"/>
      <c r="L702" s="395">
        <f t="shared" si="299"/>
        <v>0</v>
      </c>
      <c r="M702" s="395">
        <f t="shared" si="291"/>
        <v>0</v>
      </c>
      <c r="N702" s="615">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5"/>
      <c r="B714" s="332"/>
      <c r="C714" s="21"/>
      <c r="D714" s="21"/>
      <c r="E714" s="21"/>
      <c r="F714" s="21"/>
      <c r="G714" s="21"/>
      <c r="H714" s="21"/>
      <c r="I714" s="332"/>
      <c r="J714" s="332"/>
      <c r="K714" s="332"/>
      <c r="L714" s="395">
        <f t="shared" si="299"/>
        <v>0</v>
      </c>
      <c r="M714" s="395">
        <f t="shared" si="291"/>
        <v>0</v>
      </c>
      <c r="N714" s="615">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5"/>
      <c r="B726" s="332"/>
      <c r="C726" s="21"/>
      <c r="D726" s="21"/>
      <c r="E726" s="21"/>
      <c r="F726" s="21"/>
      <c r="G726" s="21"/>
      <c r="H726" s="21"/>
      <c r="I726" s="332"/>
      <c r="J726" s="332"/>
      <c r="K726" s="332"/>
      <c r="L726" s="395">
        <f t="shared" si="299"/>
        <v>0</v>
      </c>
      <c r="M726" s="395">
        <f t="shared" si="309"/>
        <v>0</v>
      </c>
      <c r="N726" s="615">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5"/>
      <c r="B738" s="332"/>
      <c r="C738" s="21"/>
      <c r="D738" s="21"/>
      <c r="E738" s="21"/>
      <c r="F738" s="21"/>
      <c r="G738" s="21"/>
      <c r="H738" s="21"/>
      <c r="I738" s="332"/>
      <c r="J738" s="332"/>
      <c r="K738" s="332"/>
      <c r="L738" s="395">
        <f t="shared" si="299"/>
        <v>0</v>
      </c>
      <c r="M738" s="395">
        <f t="shared" si="309"/>
        <v>0</v>
      </c>
      <c r="N738" s="615">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5"/>
      <c r="B750" s="332"/>
      <c r="C750" s="21"/>
      <c r="D750" s="21"/>
      <c r="E750" s="21"/>
      <c r="F750" s="21"/>
      <c r="G750" s="21"/>
      <c r="H750" s="21"/>
      <c r="I750" s="332"/>
      <c r="J750" s="332"/>
      <c r="K750" s="332"/>
      <c r="L750" s="395">
        <f t="shared" si="299"/>
        <v>0</v>
      </c>
      <c r="M750" s="395">
        <f t="shared" si="309"/>
        <v>0</v>
      </c>
      <c r="N750" s="615">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5"/>
      <c r="B762" s="332"/>
      <c r="C762" s="21"/>
      <c r="D762" s="21"/>
      <c r="E762" s="21"/>
      <c r="F762" s="21"/>
      <c r="G762" s="21"/>
      <c r="H762" s="21"/>
      <c r="I762" s="332"/>
      <c r="J762" s="332"/>
      <c r="K762" s="332"/>
      <c r="L762" s="395">
        <f t="shared" si="317"/>
        <v>0</v>
      </c>
      <c r="M762" s="395">
        <f t="shared" si="309"/>
        <v>0</v>
      </c>
      <c r="N762" s="615">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5"/>
      <c r="B774" s="332"/>
      <c r="C774" s="21"/>
      <c r="D774" s="21"/>
      <c r="E774" s="21"/>
      <c r="F774" s="21"/>
      <c r="G774" s="21"/>
      <c r="H774" s="21"/>
      <c r="I774" s="332"/>
      <c r="J774" s="332"/>
      <c r="K774" s="332"/>
      <c r="L774" s="395">
        <f t="shared" si="317"/>
        <v>0</v>
      </c>
      <c r="M774" s="395">
        <f t="shared" si="309"/>
        <v>0</v>
      </c>
      <c r="N774" s="615">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5"/>
      <c r="B786" s="332"/>
      <c r="C786" s="21"/>
      <c r="D786" s="21"/>
      <c r="E786" s="21"/>
      <c r="F786" s="21"/>
      <c r="G786" s="21"/>
      <c r="H786" s="21"/>
      <c r="I786" s="332"/>
      <c r="J786" s="332"/>
      <c r="K786" s="332"/>
      <c r="L786" s="395">
        <f t="shared" si="317"/>
        <v>0</v>
      </c>
      <c r="M786" s="395">
        <f t="shared" si="309"/>
        <v>0</v>
      </c>
      <c r="N786" s="615">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6"/>
      <c r="M787" s="22">
        <f t="shared" si="309"/>
        <v>0</v>
      </c>
      <c r="N787" s="616">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6"/>
      <c r="M788" s="22">
        <f t="shared" ref="M788:M832" si="327">IF($A788&lt;&gt;"",M787+1,0)</f>
        <v>0</v>
      </c>
      <c r="N788" s="616">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6"/>
      <c r="M789" s="22">
        <f t="shared" si="327"/>
        <v>0</v>
      </c>
      <c r="N789" s="616">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6"/>
      <c r="M790" s="22">
        <f t="shared" si="327"/>
        <v>0</v>
      </c>
      <c r="N790" s="616">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6"/>
      <c r="M791" s="22">
        <f t="shared" si="327"/>
        <v>0</v>
      </c>
      <c r="N791" s="616">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6"/>
      <c r="M792" s="22">
        <f t="shared" si="327"/>
        <v>0</v>
      </c>
      <c r="N792" s="616">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6"/>
      <c r="M793" s="22">
        <f t="shared" si="327"/>
        <v>0</v>
      </c>
      <c r="N793" s="616">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6"/>
      <c r="M794" s="22">
        <f t="shared" si="327"/>
        <v>0</v>
      </c>
      <c r="N794" s="616">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6"/>
      <c r="M795" s="22">
        <f t="shared" si="327"/>
        <v>0</v>
      </c>
      <c r="N795" s="616">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6"/>
      <c r="M796" s="22">
        <f t="shared" si="327"/>
        <v>0</v>
      </c>
      <c r="N796" s="616">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6"/>
      <c r="M797" s="22">
        <f t="shared" si="327"/>
        <v>0</v>
      </c>
      <c r="N797" s="616">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6"/>
      <c r="M798" s="22">
        <f t="shared" si="327"/>
        <v>0</v>
      </c>
      <c r="N798" s="616">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6"/>
      <c r="M799" s="22">
        <f t="shared" si="327"/>
        <v>0</v>
      </c>
      <c r="N799" s="616">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6"/>
      <c r="M800" s="22">
        <f t="shared" si="327"/>
        <v>0</v>
      </c>
      <c r="N800" s="616">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6"/>
      <c r="M801" s="22">
        <f t="shared" si="327"/>
        <v>0</v>
      </c>
      <c r="N801" s="616">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6"/>
      <c r="M802" s="22">
        <f t="shared" si="327"/>
        <v>0</v>
      </c>
      <c r="N802" s="616">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6"/>
      <c r="M803" s="22">
        <f t="shared" si="327"/>
        <v>0</v>
      </c>
      <c r="N803" s="616">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6"/>
      <c r="M804" s="22">
        <f t="shared" si="327"/>
        <v>0</v>
      </c>
      <c r="N804" s="616">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6"/>
      <c r="M805" s="22">
        <f t="shared" si="327"/>
        <v>0</v>
      </c>
      <c r="N805" s="616">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6"/>
      <c r="M806" s="22">
        <f t="shared" si="327"/>
        <v>0</v>
      </c>
      <c r="N806" s="616">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6"/>
      <c r="M807" s="22">
        <f t="shared" si="327"/>
        <v>0</v>
      </c>
      <c r="N807" s="616">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6"/>
      <c r="M808" s="22">
        <f t="shared" si="327"/>
        <v>0</v>
      </c>
      <c r="N808" s="616">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6"/>
      <c r="M809" s="22">
        <f t="shared" si="327"/>
        <v>0</v>
      </c>
      <c r="N809" s="616">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6"/>
      <c r="M810" s="22">
        <f t="shared" si="327"/>
        <v>0</v>
      </c>
      <c r="N810" s="616">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6"/>
      <c r="M811" s="22">
        <f t="shared" si="327"/>
        <v>0</v>
      </c>
      <c r="N811" s="616">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6"/>
      <c r="M812" s="22">
        <f t="shared" si="327"/>
        <v>0</v>
      </c>
      <c r="N812" s="616">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6"/>
      <c r="M813" s="22">
        <f t="shared" si="327"/>
        <v>0</v>
      </c>
      <c r="N813" s="616">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6"/>
      <c r="M814" s="22">
        <f t="shared" si="327"/>
        <v>0</v>
      </c>
      <c r="N814" s="616">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6"/>
      <c r="M815" s="22">
        <f t="shared" si="327"/>
        <v>0</v>
      </c>
      <c r="N815" s="616">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6"/>
      <c r="M816" s="22">
        <f t="shared" si="327"/>
        <v>0</v>
      </c>
      <c r="N816" s="616">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6"/>
      <c r="M817" s="22">
        <f t="shared" si="327"/>
        <v>0</v>
      </c>
      <c r="N817" s="616">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6"/>
      <c r="M818" s="22">
        <f t="shared" si="327"/>
        <v>0</v>
      </c>
      <c r="N818" s="616">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6"/>
      <c r="M819" s="22">
        <f t="shared" si="327"/>
        <v>0</v>
      </c>
      <c r="N819" s="616">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6"/>
      <c r="M820" s="22">
        <f t="shared" si="327"/>
        <v>0</v>
      </c>
      <c r="N820" s="616">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6"/>
      <c r="M821" s="22">
        <f t="shared" si="327"/>
        <v>0</v>
      </c>
      <c r="N821" s="616">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6"/>
      <c r="M822" s="22">
        <f t="shared" si="327"/>
        <v>0</v>
      </c>
      <c r="N822" s="616">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6"/>
      <c r="M823" s="22">
        <f t="shared" si="327"/>
        <v>0</v>
      </c>
      <c r="N823" s="616">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6"/>
      <c r="M824" s="22">
        <f t="shared" si="327"/>
        <v>0</v>
      </c>
      <c r="N824" s="616">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6"/>
      <c r="M825" s="22">
        <f t="shared" si="327"/>
        <v>0</v>
      </c>
      <c r="N825" s="616">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6"/>
      <c r="M826" s="22">
        <f t="shared" si="327"/>
        <v>0</v>
      </c>
      <c r="N826" s="616">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6"/>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6"/>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6"/>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6"/>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6"/>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6"/>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X13:Z13"/>
    <mergeCell ref="O16:Z16"/>
    <mergeCell ref="X8:Z8"/>
    <mergeCell ref="X9:Z9"/>
    <mergeCell ref="X10:Z10"/>
    <mergeCell ref="X11:Z11"/>
    <mergeCell ref="X12:Z12"/>
    <mergeCell ref="C17:H17"/>
    <mergeCell ref="I17:J17"/>
    <mergeCell ref="Q17:V17"/>
    <mergeCell ref="W17:X17"/>
    <mergeCell ref="AA17:AE17"/>
    <mergeCell ref="K2:L2"/>
    <mergeCell ref="K3:L3"/>
    <mergeCell ref="K4:L4"/>
    <mergeCell ref="X6:Z6"/>
    <mergeCell ref="X7:Z7"/>
    <mergeCell ref="X5:AA5"/>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799" t="s">
        <v>1113</v>
      </c>
      <c r="I22" s="799"/>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00" t="str">
        <f>'Trade Properties'!$R$19</f>
        <v>Trade credit is not final until titles/bills of sale, lien releases or payoff documentation, possession/keys, tenant and rent information, and park/lot approvals are delivered and accepted.</v>
      </c>
      <c r="J28" s="659"/>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00" t="s">
        <v>1121</v>
      </c>
      <c r="J29" s="659"/>
      <c r="K29" s="129"/>
    </row>
    <row r="30" spans="1:11" ht="33.950000000000003" customHeight="1" thickBot="1" x14ac:dyDescent="0.3">
      <c r="A30" s="30" t="s">
        <v>703</v>
      </c>
      <c r="B30" s="529" t="str">
        <f>+MOG!B4&amp;" "&amp;MOG!C4</f>
        <v>April D. Tunnard</v>
      </c>
      <c r="C30" s="528"/>
      <c r="D30" s="472" t="s">
        <v>729</v>
      </c>
      <c r="E30" s="515"/>
      <c r="F30" s="528"/>
      <c r="G30" s="450"/>
      <c r="H30" s="554" t="s">
        <v>1122</v>
      </c>
      <c r="I30" s="800" t="s">
        <v>1123</v>
      </c>
      <c r="J30" s="659"/>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01" t="s">
        <v>1075</v>
      </c>
      <c r="B1" s="801"/>
      <c r="C1" s="801"/>
      <c r="D1" s="801"/>
      <c r="E1" s="801"/>
      <c r="F1" s="801"/>
      <c r="G1" s="801"/>
      <c r="H1" s="801"/>
      <c r="I1" s="801"/>
      <c r="J1" s="801"/>
      <c r="K1" s="801"/>
      <c r="L1" s="801"/>
      <c r="M1" s="801"/>
      <c r="N1" s="801"/>
      <c r="O1" s="801"/>
    </row>
    <row r="2" spans="1:18" ht="33.950000000000003" customHeight="1" x14ac:dyDescent="0.25">
      <c r="A2" s="802" t="s">
        <v>1076</v>
      </c>
      <c r="B2" s="802"/>
      <c r="C2" s="802"/>
      <c r="D2" s="802"/>
      <c r="E2" s="802"/>
      <c r="F2" s="802"/>
      <c r="G2" s="802"/>
      <c r="H2" s="802"/>
      <c r="I2" s="802"/>
      <c r="J2" s="802"/>
      <c r="K2" s="802"/>
      <c r="L2" s="802"/>
      <c r="M2" s="802"/>
      <c r="N2" s="802"/>
      <c r="O2" s="802"/>
    </row>
    <row r="3" spans="1:18" ht="33.950000000000003" customHeight="1" x14ac:dyDescent="0.25">
      <c r="A3" s="802"/>
      <c r="B3" s="802"/>
      <c r="C3" s="802"/>
      <c r="D3" s="802"/>
      <c r="E3" s="802"/>
      <c r="F3" s="802"/>
      <c r="G3" s="802"/>
      <c r="H3" s="802"/>
      <c r="I3" s="803"/>
      <c r="J3" s="802"/>
      <c r="K3" s="802"/>
      <c r="L3" s="802"/>
      <c r="M3" s="802"/>
      <c r="N3" s="802"/>
      <c r="O3" s="802"/>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04" t="s">
        <v>1097</v>
      </c>
      <c r="R5" s="804"/>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11" t="s">
        <v>79</v>
      </c>
      <c r="D1" s="812"/>
      <c r="E1" s="659"/>
      <c r="I1" s="805"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13" t="s">
        <v>80</v>
      </c>
      <c r="K1" s="805"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59"/>
      <c r="J2" s="813"/>
      <c r="K2" s="805"/>
    </row>
    <row r="3" spans="1:11" ht="16.5" customHeight="1" x14ac:dyDescent="0.25">
      <c r="A3" t="s">
        <v>81</v>
      </c>
      <c r="B3" s="229" t="s">
        <v>686</v>
      </c>
      <c r="C3" s="228" t="s">
        <v>678</v>
      </c>
      <c r="D3" s="22"/>
      <c r="I3" s="659"/>
      <c r="J3" s="222"/>
      <c r="K3" s="805"/>
    </row>
    <row r="4" spans="1:11" x14ac:dyDescent="0.25">
      <c r="A4" t="s">
        <v>82</v>
      </c>
      <c r="B4" s="227" t="s">
        <v>687</v>
      </c>
      <c r="C4" s="230" t="s">
        <v>678</v>
      </c>
      <c r="D4" s="22"/>
      <c r="I4" s="659"/>
      <c r="K4" s="805"/>
    </row>
    <row r="5" spans="1:11" ht="16.5" x14ac:dyDescent="0.3">
      <c r="A5" t="s">
        <v>83</v>
      </c>
      <c r="B5" s="217"/>
      <c r="C5" s="218"/>
      <c r="D5" s="22"/>
      <c r="I5" s="659"/>
      <c r="K5" s="805"/>
    </row>
    <row r="6" spans="1:11" ht="15" customHeight="1" thickBot="1" x14ac:dyDescent="0.3">
      <c r="A6" t="s">
        <v>84</v>
      </c>
      <c r="B6" s="219"/>
      <c r="C6" s="220"/>
      <c r="D6" s="22"/>
      <c r="I6" s="659"/>
      <c r="K6" s="805"/>
    </row>
    <row r="7" spans="1:11" x14ac:dyDescent="0.25">
      <c r="I7" s="659"/>
      <c r="K7" s="805"/>
    </row>
    <row r="8" spans="1:11" x14ac:dyDescent="0.25">
      <c r="I8" s="659"/>
      <c r="K8" s="805"/>
    </row>
    <row r="9" spans="1:11" x14ac:dyDescent="0.25">
      <c r="A9" s="15" t="s">
        <v>85</v>
      </c>
      <c r="B9" s="15" t="s">
        <v>86</v>
      </c>
      <c r="C9" s="15"/>
      <c r="I9" s="659"/>
      <c r="K9" s="805"/>
    </row>
    <row r="10" spans="1:11" x14ac:dyDescent="0.25">
      <c r="B10" s="814" t="s">
        <v>87</v>
      </c>
      <c r="C10" s="815"/>
      <c r="D10" s="815"/>
      <c r="E10" s="815"/>
      <c r="F10" s="815"/>
      <c r="G10" s="815"/>
      <c r="I10" s="659"/>
      <c r="K10" s="805"/>
    </row>
    <row r="11" spans="1:11" x14ac:dyDescent="0.25">
      <c r="B11" s="659"/>
      <c r="C11" s="659"/>
      <c r="D11" s="659"/>
      <c r="E11" s="659"/>
      <c r="F11" s="659"/>
      <c r="G11" s="659"/>
      <c r="I11" s="659"/>
      <c r="K11" s="805"/>
    </row>
    <row r="12" spans="1:11" x14ac:dyDescent="0.25">
      <c r="F12" s="806" t="s">
        <v>88</v>
      </c>
      <c r="I12" s="659"/>
      <c r="K12" s="805"/>
    </row>
    <row r="13" spans="1:11" ht="15.75" thickBot="1" x14ac:dyDescent="0.3">
      <c r="B13" s="31" t="s">
        <v>89</v>
      </c>
      <c r="C13" s="215" t="s">
        <v>90</v>
      </c>
      <c r="D13" s="31" t="s">
        <v>91</v>
      </c>
      <c r="E13" s="31"/>
      <c r="F13" s="788"/>
      <c r="G13" s="31" t="s">
        <v>92</v>
      </c>
      <c r="I13" s="659"/>
      <c r="K13" s="805"/>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59"/>
      <c r="K14" s="805"/>
    </row>
    <row r="15" spans="1:11" ht="16.5" thickTop="1" thickBot="1" x14ac:dyDescent="0.3">
      <c r="C15" s="187"/>
      <c r="D15" s="188" t="s">
        <v>93</v>
      </c>
      <c r="E15" s="189">
        <f>+Profit!$M$49</f>
        <v>-4446.7850890000082</v>
      </c>
      <c r="H15" s="216"/>
      <c r="K15" s="805"/>
    </row>
    <row r="16" spans="1:11" ht="16.5" thickTop="1" thickBot="1" x14ac:dyDescent="0.3">
      <c r="C16" s="187"/>
      <c r="D16" s="190" t="s">
        <v>94</v>
      </c>
      <c r="E16" s="191">
        <f>+G14/E15</f>
        <v>-8.4167604999810468</v>
      </c>
      <c r="F16" s="224">
        <v>0.1</v>
      </c>
      <c r="H16" s="216" t="s">
        <v>95</v>
      </c>
      <c r="I16" s="805"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05"/>
    </row>
    <row r="17" spans="1:13" ht="15.75" thickTop="1" x14ac:dyDescent="0.25">
      <c r="C17" s="187"/>
      <c r="D17" s="190" t="s">
        <v>96</v>
      </c>
      <c r="E17" s="191">
        <f>+G14/(F14+G14)</f>
        <v>0.89267193829237945</v>
      </c>
      <c r="F17" t="s">
        <v>97</v>
      </c>
      <c r="I17" s="805"/>
      <c r="K17" s="805"/>
    </row>
    <row r="18" spans="1:13" x14ac:dyDescent="0.25">
      <c r="I18" s="805"/>
      <c r="K18" s="805"/>
    </row>
    <row r="19" spans="1:13" ht="15.75" thickBot="1" x14ac:dyDescent="0.3">
      <c r="A19" s="15" t="s">
        <v>98</v>
      </c>
      <c r="B19" s="15" t="s">
        <v>99</v>
      </c>
      <c r="D19" s="15" t="s">
        <v>100</v>
      </c>
      <c r="H19">
        <f>IF(H20="X",1,0)</f>
        <v>0</v>
      </c>
      <c r="K19" s="805"/>
    </row>
    <row r="20" spans="1:13" ht="15" customHeight="1" thickTop="1" thickBot="1" x14ac:dyDescent="0.3">
      <c r="B20" t="s">
        <v>101</v>
      </c>
      <c r="H20" s="216"/>
      <c r="I20" s="805"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05"/>
    </row>
    <row r="21" spans="1:13" ht="15.75" thickTop="1" x14ac:dyDescent="0.25">
      <c r="B21" t="s">
        <v>102</v>
      </c>
      <c r="I21" s="805"/>
      <c r="J21" s="213"/>
      <c r="K21" s="805"/>
      <c r="L21" s="212"/>
      <c r="M21" s="212"/>
    </row>
    <row r="22" spans="1:13" ht="30" x14ac:dyDescent="0.25">
      <c r="F22" s="61" t="s">
        <v>103</v>
      </c>
      <c r="I22" s="805"/>
      <c r="J22" s="212"/>
      <c r="K22" s="805"/>
      <c r="L22" s="212"/>
      <c r="M22" s="212"/>
    </row>
    <row r="23" spans="1:13" ht="15.75" thickBot="1" x14ac:dyDescent="0.3">
      <c r="B23" s="31" t="s">
        <v>104</v>
      </c>
      <c r="C23" s="807"/>
      <c r="D23" s="808"/>
      <c r="E23" s="808"/>
      <c r="F23" s="808"/>
      <c r="G23" s="31" t="s">
        <v>92</v>
      </c>
      <c r="I23" s="825"/>
      <c r="J23" s="212"/>
      <c r="K23" s="805"/>
      <c r="L23" s="212"/>
      <c r="M23" s="212"/>
    </row>
    <row r="24" spans="1:13" ht="16.5" thickTop="1" thickBot="1" x14ac:dyDescent="0.3">
      <c r="B24" s="223">
        <f>+SUM(Profit!C19:'Profit'!C20)</f>
        <v>5000</v>
      </c>
      <c r="C24" s="809" t="s">
        <v>105</v>
      </c>
      <c r="D24" s="810"/>
      <c r="E24" s="810"/>
      <c r="F24" s="10">
        <f>+B24</f>
        <v>5000</v>
      </c>
      <c r="G24" s="192">
        <f>+Profit!M63</f>
        <v>-73006.028174349995</v>
      </c>
      <c r="I24" s="659"/>
      <c r="K24" s="805"/>
    </row>
    <row r="25" spans="1:13" ht="15.4" customHeight="1" thickTop="1" thickBot="1" x14ac:dyDescent="0.3">
      <c r="C25" s="187"/>
      <c r="D25" s="188" t="s">
        <v>93</v>
      </c>
      <c r="E25" s="189">
        <f>+Profit!$M$49</f>
        <v>-4446.7850890000082</v>
      </c>
      <c r="H25">
        <f>IF(H26="X",1+H19,H19)</f>
        <v>1</v>
      </c>
      <c r="K25" s="805"/>
    </row>
    <row r="26" spans="1:13" ht="15" customHeight="1" thickTop="1" thickBot="1" x14ac:dyDescent="0.3">
      <c r="C26" s="187"/>
      <c r="D26" s="190" t="s">
        <v>94</v>
      </c>
      <c r="E26" s="191">
        <f>+G24/E25</f>
        <v>16.417710033917462</v>
      </c>
      <c r="H26" s="216" t="s">
        <v>106</v>
      </c>
      <c r="I26" s="805"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05"/>
    </row>
    <row r="27" spans="1:13" ht="15" customHeight="1" thickTop="1" x14ac:dyDescent="0.25">
      <c r="C27" s="187"/>
      <c r="D27" s="190" t="s">
        <v>96</v>
      </c>
      <c r="E27" s="191">
        <f>+G24/(F24+G24)</f>
        <v>1.0735228939878871</v>
      </c>
      <c r="I27" s="805"/>
      <c r="K27" s="805"/>
    </row>
    <row r="28" spans="1:13" ht="15" customHeight="1" x14ac:dyDescent="0.25">
      <c r="I28" s="805"/>
      <c r="K28" s="805"/>
    </row>
    <row r="29" spans="1:13" x14ac:dyDescent="0.25">
      <c r="A29" s="15"/>
      <c r="B29" s="15"/>
      <c r="I29" s="825"/>
      <c r="K29" s="805"/>
    </row>
    <row r="30" spans="1:13" x14ac:dyDescent="0.25">
      <c r="A30" s="15" t="s">
        <v>107</v>
      </c>
      <c r="B30" s="15" t="s">
        <v>108</v>
      </c>
      <c r="D30" t="s">
        <v>109</v>
      </c>
      <c r="I30" s="659"/>
      <c r="K30" s="805"/>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05"/>
    </row>
    <row r="32" spans="1:13" ht="15.75" thickBot="1" x14ac:dyDescent="0.3">
      <c r="B32" t="s">
        <v>102</v>
      </c>
      <c r="H32">
        <f>IF(H33="X",H25+1,H25)</f>
        <v>2</v>
      </c>
      <c r="K32" s="805"/>
    </row>
    <row r="33" spans="1:13" ht="15" customHeight="1" thickTop="1" thickBot="1" x14ac:dyDescent="0.3">
      <c r="H33" s="216" t="s">
        <v>106</v>
      </c>
      <c r="I33" s="805"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05"/>
    </row>
    <row r="34" spans="1:13" ht="16.5" thickTop="1" thickBot="1" x14ac:dyDescent="0.3">
      <c r="C34" s="2" t="s">
        <v>110</v>
      </c>
      <c r="D34" s="3" t="s">
        <v>111</v>
      </c>
      <c r="F34" s="3" t="s">
        <v>112</v>
      </c>
      <c r="I34" s="805"/>
      <c r="K34" s="805"/>
    </row>
    <row r="35" spans="1:13" ht="16.5" thickTop="1" thickBot="1" x14ac:dyDescent="0.3">
      <c r="B35" s="221" t="s">
        <v>113</v>
      </c>
      <c r="C35" s="194">
        <v>10400</v>
      </c>
      <c r="D35" s="186">
        <v>60</v>
      </c>
      <c r="F35" s="806" t="s">
        <v>103</v>
      </c>
      <c r="I35" s="805"/>
      <c r="K35" s="805"/>
    </row>
    <row r="36" spans="1:13" ht="16.5" thickTop="1" thickBot="1" x14ac:dyDescent="0.3">
      <c r="B36" s="31" t="s">
        <v>114</v>
      </c>
      <c r="C36" s="31" t="s">
        <v>115</v>
      </c>
      <c r="D36" s="31" t="s">
        <v>116</v>
      </c>
      <c r="E36" s="31" t="s">
        <v>117</v>
      </c>
      <c r="F36" s="788"/>
      <c r="G36" s="31" t="s">
        <v>92</v>
      </c>
      <c r="I36" s="805"/>
      <c r="K36" s="805"/>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05"/>
      <c r="K37" s="805"/>
    </row>
    <row r="38" spans="1:13" ht="16.5" thickTop="1" thickBot="1" x14ac:dyDescent="0.3">
      <c r="B38" s="196">
        <v>0.34</v>
      </c>
      <c r="C38" s="211">
        <f>1-B38</f>
        <v>0.65999999999999992</v>
      </c>
      <c r="D38" s="10"/>
      <c r="E38" s="36"/>
      <c r="F38" s="10"/>
      <c r="G38" s="10"/>
      <c r="I38" s="805"/>
      <c r="K38" s="805"/>
    </row>
    <row r="39" spans="1:13" ht="15.4" customHeight="1" thickTop="1" x14ac:dyDescent="0.25">
      <c r="B39" s="10"/>
      <c r="C39" s="192"/>
      <c r="D39" s="188" t="s">
        <v>93</v>
      </c>
      <c r="E39" s="189">
        <f>+Profit!$M$49-C37+C35</f>
        <v>-7746.7850890000082</v>
      </c>
      <c r="F39" s="10"/>
      <c r="G39" s="10"/>
      <c r="I39" s="805"/>
      <c r="K39" s="805"/>
    </row>
    <row r="40" spans="1:13" x14ac:dyDescent="0.25">
      <c r="C40" s="187"/>
      <c r="D40" s="190" t="s">
        <v>94</v>
      </c>
      <c r="E40" s="191">
        <f>+G37/E39</f>
        <v>11.12022951258483</v>
      </c>
      <c r="I40" s="805"/>
      <c r="K40" s="805"/>
    </row>
    <row r="41" spans="1:13" ht="15" customHeight="1" thickBot="1" x14ac:dyDescent="0.3">
      <c r="C41" s="187"/>
      <c r="D41" s="190" t="s">
        <v>96</v>
      </c>
      <c r="E41" s="191">
        <f>+G37/(F37+G37)</f>
        <v>1.2667410593880546</v>
      </c>
      <c r="H41">
        <f>IF(H42="X",H32+1,H32)</f>
        <v>2</v>
      </c>
      <c r="K41" s="805"/>
    </row>
    <row r="42" spans="1:13" ht="16.5" thickTop="1" thickBot="1" x14ac:dyDescent="0.3">
      <c r="A42" s="15" t="s">
        <v>118</v>
      </c>
      <c r="B42" s="15" t="s">
        <v>119</v>
      </c>
      <c r="H42" s="216"/>
      <c r="I42" s="805"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05"/>
    </row>
    <row r="43" spans="1:13" ht="15.75" thickTop="1" x14ac:dyDescent="0.25">
      <c r="B43" t="s">
        <v>101</v>
      </c>
      <c r="I43" s="805"/>
      <c r="K43" s="659"/>
      <c r="M43" s="198"/>
    </row>
    <row r="44" spans="1:13" x14ac:dyDescent="0.25">
      <c r="B44" t="s">
        <v>102</v>
      </c>
      <c r="I44" s="805"/>
      <c r="K44" s="659"/>
    </row>
    <row r="45" spans="1:13" ht="15" customHeight="1" x14ac:dyDescent="0.25">
      <c r="B45" t="s">
        <v>120</v>
      </c>
      <c r="I45" s="805"/>
      <c r="K45" s="659"/>
    </row>
    <row r="46" spans="1:13" x14ac:dyDescent="0.25">
      <c r="B46" t="s">
        <v>121</v>
      </c>
      <c r="I46" s="805"/>
      <c r="K46" s="659"/>
    </row>
    <row r="47" spans="1:13" x14ac:dyDescent="0.25">
      <c r="F47" s="3" t="s">
        <v>122</v>
      </c>
      <c r="I47" s="805"/>
      <c r="K47" s="659"/>
    </row>
    <row r="48" spans="1:13" x14ac:dyDescent="0.25">
      <c r="C48" s="806" t="s">
        <v>123</v>
      </c>
      <c r="D48" s="806" t="s">
        <v>124</v>
      </c>
      <c r="E48" s="806" t="s">
        <v>125</v>
      </c>
      <c r="F48" s="806" t="s">
        <v>103</v>
      </c>
      <c r="I48" s="805"/>
      <c r="K48" s="659"/>
    </row>
    <row r="49" spans="1:11" ht="15.75" thickBot="1" x14ac:dyDescent="0.3">
      <c r="B49" s="3" t="s">
        <v>114</v>
      </c>
      <c r="C49" s="788" t="s">
        <v>123</v>
      </c>
      <c r="D49" s="788" t="s">
        <v>124</v>
      </c>
      <c r="E49" s="788" t="s">
        <v>126</v>
      </c>
      <c r="F49" s="788"/>
      <c r="G49" s="31" t="s">
        <v>92</v>
      </c>
      <c r="I49" s="805"/>
      <c r="K49" s="659"/>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05"/>
      <c r="K50" s="659"/>
    </row>
    <row r="51" spans="1:11" ht="15.75" thickTop="1" x14ac:dyDescent="0.25">
      <c r="D51" s="15" t="s">
        <v>127</v>
      </c>
      <c r="I51" s="214"/>
      <c r="K51" s="659"/>
    </row>
    <row r="52" spans="1:11" x14ac:dyDescent="0.25">
      <c r="C52" s="187"/>
      <c r="D52" s="188" t="s">
        <v>93</v>
      </c>
      <c r="E52" s="189">
        <f>+Profit!$M$49-B24+B50</f>
        <v>553.21491099999184</v>
      </c>
      <c r="H52" t="s">
        <v>95</v>
      </c>
      <c r="I52" s="805"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59"/>
    </row>
    <row r="53" spans="1:11" ht="15" customHeight="1" x14ac:dyDescent="0.25">
      <c r="C53" s="187"/>
      <c r="D53" s="190" t="s">
        <v>94</v>
      </c>
      <c r="E53" s="191">
        <f>+G50/E52</f>
        <v>-26.195621564338516</v>
      </c>
      <c r="I53" s="659"/>
      <c r="K53" s="659"/>
    </row>
    <row r="54" spans="1:11" x14ac:dyDescent="0.25">
      <c r="C54" s="187"/>
      <c r="D54" s="190" t="s">
        <v>96</v>
      </c>
      <c r="E54" s="191">
        <f>+G50/(F50+G50)</f>
        <v>0.37831665518402202</v>
      </c>
      <c r="I54" s="659"/>
      <c r="K54" s="659"/>
    </row>
    <row r="55" spans="1:11" ht="15" customHeight="1" x14ac:dyDescent="0.25">
      <c r="I55" s="659"/>
      <c r="K55" s="659"/>
    </row>
    <row r="56" spans="1:11" ht="15.75" thickBot="1" x14ac:dyDescent="0.3">
      <c r="B56" s="15" t="s">
        <v>128</v>
      </c>
      <c r="D56" t="s">
        <v>129</v>
      </c>
      <c r="I56" s="659"/>
      <c r="K56" s="659"/>
    </row>
    <row r="57" spans="1:11" x14ac:dyDescent="0.25">
      <c r="A57" s="816"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17"/>
      <c r="C57" s="817"/>
      <c r="D57" s="817"/>
      <c r="E57" s="817"/>
      <c r="F57" s="817"/>
      <c r="G57" s="818"/>
      <c r="I57" s="659"/>
      <c r="K57" s="659"/>
    </row>
    <row r="58" spans="1:11" x14ac:dyDescent="0.25">
      <c r="A58" s="819"/>
      <c r="B58" s="820"/>
      <c r="C58" s="820"/>
      <c r="D58" s="820"/>
      <c r="E58" s="820"/>
      <c r="F58" s="820"/>
      <c r="G58" s="821"/>
      <c r="I58" s="659"/>
      <c r="K58" s="659"/>
    </row>
    <row r="59" spans="1:11" x14ac:dyDescent="0.25">
      <c r="A59" s="819"/>
      <c r="B59" s="820"/>
      <c r="C59" s="820"/>
      <c r="D59" s="820"/>
      <c r="E59" s="820"/>
      <c r="F59" s="820"/>
      <c r="G59" s="821"/>
      <c r="K59" s="659"/>
    </row>
    <row r="60" spans="1:11" x14ac:dyDescent="0.25">
      <c r="A60" s="819"/>
      <c r="B60" s="820"/>
      <c r="C60" s="820"/>
      <c r="D60" s="820"/>
      <c r="E60" s="820"/>
      <c r="F60" s="820"/>
      <c r="G60" s="821"/>
      <c r="K60" s="659"/>
    </row>
    <row r="61" spans="1:11" x14ac:dyDescent="0.25">
      <c r="A61" s="819"/>
      <c r="B61" s="820"/>
      <c r="C61" s="820"/>
      <c r="D61" s="820"/>
      <c r="E61" s="820"/>
      <c r="F61" s="820"/>
      <c r="G61" s="821"/>
      <c r="H61" t="s">
        <v>95</v>
      </c>
      <c r="I61" s="805"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59"/>
    </row>
    <row r="62" spans="1:11" x14ac:dyDescent="0.25">
      <c r="A62" s="819"/>
      <c r="B62" s="820"/>
      <c r="C62" s="820"/>
      <c r="D62" s="820"/>
      <c r="E62" s="820"/>
      <c r="F62" s="820"/>
      <c r="G62" s="821"/>
      <c r="I62" s="659"/>
      <c r="K62" s="659"/>
    </row>
    <row r="63" spans="1:11" x14ac:dyDescent="0.25">
      <c r="A63" s="819"/>
      <c r="B63" s="820"/>
      <c r="C63" s="820"/>
      <c r="D63" s="820"/>
      <c r="E63" s="820"/>
      <c r="F63" s="820"/>
      <c r="G63" s="821"/>
      <c r="I63" s="659"/>
      <c r="K63" s="659"/>
    </row>
    <row r="64" spans="1:11" x14ac:dyDescent="0.25">
      <c r="A64" s="819"/>
      <c r="B64" s="820"/>
      <c r="C64" s="820"/>
      <c r="D64" s="820"/>
      <c r="E64" s="820"/>
      <c r="F64" s="820"/>
      <c r="G64" s="821"/>
      <c r="I64" s="659"/>
      <c r="K64" s="659"/>
    </row>
    <row r="65" spans="1:11" x14ac:dyDescent="0.25">
      <c r="A65" s="819"/>
      <c r="B65" s="820"/>
      <c r="C65" s="820"/>
      <c r="D65" s="820"/>
      <c r="E65" s="820"/>
      <c r="F65" s="820"/>
      <c r="G65" s="821"/>
      <c r="I65" s="659"/>
      <c r="K65" s="659"/>
    </row>
    <row r="66" spans="1:11" x14ac:dyDescent="0.25">
      <c r="A66" s="819"/>
      <c r="B66" s="820"/>
      <c r="C66" s="820"/>
      <c r="D66" s="820"/>
      <c r="E66" s="820"/>
      <c r="F66" s="820"/>
      <c r="G66" s="821"/>
      <c r="I66" s="659"/>
      <c r="K66" s="659"/>
    </row>
    <row r="67" spans="1:11" x14ac:dyDescent="0.25">
      <c r="A67" s="819"/>
      <c r="B67" s="820"/>
      <c r="C67" s="820"/>
      <c r="D67" s="820"/>
      <c r="E67" s="820"/>
      <c r="F67" s="820"/>
      <c r="G67" s="821"/>
      <c r="I67" s="659"/>
      <c r="K67" s="659"/>
    </row>
    <row r="68" spans="1:11" x14ac:dyDescent="0.25">
      <c r="A68" s="819"/>
      <c r="B68" s="820"/>
      <c r="C68" s="820"/>
      <c r="D68" s="820"/>
      <c r="E68" s="820"/>
      <c r="F68" s="820"/>
      <c r="G68" s="821"/>
      <c r="I68" s="659"/>
    </row>
    <row r="69" spans="1:11" x14ac:dyDescent="0.25">
      <c r="A69" s="819"/>
      <c r="B69" s="820"/>
      <c r="C69" s="820"/>
      <c r="D69" s="820"/>
      <c r="E69" s="820"/>
      <c r="F69" s="820"/>
      <c r="G69" s="821"/>
      <c r="I69" s="659"/>
    </row>
    <row r="70" spans="1:11" x14ac:dyDescent="0.25">
      <c r="A70" s="819"/>
      <c r="B70" s="820"/>
      <c r="C70" s="820"/>
      <c r="D70" s="820"/>
      <c r="E70" s="820"/>
      <c r="F70" s="820"/>
      <c r="G70" s="821"/>
      <c r="I70" s="659"/>
    </row>
    <row r="71" spans="1:11" x14ac:dyDescent="0.25">
      <c r="A71" s="819"/>
      <c r="B71" s="820"/>
      <c r="C71" s="820"/>
      <c r="D71" s="820"/>
      <c r="E71" s="820"/>
      <c r="F71" s="820"/>
      <c r="G71" s="821"/>
      <c r="I71" s="659"/>
    </row>
    <row r="72" spans="1:11" x14ac:dyDescent="0.25">
      <c r="A72" s="819"/>
      <c r="B72" s="820"/>
      <c r="C72" s="820"/>
      <c r="D72" s="820"/>
      <c r="E72" s="820"/>
      <c r="F72" s="820"/>
      <c r="G72" s="821"/>
      <c r="I72" s="659"/>
    </row>
    <row r="73" spans="1:11" x14ac:dyDescent="0.25">
      <c r="A73" s="819"/>
      <c r="B73" s="820"/>
      <c r="C73" s="820"/>
      <c r="D73" s="820"/>
      <c r="E73" s="820"/>
      <c r="F73" s="820"/>
      <c r="G73" s="821"/>
    </row>
    <row r="74" spans="1:11" x14ac:dyDescent="0.25">
      <c r="A74" s="819"/>
      <c r="B74" s="820"/>
      <c r="C74" s="820"/>
      <c r="D74" s="820"/>
      <c r="E74" s="820"/>
      <c r="F74" s="820"/>
      <c r="G74" s="821"/>
      <c r="H74" t="s">
        <v>95</v>
      </c>
      <c r="I74" s="197" t="str">
        <f>"Sincerely,
Wes Browning"</f>
        <v>Sincerely,
Wes Browning</v>
      </c>
    </row>
    <row r="75" spans="1:11" ht="15" customHeight="1" x14ac:dyDescent="0.25">
      <c r="A75" s="819"/>
      <c r="B75" s="820"/>
      <c r="C75" s="820"/>
      <c r="D75" s="820"/>
      <c r="E75" s="820"/>
      <c r="F75" s="820"/>
      <c r="G75" s="821"/>
      <c r="I75" s="197"/>
    </row>
    <row r="76" spans="1:11" x14ac:dyDescent="0.25">
      <c r="A76" s="819"/>
      <c r="B76" s="820"/>
      <c r="C76" s="820"/>
      <c r="D76" s="820"/>
      <c r="E76" s="820"/>
      <c r="F76" s="820"/>
      <c r="G76" s="821"/>
      <c r="I76" s="197"/>
    </row>
    <row r="77" spans="1:11" x14ac:dyDescent="0.25">
      <c r="A77" s="819"/>
      <c r="B77" s="820"/>
      <c r="C77" s="820"/>
      <c r="D77" s="820"/>
      <c r="E77" s="820"/>
      <c r="F77" s="820"/>
      <c r="G77" s="821"/>
    </row>
    <row r="78" spans="1:11" x14ac:dyDescent="0.25">
      <c r="A78" s="819"/>
      <c r="B78" s="820"/>
      <c r="C78" s="820"/>
      <c r="D78" s="820"/>
      <c r="E78" s="820"/>
      <c r="F78" s="820"/>
      <c r="G78" s="821"/>
    </row>
    <row r="79" spans="1:11" ht="15.75" thickBot="1" x14ac:dyDescent="0.3">
      <c r="A79" s="822"/>
      <c r="B79" s="823"/>
      <c r="C79" s="823"/>
      <c r="D79" s="823"/>
      <c r="E79" s="823"/>
      <c r="F79" s="823"/>
      <c r="G79" s="824"/>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26" t="s">
        <v>841</v>
      </c>
      <c r="B1" s="827"/>
      <c r="C1" s="828"/>
      <c r="D1" s="826" t="s">
        <v>474</v>
      </c>
      <c r="E1" s="827"/>
      <c r="F1" s="828"/>
      <c r="G1" s="826" t="s">
        <v>586</v>
      </c>
      <c r="H1" s="827"/>
      <c r="I1" s="828"/>
      <c r="J1" s="826" t="s">
        <v>887</v>
      </c>
      <c r="K1" s="827"/>
      <c r="L1" s="828"/>
      <c r="M1" s="826" t="s">
        <v>475</v>
      </c>
      <c r="N1" s="827"/>
      <c r="O1" s="828"/>
      <c r="P1" s="826" t="s">
        <v>888</v>
      </c>
      <c r="Q1" s="827"/>
      <c r="R1" s="828"/>
      <c r="S1" s="826" t="s">
        <v>889</v>
      </c>
      <c r="T1" s="827"/>
      <c r="U1" s="828"/>
      <c r="V1" s="826" t="s">
        <v>585</v>
      </c>
      <c r="W1" s="827"/>
      <c r="X1" s="828"/>
      <c r="Y1" s="826" t="s">
        <v>635</v>
      </c>
      <c r="Z1" s="827"/>
      <c r="AA1" s="828"/>
      <c r="AB1" s="826" t="s">
        <v>890</v>
      </c>
      <c r="AC1" s="827"/>
      <c r="AD1" s="828"/>
      <c r="AE1" s="826" t="s">
        <v>891</v>
      </c>
      <c r="AF1" s="827"/>
      <c r="AG1" s="828"/>
      <c r="AH1" s="61"/>
      <c r="AI1" s="829"/>
      <c r="AJ1" s="812"/>
      <c r="AK1" s="812"/>
      <c r="AL1" s="812"/>
      <c r="AM1" s="812"/>
      <c r="AN1" s="812"/>
      <c r="AO1" s="812"/>
      <c r="AP1" s="812"/>
      <c r="AQ1" s="812"/>
      <c r="AR1" s="812"/>
      <c r="AS1" s="812"/>
    </row>
    <row r="2" spans="1:45" ht="15" customHeight="1" x14ac:dyDescent="0.25">
      <c r="C2" s="312"/>
      <c r="F2" s="312"/>
      <c r="I2" s="312"/>
      <c r="L2" s="312"/>
      <c r="O2" s="312"/>
      <c r="R2" s="312"/>
      <c r="U2" s="312"/>
      <c r="X2" s="312"/>
      <c r="AA2" s="832"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33"/>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30">
        <f>SUMIFS(tblCarryingExpenses[Amount],tblCarryingExpenses[Category],IF(A1="Mortgage Payment paid after Reinstatement","Mortgage Payment",A1),tblCarryingExpenses[Include],"Yes")</f>
        <v>89.949999999999989</v>
      </c>
      <c r="C25" s="831"/>
      <c r="D25" s="23"/>
      <c r="E25" s="830">
        <f>SUMIFS(tblCarryingExpenses[Amount],tblCarryingExpenses[Category],IF(D1="Mortgage Payment paid after Reinstatement","Mortgage Payment",D1),tblCarryingExpenses[Include],"Yes")</f>
        <v>3302.9500000000003</v>
      </c>
      <c r="F25" s="834"/>
      <c r="G25" s="507"/>
      <c r="H25" s="830">
        <f>SUMIFS(tblCarryingExpenses[Amount],tblCarryingExpenses[Category],IF(G1="Mortgage Payment paid after Reinstatement","Mortgage Payment",G1),tblCarryingExpenses[Include],"Yes")</f>
        <v>1832.74</v>
      </c>
      <c r="I25" s="831"/>
      <c r="J25" s="507"/>
      <c r="K25" s="830">
        <f>SUMIFS(tblCarryingExpenses[Amount],tblCarryingExpenses[Category],IF(J1="Mortgage Payment paid after Reinstatement","Mortgage Payment",J1),tblCarryingExpenses[Include],"Yes")</f>
        <v>0</v>
      </c>
      <c r="L25" s="831"/>
      <c r="M25" s="507"/>
      <c r="N25" s="830">
        <f>SUMIFS(tblCarryingExpenses[Amount],tblCarryingExpenses[Category],IF(M1="Mortgage Payment paid after Reinstatement","Mortgage Payment",M1),tblCarryingExpenses[Include],"Yes")</f>
        <v>0</v>
      </c>
      <c r="O25" s="831"/>
      <c r="P25" s="507"/>
      <c r="Q25" s="830">
        <f>SUMIFS(tblCarryingExpenses[Amount],tblCarryingExpenses[Category],IF(P1="Mortgage Payment paid after Reinstatement","Mortgage Payment",P1),tblCarryingExpenses[Include],"Yes")</f>
        <v>277.64</v>
      </c>
      <c r="R25" s="831"/>
      <c r="S25" s="507"/>
      <c r="T25" s="830">
        <f>SUMIFS(tblCarryingExpenses[Amount],tblCarryingExpenses[Category],IF(S1="Mortgage Payment paid after Reinstatement","Mortgage Payment",S1),tblCarryingExpenses[Include],"Yes")</f>
        <v>0</v>
      </c>
      <c r="U25" s="831"/>
      <c r="V25" s="507"/>
      <c r="W25" s="830">
        <f>SUMIFS(tblCarryingExpenses[Amount],tblCarryingExpenses[Category],IF(V1="Mortgage Payment paid after Reinstatement","Mortgage Payment",V1),tblCarryingExpenses[Include],"Yes")</f>
        <v>0</v>
      </c>
      <c r="X25" s="831"/>
      <c r="Y25" s="507"/>
      <c r="Z25" s="830">
        <f>SUM(Z4:AA23)</f>
        <v>0</v>
      </c>
      <c r="AA25" s="831"/>
      <c r="AB25" s="507"/>
      <c r="AC25" s="830">
        <f>SUMIFS(tblCarryingExpenses[Amount],tblCarryingExpenses[Category],IF(AB1="Mortgage Payment paid after Reinstatement","Mortgage Payment",AB1),tblCarryingExpenses[Include],"Yes")</f>
        <v>0</v>
      </c>
      <c r="AD25" s="831"/>
      <c r="AE25" s="507"/>
      <c r="AF25" s="830">
        <f>SUMIFS(tblCarryingExpenses[Amount],tblCarryingExpenses[Category],IF(AE1="Mortgage Payment paid after Reinstatement","Mortgage Payment",AE1),tblCarryingExpenses[Include],"Yes")</f>
        <v>0</v>
      </c>
      <c r="AG25" s="831"/>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5" t="str">
        <f>"Preassigned Rows Indicating Payment or Scheduling by " &amp;Profit!E1&amp;" Your Home"</f>
        <v>Preassigned Rows Indicating Payment or Scheduling by  Your Home</v>
      </c>
      <c r="C2" s="836"/>
      <c r="E2" s="54"/>
    </row>
    <row r="3" spans="1:13" ht="15.75" hidden="1" thickBot="1" x14ac:dyDescent="0.3">
      <c r="B3" s="837"/>
      <c r="C3" s="838"/>
      <c r="E3" s="54"/>
    </row>
    <row r="4" spans="1:13" hidden="1" x14ac:dyDescent="0.25">
      <c r="B4" s="843" t="s">
        <v>173</v>
      </c>
      <c r="C4" s="844"/>
      <c r="E4" s="54"/>
    </row>
    <row r="5" spans="1:13" ht="15.75" hidden="1" thickBot="1" x14ac:dyDescent="0.3">
      <c r="B5" s="845"/>
      <c r="C5" s="846"/>
      <c r="E5" s="54"/>
    </row>
    <row r="6" spans="1:13" hidden="1" x14ac:dyDescent="0.25">
      <c r="B6" s="839" t="s">
        <v>174</v>
      </c>
      <c r="C6" s="840"/>
      <c r="E6" s="54"/>
    </row>
    <row r="7" spans="1:13" ht="15.75" hidden="1" thickBot="1" x14ac:dyDescent="0.3">
      <c r="B7" s="841"/>
      <c r="C7" s="842"/>
    </row>
    <row r="8" spans="1:13" hidden="1" x14ac:dyDescent="0.25">
      <c r="B8" s="847" t="s">
        <v>175</v>
      </c>
      <c r="C8" s="848"/>
    </row>
    <row r="9" spans="1:13" ht="15.75" hidden="1" thickBot="1" x14ac:dyDescent="0.3">
      <c r="B9" s="849"/>
      <c r="C9" s="850"/>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60" t="s">
        <v>197</v>
      </c>
      <c r="B1" s="861"/>
      <c r="C1" s="861"/>
      <c r="D1" s="861"/>
      <c r="E1" s="861"/>
      <c r="F1" s="861"/>
      <c r="G1" s="861"/>
      <c r="H1" s="862"/>
      <c r="I1" s="851" t="s">
        <v>198</v>
      </c>
      <c r="J1" s="852"/>
      <c r="K1" s="852"/>
      <c r="L1" s="852"/>
      <c r="M1" s="852"/>
      <c r="N1" s="853"/>
      <c r="P1" s="30" t="s">
        <v>199</v>
      </c>
      <c r="Q1" s="15">
        <v>1</v>
      </c>
      <c r="R1" s="59" t="s">
        <v>200</v>
      </c>
      <c r="S1" s="15">
        <v>4</v>
      </c>
    </row>
    <row r="2" spans="1:19" x14ac:dyDescent="0.25">
      <c r="A2" s="863"/>
      <c r="B2" s="659"/>
      <c r="C2" s="659"/>
      <c r="D2" s="659"/>
      <c r="E2" s="659"/>
      <c r="F2" s="659"/>
      <c r="G2" s="659"/>
      <c r="H2" s="864"/>
      <c r="I2" s="854"/>
      <c r="J2" s="855"/>
      <c r="K2" s="855"/>
      <c r="L2" s="855"/>
      <c r="M2" s="855"/>
      <c r="N2" s="856"/>
      <c r="P2" s="30" t="s">
        <v>201</v>
      </c>
      <c r="Q2" s="15">
        <v>2</v>
      </c>
      <c r="R2" s="30" t="s">
        <v>202</v>
      </c>
      <c r="S2" s="15">
        <v>0</v>
      </c>
    </row>
    <row r="3" spans="1:19" ht="15.75" thickBot="1" x14ac:dyDescent="0.3">
      <c r="A3" s="865"/>
      <c r="B3" s="866"/>
      <c r="C3" s="866"/>
      <c r="D3" s="866"/>
      <c r="E3" s="866"/>
      <c r="F3" s="866"/>
      <c r="G3" s="866"/>
      <c r="H3" s="867"/>
      <c r="I3" s="857"/>
      <c r="J3" s="858"/>
      <c r="K3" s="858"/>
      <c r="L3" s="858"/>
      <c r="M3" s="858"/>
      <c r="N3" s="859"/>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891" t="s">
        <v>215</v>
      </c>
      <c r="K1" s="891"/>
      <c r="L1" s="154"/>
      <c r="M1" s="887" t="s">
        <v>216</v>
      </c>
      <c r="N1" s="888"/>
      <c r="O1" s="263" t="s">
        <v>217</v>
      </c>
    </row>
    <row r="2" spans="1:125" ht="30" customHeight="1" thickBot="1" x14ac:dyDescent="0.35">
      <c r="A2" s="885" t="s">
        <v>488</v>
      </c>
      <c r="B2" s="886"/>
      <c r="C2" s="883" t="str">
        <f>Profit!E1&amp; " Your Home"</f>
        <v xml:space="preserve"> Your Home</v>
      </c>
      <c r="D2" s="884"/>
      <c r="E2" s="163" t="s">
        <v>218</v>
      </c>
      <c r="F2" s="881">
        <f>+MIN(ProposalToGnatt[Start Date])</f>
        <v>45363</v>
      </c>
      <c r="G2" s="882"/>
      <c r="H2" s="894" t="s">
        <v>219</v>
      </c>
      <c r="I2" s="895"/>
      <c r="J2" s="871">
        <f>+SUM(H8:H20)</f>
        <v>20549.104910999999</v>
      </c>
      <c r="K2" s="872"/>
      <c r="L2" s="155"/>
      <c r="M2" s="871">
        <f>+SUM(N8:N20)-SUM(M8:M20)</f>
        <v>0</v>
      </c>
      <c r="N2" s="639"/>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68"/>
      <c r="B3" s="869"/>
      <c r="C3" s="869"/>
      <c r="D3" s="869"/>
      <c r="E3" s="164"/>
      <c r="G3" s="34"/>
      <c r="H3" s="896" t="s">
        <v>220</v>
      </c>
      <c r="I3" s="897"/>
      <c r="J3" s="875">
        <f>SUM(H22:H25)</f>
        <v>0</v>
      </c>
      <c r="K3" s="876"/>
      <c r="L3" s="156"/>
      <c r="M3" s="875">
        <f>+J3-SUM(M22:M25)</f>
        <v>0</v>
      </c>
      <c r="N3" s="639"/>
      <c r="O3" s="265">
        <f>+SUM(H22:H25)-SUM(M22:M25)</f>
        <v>0</v>
      </c>
      <c r="AP3" s="15"/>
      <c r="AQ3" s="15"/>
      <c r="AR3" s="15"/>
    </row>
    <row r="4" spans="1:125" ht="30" customHeight="1" x14ac:dyDescent="0.3">
      <c r="A4" s="868" t="str">
        <f>+Profit!B2</f>
        <v>4121 Tensity Dr</v>
      </c>
      <c r="B4" s="869" t="str">
        <f>+Profit!B2</f>
        <v>4121 Tensity Dr</v>
      </c>
      <c r="C4" s="869"/>
      <c r="D4" s="869"/>
      <c r="E4" s="892" t="s">
        <v>221</v>
      </c>
      <c r="F4" s="893"/>
      <c r="G4" s="76">
        <v>1</v>
      </c>
      <c r="H4" s="898" t="str">
        <f>+A2 &amp; "Total:"</f>
        <v>Tim Flemming Total:</v>
      </c>
      <c r="I4" s="899"/>
      <c r="J4" s="877">
        <f>SUM(ProposalToGnatt[Price])</f>
        <v>4897.5700000000006</v>
      </c>
      <c r="K4" s="878"/>
      <c r="L4" s="157"/>
      <c r="M4" s="877" cm="1">
        <f t="array" ref="M4">+SUM(ProposalToGnatt[Due]-ProposalToGnatt[Paid])</f>
        <v>1.9895196601282805E-13</v>
      </c>
      <c r="N4" s="639"/>
      <c r="O4" s="266">
        <f>+SUM(ProposalToGnatt[Price])-SUM(ProposalToGnatt[Paid])</f>
        <v>0</v>
      </c>
      <c r="AP4" s="15"/>
      <c r="AQ4" s="15"/>
      <c r="AR4" s="15"/>
    </row>
    <row r="5" spans="1:125" ht="18" customHeight="1" thickBot="1" x14ac:dyDescent="0.3">
      <c r="A5" s="158"/>
      <c r="B5" s="159" t="s">
        <v>222</v>
      </c>
      <c r="C5" s="160"/>
      <c r="D5" s="161"/>
      <c r="E5" s="873" t="s">
        <v>223</v>
      </c>
      <c r="F5" s="874"/>
      <c r="G5" s="162">
        <v>2</v>
      </c>
      <c r="H5" s="870" t="s">
        <v>224</v>
      </c>
      <c r="I5" s="870"/>
      <c r="J5" s="879">
        <f>+SUM(J2:K4)</f>
        <v>25446.674910999998</v>
      </c>
      <c r="K5" s="880"/>
      <c r="L5" s="24"/>
      <c r="M5" s="900">
        <f>+SUM(M2:M4)</f>
        <v>1.9895196601282805E-13</v>
      </c>
      <c r="N5" s="642"/>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89" t="s">
        <v>241</v>
      </c>
      <c r="AB22" s="890"/>
      <c r="AC22" s="890"/>
      <c r="AD22" s="890"/>
      <c r="AE22" s="890"/>
      <c r="AF22" s="890"/>
      <c r="AG22" s="890"/>
      <c r="AH22" s="890"/>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90"/>
      <c r="AB23" s="890"/>
      <c r="AC23" s="890"/>
      <c r="AD23" s="890"/>
      <c r="AE23" s="890"/>
      <c r="AF23" s="890"/>
      <c r="AG23" s="890"/>
      <c r="AH23" s="890"/>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15" t="s">
        <v>246</v>
      </c>
      <c r="B1" s="916"/>
      <c r="C1" s="872"/>
      <c r="D1" s="872"/>
      <c r="E1" s="872"/>
      <c r="F1" s="872"/>
      <c r="G1" s="659"/>
      <c r="I1" s="911" t="s">
        <v>247</v>
      </c>
      <c r="J1" s="912"/>
      <c r="K1" s="913"/>
      <c r="L1" s="914"/>
      <c r="M1"/>
      <c r="N1" s="901" t="s">
        <v>248</v>
      </c>
      <c r="O1" s="902"/>
      <c r="P1" s="902"/>
      <c r="Q1" s="902"/>
      <c r="R1" s="902"/>
      <c r="S1" s="903"/>
      <c r="W1"/>
    </row>
    <row r="2" spans="1:23" ht="15.75" thickBot="1" x14ac:dyDescent="0.3">
      <c r="A2" s="915" t="s">
        <v>249</v>
      </c>
      <c r="B2" s="916"/>
      <c r="C2" s="872"/>
      <c r="D2" s="872"/>
      <c r="E2" s="872"/>
      <c r="F2" s="872"/>
      <c r="G2" s="659"/>
      <c r="I2" s="907" t="s">
        <v>250</v>
      </c>
      <c r="J2" s="908"/>
      <c r="K2" s="909"/>
      <c r="L2" s="910"/>
      <c r="M2"/>
      <c r="N2" s="904" t="str">
        <f>"Recap Summary Table - " &amp; +Profit!B2</f>
        <v>Recap Summary Table - 4121 Tensity Dr</v>
      </c>
      <c r="O2" s="905"/>
      <c r="P2" s="905"/>
      <c r="Q2" s="905"/>
      <c r="R2" s="905"/>
      <c r="S2" s="906"/>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19" t="s">
        <v>2</v>
      </c>
      <c r="J2" s="919" t="str">
        <f>IF(Profit!$S$6,IF(K2="No","No","Yes"),"No")</f>
        <v>No</v>
      </c>
      <c r="K2" s="921"/>
    </row>
    <row r="3" spans="1:11" s="3" customFormat="1" ht="15.75" thickBot="1" x14ac:dyDescent="0.3">
      <c r="A3" s="3" t="s">
        <v>305</v>
      </c>
      <c r="B3" s="3" t="s">
        <v>253</v>
      </c>
      <c r="C3" s="13" t="s">
        <v>306</v>
      </c>
      <c r="D3" s="3" t="s">
        <v>307</v>
      </c>
      <c r="E3" s="13" t="s">
        <v>308</v>
      </c>
      <c r="F3" s="3" t="s">
        <v>309</v>
      </c>
      <c r="I3" s="920"/>
      <c r="J3" s="920"/>
      <c r="K3" s="922"/>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7"/>
      <c r="D28" s="918"/>
      <c r="E28" s="918"/>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19" t="s">
        <v>2</v>
      </c>
      <c r="I3" s="919" t="str">
        <f>IF(Profit!$S$6,IF(J3,"Yes","N0"),"no")</f>
        <v>no</v>
      </c>
      <c r="J3" s="923" t="b">
        <v>1</v>
      </c>
    </row>
    <row r="4" spans="1:10" ht="15.75" thickBot="1" x14ac:dyDescent="0.3">
      <c r="A4" s="401" t="s">
        <v>310</v>
      </c>
      <c r="B4" s="405"/>
      <c r="C4" s="403" t="s">
        <v>311</v>
      </c>
      <c r="D4" s="402">
        <v>0</v>
      </c>
      <c r="E4" s="403">
        <v>325</v>
      </c>
      <c r="F4" s="403">
        <f t="shared" ref="F4:F5" si="0">IF($I$3="Yes",+D4*E4,0)</f>
        <v>0</v>
      </c>
      <c r="H4" s="920"/>
      <c r="I4" s="920"/>
      <c r="J4" s="924"/>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19" t="s">
        <v>2</v>
      </c>
      <c r="J4" s="919" t="str">
        <f>IF(Profit!$S$6,IF(K4,"Yes","N0"),"no")</f>
        <v>no</v>
      </c>
      <c r="K4" s="923" t="b">
        <v>0</v>
      </c>
    </row>
    <row r="5" spans="1:11" ht="15.75" thickBot="1" x14ac:dyDescent="0.3">
      <c r="A5" s="401" t="s">
        <v>619</v>
      </c>
      <c r="B5" s="401">
        <v>977057</v>
      </c>
      <c r="C5" s="402">
        <v>0</v>
      </c>
      <c r="D5" s="409">
        <v>149</v>
      </c>
      <c r="E5" s="403">
        <f>+C5*D5</f>
        <v>0</v>
      </c>
      <c r="F5" s="410">
        <f>+E5*0.0725</f>
        <v>0</v>
      </c>
      <c r="G5" s="408"/>
      <c r="I5" s="920"/>
      <c r="J5" s="920"/>
      <c r="K5" s="924"/>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18" t="s">
        <v>332</v>
      </c>
      <c r="D30" s="918"/>
      <c r="E30" s="918"/>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19" t="s">
        <v>2</v>
      </c>
      <c r="K5" s="919" t="str">
        <f>IF(Profit!S6,IF(L5,"Yes","No"),"No")</f>
        <v>No</v>
      </c>
      <c r="L5" s="923" t="b">
        <v>0</v>
      </c>
    </row>
    <row r="6" spans="1:12" ht="15.75" thickBot="1" x14ac:dyDescent="0.3">
      <c r="B6" s="412" t="s">
        <v>620</v>
      </c>
      <c r="C6" s="412"/>
      <c r="D6" s="402">
        <v>1</v>
      </c>
      <c r="E6" s="409">
        <v>53.98</v>
      </c>
      <c r="F6" s="403">
        <f>+D6*E6</f>
        <v>53.98</v>
      </c>
      <c r="G6" s="410">
        <f t="shared" si="0"/>
        <v>3.9135499999999994</v>
      </c>
      <c r="H6" s="408"/>
      <c r="J6" s="920"/>
      <c r="K6" s="920"/>
      <c r="L6" s="924"/>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19" t="s">
        <v>2</v>
      </c>
      <c r="L2" s="919" t="str">
        <f>IF(Profit!S6,IF(M2,"Yes","No"),"No")</f>
        <v>No</v>
      </c>
      <c r="M2" s="923" t="b">
        <v>1</v>
      </c>
    </row>
    <row r="3" spans="1:13" s="22" customFormat="1" ht="14.25" customHeight="1" thickBot="1" x14ac:dyDescent="0.3">
      <c r="A3" s="3" t="s">
        <v>208</v>
      </c>
      <c r="B3" s="3" t="s">
        <v>253</v>
      </c>
      <c r="C3" s="3" t="s">
        <v>321</v>
      </c>
      <c r="D3" s="3" t="s">
        <v>265</v>
      </c>
      <c r="E3" s="8" t="s">
        <v>266</v>
      </c>
      <c r="F3" s="13" t="s">
        <v>267</v>
      </c>
      <c r="G3" s="13"/>
      <c r="H3" s="13" t="s">
        <v>268</v>
      </c>
      <c r="K3" s="920"/>
      <c r="L3" s="920"/>
      <c r="M3" s="924"/>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19" t="s">
        <v>2</v>
      </c>
      <c r="K2" s="919" t="str">
        <f>IF(Profit!S6,IF(L2,"Yes","No"),"No")</f>
        <v>No</v>
      </c>
      <c r="L2" s="923" t="b">
        <v>1</v>
      </c>
    </row>
    <row r="3" spans="1:12" ht="15.75" thickBot="1" x14ac:dyDescent="0.3">
      <c r="A3" s="31" t="s">
        <v>208</v>
      </c>
      <c r="B3" s="31" t="s">
        <v>321</v>
      </c>
      <c r="C3" s="31" t="s">
        <v>265</v>
      </c>
      <c r="D3" s="259" t="s">
        <v>266</v>
      </c>
      <c r="E3" s="260" t="s">
        <v>267</v>
      </c>
      <c r="F3" s="260" t="s">
        <v>254</v>
      </c>
      <c r="G3" s="260" t="s">
        <v>268</v>
      </c>
      <c r="J3" s="920"/>
      <c r="K3" s="920"/>
      <c r="L3" s="924"/>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19" t="s">
        <v>2</v>
      </c>
      <c r="O1" s="919" t="str">
        <f>IF(Profit!S6,IF(P1,"Yes","No"),"No")</f>
        <v>No</v>
      </c>
      <c r="P1" s="923"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20"/>
      <c r="O2" s="920"/>
      <c r="P2" s="924"/>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17" t="s">
        <v>622</v>
      </c>
      <c r="I9" s="918"/>
      <c r="J9" s="918"/>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17" t="s">
        <v>414</v>
      </c>
      <c r="I43" s="918"/>
      <c r="J43" s="918"/>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19" t="s">
        <v>2</v>
      </c>
      <c r="K1" s="919" t="str">
        <f>IF(Profit!S6,IF(L1,"Yes","No"),"No")</f>
        <v>No</v>
      </c>
      <c r="L1" s="923" t="b">
        <v>1</v>
      </c>
    </row>
    <row r="2" spans="1:12" s="3" customFormat="1" ht="15.75" thickBot="1" x14ac:dyDescent="0.3">
      <c r="A2" s="260" t="s">
        <v>208</v>
      </c>
      <c r="B2" s="260" t="s">
        <v>393</v>
      </c>
      <c r="C2" s="260" t="s">
        <v>226</v>
      </c>
      <c r="D2" s="260" t="s">
        <v>179</v>
      </c>
      <c r="E2" s="260" t="s">
        <v>266</v>
      </c>
      <c r="F2" s="260" t="s">
        <v>267</v>
      </c>
      <c r="G2" s="260" t="s">
        <v>254</v>
      </c>
      <c r="H2" s="260" t="s">
        <v>268</v>
      </c>
      <c r="J2" s="920"/>
      <c r="K2" s="920"/>
      <c r="L2" s="924"/>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9" t="s">
        <v>2</v>
      </c>
      <c r="K1" s="919" t="str">
        <f>IF(Profit!S6,IF(L1,"Yes","No"),"No")</f>
        <v>No</v>
      </c>
      <c r="L1" s="923" t="b">
        <v>0</v>
      </c>
    </row>
    <row r="2" spans="1:16" ht="15.75" thickBot="1" x14ac:dyDescent="0.3">
      <c r="A2" s="32" t="s">
        <v>189</v>
      </c>
      <c r="B2" s="32"/>
      <c r="C2" s="32"/>
      <c r="J2" s="920"/>
      <c r="K2" s="920"/>
      <c r="L2" s="924"/>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17"/>
      <c r="F17" s="918"/>
      <c r="G17" s="918"/>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7"/>
      <c r="N24" s="918"/>
      <c r="O24" s="918"/>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19" t="s">
        <v>2</v>
      </c>
      <c r="J1" s="919" t="str">
        <f>IF(Profit!S6,IF(K1,"Yes","No"),"No")</f>
        <v>No</v>
      </c>
      <c r="K1" s="923" t="b">
        <v>0</v>
      </c>
    </row>
    <row r="2" spans="1:11" ht="15.75" thickBot="1" x14ac:dyDescent="0.3">
      <c r="C2" s="3"/>
      <c r="D2" s="8"/>
      <c r="E2" s="13"/>
      <c r="F2" s="13"/>
      <c r="G2" s="13"/>
      <c r="I2" s="920"/>
      <c r="J2" s="920"/>
      <c r="K2" s="924"/>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19" t="s">
        <v>2</v>
      </c>
      <c r="I1" s="919" t="str">
        <f>IF(Profit!$S$6,IF(J1="No","No","Yes"),"no")</f>
        <v>no</v>
      </c>
      <c r="J1" s="921"/>
    </row>
    <row r="2" spans="1:10" s="15" customFormat="1" ht="15.75" thickBot="1" x14ac:dyDescent="0.3">
      <c r="A2" s="3" t="s">
        <v>205</v>
      </c>
      <c r="B2" s="17" t="s">
        <v>451</v>
      </c>
      <c r="C2" s="30" t="s">
        <v>452</v>
      </c>
      <c r="D2" s="3" t="s">
        <v>265</v>
      </c>
      <c r="E2" s="8" t="s">
        <v>453</v>
      </c>
      <c r="F2" s="6" t="s">
        <v>454</v>
      </c>
      <c r="G2" s="15" t="s">
        <v>268</v>
      </c>
      <c r="H2" s="920"/>
      <c r="I2" s="920"/>
      <c r="J2" s="922"/>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19" t="s">
        <v>2</v>
      </c>
      <c r="J1" s="919" t="str">
        <f>IF(Profit!$S$6,IF(K1="No","No","Yes"),"no")</f>
        <v>no</v>
      </c>
      <c r="K1" s="921"/>
    </row>
    <row r="2" spans="1:14" s="61" customFormat="1" ht="30.75" thickBot="1" x14ac:dyDescent="0.3">
      <c r="A2" s="61" t="s">
        <v>205</v>
      </c>
      <c r="B2" s="61" t="s">
        <v>205</v>
      </c>
      <c r="C2" s="61" t="s">
        <v>179</v>
      </c>
      <c r="D2" s="316" t="s">
        <v>461</v>
      </c>
      <c r="E2" s="61" t="s">
        <v>268</v>
      </c>
      <c r="F2" s="61" t="s">
        <v>462</v>
      </c>
      <c r="G2" s="248"/>
      <c r="H2" s="316">
        <v>20</v>
      </c>
      <c r="I2" s="920"/>
      <c r="J2" s="920"/>
      <c r="K2" s="922"/>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11" t="s">
        <v>566</v>
      </c>
      <c r="C1" s="812"/>
      <c r="E1" s="811" t="s">
        <v>570</v>
      </c>
      <c r="F1" s="812"/>
      <c r="H1" s="811" t="s">
        <v>569</v>
      </c>
      <c r="I1" s="812"/>
      <c r="L1" s="811" t="s">
        <v>584</v>
      </c>
      <c r="M1" s="812"/>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11" t="s">
        <v>566</v>
      </c>
      <c r="C12" s="812"/>
      <c r="D12" s="3"/>
      <c r="E12" s="811" t="s">
        <v>570</v>
      </c>
      <c r="F12" s="812"/>
      <c r="G12" s="3"/>
      <c r="H12" s="811" t="s">
        <v>569</v>
      </c>
      <c r="I12" s="812"/>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9" t="s">
        <v>588</v>
      </c>
      <c r="C2" s="930"/>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25">
        <f>+AVERAGE(E3:F3)</f>
        <v>167500</v>
      </c>
      <c r="D8" s="620"/>
      <c r="E8" s="931"/>
      <c r="F8" s="659"/>
      <c r="G8" s="707"/>
      <c r="I8" s="61"/>
      <c r="J8" s="61"/>
      <c r="K8" s="61"/>
    </row>
    <row r="9" spans="1:11" ht="15.75" thickBot="1" x14ac:dyDescent="0.3">
      <c r="B9" s="145" t="s">
        <v>155</v>
      </c>
      <c r="C9" s="925">
        <f>+AVERAGE(E4:F4)</f>
        <v>44549.638750000006</v>
      </c>
      <c r="D9" s="620"/>
      <c r="E9" s="708"/>
      <c r="F9" s="632"/>
      <c r="G9" s="633"/>
      <c r="I9" s="61"/>
      <c r="J9" s="61"/>
      <c r="K9" s="61"/>
    </row>
    <row r="10" spans="1:11" ht="15.75" thickBot="1" x14ac:dyDescent="0.3">
      <c r="B10" s="145" t="s">
        <v>156</v>
      </c>
      <c r="C10" s="925">
        <f>+AVERAGE(E5:F5)</f>
        <v>42487.25</v>
      </c>
      <c r="D10" s="620"/>
      <c r="E10" s="932" t="s">
        <v>157</v>
      </c>
      <c r="F10" s="933"/>
      <c r="G10" s="650"/>
      <c r="I10" s="61"/>
      <c r="J10" s="61"/>
      <c r="K10" s="61"/>
    </row>
    <row r="11" spans="1:11" ht="15.75" thickBot="1" x14ac:dyDescent="0.3">
      <c r="B11" s="145" t="s">
        <v>158</v>
      </c>
      <c r="C11" s="925">
        <f>+AVERAGE(E6:F6)</f>
        <v>45703.346999999994</v>
      </c>
      <c r="D11" s="620"/>
      <c r="E11" s="926" t="s">
        <v>159</v>
      </c>
      <c r="F11" s="927"/>
      <c r="G11" s="92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9" t="s">
        <v>587</v>
      </c>
      <c r="C2" s="930"/>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25">
        <f>+AVERAGE(E3:F3)</f>
        <v>375000</v>
      </c>
      <c r="D8" s="620"/>
      <c r="E8" s="931"/>
      <c r="F8" s="659"/>
      <c r="G8" s="707"/>
    </row>
    <row r="9" spans="1:8" ht="15.75" thickBot="1" x14ac:dyDescent="0.3">
      <c r="B9" s="145" t="s">
        <v>155</v>
      </c>
      <c r="C9" s="925">
        <f>+AVERAGE(E4:F4)</f>
        <v>176184.5</v>
      </c>
      <c r="D9" s="620"/>
      <c r="E9" s="708"/>
      <c r="F9" s="632"/>
      <c r="G9" s="633"/>
    </row>
    <row r="10" spans="1:8" ht="15.75" thickBot="1" x14ac:dyDescent="0.3">
      <c r="B10" s="145" t="s">
        <v>156</v>
      </c>
      <c r="C10" s="925">
        <f>+AVERAGE(E5:F5)</f>
        <v>121133.5</v>
      </c>
      <c r="D10" s="620"/>
      <c r="E10" s="932" t="s">
        <v>157</v>
      </c>
      <c r="F10" s="933"/>
      <c r="G10" s="650"/>
    </row>
    <row r="11" spans="1:8" ht="15.75" thickBot="1" x14ac:dyDescent="0.3">
      <c r="B11" s="145" t="s">
        <v>158</v>
      </c>
      <c r="C11" s="925">
        <f>+AVERAGE(E6:F6)</f>
        <v>77681.948333333334</v>
      </c>
      <c r="D11" s="620"/>
      <c r="E11" s="926" t="s">
        <v>159</v>
      </c>
      <c r="F11" s="927"/>
      <c r="G11" s="92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29" t="s">
        <v>473</v>
      </c>
      <c r="C2" s="937"/>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25">
        <f>+AVERAGE(E3:H3)</f>
        <v>315632.25</v>
      </c>
      <c r="D8" s="934"/>
      <c r="E8" s="931"/>
      <c r="F8" s="659"/>
      <c r="G8" s="659"/>
      <c r="H8" s="659"/>
      <c r="I8" s="707"/>
    </row>
    <row r="9" spans="1:10" ht="15.75" thickBot="1" x14ac:dyDescent="0.3">
      <c r="A9" s="148"/>
      <c r="B9" s="145" t="s">
        <v>155</v>
      </c>
      <c r="C9" s="925">
        <f>+AVERAGE(E4:H4)</f>
        <v>138648.73000000001</v>
      </c>
      <c r="D9" s="934"/>
      <c r="E9" s="708"/>
      <c r="F9" s="632"/>
      <c r="G9" s="632"/>
      <c r="H9" s="632"/>
      <c r="I9" s="633"/>
    </row>
    <row r="10" spans="1:10" ht="15.75" thickBot="1" x14ac:dyDescent="0.3">
      <c r="A10" s="148"/>
      <c r="B10" s="145" t="s">
        <v>156</v>
      </c>
      <c r="C10" s="925">
        <f>+AVERAGE(E5:H5)</f>
        <v>37177.026874999996</v>
      </c>
      <c r="D10" s="934"/>
      <c r="E10" s="932" t="s">
        <v>157</v>
      </c>
      <c r="F10" s="938"/>
      <c r="G10" s="938"/>
      <c r="H10" s="938"/>
      <c r="I10" s="939"/>
    </row>
    <row r="11" spans="1:10" ht="15.75" thickBot="1" x14ac:dyDescent="0.3">
      <c r="B11" s="145" t="s">
        <v>158</v>
      </c>
      <c r="C11" s="925">
        <f>+AVERAGE(E6:H6)</f>
        <v>117803.01925000001</v>
      </c>
      <c r="D11" s="934"/>
      <c r="E11" s="926" t="s">
        <v>159</v>
      </c>
      <c r="F11" s="935"/>
      <c r="G11" s="935"/>
      <c r="H11" s="935"/>
      <c r="I11" s="936"/>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9" t="s">
        <v>473</v>
      </c>
      <c r="C2" s="930"/>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25">
        <f>+AVERAGE(E3:G3)</f>
        <v>270600</v>
      </c>
      <c r="D8" s="620"/>
      <c r="E8" s="931"/>
      <c r="F8" s="940"/>
      <c r="G8" s="659"/>
      <c r="H8" s="707"/>
    </row>
    <row r="9" spans="1:9" ht="15.75" thickBot="1" x14ac:dyDescent="0.3">
      <c r="B9" s="145" t="s">
        <v>155</v>
      </c>
      <c r="C9" s="925">
        <f>+AVERAGE(E4:G4)</f>
        <v>133923.63333333333</v>
      </c>
      <c r="D9" s="620"/>
      <c r="E9" s="708"/>
      <c r="F9" s="632"/>
      <c r="G9" s="632"/>
      <c r="H9" s="633"/>
    </row>
    <row r="10" spans="1:9" ht="15.75" thickBot="1" x14ac:dyDescent="0.3">
      <c r="B10" s="145" t="s">
        <v>156</v>
      </c>
      <c r="C10" s="925">
        <f>+AVERAGE(E5:G5)</f>
        <v>48783.358384708328</v>
      </c>
      <c r="D10" s="620"/>
      <c r="E10" s="932" t="s">
        <v>157</v>
      </c>
      <c r="F10" s="938"/>
      <c r="G10" s="933"/>
      <c r="H10" s="650"/>
    </row>
    <row r="11" spans="1:9" ht="15.75" thickBot="1" x14ac:dyDescent="0.3">
      <c r="B11" s="145" t="s">
        <v>158</v>
      </c>
      <c r="C11" s="925">
        <f>+AVERAGE(E6:G6)</f>
        <v>85689.034948625005</v>
      </c>
      <c r="D11" s="620"/>
      <c r="E11" s="926" t="s">
        <v>159</v>
      </c>
      <c r="F11" s="935"/>
      <c r="G11" s="927"/>
      <c r="H11" s="92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9" t="s">
        <v>473</v>
      </c>
      <c r="C2" s="930"/>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25">
        <f>+AVERAGE(E3:G3)</f>
        <v>180000</v>
      </c>
      <c r="D8" s="620"/>
      <c r="E8" s="931"/>
      <c r="F8" s="940"/>
      <c r="G8" s="659"/>
      <c r="H8" s="707"/>
    </row>
    <row r="9" spans="1:9" ht="15.75" thickBot="1" x14ac:dyDescent="0.3">
      <c r="B9" s="145" t="s">
        <v>155</v>
      </c>
      <c r="C9" s="925">
        <f>+AVERAGE(E4:G4)</f>
        <v>103547.57</v>
      </c>
      <c r="D9" s="620"/>
      <c r="E9" s="708"/>
      <c r="F9" s="632"/>
      <c r="G9" s="632"/>
      <c r="H9" s="633"/>
    </row>
    <row r="10" spans="1:9" ht="15.75" thickBot="1" x14ac:dyDescent="0.3">
      <c r="B10" s="145" t="s">
        <v>156</v>
      </c>
      <c r="C10" s="925">
        <f>+AVERAGE(E5:G5)</f>
        <v>16660.233833333332</v>
      </c>
      <c r="D10" s="620"/>
      <c r="E10" s="932" t="s">
        <v>157</v>
      </c>
      <c r="F10" s="938"/>
      <c r="G10" s="933"/>
      <c r="H10" s="650"/>
    </row>
    <row r="11" spans="1:9" ht="15.75" thickBot="1" x14ac:dyDescent="0.3">
      <c r="B11" s="145" t="s">
        <v>158</v>
      </c>
      <c r="C11" s="925">
        <f>+AVERAGE(E6:G6)</f>
        <v>38679.975259259263</v>
      </c>
      <c r="D11" s="620"/>
      <c r="E11" s="926" t="s">
        <v>159</v>
      </c>
      <c r="F11" s="935"/>
      <c r="G11" s="927"/>
      <c r="H11" s="92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C8DEC3D8-E357-4A8C-AFF9-645AD3C1C068}">
  <ds:schemaRefs>
    <ds:schemaRef ds:uri="http://schemas.microsoft.com/DataMashup"/>
  </ds:schemaRefs>
</ds:datastoreItem>
</file>

<file path=customXml/itemProps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5.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6.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7.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16</vt:i4>
      </vt:variant>
    </vt:vector>
  </HeadingPairs>
  <TitlesOfParts>
    <vt:vector size="50"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cfdEndDate</vt:lpstr>
      <vt:lpstr>cfdFirstRateMonths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2026-06-22T20:01:08Z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